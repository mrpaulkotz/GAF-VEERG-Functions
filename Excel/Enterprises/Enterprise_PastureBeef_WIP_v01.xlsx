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6F41865-76F6-4CD5-8608-D3AC13E1B8CD}" xr6:coauthVersionLast="47" xr6:coauthVersionMax="47" xr10:uidLastSave="{00000000-0000-0000-0000-000000000000}"/>
  <bookViews>
    <workbookView xWindow="3510" yWindow="3510" windowWidth="28800" windowHeight="15345" firstSheet="29" activeTab="34" xr2:uid="{992023F3-CAB7-4E5B-A348-08D563A0EF40}"/>
  </bookViews>
  <sheets>
    <sheet name="Home" sheetId="71" r:id="rId1"/>
    <sheet name="Results" sheetId="13" r:id="rId2"/>
    <sheet name="Input - Enterprise" sheetId="72" r:id="rId3"/>
    <sheet name="Input - Site" sheetId="102" r:id="rId4"/>
    <sheet name="Input - Pasture Beef" sheetId="76" r:id="rId5"/>
    <sheet name="Input - Pasture Beef (Enteric)" sheetId="73" r:id="rId6"/>
    <sheet name="Input - Pasture" sheetId="96" r:id="rId7"/>
    <sheet name="Input - Fertiliser" sheetId="81" r:id="rId8"/>
    <sheet name="Input - Fuel" sheetId="92" r:id="rId9"/>
    <sheet name="Input - Electricity" sheetId="89" r:id="rId10"/>
    <sheet name="3.2.1.1-2 Enteric Methane" sheetId="74" r:id="rId11"/>
    <sheet name="4.2.1.1-2 Methane" sheetId="77" r:id="rId12"/>
    <sheet name="4.2.1.3-4 Soil direct N20" sheetId="78" r:id="rId13"/>
    <sheet name="4.2.1.5-6 Soil Atmos Dep" sheetId="79" r:id="rId14"/>
    <sheet name="4.2.1.7-8 Soil leach runoff" sheetId="80" r:id="rId15"/>
    <sheet name="5.1.1.1-2 Inorganic fert N2O" sheetId="82" r:id="rId16"/>
    <sheet name="5.1.1.3-4 Inorganic fert CO2" sheetId="83" r:id="rId17"/>
    <sheet name="5.2.1.1-2 Organic Fert N2O" sheetId="84" r:id="rId18"/>
    <sheet name="5.3.1.1-2 Lime CO2" sheetId="85" r:id="rId19"/>
    <sheet name="5.4.1.1-4 Atmos deposition" sheetId="86" r:id="rId20"/>
    <sheet name="5.5.1.1-2 Leaching and runoff" sheetId="87" r:id="rId21"/>
    <sheet name="6.2.1.1-2 Pasture residue N2O" sheetId="97" r:id="rId22"/>
    <sheet name="6.3.1.1-2 Leach runoff pasture" sheetId="98" r:id="rId23"/>
    <sheet name="8.1.1.1-2 Transport fuel" sheetId="93" r:id="rId24"/>
    <sheet name="8.2.1.1-2 Stationary fuel" sheetId="94" r:id="rId25"/>
    <sheet name="14.1.1-2 Purchased electricity" sheetId="90" r:id="rId26"/>
    <sheet name="Constants - Pasture Beef" sheetId="75" r:id="rId27"/>
    <sheet name="Constants - Ag Residue" sheetId="99" r:id="rId28"/>
    <sheet name="Constants - Livestock" sheetId="100" r:id="rId29"/>
    <sheet name="Constants - Electricity" sheetId="91" r:id="rId30"/>
    <sheet name="Constants - Fertiliser" sheetId="88" r:id="rId31"/>
    <sheet name="Constants - Fuel" sheetId="95" r:id="rId32"/>
    <sheet name="Constants - Common" sheetId="103" r:id="rId33"/>
    <sheet name="Acknowledgements" sheetId="104" r:id="rId34"/>
    <sheet name="Overview" sheetId="101"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 localSheetId="21">_xlfn.LAMBDA(_xlpm.M_c,_xlpm.EF_Ni,_xlpm.C_N2O, _xlpm.M_c * _xlpm.EF_Ni * _xlpm.C_N2O * 10 ^ (-3))</definedName>
    <definedName name="AgResidue_Equations_CropResidue.VEERG_6_1_1_1__1__NitrousOxideEmissionsFromCropResidues" localSheetId="22">_xlfn.LAMBDA(_xlpm.M_c,_xlpm.EF_Ni,_xlpm.C_N2O, _xlpm.M_c * _xlpm.EF_Ni * _xlpm.C_N2O * 10 ^ (-3))</definedName>
    <definedName name="AgResidue_Equations_CropResidue.VEERG_6_1_1_1__1__NitrousOxideEmissionsFromCropResidues" localSheetId="27">_xlfn.LAMBDA(_xlpm.M_c,_xlpm.EF_Ni,_xlpm.C_N2O, _xlpm.M_c * _xlpm.EF_Ni * _xlpm.C_N2O * 10 ^ (-3))</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 localSheetId="21">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22">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 localSheetId="27">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 localSheetId="21">_xlfn.LAMBDA("VEERG_6_1_1_1__1__NitrousOxideEmissionsFromCropResidues")</definedName>
    <definedName name="AgResidue_Equations_CropResidue.VEERG_6_1_1_1__1__NitrousOxideEmissionsFromCropResidues_FunctionName" localSheetId="22">_xlfn.LAMBDA("VEERG_6_1_1_1__1__NitrousOxideEmissionsFromCropResidues")</definedName>
    <definedName name="AgResidue_Equations_CropResidue.VEERG_6_1_1_1__1__NitrousOxideEmissionsFromCropResidues_FunctionName" localSheetId="27">_xlfn.LAMBDA("VEERG_6_1_1_1__1__NitrousOxideEmissionsFromCropResidues")</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 localSheetId="21">_xlfn.LAMBDA("E=\sum\nolimits_c\left(M_{c}\times EF_{N}\right)\times C_{g,N2O}\times 10^{-3}")</definedName>
    <definedName name="AgResidue_Equations_CropResidue.VEERG_6_1_1_1__1__NitrousOxideEmissionsFromCropResidues_LatexEquation" localSheetId="22">_xlfn.LAMBDA("E=\sum\nolimits_c\left(M_{c}\times EF_{N}\right)\times C_{g,N2O}\times 10^{-3}")</definedName>
    <definedName name="AgResidue_Equations_CropResidue.VEERG_6_1_1_1__1__NitrousOxideEmissionsFromCropResidues_LatexEquation" localSheetId="27">_xlfn.LAMBDA("E=\sum\nolimits_c\left(M_{c}\times EF_{N}\right)\times C_{g,N2O}\times 10^{-3}")</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 localSheetId="21">_xlfn.LAMBDA("")</definedName>
    <definedName name="AgResidue_Equations_CropResidue.VEERG_6_1_1_1__1__NitrousOxideEmissionsFromCropResidues_NIRReference" localSheetId="22">_xlfn.LAMBDA("")</definedName>
    <definedName name="AgResidue_Equations_CropResidue.VEERG_6_1_1_1__1__NitrousOxideEmissionsFromCropResidues_NIRReference" localSheetId="27">_xlfn.LAMBDA("")</definedName>
    <definedName name="AgResidue_Equations_CropResidue.VEERG_6_1_1_1__1__NitrousOxideEmissionsFromCropResidues_NIRReference">_xlfn.LAMBDA("")</definedName>
    <definedName name="AgResidue_Equations_CropResidue.VEERG_6_1_1_1__1__NitrousOxideEmissionsFromCropResidues_Source" localSheetId="21">_xlfn.LAMBDA("VEERG 2026: 6.1.1.1, Equation (1)")</definedName>
    <definedName name="AgResidue_Equations_CropResidue.VEERG_6_1_1_1__1__NitrousOxideEmissionsFromCropResidues_Source" localSheetId="22">_xlfn.LAMBDA("VEERG 2026: 6.1.1.1, Equation (1)")</definedName>
    <definedName name="AgResidue_Equations_CropResidue.VEERG_6_1_1_1__1__NitrousOxideEmissionsFromCropResidues_Source" localSheetId="27">_xlfn.LAMBDA("VEERG 2026: 6.1.1.1, Equation (1)")</definedName>
    <definedName name="AgResidue_Equations_CropResidue.VEERG_6_1_1_1__1__NitrousOxideEmissionsFromCropResidues_Source">_xlfn.LAMBDA("VEERG 2026: 6.1.1.1, Equation (1)")</definedName>
    <definedName name="AgResidue_Equations_CropResidue.VEERG_6_1_1_1__1__NitrousOxideEmissionsFromCropResidues_Title" localSheetId="21">_xlfn.LAMBDA("Nitrous oxide emissions from the return of crop residues across all crops c to the soil")</definedName>
    <definedName name="AgResidue_Equations_CropResidue.VEERG_6_1_1_1__1__NitrousOxideEmissionsFromCropResidues_Title" localSheetId="22">_xlfn.LAMBDA("Nitrous oxide emissions from the return of crop residues across all crops c to the soil")</definedName>
    <definedName name="AgResidue_Equations_CropResidue.VEERG_6_1_1_1__1__NitrousOxideEmissionsFromCropResidues_Title" localSheetId="27">_xlfn.LAMBDA("Nitrous oxide emissions from the return of crop residues across all crops c to the soil")</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 localSheetId="21">_xlfn.LAMBDA("t N2O")</definedName>
    <definedName name="AgResidue_Equations_CropResidue.VEERG_6_1_1_1__1__NitrousOxideEmissionsFromCropResidues_Unit" localSheetId="22">_xlfn.LAMBDA("t N2O")</definedName>
    <definedName name="AgResidue_Equations_CropResidue.VEERG_6_1_1_1__1__NitrousOxideEmissionsFromCropResidues_Unit" localSheetId="27">_xlfn.LAMBDA("t N2O")</definedName>
    <definedName name="AgResidue_Equations_CropResidue.VEERG_6_1_1_1__1__NitrousOxideEmissionsFromCropResidues_Unit">_xlfn.LAMBDA("t N2O")</definedName>
    <definedName name="AgResidue_Equations_CropResidue.VEERG_6_1_1_1__1__NitrousOxideEmissionsFromCropResidues_Variable" localSheetId="21">_xlfn.LAMBDA("E")</definedName>
    <definedName name="AgResidue_Equations_CropResidue.VEERG_6_1_1_1__1__NitrousOxideEmissionsFromCropResidues_Variable" localSheetId="22">_xlfn.LAMBDA("E")</definedName>
    <definedName name="AgResidue_Equations_CropResidue.VEERG_6_1_1_1__1__NitrousOxideEmissionsFromCropResidues_Variable" localSheetId="27">_xlfn.LAMBDA("E")</definedName>
    <definedName name="AgResidue_Equations_CropResidue.VEERG_6_1_1_1__1__NitrousOxideEmissionsFromCropResidues_Variable">_xlfn.LAMBDA("E")</definedName>
    <definedName name="AgResidue_Equations_CropResidue.VEERG_6_1_1_1__2__MassOfNitrogenInCropResidues" localSheetId="21">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22">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 localSheetId="27">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 localSheetId="2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2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 localSheetId="27">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21">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2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 localSheetId="27">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 localSheetId="21">_xlfn.LAMBDA("M_{c}=(P_{c}\times R_{AGc}\times(1-F_{c}-FFOD_{c})\times DM_{c}\times NC_{AGc})+(P_{c}\times R_{AGc}\times R_{BGc}\times DM_{c}\times NC_{BGc})")</definedName>
    <definedName name="AgResidue_Equations_CropResidue.VEERG_6_1_1_1__2__MassOfNitrogenInCropResidues_LatexEquation" localSheetId="22">_xlfn.LAMBDA("M_{c}=(P_{c}\times R_{AGc}\times(1-F_{c}-FFOD_{c})\times DM_{c}\times NC_{AGc})+(P_{c}\times R_{AGc}\times R_{BGc}\times DM_{c}\times NC_{BGc})")</definedName>
    <definedName name="AgResidue_Equations_CropResidue.VEERG_6_1_1_1__2__MassOfNitrogenInCropResidues_LatexEquation" localSheetId="27">_xlfn.LAMBDA("M_{c}=(P_{c}\times R_{AGc}\times(1-F_{c}-FFOD_{c})\times DM_{c}\times NC_{AGc})+(P_{c}\times R_{AGc}\times R_{BGc}\times DM_{c}\times NC_{BGc})")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 localSheetId="21">_xlfn.LAMBDA("")</definedName>
    <definedName name="AgResidue_Equations_CropResidue.VEERG_6_1_1_1__2__MassOfNitrogenInCropResidues_NIRReference" localSheetId="22">_xlfn.LAMBDA("")</definedName>
    <definedName name="AgResidue_Equations_CropResidue.VEERG_6_1_1_1__2__MassOfNitrogenInCropResidues_NIRReference" localSheetId="27">_xlfn.LAMBDA("")</definedName>
    <definedName name="AgResidue_Equations_CropResidue.VEERG_6_1_1_1__2__MassOfNitrogenInCropResidues_NIRReference">_xlfn.LAMBDA("")</definedName>
    <definedName name="AgResidue_Equations_CropResidue.VEERG_6_1_1_1__2__MassOfNitrogenInCropResidues_Source" localSheetId="21">_xlfn.LAMBDA("VEERG 2026: 6.1.1.1, Equation (2)")</definedName>
    <definedName name="AgResidue_Equations_CropResidue.VEERG_6_1_1_1__2__MassOfNitrogenInCropResidues_Source" localSheetId="22">_xlfn.LAMBDA("VEERG 2026: 6.1.1.1, Equation (2)")</definedName>
    <definedName name="AgResidue_Equations_CropResidue.VEERG_6_1_1_1__2__MassOfNitrogenInCropResidues_Source" localSheetId="27">_xlfn.LAMBDA("VEERG 2026: 6.1.1.1, Equation (2)")</definedName>
    <definedName name="AgResidue_Equations_CropResidue.VEERG_6_1_1_1__2__MassOfNitrogenInCropResidues_Source">_xlfn.LAMBDA("VEERG 2026: 6.1.1.1, Equation (2)")</definedName>
    <definedName name="AgResidue_Equations_CropResidue.VEERG_6_1_1_1__2__MassOfNitrogenInCropResidues_Title" localSheetId="21">_xlfn.LAMBDA("Mass of nitrogen in crop residues returned to the soil")</definedName>
    <definedName name="AgResidue_Equations_CropResidue.VEERG_6_1_1_1__2__MassOfNitrogenInCropResidues_Title" localSheetId="22">_xlfn.LAMBDA("Mass of nitrogen in crop residues returned to the soil")</definedName>
    <definedName name="AgResidue_Equations_CropResidue.VEERG_6_1_1_1__2__MassOfNitrogenInCropResidues_Title" localSheetId="27">_xlfn.LAMBDA("Mass of nitrogen in crop residues returned to the soil")</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 localSheetId="21">_xlfn.LAMBDA("kg N")</definedName>
    <definedName name="AgResidue_Equations_CropResidue.VEERG_6_1_1_1__2__MassOfNitrogenInCropResidues_Unit" localSheetId="22">_xlfn.LAMBDA("kg N")</definedName>
    <definedName name="AgResidue_Equations_CropResidue.VEERG_6_1_1_1__2__MassOfNitrogenInCropResidues_Unit" localSheetId="27">_xlfn.LAMBDA("kg N")</definedName>
    <definedName name="AgResidue_Equations_CropResidue.VEERG_6_1_1_1__2__MassOfNitrogenInCropResidues_Unit">_xlfn.LAMBDA("kg N")</definedName>
    <definedName name="AgResidue_Equations_CropResidue.VEERG_6_1_1_1__2__MassOfNitrogenInCropResidues_Variable" localSheetId="21">_xlfn.LAMBDA("M_c")</definedName>
    <definedName name="AgResidue_Equations_CropResidue.VEERG_6_1_1_1__2__MassOfNitrogenInCropResidues_Variable" localSheetId="22">_xlfn.LAMBDA("M_c")</definedName>
    <definedName name="AgResidue_Equations_CropResidue.VEERG_6_1_1_1__2__MassOfNitrogenInCropResidues_Variable" localSheetId="27">_xlfn.LAMBDA("M_c")</definedName>
    <definedName name="AgResidue_Equations_CropResidue.VEERG_6_1_1_1__2__MassOfNitrogenInCropResidues_Variable">_xlfn.LAMBDA("M_c")</definedName>
    <definedName name="AgResidue_Equations_CropResidue.VEERG_6_1_1_2__1__FractionOfCropResidueRemovedBaled" localSheetId="21">_xlfn.LAMBDA(_xlpm.B,_xlpm.M_B,_xlpm.P_c,_xlpm.R_AGc, IFERROR((_xlpm.B * _xlpm.M_B) / (_xlpm.P_c * _xlpm.R_AGc), 0))</definedName>
    <definedName name="AgResidue_Equations_CropResidue.VEERG_6_1_1_2__1__FractionOfCropResidueRemovedBaled" localSheetId="22">_xlfn.LAMBDA(_xlpm.B,_xlpm.M_B,_xlpm.P_c,_xlpm.R_AGc, IFERROR((_xlpm.B * _xlpm.M_B) / (_xlpm.P_c * _xlpm.R_AGc), 0))</definedName>
    <definedName name="AgResidue_Equations_CropResidue.VEERG_6_1_1_2__1__FractionOfCropResidueRemovedBaled" localSheetId="27">_xlfn.LAMBDA(_xlpm.B,_xlpm.M_B,_xlpm.P_c,_xlpm.R_AGc, IFERROR((_xlpm.B * _xlpm.M_B) / (_xlpm.P_c * _xlpm.R_AGc), 0))</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 localSheetId="21">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22">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 localSheetId="27">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 localSheetId="21">_xlfn.LAMBDA("FFOD_{c,baled}=\frac{B\times M_{B}}{P_{c}\times R_{AG,c}}")</definedName>
    <definedName name="AgResidue_Equations_CropResidue.VEERG_6_1_1_2__1__FractionOfCropResidueRemovedBaled_LatexEquation" localSheetId="22">_xlfn.LAMBDA("FFOD_{c,baled}=\frac{B\times M_{B}}{P_{c}\times R_{AG,c}}")</definedName>
    <definedName name="AgResidue_Equations_CropResidue.VEERG_6_1_1_2__1__FractionOfCropResidueRemovedBaled_LatexEquation" localSheetId="27">_xlfn.LAMBDA("FFOD_{c,baled}=\frac{B\times M_{B}}{P_{c}\times R_{AG,c}}")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 localSheetId="21">_xlfn.LAMBDA("")</definedName>
    <definedName name="AgResidue_Equations_CropResidue.VEERG_6_1_1_2__1__FractionOfCropResidueRemovedBaled_NIRReference" localSheetId="22">_xlfn.LAMBDA("")</definedName>
    <definedName name="AgResidue_Equations_CropResidue.VEERG_6_1_1_2__1__FractionOfCropResidueRemovedBaled_NIRReference" localSheetId="27">_xlfn.LAMBDA("")</definedName>
    <definedName name="AgResidue_Equations_CropResidue.VEERG_6_1_1_2__1__FractionOfCropResidueRemovedBaled_NIRReference">_xlfn.LAMBDA("")</definedName>
    <definedName name="AgResidue_Equations_CropResidue.VEERG_6_1_1_2__1__FractionOfCropResidueRemovedBaled_Source" localSheetId="21">_xlfn.LAMBDA("VEERG 2026: 6.1.1.2, Equation (1)")</definedName>
    <definedName name="AgResidue_Equations_CropResidue.VEERG_6_1_1_2__1__FractionOfCropResidueRemovedBaled_Source" localSheetId="22">_xlfn.LAMBDA("VEERG 2026: 6.1.1.2, Equation (1)")</definedName>
    <definedName name="AgResidue_Equations_CropResidue.VEERG_6_1_1_2__1__FractionOfCropResidueRemovedBaled_Source" localSheetId="27">_xlfn.LAMBDA("VEERG 2026: 6.1.1.2, Equation (1)")</definedName>
    <definedName name="AgResidue_Equations_CropResidue.VEERG_6_1_1_2__1__FractionOfCropResidueRemovedBaled_Source">_xlfn.LAMBDA("VEERG 2026: 6.1.1.2, Equation (1)")</definedName>
    <definedName name="AgResidue_Equations_CropResidue.VEERG_6_1_1_2__1__FractionOfCropResidueRemovedBaled_Title" localSheetId="21">_xlfn.LAMBDA("Fraction of crop residue that is removed for crop c, calculated where residues are baled")</definedName>
    <definedName name="AgResidue_Equations_CropResidue.VEERG_6_1_1_2__1__FractionOfCropResidueRemovedBaled_Title" localSheetId="22">_xlfn.LAMBDA("Fraction of crop residue that is removed for crop c, calculated where residues are baled")</definedName>
    <definedName name="AgResidue_Equations_CropResidue.VEERG_6_1_1_2__1__FractionOfCropResidueRemovedBaled_Title" localSheetId="27">_xlfn.LAMBDA("Fraction of crop residue that is removed for crop c, calculated where residues are baled")</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 localSheetId="21">_xlfn.LAMBDA("dimensionless")</definedName>
    <definedName name="AgResidue_Equations_CropResidue.VEERG_6_1_1_2__1__FractionOfCropResidueRemovedBaled_Unit" localSheetId="22">_xlfn.LAMBDA("dimensionless")</definedName>
    <definedName name="AgResidue_Equations_CropResidue.VEERG_6_1_1_2__1__FractionOfCropResidueRemovedBaled_Unit" localSheetId="27">_xlfn.LAMBDA("dimensionless")</definedName>
    <definedName name="AgResidue_Equations_CropResidue.VEERG_6_1_1_2__1__FractionOfCropResidueRemovedBaled_Unit">_xlfn.LAMBDA("dimensionless")</definedName>
    <definedName name="AgResidue_Equations_CropResidue.VEERG_6_1_1_2__1__FractionOfCropResidueRemovedBaled_Variable" localSheetId="21">_xlfn.LAMBDA("FFOD_cbaled")</definedName>
    <definedName name="AgResidue_Equations_CropResidue.VEERG_6_1_1_2__1__FractionOfCropResidueRemovedBaled_Variable" localSheetId="22">_xlfn.LAMBDA("FFOD_cbaled")</definedName>
    <definedName name="AgResidue_Equations_CropResidue.VEERG_6_1_1_2__1__FractionOfCropResidueRemovedBaled_Variable" localSheetId="27">_xlfn.LAMBDA("FFOD_cbaled")</definedName>
    <definedName name="AgResidue_Equations_CropResidue.VEERG_6_1_1_2__1__FractionOfCropResidueRemovedBaled_Variable">_xlfn.LAMBDA("FFOD_cbaled")</definedName>
    <definedName name="AgResidue_Equations_CropResidue.VEERG_6_1_1_2__1__FractionOfCropResidueRemovedBaled_Variation" localSheetId="21">_xlfn.LAMBDA("VARIATION FROM SOURCE: Added 'baled' to variable subscript")</definedName>
    <definedName name="AgResidue_Equations_CropResidue.VEERG_6_1_1_2__1__FractionOfCropResidueRemovedBaled_Variation" localSheetId="22">_xlfn.LAMBDA("VARIATION FROM SOURCE: Added 'baled' to variable subscript")</definedName>
    <definedName name="AgResidue_Equations_CropResidue.VEERG_6_1_1_2__1__FractionOfCropResidueRemovedBaled_Variation" localSheetId="27">_xlfn.LAMBDA("VARIATION FROM SOURCE: Added 'baled' to variable subscript")</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 localSheetId="21">_xlfn.LAMBDA(_xlpm.FFOD_cbaled,_xlpm.FFOD_cother, _xlpm.FFOD_cbaled + _xlpm.FFOD_cother)</definedName>
    <definedName name="AgResidue_Equations_CropResidue.VEERG_6_1_1_2__1a__FractionOfCropResidueRemoved" localSheetId="22">_xlfn.LAMBDA(_xlpm.FFOD_cbaled,_xlpm.FFOD_cother, _xlpm.FFOD_cbaled + _xlpm.FFOD_cother)</definedName>
    <definedName name="AgResidue_Equations_CropResidue.VEERG_6_1_1_2__1a__FractionOfCropResidueRemoved" localSheetId="27">_xlfn.LAMBDA(_xlpm.FFOD_cbaled,_xlpm.FFOD_cother, _xlpm.FFOD_cbaled + _xlpm.FFOD_cother)</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 localSheetId="21">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22">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 localSheetId="27">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 localSheetId="21">_xlfn.LAMBDA("FFOD_{c} = FFOD_{c,baled} + FFOD_{c,other}")</definedName>
    <definedName name="AgResidue_Equations_CropResidue.VEERG_6_1_1_2__1a__FractionOfCropResidueRemoved_LatexEquation" localSheetId="22">_xlfn.LAMBDA("FFOD_{c} = FFOD_{c,baled} + FFOD_{c,other}")</definedName>
    <definedName name="AgResidue_Equations_CropResidue.VEERG_6_1_1_2__1a__FractionOfCropResidueRemoved_LatexEquation" localSheetId="27">_xlfn.LAMBDA("FFOD_{c} = FFOD_{c,baled} + FFOD_{c,other}")</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 localSheetId="21">_xlfn.LAMBDA("")</definedName>
    <definedName name="AgResidue_Equations_CropResidue.VEERG_6_1_1_2__1a__FractionOfCropResidueRemoved_NIRReference" localSheetId="22">_xlfn.LAMBDA("")</definedName>
    <definedName name="AgResidue_Equations_CropResidue.VEERG_6_1_1_2__1a__FractionOfCropResidueRemoved_NIRReference" localSheetId="27">_xlfn.LAMBDA("")</definedName>
    <definedName name="AgResidue_Equations_CropResidue.VEERG_6_1_1_2__1a__FractionOfCropResidueRemoved_NIRReference">_xlfn.LAMBDA("")</definedName>
    <definedName name="AgResidue_Equations_CropResidue.VEERG_6_1_1_2__1a__FractionOfCropResidueRemoved_Source" localSheetId="21">_xlfn.LAMBDA("")</definedName>
    <definedName name="AgResidue_Equations_CropResidue.VEERG_6_1_1_2__1a__FractionOfCropResidueRemoved_Source" localSheetId="22">_xlfn.LAMBDA("")</definedName>
    <definedName name="AgResidue_Equations_CropResidue.VEERG_6_1_1_2__1a__FractionOfCropResidueRemoved_Source" localSheetId="27">_xlfn.LAMBDA("")</definedName>
    <definedName name="AgResidue_Equations_CropResidue.VEERG_6_1_1_2__1a__FractionOfCropResidueRemoved_Source">_xlfn.LAMBDA("")</definedName>
    <definedName name="AgResidue_Equations_CropResidue.VEERG_6_1_1_2__1a__FractionOfCropResidueRemoved_Title" localSheetId="21">_xlfn.LAMBDA("Fraction of crop residue that is removed for crop c")</definedName>
    <definedName name="AgResidue_Equations_CropResidue.VEERG_6_1_1_2__1a__FractionOfCropResidueRemoved_Title" localSheetId="22">_xlfn.LAMBDA("Fraction of crop residue that is removed for crop c")</definedName>
    <definedName name="AgResidue_Equations_CropResidue.VEERG_6_1_1_2__1a__FractionOfCropResidueRemoved_Title" localSheetId="27">_xlfn.LAMBDA("Fraction of crop residue that is removed for crop c")</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 localSheetId="21">_xlfn.LAMBDA("dimensionless")</definedName>
    <definedName name="AgResidue_Equations_CropResidue.VEERG_6_1_1_2__1a__FractionOfCropResidueRemoved_Unit" localSheetId="22">_xlfn.LAMBDA("dimensionless")</definedName>
    <definedName name="AgResidue_Equations_CropResidue.VEERG_6_1_1_2__1a__FractionOfCropResidueRemoved_Unit" localSheetId="27">_xlfn.LAMBDA("dimensionless")</definedName>
    <definedName name="AgResidue_Equations_CropResidue.VEERG_6_1_1_2__1a__FractionOfCropResidueRemoved_Unit">_xlfn.LAMBDA("dimensionless")</definedName>
    <definedName name="AgResidue_Equations_CropResidue.VEERG_6_1_1_2__1a__FractionOfCropResidueRemoved_Variable" localSheetId="21">_xlfn.LAMBDA("FFOD_c")</definedName>
    <definedName name="AgResidue_Equations_CropResidue.VEERG_6_1_1_2__1a__FractionOfCropResidueRemoved_Variable" localSheetId="22">_xlfn.LAMBDA("FFOD_c")</definedName>
    <definedName name="AgResidue_Equations_CropResidue.VEERG_6_1_1_2__1a__FractionOfCropResidueRemoved_Variable" localSheetId="27">_xlfn.LAMBDA("FFOD_c")</definedName>
    <definedName name="AgResidue_Equations_CropResidue.VEERG_6_1_1_2__1a__FractionOfCropResidueRemoved_Variable">_xlfn.LAMBDA("FFOD_c")</definedName>
    <definedName name="AgResidue_Equations_CropResidue.VEERG_6_1_1_2__1a__FractionOfCropResidueRemoved_Variation" localSheetId="21">_xlfn.LAMBDA("VARIATION FROM SOURCE: Added this equation to accommodate user-defined residue removal other than baling.")</definedName>
    <definedName name="AgResidue_Equations_CropResidue.VEERG_6_1_1_2__1a__FractionOfCropResidueRemoved_Variation" localSheetId="22">_xlfn.LAMBDA("VARIATION FROM SOURCE: Added this equation to accommodate user-defined residue removal other than baling.")</definedName>
    <definedName name="AgResidue_Equations_CropResidue.VEERG_6_1_1_2__1a__FractionOfCropResidueRemoved_Variation" localSheetId="27">_xlfn.LAMBDA("VARIATION FROM SOURCE: Added this equation to accommodate user-defined residue removal other than baling.")</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 localSheetId="21">_xlfn.LAMBDA("VEERG_6_4_1_1__1__MethaneEmissionsFromBurningOfCropResidues")</definedName>
    <definedName name="AgResidue_Equations_FieldBurning.VEERG_6_4_1_1__1__MethaneEmissionsFromBurningOfCropResidues_FunctionName" localSheetId="22">_xlfn.LAMBDA("VEERG_6_4_1_1__1__MethaneEmissionsFromBurningOfCropResidues")</definedName>
    <definedName name="AgResidue_Equations_FieldBurning.VEERG_6_4_1_1__1__MethaneEmissionsFromBurningOfCropResidues_FunctionName" localSheetId="27">_xlfn.LAMBDA("VEERG_6_4_1_1__1__MethaneEmissionsFromBurningOfCropResidues")</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 localSheetId="21">_xlfn.LAMBDA("")</definedName>
    <definedName name="AgResidue_Equations_FieldBurning.VEERG_6_4_1_1__1__MethaneEmissionsFromBurningOfCropResidues_NIRReference" localSheetId="22">_xlfn.LAMBDA("")</definedName>
    <definedName name="AgResidue_Equations_FieldBurning.VEERG_6_4_1_1__1__MethaneEmissionsFromBurningOfCropResidues_NIRReference" localSheetId="27">_xlfn.LAMBDA("")</definedName>
    <definedName name="AgResidue_Equations_FieldBurning.VEERG_6_4_1_1__1__MethaneEmissionsFromBurningOfCropResidues_NIRReference">_xlfn.LAMBDA("")</definedName>
    <definedName name="AgResidue_Equations_FieldBurning.VEERG_6_4_1_1__1__MethaneEmissionsFromBurningOfCropResidues_Source" localSheetId="21">_xlfn.LAMBDA("VEERG 2026: 6.4.1.1, Equation (1)")</definedName>
    <definedName name="AgResidue_Equations_FieldBurning.VEERG_6_4_1_1__1__MethaneEmissionsFromBurningOfCropResidues_Source" localSheetId="22">_xlfn.LAMBDA("VEERG 2026: 6.4.1.1, Equation (1)")</definedName>
    <definedName name="AgResidue_Equations_FieldBurning.VEERG_6_4_1_1__1__MethaneEmissionsFromBurningOfCropResidues_Source" localSheetId="27">_xlfn.LAMBDA("VEERG 2026: 6.4.1.1, Equation (1)")</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 localSheetId="21">_xlfn.LAMBDA("Methane emissions from the burning of crop residues")</definedName>
    <definedName name="AgResidue_Equations_FieldBurning.VEERG_6_4_1_1__1__MethaneEmissionsFromBurningOfCropResidues_Title" localSheetId="22">_xlfn.LAMBDA("Methane emissions from the burning of crop residues")</definedName>
    <definedName name="AgResidue_Equations_FieldBurning.VEERG_6_4_1_1__1__MethaneEmissionsFromBurningOfCropResidues_Title" localSheetId="27">_xlfn.LAMBDA("Methane emissions from the burning of crop residues")</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 localSheetId="21">_xlfn.LAMBDA("t CH4")</definedName>
    <definedName name="AgResidue_Equations_FieldBurning.VEERG_6_4_1_1__1__MethaneEmissionsFromBurningOfCropResidues_Unit" localSheetId="22">_xlfn.LAMBDA("t CH4")</definedName>
    <definedName name="AgResidue_Equations_FieldBurning.VEERG_6_4_1_1__1__MethaneEmissionsFromBurningOfCropResidues_Unit" localSheetId="27">_xlfn.LAMBDA("t CH4")</definedName>
    <definedName name="AgResidue_Equations_FieldBurning.VEERG_6_4_1_1__1__MethaneEmissionsFromBurningOfCropResidues_Unit">_xlfn.LAMBDA("t CH4")</definedName>
    <definedName name="AgResidue_Equations_FieldBurning.VEERG_6_4_1_1__1__MethaneEmissionsFromBurningOfCropResidues_Variable" localSheetId="21">_xlfn.LAMBDA("ECH4")</definedName>
    <definedName name="AgResidue_Equations_FieldBurning.VEERG_6_4_1_1__1__MethaneEmissionsFromBurningOfCropResidues_Variable" localSheetId="22">_xlfn.LAMBDA("ECH4")</definedName>
    <definedName name="AgResidue_Equations_FieldBurning.VEERG_6_4_1_1__1__MethaneEmissionsFromBurningOfCropResidues_Variable" localSheetId="27">_xlfn.LAMBDA("ECH4")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 localSheetId="21">_xlfn.LAMBDA("VEERG_6_4_1_1__2__NitrousOxideEmissionsFromBurningOfCropResidues")</definedName>
    <definedName name="AgResidue_Equations_FieldBurning.VEERG_6_4_1_1__2__NitrousOxideEmissionsFromBurningOfCropResidues_FunctionName" localSheetId="22">_xlfn.LAMBDA("VEERG_6_4_1_1__2__NitrousOxideEmissionsFromBurningOfCropResidues")</definedName>
    <definedName name="AgResidue_Equations_FieldBurning.VEERG_6_4_1_1__2__NitrousOxideEmissionsFromBurningOfCropResidues_FunctionName" localSheetId="27">_xlfn.LAMBDA("VEERG_6_4_1_1__2__NitrousOxideEmissionsFromBurningOfCropResidues")</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 localSheetId="21">_xlfn.LAMBDA("")</definedName>
    <definedName name="AgResidue_Equations_FieldBurning.VEERG_6_4_1_1__2__NitrousOxideEmissionsFromBurningOfCropResidues_NIRReference" localSheetId="22">_xlfn.LAMBDA("")</definedName>
    <definedName name="AgResidue_Equations_FieldBurning.VEERG_6_4_1_1__2__NitrousOxideEmissionsFromBurningOfCropResidues_NIRReference" localSheetId="27">_xlfn.LAMBDA("")</definedName>
    <definedName name="AgResidue_Equations_FieldBurning.VEERG_6_4_1_1__2__NitrousOxideEmissionsFromBurningOfCropResidues_NIRReference">_xlfn.LAMBDA("")</definedName>
    <definedName name="AgResidue_Equations_FieldBurning.VEERG_6_4_1_1__2__NitrousOxideEmissionsFromBurningOfCropResidues_Source" localSheetId="21">_xlfn.LAMBDA("VEERG 2026: 6.4.1.1, Equation (2)")</definedName>
    <definedName name="AgResidue_Equations_FieldBurning.VEERG_6_4_1_1__2__NitrousOxideEmissionsFromBurningOfCropResidues_Source" localSheetId="22">_xlfn.LAMBDA("VEERG 2026: 6.4.1.1, Equation (2)")</definedName>
    <definedName name="AgResidue_Equations_FieldBurning.VEERG_6_4_1_1__2__NitrousOxideEmissionsFromBurningOfCropResidues_Source" localSheetId="27">_xlfn.LAMBDA("VEERG 2026: 6.4.1.1, Equation (2)")</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 localSheetId="21">_xlfn.LAMBDA("Nitrous oxide emissions from the burning of crop residues")</definedName>
    <definedName name="AgResidue_Equations_FieldBurning.VEERG_6_4_1_1__2__NitrousOxideEmissionsFromBurningOfCropResidues_Title" localSheetId="22">_xlfn.LAMBDA("Nitrous oxide emissions from the burning of crop residues")</definedName>
    <definedName name="AgResidue_Equations_FieldBurning.VEERG_6_4_1_1__2__NitrousOxideEmissionsFromBurningOfCropResidues_Title" localSheetId="27">_xlfn.LAMBDA("Nitrous oxide emissions from the burning of crop residues")</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 localSheetId="21">_xlfn.LAMBDA("t N2O")</definedName>
    <definedName name="AgResidue_Equations_FieldBurning.VEERG_6_4_1_1__2__NitrousOxideEmissionsFromBurningOfCropResidues_Unit" localSheetId="22">_xlfn.LAMBDA("t N2O")</definedName>
    <definedName name="AgResidue_Equations_FieldBurning.VEERG_6_4_1_1__2__NitrousOxideEmissionsFromBurningOfCropResidues_Unit" localSheetId="27">_xlfn.LAMBDA("t N2O")</definedName>
    <definedName name="AgResidue_Equations_FieldBurning.VEERG_6_4_1_1__2__NitrousOxideEmissionsFromBurningOfCropResidues_Unit">_xlfn.LAMBDA("t N2O")</definedName>
    <definedName name="AgResidue_Equations_FieldBurning.VEERG_6_4_1_1__2__NitrousOxideEmissionsFromBurningOfCropResidues_Variable" localSheetId="21">_xlfn.LAMBDA("EN2O")</definedName>
    <definedName name="AgResidue_Equations_FieldBurning.VEERG_6_4_1_1__2__NitrousOxideEmissionsFromBurningOfCropResidues_Variable" localSheetId="22">_xlfn.LAMBDA("EN2O")</definedName>
    <definedName name="AgResidue_Equations_FieldBurning.VEERG_6_4_1_1__2__NitrousOxideEmissionsFromBurningOfCropResidues_Variable" localSheetId="27">_xlfn.LAMBDA("EN2O")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 localSheetId="21">_xlfn.LAMBDA("VEERG_6_4_1_1__3__MassOfCropResidueBurnt")</definedName>
    <definedName name="AgResidue_Equations_FieldBurning.VEERG_6_4_1_1__3__MassOfCropResidueBurnt_FunctionName" localSheetId="22">_xlfn.LAMBDA("VEERG_6_4_1_1__3__MassOfCropResidueBurnt")</definedName>
    <definedName name="AgResidue_Equations_FieldBurning.VEERG_6_4_1_1__3__MassOfCropResidueBurnt_FunctionName" localSheetId="27">_xlfn.LAMBDA("VEERG_6_4_1_1__3__MassOfCropResidueBurnt")</definedName>
    <definedName name="AgResidue_Equations_FieldBurning.VEERG_6_4_1_1__3__MassOfCropResidueBurnt_FunctionName">_xlfn.LAMBDA("VEERG_6_4_1_1__3__MassOfCropResidueBurnt")</definedName>
    <definedName name="AgResidue_Equations_FieldBurning.VEERG_6_4_1_1__3__MassOfCropResidueBurnt_LatexEquation" localSheetId="21">_xlfn.LAMBDA("M_{burn,c}=P_{c}\times R_{AGc}\times S_{c}\times DM_{c}\times Z_{c}\times F_{c}")</definedName>
    <definedName name="AgResidue_Equations_FieldBurning.VEERG_6_4_1_1__3__MassOfCropResidueBurnt_LatexEquation" localSheetId="22">_xlfn.LAMBDA("M_{burn,c}=P_{c}\times R_{AGc}\times S_{c}\times DM_{c}\times Z_{c}\times F_{c}")</definedName>
    <definedName name="AgResidue_Equations_FieldBurning.VEERG_6_4_1_1__3__MassOfCropResidueBurnt_LatexEquation" localSheetId="27">_xlfn.LAMBDA("M_{burn,c}=P_{c}\times R_{AGc}\times S_{c}\times DM_{c}\times Z_{c}\times F_{c}")</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 localSheetId="21">_xlfn.LAMBDA("")</definedName>
    <definedName name="AgResidue_Equations_FieldBurning.VEERG_6_4_1_1__3__MassOfCropResidueBurnt_NIRReference" localSheetId="22">_xlfn.LAMBDA("")</definedName>
    <definedName name="AgResidue_Equations_FieldBurning.VEERG_6_4_1_1__3__MassOfCropResidueBurnt_NIRReference" localSheetId="27">_xlfn.LAMBDA("")</definedName>
    <definedName name="AgResidue_Equations_FieldBurning.VEERG_6_4_1_1__3__MassOfCropResidueBurnt_NIRReference">_xlfn.LAMBDA("")</definedName>
    <definedName name="AgResidue_Equations_FieldBurning.VEERG_6_4_1_1__3__MassOfCropResidueBurnt_Source" localSheetId="21">_xlfn.LAMBDA("VEERG 2026: 6.4.1.1, Equation (3)")</definedName>
    <definedName name="AgResidue_Equations_FieldBurning.VEERG_6_4_1_1__3__MassOfCropResidueBurnt_Source" localSheetId="22">_xlfn.LAMBDA("VEERG 2026: 6.4.1.1, Equation (3)")</definedName>
    <definedName name="AgResidue_Equations_FieldBurning.VEERG_6_4_1_1__3__MassOfCropResidueBurnt_Source" localSheetId="27">_xlfn.LAMBDA("VEERG 2026: 6.4.1.1, Equation (3)")</definedName>
    <definedName name="AgResidue_Equations_FieldBurning.VEERG_6_4_1_1__3__MassOfCropResidueBurnt_Source">_xlfn.LAMBDA("VEERG 2026: 6.4.1.1, Equation (3)")</definedName>
    <definedName name="AgResidue_Equations_FieldBurning.VEERG_6_4_1_1__3__MassOfCropResidueBurnt_Title" localSheetId="21">_xlfn.LAMBDA("Mass of residue of crop c burnt")</definedName>
    <definedName name="AgResidue_Equations_FieldBurning.VEERG_6_4_1_1__3__MassOfCropResidueBurnt_Title" localSheetId="22">_xlfn.LAMBDA("Mass of residue of crop c burnt")</definedName>
    <definedName name="AgResidue_Equations_FieldBurning.VEERG_6_4_1_1__3__MassOfCropResidueBurnt_Title" localSheetId="27">_xlfn.LAMBDA("Mass of residue of crop c burnt")</definedName>
    <definedName name="AgResidue_Equations_FieldBurning.VEERG_6_4_1_1__3__MassOfCropResidueBurnt_Title">_xlfn.LAMBDA("Mass of residue of crop c burnt")</definedName>
    <definedName name="AgResidue_Equations_FieldBurning.VEERG_6_4_1_1__3__MassOfCropResidueBurnt_Unit" localSheetId="21">_xlfn.LAMBDA("kg")</definedName>
    <definedName name="AgResidue_Equations_FieldBurning.VEERG_6_4_1_1__3__MassOfCropResidueBurnt_Unit" localSheetId="22">_xlfn.LAMBDA("kg")</definedName>
    <definedName name="AgResidue_Equations_FieldBurning.VEERG_6_4_1_1__3__MassOfCropResidueBurnt_Unit" localSheetId="27">_xlfn.LAMBDA("kg")</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_xlfn.LAMBDA("M_burnc")</definedName>
    <definedName name="AgResidue_Equations_Leaching.VEERG_6_3_1_1__1__LeachingAndRunoffEmissionsCropAndPastureResidue" localSheetId="21">_xlfn.LAMBDA(_xlpm.M_leachcp,_xlpm.EF_leach,_xlpm.C_N2O, (_xlpm.M_leachcp * _xlpm.EF_leach) * _xlpm.C_N2O * 10 ^ (-3))</definedName>
    <definedName name="AgResidue_Equations_Leaching.VEERG_6_3_1_1__1__LeachingAndRunoffEmissionsCropAndPastureResidue" localSheetId="22">_xlfn.LAMBDA(_xlpm.M_leachcp,_xlpm.EF_leach,_xlpm.C_N2O, (_xlpm.M_leachcp * _xlpm.EF_leach) * _xlpm.C_N2O * 10 ^ (-3))</definedName>
    <definedName name="AgResidue_Equations_Leaching.VEERG_6_3_1_1__1__LeachingAndRunoffEmissionsCropAndPastureResidue" localSheetId="27">_xlfn.LAMBDA(_xlpm.M_leachcp,_xlpm.EF_leach,_xlpm.C_N2O, (_xlpm.M_leachcp * _xlpm.EF_leach) * _xlpm.C_N2O * 10 ^ (-3))</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 localSheetId="21">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22">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 localSheetId="27">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 localSheetId="21">_xlfn.LAMBDA("E_{N2O}=\sum\nolimits_c\sum\nolimits_p(M_{leach,cp}\times EF_{leach}\times C_{N2O}\times 10^{-3})")</definedName>
    <definedName name="AgResidue_Equations_Leaching.VEERG_6_3_1_1__1__LeachingAndRunoffEmissionsCropAndPastureResidue_LatexEquation" localSheetId="22">_xlfn.LAMBDA("E_{N2O}=\sum\nolimits_c\sum\nolimits_p(M_{leach,cp}\times EF_{leach}\times C_{N2O}\times 10^{-3})")</definedName>
    <definedName name="AgResidue_Equations_Leaching.VEERG_6_3_1_1__1__LeachingAndRunoffEmissionsCropAndPastureResidue_LatexEquation" localSheetId="27">_xlfn.LAMBDA("E_{N2O}=\sum\nolimits_c\sum\nolimits_p(M_{leach,cp}\times EF_{leach}\times C_{N2O}\times 10^{-3})")</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 localSheetId="21">_xlfn.LAMBDA("")</definedName>
    <definedName name="AgResidue_Equations_Leaching.VEERG_6_3_1_1__1__LeachingAndRunoffEmissionsCropAndPastureResidue_NIRReference" localSheetId="22">_xlfn.LAMBDA("")</definedName>
    <definedName name="AgResidue_Equations_Leaching.VEERG_6_3_1_1__1__LeachingAndRunoffEmissionsCropAndPastureResidue_NIRReference" localSheetId="27">_xlfn.LAMBDA("")</definedName>
    <definedName name="AgResidue_Equations_Leaching.VEERG_6_3_1_1__1__LeachingAndRunoffEmissionsCropAndPastureResidue_NIRReference">_xlfn.LAMBDA("")</definedName>
    <definedName name="AgResidue_Equations_Leaching.VEERG_6_3_1_1__1__LeachingAndRunoffEmissionsCropAndPastureResidue_Source" localSheetId="21">_xlfn.LAMBDA("VEERG 2026: 6.3.1.1, Equation (1)")</definedName>
    <definedName name="AgResidue_Equations_Leaching.VEERG_6_3_1_1__1__LeachingAndRunoffEmissionsCropAndPastureResidue_Source" localSheetId="22">_xlfn.LAMBDA("VEERG 2026: 6.3.1.1, Equation (1)")</definedName>
    <definedName name="AgResidue_Equations_Leaching.VEERG_6_3_1_1__1__LeachingAndRunoffEmissionsCropAndPastureResidue_Source" localSheetId="27">_xlfn.LAMBDA("VEERG 2026: 6.3.1.1, Equation (1)")</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 localSheetId="21">_xlfn.LAMBDA("Nitrous oxide leaching and runoff emissions from crop and pasture residues returned to the soil")</definedName>
    <definedName name="AgResidue_Equations_Leaching.VEERG_6_3_1_1__1__LeachingAndRunoffEmissionsCropAndPastureResidue_Title" localSheetId="22">_xlfn.LAMBDA("Nitrous oxide leaching and runoff emissions from crop and pasture residues returned to the soil")</definedName>
    <definedName name="AgResidue_Equations_Leaching.VEERG_6_3_1_1__1__LeachingAndRunoffEmissionsCropAndPastureResidue_Title" localSheetId="27">_xlfn.LAMBDA("Nitrous oxide leaching and runoff emissions from crop and pasture residues returned to the soil")</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 localSheetId="21">_xlfn.LAMBDA("t N2O")</definedName>
    <definedName name="AgResidue_Equations_Leaching.VEERG_6_3_1_1__1__LeachingAndRunoffEmissionsCropAndPastureResidue_Unit" localSheetId="22">_xlfn.LAMBDA("t N2O")</definedName>
    <definedName name="AgResidue_Equations_Leaching.VEERG_6_3_1_1__1__LeachingAndRunoffEmissionsCropAndPastureResidue_Unit" localSheetId="27">_xlfn.LAMBDA("t N2O")</definedName>
    <definedName name="AgResidue_Equations_Leaching.VEERG_6_3_1_1__1__LeachingAndRunoffEmissionsCropAndPastureResidue_Unit">_xlfn.LAMBDA("t N2O")</definedName>
    <definedName name="AgResidue_Equations_Leaching.VEERG_6_3_1_1__1__LeachingAndRunoffEmissionsCropAndPastureResidue_Variable" localSheetId="21">_xlfn.LAMBDA("EN2O")</definedName>
    <definedName name="AgResidue_Equations_Leaching.VEERG_6_3_1_1__1__LeachingAndRunoffEmissionsCropAndPastureResidue_Variable" localSheetId="22">_xlfn.LAMBDA("EN2O")</definedName>
    <definedName name="AgResidue_Equations_Leaching.VEERG_6_3_1_1__1__LeachingAndRunoffEmissionsCropAndPastureResidue_Variable" localSheetId="27">_xlfn.LAMBDA("EN2O")</definedName>
    <definedName name="AgResidue_Equations_Leaching.VEERG_6_3_1_1__1__LeachingAndRunoffEmissionsCropAndPastureResidue_Variable">_xlfn.LAMBDA("EN2O")</definedName>
    <definedName name="AgResidue_Equations_Leaching.VEERG_6_3_1_1__2__MassOfNitrogenLostThroughLeachingAndRunoff" localSheetId="21">_xlfn.LAMBDA(_xlpm.M_cp,_xlpm.FracWET_j,_xlpm.FracLEACH, _xlpm.M_cp * _xlpm.FracWET_j * _xlpm.FracLEACH)</definedName>
    <definedName name="AgResidue_Equations_Leaching.VEERG_6_3_1_1__2__MassOfNitrogenLostThroughLeachingAndRunoff" localSheetId="22">_xlfn.LAMBDA(_xlpm.M_cp,_xlpm.FracWET_j,_xlpm.FracLEACH, _xlpm.M_cp * _xlpm.FracWET_j * _xlpm.FracLEACH)</definedName>
    <definedName name="AgResidue_Equations_Leaching.VEERG_6_3_1_1__2__MassOfNitrogenLostThroughLeachingAndRunoff" localSheetId="27">_xlfn.LAMBDA(_xlpm.M_cp,_xlpm.FracWET_j,_xlpm.FracLEACH, _xlpm.M_cp * _xlpm.FracWET_j * _xlpm.FracLEACH)</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 localSheetId="21">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22">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 localSheetId="27">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 localSheetId="21">_xlfn.LAMBDA("M_{leach,cp}=M_{cp}\times FracWET_{j}\times FracLEACH")</definedName>
    <definedName name="AgResidue_Equations_Leaching.VEERG_6_3_1_1__2__MassOfNitrogenLostThroughLeachingAndRunoff_LatexEquation" localSheetId="22">_xlfn.LAMBDA("M_{leach,cp}=M_{cp}\times FracWET_{j}\times FracLEACH")</definedName>
    <definedName name="AgResidue_Equations_Leaching.VEERG_6_3_1_1__2__MassOfNitrogenLostThroughLeachingAndRunoff_LatexEquation" localSheetId="27">_xlfn.LAMBDA("M_{leach,cp}=M_{cp}\times FracWET_{j}\times FracLEACH")</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 localSheetId="21">_xlfn.LAMBDA("")</definedName>
    <definedName name="AgResidue_Equations_Leaching.VEERG_6_3_1_1__2__MassOfNitrogenLostThroughLeachingAndRunoff_NIRReference" localSheetId="22">_xlfn.LAMBDA("")</definedName>
    <definedName name="AgResidue_Equations_Leaching.VEERG_6_3_1_1__2__MassOfNitrogenLostThroughLeachingAndRunoff_NIRReference" localSheetId="27">_xlfn.LAMBDA("")</definedName>
    <definedName name="AgResidue_Equations_Leaching.VEERG_6_3_1_1__2__MassOfNitrogenLostThroughLeachingAndRunoff_NIRReference">_xlfn.LAMBDA("")</definedName>
    <definedName name="AgResidue_Equations_Leaching.VEERG_6_3_1_1__2__MassOfNitrogenLostThroughLeachingAndRunoff_Source" localSheetId="21">_xlfn.LAMBDA("VEERG 2026: 6.3.1.1, Equation (2)")</definedName>
    <definedName name="AgResidue_Equations_Leaching.VEERG_6_3_1_1__2__MassOfNitrogenLostThroughLeachingAndRunoff_Source" localSheetId="22">_xlfn.LAMBDA("VEERG 2026: 6.3.1.1, Equation (2)")</definedName>
    <definedName name="AgResidue_Equations_Leaching.VEERG_6_3_1_1__2__MassOfNitrogenLostThroughLeachingAndRunoff_Source" localSheetId="27">_xlfn.LAMBDA("VEERG 2026: 6.3.1.1, Equation (2)")</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 localSheetId="21">_xlfn.LAMBDA("Mass of nitrogen lost through leaching and runoff")</definedName>
    <definedName name="AgResidue_Equations_Leaching.VEERG_6_3_1_1__2__MassOfNitrogenLostThroughLeachingAndRunoff_Title" localSheetId="22">_xlfn.LAMBDA("Mass of nitrogen lost through leaching and runoff")</definedName>
    <definedName name="AgResidue_Equations_Leaching.VEERG_6_3_1_1__2__MassOfNitrogenLostThroughLeachingAndRunoff_Title" localSheetId="27">_xlfn.LAMBDA("Mass of nitrogen lost through leaching and runoff")</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 localSheetId="21">_xlfn.LAMBDA("kg N")</definedName>
    <definedName name="AgResidue_Equations_Leaching.VEERG_6_3_1_1__2__MassOfNitrogenLostThroughLeachingAndRunoff_Unit" localSheetId="22">_xlfn.LAMBDA("kg N")</definedName>
    <definedName name="AgResidue_Equations_Leaching.VEERG_6_3_1_1__2__MassOfNitrogenLostThroughLeachingAndRunoff_Unit" localSheetId="27">_xlfn.LAMBDA("kg N")</definedName>
    <definedName name="AgResidue_Equations_Leaching.VEERG_6_3_1_1__2__MassOfNitrogenLostThroughLeachingAndRunoff_Unit">_xlfn.LAMBDA("kg N")</definedName>
    <definedName name="AgResidue_Equations_Leaching.VEERG_6_3_1_1__2__MassOfNitrogenLostThroughLeachingAndRunoff_Variable" localSheetId="21">_xlfn.LAMBDA("M_leachcp")</definedName>
    <definedName name="AgResidue_Equations_Leaching.VEERG_6_3_1_1__2__MassOfNitrogenLostThroughLeachingAndRunoff_Variable" localSheetId="22">_xlfn.LAMBDA("M_leachcp")</definedName>
    <definedName name="AgResidue_Equations_Leaching.VEERG_6_3_1_1__2__MassOfNitrogenLostThroughLeachingAndRunoff_Variable" localSheetId="27">_xlfn.LAMBDA("M_leachcp")</definedName>
    <definedName name="AgResidue_Equations_Leaching.VEERG_6_3_1_1__2__MassOfNitrogenLostThroughLeachingAndRunoff_Variable">_xlfn.LAMBDA("M_leachcp")</definedName>
    <definedName name="AgResidue_Equations_Leaching.VEERG_6_3_1_1__2__MassOfNitrogenLostThroughLeachingAndRunoff_Variation" localSheetId="21">_xlfn.LAMBDA("")</definedName>
    <definedName name="AgResidue_Equations_Leaching.VEERG_6_3_1_1__2__MassOfNitrogenLostThroughLeachingAndRunoff_Variation" localSheetId="22">_xlfn.LAMBDA("")</definedName>
    <definedName name="AgResidue_Equations_Leaching.VEERG_6_3_1_1__2__MassOfNitrogenLostThroughLeachingAndRunoff_Variation" localSheetId="27">_xlfn.LAMBDA("")</definedName>
    <definedName name="AgResidue_Equations_Leaching.VEERG_6_3_1_1__2__MassOfNitrogenLostThroughLeachingAndRunoff_Variation">_xlfn.LAMBDA("")</definedName>
    <definedName name="AgResidue_Equations_PastureResidue.VEERG_6_2_1_1__1__NitrousOxideEmissionsFromPastureResidues" localSheetId="21">_xlfn.LAMBDA(_xlpm.M_p,_xlpm.EF_Ni,_xlpm.C_N2O, (_xlpm.M_p * _xlpm.EF_Ni) * _xlpm.C_N2O * 10 ^ (-3))</definedName>
    <definedName name="AgResidue_Equations_PastureResidue.VEERG_6_2_1_1__1__NitrousOxideEmissionsFromPastureResidues" localSheetId="22">_xlfn.LAMBDA(_xlpm.M_p,_xlpm.EF_Ni,_xlpm.C_N2O, (_xlpm.M_p * _xlpm.EF_Ni) * _xlpm.C_N2O * 10 ^ (-3))</definedName>
    <definedName name="AgResidue_Equations_PastureResidue.VEERG_6_2_1_1__1__NitrousOxideEmissionsFromPastureResidues" localSheetId="27">_xlfn.LAMBDA(_xlpm.M_p,_xlpm.EF_Ni,_xlpm.C_N2O, (_xlpm.M_p * _xlpm.EF_Ni) * _xlpm.C_N2O * 10 ^ (-3))</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 localSheetId="21">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22">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 localSheetId="27">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 localSheetId="21">_xlfn.LAMBDA("E_{N2O}=\sum\nolimits_p\left(M_p\times EF_{Ni}\right)\times C_{N2O}\times{10}^{-3}")</definedName>
    <definedName name="AgResidue_Equations_PastureResidue.VEERG_6_2_1_1__1__NitrousOxideEmissionsFromPastureResidues_LatexEquation" localSheetId="22">_xlfn.LAMBDA("E_{N2O}=\sum\nolimits_p\left(M_p\times EF_{Ni}\right)\times C_{N2O}\times{10}^{-3}")</definedName>
    <definedName name="AgResidue_Equations_PastureResidue.VEERG_6_2_1_1__1__NitrousOxideEmissionsFromPastureResidues_LatexEquation" localSheetId="27">_xlfn.LAMBDA("E_{N2O}=\sum\nolimits_p\left(M_p\times EF_{Ni}\right)\times C_{N2O}\times{10}^{-3}")</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 localSheetId="21">_xlfn.LAMBDA("")</definedName>
    <definedName name="AgResidue_Equations_PastureResidue.VEERG_6_2_1_1__1__NitrousOxideEmissionsFromPastureResidues_NIRReference" localSheetId="22">_xlfn.LAMBDA("")</definedName>
    <definedName name="AgResidue_Equations_PastureResidue.VEERG_6_2_1_1__1__NitrousOxideEmissionsFromPastureResidues_NIRReference" localSheetId="27">_xlfn.LAMBDA("")</definedName>
    <definedName name="AgResidue_Equations_PastureResidue.VEERG_6_2_1_1__1__NitrousOxideEmissionsFromPastureResidues_NIRReference">_xlfn.LAMBDA("")</definedName>
    <definedName name="AgResidue_Equations_PastureResidue.VEERG_6_2_1_1__1__NitrousOxideEmissionsFromPastureResidues_Source" localSheetId="21">_xlfn.LAMBDA("VEERG 2026: 6.2.1.1, Equation (1)")</definedName>
    <definedName name="AgResidue_Equations_PastureResidue.VEERG_6_2_1_1__1__NitrousOxideEmissionsFromPastureResidues_Source" localSheetId="22">_xlfn.LAMBDA("VEERG 2026: 6.2.1.1, Equation (1)")</definedName>
    <definedName name="AgResidue_Equations_PastureResidue.VEERG_6_2_1_1__1__NitrousOxideEmissionsFromPastureResidues_Source" localSheetId="27">_xlfn.LAMBDA("VEERG 2026: 6.2.1.1, Equation (1)")</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 localSheetId="21">_xlfn.LAMBDA("Nitrous oxide emissions from the return of pasture residues from all pasture types to the soil")</definedName>
    <definedName name="AgResidue_Equations_PastureResidue.VEERG_6_2_1_1__1__NitrousOxideEmissionsFromPastureResidues_Title" localSheetId="22">_xlfn.LAMBDA("Nitrous oxide emissions from the return of pasture residues from all pasture types to the soil")</definedName>
    <definedName name="AgResidue_Equations_PastureResidue.VEERG_6_2_1_1__1__NitrousOxideEmissionsFromPastureResidues_Title" localSheetId="27">_xlfn.LAMBDA("Nitrous oxide emissions from the return of pasture residues from all pasture types to the soil")</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 localSheetId="21">_xlfn.LAMBDA("t N2O")</definedName>
    <definedName name="AgResidue_Equations_PastureResidue.VEERG_6_2_1_1__1__NitrousOxideEmissionsFromPastureResidues_Unit" localSheetId="22">_xlfn.LAMBDA("t N2O")</definedName>
    <definedName name="AgResidue_Equations_PastureResidue.VEERG_6_2_1_1__1__NitrousOxideEmissionsFromPastureResidues_Unit" localSheetId="27">_xlfn.LAMBDA("t N2O")</definedName>
    <definedName name="AgResidue_Equations_PastureResidue.VEERG_6_2_1_1__1__NitrousOxideEmissionsFromPastureResidues_Unit">_xlfn.LAMBDA("t N2O")</definedName>
    <definedName name="AgResidue_Equations_PastureResidue.VEERG_6_2_1_1__1__NitrousOxideEmissionsFromPastureResidues_Variable" localSheetId="21">_xlfn.LAMBDA("EN2O")</definedName>
    <definedName name="AgResidue_Equations_PastureResidue.VEERG_6_2_1_1__1__NitrousOxideEmissionsFromPastureResidues_Variable" localSheetId="22">_xlfn.LAMBDA("EN2O")</definedName>
    <definedName name="AgResidue_Equations_PastureResidue.VEERG_6_2_1_1__1__NitrousOxideEmissionsFromPastureResidues_Variable" localSheetId="27">_xlfn.LAMBDA("EN2O")</definedName>
    <definedName name="AgResidue_Equations_PastureResidue.VEERG_6_2_1_1__1__NitrousOxideEmissionsFromPastureResidues_Variable">_xlfn.LAMBDA("EN2O")</definedName>
    <definedName name="AgResidue_Equations_PastureResidue.VEERG_6_2_1_1__2__MassOfNitrogenInPastureResidues" localSheetId="21">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22">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 localSheetId="27">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 localSheetId="21">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22">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 localSheetId="27">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21">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2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 localSheetId="27">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 localSheetId="21">_xlfn.LAMBDA("M_p = (A_p \times (Y_p \times 10^{-3}) \times (1- FFOD_p) \times NC_{AGp}) + (A_p \times (Y_p \times 10^{-3})\times R_{BGp} \times NC_{BGp})")</definedName>
    <definedName name="AgResidue_Equations_PastureResidue.VEERG_6_2_1_1__2__MassOfNitrogenInPastureResidues_LatexEquation" localSheetId="22">_xlfn.LAMBDA("M_p = (A_p \times (Y_p \times 10^{-3}) \times (1- FFOD_p) \times NC_{AGp}) + (A_p \times (Y_p \times 10^{-3})\times R_{BGp} \times NC_{BGp})")</definedName>
    <definedName name="AgResidue_Equations_PastureResidue.VEERG_6_2_1_1__2__MassOfNitrogenInPastureResidues_LatexEquation" localSheetId="27">_xlfn.LAMBDA("M_p = (A_p \times (Y_p \times 10^{-3}) \times (1- FFOD_p) \times NC_{AGp}) + (A_p \times (Y_p \times 10^{-3})\times R_{BGp} \times NC_{BGp})")</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 localSheetId="21">_xlfn.LAMBDA("")</definedName>
    <definedName name="AgResidue_Equations_PastureResidue.VEERG_6_2_1_1__2__MassOfNitrogenInPastureResidues_NIRReference" localSheetId="22">_xlfn.LAMBDA("")</definedName>
    <definedName name="AgResidue_Equations_PastureResidue.VEERG_6_2_1_1__2__MassOfNitrogenInPastureResidues_NIRReference" localSheetId="27">_xlfn.LAMBDA("")</definedName>
    <definedName name="AgResidue_Equations_PastureResidue.VEERG_6_2_1_1__2__MassOfNitrogenInPastureResidues_NIRReference">_xlfn.LAMBDA("")</definedName>
    <definedName name="AgResidue_Equations_PastureResidue.VEERG_6_2_1_1__2__MassOfNitrogenInPastureResidues_Source" localSheetId="21">_xlfn.LAMBDA("VEERG 2026: 6.2.1.1, Equation (2)")</definedName>
    <definedName name="AgResidue_Equations_PastureResidue.VEERG_6_2_1_1__2__MassOfNitrogenInPastureResidues_Source" localSheetId="22">_xlfn.LAMBDA("VEERG 2026: 6.2.1.1, Equation (2)")</definedName>
    <definedName name="AgResidue_Equations_PastureResidue.VEERG_6_2_1_1__2__MassOfNitrogenInPastureResidues_Source" localSheetId="27">_xlfn.LAMBDA("VEERG 2026: 6.2.1.1, Equation (2)")</definedName>
    <definedName name="AgResidue_Equations_PastureResidue.VEERG_6_2_1_1__2__MassOfNitrogenInPastureResidues_Source">_xlfn.LAMBDA("VEERG 2026: 6.2.1.1, Equation (2)")</definedName>
    <definedName name="AgResidue_Equations_PastureResidue.VEERG_6_2_1_1__2__MassOfNitrogenInPastureResidues_Title" localSheetId="21">_xlfn.LAMBDA("Mass of nitrogen in pasture residues returned to the soil")</definedName>
    <definedName name="AgResidue_Equations_PastureResidue.VEERG_6_2_1_1__2__MassOfNitrogenInPastureResidues_Title" localSheetId="22">_xlfn.LAMBDA("Mass of nitrogen in pasture residues returned to the soil")</definedName>
    <definedName name="AgResidue_Equations_PastureResidue.VEERG_6_2_1_1__2__MassOfNitrogenInPastureResidues_Title" localSheetId="27">_xlfn.LAMBDA("Mass of nitrogen in pasture residues returned to the soil")</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 localSheetId="21">_xlfn.LAMBDA("kg N")</definedName>
    <definedName name="AgResidue_Equations_PastureResidue.VEERG_6_2_1_1__2__MassOfNitrogenInPastureResidues_Unit" localSheetId="22">_xlfn.LAMBDA("kg N")</definedName>
    <definedName name="AgResidue_Equations_PastureResidue.VEERG_6_2_1_1__2__MassOfNitrogenInPastureResidues_Unit" localSheetId="27">_xlfn.LAMBDA("kg N")</definedName>
    <definedName name="AgResidue_Equations_PastureResidue.VEERG_6_2_1_1__2__MassOfNitrogenInPastureResidues_Unit">_xlfn.LAMBDA("kg N")</definedName>
    <definedName name="AgResidue_Equations_PastureResidue.VEERG_6_2_1_1__2__MassOfNitrogenInPastureResidues_Variable" localSheetId="21">_xlfn.LAMBDA("Mp")</definedName>
    <definedName name="AgResidue_Equations_PastureResidue.VEERG_6_2_1_1__2__MassOfNitrogenInPastureResidues_Variable" localSheetId="22">_xlfn.LAMBDA("Mp")</definedName>
    <definedName name="AgResidue_Equations_PastureResidue.VEERG_6_2_1_1__2__MassOfNitrogenInPastureResidues_Variable" localSheetId="27">_xlfn.LAMBDA("Mp")</definedName>
    <definedName name="AgResidue_Equations_PastureResidue.VEERG_6_2_1_1__2__MassOfNitrogenInPastureResidues_Variable">_xlfn.LAMBDA("Mp")</definedName>
    <definedName name="Agresidue_SourceData.BurningOfAgriculturalResiduesEFs_Data" localSheetId="2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2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 localSheetId="27">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 localSheetId="21">_xlfn.LAMBDA(("Burning of agricultural residues - EFs"))</definedName>
    <definedName name="Agresidue_SourceData.BurningOfAgriculturalResiduesEFs_Description" localSheetId="22">_xlfn.LAMBDA(("Burning of agricultural residues - EFs"))</definedName>
    <definedName name="Agresidue_SourceData.BurningOfAgriculturalResiduesEFs_Description" localSheetId="27">_xlfn.LAMBDA(("Burning of agricultural residues - EFs"))</definedName>
    <definedName name="Agresidue_SourceData.BurningOfAgriculturalResiduesEFs_Description">_xlfn.LAMBDA(("Burning of agricultural residues - EFs"))</definedName>
    <definedName name="Agresidue_SourceData.BurningOfAgriculturalResiduesEFs_Source" localSheetId="21">_xlfn.LAMBDA(("National Inventory Report 2023 volume 2: Table 5.31: Burning of agricultural residues - EFs"))</definedName>
    <definedName name="Agresidue_SourceData.BurningOfAgriculturalResiduesEFs_Source" localSheetId="22">_xlfn.LAMBDA(("National Inventory Report 2023 volume 2: Table 5.31: Burning of agricultural residues - EFs"))</definedName>
    <definedName name="Agresidue_SourceData.BurningOfAgriculturalResiduesEFs_Source" localSheetId="27">_xlfn.LAMBDA(("National Inventory Report 2023 volume 2: Table 5.31: 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 localSheetId="21">_xlfn.LAMBDA(("Table 5.31 Burning of agricultural residues - EFs"))</definedName>
    <definedName name="Agresidue_SourceData.BurningOfAgriculturalResiduesEFs_Title" localSheetId="22">_xlfn.LAMBDA(("Table 5.31 Burning of agricultural residues - EFs"))</definedName>
    <definedName name="Agresidue_SourceData.BurningOfAgriculturalResiduesEFs_Title" localSheetId="27">_xlfn.LAMBDA(("Table 5.31 Burning of agricultural residues - EFs"))</definedName>
    <definedName name="Agresidue_SourceData.BurningOfAgriculturalResiduesEFs_Title">_xlfn.LAMBDA(("Table 5.31 Burning of agricultural residues - EFs"))</definedName>
    <definedName name="Agresidue_SourceData.CropAttributes_Data" localSheetId="21">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22">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 localSheetId="27">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 localSheetId="21">_xlfn.LAMBDA(("Crop attributes"))</definedName>
    <definedName name="Agresidue_SourceData.CropAttributes_Description" localSheetId="22">_xlfn.LAMBDA(("Crop attributes"))</definedName>
    <definedName name="Agresidue_SourceData.CropAttributes_Description" localSheetId="27">_xlfn.LAMBDA(("Crop attributes"))</definedName>
    <definedName name="Agresidue_SourceData.CropAttributes_Description">_xlfn.LAMBDA(("Crop attributes"))</definedName>
    <definedName name="Agresidue_SourceData.CropAttributes_Source" localSheetId="21">_xlfn.LAMBDA(("VEERG 2026: Table A.2.1.1: Crop attributes"))</definedName>
    <definedName name="Agresidue_SourceData.CropAttributes_Source" localSheetId="22">_xlfn.LAMBDA(("VEERG 2026: Table A.2.1.1: Crop attributes"))</definedName>
    <definedName name="Agresidue_SourceData.CropAttributes_Source" localSheetId="27">_xlfn.LAMBDA(("VEERG 2026: Table A.2.1.1: Crop attributes"))</definedName>
    <definedName name="Agresidue_SourceData.CropAttributes_Source">_xlfn.LAMBDA(("VEERG 2026: Table A.2.1.1: Crop attributes"))</definedName>
    <definedName name="Agresidue_SourceData.CropAttributes_Title" localSheetId="21">_xlfn.LAMBDA(("Table A.2.1.1: Crop attributes"))</definedName>
    <definedName name="Agresidue_SourceData.CropAttributes_Title" localSheetId="22">_xlfn.LAMBDA(("Table A.2.1.1: Crop attributes"))</definedName>
    <definedName name="Agresidue_SourceData.CropAttributes_Title" localSheetId="27">_xlfn.LAMBDA(("Table A.2.1.1: Crop attributes"))</definedName>
    <definedName name="Agresidue_SourceData.CropAttributes_Title">_xlfn.LAMBDA(("Table A.2.1.1: Crop attributes"))</definedName>
    <definedName name="Agresidue_SourceData.CropAttributes_Variation" localSheetId="21">_xlfn.LAMBDA(("VARIATION FROM SOURCE: 'N/A' values passed as zero for calculations."))</definedName>
    <definedName name="Agresidue_SourceData.CropAttributes_Variation" localSheetId="22">_xlfn.LAMBDA(("VARIATION FROM SOURCE: 'N/A' values passed as zero for calculations."))</definedName>
    <definedName name="Agresidue_SourceData.CropAttributes_Variation" localSheetId="27">_xlfn.LAMBDA(("VARIATION FROM SOURCE: 'N/A' values passed as zero for calculations."))</definedName>
    <definedName name="Agresidue_SourceData.CropAttributes_Variation">_xlfn.LAMBDA(("VARIATION FROM SOURCE: 'N/A' values passed as zero for calculations."))</definedName>
    <definedName name="Agresidue_SourceData.CropFractionRemoved_CustomisedData" localSheetId="21">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22">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 localSheetId="27">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 localSheetId="21">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22">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 localSheetId="27">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 localSheetId="21">_xlfn.LAMBDA(("Crop attributes - Fraction removed (FFODc)"))</definedName>
    <definedName name="Agresidue_SourceData.CropFractionRemoved_Description" localSheetId="22">_xlfn.LAMBDA(("Crop attributes - Fraction removed (FFODc)"))</definedName>
    <definedName name="Agresidue_SourceData.CropFractionRemoved_Description" localSheetId="27">_xlfn.LAMBDA(("Crop attributes - Fraction removed (FFODc)"))</definedName>
    <definedName name="Agresidue_SourceData.CropFractionRemoved_Description">_xlfn.LAMBDA(("Crop attributes - Fraction removed (FFODc)"))</definedName>
    <definedName name="Agresidue_SourceData.CropFractionRemoved_Source" localSheetId="21">_xlfn.LAMBDA(("VEERG 2026: Table A.2.1.2: Crop attributes - Fraction removed (FFODc)"))</definedName>
    <definedName name="Agresidue_SourceData.CropFractionRemoved_Source" localSheetId="22">_xlfn.LAMBDA(("VEERG 2026: Table A.2.1.2: Crop attributes - Fraction removed (FFODc)"))</definedName>
    <definedName name="Agresidue_SourceData.CropFractionRemoved_Source" localSheetId="27">_xlfn.LAMBDA(("VEERG 2026: Table A.2.1.2: Crop attributes - Fraction removed (FFODc)"))</definedName>
    <definedName name="Agresidue_SourceData.CropFractionRemoved_Source">_xlfn.LAMBDA(("VEERG 2026: Table A.2.1.2: Crop attributes - Fraction removed (FFODc)"))</definedName>
    <definedName name="Agresidue_SourceData.CropFractionRemoved_Title" localSheetId="21">_xlfn.LAMBDA(("Table A.2.1.2: Crop attributes - Fraction removed (FFODc)"))</definedName>
    <definedName name="Agresidue_SourceData.CropFractionRemoved_Title" localSheetId="22">_xlfn.LAMBDA(("Table A.2.1.2: Crop attributes - Fraction removed (FFODc)"))</definedName>
    <definedName name="Agresidue_SourceData.CropFractionRemoved_Title" localSheetId="27">_xlfn.LAMBDA(("Table A.2.1.2: Crop attributes - Fraction removed (FFODc)"))</definedName>
    <definedName name="Agresidue_SourceData.CropFractionRemoved_Title">_xlfn.LAMBDA(("Table A.2.1.2: Crop attributes - Fraction removed (FFODc)"))</definedName>
    <definedName name="Agresidue_SourceData.CropFractionRemoved_Variation" localSheetId="21">_xlfn.LAMBDA(("VARIATION OF SOURCE DATA: Split 'All other crop types' into individual crop types for each state. Listed all states for Sugar Cane, with 'N/A' for states where it is not grown."))</definedName>
    <definedName name="Agresidue_SourceData.CropFractionRemoved_Variation" localSheetId="22">_xlfn.LAMBDA(("VARIATION OF SOURCE DATA: Split 'All other crop types' into individual crop types for each state. Listed all states for Sugar Cane, with 'N/A' for states where it is not grown."))</definedName>
    <definedName name="Agresidue_SourceData.CropFractionRemoved_Variation" localSheetId="27">_xlfn.LAMBDA(("VARIATION OF SOURCE DATA: Split 'All other crop types' into individual crop types for each state. Listed all states for Sugar Cane, with 'N/A' for states where it is not grown."))</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 localSheetId="21">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22">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 localSheetId="27">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 localSheetId="21">_xlfn.LAMBDA(("Crop purpose and yield"))</definedName>
    <definedName name="Agresidue_SourceData.CropPurposeAndYield_Title" localSheetId="22">_xlfn.LAMBDA(("Crop purpose and yield"))</definedName>
    <definedName name="Agresidue_SourceData.CropPurposeAndYield_Title" localSheetId="27">_xlfn.LAMBDA(("Crop purpose and yield"))</definedName>
    <definedName name="Agresidue_SourceData.CropPurposeAndYield_Title">_xlfn.LAMBDA(("Crop purpose and yield"))</definedName>
    <definedName name="Agresidue_SourceData.N2OEFOrganicFertiliser_Data" localSheetId="21">_xlfn.LAMBDA(_xlfn.MAKEARRAY(3, 2, _xlfn.LAMBDA(_xlpm.r,_xlpm.c, INDEX({"Climate zone i","EF i N2O";"Wet climate zone",0.006;"Dry climate zone",0.005}, _xlpm.r, _xlpm.c))))</definedName>
    <definedName name="Agresidue_SourceData.N2OEFOrganicFertiliser_Data" localSheetId="22">_xlfn.LAMBDA(_xlfn.MAKEARRAY(3, 2, _xlfn.LAMBDA(_xlpm.r,_xlpm.c, INDEX({"Climate zone i","EF i N2O";"Wet climate zone",0.006;"Dry climate zone",0.005}, _xlpm.r, _xlpm.c))))</definedName>
    <definedName name="Agresidue_SourceData.N2OEFOrganicFertiliser_Data" localSheetId="27">_xlfn.LAMBDA(_xlfn.MAKEARRAY(3, 2, _xlfn.LAMBDA(_xlpm.r,_xlpm.c, INDEX({"Climate zone i","EF i N2O";"Wet climate zone",0.006;"Dry climate zone",0.005}, _xlpm.r, _xlpm.c))))</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 localSheetId="21">_xlfn.LAMBDA("IPCC 2019 Refinement Volume 4 Table 11.1 [1, p. 11]")</definedName>
    <definedName name="Agresidue_SourceData.N2OEFOrganicFertiliser_NIRReference" localSheetId="22">_xlfn.LAMBDA("IPCC 2019 Refinement Volume 4 Table 11.1 [1, p. 11]")</definedName>
    <definedName name="Agresidue_SourceData.N2OEFOrganicFertiliser_NIRReference" localSheetId="27">_xlfn.LAMBDA("IPCC 2019 Refinement Volume 4 Table 11.1 [1, p. 11]")</definedName>
    <definedName name="Agresidue_SourceData.N2OEFOrganicFertiliser_NIRReference">_xlfn.LAMBDA("IPCC 2019 Refinement Volume 4 Table 11.1 [1, p. 11]")</definedName>
    <definedName name="Agresidue_SourceData.N2OEFOrganicFertiliser_Source" localSheetId="21">_xlfn.LAMBDA("VEERG 2026: Table A.2.1.4")</definedName>
    <definedName name="Agresidue_SourceData.N2OEFOrganicFertiliser_Source" localSheetId="22">_xlfn.LAMBDA("VEERG 2026: Table A.2.1.4")</definedName>
    <definedName name="Agresidue_SourceData.N2OEFOrganicFertiliser_Source" localSheetId="27">_xlfn.LAMBDA("VEERG 2026: Table A.2.1.4")</definedName>
    <definedName name="Agresidue_SourceData.N2OEFOrganicFertiliser_Source">_xlfn.LAMBDA("VEERG 2026: Table A.2.1.4")</definedName>
    <definedName name="Agresidue_SourceData.N2OEFOrganicFertiliser_Title" localSheetId="21">_xlfn.LAMBDA("Emission factor for organic fertiliser and crop residues returned to the soil")</definedName>
    <definedName name="Agresidue_SourceData.N2OEFOrganicFertiliser_Title" localSheetId="22">_xlfn.LAMBDA("Emission factor for organic fertiliser and crop residues returned to the soil")</definedName>
    <definedName name="Agresidue_SourceData.N2OEFOrganicFertiliser_Title" localSheetId="27">_xlfn.LAMBDA("Emission factor for organic fertiliser and crop residues returned to the soil")</definedName>
    <definedName name="Agresidue_SourceData.N2OEFOrganicFertiliser_Title">_xlfn.LAMBDA("Emission factor for organic fertiliser and crop residues returned to the soil")</definedName>
    <definedName name="Agresidue_SourceData.N2OEFOrganicFertiliser_Unit" localSheetId="21">_xlfn.LAMBDA("kg N2O - N / kg N")</definedName>
    <definedName name="Agresidue_SourceData.N2OEFOrganicFertiliser_Unit" localSheetId="22">_xlfn.LAMBDA("kg N2O - N / kg N")</definedName>
    <definedName name="Agresidue_SourceData.N2OEFOrganicFertiliser_Unit" localSheetId="27">_xlfn.LAMBDA("kg N2O - N / kg N")</definedName>
    <definedName name="Agresidue_SourceData.N2OEFOrganicFertiliser_Unit">_xlfn.LAMBDA("kg N2O - N / kg N")</definedName>
    <definedName name="Agresidue_SourceData.PastureAttributes_Data" localSheetId="21">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22">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 localSheetId="27">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 localSheetId="21">_xlfn.LAMBDA(("Pasture attributes"))</definedName>
    <definedName name="Agresidue_SourceData.PastureAttributes_Description" localSheetId="22">_xlfn.LAMBDA(("Pasture attributes"))</definedName>
    <definedName name="Agresidue_SourceData.PastureAttributes_Description" localSheetId="27">_xlfn.LAMBDA(("Pasture attributes"))</definedName>
    <definedName name="Agresidue_SourceData.PastureAttributes_Description">_xlfn.LAMBDA(("Pasture attributes"))</definedName>
    <definedName name="Agresidue_SourceData.PastureAttributes_Source" localSheetId="21">_xlfn.LAMBDA(("VEERG 2026: Table A.2.1.3: Pasture attributes"))</definedName>
    <definedName name="Agresidue_SourceData.PastureAttributes_Source" localSheetId="22">_xlfn.LAMBDA(("VEERG 2026: Table A.2.1.3: Pasture attributes"))</definedName>
    <definedName name="Agresidue_SourceData.PastureAttributes_Source" localSheetId="27">_xlfn.LAMBDA(("VEERG 2026: Table A.2.1.3: Pasture attributes"))</definedName>
    <definedName name="Agresidue_SourceData.PastureAttributes_Source">_xlfn.LAMBDA(("VEERG 2026: Table A.2.1.3: Pasture attributes"))</definedName>
    <definedName name="Agresidue_SourceData.PastureAttributes_Title" localSheetId="21">_xlfn.LAMBDA(("Table A.2.1.3 Pasture attributes"))</definedName>
    <definedName name="Agresidue_SourceData.PastureAttributes_Title" localSheetId="22">_xlfn.LAMBDA(("Table A.2.1.3 Pasture attributes"))</definedName>
    <definedName name="Agresidue_SourceData.PastureAttributes_Title" localSheetId="27">_xlfn.LAMBDA(("Table A.2.1.3 Pasture attributes"))</definedName>
    <definedName name="Agresidue_SourceData.PastureAttributes_Title">_xlfn.LAMBDA(("Table A.2.1.3 Pasture attributes"))</definedName>
    <definedName name="AgResidues_Equations_Leaching.VEERG_6_3_1_1__1__LeachingAndRunoffEmissionsCropAndPastureResidue" localSheetId="21">_xlfn.LAMBDA(_xlpm.Mleachcp,_xlpm.EFleach,_xlpm.CgN2O, _xlpm.Mleachcp * _xlpm.EFleach * _xlpm.CgN2O * 10 ^ (-3))</definedName>
    <definedName name="AgResidues_Equations_Leaching.VEERG_6_3_1_1__1__LeachingAndRunoffEmissionsCropAndPastureResidue" localSheetId="22">_xlfn.LAMBDA(_xlpm.Mleachcp,_xlpm.EFleach,_xlpm.CgN2O, _xlpm.Mleachcp * _xlpm.EFleach * _xlpm.CgN2O * 10 ^ (-3))</definedName>
    <definedName name="AgResidues_Equations_Leaching.VEERG_6_3_1_1__1__LeachingAndRunoffEmissionsCropAndPastureResidue" localSheetId="27">_xlfn.LAMBDA(_xlpm.Mleachcp,_xlpm.EFleach,_xlpm.CgN2O, _xlpm.Mleachcp * _xlpm.EFleach * _xlpm.CgN2O * 10 ^ (-3))</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 localSheetId="21">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22">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 localSheetId="27">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 localSheetId="21">_xlfn.LAMBDA("VEERG 2026: 6.3.1.1, Equation (1)")</definedName>
    <definedName name="AgResidues_Equations_Leaching.VEERG_6_3_1_1__1__LeachingAndRunoffEmissionsCropAndPastureResidue_Source" localSheetId="22">_xlfn.LAMBDA("VEERG 2026: 6.3.1.1, Equation (1)")</definedName>
    <definedName name="AgResidues_Equations_Leaching.VEERG_6_3_1_1__1__LeachingAndRunoffEmissionsCropAndPastureResidue_Source" localSheetId="27">_xlfn.LAMBDA("VEERG 2026: 6.3.1.1, Equation (1)")</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 localSheetId="21">_xlfn.LAMBDA("Nitrous oxide leaching and runoff emissions from crop and pasture residues returned to the soil")</definedName>
    <definedName name="AgResidues_Equations_Leaching.VEERG_6_3_1_1__1__LeachingAndRunoffEmissionsCropAndPastureResidue_Title" localSheetId="22">_xlfn.LAMBDA("Nitrous oxide leaching and runoff emissions from crop and pasture residues returned to the soil")</definedName>
    <definedName name="AgResidues_Equations_Leaching.VEERG_6_3_1_1__1__LeachingAndRunoffEmissionsCropAndPastureResidue_Title" localSheetId="27">_xlfn.LAMBDA("Nitrous oxide leaching and runoff emissions from crop and pasture residues returned to the soil")</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 localSheetId="21">_xlfn.LAMBDA("t N2O")</definedName>
    <definedName name="AgResidues_Equations_Leaching.VEERG_6_3_1_1__1__LeachingAndRunoffEmissionsCropAndPastureResidue_Unit" localSheetId="22">_xlfn.LAMBDA("t N2O")</definedName>
    <definedName name="AgResidues_Equations_Leaching.VEERG_6_3_1_1__1__LeachingAndRunoffEmissionsCropAndPastureResidue_Unit" localSheetId="27">_xlfn.LAMBDA("t N2O")</definedName>
    <definedName name="AgResidues_Equations_Leaching.VEERG_6_3_1_1__1__LeachingAndRunoffEmissionsCropAndPastureResidue_Unit">_xlfn.LAMBDA("t N2O")</definedName>
    <definedName name="AgResidues_Equations_Leaching.VEERG_6_3_1_1__1__LeachingAndRunoffEmissionsCropAndPastureResidue_Variable" localSheetId="21">_xlfn.LAMBDA("EN2O")</definedName>
    <definedName name="AgResidues_Equations_Leaching.VEERG_6_3_1_1__1__LeachingAndRunoffEmissionsCropAndPastureResidue_Variable" localSheetId="22">_xlfn.LAMBDA("EN2O")</definedName>
    <definedName name="AgResidues_Equations_Leaching.VEERG_6_3_1_1__1__LeachingAndRunoffEmissionsCropAndPastureResidue_Variable" localSheetId="27">_xlfn.LAMBDA("EN2O")</definedName>
    <definedName name="AgResidues_Equations_Leaching.VEERG_6_3_1_1__1__LeachingAndRunoffEmissionsCropAndPastureResidue_Variable">_xlfn.LAMBDA("EN2O")</definedName>
    <definedName name="AgResidues_Equations_Leaching.VEERG_6_3_1_1__2__MassOfNitrogenLostThroughLeachingAndRunoff" localSheetId="21">_xlfn.LAMBDA(_xlpm.Mcp,_xlpm.FracWETzir,_xlpm.FracLEACH, _xlpm.Mcp * _xlpm.FracWETzir * _xlpm.FracLEACH)</definedName>
    <definedName name="AgResidues_Equations_Leaching.VEERG_6_3_1_1__2__MassOfNitrogenLostThroughLeachingAndRunoff" localSheetId="22">_xlfn.LAMBDA(_xlpm.Mcp,_xlpm.FracWETzir,_xlpm.FracLEACH, _xlpm.Mcp * _xlpm.FracWETzir * _xlpm.FracLEACH)</definedName>
    <definedName name="AgResidues_Equations_Leaching.VEERG_6_3_1_1__2__MassOfNitrogenLostThroughLeachingAndRunoff" localSheetId="27">_xlfn.LAMBDA(_xlpm.Mcp,_xlpm.FracWETzir,_xlpm.FracLEACH, _xlpm.Mcp * _xlpm.FracWETzir * _xlpm.FracLEACH)</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 localSheetId="21">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22">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 localSheetId="27">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 localSheetId="21">_xlfn.LAMBDA("VEERG 2026: 6.3.1.1, Equation (2)")</definedName>
    <definedName name="AgResidues_Equations_Leaching.VEERG_6_3_1_1__2__MassOfNitrogenLostThroughLeachingAndRunoff_Source" localSheetId="22">_xlfn.LAMBDA("VEERG 2026: 6.3.1.1, Equation (2)")</definedName>
    <definedName name="AgResidues_Equations_Leaching.VEERG_6_3_1_1__2__MassOfNitrogenLostThroughLeachingAndRunoff_Source" localSheetId="27">_xlfn.LAMBDA("VEERG 2026: 6.3.1.1, Equation (2)")</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 localSheetId="21">_xlfn.LAMBDA("Mass of nitrogen lost through leaching and runoff")</definedName>
    <definedName name="AgResidues_Equations_Leaching.VEERG_6_3_1_1__2__MassOfNitrogenLostThroughLeachingAndRunoff_Title" localSheetId="22">_xlfn.LAMBDA("Mass of nitrogen lost through leaching and runoff")</definedName>
    <definedName name="AgResidues_Equations_Leaching.VEERG_6_3_1_1__2__MassOfNitrogenLostThroughLeachingAndRunoff_Title" localSheetId="27">_xlfn.LAMBDA("Mass of nitrogen lost through leaching and runoff")</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 localSheetId="21">_xlfn.LAMBDA("kg N")</definedName>
    <definedName name="AgResidues_Equations_Leaching.VEERG_6_3_1_1__2__MassOfNitrogenLostThroughLeachingAndRunoff_Unit" localSheetId="22">_xlfn.LAMBDA("kg N")</definedName>
    <definedName name="AgResidues_Equations_Leaching.VEERG_6_3_1_1__2__MassOfNitrogenLostThroughLeachingAndRunoff_Unit" localSheetId="27">_xlfn.LAMBDA("kg N")</definedName>
    <definedName name="AgResidues_Equations_Leaching.VEERG_6_3_1_1__2__MassOfNitrogenLostThroughLeachingAndRunoff_Unit">_xlfn.LAMBDA("kg N")</definedName>
    <definedName name="AgResidues_Equations_Leaching.VEERG_6_3_1_1__2__MassOfNitrogenLostThroughLeachingAndRunoff_Variable" localSheetId="21">_xlfn.LAMBDA("Mleachcp")</definedName>
    <definedName name="AgResidues_Equations_Leaching.VEERG_6_3_1_1__2__MassOfNitrogenLostThroughLeachingAndRunoff_Variable" localSheetId="22">_xlfn.LAMBDA("Mleachcp")</definedName>
    <definedName name="AgResidues_Equations_Leaching.VEERG_6_3_1_1__2__MassOfNitrogenLostThroughLeachingAndRunoff_Variable" localSheetId="27">_xlfn.LAMBDA("Mleachcp")</definedName>
    <definedName name="AgResidues_Equations_Leaching.VEERG_6_3_1_1__2__MassOfNitrogenLostThroughLeachingAndRunoff_Variable">_xlfn.LAMBDA("Mleachcp")</definedName>
    <definedName name="AgResidues_Equations_Leaching.VEERG_6_3_1_1__2__MassOfNitrogenLostThroughLeachingAndRunoff_Variation" localSheetId="21">_xlfn.LAMBDA("VARIATION FROM SOURCE: Added criteria for leaching zone z and irrigation type ir. Removed production system criteria j.")</definedName>
    <definedName name="AgResidues_Equations_Leaching.VEERG_6_3_1_1__2__MassOfNitrogenLostThroughLeachingAndRunoff_Variation" localSheetId="22">_xlfn.LAMBDA("VARIATION FROM SOURCE: Added criteria for leaching zone z and irrigation type ir. Removed production system criteria j.")</definedName>
    <definedName name="AgResidues_Equations_Leaching.VEERG_6_3_1_1__2__MassOfNitrogenLostThroughLeachingAndRunoff_Variation" localSheetId="27">_xlfn.LAMBDA("VARIATION FROM SOURCE: Added criteria for leaching zone z and irrigation type ir. Removed production system criteria j.")</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 localSheetId="21">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22">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 localSheetId="27">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 localSheetId="21">_xlfn.LAMBDA(("National Inventory Report 2023 volume 2: Table 5.31: Burning of agricultural residues - EFs"))</definedName>
    <definedName name="AgResidues_SourceData.BurningOfAgriculturalResiduesEFs_Source" localSheetId="22">_xlfn.LAMBDA(("National Inventory Report 2023 volume 2: Table 5.31: Burning of agricultural residues - EFs"))</definedName>
    <definedName name="AgResidues_SourceData.BurningOfAgriculturalResiduesEFs_Source" localSheetId="27">_xlfn.LAMBDA(("National Inventory Report 2023 volume 2: Table 5.31: 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 localSheetId="21">_xlfn.LAMBDA(("Table 5.31 Burning of agricultural residues - EFs"))</definedName>
    <definedName name="AgResidues_SourceData.BurningOfAgriculturalResiduesEFs_Title" localSheetId="22">_xlfn.LAMBDA(("Table 5.31 Burning of agricultural residues - EFs"))</definedName>
    <definedName name="AgResidues_SourceData.BurningOfAgriculturalResiduesEFs_Title" localSheetId="27">_xlfn.LAMBDA(("Table 5.31 Burning of agricultural residues - EFs"))</definedName>
    <definedName name="AgResidues_SourceData.BurningOfAgriculturalResiduesEFs_Title">_xlfn.LAMBDA(("Table 5.31 Burning of agricultural residues - EFs"))</definedName>
    <definedName name="Common_Equations.Common_ConvertCH4ToCO2e" localSheetId="25">_xlfn.LAMBDA(_xlpm.E_CH4,_xlpm.GWP_CH4, _xlpm.E_CH4 * _xlpm.GWP_CH4)</definedName>
    <definedName name="Common_Equations.Common_ConvertCH4ToCO2e" localSheetId="10">_xlfn.LAMBDA(_xlpm.E_CH4,_xlpm.GWP_CH4, _xlpm.E_CH4 * _xlpm.GWP_CH4)</definedName>
    <definedName name="Common_Equations.Common_ConvertCH4ToCO2e" localSheetId="11">_xlfn.LAMBDA(_xlpm.E_CH4,_xlpm.GWP_CH4, _xlpm.E_CH4 * _xlpm.GWP_CH4)</definedName>
    <definedName name="Common_Equations.Common_ConvertCH4ToCO2e" localSheetId="12">_xlfn.LAMBDA(_xlpm.E_CH4,_xlpm.GWP_CH4, _xlpm.E_CH4 * _xlpm.GWP_CH4)</definedName>
    <definedName name="Common_Equations.Common_ConvertCH4ToCO2e" localSheetId="13">_xlfn.LAMBDA(_xlpm.E_CH4,_xlpm.GWP_CH4, _xlpm.E_CH4 * _xlpm.GWP_CH4)</definedName>
    <definedName name="Common_Equations.Common_ConvertCH4ToCO2e" localSheetId="14">_xlfn.LAMBDA(_xlpm.E_CH4,_xlpm.GWP_CH4, _xlpm.E_CH4 * _xlpm.GWP_CH4)</definedName>
    <definedName name="Common_Equations.Common_ConvertCH4ToCO2e" localSheetId="15">_xlfn.LAMBDA(_xlpm.E_CH4,_xlpm.GWP_CH4, _xlpm.E_CH4 * _xlpm.GWP_CH4)</definedName>
    <definedName name="Common_Equations.Common_ConvertCH4ToCO2e" localSheetId="16">_xlfn.LAMBDA(_xlpm.E_CH4,_xlpm.GWP_CH4, _xlpm.E_CH4 * _xlpm.GWP_CH4)</definedName>
    <definedName name="Common_Equations.Common_ConvertCH4ToCO2e" localSheetId="17">_xlfn.LAMBDA(_xlpm.E_CH4,_xlpm.GWP_CH4, _xlpm.E_CH4 * _xlpm.GWP_CH4)</definedName>
    <definedName name="Common_Equations.Common_ConvertCH4ToCO2e" localSheetId="18">_xlfn.LAMBDA(_xlpm.E_CH4,_xlpm.GWP_CH4, _xlpm.E_CH4 * _xlpm.GWP_CH4)</definedName>
    <definedName name="Common_Equations.Common_ConvertCH4ToCO2e" localSheetId="19">_xlfn.LAMBDA(_xlpm.E_CH4,_xlpm.GWP_CH4, _xlpm.E_CH4 * _xlpm.GWP_CH4)</definedName>
    <definedName name="Common_Equations.Common_ConvertCH4ToCO2e" localSheetId="20">_xlfn.LAMBDA(_xlpm.E_CH4,_xlpm.GWP_CH4, _xlpm.E_CH4 * _xlpm.GWP_CH4)</definedName>
    <definedName name="Common_Equations.Common_ConvertCH4ToCO2e" localSheetId="21">_xlfn.LAMBDA(_xlpm.E_CH4,_xlpm.GWP_CH4, _xlpm.E_CH4 * _xlpm.GWP_CH4)</definedName>
    <definedName name="Common_Equations.Common_ConvertCH4ToCO2e" localSheetId="22">_xlfn.LAMBDA(_xlpm.E_CH4,_xlpm.GWP_CH4, _xlpm.E_CH4 * _xlpm.GWP_CH4)</definedName>
    <definedName name="Common_Equations.Common_ConvertCH4ToCO2e" localSheetId="23">_xlfn.LAMBDA(_xlpm.E_CH4,_xlpm.GWP_CH4, _xlpm.E_CH4 * _xlpm.GWP_CH4)</definedName>
    <definedName name="Common_Equations.Common_ConvertCH4ToCO2e" localSheetId="24">_xlfn.LAMBDA(_xlpm.E_CH4,_xlpm.GWP_CH4, _xlpm.E_CH4 * _xlpm.GWP_CH4)</definedName>
    <definedName name="Common_Equations.Common_ConvertCH4ToCO2e" localSheetId="33">_xlfn.LAMBDA(_xlpm.E_CH4,_xlpm.GWP_CH4, _xlpm.E_CH4 * _xlpm.GWP_CH4)</definedName>
    <definedName name="Common_Equations.Common_ConvertCH4ToCO2e" localSheetId="27">_xlfn.LAMBDA(_xlpm.E_CH4,_xlpm.GWP_CH4, _xlpm.E_CH4 * _xlpm.GWP_CH4)</definedName>
    <definedName name="Common_Equations.Common_ConvertCH4ToCO2e" localSheetId="32">_xlfn.LAMBDA(_xlpm.E_CH4,_xlpm.GWP_CH4, _xlpm.E_CH4 * _xlpm.GWP_CH4)</definedName>
    <definedName name="Common_Equations.Common_ConvertCH4ToCO2e" localSheetId="29">_xlfn.LAMBDA(_xlpm.E_CH4,_xlpm.GWP_CH4, _xlpm.E_CH4 * _xlpm.GWP_CH4)</definedName>
    <definedName name="Common_Equations.Common_ConvertCH4ToCO2e" localSheetId="30">_xlfn.LAMBDA(_xlpm.E_CH4,_xlpm.GWP_CH4, _xlpm.E_CH4 * _xlpm.GWP_CH4)</definedName>
    <definedName name="Common_Equations.Common_ConvertCH4ToCO2e" localSheetId="31">_xlfn.LAMBDA(_xlpm.E_CH4,_xlpm.GWP_CH4, _xlpm.E_CH4 * _xlpm.GWP_CH4)</definedName>
    <definedName name="Common_Equations.Common_ConvertCH4ToCO2e" localSheetId="28">_xlfn.LAMBDA(_xlpm.E_CH4,_xlpm.GWP_CH4, _xlpm.E_CH4 * _xlpm.GWP_CH4)</definedName>
    <definedName name="Common_Equations.Common_ConvertCH4ToCO2e" localSheetId="26">_xlfn.LAMBDA(_xlpm.E_CH4,_xlpm.GWP_CH4, _xlpm.E_CH4 * _xlpm.GWP_CH4)</definedName>
    <definedName name="Common_Equations.Common_ConvertCH4ToCO2e" localSheetId="9">_xlfn.LAMBDA(_xlpm.E_CH4,_xlpm.GWP_CH4, _xlpm.E_CH4 * _xlpm.GWP_CH4)</definedName>
    <definedName name="Common_Equations.Common_ConvertCH4ToCO2e" localSheetId="7">_xlfn.LAMBDA(_xlpm.E_CH4,_xlpm.GWP_CH4, _xlpm.E_CH4 * _xlpm.GWP_CH4)</definedName>
    <definedName name="Common_Equations.Common_ConvertCH4ToCO2e" localSheetId="8">_xlfn.LAMBDA(_xlpm.E_CH4,_xlpm.GWP_CH4, _xlpm.E_CH4 * _xlpm.GWP_CH4)</definedName>
    <definedName name="Common_Equations.Common_ConvertCH4ToCO2e" localSheetId="6">_xlfn.LAMBDA(_xlpm.E_CH4,_xlpm.GWP_CH4, _xlpm.E_CH4 * _xlpm.GWP_CH4)</definedName>
    <definedName name="Common_Equations.Common_ConvertCH4ToCO2e" localSheetId="4">_xlfn.LAMBDA(_xlpm.E_CH4,_xlpm.GWP_CH4, _xlpm.E_CH4 * _xlpm.GWP_CH4)</definedName>
    <definedName name="Common_Equations.Common_ConvertCH4ToCO2e" localSheetId="3">_xlfn.LAMBDA(_xlpm.E_CH4,_xlpm.GWP_CH4, _xlpm.E_CH4 * _xlpm.GWP_CH4)</definedName>
    <definedName name="Common_Equations.Common_ConvertCH4ToCO2e" localSheetId="34">_xlfn.LAMBDA(_xlpm.E_CH4,_xlpm.GWP_CH4, _xlpm.E_CH4 * _xlpm.GWP_CH4)</definedName>
    <definedName name="Common_Equations.Common_ConvertCH4ToCO2e">_xlfn.LAMBDA(_xlpm.E_CH4,_xlpm.GWP_CH4, _xlpm.E_CH4 * _xlpm.GWP_CH4)</definedName>
    <definedName name="Common_Equations.Common_ConvertCH4ToCO2e_Arguments" localSheetId="25">_xlfn.LAMBDA(_xlfn.MAKEARRAY(2, 2, _xlfn.LAMBDA(_xlpm.r,_xlpm.c, INDEX({"ECH4","Methane emissions (t CH4)";"GWPCH4","Global warming potential for methane (t CO2-e / t CH4)"}, _xlpm.r, _xlpm.c))))</definedName>
    <definedName name="Common_Equations.Common_ConvertCH4ToCO2e_Arguments" localSheetId="10">_xlfn.LAMBDA(_xlfn.MAKEARRAY(2, 2, _xlfn.LAMBDA(_xlpm.r,_xlpm.c, INDEX({"ECH4","Methane emissions (t CH4)";"GWPCH4","Global warming potential for methane (t CO2-e / t CH4)"}, _xlpm.r, _xlpm.c))))</definedName>
    <definedName name="Common_Equations.Common_ConvertCH4ToCO2e_Arguments" localSheetId="11">_xlfn.LAMBDA(_xlfn.MAKEARRAY(2, 2, _xlfn.LAMBDA(_xlpm.r,_xlpm.c, INDEX({"ECH4","Methane emissions (t CH4)";"GWPCH4","Global warming potential for methane (t CO2-e / t CH4)"}, _xlpm.r, _xlpm.c))))</definedName>
    <definedName name="Common_Equations.Common_ConvertCH4ToCO2e_Arguments" localSheetId="12">_xlfn.LAMBDA(_xlfn.MAKEARRAY(2, 2, _xlfn.LAMBDA(_xlpm.r,_xlpm.c, INDEX({"ECH4","Methane emissions (t CH4)";"GWPCH4","Global warming potential for methane (t CO2-e / t CH4)"}, _xlpm.r, _xlpm.c))))</definedName>
    <definedName name="Common_Equations.Common_ConvertCH4ToCO2e_Arguments" localSheetId="13">_xlfn.LAMBDA(_xlfn.MAKEARRAY(2, 2, _xlfn.LAMBDA(_xlpm.r,_xlpm.c, INDEX({"ECH4","Methane emissions (t CH4)";"GWPCH4","Global warming potential for methane (t CO2-e / t CH4)"}, _xlpm.r, _xlpm.c))))</definedName>
    <definedName name="Common_Equations.Common_ConvertCH4ToCO2e_Arguments" localSheetId="14">_xlfn.LAMBDA(_xlfn.MAKEARRAY(2, 2, _xlfn.LAMBDA(_xlpm.r,_xlpm.c, INDEX({"ECH4","Methane emissions (t CH4)";"GWPCH4","Global warming potential for methane (t CO2-e / t CH4)"}, _xlpm.r, _xlpm.c))))</definedName>
    <definedName name="Common_Equations.Common_ConvertCH4ToCO2e_Arguments" localSheetId="15">_xlfn.LAMBDA(_xlfn.MAKEARRAY(2, 2, _xlfn.LAMBDA(_xlpm.r,_xlpm.c, INDEX({"ECH4","Methane emissions (t CH4)";"GWPCH4","Global warming potential for methane (t CO2-e / t CH4)"}, _xlpm.r, _xlpm.c))))</definedName>
    <definedName name="Common_Equations.Common_ConvertCH4ToCO2e_Arguments" localSheetId="16">_xlfn.LAMBDA(_xlfn.MAKEARRAY(2, 2, _xlfn.LAMBDA(_xlpm.r,_xlpm.c, INDEX({"ECH4","Methane emissions (t CH4)";"GWPCH4","Global warming potential for methane (t CO2-e / t CH4)"}, _xlpm.r, _xlpm.c))))</definedName>
    <definedName name="Common_Equations.Common_ConvertCH4ToCO2e_Arguments" localSheetId="17">_xlfn.LAMBDA(_xlfn.MAKEARRAY(2, 2, _xlfn.LAMBDA(_xlpm.r,_xlpm.c, INDEX({"ECH4","Methane emissions (t CH4)";"GWPCH4","Global warming potential for methane (t CO2-e / t CH4)"}, _xlpm.r, _xlpm.c))))</definedName>
    <definedName name="Common_Equations.Common_ConvertCH4ToCO2e_Arguments" localSheetId="18">_xlfn.LAMBDA(_xlfn.MAKEARRAY(2, 2, _xlfn.LAMBDA(_xlpm.r,_xlpm.c, INDEX({"ECH4","Methane emissions (t CH4)";"GWPCH4","Global warming potential for methane (t CO2-e / t CH4)"}, _xlpm.r, _xlpm.c))))</definedName>
    <definedName name="Common_Equations.Common_ConvertCH4ToCO2e_Arguments" localSheetId="19">_xlfn.LAMBDA(_xlfn.MAKEARRAY(2, 2, _xlfn.LAMBDA(_xlpm.r,_xlpm.c, INDEX({"ECH4","Methane emissions (t CH4)";"GWPCH4","Global warming potential for methane (t CO2-e / t CH4)"}, _xlpm.r, _xlpm.c))))</definedName>
    <definedName name="Common_Equations.Common_ConvertCH4ToCO2e_Arguments" localSheetId="20">_xlfn.LAMBDA(_xlfn.MAKEARRAY(2, 2, _xlfn.LAMBDA(_xlpm.r,_xlpm.c, INDEX({"ECH4","Methane emissions (t CH4)";"GWPCH4","Global warming potential for methane (t CO2-e / t CH4)"}, _xlpm.r, _xlpm.c))))</definedName>
    <definedName name="Common_Equations.Common_ConvertCH4ToCO2e_Arguments" localSheetId="21">_xlfn.LAMBDA(_xlfn.MAKEARRAY(2, 2, _xlfn.LAMBDA(_xlpm.r,_xlpm.c, INDEX({"ECH4","Methane emissions (t CH4)";"GWPCH4","Global warming potential for methane (t CO2-e / t CH4)"}, _xlpm.r, _xlpm.c))))</definedName>
    <definedName name="Common_Equations.Common_ConvertCH4ToCO2e_Arguments" localSheetId="22">_xlfn.LAMBDA(_xlfn.MAKEARRAY(2, 2, _xlfn.LAMBDA(_xlpm.r,_xlpm.c, INDEX({"ECH4","Methane emissions (t CH4)";"GWPCH4","Global warming potential for methane (t CO2-e / t CH4)"}, _xlpm.r, _xlpm.c))))</definedName>
    <definedName name="Common_Equations.Common_ConvertCH4ToCO2e_Arguments" localSheetId="23">_xlfn.LAMBDA(_xlfn.MAKEARRAY(2, 2, _xlfn.LAMBDA(_xlpm.r,_xlpm.c, INDEX({"ECH4","Methane emissions (t CH4)";"GWPCH4","Global warming potential for methane (t CO2-e / t CH4)"}, _xlpm.r, _xlpm.c))))</definedName>
    <definedName name="Common_Equations.Common_ConvertCH4ToCO2e_Arguments" localSheetId="24">_xlfn.LAMBDA(_xlfn.MAKEARRAY(2, 2, _xlfn.LAMBDA(_xlpm.r,_xlpm.c, INDEX({"ECH4","Methane emissions (t CH4)";"GWPCH4","Global warming potential for methane (t CO2-e / t CH4)"}, _xlpm.r, _xlpm.c))))</definedName>
    <definedName name="Common_Equations.Common_ConvertCH4ToCO2e_Arguments" localSheetId="33">_xlfn.LAMBDA(_xlfn.MAKEARRAY(2, 2, _xlfn.LAMBDA(_xlpm.r,_xlpm.c, INDEX({"ECH4","Methane emissions (t CH4)";"GWPCH4","Global warming potential for methane (t CO2-e / t CH4)"}, _xlpm.r, _xlpm.c))))</definedName>
    <definedName name="Common_Equations.Common_ConvertCH4ToCO2e_Arguments" localSheetId="27">_xlfn.LAMBDA(_xlfn.MAKEARRAY(2, 2, _xlfn.LAMBDA(_xlpm.r,_xlpm.c, INDEX({"ECH4","Methane emissions (t CH4)";"GWPCH4","Global warming potential for methane (t CO2-e / t CH4)"}, _xlpm.r, _xlpm.c))))</definedName>
    <definedName name="Common_Equations.Common_ConvertCH4ToCO2e_Arguments" localSheetId="32">_xlfn.LAMBDA(_xlfn.MAKEARRAY(2, 2, _xlfn.LAMBDA(_xlpm.r,_xlpm.c, INDEX({"ECH4","Methane emissions (t CH4)";"GWPCH4","Global warming potential for methane (t CO2-e / t CH4)"}, _xlpm.r, _xlpm.c))))</definedName>
    <definedName name="Common_Equations.Common_ConvertCH4ToCO2e_Arguments" localSheetId="29">_xlfn.LAMBDA(_xlfn.MAKEARRAY(2, 2, _xlfn.LAMBDA(_xlpm.r,_xlpm.c, INDEX({"ECH4","Methane emissions (t CH4)";"GWPCH4","Global warming potential for methane (t CO2-e / t CH4)"}, _xlpm.r, _xlpm.c))))</definedName>
    <definedName name="Common_Equations.Common_ConvertCH4ToCO2e_Arguments" localSheetId="30">_xlfn.LAMBDA(_xlfn.MAKEARRAY(2, 2, _xlfn.LAMBDA(_xlpm.r,_xlpm.c, INDEX({"ECH4","Methane emissions (t CH4)";"GWPCH4","Global warming potential for methane (t CO2-e / t CH4)"}, _xlpm.r, _xlpm.c))))</definedName>
    <definedName name="Common_Equations.Common_ConvertCH4ToCO2e_Arguments" localSheetId="31">_xlfn.LAMBDA(_xlfn.MAKEARRAY(2, 2, _xlfn.LAMBDA(_xlpm.r,_xlpm.c, INDEX({"ECH4","Methane emissions (t CH4)";"GWPCH4","Global warming potential for methane (t CO2-e / t CH4)"}, _xlpm.r, _xlpm.c))))</definedName>
    <definedName name="Common_Equations.Common_ConvertCH4ToCO2e_Arguments" localSheetId="28">_xlfn.LAMBDA(_xlfn.MAKEARRAY(2, 2, _xlfn.LAMBDA(_xlpm.r,_xlpm.c, INDEX({"ECH4","Methane emissions (t CH4)";"GWPCH4","Global warming potential for methane (t CO2-e / t CH4)"}, _xlpm.r, _xlpm.c))))</definedName>
    <definedName name="Common_Equations.Common_ConvertCH4ToCO2e_Arguments" localSheetId="26">_xlfn.LAMBDA(_xlfn.MAKEARRAY(2, 2, _xlfn.LAMBDA(_xlpm.r,_xlpm.c, INDEX({"ECH4","Methane emissions (t CH4)";"GWPCH4","Global warming potential for methane (t CO2-e / t CH4)"}, _xlpm.r, _xlpm.c))))</definedName>
    <definedName name="Common_Equations.Common_ConvertCH4ToCO2e_Arguments" localSheetId="9">_xlfn.LAMBDA(_xlfn.MAKEARRAY(2, 2, _xlfn.LAMBDA(_xlpm.r,_xlpm.c, INDEX({"ECH4","Methane emissions (t CH4)";"GWPCH4","Global warming potential for methane (t CO2-e / t CH4)"}, _xlpm.r, _xlpm.c))))</definedName>
    <definedName name="Common_Equations.Common_ConvertCH4ToCO2e_Arguments" localSheetId="7">_xlfn.LAMBDA(_xlfn.MAKEARRAY(2, 2, _xlfn.LAMBDA(_xlpm.r,_xlpm.c, INDEX({"ECH4","Methane emissions (t CH4)";"GWPCH4","Global warming potential for methane (t CO2-e / t CH4)"}, _xlpm.r, _xlpm.c))))</definedName>
    <definedName name="Common_Equations.Common_ConvertCH4ToCO2e_Arguments" localSheetId="8">_xlfn.LAMBDA(_xlfn.MAKEARRAY(2, 2, _xlfn.LAMBDA(_xlpm.r,_xlpm.c, INDEX({"ECH4","Methane emissions (t CH4)";"GWPCH4","Global warming potential for methane (t CO2-e / t CH4)"}, _xlpm.r, _xlpm.c))))</definedName>
    <definedName name="Common_Equations.Common_ConvertCH4ToCO2e_Arguments" localSheetId="6">_xlfn.LAMBDA(_xlfn.MAKEARRAY(2, 2, _xlfn.LAMBDA(_xlpm.r,_xlpm.c, INDEX({"ECH4","Methane emissions (t CH4)";"GWPCH4","Global warming potential for methane (t CO2-e / t CH4)"}, _xlpm.r, _xlpm.c))))</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 localSheetId="3">_xlfn.LAMBDA(_xlfn.MAKEARRAY(2, 2, _xlfn.LAMBDA(_xlpm.r,_xlpm.c, INDEX({"ECH4","Methane emissions (t CH4)";"GWPCH4","Global warming potential for methane (t CO2-e / t CH4)"}, _xlpm.r, _xlpm.c))))</definedName>
    <definedName name="Common_Equations.Common_ConvertCH4ToCO2e_Arguments" localSheetId="3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 localSheetId="25">_xlfn.LAMBDA("CO2_e = E_{CH4} \times GWP_{CH4}")</definedName>
    <definedName name="Common_Equations.Common_ConvertCH4ToCO2e_LatexEquation" localSheetId="10">_xlfn.LAMBDA("CO2_e = E_{CH4} \times GWP_{CH4}")</definedName>
    <definedName name="Common_Equations.Common_ConvertCH4ToCO2e_LatexEquation" localSheetId="11">_xlfn.LAMBDA("CO2_e = E_{CH4} \times GWP_{CH4}")</definedName>
    <definedName name="Common_Equations.Common_ConvertCH4ToCO2e_LatexEquation" localSheetId="12">_xlfn.LAMBDA("CO2_e = E_{CH4} \times GWP_{CH4}")</definedName>
    <definedName name="Common_Equations.Common_ConvertCH4ToCO2e_LatexEquation" localSheetId="13">_xlfn.LAMBDA("CO2_e = E_{CH4} \times GWP_{CH4}")</definedName>
    <definedName name="Common_Equations.Common_ConvertCH4ToCO2e_LatexEquation" localSheetId="14">_xlfn.LAMBDA("CO2_e = E_{CH4} \times GWP_{CH4}")</definedName>
    <definedName name="Common_Equations.Common_ConvertCH4ToCO2e_LatexEquation" localSheetId="15">_xlfn.LAMBDA("CO2_e = E_{CH4} \times GWP_{CH4}")</definedName>
    <definedName name="Common_Equations.Common_ConvertCH4ToCO2e_LatexEquation" localSheetId="16">_xlfn.LAMBDA("CO2_e = E_{CH4} \times GWP_{CH4}")</definedName>
    <definedName name="Common_Equations.Common_ConvertCH4ToCO2e_LatexEquation" localSheetId="17">_xlfn.LAMBDA("CO2_e = E_{CH4} \times GWP_{CH4}")</definedName>
    <definedName name="Common_Equations.Common_ConvertCH4ToCO2e_LatexEquation" localSheetId="18">_xlfn.LAMBDA("CO2_e = E_{CH4} \times GWP_{CH4}")</definedName>
    <definedName name="Common_Equations.Common_ConvertCH4ToCO2e_LatexEquation" localSheetId="19">_xlfn.LAMBDA("CO2_e = E_{CH4} \times GWP_{CH4}")</definedName>
    <definedName name="Common_Equations.Common_ConvertCH4ToCO2e_LatexEquation" localSheetId="20">_xlfn.LAMBDA("CO2_e = E_{CH4} \times GWP_{CH4}")</definedName>
    <definedName name="Common_Equations.Common_ConvertCH4ToCO2e_LatexEquation" localSheetId="21">_xlfn.LAMBDA("CO2_e = E_{CH4} \times GWP_{CH4}")</definedName>
    <definedName name="Common_Equations.Common_ConvertCH4ToCO2e_LatexEquation" localSheetId="22">_xlfn.LAMBDA("CO2_e = E_{CH4} \times GWP_{CH4}")</definedName>
    <definedName name="Common_Equations.Common_ConvertCH4ToCO2e_LatexEquation" localSheetId="23">_xlfn.LAMBDA("CO2_e = E_{CH4} \times GWP_{CH4}")</definedName>
    <definedName name="Common_Equations.Common_ConvertCH4ToCO2e_LatexEquation" localSheetId="24">_xlfn.LAMBDA("CO2_e = E_{CH4} \times GWP_{CH4}")</definedName>
    <definedName name="Common_Equations.Common_ConvertCH4ToCO2e_LatexEquation" localSheetId="33">_xlfn.LAMBDA("CO2_e = E_{CH4} \times GWP_{CH4}")</definedName>
    <definedName name="Common_Equations.Common_ConvertCH4ToCO2e_LatexEquation" localSheetId="27">_xlfn.LAMBDA("CO2_e = E_{CH4} \times GWP_{CH4}")</definedName>
    <definedName name="Common_Equations.Common_ConvertCH4ToCO2e_LatexEquation" localSheetId="32">_xlfn.LAMBDA("CO2_e = E_{CH4} \times GWP_{CH4}")</definedName>
    <definedName name="Common_Equations.Common_ConvertCH4ToCO2e_LatexEquation" localSheetId="29">_xlfn.LAMBDA("CO2_e = E_{CH4} \times GWP_{CH4}")</definedName>
    <definedName name="Common_Equations.Common_ConvertCH4ToCO2e_LatexEquation" localSheetId="30">_xlfn.LAMBDA("CO2_e = E_{CH4} \times GWP_{CH4}")</definedName>
    <definedName name="Common_Equations.Common_ConvertCH4ToCO2e_LatexEquation" localSheetId="31">_xlfn.LAMBDA("CO2_e = E_{CH4} \times GWP_{CH4}")</definedName>
    <definedName name="Common_Equations.Common_ConvertCH4ToCO2e_LatexEquation" localSheetId="28">_xlfn.LAMBDA("CO2_e = E_{CH4} \times GWP_{CH4}")</definedName>
    <definedName name="Common_Equations.Common_ConvertCH4ToCO2e_LatexEquation" localSheetId="26">_xlfn.LAMBDA("CO2_e = E_{CH4} \times GWP_{CH4}")</definedName>
    <definedName name="Common_Equations.Common_ConvertCH4ToCO2e_LatexEquation" localSheetId="9">_xlfn.LAMBDA("CO2_e = E_{CH4} \times GWP_{CH4}")</definedName>
    <definedName name="Common_Equations.Common_ConvertCH4ToCO2e_LatexEquation" localSheetId="7">_xlfn.LAMBDA("CO2_e = E_{CH4} \times GWP_{CH4}")</definedName>
    <definedName name="Common_Equations.Common_ConvertCH4ToCO2e_LatexEquation" localSheetId="8">_xlfn.LAMBDA("CO2_e = E_{CH4} \times GWP_{CH4}")</definedName>
    <definedName name="Common_Equations.Common_ConvertCH4ToCO2e_LatexEquation" localSheetId="6">_xlfn.LAMBDA("CO2_e = E_{CH4} \times GWP_{CH4}")</definedName>
    <definedName name="Common_Equations.Common_ConvertCH4ToCO2e_LatexEquation" localSheetId="4">_xlfn.LAMBDA("CO2_e = E_{CH4} \times GWP_{CH4}")</definedName>
    <definedName name="Common_Equations.Common_ConvertCH4ToCO2e_LatexEquation" localSheetId="3">_xlfn.LAMBDA("CO2_e = E_{CH4} \times GWP_{CH4}")</definedName>
    <definedName name="Common_Equations.Common_ConvertCH4ToCO2e_LatexEquation" localSheetId="34">_xlfn.LAMBDA("CO2_e = E_{CH4} \times GWP_{CH4}")</definedName>
    <definedName name="Common_Equations.Common_ConvertCH4ToCO2e_LatexEquation">_xlfn.LAMBDA("CO2_e = E_{CH4} \times GWP_{CH4}")</definedName>
    <definedName name="Common_Equations.Common_ConvertCH4ToCO2e_NIRReference" localSheetId="25">_xlfn.LAMBDA("")</definedName>
    <definedName name="Common_Equations.Common_ConvertCH4ToCO2e_NIRReference" localSheetId="10">_xlfn.LAMBDA("")</definedName>
    <definedName name="Common_Equations.Common_ConvertCH4ToCO2e_NIRReference" localSheetId="11">_xlfn.LAMBDA("")</definedName>
    <definedName name="Common_Equations.Common_ConvertCH4ToCO2e_NIRReference" localSheetId="12">_xlfn.LAMBDA("")</definedName>
    <definedName name="Common_Equations.Common_ConvertCH4ToCO2e_NIRReference" localSheetId="13">_xlfn.LAMBDA("")</definedName>
    <definedName name="Common_Equations.Common_ConvertCH4ToCO2e_NIRReference" localSheetId="14">_xlfn.LAMBDA("")</definedName>
    <definedName name="Common_Equations.Common_ConvertCH4ToCO2e_NIRReference" localSheetId="15">_xlfn.LAMBDA("")</definedName>
    <definedName name="Common_Equations.Common_ConvertCH4ToCO2e_NIRReference" localSheetId="16">_xlfn.LAMBDA("")</definedName>
    <definedName name="Common_Equations.Common_ConvertCH4ToCO2e_NIRReference" localSheetId="17">_xlfn.LAMBDA("")</definedName>
    <definedName name="Common_Equations.Common_ConvertCH4ToCO2e_NIRReference" localSheetId="18">_xlfn.LAMBDA("")</definedName>
    <definedName name="Common_Equations.Common_ConvertCH4ToCO2e_NIRReference" localSheetId="19">_xlfn.LAMBDA("")</definedName>
    <definedName name="Common_Equations.Common_ConvertCH4ToCO2e_NIRReference" localSheetId="20">_xlfn.LAMBDA("")</definedName>
    <definedName name="Common_Equations.Common_ConvertCH4ToCO2e_NIRReference" localSheetId="21">_xlfn.LAMBDA("")</definedName>
    <definedName name="Common_Equations.Common_ConvertCH4ToCO2e_NIRReference" localSheetId="22">_xlfn.LAMBDA("")</definedName>
    <definedName name="Common_Equations.Common_ConvertCH4ToCO2e_NIRReference" localSheetId="23">_xlfn.LAMBDA("")</definedName>
    <definedName name="Common_Equations.Common_ConvertCH4ToCO2e_NIRReference" localSheetId="24">_xlfn.LAMBDA("")</definedName>
    <definedName name="Common_Equations.Common_ConvertCH4ToCO2e_NIRReference" localSheetId="33">_xlfn.LAMBDA("")</definedName>
    <definedName name="Common_Equations.Common_ConvertCH4ToCO2e_NIRReference" localSheetId="27">_xlfn.LAMBDA("")</definedName>
    <definedName name="Common_Equations.Common_ConvertCH4ToCO2e_NIRReference" localSheetId="32">_xlfn.LAMBDA("")</definedName>
    <definedName name="Common_Equations.Common_ConvertCH4ToCO2e_NIRReference" localSheetId="29">_xlfn.LAMBDA("")</definedName>
    <definedName name="Common_Equations.Common_ConvertCH4ToCO2e_NIRReference" localSheetId="30">_xlfn.LAMBDA("")</definedName>
    <definedName name="Common_Equations.Common_ConvertCH4ToCO2e_NIRReference" localSheetId="31">_xlfn.LAMBDA("")</definedName>
    <definedName name="Common_Equations.Common_ConvertCH4ToCO2e_NIRReference" localSheetId="28">_xlfn.LAMBDA("")</definedName>
    <definedName name="Common_Equations.Common_ConvertCH4ToCO2e_NIRReference" localSheetId="26">_xlfn.LAMBDA("")</definedName>
    <definedName name="Common_Equations.Common_ConvertCH4ToCO2e_NIRReference" localSheetId="9">_xlfn.LAMBDA("")</definedName>
    <definedName name="Common_Equations.Common_ConvertCH4ToCO2e_NIRReference" localSheetId="7">_xlfn.LAMBDA("")</definedName>
    <definedName name="Common_Equations.Common_ConvertCH4ToCO2e_NIRReference" localSheetId="8">_xlfn.LAMBDA("")</definedName>
    <definedName name="Common_Equations.Common_ConvertCH4ToCO2e_NIRReference" localSheetId="6">_xlfn.LAMBDA("")</definedName>
    <definedName name="Common_Equations.Common_ConvertCH4ToCO2e_NIRReference" localSheetId="4">_xlfn.LAMBDA("")</definedName>
    <definedName name="Common_Equations.Common_ConvertCH4ToCO2e_NIRReference" localSheetId="3">_xlfn.LAMBDA("")</definedName>
    <definedName name="Common_Equations.Common_ConvertCH4ToCO2e_NIRReference" localSheetId="34">_xlfn.LAMBDA("")</definedName>
    <definedName name="Common_Equations.Common_ConvertCH4ToCO2e_NIRReference">_xlfn.LAMBDA("")</definedName>
    <definedName name="Common_Equations.Common_ConvertCH4ToCO2e_Title" localSheetId="25">_xlfn.LAMBDA("Convert methane emissions to carbon dioxide equivalent emissions")</definedName>
    <definedName name="Common_Equations.Common_ConvertCH4ToCO2e_Title" localSheetId="10">_xlfn.LAMBDA("Convert methane emissions to carbon dioxide equivalent emissions")</definedName>
    <definedName name="Common_Equations.Common_ConvertCH4ToCO2e_Title" localSheetId="11">_xlfn.LAMBDA("Convert methane emissions to carbon dioxide equivalent emissions")</definedName>
    <definedName name="Common_Equations.Common_ConvertCH4ToCO2e_Title" localSheetId="12">_xlfn.LAMBDA("Convert methane emissions to carbon dioxide equivalent emissions")</definedName>
    <definedName name="Common_Equations.Common_ConvertCH4ToCO2e_Title" localSheetId="13">_xlfn.LAMBDA("Convert methane emissions to carbon dioxide equivalent emissions")</definedName>
    <definedName name="Common_Equations.Common_ConvertCH4ToCO2e_Title" localSheetId="14">_xlfn.LAMBDA("Convert methane emissions to carbon dioxide equivalent emissions")</definedName>
    <definedName name="Common_Equations.Common_ConvertCH4ToCO2e_Title" localSheetId="15">_xlfn.LAMBDA("Convert methane emissions to carbon dioxide equivalent emissions")</definedName>
    <definedName name="Common_Equations.Common_ConvertCH4ToCO2e_Title" localSheetId="16">_xlfn.LAMBDA("Convert methane emissions to carbon dioxide equivalent emissions")</definedName>
    <definedName name="Common_Equations.Common_ConvertCH4ToCO2e_Title" localSheetId="17">_xlfn.LAMBDA("Convert methane emissions to carbon dioxide equivalent emissions")</definedName>
    <definedName name="Common_Equations.Common_ConvertCH4ToCO2e_Title" localSheetId="18">_xlfn.LAMBDA("Convert methane emissions to carbon dioxide equivalent emissions")</definedName>
    <definedName name="Common_Equations.Common_ConvertCH4ToCO2e_Title" localSheetId="19">_xlfn.LAMBDA("Convert methane emissions to carbon dioxide equivalent emissions")</definedName>
    <definedName name="Common_Equations.Common_ConvertCH4ToCO2e_Title" localSheetId="20">_xlfn.LAMBDA("Convert methane emissions to carbon dioxide equivalent emissions")</definedName>
    <definedName name="Common_Equations.Common_ConvertCH4ToCO2e_Title" localSheetId="21">_xlfn.LAMBDA("Convert methane emissions to carbon dioxide equivalent emissions")</definedName>
    <definedName name="Common_Equations.Common_ConvertCH4ToCO2e_Title" localSheetId="22">_xlfn.LAMBDA("Convert methane emissions to carbon dioxide equivalent emissions")</definedName>
    <definedName name="Common_Equations.Common_ConvertCH4ToCO2e_Title" localSheetId="23">_xlfn.LAMBDA("Convert methane emissions to carbon dioxide equivalent emissions")</definedName>
    <definedName name="Common_Equations.Common_ConvertCH4ToCO2e_Title" localSheetId="24">_xlfn.LAMBDA("Convert methane emissions to carbon dioxide equivalent emissions")</definedName>
    <definedName name="Common_Equations.Common_ConvertCH4ToCO2e_Title" localSheetId="33">_xlfn.LAMBDA("Convert methane emissions to carbon dioxide equivalent emissions")</definedName>
    <definedName name="Common_Equations.Common_ConvertCH4ToCO2e_Title" localSheetId="27">_xlfn.LAMBDA("Convert methane emissions to carbon dioxide equivalent emissions")</definedName>
    <definedName name="Common_Equations.Common_ConvertCH4ToCO2e_Title" localSheetId="32">_xlfn.LAMBDA("Convert methane emissions to carbon dioxide equivalent emissions")</definedName>
    <definedName name="Common_Equations.Common_ConvertCH4ToCO2e_Title" localSheetId="29">_xlfn.LAMBDA("Convert methane emissions to carbon dioxide equivalent emissions")</definedName>
    <definedName name="Common_Equations.Common_ConvertCH4ToCO2e_Title" localSheetId="30">_xlfn.LAMBDA("Convert methane emissions to carbon dioxide equivalent emissions")</definedName>
    <definedName name="Common_Equations.Common_ConvertCH4ToCO2e_Title" localSheetId="31">_xlfn.LAMBDA("Convert methane emissions to carbon dioxide equivalent emissions")</definedName>
    <definedName name="Common_Equations.Common_ConvertCH4ToCO2e_Title" localSheetId="28">_xlfn.LAMBDA("Convert methane emissions to carbon dioxide equivalent emissions")</definedName>
    <definedName name="Common_Equations.Common_ConvertCH4ToCO2e_Title" localSheetId="26">_xlfn.LAMBDA("Convert methane emissions to carbon dioxide equivalent emissions")</definedName>
    <definedName name="Common_Equations.Common_ConvertCH4ToCO2e_Title" localSheetId="9">_xlfn.LAMBDA("Convert methane emissions to carbon dioxide equivalent emissions")</definedName>
    <definedName name="Common_Equations.Common_ConvertCH4ToCO2e_Title" localSheetId="7">_xlfn.LAMBDA("Convert methane emissions to carbon dioxide equivalent emissions")</definedName>
    <definedName name="Common_Equations.Common_ConvertCH4ToCO2e_Title" localSheetId="8">_xlfn.LAMBDA("Convert methane emissions to carbon dioxide equivalent emissions")</definedName>
    <definedName name="Common_Equations.Common_ConvertCH4ToCO2e_Title" localSheetId="6">_xlfn.LAMBDA("Convert methane emissions to carbon dioxide equivalent emissions")</definedName>
    <definedName name="Common_Equations.Common_ConvertCH4ToCO2e_Title" localSheetId="4">_xlfn.LAMBDA("Convert methane emissions to carbon dioxide equivalent emissions")</definedName>
    <definedName name="Common_Equations.Common_ConvertCH4ToCO2e_Title" localSheetId="3">_xlfn.LAMBDA("Convert methane emissions to carbon dioxide equivalent emissions")</definedName>
    <definedName name="Common_Equations.Common_ConvertCH4ToCO2e_Title" localSheetId="34">_xlfn.LAMBDA("Convert methane emissions to carbon dioxide equivalent emissions")</definedName>
    <definedName name="Common_Equations.Common_ConvertCH4ToCO2e_Title">_xlfn.LAMBDA("Convert methane emissions to carbon dioxide equivalent emissions")</definedName>
    <definedName name="Common_Equations.Common_ConvertCH4ToCO2e_Unit" localSheetId="25">_xlfn.LAMBDA("t CO2e")</definedName>
    <definedName name="Common_Equations.Common_ConvertCH4ToCO2e_Unit" localSheetId="10">_xlfn.LAMBDA("t CO2e")</definedName>
    <definedName name="Common_Equations.Common_ConvertCH4ToCO2e_Unit" localSheetId="11">_xlfn.LAMBDA("t CO2e")</definedName>
    <definedName name="Common_Equations.Common_ConvertCH4ToCO2e_Unit" localSheetId="12">_xlfn.LAMBDA("t CO2e")</definedName>
    <definedName name="Common_Equations.Common_ConvertCH4ToCO2e_Unit" localSheetId="13">_xlfn.LAMBDA("t CO2e")</definedName>
    <definedName name="Common_Equations.Common_ConvertCH4ToCO2e_Unit" localSheetId="14">_xlfn.LAMBDA("t CO2e")</definedName>
    <definedName name="Common_Equations.Common_ConvertCH4ToCO2e_Unit" localSheetId="15">_xlfn.LAMBDA("t CO2e")</definedName>
    <definedName name="Common_Equations.Common_ConvertCH4ToCO2e_Unit" localSheetId="16">_xlfn.LAMBDA("t CO2e")</definedName>
    <definedName name="Common_Equations.Common_ConvertCH4ToCO2e_Unit" localSheetId="17">_xlfn.LAMBDA("t CO2e")</definedName>
    <definedName name="Common_Equations.Common_ConvertCH4ToCO2e_Unit" localSheetId="18">_xlfn.LAMBDA("t CO2e")</definedName>
    <definedName name="Common_Equations.Common_ConvertCH4ToCO2e_Unit" localSheetId="19">_xlfn.LAMBDA("t CO2e")</definedName>
    <definedName name="Common_Equations.Common_ConvertCH4ToCO2e_Unit" localSheetId="20">_xlfn.LAMBDA("t CO2e")</definedName>
    <definedName name="Common_Equations.Common_ConvertCH4ToCO2e_Unit" localSheetId="21">_xlfn.LAMBDA("t CO2e")</definedName>
    <definedName name="Common_Equations.Common_ConvertCH4ToCO2e_Unit" localSheetId="22">_xlfn.LAMBDA("t CO2e")</definedName>
    <definedName name="Common_Equations.Common_ConvertCH4ToCO2e_Unit" localSheetId="23">_xlfn.LAMBDA("t CO2e")</definedName>
    <definedName name="Common_Equations.Common_ConvertCH4ToCO2e_Unit" localSheetId="24">_xlfn.LAMBDA("t CO2e")</definedName>
    <definedName name="Common_Equations.Common_ConvertCH4ToCO2e_Unit" localSheetId="33">_xlfn.LAMBDA("t CO2e")</definedName>
    <definedName name="Common_Equations.Common_ConvertCH4ToCO2e_Unit" localSheetId="27">_xlfn.LAMBDA("t CO2e")</definedName>
    <definedName name="Common_Equations.Common_ConvertCH4ToCO2e_Unit" localSheetId="32">_xlfn.LAMBDA("t CO2e")</definedName>
    <definedName name="Common_Equations.Common_ConvertCH4ToCO2e_Unit" localSheetId="29">_xlfn.LAMBDA("t CO2e")</definedName>
    <definedName name="Common_Equations.Common_ConvertCH4ToCO2e_Unit" localSheetId="30">_xlfn.LAMBDA("t CO2e")</definedName>
    <definedName name="Common_Equations.Common_ConvertCH4ToCO2e_Unit" localSheetId="31">_xlfn.LAMBDA("t CO2e")</definedName>
    <definedName name="Common_Equations.Common_ConvertCH4ToCO2e_Unit" localSheetId="28">_xlfn.LAMBDA("t CO2e")</definedName>
    <definedName name="Common_Equations.Common_ConvertCH4ToCO2e_Unit" localSheetId="26">_xlfn.LAMBDA("t CO2e")</definedName>
    <definedName name="Common_Equations.Common_ConvertCH4ToCO2e_Unit" localSheetId="9">_xlfn.LAMBDA("t CO2e")</definedName>
    <definedName name="Common_Equations.Common_ConvertCH4ToCO2e_Unit" localSheetId="7">_xlfn.LAMBDA("t CO2e")</definedName>
    <definedName name="Common_Equations.Common_ConvertCH4ToCO2e_Unit" localSheetId="8">_xlfn.LAMBDA("t CO2e")</definedName>
    <definedName name="Common_Equations.Common_ConvertCH4ToCO2e_Unit" localSheetId="6">_xlfn.LAMBDA("t CO2e")</definedName>
    <definedName name="Common_Equations.Common_ConvertCH4ToCO2e_Unit" localSheetId="4">_xlfn.LAMBDA("t CO2e")</definedName>
    <definedName name="Common_Equations.Common_ConvertCH4ToCO2e_Unit" localSheetId="3">_xlfn.LAMBDA("t CO2e")</definedName>
    <definedName name="Common_Equations.Common_ConvertCH4ToCO2e_Unit" localSheetId="34">_xlfn.LAMBDA("t CO2e")</definedName>
    <definedName name="Common_Equations.Common_ConvertCH4ToCO2e_Unit">_xlfn.LAMBDA("t CO2e")</definedName>
    <definedName name="Common_Equations.Common_ConvertCH4ToCO2e_Variable" localSheetId="25">_xlfn.LAMBDA("ECH4 CO2e")</definedName>
    <definedName name="Common_Equations.Common_ConvertCH4ToCO2e_Variable" localSheetId="10">_xlfn.LAMBDA("ECH4 CO2e")</definedName>
    <definedName name="Common_Equations.Common_ConvertCH4ToCO2e_Variable" localSheetId="11">_xlfn.LAMBDA("ECH4 CO2e")</definedName>
    <definedName name="Common_Equations.Common_ConvertCH4ToCO2e_Variable" localSheetId="12">_xlfn.LAMBDA("ECH4 CO2e")</definedName>
    <definedName name="Common_Equations.Common_ConvertCH4ToCO2e_Variable" localSheetId="13">_xlfn.LAMBDA("ECH4 CO2e")</definedName>
    <definedName name="Common_Equations.Common_ConvertCH4ToCO2e_Variable" localSheetId="14">_xlfn.LAMBDA("ECH4 CO2e")</definedName>
    <definedName name="Common_Equations.Common_ConvertCH4ToCO2e_Variable" localSheetId="15">_xlfn.LAMBDA("ECH4 CO2e")</definedName>
    <definedName name="Common_Equations.Common_ConvertCH4ToCO2e_Variable" localSheetId="16">_xlfn.LAMBDA("ECH4 CO2e")</definedName>
    <definedName name="Common_Equations.Common_ConvertCH4ToCO2e_Variable" localSheetId="17">_xlfn.LAMBDA("ECH4 CO2e")</definedName>
    <definedName name="Common_Equations.Common_ConvertCH4ToCO2e_Variable" localSheetId="18">_xlfn.LAMBDA("ECH4 CO2e")</definedName>
    <definedName name="Common_Equations.Common_ConvertCH4ToCO2e_Variable" localSheetId="19">_xlfn.LAMBDA("ECH4 CO2e")</definedName>
    <definedName name="Common_Equations.Common_ConvertCH4ToCO2e_Variable" localSheetId="20">_xlfn.LAMBDA("ECH4 CO2e")</definedName>
    <definedName name="Common_Equations.Common_ConvertCH4ToCO2e_Variable" localSheetId="21">_xlfn.LAMBDA("ECH4 CO2e")</definedName>
    <definedName name="Common_Equations.Common_ConvertCH4ToCO2e_Variable" localSheetId="22">_xlfn.LAMBDA("ECH4 CO2e")</definedName>
    <definedName name="Common_Equations.Common_ConvertCH4ToCO2e_Variable" localSheetId="23">_xlfn.LAMBDA("ECH4 CO2e")</definedName>
    <definedName name="Common_Equations.Common_ConvertCH4ToCO2e_Variable" localSheetId="24">_xlfn.LAMBDA("ECH4 CO2e")</definedName>
    <definedName name="Common_Equations.Common_ConvertCH4ToCO2e_Variable" localSheetId="33">_xlfn.LAMBDA("ECH4 CO2e")</definedName>
    <definedName name="Common_Equations.Common_ConvertCH4ToCO2e_Variable" localSheetId="27">_xlfn.LAMBDA("ECH4 CO2e")</definedName>
    <definedName name="Common_Equations.Common_ConvertCH4ToCO2e_Variable" localSheetId="32">_xlfn.LAMBDA("ECH4 CO2e")</definedName>
    <definedName name="Common_Equations.Common_ConvertCH4ToCO2e_Variable" localSheetId="29">_xlfn.LAMBDA("ECH4 CO2e")</definedName>
    <definedName name="Common_Equations.Common_ConvertCH4ToCO2e_Variable" localSheetId="30">_xlfn.LAMBDA("ECH4 CO2e")</definedName>
    <definedName name="Common_Equations.Common_ConvertCH4ToCO2e_Variable" localSheetId="31">_xlfn.LAMBDA("ECH4 CO2e")</definedName>
    <definedName name="Common_Equations.Common_ConvertCH4ToCO2e_Variable" localSheetId="28">_xlfn.LAMBDA("ECH4 CO2e")</definedName>
    <definedName name="Common_Equations.Common_ConvertCH4ToCO2e_Variable" localSheetId="26">_xlfn.LAMBDA("ECH4 CO2e")</definedName>
    <definedName name="Common_Equations.Common_ConvertCH4ToCO2e_Variable" localSheetId="9">_xlfn.LAMBDA("ECH4 CO2e")</definedName>
    <definedName name="Common_Equations.Common_ConvertCH4ToCO2e_Variable" localSheetId="7">_xlfn.LAMBDA("ECH4 CO2e")</definedName>
    <definedName name="Common_Equations.Common_ConvertCH4ToCO2e_Variable" localSheetId="8">_xlfn.LAMBDA("ECH4 CO2e")</definedName>
    <definedName name="Common_Equations.Common_ConvertCH4ToCO2e_Variable" localSheetId="6">_xlfn.LAMBDA("ECH4 CO2e")</definedName>
    <definedName name="Common_Equations.Common_ConvertCH4ToCO2e_Variable" localSheetId="4">_xlfn.LAMBDA("ECH4 CO2e")</definedName>
    <definedName name="Common_Equations.Common_ConvertCH4ToCO2e_Variable" localSheetId="3">_xlfn.LAMBDA("ECH4 CO2e")</definedName>
    <definedName name="Common_Equations.Common_ConvertCH4ToCO2e_Variable" localSheetId="34">_xlfn.LAMBDA("ECH4 CO2e")</definedName>
    <definedName name="Common_Equations.Common_ConvertCH4ToCO2e_Variable">_xlfn.LAMBDA("ECH4 CO2e")</definedName>
    <definedName name="Common_Equations.Common_ConvertN2OToCO2e" localSheetId="25">_xlfn.LAMBDA(_xlpm.E_N2O,_xlpm.GWP_N2O, _xlpm.E_N2O * _xlpm.GWP_N2O)</definedName>
    <definedName name="Common_Equations.Common_ConvertN2OToCO2e" localSheetId="10">_xlfn.LAMBDA(_xlpm.E_N2O,_xlpm.GWP_N2O, _xlpm.E_N2O * _xlpm.GWP_N2O)</definedName>
    <definedName name="Common_Equations.Common_ConvertN2OToCO2e" localSheetId="11">_xlfn.LAMBDA(_xlpm.E_N2O,_xlpm.GWP_N2O, _xlpm.E_N2O * _xlpm.GWP_N2O)</definedName>
    <definedName name="Common_Equations.Common_ConvertN2OToCO2e" localSheetId="12">_xlfn.LAMBDA(_xlpm.E_N2O,_xlpm.GWP_N2O, _xlpm.E_N2O * _xlpm.GWP_N2O)</definedName>
    <definedName name="Common_Equations.Common_ConvertN2OToCO2e" localSheetId="13">_xlfn.LAMBDA(_xlpm.E_N2O,_xlpm.GWP_N2O, _xlpm.E_N2O * _xlpm.GWP_N2O)</definedName>
    <definedName name="Common_Equations.Common_ConvertN2OToCO2e" localSheetId="14">_xlfn.LAMBDA(_xlpm.E_N2O,_xlpm.GWP_N2O, _xlpm.E_N2O * _xlpm.GWP_N2O)</definedName>
    <definedName name="Common_Equations.Common_ConvertN2OToCO2e" localSheetId="15">_xlfn.LAMBDA(_xlpm.E_N2O,_xlpm.GWP_N2O, _xlpm.E_N2O * _xlpm.GWP_N2O)</definedName>
    <definedName name="Common_Equations.Common_ConvertN2OToCO2e" localSheetId="16">_xlfn.LAMBDA(_xlpm.E_N2O,_xlpm.GWP_N2O, _xlpm.E_N2O * _xlpm.GWP_N2O)</definedName>
    <definedName name="Common_Equations.Common_ConvertN2OToCO2e" localSheetId="17">_xlfn.LAMBDA(_xlpm.E_N2O,_xlpm.GWP_N2O, _xlpm.E_N2O * _xlpm.GWP_N2O)</definedName>
    <definedName name="Common_Equations.Common_ConvertN2OToCO2e" localSheetId="18">_xlfn.LAMBDA(_xlpm.E_N2O,_xlpm.GWP_N2O, _xlpm.E_N2O * _xlpm.GWP_N2O)</definedName>
    <definedName name="Common_Equations.Common_ConvertN2OToCO2e" localSheetId="19">_xlfn.LAMBDA(_xlpm.E_N2O,_xlpm.GWP_N2O, _xlpm.E_N2O * _xlpm.GWP_N2O)</definedName>
    <definedName name="Common_Equations.Common_ConvertN2OToCO2e" localSheetId="20">_xlfn.LAMBDA(_xlpm.E_N2O,_xlpm.GWP_N2O, _xlpm.E_N2O * _xlpm.GWP_N2O)</definedName>
    <definedName name="Common_Equations.Common_ConvertN2OToCO2e" localSheetId="21">_xlfn.LAMBDA(_xlpm.E_N2O,_xlpm.GWP_N2O, _xlpm.E_N2O * _xlpm.GWP_N2O)</definedName>
    <definedName name="Common_Equations.Common_ConvertN2OToCO2e" localSheetId="22">_xlfn.LAMBDA(_xlpm.E_N2O,_xlpm.GWP_N2O, _xlpm.E_N2O * _xlpm.GWP_N2O)</definedName>
    <definedName name="Common_Equations.Common_ConvertN2OToCO2e" localSheetId="23">_xlfn.LAMBDA(_xlpm.E_N2O,_xlpm.GWP_N2O, _xlpm.E_N2O * _xlpm.GWP_N2O)</definedName>
    <definedName name="Common_Equations.Common_ConvertN2OToCO2e" localSheetId="24">_xlfn.LAMBDA(_xlpm.E_N2O,_xlpm.GWP_N2O, _xlpm.E_N2O * _xlpm.GWP_N2O)</definedName>
    <definedName name="Common_Equations.Common_ConvertN2OToCO2e" localSheetId="33">_xlfn.LAMBDA(_xlpm.E_N2O,_xlpm.GWP_N2O, _xlpm.E_N2O * _xlpm.GWP_N2O)</definedName>
    <definedName name="Common_Equations.Common_ConvertN2OToCO2e" localSheetId="27">_xlfn.LAMBDA(_xlpm.E_N2O,_xlpm.GWP_N2O, _xlpm.E_N2O * _xlpm.GWP_N2O)</definedName>
    <definedName name="Common_Equations.Common_ConvertN2OToCO2e" localSheetId="32">_xlfn.LAMBDA(_xlpm.E_N2O,_xlpm.GWP_N2O, _xlpm.E_N2O * _xlpm.GWP_N2O)</definedName>
    <definedName name="Common_Equations.Common_ConvertN2OToCO2e" localSheetId="29">_xlfn.LAMBDA(_xlpm.E_N2O,_xlpm.GWP_N2O, _xlpm.E_N2O * _xlpm.GWP_N2O)</definedName>
    <definedName name="Common_Equations.Common_ConvertN2OToCO2e" localSheetId="30">_xlfn.LAMBDA(_xlpm.E_N2O,_xlpm.GWP_N2O, _xlpm.E_N2O * _xlpm.GWP_N2O)</definedName>
    <definedName name="Common_Equations.Common_ConvertN2OToCO2e" localSheetId="31">_xlfn.LAMBDA(_xlpm.E_N2O,_xlpm.GWP_N2O, _xlpm.E_N2O * _xlpm.GWP_N2O)</definedName>
    <definedName name="Common_Equations.Common_ConvertN2OToCO2e" localSheetId="28">_xlfn.LAMBDA(_xlpm.E_N2O,_xlpm.GWP_N2O, _xlpm.E_N2O * _xlpm.GWP_N2O)</definedName>
    <definedName name="Common_Equations.Common_ConvertN2OToCO2e" localSheetId="26">_xlfn.LAMBDA(_xlpm.E_N2O,_xlpm.GWP_N2O, _xlpm.E_N2O * _xlpm.GWP_N2O)</definedName>
    <definedName name="Common_Equations.Common_ConvertN2OToCO2e" localSheetId="9">_xlfn.LAMBDA(_xlpm.E_N2O,_xlpm.GWP_N2O, _xlpm.E_N2O * _xlpm.GWP_N2O)</definedName>
    <definedName name="Common_Equations.Common_ConvertN2OToCO2e" localSheetId="7">_xlfn.LAMBDA(_xlpm.E_N2O,_xlpm.GWP_N2O, _xlpm.E_N2O * _xlpm.GWP_N2O)</definedName>
    <definedName name="Common_Equations.Common_ConvertN2OToCO2e" localSheetId="8">_xlfn.LAMBDA(_xlpm.E_N2O,_xlpm.GWP_N2O, _xlpm.E_N2O * _xlpm.GWP_N2O)</definedName>
    <definedName name="Common_Equations.Common_ConvertN2OToCO2e" localSheetId="6">_xlfn.LAMBDA(_xlpm.E_N2O,_xlpm.GWP_N2O, _xlpm.E_N2O * _xlpm.GWP_N2O)</definedName>
    <definedName name="Common_Equations.Common_ConvertN2OToCO2e" localSheetId="4">_xlfn.LAMBDA(_xlpm.E_N2O,_xlpm.GWP_N2O, _xlpm.E_N2O * _xlpm.GWP_N2O)</definedName>
    <definedName name="Common_Equations.Common_ConvertN2OToCO2e" localSheetId="3">_xlfn.LAMBDA(_xlpm.E_N2O,_xlpm.GWP_N2O, _xlpm.E_N2O * _xlpm.GWP_N2O)</definedName>
    <definedName name="Common_Equations.Common_ConvertN2OToCO2e" localSheetId="34">_xlfn.LAMBDA(_xlpm.E_N2O,_xlpm.GWP_N2O, _xlpm.E_N2O * _xlpm.GWP_N2O)</definedName>
    <definedName name="Common_Equations.Common_ConvertN2OToCO2e">_xlfn.LAMBDA(_xlpm.E_N2O,_xlpm.GWP_N2O, _xlpm.E_N2O * _xlpm.GWP_N2O)</definedName>
    <definedName name="Common_Equations.Common_ConvertN2OToCO2e_Arguments" localSheetId="25">_xlfn.LAMBDA(_xlfn.MAKEARRAY(2, 2, _xlfn.LAMBDA(_xlpm.r,_xlpm.c, INDEX({"EN2O","Nitrous oxide emissions (t N2O)";"GWPN2O","Global warming potential for nitrous oxide (t CO2-e / t N2O)"}, _xlpm.r, _xlpm.c))))</definedName>
    <definedName name="Common_Equations.Common_ConvertN2OToCO2e_Arguments" localSheetId="10">_xlfn.LAMBDA(_xlfn.MAKEARRAY(2, 2, _xlfn.LAMBDA(_xlpm.r,_xlpm.c, INDEX({"EN2O","Nitrous oxide emissions (t N2O)";"GWPN2O","Global warming potential for nitrous oxide (t CO2-e / t N2O)"}, _xlpm.r, _xlpm.c))))</definedName>
    <definedName name="Common_Equations.Common_ConvertN2OToCO2e_Arguments" localSheetId="11">_xlfn.LAMBDA(_xlfn.MAKEARRAY(2, 2, _xlfn.LAMBDA(_xlpm.r,_xlpm.c, INDEX({"EN2O","Nitrous oxide emissions (t N2O)";"GWPN2O","Global warming potential for nitrous oxide (t CO2-e / t N2O)"}, _xlpm.r, _xlpm.c))))</definedName>
    <definedName name="Common_Equations.Common_ConvertN2OToCO2e_Arguments" localSheetId="12">_xlfn.LAMBDA(_xlfn.MAKEARRAY(2, 2, _xlfn.LAMBDA(_xlpm.r,_xlpm.c, INDEX({"EN2O","Nitrous oxide emissions (t N2O)";"GWPN2O","Global warming potential for nitrous oxide (t CO2-e / t N2O)"}, _xlpm.r, _xlpm.c))))</definedName>
    <definedName name="Common_Equations.Common_ConvertN2OToCO2e_Arguments" localSheetId="13">_xlfn.LAMBDA(_xlfn.MAKEARRAY(2, 2, _xlfn.LAMBDA(_xlpm.r,_xlpm.c, INDEX({"EN2O","Nitrous oxide emissions (t N2O)";"GWPN2O","Global warming potential for nitrous oxide (t CO2-e / t N2O)"}, _xlpm.r, _xlpm.c))))</definedName>
    <definedName name="Common_Equations.Common_ConvertN2OToCO2e_Arguments" localSheetId="14">_xlfn.LAMBDA(_xlfn.MAKEARRAY(2, 2, _xlfn.LAMBDA(_xlpm.r,_xlpm.c, INDEX({"EN2O","Nitrous oxide emissions (t N2O)";"GWPN2O","Global warming potential for nitrous oxide (t CO2-e / t N2O)"}, _xlpm.r, _xlpm.c))))</definedName>
    <definedName name="Common_Equations.Common_ConvertN2OToCO2e_Arguments" localSheetId="15">_xlfn.LAMBDA(_xlfn.MAKEARRAY(2, 2, _xlfn.LAMBDA(_xlpm.r,_xlpm.c, INDEX({"EN2O","Nitrous oxide emissions (t N2O)";"GWPN2O","Global warming potential for nitrous oxide (t CO2-e / t N2O)"}, _xlpm.r, _xlpm.c))))</definedName>
    <definedName name="Common_Equations.Common_ConvertN2OToCO2e_Arguments" localSheetId="16">_xlfn.LAMBDA(_xlfn.MAKEARRAY(2, 2, _xlfn.LAMBDA(_xlpm.r,_xlpm.c, INDEX({"EN2O","Nitrous oxide emissions (t N2O)";"GWPN2O","Global warming potential for nitrous oxide (t CO2-e / t N2O)"}, _xlpm.r, _xlpm.c))))</definedName>
    <definedName name="Common_Equations.Common_ConvertN2OToCO2e_Arguments" localSheetId="17">_xlfn.LAMBDA(_xlfn.MAKEARRAY(2, 2, _xlfn.LAMBDA(_xlpm.r,_xlpm.c, INDEX({"EN2O","Nitrous oxide emissions (t N2O)";"GWPN2O","Global warming potential for nitrous oxide (t CO2-e / t N2O)"}, _xlpm.r, _xlpm.c))))</definedName>
    <definedName name="Common_Equations.Common_ConvertN2OToCO2e_Arguments" localSheetId="18">_xlfn.LAMBDA(_xlfn.MAKEARRAY(2, 2, _xlfn.LAMBDA(_xlpm.r,_xlpm.c, INDEX({"EN2O","Nitrous oxide emissions (t N2O)";"GWPN2O","Global warming potential for nitrous oxide (t CO2-e / t N2O)"}, _xlpm.r, _xlpm.c))))</definedName>
    <definedName name="Common_Equations.Common_ConvertN2OToCO2e_Arguments" localSheetId="19">_xlfn.LAMBDA(_xlfn.MAKEARRAY(2, 2, _xlfn.LAMBDA(_xlpm.r,_xlpm.c, INDEX({"EN2O","Nitrous oxide emissions (t N2O)";"GWPN2O","Global warming potential for nitrous oxide (t CO2-e / t N2O)"}, _xlpm.r, _xlpm.c))))</definedName>
    <definedName name="Common_Equations.Common_ConvertN2OToCO2e_Arguments" localSheetId="20">_xlfn.LAMBDA(_xlfn.MAKEARRAY(2, 2, _xlfn.LAMBDA(_xlpm.r,_xlpm.c, INDEX({"EN2O","Nitrous oxide emissions (t N2O)";"GWPN2O","Global warming potential for nitrous oxide (t CO2-e / t N2O)"}, _xlpm.r, _xlpm.c))))</definedName>
    <definedName name="Common_Equations.Common_ConvertN2OToCO2e_Arguments" localSheetId="21">_xlfn.LAMBDA(_xlfn.MAKEARRAY(2, 2, _xlfn.LAMBDA(_xlpm.r,_xlpm.c, INDEX({"EN2O","Nitrous oxide emissions (t N2O)";"GWPN2O","Global warming potential for nitrous oxide (t CO2-e / t N2O)"}, _xlpm.r, _xlpm.c))))</definedName>
    <definedName name="Common_Equations.Common_ConvertN2OToCO2e_Arguments" localSheetId="22">_xlfn.LAMBDA(_xlfn.MAKEARRAY(2, 2, _xlfn.LAMBDA(_xlpm.r,_xlpm.c, INDEX({"EN2O","Nitrous oxide emissions (t N2O)";"GWPN2O","Global warming potential for nitrous oxide (t CO2-e / t N2O)"}, _xlpm.r, _xlpm.c))))</definedName>
    <definedName name="Common_Equations.Common_ConvertN2OToCO2e_Arguments" localSheetId="23">_xlfn.LAMBDA(_xlfn.MAKEARRAY(2, 2, _xlfn.LAMBDA(_xlpm.r,_xlpm.c, INDEX({"EN2O","Nitrous oxide emissions (t N2O)";"GWPN2O","Global warming potential for nitrous oxide (t CO2-e / t N2O)"}, _xlpm.r, _xlpm.c))))</definedName>
    <definedName name="Common_Equations.Common_ConvertN2OToCO2e_Arguments" localSheetId="24">_xlfn.LAMBDA(_xlfn.MAKEARRAY(2, 2, _xlfn.LAMBDA(_xlpm.r,_xlpm.c, INDEX({"EN2O","Nitrous oxide emissions (t N2O)";"GWPN2O","Global warming potential for nitrous oxide (t CO2-e / t N2O)"}, _xlpm.r, _xlpm.c))))</definedName>
    <definedName name="Common_Equations.Common_ConvertN2OToCO2e_Arguments" localSheetId="33">_xlfn.LAMBDA(_xlfn.MAKEARRAY(2, 2, _xlfn.LAMBDA(_xlpm.r,_xlpm.c, INDEX({"EN2O","Nitrous oxide emissions (t N2O)";"GWPN2O","Global warming potential for nitrous oxide (t CO2-e / t N2O)"}, _xlpm.r, _xlpm.c))))</definedName>
    <definedName name="Common_Equations.Common_ConvertN2OToCO2e_Arguments" localSheetId="27">_xlfn.LAMBDA(_xlfn.MAKEARRAY(2, 2, _xlfn.LAMBDA(_xlpm.r,_xlpm.c, INDEX({"EN2O","Nitrous oxide emissions (t N2O)";"GWPN2O","Global warming potential for nitrous oxide (t CO2-e / t N2O)"}, _xlpm.r, _xlpm.c))))</definedName>
    <definedName name="Common_Equations.Common_ConvertN2OToCO2e_Arguments" localSheetId="32">_xlfn.LAMBDA(_xlfn.MAKEARRAY(2, 2, _xlfn.LAMBDA(_xlpm.r,_xlpm.c, INDEX({"EN2O","Nitrous oxide emissions (t N2O)";"GWPN2O","Global warming potential for nitrous oxide (t CO2-e / t N2O)"}, _xlpm.r, _xlpm.c))))</definedName>
    <definedName name="Common_Equations.Common_ConvertN2OToCO2e_Arguments" localSheetId="29">_xlfn.LAMBDA(_xlfn.MAKEARRAY(2, 2, _xlfn.LAMBDA(_xlpm.r,_xlpm.c, INDEX({"EN2O","Nitrous oxide emissions (t N2O)";"GWPN2O","Global warming potential for nitrous oxide (t CO2-e / t N2O)"}, _xlpm.r, _xlpm.c))))</definedName>
    <definedName name="Common_Equations.Common_ConvertN2OToCO2e_Arguments" localSheetId="30">_xlfn.LAMBDA(_xlfn.MAKEARRAY(2, 2, _xlfn.LAMBDA(_xlpm.r,_xlpm.c, INDEX({"EN2O","Nitrous oxide emissions (t N2O)";"GWPN2O","Global warming potential for nitrous oxide (t CO2-e / t N2O)"}, _xlpm.r, _xlpm.c))))</definedName>
    <definedName name="Common_Equations.Common_ConvertN2OToCO2e_Arguments" localSheetId="31">_xlfn.LAMBDA(_xlfn.MAKEARRAY(2, 2, _xlfn.LAMBDA(_xlpm.r,_xlpm.c, INDEX({"EN2O","Nitrous oxide emissions (t N2O)";"GWPN2O","Global warming potential for nitrous oxide (t CO2-e / t N2O)"}, _xlpm.r, _xlpm.c))))</definedName>
    <definedName name="Common_Equations.Common_ConvertN2OToCO2e_Arguments" localSheetId="28">_xlfn.LAMBDA(_xlfn.MAKEARRAY(2, 2, _xlfn.LAMBDA(_xlpm.r,_xlpm.c, INDEX({"EN2O","Nitrous oxide emissions (t N2O)";"GWPN2O","Global warming potential for nitrous oxide (t CO2-e / t N2O)"}, _xlpm.r, _xlpm.c))))</definedName>
    <definedName name="Common_Equations.Common_ConvertN2OToCO2e_Arguments" localSheetId="26">_xlfn.LAMBDA(_xlfn.MAKEARRAY(2, 2, _xlfn.LAMBDA(_xlpm.r,_xlpm.c, INDEX({"EN2O","Nitrous oxide emissions (t N2O)";"GWPN2O","Global warming potential for nitrous oxide (t CO2-e / t N2O)"}, _xlpm.r, _xlpm.c))))</definedName>
    <definedName name="Common_Equations.Common_ConvertN2OToCO2e_Arguments" localSheetId="9">_xlfn.LAMBDA(_xlfn.MAKEARRAY(2, 2, _xlfn.LAMBDA(_xlpm.r,_xlpm.c, INDEX({"EN2O","Nitrous oxide emissions (t N2O)";"GWPN2O","Global warming potential for nitrous oxide (t CO2-e / t N2O)"}, _xlpm.r, _xlpm.c))))</definedName>
    <definedName name="Common_Equations.Common_ConvertN2OToCO2e_Arguments" localSheetId="7">_xlfn.LAMBDA(_xlfn.MAKEARRAY(2, 2, _xlfn.LAMBDA(_xlpm.r,_xlpm.c, INDEX({"EN2O","Nitrous oxide emissions (t N2O)";"GWPN2O","Global warming potential for nitrous oxide (t CO2-e / t N2O)"}, _xlpm.r, _xlpm.c))))</definedName>
    <definedName name="Common_Equations.Common_ConvertN2OToCO2e_Arguments" localSheetId="8">_xlfn.LAMBDA(_xlfn.MAKEARRAY(2, 2, _xlfn.LAMBDA(_xlpm.r,_xlpm.c, INDEX({"EN2O","Nitrous oxide emissions (t N2O)";"GWPN2O","Global warming potential for nitrous oxide (t CO2-e / t N2O)"}, _xlpm.r, _xlpm.c))))</definedName>
    <definedName name="Common_Equations.Common_ConvertN2OToCO2e_Arguments" localSheetId="6">_xlfn.LAMBDA(_xlfn.MAKEARRAY(2, 2, _xlfn.LAMBDA(_xlpm.r,_xlpm.c, INDEX({"EN2O","Nitrous oxide emissions (t N2O)";"GWPN2O","Global warming potential for nitrous oxide (t CO2-e / t N2O)"}, _xlpm.r, _xlpm.c))))</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 localSheetId="3">_xlfn.LAMBDA(_xlfn.MAKEARRAY(2, 2, _xlfn.LAMBDA(_xlpm.r,_xlpm.c, INDEX({"EN2O","Nitrous oxide emissions (t N2O)";"GWPN2O","Global warming potential for nitrous oxide (t CO2-e / t N2O)"}, _xlpm.r, _xlpm.c))))</definedName>
    <definedName name="Common_Equations.Common_ConvertN2OToCO2e_Arguments" localSheetId="3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 localSheetId="25">_xlfn.LAMBDA("CO2_e = E_{N2O} \times GWP_{N2O}")</definedName>
    <definedName name="Common_Equations.Common_ConvertN2OToCO2e_LatexEquation" localSheetId="10">_xlfn.LAMBDA("CO2_e = E_{N2O} \times GWP_{N2O}")</definedName>
    <definedName name="Common_Equations.Common_ConvertN2OToCO2e_LatexEquation" localSheetId="11">_xlfn.LAMBDA("CO2_e = E_{N2O} \times GWP_{N2O}")</definedName>
    <definedName name="Common_Equations.Common_ConvertN2OToCO2e_LatexEquation" localSheetId="12">_xlfn.LAMBDA("CO2_e = E_{N2O} \times GWP_{N2O}")</definedName>
    <definedName name="Common_Equations.Common_ConvertN2OToCO2e_LatexEquation" localSheetId="13">_xlfn.LAMBDA("CO2_e = E_{N2O} \times GWP_{N2O}")</definedName>
    <definedName name="Common_Equations.Common_ConvertN2OToCO2e_LatexEquation" localSheetId="14">_xlfn.LAMBDA("CO2_e = E_{N2O} \times GWP_{N2O}")</definedName>
    <definedName name="Common_Equations.Common_ConvertN2OToCO2e_LatexEquation" localSheetId="15">_xlfn.LAMBDA("CO2_e = E_{N2O} \times GWP_{N2O}")</definedName>
    <definedName name="Common_Equations.Common_ConvertN2OToCO2e_LatexEquation" localSheetId="16">_xlfn.LAMBDA("CO2_e = E_{N2O} \times GWP_{N2O}")</definedName>
    <definedName name="Common_Equations.Common_ConvertN2OToCO2e_LatexEquation" localSheetId="17">_xlfn.LAMBDA("CO2_e = E_{N2O} \times GWP_{N2O}")</definedName>
    <definedName name="Common_Equations.Common_ConvertN2OToCO2e_LatexEquation" localSheetId="18">_xlfn.LAMBDA("CO2_e = E_{N2O} \times GWP_{N2O}")</definedName>
    <definedName name="Common_Equations.Common_ConvertN2OToCO2e_LatexEquation" localSheetId="19">_xlfn.LAMBDA("CO2_e = E_{N2O} \times GWP_{N2O}")</definedName>
    <definedName name="Common_Equations.Common_ConvertN2OToCO2e_LatexEquation" localSheetId="20">_xlfn.LAMBDA("CO2_e = E_{N2O} \times GWP_{N2O}")</definedName>
    <definedName name="Common_Equations.Common_ConvertN2OToCO2e_LatexEquation" localSheetId="21">_xlfn.LAMBDA("CO2_e = E_{N2O} \times GWP_{N2O}")</definedName>
    <definedName name="Common_Equations.Common_ConvertN2OToCO2e_LatexEquation" localSheetId="22">_xlfn.LAMBDA("CO2_e = E_{N2O} \times GWP_{N2O}")</definedName>
    <definedName name="Common_Equations.Common_ConvertN2OToCO2e_LatexEquation" localSheetId="23">_xlfn.LAMBDA("CO2_e = E_{N2O} \times GWP_{N2O}")</definedName>
    <definedName name="Common_Equations.Common_ConvertN2OToCO2e_LatexEquation" localSheetId="24">_xlfn.LAMBDA("CO2_e = E_{N2O} \times GWP_{N2O}")</definedName>
    <definedName name="Common_Equations.Common_ConvertN2OToCO2e_LatexEquation" localSheetId="33">_xlfn.LAMBDA("CO2_e = E_{N2O} \times GWP_{N2O}")</definedName>
    <definedName name="Common_Equations.Common_ConvertN2OToCO2e_LatexEquation" localSheetId="27">_xlfn.LAMBDA("CO2_e = E_{N2O} \times GWP_{N2O}")</definedName>
    <definedName name="Common_Equations.Common_ConvertN2OToCO2e_LatexEquation" localSheetId="32">_xlfn.LAMBDA("CO2_e = E_{N2O} \times GWP_{N2O}")</definedName>
    <definedName name="Common_Equations.Common_ConvertN2OToCO2e_LatexEquation" localSheetId="29">_xlfn.LAMBDA("CO2_e = E_{N2O} \times GWP_{N2O}")</definedName>
    <definedName name="Common_Equations.Common_ConvertN2OToCO2e_LatexEquation" localSheetId="30">_xlfn.LAMBDA("CO2_e = E_{N2O} \times GWP_{N2O}")</definedName>
    <definedName name="Common_Equations.Common_ConvertN2OToCO2e_LatexEquation" localSheetId="31">_xlfn.LAMBDA("CO2_e = E_{N2O} \times GWP_{N2O}")</definedName>
    <definedName name="Common_Equations.Common_ConvertN2OToCO2e_LatexEquation" localSheetId="28">_xlfn.LAMBDA("CO2_e = E_{N2O} \times GWP_{N2O}")</definedName>
    <definedName name="Common_Equations.Common_ConvertN2OToCO2e_LatexEquation" localSheetId="26">_xlfn.LAMBDA("CO2_e = E_{N2O} \times GWP_{N2O}")</definedName>
    <definedName name="Common_Equations.Common_ConvertN2OToCO2e_LatexEquation" localSheetId="9">_xlfn.LAMBDA("CO2_e = E_{N2O} \times GWP_{N2O}")</definedName>
    <definedName name="Common_Equations.Common_ConvertN2OToCO2e_LatexEquation" localSheetId="7">_xlfn.LAMBDA("CO2_e = E_{N2O} \times GWP_{N2O}")</definedName>
    <definedName name="Common_Equations.Common_ConvertN2OToCO2e_LatexEquation" localSheetId="8">_xlfn.LAMBDA("CO2_e = E_{N2O} \times GWP_{N2O}")</definedName>
    <definedName name="Common_Equations.Common_ConvertN2OToCO2e_LatexEquation" localSheetId="6">_xlfn.LAMBDA("CO2_e = E_{N2O} \times GWP_{N2O}")</definedName>
    <definedName name="Common_Equations.Common_ConvertN2OToCO2e_LatexEquation" localSheetId="4">_xlfn.LAMBDA("CO2_e = E_{N2O} \times GWP_{N2O}")</definedName>
    <definedName name="Common_Equations.Common_ConvertN2OToCO2e_LatexEquation" localSheetId="3">_xlfn.LAMBDA("CO2_e = E_{N2O} \times GWP_{N2O}")</definedName>
    <definedName name="Common_Equations.Common_ConvertN2OToCO2e_LatexEquation" localSheetId="34">_xlfn.LAMBDA("CO2_e = E_{N2O} \times GWP_{N2O}")</definedName>
    <definedName name="Common_Equations.Common_ConvertN2OToCO2e_LatexEquation">_xlfn.LAMBDA("CO2_e = E_{N2O} \times GWP_{N2O}")</definedName>
    <definedName name="Common_Equations.Common_ConvertN2OToCO2e_NIRReference" localSheetId="25">_xlfn.LAMBDA("")</definedName>
    <definedName name="Common_Equations.Common_ConvertN2OToCO2e_NIRReference" localSheetId="10">_xlfn.LAMBDA("")</definedName>
    <definedName name="Common_Equations.Common_ConvertN2OToCO2e_NIRReference" localSheetId="11">_xlfn.LAMBDA("")</definedName>
    <definedName name="Common_Equations.Common_ConvertN2OToCO2e_NIRReference" localSheetId="12">_xlfn.LAMBDA("")</definedName>
    <definedName name="Common_Equations.Common_ConvertN2OToCO2e_NIRReference" localSheetId="13">_xlfn.LAMBDA("")</definedName>
    <definedName name="Common_Equations.Common_ConvertN2OToCO2e_NIRReference" localSheetId="14">_xlfn.LAMBDA("")</definedName>
    <definedName name="Common_Equations.Common_ConvertN2OToCO2e_NIRReference" localSheetId="15">_xlfn.LAMBDA("")</definedName>
    <definedName name="Common_Equations.Common_ConvertN2OToCO2e_NIRReference" localSheetId="16">_xlfn.LAMBDA("")</definedName>
    <definedName name="Common_Equations.Common_ConvertN2OToCO2e_NIRReference" localSheetId="17">_xlfn.LAMBDA("")</definedName>
    <definedName name="Common_Equations.Common_ConvertN2OToCO2e_NIRReference" localSheetId="18">_xlfn.LAMBDA("")</definedName>
    <definedName name="Common_Equations.Common_ConvertN2OToCO2e_NIRReference" localSheetId="19">_xlfn.LAMBDA("")</definedName>
    <definedName name="Common_Equations.Common_ConvertN2OToCO2e_NIRReference" localSheetId="20">_xlfn.LAMBDA("")</definedName>
    <definedName name="Common_Equations.Common_ConvertN2OToCO2e_NIRReference" localSheetId="21">_xlfn.LAMBDA("")</definedName>
    <definedName name="Common_Equations.Common_ConvertN2OToCO2e_NIRReference" localSheetId="22">_xlfn.LAMBDA("")</definedName>
    <definedName name="Common_Equations.Common_ConvertN2OToCO2e_NIRReference" localSheetId="23">_xlfn.LAMBDA("")</definedName>
    <definedName name="Common_Equations.Common_ConvertN2OToCO2e_NIRReference" localSheetId="24">_xlfn.LAMBDA("")</definedName>
    <definedName name="Common_Equations.Common_ConvertN2OToCO2e_NIRReference" localSheetId="33">_xlfn.LAMBDA("")</definedName>
    <definedName name="Common_Equations.Common_ConvertN2OToCO2e_NIRReference" localSheetId="27">_xlfn.LAMBDA("")</definedName>
    <definedName name="Common_Equations.Common_ConvertN2OToCO2e_NIRReference" localSheetId="32">_xlfn.LAMBDA("")</definedName>
    <definedName name="Common_Equations.Common_ConvertN2OToCO2e_NIRReference" localSheetId="29">_xlfn.LAMBDA("")</definedName>
    <definedName name="Common_Equations.Common_ConvertN2OToCO2e_NIRReference" localSheetId="30">_xlfn.LAMBDA("")</definedName>
    <definedName name="Common_Equations.Common_ConvertN2OToCO2e_NIRReference" localSheetId="31">_xlfn.LAMBDA("")</definedName>
    <definedName name="Common_Equations.Common_ConvertN2OToCO2e_NIRReference" localSheetId="28">_xlfn.LAMBDA("")</definedName>
    <definedName name="Common_Equations.Common_ConvertN2OToCO2e_NIRReference" localSheetId="26">_xlfn.LAMBDA("")</definedName>
    <definedName name="Common_Equations.Common_ConvertN2OToCO2e_NIRReference" localSheetId="9">_xlfn.LAMBDA("")</definedName>
    <definedName name="Common_Equations.Common_ConvertN2OToCO2e_NIRReference" localSheetId="7">_xlfn.LAMBDA("")</definedName>
    <definedName name="Common_Equations.Common_ConvertN2OToCO2e_NIRReference" localSheetId="8">_xlfn.LAMBDA("")</definedName>
    <definedName name="Common_Equations.Common_ConvertN2OToCO2e_NIRReference" localSheetId="6">_xlfn.LAMBDA("")</definedName>
    <definedName name="Common_Equations.Common_ConvertN2OToCO2e_NIRReference" localSheetId="4">_xlfn.LAMBDA("")</definedName>
    <definedName name="Common_Equations.Common_ConvertN2OToCO2e_NIRReference" localSheetId="3">_xlfn.LAMBDA("")</definedName>
    <definedName name="Common_Equations.Common_ConvertN2OToCO2e_NIRReference" localSheetId="34">_xlfn.LAMBDA("")</definedName>
    <definedName name="Common_Equations.Common_ConvertN2OToCO2e_NIRReference">_xlfn.LAMBDA("")</definedName>
    <definedName name="Common_Equations.Common_ConvertN2OToCO2e_Title" localSheetId="25">_xlfn.LAMBDA("Convert nitrous oxide emissions to carbon dioxide equivalent emissions")</definedName>
    <definedName name="Common_Equations.Common_ConvertN2OToCO2e_Title" localSheetId="10">_xlfn.LAMBDA("Convert nitrous oxide emissions to carbon dioxide equivalent emissions")</definedName>
    <definedName name="Common_Equations.Common_ConvertN2OToCO2e_Title" localSheetId="11">_xlfn.LAMBDA("Convert nitrous oxide emissions to carbon dioxide equivalent emissions")</definedName>
    <definedName name="Common_Equations.Common_ConvertN2OToCO2e_Title" localSheetId="12">_xlfn.LAMBDA("Convert nitrous oxide emissions to carbon dioxide equivalent emissions")</definedName>
    <definedName name="Common_Equations.Common_ConvertN2OToCO2e_Title" localSheetId="13">_xlfn.LAMBDA("Convert nitrous oxide emissions to carbon dioxide equivalent emissions")</definedName>
    <definedName name="Common_Equations.Common_ConvertN2OToCO2e_Title" localSheetId="14">_xlfn.LAMBDA("Convert nitrous oxide emissions to carbon dioxide equivalent emissions")</definedName>
    <definedName name="Common_Equations.Common_ConvertN2OToCO2e_Title" localSheetId="15">_xlfn.LAMBDA("Convert nitrous oxide emissions to carbon dioxide equivalent emissions")</definedName>
    <definedName name="Common_Equations.Common_ConvertN2OToCO2e_Title" localSheetId="16">_xlfn.LAMBDA("Convert nitrous oxide emissions to carbon dioxide equivalent emissions")</definedName>
    <definedName name="Common_Equations.Common_ConvertN2OToCO2e_Title" localSheetId="17">_xlfn.LAMBDA("Convert nitrous oxide emissions to carbon dioxide equivalent emissions")</definedName>
    <definedName name="Common_Equations.Common_ConvertN2OToCO2e_Title" localSheetId="18">_xlfn.LAMBDA("Convert nitrous oxide emissions to carbon dioxide equivalent emissions")</definedName>
    <definedName name="Common_Equations.Common_ConvertN2OToCO2e_Title" localSheetId="19">_xlfn.LAMBDA("Convert nitrous oxide emissions to carbon dioxide equivalent emissions")</definedName>
    <definedName name="Common_Equations.Common_ConvertN2OToCO2e_Title" localSheetId="20">_xlfn.LAMBDA("Convert nitrous oxide emissions to carbon dioxide equivalent emissions")</definedName>
    <definedName name="Common_Equations.Common_ConvertN2OToCO2e_Title" localSheetId="21">_xlfn.LAMBDA("Convert nitrous oxide emissions to carbon dioxide equivalent emissions")</definedName>
    <definedName name="Common_Equations.Common_ConvertN2OToCO2e_Title" localSheetId="22">_xlfn.LAMBDA("Convert nitrous oxide emissions to carbon dioxide equivalent emissions")</definedName>
    <definedName name="Common_Equations.Common_ConvertN2OToCO2e_Title" localSheetId="23">_xlfn.LAMBDA("Convert nitrous oxide emissions to carbon dioxide equivalent emissions")</definedName>
    <definedName name="Common_Equations.Common_ConvertN2OToCO2e_Title" localSheetId="24">_xlfn.LAMBDA("Convert nitrous oxide emissions to carbon dioxide equivalent emissions")</definedName>
    <definedName name="Common_Equations.Common_ConvertN2OToCO2e_Title" localSheetId="33">_xlfn.LAMBDA("Convert nitrous oxide emissions to carbon dioxide equivalent emissions")</definedName>
    <definedName name="Common_Equations.Common_ConvertN2OToCO2e_Title" localSheetId="27">_xlfn.LAMBDA("Convert nitrous oxide emissions to carbon dioxide equivalent emissions")</definedName>
    <definedName name="Common_Equations.Common_ConvertN2OToCO2e_Title" localSheetId="32">_xlfn.LAMBDA("Convert nitrous oxide emissions to carbon dioxide equivalent emissions")</definedName>
    <definedName name="Common_Equations.Common_ConvertN2OToCO2e_Title" localSheetId="29">_xlfn.LAMBDA("Convert nitrous oxide emissions to carbon dioxide equivalent emissions")</definedName>
    <definedName name="Common_Equations.Common_ConvertN2OToCO2e_Title" localSheetId="30">_xlfn.LAMBDA("Convert nitrous oxide emissions to carbon dioxide equivalent emissions")</definedName>
    <definedName name="Common_Equations.Common_ConvertN2OToCO2e_Title" localSheetId="31">_xlfn.LAMBDA("Convert nitrous oxide emissions to carbon dioxide equivalent emissions")</definedName>
    <definedName name="Common_Equations.Common_ConvertN2OToCO2e_Title" localSheetId="28">_xlfn.LAMBDA("Convert nitrous oxide emissions to carbon dioxide equivalent emissions")</definedName>
    <definedName name="Common_Equations.Common_ConvertN2OToCO2e_Title" localSheetId="26">_xlfn.LAMBDA("Convert nitrous oxide emissions to carbon dioxide equivalent emissions")</definedName>
    <definedName name="Common_Equations.Common_ConvertN2OToCO2e_Title" localSheetId="9">_xlfn.LAMBDA("Convert nitrous oxide emissions to carbon dioxide equivalent emissions")</definedName>
    <definedName name="Common_Equations.Common_ConvertN2OToCO2e_Title" localSheetId="7">_xlfn.LAMBDA("Convert nitrous oxide emissions to carbon dioxide equivalent emissions")</definedName>
    <definedName name="Common_Equations.Common_ConvertN2OToCO2e_Title" localSheetId="8">_xlfn.LAMBDA("Convert nitrous oxide emissions to carbon dioxide equivalent emissions")</definedName>
    <definedName name="Common_Equations.Common_ConvertN2OToCO2e_Title" localSheetId="6">_xlfn.LAMBDA("Convert nitrous oxide emissions to carbon dioxide equivalent emissions")</definedName>
    <definedName name="Common_Equations.Common_ConvertN2OToCO2e_Title" localSheetId="4">_xlfn.LAMBDA("Convert nitrous oxide emissions to carbon dioxide equivalent emissions")</definedName>
    <definedName name="Common_Equations.Common_ConvertN2OToCO2e_Title" localSheetId="3">_xlfn.LAMBDA("Convert nitrous oxide emissions to carbon dioxide equivalent emissions")</definedName>
    <definedName name="Common_Equations.Common_ConvertN2OToCO2e_Title" localSheetId="34">_xlfn.LAMBDA("Convert nitrous oxide emissions to carbon dioxide equivalent emissions")</definedName>
    <definedName name="Common_Equations.Common_ConvertN2OToCO2e_Title">_xlfn.LAMBDA("Convert nitrous oxide emissions to carbon dioxide equivalent emissions")</definedName>
    <definedName name="Common_Equations.Common_ConvertN2OToCO2e_Unit" localSheetId="25">_xlfn.LAMBDA("t CO2e")</definedName>
    <definedName name="Common_Equations.Common_ConvertN2OToCO2e_Unit" localSheetId="10">_xlfn.LAMBDA("t CO2e")</definedName>
    <definedName name="Common_Equations.Common_ConvertN2OToCO2e_Unit" localSheetId="11">_xlfn.LAMBDA("t CO2e")</definedName>
    <definedName name="Common_Equations.Common_ConvertN2OToCO2e_Unit" localSheetId="12">_xlfn.LAMBDA("t CO2e")</definedName>
    <definedName name="Common_Equations.Common_ConvertN2OToCO2e_Unit" localSheetId="13">_xlfn.LAMBDA("t CO2e")</definedName>
    <definedName name="Common_Equations.Common_ConvertN2OToCO2e_Unit" localSheetId="14">_xlfn.LAMBDA("t CO2e")</definedName>
    <definedName name="Common_Equations.Common_ConvertN2OToCO2e_Unit" localSheetId="15">_xlfn.LAMBDA("t CO2e")</definedName>
    <definedName name="Common_Equations.Common_ConvertN2OToCO2e_Unit" localSheetId="16">_xlfn.LAMBDA("t CO2e")</definedName>
    <definedName name="Common_Equations.Common_ConvertN2OToCO2e_Unit" localSheetId="17">_xlfn.LAMBDA("t CO2e")</definedName>
    <definedName name="Common_Equations.Common_ConvertN2OToCO2e_Unit" localSheetId="18">_xlfn.LAMBDA("t CO2e")</definedName>
    <definedName name="Common_Equations.Common_ConvertN2OToCO2e_Unit" localSheetId="19">_xlfn.LAMBDA("t CO2e")</definedName>
    <definedName name="Common_Equations.Common_ConvertN2OToCO2e_Unit" localSheetId="20">_xlfn.LAMBDA("t CO2e")</definedName>
    <definedName name="Common_Equations.Common_ConvertN2OToCO2e_Unit" localSheetId="21">_xlfn.LAMBDA("t CO2e")</definedName>
    <definedName name="Common_Equations.Common_ConvertN2OToCO2e_Unit" localSheetId="22">_xlfn.LAMBDA("t CO2e")</definedName>
    <definedName name="Common_Equations.Common_ConvertN2OToCO2e_Unit" localSheetId="23">_xlfn.LAMBDA("t CO2e")</definedName>
    <definedName name="Common_Equations.Common_ConvertN2OToCO2e_Unit" localSheetId="24">_xlfn.LAMBDA("t CO2e")</definedName>
    <definedName name="Common_Equations.Common_ConvertN2OToCO2e_Unit" localSheetId="33">_xlfn.LAMBDA("t CO2e")</definedName>
    <definedName name="Common_Equations.Common_ConvertN2OToCO2e_Unit" localSheetId="27">_xlfn.LAMBDA("t CO2e")</definedName>
    <definedName name="Common_Equations.Common_ConvertN2OToCO2e_Unit" localSheetId="32">_xlfn.LAMBDA("t CO2e")</definedName>
    <definedName name="Common_Equations.Common_ConvertN2OToCO2e_Unit" localSheetId="29">_xlfn.LAMBDA("t CO2e")</definedName>
    <definedName name="Common_Equations.Common_ConvertN2OToCO2e_Unit" localSheetId="30">_xlfn.LAMBDA("t CO2e")</definedName>
    <definedName name="Common_Equations.Common_ConvertN2OToCO2e_Unit" localSheetId="31">_xlfn.LAMBDA("t CO2e")</definedName>
    <definedName name="Common_Equations.Common_ConvertN2OToCO2e_Unit" localSheetId="28">_xlfn.LAMBDA("t CO2e")</definedName>
    <definedName name="Common_Equations.Common_ConvertN2OToCO2e_Unit" localSheetId="26">_xlfn.LAMBDA("t CO2e")</definedName>
    <definedName name="Common_Equations.Common_ConvertN2OToCO2e_Unit" localSheetId="9">_xlfn.LAMBDA("t CO2e")</definedName>
    <definedName name="Common_Equations.Common_ConvertN2OToCO2e_Unit" localSheetId="7">_xlfn.LAMBDA("t CO2e")</definedName>
    <definedName name="Common_Equations.Common_ConvertN2OToCO2e_Unit" localSheetId="8">_xlfn.LAMBDA("t CO2e")</definedName>
    <definedName name="Common_Equations.Common_ConvertN2OToCO2e_Unit" localSheetId="6">_xlfn.LAMBDA("t CO2e")</definedName>
    <definedName name="Common_Equations.Common_ConvertN2OToCO2e_Unit" localSheetId="4">_xlfn.LAMBDA("t CO2e")</definedName>
    <definedName name="Common_Equations.Common_ConvertN2OToCO2e_Unit" localSheetId="3">_xlfn.LAMBDA("t CO2e")</definedName>
    <definedName name="Common_Equations.Common_ConvertN2OToCO2e_Unit" localSheetId="34">_xlfn.LAMBDA("t CO2e")</definedName>
    <definedName name="Common_Equations.Common_ConvertN2OToCO2e_Unit">_xlfn.LAMBDA("t CO2e")</definedName>
    <definedName name="Common_Equations.Common_ConvertN2OToCO2e_Variable" localSheetId="25">_xlfn.LAMBDA("EN2O CO2e")</definedName>
    <definedName name="Common_Equations.Common_ConvertN2OToCO2e_Variable" localSheetId="10">_xlfn.LAMBDA("EN2O CO2e")</definedName>
    <definedName name="Common_Equations.Common_ConvertN2OToCO2e_Variable" localSheetId="11">_xlfn.LAMBDA("EN2O CO2e")</definedName>
    <definedName name="Common_Equations.Common_ConvertN2OToCO2e_Variable" localSheetId="12">_xlfn.LAMBDA("EN2O CO2e")</definedName>
    <definedName name="Common_Equations.Common_ConvertN2OToCO2e_Variable" localSheetId="13">_xlfn.LAMBDA("EN2O CO2e")</definedName>
    <definedName name="Common_Equations.Common_ConvertN2OToCO2e_Variable" localSheetId="14">_xlfn.LAMBDA("EN2O CO2e")</definedName>
    <definedName name="Common_Equations.Common_ConvertN2OToCO2e_Variable" localSheetId="15">_xlfn.LAMBDA("EN2O CO2e")</definedName>
    <definedName name="Common_Equations.Common_ConvertN2OToCO2e_Variable" localSheetId="16">_xlfn.LAMBDA("EN2O CO2e")</definedName>
    <definedName name="Common_Equations.Common_ConvertN2OToCO2e_Variable" localSheetId="17">_xlfn.LAMBDA("EN2O CO2e")</definedName>
    <definedName name="Common_Equations.Common_ConvertN2OToCO2e_Variable" localSheetId="18">_xlfn.LAMBDA("EN2O CO2e")</definedName>
    <definedName name="Common_Equations.Common_ConvertN2OToCO2e_Variable" localSheetId="19">_xlfn.LAMBDA("EN2O CO2e")</definedName>
    <definedName name="Common_Equations.Common_ConvertN2OToCO2e_Variable" localSheetId="20">_xlfn.LAMBDA("EN2O CO2e")</definedName>
    <definedName name="Common_Equations.Common_ConvertN2OToCO2e_Variable" localSheetId="21">_xlfn.LAMBDA("EN2O CO2e")</definedName>
    <definedName name="Common_Equations.Common_ConvertN2OToCO2e_Variable" localSheetId="22">_xlfn.LAMBDA("EN2O CO2e")</definedName>
    <definedName name="Common_Equations.Common_ConvertN2OToCO2e_Variable" localSheetId="23">_xlfn.LAMBDA("EN2O CO2e")</definedName>
    <definedName name="Common_Equations.Common_ConvertN2OToCO2e_Variable" localSheetId="24">_xlfn.LAMBDA("EN2O CO2e")</definedName>
    <definedName name="Common_Equations.Common_ConvertN2OToCO2e_Variable" localSheetId="33">_xlfn.LAMBDA("EN2O CO2e")</definedName>
    <definedName name="Common_Equations.Common_ConvertN2OToCO2e_Variable" localSheetId="27">_xlfn.LAMBDA("EN2O CO2e")</definedName>
    <definedName name="Common_Equations.Common_ConvertN2OToCO2e_Variable" localSheetId="32">_xlfn.LAMBDA("EN2O CO2e")</definedName>
    <definedName name="Common_Equations.Common_ConvertN2OToCO2e_Variable" localSheetId="29">_xlfn.LAMBDA("EN2O CO2e")</definedName>
    <definedName name="Common_Equations.Common_ConvertN2OToCO2e_Variable" localSheetId="30">_xlfn.LAMBDA("EN2O CO2e")</definedName>
    <definedName name="Common_Equations.Common_ConvertN2OToCO2e_Variable" localSheetId="31">_xlfn.LAMBDA("EN2O CO2e")</definedName>
    <definedName name="Common_Equations.Common_ConvertN2OToCO2e_Variable" localSheetId="28">_xlfn.LAMBDA("EN2O CO2e")</definedName>
    <definedName name="Common_Equations.Common_ConvertN2OToCO2e_Variable" localSheetId="26">_xlfn.LAMBDA("EN2O CO2e")</definedName>
    <definedName name="Common_Equations.Common_ConvertN2OToCO2e_Variable" localSheetId="9">_xlfn.LAMBDA("EN2O CO2e")</definedName>
    <definedName name="Common_Equations.Common_ConvertN2OToCO2e_Variable" localSheetId="7">_xlfn.LAMBDA("EN2O CO2e")</definedName>
    <definedName name="Common_Equations.Common_ConvertN2OToCO2e_Variable" localSheetId="8">_xlfn.LAMBDA("EN2O CO2e")</definedName>
    <definedName name="Common_Equations.Common_ConvertN2OToCO2e_Variable" localSheetId="6">_xlfn.LAMBDA("EN2O CO2e")</definedName>
    <definedName name="Common_Equations.Common_ConvertN2OToCO2e_Variable" localSheetId="4">_xlfn.LAMBDA("EN2O CO2e")</definedName>
    <definedName name="Common_Equations.Common_ConvertN2OToCO2e_Variable" localSheetId="3">_xlfn.LAMBDA("EN2O CO2e")</definedName>
    <definedName name="Common_Equations.Common_ConvertN2OToCO2e_Variable" localSheetId="34">_xlfn.LAMBDA("EN2O CO2e")</definedName>
    <definedName name="Common_Equations.Common_ConvertN2OToCO2e_Variable">_xlfn.LAMBDA("EN2O CO2e")</definedName>
    <definedName name="Common_InputFunctions.Common_GetMCFTemperatureZone" localSheetId="2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1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2">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0">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2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9">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7">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8">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5">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3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25">_xlfn.LAMBDA(_xlpm.LeachingZone,_xlpm.ProductionSystem,_xlpm.LeachingZoneLookup,_xlpm.LeachingZoneFracWETLookup,_xlpm.ProductionSystemLookup,_xlpm.ProductionSystemFracWETLookup, _xlfn.LET(_xlpm.LeachingZoneFracWET, '14.1.1-2 Purchased electricity'!Common_InputFunctions.Utility_LookupValueInTableNumber(_xlpm.LeachingZone, _xlpm.LeachingZoneLookup, _xlpm.LeachingZoneFracWETLookup), _xlpm.ProductionSystemFracWET, '14.1.1-2 Purchased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0">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1">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2">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3">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4">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5">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6">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7">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8">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1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0">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1">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2">_xlfn.LAMBDA(_xlpm.LeachingZone,_xlpm.ProductionSystem,_xlpm.LeachingZoneLookup,_xlpm.LeachingZoneFracWETLookup,_xlpm.ProductionSystemLookup,_xlpm.ProductionSystemFracWETLookup, _xlfn.LET(_xlpm.LeachingZoneFracWET, '6.3.1.1-2 Leach runoff pasture'!Common_InputFunctions.Utility_LookupValueInTableNumber(_xlpm.LeachingZone, _xlpm.LeachingZoneLookup, _xlpm.LeachingZoneFracWETLookup), _xlpm.ProductionSystemFracWET, '6.3.1.1-2 Leach runoff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3">_xlfn.LAMBDA(_xlpm.LeachingZone,_xlpm.ProductionSystem,_xlpm.LeachingZoneLookup,_xlpm.LeachingZoneFracWETLookup,_xlpm.ProductionSystemLookup,_xlpm.ProductionSystemFracWETLookup, _xlfn.LET(_xlpm.LeachingZoneFracWET, '8.1.1.1-2 Transport fuel'!Common_InputFunctions.Utility_LookupValueInTableNumber(_xlpm.LeachingZone, _xlpm.LeachingZoneLookup, _xlpm.LeachingZoneFracWETLookup), _xlpm.ProductionSystemFracWET, '8.1.1.1-2 Transport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4">_xlfn.LAMBDA(_xlpm.LeachingZone,_xlpm.ProductionSystem,_xlpm.LeachingZoneLookup,_xlpm.LeachingZoneFracWETLookup,_xlpm.ProductionSystemLookup,_xlpm.ProductionSystemFracWETLookup, _xlfn.LET(_xlpm.LeachingZoneFracWET, '8.2.1.1-2 Stationary fuel'!Common_InputFunctions.Utility_LookupValueInTableNumber(_xlpm.LeachingZone, _xlpm.LeachingZoneLookup, _xlpm.LeachingZoneFracWETLookup), _xlpm.ProductionSystemFracWET, '8.2.1.1-2 Stationary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3">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7">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2">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9">_xlfn.LAMBDA(_xlpm.LeachingZone,_xlpm.ProductionSystem,_xlpm.LeachingZoneLookup,_xlpm.LeachingZoneFracWETLookup,_xlpm.ProductionSystemLookup,_xlpm.ProductionSystemFracWETLookup, _xlfn.LET(_xlpm.LeachingZoneFracWET, 'Constants - Electricity'!Common_InputFunctions.Utility_LookupValueInTableNumber(_xlpm.LeachingZone, _xlpm.LeachingZoneLookup, _xlpm.LeachingZoneFracWETLookup), _xlpm.ProductionSystemFracWET, 'Constants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0">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1">_xlfn.LAMBDA(_xlpm.LeachingZone,_xlpm.ProductionSystem,_xlpm.LeachingZoneLookup,_xlpm.LeachingZoneFracWETLookup,_xlpm.ProductionSystemLookup,_xlpm.ProductionSystemFracWETLookup, _xlfn.LET(_xlpm.LeachingZoneFracWET, 'Constants - Fuel'!Common_InputFunctions.Utility_LookupValueInTableNumber(_xlpm.LeachingZone, _xlpm.LeachingZoneLookup, _xlpm.LeachingZoneFracWETLookup), _xlpm.ProductionSystemFracWET, 'Constants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8">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26">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9">_xlfn.LAMBDA(_xlpm.LeachingZone,_xlpm.ProductionSystem,_xlpm.LeachingZoneLookup,_xlpm.LeachingZoneFracWETLookup,_xlpm.ProductionSystemLookup,_xlpm.ProductionSystemFracWETLookup, _xlfn.LET(_xlpm.LeachingZoneFracWET, 'Input - Electricity'!Common_InputFunctions.Utility_LookupValueInTableNumber(_xlpm.LeachingZone, _xlpm.LeachingZoneLookup, _xlpm.LeachingZoneFracWETLookup), _xlpm.ProductionSystemFracWET, 'Input - Electricity'!Common_InputFunctions.Utility_LookupValueInTableNumber(_xlpm.ProductionSystem,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7">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8">_xlfn.LAMBDA(_xlpm.LeachingZone,_xlpm.ProductionSystem,_xlpm.LeachingZoneLookup,_xlpm.LeachingZoneFracWETLookup,_xlpm.ProductionSystemLookup,_xlpm.ProductionSystemFracWETLookup, _xlfn.LET(_xlpm.LeachingZoneFracWET, 'Input - Fuel'!Common_InputFunctions.Utility_LookupValueInTableNumber(_xlpm.LeachingZone, _xlpm.LeachingZoneLookup, _xlpm.LeachingZoneFracWETLookup), _xlpm.ProductionSystemFracWET, 'Input - Fuel'!Common_InputFunctions.Utility_LookupValueInTableNumber(_xlpm.ProductionSystem,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6">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34">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3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2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5">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1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2">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0">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2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9">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7">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8">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 localSheetId="3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25">_xlfn.LAMBDA(_xlpm.StateCommonName,_xlpm.StateCommonNameArray,_xlpm.StateAbbreviationArray, _xlfn.XLOOKUP(_xlpm.StateCommonName, _xlpm.StateCommonNameArray, _xlpm.StateAbbreviationArray, ""))</definedName>
    <definedName name="Common_InputFunctions.Utility_ConvertStateCommonNameToAbbreviation" localSheetId="10">_xlfn.LAMBDA(_xlpm.StateCommonName,_xlpm.StateCommonNameArray,_xlpm.StateAbbreviationArray, _xlfn.XLOOKUP(_xlpm.StateCommonName, _xlpm.StateCommonNameArray, _xlpm.StateAbbreviationArray, ""))</definedName>
    <definedName name="Common_InputFunctions.Utility_ConvertStateCommonNameToAbbreviation" localSheetId="11">_xlfn.LAMBDA(_xlpm.StateCommonName,_xlpm.StateCommonNameArray,_xlpm.StateAbbreviationArray, _xlfn.XLOOKUP(_xlpm.StateCommonName, _xlpm.StateCommonNameArray, _xlpm.StateAbbreviationArray, ""))</definedName>
    <definedName name="Common_InputFunctions.Utility_ConvertStateCommonNameToAbbreviation" localSheetId="12">_xlfn.LAMBDA(_xlpm.StateCommonName,_xlpm.StateCommonNameArray,_xlpm.StateAbbreviationArray, _xlfn.XLOOKUP(_xlpm.StateCommonName, _xlpm.StateCommonNameArray, _xlpm.StateAbbreviationArray, ""))</definedName>
    <definedName name="Common_InputFunctions.Utility_ConvertStateCommonNameToAbbreviation" localSheetId="13">_xlfn.LAMBDA(_xlpm.StateCommonName,_xlpm.StateCommonNameArray,_xlpm.StateAbbreviationArray, _xlfn.XLOOKUP(_xlpm.StateCommonName, _xlpm.StateCommonNameArray, _xlpm.StateAbbreviationArray, ""))</definedName>
    <definedName name="Common_InputFunctions.Utility_ConvertStateCommonNameToAbbreviation" localSheetId="14">_xlfn.LAMBDA(_xlpm.StateCommonName,_xlpm.StateCommonNameArray,_xlpm.StateAbbreviationArray, _xlfn.XLOOKUP(_xlpm.StateCommonName, _xlpm.StateCommonNameArray, _xlpm.StateAbbreviationArray, ""))</definedName>
    <definedName name="Common_InputFunctions.Utility_ConvertStateCommonNameToAbbreviation" localSheetId="15">_xlfn.LAMBDA(_xlpm.StateCommonName,_xlpm.StateCommonNameArray,_xlpm.StateAbbreviationArray, _xlfn.XLOOKUP(_xlpm.StateCommonName, _xlpm.StateCommonNameArray, _xlpm.StateAbbreviationArray, ""))</definedName>
    <definedName name="Common_InputFunctions.Utility_ConvertStateCommonNameToAbbreviation" localSheetId="16">_xlfn.LAMBDA(_xlpm.StateCommonName,_xlpm.StateCommonNameArray,_xlpm.StateAbbreviationArray, _xlfn.XLOOKUP(_xlpm.StateCommonName, _xlpm.StateCommonNameArray, _xlpm.StateAbbreviationArray, ""))</definedName>
    <definedName name="Common_InputFunctions.Utility_ConvertStateCommonNameToAbbreviation" localSheetId="17">_xlfn.LAMBDA(_xlpm.StateCommonName,_xlpm.StateCommonNameArray,_xlpm.StateAbbreviationArray, _xlfn.XLOOKUP(_xlpm.StateCommonName, _xlpm.StateCommonNameArray, _xlpm.StateAbbreviationArray, ""))</definedName>
    <definedName name="Common_InputFunctions.Utility_ConvertStateCommonNameToAbbreviation" localSheetId="18">_xlfn.LAMBDA(_xlpm.StateCommonName,_xlpm.StateCommonNameArray,_xlpm.StateAbbreviationArray, _xlfn.XLOOKUP(_xlpm.StateCommonName, _xlpm.StateCommonNameArray, _xlpm.StateAbbreviationArray, ""))</definedName>
    <definedName name="Common_InputFunctions.Utility_ConvertStateCommonNameToAbbreviation" localSheetId="19">_xlfn.LAMBDA(_xlpm.StateCommonName,_xlpm.StateCommonNameArray,_xlpm.StateAbbreviationArray, _xlfn.XLOOKUP(_xlpm.StateCommonName, _xlpm.StateCommonNameArray, _xlpm.StateAbbreviationArray, ""))</definedName>
    <definedName name="Common_InputFunctions.Utility_ConvertStateCommonNameToAbbreviation" localSheetId="20">_xlfn.LAMBDA(_xlpm.StateCommonName,_xlpm.StateCommonNameArray,_xlpm.StateAbbreviationArray, _xlfn.XLOOKUP(_xlpm.StateCommonName, _xlpm.StateCommonNameArray, _xlpm.StateAbbreviationArray, ""))</definedName>
    <definedName name="Common_InputFunctions.Utility_ConvertStateCommonNameToAbbreviation" localSheetId="21">_xlfn.LAMBDA(_xlpm.StateCommonName,_xlpm.StateCommonNameArray,_xlpm.StateAbbreviationArray, _xlfn.XLOOKUP(_xlpm.StateCommonName, _xlpm.StateCommonNameArray, _xlpm.StateAbbreviationArray, ""))</definedName>
    <definedName name="Common_InputFunctions.Utility_ConvertStateCommonNameToAbbreviation" localSheetId="22">_xlfn.LAMBDA(_xlpm.StateCommonName,_xlpm.StateCommonNameArray,_xlpm.StateAbbreviationArray, _xlfn.XLOOKUP(_xlpm.StateCommonName, _xlpm.StateCommonNameArray, _xlpm.StateAbbreviationArray, ""))</definedName>
    <definedName name="Common_InputFunctions.Utility_ConvertStateCommonNameToAbbreviation" localSheetId="23">_xlfn.LAMBDA(_xlpm.StateCommonName,_xlpm.StateCommonNameArray,_xlpm.StateAbbreviationArray, _xlfn.XLOOKUP(_xlpm.StateCommonName, _xlpm.StateCommonNameArray, _xlpm.StateAbbreviationArray, ""))</definedName>
    <definedName name="Common_InputFunctions.Utility_ConvertStateCommonNameToAbbreviation" localSheetId="24">_xlfn.LAMBDA(_xlpm.StateCommonName,_xlpm.StateCommonNameArray,_xlpm.StateAbbreviationArray, _xlfn.XLOOKUP(_xlpm.StateCommonName, _xlpm.StateCommonNameArray, _xlpm.StateAbbreviationArray, ""))</definedName>
    <definedName name="Common_InputFunctions.Utility_ConvertStateCommonNameToAbbreviation" localSheetId="33">_xlfn.LAMBDA(_xlpm.StateCommonName,_xlpm.StateCommonNameArray,_xlpm.StateAbbreviationArray, _xlfn.XLOOKUP(_xlpm.StateCommonName, _xlpm.StateCommonNameArray, _xlpm.StateAbbreviationArray, ""))</definedName>
    <definedName name="Common_InputFunctions.Utility_ConvertStateCommonNameToAbbreviation" localSheetId="27">_xlfn.LAMBDA(_xlpm.StateCommonName,_xlpm.StateCommonNameArray,_xlpm.StateAbbreviationArray, _xlfn.XLOOKUP(_xlpm.StateCommonName, _xlpm.StateCommonNameArray, _xlpm.StateAbbreviationArray, ""))</definedName>
    <definedName name="Common_InputFunctions.Utility_ConvertStateCommonNameToAbbreviation" localSheetId="32">_xlfn.LAMBDA(_xlpm.StateCommonName,_xlpm.StateCommonNameArray,_xlpm.StateAbbreviationArray, _xlfn.XLOOKUP(_xlpm.StateCommonName, _xlpm.StateCommonNameArray, _xlpm.StateAbbreviationArray, ""))</definedName>
    <definedName name="Common_InputFunctions.Utility_ConvertStateCommonNameToAbbreviation" localSheetId="29">_xlfn.LAMBDA(_xlpm.StateCommonName,_xlpm.StateCommonNameArray,_xlpm.StateAbbreviationArray, _xlfn.XLOOKUP(_xlpm.StateCommonName, _xlpm.StateCommonNameArray, _xlpm.StateAbbreviationArray, ""))</definedName>
    <definedName name="Common_InputFunctions.Utility_ConvertStateCommonNameToAbbreviation" localSheetId="30">_xlfn.LAMBDA(_xlpm.StateCommonName,_xlpm.StateCommonNameArray,_xlpm.StateAbbreviationArray, _xlfn.XLOOKUP(_xlpm.StateCommonName, _xlpm.StateCommonNameArray, _xlpm.StateAbbreviationArray, ""))</definedName>
    <definedName name="Common_InputFunctions.Utility_ConvertStateCommonNameToAbbreviation" localSheetId="31">_xlfn.LAMBDA(_xlpm.StateCommonName,_xlpm.StateCommonNameArray,_xlpm.StateAbbreviationArray, _xlfn.XLOOKUP(_xlpm.StateCommonName, _xlpm.StateCommonNameArray, _xlpm.StateAbbreviationArray, ""))</definedName>
    <definedName name="Common_InputFunctions.Utility_ConvertStateCommonNameToAbbreviation" localSheetId="28">_xlfn.LAMBDA(_xlpm.StateCommonName,_xlpm.StateCommonNameArray,_xlpm.StateAbbreviationArray, _xlfn.XLOOKUP(_xlpm.StateCommonName, _xlpm.StateCommonNameArray, _xlpm.StateAbbreviationArray, ""))</definedName>
    <definedName name="Common_InputFunctions.Utility_ConvertStateCommonNameToAbbreviation" localSheetId="26">_xlfn.LAMBDA(_xlpm.StateCommonName,_xlpm.StateCommonNameArray,_xlpm.StateAbbreviationArray, _xlfn.XLOOKUP(_xlpm.StateCommonName, _xlpm.StateCommonNameArray, _xlpm.StateAbbreviationArray, ""))</definedName>
    <definedName name="Common_InputFunctions.Utility_ConvertStateCommonNameToAbbreviation" localSheetId="9">_xlfn.LAMBDA(_xlpm.StateCommonName,_xlpm.StateCommonNameArray,_xlpm.StateAbbreviationArray, _xlfn.XLOOKUP(_xlpm.StateCommonName, _xlpm.StateCommonNameArray, _xlpm.StateAbbreviationArray, ""))</definedName>
    <definedName name="Common_InputFunctions.Utility_ConvertStateCommonNameToAbbreviation" localSheetId="7">_xlfn.LAMBDA(_xlpm.StateCommonName,_xlpm.StateCommonNameArray,_xlpm.StateAbbreviationArray, _xlfn.XLOOKUP(_xlpm.StateCommonName, _xlpm.StateCommonNameArray, _xlpm.StateAbbreviationArray, ""))</definedName>
    <definedName name="Common_InputFunctions.Utility_ConvertStateCommonNameToAbbreviation" localSheetId="8">_xlfn.LAMBDA(_xlpm.StateCommonName,_xlpm.StateCommonNameArray,_xlpm.StateAbbreviationArray, _xlfn.XLOOKUP(_xlpm.StateCommonName, _xlpm.StateCommonNameArray, _xlpm.StateAbbreviationArray, ""))</definedName>
    <definedName name="Common_InputFunctions.Utility_ConvertStateCommonNameToAbbreviation" localSheetId="6">_xlfn.LAMBDA(_xlpm.StateCommonName,_xlpm.StateCommonNameArray,_xlpm.StateAbbreviationArray, _xlfn.XLOOKUP(_xlpm.StateCommonName, _xlpm.StateCommonNameArray, _xlpm.StateAbbreviationArray, ""))</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 localSheetId="3">_xlfn.LAMBDA(_xlpm.StateCommonName,_xlpm.StateCommonNameArray,_xlpm.StateAbbreviationArray, _xlfn.XLOOKUP(_xlpm.StateCommonName, _xlpm.StateCommonNameArray, _xlpm.StateAbbreviationArray, ""))</definedName>
    <definedName name="Common_InputFunctions.Utility_ConvertStateCommonNameToAbbreviation" localSheetId="3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25">_xlfn.LAMBDA(_xlpm.ArgumentsArray, _xlfn.CHOOSECOLS(_xlpm.ArgumentsArray, 1, 2))</definedName>
    <definedName name="Common_InputFunctions.Utility_DisplayArguments_1_2" localSheetId="10">_xlfn.LAMBDA(_xlpm.ArgumentsArray, _xlfn.CHOOSECOLS(_xlpm.ArgumentsArray, 1, 2))</definedName>
    <definedName name="Common_InputFunctions.Utility_DisplayArguments_1_2" localSheetId="11">_xlfn.LAMBDA(_xlpm.ArgumentsArray, _xlfn.CHOOSECOLS(_xlpm.ArgumentsArray, 1, 2))</definedName>
    <definedName name="Common_InputFunctions.Utility_DisplayArguments_1_2" localSheetId="12">_xlfn.LAMBDA(_xlpm.ArgumentsArray, _xlfn.CHOOSECOLS(_xlpm.ArgumentsArray, 1, 2))</definedName>
    <definedName name="Common_InputFunctions.Utility_DisplayArguments_1_2" localSheetId="13">_xlfn.LAMBDA(_xlpm.ArgumentsArray, _xlfn.CHOOSECOLS(_xlpm.ArgumentsArray, 1, 2))</definedName>
    <definedName name="Common_InputFunctions.Utility_DisplayArguments_1_2" localSheetId="14">_xlfn.LAMBDA(_xlpm.ArgumentsArray, _xlfn.CHOOSECOLS(_xlpm.ArgumentsArray, 1, 2))</definedName>
    <definedName name="Common_InputFunctions.Utility_DisplayArguments_1_2" localSheetId="15">_xlfn.LAMBDA(_xlpm.ArgumentsArray, _xlfn.CHOOSECOLS(_xlpm.ArgumentsArray, 1, 2))</definedName>
    <definedName name="Common_InputFunctions.Utility_DisplayArguments_1_2" localSheetId="16">_xlfn.LAMBDA(_xlpm.ArgumentsArray, _xlfn.CHOOSECOLS(_xlpm.ArgumentsArray, 1, 2))</definedName>
    <definedName name="Common_InputFunctions.Utility_DisplayArguments_1_2" localSheetId="17">_xlfn.LAMBDA(_xlpm.ArgumentsArray, _xlfn.CHOOSECOLS(_xlpm.ArgumentsArray, 1, 2))</definedName>
    <definedName name="Common_InputFunctions.Utility_DisplayArguments_1_2" localSheetId="18">_xlfn.LAMBDA(_xlpm.ArgumentsArray, _xlfn.CHOOSECOLS(_xlpm.ArgumentsArray, 1, 2))</definedName>
    <definedName name="Common_InputFunctions.Utility_DisplayArguments_1_2" localSheetId="19">_xlfn.LAMBDA(_xlpm.ArgumentsArray, _xlfn.CHOOSECOLS(_xlpm.ArgumentsArray, 1, 2))</definedName>
    <definedName name="Common_InputFunctions.Utility_DisplayArguments_1_2" localSheetId="20">_xlfn.LAMBDA(_xlpm.ArgumentsArray, _xlfn.CHOOSECOLS(_xlpm.ArgumentsArray, 1, 2))</definedName>
    <definedName name="Common_InputFunctions.Utility_DisplayArguments_1_2" localSheetId="21">_xlfn.LAMBDA(_xlpm.ArgumentsArray, _xlfn.CHOOSECOLS(_xlpm.ArgumentsArray, 1, 2))</definedName>
    <definedName name="Common_InputFunctions.Utility_DisplayArguments_1_2" localSheetId="22">_xlfn.LAMBDA(_xlpm.ArgumentsArray, _xlfn.CHOOSECOLS(_xlpm.ArgumentsArray, 1, 2))</definedName>
    <definedName name="Common_InputFunctions.Utility_DisplayArguments_1_2" localSheetId="23">_xlfn.LAMBDA(_xlpm.ArgumentsArray, _xlfn.CHOOSECOLS(_xlpm.ArgumentsArray, 1, 2))</definedName>
    <definedName name="Common_InputFunctions.Utility_DisplayArguments_1_2" localSheetId="24">_xlfn.LAMBDA(_xlpm.ArgumentsArray, _xlfn.CHOOSECOLS(_xlpm.ArgumentsArray, 1, 2))</definedName>
    <definedName name="Common_InputFunctions.Utility_DisplayArguments_1_2" localSheetId="33">_xlfn.LAMBDA(_xlpm.ArgumentsArray, _xlfn.CHOOSECOLS(_xlpm.ArgumentsArray, 1, 2))</definedName>
    <definedName name="Common_InputFunctions.Utility_DisplayArguments_1_2" localSheetId="27">_xlfn.LAMBDA(_xlpm.ArgumentsArray, _xlfn.CHOOSECOLS(_xlpm.ArgumentsArray, 1, 2))</definedName>
    <definedName name="Common_InputFunctions.Utility_DisplayArguments_1_2" localSheetId="32">_xlfn.LAMBDA(_xlpm.ArgumentsArray, _xlfn.CHOOSECOLS(_xlpm.ArgumentsArray, 1, 2))</definedName>
    <definedName name="Common_InputFunctions.Utility_DisplayArguments_1_2" localSheetId="29">_xlfn.LAMBDA(_xlpm.ArgumentsArray, _xlfn.CHOOSECOLS(_xlpm.ArgumentsArray, 1, 2))</definedName>
    <definedName name="Common_InputFunctions.Utility_DisplayArguments_1_2" localSheetId="30">_xlfn.LAMBDA(_xlpm.ArgumentsArray, _xlfn.CHOOSECOLS(_xlpm.ArgumentsArray, 1, 2))</definedName>
    <definedName name="Common_InputFunctions.Utility_DisplayArguments_1_2" localSheetId="31">_xlfn.LAMBDA(_xlpm.ArgumentsArray, _xlfn.CHOOSECOLS(_xlpm.ArgumentsArray, 1, 2))</definedName>
    <definedName name="Common_InputFunctions.Utility_DisplayArguments_1_2" localSheetId="28">_xlfn.LAMBDA(_xlpm.ArgumentsArray, _xlfn.CHOOSECOLS(_xlpm.ArgumentsArray, 1, 2))</definedName>
    <definedName name="Common_InputFunctions.Utility_DisplayArguments_1_2" localSheetId="26">_xlfn.LAMBDA(_xlpm.ArgumentsArray, _xlfn.CHOOSECOLS(_xlpm.ArgumentsArray, 1, 2))</definedName>
    <definedName name="Common_InputFunctions.Utility_DisplayArguments_1_2" localSheetId="9">_xlfn.LAMBDA(_xlpm.ArgumentsArray, _xlfn.CHOOSECOLS(_xlpm.ArgumentsArray, 1, 2))</definedName>
    <definedName name="Common_InputFunctions.Utility_DisplayArguments_1_2" localSheetId="7">_xlfn.LAMBDA(_xlpm.ArgumentsArray, _xlfn.CHOOSECOLS(_xlpm.ArgumentsArray, 1, 2))</definedName>
    <definedName name="Common_InputFunctions.Utility_DisplayArguments_1_2" localSheetId="8">_xlfn.LAMBDA(_xlpm.ArgumentsArray, _xlfn.CHOOSECOLS(_xlpm.ArgumentsArray, 1, 2))</definedName>
    <definedName name="Common_InputFunctions.Utility_DisplayArguments_1_2" localSheetId="6">_xlfn.LAMBDA(_xlpm.ArgumentsArray, _xlfn.CHOOSECOLS(_xlpm.ArgumentsArray, 1, 2))</definedName>
    <definedName name="Common_InputFunctions.Utility_DisplayArguments_1_2" localSheetId="4">_xlfn.LAMBDA(_xlpm.ArgumentsArray, _xlfn.CHOOSECOLS(_xlpm.ArgumentsArray, 1, 2))</definedName>
    <definedName name="Common_InputFunctions.Utility_DisplayArguments_1_2" localSheetId="5">_xlfn.LAMBDA(_xlpm.ArgumentsArray, _xlfn.CHOOSECOLS(_xlpm.ArgumentsArray, 1, 2))</definedName>
    <definedName name="Common_InputFunctions.Utility_DisplayArguments_1_2" localSheetId="3">_xlfn.LAMBDA(_xlpm.ArgumentsArray, _xlfn.CHOOSECOLS(_xlpm.ArgumentsArray, 1, 2))</definedName>
    <definedName name="Common_InputFunctions.Utility_DisplayArguments_1_2" localSheetId="3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25">_xlfn.LAMBDA(_xlpm.ArgumentsArray, _xlfn.CHOOSECOLS(_xlpm.ArgumentsArray, 3, 4))</definedName>
    <definedName name="Common_InputFunctions.Utility_DisplayArguments_3_4" localSheetId="10">_xlfn.LAMBDA(_xlpm.ArgumentsArray, _xlfn.CHOOSECOLS(_xlpm.ArgumentsArray, 3, 4))</definedName>
    <definedName name="Common_InputFunctions.Utility_DisplayArguments_3_4" localSheetId="11">_xlfn.LAMBDA(_xlpm.ArgumentsArray, _xlfn.CHOOSECOLS(_xlpm.ArgumentsArray, 3, 4))</definedName>
    <definedName name="Common_InputFunctions.Utility_DisplayArguments_3_4" localSheetId="12">_xlfn.LAMBDA(_xlpm.ArgumentsArray, _xlfn.CHOOSECOLS(_xlpm.ArgumentsArray, 3, 4))</definedName>
    <definedName name="Common_InputFunctions.Utility_DisplayArguments_3_4" localSheetId="13">_xlfn.LAMBDA(_xlpm.ArgumentsArray, _xlfn.CHOOSECOLS(_xlpm.ArgumentsArray, 3, 4))</definedName>
    <definedName name="Common_InputFunctions.Utility_DisplayArguments_3_4" localSheetId="14">_xlfn.LAMBDA(_xlpm.ArgumentsArray, _xlfn.CHOOSECOLS(_xlpm.ArgumentsArray, 3, 4))</definedName>
    <definedName name="Common_InputFunctions.Utility_DisplayArguments_3_4" localSheetId="15">_xlfn.LAMBDA(_xlpm.ArgumentsArray, _xlfn.CHOOSECOLS(_xlpm.ArgumentsArray, 3, 4))</definedName>
    <definedName name="Common_InputFunctions.Utility_DisplayArguments_3_4" localSheetId="16">_xlfn.LAMBDA(_xlpm.ArgumentsArray, _xlfn.CHOOSECOLS(_xlpm.ArgumentsArray, 3, 4))</definedName>
    <definedName name="Common_InputFunctions.Utility_DisplayArguments_3_4" localSheetId="17">_xlfn.LAMBDA(_xlpm.ArgumentsArray, _xlfn.CHOOSECOLS(_xlpm.ArgumentsArray, 3, 4))</definedName>
    <definedName name="Common_InputFunctions.Utility_DisplayArguments_3_4" localSheetId="18">_xlfn.LAMBDA(_xlpm.ArgumentsArray, _xlfn.CHOOSECOLS(_xlpm.ArgumentsArray, 3, 4))</definedName>
    <definedName name="Common_InputFunctions.Utility_DisplayArguments_3_4" localSheetId="19">_xlfn.LAMBDA(_xlpm.ArgumentsArray, _xlfn.CHOOSECOLS(_xlpm.ArgumentsArray, 3, 4))</definedName>
    <definedName name="Common_InputFunctions.Utility_DisplayArguments_3_4" localSheetId="20">_xlfn.LAMBDA(_xlpm.ArgumentsArray, _xlfn.CHOOSECOLS(_xlpm.ArgumentsArray, 3, 4))</definedName>
    <definedName name="Common_InputFunctions.Utility_DisplayArguments_3_4" localSheetId="21">_xlfn.LAMBDA(_xlpm.ArgumentsArray, _xlfn.CHOOSECOLS(_xlpm.ArgumentsArray, 3, 4))</definedName>
    <definedName name="Common_InputFunctions.Utility_DisplayArguments_3_4" localSheetId="22">_xlfn.LAMBDA(_xlpm.ArgumentsArray, _xlfn.CHOOSECOLS(_xlpm.ArgumentsArray, 3, 4))</definedName>
    <definedName name="Common_InputFunctions.Utility_DisplayArguments_3_4" localSheetId="23">_xlfn.LAMBDA(_xlpm.ArgumentsArray, _xlfn.CHOOSECOLS(_xlpm.ArgumentsArray, 3, 4))</definedName>
    <definedName name="Common_InputFunctions.Utility_DisplayArguments_3_4" localSheetId="24">_xlfn.LAMBDA(_xlpm.ArgumentsArray, _xlfn.CHOOSECOLS(_xlpm.ArgumentsArray, 3, 4))</definedName>
    <definedName name="Common_InputFunctions.Utility_DisplayArguments_3_4" localSheetId="33">_xlfn.LAMBDA(_xlpm.ArgumentsArray, _xlfn.CHOOSECOLS(_xlpm.ArgumentsArray, 3, 4))</definedName>
    <definedName name="Common_InputFunctions.Utility_DisplayArguments_3_4" localSheetId="27">_xlfn.LAMBDA(_xlpm.ArgumentsArray, _xlfn.CHOOSECOLS(_xlpm.ArgumentsArray, 3, 4))</definedName>
    <definedName name="Common_InputFunctions.Utility_DisplayArguments_3_4" localSheetId="32">_xlfn.LAMBDA(_xlpm.ArgumentsArray, _xlfn.CHOOSECOLS(_xlpm.ArgumentsArray, 3, 4))</definedName>
    <definedName name="Common_InputFunctions.Utility_DisplayArguments_3_4" localSheetId="29">_xlfn.LAMBDA(_xlpm.ArgumentsArray, _xlfn.CHOOSECOLS(_xlpm.ArgumentsArray, 3, 4))</definedName>
    <definedName name="Common_InputFunctions.Utility_DisplayArguments_3_4" localSheetId="30">_xlfn.LAMBDA(_xlpm.ArgumentsArray, _xlfn.CHOOSECOLS(_xlpm.ArgumentsArray, 3, 4))</definedName>
    <definedName name="Common_InputFunctions.Utility_DisplayArguments_3_4" localSheetId="31">_xlfn.LAMBDA(_xlpm.ArgumentsArray, _xlfn.CHOOSECOLS(_xlpm.ArgumentsArray, 3, 4))</definedName>
    <definedName name="Common_InputFunctions.Utility_DisplayArguments_3_4" localSheetId="28">_xlfn.LAMBDA(_xlpm.ArgumentsArray, _xlfn.CHOOSECOLS(_xlpm.ArgumentsArray, 3, 4))</definedName>
    <definedName name="Common_InputFunctions.Utility_DisplayArguments_3_4" localSheetId="26">_xlfn.LAMBDA(_xlpm.ArgumentsArray, _xlfn.CHOOSECOLS(_xlpm.ArgumentsArray, 3, 4))</definedName>
    <definedName name="Common_InputFunctions.Utility_DisplayArguments_3_4" localSheetId="9">_xlfn.LAMBDA(_xlpm.ArgumentsArray, _xlfn.CHOOSECOLS(_xlpm.ArgumentsArray, 3, 4))</definedName>
    <definedName name="Common_InputFunctions.Utility_DisplayArguments_3_4" localSheetId="7">_xlfn.LAMBDA(_xlpm.ArgumentsArray, _xlfn.CHOOSECOLS(_xlpm.ArgumentsArray, 3, 4))</definedName>
    <definedName name="Common_InputFunctions.Utility_DisplayArguments_3_4" localSheetId="8">_xlfn.LAMBDA(_xlpm.ArgumentsArray, _xlfn.CHOOSECOLS(_xlpm.ArgumentsArray, 3, 4))</definedName>
    <definedName name="Common_InputFunctions.Utility_DisplayArguments_3_4" localSheetId="6">_xlfn.LAMBDA(_xlpm.ArgumentsArray, _xlfn.CHOOSECOLS(_xlpm.ArgumentsArray, 3, 4))</definedName>
    <definedName name="Common_InputFunctions.Utility_DisplayArguments_3_4" localSheetId="4">_xlfn.LAMBDA(_xlpm.ArgumentsArray, _xlfn.CHOOSECOLS(_xlpm.ArgumentsArray, 3, 4))</definedName>
    <definedName name="Common_InputFunctions.Utility_DisplayArguments_3_4" localSheetId="5">_xlfn.LAMBDA(_xlpm.ArgumentsArray, _xlfn.CHOOSECOLS(_xlpm.ArgumentsArray, 3, 4))</definedName>
    <definedName name="Common_InputFunctions.Utility_DisplayArguments_3_4" localSheetId="3">_xlfn.LAMBDA(_xlpm.ArgumentsArray, _xlfn.CHOOSECOLS(_xlpm.ArgumentsArray, 3, 4))</definedName>
    <definedName name="Common_InputFunctions.Utility_DisplayArguments_3_4" localSheetId="3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25">_xlfn.LAMBDA(_xlpm.ArrayData,_xlpm.TableheaderCell,_xlpm.RowsBetweenHeaderandArray,_xlop.ColumnsBetweenHeaderAndArray, IFERROR(INDEX(_xlfn.UNIQUE(_xlpm.ArrayData), ROW() - '14.1.1-2 Purchased electricity'!Common_InputFunctions.Utility_GetArrayTableRowStartNumber(_xlpm.TableheaderCell, _xlpm.RowsBetweenHeaderandArray), COLUMN() - '14.1.1-2 Purchased electricity'!Common_InputFunctions.Utility_GetArrayTableColumnStartNumber(_xlpm.TableheaderCell) + IF(_xlfn.ISOMITTED(_xlpm.ColumnsBetweenHeaderAndArray), 1, _xlpm.ColumnsBetweenHeaderAndArray)), ""))</definedName>
    <definedName name="Common_InputFunctions.Utility_DisplayArrayInTable" localSheetId="10">_xlfn.LAMBDA(_xlpm.ArrayData,_xlpm.TableheaderCell,_xlpm.RowsBetweenHeaderandArray,_xlop.ColumnsBetweenHeaderAndArray, IFERROR(INDEX(_xlfn.UNIQUE(_xlpm.ArrayData), ROW() - '3.2.1.1-2 Enteric Methane'!Common_InputFunctions.Utility_GetArrayTableRowStartNumber(_xlpm.TableheaderCell, _xlpm.RowsBetweenHeaderandArray), COLUMN() - '3.2.1.1-2 Enteric Methane'!Common_InputFunctions.Utility_GetArrayTableColumnStartNumber(_xlpm.TableheaderCell) + IF(_xlfn.ISOMITTED(_xlpm.ColumnsBetweenHeaderAndArray), 1, _xlpm.ColumnsBetweenHeaderAndArray)), ""))</definedName>
    <definedName name="Common_InputFunctions.Utility_DisplayArrayInTable" localSheetId="11">_xlfn.LAMBDA(_xlpm.ArrayData,_xlpm.TableheaderCell,_xlpm.RowsBetweenHeaderandArray,_xlop.ColumnsBetweenHeaderAndArray, IFERROR(INDEX(_xlfn.UNIQUE(_xlpm.ArrayData), ROW() - '4.2.1.1-2 Methane'!Common_InputFunctions.Utility_GetArrayTableRowStartNumber(_xlpm.TableheaderCell, _xlpm.RowsBetweenHeaderandArray), COLUMN() - '4.2.1.1-2 Methane'!Common_InputFunctions.Utility_GetArrayTableColumnStartNumber(_xlpm.TableheaderCell) + IF(_xlfn.ISOMITTED(_xlpm.ColumnsBetweenHeaderAndArray), 1, _xlpm.ColumnsBetweenHeaderAndArray)), ""))</definedName>
    <definedName name="Common_InputFunctions.Utility_DisplayArrayInTable" localSheetId="12">_xlfn.LAMBDA(_xlpm.ArrayData,_xlpm.TableheaderCell,_xlpm.RowsBetweenHeaderandArray,_xlop.ColumnsBetweenHeaderAndArray, IFERROR(INDEX(_xlfn.UNIQUE(_xlpm.ArrayData), ROW() - '4.2.1.3-4 Soil direct N20'!Common_InputFunctions.Utility_GetArrayTableRowStartNumber(_xlpm.TableheaderCell, _xlpm.RowsBetweenHeaderandArray), COLUMN() - '4.2.1.3-4 Soil direct N20'!Common_InputFunctions.Utility_GetArrayTableColumnStartNumber(_xlpm.TableheaderCell) + IF(_xlfn.ISOMITTED(_xlpm.ColumnsBetweenHeaderAndArray), 1, _xlpm.ColumnsBetweenHeaderAndArray)), ""))</definedName>
    <definedName name="Common_InputFunctions.Utility_DisplayArrayInTable" localSheetId="13">_xlfn.LAMBDA(_xlpm.ArrayData,_xlpm.TableheaderCell,_xlpm.RowsBetweenHeaderandArray,_xlop.ColumnsBetweenHeaderAndArray, IFERROR(INDEX(_xlfn.UNIQUE(_xlpm.ArrayData), ROW() - '4.2.1.5-6 Soil Atmos Dep'!Common_InputFunctions.Utility_GetArrayTableRowStartNumber(_xlpm.TableheaderCell, _xlpm.RowsBetweenHeaderandArray), COLUMN() - '4.2.1.5-6 Soil Atmos Dep'!Common_InputFunctions.Utility_GetArrayTableColumnStartNumber(_xlpm.TableheaderCell) + IF(_xlfn.ISOMITTED(_xlpm.ColumnsBetweenHeaderAndArray), 1, _xlpm.ColumnsBetweenHeaderAndArray)), ""))</definedName>
    <definedName name="Common_InputFunctions.Utility_DisplayArrayInTable" localSheetId="14">_xlfn.LAMBDA(_xlpm.ArrayData,_xlpm.TableheaderCell,_xlpm.RowsBetweenHeaderandArray,_xlop.ColumnsBetweenHeaderAndArray, IFERROR(INDEX(_xlfn.UNIQUE(_xlpm.ArrayData), ROW() - '4.2.1.7-8 Soil leach runoff'!Common_InputFunctions.Utility_GetArrayTableRowStartNumber(_xlpm.TableheaderCell, _xlpm.RowsBetweenHeaderandArray), COLUMN() - '4.2.1.7-8 Soil leach runoff'!Common_InputFunctions.Utility_GetArrayTableColumnStartNumber(_xlpm.TableheaderCell) + IF(_xlfn.ISOMITTED(_xlpm.ColumnsBetweenHeaderAndArray), 1, _xlpm.ColumnsBetweenHeaderAndArray)), ""))</definedName>
    <definedName name="Common_InputFunctions.Utility_DisplayArrayInTable" localSheetId="15">_xlfn.LAMBDA(_xlpm.ArrayData,_xlpm.TableheaderCell,_xlpm.RowsBetweenHeaderandArray,_xlop.ColumnsBetweenHeaderAndArray, IFERROR(INDEX(_xlfn.UNIQUE(_xlpm.ArrayData), ROW() - '5.1.1.1-2 Inorganic fert N2O'!Common_InputFunctions.Utility_GetArrayTableRowStartNumber(_xlpm.TableheaderCell, _xlpm.RowsBetweenHeaderandArray), COLUMN() - '5.1.1.1-2 Inorganic fert N2O'!Common_InputFunctions.Utility_GetArrayTableColumnStartNumber(_xlpm.TableheaderCell) + IF(_xlfn.ISOMITTED(_xlpm.ColumnsBetweenHeaderAndArray), 1, _xlpm.ColumnsBetweenHeaderAndArray)), ""))</definedName>
    <definedName name="Common_InputFunctions.Utility_DisplayArrayInTable" localSheetId="16">_xlfn.LAMBDA(_xlpm.ArrayData,_xlpm.TableheaderCell,_xlpm.RowsBetweenHeaderandArray,_xlop.ColumnsBetweenHeaderAndArray, IFERROR(INDEX(_xlfn.UNIQUE(_xlpm.ArrayData), ROW() - '5.1.1.3-4 Inorganic fert CO2'!Common_InputFunctions.Utility_GetArrayTableRowStartNumber(_xlpm.TableheaderCell, _xlpm.RowsBetweenHeaderandArray), COLUMN() - '5.1.1.3-4 Inorganic fert CO2'!Common_InputFunctions.Utility_GetArrayTableColumnStartNumber(_xlpm.TableheaderCell) + IF(_xlfn.ISOMITTED(_xlpm.ColumnsBetweenHeaderAndArray), 1, _xlpm.ColumnsBetweenHeaderAndArray)), ""))</definedName>
    <definedName name="Common_InputFunctions.Utility_DisplayArrayInTable" localSheetId="17">_xlfn.LAMBDA(_xlpm.ArrayData,_xlpm.TableheaderCell,_xlpm.RowsBetweenHeaderandArray,_xlop.ColumnsBetweenHeaderAndArray, IFERROR(INDEX(_xlfn.UNIQUE(_xlpm.ArrayData), ROW() - '5.2.1.1-2 Organic Fert N2O'!Common_InputFunctions.Utility_GetArrayTableRowStartNumber(_xlpm.TableheaderCell, _xlpm.RowsBetweenHeaderandArray), COLUMN() - '5.2.1.1-2 Organic Fert N2O'!Common_InputFunctions.Utility_GetArrayTableColumnStartNumber(_xlpm.TableheaderCell) + IF(_xlfn.ISOMITTED(_xlpm.ColumnsBetweenHeaderAndArray), 1, _xlpm.ColumnsBetweenHeaderAndArray)), ""))</definedName>
    <definedName name="Common_InputFunctions.Utility_DisplayArrayInTable" localSheetId="18">_xlfn.LAMBDA(_xlpm.ArrayData,_xlpm.TableheaderCell,_xlpm.RowsBetweenHeaderandArray,_xlop.ColumnsBetweenHeaderAndArray, IFERROR(INDEX(_xlfn.UNIQUE(_xlpm.ArrayData), ROW() - '5.3.1.1-2 Lime CO2'!Common_InputFunctions.Utility_GetArrayTableRowStartNumber(_xlpm.TableheaderCell, _xlpm.RowsBetweenHeaderandArray), COLUMN() - '5.3.1.1-2 Lime CO2'!Common_InputFunctions.Utility_GetArrayTableColumnStartNumber(_xlpm.TableheaderCell) + IF(_xlfn.ISOMITTED(_xlpm.ColumnsBetweenHeaderAndArray), 1, _xlpm.ColumnsBetweenHeaderAndArray)), ""))</definedName>
    <definedName name="Common_InputFunctions.Utility_DisplayArrayInTable" localSheetId="19">_xlfn.LAMBDA(_xlpm.ArrayData,_xlpm.TableheaderCell,_xlpm.RowsBetweenHeaderandArray,_xlop.ColumnsBetweenHeaderAndArray, IFERROR(INDEX(_xlfn.UNIQUE(_xlpm.ArrayData), ROW() - '5.4.1.1-4 Atmos deposition'!Common_InputFunctions.Utility_GetArrayTableRowStartNumber(_xlpm.TableheaderCell, _xlpm.RowsBetweenHeaderandArray), COLUMN() - '5.4.1.1-4 Atmos deposition'!Common_InputFunctions.Utility_GetArrayTableColumnStartNumber(_xlpm.TableheaderCell) + IF(_xlfn.ISOMITTED(_xlpm.ColumnsBetweenHeaderAndArray), 1, _xlpm.ColumnsBetweenHeaderAndArray)), ""))</definedName>
    <definedName name="Common_InputFunctions.Utility_DisplayArrayInTable" localSheetId="20">_xlfn.LAMBDA(_xlpm.ArrayData,_xlpm.TableheaderCell,_xlpm.RowsBetweenHeaderandArray,_xlop.ColumnsBetweenHeaderAndArray, IFERROR(INDEX(_xlfn.UNIQUE(_xlpm.ArrayData), ROW() - '5.5.1.1-2 Leaching and runoff'!Common_InputFunctions.Utility_GetArrayTableRowStartNumber(_xlpm.TableheaderCell, _xlpm.RowsBetweenHeaderandArray), COLUMN() - '5.5.1.1-2 Leaching and runoff'!Common_InputFunctions.Utility_GetArrayTableColumnStartNumber(_xlpm.TableheaderCell) + IF(_xlfn.ISOMITTED(_xlpm.ColumnsBetweenHeaderAndArray), 1, _xlpm.ColumnsBetweenHeaderAndArray)), ""))</definedName>
    <definedName name="Common_InputFunctions.Utility_DisplayArrayInTable" localSheetId="21">_xlfn.LAMBDA(_xlpm.ArrayData,_xlpm.TableheaderCell,_xlpm.RowsBetweenHeaderandArray,_xlop.ColumnsBetweenHeaderAndArray, IFERROR(INDEX(_xlfn.UNIQUE(_xlpm.ArrayData), ROW() - '6.2.1.1-2 Pasture residue N2O'!Common_InputFunctions.Utility_GetArrayTableRowStartNumber(_xlpm.TableheaderCell, _xlpm.RowsBetweenHeaderandArray), COLUMN() - '6.2.1.1-2 Pasture residue N2O'!Common_InputFunctions.Utility_GetArrayTableColumnStartNumber(_xlpm.TableheaderCell) + IF(_xlfn.ISOMITTED(_xlpm.ColumnsBetweenHeaderAndArray), 1, _xlpm.ColumnsBetweenHeaderAndArray)), ""))</definedName>
    <definedName name="Common_InputFunctions.Utility_DisplayArrayInTable" localSheetId="22">_xlfn.LAMBDA(_xlpm.ArrayData,_xlpm.TableheaderCell,_xlpm.RowsBetweenHeaderandArray,_xlop.ColumnsBetweenHeaderAndArray, IFERROR(INDEX(_xlfn.UNIQUE(_xlpm.ArrayData), ROW() - '6.3.1.1-2 Leach runoff pasture'!Common_InputFunctions.Utility_GetArrayTableRowStartNumber(_xlpm.TableheaderCell, _xlpm.RowsBetweenHeaderandArray), COLUMN() - '6.3.1.1-2 Leach runoff pasture'!Common_InputFunctions.Utility_GetArrayTableColumnStartNumber(_xlpm.TableheaderCell) + IF(_xlfn.ISOMITTED(_xlpm.ColumnsBetweenHeaderAndArray), 1, _xlpm.ColumnsBetweenHeaderAndArray)), ""))</definedName>
    <definedName name="Common_InputFunctions.Utility_DisplayArrayInTable" localSheetId="23">_xlfn.LAMBDA(_xlpm.ArrayData,_xlpm.TableheaderCell,_xlpm.RowsBetweenHeaderandArray,_xlop.ColumnsBetweenHeaderAndArray, IFERROR(INDEX(_xlfn.UNIQUE(_xlpm.ArrayData), ROW() - '8.1.1.1-2 Transport fuel'!Common_InputFunctions.Utility_GetArrayTableRowStartNumber(_xlpm.TableheaderCell, _xlpm.RowsBetweenHeaderandArray), COLUMN() - '8.1.1.1-2 Transport fuel'!Common_InputFunctions.Utility_GetArrayTableColumnStartNumber(_xlpm.TableheaderCell) + IF(_xlfn.ISOMITTED(_xlpm.ColumnsBetweenHeaderAndArray), 1, _xlpm.ColumnsBetweenHeaderAndArray)), ""))</definedName>
    <definedName name="Common_InputFunctions.Utility_DisplayArrayInTable" localSheetId="24">_xlfn.LAMBDA(_xlpm.ArrayData,_xlpm.TableheaderCell,_xlpm.RowsBetweenHeaderandArray,_xlop.ColumnsBetweenHeaderAndArray, IFERROR(INDEX(_xlfn.UNIQUE(_xlpm.ArrayData), ROW() - '8.2.1.1-2 Stationary fuel'!Common_InputFunctions.Utility_GetArrayTableRowStartNumber(_xlpm.TableheaderCell, _xlpm.RowsBetweenHeaderandArray), COLUMN() - '8.2.1.1-2 Stationary fuel'!Common_InputFunctions.Utility_GetArrayTableColumnStartNumber(_xlpm.TableheaderCell) + IF(_xlfn.ISOMITTED(_xlpm.ColumnsBetweenHeaderAndArray), 1, _xlpm.ColumnsBetweenHeaderAndArray)), ""))</definedName>
    <definedName name="Common_InputFunctions.Utility_DisplayArrayInTable" localSheetId="33">_xlfn.LAMBDA(_xlpm.ArrayData,_xlpm.TableheaderCell,_xlpm.RowsBetweenHeaderandArray,_xlop.ColumnsBetweenHeaderAndArray, IFERROR(INDEX(_xlfn.UNIQUE(_xlpm.ArrayData), ROW() - Acknowledgements!Common_InputFunctions.Utility_GetArrayTableRowStartNumber(_xlpm.TableheaderCell, _xlpm.RowsBetweenHeaderandArray), COLUMN() - Acknowledgements!Common_InputFunctions.Utility_GetArrayTableColumnStartNumber(_xlpm.TableheaderCell) + IF(_xlfn.ISOMITTED(_xlpm.ColumnsBetweenHeaderAndArray), 1, _xlpm.ColumnsBetweenHeaderAndArray)), ""))</definedName>
    <definedName name="Common_InputFunctions.Utility_DisplayArrayInTable" localSheetId="27">_xlfn.LAMBDA(_xlpm.ArrayData,_xlpm.TableheaderCell,_xlpm.RowsBetweenHeaderandArray,_xlop.ColumnsBetweenHeaderAndArray, IFERROR(INDEX(_xlfn.UNIQUE(_xlpm.ArrayData), ROW() - 'Constants - Ag Residue'!Common_InputFunctions.Utility_GetArrayTableRowStartNumber(_xlpm.TableheaderCell, _xlpm.RowsBetweenHeaderandArray), COLUMN() - 'Constants - Ag Residue'!Common_InputFunctions.Utility_GetArrayTableColumnStartNumber(_xlpm.TableheaderCell) + IF(_xlfn.ISOMITTED(_xlpm.ColumnsBetweenHeaderAndArray), 1, _xlpm.ColumnsBetweenHeaderAndArray)), ""))</definedName>
    <definedName name="Common_InputFunctions.Utility_DisplayArrayInTable" localSheetId="32">_xlfn.LAMBDA(_xlpm.ArrayData,_xlpm.TableheaderCell,_xlpm.RowsBetweenHeaderandArray,_xlop.ColumnsBetweenHeaderAndArray, IFERROR(INDEX(_xlfn.UNIQUE(_xlpm.ArrayData), ROW() - 'Constants - Common'!Common_InputFunctions.Utility_GetArrayTableRowStartNumber(_xlpm.TableheaderCell, _xlpm.RowsBetweenHeaderandArray), COLUMN() - 'Constants - Common'!Common_InputFunctions.Utility_GetArrayTableColumnStartNumber(_xlpm.TableheaderCell) + IF(_xlfn.ISOMITTED(_xlpm.ColumnsBetweenHeaderAndArray), 1, _xlpm.ColumnsBetweenHeaderAndArray)), ""))</definedName>
    <definedName name="Common_InputFunctions.Utility_DisplayArrayInTable" localSheetId="29">_xlfn.LAMBDA(_xlpm.ArrayData,_xlpm.TableheaderCell,_xlpm.RowsBetweenHeaderandArray,_xlop.ColumnsBetweenHeaderAndArray, IFERROR(INDEX(_xlfn.UNIQUE(_xlpm.ArrayData), ROW() - 'Constants - Electricity'!Common_InputFunctions.Utility_GetArrayTableRowStartNumber(_xlpm.TableheaderCell, _xlpm.RowsBetweenHeaderandArray), COLUMN() - 'Constants - Electricity'!Common_InputFunctions.Utility_GetArrayTableColumnStartNumber(_xlpm.TableheaderCell) + IF(_xlfn.ISOMITTED(_xlpm.ColumnsBetweenHeaderAndArray), 1, _xlpm.ColumnsBetweenHeaderAndArray)), ""))</definedName>
    <definedName name="Common_InputFunctions.Utility_DisplayArrayInTable" localSheetId="30">_xlfn.LAMBDA(_xlpm.ArrayData,_xlpm.TableheaderCell,_xlpm.RowsBetweenHeaderandArray,_xlop.ColumnsBetweenHeaderAndArray, IFERROR(INDEX(_xlfn.UNIQUE(_xlpm.ArrayData), ROW() - 'Constants - Fertiliser'!Common_InputFunctions.Utility_GetArrayTableRowStartNumber(_xlpm.TableheaderCell, _xlpm.RowsBetweenHeaderandArray), COLUMN() - 'Constants - Fertiliser'!Common_InputFunctions.Utility_GetArrayTableColumnStartNumber(_xlpm.TableheaderCell) + IF(_xlfn.ISOMITTED(_xlpm.ColumnsBetweenHeaderAndArray), 1, _xlpm.ColumnsBetweenHeaderAndArray)), ""))</definedName>
    <definedName name="Common_InputFunctions.Utility_DisplayArrayInTable" localSheetId="31">_xlfn.LAMBDA(_xlpm.ArrayData,_xlpm.TableheaderCell,_xlpm.RowsBetweenHeaderandArray,_xlop.ColumnsBetweenHeaderAndArray, IFERROR(INDEX(_xlfn.UNIQUE(_xlpm.ArrayData), ROW() - 'Constants - Fuel'!Common_InputFunctions.Utility_GetArrayTableRowStartNumber(_xlpm.TableheaderCell, _xlpm.RowsBetweenHeaderandArray), COLUMN() - 'Constants - Fuel'!Common_InputFunctions.Utility_GetArrayTableColumnStartNumber(_xlpm.TableheaderCell) + IF(_xlfn.ISOMITTED(_xlpm.ColumnsBetweenHeaderAndArray), 1, _xlpm.ColumnsBetweenHeaderAndArray)), ""))</definedName>
    <definedName name="Common_InputFunctions.Utility_DisplayArrayInTable" localSheetId="28">_xlfn.LAMBDA(_xlpm.ArrayData,_xlpm.TableheaderCell,_xlpm.RowsBetweenHeaderandArray,_xlop.ColumnsBetweenHeaderAndArray, IFERROR(INDEX(_xlfn.UNIQUE(_xlpm.ArrayData), ROW() - 'Constants - Livestock'!Common_InputFunctions.Utility_GetArrayTableRowStartNumber(_xlpm.TableheaderCell, _xlpm.RowsBetweenHeaderandArray), COLUMN() - 'Constants - Livestock'!Common_InputFunctions.Utility_GetArrayTableColumnStartNumber(_xlpm.TableheaderCell) + IF(_xlfn.ISOMITTED(_xlpm.ColumnsBetweenHeaderAndArray), 1, _xlpm.ColumnsBetweenHeaderAndArray)), ""))</definedName>
    <definedName name="Common_InputFunctions.Utility_DisplayArrayInTable" localSheetId="26">_xlfn.LAMBDA(_xlpm.ArrayData,_xlpm.TableheaderCell,_xlpm.RowsBetweenHeaderandArray,_xlop.ColumnsBetweenHeaderAndArray, IFERROR(INDEX(_xlfn.UNIQUE(_xlpm.ArrayData), ROW() - 'Constants - Pasture Beef'!Common_InputFunctions.Utility_GetArrayTableRowStartNumber(_xlpm.TableheaderCell, _xlpm.RowsBetweenHeaderandArray), COLUMN() - 'Constants - Pasture Beef'!Common_InputFunctions.Utility_GetArrayTableColumnStartNumber(_xlpm.TableheaderCell) + IF(_xlfn.ISOMITTED(_xlpm.ColumnsBetweenHeaderAndArray), 1, _xlpm.ColumnsBetweenHeaderAndArray)), ""))</definedName>
    <definedName name="Common_InputFunctions.Utility_DisplayArrayInTable" localSheetId="9">_xlfn.LAMBDA(_xlpm.ArrayData,_xlpm.TableheaderCell,_xlpm.RowsBetweenHeaderandArray,_xlop.ColumnsBetweenHeaderAndArray, IFERROR(INDEX(_xlfn.UNIQUE(_xlpm.ArrayData), ROW() - 'Input - Electricity'!Common_InputFunctions.Utility_GetArrayTableRowStartNumber(_xlpm.TableheaderCell, _xlpm.RowsBetweenHeaderandArray), COLUMN() - 'Input - Electricity'!Common_InputFunctions.Utility_GetArrayTableColumnStartNumber(_xlpm.TableheaderCell) + IF(_xlfn.ISOMITTED(_xlpm.ColumnsBetweenHeaderAndArray), 1, _xlpm.ColumnsBetweenHeaderAndArray)), ""))</definedName>
    <definedName name="Common_InputFunctions.Utility_DisplayArrayInTable" localSheetId="7">_xlfn.LAMBDA(_xlpm.ArrayData,_xlpm.TableheaderCell,_xlpm.RowsBetweenHeaderandArray,_xlop.ColumnsBetweenHeaderAndArray, IFERROR(INDEX(_xlfn.UNIQUE(_xlpm.ArrayData), ROW() - 'Input - Fertiliser'!Common_InputFunctions.Utility_GetArrayTableRowStartNumber(_xlpm.TableheaderCell, _xlpm.RowsBetweenHeaderandArray), COLUMN() - 'Input - Fertiliser'!Common_InputFunctions.Utility_GetArrayTableColumnStartNumber(_xlpm.TableheaderCell) + IF(_xlfn.ISOMITTED(_xlpm.ColumnsBetweenHeaderAndArray), 1, _xlpm.ColumnsBetweenHeaderAndArray)), ""))</definedName>
    <definedName name="Common_InputFunctions.Utility_DisplayArrayInTable" localSheetId="8">_xlfn.LAMBDA(_xlpm.ArrayData,_xlpm.TableheaderCell,_xlpm.RowsBetweenHeaderandArray,_xlop.ColumnsBetweenHeaderAndArray, IFERROR(INDEX(_xlfn.UNIQUE(_xlpm.ArrayData), ROW() - 'Input - Fuel'!Common_InputFunctions.Utility_GetArrayTableRowStartNumber(_xlpm.TableheaderCell, _xlpm.RowsBetweenHeaderandArray), COLUMN() - 'Input - Fuel'!Common_InputFunctions.Utility_GetArrayTableColumnStartNumber(_xlpm.TableheaderCell) + IF(_xlfn.ISOMITTED(_xlpm.ColumnsBetweenHeaderAndArray), 1, _xlpm.ColumnsBetweenHeaderAndArray)), ""))</definedName>
    <definedName name="Common_InputFunctions.Utility_DisplayArrayInTable" localSheetId="6">_xlfn.LAMBDA(_xlpm.ArrayData,_xlpm.TableheaderCell,_xlpm.RowsBetweenHeaderandArray,_xlop.ColumnsBetweenHeaderAndArray, IFERROR(INDEX(_xlfn.UNIQUE(_xlpm.ArrayData), ROW() - 'Input - Pasture'!Common_InputFunctions.Utility_GetArrayTableRowStartNumber(_xlpm.TableheaderCell, _xlpm.RowsBetweenHeaderandArray), COLUMN() - 'Input - Pasture'!Common_InputFunctions.Utility_GetArrayTableColumnStartNumber(_xlpm.TableheaderCell) + IF(_xlfn.ISOMITTED(_xlpm.ColumnsBetweenHeaderAndArray), 1, _xlpm.ColumnsBetweenHeaderAndArray)), ""))</definedName>
    <definedName name="Common_InputFunctions.Utility_DisplayArrayInTable" localSheetId="4">_xlfn.LAMBDA(_xlpm.ArrayData,_xlpm.TableheaderCell,_xlpm.RowsBetweenHeaderandArray,_xlop.ColumnsBetweenHeaderAndArray, IFERROR(INDEX(_xlfn.UNIQUE(_xlpm.ArrayData), ROW() - 'Input - Pasture Beef'!Common_InputFunctions.Utility_GetArrayTableRowStartNumber(_xlpm.TableheaderCell, _xlpm.RowsBetweenHeaderandArray), COLUMN() - 'Input - Pasture Beef'!Common_InputFunctions.Utility_GetArrayTableColumnStartNumber(_xlpm.TableheaderCell) + IF(_xlfn.ISOMITTED(_xlpm.ColumnsBetweenHeaderAndArray), 1, _xlpm.ColumnsBetweenHeaderAndArray)), ""))</definedName>
    <definedName name="Common_InputFunctions.Utility_DisplayArrayInTable" localSheetId="3">_xlfn.LAMBDA(_xlpm.ArrayData,_xlpm.TableheaderCell,_xlpm.RowsBetweenHeaderandArray,_xlop.ColumnsBetweenHeaderAndArray, IFERROR(INDEX(_xlfn.UNIQUE(_xlpm.ArrayData), ROW() - 'Input - Site'!Common_InputFunctions.Utility_GetArrayTableRowStartNumber(_xlpm.TableheaderCell, _xlpm.RowsBetweenHeaderandArray), COLUMN() - 'Input - Site'!Common_InputFunctions.Utility_GetArrayTableColumnStartNumber(_xlpm.TableheaderCell) + IF(_xlfn.ISOMITTED(_xlpm.ColumnsBetweenHeaderAndArray), 1, _xlpm.ColumnsBetweenHeaderAndArray)), ""))</definedName>
    <definedName name="Common_InputFunctions.Utility_DisplayArrayInTable" localSheetId="34">_xlfn.LAMBDA(_xlpm.ArrayData,_xlpm.TableheaderCell,_xlpm.RowsBetweenHeaderandArray,_xlop.ColumnsBetweenHeaderAndArray, IFERROR(INDEX(_xlfn.UNIQUE(_xlpm.ArrayData), ROW() - Overview!Common_InputFunctions.Utility_GetArrayTableRowStartNumber(_xlpm.TableheaderCell, _xlpm.RowsBetweenHeaderandArray), COLUMN() - Overview!Common_InputFunctions.Utility_GetArrayTableColumnStartNumber(_xlpm.TableheaderCell)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25">_xlfn.LAMBDA(_xlpm.Function, _xlfn.TEXTBEFORE(_xlfn.FORMULATEXT(_xlpm.Function), "("))</definedName>
    <definedName name="Common_InputFunctions.Utility_DisplayFunctionName" localSheetId="10">_xlfn.LAMBDA(_xlpm.Function, _xlfn.TEXTBEFORE(_xlfn.FORMULATEXT(_xlpm.Function), "("))</definedName>
    <definedName name="Common_InputFunctions.Utility_DisplayFunctionName" localSheetId="11">_xlfn.LAMBDA(_xlpm.Function, _xlfn.TEXTBEFORE(_xlfn.FORMULATEXT(_xlpm.Function), "("))</definedName>
    <definedName name="Common_InputFunctions.Utility_DisplayFunctionName" localSheetId="12">_xlfn.LAMBDA(_xlpm.Function, _xlfn.TEXTBEFORE(_xlfn.FORMULATEXT(_xlpm.Function), "("))</definedName>
    <definedName name="Common_InputFunctions.Utility_DisplayFunctionName" localSheetId="13">_xlfn.LAMBDA(_xlpm.Function, _xlfn.TEXTBEFORE(_xlfn.FORMULATEXT(_xlpm.Function), "("))</definedName>
    <definedName name="Common_InputFunctions.Utility_DisplayFunctionName" localSheetId="14">_xlfn.LAMBDA(_xlpm.Function, _xlfn.TEXTBEFORE(_xlfn.FORMULATEXT(_xlpm.Function), "("))</definedName>
    <definedName name="Common_InputFunctions.Utility_DisplayFunctionName" localSheetId="15">_xlfn.LAMBDA(_xlpm.Function, _xlfn.TEXTBEFORE(_xlfn.FORMULATEXT(_xlpm.Function), "("))</definedName>
    <definedName name="Common_InputFunctions.Utility_DisplayFunctionName" localSheetId="16">_xlfn.LAMBDA(_xlpm.Function, _xlfn.TEXTBEFORE(_xlfn.FORMULATEXT(_xlpm.Function), "("))</definedName>
    <definedName name="Common_InputFunctions.Utility_DisplayFunctionName" localSheetId="17">_xlfn.LAMBDA(_xlpm.Function, _xlfn.TEXTBEFORE(_xlfn.FORMULATEXT(_xlpm.Function), "("))</definedName>
    <definedName name="Common_InputFunctions.Utility_DisplayFunctionName" localSheetId="18">_xlfn.LAMBDA(_xlpm.Function, _xlfn.TEXTBEFORE(_xlfn.FORMULATEXT(_xlpm.Function), "("))</definedName>
    <definedName name="Common_InputFunctions.Utility_DisplayFunctionName" localSheetId="19">_xlfn.LAMBDA(_xlpm.Function, _xlfn.TEXTBEFORE(_xlfn.FORMULATEXT(_xlpm.Function), "("))</definedName>
    <definedName name="Common_InputFunctions.Utility_DisplayFunctionName" localSheetId="20">_xlfn.LAMBDA(_xlpm.Function, _xlfn.TEXTBEFORE(_xlfn.FORMULATEXT(_xlpm.Function), "("))</definedName>
    <definedName name="Common_InputFunctions.Utility_DisplayFunctionName" localSheetId="21">_xlfn.LAMBDA(_xlpm.Function, _xlfn.TEXTBEFORE(_xlfn.FORMULATEXT(_xlpm.Function), "("))</definedName>
    <definedName name="Common_InputFunctions.Utility_DisplayFunctionName" localSheetId="22">_xlfn.LAMBDA(_xlpm.Function, _xlfn.TEXTBEFORE(_xlfn.FORMULATEXT(_xlpm.Function), "("))</definedName>
    <definedName name="Common_InputFunctions.Utility_DisplayFunctionName" localSheetId="23">_xlfn.LAMBDA(_xlpm.Function, _xlfn.TEXTBEFORE(_xlfn.FORMULATEXT(_xlpm.Function), "("))</definedName>
    <definedName name="Common_InputFunctions.Utility_DisplayFunctionName" localSheetId="24">_xlfn.LAMBDA(_xlpm.Function, _xlfn.TEXTBEFORE(_xlfn.FORMULATEXT(_xlpm.Function), "("))</definedName>
    <definedName name="Common_InputFunctions.Utility_DisplayFunctionName" localSheetId="33">_xlfn.LAMBDA(_xlpm.Function, _xlfn.TEXTBEFORE(_xlfn.FORMULATEXT(_xlpm.Function), "("))</definedName>
    <definedName name="Common_InputFunctions.Utility_DisplayFunctionName" localSheetId="27">_xlfn.LAMBDA(_xlpm.Function, _xlfn.TEXTBEFORE(_xlfn.FORMULATEXT(_xlpm.Function), "("))</definedName>
    <definedName name="Common_InputFunctions.Utility_DisplayFunctionName" localSheetId="32">_xlfn.LAMBDA(_xlpm.Function, _xlfn.TEXTBEFORE(_xlfn.FORMULATEXT(_xlpm.Function), "("))</definedName>
    <definedName name="Common_InputFunctions.Utility_DisplayFunctionName" localSheetId="29">_xlfn.LAMBDA(_xlpm.Function, _xlfn.TEXTBEFORE(_xlfn.FORMULATEXT(_xlpm.Function), "("))</definedName>
    <definedName name="Common_InputFunctions.Utility_DisplayFunctionName" localSheetId="30">_xlfn.LAMBDA(_xlpm.Function, _xlfn.TEXTBEFORE(_xlfn.FORMULATEXT(_xlpm.Function), "("))</definedName>
    <definedName name="Common_InputFunctions.Utility_DisplayFunctionName" localSheetId="31">_xlfn.LAMBDA(_xlpm.Function, _xlfn.TEXTBEFORE(_xlfn.FORMULATEXT(_xlpm.Function), "("))</definedName>
    <definedName name="Common_InputFunctions.Utility_DisplayFunctionName" localSheetId="28">_xlfn.LAMBDA(_xlpm.Function, _xlfn.TEXTBEFORE(_xlfn.FORMULATEXT(_xlpm.Function), "("))</definedName>
    <definedName name="Common_InputFunctions.Utility_DisplayFunctionName" localSheetId="26">_xlfn.LAMBDA(_xlpm.Function, _xlfn.TEXTBEFORE(_xlfn.FORMULATEXT(_xlpm.Function), "("))</definedName>
    <definedName name="Common_InputFunctions.Utility_DisplayFunctionName" localSheetId="9">_xlfn.LAMBDA(_xlpm.Function, _xlfn.TEXTBEFORE(_xlfn.FORMULATEXT(_xlpm.Function), "("))</definedName>
    <definedName name="Common_InputFunctions.Utility_DisplayFunctionName" localSheetId="7">_xlfn.LAMBDA(_xlpm.Function, _xlfn.TEXTBEFORE(_xlfn.FORMULATEXT(_xlpm.Function), "("))</definedName>
    <definedName name="Common_InputFunctions.Utility_DisplayFunctionName" localSheetId="8">_xlfn.LAMBDA(_xlpm.Function, _xlfn.TEXTBEFORE(_xlfn.FORMULATEXT(_xlpm.Function), "("))</definedName>
    <definedName name="Common_InputFunctions.Utility_DisplayFunctionName" localSheetId="6">_xlfn.LAMBDA(_xlpm.Function, _xlfn.TEXTBEFORE(_xlfn.FORMULATEXT(_xlpm.Function), "("))</definedName>
    <definedName name="Common_InputFunctions.Utility_DisplayFunctionName" localSheetId="4">_xlfn.LAMBDA(_xlpm.Function, _xlfn.TEXTBEFORE(_xlfn.FORMULATEXT(_xlpm.Function), "("))</definedName>
    <definedName name="Common_InputFunctions.Utility_DisplayFunctionName" localSheetId="3">_xlfn.LAMBDA(_xlpm.Function, _xlfn.TEXTBEFORE(_xlfn.FORMULATEXT(_xlpm.Function), "("))</definedName>
    <definedName name="Common_InputFunctions.Utility_DisplayFunctionName" localSheetId="3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25">_xlfn.LAMBDA(_xlpm.TableHeaderCell, COLUMN(_xlpm.TableHeaderCell))</definedName>
    <definedName name="Common_InputFunctions.Utility_GetArrayTableColumnStartNumber" localSheetId="10">_xlfn.LAMBDA(_xlpm.TableHeaderCell, COLUMN(_xlpm.TableHeaderCell))</definedName>
    <definedName name="Common_InputFunctions.Utility_GetArrayTableColumnStartNumber" localSheetId="11">_xlfn.LAMBDA(_xlpm.TableHeaderCell, COLUMN(_xlpm.TableHeaderCell))</definedName>
    <definedName name="Common_InputFunctions.Utility_GetArrayTableColumnStartNumber" localSheetId="12">_xlfn.LAMBDA(_xlpm.TableHeaderCell, COLUMN(_xlpm.TableHeaderCell))</definedName>
    <definedName name="Common_InputFunctions.Utility_GetArrayTableColumnStartNumber" localSheetId="13">_xlfn.LAMBDA(_xlpm.TableHeaderCell, COLUMN(_xlpm.TableHeaderCell))</definedName>
    <definedName name="Common_InputFunctions.Utility_GetArrayTableColumnStartNumber" localSheetId="14">_xlfn.LAMBDA(_xlpm.TableHeaderCell, COLUMN(_xlpm.TableHeaderCell))</definedName>
    <definedName name="Common_InputFunctions.Utility_GetArrayTableColumnStartNumber" localSheetId="15">_xlfn.LAMBDA(_xlpm.TableHeaderCell, COLUMN(_xlpm.TableHeaderCell))</definedName>
    <definedName name="Common_InputFunctions.Utility_GetArrayTableColumnStartNumber" localSheetId="16">_xlfn.LAMBDA(_xlpm.TableHeaderCell, COLUMN(_xlpm.TableHeaderCell))</definedName>
    <definedName name="Common_InputFunctions.Utility_GetArrayTableColumnStartNumber" localSheetId="17">_xlfn.LAMBDA(_xlpm.TableHeaderCell, COLUMN(_xlpm.TableHeaderCell))</definedName>
    <definedName name="Common_InputFunctions.Utility_GetArrayTableColumnStartNumber" localSheetId="18">_xlfn.LAMBDA(_xlpm.TableHeaderCell, COLUMN(_xlpm.TableHeaderCell))</definedName>
    <definedName name="Common_InputFunctions.Utility_GetArrayTableColumnStartNumber" localSheetId="19">_xlfn.LAMBDA(_xlpm.TableHeaderCell, COLUMN(_xlpm.TableHeaderCell))</definedName>
    <definedName name="Common_InputFunctions.Utility_GetArrayTableColumnStartNumber" localSheetId="20">_xlfn.LAMBDA(_xlpm.TableHeaderCell, COLUMN(_xlpm.TableHeaderCell))</definedName>
    <definedName name="Common_InputFunctions.Utility_GetArrayTableColumnStartNumber" localSheetId="21">_xlfn.LAMBDA(_xlpm.TableHeaderCell, COLUMN(_xlpm.TableHeaderCell))</definedName>
    <definedName name="Common_InputFunctions.Utility_GetArrayTableColumnStartNumber" localSheetId="22">_xlfn.LAMBDA(_xlpm.TableHeaderCell, COLUMN(_xlpm.TableHeaderCell))</definedName>
    <definedName name="Common_InputFunctions.Utility_GetArrayTableColumnStartNumber" localSheetId="23">_xlfn.LAMBDA(_xlpm.TableHeaderCell, COLUMN(_xlpm.TableHeaderCell))</definedName>
    <definedName name="Common_InputFunctions.Utility_GetArrayTableColumnStartNumber" localSheetId="24">_xlfn.LAMBDA(_xlpm.TableHeaderCell, COLUMN(_xlpm.TableHeaderCell))</definedName>
    <definedName name="Common_InputFunctions.Utility_GetArrayTableColumnStartNumber" localSheetId="33">_xlfn.LAMBDA(_xlpm.TableHeaderCell, COLUMN(_xlpm.TableHeaderCell))</definedName>
    <definedName name="Common_InputFunctions.Utility_GetArrayTableColumnStartNumber" localSheetId="27">_xlfn.LAMBDA(_xlpm.TableHeaderCell, COLUMN(_xlpm.TableHeaderCell))</definedName>
    <definedName name="Common_InputFunctions.Utility_GetArrayTableColumnStartNumber" localSheetId="32">_xlfn.LAMBDA(_xlpm.TableHeaderCell, COLUMN(_xlpm.TableHeaderCell))</definedName>
    <definedName name="Common_InputFunctions.Utility_GetArrayTableColumnStartNumber" localSheetId="29">_xlfn.LAMBDA(_xlpm.TableHeaderCell, COLUMN(_xlpm.TableHeaderCell))</definedName>
    <definedName name="Common_InputFunctions.Utility_GetArrayTableColumnStartNumber" localSheetId="30">_xlfn.LAMBDA(_xlpm.TableHeaderCell, COLUMN(_xlpm.TableHeaderCell))</definedName>
    <definedName name="Common_InputFunctions.Utility_GetArrayTableColumnStartNumber" localSheetId="31">_xlfn.LAMBDA(_xlpm.TableHeaderCell, COLUMN(_xlpm.TableHeaderCell))</definedName>
    <definedName name="Common_InputFunctions.Utility_GetArrayTableColumnStartNumber" localSheetId="28">_xlfn.LAMBDA(_xlpm.TableHeaderCell, COLUMN(_xlpm.TableHeaderCell))</definedName>
    <definedName name="Common_InputFunctions.Utility_GetArrayTableColumnStartNumber" localSheetId="26">_xlfn.LAMBDA(_xlpm.TableHeaderCell, COLUMN(_xlpm.TableHeaderCell))</definedName>
    <definedName name="Common_InputFunctions.Utility_GetArrayTableColumnStartNumber" localSheetId="9">_xlfn.LAMBDA(_xlpm.TableHeaderCell, COLUMN(_xlpm.TableHeaderCell))</definedName>
    <definedName name="Common_InputFunctions.Utility_GetArrayTableColumnStartNumber" localSheetId="7">_xlfn.LAMBDA(_xlpm.TableHeaderCell, COLUMN(_xlpm.TableHeaderCell))</definedName>
    <definedName name="Common_InputFunctions.Utility_GetArrayTableColumnStartNumber" localSheetId="8">_xlfn.LAMBDA(_xlpm.TableHeaderCell, COLUMN(_xlpm.TableHeaderCell))</definedName>
    <definedName name="Common_InputFunctions.Utility_GetArrayTableColumnStartNumber" localSheetId="6">_xlfn.LAMBDA(_xlpm.TableHeaderCell, COLUMN(_xlpm.TableHeaderCell))</definedName>
    <definedName name="Common_InputFunctions.Utility_GetArrayTableColumnStartNumber" localSheetId="4">_xlfn.LAMBDA(_xlpm.TableHeaderCell, COLUMN(_xlpm.TableHeaderCell))</definedName>
    <definedName name="Common_InputFunctions.Utility_GetArrayTableColumnStartNumber" localSheetId="3">_xlfn.LAMBDA(_xlpm.TableHeaderCell, COLUMN(_xlpm.TableHeaderCell))</definedName>
    <definedName name="Common_InputFunctions.Utility_GetArrayTableColumnStartNumber" localSheetId="3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25">_xlfn.LAMBDA(_xlpm.TableheaderCell,_xlpm.RowsBetweenHeaderandArray, ROW(_xlpm.TableheaderCell) + _xlpm.RowsBetweenHeaderandArray - 1)</definedName>
    <definedName name="Common_InputFunctions.Utility_GetArrayTableRowStartNumber" localSheetId="10">_xlfn.LAMBDA(_xlpm.TableheaderCell,_xlpm.RowsBetweenHeaderandArray, ROW(_xlpm.TableheaderCell) + _xlpm.RowsBetweenHeaderandArray - 1)</definedName>
    <definedName name="Common_InputFunctions.Utility_GetArrayTableRowStartNumber" localSheetId="11">_xlfn.LAMBDA(_xlpm.TableheaderCell,_xlpm.RowsBetweenHeaderandArray, ROW(_xlpm.TableheaderCell) + _xlpm.RowsBetweenHeaderandArray - 1)</definedName>
    <definedName name="Common_InputFunctions.Utility_GetArrayTableRowStartNumber" localSheetId="12">_xlfn.LAMBDA(_xlpm.TableheaderCell,_xlpm.RowsBetweenHeaderandArray, ROW(_xlpm.TableheaderCell) + _xlpm.RowsBetweenHeaderandArray - 1)</definedName>
    <definedName name="Common_InputFunctions.Utility_GetArrayTableRowStartNumber" localSheetId="13">_xlfn.LAMBDA(_xlpm.TableheaderCell,_xlpm.RowsBetweenHeaderandArray, ROW(_xlpm.TableheaderCell) + _xlpm.RowsBetweenHeaderandArray - 1)</definedName>
    <definedName name="Common_InputFunctions.Utility_GetArrayTableRowStartNumber" localSheetId="14">_xlfn.LAMBDA(_xlpm.TableheaderCell,_xlpm.RowsBetweenHeaderandArray, ROW(_xlpm.TableheaderCell) + _xlpm.RowsBetweenHeaderandArray - 1)</definedName>
    <definedName name="Common_InputFunctions.Utility_GetArrayTableRowStartNumber" localSheetId="15">_xlfn.LAMBDA(_xlpm.TableheaderCell,_xlpm.RowsBetweenHeaderandArray, ROW(_xlpm.TableheaderCell) + _xlpm.RowsBetweenHeaderandArray - 1)</definedName>
    <definedName name="Common_InputFunctions.Utility_GetArrayTableRowStartNumber" localSheetId="16">_xlfn.LAMBDA(_xlpm.TableheaderCell,_xlpm.RowsBetweenHeaderandArray, ROW(_xlpm.TableheaderCell) + _xlpm.RowsBetweenHeaderandArray - 1)</definedName>
    <definedName name="Common_InputFunctions.Utility_GetArrayTableRowStartNumber" localSheetId="17">_xlfn.LAMBDA(_xlpm.TableheaderCell,_xlpm.RowsBetweenHeaderandArray, ROW(_xlpm.TableheaderCell) + _xlpm.RowsBetweenHeaderandArray - 1)</definedName>
    <definedName name="Common_InputFunctions.Utility_GetArrayTableRowStartNumber" localSheetId="18">_xlfn.LAMBDA(_xlpm.TableheaderCell,_xlpm.RowsBetweenHeaderandArray, ROW(_xlpm.TableheaderCell) + _xlpm.RowsBetweenHeaderandArray - 1)</definedName>
    <definedName name="Common_InputFunctions.Utility_GetArrayTableRowStartNumber" localSheetId="19">_xlfn.LAMBDA(_xlpm.TableheaderCell,_xlpm.RowsBetweenHeaderandArray, ROW(_xlpm.TableheaderCell) + _xlpm.RowsBetweenHeaderandArray - 1)</definedName>
    <definedName name="Common_InputFunctions.Utility_GetArrayTableRowStartNumber" localSheetId="20">_xlfn.LAMBDA(_xlpm.TableheaderCell,_xlpm.RowsBetweenHeaderandArray, ROW(_xlpm.TableheaderCell) + _xlpm.RowsBetweenHeaderandArray - 1)</definedName>
    <definedName name="Common_InputFunctions.Utility_GetArrayTableRowStartNumber" localSheetId="21">_xlfn.LAMBDA(_xlpm.TableheaderCell,_xlpm.RowsBetweenHeaderandArray, ROW(_xlpm.TableheaderCell) + _xlpm.RowsBetweenHeaderandArray - 1)</definedName>
    <definedName name="Common_InputFunctions.Utility_GetArrayTableRowStartNumber" localSheetId="22">_xlfn.LAMBDA(_xlpm.TableheaderCell,_xlpm.RowsBetweenHeaderandArray, ROW(_xlpm.TableheaderCell) + _xlpm.RowsBetweenHeaderandArray - 1)</definedName>
    <definedName name="Common_InputFunctions.Utility_GetArrayTableRowStartNumber" localSheetId="23">_xlfn.LAMBDA(_xlpm.TableheaderCell,_xlpm.RowsBetweenHeaderandArray, ROW(_xlpm.TableheaderCell) + _xlpm.RowsBetweenHeaderandArray - 1)</definedName>
    <definedName name="Common_InputFunctions.Utility_GetArrayTableRowStartNumber" localSheetId="24">_xlfn.LAMBDA(_xlpm.TableheaderCell,_xlpm.RowsBetweenHeaderandArray, ROW(_xlpm.TableheaderCell) + _xlpm.RowsBetweenHeaderandArray - 1)</definedName>
    <definedName name="Common_InputFunctions.Utility_GetArrayTableRowStartNumber" localSheetId="33">_xlfn.LAMBDA(_xlpm.TableheaderCell,_xlpm.RowsBetweenHeaderandArray, ROW(_xlpm.TableheaderCell) + _xlpm.RowsBetweenHeaderandArray - 1)</definedName>
    <definedName name="Common_InputFunctions.Utility_GetArrayTableRowStartNumber" localSheetId="27">_xlfn.LAMBDA(_xlpm.TableheaderCell,_xlpm.RowsBetweenHeaderandArray, ROW(_xlpm.TableheaderCell) + _xlpm.RowsBetweenHeaderandArray - 1)</definedName>
    <definedName name="Common_InputFunctions.Utility_GetArrayTableRowStartNumber" localSheetId="32">_xlfn.LAMBDA(_xlpm.TableheaderCell,_xlpm.RowsBetweenHeaderandArray, ROW(_xlpm.TableheaderCell) + _xlpm.RowsBetweenHeaderandArray - 1)</definedName>
    <definedName name="Common_InputFunctions.Utility_GetArrayTableRowStartNumber" localSheetId="29">_xlfn.LAMBDA(_xlpm.TableheaderCell,_xlpm.RowsBetweenHeaderandArray, ROW(_xlpm.TableheaderCell) + _xlpm.RowsBetweenHeaderandArray - 1)</definedName>
    <definedName name="Common_InputFunctions.Utility_GetArrayTableRowStartNumber" localSheetId="30">_xlfn.LAMBDA(_xlpm.TableheaderCell,_xlpm.RowsBetweenHeaderandArray, ROW(_xlpm.TableheaderCell) + _xlpm.RowsBetweenHeaderandArray - 1)</definedName>
    <definedName name="Common_InputFunctions.Utility_GetArrayTableRowStartNumber" localSheetId="31">_xlfn.LAMBDA(_xlpm.TableheaderCell,_xlpm.RowsBetweenHeaderandArray, ROW(_xlpm.TableheaderCell) + _xlpm.RowsBetweenHeaderandArray - 1)</definedName>
    <definedName name="Common_InputFunctions.Utility_GetArrayTableRowStartNumber" localSheetId="28">_xlfn.LAMBDA(_xlpm.TableheaderCell,_xlpm.RowsBetweenHeaderandArray, ROW(_xlpm.TableheaderCell) + _xlpm.RowsBetweenHeaderandArray - 1)</definedName>
    <definedName name="Common_InputFunctions.Utility_GetArrayTableRowStartNumber" localSheetId="26">_xlfn.LAMBDA(_xlpm.TableheaderCell,_xlpm.RowsBetweenHeaderandArray, ROW(_xlpm.TableheaderCell) + _xlpm.RowsBetweenHeaderandArray - 1)</definedName>
    <definedName name="Common_InputFunctions.Utility_GetArrayTableRowStartNumber" localSheetId="9">_xlfn.LAMBDA(_xlpm.TableheaderCell,_xlpm.RowsBetweenHeaderandArray, ROW(_xlpm.TableheaderCell) + _xlpm.RowsBetweenHeaderandArray - 1)</definedName>
    <definedName name="Common_InputFunctions.Utility_GetArrayTableRowStartNumber" localSheetId="7">_xlfn.LAMBDA(_xlpm.TableheaderCell,_xlpm.RowsBetweenHeaderandArray, ROW(_xlpm.TableheaderCell) + _xlpm.RowsBetweenHeaderandArray - 1)</definedName>
    <definedName name="Common_InputFunctions.Utility_GetArrayTableRowStartNumber" localSheetId="8">_xlfn.LAMBDA(_xlpm.TableheaderCell,_xlpm.RowsBetweenHeaderandArray, ROW(_xlpm.TableheaderCell) + _xlpm.RowsBetweenHeaderandArray - 1)</definedName>
    <definedName name="Common_InputFunctions.Utility_GetArrayTableRowStartNumber" localSheetId="6">_xlfn.LAMBDA(_xlpm.TableheaderCell,_xlpm.RowsBetweenHeaderandArray, ROW(_xlpm.TableheaderCell) + _xlpm.RowsBetweenHeaderandArray - 1)</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 localSheetId="3">_xlfn.LAMBDA(_xlpm.TableheaderCell,_xlpm.RowsBetweenHeaderandArray, ROW(_xlpm.TableheaderCell) + _xlpm.RowsBetweenHeaderandArray - 1)</definedName>
    <definedName name="Common_InputFunctions.Utility_GetArrayTableRowStartNumber" localSheetId="3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2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5">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1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2">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0">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2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9">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7">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8">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3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2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5">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1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2">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0">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2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9">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7">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8">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3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2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5">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1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2">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0">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2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9">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7">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8">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3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25">_xlfn.LAMBDA(_xlpm.LookupValue,_xlpm.LookupArray,_xlpm.ReturnArray, _xlfn.XLOOKUP(_xlpm.LookupValue, _xlpm.LookupArray, _xlpm.ReturnArray, ""))</definedName>
    <definedName name="Common_InputFunctions.Utility_LookupValueInTable" localSheetId="10">_xlfn.LAMBDA(_xlpm.LookupValue,_xlpm.LookupArray,_xlpm.ReturnArray, _xlfn.XLOOKUP(_xlpm.LookupValue, _xlpm.LookupArray, _xlpm.ReturnArray, ""))</definedName>
    <definedName name="Common_InputFunctions.Utility_LookupValueInTable" localSheetId="11">_xlfn.LAMBDA(_xlpm.LookupValue,_xlpm.LookupArray,_xlpm.ReturnArray, _xlfn.XLOOKUP(_xlpm.LookupValue, _xlpm.LookupArray, _xlpm.ReturnArray, ""))</definedName>
    <definedName name="Common_InputFunctions.Utility_LookupValueInTable" localSheetId="12">_xlfn.LAMBDA(_xlpm.LookupValue,_xlpm.LookupArray,_xlpm.ReturnArray, _xlfn.XLOOKUP(_xlpm.LookupValue, _xlpm.LookupArray, _xlpm.ReturnArray, ""))</definedName>
    <definedName name="Common_InputFunctions.Utility_LookupValueInTable" localSheetId="13">_xlfn.LAMBDA(_xlpm.LookupValue,_xlpm.LookupArray,_xlpm.ReturnArray, _xlfn.XLOOKUP(_xlpm.LookupValue, _xlpm.LookupArray, _xlpm.ReturnArray, ""))</definedName>
    <definedName name="Common_InputFunctions.Utility_LookupValueInTable" localSheetId="14">_xlfn.LAMBDA(_xlpm.LookupValue,_xlpm.LookupArray,_xlpm.ReturnArray, _xlfn.XLOOKUP(_xlpm.LookupValue, _xlpm.LookupArray, _xlpm.ReturnArray, ""))</definedName>
    <definedName name="Common_InputFunctions.Utility_LookupValueInTable" localSheetId="15">_xlfn.LAMBDA(_xlpm.LookupValue,_xlpm.LookupArray,_xlpm.ReturnArray, _xlfn.XLOOKUP(_xlpm.LookupValue, _xlpm.LookupArray, _xlpm.ReturnArray, ""))</definedName>
    <definedName name="Common_InputFunctions.Utility_LookupValueInTable" localSheetId="16">_xlfn.LAMBDA(_xlpm.LookupValue,_xlpm.LookupArray,_xlpm.ReturnArray, _xlfn.XLOOKUP(_xlpm.LookupValue, _xlpm.LookupArray, _xlpm.ReturnArray, ""))</definedName>
    <definedName name="Common_InputFunctions.Utility_LookupValueInTable" localSheetId="17">_xlfn.LAMBDA(_xlpm.LookupValue,_xlpm.LookupArray,_xlpm.ReturnArray, _xlfn.XLOOKUP(_xlpm.LookupValue, _xlpm.LookupArray, _xlpm.ReturnArray, ""))</definedName>
    <definedName name="Common_InputFunctions.Utility_LookupValueInTable" localSheetId="18">_xlfn.LAMBDA(_xlpm.LookupValue,_xlpm.LookupArray,_xlpm.ReturnArray, _xlfn.XLOOKUP(_xlpm.LookupValue, _xlpm.LookupArray, _xlpm.ReturnArray, ""))</definedName>
    <definedName name="Common_InputFunctions.Utility_LookupValueInTable" localSheetId="19">_xlfn.LAMBDA(_xlpm.LookupValue,_xlpm.LookupArray,_xlpm.ReturnArray, _xlfn.XLOOKUP(_xlpm.LookupValue, _xlpm.LookupArray, _xlpm.ReturnArray, ""))</definedName>
    <definedName name="Common_InputFunctions.Utility_LookupValueInTable" localSheetId="20">_xlfn.LAMBDA(_xlpm.LookupValue,_xlpm.LookupArray,_xlpm.ReturnArray, _xlfn.XLOOKUP(_xlpm.LookupValue, _xlpm.LookupArray, _xlpm.ReturnArray, ""))</definedName>
    <definedName name="Common_InputFunctions.Utility_LookupValueInTable" localSheetId="21">_xlfn.LAMBDA(_xlpm.LookupValue,_xlpm.LookupArray,_xlpm.ReturnArray, _xlfn.XLOOKUP(_xlpm.LookupValue, _xlpm.LookupArray, _xlpm.ReturnArray, ""))</definedName>
    <definedName name="Common_InputFunctions.Utility_LookupValueInTable" localSheetId="22">_xlfn.LAMBDA(_xlpm.LookupValue,_xlpm.LookupArray,_xlpm.ReturnArray, _xlfn.XLOOKUP(_xlpm.LookupValue, _xlpm.LookupArray, _xlpm.ReturnArray, ""))</definedName>
    <definedName name="Common_InputFunctions.Utility_LookupValueInTable" localSheetId="23">_xlfn.LAMBDA(_xlpm.LookupValue,_xlpm.LookupArray,_xlpm.ReturnArray, _xlfn.XLOOKUP(_xlpm.LookupValue, _xlpm.LookupArray, _xlpm.ReturnArray, ""))</definedName>
    <definedName name="Common_InputFunctions.Utility_LookupValueInTable" localSheetId="24">_xlfn.LAMBDA(_xlpm.LookupValue,_xlpm.LookupArray,_xlpm.ReturnArray, _xlfn.XLOOKUP(_xlpm.LookupValue, _xlpm.LookupArray, _xlpm.ReturnArray, ""))</definedName>
    <definedName name="Common_InputFunctions.Utility_LookupValueInTable" localSheetId="33">_xlfn.LAMBDA(_xlpm.LookupValue,_xlpm.LookupArray,_xlpm.ReturnArray, _xlfn.XLOOKUP(_xlpm.LookupValue, _xlpm.LookupArray, _xlpm.ReturnArray, ""))</definedName>
    <definedName name="Common_InputFunctions.Utility_LookupValueInTable" localSheetId="27">_xlfn.LAMBDA(_xlpm.LookupValue,_xlpm.LookupArray,_xlpm.ReturnArray, _xlfn.XLOOKUP(_xlpm.LookupValue, _xlpm.LookupArray, _xlpm.ReturnArray, ""))</definedName>
    <definedName name="Common_InputFunctions.Utility_LookupValueInTable" localSheetId="32">_xlfn.LAMBDA(_xlpm.LookupValue,_xlpm.LookupArray,_xlpm.ReturnArray, _xlfn.XLOOKUP(_xlpm.LookupValue, _xlpm.LookupArray, _xlpm.ReturnArray, ""))</definedName>
    <definedName name="Common_InputFunctions.Utility_LookupValueInTable" localSheetId="29">_xlfn.LAMBDA(_xlpm.LookupValue,_xlpm.LookupArray,_xlpm.ReturnArray, _xlfn.XLOOKUP(_xlpm.LookupValue, _xlpm.LookupArray, _xlpm.ReturnArray, ""))</definedName>
    <definedName name="Common_InputFunctions.Utility_LookupValueInTable" localSheetId="30">_xlfn.LAMBDA(_xlpm.LookupValue,_xlpm.LookupArray,_xlpm.ReturnArray, _xlfn.XLOOKUP(_xlpm.LookupValue, _xlpm.LookupArray, _xlpm.ReturnArray, ""))</definedName>
    <definedName name="Common_InputFunctions.Utility_LookupValueInTable" localSheetId="31">_xlfn.LAMBDA(_xlpm.LookupValue,_xlpm.LookupArray,_xlpm.ReturnArray, _xlfn.XLOOKUP(_xlpm.LookupValue, _xlpm.LookupArray, _xlpm.ReturnArray, ""))</definedName>
    <definedName name="Common_InputFunctions.Utility_LookupValueInTable" localSheetId="28">_xlfn.LAMBDA(_xlpm.LookupValue,_xlpm.LookupArray,_xlpm.ReturnArray, _xlfn.XLOOKUP(_xlpm.LookupValue, _xlpm.LookupArray, _xlpm.ReturnArray, ""))</definedName>
    <definedName name="Common_InputFunctions.Utility_LookupValueInTable" localSheetId="26">_xlfn.LAMBDA(_xlpm.LookupValue,_xlpm.LookupArray,_xlpm.ReturnArray, _xlfn.XLOOKUP(_xlpm.LookupValue, _xlpm.LookupArray, _xlpm.ReturnArray, ""))</definedName>
    <definedName name="Common_InputFunctions.Utility_LookupValueInTable" localSheetId="9">_xlfn.LAMBDA(_xlpm.LookupValue,_xlpm.LookupArray,_xlpm.ReturnArray, _xlfn.XLOOKUP(_xlpm.LookupValue, _xlpm.LookupArray, _xlpm.ReturnArray, ""))</definedName>
    <definedName name="Common_InputFunctions.Utility_LookupValueInTable" localSheetId="7">_xlfn.LAMBDA(_xlpm.LookupValue,_xlpm.LookupArray,_xlpm.ReturnArray, _xlfn.XLOOKUP(_xlpm.LookupValue, _xlpm.LookupArray, _xlpm.ReturnArray, ""))</definedName>
    <definedName name="Common_InputFunctions.Utility_LookupValueInTable" localSheetId="8">_xlfn.LAMBDA(_xlpm.LookupValue,_xlpm.LookupArray,_xlpm.ReturnArray, _xlfn.XLOOKUP(_xlpm.LookupValue, _xlpm.LookupArray, _xlpm.ReturnArray, ""))</definedName>
    <definedName name="Common_InputFunctions.Utility_LookupValueInTable" localSheetId="6">_xlfn.LAMBDA(_xlpm.LookupValue,_xlpm.LookupArray,_xlpm.ReturnArray, _xlfn.XLOOKUP(_xlpm.LookupValue, _xlpm.LookupArray, _xlpm.ReturnArray, ""))</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 localSheetId="3">_xlfn.LAMBDA(_xlpm.LookupValue,_xlpm.LookupArray,_xlpm.ReturnArray, _xlfn.XLOOKUP(_xlpm.LookupValue, _xlpm.LookupArray, _xlpm.ReturnArray, ""))</definedName>
    <definedName name="Common_InputFunctions.Utility_LookupValueInTable" localSheetId="3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2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5">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1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2">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0">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2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9">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7">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8">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3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2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5">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1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2">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0">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1">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2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9">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7">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8">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6">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 localSheetId="34">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 localSheetId="2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5">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1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2">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0">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1">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2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9">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7">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8">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6">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 localSheetId="34">_xlfn.LAMBDA(_xlpm.LookupValue1,_xlpm.LookupValue2,_xlpm.LookupArray1,_xlpm.LookupArray2,_xlpm.ReturnArray, _xlfn.XLOOKUP(1, (_xlpm.LookupArray1 = _xlpm.LookupValue1) * (_xlpm.LookupArray2 = _xlpm.LookupValue2), _xlpm.ReturnArray, ""))</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 localSheetId="10">_xlfn.LAMBDA(_xlpm.TitleCell,_xlpm.SourceCell, SUBSTITUTE(LEFT(_xlpm.SourceCell, FIND(",", _xlpm.SourceCell) - 1), "VEERG 2026: ", "") &amp; " " &amp; _xlpm.TitleCell)</definedName>
    <definedName name="Common_InputFunctions.Utility_ResultsItemFromEquationTitleAndSource" localSheetId="11">_xlfn.LAMBDA(_xlpm.TitleCell,_xlpm.SourceCell, SUBSTITUTE(LEFT(_xlpm.SourceCell, FIND(",", _xlpm.SourceCell) - 1), "VEERG 2026: ", "") &amp; " " &amp; _xlpm.TitleCell)</definedName>
    <definedName name="Common_InputFunctions.Utility_ResultsItemFromEquationTitleAndSource" localSheetId="12">_xlfn.LAMBDA(_xlpm.TitleCell,_xlpm.SourceCell, SUBSTITUTE(LEFT(_xlpm.SourceCell, FIND(",", _xlpm.SourceCell) - 1), "VEERG 2026: ", "") &amp; " " &amp; _xlpm.TitleCell)</definedName>
    <definedName name="Common_InputFunctions.Utility_ResultsItemFromEquationTitleAndSource" localSheetId="13">_xlfn.LAMBDA(_xlpm.TitleCell,_xlpm.SourceCell, SUBSTITUTE(LEFT(_xlpm.SourceCell, FIND(",", _xlpm.SourceCell) - 1), "VEERG 2026: ", "") &amp; " " &amp; _xlpm.TitleCell)</definedName>
    <definedName name="Common_InputFunctions.Utility_ResultsItemFromEquationTitleAndSource" localSheetId="14">_xlfn.LAMBDA(_xlpm.TitleCell,_xlpm.SourceCell, SUBSTITUTE(LEFT(_xlpm.SourceCell, FIND(",", _xlpm.SourceCell) - 1), "VEERG 2026: ", "") &amp; " " &amp; _xlpm.TitleCell)</definedName>
    <definedName name="Common_InputFunctions.Utility_ResultsItemFromEquationTitleAndSource" localSheetId="15">_xlfn.LAMBDA(_xlpm.TitleCell,_xlpm.SourceCell, SUBSTITUTE(LEFT(_xlpm.SourceCell, FIND(",", _xlpm.SourceCell) - 1), "VEERG 2026: ", "") &amp; " " &amp; _xlpm.TitleCell)</definedName>
    <definedName name="Common_InputFunctions.Utility_ResultsItemFromEquationTitleAndSource" localSheetId="16">_xlfn.LAMBDA(_xlpm.TitleCell,_xlpm.SourceCell, SUBSTITUTE(LEFT(_xlpm.SourceCell, FIND(",", _xlpm.SourceCell) - 1), "VEERG 2026: ", "") &amp; " " &amp; _xlpm.TitleCell)</definedName>
    <definedName name="Common_InputFunctions.Utility_ResultsItemFromEquationTitleAndSource" localSheetId="17">_xlfn.LAMBDA(_xlpm.TitleCell,_xlpm.SourceCell, SUBSTITUTE(LEFT(_xlpm.SourceCell, FIND(",", _xlpm.SourceCell) - 1), "VEERG 2026: ", "") &amp; " " &amp; _xlpm.TitleCell)</definedName>
    <definedName name="Common_InputFunctions.Utility_ResultsItemFromEquationTitleAndSource" localSheetId="18">_xlfn.LAMBDA(_xlpm.TitleCell,_xlpm.SourceCell, SUBSTITUTE(LEFT(_xlpm.SourceCell, FIND(",", _xlpm.SourceCell) - 1), "VEERG 2026: ", "") &amp; " " &amp; _xlpm.TitleCell)</definedName>
    <definedName name="Common_InputFunctions.Utility_ResultsItemFromEquationTitleAndSource" localSheetId="19">_xlfn.LAMBDA(_xlpm.TitleCell,_xlpm.SourceCell, SUBSTITUTE(LEFT(_xlpm.SourceCell, FIND(",", _xlpm.SourceCell) - 1), "VEERG 2026: ", "") &amp; " " &amp; _xlpm.TitleCell)</definedName>
    <definedName name="Common_InputFunctions.Utility_ResultsItemFromEquationTitleAndSource" localSheetId="20">_xlfn.LAMBDA(_xlpm.TitleCell,_xlpm.SourceCell, SUBSTITUTE(LEFT(_xlpm.SourceCell, FIND(",", _xlpm.SourceCell) - 1), "VEERG 2026: ", "") &amp; " " &amp; _xlpm.TitleCell)</definedName>
    <definedName name="Common_InputFunctions.Utility_ResultsItemFromEquationTitleAndSource" localSheetId="21">_xlfn.LAMBDA(_xlpm.TitleCell,_xlpm.SourceCell, SUBSTITUTE(LEFT(_xlpm.SourceCell, FIND(",", _xlpm.SourceCell) - 1), "VEERG 2026: ", "") &amp; " " &amp; _xlpm.TitleCell)</definedName>
    <definedName name="Common_InputFunctions.Utility_ResultsItemFromEquationTitleAndSource" localSheetId="22">_xlfn.LAMBDA(_xlpm.TitleCell,_xlpm.SourceCell, SUBSTITUTE(LEFT(_xlpm.SourceCell, FIND(",", _xlpm.SourceCell) - 1), "VEERG 2026: ", "") &amp; " " &amp; _xlpm.TitleCell)</definedName>
    <definedName name="Common_InputFunctions.Utility_ResultsItemFromEquationTitleAndSource" localSheetId="33">_xlfn.LAMBDA(_xlpm.TitleCell,_xlpm.SourceCell, SUBSTITUTE(LEFT(_xlpm.SourceCell, FIND(",", _xlpm.SourceCell) - 1), "VEERG 2026: ", "") &amp; " " &amp; _xlpm.TitleCell)</definedName>
    <definedName name="Common_InputFunctions.Utility_ResultsItemFromEquationTitleAndSource" localSheetId="27">_xlfn.LAMBDA(_xlpm.TitleCell,_xlpm.SourceCell, SUBSTITUTE(LEFT(_xlpm.SourceCell, FIND(",", _xlpm.SourceCell) - 1), "VEERG 2026: ", "") &amp; " " &amp; _xlpm.TitleCell)</definedName>
    <definedName name="Common_InputFunctions.Utility_ResultsItemFromEquationTitleAndSource" localSheetId="32">_xlfn.LAMBDA(_xlpm.TitleCell,_xlpm.SourceCell, SUBSTITUTE(LEFT(_xlpm.SourceCell, FIND(",", _xlpm.SourceCell) - 1), "VEERG 2026: ", "") &amp; " " &amp; _xlpm.TitleCell)</definedName>
    <definedName name="Common_InputFunctions.Utility_ResultsItemFromEquationTitleAndSource" localSheetId="30">_xlfn.LAMBDA(_xlpm.TitleCell,_xlpm.SourceCell, SUBSTITUTE(LEFT(_xlpm.SourceCell, FIND(",", _xlpm.SourceCell) - 1), "VEERG 2026: ", "") &amp; " " &amp; _xlpm.TitleCell)</definedName>
    <definedName name="Common_InputFunctions.Utility_ResultsItemFromEquationTitleAndSource" localSheetId="28">_xlfn.LAMBDA(_xlpm.TitleCell,_xlpm.SourceCell, SUBSTITUTE(LEFT(_xlpm.SourceCell, FIND(",", _xlpm.SourceCell) - 1), "VEERG 2026: ", "") &amp; " " &amp; _xlpm.TitleCell)</definedName>
    <definedName name="Common_InputFunctions.Utility_ResultsItemFromEquationTitleAndSource" localSheetId="26">_xlfn.LAMBDA(_xlpm.TitleCell,_xlpm.SourceCell, SUBSTITUTE(LEFT(_xlpm.SourceCell, FIND(",", _xlpm.SourceCell) - 1), "VEERG 2026: ", "") &amp; " " &amp; _xlpm.TitleCell)</definedName>
    <definedName name="Common_InputFunctions.Utility_ResultsItemFromEquationTitleAndSource" localSheetId="7">_xlfn.LAMBDA(_xlpm.TitleCell,_xlpm.SourceCell, SUBSTITUTE(LEFT(_xlpm.SourceCell, FIND(",", _xlpm.SourceCell) - 1), "VEERG 2026: ", "") &amp; " " &amp; _xlpm.TitleCell)</definedName>
    <definedName name="Common_InputFunctions.Utility_ResultsItemFromEquationTitleAndSource" localSheetId="6">_xlfn.LAMBDA(_xlpm.TitleCell,_xlpm.SourceCell, SUBSTITUTE(LEFT(_xlpm.SourceCell, FIND(",", _xlpm.SourceCell) - 1), "VEERG 2026: ", "") &amp; " " &amp; _xlpm.TitleCell)</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 localSheetId="3">_xlfn.LAMBDA(_xlpm.TitleCell,_xlpm.SourceCell, SUBSTITUTE(LEFT(_xlpm.SourceCell, FIND(",", _xlpm.SourceCell) - 1), "VEERG 2026: ", "") &amp; " " &amp; _xlpm.TitleCell)</definedName>
    <definedName name="Common_InputFunctions.Utility_ResultsItemFromEquationTitleAndSource" localSheetId="3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25">_xlfn.LAMBDA(_xlpm.TargetCell, _xlfn.LET(_xlpm.sh, _xlfn.TEXTAFTER(CELL("filename", _xlpm.TargetCell), "]"), _xlpm.addr, CELL("address", _xlpm.TargetCell), "#'" &amp; _xlpm.sh &amp; "'!" &amp; _xlpm.addr))</definedName>
    <definedName name="Common_InputFunctions.Utility_SourceHyperlink" localSheetId="10">_xlfn.LAMBDA(_xlpm.TargetCell, _xlfn.LET(_xlpm.sh, _xlfn.TEXTAFTER(CELL("filename", _xlpm.TargetCell), "]"), _xlpm.addr, CELL("address", _xlpm.TargetCell), "#'" &amp; _xlpm.sh &amp; "'!" &amp; _xlpm.addr))</definedName>
    <definedName name="Common_InputFunctions.Utility_SourceHyperlink" localSheetId="11">_xlfn.LAMBDA(_xlpm.TargetCell, _xlfn.LET(_xlpm.sh, _xlfn.TEXTAFTER(CELL("filename", _xlpm.TargetCell), "]"), _xlpm.addr, CELL("address", _xlpm.TargetCell), "#'" &amp; _xlpm.sh &amp; "'!" &amp; _xlpm.addr))</definedName>
    <definedName name="Common_InputFunctions.Utility_SourceHyperlink" localSheetId="12">_xlfn.LAMBDA(_xlpm.TargetCell, _xlfn.LET(_xlpm.sh, _xlfn.TEXTAFTER(CELL("filename", _xlpm.TargetCell), "]"), _xlpm.addr, CELL("address", _xlpm.TargetCell), "#'" &amp; _xlpm.sh &amp; "'!" &amp; _xlpm.addr))</definedName>
    <definedName name="Common_InputFunctions.Utility_SourceHyperlink" localSheetId="13">_xlfn.LAMBDA(_xlpm.TargetCell, _xlfn.LET(_xlpm.sh, _xlfn.TEXTAFTER(CELL("filename", _xlpm.TargetCell), "]"), _xlpm.addr, CELL("address", _xlpm.TargetCell), "#'" &amp; _xlpm.sh &amp; "'!" &amp; _xlpm.addr))</definedName>
    <definedName name="Common_InputFunctions.Utility_SourceHyperlink" localSheetId="14">_xlfn.LAMBDA(_xlpm.TargetCell, _xlfn.LET(_xlpm.sh, _xlfn.TEXTAFTER(CELL("filename", _xlpm.TargetCell), "]"), _xlpm.addr, CELL("address", _xlpm.TargetCell), "#'" &amp; _xlpm.sh &amp; "'!" &amp; _xlpm.addr))</definedName>
    <definedName name="Common_InputFunctions.Utility_SourceHyperlink" localSheetId="15">_xlfn.LAMBDA(_xlpm.TargetCell, _xlfn.LET(_xlpm.sh, _xlfn.TEXTAFTER(CELL("filename", _xlpm.TargetCell), "]"), _xlpm.addr, CELL("address", _xlpm.TargetCell), "#'" &amp; _xlpm.sh &amp; "'!" &amp; _xlpm.addr))</definedName>
    <definedName name="Common_InputFunctions.Utility_SourceHyperlink" localSheetId="16">_xlfn.LAMBDA(_xlpm.TargetCell, _xlfn.LET(_xlpm.sh, _xlfn.TEXTAFTER(CELL("filename", _xlpm.TargetCell), "]"), _xlpm.addr, CELL("address", _xlpm.TargetCell), "#'" &amp; _xlpm.sh &amp; "'!" &amp; _xlpm.addr))</definedName>
    <definedName name="Common_InputFunctions.Utility_SourceHyperlink" localSheetId="17">_xlfn.LAMBDA(_xlpm.TargetCell, _xlfn.LET(_xlpm.sh, _xlfn.TEXTAFTER(CELL("filename", _xlpm.TargetCell), "]"), _xlpm.addr, CELL("address", _xlpm.TargetCell), "#'" &amp; _xlpm.sh &amp; "'!" &amp; _xlpm.addr))</definedName>
    <definedName name="Common_InputFunctions.Utility_SourceHyperlink" localSheetId="18">_xlfn.LAMBDA(_xlpm.TargetCell, _xlfn.LET(_xlpm.sh, _xlfn.TEXTAFTER(CELL("filename", _xlpm.TargetCell), "]"), _xlpm.addr, CELL("address", _xlpm.TargetCell), "#'" &amp; _xlpm.sh &amp; "'!" &amp; _xlpm.addr))</definedName>
    <definedName name="Common_InputFunctions.Utility_SourceHyperlink" localSheetId="19">_xlfn.LAMBDA(_xlpm.TargetCell, _xlfn.LET(_xlpm.sh, _xlfn.TEXTAFTER(CELL("filename", _xlpm.TargetCell), "]"), _xlpm.addr, CELL("address", _xlpm.TargetCell), "#'" &amp; _xlpm.sh &amp; "'!" &amp; _xlpm.addr))</definedName>
    <definedName name="Common_InputFunctions.Utility_SourceHyperlink" localSheetId="20">_xlfn.LAMBDA(_xlpm.TargetCell, _xlfn.LET(_xlpm.sh, _xlfn.TEXTAFTER(CELL("filename", _xlpm.TargetCell), "]"), _xlpm.addr, CELL("address", _xlpm.TargetCell), "#'" &amp; _xlpm.sh &amp; "'!" &amp; _xlpm.addr))</definedName>
    <definedName name="Common_InputFunctions.Utility_SourceHyperlink" localSheetId="21">_xlfn.LAMBDA(_xlpm.TargetCell, _xlfn.LET(_xlpm.sh, _xlfn.TEXTAFTER(CELL("filename", _xlpm.TargetCell), "]"), _xlpm.addr, CELL("address", _xlpm.TargetCell), "#'" &amp; _xlpm.sh &amp; "'!" &amp; _xlpm.addr))</definedName>
    <definedName name="Common_InputFunctions.Utility_SourceHyperlink" localSheetId="22">_xlfn.LAMBDA(_xlpm.TargetCell, _xlfn.LET(_xlpm.sh, _xlfn.TEXTAFTER(CELL("filename", _xlpm.TargetCell), "]"), _xlpm.addr, CELL("address", _xlpm.TargetCell), "#'" &amp; _xlpm.sh &amp; "'!" &amp; _xlpm.addr))</definedName>
    <definedName name="Common_InputFunctions.Utility_SourceHyperlink" localSheetId="23">_xlfn.LAMBDA(_xlpm.TargetCell, _xlfn.LET(_xlpm.sh, _xlfn.TEXTAFTER(CELL("filename", _xlpm.TargetCell), "]"), _xlpm.addr, CELL("address", _xlpm.TargetCell), "#'" &amp; _xlpm.sh &amp; "'!" &amp; _xlpm.addr))</definedName>
    <definedName name="Common_InputFunctions.Utility_SourceHyperlink" localSheetId="24">_xlfn.LAMBDA(_xlpm.TargetCell, _xlfn.LET(_xlpm.sh, _xlfn.TEXTAFTER(CELL("filename", _xlpm.TargetCell), "]"), _xlpm.addr, CELL("address", _xlpm.TargetCell), "#'" &amp; _xlpm.sh &amp; "'!" &amp; _xlpm.addr))</definedName>
    <definedName name="Common_InputFunctions.Utility_SourceHyperlink" localSheetId="33">_xlfn.LAMBDA(_xlpm.TargetCell, _xlfn.LET(_xlpm.sh, _xlfn.TEXTAFTER(CELL("filename", _xlpm.TargetCell), "]"), _xlpm.addr, CELL("address", _xlpm.TargetCell), "#'" &amp; _xlpm.sh &amp; "'!" &amp; _xlpm.addr))</definedName>
    <definedName name="Common_InputFunctions.Utility_SourceHyperlink" localSheetId="27">_xlfn.LAMBDA(_xlpm.TargetCell, _xlfn.LET(_xlpm.sh, _xlfn.TEXTAFTER(CELL("filename", _xlpm.TargetCell), "]"), _xlpm.addr, CELL("address", _xlpm.TargetCell), "#'" &amp; _xlpm.sh &amp; "'!" &amp; _xlpm.addr))</definedName>
    <definedName name="Common_InputFunctions.Utility_SourceHyperlink" localSheetId="32">_xlfn.LAMBDA(_xlpm.TargetCell, _xlfn.LET(_xlpm.sh, _xlfn.TEXTAFTER(CELL("filename", _xlpm.TargetCell), "]"), _xlpm.addr, CELL("address", _xlpm.TargetCell), "#'" &amp; _xlpm.sh &amp; "'!" &amp; _xlpm.addr))</definedName>
    <definedName name="Common_InputFunctions.Utility_SourceHyperlink" localSheetId="29">_xlfn.LAMBDA(_xlpm.TargetCell, _xlfn.LET(_xlpm.sh, _xlfn.TEXTAFTER(CELL("filename", _xlpm.TargetCell), "]"), _xlpm.addr, CELL("address", _xlpm.TargetCell), "#'" &amp; _xlpm.sh &amp; "'!" &amp; _xlpm.addr))</definedName>
    <definedName name="Common_InputFunctions.Utility_SourceHyperlink" localSheetId="30">_xlfn.LAMBDA(_xlpm.TargetCell, _xlfn.LET(_xlpm.sh, _xlfn.TEXTAFTER(CELL("filename", _xlpm.TargetCell), "]"), _xlpm.addr, CELL("address", _xlpm.TargetCell), "#'" &amp; _xlpm.sh &amp; "'!" &amp; _xlpm.addr))</definedName>
    <definedName name="Common_InputFunctions.Utility_SourceHyperlink" localSheetId="31">_xlfn.LAMBDA(_xlpm.TargetCell, _xlfn.LET(_xlpm.sh, _xlfn.TEXTAFTER(CELL("filename", _xlpm.TargetCell), "]"), _xlpm.addr, CELL("address", _xlpm.TargetCell), "#'" &amp; _xlpm.sh &amp; "'!" &amp; _xlpm.addr))</definedName>
    <definedName name="Common_InputFunctions.Utility_SourceHyperlink" localSheetId="28">_xlfn.LAMBDA(_xlpm.TargetCell, _xlfn.LET(_xlpm.sh, _xlfn.TEXTAFTER(CELL("filename", _xlpm.TargetCell), "]"), _xlpm.addr, CELL("address", _xlpm.TargetCell), "#'" &amp; _xlpm.sh &amp; "'!" &amp; _xlpm.addr))</definedName>
    <definedName name="Common_InputFunctions.Utility_SourceHyperlink" localSheetId="26">_xlfn.LAMBDA(_xlpm.TargetCell, _xlfn.LET(_xlpm.sh, _xlfn.TEXTAFTER(CELL("filename", _xlpm.TargetCell), "]"), _xlpm.addr, CELL("address", _xlpm.TargetCell), "#'" &amp; _xlpm.sh &amp; "'!" &amp; _xlpm.addr))</definedName>
    <definedName name="Common_InputFunctions.Utility_SourceHyperlink" localSheetId="9">_xlfn.LAMBDA(_xlpm.TargetCell, _xlfn.LET(_xlpm.sh, _xlfn.TEXTAFTER(CELL("filename", _xlpm.TargetCell), "]"), _xlpm.addr, CELL("address", _xlpm.TargetCell), "#'" &amp; _xlpm.sh &amp; "'!" &amp; _xlpm.addr))</definedName>
    <definedName name="Common_InputFunctions.Utility_SourceHyperlink" localSheetId="7">_xlfn.LAMBDA(_xlpm.TargetCell, _xlfn.LET(_xlpm.sh, _xlfn.TEXTAFTER(CELL("filename", _xlpm.TargetCell), "]"), _xlpm.addr, CELL("address", _xlpm.TargetCell), "#'" &amp; _xlpm.sh &amp; "'!" &amp; _xlpm.addr))</definedName>
    <definedName name="Common_InputFunctions.Utility_SourceHyperlink" localSheetId="8">_xlfn.LAMBDA(_xlpm.TargetCell, _xlfn.LET(_xlpm.sh, _xlfn.TEXTAFTER(CELL("filename", _xlpm.TargetCell), "]"), _xlpm.addr, CELL("address", _xlpm.TargetCell), "#'" &amp; _xlpm.sh &amp; "'!" &amp; _xlpm.addr))</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 localSheetId="5">_xlfn.LAMBDA(_xlpm.TargetCell, _xlfn.LET(_xlpm.sh, _xlfn.TEXTAFTER(CELL("filename", _xlpm.TargetCell), "]"), _xlpm.addr, CELL("address", _xlpm.TargetCell), "#'" &amp; _xlpm.sh &amp; "'!" &amp; _xlpm.addr))</definedName>
    <definedName name="Common_InputFunctions.Utility_SourceHyperlink" localSheetId="3">_xlfn.LAMBDA(_xlpm.TargetCell, _xlfn.LET(_xlpm.sh, _xlfn.TEXTAFTER(CELL("filename", _xlpm.TargetCell), "]"), _xlpm.addr, CELL("address", _xlpm.TargetCell), "#'" &amp; _xlpm.sh &amp; "'!" &amp; _xlpm.addr))</definedName>
    <definedName name="Common_InputFunctions.Utility_SourceHyperlink" localSheetId="3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10">_xlfn.LAMBDA(_xlpm.TargetCell, _xlfn.LET(_xlpm.sh, _xlfn.TEXTAFTER(CELL("filename", _xlpm.TargetCell), "]"), _xlpm.addr, CELL("address", _xlpm.TargetCell), "#" &amp; _xlpm.addr))</definedName>
    <definedName name="Common_InputFunctions.Utility_SourceHyperlinkDifferentSheet" localSheetId="11">_xlfn.LAMBDA(_xlpm.TargetCell, _xlfn.LET(_xlpm.sh, _xlfn.TEXTAFTER(CELL("filename", _xlpm.TargetCell), "]"), _xlpm.addr, CELL("address", _xlpm.TargetCell), "#" &amp; _xlpm.addr))</definedName>
    <definedName name="Common_InputFunctions.Utility_SourceHyperlinkDifferentSheet" localSheetId="12">_xlfn.LAMBDA(_xlpm.TargetCell, _xlfn.LET(_xlpm.sh, _xlfn.TEXTAFTER(CELL("filename", _xlpm.TargetCell), "]"), _xlpm.addr, CELL("address", _xlpm.TargetCell), "#" &amp; _xlpm.addr))</definedName>
    <definedName name="Common_InputFunctions.Utility_SourceHyperlinkDifferentSheet" localSheetId="13">_xlfn.LAMBDA(_xlpm.TargetCell, _xlfn.LET(_xlpm.sh, _xlfn.TEXTAFTER(CELL("filename", _xlpm.TargetCell), "]"), _xlpm.addr, CELL("address", _xlpm.TargetCell), "#" &amp; _xlpm.addr))</definedName>
    <definedName name="Common_InputFunctions.Utility_SourceHyperlinkDifferentSheet" localSheetId="14">_xlfn.LAMBDA(_xlpm.TargetCell, _xlfn.LET(_xlpm.sh, _xlfn.TEXTAFTER(CELL("filename", _xlpm.TargetCell), "]"), _xlpm.addr, CELL("address", _xlpm.TargetCell), "#" &amp; _xlpm.addr))</definedName>
    <definedName name="Common_InputFunctions.Utility_SourceHyperlinkDifferentSheet" localSheetId="15">_xlfn.LAMBDA(_xlpm.TargetCell, _xlfn.LET(_xlpm.sh, _xlfn.TEXTAFTER(CELL("filename", _xlpm.TargetCell), "]"), _xlpm.addr, CELL("address", _xlpm.TargetCell), "#" &amp; _xlpm.addr))</definedName>
    <definedName name="Common_InputFunctions.Utility_SourceHyperlinkDifferentSheet" localSheetId="16">_xlfn.LAMBDA(_xlpm.TargetCell, _xlfn.LET(_xlpm.sh, _xlfn.TEXTAFTER(CELL("filename", _xlpm.TargetCell), "]"), _xlpm.addr, CELL("address", _xlpm.TargetCell), "#" &amp; _xlpm.addr))</definedName>
    <definedName name="Common_InputFunctions.Utility_SourceHyperlinkDifferentSheet" localSheetId="17">_xlfn.LAMBDA(_xlpm.TargetCell, _xlfn.LET(_xlpm.sh, _xlfn.TEXTAFTER(CELL("filename", _xlpm.TargetCell), "]"), _xlpm.addr, CELL("address", _xlpm.TargetCell), "#" &amp; _xlpm.addr))</definedName>
    <definedName name="Common_InputFunctions.Utility_SourceHyperlinkDifferentSheet" localSheetId="18">_xlfn.LAMBDA(_xlpm.TargetCell, _xlfn.LET(_xlpm.sh, _xlfn.TEXTAFTER(CELL("filename", _xlpm.TargetCell), "]"), _xlpm.addr, CELL("address", _xlpm.TargetCell), "#" &amp; _xlpm.addr))</definedName>
    <definedName name="Common_InputFunctions.Utility_SourceHyperlinkDifferentSheet" localSheetId="19">_xlfn.LAMBDA(_xlpm.TargetCell, _xlfn.LET(_xlpm.sh, _xlfn.TEXTAFTER(CELL("filename", _xlpm.TargetCell), "]"), _xlpm.addr, CELL("address", _xlpm.TargetCell), "#" &amp; _xlpm.addr))</definedName>
    <definedName name="Common_InputFunctions.Utility_SourceHyperlinkDifferentSheet" localSheetId="20">_xlfn.LAMBDA(_xlpm.TargetCell, _xlfn.LET(_xlpm.sh, _xlfn.TEXTAFTER(CELL("filename", _xlpm.TargetCell), "]"), _xlpm.addr, CELL("address", _xlpm.TargetCell), "#" &amp; _xlpm.addr))</definedName>
    <definedName name="Common_InputFunctions.Utility_SourceHyperlinkDifferentSheet" localSheetId="21">_xlfn.LAMBDA(_xlpm.TargetCell, _xlfn.LET(_xlpm.sh, _xlfn.TEXTAFTER(CELL("filename", _xlpm.TargetCell), "]"), _xlpm.addr, CELL("address", _xlpm.TargetCell), "#" &amp; _xlpm.addr))</definedName>
    <definedName name="Common_InputFunctions.Utility_SourceHyperlinkDifferentSheet" localSheetId="22">_xlfn.LAMBDA(_xlpm.TargetCell, _xlfn.LET(_xlpm.sh, _xlfn.TEXTAFTER(CELL("filename", _xlpm.TargetCell), "]"), _xlpm.addr, CELL("address", _xlpm.TargetCell), "#" &amp; _xlpm.addr))</definedName>
    <definedName name="Common_InputFunctions.Utility_SourceHyperlinkDifferentSheet" localSheetId="33">_xlfn.LAMBDA(_xlpm.TargetCell, _xlfn.LET(_xlpm.sh, _xlfn.TEXTAFTER(CELL("filename", _xlpm.TargetCell), "]"), _xlpm.addr, CELL("address", _xlpm.TargetCell), "#" &amp; _xlpm.addr))</definedName>
    <definedName name="Common_InputFunctions.Utility_SourceHyperlinkDifferentSheet" localSheetId="27">_xlfn.LAMBDA(_xlpm.TargetCell, _xlfn.LET(_xlpm.sh, _xlfn.TEXTAFTER(CELL("filename", _xlpm.TargetCell), "]"), _xlpm.addr, CELL("address", _xlpm.TargetCell), "#" &amp; _xlpm.addr))</definedName>
    <definedName name="Common_InputFunctions.Utility_SourceHyperlinkDifferentSheet" localSheetId="32">_xlfn.LAMBDA(_xlpm.TargetCell, _xlfn.LET(_xlpm.sh, _xlfn.TEXTAFTER(CELL("filename", _xlpm.TargetCell), "]"), _xlpm.addr, CELL("address", _xlpm.TargetCell), "#" &amp; _xlpm.addr))</definedName>
    <definedName name="Common_InputFunctions.Utility_SourceHyperlinkDifferentSheet" localSheetId="30">_xlfn.LAMBDA(_xlpm.TargetCell, _xlfn.LET(_xlpm.sh, _xlfn.TEXTAFTER(CELL("filename", _xlpm.TargetCell), "]"), _xlpm.addr, CELL("address", _xlpm.TargetCell), "#" &amp; _xlpm.addr))</definedName>
    <definedName name="Common_InputFunctions.Utility_SourceHyperlinkDifferentSheet" localSheetId="28">_xlfn.LAMBDA(_xlpm.TargetCell, _xlfn.LET(_xlpm.sh, _xlfn.TEXTAFTER(CELL("filename", _xlpm.TargetCell), "]"), _xlpm.addr, CELL("address", _xlpm.TargetCell), "#" &amp; _xlpm.addr))</definedName>
    <definedName name="Common_InputFunctions.Utility_SourceHyperlinkDifferentSheet" localSheetId="26">_xlfn.LAMBDA(_xlpm.TargetCell, _xlfn.LET(_xlpm.sh, _xlfn.TEXTAFTER(CELL("filename", _xlpm.TargetCell), "]"), _xlpm.addr, CELL("address", _xlpm.TargetCell), "#" &amp; _xlpm.addr))</definedName>
    <definedName name="Common_InputFunctions.Utility_SourceHyperlinkDifferentSheet" localSheetId="7">_xlfn.LAMBDA(_xlpm.TargetCell, _xlfn.LET(_xlpm.sh, _xlfn.TEXTAFTER(CELL("filename", _xlpm.TargetCell), "]"), _xlpm.addr, CELL("address", _xlpm.TargetCell), "#" &amp; _xlpm.addr))</definedName>
    <definedName name="Common_InputFunctions.Utility_SourceHyperlinkDifferentSheet" localSheetId="6">_xlfn.LAMBDA(_xlpm.TargetCell, _xlfn.LET(_xlpm.sh, _xlfn.TEXTAFTER(CELL("filename", _xlpm.TargetCell), "]"), _xlpm.addr, CELL("address", _xlpm.TargetCell),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 localSheetId="3">_xlfn.LAMBDA(_xlpm.TargetCell, _xlfn.LET(_xlpm.sh, _xlfn.TEXTAFTER(CELL("filename", _xlpm.TargetCell), "]"), _xlpm.addr, CELL("address", _xlpm.TargetCell), "#" &amp; _xlpm.addr))</definedName>
    <definedName name="Common_InputFunctions.Utility_SourceHyperlinkDifferentSheet" localSheetId="3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2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5">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1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2">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0">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2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9">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7">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8">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3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2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5">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1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2">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0">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2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9">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7">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8">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3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2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5">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1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2">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0">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2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9">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7">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8">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3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 localSheetId="25">_xlfn.LAMBDA("")</definedName>
    <definedName name="Common_SourceData.Common_SourceData_AustralianStatesTerritories_Source" localSheetId="10">_xlfn.LAMBDA("")</definedName>
    <definedName name="Common_SourceData.Common_SourceData_AustralianStatesTerritories_Source" localSheetId="11">_xlfn.LAMBDA("")</definedName>
    <definedName name="Common_SourceData.Common_SourceData_AustralianStatesTerritories_Source" localSheetId="12">_xlfn.LAMBDA("")</definedName>
    <definedName name="Common_SourceData.Common_SourceData_AustralianStatesTerritories_Source" localSheetId="13">_xlfn.LAMBDA("")</definedName>
    <definedName name="Common_SourceData.Common_SourceData_AustralianStatesTerritories_Source" localSheetId="14">_xlfn.LAMBDA("")</definedName>
    <definedName name="Common_SourceData.Common_SourceData_AustralianStatesTerritories_Source" localSheetId="15">_xlfn.LAMBDA("")</definedName>
    <definedName name="Common_SourceData.Common_SourceData_AustralianStatesTerritories_Source" localSheetId="16">_xlfn.LAMBDA("")</definedName>
    <definedName name="Common_SourceData.Common_SourceData_AustralianStatesTerritories_Source" localSheetId="17">_xlfn.LAMBDA("")</definedName>
    <definedName name="Common_SourceData.Common_SourceData_AustralianStatesTerritories_Source" localSheetId="18">_xlfn.LAMBDA("")</definedName>
    <definedName name="Common_SourceData.Common_SourceData_AustralianStatesTerritories_Source" localSheetId="19">_xlfn.LAMBDA("")</definedName>
    <definedName name="Common_SourceData.Common_SourceData_AustralianStatesTerritories_Source" localSheetId="20">_xlfn.LAMBDA("")</definedName>
    <definedName name="Common_SourceData.Common_SourceData_AustralianStatesTerritories_Source" localSheetId="21">_xlfn.LAMBDA("")</definedName>
    <definedName name="Common_SourceData.Common_SourceData_AustralianStatesTerritories_Source" localSheetId="22">_xlfn.LAMBDA("")</definedName>
    <definedName name="Common_SourceData.Common_SourceData_AustralianStatesTerritories_Source" localSheetId="23">_xlfn.LAMBDA("")</definedName>
    <definedName name="Common_SourceData.Common_SourceData_AustralianStatesTerritories_Source" localSheetId="24">_xlfn.LAMBDA("")</definedName>
    <definedName name="Common_SourceData.Common_SourceData_AustralianStatesTerritories_Source" localSheetId="33">_xlfn.LAMBDA("")</definedName>
    <definedName name="Common_SourceData.Common_SourceData_AustralianStatesTerritories_Source" localSheetId="27">_xlfn.LAMBDA("")</definedName>
    <definedName name="Common_SourceData.Common_SourceData_AustralianStatesTerritories_Source" localSheetId="32">_xlfn.LAMBDA("")</definedName>
    <definedName name="Common_SourceData.Common_SourceData_AustralianStatesTerritories_Source" localSheetId="29">_xlfn.LAMBDA("")</definedName>
    <definedName name="Common_SourceData.Common_SourceData_AustralianStatesTerritories_Source" localSheetId="30">_xlfn.LAMBDA("")</definedName>
    <definedName name="Common_SourceData.Common_SourceData_AustralianStatesTerritories_Source" localSheetId="31">_xlfn.LAMBDA("")</definedName>
    <definedName name="Common_SourceData.Common_SourceData_AustralianStatesTerritories_Source" localSheetId="28">_xlfn.LAMBDA("")</definedName>
    <definedName name="Common_SourceData.Common_SourceData_AustralianStatesTerritories_Source" localSheetId="26">_xlfn.LAMBDA("")</definedName>
    <definedName name="Common_SourceData.Common_SourceData_AustralianStatesTerritories_Source" localSheetId="9">_xlfn.LAMBDA("")</definedName>
    <definedName name="Common_SourceData.Common_SourceData_AustralianStatesTerritories_Source" localSheetId="7">_xlfn.LAMBDA("")</definedName>
    <definedName name="Common_SourceData.Common_SourceData_AustralianStatesTerritories_Source" localSheetId="8">_xlfn.LAMBDA("")</definedName>
    <definedName name="Common_SourceData.Common_SourceData_AustralianStatesTerritories_Source" localSheetId="6">_xlfn.LAMBDA("")</definedName>
    <definedName name="Common_SourceData.Common_SourceData_AustralianStatesTerritories_Source" localSheetId="4">_xlfn.LAMBDA("")</definedName>
    <definedName name="Common_SourceData.Common_SourceData_AustralianStatesTerritories_Source" localSheetId="3">_xlfn.LAMBDA("")</definedName>
    <definedName name="Common_SourceData.Common_SourceData_AustralianStatesTerritories_Source" localSheetId="34">_xlfn.LAMBDA("")</definedName>
    <definedName name="Common_SourceData.Common_SourceData_AustralianStatesTerritories_Source">_xlfn.LAMBDA("")</definedName>
    <definedName name="Common_SourceData.Common_SourceData_AustralianStatesTerritories_Title" localSheetId="25">_xlfn.LAMBDA("Australian states and territories")</definedName>
    <definedName name="Common_SourceData.Common_SourceData_AustralianStatesTerritories_Title" localSheetId="10">_xlfn.LAMBDA("Australian states and territories")</definedName>
    <definedName name="Common_SourceData.Common_SourceData_AustralianStatesTerritories_Title" localSheetId="11">_xlfn.LAMBDA("Australian states and territories")</definedName>
    <definedName name="Common_SourceData.Common_SourceData_AustralianStatesTerritories_Title" localSheetId="12">_xlfn.LAMBDA("Australian states and territories")</definedName>
    <definedName name="Common_SourceData.Common_SourceData_AustralianStatesTerritories_Title" localSheetId="13">_xlfn.LAMBDA("Australian states and territories")</definedName>
    <definedName name="Common_SourceData.Common_SourceData_AustralianStatesTerritories_Title" localSheetId="14">_xlfn.LAMBDA("Australian states and territories")</definedName>
    <definedName name="Common_SourceData.Common_SourceData_AustralianStatesTerritories_Title" localSheetId="15">_xlfn.LAMBDA("Australian states and territories")</definedName>
    <definedName name="Common_SourceData.Common_SourceData_AustralianStatesTerritories_Title" localSheetId="16">_xlfn.LAMBDA("Australian states and territories")</definedName>
    <definedName name="Common_SourceData.Common_SourceData_AustralianStatesTerritories_Title" localSheetId="17">_xlfn.LAMBDA("Australian states and territories")</definedName>
    <definedName name="Common_SourceData.Common_SourceData_AustralianStatesTerritories_Title" localSheetId="18">_xlfn.LAMBDA("Australian states and territories")</definedName>
    <definedName name="Common_SourceData.Common_SourceData_AustralianStatesTerritories_Title" localSheetId="19">_xlfn.LAMBDA("Australian states and territories")</definedName>
    <definedName name="Common_SourceData.Common_SourceData_AustralianStatesTerritories_Title" localSheetId="20">_xlfn.LAMBDA("Australian states and territories")</definedName>
    <definedName name="Common_SourceData.Common_SourceData_AustralianStatesTerritories_Title" localSheetId="21">_xlfn.LAMBDA("Australian states and territories")</definedName>
    <definedName name="Common_SourceData.Common_SourceData_AustralianStatesTerritories_Title" localSheetId="22">_xlfn.LAMBDA("Australian states and territories")</definedName>
    <definedName name="Common_SourceData.Common_SourceData_AustralianStatesTerritories_Title" localSheetId="23">_xlfn.LAMBDA("Australian states and territories")</definedName>
    <definedName name="Common_SourceData.Common_SourceData_AustralianStatesTerritories_Title" localSheetId="24">_xlfn.LAMBDA("Australian states and territories")</definedName>
    <definedName name="Common_SourceData.Common_SourceData_AustralianStatesTerritories_Title" localSheetId="33">_xlfn.LAMBDA("Australian states and territories")</definedName>
    <definedName name="Common_SourceData.Common_SourceData_AustralianStatesTerritories_Title" localSheetId="27">_xlfn.LAMBDA("Australian states and territories")</definedName>
    <definedName name="Common_SourceData.Common_SourceData_AustralianStatesTerritories_Title" localSheetId="32">_xlfn.LAMBDA("Australian states and territories")</definedName>
    <definedName name="Common_SourceData.Common_SourceData_AustralianStatesTerritories_Title" localSheetId="29">_xlfn.LAMBDA("Australian states and territories")</definedName>
    <definedName name="Common_SourceData.Common_SourceData_AustralianStatesTerritories_Title" localSheetId="30">_xlfn.LAMBDA("Australian states and territories")</definedName>
    <definedName name="Common_SourceData.Common_SourceData_AustralianStatesTerritories_Title" localSheetId="31">_xlfn.LAMBDA("Australian states and territories")</definedName>
    <definedName name="Common_SourceData.Common_SourceData_AustralianStatesTerritories_Title" localSheetId="28">_xlfn.LAMBDA("Australian states and territories")</definedName>
    <definedName name="Common_SourceData.Common_SourceData_AustralianStatesTerritories_Title" localSheetId="26">_xlfn.LAMBDA("Australian states and territories")</definedName>
    <definedName name="Common_SourceData.Common_SourceData_AustralianStatesTerritories_Title" localSheetId="9">_xlfn.LAMBDA("Australian states and territories")</definedName>
    <definedName name="Common_SourceData.Common_SourceData_AustralianStatesTerritories_Title" localSheetId="7">_xlfn.LAMBDA("Australian states and territories")</definedName>
    <definedName name="Common_SourceData.Common_SourceData_AustralianStatesTerritories_Title" localSheetId="8">_xlfn.LAMBDA("Australian states and territories")</definedName>
    <definedName name="Common_SourceData.Common_SourceData_AustralianStatesTerritories_Title" localSheetId="6">_xlfn.LAMBDA("Australian states and territories")</definedName>
    <definedName name="Common_SourceData.Common_SourceData_AustralianStatesTerritories_Title" localSheetId="4">_xlfn.LAMBDA("Australian states and territories")</definedName>
    <definedName name="Common_SourceData.Common_SourceData_AustralianStatesTerritories_Title" localSheetId="3">_xlfn.LAMBDA("Australian states and territories")</definedName>
    <definedName name="Common_SourceData.Common_SourceData_AustralianStatesTerritories_Title" localSheetId="34">_xlfn.LAMBDA("Australian states and territories")</definedName>
    <definedName name="Common_SourceData.Common_SourceData_AustralianStatesTerritories_Title">_xlfn.LAMBDA("Australian states and territories")</definedName>
    <definedName name="Common_SourceData.Common_SourceData_AustralianStatesTerritories_Unit" localSheetId="25">_xlfn.LAMBDA("")</definedName>
    <definedName name="Common_SourceData.Common_SourceData_AustralianStatesTerritories_Unit" localSheetId="10">_xlfn.LAMBDA("")</definedName>
    <definedName name="Common_SourceData.Common_SourceData_AustralianStatesTerritories_Unit" localSheetId="11">_xlfn.LAMBDA("")</definedName>
    <definedName name="Common_SourceData.Common_SourceData_AustralianStatesTerritories_Unit" localSheetId="12">_xlfn.LAMBDA("")</definedName>
    <definedName name="Common_SourceData.Common_SourceData_AustralianStatesTerritories_Unit" localSheetId="13">_xlfn.LAMBDA("")</definedName>
    <definedName name="Common_SourceData.Common_SourceData_AustralianStatesTerritories_Unit" localSheetId="14">_xlfn.LAMBDA("")</definedName>
    <definedName name="Common_SourceData.Common_SourceData_AustralianStatesTerritories_Unit" localSheetId="15">_xlfn.LAMBDA("")</definedName>
    <definedName name="Common_SourceData.Common_SourceData_AustralianStatesTerritories_Unit" localSheetId="16">_xlfn.LAMBDA("")</definedName>
    <definedName name="Common_SourceData.Common_SourceData_AustralianStatesTerritories_Unit" localSheetId="17">_xlfn.LAMBDA("")</definedName>
    <definedName name="Common_SourceData.Common_SourceData_AustralianStatesTerritories_Unit" localSheetId="18">_xlfn.LAMBDA("")</definedName>
    <definedName name="Common_SourceData.Common_SourceData_AustralianStatesTerritories_Unit" localSheetId="19">_xlfn.LAMBDA("")</definedName>
    <definedName name="Common_SourceData.Common_SourceData_AustralianStatesTerritories_Unit" localSheetId="20">_xlfn.LAMBDA("")</definedName>
    <definedName name="Common_SourceData.Common_SourceData_AustralianStatesTerritories_Unit" localSheetId="21">_xlfn.LAMBDA("")</definedName>
    <definedName name="Common_SourceData.Common_SourceData_AustralianStatesTerritories_Unit" localSheetId="22">_xlfn.LAMBDA("")</definedName>
    <definedName name="Common_SourceData.Common_SourceData_AustralianStatesTerritories_Unit" localSheetId="23">_xlfn.LAMBDA("")</definedName>
    <definedName name="Common_SourceData.Common_SourceData_AustralianStatesTerritories_Unit" localSheetId="24">_xlfn.LAMBDA("")</definedName>
    <definedName name="Common_SourceData.Common_SourceData_AustralianStatesTerritories_Unit" localSheetId="33">_xlfn.LAMBDA("")</definedName>
    <definedName name="Common_SourceData.Common_SourceData_AustralianStatesTerritories_Unit" localSheetId="27">_xlfn.LAMBDA("")</definedName>
    <definedName name="Common_SourceData.Common_SourceData_AustralianStatesTerritories_Unit" localSheetId="32">_xlfn.LAMBDA("")</definedName>
    <definedName name="Common_SourceData.Common_SourceData_AustralianStatesTerritories_Unit" localSheetId="29">_xlfn.LAMBDA("")</definedName>
    <definedName name="Common_SourceData.Common_SourceData_AustralianStatesTerritories_Unit" localSheetId="30">_xlfn.LAMBDA("")</definedName>
    <definedName name="Common_SourceData.Common_SourceData_AustralianStatesTerritories_Unit" localSheetId="31">_xlfn.LAMBDA("")</definedName>
    <definedName name="Common_SourceData.Common_SourceData_AustralianStatesTerritories_Unit" localSheetId="28">_xlfn.LAMBDA("")</definedName>
    <definedName name="Common_SourceData.Common_SourceData_AustralianStatesTerritories_Unit" localSheetId="26">_xlfn.LAMBDA("")</definedName>
    <definedName name="Common_SourceData.Common_SourceData_AustralianStatesTerritories_Unit" localSheetId="9">_xlfn.LAMBDA("")</definedName>
    <definedName name="Common_SourceData.Common_SourceData_AustralianStatesTerritories_Unit" localSheetId="7">_xlfn.LAMBDA("")</definedName>
    <definedName name="Common_SourceData.Common_SourceData_AustralianStatesTerritories_Unit" localSheetId="8">_xlfn.LAMBDA("")</definedName>
    <definedName name="Common_SourceData.Common_SourceData_AustralianStatesTerritories_Unit" localSheetId="6">_xlfn.LAMBDA("")</definedName>
    <definedName name="Common_SourceData.Common_SourceData_AustralianStatesTerritories_Unit" localSheetId="4">_xlfn.LAMBDA("")</definedName>
    <definedName name="Common_SourceData.Common_SourceData_AustralianStatesTerritories_Unit" localSheetId="3">_xlfn.LAMBDA("")</definedName>
    <definedName name="Common_SourceData.Common_SourceData_AustralianStatesTerritories_Unit" localSheetId="34">_xlfn.LAMBDA("")</definedName>
    <definedName name="Common_SourceData.Common_SourceData_AustralianStatesTerritories_Unit">_xlfn.LAMBDA("")</definedName>
    <definedName name="Common_SourceData.Common_SourceData_AustralianStatesTerritories_Variable" localSheetId="25">_xlfn.LAMBDA("")</definedName>
    <definedName name="Common_SourceData.Common_SourceData_AustralianStatesTerritories_Variable" localSheetId="10">_xlfn.LAMBDA("")</definedName>
    <definedName name="Common_SourceData.Common_SourceData_AustralianStatesTerritories_Variable" localSheetId="11">_xlfn.LAMBDA("")</definedName>
    <definedName name="Common_SourceData.Common_SourceData_AustralianStatesTerritories_Variable" localSheetId="12">_xlfn.LAMBDA("")</definedName>
    <definedName name="Common_SourceData.Common_SourceData_AustralianStatesTerritories_Variable" localSheetId="13">_xlfn.LAMBDA("")</definedName>
    <definedName name="Common_SourceData.Common_SourceData_AustralianStatesTerritories_Variable" localSheetId="14">_xlfn.LAMBDA("")</definedName>
    <definedName name="Common_SourceData.Common_SourceData_AustralianStatesTerritories_Variable" localSheetId="15">_xlfn.LAMBDA("")</definedName>
    <definedName name="Common_SourceData.Common_SourceData_AustralianStatesTerritories_Variable" localSheetId="16">_xlfn.LAMBDA("")</definedName>
    <definedName name="Common_SourceData.Common_SourceData_AustralianStatesTerritories_Variable" localSheetId="17">_xlfn.LAMBDA("")</definedName>
    <definedName name="Common_SourceData.Common_SourceData_AustralianStatesTerritories_Variable" localSheetId="18">_xlfn.LAMBDA("")</definedName>
    <definedName name="Common_SourceData.Common_SourceData_AustralianStatesTerritories_Variable" localSheetId="19">_xlfn.LAMBDA("")</definedName>
    <definedName name="Common_SourceData.Common_SourceData_AustralianStatesTerritories_Variable" localSheetId="20">_xlfn.LAMBDA("")</definedName>
    <definedName name="Common_SourceData.Common_SourceData_AustralianStatesTerritories_Variable" localSheetId="21">_xlfn.LAMBDA("")</definedName>
    <definedName name="Common_SourceData.Common_SourceData_AustralianStatesTerritories_Variable" localSheetId="22">_xlfn.LAMBDA("")</definedName>
    <definedName name="Common_SourceData.Common_SourceData_AustralianStatesTerritories_Variable" localSheetId="23">_xlfn.LAMBDA("")</definedName>
    <definedName name="Common_SourceData.Common_SourceData_AustralianStatesTerritories_Variable" localSheetId="24">_xlfn.LAMBDA("")</definedName>
    <definedName name="Common_SourceData.Common_SourceData_AustralianStatesTerritories_Variable" localSheetId="33">_xlfn.LAMBDA("")</definedName>
    <definedName name="Common_SourceData.Common_SourceData_AustralianStatesTerritories_Variable" localSheetId="27">_xlfn.LAMBDA("")</definedName>
    <definedName name="Common_SourceData.Common_SourceData_AustralianStatesTerritories_Variable" localSheetId="32">_xlfn.LAMBDA("")</definedName>
    <definedName name="Common_SourceData.Common_SourceData_AustralianStatesTerritories_Variable" localSheetId="29">_xlfn.LAMBDA("")</definedName>
    <definedName name="Common_SourceData.Common_SourceData_AustralianStatesTerritories_Variable" localSheetId="30">_xlfn.LAMBDA("")</definedName>
    <definedName name="Common_SourceData.Common_SourceData_AustralianStatesTerritories_Variable" localSheetId="31">_xlfn.LAMBDA("")</definedName>
    <definedName name="Common_SourceData.Common_SourceData_AustralianStatesTerritories_Variable" localSheetId="28">_xlfn.LAMBDA("")</definedName>
    <definedName name="Common_SourceData.Common_SourceData_AustralianStatesTerritories_Variable" localSheetId="26">_xlfn.LAMBDA("")</definedName>
    <definedName name="Common_SourceData.Common_SourceData_AustralianStatesTerritories_Variable" localSheetId="9">_xlfn.LAMBDA("")</definedName>
    <definedName name="Common_SourceData.Common_SourceData_AustralianStatesTerritories_Variable" localSheetId="7">_xlfn.LAMBDA("")</definedName>
    <definedName name="Common_SourceData.Common_SourceData_AustralianStatesTerritories_Variable" localSheetId="8">_xlfn.LAMBDA("")</definedName>
    <definedName name="Common_SourceData.Common_SourceData_AustralianStatesTerritories_Variable" localSheetId="6">_xlfn.LAMBDA("")</definedName>
    <definedName name="Common_SourceData.Common_SourceData_AustralianStatesTerritories_Variable" localSheetId="4">_xlfn.LAMBDA("")</definedName>
    <definedName name="Common_SourceData.Common_SourceData_AustralianStatesTerritories_Variable" localSheetId="3">_xlfn.LAMBDA("")</definedName>
    <definedName name="Common_SourceData.Common_SourceData_AustralianStatesTerritories_Variable" localSheetId="34">_xlfn.LAMBDA("")</definedName>
    <definedName name="Common_SourceData.Common_SourceData_AustralianStatesTerritories_Variable">_xlfn.LAMBDA("")</definedName>
    <definedName name="Common_SourceData.Common_SourceData_ClimateZones_Appendices" localSheetId="25">_xlfn.LAMBDA(_xlfn.MAKEARRAY(4, 1, _xlfn.LAMBDA(_xlpm.r,_xlpm.c, INDEX({"Note:";"MAT = mean annual temperature";"MAP = mean annual precipitation";"PET = potential evapotranspiration"}, _xlpm.r, _xlpm.c))))</definedName>
    <definedName name="Common_SourceData.Common_SourceData_ClimateZones_Appendices" localSheetId="10">_xlfn.LAMBDA(_xlfn.MAKEARRAY(4, 1, _xlfn.LAMBDA(_xlpm.r,_xlpm.c, INDEX({"Note:";"MAT = mean annual temperature";"MAP = mean annual precipitation";"PET = potential evapotranspiration"}, _xlpm.r, _xlpm.c))))</definedName>
    <definedName name="Common_SourceData.Common_SourceData_ClimateZones_Appendices" localSheetId="11">_xlfn.LAMBDA(_xlfn.MAKEARRAY(4, 1, _xlfn.LAMBDA(_xlpm.r,_xlpm.c, INDEX({"Note:";"MAT = mean annual temperature";"MAP = mean annual precipitation";"PET = potential evapotranspiration"}, _xlpm.r, _xlpm.c))))</definedName>
    <definedName name="Common_SourceData.Common_SourceData_ClimateZones_Appendices" localSheetId="12">_xlfn.LAMBDA(_xlfn.MAKEARRAY(4, 1, _xlfn.LAMBDA(_xlpm.r,_xlpm.c, INDEX({"Note:";"MAT = mean annual temperature";"MAP = mean annual precipitation";"PET = potential evapotranspiration"}, _xlpm.r, _xlpm.c))))</definedName>
    <definedName name="Common_SourceData.Common_SourceData_ClimateZones_Appendices" localSheetId="13">_xlfn.LAMBDA(_xlfn.MAKEARRAY(4, 1, _xlfn.LAMBDA(_xlpm.r,_xlpm.c, INDEX({"Note:";"MAT = mean annual temperature";"MAP = mean annual precipitation";"PET = potential evapotranspiration"}, _xlpm.r, _xlpm.c))))</definedName>
    <definedName name="Common_SourceData.Common_SourceData_ClimateZones_Appendices" localSheetId="14">_xlfn.LAMBDA(_xlfn.MAKEARRAY(4, 1, _xlfn.LAMBDA(_xlpm.r,_xlpm.c, INDEX({"Note:";"MAT = mean annual temperature";"MAP = mean annual precipitation";"PET = potential evapotranspiration"}, _xlpm.r, _xlpm.c))))</definedName>
    <definedName name="Common_SourceData.Common_SourceData_ClimateZones_Appendices" localSheetId="15">_xlfn.LAMBDA(_xlfn.MAKEARRAY(4, 1, _xlfn.LAMBDA(_xlpm.r,_xlpm.c, INDEX({"Note:";"MAT = mean annual temperature";"MAP = mean annual precipitation";"PET = potential evapotranspiration"}, _xlpm.r, _xlpm.c))))</definedName>
    <definedName name="Common_SourceData.Common_SourceData_ClimateZones_Appendices" localSheetId="16">_xlfn.LAMBDA(_xlfn.MAKEARRAY(4, 1, _xlfn.LAMBDA(_xlpm.r,_xlpm.c, INDEX({"Note:";"MAT = mean annual temperature";"MAP = mean annual precipitation";"PET = potential evapotranspiration"}, _xlpm.r, _xlpm.c))))</definedName>
    <definedName name="Common_SourceData.Common_SourceData_ClimateZones_Appendices" localSheetId="17">_xlfn.LAMBDA(_xlfn.MAKEARRAY(4, 1, _xlfn.LAMBDA(_xlpm.r,_xlpm.c, INDEX({"Note:";"MAT = mean annual temperature";"MAP = mean annual precipitation";"PET = potential evapotranspiration"}, _xlpm.r, _xlpm.c))))</definedName>
    <definedName name="Common_SourceData.Common_SourceData_ClimateZones_Appendices" localSheetId="18">_xlfn.LAMBDA(_xlfn.MAKEARRAY(4, 1, _xlfn.LAMBDA(_xlpm.r,_xlpm.c, INDEX({"Note:";"MAT = mean annual temperature";"MAP = mean annual precipitation";"PET = potential evapotranspiration"}, _xlpm.r, _xlpm.c))))</definedName>
    <definedName name="Common_SourceData.Common_SourceData_ClimateZones_Appendices" localSheetId="19">_xlfn.LAMBDA(_xlfn.MAKEARRAY(4, 1, _xlfn.LAMBDA(_xlpm.r,_xlpm.c, INDEX({"Note:";"MAT = mean annual temperature";"MAP = mean annual precipitation";"PET = potential evapotranspiration"}, _xlpm.r, _xlpm.c))))</definedName>
    <definedName name="Common_SourceData.Common_SourceData_ClimateZones_Appendices" localSheetId="20">_xlfn.LAMBDA(_xlfn.MAKEARRAY(4, 1, _xlfn.LAMBDA(_xlpm.r,_xlpm.c, INDEX({"Note:";"MAT = mean annual temperature";"MAP = mean annual precipitation";"PET = potential evapotranspiration"}, _xlpm.r, _xlpm.c))))</definedName>
    <definedName name="Common_SourceData.Common_SourceData_ClimateZones_Appendices" localSheetId="21">_xlfn.LAMBDA(_xlfn.MAKEARRAY(4, 1, _xlfn.LAMBDA(_xlpm.r,_xlpm.c, INDEX({"Note:";"MAT = mean annual temperature";"MAP = mean annual precipitation";"PET = potential evapotranspiration"}, _xlpm.r, _xlpm.c))))</definedName>
    <definedName name="Common_SourceData.Common_SourceData_ClimateZones_Appendices" localSheetId="22">_xlfn.LAMBDA(_xlfn.MAKEARRAY(4, 1, _xlfn.LAMBDA(_xlpm.r,_xlpm.c, INDEX({"Note:";"MAT = mean annual temperature";"MAP = mean annual precipitation";"PET = potential evapotranspiration"}, _xlpm.r, _xlpm.c))))</definedName>
    <definedName name="Common_SourceData.Common_SourceData_ClimateZones_Appendices" localSheetId="23">_xlfn.LAMBDA(_xlfn.MAKEARRAY(4, 1, _xlfn.LAMBDA(_xlpm.r,_xlpm.c, INDEX({"Note:";"MAT = mean annual temperature";"MAP = mean annual precipitation";"PET = potential evapotranspiration"}, _xlpm.r, _xlpm.c))))</definedName>
    <definedName name="Common_SourceData.Common_SourceData_ClimateZones_Appendices" localSheetId="24">_xlfn.LAMBDA(_xlfn.MAKEARRAY(4, 1, _xlfn.LAMBDA(_xlpm.r,_xlpm.c, INDEX({"Note:";"MAT = mean annual temperature";"MAP = mean annual precipitation";"PET = potential evapotranspiration"}, _xlpm.r, _xlpm.c))))</definedName>
    <definedName name="Common_SourceData.Common_SourceData_ClimateZones_Appendices" localSheetId="33">_xlfn.LAMBDA(_xlfn.MAKEARRAY(4, 1, _xlfn.LAMBDA(_xlpm.r,_xlpm.c, INDEX({"Note:";"MAT = mean annual temperature";"MAP = mean annual precipitation";"PET = potential evapotranspiration"}, _xlpm.r, _xlpm.c))))</definedName>
    <definedName name="Common_SourceData.Common_SourceData_ClimateZones_Appendices" localSheetId="27">_xlfn.LAMBDA(_xlfn.MAKEARRAY(4, 1, _xlfn.LAMBDA(_xlpm.r,_xlpm.c, INDEX({"Note:";"MAT = mean annual temperature";"MAP = mean annual precipitation";"PET = potential evapotranspiration"}, _xlpm.r, _xlpm.c))))</definedName>
    <definedName name="Common_SourceData.Common_SourceData_ClimateZones_Appendices" localSheetId="32">_xlfn.LAMBDA(_xlfn.MAKEARRAY(4, 1, _xlfn.LAMBDA(_xlpm.r,_xlpm.c, INDEX({"Note:";"MAT = mean annual temperature";"MAP = mean annual precipitation";"PET = potential evapotranspiration"}, _xlpm.r, _xlpm.c))))</definedName>
    <definedName name="Common_SourceData.Common_SourceData_ClimateZones_Appendices" localSheetId="29">_xlfn.LAMBDA(_xlfn.MAKEARRAY(4, 1, _xlfn.LAMBDA(_xlpm.r,_xlpm.c, INDEX({"Note:";"MAT = mean annual temperature";"MAP = mean annual precipitation";"PET = potential evapotranspiration"}, _xlpm.r, _xlpm.c))))</definedName>
    <definedName name="Common_SourceData.Common_SourceData_ClimateZones_Appendices" localSheetId="30">_xlfn.LAMBDA(_xlfn.MAKEARRAY(4, 1, _xlfn.LAMBDA(_xlpm.r,_xlpm.c, INDEX({"Note:";"MAT = mean annual temperature";"MAP = mean annual precipitation";"PET = potential evapotranspiration"}, _xlpm.r, _xlpm.c))))</definedName>
    <definedName name="Common_SourceData.Common_SourceData_ClimateZones_Appendices" localSheetId="31">_xlfn.LAMBDA(_xlfn.MAKEARRAY(4, 1, _xlfn.LAMBDA(_xlpm.r,_xlpm.c, INDEX({"Note:";"MAT = mean annual temperature";"MAP = mean annual precipitation";"PET = potential evapotranspiration"}, _xlpm.r, _xlpm.c))))</definedName>
    <definedName name="Common_SourceData.Common_SourceData_ClimateZones_Appendices" localSheetId="28">_xlfn.LAMBDA(_xlfn.MAKEARRAY(4, 1, _xlfn.LAMBDA(_xlpm.r,_xlpm.c, INDEX({"Note:";"MAT = mean annual temperature";"MAP = mean annual precipitation";"PET = potential evapotranspiration"}, _xlpm.r, _xlpm.c))))</definedName>
    <definedName name="Common_SourceData.Common_SourceData_ClimateZones_Appendices" localSheetId="26">_xlfn.LAMBDA(_xlfn.MAKEARRAY(4, 1, _xlfn.LAMBDA(_xlpm.r,_xlpm.c, INDEX({"Note:";"MAT = mean annual temperature";"MAP = mean annual precipitation";"PET = potential evapotranspiration"}, _xlpm.r, _xlpm.c))))</definedName>
    <definedName name="Common_SourceData.Common_SourceData_ClimateZones_Appendices" localSheetId="9">_xlfn.LAMBDA(_xlfn.MAKEARRAY(4, 1, _xlfn.LAMBDA(_xlpm.r,_xlpm.c, INDEX({"Note:";"MAT = mean annual temperature";"MAP = mean annual precipitation";"PET = potential evapotranspiration"}, _xlpm.r, _xlpm.c))))</definedName>
    <definedName name="Common_SourceData.Common_SourceData_ClimateZones_Appendices" localSheetId="7">_xlfn.LAMBDA(_xlfn.MAKEARRAY(4, 1, _xlfn.LAMBDA(_xlpm.r,_xlpm.c, INDEX({"Note:";"MAT = mean annual temperature";"MAP = mean annual precipitation";"PET = potential evapotranspiration"}, _xlpm.r, _xlpm.c))))</definedName>
    <definedName name="Common_SourceData.Common_SourceData_ClimateZones_Appendices" localSheetId="8">_xlfn.LAMBDA(_xlfn.MAKEARRAY(4, 1, _xlfn.LAMBDA(_xlpm.r,_xlpm.c, INDEX({"Note:";"MAT = mean annual temperature";"MAP = mean annual precipitation";"PET = potential evapotranspiration"}, _xlpm.r, _xlpm.c))))</definedName>
    <definedName name="Common_SourceData.Common_SourceData_ClimateZones_Appendices" localSheetId="6">_xlfn.LAMBDA(_xlfn.MAKEARRAY(4, 1, _xlfn.LAMBDA(_xlpm.r,_xlpm.c, INDEX({"Note:";"MAT = mean annual temperature";"MAP = mean annual precipitation";"PET = potential evapotranspiration"}, _xlpm.r, _xlpm.c))))</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 localSheetId="3">_xlfn.LAMBDA(_xlfn.MAKEARRAY(4, 1, _xlfn.LAMBDA(_xlpm.r,_xlpm.c, INDEX({"Note:";"MAT = mean annual temperature";"MAP = mean annual precipitation";"PET = potential evapotranspiration"}, _xlpm.r, _xlpm.c))))</definedName>
    <definedName name="Common_SourceData.Common_SourceData_ClimateZones_Appendices" localSheetId="3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2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5">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1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2">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0">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2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9">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7">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8">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3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 localSheetId="25">_xlfn.LAMBDA("VEERG 2026: Table 1.3: Climate and Rainfall zone classifications and definitions")</definedName>
    <definedName name="Common_SourceData.Common_SourceData_ClimateZones_Source" localSheetId="10">_xlfn.LAMBDA("VEERG 2026: Table 1.3: Climate and Rainfall zone classifications and definitions")</definedName>
    <definedName name="Common_SourceData.Common_SourceData_ClimateZones_Source" localSheetId="11">_xlfn.LAMBDA("VEERG 2026: Table 1.3: Climate and Rainfall zone classifications and definitions")</definedName>
    <definedName name="Common_SourceData.Common_SourceData_ClimateZones_Source" localSheetId="12">_xlfn.LAMBDA("VEERG 2026: Table 1.3: Climate and Rainfall zone classifications and definitions")</definedName>
    <definedName name="Common_SourceData.Common_SourceData_ClimateZones_Source" localSheetId="13">_xlfn.LAMBDA("VEERG 2026: Table 1.3: Climate and Rainfall zone classifications and definitions")</definedName>
    <definedName name="Common_SourceData.Common_SourceData_ClimateZones_Source" localSheetId="14">_xlfn.LAMBDA("VEERG 2026: Table 1.3: Climate and Rainfall zone classifications and definitions")</definedName>
    <definedName name="Common_SourceData.Common_SourceData_ClimateZones_Source" localSheetId="15">_xlfn.LAMBDA("VEERG 2026: Table 1.3: Climate and Rainfall zone classifications and definitions")</definedName>
    <definedName name="Common_SourceData.Common_SourceData_ClimateZones_Source" localSheetId="16">_xlfn.LAMBDA("VEERG 2026: Table 1.3: Climate and Rainfall zone classifications and definitions")</definedName>
    <definedName name="Common_SourceData.Common_SourceData_ClimateZones_Source" localSheetId="17">_xlfn.LAMBDA("VEERG 2026: Table 1.3: Climate and Rainfall zone classifications and definitions")</definedName>
    <definedName name="Common_SourceData.Common_SourceData_ClimateZones_Source" localSheetId="18">_xlfn.LAMBDA("VEERG 2026: Table 1.3: Climate and Rainfall zone classifications and definitions")</definedName>
    <definedName name="Common_SourceData.Common_SourceData_ClimateZones_Source" localSheetId="19">_xlfn.LAMBDA("VEERG 2026: Table 1.3: Climate and Rainfall zone classifications and definitions")</definedName>
    <definedName name="Common_SourceData.Common_SourceData_ClimateZones_Source" localSheetId="20">_xlfn.LAMBDA("VEERG 2026: Table 1.3: Climate and Rainfall zone classifications and definitions")</definedName>
    <definedName name="Common_SourceData.Common_SourceData_ClimateZones_Source" localSheetId="21">_xlfn.LAMBDA("VEERG 2026: Table 1.3: Climate and Rainfall zone classifications and definitions")</definedName>
    <definedName name="Common_SourceData.Common_SourceData_ClimateZones_Source" localSheetId="22">_xlfn.LAMBDA("VEERG 2026: Table 1.3: Climate and Rainfall zone classifications and definitions")</definedName>
    <definedName name="Common_SourceData.Common_SourceData_ClimateZones_Source" localSheetId="23">_xlfn.LAMBDA("VEERG 2026: Table 1.3: Climate and Rainfall zone classifications and definitions")</definedName>
    <definedName name="Common_SourceData.Common_SourceData_ClimateZones_Source" localSheetId="24">_xlfn.LAMBDA("VEERG 2026: Table 1.3: Climate and Rainfall zone classifications and definitions")</definedName>
    <definedName name="Common_SourceData.Common_SourceData_ClimateZones_Source" localSheetId="33">_xlfn.LAMBDA("VEERG 2026: Table 1.3: Climate and Rainfall zone classifications and definitions")</definedName>
    <definedName name="Common_SourceData.Common_SourceData_ClimateZones_Source" localSheetId="27">_xlfn.LAMBDA("VEERG 2026: Table 1.3: Climate and Rainfall zone classifications and definitions")</definedName>
    <definedName name="Common_SourceData.Common_SourceData_ClimateZones_Source" localSheetId="32">_xlfn.LAMBDA("VEERG 2026: Table 1.3: Climate and Rainfall zone classifications and definitions")</definedName>
    <definedName name="Common_SourceData.Common_SourceData_ClimateZones_Source" localSheetId="29">_xlfn.LAMBDA("VEERG 2026: Table 1.3: Climate and Rainfall zone classifications and definitions")</definedName>
    <definedName name="Common_SourceData.Common_SourceData_ClimateZones_Source" localSheetId="30">_xlfn.LAMBDA("VEERG 2026: Table 1.3: Climate and Rainfall zone classifications and definitions")</definedName>
    <definedName name="Common_SourceData.Common_SourceData_ClimateZones_Source" localSheetId="31">_xlfn.LAMBDA("VEERG 2026: Table 1.3: Climate and Rainfall zone classifications and definitions")</definedName>
    <definedName name="Common_SourceData.Common_SourceData_ClimateZones_Source" localSheetId="28">_xlfn.LAMBDA("VEERG 2026: Table 1.3: Climate and Rainfall zone classifications and definitions")</definedName>
    <definedName name="Common_SourceData.Common_SourceData_ClimateZones_Source" localSheetId="26">_xlfn.LAMBDA("VEERG 2026: Table 1.3: Climate and Rainfall zone classifications and definitions")</definedName>
    <definedName name="Common_SourceData.Common_SourceData_ClimateZones_Source" localSheetId="9">_xlfn.LAMBDA("VEERG 2026: Table 1.3: Climate and Rainfall zone classifications and definitions")</definedName>
    <definedName name="Common_SourceData.Common_SourceData_ClimateZones_Source" localSheetId="7">_xlfn.LAMBDA("VEERG 2026: Table 1.3: Climate and Rainfall zone classifications and definitions")</definedName>
    <definedName name="Common_SourceData.Common_SourceData_ClimateZones_Source" localSheetId="8">_xlfn.LAMBDA("VEERG 2026: Table 1.3: Climate and Rainfall zone classifications and definitions")</definedName>
    <definedName name="Common_SourceData.Common_SourceData_ClimateZones_Source" localSheetId="6">_xlfn.LAMBDA("VEERG 2026: Table 1.3: Climate and Rainfall zone classifications and definitions")</definedName>
    <definedName name="Common_SourceData.Common_SourceData_ClimateZones_Source" localSheetId="4">_xlfn.LAMBDA("VEERG 2026: Table 1.3: Climate and Rainfall zone classifications and definitions")</definedName>
    <definedName name="Common_SourceData.Common_SourceData_ClimateZones_Source" localSheetId="3">_xlfn.LAMBDA("VEERG 2026: Table 1.3: Climate and Rainfall zone classifications and definitions")</definedName>
    <definedName name="Common_SourceData.Common_SourceData_ClimateZones_Source" localSheetId="34">_xlfn.LAMBDA("VEERG 2026: Table 1.3: Climate and Rainfall zone classifications and definitions")</definedName>
    <definedName name="Common_SourceData.Common_SourceData_ClimateZones_Source">_xlfn.LAMBDA("VEERG 2026: Table 1.3: Climate and Rainfall zone classifications and definitions")</definedName>
    <definedName name="Common_SourceData.Common_SourceData_ClimateZones_Title" localSheetId="25">_xlfn.LAMBDA("VEERG Australian climate zones")</definedName>
    <definedName name="Common_SourceData.Common_SourceData_ClimateZones_Title" localSheetId="10">_xlfn.LAMBDA("VEERG Australian climate zones")</definedName>
    <definedName name="Common_SourceData.Common_SourceData_ClimateZones_Title" localSheetId="11">_xlfn.LAMBDA("VEERG Australian climate zones")</definedName>
    <definedName name="Common_SourceData.Common_SourceData_ClimateZones_Title" localSheetId="12">_xlfn.LAMBDA("VEERG Australian climate zones")</definedName>
    <definedName name="Common_SourceData.Common_SourceData_ClimateZones_Title" localSheetId="13">_xlfn.LAMBDA("VEERG Australian climate zones")</definedName>
    <definedName name="Common_SourceData.Common_SourceData_ClimateZones_Title" localSheetId="14">_xlfn.LAMBDA("VEERG Australian climate zones")</definedName>
    <definedName name="Common_SourceData.Common_SourceData_ClimateZones_Title" localSheetId="15">_xlfn.LAMBDA("VEERG Australian climate zones")</definedName>
    <definedName name="Common_SourceData.Common_SourceData_ClimateZones_Title" localSheetId="16">_xlfn.LAMBDA("VEERG Australian climate zones")</definedName>
    <definedName name="Common_SourceData.Common_SourceData_ClimateZones_Title" localSheetId="17">_xlfn.LAMBDA("VEERG Australian climate zones")</definedName>
    <definedName name="Common_SourceData.Common_SourceData_ClimateZones_Title" localSheetId="18">_xlfn.LAMBDA("VEERG Australian climate zones")</definedName>
    <definedName name="Common_SourceData.Common_SourceData_ClimateZones_Title" localSheetId="19">_xlfn.LAMBDA("VEERG Australian climate zones")</definedName>
    <definedName name="Common_SourceData.Common_SourceData_ClimateZones_Title" localSheetId="20">_xlfn.LAMBDA("VEERG Australian climate zones")</definedName>
    <definedName name="Common_SourceData.Common_SourceData_ClimateZones_Title" localSheetId="21">_xlfn.LAMBDA("VEERG Australian climate zones")</definedName>
    <definedName name="Common_SourceData.Common_SourceData_ClimateZones_Title" localSheetId="22">_xlfn.LAMBDA("VEERG Australian climate zones")</definedName>
    <definedName name="Common_SourceData.Common_SourceData_ClimateZones_Title" localSheetId="23">_xlfn.LAMBDA("VEERG Australian climate zones")</definedName>
    <definedName name="Common_SourceData.Common_SourceData_ClimateZones_Title" localSheetId="24">_xlfn.LAMBDA("VEERG Australian climate zones")</definedName>
    <definedName name="Common_SourceData.Common_SourceData_ClimateZones_Title" localSheetId="33">_xlfn.LAMBDA("VEERG Australian climate zones")</definedName>
    <definedName name="Common_SourceData.Common_SourceData_ClimateZones_Title" localSheetId="27">_xlfn.LAMBDA("VEERG Australian climate zones")</definedName>
    <definedName name="Common_SourceData.Common_SourceData_ClimateZones_Title" localSheetId="32">_xlfn.LAMBDA("VEERG Australian climate zones")</definedName>
    <definedName name="Common_SourceData.Common_SourceData_ClimateZones_Title" localSheetId="29">_xlfn.LAMBDA("VEERG Australian climate zones")</definedName>
    <definedName name="Common_SourceData.Common_SourceData_ClimateZones_Title" localSheetId="30">_xlfn.LAMBDA("VEERG Australian climate zones")</definedName>
    <definedName name="Common_SourceData.Common_SourceData_ClimateZones_Title" localSheetId="31">_xlfn.LAMBDA("VEERG Australian climate zones")</definedName>
    <definedName name="Common_SourceData.Common_SourceData_ClimateZones_Title" localSheetId="28">_xlfn.LAMBDA("VEERG Australian climate zones")</definedName>
    <definedName name="Common_SourceData.Common_SourceData_ClimateZones_Title" localSheetId="26">_xlfn.LAMBDA("VEERG Australian climate zones")</definedName>
    <definedName name="Common_SourceData.Common_SourceData_ClimateZones_Title" localSheetId="9">_xlfn.LAMBDA("VEERG Australian climate zones")</definedName>
    <definedName name="Common_SourceData.Common_SourceData_ClimateZones_Title" localSheetId="7">_xlfn.LAMBDA("VEERG Australian climate zones")</definedName>
    <definedName name="Common_SourceData.Common_SourceData_ClimateZones_Title" localSheetId="8">_xlfn.LAMBDA("VEERG Australian climate zones")</definedName>
    <definedName name="Common_SourceData.Common_SourceData_ClimateZones_Title" localSheetId="6">_xlfn.LAMBDA("VEERG Australian climate zones")</definedName>
    <definedName name="Common_SourceData.Common_SourceData_ClimateZones_Title" localSheetId="4">_xlfn.LAMBDA("VEERG Australian climate zones")</definedName>
    <definedName name="Common_SourceData.Common_SourceData_ClimateZones_Title" localSheetId="3">_xlfn.LAMBDA("VEERG Australian climate zones")</definedName>
    <definedName name="Common_SourceData.Common_SourceData_ClimateZones_Title" localSheetId="34">_xlfn.LAMBDA("VEERG Australian climate zones")</definedName>
    <definedName name="Common_SourceData.Common_SourceData_ClimateZones_Title">_xlfn.LAMBDA("VEERG Australian climate zones")</definedName>
    <definedName name="Common_SourceData.Common_SourceData_ClimateZones_Unit" localSheetId="25">_xlfn.LAMBDA("")</definedName>
    <definedName name="Common_SourceData.Common_SourceData_ClimateZones_Unit" localSheetId="10">_xlfn.LAMBDA("")</definedName>
    <definedName name="Common_SourceData.Common_SourceData_ClimateZones_Unit" localSheetId="11">_xlfn.LAMBDA("")</definedName>
    <definedName name="Common_SourceData.Common_SourceData_ClimateZones_Unit" localSheetId="12">_xlfn.LAMBDA("")</definedName>
    <definedName name="Common_SourceData.Common_SourceData_ClimateZones_Unit" localSheetId="13">_xlfn.LAMBDA("")</definedName>
    <definedName name="Common_SourceData.Common_SourceData_ClimateZones_Unit" localSheetId="14">_xlfn.LAMBDA("")</definedName>
    <definedName name="Common_SourceData.Common_SourceData_ClimateZones_Unit" localSheetId="15">_xlfn.LAMBDA("")</definedName>
    <definedName name="Common_SourceData.Common_SourceData_ClimateZones_Unit" localSheetId="16">_xlfn.LAMBDA("")</definedName>
    <definedName name="Common_SourceData.Common_SourceData_ClimateZones_Unit" localSheetId="17">_xlfn.LAMBDA("")</definedName>
    <definedName name="Common_SourceData.Common_SourceData_ClimateZones_Unit" localSheetId="18">_xlfn.LAMBDA("")</definedName>
    <definedName name="Common_SourceData.Common_SourceData_ClimateZones_Unit" localSheetId="19">_xlfn.LAMBDA("")</definedName>
    <definedName name="Common_SourceData.Common_SourceData_ClimateZones_Unit" localSheetId="20">_xlfn.LAMBDA("")</definedName>
    <definedName name="Common_SourceData.Common_SourceData_ClimateZones_Unit" localSheetId="21">_xlfn.LAMBDA("")</definedName>
    <definedName name="Common_SourceData.Common_SourceData_ClimateZones_Unit" localSheetId="22">_xlfn.LAMBDA("")</definedName>
    <definedName name="Common_SourceData.Common_SourceData_ClimateZones_Unit" localSheetId="23">_xlfn.LAMBDA("")</definedName>
    <definedName name="Common_SourceData.Common_SourceData_ClimateZones_Unit" localSheetId="24">_xlfn.LAMBDA("")</definedName>
    <definedName name="Common_SourceData.Common_SourceData_ClimateZones_Unit" localSheetId="33">_xlfn.LAMBDA("")</definedName>
    <definedName name="Common_SourceData.Common_SourceData_ClimateZones_Unit" localSheetId="27">_xlfn.LAMBDA("")</definedName>
    <definedName name="Common_SourceData.Common_SourceData_ClimateZones_Unit" localSheetId="32">_xlfn.LAMBDA("")</definedName>
    <definedName name="Common_SourceData.Common_SourceData_ClimateZones_Unit" localSheetId="29">_xlfn.LAMBDA("")</definedName>
    <definedName name="Common_SourceData.Common_SourceData_ClimateZones_Unit" localSheetId="30">_xlfn.LAMBDA("")</definedName>
    <definedName name="Common_SourceData.Common_SourceData_ClimateZones_Unit" localSheetId="31">_xlfn.LAMBDA("")</definedName>
    <definedName name="Common_SourceData.Common_SourceData_ClimateZones_Unit" localSheetId="28">_xlfn.LAMBDA("")</definedName>
    <definedName name="Common_SourceData.Common_SourceData_ClimateZones_Unit" localSheetId="26">_xlfn.LAMBDA("")</definedName>
    <definedName name="Common_SourceData.Common_SourceData_ClimateZones_Unit" localSheetId="9">_xlfn.LAMBDA("")</definedName>
    <definedName name="Common_SourceData.Common_SourceData_ClimateZones_Unit" localSheetId="7">_xlfn.LAMBDA("")</definedName>
    <definedName name="Common_SourceData.Common_SourceData_ClimateZones_Unit" localSheetId="8">_xlfn.LAMBDA("")</definedName>
    <definedName name="Common_SourceData.Common_SourceData_ClimateZones_Unit" localSheetId="6">_xlfn.LAMBDA("")</definedName>
    <definedName name="Common_SourceData.Common_SourceData_ClimateZones_Unit" localSheetId="4">_xlfn.LAMBDA("")</definedName>
    <definedName name="Common_SourceData.Common_SourceData_ClimateZones_Unit" localSheetId="3">_xlfn.LAMBDA("")</definedName>
    <definedName name="Common_SourceData.Common_SourceData_ClimateZones_Unit" localSheetId="34">_xlfn.LAMBDA("")</definedName>
    <definedName name="Common_SourceData.Common_SourceData_ClimateZones_Unit">_xlfn.LAMBDA("")</definedName>
    <definedName name="Common_SourceData.Common_SourceData_ClimateZones_Variable" localSheetId="25">_xlfn.LAMBDA("")</definedName>
    <definedName name="Common_SourceData.Common_SourceData_ClimateZones_Variable" localSheetId="10">_xlfn.LAMBDA("")</definedName>
    <definedName name="Common_SourceData.Common_SourceData_ClimateZones_Variable" localSheetId="11">_xlfn.LAMBDA("")</definedName>
    <definedName name="Common_SourceData.Common_SourceData_ClimateZones_Variable" localSheetId="12">_xlfn.LAMBDA("")</definedName>
    <definedName name="Common_SourceData.Common_SourceData_ClimateZones_Variable" localSheetId="13">_xlfn.LAMBDA("")</definedName>
    <definedName name="Common_SourceData.Common_SourceData_ClimateZones_Variable" localSheetId="14">_xlfn.LAMBDA("")</definedName>
    <definedName name="Common_SourceData.Common_SourceData_ClimateZones_Variable" localSheetId="15">_xlfn.LAMBDA("")</definedName>
    <definedName name="Common_SourceData.Common_SourceData_ClimateZones_Variable" localSheetId="16">_xlfn.LAMBDA("")</definedName>
    <definedName name="Common_SourceData.Common_SourceData_ClimateZones_Variable" localSheetId="17">_xlfn.LAMBDA("")</definedName>
    <definedName name="Common_SourceData.Common_SourceData_ClimateZones_Variable" localSheetId="18">_xlfn.LAMBDA("")</definedName>
    <definedName name="Common_SourceData.Common_SourceData_ClimateZones_Variable" localSheetId="19">_xlfn.LAMBDA("")</definedName>
    <definedName name="Common_SourceData.Common_SourceData_ClimateZones_Variable" localSheetId="20">_xlfn.LAMBDA("")</definedName>
    <definedName name="Common_SourceData.Common_SourceData_ClimateZones_Variable" localSheetId="21">_xlfn.LAMBDA("")</definedName>
    <definedName name="Common_SourceData.Common_SourceData_ClimateZones_Variable" localSheetId="22">_xlfn.LAMBDA("")</definedName>
    <definedName name="Common_SourceData.Common_SourceData_ClimateZones_Variable" localSheetId="23">_xlfn.LAMBDA("")</definedName>
    <definedName name="Common_SourceData.Common_SourceData_ClimateZones_Variable" localSheetId="24">_xlfn.LAMBDA("")</definedName>
    <definedName name="Common_SourceData.Common_SourceData_ClimateZones_Variable" localSheetId="33">_xlfn.LAMBDA("")</definedName>
    <definedName name="Common_SourceData.Common_SourceData_ClimateZones_Variable" localSheetId="27">_xlfn.LAMBDA("")</definedName>
    <definedName name="Common_SourceData.Common_SourceData_ClimateZones_Variable" localSheetId="32">_xlfn.LAMBDA("")</definedName>
    <definedName name="Common_SourceData.Common_SourceData_ClimateZones_Variable" localSheetId="29">_xlfn.LAMBDA("")</definedName>
    <definedName name="Common_SourceData.Common_SourceData_ClimateZones_Variable" localSheetId="30">_xlfn.LAMBDA("")</definedName>
    <definedName name="Common_SourceData.Common_SourceData_ClimateZones_Variable" localSheetId="31">_xlfn.LAMBDA("")</definedName>
    <definedName name="Common_SourceData.Common_SourceData_ClimateZones_Variable" localSheetId="28">_xlfn.LAMBDA("")</definedName>
    <definedName name="Common_SourceData.Common_SourceData_ClimateZones_Variable" localSheetId="26">_xlfn.LAMBDA("")</definedName>
    <definedName name="Common_SourceData.Common_SourceData_ClimateZones_Variable" localSheetId="9">_xlfn.LAMBDA("")</definedName>
    <definedName name="Common_SourceData.Common_SourceData_ClimateZones_Variable" localSheetId="7">_xlfn.LAMBDA("")</definedName>
    <definedName name="Common_SourceData.Common_SourceData_ClimateZones_Variable" localSheetId="8">_xlfn.LAMBDA("")</definedName>
    <definedName name="Common_SourceData.Common_SourceData_ClimateZones_Variable" localSheetId="6">_xlfn.LAMBDA("")</definedName>
    <definedName name="Common_SourceData.Common_SourceData_ClimateZones_Variable" localSheetId="4">_xlfn.LAMBDA("")</definedName>
    <definedName name="Common_SourceData.Common_SourceData_ClimateZones_Variable" localSheetId="3">_xlfn.LAMBDA("")</definedName>
    <definedName name="Common_SourceData.Common_SourceData_ClimateZones_Variable" localSheetId="34">_xlfn.LAMBDA("")</definedName>
    <definedName name="Common_SourceData.Common_SourceData_ClimateZones_Variable">_xlfn.LAMBDA("")</definedName>
    <definedName name="Common_SourceData.Common_SourceData_ClimateZones_Variation" localSheetId="2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5">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1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2">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0">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2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9">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7">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8">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3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2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5">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1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2">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0">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2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9">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7">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8">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3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 localSheetId="25">_xlfn.LAMBDA("XXXXXXX")</definedName>
    <definedName name="Common_SourceData.Common_SourceData_ConvertGasElementalToMolecular_Source" localSheetId="10">_xlfn.LAMBDA("XXXXXXX")</definedName>
    <definedName name="Common_SourceData.Common_SourceData_ConvertGasElementalToMolecular_Source" localSheetId="11">_xlfn.LAMBDA("XXXXXXX")</definedName>
    <definedName name="Common_SourceData.Common_SourceData_ConvertGasElementalToMolecular_Source" localSheetId="12">_xlfn.LAMBDA("XXXXXXX")</definedName>
    <definedName name="Common_SourceData.Common_SourceData_ConvertGasElementalToMolecular_Source" localSheetId="13">_xlfn.LAMBDA("XXXXXXX")</definedName>
    <definedName name="Common_SourceData.Common_SourceData_ConvertGasElementalToMolecular_Source" localSheetId="14">_xlfn.LAMBDA("XXXXXXX")</definedName>
    <definedName name="Common_SourceData.Common_SourceData_ConvertGasElementalToMolecular_Source" localSheetId="15">_xlfn.LAMBDA("XXXXXXX")</definedName>
    <definedName name="Common_SourceData.Common_SourceData_ConvertGasElementalToMolecular_Source" localSheetId="16">_xlfn.LAMBDA("XXXXXXX")</definedName>
    <definedName name="Common_SourceData.Common_SourceData_ConvertGasElementalToMolecular_Source" localSheetId="17">_xlfn.LAMBDA("XXXXXXX")</definedName>
    <definedName name="Common_SourceData.Common_SourceData_ConvertGasElementalToMolecular_Source" localSheetId="18">_xlfn.LAMBDA("XXXXXXX")</definedName>
    <definedName name="Common_SourceData.Common_SourceData_ConvertGasElementalToMolecular_Source" localSheetId="19">_xlfn.LAMBDA("XXXXXXX")</definedName>
    <definedName name="Common_SourceData.Common_SourceData_ConvertGasElementalToMolecular_Source" localSheetId="20">_xlfn.LAMBDA("XXXXXXX")</definedName>
    <definedName name="Common_SourceData.Common_SourceData_ConvertGasElementalToMolecular_Source" localSheetId="21">_xlfn.LAMBDA("XXXXXXX")</definedName>
    <definedName name="Common_SourceData.Common_SourceData_ConvertGasElementalToMolecular_Source" localSheetId="22">_xlfn.LAMBDA("XXXXXXX")</definedName>
    <definedName name="Common_SourceData.Common_SourceData_ConvertGasElementalToMolecular_Source" localSheetId="23">_xlfn.LAMBDA("XXXXXXX")</definedName>
    <definedName name="Common_SourceData.Common_SourceData_ConvertGasElementalToMolecular_Source" localSheetId="24">_xlfn.LAMBDA("XXXXXXX")</definedName>
    <definedName name="Common_SourceData.Common_SourceData_ConvertGasElementalToMolecular_Source" localSheetId="33">_xlfn.LAMBDA("XXXXXXX")</definedName>
    <definedName name="Common_SourceData.Common_SourceData_ConvertGasElementalToMolecular_Source" localSheetId="27">_xlfn.LAMBDA("XXXXXXX")</definedName>
    <definedName name="Common_SourceData.Common_SourceData_ConvertGasElementalToMolecular_Source" localSheetId="32">_xlfn.LAMBDA("XXXXXXX")</definedName>
    <definedName name="Common_SourceData.Common_SourceData_ConvertGasElementalToMolecular_Source" localSheetId="29">_xlfn.LAMBDA("XXXXXXX")</definedName>
    <definedName name="Common_SourceData.Common_SourceData_ConvertGasElementalToMolecular_Source" localSheetId="30">_xlfn.LAMBDA("XXXXXXX")</definedName>
    <definedName name="Common_SourceData.Common_SourceData_ConvertGasElementalToMolecular_Source" localSheetId="31">_xlfn.LAMBDA("XXXXXXX")</definedName>
    <definedName name="Common_SourceData.Common_SourceData_ConvertGasElementalToMolecular_Source" localSheetId="28">_xlfn.LAMBDA("XXXXXXX")</definedName>
    <definedName name="Common_SourceData.Common_SourceData_ConvertGasElementalToMolecular_Source" localSheetId="26">_xlfn.LAMBDA("XXXXXXX")</definedName>
    <definedName name="Common_SourceData.Common_SourceData_ConvertGasElementalToMolecular_Source" localSheetId="9">_xlfn.LAMBDA("XXXXXXX")</definedName>
    <definedName name="Common_SourceData.Common_SourceData_ConvertGasElementalToMolecular_Source" localSheetId="7">_xlfn.LAMBDA("XXXXXXX")</definedName>
    <definedName name="Common_SourceData.Common_SourceData_ConvertGasElementalToMolecular_Source" localSheetId="8">_xlfn.LAMBDA("XXXXXXX")</definedName>
    <definedName name="Common_SourceData.Common_SourceData_ConvertGasElementalToMolecular_Source" localSheetId="6">_xlfn.LAMBDA("XXXXXXX")</definedName>
    <definedName name="Common_SourceData.Common_SourceData_ConvertGasElementalToMolecular_Source" localSheetId="4">_xlfn.LAMBDA("XXXXXXX")</definedName>
    <definedName name="Common_SourceData.Common_SourceData_ConvertGasElementalToMolecular_Source" localSheetId="3">_xlfn.LAMBDA("XXXXXXX")</definedName>
    <definedName name="Common_SourceData.Common_SourceData_ConvertGasElementalToMolecular_Source" localSheetId="34">_xlfn.LAMBDA("XXXXXXX")</definedName>
    <definedName name="Common_SourceData.Common_SourceData_ConvertGasElementalToMolecular_Source">_xlfn.LAMBDA("XXXXXXX")</definedName>
    <definedName name="Common_SourceData.Common_SourceData_ConvertGasElementalToMolecular_Title" localSheetId="25">_xlfn.LAMBDA("Factor to convert elemental mass of gas to molecular mass")</definedName>
    <definedName name="Common_SourceData.Common_SourceData_ConvertGasElementalToMolecular_Title" localSheetId="10">_xlfn.LAMBDA("Factor to convert elemental mass of gas to molecular mass")</definedName>
    <definedName name="Common_SourceData.Common_SourceData_ConvertGasElementalToMolecular_Title" localSheetId="11">_xlfn.LAMBDA("Factor to convert elemental mass of gas to molecular mass")</definedName>
    <definedName name="Common_SourceData.Common_SourceData_ConvertGasElementalToMolecular_Title" localSheetId="12">_xlfn.LAMBDA("Factor to convert elemental mass of gas to molecular mass")</definedName>
    <definedName name="Common_SourceData.Common_SourceData_ConvertGasElementalToMolecular_Title" localSheetId="13">_xlfn.LAMBDA("Factor to convert elemental mass of gas to molecular mass")</definedName>
    <definedName name="Common_SourceData.Common_SourceData_ConvertGasElementalToMolecular_Title" localSheetId="14">_xlfn.LAMBDA("Factor to convert elemental mass of gas to molecular mass")</definedName>
    <definedName name="Common_SourceData.Common_SourceData_ConvertGasElementalToMolecular_Title" localSheetId="15">_xlfn.LAMBDA("Factor to convert elemental mass of gas to molecular mass")</definedName>
    <definedName name="Common_SourceData.Common_SourceData_ConvertGasElementalToMolecular_Title" localSheetId="16">_xlfn.LAMBDA("Factor to convert elemental mass of gas to molecular mass")</definedName>
    <definedName name="Common_SourceData.Common_SourceData_ConvertGasElementalToMolecular_Title" localSheetId="17">_xlfn.LAMBDA("Factor to convert elemental mass of gas to molecular mass")</definedName>
    <definedName name="Common_SourceData.Common_SourceData_ConvertGasElementalToMolecular_Title" localSheetId="18">_xlfn.LAMBDA("Factor to convert elemental mass of gas to molecular mass")</definedName>
    <definedName name="Common_SourceData.Common_SourceData_ConvertGasElementalToMolecular_Title" localSheetId="19">_xlfn.LAMBDA("Factor to convert elemental mass of gas to molecular mass")</definedName>
    <definedName name="Common_SourceData.Common_SourceData_ConvertGasElementalToMolecular_Title" localSheetId="20">_xlfn.LAMBDA("Factor to convert elemental mass of gas to molecular mass")</definedName>
    <definedName name="Common_SourceData.Common_SourceData_ConvertGasElementalToMolecular_Title" localSheetId="21">_xlfn.LAMBDA("Factor to convert elemental mass of gas to molecular mass")</definedName>
    <definedName name="Common_SourceData.Common_SourceData_ConvertGasElementalToMolecular_Title" localSheetId="22">_xlfn.LAMBDA("Factor to convert elemental mass of gas to molecular mass")</definedName>
    <definedName name="Common_SourceData.Common_SourceData_ConvertGasElementalToMolecular_Title" localSheetId="23">_xlfn.LAMBDA("Factor to convert elemental mass of gas to molecular mass")</definedName>
    <definedName name="Common_SourceData.Common_SourceData_ConvertGasElementalToMolecular_Title" localSheetId="24">_xlfn.LAMBDA("Factor to convert elemental mass of gas to molecular mass")</definedName>
    <definedName name="Common_SourceData.Common_SourceData_ConvertGasElementalToMolecular_Title" localSheetId="33">_xlfn.LAMBDA("Factor to convert elemental mass of gas to molecular mass")</definedName>
    <definedName name="Common_SourceData.Common_SourceData_ConvertGasElementalToMolecular_Title" localSheetId="27">_xlfn.LAMBDA("Factor to convert elemental mass of gas to molecular mass")</definedName>
    <definedName name="Common_SourceData.Common_SourceData_ConvertGasElementalToMolecular_Title" localSheetId="32">_xlfn.LAMBDA("Factor to convert elemental mass of gas to molecular mass")</definedName>
    <definedName name="Common_SourceData.Common_SourceData_ConvertGasElementalToMolecular_Title" localSheetId="29">_xlfn.LAMBDA("Factor to convert elemental mass of gas to molecular mass")</definedName>
    <definedName name="Common_SourceData.Common_SourceData_ConvertGasElementalToMolecular_Title" localSheetId="30">_xlfn.LAMBDA("Factor to convert elemental mass of gas to molecular mass")</definedName>
    <definedName name="Common_SourceData.Common_SourceData_ConvertGasElementalToMolecular_Title" localSheetId="31">_xlfn.LAMBDA("Factor to convert elemental mass of gas to molecular mass")</definedName>
    <definedName name="Common_SourceData.Common_SourceData_ConvertGasElementalToMolecular_Title" localSheetId="28">_xlfn.LAMBDA("Factor to convert elemental mass of gas to molecular mass")</definedName>
    <definedName name="Common_SourceData.Common_SourceData_ConvertGasElementalToMolecular_Title" localSheetId="26">_xlfn.LAMBDA("Factor to convert elemental mass of gas to molecular mass")</definedName>
    <definedName name="Common_SourceData.Common_SourceData_ConvertGasElementalToMolecular_Title" localSheetId="9">_xlfn.LAMBDA("Factor to convert elemental mass of gas to molecular mass")</definedName>
    <definedName name="Common_SourceData.Common_SourceData_ConvertGasElementalToMolecular_Title" localSheetId="7">_xlfn.LAMBDA("Factor to convert elemental mass of gas to molecular mass")</definedName>
    <definedName name="Common_SourceData.Common_SourceData_ConvertGasElementalToMolecular_Title" localSheetId="8">_xlfn.LAMBDA("Factor to convert elemental mass of gas to molecular mass")</definedName>
    <definedName name="Common_SourceData.Common_SourceData_ConvertGasElementalToMolecular_Title" localSheetId="6">_xlfn.LAMBDA("Factor to convert elemental mass of gas to molecular mass")</definedName>
    <definedName name="Common_SourceData.Common_SourceData_ConvertGasElementalToMolecular_Title" localSheetId="4">_xlfn.LAMBDA("Factor to convert elemental mass of gas to molecular mass")</definedName>
    <definedName name="Common_SourceData.Common_SourceData_ConvertGasElementalToMolecular_Title" localSheetId="3">_xlfn.LAMBDA("Factor to convert elemental mass of gas to molecular mass")</definedName>
    <definedName name="Common_SourceData.Common_SourceData_ConvertGasElementalToMolecular_Title" localSheetId="34">_xlfn.LAMBDA("Factor to convert elemental mass of gas to molecular mass")</definedName>
    <definedName name="Common_SourceData.Common_SourceData_ConvertGasElementalToMolecular_Title">_xlfn.LAMBDA("Factor to convert elemental mass of gas to molecular mass")</definedName>
    <definedName name="Common_SourceData.Common_SourceData_ConvertGasElementalToMolecular_Unit" localSheetId="25">_xlfn.LAMBDA("factor")</definedName>
    <definedName name="Common_SourceData.Common_SourceData_ConvertGasElementalToMolecular_Unit" localSheetId="10">_xlfn.LAMBDA("factor")</definedName>
    <definedName name="Common_SourceData.Common_SourceData_ConvertGasElementalToMolecular_Unit" localSheetId="11">_xlfn.LAMBDA("factor")</definedName>
    <definedName name="Common_SourceData.Common_SourceData_ConvertGasElementalToMolecular_Unit" localSheetId="12">_xlfn.LAMBDA("factor")</definedName>
    <definedName name="Common_SourceData.Common_SourceData_ConvertGasElementalToMolecular_Unit" localSheetId="13">_xlfn.LAMBDA("factor")</definedName>
    <definedName name="Common_SourceData.Common_SourceData_ConvertGasElementalToMolecular_Unit" localSheetId="14">_xlfn.LAMBDA("factor")</definedName>
    <definedName name="Common_SourceData.Common_SourceData_ConvertGasElementalToMolecular_Unit" localSheetId="15">_xlfn.LAMBDA("factor")</definedName>
    <definedName name="Common_SourceData.Common_SourceData_ConvertGasElementalToMolecular_Unit" localSheetId="16">_xlfn.LAMBDA("factor")</definedName>
    <definedName name="Common_SourceData.Common_SourceData_ConvertGasElementalToMolecular_Unit" localSheetId="17">_xlfn.LAMBDA("factor")</definedName>
    <definedName name="Common_SourceData.Common_SourceData_ConvertGasElementalToMolecular_Unit" localSheetId="18">_xlfn.LAMBDA("factor")</definedName>
    <definedName name="Common_SourceData.Common_SourceData_ConvertGasElementalToMolecular_Unit" localSheetId="19">_xlfn.LAMBDA("factor")</definedName>
    <definedName name="Common_SourceData.Common_SourceData_ConvertGasElementalToMolecular_Unit" localSheetId="20">_xlfn.LAMBDA("factor")</definedName>
    <definedName name="Common_SourceData.Common_SourceData_ConvertGasElementalToMolecular_Unit" localSheetId="21">_xlfn.LAMBDA("factor")</definedName>
    <definedName name="Common_SourceData.Common_SourceData_ConvertGasElementalToMolecular_Unit" localSheetId="22">_xlfn.LAMBDA("factor")</definedName>
    <definedName name="Common_SourceData.Common_SourceData_ConvertGasElementalToMolecular_Unit" localSheetId="23">_xlfn.LAMBDA("factor")</definedName>
    <definedName name="Common_SourceData.Common_SourceData_ConvertGasElementalToMolecular_Unit" localSheetId="24">_xlfn.LAMBDA("factor")</definedName>
    <definedName name="Common_SourceData.Common_SourceData_ConvertGasElementalToMolecular_Unit" localSheetId="33">_xlfn.LAMBDA("factor")</definedName>
    <definedName name="Common_SourceData.Common_SourceData_ConvertGasElementalToMolecular_Unit" localSheetId="27">_xlfn.LAMBDA("factor")</definedName>
    <definedName name="Common_SourceData.Common_SourceData_ConvertGasElementalToMolecular_Unit" localSheetId="32">_xlfn.LAMBDA("factor")</definedName>
    <definedName name="Common_SourceData.Common_SourceData_ConvertGasElementalToMolecular_Unit" localSheetId="29">_xlfn.LAMBDA("factor")</definedName>
    <definedName name="Common_SourceData.Common_SourceData_ConvertGasElementalToMolecular_Unit" localSheetId="30">_xlfn.LAMBDA("factor")</definedName>
    <definedName name="Common_SourceData.Common_SourceData_ConvertGasElementalToMolecular_Unit" localSheetId="31">_xlfn.LAMBDA("factor")</definedName>
    <definedName name="Common_SourceData.Common_SourceData_ConvertGasElementalToMolecular_Unit" localSheetId="28">_xlfn.LAMBDA("factor")</definedName>
    <definedName name="Common_SourceData.Common_SourceData_ConvertGasElementalToMolecular_Unit" localSheetId="26">_xlfn.LAMBDA("factor")</definedName>
    <definedName name="Common_SourceData.Common_SourceData_ConvertGasElementalToMolecular_Unit" localSheetId="9">_xlfn.LAMBDA("factor")</definedName>
    <definedName name="Common_SourceData.Common_SourceData_ConvertGasElementalToMolecular_Unit" localSheetId="7">_xlfn.LAMBDA("factor")</definedName>
    <definedName name="Common_SourceData.Common_SourceData_ConvertGasElementalToMolecular_Unit" localSheetId="8">_xlfn.LAMBDA("factor")</definedName>
    <definedName name="Common_SourceData.Common_SourceData_ConvertGasElementalToMolecular_Unit" localSheetId="6">_xlfn.LAMBDA("factor")</definedName>
    <definedName name="Common_SourceData.Common_SourceData_ConvertGasElementalToMolecular_Unit" localSheetId="4">_xlfn.LAMBDA("factor")</definedName>
    <definedName name="Common_SourceData.Common_SourceData_ConvertGasElementalToMolecular_Unit" localSheetId="3">_xlfn.LAMBDA("factor")</definedName>
    <definedName name="Common_SourceData.Common_SourceData_ConvertGasElementalToMolecular_Unit" localSheetId="34">_xlfn.LAMBDA("factor")</definedName>
    <definedName name="Common_SourceData.Common_SourceData_ConvertGasElementalToMolecular_Unit">_xlfn.LAMBDA("factor")</definedName>
    <definedName name="Common_SourceData.Common_SourceData_ConvertGasElementalToMolecular_Variable" localSheetId="25">_xlfn.LAMBDA("Cg")</definedName>
    <definedName name="Common_SourceData.Common_SourceData_ConvertGasElementalToMolecular_Variable" localSheetId="10">_xlfn.LAMBDA("Cg")</definedName>
    <definedName name="Common_SourceData.Common_SourceData_ConvertGasElementalToMolecular_Variable" localSheetId="11">_xlfn.LAMBDA("Cg")</definedName>
    <definedName name="Common_SourceData.Common_SourceData_ConvertGasElementalToMolecular_Variable" localSheetId="12">_xlfn.LAMBDA("Cg")</definedName>
    <definedName name="Common_SourceData.Common_SourceData_ConvertGasElementalToMolecular_Variable" localSheetId="13">_xlfn.LAMBDA("Cg")</definedName>
    <definedName name="Common_SourceData.Common_SourceData_ConvertGasElementalToMolecular_Variable" localSheetId="14">_xlfn.LAMBDA("Cg")</definedName>
    <definedName name="Common_SourceData.Common_SourceData_ConvertGasElementalToMolecular_Variable" localSheetId="15">_xlfn.LAMBDA("Cg")</definedName>
    <definedName name="Common_SourceData.Common_SourceData_ConvertGasElementalToMolecular_Variable" localSheetId="16">_xlfn.LAMBDA("Cg")</definedName>
    <definedName name="Common_SourceData.Common_SourceData_ConvertGasElementalToMolecular_Variable" localSheetId="17">_xlfn.LAMBDA("Cg")</definedName>
    <definedName name="Common_SourceData.Common_SourceData_ConvertGasElementalToMolecular_Variable" localSheetId="18">_xlfn.LAMBDA("Cg")</definedName>
    <definedName name="Common_SourceData.Common_SourceData_ConvertGasElementalToMolecular_Variable" localSheetId="19">_xlfn.LAMBDA("Cg")</definedName>
    <definedName name="Common_SourceData.Common_SourceData_ConvertGasElementalToMolecular_Variable" localSheetId="20">_xlfn.LAMBDA("Cg")</definedName>
    <definedName name="Common_SourceData.Common_SourceData_ConvertGasElementalToMolecular_Variable" localSheetId="21">_xlfn.LAMBDA("Cg")</definedName>
    <definedName name="Common_SourceData.Common_SourceData_ConvertGasElementalToMolecular_Variable" localSheetId="22">_xlfn.LAMBDA("Cg")</definedName>
    <definedName name="Common_SourceData.Common_SourceData_ConvertGasElementalToMolecular_Variable" localSheetId="23">_xlfn.LAMBDA("Cg")</definedName>
    <definedName name="Common_SourceData.Common_SourceData_ConvertGasElementalToMolecular_Variable" localSheetId="24">_xlfn.LAMBDA("Cg")</definedName>
    <definedName name="Common_SourceData.Common_SourceData_ConvertGasElementalToMolecular_Variable" localSheetId="33">_xlfn.LAMBDA("Cg")</definedName>
    <definedName name="Common_SourceData.Common_SourceData_ConvertGasElementalToMolecular_Variable" localSheetId="27">_xlfn.LAMBDA("Cg")</definedName>
    <definedName name="Common_SourceData.Common_SourceData_ConvertGasElementalToMolecular_Variable" localSheetId="32">_xlfn.LAMBDA("Cg")</definedName>
    <definedName name="Common_SourceData.Common_SourceData_ConvertGasElementalToMolecular_Variable" localSheetId="29">_xlfn.LAMBDA("Cg")</definedName>
    <definedName name="Common_SourceData.Common_SourceData_ConvertGasElementalToMolecular_Variable" localSheetId="30">_xlfn.LAMBDA("Cg")</definedName>
    <definedName name="Common_SourceData.Common_SourceData_ConvertGasElementalToMolecular_Variable" localSheetId="31">_xlfn.LAMBDA("Cg")</definedName>
    <definedName name="Common_SourceData.Common_SourceData_ConvertGasElementalToMolecular_Variable" localSheetId="28">_xlfn.LAMBDA("Cg")</definedName>
    <definedName name="Common_SourceData.Common_SourceData_ConvertGasElementalToMolecular_Variable" localSheetId="26">_xlfn.LAMBDA("Cg")</definedName>
    <definedName name="Common_SourceData.Common_SourceData_ConvertGasElementalToMolecular_Variable" localSheetId="9">_xlfn.LAMBDA("Cg")</definedName>
    <definedName name="Common_SourceData.Common_SourceData_ConvertGasElementalToMolecular_Variable" localSheetId="7">_xlfn.LAMBDA("Cg")</definedName>
    <definedName name="Common_SourceData.Common_SourceData_ConvertGasElementalToMolecular_Variable" localSheetId="8">_xlfn.LAMBDA("Cg")</definedName>
    <definedName name="Common_SourceData.Common_SourceData_ConvertGasElementalToMolecular_Variable" localSheetId="6">_xlfn.LAMBDA("Cg")</definedName>
    <definedName name="Common_SourceData.Common_SourceData_ConvertGasElementalToMolecular_Variable" localSheetId="4">_xlfn.LAMBDA("Cg")</definedName>
    <definedName name="Common_SourceData.Common_SourceData_ConvertGasElementalToMolecular_Variable" localSheetId="3">_xlfn.LAMBDA("Cg")</definedName>
    <definedName name="Common_SourceData.Common_SourceData_ConvertGasElementalToMolecular_Variable" localSheetId="34">_xlfn.LAMBDA("Cg")</definedName>
    <definedName name="Common_SourceData.Common_SourceData_ConvertGasElementalToMolecular_Variable">_xlfn.LAMBDA("Cg")</definedName>
    <definedName name="Common_SourceData.Common_SourceData_ConvertN2oElementalToMolecularCg_Data" localSheetId="25">_xlfn.LAMBDA(44 / 28)</definedName>
    <definedName name="Common_SourceData.Common_SourceData_ConvertN2oElementalToMolecularCg_Data" localSheetId="10">_xlfn.LAMBDA(44 / 28)</definedName>
    <definedName name="Common_SourceData.Common_SourceData_ConvertN2oElementalToMolecularCg_Data" localSheetId="11">_xlfn.LAMBDA(44 / 28)</definedName>
    <definedName name="Common_SourceData.Common_SourceData_ConvertN2oElementalToMolecularCg_Data" localSheetId="12">_xlfn.LAMBDA(44 / 28)</definedName>
    <definedName name="Common_SourceData.Common_SourceData_ConvertN2oElementalToMolecularCg_Data" localSheetId="13">_xlfn.LAMBDA(44 / 28)</definedName>
    <definedName name="Common_SourceData.Common_SourceData_ConvertN2oElementalToMolecularCg_Data" localSheetId="14">_xlfn.LAMBDA(44 / 28)</definedName>
    <definedName name="Common_SourceData.Common_SourceData_ConvertN2oElementalToMolecularCg_Data" localSheetId="15">_xlfn.LAMBDA(44 / 28)</definedName>
    <definedName name="Common_SourceData.Common_SourceData_ConvertN2oElementalToMolecularCg_Data" localSheetId="16">_xlfn.LAMBDA(44 / 28)</definedName>
    <definedName name="Common_SourceData.Common_SourceData_ConvertN2oElementalToMolecularCg_Data" localSheetId="17">_xlfn.LAMBDA(44 / 28)</definedName>
    <definedName name="Common_SourceData.Common_SourceData_ConvertN2oElementalToMolecularCg_Data" localSheetId="18">_xlfn.LAMBDA(44 / 28)</definedName>
    <definedName name="Common_SourceData.Common_SourceData_ConvertN2oElementalToMolecularCg_Data" localSheetId="19">_xlfn.LAMBDA(44 / 28)</definedName>
    <definedName name="Common_SourceData.Common_SourceData_ConvertN2oElementalToMolecularCg_Data" localSheetId="20">_xlfn.LAMBDA(44 / 28)</definedName>
    <definedName name="Common_SourceData.Common_SourceData_ConvertN2oElementalToMolecularCg_Data" localSheetId="21">_xlfn.LAMBDA(44 / 28)</definedName>
    <definedName name="Common_SourceData.Common_SourceData_ConvertN2oElementalToMolecularCg_Data" localSheetId="22">_xlfn.LAMBDA(44 / 28)</definedName>
    <definedName name="Common_SourceData.Common_SourceData_ConvertN2oElementalToMolecularCg_Data" localSheetId="23">_xlfn.LAMBDA(44 / 28)</definedName>
    <definedName name="Common_SourceData.Common_SourceData_ConvertN2oElementalToMolecularCg_Data" localSheetId="24">_xlfn.LAMBDA(44 / 28)</definedName>
    <definedName name="Common_SourceData.Common_SourceData_ConvertN2oElementalToMolecularCg_Data" localSheetId="33">_xlfn.LAMBDA(44 / 28)</definedName>
    <definedName name="Common_SourceData.Common_SourceData_ConvertN2oElementalToMolecularCg_Data" localSheetId="27">_xlfn.LAMBDA(44 / 28)</definedName>
    <definedName name="Common_SourceData.Common_SourceData_ConvertN2oElementalToMolecularCg_Data" localSheetId="32">_xlfn.LAMBDA(44 / 28)</definedName>
    <definedName name="Common_SourceData.Common_SourceData_ConvertN2oElementalToMolecularCg_Data" localSheetId="29">_xlfn.LAMBDA(44 / 28)</definedName>
    <definedName name="Common_SourceData.Common_SourceData_ConvertN2oElementalToMolecularCg_Data" localSheetId="30">_xlfn.LAMBDA(44 / 28)</definedName>
    <definedName name="Common_SourceData.Common_SourceData_ConvertN2oElementalToMolecularCg_Data" localSheetId="31">_xlfn.LAMBDA(44 / 28)</definedName>
    <definedName name="Common_SourceData.Common_SourceData_ConvertN2oElementalToMolecularCg_Data" localSheetId="28">_xlfn.LAMBDA(44 / 28)</definedName>
    <definedName name="Common_SourceData.Common_SourceData_ConvertN2oElementalToMolecularCg_Data" localSheetId="26">_xlfn.LAMBDA(44 / 28)</definedName>
    <definedName name="Common_SourceData.Common_SourceData_ConvertN2oElementalToMolecularCg_Data" localSheetId="9">_xlfn.LAMBDA(44 / 28)</definedName>
    <definedName name="Common_SourceData.Common_SourceData_ConvertN2oElementalToMolecularCg_Data" localSheetId="7">_xlfn.LAMBDA(44 / 28)</definedName>
    <definedName name="Common_SourceData.Common_SourceData_ConvertN2oElementalToMolecularCg_Data" localSheetId="8">_xlfn.LAMBDA(44 / 28)</definedName>
    <definedName name="Common_SourceData.Common_SourceData_ConvertN2oElementalToMolecularCg_Data" localSheetId="6">_xlfn.LAMBDA(44 / 28)</definedName>
    <definedName name="Common_SourceData.Common_SourceData_ConvertN2oElementalToMolecularCg_Data" localSheetId="4">_xlfn.LAMBDA(44 / 28)</definedName>
    <definedName name="Common_SourceData.Common_SourceData_ConvertN2oElementalToMolecularCg_Data" localSheetId="3">_xlfn.LAMBDA(44 / 28)</definedName>
    <definedName name="Common_SourceData.Common_SourceData_ConvertN2oElementalToMolecularCg_Data" localSheetId="34">_xlfn.LAMBDA(44 / 28)</definedName>
    <definedName name="Common_SourceData.Common_SourceData_ConvertN2oElementalToMolecularCg_Data">_xlfn.LAMBDA(44 / 28)</definedName>
    <definedName name="Common_SourceData.Common_SourceData_ConvertN2oElementalToMolecularCg_Source" localSheetId="25">_xlfn.LAMBDA("National Inventory Report 2023 Volume 1")</definedName>
    <definedName name="Common_SourceData.Common_SourceData_ConvertN2oElementalToMolecularCg_Source" localSheetId="10">_xlfn.LAMBDA("National Inventory Report 2023 Volume 1")</definedName>
    <definedName name="Common_SourceData.Common_SourceData_ConvertN2oElementalToMolecularCg_Source" localSheetId="11">_xlfn.LAMBDA("National Inventory Report 2023 Volume 1")</definedName>
    <definedName name="Common_SourceData.Common_SourceData_ConvertN2oElementalToMolecularCg_Source" localSheetId="12">_xlfn.LAMBDA("National Inventory Report 2023 Volume 1")</definedName>
    <definedName name="Common_SourceData.Common_SourceData_ConvertN2oElementalToMolecularCg_Source" localSheetId="13">_xlfn.LAMBDA("National Inventory Report 2023 Volume 1")</definedName>
    <definedName name="Common_SourceData.Common_SourceData_ConvertN2oElementalToMolecularCg_Source" localSheetId="14">_xlfn.LAMBDA("National Inventory Report 2023 Volume 1")</definedName>
    <definedName name="Common_SourceData.Common_SourceData_ConvertN2oElementalToMolecularCg_Source" localSheetId="15">_xlfn.LAMBDA("National Inventory Report 2023 Volume 1")</definedName>
    <definedName name="Common_SourceData.Common_SourceData_ConvertN2oElementalToMolecularCg_Source" localSheetId="16">_xlfn.LAMBDA("National Inventory Report 2023 Volume 1")</definedName>
    <definedName name="Common_SourceData.Common_SourceData_ConvertN2oElementalToMolecularCg_Source" localSheetId="17">_xlfn.LAMBDA("National Inventory Report 2023 Volume 1")</definedName>
    <definedName name="Common_SourceData.Common_SourceData_ConvertN2oElementalToMolecularCg_Source" localSheetId="18">_xlfn.LAMBDA("National Inventory Report 2023 Volume 1")</definedName>
    <definedName name="Common_SourceData.Common_SourceData_ConvertN2oElementalToMolecularCg_Source" localSheetId="19">_xlfn.LAMBDA("National Inventory Report 2023 Volume 1")</definedName>
    <definedName name="Common_SourceData.Common_SourceData_ConvertN2oElementalToMolecularCg_Source" localSheetId="20">_xlfn.LAMBDA("National Inventory Report 2023 Volume 1")</definedName>
    <definedName name="Common_SourceData.Common_SourceData_ConvertN2oElementalToMolecularCg_Source" localSheetId="21">_xlfn.LAMBDA("National Inventory Report 2023 Volume 1")</definedName>
    <definedName name="Common_SourceData.Common_SourceData_ConvertN2oElementalToMolecularCg_Source" localSheetId="22">_xlfn.LAMBDA("National Inventory Report 2023 Volume 1")</definedName>
    <definedName name="Common_SourceData.Common_SourceData_ConvertN2oElementalToMolecularCg_Source" localSheetId="23">_xlfn.LAMBDA("National Inventory Report 2023 Volume 1")</definedName>
    <definedName name="Common_SourceData.Common_SourceData_ConvertN2oElementalToMolecularCg_Source" localSheetId="24">_xlfn.LAMBDA("National Inventory Report 2023 Volume 1")</definedName>
    <definedName name="Common_SourceData.Common_SourceData_ConvertN2oElementalToMolecularCg_Source" localSheetId="33">_xlfn.LAMBDA("National Inventory Report 2023 Volume 1")</definedName>
    <definedName name="Common_SourceData.Common_SourceData_ConvertN2oElementalToMolecularCg_Source" localSheetId="27">_xlfn.LAMBDA("National Inventory Report 2023 Volume 1")</definedName>
    <definedName name="Common_SourceData.Common_SourceData_ConvertN2oElementalToMolecularCg_Source" localSheetId="32">_xlfn.LAMBDA("National Inventory Report 2023 Volume 1")</definedName>
    <definedName name="Common_SourceData.Common_SourceData_ConvertN2oElementalToMolecularCg_Source" localSheetId="29">_xlfn.LAMBDA("National Inventory Report 2023 Volume 1")</definedName>
    <definedName name="Common_SourceData.Common_SourceData_ConvertN2oElementalToMolecularCg_Source" localSheetId="30">_xlfn.LAMBDA("National Inventory Report 2023 Volume 1")</definedName>
    <definedName name="Common_SourceData.Common_SourceData_ConvertN2oElementalToMolecularCg_Source" localSheetId="31">_xlfn.LAMBDA("National Inventory Report 2023 Volume 1")</definedName>
    <definedName name="Common_SourceData.Common_SourceData_ConvertN2oElementalToMolecularCg_Source" localSheetId="28">_xlfn.LAMBDA("National Inventory Report 2023 Volume 1")</definedName>
    <definedName name="Common_SourceData.Common_SourceData_ConvertN2oElementalToMolecularCg_Source" localSheetId="26">_xlfn.LAMBDA("National Inventory Report 2023 Volume 1")</definedName>
    <definedName name="Common_SourceData.Common_SourceData_ConvertN2oElementalToMolecularCg_Source" localSheetId="9">_xlfn.LAMBDA("National Inventory Report 2023 Volume 1")</definedName>
    <definedName name="Common_SourceData.Common_SourceData_ConvertN2oElementalToMolecularCg_Source" localSheetId="7">_xlfn.LAMBDA("National Inventory Report 2023 Volume 1")</definedName>
    <definedName name="Common_SourceData.Common_SourceData_ConvertN2oElementalToMolecularCg_Source" localSheetId="8">_xlfn.LAMBDA("National Inventory Report 2023 Volume 1")</definedName>
    <definedName name="Common_SourceData.Common_SourceData_ConvertN2oElementalToMolecularCg_Source" localSheetId="6">_xlfn.LAMBDA("National Inventory Report 2023 Volume 1")</definedName>
    <definedName name="Common_SourceData.Common_SourceData_ConvertN2oElementalToMolecularCg_Source" localSheetId="4">_xlfn.LAMBDA("National Inventory Report 2023 Volume 1")</definedName>
    <definedName name="Common_SourceData.Common_SourceData_ConvertN2oElementalToMolecularCg_Source" localSheetId="3">_xlfn.LAMBDA("National Inventory Report 2023 Volume 1")</definedName>
    <definedName name="Common_SourceData.Common_SourceData_ConvertN2oElementalToMolecularCg_Source" localSheetId="34">_xlfn.LAMBDA("National Inventory Report 2023 Volume 1")</definedName>
    <definedName name="Common_SourceData.Common_SourceData_ConvertN2oElementalToMolecularCg_Source">_xlfn.LAMBDA("National Inventory Report 2023 Volume 1")</definedName>
    <definedName name="Common_SourceData.Common_SourceData_ConvertN2oElementalToMolecularCg_Title" localSheetId="25">_xlfn.LAMBDA("Factor to convert elemental mass of N2O to molecular mass")</definedName>
    <definedName name="Common_SourceData.Common_SourceData_ConvertN2oElementalToMolecularCg_Title" localSheetId="10">_xlfn.LAMBDA("Factor to convert elemental mass of N2O to molecular mass")</definedName>
    <definedName name="Common_SourceData.Common_SourceData_ConvertN2oElementalToMolecularCg_Title" localSheetId="11">_xlfn.LAMBDA("Factor to convert elemental mass of N2O to molecular mass")</definedName>
    <definedName name="Common_SourceData.Common_SourceData_ConvertN2oElementalToMolecularCg_Title" localSheetId="12">_xlfn.LAMBDA("Factor to convert elemental mass of N2O to molecular mass")</definedName>
    <definedName name="Common_SourceData.Common_SourceData_ConvertN2oElementalToMolecularCg_Title" localSheetId="13">_xlfn.LAMBDA("Factor to convert elemental mass of N2O to molecular mass")</definedName>
    <definedName name="Common_SourceData.Common_SourceData_ConvertN2oElementalToMolecularCg_Title" localSheetId="14">_xlfn.LAMBDA("Factor to convert elemental mass of N2O to molecular mass")</definedName>
    <definedName name="Common_SourceData.Common_SourceData_ConvertN2oElementalToMolecularCg_Title" localSheetId="15">_xlfn.LAMBDA("Factor to convert elemental mass of N2O to molecular mass")</definedName>
    <definedName name="Common_SourceData.Common_SourceData_ConvertN2oElementalToMolecularCg_Title" localSheetId="16">_xlfn.LAMBDA("Factor to convert elemental mass of N2O to molecular mass")</definedName>
    <definedName name="Common_SourceData.Common_SourceData_ConvertN2oElementalToMolecularCg_Title" localSheetId="17">_xlfn.LAMBDA("Factor to convert elemental mass of N2O to molecular mass")</definedName>
    <definedName name="Common_SourceData.Common_SourceData_ConvertN2oElementalToMolecularCg_Title" localSheetId="18">_xlfn.LAMBDA("Factor to convert elemental mass of N2O to molecular mass")</definedName>
    <definedName name="Common_SourceData.Common_SourceData_ConvertN2oElementalToMolecularCg_Title" localSheetId="19">_xlfn.LAMBDA("Factor to convert elemental mass of N2O to molecular mass")</definedName>
    <definedName name="Common_SourceData.Common_SourceData_ConvertN2oElementalToMolecularCg_Title" localSheetId="20">_xlfn.LAMBDA("Factor to convert elemental mass of N2O to molecular mass")</definedName>
    <definedName name="Common_SourceData.Common_SourceData_ConvertN2oElementalToMolecularCg_Title" localSheetId="21">_xlfn.LAMBDA("Factor to convert elemental mass of N2O to molecular mass")</definedName>
    <definedName name="Common_SourceData.Common_SourceData_ConvertN2oElementalToMolecularCg_Title" localSheetId="22">_xlfn.LAMBDA("Factor to convert elemental mass of N2O to molecular mass")</definedName>
    <definedName name="Common_SourceData.Common_SourceData_ConvertN2oElementalToMolecularCg_Title" localSheetId="23">_xlfn.LAMBDA("Factor to convert elemental mass of N2O to molecular mass")</definedName>
    <definedName name="Common_SourceData.Common_SourceData_ConvertN2oElementalToMolecularCg_Title" localSheetId="24">_xlfn.LAMBDA("Factor to convert elemental mass of N2O to molecular mass")</definedName>
    <definedName name="Common_SourceData.Common_SourceData_ConvertN2oElementalToMolecularCg_Title" localSheetId="33">_xlfn.LAMBDA("Factor to convert elemental mass of N2O to molecular mass")</definedName>
    <definedName name="Common_SourceData.Common_SourceData_ConvertN2oElementalToMolecularCg_Title" localSheetId="27">_xlfn.LAMBDA("Factor to convert elemental mass of N2O to molecular mass")</definedName>
    <definedName name="Common_SourceData.Common_SourceData_ConvertN2oElementalToMolecularCg_Title" localSheetId="32">_xlfn.LAMBDA("Factor to convert elemental mass of N2O to molecular mass")</definedName>
    <definedName name="Common_SourceData.Common_SourceData_ConvertN2oElementalToMolecularCg_Title" localSheetId="29">_xlfn.LAMBDA("Factor to convert elemental mass of N2O to molecular mass")</definedName>
    <definedName name="Common_SourceData.Common_SourceData_ConvertN2oElementalToMolecularCg_Title" localSheetId="30">_xlfn.LAMBDA("Factor to convert elemental mass of N2O to molecular mass")</definedName>
    <definedName name="Common_SourceData.Common_SourceData_ConvertN2oElementalToMolecularCg_Title" localSheetId="31">_xlfn.LAMBDA("Factor to convert elemental mass of N2O to molecular mass")</definedName>
    <definedName name="Common_SourceData.Common_SourceData_ConvertN2oElementalToMolecularCg_Title" localSheetId="28">_xlfn.LAMBDA("Factor to convert elemental mass of N2O to molecular mass")</definedName>
    <definedName name="Common_SourceData.Common_SourceData_ConvertN2oElementalToMolecularCg_Title" localSheetId="26">_xlfn.LAMBDA("Factor to convert elemental mass of N2O to molecular mass")</definedName>
    <definedName name="Common_SourceData.Common_SourceData_ConvertN2oElementalToMolecularCg_Title" localSheetId="9">_xlfn.LAMBDA("Factor to convert elemental mass of N2O to molecular mass")</definedName>
    <definedName name="Common_SourceData.Common_SourceData_ConvertN2oElementalToMolecularCg_Title" localSheetId="7">_xlfn.LAMBDA("Factor to convert elemental mass of N2O to molecular mass")</definedName>
    <definedName name="Common_SourceData.Common_SourceData_ConvertN2oElementalToMolecularCg_Title" localSheetId="8">_xlfn.LAMBDA("Factor to convert elemental mass of N2O to molecular mass")</definedName>
    <definedName name="Common_SourceData.Common_SourceData_ConvertN2oElementalToMolecularCg_Title" localSheetId="6">_xlfn.LAMBDA("Factor to convert elemental mass of N2O to molecular mass")</definedName>
    <definedName name="Common_SourceData.Common_SourceData_ConvertN2oElementalToMolecularCg_Title" localSheetId="4">_xlfn.LAMBDA("Factor to convert elemental mass of N2O to molecular mass")</definedName>
    <definedName name="Common_SourceData.Common_SourceData_ConvertN2oElementalToMolecularCg_Title" localSheetId="3">_xlfn.LAMBDA("Factor to convert elemental mass of N2O to molecular mass")</definedName>
    <definedName name="Common_SourceData.Common_SourceData_ConvertN2oElementalToMolecularCg_Title" localSheetId="34">_xlfn.LAMBDA("Factor to convert elemental mass of N2O to molecular mass")</definedName>
    <definedName name="Common_SourceData.Common_SourceData_ConvertN2oElementalToMolecularCg_Title">_xlfn.LAMBDA("Factor to convert elemental mass of N2O to molecular mass")</definedName>
    <definedName name="Common_SourceData.Common_SourceData_ConvertN2oElementalToMolecularCg_Unit" localSheetId="25">_xlfn.LAMBDA("factor")</definedName>
    <definedName name="Common_SourceData.Common_SourceData_ConvertN2oElementalToMolecularCg_Unit" localSheetId="10">_xlfn.LAMBDA("factor")</definedName>
    <definedName name="Common_SourceData.Common_SourceData_ConvertN2oElementalToMolecularCg_Unit" localSheetId="11">_xlfn.LAMBDA("factor")</definedName>
    <definedName name="Common_SourceData.Common_SourceData_ConvertN2oElementalToMolecularCg_Unit" localSheetId="12">_xlfn.LAMBDA("factor")</definedName>
    <definedName name="Common_SourceData.Common_SourceData_ConvertN2oElementalToMolecularCg_Unit" localSheetId="13">_xlfn.LAMBDA("factor")</definedName>
    <definedName name="Common_SourceData.Common_SourceData_ConvertN2oElementalToMolecularCg_Unit" localSheetId="14">_xlfn.LAMBDA("factor")</definedName>
    <definedName name="Common_SourceData.Common_SourceData_ConvertN2oElementalToMolecularCg_Unit" localSheetId="15">_xlfn.LAMBDA("factor")</definedName>
    <definedName name="Common_SourceData.Common_SourceData_ConvertN2oElementalToMolecularCg_Unit" localSheetId="16">_xlfn.LAMBDA("factor")</definedName>
    <definedName name="Common_SourceData.Common_SourceData_ConvertN2oElementalToMolecularCg_Unit" localSheetId="17">_xlfn.LAMBDA("factor")</definedName>
    <definedName name="Common_SourceData.Common_SourceData_ConvertN2oElementalToMolecularCg_Unit" localSheetId="18">_xlfn.LAMBDA("factor")</definedName>
    <definedName name="Common_SourceData.Common_SourceData_ConvertN2oElementalToMolecularCg_Unit" localSheetId="19">_xlfn.LAMBDA("factor")</definedName>
    <definedName name="Common_SourceData.Common_SourceData_ConvertN2oElementalToMolecularCg_Unit" localSheetId="20">_xlfn.LAMBDA("factor")</definedName>
    <definedName name="Common_SourceData.Common_SourceData_ConvertN2oElementalToMolecularCg_Unit" localSheetId="21">_xlfn.LAMBDA("factor")</definedName>
    <definedName name="Common_SourceData.Common_SourceData_ConvertN2oElementalToMolecularCg_Unit" localSheetId="22">_xlfn.LAMBDA("factor")</definedName>
    <definedName name="Common_SourceData.Common_SourceData_ConvertN2oElementalToMolecularCg_Unit" localSheetId="23">_xlfn.LAMBDA("factor")</definedName>
    <definedName name="Common_SourceData.Common_SourceData_ConvertN2oElementalToMolecularCg_Unit" localSheetId="24">_xlfn.LAMBDA("factor")</definedName>
    <definedName name="Common_SourceData.Common_SourceData_ConvertN2oElementalToMolecularCg_Unit" localSheetId="33">_xlfn.LAMBDA("factor")</definedName>
    <definedName name="Common_SourceData.Common_SourceData_ConvertN2oElementalToMolecularCg_Unit" localSheetId="27">_xlfn.LAMBDA("factor")</definedName>
    <definedName name="Common_SourceData.Common_SourceData_ConvertN2oElementalToMolecularCg_Unit" localSheetId="32">_xlfn.LAMBDA("factor")</definedName>
    <definedName name="Common_SourceData.Common_SourceData_ConvertN2oElementalToMolecularCg_Unit" localSheetId="29">_xlfn.LAMBDA("factor")</definedName>
    <definedName name="Common_SourceData.Common_SourceData_ConvertN2oElementalToMolecularCg_Unit" localSheetId="30">_xlfn.LAMBDA("factor")</definedName>
    <definedName name="Common_SourceData.Common_SourceData_ConvertN2oElementalToMolecularCg_Unit" localSheetId="31">_xlfn.LAMBDA("factor")</definedName>
    <definedName name="Common_SourceData.Common_SourceData_ConvertN2oElementalToMolecularCg_Unit" localSheetId="28">_xlfn.LAMBDA("factor")</definedName>
    <definedName name="Common_SourceData.Common_SourceData_ConvertN2oElementalToMolecularCg_Unit" localSheetId="26">_xlfn.LAMBDA("factor")</definedName>
    <definedName name="Common_SourceData.Common_SourceData_ConvertN2oElementalToMolecularCg_Unit" localSheetId="9">_xlfn.LAMBDA("factor")</definedName>
    <definedName name="Common_SourceData.Common_SourceData_ConvertN2oElementalToMolecularCg_Unit" localSheetId="7">_xlfn.LAMBDA("factor")</definedName>
    <definedName name="Common_SourceData.Common_SourceData_ConvertN2oElementalToMolecularCg_Unit" localSheetId="8">_xlfn.LAMBDA("factor")</definedName>
    <definedName name="Common_SourceData.Common_SourceData_ConvertN2oElementalToMolecularCg_Unit" localSheetId="6">_xlfn.LAMBDA("factor")</definedName>
    <definedName name="Common_SourceData.Common_SourceData_ConvertN2oElementalToMolecularCg_Unit" localSheetId="4">_xlfn.LAMBDA("factor")</definedName>
    <definedName name="Common_SourceData.Common_SourceData_ConvertN2oElementalToMolecularCg_Unit" localSheetId="3">_xlfn.LAMBDA("factor")</definedName>
    <definedName name="Common_SourceData.Common_SourceData_ConvertN2oElementalToMolecularCg_Unit" localSheetId="34">_xlfn.LAMBDA("factor")</definedName>
    <definedName name="Common_SourceData.Common_SourceData_ConvertN2oElementalToMolecularCg_Unit">_xlfn.LAMBDA("factor")</definedName>
    <definedName name="Common_SourceData.Common_SourceData_ConvertN2oElementalToMolecularCg_Variable" localSheetId="25">_xlfn.LAMBDA("CgN2O")</definedName>
    <definedName name="Common_SourceData.Common_SourceData_ConvertN2oElementalToMolecularCg_Variable" localSheetId="10">_xlfn.LAMBDA("CgN2O")</definedName>
    <definedName name="Common_SourceData.Common_SourceData_ConvertN2oElementalToMolecularCg_Variable" localSheetId="11">_xlfn.LAMBDA("CgN2O")</definedName>
    <definedName name="Common_SourceData.Common_SourceData_ConvertN2oElementalToMolecularCg_Variable" localSheetId="12">_xlfn.LAMBDA("CgN2O")</definedName>
    <definedName name="Common_SourceData.Common_SourceData_ConvertN2oElementalToMolecularCg_Variable" localSheetId="13">_xlfn.LAMBDA("CgN2O")</definedName>
    <definedName name="Common_SourceData.Common_SourceData_ConvertN2oElementalToMolecularCg_Variable" localSheetId="14">_xlfn.LAMBDA("CgN2O")</definedName>
    <definedName name="Common_SourceData.Common_SourceData_ConvertN2oElementalToMolecularCg_Variable" localSheetId="15">_xlfn.LAMBDA("CgN2O")</definedName>
    <definedName name="Common_SourceData.Common_SourceData_ConvertN2oElementalToMolecularCg_Variable" localSheetId="16">_xlfn.LAMBDA("CgN2O")</definedName>
    <definedName name="Common_SourceData.Common_SourceData_ConvertN2oElementalToMolecularCg_Variable" localSheetId="17">_xlfn.LAMBDA("CgN2O")</definedName>
    <definedName name="Common_SourceData.Common_SourceData_ConvertN2oElementalToMolecularCg_Variable" localSheetId="18">_xlfn.LAMBDA("CgN2O")</definedName>
    <definedName name="Common_SourceData.Common_SourceData_ConvertN2oElementalToMolecularCg_Variable" localSheetId="19">_xlfn.LAMBDA("CgN2O")</definedName>
    <definedName name="Common_SourceData.Common_SourceData_ConvertN2oElementalToMolecularCg_Variable" localSheetId="20">_xlfn.LAMBDA("CgN2O")</definedName>
    <definedName name="Common_SourceData.Common_SourceData_ConvertN2oElementalToMolecularCg_Variable" localSheetId="21">_xlfn.LAMBDA("CgN2O")</definedName>
    <definedName name="Common_SourceData.Common_SourceData_ConvertN2oElementalToMolecularCg_Variable" localSheetId="22">_xlfn.LAMBDA("CgN2O")</definedName>
    <definedName name="Common_SourceData.Common_SourceData_ConvertN2oElementalToMolecularCg_Variable" localSheetId="23">_xlfn.LAMBDA("CgN2O")</definedName>
    <definedName name="Common_SourceData.Common_SourceData_ConvertN2oElementalToMolecularCg_Variable" localSheetId="24">_xlfn.LAMBDA("CgN2O")</definedName>
    <definedName name="Common_SourceData.Common_SourceData_ConvertN2oElementalToMolecularCg_Variable" localSheetId="33">_xlfn.LAMBDA("CgN2O")</definedName>
    <definedName name="Common_SourceData.Common_SourceData_ConvertN2oElementalToMolecularCg_Variable" localSheetId="27">_xlfn.LAMBDA("CgN2O")</definedName>
    <definedName name="Common_SourceData.Common_SourceData_ConvertN2oElementalToMolecularCg_Variable" localSheetId="32">_xlfn.LAMBDA("CgN2O")</definedName>
    <definedName name="Common_SourceData.Common_SourceData_ConvertN2oElementalToMolecularCg_Variable" localSheetId="29">_xlfn.LAMBDA("CgN2O")</definedName>
    <definedName name="Common_SourceData.Common_SourceData_ConvertN2oElementalToMolecularCg_Variable" localSheetId="30">_xlfn.LAMBDA("CgN2O")</definedName>
    <definedName name="Common_SourceData.Common_SourceData_ConvertN2oElementalToMolecularCg_Variable" localSheetId="31">_xlfn.LAMBDA("CgN2O")</definedName>
    <definedName name="Common_SourceData.Common_SourceData_ConvertN2oElementalToMolecularCg_Variable" localSheetId="28">_xlfn.LAMBDA("CgN2O")</definedName>
    <definedName name="Common_SourceData.Common_SourceData_ConvertN2oElementalToMolecularCg_Variable" localSheetId="26">_xlfn.LAMBDA("CgN2O")</definedName>
    <definedName name="Common_SourceData.Common_SourceData_ConvertN2oElementalToMolecularCg_Variable" localSheetId="9">_xlfn.LAMBDA("CgN2O")</definedName>
    <definedName name="Common_SourceData.Common_SourceData_ConvertN2oElementalToMolecularCg_Variable" localSheetId="7">_xlfn.LAMBDA("CgN2O")</definedName>
    <definedName name="Common_SourceData.Common_SourceData_ConvertN2oElementalToMolecularCg_Variable" localSheetId="8">_xlfn.LAMBDA("CgN2O")</definedName>
    <definedName name="Common_SourceData.Common_SourceData_ConvertN2oElementalToMolecularCg_Variable" localSheetId="6">_xlfn.LAMBDA("CgN2O")</definedName>
    <definedName name="Common_SourceData.Common_SourceData_ConvertN2oElementalToMolecularCg_Variable" localSheetId="4">_xlfn.LAMBDA("CgN2O")</definedName>
    <definedName name="Common_SourceData.Common_SourceData_ConvertN2oElementalToMolecularCg_Variable" localSheetId="3">_xlfn.LAMBDA("CgN2O")</definedName>
    <definedName name="Common_SourceData.Common_SourceData_ConvertN2oElementalToMolecularCg_Variable" localSheetId="34">_xlfn.LAMBDA("CgN2O")</definedName>
    <definedName name="Common_SourceData.Common_SourceData_ConvertN2oElementalToMolecularCg_Variable">_xlfn.LAMBDA("CgN2O")</definedName>
    <definedName name="Common_SourceData.Common_SourceData_DataScores_Scope3_Data" localSheetId="2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5">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1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2">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0">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2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9">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7">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8">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3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 localSheetId="25">_xlfn.LAMBDA("VEERG 2026: XXXXXXXX")</definedName>
    <definedName name="Common_SourceData.Common_SourceData_DataScores_Scope3_Source" localSheetId="10">_xlfn.LAMBDA("VEERG 2026: XXXXXXXX")</definedName>
    <definedName name="Common_SourceData.Common_SourceData_DataScores_Scope3_Source" localSheetId="11">_xlfn.LAMBDA("VEERG 2026: XXXXXXXX")</definedName>
    <definedName name="Common_SourceData.Common_SourceData_DataScores_Scope3_Source" localSheetId="12">_xlfn.LAMBDA("VEERG 2026: XXXXXXXX")</definedName>
    <definedName name="Common_SourceData.Common_SourceData_DataScores_Scope3_Source" localSheetId="13">_xlfn.LAMBDA("VEERG 2026: XXXXXXXX")</definedName>
    <definedName name="Common_SourceData.Common_SourceData_DataScores_Scope3_Source" localSheetId="14">_xlfn.LAMBDA("VEERG 2026: XXXXXXXX")</definedName>
    <definedName name="Common_SourceData.Common_SourceData_DataScores_Scope3_Source" localSheetId="15">_xlfn.LAMBDA("VEERG 2026: XXXXXXXX")</definedName>
    <definedName name="Common_SourceData.Common_SourceData_DataScores_Scope3_Source" localSheetId="16">_xlfn.LAMBDA("VEERG 2026: XXXXXXXX")</definedName>
    <definedName name="Common_SourceData.Common_SourceData_DataScores_Scope3_Source" localSheetId="17">_xlfn.LAMBDA("VEERG 2026: XXXXXXXX")</definedName>
    <definedName name="Common_SourceData.Common_SourceData_DataScores_Scope3_Source" localSheetId="18">_xlfn.LAMBDA("VEERG 2026: XXXXXXXX")</definedName>
    <definedName name="Common_SourceData.Common_SourceData_DataScores_Scope3_Source" localSheetId="19">_xlfn.LAMBDA("VEERG 2026: XXXXXXXX")</definedName>
    <definedName name="Common_SourceData.Common_SourceData_DataScores_Scope3_Source" localSheetId="20">_xlfn.LAMBDA("VEERG 2026: XXXXXXXX")</definedName>
    <definedName name="Common_SourceData.Common_SourceData_DataScores_Scope3_Source" localSheetId="21">_xlfn.LAMBDA("VEERG 2026: XXXXXXXX")</definedName>
    <definedName name="Common_SourceData.Common_SourceData_DataScores_Scope3_Source" localSheetId="22">_xlfn.LAMBDA("VEERG 2026: XXXXXXXX")</definedName>
    <definedName name="Common_SourceData.Common_SourceData_DataScores_Scope3_Source" localSheetId="23">_xlfn.LAMBDA("VEERG 2026: XXXXXXXX")</definedName>
    <definedName name="Common_SourceData.Common_SourceData_DataScores_Scope3_Source" localSheetId="24">_xlfn.LAMBDA("VEERG 2026: XXXXXXXX")</definedName>
    <definedName name="Common_SourceData.Common_SourceData_DataScores_Scope3_Source" localSheetId="33">_xlfn.LAMBDA("VEERG 2026: XXXXXXXX")</definedName>
    <definedName name="Common_SourceData.Common_SourceData_DataScores_Scope3_Source" localSheetId="27">_xlfn.LAMBDA("VEERG 2026: XXXXXXXX")</definedName>
    <definedName name="Common_SourceData.Common_SourceData_DataScores_Scope3_Source" localSheetId="32">_xlfn.LAMBDA("VEERG 2026: XXXXXXXX")</definedName>
    <definedName name="Common_SourceData.Common_SourceData_DataScores_Scope3_Source" localSheetId="29">_xlfn.LAMBDA("VEERG 2026: XXXXXXXX")</definedName>
    <definedName name="Common_SourceData.Common_SourceData_DataScores_Scope3_Source" localSheetId="30">_xlfn.LAMBDA("VEERG 2026: XXXXXXXX")</definedName>
    <definedName name="Common_SourceData.Common_SourceData_DataScores_Scope3_Source" localSheetId="31">_xlfn.LAMBDA("VEERG 2026: XXXXXXXX")</definedName>
    <definedName name="Common_SourceData.Common_SourceData_DataScores_Scope3_Source" localSheetId="28">_xlfn.LAMBDA("VEERG 2026: XXXXXXXX")</definedName>
    <definedName name="Common_SourceData.Common_SourceData_DataScores_Scope3_Source" localSheetId="26">_xlfn.LAMBDA("VEERG 2026: XXXXXXXX")</definedName>
    <definedName name="Common_SourceData.Common_SourceData_DataScores_Scope3_Source" localSheetId="9">_xlfn.LAMBDA("VEERG 2026: XXXXXXXX")</definedName>
    <definedName name="Common_SourceData.Common_SourceData_DataScores_Scope3_Source" localSheetId="7">_xlfn.LAMBDA("VEERG 2026: XXXXXXXX")</definedName>
    <definedName name="Common_SourceData.Common_SourceData_DataScores_Scope3_Source" localSheetId="8">_xlfn.LAMBDA("VEERG 2026: XXXXXXXX")</definedName>
    <definedName name="Common_SourceData.Common_SourceData_DataScores_Scope3_Source" localSheetId="6">_xlfn.LAMBDA("VEERG 2026: XXXXXXXX")</definedName>
    <definedName name="Common_SourceData.Common_SourceData_DataScores_Scope3_Source" localSheetId="4">_xlfn.LAMBDA("VEERG 2026: XXXXXXXX")</definedName>
    <definedName name="Common_SourceData.Common_SourceData_DataScores_Scope3_Source" localSheetId="3">_xlfn.LAMBDA("VEERG 2026: XXXXXXXX")</definedName>
    <definedName name="Common_SourceData.Common_SourceData_DataScores_Scope3_Source" localSheetId="34">_xlfn.LAMBDA("VEERG 2026: XXXXXXXX")</definedName>
    <definedName name="Common_SourceData.Common_SourceData_DataScores_Scope3_Source">_xlfn.LAMBDA("VEERG 2026: XXXXXXXX")</definedName>
    <definedName name="Common_SourceData.Common_SourceData_DataScores_Scope3_Title" localSheetId="25">_xlfn.LAMBDA("Australian data scores for scope 3")</definedName>
    <definedName name="Common_SourceData.Common_SourceData_DataScores_Scope3_Title" localSheetId="10">_xlfn.LAMBDA("Australian data scores for scope 3")</definedName>
    <definedName name="Common_SourceData.Common_SourceData_DataScores_Scope3_Title" localSheetId="11">_xlfn.LAMBDA("Australian data scores for scope 3")</definedName>
    <definedName name="Common_SourceData.Common_SourceData_DataScores_Scope3_Title" localSheetId="12">_xlfn.LAMBDA("Australian data scores for scope 3")</definedName>
    <definedName name="Common_SourceData.Common_SourceData_DataScores_Scope3_Title" localSheetId="13">_xlfn.LAMBDA("Australian data scores for scope 3")</definedName>
    <definedName name="Common_SourceData.Common_SourceData_DataScores_Scope3_Title" localSheetId="14">_xlfn.LAMBDA("Australian data scores for scope 3")</definedName>
    <definedName name="Common_SourceData.Common_SourceData_DataScores_Scope3_Title" localSheetId="15">_xlfn.LAMBDA("Australian data scores for scope 3")</definedName>
    <definedName name="Common_SourceData.Common_SourceData_DataScores_Scope3_Title" localSheetId="16">_xlfn.LAMBDA("Australian data scores for scope 3")</definedName>
    <definedName name="Common_SourceData.Common_SourceData_DataScores_Scope3_Title" localSheetId="17">_xlfn.LAMBDA("Australian data scores for scope 3")</definedName>
    <definedName name="Common_SourceData.Common_SourceData_DataScores_Scope3_Title" localSheetId="18">_xlfn.LAMBDA("Australian data scores for scope 3")</definedName>
    <definedName name="Common_SourceData.Common_SourceData_DataScores_Scope3_Title" localSheetId="19">_xlfn.LAMBDA("Australian data scores for scope 3")</definedName>
    <definedName name="Common_SourceData.Common_SourceData_DataScores_Scope3_Title" localSheetId="20">_xlfn.LAMBDA("Australian data scores for scope 3")</definedName>
    <definedName name="Common_SourceData.Common_SourceData_DataScores_Scope3_Title" localSheetId="21">_xlfn.LAMBDA("Australian data scores for scope 3")</definedName>
    <definedName name="Common_SourceData.Common_SourceData_DataScores_Scope3_Title" localSheetId="22">_xlfn.LAMBDA("Australian data scores for scope 3")</definedName>
    <definedName name="Common_SourceData.Common_SourceData_DataScores_Scope3_Title" localSheetId="23">_xlfn.LAMBDA("Australian data scores for scope 3")</definedName>
    <definedName name="Common_SourceData.Common_SourceData_DataScores_Scope3_Title" localSheetId="24">_xlfn.LAMBDA("Australian data scores for scope 3")</definedName>
    <definedName name="Common_SourceData.Common_SourceData_DataScores_Scope3_Title" localSheetId="33">_xlfn.LAMBDA("Australian data scores for scope 3")</definedName>
    <definedName name="Common_SourceData.Common_SourceData_DataScores_Scope3_Title" localSheetId="27">_xlfn.LAMBDA("Australian data scores for scope 3")</definedName>
    <definedName name="Common_SourceData.Common_SourceData_DataScores_Scope3_Title" localSheetId="32">_xlfn.LAMBDA("Australian data scores for scope 3")</definedName>
    <definedName name="Common_SourceData.Common_SourceData_DataScores_Scope3_Title" localSheetId="29">_xlfn.LAMBDA("Australian data scores for scope 3")</definedName>
    <definedName name="Common_SourceData.Common_SourceData_DataScores_Scope3_Title" localSheetId="30">_xlfn.LAMBDA("Australian data scores for scope 3")</definedName>
    <definedName name="Common_SourceData.Common_SourceData_DataScores_Scope3_Title" localSheetId="31">_xlfn.LAMBDA("Australian data scores for scope 3")</definedName>
    <definedName name="Common_SourceData.Common_SourceData_DataScores_Scope3_Title" localSheetId="28">_xlfn.LAMBDA("Australian data scores for scope 3")</definedName>
    <definedName name="Common_SourceData.Common_SourceData_DataScores_Scope3_Title" localSheetId="26">_xlfn.LAMBDA("Australian data scores for scope 3")</definedName>
    <definedName name="Common_SourceData.Common_SourceData_DataScores_Scope3_Title" localSheetId="9">_xlfn.LAMBDA("Australian data scores for scope 3")</definedName>
    <definedName name="Common_SourceData.Common_SourceData_DataScores_Scope3_Title" localSheetId="7">_xlfn.LAMBDA("Australian data scores for scope 3")</definedName>
    <definedName name="Common_SourceData.Common_SourceData_DataScores_Scope3_Title" localSheetId="8">_xlfn.LAMBDA("Australian data scores for scope 3")</definedName>
    <definedName name="Common_SourceData.Common_SourceData_DataScores_Scope3_Title" localSheetId="6">_xlfn.LAMBDA("Australian data scores for scope 3")</definedName>
    <definedName name="Common_SourceData.Common_SourceData_DataScores_Scope3_Title" localSheetId="4">_xlfn.LAMBDA("Australian data scores for scope 3")</definedName>
    <definedName name="Common_SourceData.Common_SourceData_DataScores_Scope3_Title" localSheetId="3">_xlfn.LAMBDA("Australian data scores for scope 3")</definedName>
    <definedName name="Common_SourceData.Common_SourceData_DataScores_Scope3_Title" localSheetId="34">_xlfn.LAMBDA("Australian data scores for scope 3")</definedName>
    <definedName name="Common_SourceData.Common_SourceData_DataScores_Scope3_Title">_xlfn.LAMBDA("Australian data scores for scope 3")</definedName>
    <definedName name="Common_SourceData.Common_SourceData_DataScores_Scope3_Unit" localSheetId="25">_xlfn.LAMBDA("")</definedName>
    <definedName name="Common_SourceData.Common_SourceData_DataScores_Scope3_Unit" localSheetId="10">_xlfn.LAMBDA("")</definedName>
    <definedName name="Common_SourceData.Common_SourceData_DataScores_Scope3_Unit" localSheetId="11">_xlfn.LAMBDA("")</definedName>
    <definedName name="Common_SourceData.Common_SourceData_DataScores_Scope3_Unit" localSheetId="12">_xlfn.LAMBDA("")</definedName>
    <definedName name="Common_SourceData.Common_SourceData_DataScores_Scope3_Unit" localSheetId="13">_xlfn.LAMBDA("")</definedName>
    <definedName name="Common_SourceData.Common_SourceData_DataScores_Scope3_Unit" localSheetId="14">_xlfn.LAMBDA("")</definedName>
    <definedName name="Common_SourceData.Common_SourceData_DataScores_Scope3_Unit" localSheetId="15">_xlfn.LAMBDA("")</definedName>
    <definedName name="Common_SourceData.Common_SourceData_DataScores_Scope3_Unit" localSheetId="16">_xlfn.LAMBDA("")</definedName>
    <definedName name="Common_SourceData.Common_SourceData_DataScores_Scope3_Unit" localSheetId="17">_xlfn.LAMBDA("")</definedName>
    <definedName name="Common_SourceData.Common_SourceData_DataScores_Scope3_Unit" localSheetId="18">_xlfn.LAMBDA("")</definedName>
    <definedName name="Common_SourceData.Common_SourceData_DataScores_Scope3_Unit" localSheetId="19">_xlfn.LAMBDA("")</definedName>
    <definedName name="Common_SourceData.Common_SourceData_DataScores_Scope3_Unit" localSheetId="20">_xlfn.LAMBDA("")</definedName>
    <definedName name="Common_SourceData.Common_SourceData_DataScores_Scope3_Unit" localSheetId="21">_xlfn.LAMBDA("")</definedName>
    <definedName name="Common_SourceData.Common_SourceData_DataScores_Scope3_Unit" localSheetId="22">_xlfn.LAMBDA("")</definedName>
    <definedName name="Common_SourceData.Common_SourceData_DataScores_Scope3_Unit" localSheetId="23">_xlfn.LAMBDA("")</definedName>
    <definedName name="Common_SourceData.Common_SourceData_DataScores_Scope3_Unit" localSheetId="24">_xlfn.LAMBDA("")</definedName>
    <definedName name="Common_SourceData.Common_SourceData_DataScores_Scope3_Unit" localSheetId="33">_xlfn.LAMBDA("")</definedName>
    <definedName name="Common_SourceData.Common_SourceData_DataScores_Scope3_Unit" localSheetId="27">_xlfn.LAMBDA("")</definedName>
    <definedName name="Common_SourceData.Common_SourceData_DataScores_Scope3_Unit" localSheetId="32">_xlfn.LAMBDA("")</definedName>
    <definedName name="Common_SourceData.Common_SourceData_DataScores_Scope3_Unit" localSheetId="29">_xlfn.LAMBDA("")</definedName>
    <definedName name="Common_SourceData.Common_SourceData_DataScores_Scope3_Unit" localSheetId="30">_xlfn.LAMBDA("")</definedName>
    <definedName name="Common_SourceData.Common_SourceData_DataScores_Scope3_Unit" localSheetId="31">_xlfn.LAMBDA("")</definedName>
    <definedName name="Common_SourceData.Common_SourceData_DataScores_Scope3_Unit" localSheetId="28">_xlfn.LAMBDA("")</definedName>
    <definedName name="Common_SourceData.Common_SourceData_DataScores_Scope3_Unit" localSheetId="26">_xlfn.LAMBDA("")</definedName>
    <definedName name="Common_SourceData.Common_SourceData_DataScores_Scope3_Unit" localSheetId="9">_xlfn.LAMBDA("")</definedName>
    <definedName name="Common_SourceData.Common_SourceData_DataScores_Scope3_Unit" localSheetId="7">_xlfn.LAMBDA("")</definedName>
    <definedName name="Common_SourceData.Common_SourceData_DataScores_Scope3_Unit" localSheetId="8">_xlfn.LAMBDA("")</definedName>
    <definedName name="Common_SourceData.Common_SourceData_DataScores_Scope3_Unit" localSheetId="6">_xlfn.LAMBDA("")</definedName>
    <definedName name="Common_SourceData.Common_SourceData_DataScores_Scope3_Unit" localSheetId="4">_xlfn.LAMBDA("")</definedName>
    <definedName name="Common_SourceData.Common_SourceData_DataScores_Scope3_Unit" localSheetId="3">_xlfn.LAMBDA("")</definedName>
    <definedName name="Common_SourceData.Common_SourceData_DataScores_Scope3_Unit" localSheetId="34">_xlfn.LAMBDA("")</definedName>
    <definedName name="Common_SourceData.Common_SourceData_DataScores_Scope3_Unit">_xlfn.LAMBDA("")</definedName>
    <definedName name="Common_SourceData.Common_SourceData_DataScores_Scope3_Variable" localSheetId="25">_xlfn.LAMBDA("")</definedName>
    <definedName name="Common_SourceData.Common_SourceData_DataScores_Scope3_Variable" localSheetId="10">_xlfn.LAMBDA("")</definedName>
    <definedName name="Common_SourceData.Common_SourceData_DataScores_Scope3_Variable" localSheetId="11">_xlfn.LAMBDA("")</definedName>
    <definedName name="Common_SourceData.Common_SourceData_DataScores_Scope3_Variable" localSheetId="12">_xlfn.LAMBDA("")</definedName>
    <definedName name="Common_SourceData.Common_SourceData_DataScores_Scope3_Variable" localSheetId="13">_xlfn.LAMBDA("")</definedName>
    <definedName name="Common_SourceData.Common_SourceData_DataScores_Scope3_Variable" localSheetId="14">_xlfn.LAMBDA("")</definedName>
    <definedName name="Common_SourceData.Common_SourceData_DataScores_Scope3_Variable" localSheetId="15">_xlfn.LAMBDA("")</definedName>
    <definedName name="Common_SourceData.Common_SourceData_DataScores_Scope3_Variable" localSheetId="16">_xlfn.LAMBDA("")</definedName>
    <definedName name="Common_SourceData.Common_SourceData_DataScores_Scope3_Variable" localSheetId="17">_xlfn.LAMBDA("")</definedName>
    <definedName name="Common_SourceData.Common_SourceData_DataScores_Scope3_Variable" localSheetId="18">_xlfn.LAMBDA("")</definedName>
    <definedName name="Common_SourceData.Common_SourceData_DataScores_Scope3_Variable" localSheetId="19">_xlfn.LAMBDA("")</definedName>
    <definedName name="Common_SourceData.Common_SourceData_DataScores_Scope3_Variable" localSheetId="20">_xlfn.LAMBDA("")</definedName>
    <definedName name="Common_SourceData.Common_SourceData_DataScores_Scope3_Variable" localSheetId="21">_xlfn.LAMBDA("")</definedName>
    <definedName name="Common_SourceData.Common_SourceData_DataScores_Scope3_Variable" localSheetId="22">_xlfn.LAMBDA("")</definedName>
    <definedName name="Common_SourceData.Common_SourceData_DataScores_Scope3_Variable" localSheetId="23">_xlfn.LAMBDA("")</definedName>
    <definedName name="Common_SourceData.Common_SourceData_DataScores_Scope3_Variable" localSheetId="24">_xlfn.LAMBDA("")</definedName>
    <definedName name="Common_SourceData.Common_SourceData_DataScores_Scope3_Variable" localSheetId="33">_xlfn.LAMBDA("")</definedName>
    <definedName name="Common_SourceData.Common_SourceData_DataScores_Scope3_Variable" localSheetId="27">_xlfn.LAMBDA("")</definedName>
    <definedName name="Common_SourceData.Common_SourceData_DataScores_Scope3_Variable" localSheetId="32">_xlfn.LAMBDA("")</definedName>
    <definedName name="Common_SourceData.Common_SourceData_DataScores_Scope3_Variable" localSheetId="29">_xlfn.LAMBDA("")</definedName>
    <definedName name="Common_SourceData.Common_SourceData_DataScores_Scope3_Variable" localSheetId="30">_xlfn.LAMBDA("")</definedName>
    <definedName name="Common_SourceData.Common_SourceData_DataScores_Scope3_Variable" localSheetId="31">_xlfn.LAMBDA("")</definedName>
    <definedName name="Common_SourceData.Common_SourceData_DataScores_Scope3_Variable" localSheetId="28">_xlfn.LAMBDA("")</definedName>
    <definedName name="Common_SourceData.Common_SourceData_DataScores_Scope3_Variable" localSheetId="26">_xlfn.LAMBDA("")</definedName>
    <definedName name="Common_SourceData.Common_SourceData_DataScores_Scope3_Variable" localSheetId="9">_xlfn.LAMBDA("")</definedName>
    <definedName name="Common_SourceData.Common_SourceData_DataScores_Scope3_Variable" localSheetId="7">_xlfn.LAMBDA("")</definedName>
    <definedName name="Common_SourceData.Common_SourceData_DataScores_Scope3_Variable" localSheetId="8">_xlfn.LAMBDA("")</definedName>
    <definedName name="Common_SourceData.Common_SourceData_DataScores_Scope3_Variable" localSheetId="6">_xlfn.LAMBDA("")</definedName>
    <definedName name="Common_SourceData.Common_SourceData_DataScores_Scope3_Variable" localSheetId="4">_xlfn.LAMBDA("")</definedName>
    <definedName name="Common_SourceData.Common_SourceData_DataScores_Scope3_Variable" localSheetId="3">_xlfn.LAMBDA("")</definedName>
    <definedName name="Common_SourceData.Common_SourceData_DataScores_Scope3_Variable" localSheetId="34">_xlfn.LAMBDA("")</definedName>
    <definedName name="Common_SourceData.Common_SourceData_DataScores_Scope3_Variable">_xlfn.LAMBDA("")</definedName>
    <definedName name="Common_SourceData.Common_SourceData_DataScores_Scope3_Variation" localSheetId="25">_xlfn.LAMBDA("")</definedName>
    <definedName name="Common_SourceData.Common_SourceData_DataScores_Scope3_Variation" localSheetId="10">_xlfn.LAMBDA("")</definedName>
    <definedName name="Common_SourceData.Common_SourceData_DataScores_Scope3_Variation" localSheetId="11">_xlfn.LAMBDA("")</definedName>
    <definedName name="Common_SourceData.Common_SourceData_DataScores_Scope3_Variation" localSheetId="12">_xlfn.LAMBDA("")</definedName>
    <definedName name="Common_SourceData.Common_SourceData_DataScores_Scope3_Variation" localSheetId="13">_xlfn.LAMBDA("")</definedName>
    <definedName name="Common_SourceData.Common_SourceData_DataScores_Scope3_Variation" localSheetId="14">_xlfn.LAMBDA("")</definedName>
    <definedName name="Common_SourceData.Common_SourceData_DataScores_Scope3_Variation" localSheetId="15">_xlfn.LAMBDA("")</definedName>
    <definedName name="Common_SourceData.Common_SourceData_DataScores_Scope3_Variation" localSheetId="16">_xlfn.LAMBDA("")</definedName>
    <definedName name="Common_SourceData.Common_SourceData_DataScores_Scope3_Variation" localSheetId="17">_xlfn.LAMBDA("")</definedName>
    <definedName name="Common_SourceData.Common_SourceData_DataScores_Scope3_Variation" localSheetId="18">_xlfn.LAMBDA("")</definedName>
    <definedName name="Common_SourceData.Common_SourceData_DataScores_Scope3_Variation" localSheetId="19">_xlfn.LAMBDA("")</definedName>
    <definedName name="Common_SourceData.Common_SourceData_DataScores_Scope3_Variation" localSheetId="20">_xlfn.LAMBDA("")</definedName>
    <definedName name="Common_SourceData.Common_SourceData_DataScores_Scope3_Variation" localSheetId="21">_xlfn.LAMBDA("")</definedName>
    <definedName name="Common_SourceData.Common_SourceData_DataScores_Scope3_Variation" localSheetId="22">_xlfn.LAMBDA("")</definedName>
    <definedName name="Common_SourceData.Common_SourceData_DataScores_Scope3_Variation" localSheetId="23">_xlfn.LAMBDA("")</definedName>
    <definedName name="Common_SourceData.Common_SourceData_DataScores_Scope3_Variation" localSheetId="24">_xlfn.LAMBDA("")</definedName>
    <definedName name="Common_SourceData.Common_SourceData_DataScores_Scope3_Variation" localSheetId="33">_xlfn.LAMBDA("")</definedName>
    <definedName name="Common_SourceData.Common_SourceData_DataScores_Scope3_Variation" localSheetId="27">_xlfn.LAMBDA("")</definedName>
    <definedName name="Common_SourceData.Common_SourceData_DataScores_Scope3_Variation" localSheetId="32">_xlfn.LAMBDA("")</definedName>
    <definedName name="Common_SourceData.Common_SourceData_DataScores_Scope3_Variation" localSheetId="29">_xlfn.LAMBDA("")</definedName>
    <definedName name="Common_SourceData.Common_SourceData_DataScores_Scope3_Variation" localSheetId="30">_xlfn.LAMBDA("")</definedName>
    <definedName name="Common_SourceData.Common_SourceData_DataScores_Scope3_Variation" localSheetId="31">_xlfn.LAMBDA("")</definedName>
    <definedName name="Common_SourceData.Common_SourceData_DataScores_Scope3_Variation" localSheetId="28">_xlfn.LAMBDA("")</definedName>
    <definedName name="Common_SourceData.Common_SourceData_DataScores_Scope3_Variation" localSheetId="26">_xlfn.LAMBDA("")</definedName>
    <definedName name="Common_SourceData.Common_SourceData_DataScores_Scope3_Variation" localSheetId="9">_xlfn.LAMBDA("")</definedName>
    <definedName name="Common_SourceData.Common_SourceData_DataScores_Scope3_Variation" localSheetId="7">_xlfn.LAMBDA("")</definedName>
    <definedName name="Common_SourceData.Common_SourceData_DataScores_Scope3_Variation" localSheetId="8">_xlfn.LAMBDA("")</definedName>
    <definedName name="Common_SourceData.Common_SourceData_DataScores_Scope3_Variation" localSheetId="6">_xlfn.LAMBDA("")</definedName>
    <definedName name="Common_SourceData.Common_SourceData_DataScores_Scope3_Variation" localSheetId="4">_xlfn.LAMBDA("")</definedName>
    <definedName name="Common_SourceData.Common_SourceData_DataScores_Scope3_Variation" localSheetId="3">_xlfn.LAMBDA("")</definedName>
    <definedName name="Common_SourceData.Common_SourceData_DataScores_Scope3_Variation" localSheetId="34">_xlfn.LAMBDA("")</definedName>
    <definedName name="Common_SourceData.Common_SourceData_DataScores_Scope3_Variation">_xlfn.LAMBDA("")</definedName>
    <definedName name="Common_SourceData.Common_SourceData_DensityOfMethane_Data" localSheetId="25">_xlfn.LAMBDA(0.6784)</definedName>
    <definedName name="Common_SourceData.Common_SourceData_DensityOfMethane_Data" localSheetId="10">_xlfn.LAMBDA(0.6784)</definedName>
    <definedName name="Common_SourceData.Common_SourceData_DensityOfMethane_Data" localSheetId="11">_xlfn.LAMBDA(0.6784)</definedName>
    <definedName name="Common_SourceData.Common_SourceData_DensityOfMethane_Data" localSheetId="12">_xlfn.LAMBDA(0.6784)</definedName>
    <definedName name="Common_SourceData.Common_SourceData_DensityOfMethane_Data" localSheetId="13">_xlfn.LAMBDA(0.6784)</definedName>
    <definedName name="Common_SourceData.Common_SourceData_DensityOfMethane_Data" localSheetId="14">_xlfn.LAMBDA(0.6784)</definedName>
    <definedName name="Common_SourceData.Common_SourceData_DensityOfMethane_Data" localSheetId="15">_xlfn.LAMBDA(0.6784)</definedName>
    <definedName name="Common_SourceData.Common_SourceData_DensityOfMethane_Data" localSheetId="16">_xlfn.LAMBDA(0.6784)</definedName>
    <definedName name="Common_SourceData.Common_SourceData_DensityOfMethane_Data" localSheetId="17">_xlfn.LAMBDA(0.6784)</definedName>
    <definedName name="Common_SourceData.Common_SourceData_DensityOfMethane_Data" localSheetId="18">_xlfn.LAMBDA(0.6784)</definedName>
    <definedName name="Common_SourceData.Common_SourceData_DensityOfMethane_Data" localSheetId="19">_xlfn.LAMBDA(0.6784)</definedName>
    <definedName name="Common_SourceData.Common_SourceData_DensityOfMethane_Data" localSheetId="20">_xlfn.LAMBDA(0.6784)</definedName>
    <definedName name="Common_SourceData.Common_SourceData_DensityOfMethane_Data" localSheetId="21">_xlfn.LAMBDA(0.6784)</definedName>
    <definedName name="Common_SourceData.Common_SourceData_DensityOfMethane_Data" localSheetId="22">_xlfn.LAMBDA(0.6784)</definedName>
    <definedName name="Common_SourceData.Common_SourceData_DensityOfMethane_Data" localSheetId="23">_xlfn.LAMBDA(0.6784)</definedName>
    <definedName name="Common_SourceData.Common_SourceData_DensityOfMethane_Data" localSheetId="24">_xlfn.LAMBDA(0.6784)</definedName>
    <definedName name="Common_SourceData.Common_SourceData_DensityOfMethane_Data" localSheetId="33">_xlfn.LAMBDA(0.6784)</definedName>
    <definedName name="Common_SourceData.Common_SourceData_DensityOfMethane_Data" localSheetId="27">_xlfn.LAMBDA(0.6784)</definedName>
    <definedName name="Common_SourceData.Common_SourceData_DensityOfMethane_Data" localSheetId="32">_xlfn.LAMBDA(0.6784)</definedName>
    <definedName name="Common_SourceData.Common_SourceData_DensityOfMethane_Data" localSheetId="29">_xlfn.LAMBDA(0.6784)</definedName>
    <definedName name="Common_SourceData.Common_SourceData_DensityOfMethane_Data" localSheetId="30">_xlfn.LAMBDA(0.6784)</definedName>
    <definedName name="Common_SourceData.Common_SourceData_DensityOfMethane_Data" localSheetId="31">_xlfn.LAMBDA(0.6784)</definedName>
    <definedName name="Common_SourceData.Common_SourceData_DensityOfMethane_Data" localSheetId="28">_xlfn.LAMBDA(0.6784)</definedName>
    <definedName name="Common_SourceData.Common_SourceData_DensityOfMethane_Data" localSheetId="26">_xlfn.LAMBDA(0.6784)</definedName>
    <definedName name="Common_SourceData.Common_SourceData_DensityOfMethane_Data" localSheetId="9">_xlfn.LAMBDA(0.6784)</definedName>
    <definedName name="Common_SourceData.Common_SourceData_DensityOfMethane_Data" localSheetId="7">_xlfn.LAMBDA(0.6784)</definedName>
    <definedName name="Common_SourceData.Common_SourceData_DensityOfMethane_Data" localSheetId="8">_xlfn.LAMBDA(0.6784)</definedName>
    <definedName name="Common_SourceData.Common_SourceData_DensityOfMethane_Data" localSheetId="6">_xlfn.LAMBDA(0.6784)</definedName>
    <definedName name="Common_SourceData.Common_SourceData_DensityOfMethane_Data" localSheetId="4">_xlfn.LAMBDA(0.6784)</definedName>
    <definedName name="Common_SourceData.Common_SourceData_DensityOfMethane_Data" localSheetId="3">_xlfn.LAMBDA(0.6784)</definedName>
    <definedName name="Common_SourceData.Common_SourceData_DensityOfMethane_Data" localSheetId="34">_xlfn.LAMBDA(0.6784)</definedName>
    <definedName name="Common_SourceData.Common_SourceData_DensityOfMethane_Data">_xlfn.LAMBDA(0.6784)</definedName>
    <definedName name="Common_SourceData.Common_SourceData_DensityOfMethane_Source" localSheetId="25">_xlfn.LAMBDA("National Inventory Report 2023 Volume 1: Equations 3.B.1a_2, 3.B.1c_2, 3.B.3_1, 3.B.4g_2")</definedName>
    <definedName name="Common_SourceData.Common_SourceData_DensityOfMethane_Source" localSheetId="10">_xlfn.LAMBDA("National Inventory Report 2023 Volume 1: Equations 3.B.1a_2, 3.B.1c_2, 3.B.3_1, 3.B.4g_2")</definedName>
    <definedName name="Common_SourceData.Common_SourceData_DensityOfMethane_Source" localSheetId="11">_xlfn.LAMBDA("National Inventory Report 2023 Volume 1: Equations 3.B.1a_2, 3.B.1c_2, 3.B.3_1, 3.B.4g_2")</definedName>
    <definedName name="Common_SourceData.Common_SourceData_DensityOfMethane_Source" localSheetId="12">_xlfn.LAMBDA("National Inventory Report 2023 Volume 1: Equations 3.B.1a_2, 3.B.1c_2, 3.B.3_1, 3.B.4g_2")</definedName>
    <definedName name="Common_SourceData.Common_SourceData_DensityOfMethane_Source" localSheetId="13">_xlfn.LAMBDA("National Inventory Report 2023 Volume 1: Equations 3.B.1a_2, 3.B.1c_2, 3.B.3_1, 3.B.4g_2")</definedName>
    <definedName name="Common_SourceData.Common_SourceData_DensityOfMethane_Source" localSheetId="14">_xlfn.LAMBDA("National Inventory Report 2023 Volume 1: Equations 3.B.1a_2, 3.B.1c_2, 3.B.3_1, 3.B.4g_2")</definedName>
    <definedName name="Common_SourceData.Common_SourceData_DensityOfMethane_Source" localSheetId="15">_xlfn.LAMBDA("National Inventory Report 2023 Volume 1: Equations 3.B.1a_2, 3.B.1c_2, 3.B.3_1, 3.B.4g_2")</definedName>
    <definedName name="Common_SourceData.Common_SourceData_DensityOfMethane_Source" localSheetId="16">_xlfn.LAMBDA("National Inventory Report 2023 Volume 1: Equations 3.B.1a_2, 3.B.1c_2, 3.B.3_1, 3.B.4g_2")</definedName>
    <definedName name="Common_SourceData.Common_SourceData_DensityOfMethane_Source" localSheetId="17">_xlfn.LAMBDA("National Inventory Report 2023 Volume 1: Equations 3.B.1a_2, 3.B.1c_2, 3.B.3_1, 3.B.4g_2")</definedName>
    <definedName name="Common_SourceData.Common_SourceData_DensityOfMethane_Source" localSheetId="18">_xlfn.LAMBDA("National Inventory Report 2023 Volume 1: Equations 3.B.1a_2, 3.B.1c_2, 3.B.3_1, 3.B.4g_2")</definedName>
    <definedName name="Common_SourceData.Common_SourceData_DensityOfMethane_Source" localSheetId="19">_xlfn.LAMBDA("National Inventory Report 2023 Volume 1: Equations 3.B.1a_2, 3.B.1c_2, 3.B.3_1, 3.B.4g_2")</definedName>
    <definedName name="Common_SourceData.Common_SourceData_DensityOfMethane_Source" localSheetId="20">_xlfn.LAMBDA("National Inventory Report 2023 Volume 1: Equations 3.B.1a_2, 3.B.1c_2, 3.B.3_1, 3.B.4g_2")</definedName>
    <definedName name="Common_SourceData.Common_SourceData_DensityOfMethane_Source" localSheetId="21">_xlfn.LAMBDA("National Inventory Report 2023 Volume 1: Equations 3.B.1a_2, 3.B.1c_2, 3.B.3_1, 3.B.4g_2")</definedName>
    <definedName name="Common_SourceData.Common_SourceData_DensityOfMethane_Source" localSheetId="22">_xlfn.LAMBDA("National Inventory Report 2023 Volume 1: Equations 3.B.1a_2, 3.B.1c_2, 3.B.3_1, 3.B.4g_2")</definedName>
    <definedName name="Common_SourceData.Common_SourceData_DensityOfMethane_Source" localSheetId="23">_xlfn.LAMBDA("National Inventory Report 2023 Volume 1: Equations 3.B.1a_2, 3.B.1c_2, 3.B.3_1, 3.B.4g_2")</definedName>
    <definedName name="Common_SourceData.Common_SourceData_DensityOfMethane_Source" localSheetId="24">_xlfn.LAMBDA("National Inventory Report 2023 Volume 1: Equations 3.B.1a_2, 3.B.1c_2, 3.B.3_1, 3.B.4g_2")</definedName>
    <definedName name="Common_SourceData.Common_SourceData_DensityOfMethane_Source" localSheetId="33">_xlfn.LAMBDA("National Inventory Report 2023 Volume 1: Equations 3.B.1a_2, 3.B.1c_2, 3.B.3_1, 3.B.4g_2")</definedName>
    <definedName name="Common_SourceData.Common_SourceData_DensityOfMethane_Source" localSheetId="27">_xlfn.LAMBDA("National Inventory Report 2023 Volume 1: Equations 3.B.1a_2, 3.B.1c_2, 3.B.3_1, 3.B.4g_2")</definedName>
    <definedName name="Common_SourceData.Common_SourceData_DensityOfMethane_Source" localSheetId="32">_xlfn.LAMBDA("National Inventory Report 2023 Volume 1: Equations 3.B.1a_2, 3.B.1c_2, 3.B.3_1, 3.B.4g_2")</definedName>
    <definedName name="Common_SourceData.Common_SourceData_DensityOfMethane_Source" localSheetId="29">_xlfn.LAMBDA("National Inventory Report 2023 Volume 1: Equations 3.B.1a_2, 3.B.1c_2, 3.B.3_1, 3.B.4g_2")</definedName>
    <definedName name="Common_SourceData.Common_SourceData_DensityOfMethane_Source" localSheetId="30">_xlfn.LAMBDA("National Inventory Report 2023 Volume 1: Equations 3.B.1a_2, 3.B.1c_2, 3.B.3_1, 3.B.4g_2")</definedName>
    <definedName name="Common_SourceData.Common_SourceData_DensityOfMethane_Source" localSheetId="31">_xlfn.LAMBDA("National Inventory Report 2023 Volume 1: Equations 3.B.1a_2, 3.B.1c_2, 3.B.3_1, 3.B.4g_2")</definedName>
    <definedName name="Common_SourceData.Common_SourceData_DensityOfMethane_Source" localSheetId="28">_xlfn.LAMBDA("National Inventory Report 2023 Volume 1: Equations 3.B.1a_2, 3.B.1c_2, 3.B.3_1, 3.B.4g_2")</definedName>
    <definedName name="Common_SourceData.Common_SourceData_DensityOfMethane_Source" localSheetId="26">_xlfn.LAMBDA("National Inventory Report 2023 Volume 1: Equations 3.B.1a_2, 3.B.1c_2, 3.B.3_1, 3.B.4g_2")</definedName>
    <definedName name="Common_SourceData.Common_SourceData_DensityOfMethane_Source" localSheetId="9">_xlfn.LAMBDA("National Inventory Report 2023 Volume 1: Equations 3.B.1a_2, 3.B.1c_2, 3.B.3_1, 3.B.4g_2")</definedName>
    <definedName name="Common_SourceData.Common_SourceData_DensityOfMethane_Source" localSheetId="7">_xlfn.LAMBDA("National Inventory Report 2023 Volume 1: Equations 3.B.1a_2, 3.B.1c_2, 3.B.3_1, 3.B.4g_2")</definedName>
    <definedName name="Common_SourceData.Common_SourceData_DensityOfMethane_Source" localSheetId="8">_xlfn.LAMBDA("National Inventory Report 2023 Volume 1: Equations 3.B.1a_2, 3.B.1c_2, 3.B.3_1, 3.B.4g_2")</definedName>
    <definedName name="Common_SourceData.Common_SourceData_DensityOfMethane_Source" localSheetId="6">_xlfn.LAMBDA("National Inventory Report 2023 Volume 1: Equations 3.B.1a_2, 3.B.1c_2, 3.B.3_1, 3.B.4g_2")</definedName>
    <definedName name="Common_SourceData.Common_SourceData_DensityOfMethane_Source" localSheetId="4">_xlfn.LAMBDA("National Inventory Report 2023 Volume 1: Equations 3.B.1a_2, 3.B.1c_2, 3.B.3_1, 3.B.4g_2")</definedName>
    <definedName name="Common_SourceData.Common_SourceData_DensityOfMethane_Source" localSheetId="3">_xlfn.LAMBDA("National Inventory Report 2023 Volume 1: Equations 3.B.1a_2, 3.B.1c_2, 3.B.3_1, 3.B.4g_2")</definedName>
    <definedName name="Common_SourceData.Common_SourceData_DensityOfMethane_Source" localSheetId="34">_xlfn.LAMBDA("National Inventory Report 2023 Volume 1: Equations 3.B.1a_2, 3.B.1c_2, 3.B.3_1, 3.B.4g_2")</definedName>
    <definedName name="Common_SourceData.Common_SourceData_DensityOfMethane_Source">_xlfn.LAMBDA("National Inventory Report 2023 Volume 1: Equations 3.B.1a_2, 3.B.1c_2, 3.B.3_1, 3.B.4g_2")</definedName>
    <definedName name="Common_SourceData.Common_SourceData_DensityOfMethane_Title" localSheetId="25">_xlfn.LAMBDA("p = density of methane")</definedName>
    <definedName name="Common_SourceData.Common_SourceData_DensityOfMethane_Title" localSheetId="10">_xlfn.LAMBDA("p = density of methane")</definedName>
    <definedName name="Common_SourceData.Common_SourceData_DensityOfMethane_Title" localSheetId="11">_xlfn.LAMBDA("p = density of methane")</definedName>
    <definedName name="Common_SourceData.Common_SourceData_DensityOfMethane_Title" localSheetId="12">_xlfn.LAMBDA("p = density of methane")</definedName>
    <definedName name="Common_SourceData.Common_SourceData_DensityOfMethane_Title" localSheetId="13">_xlfn.LAMBDA("p = density of methane")</definedName>
    <definedName name="Common_SourceData.Common_SourceData_DensityOfMethane_Title" localSheetId="14">_xlfn.LAMBDA("p = density of methane")</definedName>
    <definedName name="Common_SourceData.Common_SourceData_DensityOfMethane_Title" localSheetId="15">_xlfn.LAMBDA("p = density of methane")</definedName>
    <definedName name="Common_SourceData.Common_SourceData_DensityOfMethane_Title" localSheetId="16">_xlfn.LAMBDA("p = density of methane")</definedName>
    <definedName name="Common_SourceData.Common_SourceData_DensityOfMethane_Title" localSheetId="17">_xlfn.LAMBDA("p = density of methane")</definedName>
    <definedName name="Common_SourceData.Common_SourceData_DensityOfMethane_Title" localSheetId="18">_xlfn.LAMBDA("p = density of methane")</definedName>
    <definedName name="Common_SourceData.Common_SourceData_DensityOfMethane_Title" localSheetId="19">_xlfn.LAMBDA("p = density of methane")</definedName>
    <definedName name="Common_SourceData.Common_SourceData_DensityOfMethane_Title" localSheetId="20">_xlfn.LAMBDA("p = density of methane")</definedName>
    <definedName name="Common_SourceData.Common_SourceData_DensityOfMethane_Title" localSheetId="21">_xlfn.LAMBDA("p = density of methane")</definedName>
    <definedName name="Common_SourceData.Common_SourceData_DensityOfMethane_Title" localSheetId="22">_xlfn.LAMBDA("p = density of methane")</definedName>
    <definedName name="Common_SourceData.Common_SourceData_DensityOfMethane_Title" localSheetId="23">_xlfn.LAMBDA("p = density of methane")</definedName>
    <definedName name="Common_SourceData.Common_SourceData_DensityOfMethane_Title" localSheetId="24">_xlfn.LAMBDA("p = density of methane")</definedName>
    <definedName name="Common_SourceData.Common_SourceData_DensityOfMethane_Title" localSheetId="33">_xlfn.LAMBDA("p = density of methane")</definedName>
    <definedName name="Common_SourceData.Common_SourceData_DensityOfMethane_Title" localSheetId="27">_xlfn.LAMBDA("p = density of methane")</definedName>
    <definedName name="Common_SourceData.Common_SourceData_DensityOfMethane_Title" localSheetId="32">_xlfn.LAMBDA("p = density of methane")</definedName>
    <definedName name="Common_SourceData.Common_SourceData_DensityOfMethane_Title" localSheetId="29">_xlfn.LAMBDA("p = density of methane")</definedName>
    <definedName name="Common_SourceData.Common_SourceData_DensityOfMethane_Title" localSheetId="30">_xlfn.LAMBDA("p = density of methane")</definedName>
    <definedName name="Common_SourceData.Common_SourceData_DensityOfMethane_Title" localSheetId="31">_xlfn.LAMBDA("p = density of methane")</definedName>
    <definedName name="Common_SourceData.Common_SourceData_DensityOfMethane_Title" localSheetId="28">_xlfn.LAMBDA("p = density of methane")</definedName>
    <definedName name="Common_SourceData.Common_SourceData_DensityOfMethane_Title" localSheetId="26">_xlfn.LAMBDA("p = density of methane")</definedName>
    <definedName name="Common_SourceData.Common_SourceData_DensityOfMethane_Title" localSheetId="9">_xlfn.LAMBDA("p = density of methane")</definedName>
    <definedName name="Common_SourceData.Common_SourceData_DensityOfMethane_Title" localSheetId="7">_xlfn.LAMBDA("p = density of methane")</definedName>
    <definedName name="Common_SourceData.Common_SourceData_DensityOfMethane_Title" localSheetId="8">_xlfn.LAMBDA("p = density of methane")</definedName>
    <definedName name="Common_SourceData.Common_SourceData_DensityOfMethane_Title" localSheetId="6">_xlfn.LAMBDA("p = density of methane")</definedName>
    <definedName name="Common_SourceData.Common_SourceData_DensityOfMethane_Title" localSheetId="4">_xlfn.LAMBDA("p = density of methane")</definedName>
    <definedName name="Common_SourceData.Common_SourceData_DensityOfMethane_Title" localSheetId="3">_xlfn.LAMBDA("p = density of methane")</definedName>
    <definedName name="Common_SourceData.Common_SourceData_DensityOfMethane_Title" localSheetId="34">_xlfn.LAMBDA("p = density of methane")</definedName>
    <definedName name="Common_SourceData.Common_SourceData_DensityOfMethane_Title">_xlfn.LAMBDA("p = density of methane")</definedName>
    <definedName name="Common_SourceData.Common_SourceData_DensityOfMethane_Unit" localSheetId="25">_xlfn.LAMBDA("kg/m3")</definedName>
    <definedName name="Common_SourceData.Common_SourceData_DensityOfMethane_Unit" localSheetId="10">_xlfn.LAMBDA("kg/m3")</definedName>
    <definedName name="Common_SourceData.Common_SourceData_DensityOfMethane_Unit" localSheetId="11">_xlfn.LAMBDA("kg/m3")</definedName>
    <definedName name="Common_SourceData.Common_SourceData_DensityOfMethane_Unit" localSheetId="12">_xlfn.LAMBDA("kg/m3")</definedName>
    <definedName name="Common_SourceData.Common_SourceData_DensityOfMethane_Unit" localSheetId="13">_xlfn.LAMBDA("kg/m3")</definedName>
    <definedName name="Common_SourceData.Common_SourceData_DensityOfMethane_Unit" localSheetId="14">_xlfn.LAMBDA("kg/m3")</definedName>
    <definedName name="Common_SourceData.Common_SourceData_DensityOfMethane_Unit" localSheetId="15">_xlfn.LAMBDA("kg/m3")</definedName>
    <definedName name="Common_SourceData.Common_SourceData_DensityOfMethane_Unit" localSheetId="16">_xlfn.LAMBDA("kg/m3")</definedName>
    <definedName name="Common_SourceData.Common_SourceData_DensityOfMethane_Unit" localSheetId="17">_xlfn.LAMBDA("kg/m3")</definedName>
    <definedName name="Common_SourceData.Common_SourceData_DensityOfMethane_Unit" localSheetId="18">_xlfn.LAMBDA("kg/m3")</definedName>
    <definedName name="Common_SourceData.Common_SourceData_DensityOfMethane_Unit" localSheetId="19">_xlfn.LAMBDA("kg/m3")</definedName>
    <definedName name="Common_SourceData.Common_SourceData_DensityOfMethane_Unit" localSheetId="20">_xlfn.LAMBDA("kg/m3")</definedName>
    <definedName name="Common_SourceData.Common_SourceData_DensityOfMethane_Unit" localSheetId="21">_xlfn.LAMBDA("kg/m3")</definedName>
    <definedName name="Common_SourceData.Common_SourceData_DensityOfMethane_Unit" localSheetId="22">_xlfn.LAMBDA("kg/m3")</definedName>
    <definedName name="Common_SourceData.Common_SourceData_DensityOfMethane_Unit" localSheetId="23">_xlfn.LAMBDA("kg/m3")</definedName>
    <definedName name="Common_SourceData.Common_SourceData_DensityOfMethane_Unit" localSheetId="24">_xlfn.LAMBDA("kg/m3")</definedName>
    <definedName name="Common_SourceData.Common_SourceData_DensityOfMethane_Unit" localSheetId="33">_xlfn.LAMBDA("kg/m3")</definedName>
    <definedName name="Common_SourceData.Common_SourceData_DensityOfMethane_Unit" localSheetId="27">_xlfn.LAMBDA("kg/m3")</definedName>
    <definedName name="Common_SourceData.Common_SourceData_DensityOfMethane_Unit" localSheetId="32">_xlfn.LAMBDA("kg/m3")</definedName>
    <definedName name="Common_SourceData.Common_SourceData_DensityOfMethane_Unit" localSheetId="29">_xlfn.LAMBDA("kg/m3")</definedName>
    <definedName name="Common_SourceData.Common_SourceData_DensityOfMethane_Unit" localSheetId="30">_xlfn.LAMBDA("kg/m3")</definedName>
    <definedName name="Common_SourceData.Common_SourceData_DensityOfMethane_Unit" localSheetId="31">_xlfn.LAMBDA("kg/m3")</definedName>
    <definedName name="Common_SourceData.Common_SourceData_DensityOfMethane_Unit" localSheetId="28">_xlfn.LAMBDA("kg/m3")</definedName>
    <definedName name="Common_SourceData.Common_SourceData_DensityOfMethane_Unit" localSheetId="26">_xlfn.LAMBDA("kg/m3")</definedName>
    <definedName name="Common_SourceData.Common_SourceData_DensityOfMethane_Unit" localSheetId="9">_xlfn.LAMBDA("kg/m3")</definedName>
    <definedName name="Common_SourceData.Common_SourceData_DensityOfMethane_Unit" localSheetId="7">_xlfn.LAMBDA("kg/m3")</definedName>
    <definedName name="Common_SourceData.Common_SourceData_DensityOfMethane_Unit" localSheetId="8">_xlfn.LAMBDA("kg/m3")</definedName>
    <definedName name="Common_SourceData.Common_SourceData_DensityOfMethane_Unit" localSheetId="6">_xlfn.LAMBDA("kg/m3")</definedName>
    <definedName name="Common_SourceData.Common_SourceData_DensityOfMethane_Unit" localSheetId="4">_xlfn.LAMBDA("kg/m3")</definedName>
    <definedName name="Common_SourceData.Common_SourceData_DensityOfMethane_Unit" localSheetId="3">_xlfn.LAMBDA("kg/m3")</definedName>
    <definedName name="Common_SourceData.Common_SourceData_DensityOfMethane_Unit" localSheetId="34">_xlfn.LAMBDA("kg/m3")</definedName>
    <definedName name="Common_SourceData.Common_SourceData_DensityOfMethane_Unit">_xlfn.LAMBDA("kg/m3")</definedName>
    <definedName name="Common_SourceData.Common_SourceData_EFleach_Data" localSheetId="25">_xlfn.LAMBDA(_xlfn.MAKEARRAY(1, 2, _xlfn.LAMBDA(_xlpm.r,_xlpm.c, INDEX({"EFleach",0.011}, _xlpm.r, _xlpm.c))))</definedName>
    <definedName name="Common_SourceData.Common_SourceData_EFleach_Data" localSheetId="10">_xlfn.LAMBDA(_xlfn.MAKEARRAY(1, 2, _xlfn.LAMBDA(_xlpm.r,_xlpm.c, INDEX({"EFleach",0.011}, _xlpm.r, _xlpm.c))))</definedName>
    <definedName name="Common_SourceData.Common_SourceData_EFleach_Data" localSheetId="11">_xlfn.LAMBDA(_xlfn.MAKEARRAY(1, 2, _xlfn.LAMBDA(_xlpm.r,_xlpm.c, INDEX({"EFleach",0.011}, _xlpm.r, _xlpm.c))))</definedName>
    <definedName name="Common_SourceData.Common_SourceData_EFleach_Data" localSheetId="12">_xlfn.LAMBDA(_xlfn.MAKEARRAY(1, 2, _xlfn.LAMBDA(_xlpm.r,_xlpm.c, INDEX({"EFleach",0.011}, _xlpm.r, _xlpm.c))))</definedName>
    <definedName name="Common_SourceData.Common_SourceData_EFleach_Data" localSheetId="13">_xlfn.LAMBDA(_xlfn.MAKEARRAY(1, 2, _xlfn.LAMBDA(_xlpm.r,_xlpm.c, INDEX({"EFleach",0.011}, _xlpm.r, _xlpm.c))))</definedName>
    <definedName name="Common_SourceData.Common_SourceData_EFleach_Data" localSheetId="14">_xlfn.LAMBDA(_xlfn.MAKEARRAY(1, 2, _xlfn.LAMBDA(_xlpm.r,_xlpm.c, INDEX({"EFleach",0.011}, _xlpm.r, _xlpm.c))))</definedName>
    <definedName name="Common_SourceData.Common_SourceData_EFleach_Data" localSheetId="15">_xlfn.LAMBDA(_xlfn.MAKEARRAY(1, 2, _xlfn.LAMBDA(_xlpm.r,_xlpm.c, INDEX({"EFleach",0.011}, _xlpm.r, _xlpm.c))))</definedName>
    <definedName name="Common_SourceData.Common_SourceData_EFleach_Data" localSheetId="16">_xlfn.LAMBDA(_xlfn.MAKEARRAY(1, 2, _xlfn.LAMBDA(_xlpm.r,_xlpm.c, INDEX({"EFleach",0.011}, _xlpm.r, _xlpm.c))))</definedName>
    <definedName name="Common_SourceData.Common_SourceData_EFleach_Data" localSheetId="17">_xlfn.LAMBDA(_xlfn.MAKEARRAY(1, 2, _xlfn.LAMBDA(_xlpm.r,_xlpm.c, INDEX({"EFleach",0.011}, _xlpm.r, _xlpm.c))))</definedName>
    <definedName name="Common_SourceData.Common_SourceData_EFleach_Data" localSheetId="18">_xlfn.LAMBDA(_xlfn.MAKEARRAY(1, 2, _xlfn.LAMBDA(_xlpm.r,_xlpm.c, INDEX({"EFleach",0.011}, _xlpm.r, _xlpm.c))))</definedName>
    <definedName name="Common_SourceData.Common_SourceData_EFleach_Data" localSheetId="19">_xlfn.LAMBDA(_xlfn.MAKEARRAY(1, 2, _xlfn.LAMBDA(_xlpm.r,_xlpm.c, INDEX({"EFleach",0.011}, _xlpm.r, _xlpm.c))))</definedName>
    <definedName name="Common_SourceData.Common_SourceData_EFleach_Data" localSheetId="20">_xlfn.LAMBDA(_xlfn.MAKEARRAY(1, 2, _xlfn.LAMBDA(_xlpm.r,_xlpm.c, INDEX({"EFleach",0.011}, _xlpm.r, _xlpm.c))))</definedName>
    <definedName name="Common_SourceData.Common_SourceData_EFleach_Data" localSheetId="21">_xlfn.LAMBDA(_xlfn.MAKEARRAY(1, 2, _xlfn.LAMBDA(_xlpm.r,_xlpm.c, INDEX({"EFleach",0.011}, _xlpm.r, _xlpm.c))))</definedName>
    <definedName name="Common_SourceData.Common_SourceData_EFleach_Data" localSheetId="22">_xlfn.LAMBDA(_xlfn.MAKEARRAY(1, 2, _xlfn.LAMBDA(_xlpm.r,_xlpm.c, INDEX({"EFleach",0.011}, _xlpm.r, _xlpm.c))))</definedName>
    <definedName name="Common_SourceData.Common_SourceData_EFleach_Data" localSheetId="23">_xlfn.LAMBDA(_xlfn.MAKEARRAY(1, 2, _xlfn.LAMBDA(_xlpm.r,_xlpm.c, INDEX({"EFleach",0.011}, _xlpm.r, _xlpm.c))))</definedName>
    <definedName name="Common_SourceData.Common_SourceData_EFleach_Data" localSheetId="24">_xlfn.LAMBDA(_xlfn.MAKEARRAY(1, 2, _xlfn.LAMBDA(_xlpm.r,_xlpm.c, INDEX({"EFleach",0.011}, _xlpm.r, _xlpm.c))))</definedName>
    <definedName name="Common_SourceData.Common_SourceData_EFleach_Data" localSheetId="33">_xlfn.LAMBDA(_xlfn.MAKEARRAY(1, 2, _xlfn.LAMBDA(_xlpm.r,_xlpm.c, INDEX({"EFleach",0.011}, _xlpm.r, _xlpm.c))))</definedName>
    <definedName name="Common_SourceData.Common_SourceData_EFleach_Data" localSheetId="27">_xlfn.LAMBDA(_xlfn.MAKEARRAY(1, 2, _xlfn.LAMBDA(_xlpm.r,_xlpm.c, INDEX({"EFleach",0.011}, _xlpm.r, _xlpm.c))))</definedName>
    <definedName name="Common_SourceData.Common_SourceData_EFleach_Data" localSheetId="32">_xlfn.LAMBDA(_xlfn.MAKEARRAY(1, 2, _xlfn.LAMBDA(_xlpm.r,_xlpm.c, INDEX({"EFleach",0.011}, _xlpm.r, _xlpm.c))))</definedName>
    <definedName name="Common_SourceData.Common_SourceData_EFleach_Data" localSheetId="29">_xlfn.LAMBDA(_xlfn.MAKEARRAY(1, 2, _xlfn.LAMBDA(_xlpm.r,_xlpm.c, INDEX({"EFleach",0.011}, _xlpm.r, _xlpm.c))))</definedName>
    <definedName name="Common_SourceData.Common_SourceData_EFleach_Data" localSheetId="30">_xlfn.LAMBDA(_xlfn.MAKEARRAY(1, 2, _xlfn.LAMBDA(_xlpm.r,_xlpm.c, INDEX({"EFleach",0.011}, _xlpm.r, _xlpm.c))))</definedName>
    <definedName name="Common_SourceData.Common_SourceData_EFleach_Data" localSheetId="31">_xlfn.LAMBDA(_xlfn.MAKEARRAY(1, 2, _xlfn.LAMBDA(_xlpm.r,_xlpm.c, INDEX({"EFleach",0.011}, _xlpm.r, _xlpm.c))))</definedName>
    <definedName name="Common_SourceData.Common_SourceData_EFleach_Data" localSheetId="28">_xlfn.LAMBDA(_xlfn.MAKEARRAY(1, 2, _xlfn.LAMBDA(_xlpm.r,_xlpm.c, INDEX({"EFleach",0.011}, _xlpm.r, _xlpm.c))))</definedName>
    <definedName name="Common_SourceData.Common_SourceData_EFleach_Data" localSheetId="26">_xlfn.LAMBDA(_xlfn.MAKEARRAY(1, 2, _xlfn.LAMBDA(_xlpm.r,_xlpm.c, INDEX({"EFleach",0.011}, _xlpm.r, _xlpm.c))))</definedName>
    <definedName name="Common_SourceData.Common_SourceData_EFleach_Data" localSheetId="9">_xlfn.LAMBDA(_xlfn.MAKEARRAY(1, 2, _xlfn.LAMBDA(_xlpm.r,_xlpm.c, INDEX({"EFleach",0.011}, _xlpm.r, _xlpm.c))))</definedName>
    <definedName name="Common_SourceData.Common_SourceData_EFleach_Data" localSheetId="7">_xlfn.LAMBDA(_xlfn.MAKEARRAY(1, 2, _xlfn.LAMBDA(_xlpm.r,_xlpm.c, INDEX({"EFleach",0.011}, _xlpm.r, _xlpm.c))))</definedName>
    <definedName name="Common_SourceData.Common_SourceData_EFleach_Data" localSheetId="8">_xlfn.LAMBDA(_xlfn.MAKEARRAY(1, 2, _xlfn.LAMBDA(_xlpm.r,_xlpm.c, INDEX({"EFleach",0.011}, _xlpm.r, _xlpm.c))))</definedName>
    <definedName name="Common_SourceData.Common_SourceData_EFleach_Data" localSheetId="6">_xlfn.LAMBDA(_xlfn.MAKEARRAY(1, 2, _xlfn.LAMBDA(_xlpm.r,_xlpm.c, INDEX({"EFleach",0.011}, _xlpm.r, _xlpm.c))))</definedName>
    <definedName name="Common_SourceData.Common_SourceData_EFleach_Data" localSheetId="4">_xlfn.LAMBDA(_xlfn.MAKEARRAY(1, 2, _xlfn.LAMBDA(_xlpm.r,_xlpm.c, INDEX({"EFleach",0.011}, _xlpm.r, _xlpm.c))))</definedName>
    <definedName name="Common_SourceData.Common_SourceData_EFleach_Data" localSheetId="3">_xlfn.LAMBDA(_xlfn.MAKEARRAY(1, 2, _xlfn.LAMBDA(_xlpm.r,_xlpm.c, INDEX({"EFleach",0.011}, _xlpm.r, _xlpm.c))))</definedName>
    <definedName name="Common_SourceData.Common_SourceData_EFleach_Data" localSheetId="3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 localSheetId="25">_xlfn.LAMBDA("National Inventory Report Volume 1: Equation 3.D.B_10")</definedName>
    <definedName name="Common_SourceData.Common_SourceData_EFleach_NIRReference" localSheetId="10">_xlfn.LAMBDA("National Inventory Report Volume 1: Equation 3.D.B_10")</definedName>
    <definedName name="Common_SourceData.Common_SourceData_EFleach_NIRReference" localSheetId="11">_xlfn.LAMBDA("National Inventory Report Volume 1: Equation 3.D.B_10")</definedName>
    <definedName name="Common_SourceData.Common_SourceData_EFleach_NIRReference" localSheetId="12">_xlfn.LAMBDA("National Inventory Report Volume 1: Equation 3.D.B_10")</definedName>
    <definedName name="Common_SourceData.Common_SourceData_EFleach_NIRReference" localSheetId="13">_xlfn.LAMBDA("National Inventory Report Volume 1: Equation 3.D.B_10")</definedName>
    <definedName name="Common_SourceData.Common_SourceData_EFleach_NIRReference" localSheetId="14">_xlfn.LAMBDA("National Inventory Report Volume 1: Equation 3.D.B_10")</definedName>
    <definedName name="Common_SourceData.Common_SourceData_EFleach_NIRReference" localSheetId="15">_xlfn.LAMBDA("National Inventory Report Volume 1: Equation 3.D.B_10")</definedName>
    <definedName name="Common_SourceData.Common_SourceData_EFleach_NIRReference" localSheetId="16">_xlfn.LAMBDA("National Inventory Report Volume 1: Equation 3.D.B_10")</definedName>
    <definedName name="Common_SourceData.Common_SourceData_EFleach_NIRReference" localSheetId="17">_xlfn.LAMBDA("National Inventory Report Volume 1: Equation 3.D.B_10")</definedName>
    <definedName name="Common_SourceData.Common_SourceData_EFleach_NIRReference" localSheetId="18">_xlfn.LAMBDA("National Inventory Report Volume 1: Equation 3.D.B_10")</definedName>
    <definedName name="Common_SourceData.Common_SourceData_EFleach_NIRReference" localSheetId="19">_xlfn.LAMBDA("National Inventory Report Volume 1: Equation 3.D.B_10")</definedName>
    <definedName name="Common_SourceData.Common_SourceData_EFleach_NIRReference" localSheetId="20">_xlfn.LAMBDA("National Inventory Report Volume 1: Equation 3.D.B_10")</definedName>
    <definedName name="Common_SourceData.Common_SourceData_EFleach_NIRReference" localSheetId="21">_xlfn.LAMBDA("National Inventory Report Volume 1: Equation 3.D.B_10")</definedName>
    <definedName name="Common_SourceData.Common_SourceData_EFleach_NIRReference" localSheetId="22">_xlfn.LAMBDA("National Inventory Report Volume 1: Equation 3.D.B_10")</definedName>
    <definedName name="Common_SourceData.Common_SourceData_EFleach_NIRReference" localSheetId="23">_xlfn.LAMBDA("National Inventory Report Volume 1: Equation 3.D.B_10")</definedName>
    <definedName name="Common_SourceData.Common_SourceData_EFleach_NIRReference" localSheetId="24">_xlfn.LAMBDA("National Inventory Report Volume 1: Equation 3.D.B_10")</definedName>
    <definedName name="Common_SourceData.Common_SourceData_EFleach_NIRReference" localSheetId="33">_xlfn.LAMBDA("National Inventory Report Volume 1: Equation 3.D.B_10")</definedName>
    <definedName name="Common_SourceData.Common_SourceData_EFleach_NIRReference" localSheetId="27">_xlfn.LAMBDA("National Inventory Report Volume 1: Equation 3.D.B_10")</definedName>
    <definedName name="Common_SourceData.Common_SourceData_EFleach_NIRReference" localSheetId="32">_xlfn.LAMBDA("National Inventory Report Volume 1: Equation 3.D.B_10")</definedName>
    <definedName name="Common_SourceData.Common_SourceData_EFleach_NIRReference" localSheetId="29">_xlfn.LAMBDA("National Inventory Report Volume 1: Equation 3.D.B_10")</definedName>
    <definedName name="Common_SourceData.Common_SourceData_EFleach_NIRReference" localSheetId="30">_xlfn.LAMBDA("National Inventory Report Volume 1: Equation 3.D.B_10")</definedName>
    <definedName name="Common_SourceData.Common_SourceData_EFleach_NIRReference" localSheetId="31">_xlfn.LAMBDA("National Inventory Report Volume 1: Equation 3.D.B_10")</definedName>
    <definedName name="Common_SourceData.Common_SourceData_EFleach_NIRReference" localSheetId="28">_xlfn.LAMBDA("National Inventory Report Volume 1: Equation 3.D.B_10")</definedName>
    <definedName name="Common_SourceData.Common_SourceData_EFleach_NIRReference" localSheetId="26">_xlfn.LAMBDA("National Inventory Report Volume 1: Equation 3.D.B_10")</definedName>
    <definedName name="Common_SourceData.Common_SourceData_EFleach_NIRReference" localSheetId="9">_xlfn.LAMBDA("National Inventory Report Volume 1: Equation 3.D.B_10")</definedName>
    <definedName name="Common_SourceData.Common_SourceData_EFleach_NIRReference" localSheetId="7">_xlfn.LAMBDA("National Inventory Report Volume 1: Equation 3.D.B_10")</definedName>
    <definedName name="Common_SourceData.Common_SourceData_EFleach_NIRReference" localSheetId="8">_xlfn.LAMBDA("National Inventory Report Volume 1: Equation 3.D.B_10")</definedName>
    <definedName name="Common_SourceData.Common_SourceData_EFleach_NIRReference" localSheetId="6">_xlfn.LAMBDA("National Inventory Report Volume 1: Equation 3.D.B_10")</definedName>
    <definedName name="Common_SourceData.Common_SourceData_EFleach_NIRReference" localSheetId="4">_xlfn.LAMBDA("National Inventory Report Volume 1: Equation 3.D.B_10")</definedName>
    <definedName name="Common_SourceData.Common_SourceData_EFleach_NIRReference" localSheetId="3">_xlfn.LAMBDA("National Inventory Report Volume 1: Equation 3.D.B_10")</definedName>
    <definedName name="Common_SourceData.Common_SourceData_EFleach_NIRReference" localSheetId="34">_xlfn.LAMBDA("National Inventory Report Volume 1: Equation 3.D.B_10")</definedName>
    <definedName name="Common_SourceData.Common_SourceData_EFleach_NIRReference">_xlfn.LAMBDA("National Inventory Report Volume 1: Equation 3.D.B_10")</definedName>
    <definedName name="Common_SourceData.Common_SourceData_EFleach_Source" localSheetId="25">_xlfn.LAMBDA("VEERG 2026:5.5.2.3 Constant Parameters")</definedName>
    <definedName name="Common_SourceData.Common_SourceData_EFleach_Source" localSheetId="10">_xlfn.LAMBDA("VEERG 2026:5.5.2.3 Constant Parameters")</definedName>
    <definedName name="Common_SourceData.Common_SourceData_EFleach_Source" localSheetId="11">_xlfn.LAMBDA("VEERG 2026:5.5.2.3 Constant Parameters")</definedName>
    <definedName name="Common_SourceData.Common_SourceData_EFleach_Source" localSheetId="12">_xlfn.LAMBDA("VEERG 2026:5.5.2.3 Constant Parameters")</definedName>
    <definedName name="Common_SourceData.Common_SourceData_EFleach_Source" localSheetId="13">_xlfn.LAMBDA("VEERG 2026:5.5.2.3 Constant Parameters")</definedName>
    <definedName name="Common_SourceData.Common_SourceData_EFleach_Source" localSheetId="14">_xlfn.LAMBDA("VEERG 2026:5.5.2.3 Constant Parameters")</definedName>
    <definedName name="Common_SourceData.Common_SourceData_EFleach_Source" localSheetId="15">_xlfn.LAMBDA("VEERG 2026:5.5.2.3 Constant Parameters")</definedName>
    <definedName name="Common_SourceData.Common_SourceData_EFleach_Source" localSheetId="16">_xlfn.LAMBDA("VEERG 2026:5.5.2.3 Constant Parameters")</definedName>
    <definedName name="Common_SourceData.Common_SourceData_EFleach_Source" localSheetId="17">_xlfn.LAMBDA("VEERG 2026:5.5.2.3 Constant Parameters")</definedName>
    <definedName name="Common_SourceData.Common_SourceData_EFleach_Source" localSheetId="18">_xlfn.LAMBDA("VEERG 2026:5.5.2.3 Constant Parameters")</definedName>
    <definedName name="Common_SourceData.Common_SourceData_EFleach_Source" localSheetId="19">_xlfn.LAMBDA("VEERG 2026:5.5.2.3 Constant Parameters")</definedName>
    <definedName name="Common_SourceData.Common_SourceData_EFleach_Source" localSheetId="20">_xlfn.LAMBDA("VEERG 2026:5.5.2.3 Constant Parameters")</definedName>
    <definedName name="Common_SourceData.Common_SourceData_EFleach_Source" localSheetId="21">_xlfn.LAMBDA("VEERG 2026:5.5.2.3 Constant Parameters")</definedName>
    <definedName name="Common_SourceData.Common_SourceData_EFleach_Source" localSheetId="22">_xlfn.LAMBDA("VEERG 2026:5.5.2.3 Constant Parameters")</definedName>
    <definedName name="Common_SourceData.Common_SourceData_EFleach_Source" localSheetId="23">_xlfn.LAMBDA("VEERG 2026:5.5.2.3 Constant Parameters")</definedName>
    <definedName name="Common_SourceData.Common_SourceData_EFleach_Source" localSheetId="24">_xlfn.LAMBDA("VEERG 2026:5.5.2.3 Constant Parameters")</definedName>
    <definedName name="Common_SourceData.Common_SourceData_EFleach_Source" localSheetId="33">_xlfn.LAMBDA("VEERG 2026:5.5.2.3 Constant Parameters")</definedName>
    <definedName name="Common_SourceData.Common_SourceData_EFleach_Source" localSheetId="27">_xlfn.LAMBDA("VEERG 2026:5.5.2.3 Constant Parameters")</definedName>
    <definedName name="Common_SourceData.Common_SourceData_EFleach_Source" localSheetId="32">_xlfn.LAMBDA("VEERG 2026:5.5.2.3 Constant Parameters")</definedName>
    <definedName name="Common_SourceData.Common_SourceData_EFleach_Source" localSheetId="29">_xlfn.LAMBDA("VEERG 2026:5.5.2.3 Constant Parameters")</definedName>
    <definedName name="Common_SourceData.Common_SourceData_EFleach_Source" localSheetId="30">_xlfn.LAMBDA("VEERG 2026:5.5.2.3 Constant Parameters")</definedName>
    <definedName name="Common_SourceData.Common_SourceData_EFleach_Source" localSheetId="31">_xlfn.LAMBDA("VEERG 2026:5.5.2.3 Constant Parameters")</definedName>
    <definedName name="Common_SourceData.Common_SourceData_EFleach_Source" localSheetId="28">_xlfn.LAMBDA("VEERG 2026:5.5.2.3 Constant Parameters")</definedName>
    <definedName name="Common_SourceData.Common_SourceData_EFleach_Source" localSheetId="26">_xlfn.LAMBDA("VEERG 2026:5.5.2.3 Constant Parameters")</definedName>
    <definedName name="Common_SourceData.Common_SourceData_EFleach_Source" localSheetId="9">_xlfn.LAMBDA("VEERG 2026:5.5.2.3 Constant Parameters")</definedName>
    <definedName name="Common_SourceData.Common_SourceData_EFleach_Source" localSheetId="7">_xlfn.LAMBDA("VEERG 2026:5.5.2.3 Constant Parameters")</definedName>
    <definedName name="Common_SourceData.Common_SourceData_EFleach_Source" localSheetId="8">_xlfn.LAMBDA("VEERG 2026:5.5.2.3 Constant Parameters")</definedName>
    <definedName name="Common_SourceData.Common_SourceData_EFleach_Source" localSheetId="6">_xlfn.LAMBDA("VEERG 2026:5.5.2.3 Constant Parameters")</definedName>
    <definedName name="Common_SourceData.Common_SourceData_EFleach_Source" localSheetId="4">_xlfn.LAMBDA("VEERG 2026:5.5.2.3 Constant Parameters")</definedName>
    <definedName name="Common_SourceData.Common_SourceData_EFleach_Source" localSheetId="3">_xlfn.LAMBDA("VEERG 2026:5.5.2.3 Constant Parameters")</definedName>
    <definedName name="Common_SourceData.Common_SourceData_EFleach_Source" localSheetId="34">_xlfn.LAMBDA("VEERG 2026:5.5.2.3 Constant Parameters")</definedName>
    <definedName name="Common_SourceData.Common_SourceData_EFleach_Source">_xlfn.LAMBDA("VEERG 2026:5.5.2.3 Constant Parameters")</definedName>
    <definedName name="Common_SourceData.Common_SourceData_EFleach_Title" localSheetId="25">_xlfn.LAMBDA("Emission factor for nitrogen leaching and runoff")</definedName>
    <definedName name="Common_SourceData.Common_SourceData_EFleach_Title" localSheetId="10">_xlfn.LAMBDA("Emission factor for nitrogen leaching and runoff")</definedName>
    <definedName name="Common_SourceData.Common_SourceData_EFleach_Title" localSheetId="11">_xlfn.LAMBDA("Emission factor for nitrogen leaching and runoff")</definedName>
    <definedName name="Common_SourceData.Common_SourceData_EFleach_Title" localSheetId="12">_xlfn.LAMBDA("Emission factor for nitrogen leaching and runoff")</definedName>
    <definedName name="Common_SourceData.Common_SourceData_EFleach_Title" localSheetId="13">_xlfn.LAMBDA("Emission factor for nitrogen leaching and runoff")</definedName>
    <definedName name="Common_SourceData.Common_SourceData_EFleach_Title" localSheetId="14">_xlfn.LAMBDA("Emission factor for nitrogen leaching and runoff")</definedName>
    <definedName name="Common_SourceData.Common_SourceData_EFleach_Title" localSheetId="15">_xlfn.LAMBDA("Emission factor for nitrogen leaching and runoff")</definedName>
    <definedName name="Common_SourceData.Common_SourceData_EFleach_Title" localSheetId="16">_xlfn.LAMBDA("Emission factor for nitrogen leaching and runoff")</definedName>
    <definedName name="Common_SourceData.Common_SourceData_EFleach_Title" localSheetId="17">_xlfn.LAMBDA("Emission factor for nitrogen leaching and runoff")</definedName>
    <definedName name="Common_SourceData.Common_SourceData_EFleach_Title" localSheetId="18">_xlfn.LAMBDA("Emission factor for nitrogen leaching and runoff")</definedName>
    <definedName name="Common_SourceData.Common_SourceData_EFleach_Title" localSheetId="19">_xlfn.LAMBDA("Emission factor for nitrogen leaching and runoff")</definedName>
    <definedName name="Common_SourceData.Common_SourceData_EFleach_Title" localSheetId="20">_xlfn.LAMBDA("Emission factor for nitrogen leaching and runoff")</definedName>
    <definedName name="Common_SourceData.Common_SourceData_EFleach_Title" localSheetId="21">_xlfn.LAMBDA("Emission factor for nitrogen leaching and runoff")</definedName>
    <definedName name="Common_SourceData.Common_SourceData_EFleach_Title" localSheetId="22">_xlfn.LAMBDA("Emission factor for nitrogen leaching and runoff")</definedName>
    <definedName name="Common_SourceData.Common_SourceData_EFleach_Title" localSheetId="23">_xlfn.LAMBDA("Emission factor for nitrogen leaching and runoff")</definedName>
    <definedName name="Common_SourceData.Common_SourceData_EFleach_Title" localSheetId="24">_xlfn.LAMBDA("Emission factor for nitrogen leaching and runoff")</definedName>
    <definedName name="Common_SourceData.Common_SourceData_EFleach_Title" localSheetId="33">_xlfn.LAMBDA("Emission factor for nitrogen leaching and runoff")</definedName>
    <definedName name="Common_SourceData.Common_SourceData_EFleach_Title" localSheetId="27">_xlfn.LAMBDA("Emission factor for nitrogen leaching and runoff")</definedName>
    <definedName name="Common_SourceData.Common_SourceData_EFleach_Title" localSheetId="32">_xlfn.LAMBDA("Emission factor for nitrogen leaching and runoff")</definedName>
    <definedName name="Common_SourceData.Common_SourceData_EFleach_Title" localSheetId="29">_xlfn.LAMBDA("Emission factor for nitrogen leaching and runoff")</definedName>
    <definedName name="Common_SourceData.Common_SourceData_EFleach_Title" localSheetId="30">_xlfn.LAMBDA("Emission factor for nitrogen leaching and runoff")</definedName>
    <definedName name="Common_SourceData.Common_SourceData_EFleach_Title" localSheetId="31">_xlfn.LAMBDA("Emission factor for nitrogen leaching and runoff")</definedName>
    <definedName name="Common_SourceData.Common_SourceData_EFleach_Title" localSheetId="28">_xlfn.LAMBDA("Emission factor for nitrogen leaching and runoff")</definedName>
    <definedName name="Common_SourceData.Common_SourceData_EFleach_Title" localSheetId="26">_xlfn.LAMBDA("Emission factor for nitrogen leaching and runoff")</definedName>
    <definedName name="Common_SourceData.Common_SourceData_EFleach_Title" localSheetId="9">_xlfn.LAMBDA("Emission factor for nitrogen leaching and runoff")</definedName>
    <definedName name="Common_SourceData.Common_SourceData_EFleach_Title" localSheetId="7">_xlfn.LAMBDA("Emission factor for nitrogen leaching and runoff")</definedName>
    <definedName name="Common_SourceData.Common_SourceData_EFleach_Title" localSheetId="8">_xlfn.LAMBDA("Emission factor for nitrogen leaching and runoff")</definedName>
    <definedName name="Common_SourceData.Common_SourceData_EFleach_Title" localSheetId="6">_xlfn.LAMBDA("Emission factor for nitrogen leaching and runoff")</definedName>
    <definedName name="Common_SourceData.Common_SourceData_EFleach_Title" localSheetId="4">_xlfn.LAMBDA("Emission factor for nitrogen leaching and runoff")</definedName>
    <definedName name="Common_SourceData.Common_SourceData_EFleach_Title" localSheetId="3">_xlfn.LAMBDA("Emission factor for nitrogen leaching and runoff")</definedName>
    <definedName name="Common_SourceData.Common_SourceData_EFleach_Title" localSheetId="34">_xlfn.LAMBDA("Emission factor for nitrogen leaching and runoff")</definedName>
    <definedName name="Common_SourceData.Common_SourceData_EFleach_Title">_xlfn.LAMBDA("Emission factor for nitrogen leaching and runoff")</definedName>
    <definedName name="Common_SourceData.Common_SourceData_EFleach_Unit" localSheetId="25">_xlfn.LAMBDA("(kg N2O-N / kg N")</definedName>
    <definedName name="Common_SourceData.Common_SourceData_EFleach_Unit" localSheetId="10">_xlfn.LAMBDA("(kg N2O-N / kg N")</definedName>
    <definedName name="Common_SourceData.Common_SourceData_EFleach_Unit" localSheetId="11">_xlfn.LAMBDA("(kg N2O-N / kg N")</definedName>
    <definedName name="Common_SourceData.Common_SourceData_EFleach_Unit" localSheetId="12">_xlfn.LAMBDA("(kg N2O-N / kg N")</definedName>
    <definedName name="Common_SourceData.Common_SourceData_EFleach_Unit" localSheetId="13">_xlfn.LAMBDA("(kg N2O-N / kg N")</definedName>
    <definedName name="Common_SourceData.Common_SourceData_EFleach_Unit" localSheetId="14">_xlfn.LAMBDA("(kg N2O-N / kg N")</definedName>
    <definedName name="Common_SourceData.Common_SourceData_EFleach_Unit" localSheetId="15">_xlfn.LAMBDA("(kg N2O-N / kg N")</definedName>
    <definedName name="Common_SourceData.Common_SourceData_EFleach_Unit" localSheetId="16">_xlfn.LAMBDA("(kg N2O-N / kg N")</definedName>
    <definedName name="Common_SourceData.Common_SourceData_EFleach_Unit" localSheetId="17">_xlfn.LAMBDA("(kg N2O-N / kg N")</definedName>
    <definedName name="Common_SourceData.Common_SourceData_EFleach_Unit" localSheetId="18">_xlfn.LAMBDA("(kg N2O-N / kg N")</definedName>
    <definedName name="Common_SourceData.Common_SourceData_EFleach_Unit" localSheetId="19">_xlfn.LAMBDA("(kg N2O-N / kg N")</definedName>
    <definedName name="Common_SourceData.Common_SourceData_EFleach_Unit" localSheetId="20">_xlfn.LAMBDA("(kg N2O-N / kg N")</definedName>
    <definedName name="Common_SourceData.Common_SourceData_EFleach_Unit" localSheetId="21">_xlfn.LAMBDA("(kg N2O-N / kg N")</definedName>
    <definedName name="Common_SourceData.Common_SourceData_EFleach_Unit" localSheetId="22">_xlfn.LAMBDA("(kg N2O-N / kg N")</definedName>
    <definedName name="Common_SourceData.Common_SourceData_EFleach_Unit" localSheetId="23">_xlfn.LAMBDA("(kg N2O-N / kg N")</definedName>
    <definedName name="Common_SourceData.Common_SourceData_EFleach_Unit" localSheetId="24">_xlfn.LAMBDA("(kg N2O-N / kg N")</definedName>
    <definedName name="Common_SourceData.Common_SourceData_EFleach_Unit" localSheetId="33">_xlfn.LAMBDA("(kg N2O-N / kg N")</definedName>
    <definedName name="Common_SourceData.Common_SourceData_EFleach_Unit" localSheetId="27">_xlfn.LAMBDA("(kg N2O-N / kg N")</definedName>
    <definedName name="Common_SourceData.Common_SourceData_EFleach_Unit" localSheetId="32">_xlfn.LAMBDA("(kg N2O-N / kg N")</definedName>
    <definedName name="Common_SourceData.Common_SourceData_EFleach_Unit" localSheetId="29">_xlfn.LAMBDA("(kg N2O-N / kg N")</definedName>
    <definedName name="Common_SourceData.Common_SourceData_EFleach_Unit" localSheetId="30">_xlfn.LAMBDA("(kg N2O-N / kg N")</definedName>
    <definedName name="Common_SourceData.Common_SourceData_EFleach_Unit" localSheetId="31">_xlfn.LAMBDA("(kg N2O-N / kg N")</definedName>
    <definedName name="Common_SourceData.Common_SourceData_EFleach_Unit" localSheetId="28">_xlfn.LAMBDA("(kg N2O-N / kg N")</definedName>
    <definedName name="Common_SourceData.Common_SourceData_EFleach_Unit" localSheetId="26">_xlfn.LAMBDA("(kg N2O-N / kg N")</definedName>
    <definedName name="Common_SourceData.Common_SourceData_EFleach_Unit" localSheetId="9">_xlfn.LAMBDA("(kg N2O-N / kg N")</definedName>
    <definedName name="Common_SourceData.Common_SourceData_EFleach_Unit" localSheetId="7">_xlfn.LAMBDA("(kg N2O-N / kg N")</definedName>
    <definedName name="Common_SourceData.Common_SourceData_EFleach_Unit" localSheetId="8">_xlfn.LAMBDA("(kg N2O-N / kg N")</definedName>
    <definedName name="Common_SourceData.Common_SourceData_EFleach_Unit" localSheetId="6">_xlfn.LAMBDA("(kg N2O-N / kg N")</definedName>
    <definedName name="Common_SourceData.Common_SourceData_EFleach_Unit" localSheetId="4">_xlfn.LAMBDA("(kg N2O-N / kg N")</definedName>
    <definedName name="Common_SourceData.Common_SourceData_EFleach_Unit" localSheetId="3">_xlfn.LAMBDA("(kg N2O-N / kg N")</definedName>
    <definedName name="Common_SourceData.Common_SourceData_EFleach_Unit" localSheetId="34">_xlfn.LAMBDA("(kg N2O-N / kg N")</definedName>
    <definedName name="Common_SourceData.Common_SourceData_EFleach_Unit">_xlfn.LAMBDA("(kg N2O-N / kg N")</definedName>
    <definedName name="Common_SourceData.Common_SourceData_EFleach_Variation" localSheetId="25">_xlfn.LAMBDA((""))</definedName>
    <definedName name="Common_SourceData.Common_SourceData_EFleach_Variation" localSheetId="10">_xlfn.LAMBDA((""))</definedName>
    <definedName name="Common_SourceData.Common_SourceData_EFleach_Variation" localSheetId="11">_xlfn.LAMBDA((""))</definedName>
    <definedName name="Common_SourceData.Common_SourceData_EFleach_Variation" localSheetId="12">_xlfn.LAMBDA((""))</definedName>
    <definedName name="Common_SourceData.Common_SourceData_EFleach_Variation" localSheetId="13">_xlfn.LAMBDA((""))</definedName>
    <definedName name="Common_SourceData.Common_SourceData_EFleach_Variation" localSheetId="14">_xlfn.LAMBDA((""))</definedName>
    <definedName name="Common_SourceData.Common_SourceData_EFleach_Variation" localSheetId="15">_xlfn.LAMBDA((""))</definedName>
    <definedName name="Common_SourceData.Common_SourceData_EFleach_Variation" localSheetId="16">_xlfn.LAMBDA((""))</definedName>
    <definedName name="Common_SourceData.Common_SourceData_EFleach_Variation" localSheetId="17">_xlfn.LAMBDA((""))</definedName>
    <definedName name="Common_SourceData.Common_SourceData_EFleach_Variation" localSheetId="18">_xlfn.LAMBDA((""))</definedName>
    <definedName name="Common_SourceData.Common_SourceData_EFleach_Variation" localSheetId="19">_xlfn.LAMBDA((""))</definedName>
    <definedName name="Common_SourceData.Common_SourceData_EFleach_Variation" localSheetId="20">_xlfn.LAMBDA((""))</definedName>
    <definedName name="Common_SourceData.Common_SourceData_EFleach_Variation" localSheetId="21">_xlfn.LAMBDA((""))</definedName>
    <definedName name="Common_SourceData.Common_SourceData_EFleach_Variation" localSheetId="22">_xlfn.LAMBDA((""))</definedName>
    <definedName name="Common_SourceData.Common_SourceData_EFleach_Variation" localSheetId="23">_xlfn.LAMBDA((""))</definedName>
    <definedName name="Common_SourceData.Common_SourceData_EFleach_Variation" localSheetId="24">_xlfn.LAMBDA((""))</definedName>
    <definedName name="Common_SourceData.Common_SourceData_EFleach_Variation" localSheetId="33">_xlfn.LAMBDA((""))</definedName>
    <definedName name="Common_SourceData.Common_SourceData_EFleach_Variation" localSheetId="27">_xlfn.LAMBDA((""))</definedName>
    <definedName name="Common_SourceData.Common_SourceData_EFleach_Variation" localSheetId="32">_xlfn.LAMBDA((""))</definedName>
    <definedName name="Common_SourceData.Common_SourceData_EFleach_Variation" localSheetId="29">_xlfn.LAMBDA((""))</definedName>
    <definedName name="Common_SourceData.Common_SourceData_EFleach_Variation" localSheetId="30">_xlfn.LAMBDA((""))</definedName>
    <definedName name="Common_SourceData.Common_SourceData_EFleach_Variation" localSheetId="31">_xlfn.LAMBDA((""))</definedName>
    <definedName name="Common_SourceData.Common_SourceData_EFleach_Variation" localSheetId="28">_xlfn.LAMBDA((""))</definedName>
    <definedName name="Common_SourceData.Common_SourceData_EFleach_Variation" localSheetId="26">_xlfn.LAMBDA((""))</definedName>
    <definedName name="Common_SourceData.Common_SourceData_EFleach_Variation" localSheetId="9">_xlfn.LAMBDA((""))</definedName>
    <definedName name="Common_SourceData.Common_SourceData_EFleach_Variation" localSheetId="7">_xlfn.LAMBDA((""))</definedName>
    <definedName name="Common_SourceData.Common_SourceData_EFleach_Variation" localSheetId="8">_xlfn.LAMBDA((""))</definedName>
    <definedName name="Common_SourceData.Common_SourceData_EFleach_Variation" localSheetId="6">_xlfn.LAMBDA((""))</definedName>
    <definedName name="Common_SourceData.Common_SourceData_EFleach_Variation" localSheetId="4">_xlfn.LAMBDA((""))</definedName>
    <definedName name="Common_SourceData.Common_SourceData_EFleach_Variation" localSheetId="3">_xlfn.LAMBDA((""))</definedName>
    <definedName name="Common_SourceData.Common_SourceData_EFleach_Variation" localSheetId="34">_xlfn.LAMBDA((""))</definedName>
    <definedName name="Common_SourceData.Common_SourceData_EFleach_Variation">_xlfn.LAMBDA((""))</definedName>
    <definedName name="Common_SourceData.Common_SourceData_EFN2O_Data" localSheetId="2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5">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1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2">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0">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2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9">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7">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8">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3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 localSheetId="25">_xlfn.LAMBDA("")</definedName>
    <definedName name="Common_SourceData.Common_SourceData_EFN2O_NIRReference" localSheetId="10">_xlfn.LAMBDA("")</definedName>
    <definedName name="Common_SourceData.Common_SourceData_EFN2O_NIRReference" localSheetId="11">_xlfn.LAMBDA("")</definedName>
    <definedName name="Common_SourceData.Common_SourceData_EFN2O_NIRReference" localSheetId="12">_xlfn.LAMBDA("")</definedName>
    <definedName name="Common_SourceData.Common_SourceData_EFN2O_NIRReference" localSheetId="13">_xlfn.LAMBDA("")</definedName>
    <definedName name="Common_SourceData.Common_SourceData_EFN2O_NIRReference" localSheetId="14">_xlfn.LAMBDA("")</definedName>
    <definedName name="Common_SourceData.Common_SourceData_EFN2O_NIRReference" localSheetId="15">_xlfn.LAMBDA("")</definedName>
    <definedName name="Common_SourceData.Common_SourceData_EFN2O_NIRReference" localSheetId="16">_xlfn.LAMBDA("")</definedName>
    <definedName name="Common_SourceData.Common_SourceData_EFN2O_NIRReference" localSheetId="17">_xlfn.LAMBDA("")</definedName>
    <definedName name="Common_SourceData.Common_SourceData_EFN2O_NIRReference" localSheetId="18">_xlfn.LAMBDA("")</definedName>
    <definedName name="Common_SourceData.Common_SourceData_EFN2O_NIRReference" localSheetId="19">_xlfn.LAMBDA("")</definedName>
    <definedName name="Common_SourceData.Common_SourceData_EFN2O_NIRReference" localSheetId="20">_xlfn.LAMBDA("")</definedName>
    <definedName name="Common_SourceData.Common_SourceData_EFN2O_NIRReference" localSheetId="21">_xlfn.LAMBDA("")</definedName>
    <definedName name="Common_SourceData.Common_SourceData_EFN2O_NIRReference" localSheetId="22">_xlfn.LAMBDA("")</definedName>
    <definedName name="Common_SourceData.Common_SourceData_EFN2O_NIRReference" localSheetId="23">_xlfn.LAMBDA("")</definedName>
    <definedName name="Common_SourceData.Common_SourceData_EFN2O_NIRReference" localSheetId="24">_xlfn.LAMBDA("")</definedName>
    <definedName name="Common_SourceData.Common_SourceData_EFN2O_NIRReference" localSheetId="33">_xlfn.LAMBDA("")</definedName>
    <definedName name="Common_SourceData.Common_SourceData_EFN2O_NIRReference" localSheetId="27">_xlfn.LAMBDA("")</definedName>
    <definedName name="Common_SourceData.Common_SourceData_EFN2O_NIRReference" localSheetId="32">_xlfn.LAMBDA("")</definedName>
    <definedName name="Common_SourceData.Common_SourceData_EFN2O_NIRReference" localSheetId="29">_xlfn.LAMBDA("")</definedName>
    <definedName name="Common_SourceData.Common_SourceData_EFN2O_NIRReference" localSheetId="30">_xlfn.LAMBDA("")</definedName>
    <definedName name="Common_SourceData.Common_SourceData_EFN2O_NIRReference" localSheetId="31">_xlfn.LAMBDA("")</definedName>
    <definedName name="Common_SourceData.Common_SourceData_EFN2O_NIRReference" localSheetId="28">_xlfn.LAMBDA("")</definedName>
    <definedName name="Common_SourceData.Common_SourceData_EFN2O_NIRReference" localSheetId="26">_xlfn.LAMBDA("")</definedName>
    <definedName name="Common_SourceData.Common_SourceData_EFN2O_NIRReference" localSheetId="9">_xlfn.LAMBDA("")</definedName>
    <definedName name="Common_SourceData.Common_SourceData_EFN2O_NIRReference" localSheetId="7">_xlfn.LAMBDA("")</definedName>
    <definedName name="Common_SourceData.Common_SourceData_EFN2O_NIRReference" localSheetId="8">_xlfn.LAMBDA("")</definedName>
    <definedName name="Common_SourceData.Common_SourceData_EFN2O_NIRReference" localSheetId="6">_xlfn.LAMBDA("")</definedName>
    <definedName name="Common_SourceData.Common_SourceData_EFN2O_NIRReference" localSheetId="4">_xlfn.LAMBDA("")</definedName>
    <definedName name="Common_SourceData.Common_SourceData_EFN2O_NIRReference" localSheetId="3">_xlfn.LAMBDA("")</definedName>
    <definedName name="Common_SourceData.Common_SourceData_EFN2O_NIRReference" localSheetId="34">_xlfn.LAMBDA("")</definedName>
    <definedName name="Common_SourceData.Common_SourceData_EFN2O_NIRReference">_xlfn.LAMBDA("")</definedName>
    <definedName name="Common_SourceData.Common_SourceData_EFN2O_Source" localSheetId="25">_xlfn.LAMBDA("VEERG 2026: Table A.2.2.1")</definedName>
    <definedName name="Common_SourceData.Common_SourceData_EFN2O_Source" localSheetId="10">_xlfn.LAMBDA("VEERG 2026: Table A.2.2.1")</definedName>
    <definedName name="Common_SourceData.Common_SourceData_EFN2O_Source" localSheetId="11">_xlfn.LAMBDA("VEERG 2026: Table A.2.2.1")</definedName>
    <definedName name="Common_SourceData.Common_SourceData_EFN2O_Source" localSheetId="12">_xlfn.LAMBDA("VEERG 2026: Table A.2.2.1")</definedName>
    <definedName name="Common_SourceData.Common_SourceData_EFN2O_Source" localSheetId="13">_xlfn.LAMBDA("VEERG 2026: Table A.2.2.1")</definedName>
    <definedName name="Common_SourceData.Common_SourceData_EFN2O_Source" localSheetId="14">_xlfn.LAMBDA("VEERG 2026: Table A.2.2.1")</definedName>
    <definedName name="Common_SourceData.Common_SourceData_EFN2O_Source" localSheetId="15">_xlfn.LAMBDA("VEERG 2026: Table A.2.2.1")</definedName>
    <definedName name="Common_SourceData.Common_SourceData_EFN2O_Source" localSheetId="16">_xlfn.LAMBDA("VEERG 2026: Table A.2.2.1")</definedName>
    <definedName name="Common_SourceData.Common_SourceData_EFN2O_Source" localSheetId="17">_xlfn.LAMBDA("VEERG 2026: Table A.2.2.1")</definedName>
    <definedName name="Common_SourceData.Common_SourceData_EFN2O_Source" localSheetId="18">_xlfn.LAMBDA("VEERG 2026: Table A.2.2.1")</definedName>
    <definedName name="Common_SourceData.Common_SourceData_EFN2O_Source" localSheetId="19">_xlfn.LAMBDA("VEERG 2026: Table A.2.2.1")</definedName>
    <definedName name="Common_SourceData.Common_SourceData_EFN2O_Source" localSheetId="20">_xlfn.LAMBDA("VEERG 2026: Table A.2.2.1")</definedName>
    <definedName name="Common_SourceData.Common_SourceData_EFN2O_Source" localSheetId="21">_xlfn.LAMBDA("VEERG 2026: Table A.2.2.1")</definedName>
    <definedName name="Common_SourceData.Common_SourceData_EFN2O_Source" localSheetId="22">_xlfn.LAMBDA("VEERG 2026: Table A.2.2.1")</definedName>
    <definedName name="Common_SourceData.Common_SourceData_EFN2O_Source" localSheetId="23">_xlfn.LAMBDA("VEERG 2026: Table A.2.2.1")</definedName>
    <definedName name="Common_SourceData.Common_SourceData_EFN2O_Source" localSheetId="24">_xlfn.LAMBDA("VEERG 2026: Table A.2.2.1")</definedName>
    <definedName name="Common_SourceData.Common_SourceData_EFN2O_Source" localSheetId="33">_xlfn.LAMBDA("VEERG 2026: Table A.2.2.1")</definedName>
    <definedName name="Common_SourceData.Common_SourceData_EFN2O_Source" localSheetId="27">_xlfn.LAMBDA("VEERG 2026: Table A.2.2.1")</definedName>
    <definedName name="Common_SourceData.Common_SourceData_EFN2O_Source" localSheetId="32">_xlfn.LAMBDA("VEERG 2026: Table A.2.2.1")</definedName>
    <definedName name="Common_SourceData.Common_SourceData_EFN2O_Source" localSheetId="29">_xlfn.LAMBDA("VEERG 2026: Table A.2.2.1")</definedName>
    <definedName name="Common_SourceData.Common_SourceData_EFN2O_Source" localSheetId="30">_xlfn.LAMBDA("VEERG 2026: Table A.2.2.1")</definedName>
    <definedName name="Common_SourceData.Common_SourceData_EFN2O_Source" localSheetId="31">_xlfn.LAMBDA("VEERG 2026: Table A.2.2.1")</definedName>
    <definedName name="Common_SourceData.Common_SourceData_EFN2O_Source" localSheetId="28">_xlfn.LAMBDA("VEERG 2026: Table A.2.2.1")</definedName>
    <definedName name="Common_SourceData.Common_SourceData_EFN2O_Source" localSheetId="26">_xlfn.LAMBDA("VEERG 2026: Table A.2.2.1")</definedName>
    <definedName name="Common_SourceData.Common_SourceData_EFN2O_Source" localSheetId="9">_xlfn.LAMBDA("VEERG 2026: Table A.2.2.1")</definedName>
    <definedName name="Common_SourceData.Common_SourceData_EFN2O_Source" localSheetId="7">_xlfn.LAMBDA("VEERG 2026: Table A.2.2.1")</definedName>
    <definedName name="Common_SourceData.Common_SourceData_EFN2O_Source" localSheetId="8">_xlfn.LAMBDA("VEERG 2026: Table A.2.2.1")</definedName>
    <definedName name="Common_SourceData.Common_SourceData_EFN2O_Source" localSheetId="6">_xlfn.LAMBDA("VEERG 2026: Table A.2.2.1")</definedName>
    <definedName name="Common_SourceData.Common_SourceData_EFN2O_Source" localSheetId="4">_xlfn.LAMBDA("VEERG 2026: Table A.2.2.1")</definedName>
    <definedName name="Common_SourceData.Common_SourceData_EFN2O_Source" localSheetId="3">_xlfn.LAMBDA("VEERG 2026: Table A.2.2.1")</definedName>
    <definedName name="Common_SourceData.Common_SourceData_EFN2O_Source" localSheetId="34">_xlfn.LAMBDA("VEERG 2026: Table A.2.2.1")</definedName>
    <definedName name="Common_SourceData.Common_SourceData_EFN2O_Source">_xlfn.LAMBDA("VEERG 2026: Table A.2.2.1")</definedName>
    <definedName name="Common_SourceData.Common_SourceData_EFN2O_Title" localSheetId="25">_xlfn.LAMBDA("Nitrous oxide emission factors for inorganic fertiliser application")</definedName>
    <definedName name="Common_SourceData.Common_SourceData_EFN2O_Title" localSheetId="10">_xlfn.LAMBDA("Nitrous oxide emission factors for inorganic fertiliser application")</definedName>
    <definedName name="Common_SourceData.Common_SourceData_EFN2O_Title" localSheetId="11">_xlfn.LAMBDA("Nitrous oxide emission factors for inorganic fertiliser application")</definedName>
    <definedName name="Common_SourceData.Common_SourceData_EFN2O_Title" localSheetId="12">_xlfn.LAMBDA("Nitrous oxide emission factors for inorganic fertiliser application")</definedName>
    <definedName name="Common_SourceData.Common_SourceData_EFN2O_Title" localSheetId="13">_xlfn.LAMBDA("Nitrous oxide emission factors for inorganic fertiliser application")</definedName>
    <definedName name="Common_SourceData.Common_SourceData_EFN2O_Title" localSheetId="14">_xlfn.LAMBDA("Nitrous oxide emission factors for inorganic fertiliser application")</definedName>
    <definedName name="Common_SourceData.Common_SourceData_EFN2O_Title" localSheetId="15">_xlfn.LAMBDA("Nitrous oxide emission factors for inorganic fertiliser application")</definedName>
    <definedName name="Common_SourceData.Common_SourceData_EFN2O_Title" localSheetId="16">_xlfn.LAMBDA("Nitrous oxide emission factors for inorganic fertiliser application")</definedName>
    <definedName name="Common_SourceData.Common_SourceData_EFN2O_Title" localSheetId="17">_xlfn.LAMBDA("Nitrous oxide emission factors for inorganic fertiliser application")</definedName>
    <definedName name="Common_SourceData.Common_SourceData_EFN2O_Title" localSheetId="18">_xlfn.LAMBDA("Nitrous oxide emission factors for inorganic fertiliser application")</definedName>
    <definedName name="Common_SourceData.Common_SourceData_EFN2O_Title" localSheetId="19">_xlfn.LAMBDA("Nitrous oxide emission factors for inorganic fertiliser application")</definedName>
    <definedName name="Common_SourceData.Common_SourceData_EFN2O_Title" localSheetId="20">_xlfn.LAMBDA("Nitrous oxide emission factors for inorganic fertiliser application")</definedName>
    <definedName name="Common_SourceData.Common_SourceData_EFN2O_Title" localSheetId="21">_xlfn.LAMBDA("Nitrous oxide emission factors for inorganic fertiliser application")</definedName>
    <definedName name="Common_SourceData.Common_SourceData_EFN2O_Title" localSheetId="22">_xlfn.LAMBDA("Nitrous oxide emission factors for inorganic fertiliser application")</definedName>
    <definedName name="Common_SourceData.Common_SourceData_EFN2O_Title" localSheetId="23">_xlfn.LAMBDA("Nitrous oxide emission factors for inorganic fertiliser application")</definedName>
    <definedName name="Common_SourceData.Common_SourceData_EFN2O_Title" localSheetId="24">_xlfn.LAMBDA("Nitrous oxide emission factors for inorganic fertiliser application")</definedName>
    <definedName name="Common_SourceData.Common_SourceData_EFN2O_Title" localSheetId="33">_xlfn.LAMBDA("Nitrous oxide emission factors for inorganic fertiliser application")</definedName>
    <definedName name="Common_SourceData.Common_SourceData_EFN2O_Title" localSheetId="27">_xlfn.LAMBDA("Nitrous oxide emission factors for inorganic fertiliser application")</definedName>
    <definedName name="Common_SourceData.Common_SourceData_EFN2O_Title" localSheetId="32">_xlfn.LAMBDA("Nitrous oxide emission factors for inorganic fertiliser application")</definedName>
    <definedName name="Common_SourceData.Common_SourceData_EFN2O_Title" localSheetId="29">_xlfn.LAMBDA("Nitrous oxide emission factors for inorganic fertiliser application")</definedName>
    <definedName name="Common_SourceData.Common_SourceData_EFN2O_Title" localSheetId="30">_xlfn.LAMBDA("Nitrous oxide emission factors for inorganic fertiliser application")</definedName>
    <definedName name="Common_SourceData.Common_SourceData_EFN2O_Title" localSheetId="31">_xlfn.LAMBDA("Nitrous oxide emission factors for inorganic fertiliser application")</definedName>
    <definedName name="Common_SourceData.Common_SourceData_EFN2O_Title" localSheetId="28">_xlfn.LAMBDA("Nitrous oxide emission factors for inorganic fertiliser application")</definedName>
    <definedName name="Common_SourceData.Common_SourceData_EFN2O_Title" localSheetId="26">_xlfn.LAMBDA("Nitrous oxide emission factors for inorganic fertiliser application")</definedName>
    <definedName name="Common_SourceData.Common_SourceData_EFN2O_Title" localSheetId="9">_xlfn.LAMBDA("Nitrous oxide emission factors for inorganic fertiliser application")</definedName>
    <definedName name="Common_SourceData.Common_SourceData_EFN2O_Title" localSheetId="7">_xlfn.LAMBDA("Nitrous oxide emission factors for inorganic fertiliser application")</definedName>
    <definedName name="Common_SourceData.Common_SourceData_EFN2O_Title" localSheetId="8">_xlfn.LAMBDA("Nitrous oxide emission factors for inorganic fertiliser application")</definedName>
    <definedName name="Common_SourceData.Common_SourceData_EFN2O_Title" localSheetId="6">_xlfn.LAMBDA("Nitrous oxide emission factors for inorganic fertiliser application")</definedName>
    <definedName name="Common_SourceData.Common_SourceData_EFN2O_Title" localSheetId="4">_xlfn.LAMBDA("Nitrous oxide emission factors for inorganic fertiliser application")</definedName>
    <definedName name="Common_SourceData.Common_SourceData_EFN2O_Title" localSheetId="3">_xlfn.LAMBDA("Nitrous oxide emission factors for inorganic fertiliser application")</definedName>
    <definedName name="Common_SourceData.Common_SourceData_EFN2O_Title" localSheetId="34">_xlfn.LAMBDA("Nitrous oxide emission factors for inorganic fertiliser application")</definedName>
    <definedName name="Common_SourceData.Common_SourceData_EFN2O_Title">_xlfn.LAMBDA("Nitrous oxide emission factors for inorganic fertiliser application")</definedName>
    <definedName name="Common_SourceData.Common_SourceData_EFN2O_Unit" localSheetId="25">_xlfn.LAMBDA("(kg N2O-N / kg N")</definedName>
    <definedName name="Common_SourceData.Common_SourceData_EFN2O_Unit" localSheetId="10">_xlfn.LAMBDA("(kg N2O-N / kg N")</definedName>
    <definedName name="Common_SourceData.Common_SourceData_EFN2O_Unit" localSheetId="11">_xlfn.LAMBDA("(kg N2O-N / kg N")</definedName>
    <definedName name="Common_SourceData.Common_SourceData_EFN2O_Unit" localSheetId="12">_xlfn.LAMBDA("(kg N2O-N / kg N")</definedName>
    <definedName name="Common_SourceData.Common_SourceData_EFN2O_Unit" localSheetId="13">_xlfn.LAMBDA("(kg N2O-N / kg N")</definedName>
    <definedName name="Common_SourceData.Common_SourceData_EFN2O_Unit" localSheetId="14">_xlfn.LAMBDA("(kg N2O-N / kg N")</definedName>
    <definedName name="Common_SourceData.Common_SourceData_EFN2O_Unit" localSheetId="15">_xlfn.LAMBDA("(kg N2O-N / kg N")</definedName>
    <definedName name="Common_SourceData.Common_SourceData_EFN2O_Unit" localSheetId="16">_xlfn.LAMBDA("(kg N2O-N / kg N")</definedName>
    <definedName name="Common_SourceData.Common_SourceData_EFN2O_Unit" localSheetId="17">_xlfn.LAMBDA("(kg N2O-N / kg N")</definedName>
    <definedName name="Common_SourceData.Common_SourceData_EFN2O_Unit" localSheetId="18">_xlfn.LAMBDA("(kg N2O-N / kg N")</definedName>
    <definedName name="Common_SourceData.Common_SourceData_EFN2O_Unit" localSheetId="19">_xlfn.LAMBDA("(kg N2O-N / kg N")</definedName>
    <definedName name="Common_SourceData.Common_SourceData_EFN2O_Unit" localSheetId="20">_xlfn.LAMBDA("(kg N2O-N / kg N")</definedName>
    <definedName name="Common_SourceData.Common_SourceData_EFN2O_Unit" localSheetId="21">_xlfn.LAMBDA("(kg N2O-N / kg N")</definedName>
    <definedName name="Common_SourceData.Common_SourceData_EFN2O_Unit" localSheetId="22">_xlfn.LAMBDA("(kg N2O-N / kg N")</definedName>
    <definedName name="Common_SourceData.Common_SourceData_EFN2O_Unit" localSheetId="23">_xlfn.LAMBDA("(kg N2O-N / kg N")</definedName>
    <definedName name="Common_SourceData.Common_SourceData_EFN2O_Unit" localSheetId="24">_xlfn.LAMBDA("(kg N2O-N / kg N")</definedName>
    <definedName name="Common_SourceData.Common_SourceData_EFN2O_Unit" localSheetId="33">_xlfn.LAMBDA("(kg N2O-N / kg N")</definedName>
    <definedName name="Common_SourceData.Common_SourceData_EFN2O_Unit" localSheetId="27">_xlfn.LAMBDA("(kg N2O-N / kg N")</definedName>
    <definedName name="Common_SourceData.Common_SourceData_EFN2O_Unit" localSheetId="32">_xlfn.LAMBDA("(kg N2O-N / kg N")</definedName>
    <definedName name="Common_SourceData.Common_SourceData_EFN2O_Unit" localSheetId="29">_xlfn.LAMBDA("(kg N2O-N / kg N")</definedName>
    <definedName name="Common_SourceData.Common_SourceData_EFN2O_Unit" localSheetId="30">_xlfn.LAMBDA("(kg N2O-N / kg N")</definedName>
    <definedName name="Common_SourceData.Common_SourceData_EFN2O_Unit" localSheetId="31">_xlfn.LAMBDA("(kg N2O-N / kg N")</definedName>
    <definedName name="Common_SourceData.Common_SourceData_EFN2O_Unit" localSheetId="28">_xlfn.LAMBDA("(kg N2O-N / kg N")</definedName>
    <definedName name="Common_SourceData.Common_SourceData_EFN2O_Unit" localSheetId="26">_xlfn.LAMBDA("(kg N2O-N / kg N")</definedName>
    <definedName name="Common_SourceData.Common_SourceData_EFN2O_Unit" localSheetId="9">_xlfn.LAMBDA("(kg N2O-N / kg N")</definedName>
    <definedName name="Common_SourceData.Common_SourceData_EFN2O_Unit" localSheetId="7">_xlfn.LAMBDA("(kg N2O-N / kg N")</definedName>
    <definedName name="Common_SourceData.Common_SourceData_EFN2O_Unit" localSheetId="8">_xlfn.LAMBDA("(kg N2O-N / kg N")</definedName>
    <definedName name="Common_SourceData.Common_SourceData_EFN2O_Unit" localSheetId="6">_xlfn.LAMBDA("(kg N2O-N / kg N")</definedName>
    <definedName name="Common_SourceData.Common_SourceData_EFN2O_Unit" localSheetId="4">_xlfn.LAMBDA("(kg N2O-N / kg N")</definedName>
    <definedName name="Common_SourceData.Common_SourceData_EFN2O_Unit" localSheetId="3">_xlfn.LAMBDA("(kg N2O-N / kg N")</definedName>
    <definedName name="Common_SourceData.Common_SourceData_EFN2O_Unit" localSheetId="34">_xlfn.LAMBDA("(kg N2O-N / kg N")</definedName>
    <definedName name="Common_SourceData.Common_SourceData_EFN2O_Unit">_xlfn.LAMBDA("(kg N2O-N / kg N")</definedName>
    <definedName name="Common_SourceData.Common_SourceData_EFN2O_Variation" localSheetId="2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5">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1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2">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0">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2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9">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7">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8">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3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25">_xlfn.LAMBDA(_xlfn.MAKEARRAY(3, 2, _xlfn.LAMBDA(_xlpm.r,_xlpm.c, INDEX({"Climate zone","EFNi &amp; EFN2O";"Wet climate zone",0.006;"Dry climate zone",0.005}, _xlpm.r, _xlpm.c))))</definedName>
    <definedName name="Common_SourceData.Common_SourceData_EFOrganicFertiliserAndCropResidues_Data" localSheetId="10">_xlfn.LAMBDA(_xlfn.MAKEARRAY(3, 2, _xlfn.LAMBDA(_xlpm.r,_xlpm.c, INDEX({"Climate zone","EFNi &amp; EFN2O";"Wet climate zone",0.006;"Dry climate zone",0.005}, _xlpm.r, _xlpm.c))))</definedName>
    <definedName name="Common_SourceData.Common_SourceData_EFOrganicFertiliserAndCropResidues_Data" localSheetId="11">_xlfn.LAMBDA(_xlfn.MAKEARRAY(3, 2, _xlfn.LAMBDA(_xlpm.r,_xlpm.c, INDEX({"Climate zone","EFNi &amp; EFN2O";"Wet climate zone",0.006;"Dry climate zone",0.005}, _xlpm.r, _xlpm.c))))</definedName>
    <definedName name="Common_SourceData.Common_SourceData_EFOrganicFertiliserAndCropResidues_Data" localSheetId="12">_xlfn.LAMBDA(_xlfn.MAKEARRAY(3, 2, _xlfn.LAMBDA(_xlpm.r,_xlpm.c, INDEX({"Climate zone","EFNi &amp; EFN2O";"Wet climate zone",0.006;"Dry climate zone",0.005}, _xlpm.r, _xlpm.c))))</definedName>
    <definedName name="Common_SourceData.Common_SourceData_EFOrganicFertiliserAndCropResidues_Data" localSheetId="13">_xlfn.LAMBDA(_xlfn.MAKEARRAY(3, 2, _xlfn.LAMBDA(_xlpm.r,_xlpm.c, INDEX({"Climate zone","EFNi &amp; EFN2O";"Wet climate zone",0.006;"Dry climate zone",0.005}, _xlpm.r, _xlpm.c))))</definedName>
    <definedName name="Common_SourceData.Common_SourceData_EFOrganicFertiliserAndCropResidues_Data" localSheetId="14">_xlfn.LAMBDA(_xlfn.MAKEARRAY(3, 2, _xlfn.LAMBDA(_xlpm.r,_xlpm.c, INDEX({"Climate zone","EFNi &amp; EFN2O";"Wet climate zone",0.006;"Dry climate zone",0.005}, _xlpm.r, _xlpm.c))))</definedName>
    <definedName name="Common_SourceData.Common_SourceData_EFOrganicFertiliserAndCropResidues_Data" localSheetId="15">_xlfn.LAMBDA(_xlfn.MAKEARRAY(3, 2, _xlfn.LAMBDA(_xlpm.r,_xlpm.c, INDEX({"Climate zone","EFNi &amp; EFN2O";"Wet climate zone",0.006;"Dry climate zone",0.005}, _xlpm.r, _xlpm.c))))</definedName>
    <definedName name="Common_SourceData.Common_SourceData_EFOrganicFertiliserAndCropResidues_Data" localSheetId="16">_xlfn.LAMBDA(_xlfn.MAKEARRAY(3, 2, _xlfn.LAMBDA(_xlpm.r,_xlpm.c, INDEX({"Climate zone","EFNi &amp; EFN2O";"Wet climate zone",0.006;"Dry climate zone",0.005}, _xlpm.r, _xlpm.c))))</definedName>
    <definedName name="Common_SourceData.Common_SourceData_EFOrganicFertiliserAndCropResidues_Data" localSheetId="17">_xlfn.LAMBDA(_xlfn.MAKEARRAY(3, 2, _xlfn.LAMBDA(_xlpm.r,_xlpm.c, INDEX({"Climate zone","EFNi &amp; EFN2O";"Wet climate zone",0.006;"Dry climate zone",0.005}, _xlpm.r, _xlpm.c))))</definedName>
    <definedName name="Common_SourceData.Common_SourceData_EFOrganicFertiliserAndCropResidues_Data" localSheetId="18">_xlfn.LAMBDA(_xlfn.MAKEARRAY(3, 2, _xlfn.LAMBDA(_xlpm.r,_xlpm.c, INDEX({"Climate zone","EFNi &amp; EFN2O";"Wet climate zone",0.006;"Dry climate zone",0.005}, _xlpm.r, _xlpm.c))))</definedName>
    <definedName name="Common_SourceData.Common_SourceData_EFOrganicFertiliserAndCropResidues_Data" localSheetId="19">_xlfn.LAMBDA(_xlfn.MAKEARRAY(3, 2, _xlfn.LAMBDA(_xlpm.r,_xlpm.c, INDEX({"Climate zone","EFNi &amp; EFN2O";"Wet climate zone",0.006;"Dry climate zone",0.005}, _xlpm.r, _xlpm.c))))</definedName>
    <definedName name="Common_SourceData.Common_SourceData_EFOrganicFertiliserAndCropResidues_Data" localSheetId="20">_xlfn.LAMBDA(_xlfn.MAKEARRAY(3, 2, _xlfn.LAMBDA(_xlpm.r,_xlpm.c, INDEX({"Climate zone","EFNi &amp; EFN2O";"Wet climate zone",0.006;"Dry climate zone",0.005}, _xlpm.r, _xlpm.c))))</definedName>
    <definedName name="Common_SourceData.Common_SourceData_EFOrganicFertiliserAndCropResidues_Data" localSheetId="21">_xlfn.LAMBDA(_xlfn.MAKEARRAY(3, 2, _xlfn.LAMBDA(_xlpm.r,_xlpm.c, INDEX({"Climate zone","EFNi &amp; EFN2O";"Wet climate zone",0.006;"Dry climate zone",0.005}, _xlpm.r, _xlpm.c))))</definedName>
    <definedName name="Common_SourceData.Common_SourceData_EFOrganicFertiliserAndCropResidues_Data" localSheetId="22">_xlfn.LAMBDA(_xlfn.MAKEARRAY(3, 2, _xlfn.LAMBDA(_xlpm.r,_xlpm.c, INDEX({"Climate zone","EFNi &amp; EFN2O";"Wet climate zone",0.006;"Dry climate zone",0.005}, _xlpm.r, _xlpm.c))))</definedName>
    <definedName name="Common_SourceData.Common_SourceData_EFOrganicFertiliserAndCropResidues_Data" localSheetId="23">_xlfn.LAMBDA(_xlfn.MAKEARRAY(3, 2, _xlfn.LAMBDA(_xlpm.r,_xlpm.c, INDEX({"Climate zone","EFNi &amp; EFN2O";"Wet climate zone",0.006;"Dry climate zone",0.005}, _xlpm.r, _xlpm.c))))</definedName>
    <definedName name="Common_SourceData.Common_SourceData_EFOrganicFertiliserAndCropResidues_Data" localSheetId="24">_xlfn.LAMBDA(_xlfn.MAKEARRAY(3, 2, _xlfn.LAMBDA(_xlpm.r,_xlpm.c, INDEX({"Climate zone","EFNi &amp; EFN2O";"Wet climate zone",0.006;"Dry climate zone",0.005}, _xlpm.r, _xlpm.c))))</definedName>
    <definedName name="Common_SourceData.Common_SourceData_EFOrganicFertiliserAndCropResidues_Data" localSheetId="33">_xlfn.LAMBDA(_xlfn.MAKEARRAY(3, 2, _xlfn.LAMBDA(_xlpm.r,_xlpm.c, INDEX({"Climate zone","EFNi &amp; EFN2O";"Wet climate zone",0.006;"Dry climate zone",0.005}, _xlpm.r, _xlpm.c))))</definedName>
    <definedName name="Common_SourceData.Common_SourceData_EFOrganicFertiliserAndCropResidues_Data" localSheetId="27">_xlfn.LAMBDA(_xlfn.MAKEARRAY(3, 2, _xlfn.LAMBDA(_xlpm.r,_xlpm.c, INDEX({"Climate zone","EFNi &amp; EFN2O";"Wet climate zone",0.006;"Dry climate zone",0.005}, _xlpm.r, _xlpm.c))))</definedName>
    <definedName name="Common_SourceData.Common_SourceData_EFOrganicFertiliserAndCropResidues_Data" localSheetId="32">_xlfn.LAMBDA(_xlfn.MAKEARRAY(3, 2, _xlfn.LAMBDA(_xlpm.r,_xlpm.c, INDEX({"Climate zone","EFNi &amp; EFN2O";"Wet climate zone",0.006;"Dry climate zone",0.005}, _xlpm.r, _xlpm.c))))</definedName>
    <definedName name="Common_SourceData.Common_SourceData_EFOrganicFertiliserAndCropResidues_Data" localSheetId="29">_xlfn.LAMBDA(_xlfn.MAKEARRAY(3, 2, _xlfn.LAMBDA(_xlpm.r,_xlpm.c, INDEX({"Climate zone","EFNi &amp; EFN2O";"Wet climate zone",0.006;"Dry climate zone",0.005}, _xlpm.r, _xlpm.c))))</definedName>
    <definedName name="Common_SourceData.Common_SourceData_EFOrganicFertiliserAndCropResidues_Data" localSheetId="30">_xlfn.LAMBDA(_xlfn.MAKEARRAY(3, 2, _xlfn.LAMBDA(_xlpm.r,_xlpm.c, INDEX({"Climate zone","EFNi &amp; EFN2O";"Wet climate zone",0.006;"Dry climate zone",0.005}, _xlpm.r, _xlpm.c))))</definedName>
    <definedName name="Common_SourceData.Common_SourceData_EFOrganicFertiliserAndCropResidues_Data" localSheetId="31">_xlfn.LAMBDA(_xlfn.MAKEARRAY(3, 2, _xlfn.LAMBDA(_xlpm.r,_xlpm.c, INDEX({"Climate zone","EFNi &amp; EFN2O";"Wet climate zone",0.006;"Dry climate zone",0.005}, _xlpm.r, _xlpm.c))))</definedName>
    <definedName name="Common_SourceData.Common_SourceData_EFOrganicFertiliserAndCropResidues_Data" localSheetId="28">_xlfn.LAMBDA(_xlfn.MAKEARRAY(3, 2, _xlfn.LAMBDA(_xlpm.r,_xlpm.c, INDEX({"Climate zone","EFNi &amp; EFN2O";"Wet climate zone",0.006;"Dry climate zone",0.005}, _xlpm.r, _xlpm.c))))</definedName>
    <definedName name="Common_SourceData.Common_SourceData_EFOrganicFertiliserAndCropResidues_Data" localSheetId="26">_xlfn.LAMBDA(_xlfn.MAKEARRAY(3, 2, _xlfn.LAMBDA(_xlpm.r,_xlpm.c, INDEX({"Climate zone","EFNi &amp; EFN2O";"Wet climate zone",0.006;"Dry climate zone",0.005}, _xlpm.r, _xlpm.c))))</definedName>
    <definedName name="Common_SourceData.Common_SourceData_EFOrganicFertiliserAndCropResidues_Data" localSheetId="9">_xlfn.LAMBDA(_xlfn.MAKEARRAY(3, 2, _xlfn.LAMBDA(_xlpm.r,_xlpm.c, INDEX({"Climate zone","EFNi &amp; EFN2O";"Wet climate zone",0.006;"Dry climate zone",0.005}, _xlpm.r, _xlpm.c))))</definedName>
    <definedName name="Common_SourceData.Common_SourceData_EFOrganicFertiliserAndCropResidues_Data" localSheetId="7">_xlfn.LAMBDA(_xlfn.MAKEARRAY(3, 2, _xlfn.LAMBDA(_xlpm.r,_xlpm.c, INDEX({"Climate zone","EFNi &amp; EFN2O";"Wet climate zone",0.006;"Dry climate zone",0.005}, _xlpm.r, _xlpm.c))))</definedName>
    <definedName name="Common_SourceData.Common_SourceData_EFOrganicFertiliserAndCropResidues_Data" localSheetId="8">_xlfn.LAMBDA(_xlfn.MAKEARRAY(3, 2, _xlfn.LAMBDA(_xlpm.r,_xlpm.c, INDEX({"Climate zone","EFNi &amp; EFN2O";"Wet climate zone",0.006;"Dry climate zone",0.005},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 localSheetId="5">_xlfn.LAMBDA(_xlfn.MAKEARRAY(3, 2, _xlfn.LAMBDA(_xlpm.r,_xlpm.c, INDEX({"Climate zone","EFNi &amp; EFN2O";"Wet climate zone",0.006;"Dry climate zone",0.005}, _xlpm.r, _xlpm.c))))</definedName>
    <definedName name="Common_SourceData.Common_SourceData_EFOrganicFertiliserAndCropResidues_Data" localSheetId="3">_xlfn.LAMBDA(_xlfn.MAKEARRAY(3, 2, _xlfn.LAMBDA(_xlpm.r,_xlpm.c, INDEX({"Climate zone","EFNi &amp; EFN2O";"Wet climate zone",0.006;"Dry climate zone",0.005}, _xlpm.r, _xlpm.c))))</definedName>
    <definedName name="Common_SourceData.Common_SourceData_EFOrganicFertiliserAndCropResidues_Data" localSheetId="3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25">_xlfn.LAMBDA(_xlfn.MAKEARRAY(3, 2, _xlfn.LAMBDA(_xlpm.r,_xlpm.c, INDEX({"Climate zone","EFPRP";"Wet climate zone",0.006;"Dry climate zone",0.002}, _xlpm.r, _xlpm.c))))</definedName>
    <definedName name="Common_SourceData.Common_SourceData_EFPastureRangeAndPaddock_Data" localSheetId="10">_xlfn.LAMBDA(_xlfn.MAKEARRAY(3, 2, _xlfn.LAMBDA(_xlpm.r,_xlpm.c, INDEX({"Climate zone","EFPRP";"Wet climate zone",0.006;"Dry climate zone",0.002}, _xlpm.r, _xlpm.c))))</definedName>
    <definedName name="Common_SourceData.Common_SourceData_EFPastureRangeAndPaddock_Data" localSheetId="11">_xlfn.LAMBDA(_xlfn.MAKEARRAY(3, 2, _xlfn.LAMBDA(_xlpm.r,_xlpm.c, INDEX({"Climate zone","EFPRP";"Wet climate zone",0.006;"Dry climate zone",0.002}, _xlpm.r, _xlpm.c))))</definedName>
    <definedName name="Common_SourceData.Common_SourceData_EFPastureRangeAndPaddock_Data" localSheetId="12">_xlfn.LAMBDA(_xlfn.MAKEARRAY(3, 2, _xlfn.LAMBDA(_xlpm.r,_xlpm.c, INDEX({"Climate zone","EFPRP";"Wet climate zone",0.006;"Dry climate zone",0.002}, _xlpm.r, _xlpm.c))))</definedName>
    <definedName name="Common_SourceData.Common_SourceData_EFPastureRangeAndPaddock_Data" localSheetId="13">_xlfn.LAMBDA(_xlfn.MAKEARRAY(3, 2, _xlfn.LAMBDA(_xlpm.r,_xlpm.c, INDEX({"Climate zone","EFPRP";"Wet climate zone",0.006;"Dry climate zone",0.002}, _xlpm.r, _xlpm.c))))</definedName>
    <definedName name="Common_SourceData.Common_SourceData_EFPastureRangeAndPaddock_Data" localSheetId="14">_xlfn.LAMBDA(_xlfn.MAKEARRAY(3, 2, _xlfn.LAMBDA(_xlpm.r,_xlpm.c, INDEX({"Climate zone","EFPRP";"Wet climate zone",0.006;"Dry climate zone",0.002}, _xlpm.r, _xlpm.c))))</definedName>
    <definedName name="Common_SourceData.Common_SourceData_EFPastureRangeAndPaddock_Data" localSheetId="15">_xlfn.LAMBDA(_xlfn.MAKEARRAY(3, 2, _xlfn.LAMBDA(_xlpm.r,_xlpm.c, INDEX({"Climate zone","EFPRP";"Wet climate zone",0.006;"Dry climate zone",0.002}, _xlpm.r, _xlpm.c))))</definedName>
    <definedName name="Common_SourceData.Common_SourceData_EFPastureRangeAndPaddock_Data" localSheetId="16">_xlfn.LAMBDA(_xlfn.MAKEARRAY(3, 2, _xlfn.LAMBDA(_xlpm.r,_xlpm.c, INDEX({"Climate zone","EFPRP";"Wet climate zone",0.006;"Dry climate zone",0.002}, _xlpm.r, _xlpm.c))))</definedName>
    <definedName name="Common_SourceData.Common_SourceData_EFPastureRangeAndPaddock_Data" localSheetId="17">_xlfn.LAMBDA(_xlfn.MAKEARRAY(3, 2, _xlfn.LAMBDA(_xlpm.r,_xlpm.c, INDEX({"Climate zone","EFPRP";"Wet climate zone",0.006;"Dry climate zone",0.002}, _xlpm.r, _xlpm.c))))</definedName>
    <definedName name="Common_SourceData.Common_SourceData_EFPastureRangeAndPaddock_Data" localSheetId="18">_xlfn.LAMBDA(_xlfn.MAKEARRAY(3, 2, _xlfn.LAMBDA(_xlpm.r,_xlpm.c, INDEX({"Climate zone","EFPRP";"Wet climate zone",0.006;"Dry climate zone",0.002}, _xlpm.r, _xlpm.c))))</definedName>
    <definedName name="Common_SourceData.Common_SourceData_EFPastureRangeAndPaddock_Data" localSheetId="19">_xlfn.LAMBDA(_xlfn.MAKEARRAY(3, 2, _xlfn.LAMBDA(_xlpm.r,_xlpm.c, INDEX({"Climate zone","EFPRP";"Wet climate zone",0.006;"Dry climate zone",0.002}, _xlpm.r, _xlpm.c))))</definedName>
    <definedName name="Common_SourceData.Common_SourceData_EFPastureRangeAndPaddock_Data" localSheetId="20">_xlfn.LAMBDA(_xlfn.MAKEARRAY(3, 2, _xlfn.LAMBDA(_xlpm.r,_xlpm.c, INDEX({"Climate zone","EFPRP";"Wet climate zone",0.006;"Dry climate zone",0.002}, _xlpm.r, _xlpm.c))))</definedName>
    <definedName name="Common_SourceData.Common_SourceData_EFPastureRangeAndPaddock_Data" localSheetId="21">_xlfn.LAMBDA(_xlfn.MAKEARRAY(3, 2, _xlfn.LAMBDA(_xlpm.r,_xlpm.c, INDEX({"Climate zone","EFPRP";"Wet climate zone",0.006;"Dry climate zone",0.002}, _xlpm.r, _xlpm.c))))</definedName>
    <definedName name="Common_SourceData.Common_SourceData_EFPastureRangeAndPaddock_Data" localSheetId="22">_xlfn.LAMBDA(_xlfn.MAKEARRAY(3, 2, _xlfn.LAMBDA(_xlpm.r,_xlpm.c, INDEX({"Climate zone","EFPRP";"Wet climate zone",0.006;"Dry climate zone",0.002}, _xlpm.r, _xlpm.c))))</definedName>
    <definedName name="Common_SourceData.Common_SourceData_EFPastureRangeAndPaddock_Data" localSheetId="23">_xlfn.LAMBDA(_xlfn.MAKEARRAY(3, 2, _xlfn.LAMBDA(_xlpm.r,_xlpm.c, INDEX({"Climate zone","EFPRP";"Wet climate zone",0.006;"Dry climate zone",0.002}, _xlpm.r, _xlpm.c))))</definedName>
    <definedName name="Common_SourceData.Common_SourceData_EFPastureRangeAndPaddock_Data" localSheetId="24">_xlfn.LAMBDA(_xlfn.MAKEARRAY(3, 2, _xlfn.LAMBDA(_xlpm.r,_xlpm.c, INDEX({"Climate zone","EFPRP";"Wet climate zone",0.006;"Dry climate zone",0.002}, _xlpm.r, _xlpm.c))))</definedName>
    <definedName name="Common_SourceData.Common_SourceData_EFPastureRangeAndPaddock_Data" localSheetId="33">_xlfn.LAMBDA(_xlfn.MAKEARRAY(3, 2, _xlfn.LAMBDA(_xlpm.r,_xlpm.c, INDEX({"Climate zone","EFPRP";"Wet climate zone",0.006;"Dry climate zone",0.002}, _xlpm.r, _xlpm.c))))</definedName>
    <definedName name="Common_SourceData.Common_SourceData_EFPastureRangeAndPaddock_Data" localSheetId="27">_xlfn.LAMBDA(_xlfn.MAKEARRAY(3, 2, _xlfn.LAMBDA(_xlpm.r,_xlpm.c, INDEX({"Climate zone","EFPRP";"Wet climate zone",0.006;"Dry climate zone",0.002}, _xlpm.r, _xlpm.c))))</definedName>
    <definedName name="Common_SourceData.Common_SourceData_EFPastureRangeAndPaddock_Data" localSheetId="32">_xlfn.LAMBDA(_xlfn.MAKEARRAY(3, 2, _xlfn.LAMBDA(_xlpm.r,_xlpm.c, INDEX({"Climate zone","EFPRP";"Wet climate zone",0.006;"Dry climate zone",0.002}, _xlpm.r, _xlpm.c))))</definedName>
    <definedName name="Common_SourceData.Common_SourceData_EFPastureRangeAndPaddock_Data" localSheetId="29">_xlfn.LAMBDA(_xlfn.MAKEARRAY(3, 2, _xlfn.LAMBDA(_xlpm.r,_xlpm.c, INDEX({"Climate zone","EFPRP";"Wet climate zone",0.006;"Dry climate zone",0.002}, _xlpm.r, _xlpm.c))))</definedName>
    <definedName name="Common_SourceData.Common_SourceData_EFPastureRangeAndPaddock_Data" localSheetId="30">_xlfn.LAMBDA(_xlfn.MAKEARRAY(3, 2, _xlfn.LAMBDA(_xlpm.r,_xlpm.c, INDEX({"Climate zone","EFPRP";"Wet climate zone",0.006;"Dry climate zone",0.002}, _xlpm.r, _xlpm.c))))</definedName>
    <definedName name="Common_SourceData.Common_SourceData_EFPastureRangeAndPaddock_Data" localSheetId="31">_xlfn.LAMBDA(_xlfn.MAKEARRAY(3, 2, _xlfn.LAMBDA(_xlpm.r,_xlpm.c, INDEX({"Climate zone","EFPRP";"Wet climate zone",0.006;"Dry climate zone",0.002}, _xlpm.r, _xlpm.c))))</definedName>
    <definedName name="Common_SourceData.Common_SourceData_EFPastureRangeAndPaddock_Data" localSheetId="28">_xlfn.LAMBDA(_xlfn.MAKEARRAY(3, 2, _xlfn.LAMBDA(_xlpm.r,_xlpm.c, INDEX({"Climate zone","EFPRP";"Wet climate zone",0.006;"Dry climate zone",0.002}, _xlpm.r, _xlpm.c))))</definedName>
    <definedName name="Common_SourceData.Common_SourceData_EFPastureRangeAndPaddock_Data" localSheetId="26">_xlfn.LAMBDA(_xlfn.MAKEARRAY(3, 2, _xlfn.LAMBDA(_xlpm.r,_xlpm.c, INDEX({"Climate zone","EFPRP";"Wet climate zone",0.006;"Dry climate zone",0.002}, _xlpm.r, _xlpm.c))))</definedName>
    <definedName name="Common_SourceData.Common_SourceData_EFPastureRangeAndPaddock_Data" localSheetId="9">_xlfn.LAMBDA(_xlfn.MAKEARRAY(3, 2, _xlfn.LAMBDA(_xlpm.r,_xlpm.c, INDEX({"Climate zone","EFPRP";"Wet climate zone",0.006;"Dry climate zone",0.002}, _xlpm.r, _xlpm.c))))</definedName>
    <definedName name="Common_SourceData.Common_SourceData_EFPastureRangeAndPaddock_Data" localSheetId="7">_xlfn.LAMBDA(_xlfn.MAKEARRAY(3, 2, _xlfn.LAMBDA(_xlpm.r,_xlpm.c, INDEX({"Climate zone","EFPRP";"Wet climate zone",0.006;"Dry climate zone",0.002}, _xlpm.r, _xlpm.c))))</definedName>
    <definedName name="Common_SourceData.Common_SourceData_EFPastureRangeAndPaddock_Data" localSheetId="8">_xlfn.LAMBDA(_xlfn.MAKEARRAY(3, 2, _xlfn.LAMBDA(_xlpm.r,_xlpm.c, INDEX({"Climate zone","EFPRP";"Wet climate zone",0.006;"Dry climate zone",0.002}, _xlpm.r, _xlpm.c))))</definedName>
    <definedName name="Common_SourceData.Common_SourceData_EFPastureRangeAndPaddock_Data" localSheetId="6">_xlfn.LAMBDA(_xlfn.MAKEARRAY(3, 2, _xlfn.LAMBDA(_xlpm.r,_xlpm.c, INDEX({"Climate zone","EFPRP";"Wet climate zone",0.006;"Dry climate zone",0.002}, _xlpm.r, _xlpm.c))))</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 localSheetId="3">_xlfn.LAMBDA(_xlfn.MAKEARRAY(3, 2, _xlfn.LAMBDA(_xlpm.r,_xlpm.c, INDEX({"Climate zone","EFPRP";"Wet climate zone",0.006;"Dry climate zone",0.002}, _xlpm.r, _xlpm.c))))</definedName>
    <definedName name="Common_SourceData.Common_SourceData_EFPastureRangeAndPaddock_Data" localSheetId="3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 localSheetId="25">_xlfn.LAMBDA("")</definedName>
    <definedName name="Common_SourceData.Common_SourceData_EFPastureRangeAndPaddock_NIRReference" localSheetId="10">_xlfn.LAMBDA("")</definedName>
    <definedName name="Common_SourceData.Common_SourceData_EFPastureRangeAndPaddock_NIRReference" localSheetId="11">_xlfn.LAMBDA("")</definedName>
    <definedName name="Common_SourceData.Common_SourceData_EFPastureRangeAndPaddock_NIRReference" localSheetId="12">_xlfn.LAMBDA("")</definedName>
    <definedName name="Common_SourceData.Common_SourceData_EFPastureRangeAndPaddock_NIRReference" localSheetId="13">_xlfn.LAMBDA("")</definedName>
    <definedName name="Common_SourceData.Common_SourceData_EFPastureRangeAndPaddock_NIRReference" localSheetId="14">_xlfn.LAMBDA("")</definedName>
    <definedName name="Common_SourceData.Common_SourceData_EFPastureRangeAndPaddock_NIRReference" localSheetId="15">_xlfn.LAMBDA("")</definedName>
    <definedName name="Common_SourceData.Common_SourceData_EFPastureRangeAndPaddock_NIRReference" localSheetId="16">_xlfn.LAMBDA("")</definedName>
    <definedName name="Common_SourceData.Common_SourceData_EFPastureRangeAndPaddock_NIRReference" localSheetId="17">_xlfn.LAMBDA("")</definedName>
    <definedName name="Common_SourceData.Common_SourceData_EFPastureRangeAndPaddock_NIRReference" localSheetId="18">_xlfn.LAMBDA("")</definedName>
    <definedName name="Common_SourceData.Common_SourceData_EFPastureRangeAndPaddock_NIRReference" localSheetId="19">_xlfn.LAMBDA("")</definedName>
    <definedName name="Common_SourceData.Common_SourceData_EFPastureRangeAndPaddock_NIRReference" localSheetId="20">_xlfn.LAMBDA("")</definedName>
    <definedName name="Common_SourceData.Common_SourceData_EFPastureRangeAndPaddock_NIRReference" localSheetId="21">_xlfn.LAMBDA("")</definedName>
    <definedName name="Common_SourceData.Common_SourceData_EFPastureRangeAndPaddock_NIRReference" localSheetId="22">_xlfn.LAMBDA("")</definedName>
    <definedName name="Common_SourceData.Common_SourceData_EFPastureRangeAndPaddock_NIRReference" localSheetId="23">_xlfn.LAMBDA("")</definedName>
    <definedName name="Common_SourceData.Common_SourceData_EFPastureRangeAndPaddock_NIRReference" localSheetId="24">_xlfn.LAMBDA("")</definedName>
    <definedName name="Common_SourceData.Common_SourceData_EFPastureRangeAndPaddock_NIRReference" localSheetId="33">_xlfn.LAMBDA("")</definedName>
    <definedName name="Common_SourceData.Common_SourceData_EFPastureRangeAndPaddock_NIRReference" localSheetId="27">_xlfn.LAMBDA("")</definedName>
    <definedName name="Common_SourceData.Common_SourceData_EFPastureRangeAndPaddock_NIRReference" localSheetId="32">_xlfn.LAMBDA("")</definedName>
    <definedName name="Common_SourceData.Common_SourceData_EFPastureRangeAndPaddock_NIRReference" localSheetId="29">_xlfn.LAMBDA("")</definedName>
    <definedName name="Common_SourceData.Common_SourceData_EFPastureRangeAndPaddock_NIRReference" localSheetId="30">_xlfn.LAMBDA("")</definedName>
    <definedName name="Common_SourceData.Common_SourceData_EFPastureRangeAndPaddock_NIRReference" localSheetId="31">_xlfn.LAMBDA("")</definedName>
    <definedName name="Common_SourceData.Common_SourceData_EFPastureRangeAndPaddock_NIRReference" localSheetId="28">_xlfn.LAMBDA("")</definedName>
    <definedName name="Common_SourceData.Common_SourceData_EFPastureRangeAndPaddock_NIRReference" localSheetId="26">_xlfn.LAMBDA("")</definedName>
    <definedName name="Common_SourceData.Common_SourceData_EFPastureRangeAndPaddock_NIRReference" localSheetId="9">_xlfn.LAMBDA("")</definedName>
    <definedName name="Common_SourceData.Common_SourceData_EFPastureRangeAndPaddock_NIRReference" localSheetId="7">_xlfn.LAMBDA("")</definedName>
    <definedName name="Common_SourceData.Common_SourceData_EFPastureRangeAndPaddock_NIRReference" localSheetId="8">_xlfn.LAMBDA("")</definedName>
    <definedName name="Common_SourceData.Common_SourceData_EFPastureRangeAndPaddock_NIRReference" localSheetId="6">_xlfn.LAMBDA("")</definedName>
    <definedName name="Common_SourceData.Common_SourceData_EFPastureRangeAndPaddock_NIRReference" localSheetId="4">_xlfn.LAMBDA("")</definedName>
    <definedName name="Common_SourceData.Common_SourceData_EFPastureRangeAndPaddock_NIRReference" localSheetId="3">_xlfn.LAMBDA("")</definedName>
    <definedName name="Common_SourceData.Common_SourceData_EFPastureRangeAndPaddock_NIRReference" localSheetId="34">_xlfn.LAMBDA("")</definedName>
    <definedName name="Common_SourceData.Common_SourceData_EFPastureRangeAndPaddock_NIRReference">_xlfn.LAMBDA("")</definedName>
    <definedName name="Common_SourceData.Common_SourceData_EFPastureRangeAndPaddock_Source" localSheetId="25">_xlfn.LAMBDA("VEERG 2026: Table A.2.2.2")</definedName>
    <definedName name="Common_SourceData.Common_SourceData_EFPastureRangeAndPaddock_Source" localSheetId="10">_xlfn.LAMBDA("VEERG 2026: Table A.2.2.2")</definedName>
    <definedName name="Common_SourceData.Common_SourceData_EFPastureRangeAndPaddock_Source" localSheetId="11">_xlfn.LAMBDA("VEERG 2026: Table A.2.2.2")</definedName>
    <definedName name="Common_SourceData.Common_SourceData_EFPastureRangeAndPaddock_Source" localSheetId="12">_xlfn.LAMBDA("VEERG 2026: Table A.2.2.2")</definedName>
    <definedName name="Common_SourceData.Common_SourceData_EFPastureRangeAndPaddock_Source" localSheetId="13">_xlfn.LAMBDA("VEERG 2026: Table A.2.2.2")</definedName>
    <definedName name="Common_SourceData.Common_SourceData_EFPastureRangeAndPaddock_Source" localSheetId="14">_xlfn.LAMBDA("VEERG 2026: Table A.2.2.2")</definedName>
    <definedName name="Common_SourceData.Common_SourceData_EFPastureRangeAndPaddock_Source" localSheetId="15">_xlfn.LAMBDA("VEERG 2026: Table A.2.2.2")</definedName>
    <definedName name="Common_SourceData.Common_SourceData_EFPastureRangeAndPaddock_Source" localSheetId="16">_xlfn.LAMBDA("VEERG 2026: Table A.2.2.2")</definedName>
    <definedName name="Common_SourceData.Common_SourceData_EFPastureRangeAndPaddock_Source" localSheetId="17">_xlfn.LAMBDA("VEERG 2026: Table A.2.2.2")</definedName>
    <definedName name="Common_SourceData.Common_SourceData_EFPastureRangeAndPaddock_Source" localSheetId="18">_xlfn.LAMBDA("VEERG 2026: Table A.2.2.2")</definedName>
    <definedName name="Common_SourceData.Common_SourceData_EFPastureRangeAndPaddock_Source" localSheetId="19">_xlfn.LAMBDA("VEERG 2026: Table A.2.2.2")</definedName>
    <definedName name="Common_SourceData.Common_SourceData_EFPastureRangeAndPaddock_Source" localSheetId="20">_xlfn.LAMBDA("VEERG 2026: Table A.2.2.2")</definedName>
    <definedName name="Common_SourceData.Common_SourceData_EFPastureRangeAndPaddock_Source" localSheetId="21">_xlfn.LAMBDA("VEERG 2026: Table A.2.2.2")</definedName>
    <definedName name="Common_SourceData.Common_SourceData_EFPastureRangeAndPaddock_Source" localSheetId="22">_xlfn.LAMBDA("VEERG 2026: Table A.2.2.2")</definedName>
    <definedName name="Common_SourceData.Common_SourceData_EFPastureRangeAndPaddock_Source" localSheetId="23">_xlfn.LAMBDA("VEERG 2026: Table A.2.2.2")</definedName>
    <definedName name="Common_SourceData.Common_SourceData_EFPastureRangeAndPaddock_Source" localSheetId="24">_xlfn.LAMBDA("VEERG 2026: Table A.2.2.2")</definedName>
    <definedName name="Common_SourceData.Common_SourceData_EFPastureRangeAndPaddock_Source" localSheetId="33">_xlfn.LAMBDA("VEERG 2026: Table A.2.2.2")</definedName>
    <definedName name="Common_SourceData.Common_SourceData_EFPastureRangeAndPaddock_Source" localSheetId="27">_xlfn.LAMBDA("VEERG 2026: Table A.2.2.2")</definedName>
    <definedName name="Common_SourceData.Common_SourceData_EFPastureRangeAndPaddock_Source" localSheetId="32">_xlfn.LAMBDA("VEERG 2026: Table A.2.2.2")</definedName>
    <definedName name="Common_SourceData.Common_SourceData_EFPastureRangeAndPaddock_Source" localSheetId="29">_xlfn.LAMBDA("VEERG 2026: Table A.2.2.2")</definedName>
    <definedName name="Common_SourceData.Common_SourceData_EFPastureRangeAndPaddock_Source" localSheetId="30">_xlfn.LAMBDA("VEERG 2026: Table A.2.2.2")</definedName>
    <definedName name="Common_SourceData.Common_SourceData_EFPastureRangeAndPaddock_Source" localSheetId="31">_xlfn.LAMBDA("VEERG 2026: Table A.2.2.2")</definedName>
    <definedName name="Common_SourceData.Common_SourceData_EFPastureRangeAndPaddock_Source" localSheetId="28">_xlfn.LAMBDA("VEERG 2026: Table A.2.2.2")</definedName>
    <definedName name="Common_SourceData.Common_SourceData_EFPastureRangeAndPaddock_Source" localSheetId="26">_xlfn.LAMBDA("VEERG 2026: Table A.2.2.2")</definedName>
    <definedName name="Common_SourceData.Common_SourceData_EFPastureRangeAndPaddock_Source" localSheetId="9">_xlfn.LAMBDA("VEERG 2026: Table A.2.2.2")</definedName>
    <definedName name="Common_SourceData.Common_SourceData_EFPastureRangeAndPaddock_Source" localSheetId="7">_xlfn.LAMBDA("VEERG 2026: Table A.2.2.2")</definedName>
    <definedName name="Common_SourceData.Common_SourceData_EFPastureRangeAndPaddock_Source" localSheetId="8">_xlfn.LAMBDA("VEERG 2026: Table A.2.2.2")</definedName>
    <definedName name="Common_SourceData.Common_SourceData_EFPastureRangeAndPaddock_Source" localSheetId="6">_xlfn.LAMBDA("VEERG 2026: Table A.2.2.2")</definedName>
    <definedName name="Common_SourceData.Common_SourceData_EFPastureRangeAndPaddock_Source" localSheetId="4">_xlfn.LAMBDA("VEERG 2026: Table A.2.2.2")</definedName>
    <definedName name="Common_SourceData.Common_SourceData_EFPastureRangeAndPaddock_Source" localSheetId="3">_xlfn.LAMBDA("VEERG 2026: Table A.2.2.2")</definedName>
    <definedName name="Common_SourceData.Common_SourceData_EFPastureRangeAndPaddock_Source" localSheetId="34">_xlfn.LAMBDA("VEERG 2026: Table A.2.2.2")</definedName>
    <definedName name="Common_SourceData.Common_SourceData_EFPastureRangeAndPaddock_Source">_xlfn.LAMBDA("VEERG 2026: Table A.2.2.2")</definedName>
    <definedName name="Common_SourceData.Common_SourceData_EFPastureRangeAndPaddock_Title" localSheetId="25">_xlfn.LAMBDA("Emission factor for urine and dung deposited on pasture, range or paddock")</definedName>
    <definedName name="Common_SourceData.Common_SourceData_EFPastureRangeAndPaddock_Title" localSheetId="10">_xlfn.LAMBDA("Emission factor for urine and dung deposited on pasture, range or paddock")</definedName>
    <definedName name="Common_SourceData.Common_SourceData_EFPastureRangeAndPaddock_Title" localSheetId="11">_xlfn.LAMBDA("Emission factor for urine and dung deposited on pasture, range or paddock")</definedName>
    <definedName name="Common_SourceData.Common_SourceData_EFPastureRangeAndPaddock_Title" localSheetId="12">_xlfn.LAMBDA("Emission factor for urine and dung deposited on pasture, range or paddock")</definedName>
    <definedName name="Common_SourceData.Common_SourceData_EFPastureRangeAndPaddock_Title" localSheetId="13">_xlfn.LAMBDA("Emission factor for urine and dung deposited on pasture, range or paddock")</definedName>
    <definedName name="Common_SourceData.Common_SourceData_EFPastureRangeAndPaddock_Title" localSheetId="14">_xlfn.LAMBDA("Emission factor for urine and dung deposited on pasture, range or paddock")</definedName>
    <definedName name="Common_SourceData.Common_SourceData_EFPastureRangeAndPaddock_Title" localSheetId="15">_xlfn.LAMBDA("Emission factor for urine and dung deposited on pasture, range or paddock")</definedName>
    <definedName name="Common_SourceData.Common_SourceData_EFPastureRangeAndPaddock_Title" localSheetId="16">_xlfn.LAMBDA("Emission factor for urine and dung deposited on pasture, range or paddock")</definedName>
    <definedName name="Common_SourceData.Common_SourceData_EFPastureRangeAndPaddock_Title" localSheetId="17">_xlfn.LAMBDA("Emission factor for urine and dung deposited on pasture, range or paddock")</definedName>
    <definedName name="Common_SourceData.Common_SourceData_EFPastureRangeAndPaddock_Title" localSheetId="18">_xlfn.LAMBDA("Emission factor for urine and dung deposited on pasture, range or paddock")</definedName>
    <definedName name="Common_SourceData.Common_SourceData_EFPastureRangeAndPaddock_Title" localSheetId="19">_xlfn.LAMBDA("Emission factor for urine and dung deposited on pasture, range or paddock")</definedName>
    <definedName name="Common_SourceData.Common_SourceData_EFPastureRangeAndPaddock_Title" localSheetId="20">_xlfn.LAMBDA("Emission factor for urine and dung deposited on pasture, range or paddock")</definedName>
    <definedName name="Common_SourceData.Common_SourceData_EFPastureRangeAndPaddock_Title" localSheetId="21">_xlfn.LAMBDA("Emission factor for urine and dung deposited on pasture, range or paddock")</definedName>
    <definedName name="Common_SourceData.Common_SourceData_EFPastureRangeAndPaddock_Title" localSheetId="22">_xlfn.LAMBDA("Emission factor for urine and dung deposited on pasture, range or paddock")</definedName>
    <definedName name="Common_SourceData.Common_SourceData_EFPastureRangeAndPaddock_Title" localSheetId="23">_xlfn.LAMBDA("Emission factor for urine and dung deposited on pasture, range or paddock")</definedName>
    <definedName name="Common_SourceData.Common_SourceData_EFPastureRangeAndPaddock_Title" localSheetId="24">_xlfn.LAMBDA("Emission factor for urine and dung deposited on pasture, range or paddock")</definedName>
    <definedName name="Common_SourceData.Common_SourceData_EFPastureRangeAndPaddock_Title" localSheetId="33">_xlfn.LAMBDA("Emission factor for urine and dung deposited on pasture, range or paddock")</definedName>
    <definedName name="Common_SourceData.Common_SourceData_EFPastureRangeAndPaddock_Title" localSheetId="27">_xlfn.LAMBDA("Emission factor for urine and dung deposited on pasture, range or paddock")</definedName>
    <definedName name="Common_SourceData.Common_SourceData_EFPastureRangeAndPaddock_Title" localSheetId="32">_xlfn.LAMBDA("Emission factor for urine and dung deposited on pasture, range or paddock")</definedName>
    <definedName name="Common_SourceData.Common_SourceData_EFPastureRangeAndPaddock_Title" localSheetId="29">_xlfn.LAMBDA("Emission factor for urine and dung deposited on pasture, range or paddock")</definedName>
    <definedName name="Common_SourceData.Common_SourceData_EFPastureRangeAndPaddock_Title" localSheetId="30">_xlfn.LAMBDA("Emission factor for urine and dung deposited on pasture, range or paddock")</definedName>
    <definedName name="Common_SourceData.Common_SourceData_EFPastureRangeAndPaddock_Title" localSheetId="31">_xlfn.LAMBDA("Emission factor for urine and dung deposited on pasture, range or paddock")</definedName>
    <definedName name="Common_SourceData.Common_SourceData_EFPastureRangeAndPaddock_Title" localSheetId="28">_xlfn.LAMBDA("Emission factor for urine and dung deposited on pasture, range or paddock")</definedName>
    <definedName name="Common_SourceData.Common_SourceData_EFPastureRangeAndPaddock_Title" localSheetId="26">_xlfn.LAMBDA("Emission factor for urine and dung deposited on pasture, range or paddock")</definedName>
    <definedName name="Common_SourceData.Common_SourceData_EFPastureRangeAndPaddock_Title" localSheetId="9">_xlfn.LAMBDA("Emission factor for urine and dung deposited on pasture, range or paddock")</definedName>
    <definedName name="Common_SourceData.Common_SourceData_EFPastureRangeAndPaddock_Title" localSheetId="7">_xlfn.LAMBDA("Emission factor for urine and dung deposited on pasture, range or paddock")</definedName>
    <definedName name="Common_SourceData.Common_SourceData_EFPastureRangeAndPaddock_Title" localSheetId="8">_xlfn.LAMBDA("Emission factor for urine and dung deposited on pasture, range or paddock")</definedName>
    <definedName name="Common_SourceData.Common_SourceData_EFPastureRangeAndPaddock_Title" localSheetId="6">_xlfn.LAMBDA("Emission factor for urine and dung deposited on pasture, range or paddock")</definedName>
    <definedName name="Common_SourceData.Common_SourceData_EFPastureRangeAndPaddock_Title" localSheetId="4">_xlfn.LAMBDA("Emission factor for urine and dung deposited on pasture, range or paddock")</definedName>
    <definedName name="Common_SourceData.Common_SourceData_EFPastureRangeAndPaddock_Title" localSheetId="3">_xlfn.LAMBDA("Emission factor for urine and dung deposited on pasture, range or paddock")</definedName>
    <definedName name="Common_SourceData.Common_SourceData_EFPastureRangeAndPaddock_Title" localSheetId="34">_xlfn.LAMBDA("Emission factor for urine and dung deposited on pasture, range or paddock")</definedName>
    <definedName name="Common_SourceData.Common_SourceData_EFPastureRangeAndPaddock_Title">_xlfn.LAMBDA("Emission factor for urine and dung deposited on pasture, range or paddock")</definedName>
    <definedName name="Common_SourceData.Common_SourceData_EFPastureRangeAndPaddock_Unit" localSheetId="25">_xlfn.LAMBDA("kg N2O - N / kg N")</definedName>
    <definedName name="Common_SourceData.Common_SourceData_EFPastureRangeAndPaddock_Unit" localSheetId="10">_xlfn.LAMBDA("kg N2O - N / kg N")</definedName>
    <definedName name="Common_SourceData.Common_SourceData_EFPastureRangeAndPaddock_Unit" localSheetId="11">_xlfn.LAMBDA("kg N2O - N / kg N")</definedName>
    <definedName name="Common_SourceData.Common_SourceData_EFPastureRangeAndPaddock_Unit" localSheetId="12">_xlfn.LAMBDA("kg N2O - N / kg N")</definedName>
    <definedName name="Common_SourceData.Common_SourceData_EFPastureRangeAndPaddock_Unit" localSheetId="13">_xlfn.LAMBDA("kg N2O - N / kg N")</definedName>
    <definedName name="Common_SourceData.Common_SourceData_EFPastureRangeAndPaddock_Unit" localSheetId="14">_xlfn.LAMBDA("kg N2O - N / kg N")</definedName>
    <definedName name="Common_SourceData.Common_SourceData_EFPastureRangeAndPaddock_Unit" localSheetId="15">_xlfn.LAMBDA("kg N2O - N / kg N")</definedName>
    <definedName name="Common_SourceData.Common_SourceData_EFPastureRangeAndPaddock_Unit" localSheetId="16">_xlfn.LAMBDA("kg N2O - N / kg N")</definedName>
    <definedName name="Common_SourceData.Common_SourceData_EFPastureRangeAndPaddock_Unit" localSheetId="17">_xlfn.LAMBDA("kg N2O - N / kg N")</definedName>
    <definedName name="Common_SourceData.Common_SourceData_EFPastureRangeAndPaddock_Unit" localSheetId="18">_xlfn.LAMBDA("kg N2O - N / kg N")</definedName>
    <definedName name="Common_SourceData.Common_SourceData_EFPastureRangeAndPaddock_Unit" localSheetId="19">_xlfn.LAMBDA("kg N2O - N / kg N")</definedName>
    <definedName name="Common_SourceData.Common_SourceData_EFPastureRangeAndPaddock_Unit" localSheetId="20">_xlfn.LAMBDA("kg N2O - N / kg N")</definedName>
    <definedName name="Common_SourceData.Common_SourceData_EFPastureRangeAndPaddock_Unit" localSheetId="21">_xlfn.LAMBDA("kg N2O - N / kg N")</definedName>
    <definedName name="Common_SourceData.Common_SourceData_EFPastureRangeAndPaddock_Unit" localSheetId="22">_xlfn.LAMBDA("kg N2O - N / kg N")</definedName>
    <definedName name="Common_SourceData.Common_SourceData_EFPastureRangeAndPaddock_Unit" localSheetId="23">_xlfn.LAMBDA("kg N2O - N / kg N")</definedName>
    <definedName name="Common_SourceData.Common_SourceData_EFPastureRangeAndPaddock_Unit" localSheetId="24">_xlfn.LAMBDA("kg N2O - N / kg N")</definedName>
    <definedName name="Common_SourceData.Common_SourceData_EFPastureRangeAndPaddock_Unit" localSheetId="33">_xlfn.LAMBDA("kg N2O - N / kg N")</definedName>
    <definedName name="Common_SourceData.Common_SourceData_EFPastureRangeAndPaddock_Unit" localSheetId="27">_xlfn.LAMBDA("kg N2O - N / kg N")</definedName>
    <definedName name="Common_SourceData.Common_SourceData_EFPastureRangeAndPaddock_Unit" localSheetId="32">_xlfn.LAMBDA("kg N2O - N / kg N")</definedName>
    <definedName name="Common_SourceData.Common_SourceData_EFPastureRangeAndPaddock_Unit" localSheetId="29">_xlfn.LAMBDA("kg N2O - N / kg N")</definedName>
    <definedName name="Common_SourceData.Common_SourceData_EFPastureRangeAndPaddock_Unit" localSheetId="30">_xlfn.LAMBDA("kg N2O - N / kg N")</definedName>
    <definedName name="Common_SourceData.Common_SourceData_EFPastureRangeAndPaddock_Unit" localSheetId="31">_xlfn.LAMBDA("kg N2O - N / kg N")</definedName>
    <definedName name="Common_SourceData.Common_SourceData_EFPastureRangeAndPaddock_Unit" localSheetId="28">_xlfn.LAMBDA("kg N2O - N / kg N")</definedName>
    <definedName name="Common_SourceData.Common_SourceData_EFPastureRangeAndPaddock_Unit" localSheetId="26">_xlfn.LAMBDA("kg N2O - N / kg N")</definedName>
    <definedName name="Common_SourceData.Common_SourceData_EFPastureRangeAndPaddock_Unit" localSheetId="9">_xlfn.LAMBDA("kg N2O - N / kg N")</definedName>
    <definedName name="Common_SourceData.Common_SourceData_EFPastureRangeAndPaddock_Unit" localSheetId="7">_xlfn.LAMBDA("kg N2O - N / kg N")</definedName>
    <definedName name="Common_SourceData.Common_SourceData_EFPastureRangeAndPaddock_Unit" localSheetId="8">_xlfn.LAMBDA("kg N2O - N / kg N")</definedName>
    <definedName name="Common_SourceData.Common_SourceData_EFPastureRangeAndPaddock_Unit" localSheetId="6">_xlfn.LAMBDA("kg N2O - N / kg N")</definedName>
    <definedName name="Common_SourceData.Common_SourceData_EFPastureRangeAndPaddock_Unit" localSheetId="4">_xlfn.LAMBDA("kg N2O - N / kg N")</definedName>
    <definedName name="Common_SourceData.Common_SourceData_EFPastureRangeAndPaddock_Unit" localSheetId="3">_xlfn.LAMBDA("kg N2O - N / kg N")</definedName>
    <definedName name="Common_SourceData.Common_SourceData_EFPastureRangeAndPaddock_Unit" localSheetId="34">_xlfn.LAMBDA("kg N2O - N / kg N")</definedName>
    <definedName name="Common_SourceData.Common_SourceData_EFPastureRangeAndPaddock_Unit">_xlfn.LAMBDA("kg N2O - N / kg N")</definedName>
    <definedName name="Common_SourceData.Common_SourceData_EFPastureRangeAndPaddock_Variation" localSheetId="25">_xlfn.LAMBDA("VARIATION FROM SOURCE DATA: Changed 'Dry climate zones' to singular 'Dry climate zone' to aid lookup.")</definedName>
    <definedName name="Common_SourceData.Common_SourceData_EFPastureRangeAndPaddock_Variation" localSheetId="10">_xlfn.LAMBDA("VARIATION FROM SOURCE DATA: Changed 'Dry climate zones' to singular 'Dry climate zone' to aid lookup.")</definedName>
    <definedName name="Common_SourceData.Common_SourceData_EFPastureRangeAndPaddock_Variation" localSheetId="11">_xlfn.LAMBDA("VARIATION FROM SOURCE DATA: Changed 'Dry climate zones' to singular 'Dry climate zone' to aid lookup.")</definedName>
    <definedName name="Common_SourceData.Common_SourceData_EFPastureRangeAndPaddock_Variation" localSheetId="12">_xlfn.LAMBDA("VARIATION FROM SOURCE DATA: Changed 'Dry climate zones' to singular 'Dry climate zone' to aid lookup.")</definedName>
    <definedName name="Common_SourceData.Common_SourceData_EFPastureRangeAndPaddock_Variation" localSheetId="13">_xlfn.LAMBDA("VARIATION FROM SOURCE DATA: Changed 'Dry climate zones' to singular 'Dry climate zone' to aid lookup.")</definedName>
    <definedName name="Common_SourceData.Common_SourceData_EFPastureRangeAndPaddock_Variation" localSheetId="14">_xlfn.LAMBDA("VARIATION FROM SOURCE DATA: Changed 'Dry climate zones' to singular 'Dry climate zone' to aid lookup.")</definedName>
    <definedName name="Common_SourceData.Common_SourceData_EFPastureRangeAndPaddock_Variation" localSheetId="15">_xlfn.LAMBDA("VARIATION FROM SOURCE DATA: Changed 'Dry climate zones' to singular 'Dry climate zone' to aid lookup.")</definedName>
    <definedName name="Common_SourceData.Common_SourceData_EFPastureRangeAndPaddock_Variation" localSheetId="16">_xlfn.LAMBDA("VARIATION FROM SOURCE DATA: Changed 'Dry climate zones' to singular 'Dry climate zone' to aid lookup.")</definedName>
    <definedName name="Common_SourceData.Common_SourceData_EFPastureRangeAndPaddock_Variation" localSheetId="17">_xlfn.LAMBDA("VARIATION FROM SOURCE DATA: Changed 'Dry climate zones' to singular 'Dry climate zone' to aid lookup.")</definedName>
    <definedName name="Common_SourceData.Common_SourceData_EFPastureRangeAndPaddock_Variation" localSheetId="18">_xlfn.LAMBDA("VARIATION FROM SOURCE DATA: Changed 'Dry climate zones' to singular 'Dry climate zone' to aid lookup.")</definedName>
    <definedName name="Common_SourceData.Common_SourceData_EFPastureRangeAndPaddock_Variation" localSheetId="19">_xlfn.LAMBDA("VARIATION FROM SOURCE DATA: Changed 'Dry climate zones' to singular 'Dry climate zone' to aid lookup.")</definedName>
    <definedName name="Common_SourceData.Common_SourceData_EFPastureRangeAndPaddock_Variation" localSheetId="20">_xlfn.LAMBDA("VARIATION FROM SOURCE DATA: Changed 'Dry climate zones' to singular 'Dry climate zone' to aid lookup.")</definedName>
    <definedName name="Common_SourceData.Common_SourceData_EFPastureRangeAndPaddock_Variation" localSheetId="21">_xlfn.LAMBDA("VARIATION FROM SOURCE DATA: Changed 'Dry climate zones' to singular 'Dry climate zone' to aid lookup.")</definedName>
    <definedName name="Common_SourceData.Common_SourceData_EFPastureRangeAndPaddock_Variation" localSheetId="22">_xlfn.LAMBDA("VARIATION FROM SOURCE DATA: Changed 'Dry climate zones' to singular 'Dry climate zone' to aid lookup.")</definedName>
    <definedName name="Common_SourceData.Common_SourceData_EFPastureRangeAndPaddock_Variation" localSheetId="23">_xlfn.LAMBDA("VARIATION FROM SOURCE DATA: Changed 'Dry climate zones' to singular 'Dry climate zone' to aid lookup.")</definedName>
    <definedName name="Common_SourceData.Common_SourceData_EFPastureRangeAndPaddock_Variation" localSheetId="24">_xlfn.LAMBDA("VARIATION FROM SOURCE DATA: Changed 'Dry climate zones' to singular 'Dry climate zone' to aid lookup.")</definedName>
    <definedName name="Common_SourceData.Common_SourceData_EFPastureRangeAndPaddock_Variation" localSheetId="33">_xlfn.LAMBDA("VARIATION FROM SOURCE DATA: Changed 'Dry climate zones' to singular 'Dry climate zone' to aid lookup.")</definedName>
    <definedName name="Common_SourceData.Common_SourceData_EFPastureRangeAndPaddock_Variation" localSheetId="27">_xlfn.LAMBDA("VARIATION FROM SOURCE DATA: Changed 'Dry climate zones' to singular 'Dry climate zone' to aid lookup.")</definedName>
    <definedName name="Common_SourceData.Common_SourceData_EFPastureRangeAndPaddock_Variation" localSheetId="32">_xlfn.LAMBDA("VARIATION FROM SOURCE DATA: Changed 'Dry climate zones' to singular 'Dry climate zone' to aid lookup.")</definedName>
    <definedName name="Common_SourceData.Common_SourceData_EFPastureRangeAndPaddock_Variation" localSheetId="29">_xlfn.LAMBDA("VARIATION FROM SOURCE DATA: Changed 'Dry climate zones' to singular 'Dry climate zone' to aid lookup.")</definedName>
    <definedName name="Common_SourceData.Common_SourceData_EFPastureRangeAndPaddock_Variation" localSheetId="30">_xlfn.LAMBDA("VARIATION FROM SOURCE DATA: Changed 'Dry climate zones' to singular 'Dry climate zone' to aid lookup.")</definedName>
    <definedName name="Common_SourceData.Common_SourceData_EFPastureRangeAndPaddock_Variation" localSheetId="31">_xlfn.LAMBDA("VARIATION FROM SOURCE DATA: Changed 'Dry climate zones' to singular 'Dry climate zone' to aid lookup.")</definedName>
    <definedName name="Common_SourceData.Common_SourceData_EFPastureRangeAndPaddock_Variation" localSheetId="28">_xlfn.LAMBDA("VARIATION FROM SOURCE DATA: Changed 'Dry climate zones' to singular 'Dry climate zone' to aid lookup.")</definedName>
    <definedName name="Common_SourceData.Common_SourceData_EFPastureRangeAndPaddock_Variation" localSheetId="26">_xlfn.LAMBDA("VARIATION FROM SOURCE DATA: Changed 'Dry climate zones' to singular 'Dry climate zone' to aid lookup.")</definedName>
    <definedName name="Common_SourceData.Common_SourceData_EFPastureRangeAndPaddock_Variation" localSheetId="9">_xlfn.LAMBDA("VARIATION FROM SOURCE DATA: Changed 'Dry climate zones' to singular 'Dry climate zone' to aid lookup.")</definedName>
    <definedName name="Common_SourceData.Common_SourceData_EFPastureRangeAndPaddock_Variation" localSheetId="7">_xlfn.LAMBDA("VARIATION FROM SOURCE DATA: Changed 'Dry climate zones' to singular 'Dry climate zone' to aid lookup.")</definedName>
    <definedName name="Common_SourceData.Common_SourceData_EFPastureRangeAndPaddock_Variation" localSheetId="8">_xlfn.LAMBDA("VARIATION FROM SOURCE DATA: Changed 'Dry climate zones' to singular 'Dry climate zone' to aid lookup.")</definedName>
    <definedName name="Common_SourceData.Common_SourceData_EFPastureRangeAndPaddock_Variation" localSheetId="6">_xlfn.LAMBDA("VARIATION FROM SOURCE DATA: Changed 'Dry climate zones' to singular 'Dry climate zone' to aid lookup.")</definedName>
    <definedName name="Common_SourceData.Common_SourceData_EFPastureRangeAndPaddock_Variation" localSheetId="4">_xlfn.LAMBDA("VARIATION FROM SOURCE DATA: Changed 'Dry climate zones' to singular 'Dry climate zone' to aid lookup.")</definedName>
    <definedName name="Common_SourceData.Common_SourceData_EFPastureRangeAndPaddock_Variation" localSheetId="3">_xlfn.LAMBDA("VARIATION FROM SOURCE DATA: Changed 'Dry climate zones' to singular 'Dry climate zone' to aid lookup.")</definedName>
    <definedName name="Common_SourceData.Common_SourceData_EFPastureRangeAndPaddock_Variation" localSheetId="34">_xlfn.LAMBDA("VARIATION FROM SOURCE DATA: Changed 'Dry climate zones' to singular 'Dry climate zone' to aid lookup.")</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25">_xlfn.LAMBDA(_xlfn.MAKEARRAY(1, 2, _xlfn.LAMBDA(_xlpm.r,_xlpm.c, INDEX({"FracLEACH",0.24}, _xlpm.r, _xlpm.c))))</definedName>
    <definedName name="Common_SourceData.Common_SourceData_FracLEACH_Data" localSheetId="10">_xlfn.LAMBDA(_xlfn.MAKEARRAY(1, 2, _xlfn.LAMBDA(_xlpm.r,_xlpm.c, INDEX({"FracLEACH",0.24}, _xlpm.r, _xlpm.c))))</definedName>
    <definedName name="Common_SourceData.Common_SourceData_FracLEACH_Data" localSheetId="11">_xlfn.LAMBDA(_xlfn.MAKEARRAY(1, 2, _xlfn.LAMBDA(_xlpm.r,_xlpm.c, INDEX({"FracLEACH",0.24}, _xlpm.r, _xlpm.c))))</definedName>
    <definedName name="Common_SourceData.Common_SourceData_FracLEACH_Data" localSheetId="12">_xlfn.LAMBDA(_xlfn.MAKEARRAY(1, 2, _xlfn.LAMBDA(_xlpm.r,_xlpm.c, INDEX({"FracLEACH",0.24}, _xlpm.r, _xlpm.c))))</definedName>
    <definedName name="Common_SourceData.Common_SourceData_FracLEACH_Data" localSheetId="13">_xlfn.LAMBDA(_xlfn.MAKEARRAY(1, 2, _xlfn.LAMBDA(_xlpm.r,_xlpm.c, INDEX({"FracLEACH",0.24}, _xlpm.r, _xlpm.c))))</definedName>
    <definedName name="Common_SourceData.Common_SourceData_FracLEACH_Data" localSheetId="14">_xlfn.LAMBDA(_xlfn.MAKEARRAY(1, 2, _xlfn.LAMBDA(_xlpm.r,_xlpm.c, INDEX({"FracLEACH",0.24}, _xlpm.r, _xlpm.c))))</definedName>
    <definedName name="Common_SourceData.Common_SourceData_FracLEACH_Data" localSheetId="15">_xlfn.LAMBDA(_xlfn.MAKEARRAY(1, 2, _xlfn.LAMBDA(_xlpm.r,_xlpm.c, INDEX({"FracLEACH",0.24}, _xlpm.r, _xlpm.c))))</definedName>
    <definedName name="Common_SourceData.Common_SourceData_FracLEACH_Data" localSheetId="16">_xlfn.LAMBDA(_xlfn.MAKEARRAY(1, 2, _xlfn.LAMBDA(_xlpm.r,_xlpm.c, INDEX({"FracLEACH",0.24}, _xlpm.r, _xlpm.c))))</definedName>
    <definedName name="Common_SourceData.Common_SourceData_FracLEACH_Data" localSheetId="17">_xlfn.LAMBDA(_xlfn.MAKEARRAY(1, 2, _xlfn.LAMBDA(_xlpm.r,_xlpm.c, INDEX({"FracLEACH",0.24}, _xlpm.r, _xlpm.c))))</definedName>
    <definedName name="Common_SourceData.Common_SourceData_FracLEACH_Data" localSheetId="18">_xlfn.LAMBDA(_xlfn.MAKEARRAY(1, 2, _xlfn.LAMBDA(_xlpm.r,_xlpm.c, INDEX({"FracLEACH",0.24}, _xlpm.r, _xlpm.c))))</definedName>
    <definedName name="Common_SourceData.Common_SourceData_FracLEACH_Data" localSheetId="19">_xlfn.LAMBDA(_xlfn.MAKEARRAY(1, 2, _xlfn.LAMBDA(_xlpm.r,_xlpm.c, INDEX({"FracLEACH",0.24}, _xlpm.r, _xlpm.c))))</definedName>
    <definedName name="Common_SourceData.Common_SourceData_FracLEACH_Data" localSheetId="20">_xlfn.LAMBDA(_xlfn.MAKEARRAY(1, 2, _xlfn.LAMBDA(_xlpm.r,_xlpm.c, INDEX({"FracLEACH",0.24}, _xlpm.r, _xlpm.c))))</definedName>
    <definedName name="Common_SourceData.Common_SourceData_FracLEACH_Data" localSheetId="21">_xlfn.LAMBDA(_xlfn.MAKEARRAY(1, 2, _xlfn.LAMBDA(_xlpm.r,_xlpm.c, INDEX({"FracLEACH",0.24}, _xlpm.r, _xlpm.c))))</definedName>
    <definedName name="Common_SourceData.Common_SourceData_FracLEACH_Data" localSheetId="22">_xlfn.LAMBDA(_xlfn.MAKEARRAY(1, 2, _xlfn.LAMBDA(_xlpm.r,_xlpm.c, INDEX({"FracLEACH",0.24}, _xlpm.r, _xlpm.c))))</definedName>
    <definedName name="Common_SourceData.Common_SourceData_FracLEACH_Data" localSheetId="23">_xlfn.LAMBDA(_xlfn.MAKEARRAY(1, 2, _xlfn.LAMBDA(_xlpm.r,_xlpm.c, INDEX({"FracLEACH",0.24}, _xlpm.r, _xlpm.c))))</definedName>
    <definedName name="Common_SourceData.Common_SourceData_FracLEACH_Data" localSheetId="24">_xlfn.LAMBDA(_xlfn.MAKEARRAY(1, 2, _xlfn.LAMBDA(_xlpm.r,_xlpm.c, INDEX({"FracLEACH",0.24}, _xlpm.r, _xlpm.c))))</definedName>
    <definedName name="Common_SourceData.Common_SourceData_FracLEACH_Data" localSheetId="33">_xlfn.LAMBDA(_xlfn.MAKEARRAY(1, 2, _xlfn.LAMBDA(_xlpm.r,_xlpm.c, INDEX({"FracLEACH",0.24}, _xlpm.r, _xlpm.c))))</definedName>
    <definedName name="Common_SourceData.Common_SourceData_FracLEACH_Data" localSheetId="27">_xlfn.LAMBDA(_xlfn.MAKEARRAY(1, 2, _xlfn.LAMBDA(_xlpm.r,_xlpm.c, INDEX({"FracLEACH",0.24}, _xlpm.r, _xlpm.c))))</definedName>
    <definedName name="Common_SourceData.Common_SourceData_FracLEACH_Data" localSheetId="32">_xlfn.LAMBDA(_xlfn.MAKEARRAY(1, 2, _xlfn.LAMBDA(_xlpm.r,_xlpm.c, INDEX({"FracLEACH",0.24}, _xlpm.r, _xlpm.c))))</definedName>
    <definedName name="Common_SourceData.Common_SourceData_FracLEACH_Data" localSheetId="29">_xlfn.LAMBDA(_xlfn.MAKEARRAY(1, 2, _xlfn.LAMBDA(_xlpm.r,_xlpm.c, INDEX({"FracLEACH",0.24}, _xlpm.r, _xlpm.c))))</definedName>
    <definedName name="Common_SourceData.Common_SourceData_FracLEACH_Data" localSheetId="30">_xlfn.LAMBDA(_xlfn.MAKEARRAY(1, 2, _xlfn.LAMBDA(_xlpm.r,_xlpm.c, INDEX({"FracLEACH",0.24}, _xlpm.r, _xlpm.c))))</definedName>
    <definedName name="Common_SourceData.Common_SourceData_FracLEACH_Data" localSheetId="31">_xlfn.LAMBDA(_xlfn.MAKEARRAY(1, 2, _xlfn.LAMBDA(_xlpm.r,_xlpm.c, INDEX({"FracLEACH",0.24}, _xlpm.r, _xlpm.c))))</definedName>
    <definedName name="Common_SourceData.Common_SourceData_FracLEACH_Data" localSheetId="28">_xlfn.LAMBDA(_xlfn.MAKEARRAY(1, 2, _xlfn.LAMBDA(_xlpm.r,_xlpm.c, INDEX({"FracLEACH",0.24}, _xlpm.r, _xlpm.c))))</definedName>
    <definedName name="Common_SourceData.Common_SourceData_FracLEACH_Data" localSheetId="26">_xlfn.LAMBDA(_xlfn.MAKEARRAY(1, 2, _xlfn.LAMBDA(_xlpm.r,_xlpm.c, INDEX({"FracLEACH",0.24}, _xlpm.r, _xlpm.c))))</definedName>
    <definedName name="Common_SourceData.Common_SourceData_FracLEACH_Data" localSheetId="9">_xlfn.LAMBDA(_xlfn.MAKEARRAY(1, 2, _xlfn.LAMBDA(_xlpm.r,_xlpm.c, INDEX({"FracLEACH",0.24}, _xlpm.r, _xlpm.c))))</definedName>
    <definedName name="Common_SourceData.Common_SourceData_FracLEACH_Data" localSheetId="7">_xlfn.LAMBDA(_xlfn.MAKEARRAY(1, 2, _xlfn.LAMBDA(_xlpm.r,_xlpm.c, INDEX({"FracLEACH",0.24}, _xlpm.r, _xlpm.c))))</definedName>
    <definedName name="Common_SourceData.Common_SourceData_FracLEACH_Data" localSheetId="8">_xlfn.LAMBDA(_xlfn.MAKEARRAY(1, 2, _xlfn.LAMBDA(_xlpm.r,_xlpm.c, INDEX({"FracLEACH",0.24}, _xlpm.r, _xlpm.c))))</definedName>
    <definedName name="Common_SourceData.Common_SourceData_FracLEACH_Data" localSheetId="6">_xlfn.LAMBDA(_xlfn.MAKEARRAY(1, 2, _xlfn.LAMBDA(_xlpm.r,_xlpm.c, INDEX({"FracLEACH",0.24}, _xlpm.r, _xlpm.c))))</definedName>
    <definedName name="Common_SourceData.Common_SourceData_FracLEACH_Data" localSheetId="4">_xlfn.LAMBDA(_xlfn.MAKEARRAY(1, 2, _xlfn.LAMBDA(_xlpm.r,_xlpm.c, INDEX({"FracLEACH",0.24}, _xlpm.r, _xlpm.c))))</definedName>
    <definedName name="Common_SourceData.Common_SourceData_FracLEACH_Data" localSheetId="3">_xlfn.LAMBDA(_xlfn.MAKEARRAY(1, 2, _xlfn.LAMBDA(_xlpm.r,_xlpm.c, INDEX({"FracLEACH",0.24}, _xlpm.r, _xlpm.c))))</definedName>
    <definedName name="Common_SourceData.Common_SourceData_FracLEACH_Data" localSheetId="3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 localSheetId="25">_xlfn.LAMBDA("National Inventory Report Volume 1: Leaching and runoff (3.D.b.2)")</definedName>
    <definedName name="Common_SourceData.Common_SourceData_FracLEACH_NIRReference" localSheetId="10">_xlfn.LAMBDA("National Inventory Report Volume 1: Leaching and runoff (3.D.b.2)")</definedName>
    <definedName name="Common_SourceData.Common_SourceData_FracLEACH_NIRReference" localSheetId="11">_xlfn.LAMBDA("National Inventory Report Volume 1: Leaching and runoff (3.D.b.2)")</definedName>
    <definedName name="Common_SourceData.Common_SourceData_FracLEACH_NIRReference" localSheetId="12">_xlfn.LAMBDA("National Inventory Report Volume 1: Leaching and runoff (3.D.b.2)")</definedName>
    <definedName name="Common_SourceData.Common_SourceData_FracLEACH_NIRReference" localSheetId="13">_xlfn.LAMBDA("National Inventory Report Volume 1: Leaching and runoff (3.D.b.2)")</definedName>
    <definedName name="Common_SourceData.Common_SourceData_FracLEACH_NIRReference" localSheetId="14">_xlfn.LAMBDA("National Inventory Report Volume 1: Leaching and runoff (3.D.b.2)")</definedName>
    <definedName name="Common_SourceData.Common_SourceData_FracLEACH_NIRReference" localSheetId="15">_xlfn.LAMBDA("National Inventory Report Volume 1: Leaching and runoff (3.D.b.2)")</definedName>
    <definedName name="Common_SourceData.Common_SourceData_FracLEACH_NIRReference" localSheetId="16">_xlfn.LAMBDA("National Inventory Report Volume 1: Leaching and runoff (3.D.b.2)")</definedName>
    <definedName name="Common_SourceData.Common_SourceData_FracLEACH_NIRReference" localSheetId="17">_xlfn.LAMBDA("National Inventory Report Volume 1: Leaching and runoff (3.D.b.2)")</definedName>
    <definedName name="Common_SourceData.Common_SourceData_FracLEACH_NIRReference" localSheetId="18">_xlfn.LAMBDA("National Inventory Report Volume 1: Leaching and runoff (3.D.b.2)")</definedName>
    <definedName name="Common_SourceData.Common_SourceData_FracLEACH_NIRReference" localSheetId="19">_xlfn.LAMBDA("National Inventory Report Volume 1: Leaching and runoff (3.D.b.2)")</definedName>
    <definedName name="Common_SourceData.Common_SourceData_FracLEACH_NIRReference" localSheetId="20">_xlfn.LAMBDA("National Inventory Report Volume 1: Leaching and runoff (3.D.b.2)")</definedName>
    <definedName name="Common_SourceData.Common_SourceData_FracLEACH_NIRReference" localSheetId="21">_xlfn.LAMBDA("National Inventory Report Volume 1: Leaching and runoff (3.D.b.2)")</definedName>
    <definedName name="Common_SourceData.Common_SourceData_FracLEACH_NIRReference" localSheetId="22">_xlfn.LAMBDA("National Inventory Report Volume 1: Leaching and runoff (3.D.b.2)")</definedName>
    <definedName name="Common_SourceData.Common_SourceData_FracLEACH_NIRReference" localSheetId="23">_xlfn.LAMBDA("National Inventory Report Volume 1: Leaching and runoff (3.D.b.2)")</definedName>
    <definedName name="Common_SourceData.Common_SourceData_FracLEACH_NIRReference" localSheetId="24">_xlfn.LAMBDA("National Inventory Report Volume 1: Leaching and runoff (3.D.b.2)")</definedName>
    <definedName name="Common_SourceData.Common_SourceData_FracLEACH_NIRReference" localSheetId="33">_xlfn.LAMBDA("National Inventory Report Volume 1: Leaching and runoff (3.D.b.2)")</definedName>
    <definedName name="Common_SourceData.Common_SourceData_FracLEACH_NIRReference" localSheetId="27">_xlfn.LAMBDA("National Inventory Report Volume 1: Leaching and runoff (3.D.b.2)")</definedName>
    <definedName name="Common_SourceData.Common_SourceData_FracLEACH_NIRReference" localSheetId="32">_xlfn.LAMBDA("National Inventory Report Volume 1: Leaching and runoff (3.D.b.2)")</definedName>
    <definedName name="Common_SourceData.Common_SourceData_FracLEACH_NIRReference" localSheetId="29">_xlfn.LAMBDA("National Inventory Report Volume 1: Leaching and runoff (3.D.b.2)")</definedName>
    <definedName name="Common_SourceData.Common_SourceData_FracLEACH_NIRReference" localSheetId="30">_xlfn.LAMBDA("National Inventory Report Volume 1: Leaching and runoff (3.D.b.2)")</definedName>
    <definedName name="Common_SourceData.Common_SourceData_FracLEACH_NIRReference" localSheetId="31">_xlfn.LAMBDA("National Inventory Report Volume 1: Leaching and runoff (3.D.b.2)")</definedName>
    <definedName name="Common_SourceData.Common_SourceData_FracLEACH_NIRReference" localSheetId="28">_xlfn.LAMBDA("National Inventory Report Volume 1: Leaching and runoff (3.D.b.2)")</definedName>
    <definedName name="Common_SourceData.Common_SourceData_FracLEACH_NIRReference" localSheetId="26">_xlfn.LAMBDA("National Inventory Report Volume 1: Leaching and runoff (3.D.b.2)")</definedName>
    <definedName name="Common_SourceData.Common_SourceData_FracLEACH_NIRReference" localSheetId="9">_xlfn.LAMBDA("National Inventory Report Volume 1: Leaching and runoff (3.D.b.2)")</definedName>
    <definedName name="Common_SourceData.Common_SourceData_FracLEACH_NIRReference" localSheetId="7">_xlfn.LAMBDA("National Inventory Report Volume 1: Leaching and runoff (3.D.b.2)")</definedName>
    <definedName name="Common_SourceData.Common_SourceData_FracLEACH_NIRReference" localSheetId="8">_xlfn.LAMBDA("National Inventory Report Volume 1: Leaching and runoff (3.D.b.2)")</definedName>
    <definedName name="Common_SourceData.Common_SourceData_FracLEACH_NIRReference" localSheetId="6">_xlfn.LAMBDA("National Inventory Report Volume 1: Leaching and runoff (3.D.b.2)")</definedName>
    <definedName name="Common_SourceData.Common_SourceData_FracLEACH_NIRReference" localSheetId="4">_xlfn.LAMBDA("National Inventory Report Volume 1: Leaching and runoff (3.D.b.2)")</definedName>
    <definedName name="Common_SourceData.Common_SourceData_FracLEACH_NIRReference" localSheetId="3">_xlfn.LAMBDA("National Inventory Report Volume 1: Leaching and runoff (3.D.b.2)")</definedName>
    <definedName name="Common_SourceData.Common_SourceData_FracLEACH_NIRReference" localSheetId="34">_xlfn.LAMBDA("National Inventory Report Volume 1: Leaching and runoff (3.D.b.2)")</definedName>
    <definedName name="Common_SourceData.Common_SourceData_FracLEACH_NIRReference">_xlfn.LAMBDA("National Inventory Report Volume 1: Leaching and runoff (3.D.b.2)")</definedName>
    <definedName name="Common_SourceData.Common_SourceData_FracLEACH_Source" localSheetId="25">_xlfn.LAMBDA("VEERG 2026:5.5.2.3 Constant Parameters")</definedName>
    <definedName name="Common_SourceData.Common_SourceData_FracLEACH_Source" localSheetId="10">_xlfn.LAMBDA("VEERG 2026:5.5.2.3 Constant Parameters")</definedName>
    <definedName name="Common_SourceData.Common_SourceData_FracLEACH_Source" localSheetId="11">_xlfn.LAMBDA("VEERG 2026:5.5.2.3 Constant Parameters")</definedName>
    <definedName name="Common_SourceData.Common_SourceData_FracLEACH_Source" localSheetId="12">_xlfn.LAMBDA("VEERG 2026:5.5.2.3 Constant Parameters")</definedName>
    <definedName name="Common_SourceData.Common_SourceData_FracLEACH_Source" localSheetId="13">_xlfn.LAMBDA("VEERG 2026:5.5.2.3 Constant Parameters")</definedName>
    <definedName name="Common_SourceData.Common_SourceData_FracLEACH_Source" localSheetId="14">_xlfn.LAMBDA("VEERG 2026:5.5.2.3 Constant Parameters")</definedName>
    <definedName name="Common_SourceData.Common_SourceData_FracLEACH_Source" localSheetId="15">_xlfn.LAMBDA("VEERG 2026:5.5.2.3 Constant Parameters")</definedName>
    <definedName name="Common_SourceData.Common_SourceData_FracLEACH_Source" localSheetId="16">_xlfn.LAMBDA("VEERG 2026:5.5.2.3 Constant Parameters")</definedName>
    <definedName name="Common_SourceData.Common_SourceData_FracLEACH_Source" localSheetId="17">_xlfn.LAMBDA("VEERG 2026:5.5.2.3 Constant Parameters")</definedName>
    <definedName name="Common_SourceData.Common_SourceData_FracLEACH_Source" localSheetId="18">_xlfn.LAMBDA("VEERG 2026:5.5.2.3 Constant Parameters")</definedName>
    <definedName name="Common_SourceData.Common_SourceData_FracLEACH_Source" localSheetId="19">_xlfn.LAMBDA("VEERG 2026:5.5.2.3 Constant Parameters")</definedName>
    <definedName name="Common_SourceData.Common_SourceData_FracLEACH_Source" localSheetId="20">_xlfn.LAMBDA("VEERG 2026:5.5.2.3 Constant Parameters")</definedName>
    <definedName name="Common_SourceData.Common_SourceData_FracLEACH_Source" localSheetId="21">_xlfn.LAMBDA("VEERG 2026:5.5.2.3 Constant Parameters")</definedName>
    <definedName name="Common_SourceData.Common_SourceData_FracLEACH_Source" localSheetId="22">_xlfn.LAMBDA("VEERG 2026:5.5.2.3 Constant Parameters")</definedName>
    <definedName name="Common_SourceData.Common_SourceData_FracLEACH_Source" localSheetId="23">_xlfn.LAMBDA("VEERG 2026:5.5.2.3 Constant Parameters")</definedName>
    <definedName name="Common_SourceData.Common_SourceData_FracLEACH_Source" localSheetId="24">_xlfn.LAMBDA("VEERG 2026:5.5.2.3 Constant Parameters")</definedName>
    <definedName name="Common_SourceData.Common_SourceData_FracLEACH_Source" localSheetId="33">_xlfn.LAMBDA("VEERG 2026:5.5.2.3 Constant Parameters")</definedName>
    <definedName name="Common_SourceData.Common_SourceData_FracLEACH_Source" localSheetId="27">_xlfn.LAMBDA("VEERG 2026:5.5.2.3 Constant Parameters")</definedName>
    <definedName name="Common_SourceData.Common_SourceData_FracLEACH_Source" localSheetId="32">_xlfn.LAMBDA("VEERG 2026:5.5.2.3 Constant Parameters")</definedName>
    <definedName name="Common_SourceData.Common_SourceData_FracLEACH_Source" localSheetId="29">_xlfn.LAMBDA("VEERG 2026:5.5.2.3 Constant Parameters")</definedName>
    <definedName name="Common_SourceData.Common_SourceData_FracLEACH_Source" localSheetId="30">_xlfn.LAMBDA("VEERG 2026:5.5.2.3 Constant Parameters")</definedName>
    <definedName name="Common_SourceData.Common_SourceData_FracLEACH_Source" localSheetId="31">_xlfn.LAMBDA("VEERG 2026:5.5.2.3 Constant Parameters")</definedName>
    <definedName name="Common_SourceData.Common_SourceData_FracLEACH_Source" localSheetId="28">_xlfn.LAMBDA("VEERG 2026:5.5.2.3 Constant Parameters")</definedName>
    <definedName name="Common_SourceData.Common_SourceData_FracLEACH_Source" localSheetId="26">_xlfn.LAMBDA("VEERG 2026:5.5.2.3 Constant Parameters")</definedName>
    <definedName name="Common_SourceData.Common_SourceData_FracLEACH_Source" localSheetId="9">_xlfn.LAMBDA("VEERG 2026:5.5.2.3 Constant Parameters")</definedName>
    <definedName name="Common_SourceData.Common_SourceData_FracLEACH_Source" localSheetId="7">_xlfn.LAMBDA("VEERG 2026:5.5.2.3 Constant Parameters")</definedName>
    <definedName name="Common_SourceData.Common_SourceData_FracLEACH_Source" localSheetId="8">_xlfn.LAMBDA("VEERG 2026:5.5.2.3 Constant Parameters")</definedName>
    <definedName name="Common_SourceData.Common_SourceData_FracLEACH_Source" localSheetId="6">_xlfn.LAMBDA("VEERG 2026:5.5.2.3 Constant Parameters")</definedName>
    <definedName name="Common_SourceData.Common_SourceData_FracLEACH_Source" localSheetId="4">_xlfn.LAMBDA("VEERG 2026:5.5.2.3 Constant Parameters")</definedName>
    <definedName name="Common_SourceData.Common_SourceData_FracLEACH_Source" localSheetId="3">_xlfn.LAMBDA("VEERG 2026:5.5.2.3 Constant Parameters")</definedName>
    <definedName name="Common_SourceData.Common_SourceData_FracLEACH_Source" localSheetId="34">_xlfn.LAMBDA("VEERG 2026:5.5.2.3 Constant Parameters")</definedName>
    <definedName name="Common_SourceData.Common_SourceData_FracLEACH_Source">_xlfn.LAMBDA("VEERG 2026:5.5.2.3 Constant Parameters")</definedName>
    <definedName name="Common_SourceData.Common_SourceData_FracLEACH_Title" localSheetId="25">_xlfn.LAMBDA("Fraction of N that is available for leaching and runoff")</definedName>
    <definedName name="Common_SourceData.Common_SourceData_FracLEACH_Title" localSheetId="10">_xlfn.LAMBDA("Fraction of N that is available for leaching and runoff")</definedName>
    <definedName name="Common_SourceData.Common_SourceData_FracLEACH_Title" localSheetId="11">_xlfn.LAMBDA("Fraction of N that is available for leaching and runoff")</definedName>
    <definedName name="Common_SourceData.Common_SourceData_FracLEACH_Title" localSheetId="12">_xlfn.LAMBDA("Fraction of N that is available for leaching and runoff")</definedName>
    <definedName name="Common_SourceData.Common_SourceData_FracLEACH_Title" localSheetId="13">_xlfn.LAMBDA("Fraction of N that is available for leaching and runoff")</definedName>
    <definedName name="Common_SourceData.Common_SourceData_FracLEACH_Title" localSheetId="14">_xlfn.LAMBDA("Fraction of N that is available for leaching and runoff")</definedName>
    <definedName name="Common_SourceData.Common_SourceData_FracLEACH_Title" localSheetId="15">_xlfn.LAMBDA("Fraction of N that is available for leaching and runoff")</definedName>
    <definedName name="Common_SourceData.Common_SourceData_FracLEACH_Title" localSheetId="16">_xlfn.LAMBDA("Fraction of N that is available for leaching and runoff")</definedName>
    <definedName name="Common_SourceData.Common_SourceData_FracLEACH_Title" localSheetId="17">_xlfn.LAMBDA("Fraction of N that is available for leaching and runoff")</definedName>
    <definedName name="Common_SourceData.Common_SourceData_FracLEACH_Title" localSheetId="18">_xlfn.LAMBDA("Fraction of N that is available for leaching and runoff")</definedName>
    <definedName name="Common_SourceData.Common_SourceData_FracLEACH_Title" localSheetId="19">_xlfn.LAMBDA("Fraction of N that is available for leaching and runoff")</definedName>
    <definedName name="Common_SourceData.Common_SourceData_FracLEACH_Title" localSheetId="20">_xlfn.LAMBDA("Fraction of N that is available for leaching and runoff")</definedName>
    <definedName name="Common_SourceData.Common_SourceData_FracLEACH_Title" localSheetId="21">_xlfn.LAMBDA("Fraction of N that is available for leaching and runoff")</definedName>
    <definedName name="Common_SourceData.Common_SourceData_FracLEACH_Title" localSheetId="22">_xlfn.LAMBDA("Fraction of N that is available for leaching and runoff")</definedName>
    <definedName name="Common_SourceData.Common_SourceData_FracLEACH_Title" localSheetId="23">_xlfn.LAMBDA("Fraction of N that is available for leaching and runoff")</definedName>
    <definedName name="Common_SourceData.Common_SourceData_FracLEACH_Title" localSheetId="24">_xlfn.LAMBDA("Fraction of N that is available for leaching and runoff")</definedName>
    <definedName name="Common_SourceData.Common_SourceData_FracLEACH_Title" localSheetId="33">_xlfn.LAMBDA("Fraction of N that is available for leaching and runoff")</definedName>
    <definedName name="Common_SourceData.Common_SourceData_FracLEACH_Title" localSheetId="27">_xlfn.LAMBDA("Fraction of N that is available for leaching and runoff")</definedName>
    <definedName name="Common_SourceData.Common_SourceData_FracLEACH_Title" localSheetId="32">_xlfn.LAMBDA("Fraction of N that is available for leaching and runoff")</definedName>
    <definedName name="Common_SourceData.Common_SourceData_FracLEACH_Title" localSheetId="29">_xlfn.LAMBDA("Fraction of N that is available for leaching and runoff")</definedName>
    <definedName name="Common_SourceData.Common_SourceData_FracLEACH_Title" localSheetId="30">_xlfn.LAMBDA("Fraction of N that is available for leaching and runoff")</definedName>
    <definedName name="Common_SourceData.Common_SourceData_FracLEACH_Title" localSheetId="31">_xlfn.LAMBDA("Fraction of N that is available for leaching and runoff")</definedName>
    <definedName name="Common_SourceData.Common_SourceData_FracLEACH_Title" localSheetId="28">_xlfn.LAMBDA("Fraction of N that is available for leaching and runoff")</definedName>
    <definedName name="Common_SourceData.Common_SourceData_FracLEACH_Title" localSheetId="26">_xlfn.LAMBDA("Fraction of N that is available for leaching and runoff")</definedName>
    <definedName name="Common_SourceData.Common_SourceData_FracLEACH_Title" localSheetId="9">_xlfn.LAMBDA("Fraction of N that is available for leaching and runoff")</definedName>
    <definedName name="Common_SourceData.Common_SourceData_FracLEACH_Title" localSheetId="7">_xlfn.LAMBDA("Fraction of N that is available for leaching and runoff")</definedName>
    <definedName name="Common_SourceData.Common_SourceData_FracLEACH_Title" localSheetId="8">_xlfn.LAMBDA("Fraction of N that is available for leaching and runoff")</definedName>
    <definedName name="Common_SourceData.Common_SourceData_FracLEACH_Title" localSheetId="6">_xlfn.LAMBDA("Fraction of N that is available for leaching and runoff")</definedName>
    <definedName name="Common_SourceData.Common_SourceData_FracLEACH_Title" localSheetId="4">_xlfn.LAMBDA("Fraction of N that is available for leaching and runoff")</definedName>
    <definedName name="Common_SourceData.Common_SourceData_FracLEACH_Title" localSheetId="3">_xlfn.LAMBDA("Fraction of N that is available for leaching and runoff")</definedName>
    <definedName name="Common_SourceData.Common_SourceData_FracLEACH_Title" localSheetId="34">_xlfn.LAMBDA("Fraction of N that is available for leaching and runoff")</definedName>
    <definedName name="Common_SourceData.Common_SourceData_FracLEACH_Title">_xlfn.LAMBDA("Fraction of N that is available for leaching and runoff")</definedName>
    <definedName name="Common_SourceData.Common_SourceData_FracLEACH_Unit" localSheetId="25">_xlfn.LAMBDA("(Dimensionless")</definedName>
    <definedName name="Common_SourceData.Common_SourceData_FracLEACH_Unit" localSheetId="10">_xlfn.LAMBDA("(Dimensionless")</definedName>
    <definedName name="Common_SourceData.Common_SourceData_FracLEACH_Unit" localSheetId="11">_xlfn.LAMBDA("(Dimensionless")</definedName>
    <definedName name="Common_SourceData.Common_SourceData_FracLEACH_Unit" localSheetId="12">_xlfn.LAMBDA("(Dimensionless")</definedName>
    <definedName name="Common_SourceData.Common_SourceData_FracLEACH_Unit" localSheetId="13">_xlfn.LAMBDA("(Dimensionless")</definedName>
    <definedName name="Common_SourceData.Common_SourceData_FracLEACH_Unit" localSheetId="14">_xlfn.LAMBDA("(Dimensionless")</definedName>
    <definedName name="Common_SourceData.Common_SourceData_FracLEACH_Unit" localSheetId="15">_xlfn.LAMBDA("(Dimensionless")</definedName>
    <definedName name="Common_SourceData.Common_SourceData_FracLEACH_Unit" localSheetId="16">_xlfn.LAMBDA("(Dimensionless")</definedName>
    <definedName name="Common_SourceData.Common_SourceData_FracLEACH_Unit" localSheetId="17">_xlfn.LAMBDA("(Dimensionless")</definedName>
    <definedName name="Common_SourceData.Common_SourceData_FracLEACH_Unit" localSheetId="18">_xlfn.LAMBDA("(Dimensionless")</definedName>
    <definedName name="Common_SourceData.Common_SourceData_FracLEACH_Unit" localSheetId="19">_xlfn.LAMBDA("(Dimensionless")</definedName>
    <definedName name="Common_SourceData.Common_SourceData_FracLEACH_Unit" localSheetId="20">_xlfn.LAMBDA("(Dimensionless")</definedName>
    <definedName name="Common_SourceData.Common_SourceData_FracLEACH_Unit" localSheetId="21">_xlfn.LAMBDA("(Dimensionless")</definedName>
    <definedName name="Common_SourceData.Common_SourceData_FracLEACH_Unit" localSheetId="22">_xlfn.LAMBDA("(Dimensionless")</definedName>
    <definedName name="Common_SourceData.Common_SourceData_FracLEACH_Unit" localSheetId="23">_xlfn.LAMBDA("(Dimensionless")</definedName>
    <definedName name="Common_SourceData.Common_SourceData_FracLEACH_Unit" localSheetId="24">_xlfn.LAMBDA("(Dimensionless")</definedName>
    <definedName name="Common_SourceData.Common_SourceData_FracLEACH_Unit" localSheetId="33">_xlfn.LAMBDA("(Dimensionless")</definedName>
    <definedName name="Common_SourceData.Common_SourceData_FracLEACH_Unit" localSheetId="27">_xlfn.LAMBDA("(Dimensionless")</definedName>
    <definedName name="Common_SourceData.Common_SourceData_FracLEACH_Unit" localSheetId="32">_xlfn.LAMBDA("(Dimensionless")</definedName>
    <definedName name="Common_SourceData.Common_SourceData_FracLEACH_Unit" localSheetId="29">_xlfn.LAMBDA("(Dimensionless")</definedName>
    <definedName name="Common_SourceData.Common_SourceData_FracLEACH_Unit" localSheetId="30">_xlfn.LAMBDA("(Dimensionless")</definedName>
    <definedName name="Common_SourceData.Common_SourceData_FracLEACH_Unit" localSheetId="31">_xlfn.LAMBDA("(Dimensionless")</definedName>
    <definedName name="Common_SourceData.Common_SourceData_FracLEACH_Unit" localSheetId="28">_xlfn.LAMBDA("(Dimensionless")</definedName>
    <definedName name="Common_SourceData.Common_SourceData_FracLEACH_Unit" localSheetId="26">_xlfn.LAMBDA("(Dimensionless")</definedName>
    <definedName name="Common_SourceData.Common_SourceData_FracLEACH_Unit" localSheetId="9">_xlfn.LAMBDA("(Dimensionless")</definedName>
    <definedName name="Common_SourceData.Common_SourceData_FracLEACH_Unit" localSheetId="7">_xlfn.LAMBDA("(Dimensionless")</definedName>
    <definedName name="Common_SourceData.Common_SourceData_FracLEACH_Unit" localSheetId="8">_xlfn.LAMBDA("(Dimensionless")</definedName>
    <definedName name="Common_SourceData.Common_SourceData_FracLEACH_Unit" localSheetId="6">_xlfn.LAMBDA("(Dimensionless")</definedName>
    <definedName name="Common_SourceData.Common_SourceData_FracLEACH_Unit" localSheetId="4">_xlfn.LAMBDA("(Dimensionless")</definedName>
    <definedName name="Common_SourceData.Common_SourceData_FracLEACH_Unit" localSheetId="3">_xlfn.LAMBDA("(Dimensionless")</definedName>
    <definedName name="Common_SourceData.Common_SourceData_FracLEACH_Unit" localSheetId="34">_xlfn.LAMBDA("(Dimensionless")</definedName>
    <definedName name="Common_SourceData.Common_SourceData_FracLEACH_Unit">_xlfn.LAMBDA("(Dimensionless")</definedName>
    <definedName name="Common_SourceData.Common_SourceData_FracLEACH_Variation" localSheetId="25">_xlfn.LAMBDA((""))</definedName>
    <definedName name="Common_SourceData.Common_SourceData_FracLEACH_Variation" localSheetId="10">_xlfn.LAMBDA((""))</definedName>
    <definedName name="Common_SourceData.Common_SourceData_FracLEACH_Variation" localSheetId="11">_xlfn.LAMBDA((""))</definedName>
    <definedName name="Common_SourceData.Common_SourceData_FracLEACH_Variation" localSheetId="12">_xlfn.LAMBDA((""))</definedName>
    <definedName name="Common_SourceData.Common_SourceData_FracLEACH_Variation" localSheetId="13">_xlfn.LAMBDA((""))</definedName>
    <definedName name="Common_SourceData.Common_SourceData_FracLEACH_Variation" localSheetId="14">_xlfn.LAMBDA((""))</definedName>
    <definedName name="Common_SourceData.Common_SourceData_FracLEACH_Variation" localSheetId="15">_xlfn.LAMBDA((""))</definedName>
    <definedName name="Common_SourceData.Common_SourceData_FracLEACH_Variation" localSheetId="16">_xlfn.LAMBDA((""))</definedName>
    <definedName name="Common_SourceData.Common_SourceData_FracLEACH_Variation" localSheetId="17">_xlfn.LAMBDA((""))</definedName>
    <definedName name="Common_SourceData.Common_SourceData_FracLEACH_Variation" localSheetId="18">_xlfn.LAMBDA((""))</definedName>
    <definedName name="Common_SourceData.Common_SourceData_FracLEACH_Variation" localSheetId="19">_xlfn.LAMBDA((""))</definedName>
    <definedName name="Common_SourceData.Common_SourceData_FracLEACH_Variation" localSheetId="20">_xlfn.LAMBDA((""))</definedName>
    <definedName name="Common_SourceData.Common_SourceData_FracLEACH_Variation" localSheetId="21">_xlfn.LAMBDA((""))</definedName>
    <definedName name="Common_SourceData.Common_SourceData_FracLEACH_Variation" localSheetId="22">_xlfn.LAMBDA((""))</definedName>
    <definedName name="Common_SourceData.Common_SourceData_FracLEACH_Variation" localSheetId="23">_xlfn.LAMBDA((""))</definedName>
    <definedName name="Common_SourceData.Common_SourceData_FracLEACH_Variation" localSheetId="24">_xlfn.LAMBDA((""))</definedName>
    <definedName name="Common_SourceData.Common_SourceData_FracLEACH_Variation" localSheetId="33">_xlfn.LAMBDA((""))</definedName>
    <definedName name="Common_SourceData.Common_SourceData_FracLEACH_Variation" localSheetId="27">_xlfn.LAMBDA((""))</definedName>
    <definedName name="Common_SourceData.Common_SourceData_FracLEACH_Variation" localSheetId="32">_xlfn.LAMBDA((""))</definedName>
    <definedName name="Common_SourceData.Common_SourceData_FracLEACH_Variation" localSheetId="29">_xlfn.LAMBDA((""))</definedName>
    <definedName name="Common_SourceData.Common_SourceData_FracLEACH_Variation" localSheetId="30">_xlfn.LAMBDA((""))</definedName>
    <definedName name="Common_SourceData.Common_SourceData_FracLEACH_Variation" localSheetId="31">_xlfn.LAMBDA((""))</definedName>
    <definedName name="Common_SourceData.Common_SourceData_FracLEACH_Variation" localSheetId="28">_xlfn.LAMBDA((""))</definedName>
    <definedName name="Common_SourceData.Common_SourceData_FracLEACH_Variation" localSheetId="26">_xlfn.LAMBDA((""))</definedName>
    <definedName name="Common_SourceData.Common_SourceData_FracLEACH_Variation" localSheetId="9">_xlfn.LAMBDA((""))</definedName>
    <definedName name="Common_SourceData.Common_SourceData_FracLEACH_Variation" localSheetId="7">_xlfn.LAMBDA((""))</definedName>
    <definedName name="Common_SourceData.Common_SourceData_FracLEACH_Variation" localSheetId="8">_xlfn.LAMBDA((""))</definedName>
    <definedName name="Common_SourceData.Common_SourceData_FracLEACH_Variation" localSheetId="6">_xlfn.LAMBDA((""))</definedName>
    <definedName name="Common_SourceData.Common_SourceData_FracLEACH_Variation" localSheetId="4">_xlfn.LAMBDA((""))</definedName>
    <definedName name="Common_SourceData.Common_SourceData_FracLEACH_Variation" localSheetId="3">_xlfn.LAMBDA((""))</definedName>
    <definedName name="Common_SourceData.Common_SourceData_FracLEACH_Variation" localSheetId="34">_xlfn.LAMBDA((""))</definedName>
    <definedName name="Common_SourceData.Common_SourceData_FracLEACH_Variation">_xlfn.LAMBDA((""))</definedName>
    <definedName name="Common_SourceData.Common_SourceData_FracWET_Data" localSheetId="25">_xlfn.LAMBDA(_xlfn.MAKEARRAY(3, 2, _xlfn.LAMBDA(_xlpm.r,_xlpm.c, INDEX({"Is in leaching zone","FracWET";"Yes - in leaching zone",1;"No - not in leaching zone",0}, _xlpm.r, _xlpm.c))))</definedName>
    <definedName name="Common_SourceData.Common_SourceData_FracWET_Data" localSheetId="10">_xlfn.LAMBDA(_xlfn.MAKEARRAY(3, 2, _xlfn.LAMBDA(_xlpm.r,_xlpm.c, INDEX({"Is in leaching zone","FracWET";"Yes - in leaching zone",1;"No - not in leaching zone",0}, _xlpm.r, _xlpm.c))))</definedName>
    <definedName name="Common_SourceData.Common_SourceData_FracWET_Data" localSheetId="11">_xlfn.LAMBDA(_xlfn.MAKEARRAY(3, 2, _xlfn.LAMBDA(_xlpm.r,_xlpm.c, INDEX({"Is in leaching zone","FracWET";"Yes - in leaching zone",1;"No - not in leaching zone",0}, _xlpm.r, _xlpm.c))))</definedName>
    <definedName name="Common_SourceData.Common_SourceData_FracWET_Data" localSheetId="12">_xlfn.LAMBDA(_xlfn.MAKEARRAY(3, 2, _xlfn.LAMBDA(_xlpm.r,_xlpm.c, INDEX({"Is in leaching zone","FracWET";"Yes - in leaching zone",1;"No - not in leaching zone",0}, _xlpm.r, _xlpm.c))))</definedName>
    <definedName name="Common_SourceData.Common_SourceData_FracWET_Data" localSheetId="13">_xlfn.LAMBDA(_xlfn.MAKEARRAY(3, 2, _xlfn.LAMBDA(_xlpm.r,_xlpm.c, INDEX({"Is in leaching zone","FracWET";"Yes - in leaching zone",1;"No - not in leaching zone",0}, _xlpm.r, _xlpm.c))))</definedName>
    <definedName name="Common_SourceData.Common_SourceData_FracWET_Data" localSheetId="14">_xlfn.LAMBDA(_xlfn.MAKEARRAY(3, 2, _xlfn.LAMBDA(_xlpm.r,_xlpm.c, INDEX({"Is in leaching zone","FracWET";"Yes - in leaching zone",1;"No - not in leaching zone",0}, _xlpm.r, _xlpm.c))))</definedName>
    <definedName name="Common_SourceData.Common_SourceData_FracWET_Data" localSheetId="15">_xlfn.LAMBDA(_xlfn.MAKEARRAY(3, 2, _xlfn.LAMBDA(_xlpm.r,_xlpm.c, INDEX({"Is in leaching zone","FracWET";"Yes - in leaching zone",1;"No - not in leaching zone",0}, _xlpm.r, _xlpm.c))))</definedName>
    <definedName name="Common_SourceData.Common_SourceData_FracWET_Data" localSheetId="16">_xlfn.LAMBDA(_xlfn.MAKEARRAY(3, 2, _xlfn.LAMBDA(_xlpm.r,_xlpm.c, INDEX({"Is in leaching zone","FracWET";"Yes - in leaching zone",1;"No - not in leaching zone",0}, _xlpm.r, _xlpm.c))))</definedName>
    <definedName name="Common_SourceData.Common_SourceData_FracWET_Data" localSheetId="17">_xlfn.LAMBDA(_xlfn.MAKEARRAY(3, 2, _xlfn.LAMBDA(_xlpm.r,_xlpm.c, INDEX({"Is in leaching zone","FracWET";"Yes - in leaching zone",1;"No - not in leaching zone",0}, _xlpm.r, _xlpm.c))))</definedName>
    <definedName name="Common_SourceData.Common_SourceData_FracWET_Data" localSheetId="18">_xlfn.LAMBDA(_xlfn.MAKEARRAY(3, 2, _xlfn.LAMBDA(_xlpm.r,_xlpm.c, INDEX({"Is in leaching zone","FracWET";"Yes - in leaching zone",1;"No - not in leaching zone",0}, _xlpm.r, _xlpm.c))))</definedName>
    <definedName name="Common_SourceData.Common_SourceData_FracWET_Data" localSheetId="19">_xlfn.LAMBDA(_xlfn.MAKEARRAY(3, 2, _xlfn.LAMBDA(_xlpm.r,_xlpm.c, INDEX({"Is in leaching zone","FracWET";"Yes - in leaching zone",1;"No - not in leaching zone",0}, _xlpm.r, _xlpm.c))))</definedName>
    <definedName name="Common_SourceData.Common_SourceData_FracWET_Data" localSheetId="20">_xlfn.LAMBDA(_xlfn.MAKEARRAY(3, 2, _xlfn.LAMBDA(_xlpm.r,_xlpm.c, INDEX({"Is in leaching zone","FracWET";"Yes - in leaching zone",1;"No - not in leaching zone",0}, _xlpm.r, _xlpm.c))))</definedName>
    <definedName name="Common_SourceData.Common_SourceData_FracWET_Data" localSheetId="21">_xlfn.LAMBDA(_xlfn.MAKEARRAY(3, 2, _xlfn.LAMBDA(_xlpm.r,_xlpm.c, INDEX({"Is in leaching zone","FracWET";"Yes - in leaching zone",1;"No - not in leaching zone",0}, _xlpm.r, _xlpm.c))))</definedName>
    <definedName name="Common_SourceData.Common_SourceData_FracWET_Data" localSheetId="22">_xlfn.LAMBDA(_xlfn.MAKEARRAY(3, 2, _xlfn.LAMBDA(_xlpm.r,_xlpm.c, INDEX({"Is in leaching zone","FracWET";"Yes - in leaching zone",1;"No - not in leaching zone",0}, _xlpm.r, _xlpm.c))))</definedName>
    <definedName name="Common_SourceData.Common_SourceData_FracWET_Data" localSheetId="23">_xlfn.LAMBDA(_xlfn.MAKEARRAY(3, 2, _xlfn.LAMBDA(_xlpm.r,_xlpm.c, INDEX({"Is in leaching zone","FracWET";"Yes - in leaching zone",1;"No - not in leaching zone",0}, _xlpm.r, _xlpm.c))))</definedName>
    <definedName name="Common_SourceData.Common_SourceData_FracWET_Data" localSheetId="24">_xlfn.LAMBDA(_xlfn.MAKEARRAY(3, 2, _xlfn.LAMBDA(_xlpm.r,_xlpm.c, INDEX({"Is in leaching zone","FracWET";"Yes - in leaching zone",1;"No - not in leaching zone",0}, _xlpm.r, _xlpm.c))))</definedName>
    <definedName name="Common_SourceData.Common_SourceData_FracWET_Data" localSheetId="33">_xlfn.LAMBDA(_xlfn.MAKEARRAY(3, 2, _xlfn.LAMBDA(_xlpm.r,_xlpm.c, INDEX({"Is in leaching zone","FracWET";"Yes - in leaching zone",1;"No - not in leaching zone",0}, _xlpm.r, _xlpm.c))))</definedName>
    <definedName name="Common_SourceData.Common_SourceData_FracWET_Data" localSheetId="27">_xlfn.LAMBDA(_xlfn.MAKEARRAY(3, 2, _xlfn.LAMBDA(_xlpm.r,_xlpm.c, INDEX({"Is in leaching zone","FracWET";"Yes - in leaching zone",1;"No - not in leaching zone",0}, _xlpm.r, _xlpm.c))))</definedName>
    <definedName name="Common_SourceData.Common_SourceData_FracWET_Data" localSheetId="32">_xlfn.LAMBDA(_xlfn.MAKEARRAY(3, 2, _xlfn.LAMBDA(_xlpm.r,_xlpm.c, INDEX({"Is in leaching zone","FracWET";"Yes - in leaching zone",1;"No - not in leaching zone",0}, _xlpm.r, _xlpm.c))))</definedName>
    <definedName name="Common_SourceData.Common_SourceData_FracWET_Data" localSheetId="29">_xlfn.LAMBDA(_xlfn.MAKEARRAY(3, 2, _xlfn.LAMBDA(_xlpm.r,_xlpm.c, INDEX({"Is in leaching zone","FracWET";"Yes - in leaching zone",1;"No - not in leaching zone",0}, _xlpm.r, _xlpm.c))))</definedName>
    <definedName name="Common_SourceData.Common_SourceData_FracWET_Data" localSheetId="30">_xlfn.LAMBDA(_xlfn.MAKEARRAY(3, 2, _xlfn.LAMBDA(_xlpm.r,_xlpm.c, INDEX({"Is in leaching zone","FracWET";"Yes - in leaching zone",1;"No - not in leaching zone",0}, _xlpm.r, _xlpm.c))))</definedName>
    <definedName name="Common_SourceData.Common_SourceData_FracWET_Data" localSheetId="31">_xlfn.LAMBDA(_xlfn.MAKEARRAY(3, 2, _xlfn.LAMBDA(_xlpm.r,_xlpm.c, INDEX({"Is in leaching zone","FracWET";"Yes - in leaching zone",1;"No - not in leaching zone",0}, _xlpm.r, _xlpm.c))))</definedName>
    <definedName name="Common_SourceData.Common_SourceData_FracWET_Data" localSheetId="28">_xlfn.LAMBDA(_xlfn.MAKEARRAY(3, 2, _xlfn.LAMBDA(_xlpm.r,_xlpm.c, INDEX({"Is in leaching zone","FracWET";"Yes - in leaching zone",1;"No - not in leaching zone",0}, _xlpm.r, _xlpm.c))))</definedName>
    <definedName name="Common_SourceData.Common_SourceData_FracWET_Data" localSheetId="26">_xlfn.LAMBDA(_xlfn.MAKEARRAY(3, 2, _xlfn.LAMBDA(_xlpm.r,_xlpm.c, INDEX({"Is in leaching zone","FracWET";"Yes - in leaching zone",1;"No - not in leaching zone",0}, _xlpm.r, _xlpm.c))))</definedName>
    <definedName name="Common_SourceData.Common_SourceData_FracWET_Data" localSheetId="9">_xlfn.LAMBDA(_xlfn.MAKEARRAY(3, 2, _xlfn.LAMBDA(_xlpm.r,_xlpm.c, INDEX({"Is in leaching zone","FracWET";"Yes - in leaching zone",1;"No - not in leaching zone",0}, _xlpm.r, _xlpm.c))))</definedName>
    <definedName name="Common_SourceData.Common_SourceData_FracWET_Data" localSheetId="7">_xlfn.LAMBDA(_xlfn.MAKEARRAY(3, 2, _xlfn.LAMBDA(_xlpm.r,_xlpm.c, INDEX({"Is in leaching zone","FracWET";"Yes - in leaching zone",1;"No - not in leaching zone",0}, _xlpm.r, _xlpm.c))))</definedName>
    <definedName name="Common_SourceData.Common_SourceData_FracWET_Data" localSheetId="8">_xlfn.LAMBDA(_xlfn.MAKEARRAY(3, 2, _xlfn.LAMBDA(_xlpm.r,_xlpm.c, INDEX({"Is in leaching zone","FracWET";"Yes - in leaching zone",1;"No - not in leaching zone",0}, _xlpm.r, _xlpm.c))))</definedName>
    <definedName name="Common_SourceData.Common_SourceData_FracWET_Data" localSheetId="6">_xlfn.LAMBDA(_xlfn.MAKEARRAY(3, 2, _xlfn.LAMBDA(_xlpm.r,_xlpm.c, INDEX({"Is in leaching zone","FracWET";"Yes - in leaching zone",1;"No - not in leaching zone",0}, _xlpm.r, _xlpm.c))))</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 localSheetId="3">_xlfn.LAMBDA(_xlfn.MAKEARRAY(3, 2, _xlfn.LAMBDA(_xlpm.r,_xlpm.c, INDEX({"Is in leaching zone","FracWET";"Yes - in leaching zone",1;"No - not in leaching zone",0}, _xlpm.r, _xlpm.c))))</definedName>
    <definedName name="Common_SourceData.Common_SourceData_FracWET_Data" localSheetId="3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 localSheetId="25">_xlfn.LAMBDA("")</definedName>
    <definedName name="Common_SourceData.Common_SourceData_FracWET_NIRReference" localSheetId="10">_xlfn.LAMBDA("")</definedName>
    <definedName name="Common_SourceData.Common_SourceData_FracWET_NIRReference" localSheetId="11">_xlfn.LAMBDA("")</definedName>
    <definedName name="Common_SourceData.Common_SourceData_FracWET_NIRReference" localSheetId="12">_xlfn.LAMBDA("")</definedName>
    <definedName name="Common_SourceData.Common_SourceData_FracWET_NIRReference" localSheetId="13">_xlfn.LAMBDA("")</definedName>
    <definedName name="Common_SourceData.Common_SourceData_FracWET_NIRReference" localSheetId="14">_xlfn.LAMBDA("")</definedName>
    <definedName name="Common_SourceData.Common_SourceData_FracWET_NIRReference" localSheetId="15">_xlfn.LAMBDA("")</definedName>
    <definedName name="Common_SourceData.Common_SourceData_FracWET_NIRReference" localSheetId="16">_xlfn.LAMBDA("")</definedName>
    <definedName name="Common_SourceData.Common_SourceData_FracWET_NIRReference" localSheetId="17">_xlfn.LAMBDA("")</definedName>
    <definedName name="Common_SourceData.Common_SourceData_FracWET_NIRReference" localSheetId="18">_xlfn.LAMBDA("")</definedName>
    <definedName name="Common_SourceData.Common_SourceData_FracWET_NIRReference" localSheetId="19">_xlfn.LAMBDA("")</definedName>
    <definedName name="Common_SourceData.Common_SourceData_FracWET_NIRReference" localSheetId="20">_xlfn.LAMBDA("")</definedName>
    <definedName name="Common_SourceData.Common_SourceData_FracWET_NIRReference" localSheetId="21">_xlfn.LAMBDA("")</definedName>
    <definedName name="Common_SourceData.Common_SourceData_FracWET_NIRReference" localSheetId="22">_xlfn.LAMBDA("")</definedName>
    <definedName name="Common_SourceData.Common_SourceData_FracWET_NIRReference" localSheetId="23">_xlfn.LAMBDA("")</definedName>
    <definedName name="Common_SourceData.Common_SourceData_FracWET_NIRReference" localSheetId="24">_xlfn.LAMBDA("")</definedName>
    <definedName name="Common_SourceData.Common_SourceData_FracWET_NIRReference" localSheetId="33">_xlfn.LAMBDA("")</definedName>
    <definedName name="Common_SourceData.Common_SourceData_FracWET_NIRReference" localSheetId="27">_xlfn.LAMBDA("")</definedName>
    <definedName name="Common_SourceData.Common_SourceData_FracWET_NIRReference" localSheetId="32">_xlfn.LAMBDA("")</definedName>
    <definedName name="Common_SourceData.Common_SourceData_FracWET_NIRReference" localSheetId="29">_xlfn.LAMBDA("")</definedName>
    <definedName name="Common_SourceData.Common_SourceData_FracWET_NIRReference" localSheetId="30">_xlfn.LAMBDA("")</definedName>
    <definedName name="Common_SourceData.Common_SourceData_FracWET_NIRReference" localSheetId="31">_xlfn.LAMBDA("")</definedName>
    <definedName name="Common_SourceData.Common_SourceData_FracWET_NIRReference" localSheetId="28">_xlfn.LAMBDA("")</definedName>
    <definedName name="Common_SourceData.Common_SourceData_FracWET_NIRReference" localSheetId="26">_xlfn.LAMBDA("")</definedName>
    <definedName name="Common_SourceData.Common_SourceData_FracWET_NIRReference" localSheetId="9">_xlfn.LAMBDA("")</definedName>
    <definedName name="Common_SourceData.Common_SourceData_FracWET_NIRReference" localSheetId="7">_xlfn.LAMBDA("")</definedName>
    <definedName name="Common_SourceData.Common_SourceData_FracWET_NIRReference" localSheetId="8">_xlfn.LAMBDA("")</definedName>
    <definedName name="Common_SourceData.Common_SourceData_FracWET_NIRReference" localSheetId="6">_xlfn.LAMBDA("")</definedName>
    <definedName name="Common_SourceData.Common_SourceData_FracWET_NIRReference" localSheetId="4">_xlfn.LAMBDA("")</definedName>
    <definedName name="Common_SourceData.Common_SourceData_FracWET_NIRReference" localSheetId="3">_xlfn.LAMBDA("")</definedName>
    <definedName name="Common_SourceData.Common_SourceData_FracWET_NIRReference" localSheetId="34">_xlfn.LAMBDA("")</definedName>
    <definedName name="Common_SourceData.Common_SourceData_FracWET_NIRReference">_xlfn.LAMBDA("")</definedName>
    <definedName name="Common_SourceData.Common_SourceData_FracWET_Source" localSheetId="25">_xlfn.LAMBDA("VEERG 2026:5.5.2.3 Constant Parameters")</definedName>
    <definedName name="Common_SourceData.Common_SourceData_FracWET_Source" localSheetId="10">_xlfn.LAMBDA("VEERG 2026:5.5.2.3 Constant Parameters")</definedName>
    <definedName name="Common_SourceData.Common_SourceData_FracWET_Source" localSheetId="11">_xlfn.LAMBDA("VEERG 2026:5.5.2.3 Constant Parameters")</definedName>
    <definedName name="Common_SourceData.Common_SourceData_FracWET_Source" localSheetId="12">_xlfn.LAMBDA("VEERG 2026:5.5.2.3 Constant Parameters")</definedName>
    <definedName name="Common_SourceData.Common_SourceData_FracWET_Source" localSheetId="13">_xlfn.LAMBDA("VEERG 2026:5.5.2.3 Constant Parameters")</definedName>
    <definedName name="Common_SourceData.Common_SourceData_FracWET_Source" localSheetId="14">_xlfn.LAMBDA("VEERG 2026:5.5.2.3 Constant Parameters")</definedName>
    <definedName name="Common_SourceData.Common_SourceData_FracWET_Source" localSheetId="15">_xlfn.LAMBDA("VEERG 2026:5.5.2.3 Constant Parameters")</definedName>
    <definedName name="Common_SourceData.Common_SourceData_FracWET_Source" localSheetId="16">_xlfn.LAMBDA("VEERG 2026:5.5.2.3 Constant Parameters")</definedName>
    <definedName name="Common_SourceData.Common_SourceData_FracWET_Source" localSheetId="17">_xlfn.LAMBDA("VEERG 2026:5.5.2.3 Constant Parameters")</definedName>
    <definedName name="Common_SourceData.Common_SourceData_FracWET_Source" localSheetId="18">_xlfn.LAMBDA("VEERG 2026:5.5.2.3 Constant Parameters")</definedName>
    <definedName name="Common_SourceData.Common_SourceData_FracWET_Source" localSheetId="19">_xlfn.LAMBDA("VEERG 2026:5.5.2.3 Constant Parameters")</definedName>
    <definedName name="Common_SourceData.Common_SourceData_FracWET_Source" localSheetId="20">_xlfn.LAMBDA("VEERG 2026:5.5.2.3 Constant Parameters")</definedName>
    <definedName name="Common_SourceData.Common_SourceData_FracWET_Source" localSheetId="21">_xlfn.LAMBDA("VEERG 2026:5.5.2.3 Constant Parameters")</definedName>
    <definedName name="Common_SourceData.Common_SourceData_FracWET_Source" localSheetId="22">_xlfn.LAMBDA("VEERG 2026:5.5.2.3 Constant Parameters")</definedName>
    <definedName name="Common_SourceData.Common_SourceData_FracWET_Source" localSheetId="23">_xlfn.LAMBDA("VEERG 2026:5.5.2.3 Constant Parameters")</definedName>
    <definedName name="Common_SourceData.Common_SourceData_FracWET_Source" localSheetId="24">_xlfn.LAMBDA("VEERG 2026:5.5.2.3 Constant Parameters")</definedName>
    <definedName name="Common_SourceData.Common_SourceData_FracWET_Source" localSheetId="33">_xlfn.LAMBDA("VEERG 2026:5.5.2.3 Constant Parameters")</definedName>
    <definedName name="Common_SourceData.Common_SourceData_FracWET_Source" localSheetId="27">_xlfn.LAMBDA("VEERG 2026:5.5.2.3 Constant Parameters")</definedName>
    <definedName name="Common_SourceData.Common_SourceData_FracWET_Source" localSheetId="32">_xlfn.LAMBDA("VEERG 2026:5.5.2.3 Constant Parameters")</definedName>
    <definedName name="Common_SourceData.Common_SourceData_FracWET_Source" localSheetId="29">_xlfn.LAMBDA("VEERG 2026:5.5.2.3 Constant Parameters")</definedName>
    <definedName name="Common_SourceData.Common_SourceData_FracWET_Source" localSheetId="30">_xlfn.LAMBDA("VEERG 2026:5.5.2.3 Constant Parameters")</definedName>
    <definedName name="Common_SourceData.Common_SourceData_FracWET_Source" localSheetId="31">_xlfn.LAMBDA("VEERG 2026:5.5.2.3 Constant Parameters")</definedName>
    <definedName name="Common_SourceData.Common_SourceData_FracWET_Source" localSheetId="28">_xlfn.LAMBDA("VEERG 2026:5.5.2.3 Constant Parameters")</definedName>
    <definedName name="Common_SourceData.Common_SourceData_FracWET_Source" localSheetId="26">_xlfn.LAMBDA("VEERG 2026:5.5.2.3 Constant Parameters")</definedName>
    <definedName name="Common_SourceData.Common_SourceData_FracWET_Source" localSheetId="9">_xlfn.LAMBDA("VEERG 2026:5.5.2.3 Constant Parameters")</definedName>
    <definedName name="Common_SourceData.Common_SourceData_FracWET_Source" localSheetId="7">_xlfn.LAMBDA("VEERG 2026:5.5.2.3 Constant Parameters")</definedName>
    <definedName name="Common_SourceData.Common_SourceData_FracWET_Source" localSheetId="8">_xlfn.LAMBDA("VEERG 2026:5.5.2.3 Constant Parameters")</definedName>
    <definedName name="Common_SourceData.Common_SourceData_FracWET_Source" localSheetId="6">_xlfn.LAMBDA("VEERG 2026:5.5.2.3 Constant Parameters")</definedName>
    <definedName name="Common_SourceData.Common_SourceData_FracWET_Source" localSheetId="4">_xlfn.LAMBDA("VEERG 2026:5.5.2.3 Constant Parameters")</definedName>
    <definedName name="Common_SourceData.Common_SourceData_FracWET_Source" localSheetId="3">_xlfn.LAMBDA("VEERG 2026:5.5.2.3 Constant Parameters")</definedName>
    <definedName name="Common_SourceData.Common_SourceData_FracWET_Source" localSheetId="34">_xlfn.LAMBDA("VEERG 2026:5.5.2.3 Constant Parameters")</definedName>
    <definedName name="Common_SourceData.Common_SourceData_FracWET_Source">_xlfn.LAMBDA("VEERG 2026:5.5.2.3 Constant Parameters")</definedName>
    <definedName name="Common_SourceData.Common_SourceData_FracWET_Title" localSheetId="25">_xlfn.LAMBDA("Fraction of N that is available for leaching and runoff")</definedName>
    <definedName name="Common_SourceData.Common_SourceData_FracWET_Title" localSheetId="10">_xlfn.LAMBDA("Fraction of N that is available for leaching and runoff")</definedName>
    <definedName name="Common_SourceData.Common_SourceData_FracWET_Title" localSheetId="11">_xlfn.LAMBDA("Fraction of N that is available for leaching and runoff")</definedName>
    <definedName name="Common_SourceData.Common_SourceData_FracWET_Title" localSheetId="12">_xlfn.LAMBDA("Fraction of N that is available for leaching and runoff")</definedName>
    <definedName name="Common_SourceData.Common_SourceData_FracWET_Title" localSheetId="13">_xlfn.LAMBDA("Fraction of N that is available for leaching and runoff")</definedName>
    <definedName name="Common_SourceData.Common_SourceData_FracWET_Title" localSheetId="14">_xlfn.LAMBDA("Fraction of N that is available for leaching and runoff")</definedName>
    <definedName name="Common_SourceData.Common_SourceData_FracWET_Title" localSheetId="15">_xlfn.LAMBDA("Fraction of N that is available for leaching and runoff")</definedName>
    <definedName name="Common_SourceData.Common_SourceData_FracWET_Title" localSheetId="16">_xlfn.LAMBDA("Fraction of N that is available for leaching and runoff")</definedName>
    <definedName name="Common_SourceData.Common_SourceData_FracWET_Title" localSheetId="17">_xlfn.LAMBDA("Fraction of N that is available for leaching and runoff")</definedName>
    <definedName name="Common_SourceData.Common_SourceData_FracWET_Title" localSheetId="18">_xlfn.LAMBDA("Fraction of N that is available for leaching and runoff")</definedName>
    <definedName name="Common_SourceData.Common_SourceData_FracWET_Title" localSheetId="19">_xlfn.LAMBDA("Fraction of N that is available for leaching and runoff")</definedName>
    <definedName name="Common_SourceData.Common_SourceData_FracWET_Title" localSheetId="20">_xlfn.LAMBDA("Fraction of N that is available for leaching and runoff")</definedName>
    <definedName name="Common_SourceData.Common_SourceData_FracWET_Title" localSheetId="21">_xlfn.LAMBDA("Fraction of N that is available for leaching and runoff")</definedName>
    <definedName name="Common_SourceData.Common_SourceData_FracWET_Title" localSheetId="22">_xlfn.LAMBDA("Fraction of N that is available for leaching and runoff")</definedName>
    <definedName name="Common_SourceData.Common_SourceData_FracWET_Title" localSheetId="23">_xlfn.LAMBDA("Fraction of N that is available for leaching and runoff")</definedName>
    <definedName name="Common_SourceData.Common_SourceData_FracWET_Title" localSheetId="24">_xlfn.LAMBDA("Fraction of N that is available for leaching and runoff")</definedName>
    <definedName name="Common_SourceData.Common_SourceData_FracWET_Title" localSheetId="33">_xlfn.LAMBDA("Fraction of N that is available for leaching and runoff")</definedName>
    <definedName name="Common_SourceData.Common_SourceData_FracWET_Title" localSheetId="27">_xlfn.LAMBDA("Fraction of N that is available for leaching and runoff")</definedName>
    <definedName name="Common_SourceData.Common_SourceData_FracWET_Title" localSheetId="32">_xlfn.LAMBDA("Fraction of N that is available for leaching and runoff")</definedName>
    <definedName name="Common_SourceData.Common_SourceData_FracWET_Title" localSheetId="29">_xlfn.LAMBDA("Fraction of N that is available for leaching and runoff")</definedName>
    <definedName name="Common_SourceData.Common_SourceData_FracWET_Title" localSheetId="30">_xlfn.LAMBDA("Fraction of N that is available for leaching and runoff")</definedName>
    <definedName name="Common_SourceData.Common_SourceData_FracWET_Title" localSheetId="31">_xlfn.LAMBDA("Fraction of N that is available for leaching and runoff")</definedName>
    <definedName name="Common_SourceData.Common_SourceData_FracWET_Title" localSheetId="28">_xlfn.LAMBDA("Fraction of N that is available for leaching and runoff")</definedName>
    <definedName name="Common_SourceData.Common_SourceData_FracWET_Title" localSheetId="26">_xlfn.LAMBDA("Fraction of N that is available for leaching and runoff")</definedName>
    <definedName name="Common_SourceData.Common_SourceData_FracWET_Title" localSheetId="9">_xlfn.LAMBDA("Fraction of N that is available for leaching and runoff")</definedName>
    <definedName name="Common_SourceData.Common_SourceData_FracWET_Title" localSheetId="7">_xlfn.LAMBDA("Fraction of N that is available for leaching and runoff")</definedName>
    <definedName name="Common_SourceData.Common_SourceData_FracWET_Title" localSheetId="8">_xlfn.LAMBDA("Fraction of N that is available for leaching and runoff")</definedName>
    <definedName name="Common_SourceData.Common_SourceData_FracWET_Title" localSheetId="6">_xlfn.LAMBDA("Fraction of N that is available for leaching and runoff")</definedName>
    <definedName name="Common_SourceData.Common_SourceData_FracWET_Title" localSheetId="4">_xlfn.LAMBDA("Fraction of N that is available for leaching and runoff")</definedName>
    <definedName name="Common_SourceData.Common_SourceData_FracWET_Title" localSheetId="3">_xlfn.LAMBDA("Fraction of N that is available for leaching and runoff")</definedName>
    <definedName name="Common_SourceData.Common_SourceData_FracWET_Title" localSheetId="34">_xlfn.LAMBDA("Fraction of N that is available for leaching and runoff")</definedName>
    <definedName name="Common_SourceData.Common_SourceData_FracWET_Title">_xlfn.LAMBDA("Fraction of N that is available for leaching and runoff")</definedName>
    <definedName name="Common_SourceData.Common_SourceData_FracWET_Unit" localSheetId="25">_xlfn.LAMBDA("(Dimensionless")</definedName>
    <definedName name="Common_SourceData.Common_SourceData_FracWET_Unit" localSheetId="10">_xlfn.LAMBDA("(Dimensionless")</definedName>
    <definedName name="Common_SourceData.Common_SourceData_FracWET_Unit" localSheetId="11">_xlfn.LAMBDA("(Dimensionless")</definedName>
    <definedName name="Common_SourceData.Common_SourceData_FracWET_Unit" localSheetId="12">_xlfn.LAMBDA("(Dimensionless")</definedName>
    <definedName name="Common_SourceData.Common_SourceData_FracWET_Unit" localSheetId="13">_xlfn.LAMBDA("(Dimensionless")</definedName>
    <definedName name="Common_SourceData.Common_SourceData_FracWET_Unit" localSheetId="14">_xlfn.LAMBDA("(Dimensionless")</definedName>
    <definedName name="Common_SourceData.Common_SourceData_FracWET_Unit" localSheetId="15">_xlfn.LAMBDA("(Dimensionless")</definedName>
    <definedName name="Common_SourceData.Common_SourceData_FracWET_Unit" localSheetId="16">_xlfn.LAMBDA("(Dimensionless")</definedName>
    <definedName name="Common_SourceData.Common_SourceData_FracWET_Unit" localSheetId="17">_xlfn.LAMBDA("(Dimensionless")</definedName>
    <definedName name="Common_SourceData.Common_SourceData_FracWET_Unit" localSheetId="18">_xlfn.LAMBDA("(Dimensionless")</definedName>
    <definedName name="Common_SourceData.Common_SourceData_FracWET_Unit" localSheetId="19">_xlfn.LAMBDA("(Dimensionless")</definedName>
    <definedName name="Common_SourceData.Common_SourceData_FracWET_Unit" localSheetId="20">_xlfn.LAMBDA("(Dimensionless")</definedName>
    <definedName name="Common_SourceData.Common_SourceData_FracWET_Unit" localSheetId="21">_xlfn.LAMBDA("(Dimensionless")</definedName>
    <definedName name="Common_SourceData.Common_SourceData_FracWET_Unit" localSheetId="22">_xlfn.LAMBDA("(Dimensionless")</definedName>
    <definedName name="Common_SourceData.Common_SourceData_FracWET_Unit" localSheetId="23">_xlfn.LAMBDA("(Dimensionless")</definedName>
    <definedName name="Common_SourceData.Common_SourceData_FracWET_Unit" localSheetId="24">_xlfn.LAMBDA("(Dimensionless")</definedName>
    <definedName name="Common_SourceData.Common_SourceData_FracWET_Unit" localSheetId="33">_xlfn.LAMBDA("(Dimensionless")</definedName>
    <definedName name="Common_SourceData.Common_SourceData_FracWET_Unit" localSheetId="27">_xlfn.LAMBDA("(Dimensionless")</definedName>
    <definedName name="Common_SourceData.Common_SourceData_FracWET_Unit" localSheetId="32">_xlfn.LAMBDA("(Dimensionless")</definedName>
    <definedName name="Common_SourceData.Common_SourceData_FracWET_Unit" localSheetId="29">_xlfn.LAMBDA("(Dimensionless")</definedName>
    <definedName name="Common_SourceData.Common_SourceData_FracWET_Unit" localSheetId="30">_xlfn.LAMBDA("(Dimensionless")</definedName>
    <definedName name="Common_SourceData.Common_SourceData_FracWET_Unit" localSheetId="31">_xlfn.LAMBDA("(Dimensionless")</definedName>
    <definedName name="Common_SourceData.Common_SourceData_FracWET_Unit" localSheetId="28">_xlfn.LAMBDA("(Dimensionless")</definedName>
    <definedName name="Common_SourceData.Common_SourceData_FracWET_Unit" localSheetId="26">_xlfn.LAMBDA("(Dimensionless")</definedName>
    <definedName name="Common_SourceData.Common_SourceData_FracWET_Unit" localSheetId="9">_xlfn.LAMBDA("(Dimensionless")</definedName>
    <definedName name="Common_SourceData.Common_SourceData_FracWET_Unit" localSheetId="7">_xlfn.LAMBDA("(Dimensionless")</definedName>
    <definedName name="Common_SourceData.Common_SourceData_FracWET_Unit" localSheetId="8">_xlfn.LAMBDA("(Dimensionless")</definedName>
    <definedName name="Common_SourceData.Common_SourceData_FracWET_Unit" localSheetId="6">_xlfn.LAMBDA("(Dimensionless")</definedName>
    <definedName name="Common_SourceData.Common_SourceData_FracWET_Unit" localSheetId="4">_xlfn.LAMBDA("(Dimensionless")</definedName>
    <definedName name="Common_SourceData.Common_SourceData_FracWET_Unit" localSheetId="3">_xlfn.LAMBDA("(Dimensionless")</definedName>
    <definedName name="Common_SourceData.Common_SourceData_FracWET_Unit" localSheetId="34">_xlfn.LAMBDA("(Dimensionless")</definedName>
    <definedName name="Common_SourceData.Common_SourceData_FracWET_Unit">_xlfn.LAMBDA("(Dimensionless")</definedName>
    <definedName name="Common_SourceData.Common_SourceData_FracWET_Variation" localSheetId="25">_xlfn.LAMBDA((""))</definedName>
    <definedName name="Common_SourceData.Common_SourceData_FracWET_Variation" localSheetId="10">_xlfn.LAMBDA((""))</definedName>
    <definedName name="Common_SourceData.Common_SourceData_FracWET_Variation" localSheetId="11">_xlfn.LAMBDA((""))</definedName>
    <definedName name="Common_SourceData.Common_SourceData_FracWET_Variation" localSheetId="12">_xlfn.LAMBDA((""))</definedName>
    <definedName name="Common_SourceData.Common_SourceData_FracWET_Variation" localSheetId="13">_xlfn.LAMBDA((""))</definedName>
    <definedName name="Common_SourceData.Common_SourceData_FracWET_Variation" localSheetId="14">_xlfn.LAMBDA((""))</definedName>
    <definedName name="Common_SourceData.Common_SourceData_FracWET_Variation" localSheetId="15">_xlfn.LAMBDA((""))</definedName>
    <definedName name="Common_SourceData.Common_SourceData_FracWET_Variation" localSheetId="16">_xlfn.LAMBDA((""))</definedName>
    <definedName name="Common_SourceData.Common_SourceData_FracWET_Variation" localSheetId="17">_xlfn.LAMBDA((""))</definedName>
    <definedName name="Common_SourceData.Common_SourceData_FracWET_Variation" localSheetId="18">_xlfn.LAMBDA((""))</definedName>
    <definedName name="Common_SourceData.Common_SourceData_FracWET_Variation" localSheetId="19">_xlfn.LAMBDA((""))</definedName>
    <definedName name="Common_SourceData.Common_SourceData_FracWET_Variation" localSheetId="20">_xlfn.LAMBDA((""))</definedName>
    <definedName name="Common_SourceData.Common_SourceData_FracWET_Variation" localSheetId="21">_xlfn.LAMBDA((""))</definedName>
    <definedName name="Common_SourceData.Common_SourceData_FracWET_Variation" localSheetId="22">_xlfn.LAMBDA((""))</definedName>
    <definedName name="Common_SourceData.Common_SourceData_FracWET_Variation" localSheetId="23">_xlfn.LAMBDA((""))</definedName>
    <definedName name="Common_SourceData.Common_SourceData_FracWET_Variation" localSheetId="24">_xlfn.LAMBDA((""))</definedName>
    <definedName name="Common_SourceData.Common_SourceData_FracWET_Variation" localSheetId="33">_xlfn.LAMBDA((""))</definedName>
    <definedName name="Common_SourceData.Common_SourceData_FracWET_Variation" localSheetId="27">_xlfn.LAMBDA((""))</definedName>
    <definedName name="Common_SourceData.Common_SourceData_FracWET_Variation" localSheetId="32">_xlfn.LAMBDA((""))</definedName>
    <definedName name="Common_SourceData.Common_SourceData_FracWET_Variation" localSheetId="29">_xlfn.LAMBDA((""))</definedName>
    <definedName name="Common_SourceData.Common_SourceData_FracWET_Variation" localSheetId="30">_xlfn.LAMBDA((""))</definedName>
    <definedName name="Common_SourceData.Common_SourceData_FracWET_Variation" localSheetId="31">_xlfn.LAMBDA((""))</definedName>
    <definedName name="Common_SourceData.Common_SourceData_FracWET_Variation" localSheetId="28">_xlfn.LAMBDA((""))</definedName>
    <definedName name="Common_SourceData.Common_SourceData_FracWET_Variation" localSheetId="26">_xlfn.LAMBDA((""))</definedName>
    <definedName name="Common_SourceData.Common_SourceData_FracWET_Variation" localSheetId="9">_xlfn.LAMBDA((""))</definedName>
    <definedName name="Common_SourceData.Common_SourceData_FracWET_Variation" localSheetId="7">_xlfn.LAMBDA((""))</definedName>
    <definedName name="Common_SourceData.Common_SourceData_FracWET_Variation" localSheetId="8">_xlfn.LAMBDA((""))</definedName>
    <definedName name="Common_SourceData.Common_SourceData_FracWET_Variation" localSheetId="6">_xlfn.LAMBDA((""))</definedName>
    <definedName name="Common_SourceData.Common_SourceData_FracWET_Variation" localSheetId="4">_xlfn.LAMBDA((""))</definedName>
    <definedName name="Common_SourceData.Common_SourceData_FracWET_Variation" localSheetId="3">_xlfn.LAMBDA((""))</definedName>
    <definedName name="Common_SourceData.Common_SourceData_FracWET_Variation" localSheetId="34">_xlfn.LAMBDA((""))</definedName>
    <definedName name="Common_SourceData.Common_SourceData_FracWET_Variation">_xlfn.LAMBDA((""))</definedName>
    <definedName name="Common_SourceData.Common_SourceData_FracWETIrrigation_Data" localSheetId="2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5">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1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2">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0">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1">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2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9">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7">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8">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3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 localSheetId="25">_xlfn.LAMBDA("IPCC 2019 Refinement Volume 4: Chapter 11: N2O Emissions from Managed Soils, and CO2 Emissions from Lime and Urea Application")</definedName>
    <definedName name="Common_SourceData.Common_SourceData_FracWETIrrigation_NIRReference" localSheetId="10">_xlfn.LAMBDA("IPCC 2019 Refinement Volume 4: Chapter 11: N2O Emissions from Managed Soils, and CO2 Emissions from Lime and Urea Application")</definedName>
    <definedName name="Common_SourceData.Common_SourceData_FracWETIrrigation_NIRReference" localSheetId="11">_xlfn.LAMBDA("IPCC 2019 Refinement Volume 4: Chapter 11: N2O Emissions from Managed Soils, and CO2 Emissions from Lime and Urea Application")</definedName>
    <definedName name="Common_SourceData.Common_SourceData_FracWETIrrigation_NIRReference" localSheetId="12">_xlfn.LAMBDA("IPCC 2019 Refinement Volume 4: Chapter 11: N2O Emissions from Managed Soils, and CO2 Emissions from Lime and Urea Application")</definedName>
    <definedName name="Common_SourceData.Common_SourceData_FracWETIrrigation_NIRReference" localSheetId="13">_xlfn.LAMBDA("IPCC 2019 Refinement Volume 4: Chapter 11: N2O Emissions from Managed Soils, and CO2 Emissions from Lime and Urea Application")</definedName>
    <definedName name="Common_SourceData.Common_SourceData_FracWETIrrigation_NIRReference" localSheetId="14">_xlfn.LAMBDA("IPCC 2019 Refinement Volume 4: Chapter 11: N2O Emissions from Managed Soils, and CO2 Emissions from Lime and Urea Application")</definedName>
    <definedName name="Common_SourceData.Common_SourceData_FracWETIrrigation_NIRReference" localSheetId="15">_xlfn.LAMBDA("IPCC 2019 Refinement Volume 4: Chapter 11: N2O Emissions from Managed Soils, and CO2 Emissions from Lime and Urea Application")</definedName>
    <definedName name="Common_SourceData.Common_SourceData_FracWETIrrigation_NIRReference" localSheetId="16">_xlfn.LAMBDA("IPCC 2019 Refinement Volume 4: Chapter 11: N2O Emissions from Managed Soils, and CO2 Emissions from Lime and Urea Application")</definedName>
    <definedName name="Common_SourceData.Common_SourceData_FracWETIrrigation_NIRReference" localSheetId="17">_xlfn.LAMBDA("IPCC 2019 Refinement Volume 4: Chapter 11: N2O Emissions from Managed Soils, and CO2 Emissions from Lime and Urea Application")</definedName>
    <definedName name="Common_SourceData.Common_SourceData_FracWETIrrigation_NIRReference" localSheetId="18">_xlfn.LAMBDA("IPCC 2019 Refinement Volume 4: Chapter 11: N2O Emissions from Managed Soils, and CO2 Emissions from Lime and Urea Application")</definedName>
    <definedName name="Common_SourceData.Common_SourceData_FracWETIrrigation_NIRReference" localSheetId="19">_xlfn.LAMBDA("IPCC 2019 Refinement Volume 4: Chapter 11: N2O Emissions from Managed Soils, and CO2 Emissions from Lime and Urea Application")</definedName>
    <definedName name="Common_SourceData.Common_SourceData_FracWETIrrigation_NIRReference" localSheetId="20">_xlfn.LAMBDA("IPCC 2019 Refinement Volume 4: Chapter 11: N2O Emissions from Managed Soils, and CO2 Emissions from Lime and Urea Application")</definedName>
    <definedName name="Common_SourceData.Common_SourceData_FracWETIrrigation_NIRReference" localSheetId="21">_xlfn.LAMBDA("IPCC 2019 Refinement Volume 4: Chapter 11: N2O Emissions from Managed Soils, and CO2 Emissions from Lime and Urea Application")</definedName>
    <definedName name="Common_SourceData.Common_SourceData_FracWETIrrigation_NIRReference" localSheetId="22">_xlfn.LAMBDA("IPCC 2019 Refinement Volume 4: Chapter 11: N2O Emissions from Managed Soils, and CO2 Emissions from Lime and Urea Application")</definedName>
    <definedName name="Common_SourceData.Common_SourceData_FracWETIrrigation_NIRReference" localSheetId="23">_xlfn.LAMBDA("IPCC 2019 Refinement Volume 4: Chapter 11: N2O Emissions from Managed Soils, and CO2 Emissions from Lime and Urea Application")</definedName>
    <definedName name="Common_SourceData.Common_SourceData_FracWETIrrigation_NIRReference" localSheetId="24">_xlfn.LAMBDA("IPCC 2019 Refinement Volume 4: Chapter 11: N2O Emissions from Managed Soils, and CO2 Emissions from Lime and Urea Application")</definedName>
    <definedName name="Common_SourceData.Common_SourceData_FracWETIrrigation_NIRReference" localSheetId="33">_xlfn.LAMBDA("IPCC 2019 Refinement Volume 4: Chapter 11: N2O Emissions from Managed Soils, and CO2 Emissions from Lime and Urea Application")</definedName>
    <definedName name="Common_SourceData.Common_SourceData_FracWETIrrigation_NIRReference" localSheetId="27">_xlfn.LAMBDA("IPCC 2019 Refinement Volume 4: Chapter 11: N2O Emissions from Managed Soils, and CO2 Emissions from Lime and Urea Application")</definedName>
    <definedName name="Common_SourceData.Common_SourceData_FracWETIrrigation_NIRReference" localSheetId="32">_xlfn.LAMBDA("IPCC 2019 Refinement Volume 4: Chapter 11: N2O Emissions from Managed Soils, and CO2 Emissions from Lime and Urea Application")</definedName>
    <definedName name="Common_SourceData.Common_SourceData_FracWETIrrigation_NIRReference" localSheetId="29">_xlfn.LAMBDA("IPCC 2019 Refinement Volume 4: Chapter 11: N2O Emissions from Managed Soils, and CO2 Emissions from Lime and Urea Application")</definedName>
    <definedName name="Common_SourceData.Common_SourceData_FracWETIrrigation_NIRReference" localSheetId="30">_xlfn.LAMBDA("IPCC 2019 Refinement Volume 4: Chapter 11: N2O Emissions from Managed Soils, and CO2 Emissions from Lime and Urea Application")</definedName>
    <definedName name="Common_SourceData.Common_SourceData_FracWETIrrigation_NIRReference" localSheetId="31">_xlfn.LAMBDA("IPCC 2019 Refinement Volume 4: Chapter 11: N2O Emissions from Managed Soils, and CO2 Emissions from Lime and Urea Application")</definedName>
    <definedName name="Common_SourceData.Common_SourceData_FracWETIrrigation_NIRReference" localSheetId="28">_xlfn.LAMBDA("IPCC 2019 Refinement Volume 4: Chapter 11: N2O Emissions from Managed Soils, and CO2 Emissions from Lime and Urea Application")</definedName>
    <definedName name="Common_SourceData.Common_SourceData_FracWETIrrigation_NIRReference" localSheetId="26">_xlfn.LAMBDA("IPCC 2019 Refinement Volume 4: Chapter 11: N2O Emissions from Managed Soils, and CO2 Emissions from Lime and Urea Application")</definedName>
    <definedName name="Common_SourceData.Common_SourceData_FracWETIrrigation_NIRReference" localSheetId="9">_xlfn.LAMBDA("IPCC 2019 Refinement Volume 4: Chapter 11: N2O Emissions from Managed Soils, and CO2 Emissions from Lime and Urea Application")</definedName>
    <definedName name="Common_SourceData.Common_SourceData_FracWETIrrigation_NIRReference" localSheetId="7">_xlfn.LAMBDA("IPCC 2019 Refinement Volume 4: Chapter 11: N2O Emissions from Managed Soils, and CO2 Emissions from Lime and Urea Application")</definedName>
    <definedName name="Common_SourceData.Common_SourceData_FracWETIrrigation_NIRReference" localSheetId="8">_xlfn.LAMBDA("IPCC 2019 Refinement Volume 4: Chapter 11: N2O Emissions from Managed Soils, and CO2 Emissions from Lime and Urea Application")</definedName>
    <definedName name="Common_SourceData.Common_SourceData_FracWETIrrigation_NIRReference" localSheetId="6">_xlfn.LAMBDA("IPCC 2019 Refinement Volume 4: Chapter 11: N2O Emissions from Managed Soils, and CO2 Emissions from Lime and Urea Application")</definedName>
    <definedName name="Common_SourceData.Common_SourceData_FracWETIrrigation_NIRReference" localSheetId="4">_xlfn.LAMBDA("IPCC 2019 Refinement Volume 4: Chapter 11: N2O Emissions from Managed Soils, and CO2 Emissions from Lime and Urea Application")</definedName>
    <definedName name="Common_SourceData.Common_SourceData_FracWETIrrigation_NIRReference" localSheetId="3">_xlfn.LAMBDA("IPCC 2019 Refinement Volume 4: Chapter 11: N2O Emissions from Managed Soils, and CO2 Emissions from Lime and Urea Application")</definedName>
    <definedName name="Common_SourceData.Common_SourceData_FracWETIrrigation_NIRReference" localSheetId="34">_xlfn.LAMBDA("IPCC 2019 Refinement Volume 4: Chapter 11: N2O Emissions from Managed Soils, and CO2 Emissions from Lime and Urea Application")</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 localSheetId="25">_xlfn.LAMBDA("VEERG 2026: Chapter 1, section 1.8.2 Leaching, climate and rainfall zones")</definedName>
    <definedName name="Common_SourceData.Common_SourceData_FracWETIrrigation_Source" localSheetId="10">_xlfn.LAMBDA("VEERG 2026: Chapter 1, section 1.8.2 Leaching, climate and rainfall zones")</definedName>
    <definedName name="Common_SourceData.Common_SourceData_FracWETIrrigation_Source" localSheetId="11">_xlfn.LAMBDA("VEERG 2026: Chapter 1, section 1.8.2 Leaching, climate and rainfall zones")</definedName>
    <definedName name="Common_SourceData.Common_SourceData_FracWETIrrigation_Source" localSheetId="12">_xlfn.LAMBDA("VEERG 2026: Chapter 1, section 1.8.2 Leaching, climate and rainfall zones")</definedName>
    <definedName name="Common_SourceData.Common_SourceData_FracWETIrrigation_Source" localSheetId="13">_xlfn.LAMBDA("VEERG 2026: Chapter 1, section 1.8.2 Leaching, climate and rainfall zones")</definedName>
    <definedName name="Common_SourceData.Common_SourceData_FracWETIrrigation_Source" localSheetId="14">_xlfn.LAMBDA("VEERG 2026: Chapter 1, section 1.8.2 Leaching, climate and rainfall zones")</definedName>
    <definedName name="Common_SourceData.Common_SourceData_FracWETIrrigation_Source" localSheetId="15">_xlfn.LAMBDA("VEERG 2026: Chapter 1, section 1.8.2 Leaching, climate and rainfall zones")</definedName>
    <definedName name="Common_SourceData.Common_SourceData_FracWETIrrigation_Source" localSheetId="16">_xlfn.LAMBDA("VEERG 2026: Chapter 1, section 1.8.2 Leaching, climate and rainfall zones")</definedName>
    <definedName name="Common_SourceData.Common_SourceData_FracWETIrrigation_Source" localSheetId="17">_xlfn.LAMBDA("VEERG 2026: Chapter 1, section 1.8.2 Leaching, climate and rainfall zones")</definedName>
    <definedName name="Common_SourceData.Common_SourceData_FracWETIrrigation_Source" localSheetId="18">_xlfn.LAMBDA("VEERG 2026: Chapter 1, section 1.8.2 Leaching, climate and rainfall zones")</definedName>
    <definedName name="Common_SourceData.Common_SourceData_FracWETIrrigation_Source" localSheetId="19">_xlfn.LAMBDA("VEERG 2026: Chapter 1, section 1.8.2 Leaching, climate and rainfall zones")</definedName>
    <definedName name="Common_SourceData.Common_SourceData_FracWETIrrigation_Source" localSheetId="20">_xlfn.LAMBDA("VEERG 2026: Chapter 1, section 1.8.2 Leaching, climate and rainfall zones")</definedName>
    <definedName name="Common_SourceData.Common_SourceData_FracWETIrrigation_Source" localSheetId="21">_xlfn.LAMBDA("VEERG 2026: Chapter 1, section 1.8.2 Leaching, climate and rainfall zones")</definedName>
    <definedName name="Common_SourceData.Common_SourceData_FracWETIrrigation_Source" localSheetId="22">_xlfn.LAMBDA("VEERG 2026: Chapter 1, section 1.8.2 Leaching, climate and rainfall zones")</definedName>
    <definedName name="Common_SourceData.Common_SourceData_FracWETIrrigation_Source" localSheetId="23">_xlfn.LAMBDA("VEERG 2026: Chapter 1, section 1.8.2 Leaching, climate and rainfall zones")</definedName>
    <definedName name="Common_SourceData.Common_SourceData_FracWETIrrigation_Source" localSheetId="24">_xlfn.LAMBDA("VEERG 2026: Chapter 1, section 1.8.2 Leaching, climate and rainfall zones")</definedName>
    <definedName name="Common_SourceData.Common_SourceData_FracWETIrrigation_Source" localSheetId="33">_xlfn.LAMBDA("VEERG 2026: Chapter 1, section 1.8.2 Leaching, climate and rainfall zones")</definedName>
    <definedName name="Common_SourceData.Common_SourceData_FracWETIrrigation_Source" localSheetId="27">_xlfn.LAMBDA("VEERG 2026: Chapter 1, section 1.8.2 Leaching, climate and rainfall zones")</definedName>
    <definedName name="Common_SourceData.Common_SourceData_FracWETIrrigation_Source" localSheetId="32">_xlfn.LAMBDA("VEERG 2026: Chapter 1, section 1.8.2 Leaching, climate and rainfall zones")</definedName>
    <definedName name="Common_SourceData.Common_SourceData_FracWETIrrigation_Source" localSheetId="29">_xlfn.LAMBDA("VEERG 2026: Chapter 1, section 1.8.2 Leaching, climate and rainfall zones")</definedName>
    <definedName name="Common_SourceData.Common_SourceData_FracWETIrrigation_Source" localSheetId="30">_xlfn.LAMBDA("VEERG 2026: Chapter 1, section 1.8.2 Leaching, climate and rainfall zones")</definedName>
    <definedName name="Common_SourceData.Common_SourceData_FracWETIrrigation_Source" localSheetId="31">_xlfn.LAMBDA("VEERG 2026: Chapter 1, section 1.8.2 Leaching, climate and rainfall zones")</definedName>
    <definedName name="Common_SourceData.Common_SourceData_FracWETIrrigation_Source" localSheetId="28">_xlfn.LAMBDA("VEERG 2026: Chapter 1, section 1.8.2 Leaching, climate and rainfall zones")</definedName>
    <definedName name="Common_SourceData.Common_SourceData_FracWETIrrigation_Source" localSheetId="26">_xlfn.LAMBDA("VEERG 2026: Chapter 1, section 1.8.2 Leaching, climate and rainfall zones")</definedName>
    <definedName name="Common_SourceData.Common_SourceData_FracWETIrrigation_Source" localSheetId="9">_xlfn.LAMBDA("VEERG 2026: Chapter 1, section 1.8.2 Leaching, climate and rainfall zones")</definedName>
    <definedName name="Common_SourceData.Common_SourceData_FracWETIrrigation_Source" localSheetId="7">_xlfn.LAMBDA("VEERG 2026: Chapter 1, section 1.8.2 Leaching, climate and rainfall zones")</definedName>
    <definedName name="Common_SourceData.Common_SourceData_FracWETIrrigation_Source" localSheetId="8">_xlfn.LAMBDA("VEERG 2026: Chapter 1, section 1.8.2 Leaching, climate and rainfall zones")</definedName>
    <definedName name="Common_SourceData.Common_SourceData_FracWETIrrigation_Source" localSheetId="6">_xlfn.LAMBDA("VEERG 2026: Chapter 1, section 1.8.2 Leaching, climate and rainfall zones")</definedName>
    <definedName name="Common_SourceData.Common_SourceData_FracWETIrrigation_Source" localSheetId="4">_xlfn.LAMBDA("VEERG 2026: Chapter 1, section 1.8.2 Leaching, climate and rainfall zones")</definedName>
    <definedName name="Common_SourceData.Common_SourceData_FracWETIrrigation_Source" localSheetId="3">_xlfn.LAMBDA("VEERG 2026: Chapter 1, section 1.8.2 Leaching, climate and rainfall zones")</definedName>
    <definedName name="Common_SourceData.Common_SourceData_FracWETIrrigation_Source" localSheetId="34">_xlfn.LAMBDA("VEERG 2026: Chapter 1, section 1.8.2 Leaching, climate and rainfall zones")</definedName>
    <definedName name="Common_SourceData.Common_SourceData_FracWETIrrigation_Source">_xlfn.LAMBDA("VEERG 2026: Chapter 1, section 1.8.2 Leaching, climate and rainfall zones")</definedName>
    <definedName name="Common_SourceData.Common_SourceData_FracWETIrrigation_Title" localSheetId="25">_xlfn.LAMBDA("FracWET for irrigation types")</definedName>
    <definedName name="Common_SourceData.Common_SourceData_FracWETIrrigation_Title" localSheetId="10">_xlfn.LAMBDA("FracWET for irrigation types")</definedName>
    <definedName name="Common_SourceData.Common_SourceData_FracWETIrrigation_Title" localSheetId="11">_xlfn.LAMBDA("FracWET for irrigation types")</definedName>
    <definedName name="Common_SourceData.Common_SourceData_FracWETIrrigation_Title" localSheetId="12">_xlfn.LAMBDA("FracWET for irrigation types")</definedName>
    <definedName name="Common_SourceData.Common_SourceData_FracWETIrrigation_Title" localSheetId="13">_xlfn.LAMBDA("FracWET for irrigation types")</definedName>
    <definedName name="Common_SourceData.Common_SourceData_FracWETIrrigation_Title" localSheetId="14">_xlfn.LAMBDA("FracWET for irrigation types")</definedName>
    <definedName name="Common_SourceData.Common_SourceData_FracWETIrrigation_Title" localSheetId="15">_xlfn.LAMBDA("FracWET for irrigation types")</definedName>
    <definedName name="Common_SourceData.Common_SourceData_FracWETIrrigation_Title" localSheetId="16">_xlfn.LAMBDA("FracWET for irrigation types")</definedName>
    <definedName name="Common_SourceData.Common_SourceData_FracWETIrrigation_Title" localSheetId="17">_xlfn.LAMBDA("FracWET for irrigation types")</definedName>
    <definedName name="Common_SourceData.Common_SourceData_FracWETIrrigation_Title" localSheetId="18">_xlfn.LAMBDA("FracWET for irrigation types")</definedName>
    <definedName name="Common_SourceData.Common_SourceData_FracWETIrrigation_Title" localSheetId="19">_xlfn.LAMBDA("FracWET for irrigation types")</definedName>
    <definedName name="Common_SourceData.Common_SourceData_FracWETIrrigation_Title" localSheetId="20">_xlfn.LAMBDA("FracWET for irrigation types")</definedName>
    <definedName name="Common_SourceData.Common_SourceData_FracWETIrrigation_Title" localSheetId="21">_xlfn.LAMBDA("FracWET for irrigation types")</definedName>
    <definedName name="Common_SourceData.Common_SourceData_FracWETIrrigation_Title" localSheetId="22">_xlfn.LAMBDA("FracWET for irrigation types")</definedName>
    <definedName name="Common_SourceData.Common_SourceData_FracWETIrrigation_Title" localSheetId="23">_xlfn.LAMBDA("FracWET for irrigation types")</definedName>
    <definedName name="Common_SourceData.Common_SourceData_FracWETIrrigation_Title" localSheetId="24">_xlfn.LAMBDA("FracWET for irrigation types")</definedName>
    <definedName name="Common_SourceData.Common_SourceData_FracWETIrrigation_Title" localSheetId="33">_xlfn.LAMBDA("FracWET for irrigation types")</definedName>
    <definedName name="Common_SourceData.Common_SourceData_FracWETIrrigation_Title" localSheetId="27">_xlfn.LAMBDA("FracWET for irrigation types")</definedName>
    <definedName name="Common_SourceData.Common_SourceData_FracWETIrrigation_Title" localSheetId="32">_xlfn.LAMBDA("FracWET for irrigation types")</definedName>
    <definedName name="Common_SourceData.Common_SourceData_FracWETIrrigation_Title" localSheetId="29">_xlfn.LAMBDA("FracWET for irrigation types")</definedName>
    <definedName name="Common_SourceData.Common_SourceData_FracWETIrrigation_Title" localSheetId="30">_xlfn.LAMBDA("FracWET for irrigation types")</definedName>
    <definedName name="Common_SourceData.Common_SourceData_FracWETIrrigation_Title" localSheetId="31">_xlfn.LAMBDA("FracWET for irrigation types")</definedName>
    <definedName name="Common_SourceData.Common_SourceData_FracWETIrrigation_Title" localSheetId="28">_xlfn.LAMBDA("FracWET for irrigation types")</definedName>
    <definedName name="Common_SourceData.Common_SourceData_FracWETIrrigation_Title" localSheetId="26">_xlfn.LAMBDA("FracWET for irrigation types")</definedName>
    <definedName name="Common_SourceData.Common_SourceData_FracWETIrrigation_Title" localSheetId="9">_xlfn.LAMBDA("FracWET for irrigation types")</definedName>
    <definedName name="Common_SourceData.Common_SourceData_FracWETIrrigation_Title" localSheetId="7">_xlfn.LAMBDA("FracWET for irrigation types")</definedName>
    <definedName name="Common_SourceData.Common_SourceData_FracWETIrrigation_Title" localSheetId="8">_xlfn.LAMBDA("FracWET for irrigation types")</definedName>
    <definedName name="Common_SourceData.Common_SourceData_FracWETIrrigation_Title" localSheetId="6">_xlfn.LAMBDA("FracWET for irrigation types")</definedName>
    <definedName name="Common_SourceData.Common_SourceData_FracWETIrrigation_Title" localSheetId="4">_xlfn.LAMBDA("FracWET for irrigation types")</definedName>
    <definedName name="Common_SourceData.Common_SourceData_FracWETIrrigation_Title" localSheetId="3">_xlfn.LAMBDA("FracWET for irrigation types")</definedName>
    <definedName name="Common_SourceData.Common_SourceData_FracWETIrrigation_Title" localSheetId="34">_xlfn.LAMBDA("FracWET for irrigation types")</definedName>
    <definedName name="Common_SourceData.Common_SourceData_FracWETIrrigation_Title">_xlfn.LAMBDA("FracWET for irrigation types")</definedName>
    <definedName name="Common_SourceData.Common_SourceData_FracWETIrrigation_Unit" localSheetId="25">_xlfn.LAMBDA("dimensionless")</definedName>
    <definedName name="Common_SourceData.Common_SourceData_FracWETIrrigation_Unit" localSheetId="10">_xlfn.LAMBDA("dimensionless")</definedName>
    <definedName name="Common_SourceData.Common_SourceData_FracWETIrrigation_Unit" localSheetId="11">_xlfn.LAMBDA("dimensionless")</definedName>
    <definedName name="Common_SourceData.Common_SourceData_FracWETIrrigation_Unit" localSheetId="12">_xlfn.LAMBDA("dimensionless")</definedName>
    <definedName name="Common_SourceData.Common_SourceData_FracWETIrrigation_Unit" localSheetId="13">_xlfn.LAMBDA("dimensionless")</definedName>
    <definedName name="Common_SourceData.Common_SourceData_FracWETIrrigation_Unit" localSheetId="14">_xlfn.LAMBDA("dimensionless")</definedName>
    <definedName name="Common_SourceData.Common_SourceData_FracWETIrrigation_Unit" localSheetId="15">_xlfn.LAMBDA("dimensionless")</definedName>
    <definedName name="Common_SourceData.Common_SourceData_FracWETIrrigation_Unit" localSheetId="16">_xlfn.LAMBDA("dimensionless")</definedName>
    <definedName name="Common_SourceData.Common_SourceData_FracWETIrrigation_Unit" localSheetId="17">_xlfn.LAMBDA("dimensionless")</definedName>
    <definedName name="Common_SourceData.Common_SourceData_FracWETIrrigation_Unit" localSheetId="18">_xlfn.LAMBDA("dimensionless")</definedName>
    <definedName name="Common_SourceData.Common_SourceData_FracWETIrrigation_Unit" localSheetId="19">_xlfn.LAMBDA("dimensionless")</definedName>
    <definedName name="Common_SourceData.Common_SourceData_FracWETIrrigation_Unit" localSheetId="20">_xlfn.LAMBDA("dimensionless")</definedName>
    <definedName name="Common_SourceData.Common_SourceData_FracWETIrrigation_Unit" localSheetId="21">_xlfn.LAMBDA("dimensionless")</definedName>
    <definedName name="Common_SourceData.Common_SourceData_FracWETIrrigation_Unit" localSheetId="22">_xlfn.LAMBDA("dimensionless")</definedName>
    <definedName name="Common_SourceData.Common_SourceData_FracWETIrrigation_Unit" localSheetId="23">_xlfn.LAMBDA("dimensionless")</definedName>
    <definedName name="Common_SourceData.Common_SourceData_FracWETIrrigation_Unit" localSheetId="24">_xlfn.LAMBDA("dimensionless")</definedName>
    <definedName name="Common_SourceData.Common_SourceData_FracWETIrrigation_Unit" localSheetId="33">_xlfn.LAMBDA("dimensionless")</definedName>
    <definedName name="Common_SourceData.Common_SourceData_FracWETIrrigation_Unit" localSheetId="27">_xlfn.LAMBDA("dimensionless")</definedName>
    <definedName name="Common_SourceData.Common_SourceData_FracWETIrrigation_Unit" localSheetId="32">_xlfn.LAMBDA("dimensionless")</definedName>
    <definedName name="Common_SourceData.Common_SourceData_FracWETIrrigation_Unit" localSheetId="29">_xlfn.LAMBDA("dimensionless")</definedName>
    <definedName name="Common_SourceData.Common_SourceData_FracWETIrrigation_Unit" localSheetId="30">_xlfn.LAMBDA("dimensionless")</definedName>
    <definedName name="Common_SourceData.Common_SourceData_FracWETIrrigation_Unit" localSheetId="31">_xlfn.LAMBDA("dimensionless")</definedName>
    <definedName name="Common_SourceData.Common_SourceData_FracWETIrrigation_Unit" localSheetId="28">_xlfn.LAMBDA("dimensionless")</definedName>
    <definedName name="Common_SourceData.Common_SourceData_FracWETIrrigation_Unit" localSheetId="26">_xlfn.LAMBDA("dimensionless")</definedName>
    <definedName name="Common_SourceData.Common_SourceData_FracWETIrrigation_Unit" localSheetId="9">_xlfn.LAMBDA("dimensionless")</definedName>
    <definedName name="Common_SourceData.Common_SourceData_FracWETIrrigation_Unit" localSheetId="7">_xlfn.LAMBDA("dimensionless")</definedName>
    <definedName name="Common_SourceData.Common_SourceData_FracWETIrrigation_Unit" localSheetId="8">_xlfn.LAMBDA("dimensionless")</definedName>
    <definedName name="Common_SourceData.Common_SourceData_FracWETIrrigation_Unit" localSheetId="6">_xlfn.LAMBDA("dimensionless")</definedName>
    <definedName name="Common_SourceData.Common_SourceData_FracWETIrrigation_Unit" localSheetId="4">_xlfn.LAMBDA("dimensionless")</definedName>
    <definedName name="Common_SourceData.Common_SourceData_FracWETIrrigation_Unit" localSheetId="3">_xlfn.LAMBDA("dimensionless")</definedName>
    <definedName name="Common_SourceData.Common_SourceData_FracWETIrrigation_Unit" localSheetId="34">_xlfn.LAMBDA("dimensionless")</definedName>
    <definedName name="Common_SourceData.Common_SourceData_FracWETIrrigation_Unit">_xlfn.LAMBDA("dimensionless")</definedName>
    <definedName name="Common_SourceData.Common_SourceData_FracWETIrrigation_Variation" localSheetId="25">_xlfn.LAMBDA("VARIATION FROM SOURCE DATA: Table created based on VEERG text 'Areas are subject to leaching (i.e., in the leaching zone) when... the land is irrigated (except drip irrigation).'")</definedName>
    <definedName name="Common_SourceData.Common_SourceData_FracWETIrrigation_Variation" localSheetId="10">_xlfn.LAMBDA("VARIATION FROM SOURCE DATA: Table created based on VEERG text 'Areas are subject to leaching (i.e., in the leaching zone) when... the land is irrigated (except drip irrigation).'")</definedName>
    <definedName name="Common_SourceData.Common_SourceData_FracWETIrrigation_Variation" localSheetId="11">_xlfn.LAMBDA("VARIATION FROM SOURCE DATA: Table created based on VEERG text 'Areas are subject to leaching (i.e., in the leaching zone) when... the land is irrigated (except drip irrigation).'")</definedName>
    <definedName name="Common_SourceData.Common_SourceData_FracWETIrrigation_Variation" localSheetId="12">_xlfn.LAMBDA("VARIATION FROM SOURCE DATA: Table created based on VEERG text 'Areas are subject to leaching (i.e., in the leaching zone) when... the land is irrigated (except drip irrigation).'")</definedName>
    <definedName name="Common_SourceData.Common_SourceData_FracWETIrrigation_Variation" localSheetId="13">_xlfn.LAMBDA("VARIATION FROM SOURCE DATA: Table created based on VEERG text 'Areas are subject to leaching (i.e., in the leaching zone) when... the land is irrigated (except drip irrigation).'")</definedName>
    <definedName name="Common_SourceData.Common_SourceData_FracWETIrrigation_Variation" localSheetId="14">_xlfn.LAMBDA("VARIATION FROM SOURCE DATA: Table created based on VEERG text 'Areas are subject to leaching (i.e., in the leaching zone) when... the land is irrigated (except drip irrigation).'")</definedName>
    <definedName name="Common_SourceData.Common_SourceData_FracWETIrrigation_Variation" localSheetId="15">_xlfn.LAMBDA("VARIATION FROM SOURCE DATA: Table created based on VEERG text 'Areas are subject to leaching (i.e., in the leaching zone) when... the land is irrigated (except drip irrigation).'")</definedName>
    <definedName name="Common_SourceData.Common_SourceData_FracWETIrrigation_Variation" localSheetId="16">_xlfn.LAMBDA("VARIATION FROM SOURCE DATA: Table created based on VEERG text 'Areas are subject to leaching (i.e., in the leaching zone) when... the land is irrigated (except drip irrigation).'")</definedName>
    <definedName name="Common_SourceData.Common_SourceData_FracWETIrrigation_Variation" localSheetId="17">_xlfn.LAMBDA("VARIATION FROM SOURCE DATA: Table created based on VEERG text 'Areas are subject to leaching (i.e., in the leaching zone) when... the land is irrigated (except drip irrigation).'")</definedName>
    <definedName name="Common_SourceData.Common_SourceData_FracWETIrrigation_Variation" localSheetId="18">_xlfn.LAMBDA("VARIATION FROM SOURCE DATA: Table created based on VEERG text 'Areas are subject to leaching (i.e., in the leaching zone) when... the land is irrigated (except drip irrigation).'")</definedName>
    <definedName name="Common_SourceData.Common_SourceData_FracWETIrrigation_Variation" localSheetId="19">_xlfn.LAMBDA("VARIATION FROM SOURCE DATA: Table created based on VEERG text 'Areas are subject to leaching (i.e., in the leaching zone) when... the land is irrigated (except drip irrigation).'")</definedName>
    <definedName name="Common_SourceData.Common_SourceData_FracWETIrrigation_Variation" localSheetId="20">_xlfn.LAMBDA("VARIATION FROM SOURCE DATA: Table created based on VEERG text 'Areas are subject to leaching (i.e., in the leaching zone) when... the land is irrigated (except drip irrigation).'")</definedName>
    <definedName name="Common_SourceData.Common_SourceData_FracWETIrrigation_Variation" localSheetId="2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2">_xlfn.LAMBDA("VARIATION FROM SOURCE DATA: Table created based on VEERG text 'Areas are subject to leaching (i.e., in the leaching zone) when... the land is irrigated (except drip irrigation).'")</definedName>
    <definedName name="Common_SourceData.Common_SourceData_FracWETIrrigation_Variation" localSheetId="23">_xlfn.LAMBDA("VARIATION FROM SOURCE DATA: Table created based on VEERG text 'Areas are subject to leaching (i.e., in the leaching zone) when... the land is irrigated (except drip irrigation).'")</definedName>
    <definedName name="Common_SourceData.Common_SourceData_FracWETIrrigation_Variation" localSheetId="24">_xlfn.LAMBDA("VARIATION FROM SOURCE DATA: Table created based on VEERG text 'Areas are subject to leaching (i.e., in the leaching zone) when... the land is irrigated (except drip irrigation).'")</definedName>
    <definedName name="Common_SourceData.Common_SourceData_FracWETIrrigation_Variation" localSheetId="33">_xlfn.LAMBDA("VARIATION FROM SOURCE DATA: Table created based on VEERG text 'Areas are subject to leaching (i.e., in the leaching zone) when... the land is irrigated (except drip irrigation).'")</definedName>
    <definedName name="Common_SourceData.Common_SourceData_FracWETIrrigation_Variation" localSheetId="27">_xlfn.LAMBDA("VARIATION FROM SOURCE DATA: Table created based on VEERG text 'Areas are subject to leaching (i.e., in the leaching zone) when... the land is irrigated (except drip irrigation).'")</definedName>
    <definedName name="Common_SourceData.Common_SourceData_FracWETIrrigation_Variation" localSheetId="32">_xlfn.LAMBDA("VARIATION FROM SOURCE DATA: Table created based on VEERG text 'Areas are subject to leaching (i.e., in the leaching zone) when... the land is irrigated (except drip irrigation).'")</definedName>
    <definedName name="Common_SourceData.Common_SourceData_FracWETIrrigation_Variation" localSheetId="29">_xlfn.LAMBDA("VARIATION FROM SOURCE DATA: Table created based on VEERG text 'Areas are subject to leaching (i.e., in the leaching zone) when... the land is irrigated (except drip irrigation).'")</definedName>
    <definedName name="Common_SourceData.Common_SourceData_FracWETIrrigation_Variation" localSheetId="30">_xlfn.LAMBDA("VARIATION FROM SOURCE DATA: Table created based on VEERG text 'Areas are subject to leaching (i.e., in the leaching zone) when... the land is irrigated (except drip irrigation).'")</definedName>
    <definedName name="Common_SourceData.Common_SourceData_FracWETIrrigation_Variation" localSheetId="31">_xlfn.LAMBDA("VARIATION FROM SOURCE DATA: Table created based on VEERG text 'Areas are subject to leaching (i.e., in the leaching zone) when... the land is irrigated (except drip irrigation).'")</definedName>
    <definedName name="Common_SourceData.Common_SourceData_FracWETIrrigation_Variation" localSheetId="28">_xlfn.LAMBDA("VARIATION FROM SOURCE DATA: Table created based on VEERG text 'Areas are subject to leaching (i.e., in the leaching zone) when... the land is irrigated (except drip irrigation).'")</definedName>
    <definedName name="Common_SourceData.Common_SourceData_FracWETIrrigation_Variation" localSheetId="26">_xlfn.LAMBDA("VARIATION FROM SOURCE DATA: Table created based on VEERG text 'Areas are subject to leaching (i.e., in the leaching zone) when... the land is irrigated (except drip irrigation).'")</definedName>
    <definedName name="Common_SourceData.Common_SourceData_FracWETIrrigation_Variation" localSheetId="9">_xlfn.LAMBDA("VARIATION FROM SOURCE DATA: Table created based on VEERG text 'Areas are subject to leaching (i.e., in the leaching zone) when... the land is irrigated (except drip irrigation).'")</definedName>
    <definedName name="Common_SourceData.Common_SourceData_FracWETIrrigation_Variation" localSheetId="7">_xlfn.LAMBDA("VARIATION FROM SOURCE DATA: Table created based on VEERG text 'Areas are subject to leaching (i.e., in the leaching zone) when... the land is irrigated (except drip irrigation).'")</definedName>
    <definedName name="Common_SourceData.Common_SourceData_FracWETIrrigation_Variation" localSheetId="8">_xlfn.LAMBDA("VARIATION FROM SOURCE DATA: Table created based on VEERG text 'Areas are subject to leaching (i.e., in the leaching zone) when... the land is irrigated (except drip irrigation).'")</definedName>
    <definedName name="Common_SourceData.Common_SourceData_FracWETIrrigation_Variation" localSheetId="6">_xlfn.LAMBDA("VARIATION FROM SOURCE DATA: Table created based on VEERG text 'Areas are subject to leaching (i.e., in the leaching zone) when... the land is irrigated (except drip irrigation).'")</definedName>
    <definedName name="Common_SourceData.Common_SourceData_FracWETIrrigation_Variation" localSheetId="4">_xlfn.LAMBDA("VARIATION FROM SOURCE DATA: Table created based on VEERG text 'Areas are subject to leaching (i.e., in the leaching zone) when... the land is irrigated (except drip irrigation).'")</definedName>
    <definedName name="Common_SourceData.Common_SourceData_FracWETIrrigation_Variation" localSheetId="3">_xlfn.LAMBDA("VARIATION FROM SOURCE DATA: Table created based on VEERG text 'Areas are subject to leaching (i.e., in the leaching zone) when... the land is irrigated (except drip irrigation).'")</definedName>
    <definedName name="Common_SourceData.Common_SourceData_FracWETIrrigation_Variation" localSheetId="34">_xlfn.LAMBDA("VARIATION FROM SOURCE DATA: Table created based on VEERG text 'Areas are subject to leaching (i.e., in the leaching zone) when... the land is irrigated (except drip irrigation).'")</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25">_xlfn.LAMBDA(_xlfn.MAKEARRAY(8, 2, _xlfn.LAMBDA(_xlpm.r,_xlpm.c, INDEX({"Gas","CO2-e factor";"CO2",1;"CH4",28;"N2O",265;"CF4",6630;"C2F6",12200;"SF6",22800;"NF3",17200}, _xlpm.r, _xlpm.c))))</definedName>
    <definedName name="Common_SourceData.Common_SourceData_GWP_Data" localSheetId="10">_xlfn.LAMBDA(_xlfn.MAKEARRAY(8, 2, _xlfn.LAMBDA(_xlpm.r,_xlpm.c, INDEX({"Gas","CO2-e factor";"CO2",1;"CH4",28;"N2O",265;"CF4",6630;"C2F6",12200;"SF6",22800;"NF3",17200}, _xlpm.r, _xlpm.c))))</definedName>
    <definedName name="Common_SourceData.Common_SourceData_GWP_Data" localSheetId="11">_xlfn.LAMBDA(_xlfn.MAKEARRAY(8, 2, _xlfn.LAMBDA(_xlpm.r,_xlpm.c, INDEX({"Gas","CO2-e factor";"CO2",1;"CH4",28;"N2O",265;"CF4",6630;"C2F6",12200;"SF6",22800;"NF3",17200}, _xlpm.r, _xlpm.c))))</definedName>
    <definedName name="Common_SourceData.Common_SourceData_GWP_Data" localSheetId="12">_xlfn.LAMBDA(_xlfn.MAKEARRAY(8, 2, _xlfn.LAMBDA(_xlpm.r,_xlpm.c, INDEX({"Gas","CO2-e factor";"CO2",1;"CH4",28;"N2O",265;"CF4",6630;"C2F6",12200;"SF6",22800;"NF3",17200}, _xlpm.r, _xlpm.c))))</definedName>
    <definedName name="Common_SourceData.Common_SourceData_GWP_Data" localSheetId="13">_xlfn.LAMBDA(_xlfn.MAKEARRAY(8, 2, _xlfn.LAMBDA(_xlpm.r,_xlpm.c, INDEX({"Gas","CO2-e factor";"CO2",1;"CH4",28;"N2O",265;"CF4",6630;"C2F6",12200;"SF6",22800;"NF3",17200}, _xlpm.r, _xlpm.c))))</definedName>
    <definedName name="Common_SourceData.Common_SourceData_GWP_Data" localSheetId="14">_xlfn.LAMBDA(_xlfn.MAKEARRAY(8, 2, _xlfn.LAMBDA(_xlpm.r,_xlpm.c, INDEX({"Gas","CO2-e factor";"CO2",1;"CH4",28;"N2O",265;"CF4",6630;"C2F6",12200;"SF6",22800;"NF3",17200}, _xlpm.r, _xlpm.c))))</definedName>
    <definedName name="Common_SourceData.Common_SourceData_GWP_Data" localSheetId="15">_xlfn.LAMBDA(_xlfn.MAKEARRAY(8, 2, _xlfn.LAMBDA(_xlpm.r,_xlpm.c, INDEX({"Gas","CO2-e factor";"CO2",1;"CH4",28;"N2O",265;"CF4",6630;"C2F6",12200;"SF6",22800;"NF3",17200}, _xlpm.r, _xlpm.c))))</definedName>
    <definedName name="Common_SourceData.Common_SourceData_GWP_Data" localSheetId="16">_xlfn.LAMBDA(_xlfn.MAKEARRAY(8, 2, _xlfn.LAMBDA(_xlpm.r,_xlpm.c, INDEX({"Gas","CO2-e factor";"CO2",1;"CH4",28;"N2O",265;"CF4",6630;"C2F6",12200;"SF6",22800;"NF3",17200}, _xlpm.r, _xlpm.c))))</definedName>
    <definedName name="Common_SourceData.Common_SourceData_GWP_Data" localSheetId="17">_xlfn.LAMBDA(_xlfn.MAKEARRAY(8, 2, _xlfn.LAMBDA(_xlpm.r,_xlpm.c, INDEX({"Gas","CO2-e factor";"CO2",1;"CH4",28;"N2O",265;"CF4",6630;"C2F6",12200;"SF6",22800;"NF3",17200}, _xlpm.r, _xlpm.c))))</definedName>
    <definedName name="Common_SourceData.Common_SourceData_GWP_Data" localSheetId="18">_xlfn.LAMBDA(_xlfn.MAKEARRAY(8, 2, _xlfn.LAMBDA(_xlpm.r,_xlpm.c, INDEX({"Gas","CO2-e factor";"CO2",1;"CH4",28;"N2O",265;"CF4",6630;"C2F6",12200;"SF6",22800;"NF3",17200}, _xlpm.r, _xlpm.c))))</definedName>
    <definedName name="Common_SourceData.Common_SourceData_GWP_Data" localSheetId="19">_xlfn.LAMBDA(_xlfn.MAKEARRAY(8, 2, _xlfn.LAMBDA(_xlpm.r,_xlpm.c, INDEX({"Gas","CO2-e factor";"CO2",1;"CH4",28;"N2O",265;"CF4",6630;"C2F6",12200;"SF6",22800;"NF3",17200}, _xlpm.r, _xlpm.c))))</definedName>
    <definedName name="Common_SourceData.Common_SourceData_GWP_Data" localSheetId="20">_xlfn.LAMBDA(_xlfn.MAKEARRAY(8, 2, _xlfn.LAMBDA(_xlpm.r,_xlpm.c, INDEX({"Gas","CO2-e factor";"CO2",1;"CH4",28;"N2O",265;"CF4",6630;"C2F6",12200;"SF6",22800;"NF3",17200}, _xlpm.r, _xlpm.c))))</definedName>
    <definedName name="Common_SourceData.Common_SourceData_GWP_Data" localSheetId="21">_xlfn.LAMBDA(_xlfn.MAKEARRAY(8, 2, _xlfn.LAMBDA(_xlpm.r,_xlpm.c, INDEX({"Gas","CO2-e factor";"CO2",1;"CH4",28;"N2O",265;"CF4",6630;"C2F6",12200;"SF6",22800;"NF3",17200}, _xlpm.r, _xlpm.c))))</definedName>
    <definedName name="Common_SourceData.Common_SourceData_GWP_Data" localSheetId="22">_xlfn.LAMBDA(_xlfn.MAKEARRAY(8, 2, _xlfn.LAMBDA(_xlpm.r,_xlpm.c, INDEX({"Gas","CO2-e factor";"CO2",1;"CH4",28;"N2O",265;"CF4",6630;"C2F6",12200;"SF6",22800;"NF3",17200}, _xlpm.r, _xlpm.c))))</definedName>
    <definedName name="Common_SourceData.Common_SourceData_GWP_Data" localSheetId="23">_xlfn.LAMBDA(_xlfn.MAKEARRAY(8, 2, _xlfn.LAMBDA(_xlpm.r,_xlpm.c, INDEX({"Gas","CO2-e factor";"CO2",1;"CH4",28;"N2O",265;"CF4",6630;"C2F6",12200;"SF6",22800;"NF3",17200}, _xlpm.r, _xlpm.c))))</definedName>
    <definedName name="Common_SourceData.Common_SourceData_GWP_Data" localSheetId="24">_xlfn.LAMBDA(_xlfn.MAKEARRAY(8, 2, _xlfn.LAMBDA(_xlpm.r,_xlpm.c, INDEX({"Gas","CO2-e factor";"CO2",1;"CH4",28;"N2O",265;"CF4",6630;"C2F6",12200;"SF6",22800;"NF3",17200}, _xlpm.r, _xlpm.c))))</definedName>
    <definedName name="Common_SourceData.Common_SourceData_GWP_Data" localSheetId="33">_xlfn.LAMBDA(_xlfn.MAKEARRAY(8, 2, _xlfn.LAMBDA(_xlpm.r,_xlpm.c, INDEX({"Gas","CO2-e factor";"CO2",1;"CH4",28;"N2O",265;"CF4",6630;"C2F6",12200;"SF6",22800;"NF3",17200}, _xlpm.r, _xlpm.c))))</definedName>
    <definedName name="Common_SourceData.Common_SourceData_GWP_Data" localSheetId="27">_xlfn.LAMBDA(_xlfn.MAKEARRAY(8, 2, _xlfn.LAMBDA(_xlpm.r,_xlpm.c, INDEX({"Gas","CO2-e factor";"CO2",1;"CH4",28;"N2O",265;"CF4",6630;"C2F6",12200;"SF6",22800;"NF3",17200}, _xlpm.r, _xlpm.c))))</definedName>
    <definedName name="Common_SourceData.Common_SourceData_GWP_Data" localSheetId="32">_xlfn.LAMBDA(_xlfn.MAKEARRAY(8, 2, _xlfn.LAMBDA(_xlpm.r,_xlpm.c, INDEX({"Gas","CO2-e factor";"CO2",1;"CH4",28;"N2O",265;"CF4",6630;"C2F6",12200;"SF6",22800;"NF3",17200}, _xlpm.r, _xlpm.c))))</definedName>
    <definedName name="Common_SourceData.Common_SourceData_GWP_Data" localSheetId="29">_xlfn.LAMBDA(_xlfn.MAKEARRAY(8, 2, _xlfn.LAMBDA(_xlpm.r,_xlpm.c, INDEX({"Gas","CO2-e factor";"CO2",1;"CH4",28;"N2O",265;"CF4",6630;"C2F6",12200;"SF6",22800;"NF3",17200}, _xlpm.r, _xlpm.c))))</definedName>
    <definedName name="Common_SourceData.Common_SourceData_GWP_Data" localSheetId="30">_xlfn.LAMBDA(_xlfn.MAKEARRAY(8, 2, _xlfn.LAMBDA(_xlpm.r,_xlpm.c, INDEX({"Gas","CO2-e factor";"CO2",1;"CH4",28;"N2O",265;"CF4",6630;"C2F6",12200;"SF6",22800;"NF3",17200}, _xlpm.r, _xlpm.c))))</definedName>
    <definedName name="Common_SourceData.Common_SourceData_GWP_Data" localSheetId="31">_xlfn.LAMBDA(_xlfn.MAKEARRAY(8, 2, _xlfn.LAMBDA(_xlpm.r,_xlpm.c, INDEX({"Gas","CO2-e factor";"CO2",1;"CH4",28;"N2O",265;"CF4",6630;"C2F6",12200;"SF6",22800;"NF3",17200}, _xlpm.r, _xlpm.c))))</definedName>
    <definedName name="Common_SourceData.Common_SourceData_GWP_Data" localSheetId="28">_xlfn.LAMBDA(_xlfn.MAKEARRAY(8, 2, _xlfn.LAMBDA(_xlpm.r,_xlpm.c, INDEX({"Gas","CO2-e factor";"CO2",1;"CH4",28;"N2O",265;"CF4",6630;"C2F6",12200;"SF6",22800;"NF3",17200}, _xlpm.r, _xlpm.c))))</definedName>
    <definedName name="Common_SourceData.Common_SourceData_GWP_Data" localSheetId="26">_xlfn.LAMBDA(_xlfn.MAKEARRAY(8, 2, _xlfn.LAMBDA(_xlpm.r,_xlpm.c, INDEX({"Gas","CO2-e factor";"CO2",1;"CH4",28;"N2O",265;"CF4",6630;"C2F6",12200;"SF6",22800;"NF3",17200}, _xlpm.r, _xlpm.c))))</definedName>
    <definedName name="Common_SourceData.Common_SourceData_GWP_Data" localSheetId="9">_xlfn.LAMBDA(_xlfn.MAKEARRAY(8, 2, _xlfn.LAMBDA(_xlpm.r,_xlpm.c, INDEX({"Gas","CO2-e factor";"CO2",1;"CH4",28;"N2O",265;"CF4",6630;"C2F6",12200;"SF6",22800;"NF3",17200}, _xlpm.r, _xlpm.c))))</definedName>
    <definedName name="Common_SourceData.Common_SourceData_GWP_Data" localSheetId="7">_xlfn.LAMBDA(_xlfn.MAKEARRAY(8, 2, _xlfn.LAMBDA(_xlpm.r,_xlpm.c, INDEX({"Gas","CO2-e factor";"CO2",1;"CH4",28;"N2O",265;"CF4",6630;"C2F6",12200;"SF6",22800;"NF3",17200}, _xlpm.r, _xlpm.c))))</definedName>
    <definedName name="Common_SourceData.Common_SourceData_GWP_Data" localSheetId="8">_xlfn.LAMBDA(_xlfn.MAKEARRAY(8, 2, _xlfn.LAMBDA(_xlpm.r,_xlpm.c, INDEX({"Gas","CO2-e factor";"CO2",1;"CH4",28;"N2O",265;"CF4",6630;"C2F6",12200;"SF6",22800;"NF3",17200}, _xlpm.r, _xlpm.c))))</definedName>
    <definedName name="Common_SourceData.Common_SourceData_GWP_Data" localSheetId="6">_xlfn.LAMBDA(_xlfn.MAKEARRAY(8, 2, _xlfn.LAMBDA(_xlpm.r,_xlpm.c, INDEX({"Gas","CO2-e factor";"CO2",1;"CH4",28;"N2O",265;"CF4",6630;"C2F6",12200;"SF6",22800;"NF3",17200}, _xlpm.r, _xlpm.c))))</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 localSheetId="3">_xlfn.LAMBDA(_xlfn.MAKEARRAY(8, 2, _xlfn.LAMBDA(_xlpm.r,_xlpm.c, INDEX({"Gas","CO2-e factor";"CO2",1;"CH4",28;"N2O",265;"CF4",6630;"C2F6",12200;"SF6",22800;"NF3",17200}, _xlpm.r, _xlpm.c))))</definedName>
    <definedName name="Common_SourceData.Common_SourceData_GWP_Data" localSheetId="3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 localSheetId="25">_xlfn.LAMBDA("XXXXXXX")</definedName>
    <definedName name="Common_SourceData.Common_SourceData_GWP_Source" localSheetId="10">_xlfn.LAMBDA("XXXXXXX")</definedName>
    <definedName name="Common_SourceData.Common_SourceData_GWP_Source" localSheetId="11">_xlfn.LAMBDA("XXXXXXX")</definedName>
    <definedName name="Common_SourceData.Common_SourceData_GWP_Source" localSheetId="12">_xlfn.LAMBDA("XXXXXXX")</definedName>
    <definedName name="Common_SourceData.Common_SourceData_GWP_Source" localSheetId="13">_xlfn.LAMBDA("XXXXXXX")</definedName>
    <definedName name="Common_SourceData.Common_SourceData_GWP_Source" localSheetId="14">_xlfn.LAMBDA("XXXXXXX")</definedName>
    <definedName name="Common_SourceData.Common_SourceData_GWP_Source" localSheetId="15">_xlfn.LAMBDA("XXXXXXX")</definedName>
    <definedName name="Common_SourceData.Common_SourceData_GWP_Source" localSheetId="16">_xlfn.LAMBDA("XXXXXXX")</definedName>
    <definedName name="Common_SourceData.Common_SourceData_GWP_Source" localSheetId="17">_xlfn.LAMBDA("XXXXXXX")</definedName>
    <definedName name="Common_SourceData.Common_SourceData_GWP_Source" localSheetId="18">_xlfn.LAMBDA("XXXXXXX")</definedName>
    <definedName name="Common_SourceData.Common_SourceData_GWP_Source" localSheetId="19">_xlfn.LAMBDA("XXXXXXX")</definedName>
    <definedName name="Common_SourceData.Common_SourceData_GWP_Source" localSheetId="20">_xlfn.LAMBDA("XXXXXXX")</definedName>
    <definedName name="Common_SourceData.Common_SourceData_GWP_Source" localSheetId="21">_xlfn.LAMBDA("XXXXXXX")</definedName>
    <definedName name="Common_SourceData.Common_SourceData_GWP_Source" localSheetId="22">_xlfn.LAMBDA("XXXXXXX")</definedName>
    <definedName name="Common_SourceData.Common_SourceData_GWP_Source" localSheetId="23">_xlfn.LAMBDA("XXXXXXX")</definedName>
    <definedName name="Common_SourceData.Common_SourceData_GWP_Source" localSheetId="24">_xlfn.LAMBDA("XXXXXXX")</definedName>
    <definedName name="Common_SourceData.Common_SourceData_GWP_Source" localSheetId="33">_xlfn.LAMBDA("XXXXXXX")</definedName>
    <definedName name="Common_SourceData.Common_SourceData_GWP_Source" localSheetId="27">_xlfn.LAMBDA("XXXXXXX")</definedName>
    <definedName name="Common_SourceData.Common_SourceData_GWP_Source" localSheetId="32">_xlfn.LAMBDA("XXXXXXX")</definedName>
    <definedName name="Common_SourceData.Common_SourceData_GWP_Source" localSheetId="29">_xlfn.LAMBDA("XXXXXXX")</definedName>
    <definedName name="Common_SourceData.Common_SourceData_GWP_Source" localSheetId="30">_xlfn.LAMBDA("XXXXXXX")</definedName>
    <definedName name="Common_SourceData.Common_SourceData_GWP_Source" localSheetId="31">_xlfn.LAMBDA("XXXXXXX")</definedName>
    <definedName name="Common_SourceData.Common_SourceData_GWP_Source" localSheetId="28">_xlfn.LAMBDA("XXXXXXX")</definedName>
    <definedName name="Common_SourceData.Common_SourceData_GWP_Source" localSheetId="26">_xlfn.LAMBDA("XXXXXXX")</definedName>
    <definedName name="Common_SourceData.Common_SourceData_GWP_Source" localSheetId="9">_xlfn.LAMBDA("XXXXXXX")</definedName>
    <definedName name="Common_SourceData.Common_SourceData_GWP_Source" localSheetId="7">_xlfn.LAMBDA("XXXXXXX")</definedName>
    <definedName name="Common_SourceData.Common_SourceData_GWP_Source" localSheetId="8">_xlfn.LAMBDA("XXXXXXX")</definedName>
    <definedName name="Common_SourceData.Common_SourceData_GWP_Source" localSheetId="6">_xlfn.LAMBDA("XXXXXXX")</definedName>
    <definedName name="Common_SourceData.Common_SourceData_GWP_Source" localSheetId="4">_xlfn.LAMBDA("XXXXXXX")</definedName>
    <definedName name="Common_SourceData.Common_SourceData_GWP_Source" localSheetId="3">_xlfn.LAMBDA("XXXXXXX")</definedName>
    <definedName name="Common_SourceData.Common_SourceData_GWP_Source" localSheetId="34">_xlfn.LAMBDA("XXXXXXX")</definedName>
    <definedName name="Common_SourceData.Common_SourceData_GWP_Source">_xlfn.LAMBDA("XXXXXXX")</definedName>
    <definedName name="Common_SourceData.Common_SourceData_GWP_Title" localSheetId="25">_xlfn.LAMBDA("Global warming potential for greenhouse gases")</definedName>
    <definedName name="Common_SourceData.Common_SourceData_GWP_Title" localSheetId="10">_xlfn.LAMBDA("Global warming potential for greenhouse gases")</definedName>
    <definedName name="Common_SourceData.Common_SourceData_GWP_Title" localSheetId="11">_xlfn.LAMBDA("Global warming potential for greenhouse gases")</definedName>
    <definedName name="Common_SourceData.Common_SourceData_GWP_Title" localSheetId="12">_xlfn.LAMBDA("Global warming potential for greenhouse gases")</definedName>
    <definedName name="Common_SourceData.Common_SourceData_GWP_Title" localSheetId="13">_xlfn.LAMBDA("Global warming potential for greenhouse gases")</definedName>
    <definedName name="Common_SourceData.Common_SourceData_GWP_Title" localSheetId="14">_xlfn.LAMBDA("Global warming potential for greenhouse gases")</definedName>
    <definedName name="Common_SourceData.Common_SourceData_GWP_Title" localSheetId="15">_xlfn.LAMBDA("Global warming potential for greenhouse gases")</definedName>
    <definedName name="Common_SourceData.Common_SourceData_GWP_Title" localSheetId="16">_xlfn.LAMBDA("Global warming potential for greenhouse gases")</definedName>
    <definedName name="Common_SourceData.Common_SourceData_GWP_Title" localSheetId="17">_xlfn.LAMBDA("Global warming potential for greenhouse gases")</definedName>
    <definedName name="Common_SourceData.Common_SourceData_GWP_Title" localSheetId="18">_xlfn.LAMBDA("Global warming potential for greenhouse gases")</definedName>
    <definedName name="Common_SourceData.Common_SourceData_GWP_Title" localSheetId="19">_xlfn.LAMBDA("Global warming potential for greenhouse gases")</definedName>
    <definedName name="Common_SourceData.Common_SourceData_GWP_Title" localSheetId="20">_xlfn.LAMBDA("Global warming potential for greenhouse gases")</definedName>
    <definedName name="Common_SourceData.Common_SourceData_GWP_Title" localSheetId="21">_xlfn.LAMBDA("Global warming potential for greenhouse gases")</definedName>
    <definedName name="Common_SourceData.Common_SourceData_GWP_Title" localSheetId="22">_xlfn.LAMBDA("Global warming potential for greenhouse gases")</definedName>
    <definedName name="Common_SourceData.Common_SourceData_GWP_Title" localSheetId="23">_xlfn.LAMBDA("Global warming potential for greenhouse gases")</definedName>
    <definedName name="Common_SourceData.Common_SourceData_GWP_Title" localSheetId="24">_xlfn.LAMBDA("Global warming potential for greenhouse gases")</definedName>
    <definedName name="Common_SourceData.Common_SourceData_GWP_Title" localSheetId="33">_xlfn.LAMBDA("Global warming potential for greenhouse gases")</definedName>
    <definedName name="Common_SourceData.Common_SourceData_GWP_Title" localSheetId="27">_xlfn.LAMBDA("Global warming potential for greenhouse gases")</definedName>
    <definedName name="Common_SourceData.Common_SourceData_GWP_Title" localSheetId="32">_xlfn.LAMBDA("Global warming potential for greenhouse gases")</definedName>
    <definedName name="Common_SourceData.Common_SourceData_GWP_Title" localSheetId="29">_xlfn.LAMBDA("Global warming potential for greenhouse gases")</definedName>
    <definedName name="Common_SourceData.Common_SourceData_GWP_Title" localSheetId="30">_xlfn.LAMBDA("Global warming potential for greenhouse gases")</definedName>
    <definedName name="Common_SourceData.Common_SourceData_GWP_Title" localSheetId="31">_xlfn.LAMBDA("Global warming potential for greenhouse gases")</definedName>
    <definedName name="Common_SourceData.Common_SourceData_GWP_Title" localSheetId="28">_xlfn.LAMBDA("Global warming potential for greenhouse gases")</definedName>
    <definedName name="Common_SourceData.Common_SourceData_GWP_Title" localSheetId="26">_xlfn.LAMBDA("Global warming potential for greenhouse gases")</definedName>
    <definedName name="Common_SourceData.Common_SourceData_GWP_Title" localSheetId="9">_xlfn.LAMBDA("Global warming potential for greenhouse gases")</definedName>
    <definedName name="Common_SourceData.Common_SourceData_GWP_Title" localSheetId="7">_xlfn.LAMBDA("Global warming potential for greenhouse gases")</definedName>
    <definedName name="Common_SourceData.Common_SourceData_GWP_Title" localSheetId="8">_xlfn.LAMBDA("Global warming potential for greenhouse gases")</definedName>
    <definedName name="Common_SourceData.Common_SourceData_GWP_Title" localSheetId="6">_xlfn.LAMBDA("Global warming potential for greenhouse gases")</definedName>
    <definedName name="Common_SourceData.Common_SourceData_GWP_Title" localSheetId="4">_xlfn.LAMBDA("Global warming potential for greenhouse gases")</definedName>
    <definedName name="Common_SourceData.Common_SourceData_GWP_Title" localSheetId="3">_xlfn.LAMBDA("Global warming potential for greenhouse gases")</definedName>
    <definedName name="Common_SourceData.Common_SourceData_GWP_Title" localSheetId="34">_xlfn.LAMBDA("Global warming potential for greenhouse gases")</definedName>
    <definedName name="Common_SourceData.Common_SourceData_GWP_Title">_xlfn.LAMBDA("Global warming potential for greenhouse gases")</definedName>
    <definedName name="Common_SourceData.Common_SourceData_GWP_Unit" localSheetId="25">_xlfn.LAMBDA("factor")</definedName>
    <definedName name="Common_SourceData.Common_SourceData_GWP_Unit" localSheetId="10">_xlfn.LAMBDA("factor")</definedName>
    <definedName name="Common_SourceData.Common_SourceData_GWP_Unit" localSheetId="11">_xlfn.LAMBDA("factor")</definedName>
    <definedName name="Common_SourceData.Common_SourceData_GWP_Unit" localSheetId="12">_xlfn.LAMBDA("factor")</definedName>
    <definedName name="Common_SourceData.Common_SourceData_GWP_Unit" localSheetId="13">_xlfn.LAMBDA("factor")</definedName>
    <definedName name="Common_SourceData.Common_SourceData_GWP_Unit" localSheetId="14">_xlfn.LAMBDA("factor")</definedName>
    <definedName name="Common_SourceData.Common_SourceData_GWP_Unit" localSheetId="15">_xlfn.LAMBDA("factor")</definedName>
    <definedName name="Common_SourceData.Common_SourceData_GWP_Unit" localSheetId="16">_xlfn.LAMBDA("factor")</definedName>
    <definedName name="Common_SourceData.Common_SourceData_GWP_Unit" localSheetId="17">_xlfn.LAMBDA("factor")</definedName>
    <definedName name="Common_SourceData.Common_SourceData_GWP_Unit" localSheetId="18">_xlfn.LAMBDA("factor")</definedName>
    <definedName name="Common_SourceData.Common_SourceData_GWP_Unit" localSheetId="19">_xlfn.LAMBDA("factor")</definedName>
    <definedName name="Common_SourceData.Common_SourceData_GWP_Unit" localSheetId="20">_xlfn.LAMBDA("factor")</definedName>
    <definedName name="Common_SourceData.Common_SourceData_GWP_Unit" localSheetId="21">_xlfn.LAMBDA("factor")</definedName>
    <definedName name="Common_SourceData.Common_SourceData_GWP_Unit" localSheetId="22">_xlfn.LAMBDA("factor")</definedName>
    <definedName name="Common_SourceData.Common_SourceData_GWP_Unit" localSheetId="23">_xlfn.LAMBDA("factor")</definedName>
    <definedName name="Common_SourceData.Common_SourceData_GWP_Unit" localSheetId="24">_xlfn.LAMBDA("factor")</definedName>
    <definedName name="Common_SourceData.Common_SourceData_GWP_Unit" localSheetId="33">_xlfn.LAMBDA("factor")</definedName>
    <definedName name="Common_SourceData.Common_SourceData_GWP_Unit" localSheetId="27">_xlfn.LAMBDA("factor")</definedName>
    <definedName name="Common_SourceData.Common_SourceData_GWP_Unit" localSheetId="32">_xlfn.LAMBDA("factor")</definedName>
    <definedName name="Common_SourceData.Common_SourceData_GWP_Unit" localSheetId="29">_xlfn.LAMBDA("factor")</definedName>
    <definedName name="Common_SourceData.Common_SourceData_GWP_Unit" localSheetId="30">_xlfn.LAMBDA("factor")</definedName>
    <definedName name="Common_SourceData.Common_SourceData_GWP_Unit" localSheetId="31">_xlfn.LAMBDA("factor")</definedName>
    <definedName name="Common_SourceData.Common_SourceData_GWP_Unit" localSheetId="28">_xlfn.LAMBDA("factor")</definedName>
    <definedName name="Common_SourceData.Common_SourceData_GWP_Unit" localSheetId="26">_xlfn.LAMBDA("factor")</definedName>
    <definedName name="Common_SourceData.Common_SourceData_GWP_Unit" localSheetId="9">_xlfn.LAMBDA("factor")</definedName>
    <definedName name="Common_SourceData.Common_SourceData_GWP_Unit" localSheetId="7">_xlfn.LAMBDA("factor")</definedName>
    <definedName name="Common_SourceData.Common_SourceData_GWP_Unit" localSheetId="8">_xlfn.LAMBDA("factor")</definedName>
    <definedName name="Common_SourceData.Common_SourceData_GWP_Unit" localSheetId="6">_xlfn.LAMBDA("factor")</definedName>
    <definedName name="Common_SourceData.Common_SourceData_GWP_Unit" localSheetId="4">_xlfn.LAMBDA("factor")</definedName>
    <definedName name="Common_SourceData.Common_SourceData_GWP_Unit" localSheetId="3">_xlfn.LAMBDA("factor")</definedName>
    <definedName name="Common_SourceData.Common_SourceData_GWP_Unit" localSheetId="34">_xlfn.LAMBDA("factor")</definedName>
    <definedName name="Common_SourceData.Common_SourceData_GWP_Unit">_xlfn.LAMBDA("factor")</definedName>
    <definedName name="Common_SourceData.Common_SourceData_GWP_Variable" localSheetId="25">_xlfn.LAMBDA("GWPN2O")</definedName>
    <definedName name="Common_SourceData.Common_SourceData_GWP_Variable" localSheetId="10">_xlfn.LAMBDA("GWPN2O")</definedName>
    <definedName name="Common_SourceData.Common_SourceData_GWP_Variable" localSheetId="11">_xlfn.LAMBDA("GWPN2O")</definedName>
    <definedName name="Common_SourceData.Common_SourceData_GWP_Variable" localSheetId="12">_xlfn.LAMBDA("GWPN2O")</definedName>
    <definedName name="Common_SourceData.Common_SourceData_GWP_Variable" localSheetId="13">_xlfn.LAMBDA("GWPN2O")</definedName>
    <definedName name="Common_SourceData.Common_SourceData_GWP_Variable" localSheetId="14">_xlfn.LAMBDA("GWPN2O")</definedName>
    <definedName name="Common_SourceData.Common_SourceData_GWP_Variable" localSheetId="15">_xlfn.LAMBDA("GWPN2O")</definedName>
    <definedName name="Common_SourceData.Common_SourceData_GWP_Variable" localSheetId="16">_xlfn.LAMBDA("GWPN2O")</definedName>
    <definedName name="Common_SourceData.Common_SourceData_GWP_Variable" localSheetId="17">_xlfn.LAMBDA("GWPN2O")</definedName>
    <definedName name="Common_SourceData.Common_SourceData_GWP_Variable" localSheetId="18">_xlfn.LAMBDA("GWPN2O")</definedName>
    <definedName name="Common_SourceData.Common_SourceData_GWP_Variable" localSheetId="19">_xlfn.LAMBDA("GWPN2O")</definedName>
    <definedName name="Common_SourceData.Common_SourceData_GWP_Variable" localSheetId="20">_xlfn.LAMBDA("GWPN2O")</definedName>
    <definedName name="Common_SourceData.Common_SourceData_GWP_Variable" localSheetId="21">_xlfn.LAMBDA("GWPN2O")</definedName>
    <definedName name="Common_SourceData.Common_SourceData_GWP_Variable" localSheetId="22">_xlfn.LAMBDA("GWPN2O")</definedName>
    <definedName name="Common_SourceData.Common_SourceData_GWP_Variable" localSheetId="23">_xlfn.LAMBDA("GWPN2O")</definedName>
    <definedName name="Common_SourceData.Common_SourceData_GWP_Variable" localSheetId="24">_xlfn.LAMBDA("GWPN2O")</definedName>
    <definedName name="Common_SourceData.Common_SourceData_GWP_Variable" localSheetId="33">_xlfn.LAMBDA("GWPN2O")</definedName>
    <definedName name="Common_SourceData.Common_SourceData_GWP_Variable" localSheetId="27">_xlfn.LAMBDA("GWPN2O")</definedName>
    <definedName name="Common_SourceData.Common_SourceData_GWP_Variable" localSheetId="32">_xlfn.LAMBDA("GWPN2O")</definedName>
    <definedName name="Common_SourceData.Common_SourceData_GWP_Variable" localSheetId="29">_xlfn.LAMBDA("GWPN2O")</definedName>
    <definedName name="Common_SourceData.Common_SourceData_GWP_Variable" localSheetId="30">_xlfn.LAMBDA("GWPN2O")</definedName>
    <definedName name="Common_SourceData.Common_SourceData_GWP_Variable" localSheetId="31">_xlfn.LAMBDA("GWPN2O")</definedName>
    <definedName name="Common_SourceData.Common_SourceData_GWP_Variable" localSheetId="28">_xlfn.LAMBDA("GWPN2O")</definedName>
    <definedName name="Common_SourceData.Common_SourceData_GWP_Variable" localSheetId="26">_xlfn.LAMBDA("GWPN2O")</definedName>
    <definedName name="Common_SourceData.Common_SourceData_GWP_Variable" localSheetId="9">_xlfn.LAMBDA("GWPN2O")</definedName>
    <definedName name="Common_SourceData.Common_SourceData_GWP_Variable" localSheetId="7">_xlfn.LAMBDA("GWPN2O")</definedName>
    <definedName name="Common_SourceData.Common_SourceData_GWP_Variable" localSheetId="8">_xlfn.LAMBDA("GWPN2O")</definedName>
    <definedName name="Common_SourceData.Common_SourceData_GWP_Variable" localSheetId="6">_xlfn.LAMBDA("GWPN2O")</definedName>
    <definedName name="Common_SourceData.Common_SourceData_GWP_Variable" localSheetId="4">_xlfn.LAMBDA("GWPN2O")</definedName>
    <definedName name="Common_SourceData.Common_SourceData_GWP_Variable" localSheetId="3">_xlfn.LAMBDA("GWPN2O")</definedName>
    <definedName name="Common_SourceData.Common_SourceData_GWP_Variable" localSheetId="34">_xlfn.LAMBDA("GWPN2O")</definedName>
    <definedName name="Common_SourceData.Common_SourceData_GWP_Variable">_xlfn.LAMBDA("GWPN2O")</definedName>
    <definedName name="Common_SourceData.Common_SourceData_LeachingZones_Data" localSheetId="2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5">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1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2">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0">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2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9">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7">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8">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3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 localSheetId="25">_xlfn.LAMBDA("VEERG 2026: Table 1.3: Climate and Rainfall zone classifications and definitions")</definedName>
    <definedName name="Common_SourceData.Common_SourceData_LeachingZones_Source" localSheetId="10">_xlfn.LAMBDA("VEERG 2026: Table 1.3: Climate and Rainfall zone classifications and definitions")</definedName>
    <definedName name="Common_SourceData.Common_SourceData_LeachingZones_Source" localSheetId="11">_xlfn.LAMBDA("VEERG 2026: Table 1.3: Climate and Rainfall zone classifications and definitions")</definedName>
    <definedName name="Common_SourceData.Common_SourceData_LeachingZones_Source" localSheetId="12">_xlfn.LAMBDA("VEERG 2026: Table 1.3: Climate and Rainfall zone classifications and definitions")</definedName>
    <definedName name="Common_SourceData.Common_SourceData_LeachingZones_Source" localSheetId="13">_xlfn.LAMBDA("VEERG 2026: Table 1.3: Climate and Rainfall zone classifications and definitions")</definedName>
    <definedName name="Common_SourceData.Common_SourceData_LeachingZones_Source" localSheetId="14">_xlfn.LAMBDA("VEERG 2026: Table 1.3: Climate and Rainfall zone classifications and definitions")</definedName>
    <definedName name="Common_SourceData.Common_SourceData_LeachingZones_Source" localSheetId="15">_xlfn.LAMBDA("VEERG 2026: Table 1.3: Climate and Rainfall zone classifications and definitions")</definedName>
    <definedName name="Common_SourceData.Common_SourceData_LeachingZones_Source" localSheetId="16">_xlfn.LAMBDA("VEERG 2026: Table 1.3: Climate and Rainfall zone classifications and definitions")</definedName>
    <definedName name="Common_SourceData.Common_SourceData_LeachingZones_Source" localSheetId="17">_xlfn.LAMBDA("VEERG 2026: Table 1.3: Climate and Rainfall zone classifications and definitions")</definedName>
    <definedName name="Common_SourceData.Common_SourceData_LeachingZones_Source" localSheetId="18">_xlfn.LAMBDA("VEERG 2026: Table 1.3: Climate and Rainfall zone classifications and definitions")</definedName>
    <definedName name="Common_SourceData.Common_SourceData_LeachingZones_Source" localSheetId="19">_xlfn.LAMBDA("VEERG 2026: Table 1.3: Climate and Rainfall zone classifications and definitions")</definedName>
    <definedName name="Common_SourceData.Common_SourceData_LeachingZones_Source" localSheetId="20">_xlfn.LAMBDA("VEERG 2026: Table 1.3: Climate and Rainfall zone classifications and definitions")</definedName>
    <definedName name="Common_SourceData.Common_SourceData_LeachingZones_Source" localSheetId="21">_xlfn.LAMBDA("VEERG 2026: Table 1.3: Climate and Rainfall zone classifications and definitions")</definedName>
    <definedName name="Common_SourceData.Common_SourceData_LeachingZones_Source" localSheetId="22">_xlfn.LAMBDA("VEERG 2026: Table 1.3: Climate and Rainfall zone classifications and definitions")</definedName>
    <definedName name="Common_SourceData.Common_SourceData_LeachingZones_Source" localSheetId="23">_xlfn.LAMBDA("VEERG 2026: Table 1.3: Climate and Rainfall zone classifications and definitions")</definedName>
    <definedName name="Common_SourceData.Common_SourceData_LeachingZones_Source" localSheetId="24">_xlfn.LAMBDA("VEERG 2026: Table 1.3: Climate and Rainfall zone classifications and definitions")</definedName>
    <definedName name="Common_SourceData.Common_SourceData_LeachingZones_Source" localSheetId="33">_xlfn.LAMBDA("VEERG 2026: Table 1.3: Climate and Rainfall zone classifications and definitions")</definedName>
    <definedName name="Common_SourceData.Common_SourceData_LeachingZones_Source" localSheetId="27">_xlfn.LAMBDA("VEERG 2026: Table 1.3: Climate and Rainfall zone classifications and definitions")</definedName>
    <definedName name="Common_SourceData.Common_SourceData_LeachingZones_Source" localSheetId="32">_xlfn.LAMBDA("VEERG 2026: Table 1.3: Climate and Rainfall zone classifications and definitions")</definedName>
    <definedName name="Common_SourceData.Common_SourceData_LeachingZones_Source" localSheetId="29">_xlfn.LAMBDA("VEERG 2026: Table 1.3: Climate and Rainfall zone classifications and definitions")</definedName>
    <definedName name="Common_SourceData.Common_SourceData_LeachingZones_Source" localSheetId="30">_xlfn.LAMBDA("VEERG 2026: Table 1.3: Climate and Rainfall zone classifications and definitions")</definedName>
    <definedName name="Common_SourceData.Common_SourceData_LeachingZones_Source" localSheetId="31">_xlfn.LAMBDA("VEERG 2026: Table 1.3: Climate and Rainfall zone classifications and definitions")</definedName>
    <definedName name="Common_SourceData.Common_SourceData_LeachingZones_Source" localSheetId="28">_xlfn.LAMBDA("VEERG 2026: Table 1.3: Climate and Rainfall zone classifications and definitions")</definedName>
    <definedName name="Common_SourceData.Common_SourceData_LeachingZones_Source" localSheetId="26">_xlfn.LAMBDA("VEERG 2026: Table 1.3: Climate and Rainfall zone classifications and definitions")</definedName>
    <definedName name="Common_SourceData.Common_SourceData_LeachingZones_Source" localSheetId="9">_xlfn.LAMBDA("VEERG 2026: Table 1.3: Climate and Rainfall zone classifications and definitions")</definedName>
    <definedName name="Common_SourceData.Common_SourceData_LeachingZones_Source" localSheetId="7">_xlfn.LAMBDA("VEERG 2026: Table 1.3: Climate and Rainfall zone classifications and definitions")</definedName>
    <definedName name="Common_SourceData.Common_SourceData_LeachingZones_Source" localSheetId="8">_xlfn.LAMBDA("VEERG 2026: Table 1.3: Climate and Rainfall zone classifications and definitions")</definedName>
    <definedName name="Common_SourceData.Common_SourceData_LeachingZones_Source" localSheetId="6">_xlfn.LAMBDA("VEERG 2026: Table 1.3: Climate and Rainfall zone classifications and definitions")</definedName>
    <definedName name="Common_SourceData.Common_SourceData_LeachingZones_Source" localSheetId="4">_xlfn.LAMBDA("VEERG 2026: Table 1.3: Climate and Rainfall zone classifications and definitions")</definedName>
    <definedName name="Common_SourceData.Common_SourceData_LeachingZones_Source" localSheetId="3">_xlfn.LAMBDA("VEERG 2026: Table 1.3: Climate and Rainfall zone classifications and definitions")</definedName>
    <definedName name="Common_SourceData.Common_SourceData_LeachingZones_Source" localSheetId="34">_xlfn.LAMBDA("VEERG 2026: Table 1.3: Climate and Rainfall zone classifications and definitions")</definedName>
    <definedName name="Common_SourceData.Common_SourceData_LeachingZones_Source">_xlfn.LAMBDA("VEERG 2026: Table 1.3: Climate and Rainfall zone classifications and definitions")</definedName>
    <definedName name="Common_SourceData.Common_SourceData_LeachingZones_Title" localSheetId="25">_xlfn.LAMBDA("VEERG Australian leaching zones")</definedName>
    <definedName name="Common_SourceData.Common_SourceData_LeachingZones_Title" localSheetId="10">_xlfn.LAMBDA("VEERG Australian leaching zones")</definedName>
    <definedName name="Common_SourceData.Common_SourceData_LeachingZones_Title" localSheetId="11">_xlfn.LAMBDA("VEERG Australian leaching zones")</definedName>
    <definedName name="Common_SourceData.Common_SourceData_LeachingZones_Title" localSheetId="12">_xlfn.LAMBDA("VEERG Australian leaching zones")</definedName>
    <definedName name="Common_SourceData.Common_SourceData_LeachingZones_Title" localSheetId="13">_xlfn.LAMBDA("VEERG Australian leaching zones")</definedName>
    <definedName name="Common_SourceData.Common_SourceData_LeachingZones_Title" localSheetId="14">_xlfn.LAMBDA("VEERG Australian leaching zones")</definedName>
    <definedName name="Common_SourceData.Common_SourceData_LeachingZones_Title" localSheetId="15">_xlfn.LAMBDA("VEERG Australian leaching zones")</definedName>
    <definedName name="Common_SourceData.Common_SourceData_LeachingZones_Title" localSheetId="16">_xlfn.LAMBDA("VEERG Australian leaching zones")</definedName>
    <definedName name="Common_SourceData.Common_SourceData_LeachingZones_Title" localSheetId="17">_xlfn.LAMBDA("VEERG Australian leaching zones")</definedName>
    <definedName name="Common_SourceData.Common_SourceData_LeachingZones_Title" localSheetId="18">_xlfn.LAMBDA("VEERG Australian leaching zones")</definedName>
    <definedName name="Common_SourceData.Common_SourceData_LeachingZones_Title" localSheetId="19">_xlfn.LAMBDA("VEERG Australian leaching zones")</definedName>
    <definedName name="Common_SourceData.Common_SourceData_LeachingZones_Title" localSheetId="20">_xlfn.LAMBDA("VEERG Australian leaching zones")</definedName>
    <definedName name="Common_SourceData.Common_SourceData_LeachingZones_Title" localSheetId="21">_xlfn.LAMBDA("VEERG Australian leaching zones")</definedName>
    <definedName name="Common_SourceData.Common_SourceData_LeachingZones_Title" localSheetId="22">_xlfn.LAMBDA("VEERG Australian leaching zones")</definedName>
    <definedName name="Common_SourceData.Common_SourceData_LeachingZones_Title" localSheetId="23">_xlfn.LAMBDA("VEERG Australian leaching zones")</definedName>
    <definedName name="Common_SourceData.Common_SourceData_LeachingZones_Title" localSheetId="24">_xlfn.LAMBDA("VEERG Australian leaching zones")</definedName>
    <definedName name="Common_SourceData.Common_SourceData_LeachingZones_Title" localSheetId="33">_xlfn.LAMBDA("VEERG Australian leaching zones")</definedName>
    <definedName name="Common_SourceData.Common_SourceData_LeachingZones_Title" localSheetId="27">_xlfn.LAMBDA("VEERG Australian leaching zones")</definedName>
    <definedName name="Common_SourceData.Common_SourceData_LeachingZones_Title" localSheetId="32">_xlfn.LAMBDA("VEERG Australian leaching zones")</definedName>
    <definedName name="Common_SourceData.Common_SourceData_LeachingZones_Title" localSheetId="29">_xlfn.LAMBDA("VEERG Australian leaching zones")</definedName>
    <definedName name="Common_SourceData.Common_SourceData_LeachingZones_Title" localSheetId="30">_xlfn.LAMBDA("VEERG Australian leaching zones")</definedName>
    <definedName name="Common_SourceData.Common_SourceData_LeachingZones_Title" localSheetId="31">_xlfn.LAMBDA("VEERG Australian leaching zones")</definedName>
    <definedName name="Common_SourceData.Common_SourceData_LeachingZones_Title" localSheetId="28">_xlfn.LAMBDA("VEERG Australian leaching zones")</definedName>
    <definedName name="Common_SourceData.Common_SourceData_LeachingZones_Title" localSheetId="26">_xlfn.LAMBDA("VEERG Australian leaching zones")</definedName>
    <definedName name="Common_SourceData.Common_SourceData_LeachingZones_Title" localSheetId="9">_xlfn.LAMBDA("VEERG Australian leaching zones")</definedName>
    <definedName name="Common_SourceData.Common_SourceData_LeachingZones_Title" localSheetId="7">_xlfn.LAMBDA("VEERG Australian leaching zones")</definedName>
    <definedName name="Common_SourceData.Common_SourceData_LeachingZones_Title" localSheetId="8">_xlfn.LAMBDA("VEERG Australian leaching zones")</definedName>
    <definedName name="Common_SourceData.Common_SourceData_LeachingZones_Title" localSheetId="6">_xlfn.LAMBDA("VEERG Australian leaching zones")</definedName>
    <definedName name="Common_SourceData.Common_SourceData_LeachingZones_Title" localSheetId="4">_xlfn.LAMBDA("VEERG Australian leaching zones")</definedName>
    <definedName name="Common_SourceData.Common_SourceData_LeachingZones_Title" localSheetId="3">_xlfn.LAMBDA("VEERG Australian leaching zones")</definedName>
    <definedName name="Common_SourceData.Common_SourceData_LeachingZones_Title" localSheetId="34">_xlfn.LAMBDA("VEERG Australian leaching zones")</definedName>
    <definedName name="Common_SourceData.Common_SourceData_LeachingZones_Title">_xlfn.LAMBDA("VEERG Australian leaching zones")</definedName>
    <definedName name="Common_SourceData.Common_SourceData_LeachingZones_Unit" localSheetId="25">_xlfn.LAMBDA("")</definedName>
    <definedName name="Common_SourceData.Common_SourceData_LeachingZones_Unit" localSheetId="10">_xlfn.LAMBDA("")</definedName>
    <definedName name="Common_SourceData.Common_SourceData_LeachingZones_Unit" localSheetId="11">_xlfn.LAMBDA("")</definedName>
    <definedName name="Common_SourceData.Common_SourceData_LeachingZones_Unit" localSheetId="12">_xlfn.LAMBDA("")</definedName>
    <definedName name="Common_SourceData.Common_SourceData_LeachingZones_Unit" localSheetId="13">_xlfn.LAMBDA("")</definedName>
    <definedName name="Common_SourceData.Common_SourceData_LeachingZones_Unit" localSheetId="14">_xlfn.LAMBDA("")</definedName>
    <definedName name="Common_SourceData.Common_SourceData_LeachingZones_Unit" localSheetId="15">_xlfn.LAMBDA("")</definedName>
    <definedName name="Common_SourceData.Common_SourceData_LeachingZones_Unit" localSheetId="16">_xlfn.LAMBDA("")</definedName>
    <definedName name="Common_SourceData.Common_SourceData_LeachingZones_Unit" localSheetId="17">_xlfn.LAMBDA("")</definedName>
    <definedName name="Common_SourceData.Common_SourceData_LeachingZones_Unit" localSheetId="18">_xlfn.LAMBDA("")</definedName>
    <definedName name="Common_SourceData.Common_SourceData_LeachingZones_Unit" localSheetId="19">_xlfn.LAMBDA("")</definedName>
    <definedName name="Common_SourceData.Common_SourceData_LeachingZones_Unit" localSheetId="20">_xlfn.LAMBDA("")</definedName>
    <definedName name="Common_SourceData.Common_SourceData_LeachingZones_Unit" localSheetId="21">_xlfn.LAMBDA("")</definedName>
    <definedName name="Common_SourceData.Common_SourceData_LeachingZones_Unit" localSheetId="22">_xlfn.LAMBDA("")</definedName>
    <definedName name="Common_SourceData.Common_SourceData_LeachingZones_Unit" localSheetId="23">_xlfn.LAMBDA("")</definedName>
    <definedName name="Common_SourceData.Common_SourceData_LeachingZones_Unit" localSheetId="24">_xlfn.LAMBDA("")</definedName>
    <definedName name="Common_SourceData.Common_SourceData_LeachingZones_Unit" localSheetId="33">_xlfn.LAMBDA("")</definedName>
    <definedName name="Common_SourceData.Common_SourceData_LeachingZones_Unit" localSheetId="27">_xlfn.LAMBDA("")</definedName>
    <definedName name="Common_SourceData.Common_SourceData_LeachingZones_Unit" localSheetId="32">_xlfn.LAMBDA("")</definedName>
    <definedName name="Common_SourceData.Common_SourceData_LeachingZones_Unit" localSheetId="29">_xlfn.LAMBDA("")</definedName>
    <definedName name="Common_SourceData.Common_SourceData_LeachingZones_Unit" localSheetId="30">_xlfn.LAMBDA("")</definedName>
    <definedName name="Common_SourceData.Common_SourceData_LeachingZones_Unit" localSheetId="31">_xlfn.LAMBDA("")</definedName>
    <definedName name="Common_SourceData.Common_SourceData_LeachingZones_Unit" localSheetId="28">_xlfn.LAMBDA("")</definedName>
    <definedName name="Common_SourceData.Common_SourceData_LeachingZones_Unit" localSheetId="26">_xlfn.LAMBDA("")</definedName>
    <definedName name="Common_SourceData.Common_SourceData_LeachingZones_Unit" localSheetId="9">_xlfn.LAMBDA("")</definedName>
    <definedName name="Common_SourceData.Common_SourceData_LeachingZones_Unit" localSheetId="7">_xlfn.LAMBDA("")</definedName>
    <definedName name="Common_SourceData.Common_SourceData_LeachingZones_Unit" localSheetId="8">_xlfn.LAMBDA("")</definedName>
    <definedName name="Common_SourceData.Common_SourceData_LeachingZones_Unit" localSheetId="6">_xlfn.LAMBDA("")</definedName>
    <definedName name="Common_SourceData.Common_SourceData_LeachingZones_Unit" localSheetId="4">_xlfn.LAMBDA("")</definedName>
    <definedName name="Common_SourceData.Common_SourceData_LeachingZones_Unit" localSheetId="3">_xlfn.LAMBDA("")</definedName>
    <definedName name="Common_SourceData.Common_SourceData_LeachingZones_Unit" localSheetId="34">_xlfn.LAMBDA("")</definedName>
    <definedName name="Common_SourceData.Common_SourceData_LeachingZones_Unit">_xlfn.LAMBDA("")</definedName>
    <definedName name="Common_SourceData.Common_SourceData_LeachingZones_Variable" localSheetId="25">_xlfn.LAMBDA("")</definedName>
    <definedName name="Common_SourceData.Common_SourceData_LeachingZones_Variable" localSheetId="10">_xlfn.LAMBDA("")</definedName>
    <definedName name="Common_SourceData.Common_SourceData_LeachingZones_Variable" localSheetId="11">_xlfn.LAMBDA("")</definedName>
    <definedName name="Common_SourceData.Common_SourceData_LeachingZones_Variable" localSheetId="12">_xlfn.LAMBDA("")</definedName>
    <definedName name="Common_SourceData.Common_SourceData_LeachingZones_Variable" localSheetId="13">_xlfn.LAMBDA("")</definedName>
    <definedName name="Common_SourceData.Common_SourceData_LeachingZones_Variable" localSheetId="14">_xlfn.LAMBDA("")</definedName>
    <definedName name="Common_SourceData.Common_SourceData_LeachingZones_Variable" localSheetId="15">_xlfn.LAMBDA("")</definedName>
    <definedName name="Common_SourceData.Common_SourceData_LeachingZones_Variable" localSheetId="16">_xlfn.LAMBDA("")</definedName>
    <definedName name="Common_SourceData.Common_SourceData_LeachingZones_Variable" localSheetId="17">_xlfn.LAMBDA("")</definedName>
    <definedName name="Common_SourceData.Common_SourceData_LeachingZones_Variable" localSheetId="18">_xlfn.LAMBDA("")</definedName>
    <definedName name="Common_SourceData.Common_SourceData_LeachingZones_Variable" localSheetId="19">_xlfn.LAMBDA("")</definedName>
    <definedName name="Common_SourceData.Common_SourceData_LeachingZones_Variable" localSheetId="20">_xlfn.LAMBDA("")</definedName>
    <definedName name="Common_SourceData.Common_SourceData_LeachingZones_Variable" localSheetId="21">_xlfn.LAMBDA("")</definedName>
    <definedName name="Common_SourceData.Common_SourceData_LeachingZones_Variable" localSheetId="22">_xlfn.LAMBDA("")</definedName>
    <definedName name="Common_SourceData.Common_SourceData_LeachingZones_Variable" localSheetId="23">_xlfn.LAMBDA("")</definedName>
    <definedName name="Common_SourceData.Common_SourceData_LeachingZones_Variable" localSheetId="24">_xlfn.LAMBDA("")</definedName>
    <definedName name="Common_SourceData.Common_SourceData_LeachingZones_Variable" localSheetId="33">_xlfn.LAMBDA("")</definedName>
    <definedName name="Common_SourceData.Common_SourceData_LeachingZones_Variable" localSheetId="27">_xlfn.LAMBDA("")</definedName>
    <definedName name="Common_SourceData.Common_SourceData_LeachingZones_Variable" localSheetId="32">_xlfn.LAMBDA("")</definedName>
    <definedName name="Common_SourceData.Common_SourceData_LeachingZones_Variable" localSheetId="29">_xlfn.LAMBDA("")</definedName>
    <definedName name="Common_SourceData.Common_SourceData_LeachingZones_Variable" localSheetId="30">_xlfn.LAMBDA("")</definedName>
    <definedName name="Common_SourceData.Common_SourceData_LeachingZones_Variable" localSheetId="31">_xlfn.LAMBDA("")</definedName>
    <definedName name="Common_SourceData.Common_SourceData_LeachingZones_Variable" localSheetId="28">_xlfn.LAMBDA("")</definedName>
    <definedName name="Common_SourceData.Common_SourceData_LeachingZones_Variable" localSheetId="26">_xlfn.LAMBDA("")</definedName>
    <definedName name="Common_SourceData.Common_SourceData_LeachingZones_Variable" localSheetId="9">_xlfn.LAMBDA("")</definedName>
    <definedName name="Common_SourceData.Common_SourceData_LeachingZones_Variable" localSheetId="7">_xlfn.LAMBDA("")</definedName>
    <definedName name="Common_SourceData.Common_SourceData_LeachingZones_Variable" localSheetId="8">_xlfn.LAMBDA("")</definedName>
    <definedName name="Common_SourceData.Common_SourceData_LeachingZones_Variable" localSheetId="6">_xlfn.LAMBDA("")</definedName>
    <definedName name="Common_SourceData.Common_SourceData_LeachingZones_Variable" localSheetId="4">_xlfn.LAMBDA("")</definedName>
    <definedName name="Common_SourceData.Common_SourceData_LeachingZones_Variable" localSheetId="3">_xlfn.LAMBDA("")</definedName>
    <definedName name="Common_SourceData.Common_SourceData_LeachingZones_Variable" localSheetId="34">_xlfn.LAMBDA("")</definedName>
    <definedName name="Common_SourceData.Common_SourceData_LeachingZones_Variable">_xlfn.LAMBDA("")</definedName>
    <definedName name="Common_SourceData.Common_SourceData_LeachingZones_Variation" localSheetId="25">_xlfn.LAMBDA("")</definedName>
    <definedName name="Common_SourceData.Common_SourceData_LeachingZones_Variation" localSheetId="10">_xlfn.LAMBDA("")</definedName>
    <definedName name="Common_SourceData.Common_SourceData_LeachingZones_Variation" localSheetId="11">_xlfn.LAMBDA("")</definedName>
    <definedName name="Common_SourceData.Common_SourceData_LeachingZones_Variation" localSheetId="12">_xlfn.LAMBDA("")</definedName>
    <definedName name="Common_SourceData.Common_SourceData_LeachingZones_Variation" localSheetId="13">_xlfn.LAMBDA("")</definedName>
    <definedName name="Common_SourceData.Common_SourceData_LeachingZones_Variation" localSheetId="14">_xlfn.LAMBDA("")</definedName>
    <definedName name="Common_SourceData.Common_SourceData_LeachingZones_Variation" localSheetId="15">_xlfn.LAMBDA("")</definedName>
    <definedName name="Common_SourceData.Common_SourceData_LeachingZones_Variation" localSheetId="16">_xlfn.LAMBDA("")</definedName>
    <definedName name="Common_SourceData.Common_SourceData_LeachingZones_Variation" localSheetId="17">_xlfn.LAMBDA("")</definedName>
    <definedName name="Common_SourceData.Common_SourceData_LeachingZones_Variation" localSheetId="18">_xlfn.LAMBDA("")</definedName>
    <definedName name="Common_SourceData.Common_SourceData_LeachingZones_Variation" localSheetId="19">_xlfn.LAMBDA("")</definedName>
    <definedName name="Common_SourceData.Common_SourceData_LeachingZones_Variation" localSheetId="20">_xlfn.LAMBDA("")</definedName>
    <definedName name="Common_SourceData.Common_SourceData_LeachingZones_Variation" localSheetId="21">_xlfn.LAMBDA("")</definedName>
    <definedName name="Common_SourceData.Common_SourceData_LeachingZones_Variation" localSheetId="22">_xlfn.LAMBDA("")</definedName>
    <definedName name="Common_SourceData.Common_SourceData_LeachingZones_Variation" localSheetId="23">_xlfn.LAMBDA("")</definedName>
    <definedName name="Common_SourceData.Common_SourceData_LeachingZones_Variation" localSheetId="24">_xlfn.LAMBDA("")</definedName>
    <definedName name="Common_SourceData.Common_SourceData_LeachingZones_Variation" localSheetId="33">_xlfn.LAMBDA("")</definedName>
    <definedName name="Common_SourceData.Common_SourceData_LeachingZones_Variation" localSheetId="27">_xlfn.LAMBDA("")</definedName>
    <definedName name="Common_SourceData.Common_SourceData_LeachingZones_Variation" localSheetId="32">_xlfn.LAMBDA("")</definedName>
    <definedName name="Common_SourceData.Common_SourceData_LeachingZones_Variation" localSheetId="29">_xlfn.LAMBDA("")</definedName>
    <definedName name="Common_SourceData.Common_SourceData_LeachingZones_Variation" localSheetId="30">_xlfn.LAMBDA("")</definedName>
    <definedName name="Common_SourceData.Common_SourceData_LeachingZones_Variation" localSheetId="31">_xlfn.LAMBDA("")</definedName>
    <definedName name="Common_SourceData.Common_SourceData_LeachingZones_Variation" localSheetId="28">_xlfn.LAMBDA("")</definedName>
    <definedName name="Common_SourceData.Common_SourceData_LeachingZones_Variation" localSheetId="26">_xlfn.LAMBDA("")</definedName>
    <definedName name="Common_SourceData.Common_SourceData_LeachingZones_Variation" localSheetId="9">_xlfn.LAMBDA("")</definedName>
    <definedName name="Common_SourceData.Common_SourceData_LeachingZones_Variation" localSheetId="7">_xlfn.LAMBDA("")</definedName>
    <definedName name="Common_SourceData.Common_SourceData_LeachingZones_Variation" localSheetId="8">_xlfn.LAMBDA("")</definedName>
    <definedName name="Common_SourceData.Common_SourceData_LeachingZones_Variation" localSheetId="6">_xlfn.LAMBDA("")</definedName>
    <definedName name="Common_SourceData.Common_SourceData_LeachingZones_Variation" localSheetId="4">_xlfn.LAMBDA("")</definedName>
    <definedName name="Common_SourceData.Common_SourceData_LeachingZones_Variation" localSheetId="3">_xlfn.LAMBDA("")</definedName>
    <definedName name="Common_SourceData.Common_SourceData_LeachingZones_Variation" localSheetId="34">_xlfn.LAMBDA("")</definedName>
    <definedName name="Common_SourceData.Common_SourceData_LeachingZones_Variation">_xlfn.LAMBDA("")</definedName>
    <definedName name="Common_SourceData.Common_SourceData_MCFTemperatureZone_Data" localSheetId="2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1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2">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0">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2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9">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7">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8">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5">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3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2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5">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1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2">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0">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2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9">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7">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8">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3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 localSheetId="25">_xlfn.LAMBDA("")</definedName>
    <definedName name="Common_SourceData.Common_SourceData_MonthsToSeasons_NIRReference" localSheetId="10">_xlfn.LAMBDA("")</definedName>
    <definedName name="Common_SourceData.Common_SourceData_MonthsToSeasons_NIRReference" localSheetId="11">_xlfn.LAMBDA("")</definedName>
    <definedName name="Common_SourceData.Common_SourceData_MonthsToSeasons_NIRReference" localSheetId="12">_xlfn.LAMBDA("")</definedName>
    <definedName name="Common_SourceData.Common_SourceData_MonthsToSeasons_NIRReference" localSheetId="13">_xlfn.LAMBDA("")</definedName>
    <definedName name="Common_SourceData.Common_SourceData_MonthsToSeasons_NIRReference" localSheetId="14">_xlfn.LAMBDA("")</definedName>
    <definedName name="Common_SourceData.Common_SourceData_MonthsToSeasons_NIRReference" localSheetId="15">_xlfn.LAMBDA("")</definedName>
    <definedName name="Common_SourceData.Common_SourceData_MonthsToSeasons_NIRReference" localSheetId="16">_xlfn.LAMBDA("")</definedName>
    <definedName name="Common_SourceData.Common_SourceData_MonthsToSeasons_NIRReference" localSheetId="17">_xlfn.LAMBDA("")</definedName>
    <definedName name="Common_SourceData.Common_SourceData_MonthsToSeasons_NIRReference" localSheetId="18">_xlfn.LAMBDA("")</definedName>
    <definedName name="Common_SourceData.Common_SourceData_MonthsToSeasons_NIRReference" localSheetId="19">_xlfn.LAMBDA("")</definedName>
    <definedName name="Common_SourceData.Common_SourceData_MonthsToSeasons_NIRReference" localSheetId="20">_xlfn.LAMBDA("")</definedName>
    <definedName name="Common_SourceData.Common_SourceData_MonthsToSeasons_NIRReference" localSheetId="21">_xlfn.LAMBDA("")</definedName>
    <definedName name="Common_SourceData.Common_SourceData_MonthsToSeasons_NIRReference" localSheetId="22">_xlfn.LAMBDA("")</definedName>
    <definedName name="Common_SourceData.Common_SourceData_MonthsToSeasons_NIRReference" localSheetId="23">_xlfn.LAMBDA("")</definedName>
    <definedName name="Common_SourceData.Common_SourceData_MonthsToSeasons_NIRReference" localSheetId="24">_xlfn.LAMBDA("")</definedName>
    <definedName name="Common_SourceData.Common_SourceData_MonthsToSeasons_NIRReference" localSheetId="33">_xlfn.LAMBDA("")</definedName>
    <definedName name="Common_SourceData.Common_SourceData_MonthsToSeasons_NIRReference" localSheetId="27">_xlfn.LAMBDA("")</definedName>
    <definedName name="Common_SourceData.Common_SourceData_MonthsToSeasons_NIRReference" localSheetId="32">_xlfn.LAMBDA("")</definedName>
    <definedName name="Common_SourceData.Common_SourceData_MonthsToSeasons_NIRReference" localSheetId="29">_xlfn.LAMBDA("")</definedName>
    <definedName name="Common_SourceData.Common_SourceData_MonthsToSeasons_NIRReference" localSheetId="30">_xlfn.LAMBDA("")</definedName>
    <definedName name="Common_SourceData.Common_SourceData_MonthsToSeasons_NIRReference" localSheetId="31">_xlfn.LAMBDA("")</definedName>
    <definedName name="Common_SourceData.Common_SourceData_MonthsToSeasons_NIRReference" localSheetId="28">_xlfn.LAMBDA("")</definedName>
    <definedName name="Common_SourceData.Common_SourceData_MonthsToSeasons_NIRReference" localSheetId="26">_xlfn.LAMBDA("")</definedName>
    <definedName name="Common_SourceData.Common_SourceData_MonthsToSeasons_NIRReference" localSheetId="9">_xlfn.LAMBDA("")</definedName>
    <definedName name="Common_SourceData.Common_SourceData_MonthsToSeasons_NIRReference" localSheetId="7">_xlfn.LAMBDA("")</definedName>
    <definedName name="Common_SourceData.Common_SourceData_MonthsToSeasons_NIRReference" localSheetId="8">_xlfn.LAMBDA("")</definedName>
    <definedName name="Common_SourceData.Common_SourceData_MonthsToSeasons_NIRReference" localSheetId="6">_xlfn.LAMBDA("")</definedName>
    <definedName name="Common_SourceData.Common_SourceData_MonthsToSeasons_NIRReference" localSheetId="4">_xlfn.LAMBDA("")</definedName>
    <definedName name="Common_SourceData.Common_SourceData_MonthsToSeasons_NIRReference" localSheetId="3">_xlfn.LAMBDA("")</definedName>
    <definedName name="Common_SourceData.Common_SourceData_MonthsToSeasons_NIRReference" localSheetId="34">_xlfn.LAMBDA("")</definedName>
    <definedName name="Common_SourceData.Common_SourceData_MonthsToSeasons_NIRReference">_xlfn.LAMBDA("")</definedName>
    <definedName name="Common_SourceData.Common_SourceData_MonthsToSeasons_Source" localSheetId="25">_xlfn.LAMBDA("")</definedName>
    <definedName name="Common_SourceData.Common_SourceData_MonthsToSeasons_Source" localSheetId="10">_xlfn.LAMBDA("")</definedName>
    <definedName name="Common_SourceData.Common_SourceData_MonthsToSeasons_Source" localSheetId="11">_xlfn.LAMBDA("")</definedName>
    <definedName name="Common_SourceData.Common_SourceData_MonthsToSeasons_Source" localSheetId="12">_xlfn.LAMBDA("")</definedName>
    <definedName name="Common_SourceData.Common_SourceData_MonthsToSeasons_Source" localSheetId="13">_xlfn.LAMBDA("")</definedName>
    <definedName name="Common_SourceData.Common_SourceData_MonthsToSeasons_Source" localSheetId="14">_xlfn.LAMBDA("")</definedName>
    <definedName name="Common_SourceData.Common_SourceData_MonthsToSeasons_Source" localSheetId="15">_xlfn.LAMBDA("")</definedName>
    <definedName name="Common_SourceData.Common_SourceData_MonthsToSeasons_Source" localSheetId="16">_xlfn.LAMBDA("")</definedName>
    <definedName name="Common_SourceData.Common_SourceData_MonthsToSeasons_Source" localSheetId="17">_xlfn.LAMBDA("")</definedName>
    <definedName name="Common_SourceData.Common_SourceData_MonthsToSeasons_Source" localSheetId="18">_xlfn.LAMBDA("")</definedName>
    <definedName name="Common_SourceData.Common_SourceData_MonthsToSeasons_Source" localSheetId="19">_xlfn.LAMBDA("")</definedName>
    <definedName name="Common_SourceData.Common_SourceData_MonthsToSeasons_Source" localSheetId="20">_xlfn.LAMBDA("")</definedName>
    <definedName name="Common_SourceData.Common_SourceData_MonthsToSeasons_Source" localSheetId="21">_xlfn.LAMBDA("")</definedName>
    <definedName name="Common_SourceData.Common_SourceData_MonthsToSeasons_Source" localSheetId="22">_xlfn.LAMBDA("")</definedName>
    <definedName name="Common_SourceData.Common_SourceData_MonthsToSeasons_Source" localSheetId="23">_xlfn.LAMBDA("")</definedName>
    <definedName name="Common_SourceData.Common_SourceData_MonthsToSeasons_Source" localSheetId="24">_xlfn.LAMBDA("")</definedName>
    <definedName name="Common_SourceData.Common_SourceData_MonthsToSeasons_Source" localSheetId="33">_xlfn.LAMBDA("")</definedName>
    <definedName name="Common_SourceData.Common_SourceData_MonthsToSeasons_Source" localSheetId="27">_xlfn.LAMBDA("")</definedName>
    <definedName name="Common_SourceData.Common_SourceData_MonthsToSeasons_Source" localSheetId="32">_xlfn.LAMBDA("")</definedName>
    <definedName name="Common_SourceData.Common_SourceData_MonthsToSeasons_Source" localSheetId="29">_xlfn.LAMBDA("")</definedName>
    <definedName name="Common_SourceData.Common_SourceData_MonthsToSeasons_Source" localSheetId="30">_xlfn.LAMBDA("")</definedName>
    <definedName name="Common_SourceData.Common_SourceData_MonthsToSeasons_Source" localSheetId="31">_xlfn.LAMBDA("")</definedName>
    <definedName name="Common_SourceData.Common_SourceData_MonthsToSeasons_Source" localSheetId="28">_xlfn.LAMBDA("")</definedName>
    <definedName name="Common_SourceData.Common_SourceData_MonthsToSeasons_Source" localSheetId="26">_xlfn.LAMBDA("")</definedName>
    <definedName name="Common_SourceData.Common_SourceData_MonthsToSeasons_Source" localSheetId="9">_xlfn.LAMBDA("")</definedName>
    <definedName name="Common_SourceData.Common_SourceData_MonthsToSeasons_Source" localSheetId="7">_xlfn.LAMBDA("")</definedName>
    <definedName name="Common_SourceData.Common_SourceData_MonthsToSeasons_Source" localSheetId="8">_xlfn.LAMBDA("")</definedName>
    <definedName name="Common_SourceData.Common_SourceData_MonthsToSeasons_Source" localSheetId="6">_xlfn.LAMBDA("")</definedName>
    <definedName name="Common_SourceData.Common_SourceData_MonthsToSeasons_Source" localSheetId="4">_xlfn.LAMBDA("")</definedName>
    <definedName name="Common_SourceData.Common_SourceData_MonthsToSeasons_Source" localSheetId="3">_xlfn.LAMBDA("")</definedName>
    <definedName name="Common_SourceData.Common_SourceData_MonthsToSeasons_Source" localSheetId="34">_xlfn.LAMBDA("")</definedName>
    <definedName name="Common_SourceData.Common_SourceData_MonthsToSeasons_Source">_xlfn.LAMBDA("")</definedName>
    <definedName name="Common_SourceData.Common_SourceData_MonthsToSeasons_Title" localSheetId="25">_xlfn.LAMBDA("Months to Seasons Mapping")</definedName>
    <definedName name="Common_SourceData.Common_SourceData_MonthsToSeasons_Title" localSheetId="10">_xlfn.LAMBDA("Months to Seasons Mapping")</definedName>
    <definedName name="Common_SourceData.Common_SourceData_MonthsToSeasons_Title" localSheetId="11">_xlfn.LAMBDA("Months to Seasons Mapping")</definedName>
    <definedName name="Common_SourceData.Common_SourceData_MonthsToSeasons_Title" localSheetId="12">_xlfn.LAMBDA("Months to Seasons Mapping")</definedName>
    <definedName name="Common_SourceData.Common_SourceData_MonthsToSeasons_Title" localSheetId="13">_xlfn.LAMBDA("Months to Seasons Mapping")</definedName>
    <definedName name="Common_SourceData.Common_SourceData_MonthsToSeasons_Title" localSheetId="14">_xlfn.LAMBDA("Months to Seasons Mapping")</definedName>
    <definedName name="Common_SourceData.Common_SourceData_MonthsToSeasons_Title" localSheetId="15">_xlfn.LAMBDA("Months to Seasons Mapping")</definedName>
    <definedName name="Common_SourceData.Common_SourceData_MonthsToSeasons_Title" localSheetId="16">_xlfn.LAMBDA("Months to Seasons Mapping")</definedName>
    <definedName name="Common_SourceData.Common_SourceData_MonthsToSeasons_Title" localSheetId="17">_xlfn.LAMBDA("Months to Seasons Mapping")</definedName>
    <definedName name="Common_SourceData.Common_SourceData_MonthsToSeasons_Title" localSheetId="18">_xlfn.LAMBDA("Months to Seasons Mapping")</definedName>
    <definedName name="Common_SourceData.Common_SourceData_MonthsToSeasons_Title" localSheetId="19">_xlfn.LAMBDA("Months to Seasons Mapping")</definedName>
    <definedName name="Common_SourceData.Common_SourceData_MonthsToSeasons_Title" localSheetId="20">_xlfn.LAMBDA("Months to Seasons Mapping")</definedName>
    <definedName name="Common_SourceData.Common_SourceData_MonthsToSeasons_Title" localSheetId="21">_xlfn.LAMBDA("Months to Seasons Mapping")</definedName>
    <definedName name="Common_SourceData.Common_SourceData_MonthsToSeasons_Title" localSheetId="22">_xlfn.LAMBDA("Months to Seasons Mapping")</definedName>
    <definedName name="Common_SourceData.Common_SourceData_MonthsToSeasons_Title" localSheetId="23">_xlfn.LAMBDA("Months to Seasons Mapping")</definedName>
    <definedName name="Common_SourceData.Common_SourceData_MonthsToSeasons_Title" localSheetId="24">_xlfn.LAMBDA("Months to Seasons Mapping")</definedName>
    <definedName name="Common_SourceData.Common_SourceData_MonthsToSeasons_Title" localSheetId="33">_xlfn.LAMBDA("Months to Seasons Mapping")</definedName>
    <definedName name="Common_SourceData.Common_SourceData_MonthsToSeasons_Title" localSheetId="27">_xlfn.LAMBDA("Months to Seasons Mapping")</definedName>
    <definedName name="Common_SourceData.Common_SourceData_MonthsToSeasons_Title" localSheetId="32">_xlfn.LAMBDA("Months to Seasons Mapping")</definedName>
    <definedName name="Common_SourceData.Common_SourceData_MonthsToSeasons_Title" localSheetId="29">_xlfn.LAMBDA("Months to Seasons Mapping")</definedName>
    <definedName name="Common_SourceData.Common_SourceData_MonthsToSeasons_Title" localSheetId="30">_xlfn.LAMBDA("Months to Seasons Mapping")</definedName>
    <definedName name="Common_SourceData.Common_SourceData_MonthsToSeasons_Title" localSheetId="31">_xlfn.LAMBDA("Months to Seasons Mapping")</definedName>
    <definedName name="Common_SourceData.Common_SourceData_MonthsToSeasons_Title" localSheetId="28">_xlfn.LAMBDA("Months to Seasons Mapping")</definedName>
    <definedName name="Common_SourceData.Common_SourceData_MonthsToSeasons_Title" localSheetId="26">_xlfn.LAMBDA("Months to Seasons Mapping")</definedName>
    <definedName name="Common_SourceData.Common_SourceData_MonthsToSeasons_Title" localSheetId="9">_xlfn.LAMBDA("Months to Seasons Mapping")</definedName>
    <definedName name="Common_SourceData.Common_SourceData_MonthsToSeasons_Title" localSheetId="7">_xlfn.LAMBDA("Months to Seasons Mapping")</definedName>
    <definedName name="Common_SourceData.Common_SourceData_MonthsToSeasons_Title" localSheetId="8">_xlfn.LAMBDA("Months to Seasons Mapping")</definedName>
    <definedName name="Common_SourceData.Common_SourceData_MonthsToSeasons_Title" localSheetId="6">_xlfn.LAMBDA("Months to Seasons Mapping")</definedName>
    <definedName name="Common_SourceData.Common_SourceData_MonthsToSeasons_Title" localSheetId="4">_xlfn.LAMBDA("Months to Seasons Mapping")</definedName>
    <definedName name="Common_SourceData.Common_SourceData_MonthsToSeasons_Title" localSheetId="3">_xlfn.LAMBDA("Months to Seasons Mapping")</definedName>
    <definedName name="Common_SourceData.Common_SourceData_MonthsToSeasons_Title" localSheetId="34">_xlfn.LAMBDA("Months to Seasons Mapping")</definedName>
    <definedName name="Common_SourceData.Common_SourceData_MonthsToSeasons_Title">_xlfn.LAMBDA("Months to Seasons Mapping")</definedName>
    <definedName name="Common_SourceData.Common_SourceData_MonthsToSeasons_Unit" localSheetId="25">_xlfn.LAMBDA("")</definedName>
    <definedName name="Common_SourceData.Common_SourceData_MonthsToSeasons_Unit" localSheetId="10">_xlfn.LAMBDA("")</definedName>
    <definedName name="Common_SourceData.Common_SourceData_MonthsToSeasons_Unit" localSheetId="11">_xlfn.LAMBDA("")</definedName>
    <definedName name="Common_SourceData.Common_SourceData_MonthsToSeasons_Unit" localSheetId="12">_xlfn.LAMBDA("")</definedName>
    <definedName name="Common_SourceData.Common_SourceData_MonthsToSeasons_Unit" localSheetId="13">_xlfn.LAMBDA("")</definedName>
    <definedName name="Common_SourceData.Common_SourceData_MonthsToSeasons_Unit" localSheetId="14">_xlfn.LAMBDA("")</definedName>
    <definedName name="Common_SourceData.Common_SourceData_MonthsToSeasons_Unit" localSheetId="15">_xlfn.LAMBDA("")</definedName>
    <definedName name="Common_SourceData.Common_SourceData_MonthsToSeasons_Unit" localSheetId="16">_xlfn.LAMBDA("")</definedName>
    <definedName name="Common_SourceData.Common_SourceData_MonthsToSeasons_Unit" localSheetId="17">_xlfn.LAMBDA("")</definedName>
    <definedName name="Common_SourceData.Common_SourceData_MonthsToSeasons_Unit" localSheetId="18">_xlfn.LAMBDA("")</definedName>
    <definedName name="Common_SourceData.Common_SourceData_MonthsToSeasons_Unit" localSheetId="19">_xlfn.LAMBDA("")</definedName>
    <definedName name="Common_SourceData.Common_SourceData_MonthsToSeasons_Unit" localSheetId="20">_xlfn.LAMBDA("")</definedName>
    <definedName name="Common_SourceData.Common_SourceData_MonthsToSeasons_Unit" localSheetId="21">_xlfn.LAMBDA("")</definedName>
    <definedName name="Common_SourceData.Common_SourceData_MonthsToSeasons_Unit" localSheetId="22">_xlfn.LAMBDA("")</definedName>
    <definedName name="Common_SourceData.Common_SourceData_MonthsToSeasons_Unit" localSheetId="23">_xlfn.LAMBDA("")</definedName>
    <definedName name="Common_SourceData.Common_SourceData_MonthsToSeasons_Unit" localSheetId="24">_xlfn.LAMBDA("")</definedName>
    <definedName name="Common_SourceData.Common_SourceData_MonthsToSeasons_Unit" localSheetId="33">_xlfn.LAMBDA("")</definedName>
    <definedName name="Common_SourceData.Common_SourceData_MonthsToSeasons_Unit" localSheetId="27">_xlfn.LAMBDA("")</definedName>
    <definedName name="Common_SourceData.Common_SourceData_MonthsToSeasons_Unit" localSheetId="32">_xlfn.LAMBDA("")</definedName>
    <definedName name="Common_SourceData.Common_SourceData_MonthsToSeasons_Unit" localSheetId="29">_xlfn.LAMBDA("")</definedName>
    <definedName name="Common_SourceData.Common_SourceData_MonthsToSeasons_Unit" localSheetId="30">_xlfn.LAMBDA("")</definedName>
    <definedName name="Common_SourceData.Common_SourceData_MonthsToSeasons_Unit" localSheetId="31">_xlfn.LAMBDA("")</definedName>
    <definedName name="Common_SourceData.Common_SourceData_MonthsToSeasons_Unit" localSheetId="28">_xlfn.LAMBDA("")</definedName>
    <definedName name="Common_SourceData.Common_SourceData_MonthsToSeasons_Unit" localSheetId="26">_xlfn.LAMBDA("")</definedName>
    <definedName name="Common_SourceData.Common_SourceData_MonthsToSeasons_Unit" localSheetId="9">_xlfn.LAMBDA("")</definedName>
    <definedName name="Common_SourceData.Common_SourceData_MonthsToSeasons_Unit" localSheetId="7">_xlfn.LAMBDA("")</definedName>
    <definedName name="Common_SourceData.Common_SourceData_MonthsToSeasons_Unit" localSheetId="8">_xlfn.LAMBDA("")</definedName>
    <definedName name="Common_SourceData.Common_SourceData_MonthsToSeasons_Unit" localSheetId="6">_xlfn.LAMBDA("")</definedName>
    <definedName name="Common_SourceData.Common_SourceData_MonthsToSeasons_Unit" localSheetId="4">_xlfn.LAMBDA("")</definedName>
    <definedName name="Common_SourceData.Common_SourceData_MonthsToSeasons_Unit" localSheetId="3">_xlfn.LAMBDA("")</definedName>
    <definedName name="Common_SourceData.Common_SourceData_MonthsToSeasons_Unit" localSheetId="34">_xlfn.LAMBDA("")</definedName>
    <definedName name="Common_SourceData.Common_SourceData_MonthsToSeasons_Unit">_xlfn.LAMBDA("")</definedName>
    <definedName name="Common_SourceData.Common_SourceData_MonthsToSeasons_Variation" localSheetId="25">_xlfn.LAMBDA("")</definedName>
    <definedName name="Common_SourceData.Common_SourceData_MonthsToSeasons_Variation" localSheetId="10">_xlfn.LAMBDA("")</definedName>
    <definedName name="Common_SourceData.Common_SourceData_MonthsToSeasons_Variation" localSheetId="11">_xlfn.LAMBDA("")</definedName>
    <definedName name="Common_SourceData.Common_SourceData_MonthsToSeasons_Variation" localSheetId="12">_xlfn.LAMBDA("")</definedName>
    <definedName name="Common_SourceData.Common_SourceData_MonthsToSeasons_Variation" localSheetId="13">_xlfn.LAMBDA("")</definedName>
    <definedName name="Common_SourceData.Common_SourceData_MonthsToSeasons_Variation" localSheetId="14">_xlfn.LAMBDA("")</definedName>
    <definedName name="Common_SourceData.Common_SourceData_MonthsToSeasons_Variation" localSheetId="15">_xlfn.LAMBDA("")</definedName>
    <definedName name="Common_SourceData.Common_SourceData_MonthsToSeasons_Variation" localSheetId="16">_xlfn.LAMBDA("")</definedName>
    <definedName name="Common_SourceData.Common_SourceData_MonthsToSeasons_Variation" localSheetId="17">_xlfn.LAMBDA("")</definedName>
    <definedName name="Common_SourceData.Common_SourceData_MonthsToSeasons_Variation" localSheetId="18">_xlfn.LAMBDA("")</definedName>
    <definedName name="Common_SourceData.Common_SourceData_MonthsToSeasons_Variation" localSheetId="19">_xlfn.LAMBDA("")</definedName>
    <definedName name="Common_SourceData.Common_SourceData_MonthsToSeasons_Variation" localSheetId="20">_xlfn.LAMBDA("")</definedName>
    <definedName name="Common_SourceData.Common_SourceData_MonthsToSeasons_Variation" localSheetId="21">_xlfn.LAMBDA("")</definedName>
    <definedName name="Common_SourceData.Common_SourceData_MonthsToSeasons_Variation" localSheetId="22">_xlfn.LAMBDA("")</definedName>
    <definedName name="Common_SourceData.Common_SourceData_MonthsToSeasons_Variation" localSheetId="23">_xlfn.LAMBDA("")</definedName>
    <definedName name="Common_SourceData.Common_SourceData_MonthsToSeasons_Variation" localSheetId="24">_xlfn.LAMBDA("")</definedName>
    <definedName name="Common_SourceData.Common_SourceData_MonthsToSeasons_Variation" localSheetId="33">_xlfn.LAMBDA("")</definedName>
    <definedName name="Common_SourceData.Common_SourceData_MonthsToSeasons_Variation" localSheetId="27">_xlfn.LAMBDA("")</definedName>
    <definedName name="Common_SourceData.Common_SourceData_MonthsToSeasons_Variation" localSheetId="32">_xlfn.LAMBDA("")</definedName>
    <definedName name="Common_SourceData.Common_SourceData_MonthsToSeasons_Variation" localSheetId="29">_xlfn.LAMBDA("")</definedName>
    <definedName name="Common_SourceData.Common_SourceData_MonthsToSeasons_Variation" localSheetId="30">_xlfn.LAMBDA("")</definedName>
    <definedName name="Common_SourceData.Common_SourceData_MonthsToSeasons_Variation" localSheetId="31">_xlfn.LAMBDA("")</definedName>
    <definedName name="Common_SourceData.Common_SourceData_MonthsToSeasons_Variation" localSheetId="28">_xlfn.LAMBDA("")</definedName>
    <definedName name="Common_SourceData.Common_SourceData_MonthsToSeasons_Variation" localSheetId="26">_xlfn.LAMBDA("")</definedName>
    <definedName name="Common_SourceData.Common_SourceData_MonthsToSeasons_Variation" localSheetId="9">_xlfn.LAMBDA("")</definedName>
    <definedName name="Common_SourceData.Common_SourceData_MonthsToSeasons_Variation" localSheetId="7">_xlfn.LAMBDA("")</definedName>
    <definedName name="Common_SourceData.Common_SourceData_MonthsToSeasons_Variation" localSheetId="8">_xlfn.LAMBDA("")</definedName>
    <definedName name="Common_SourceData.Common_SourceData_MonthsToSeasons_Variation" localSheetId="6">_xlfn.LAMBDA("")</definedName>
    <definedName name="Common_SourceData.Common_SourceData_MonthsToSeasons_Variation" localSheetId="4">_xlfn.LAMBDA("")</definedName>
    <definedName name="Common_SourceData.Common_SourceData_MonthsToSeasons_Variation" localSheetId="3">_xlfn.LAMBDA("")</definedName>
    <definedName name="Common_SourceData.Common_SourceData_MonthsToSeasons_Variation" localSheetId="34">_xlfn.LAMBDA("")</definedName>
    <definedName name="Common_SourceData.Common_SourceData_MonthsToSeasons_Variation">_xlfn.LAMBDA("")</definedName>
    <definedName name="Common_SourceData.Common_SourceData_RainfallZones_Data" localSheetId="2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5">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1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2">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0">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2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9">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7">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8">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3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 localSheetId="25">_xlfn.LAMBDA("VEERG 2026: Table 1.3: Climate and Rainfall zone classifications and definitions")</definedName>
    <definedName name="Common_SourceData.Common_SourceData_RainfallZones_Source" localSheetId="10">_xlfn.LAMBDA("VEERG 2026: Table 1.3: Climate and Rainfall zone classifications and definitions")</definedName>
    <definedName name="Common_SourceData.Common_SourceData_RainfallZones_Source" localSheetId="11">_xlfn.LAMBDA("VEERG 2026: Table 1.3: Climate and Rainfall zone classifications and definitions")</definedName>
    <definedName name="Common_SourceData.Common_SourceData_RainfallZones_Source" localSheetId="12">_xlfn.LAMBDA("VEERG 2026: Table 1.3: Climate and Rainfall zone classifications and definitions")</definedName>
    <definedName name="Common_SourceData.Common_SourceData_RainfallZones_Source" localSheetId="13">_xlfn.LAMBDA("VEERG 2026: Table 1.3: Climate and Rainfall zone classifications and definitions")</definedName>
    <definedName name="Common_SourceData.Common_SourceData_RainfallZones_Source" localSheetId="14">_xlfn.LAMBDA("VEERG 2026: Table 1.3: Climate and Rainfall zone classifications and definitions")</definedName>
    <definedName name="Common_SourceData.Common_SourceData_RainfallZones_Source" localSheetId="15">_xlfn.LAMBDA("VEERG 2026: Table 1.3: Climate and Rainfall zone classifications and definitions")</definedName>
    <definedName name="Common_SourceData.Common_SourceData_RainfallZones_Source" localSheetId="16">_xlfn.LAMBDA("VEERG 2026: Table 1.3: Climate and Rainfall zone classifications and definitions")</definedName>
    <definedName name="Common_SourceData.Common_SourceData_RainfallZones_Source" localSheetId="17">_xlfn.LAMBDA("VEERG 2026: Table 1.3: Climate and Rainfall zone classifications and definitions")</definedName>
    <definedName name="Common_SourceData.Common_SourceData_RainfallZones_Source" localSheetId="18">_xlfn.LAMBDA("VEERG 2026: Table 1.3: Climate and Rainfall zone classifications and definitions")</definedName>
    <definedName name="Common_SourceData.Common_SourceData_RainfallZones_Source" localSheetId="19">_xlfn.LAMBDA("VEERG 2026: Table 1.3: Climate and Rainfall zone classifications and definitions")</definedName>
    <definedName name="Common_SourceData.Common_SourceData_RainfallZones_Source" localSheetId="20">_xlfn.LAMBDA("VEERG 2026: Table 1.3: Climate and Rainfall zone classifications and definitions")</definedName>
    <definedName name="Common_SourceData.Common_SourceData_RainfallZones_Source" localSheetId="21">_xlfn.LAMBDA("VEERG 2026: Table 1.3: Climate and Rainfall zone classifications and definitions")</definedName>
    <definedName name="Common_SourceData.Common_SourceData_RainfallZones_Source" localSheetId="22">_xlfn.LAMBDA("VEERG 2026: Table 1.3: Climate and Rainfall zone classifications and definitions")</definedName>
    <definedName name="Common_SourceData.Common_SourceData_RainfallZones_Source" localSheetId="23">_xlfn.LAMBDA("VEERG 2026: Table 1.3: Climate and Rainfall zone classifications and definitions")</definedName>
    <definedName name="Common_SourceData.Common_SourceData_RainfallZones_Source" localSheetId="24">_xlfn.LAMBDA("VEERG 2026: Table 1.3: Climate and Rainfall zone classifications and definitions")</definedName>
    <definedName name="Common_SourceData.Common_SourceData_RainfallZones_Source" localSheetId="33">_xlfn.LAMBDA("VEERG 2026: Table 1.3: Climate and Rainfall zone classifications and definitions")</definedName>
    <definedName name="Common_SourceData.Common_SourceData_RainfallZones_Source" localSheetId="27">_xlfn.LAMBDA("VEERG 2026: Table 1.3: Climate and Rainfall zone classifications and definitions")</definedName>
    <definedName name="Common_SourceData.Common_SourceData_RainfallZones_Source" localSheetId="32">_xlfn.LAMBDA("VEERG 2026: Table 1.3: Climate and Rainfall zone classifications and definitions")</definedName>
    <definedName name="Common_SourceData.Common_SourceData_RainfallZones_Source" localSheetId="29">_xlfn.LAMBDA("VEERG 2026: Table 1.3: Climate and Rainfall zone classifications and definitions")</definedName>
    <definedName name="Common_SourceData.Common_SourceData_RainfallZones_Source" localSheetId="30">_xlfn.LAMBDA("VEERG 2026: Table 1.3: Climate and Rainfall zone classifications and definitions")</definedName>
    <definedName name="Common_SourceData.Common_SourceData_RainfallZones_Source" localSheetId="31">_xlfn.LAMBDA("VEERG 2026: Table 1.3: Climate and Rainfall zone classifications and definitions")</definedName>
    <definedName name="Common_SourceData.Common_SourceData_RainfallZones_Source" localSheetId="28">_xlfn.LAMBDA("VEERG 2026: Table 1.3: Climate and Rainfall zone classifications and definitions")</definedName>
    <definedName name="Common_SourceData.Common_SourceData_RainfallZones_Source" localSheetId="26">_xlfn.LAMBDA("VEERG 2026: Table 1.3: Climate and Rainfall zone classifications and definitions")</definedName>
    <definedName name="Common_SourceData.Common_SourceData_RainfallZones_Source" localSheetId="9">_xlfn.LAMBDA("VEERG 2026: Table 1.3: Climate and Rainfall zone classifications and definitions")</definedName>
    <definedName name="Common_SourceData.Common_SourceData_RainfallZones_Source" localSheetId="7">_xlfn.LAMBDA("VEERG 2026: Table 1.3: Climate and Rainfall zone classifications and definitions")</definedName>
    <definedName name="Common_SourceData.Common_SourceData_RainfallZones_Source" localSheetId="8">_xlfn.LAMBDA("VEERG 2026: Table 1.3: Climate and Rainfall zone classifications and definitions")</definedName>
    <definedName name="Common_SourceData.Common_SourceData_RainfallZones_Source" localSheetId="6">_xlfn.LAMBDA("VEERG 2026: Table 1.3: Climate and Rainfall zone classifications and definitions")</definedName>
    <definedName name="Common_SourceData.Common_SourceData_RainfallZones_Source" localSheetId="4">_xlfn.LAMBDA("VEERG 2026: Table 1.3: Climate and Rainfall zone classifications and definitions")</definedName>
    <definedName name="Common_SourceData.Common_SourceData_RainfallZones_Source" localSheetId="3">_xlfn.LAMBDA("VEERG 2026: Table 1.3: Climate and Rainfall zone classifications and definitions")</definedName>
    <definedName name="Common_SourceData.Common_SourceData_RainfallZones_Source" localSheetId="34">_xlfn.LAMBDA("VEERG 2026: Table 1.3: Climate and Rainfall zone classifications and definitions")</definedName>
    <definedName name="Common_SourceData.Common_SourceData_RainfallZones_Source">_xlfn.LAMBDA("VEERG 2026: Table 1.3: Climate and Rainfall zone classifications and definitions")</definedName>
    <definedName name="Common_SourceData.Common_SourceData_RainfallZones_Title" localSheetId="25">_xlfn.LAMBDA("VEERG Australian rainfall zones")</definedName>
    <definedName name="Common_SourceData.Common_SourceData_RainfallZones_Title" localSheetId="10">_xlfn.LAMBDA("VEERG Australian rainfall zones")</definedName>
    <definedName name="Common_SourceData.Common_SourceData_RainfallZones_Title" localSheetId="11">_xlfn.LAMBDA("VEERG Australian rainfall zones")</definedName>
    <definedName name="Common_SourceData.Common_SourceData_RainfallZones_Title" localSheetId="12">_xlfn.LAMBDA("VEERG Australian rainfall zones")</definedName>
    <definedName name="Common_SourceData.Common_SourceData_RainfallZones_Title" localSheetId="13">_xlfn.LAMBDA("VEERG Australian rainfall zones")</definedName>
    <definedName name="Common_SourceData.Common_SourceData_RainfallZones_Title" localSheetId="14">_xlfn.LAMBDA("VEERG Australian rainfall zones")</definedName>
    <definedName name="Common_SourceData.Common_SourceData_RainfallZones_Title" localSheetId="15">_xlfn.LAMBDA("VEERG Australian rainfall zones")</definedName>
    <definedName name="Common_SourceData.Common_SourceData_RainfallZones_Title" localSheetId="16">_xlfn.LAMBDA("VEERG Australian rainfall zones")</definedName>
    <definedName name="Common_SourceData.Common_SourceData_RainfallZones_Title" localSheetId="17">_xlfn.LAMBDA("VEERG Australian rainfall zones")</definedName>
    <definedName name="Common_SourceData.Common_SourceData_RainfallZones_Title" localSheetId="18">_xlfn.LAMBDA("VEERG Australian rainfall zones")</definedName>
    <definedName name="Common_SourceData.Common_SourceData_RainfallZones_Title" localSheetId="19">_xlfn.LAMBDA("VEERG Australian rainfall zones")</definedName>
    <definedName name="Common_SourceData.Common_SourceData_RainfallZones_Title" localSheetId="20">_xlfn.LAMBDA("VEERG Australian rainfall zones")</definedName>
    <definedName name="Common_SourceData.Common_SourceData_RainfallZones_Title" localSheetId="21">_xlfn.LAMBDA("VEERG Australian rainfall zones")</definedName>
    <definedName name="Common_SourceData.Common_SourceData_RainfallZones_Title" localSheetId="22">_xlfn.LAMBDA("VEERG Australian rainfall zones")</definedName>
    <definedName name="Common_SourceData.Common_SourceData_RainfallZones_Title" localSheetId="23">_xlfn.LAMBDA("VEERG Australian rainfall zones")</definedName>
    <definedName name="Common_SourceData.Common_SourceData_RainfallZones_Title" localSheetId="24">_xlfn.LAMBDA("VEERG Australian rainfall zones")</definedName>
    <definedName name="Common_SourceData.Common_SourceData_RainfallZones_Title" localSheetId="33">_xlfn.LAMBDA("VEERG Australian rainfall zones")</definedName>
    <definedName name="Common_SourceData.Common_SourceData_RainfallZones_Title" localSheetId="27">_xlfn.LAMBDA("VEERG Australian rainfall zones")</definedName>
    <definedName name="Common_SourceData.Common_SourceData_RainfallZones_Title" localSheetId="32">_xlfn.LAMBDA("VEERG Australian rainfall zones")</definedName>
    <definedName name="Common_SourceData.Common_SourceData_RainfallZones_Title" localSheetId="29">_xlfn.LAMBDA("VEERG Australian rainfall zones")</definedName>
    <definedName name="Common_SourceData.Common_SourceData_RainfallZones_Title" localSheetId="30">_xlfn.LAMBDA("VEERG Australian rainfall zones")</definedName>
    <definedName name="Common_SourceData.Common_SourceData_RainfallZones_Title" localSheetId="31">_xlfn.LAMBDA("VEERG Australian rainfall zones")</definedName>
    <definedName name="Common_SourceData.Common_SourceData_RainfallZones_Title" localSheetId="28">_xlfn.LAMBDA("VEERG Australian rainfall zones")</definedName>
    <definedName name="Common_SourceData.Common_SourceData_RainfallZones_Title" localSheetId="26">_xlfn.LAMBDA("VEERG Australian rainfall zones")</definedName>
    <definedName name="Common_SourceData.Common_SourceData_RainfallZones_Title" localSheetId="9">_xlfn.LAMBDA("VEERG Australian rainfall zones")</definedName>
    <definedName name="Common_SourceData.Common_SourceData_RainfallZones_Title" localSheetId="7">_xlfn.LAMBDA("VEERG Australian rainfall zones")</definedName>
    <definedName name="Common_SourceData.Common_SourceData_RainfallZones_Title" localSheetId="8">_xlfn.LAMBDA("VEERG Australian rainfall zones")</definedName>
    <definedName name="Common_SourceData.Common_SourceData_RainfallZones_Title" localSheetId="6">_xlfn.LAMBDA("VEERG Australian rainfall zones")</definedName>
    <definedName name="Common_SourceData.Common_SourceData_RainfallZones_Title" localSheetId="4">_xlfn.LAMBDA("VEERG Australian rainfall zones")</definedName>
    <definedName name="Common_SourceData.Common_SourceData_RainfallZones_Title" localSheetId="3">_xlfn.LAMBDA("VEERG Australian rainfall zones")</definedName>
    <definedName name="Common_SourceData.Common_SourceData_RainfallZones_Title" localSheetId="34">_xlfn.LAMBDA("VEERG Australian rainfall zones")</definedName>
    <definedName name="Common_SourceData.Common_SourceData_RainfallZones_Title">_xlfn.LAMBDA("VEERG Australian rainfall zones")</definedName>
    <definedName name="Common_SourceData.Common_SourceData_RainfallZones_Unit" localSheetId="25">_xlfn.LAMBDA("")</definedName>
    <definedName name="Common_SourceData.Common_SourceData_RainfallZones_Unit" localSheetId="10">_xlfn.LAMBDA("")</definedName>
    <definedName name="Common_SourceData.Common_SourceData_RainfallZones_Unit" localSheetId="11">_xlfn.LAMBDA("")</definedName>
    <definedName name="Common_SourceData.Common_SourceData_RainfallZones_Unit" localSheetId="12">_xlfn.LAMBDA("")</definedName>
    <definedName name="Common_SourceData.Common_SourceData_RainfallZones_Unit" localSheetId="13">_xlfn.LAMBDA("")</definedName>
    <definedName name="Common_SourceData.Common_SourceData_RainfallZones_Unit" localSheetId="14">_xlfn.LAMBDA("")</definedName>
    <definedName name="Common_SourceData.Common_SourceData_RainfallZones_Unit" localSheetId="15">_xlfn.LAMBDA("")</definedName>
    <definedName name="Common_SourceData.Common_SourceData_RainfallZones_Unit" localSheetId="16">_xlfn.LAMBDA("")</definedName>
    <definedName name="Common_SourceData.Common_SourceData_RainfallZones_Unit" localSheetId="17">_xlfn.LAMBDA("")</definedName>
    <definedName name="Common_SourceData.Common_SourceData_RainfallZones_Unit" localSheetId="18">_xlfn.LAMBDA("")</definedName>
    <definedName name="Common_SourceData.Common_SourceData_RainfallZones_Unit" localSheetId="19">_xlfn.LAMBDA("")</definedName>
    <definedName name="Common_SourceData.Common_SourceData_RainfallZones_Unit" localSheetId="20">_xlfn.LAMBDA("")</definedName>
    <definedName name="Common_SourceData.Common_SourceData_RainfallZones_Unit" localSheetId="21">_xlfn.LAMBDA("")</definedName>
    <definedName name="Common_SourceData.Common_SourceData_RainfallZones_Unit" localSheetId="22">_xlfn.LAMBDA("")</definedName>
    <definedName name="Common_SourceData.Common_SourceData_RainfallZones_Unit" localSheetId="23">_xlfn.LAMBDA("")</definedName>
    <definedName name="Common_SourceData.Common_SourceData_RainfallZones_Unit" localSheetId="24">_xlfn.LAMBDA("")</definedName>
    <definedName name="Common_SourceData.Common_SourceData_RainfallZones_Unit" localSheetId="33">_xlfn.LAMBDA("")</definedName>
    <definedName name="Common_SourceData.Common_SourceData_RainfallZones_Unit" localSheetId="27">_xlfn.LAMBDA("")</definedName>
    <definedName name="Common_SourceData.Common_SourceData_RainfallZones_Unit" localSheetId="32">_xlfn.LAMBDA("")</definedName>
    <definedName name="Common_SourceData.Common_SourceData_RainfallZones_Unit" localSheetId="29">_xlfn.LAMBDA("")</definedName>
    <definedName name="Common_SourceData.Common_SourceData_RainfallZones_Unit" localSheetId="30">_xlfn.LAMBDA("")</definedName>
    <definedName name="Common_SourceData.Common_SourceData_RainfallZones_Unit" localSheetId="31">_xlfn.LAMBDA("")</definedName>
    <definedName name="Common_SourceData.Common_SourceData_RainfallZones_Unit" localSheetId="28">_xlfn.LAMBDA("")</definedName>
    <definedName name="Common_SourceData.Common_SourceData_RainfallZones_Unit" localSheetId="26">_xlfn.LAMBDA("")</definedName>
    <definedName name="Common_SourceData.Common_SourceData_RainfallZones_Unit" localSheetId="9">_xlfn.LAMBDA("")</definedName>
    <definedName name="Common_SourceData.Common_SourceData_RainfallZones_Unit" localSheetId="7">_xlfn.LAMBDA("")</definedName>
    <definedName name="Common_SourceData.Common_SourceData_RainfallZones_Unit" localSheetId="8">_xlfn.LAMBDA("")</definedName>
    <definedName name="Common_SourceData.Common_SourceData_RainfallZones_Unit" localSheetId="6">_xlfn.LAMBDA("")</definedName>
    <definedName name="Common_SourceData.Common_SourceData_RainfallZones_Unit" localSheetId="4">_xlfn.LAMBDA("")</definedName>
    <definedName name="Common_SourceData.Common_SourceData_RainfallZones_Unit" localSheetId="3">_xlfn.LAMBDA("")</definedName>
    <definedName name="Common_SourceData.Common_SourceData_RainfallZones_Unit" localSheetId="34">_xlfn.LAMBDA("")</definedName>
    <definedName name="Common_SourceData.Common_SourceData_RainfallZones_Unit">_xlfn.LAMBDA("")</definedName>
    <definedName name="Common_SourceData.Common_SourceData_RainfallZones_Variable" localSheetId="25">_xlfn.LAMBDA("")</definedName>
    <definedName name="Common_SourceData.Common_SourceData_RainfallZones_Variable" localSheetId="10">_xlfn.LAMBDA("")</definedName>
    <definedName name="Common_SourceData.Common_SourceData_RainfallZones_Variable" localSheetId="11">_xlfn.LAMBDA("")</definedName>
    <definedName name="Common_SourceData.Common_SourceData_RainfallZones_Variable" localSheetId="12">_xlfn.LAMBDA("")</definedName>
    <definedName name="Common_SourceData.Common_SourceData_RainfallZones_Variable" localSheetId="13">_xlfn.LAMBDA("")</definedName>
    <definedName name="Common_SourceData.Common_SourceData_RainfallZones_Variable" localSheetId="14">_xlfn.LAMBDA("")</definedName>
    <definedName name="Common_SourceData.Common_SourceData_RainfallZones_Variable" localSheetId="15">_xlfn.LAMBDA("")</definedName>
    <definedName name="Common_SourceData.Common_SourceData_RainfallZones_Variable" localSheetId="16">_xlfn.LAMBDA("")</definedName>
    <definedName name="Common_SourceData.Common_SourceData_RainfallZones_Variable" localSheetId="17">_xlfn.LAMBDA("")</definedName>
    <definedName name="Common_SourceData.Common_SourceData_RainfallZones_Variable" localSheetId="18">_xlfn.LAMBDA("")</definedName>
    <definedName name="Common_SourceData.Common_SourceData_RainfallZones_Variable" localSheetId="19">_xlfn.LAMBDA("")</definedName>
    <definedName name="Common_SourceData.Common_SourceData_RainfallZones_Variable" localSheetId="20">_xlfn.LAMBDA("")</definedName>
    <definedName name="Common_SourceData.Common_SourceData_RainfallZones_Variable" localSheetId="21">_xlfn.LAMBDA("")</definedName>
    <definedName name="Common_SourceData.Common_SourceData_RainfallZones_Variable" localSheetId="22">_xlfn.LAMBDA("")</definedName>
    <definedName name="Common_SourceData.Common_SourceData_RainfallZones_Variable" localSheetId="23">_xlfn.LAMBDA("")</definedName>
    <definedName name="Common_SourceData.Common_SourceData_RainfallZones_Variable" localSheetId="24">_xlfn.LAMBDA("")</definedName>
    <definedName name="Common_SourceData.Common_SourceData_RainfallZones_Variable" localSheetId="33">_xlfn.LAMBDA("")</definedName>
    <definedName name="Common_SourceData.Common_SourceData_RainfallZones_Variable" localSheetId="27">_xlfn.LAMBDA("")</definedName>
    <definedName name="Common_SourceData.Common_SourceData_RainfallZones_Variable" localSheetId="32">_xlfn.LAMBDA("")</definedName>
    <definedName name="Common_SourceData.Common_SourceData_RainfallZones_Variable" localSheetId="29">_xlfn.LAMBDA("")</definedName>
    <definedName name="Common_SourceData.Common_SourceData_RainfallZones_Variable" localSheetId="30">_xlfn.LAMBDA("")</definedName>
    <definedName name="Common_SourceData.Common_SourceData_RainfallZones_Variable" localSheetId="31">_xlfn.LAMBDA("")</definedName>
    <definedName name="Common_SourceData.Common_SourceData_RainfallZones_Variable" localSheetId="28">_xlfn.LAMBDA("")</definedName>
    <definedName name="Common_SourceData.Common_SourceData_RainfallZones_Variable" localSheetId="26">_xlfn.LAMBDA("")</definedName>
    <definedName name="Common_SourceData.Common_SourceData_RainfallZones_Variable" localSheetId="9">_xlfn.LAMBDA("")</definedName>
    <definedName name="Common_SourceData.Common_SourceData_RainfallZones_Variable" localSheetId="7">_xlfn.LAMBDA("")</definedName>
    <definedName name="Common_SourceData.Common_SourceData_RainfallZones_Variable" localSheetId="8">_xlfn.LAMBDA("")</definedName>
    <definedName name="Common_SourceData.Common_SourceData_RainfallZones_Variable" localSheetId="6">_xlfn.LAMBDA("")</definedName>
    <definedName name="Common_SourceData.Common_SourceData_RainfallZones_Variable" localSheetId="4">_xlfn.LAMBDA("")</definedName>
    <definedName name="Common_SourceData.Common_SourceData_RainfallZones_Variable" localSheetId="3">_xlfn.LAMBDA("")</definedName>
    <definedName name="Common_SourceData.Common_SourceData_RainfallZones_Variable" localSheetId="34">_xlfn.LAMBDA("")</definedName>
    <definedName name="Common_SourceData.Common_SourceData_RainfallZones_Variable">_xlfn.LAMBDA("")</definedName>
    <definedName name="Common_SourceData.Common_SourceData_RainfallZones_Variation" localSheetId="25">_xlfn.LAMBDA("VARIATION OF SOURCE DATA: Added extra Rainfall min and Rainfall max columns to calculate zone from real rainfall data.")</definedName>
    <definedName name="Common_SourceData.Common_SourceData_RainfallZones_Variation" localSheetId="10">_xlfn.LAMBDA("VARIATION OF SOURCE DATA: Added extra Rainfall min and Rainfall max columns to calculate zone from real rainfall data.")</definedName>
    <definedName name="Common_SourceData.Common_SourceData_RainfallZones_Variation" localSheetId="11">_xlfn.LAMBDA("VARIATION OF SOURCE DATA: Added extra Rainfall min and Rainfall max columns to calculate zone from real rainfall data.")</definedName>
    <definedName name="Common_SourceData.Common_SourceData_RainfallZones_Variation" localSheetId="12">_xlfn.LAMBDA("VARIATION OF SOURCE DATA: Added extra Rainfall min and Rainfall max columns to calculate zone from real rainfall data.")</definedName>
    <definedName name="Common_SourceData.Common_SourceData_RainfallZones_Variation" localSheetId="13">_xlfn.LAMBDA("VARIATION OF SOURCE DATA: Added extra Rainfall min and Rainfall max columns to calculate zone from real rainfall data.")</definedName>
    <definedName name="Common_SourceData.Common_SourceData_RainfallZones_Variation" localSheetId="14">_xlfn.LAMBDA("VARIATION OF SOURCE DATA: Added extra Rainfall min and Rainfall max columns to calculate zone from real rainfall data.")</definedName>
    <definedName name="Common_SourceData.Common_SourceData_RainfallZones_Variation" localSheetId="15">_xlfn.LAMBDA("VARIATION OF SOURCE DATA: Added extra Rainfall min and Rainfall max columns to calculate zone from real rainfall data.")</definedName>
    <definedName name="Common_SourceData.Common_SourceData_RainfallZones_Variation" localSheetId="16">_xlfn.LAMBDA("VARIATION OF SOURCE DATA: Added extra Rainfall min and Rainfall max columns to calculate zone from real rainfall data.")</definedName>
    <definedName name="Common_SourceData.Common_SourceData_RainfallZones_Variation" localSheetId="17">_xlfn.LAMBDA("VARIATION OF SOURCE DATA: Added extra Rainfall min and Rainfall max columns to calculate zone from real rainfall data.")</definedName>
    <definedName name="Common_SourceData.Common_SourceData_RainfallZones_Variation" localSheetId="18">_xlfn.LAMBDA("VARIATION OF SOURCE DATA: Added extra Rainfall min and Rainfall max columns to calculate zone from real rainfall data.")</definedName>
    <definedName name="Common_SourceData.Common_SourceData_RainfallZones_Variation" localSheetId="19">_xlfn.LAMBDA("VARIATION OF SOURCE DATA: Added extra Rainfall min and Rainfall max columns to calculate zone from real rainfall data.")</definedName>
    <definedName name="Common_SourceData.Common_SourceData_RainfallZones_Variation" localSheetId="20">_xlfn.LAMBDA("VARIATION OF SOURCE DATA: Added extra Rainfall min and Rainfall max columns to calculate zone from real rainfall data.")</definedName>
    <definedName name="Common_SourceData.Common_SourceData_RainfallZones_Variation" localSheetId="21">_xlfn.LAMBDA("VARIATION OF SOURCE DATA: Added extra Rainfall min and Rainfall max columns to calculate zone from real rainfall data.")</definedName>
    <definedName name="Common_SourceData.Common_SourceData_RainfallZones_Variation" localSheetId="22">_xlfn.LAMBDA("VARIATION OF SOURCE DATA: Added extra Rainfall min and Rainfall max columns to calculate zone from real rainfall data.")</definedName>
    <definedName name="Common_SourceData.Common_SourceData_RainfallZones_Variation" localSheetId="23">_xlfn.LAMBDA("VARIATION OF SOURCE DATA: Added extra Rainfall min and Rainfall max columns to calculate zone from real rainfall data.")</definedName>
    <definedName name="Common_SourceData.Common_SourceData_RainfallZones_Variation" localSheetId="24">_xlfn.LAMBDA("VARIATION OF SOURCE DATA: Added extra Rainfall min and Rainfall max columns to calculate zone from real rainfall data.")</definedName>
    <definedName name="Common_SourceData.Common_SourceData_RainfallZones_Variation" localSheetId="33">_xlfn.LAMBDA("VARIATION OF SOURCE DATA: Added extra Rainfall min and Rainfall max columns to calculate zone from real rainfall data.")</definedName>
    <definedName name="Common_SourceData.Common_SourceData_RainfallZones_Variation" localSheetId="27">_xlfn.LAMBDA("VARIATION OF SOURCE DATA: Added extra Rainfall min and Rainfall max columns to calculate zone from real rainfall data.")</definedName>
    <definedName name="Common_SourceData.Common_SourceData_RainfallZones_Variation" localSheetId="32">_xlfn.LAMBDA("VARIATION OF SOURCE DATA: Added extra Rainfall min and Rainfall max columns to calculate zone from real rainfall data.")</definedName>
    <definedName name="Common_SourceData.Common_SourceData_RainfallZones_Variation" localSheetId="29">_xlfn.LAMBDA("VARIATION OF SOURCE DATA: Added extra Rainfall min and Rainfall max columns to calculate zone from real rainfall data.")</definedName>
    <definedName name="Common_SourceData.Common_SourceData_RainfallZones_Variation" localSheetId="30">_xlfn.LAMBDA("VARIATION OF SOURCE DATA: Added extra Rainfall min and Rainfall max columns to calculate zone from real rainfall data.")</definedName>
    <definedName name="Common_SourceData.Common_SourceData_RainfallZones_Variation" localSheetId="31">_xlfn.LAMBDA("VARIATION OF SOURCE DATA: Added extra Rainfall min and Rainfall max columns to calculate zone from real rainfall data.")</definedName>
    <definedName name="Common_SourceData.Common_SourceData_RainfallZones_Variation" localSheetId="28">_xlfn.LAMBDA("VARIATION OF SOURCE DATA: Added extra Rainfall min and Rainfall max columns to calculate zone from real rainfall data.")</definedName>
    <definedName name="Common_SourceData.Common_SourceData_RainfallZones_Variation" localSheetId="26">_xlfn.LAMBDA("VARIATION OF SOURCE DATA: Added extra Rainfall min and Rainfall max columns to calculate zone from real rainfall data.")</definedName>
    <definedName name="Common_SourceData.Common_SourceData_RainfallZones_Variation" localSheetId="9">_xlfn.LAMBDA("VARIATION OF SOURCE DATA: Added extra Rainfall min and Rainfall max columns to calculate zone from real rainfall data.")</definedName>
    <definedName name="Common_SourceData.Common_SourceData_RainfallZones_Variation" localSheetId="7">_xlfn.LAMBDA("VARIATION OF SOURCE DATA: Added extra Rainfall min and Rainfall max columns to calculate zone from real rainfall data.")</definedName>
    <definedName name="Common_SourceData.Common_SourceData_RainfallZones_Variation" localSheetId="8">_xlfn.LAMBDA("VARIATION OF SOURCE DATA: Added extra Rainfall min and Rainfall max columns to calculate zone from real rainfall data.")</definedName>
    <definedName name="Common_SourceData.Common_SourceData_RainfallZones_Variation" localSheetId="6">_xlfn.LAMBDA("VARIATION OF SOURCE DATA: Added extra Rainfall min and Rainfall max columns to calculate zone from real rainfall data.")</definedName>
    <definedName name="Common_SourceData.Common_SourceData_RainfallZones_Variation" localSheetId="4">_xlfn.LAMBDA("VARIATION OF SOURCE DATA: Added extra Rainfall min and Rainfall max columns to calculate zone from real rainfall data.")</definedName>
    <definedName name="Common_SourceData.Common_SourceData_RainfallZones_Variation" localSheetId="3">_xlfn.LAMBDA("VARIATION OF SOURCE DATA: Added extra Rainfall min and Rainfall max columns to calculate zone from real rainfall data.")</definedName>
    <definedName name="Common_SourceData.Common_SourceData_RainfallZones_Variation" localSheetId="34">_xlfn.LAMBDA("VARIATION OF SOURCE DATA: Added extra Rainfall min and Rainfall max columns to calculate zone from real rainfall data.")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2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5">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1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2">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0">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1">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2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9">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7">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8">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3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 localSheetId="25">_xlfn.LAMBDA("VEERG 2026: Table 1.3: Climate and Rainfall zone classifications and definitions")</definedName>
    <definedName name="Common_SourceData.Common_SourceData_TemperatureZones_Source" localSheetId="10">_xlfn.LAMBDA("VEERG 2026: Table 1.3: Climate and Rainfall zone classifications and definitions")</definedName>
    <definedName name="Common_SourceData.Common_SourceData_TemperatureZones_Source" localSheetId="11">_xlfn.LAMBDA("VEERG 2026: Table 1.3: Climate and Rainfall zone classifications and definitions")</definedName>
    <definedName name="Common_SourceData.Common_SourceData_TemperatureZones_Source" localSheetId="12">_xlfn.LAMBDA("VEERG 2026: Table 1.3: Climate and Rainfall zone classifications and definitions")</definedName>
    <definedName name="Common_SourceData.Common_SourceData_TemperatureZones_Source" localSheetId="13">_xlfn.LAMBDA("VEERG 2026: Table 1.3: Climate and Rainfall zone classifications and definitions")</definedName>
    <definedName name="Common_SourceData.Common_SourceData_TemperatureZones_Source" localSheetId="14">_xlfn.LAMBDA("VEERG 2026: Table 1.3: Climate and Rainfall zone classifications and definitions")</definedName>
    <definedName name="Common_SourceData.Common_SourceData_TemperatureZones_Source" localSheetId="15">_xlfn.LAMBDA("VEERG 2026: Table 1.3: Climate and Rainfall zone classifications and definitions")</definedName>
    <definedName name="Common_SourceData.Common_SourceData_TemperatureZones_Source" localSheetId="16">_xlfn.LAMBDA("VEERG 2026: Table 1.3: Climate and Rainfall zone classifications and definitions")</definedName>
    <definedName name="Common_SourceData.Common_SourceData_TemperatureZones_Source" localSheetId="17">_xlfn.LAMBDA("VEERG 2026: Table 1.3: Climate and Rainfall zone classifications and definitions")</definedName>
    <definedName name="Common_SourceData.Common_SourceData_TemperatureZones_Source" localSheetId="18">_xlfn.LAMBDA("VEERG 2026: Table 1.3: Climate and Rainfall zone classifications and definitions")</definedName>
    <definedName name="Common_SourceData.Common_SourceData_TemperatureZones_Source" localSheetId="19">_xlfn.LAMBDA("VEERG 2026: Table 1.3: Climate and Rainfall zone classifications and definitions")</definedName>
    <definedName name="Common_SourceData.Common_SourceData_TemperatureZones_Source" localSheetId="20">_xlfn.LAMBDA("VEERG 2026: Table 1.3: Climate and Rainfall zone classifications and definitions")</definedName>
    <definedName name="Common_SourceData.Common_SourceData_TemperatureZones_Source" localSheetId="21">_xlfn.LAMBDA("VEERG 2026: Table 1.3: Climate and Rainfall zone classifications and definitions")</definedName>
    <definedName name="Common_SourceData.Common_SourceData_TemperatureZones_Source" localSheetId="22">_xlfn.LAMBDA("VEERG 2026: Table 1.3: Climate and Rainfall zone classifications and definitions")</definedName>
    <definedName name="Common_SourceData.Common_SourceData_TemperatureZones_Source" localSheetId="23">_xlfn.LAMBDA("VEERG 2026: Table 1.3: Climate and Rainfall zone classifications and definitions")</definedName>
    <definedName name="Common_SourceData.Common_SourceData_TemperatureZones_Source" localSheetId="24">_xlfn.LAMBDA("VEERG 2026: Table 1.3: Climate and Rainfall zone classifications and definitions")</definedName>
    <definedName name="Common_SourceData.Common_SourceData_TemperatureZones_Source" localSheetId="33">_xlfn.LAMBDA("VEERG 2026: Table 1.3: Climate and Rainfall zone classifications and definitions")</definedName>
    <definedName name="Common_SourceData.Common_SourceData_TemperatureZones_Source" localSheetId="27">_xlfn.LAMBDA("VEERG 2026: Table 1.3: Climate and Rainfall zone classifications and definitions")</definedName>
    <definedName name="Common_SourceData.Common_SourceData_TemperatureZones_Source" localSheetId="32">_xlfn.LAMBDA("VEERG 2026: Table 1.3: Climate and Rainfall zone classifications and definitions")</definedName>
    <definedName name="Common_SourceData.Common_SourceData_TemperatureZones_Source" localSheetId="29">_xlfn.LAMBDA("VEERG 2026: Table 1.3: Climate and Rainfall zone classifications and definitions")</definedName>
    <definedName name="Common_SourceData.Common_SourceData_TemperatureZones_Source" localSheetId="30">_xlfn.LAMBDA("VEERG 2026: Table 1.3: Climate and Rainfall zone classifications and definitions")</definedName>
    <definedName name="Common_SourceData.Common_SourceData_TemperatureZones_Source" localSheetId="31">_xlfn.LAMBDA("VEERG 2026: Table 1.3: Climate and Rainfall zone classifications and definitions")</definedName>
    <definedName name="Common_SourceData.Common_SourceData_TemperatureZones_Source" localSheetId="28">_xlfn.LAMBDA("VEERG 2026: Table 1.3: Climate and Rainfall zone classifications and definitions")</definedName>
    <definedName name="Common_SourceData.Common_SourceData_TemperatureZones_Source" localSheetId="26">_xlfn.LAMBDA("VEERG 2026: Table 1.3: Climate and Rainfall zone classifications and definitions")</definedName>
    <definedName name="Common_SourceData.Common_SourceData_TemperatureZones_Source" localSheetId="9">_xlfn.LAMBDA("VEERG 2026: Table 1.3: Climate and Rainfall zone classifications and definitions")</definedName>
    <definedName name="Common_SourceData.Common_SourceData_TemperatureZones_Source" localSheetId="7">_xlfn.LAMBDA("VEERG 2026: Table 1.3: Climate and Rainfall zone classifications and definitions")</definedName>
    <definedName name="Common_SourceData.Common_SourceData_TemperatureZones_Source" localSheetId="8">_xlfn.LAMBDA("VEERG 2026: Table 1.3: Climate and Rainfall zone classifications and definitions")</definedName>
    <definedName name="Common_SourceData.Common_SourceData_TemperatureZones_Source" localSheetId="6">_xlfn.LAMBDA("VEERG 2026: Table 1.3: Climate and Rainfall zone classifications and definitions")</definedName>
    <definedName name="Common_SourceData.Common_SourceData_TemperatureZones_Source" localSheetId="4">_xlfn.LAMBDA("VEERG 2026: Table 1.3: Climate and Rainfall zone classifications and definitions")</definedName>
    <definedName name="Common_SourceData.Common_SourceData_TemperatureZones_Source" localSheetId="3">_xlfn.LAMBDA("VEERG 2026: Table 1.3: Climate and Rainfall zone classifications and definitions")</definedName>
    <definedName name="Common_SourceData.Common_SourceData_TemperatureZones_Source" localSheetId="34">_xlfn.LAMBDA("VEERG 2026: Table 1.3: Climate and Rainfall zone classifications and definitions")</definedName>
    <definedName name="Common_SourceData.Common_SourceData_TemperatureZones_Source">_xlfn.LAMBDA("VEERG 2026: Table 1.3: Climate and Rainfall zone classifications and definitions")</definedName>
    <definedName name="Common_SourceData.Common_SourceData_TemperatureZones_Title" localSheetId="25">_xlfn.LAMBDA("VEERG Australian temperature zones")</definedName>
    <definedName name="Common_SourceData.Common_SourceData_TemperatureZones_Title" localSheetId="10">_xlfn.LAMBDA("VEERG Australian temperature zones")</definedName>
    <definedName name="Common_SourceData.Common_SourceData_TemperatureZones_Title" localSheetId="11">_xlfn.LAMBDA("VEERG Australian temperature zones")</definedName>
    <definedName name="Common_SourceData.Common_SourceData_TemperatureZones_Title" localSheetId="12">_xlfn.LAMBDA("VEERG Australian temperature zones")</definedName>
    <definedName name="Common_SourceData.Common_SourceData_TemperatureZones_Title" localSheetId="13">_xlfn.LAMBDA("VEERG Australian temperature zones")</definedName>
    <definedName name="Common_SourceData.Common_SourceData_TemperatureZones_Title" localSheetId="14">_xlfn.LAMBDA("VEERG Australian temperature zones")</definedName>
    <definedName name="Common_SourceData.Common_SourceData_TemperatureZones_Title" localSheetId="15">_xlfn.LAMBDA("VEERG Australian temperature zones")</definedName>
    <definedName name="Common_SourceData.Common_SourceData_TemperatureZones_Title" localSheetId="16">_xlfn.LAMBDA("VEERG Australian temperature zones")</definedName>
    <definedName name="Common_SourceData.Common_SourceData_TemperatureZones_Title" localSheetId="17">_xlfn.LAMBDA("VEERG Australian temperature zones")</definedName>
    <definedName name="Common_SourceData.Common_SourceData_TemperatureZones_Title" localSheetId="18">_xlfn.LAMBDA("VEERG Australian temperature zones")</definedName>
    <definedName name="Common_SourceData.Common_SourceData_TemperatureZones_Title" localSheetId="19">_xlfn.LAMBDA("VEERG Australian temperature zones")</definedName>
    <definedName name="Common_SourceData.Common_SourceData_TemperatureZones_Title" localSheetId="20">_xlfn.LAMBDA("VEERG Australian temperature zones")</definedName>
    <definedName name="Common_SourceData.Common_SourceData_TemperatureZones_Title" localSheetId="21">_xlfn.LAMBDA("VEERG Australian temperature zones")</definedName>
    <definedName name="Common_SourceData.Common_SourceData_TemperatureZones_Title" localSheetId="22">_xlfn.LAMBDA("VEERG Australian temperature zones")</definedName>
    <definedName name="Common_SourceData.Common_SourceData_TemperatureZones_Title" localSheetId="23">_xlfn.LAMBDA("VEERG Australian temperature zones")</definedName>
    <definedName name="Common_SourceData.Common_SourceData_TemperatureZones_Title" localSheetId="24">_xlfn.LAMBDA("VEERG Australian temperature zones")</definedName>
    <definedName name="Common_SourceData.Common_SourceData_TemperatureZones_Title" localSheetId="33">_xlfn.LAMBDA("VEERG Australian temperature zones")</definedName>
    <definedName name="Common_SourceData.Common_SourceData_TemperatureZones_Title" localSheetId="27">_xlfn.LAMBDA("VEERG Australian temperature zones")</definedName>
    <definedName name="Common_SourceData.Common_SourceData_TemperatureZones_Title" localSheetId="32">_xlfn.LAMBDA("VEERG Australian temperature zones")</definedName>
    <definedName name="Common_SourceData.Common_SourceData_TemperatureZones_Title" localSheetId="29">_xlfn.LAMBDA("VEERG Australian temperature zones")</definedName>
    <definedName name="Common_SourceData.Common_SourceData_TemperatureZones_Title" localSheetId="30">_xlfn.LAMBDA("VEERG Australian temperature zones")</definedName>
    <definedName name="Common_SourceData.Common_SourceData_TemperatureZones_Title" localSheetId="31">_xlfn.LAMBDA("VEERG Australian temperature zones")</definedName>
    <definedName name="Common_SourceData.Common_SourceData_TemperatureZones_Title" localSheetId="28">_xlfn.LAMBDA("VEERG Australian temperature zones")</definedName>
    <definedName name="Common_SourceData.Common_SourceData_TemperatureZones_Title" localSheetId="26">_xlfn.LAMBDA("VEERG Australian temperature zones")</definedName>
    <definedName name="Common_SourceData.Common_SourceData_TemperatureZones_Title" localSheetId="9">_xlfn.LAMBDA("VEERG Australian temperature zones")</definedName>
    <definedName name="Common_SourceData.Common_SourceData_TemperatureZones_Title" localSheetId="7">_xlfn.LAMBDA("VEERG Australian temperature zones")</definedName>
    <definedName name="Common_SourceData.Common_SourceData_TemperatureZones_Title" localSheetId="8">_xlfn.LAMBDA("VEERG Australian temperature zones")</definedName>
    <definedName name="Common_SourceData.Common_SourceData_TemperatureZones_Title" localSheetId="6">_xlfn.LAMBDA("VEERG Australian temperature zones")</definedName>
    <definedName name="Common_SourceData.Common_SourceData_TemperatureZones_Title" localSheetId="4">_xlfn.LAMBDA("VEERG Australian temperature zones")</definedName>
    <definedName name="Common_SourceData.Common_SourceData_TemperatureZones_Title" localSheetId="3">_xlfn.LAMBDA("VEERG Australian temperature zones")</definedName>
    <definedName name="Common_SourceData.Common_SourceData_TemperatureZones_Title" localSheetId="34">_xlfn.LAMBDA("VEERG Australian temperature zones")</definedName>
    <definedName name="Common_SourceData.Common_SourceData_TemperatureZones_Title">_xlfn.LAMBDA("VEERG Australian temperature zones")</definedName>
    <definedName name="Common_SourceData.Common_SourceData_TemperatureZones_Unit" localSheetId="25">_xlfn.LAMBDA("")</definedName>
    <definedName name="Common_SourceData.Common_SourceData_TemperatureZones_Unit" localSheetId="10">_xlfn.LAMBDA("")</definedName>
    <definedName name="Common_SourceData.Common_SourceData_TemperatureZones_Unit" localSheetId="11">_xlfn.LAMBDA("")</definedName>
    <definedName name="Common_SourceData.Common_SourceData_TemperatureZones_Unit" localSheetId="12">_xlfn.LAMBDA("")</definedName>
    <definedName name="Common_SourceData.Common_SourceData_TemperatureZones_Unit" localSheetId="13">_xlfn.LAMBDA("")</definedName>
    <definedName name="Common_SourceData.Common_SourceData_TemperatureZones_Unit" localSheetId="14">_xlfn.LAMBDA("")</definedName>
    <definedName name="Common_SourceData.Common_SourceData_TemperatureZones_Unit" localSheetId="15">_xlfn.LAMBDA("")</definedName>
    <definedName name="Common_SourceData.Common_SourceData_TemperatureZones_Unit" localSheetId="16">_xlfn.LAMBDA("")</definedName>
    <definedName name="Common_SourceData.Common_SourceData_TemperatureZones_Unit" localSheetId="17">_xlfn.LAMBDA("")</definedName>
    <definedName name="Common_SourceData.Common_SourceData_TemperatureZones_Unit" localSheetId="18">_xlfn.LAMBDA("")</definedName>
    <definedName name="Common_SourceData.Common_SourceData_TemperatureZones_Unit" localSheetId="19">_xlfn.LAMBDA("")</definedName>
    <definedName name="Common_SourceData.Common_SourceData_TemperatureZones_Unit" localSheetId="20">_xlfn.LAMBDA("")</definedName>
    <definedName name="Common_SourceData.Common_SourceData_TemperatureZones_Unit" localSheetId="21">_xlfn.LAMBDA("")</definedName>
    <definedName name="Common_SourceData.Common_SourceData_TemperatureZones_Unit" localSheetId="22">_xlfn.LAMBDA("")</definedName>
    <definedName name="Common_SourceData.Common_SourceData_TemperatureZones_Unit" localSheetId="23">_xlfn.LAMBDA("")</definedName>
    <definedName name="Common_SourceData.Common_SourceData_TemperatureZones_Unit" localSheetId="24">_xlfn.LAMBDA("")</definedName>
    <definedName name="Common_SourceData.Common_SourceData_TemperatureZones_Unit" localSheetId="33">_xlfn.LAMBDA("")</definedName>
    <definedName name="Common_SourceData.Common_SourceData_TemperatureZones_Unit" localSheetId="27">_xlfn.LAMBDA("")</definedName>
    <definedName name="Common_SourceData.Common_SourceData_TemperatureZones_Unit" localSheetId="32">_xlfn.LAMBDA("")</definedName>
    <definedName name="Common_SourceData.Common_SourceData_TemperatureZones_Unit" localSheetId="29">_xlfn.LAMBDA("")</definedName>
    <definedName name="Common_SourceData.Common_SourceData_TemperatureZones_Unit" localSheetId="30">_xlfn.LAMBDA("")</definedName>
    <definedName name="Common_SourceData.Common_SourceData_TemperatureZones_Unit" localSheetId="31">_xlfn.LAMBDA("")</definedName>
    <definedName name="Common_SourceData.Common_SourceData_TemperatureZones_Unit" localSheetId="28">_xlfn.LAMBDA("")</definedName>
    <definedName name="Common_SourceData.Common_SourceData_TemperatureZones_Unit" localSheetId="26">_xlfn.LAMBDA("")</definedName>
    <definedName name="Common_SourceData.Common_SourceData_TemperatureZones_Unit" localSheetId="9">_xlfn.LAMBDA("")</definedName>
    <definedName name="Common_SourceData.Common_SourceData_TemperatureZones_Unit" localSheetId="7">_xlfn.LAMBDA("")</definedName>
    <definedName name="Common_SourceData.Common_SourceData_TemperatureZones_Unit" localSheetId="8">_xlfn.LAMBDA("")</definedName>
    <definedName name="Common_SourceData.Common_SourceData_TemperatureZones_Unit" localSheetId="6">_xlfn.LAMBDA("")</definedName>
    <definedName name="Common_SourceData.Common_SourceData_TemperatureZones_Unit" localSheetId="4">_xlfn.LAMBDA("")</definedName>
    <definedName name="Common_SourceData.Common_SourceData_TemperatureZones_Unit" localSheetId="3">_xlfn.LAMBDA("")</definedName>
    <definedName name="Common_SourceData.Common_SourceData_TemperatureZones_Unit" localSheetId="34">_xlfn.LAMBDA("")</definedName>
    <definedName name="Common_SourceData.Common_SourceData_TemperatureZones_Unit">_xlfn.LAMBDA("")</definedName>
    <definedName name="Common_SourceData.Common_SourceData_TemperatureZones_Variable" localSheetId="25">_xlfn.LAMBDA("")</definedName>
    <definedName name="Common_SourceData.Common_SourceData_TemperatureZones_Variable" localSheetId="10">_xlfn.LAMBDA("")</definedName>
    <definedName name="Common_SourceData.Common_SourceData_TemperatureZones_Variable" localSheetId="11">_xlfn.LAMBDA("")</definedName>
    <definedName name="Common_SourceData.Common_SourceData_TemperatureZones_Variable" localSheetId="12">_xlfn.LAMBDA("")</definedName>
    <definedName name="Common_SourceData.Common_SourceData_TemperatureZones_Variable" localSheetId="13">_xlfn.LAMBDA("")</definedName>
    <definedName name="Common_SourceData.Common_SourceData_TemperatureZones_Variable" localSheetId="14">_xlfn.LAMBDA("")</definedName>
    <definedName name="Common_SourceData.Common_SourceData_TemperatureZones_Variable" localSheetId="15">_xlfn.LAMBDA("")</definedName>
    <definedName name="Common_SourceData.Common_SourceData_TemperatureZones_Variable" localSheetId="16">_xlfn.LAMBDA("")</definedName>
    <definedName name="Common_SourceData.Common_SourceData_TemperatureZones_Variable" localSheetId="17">_xlfn.LAMBDA("")</definedName>
    <definedName name="Common_SourceData.Common_SourceData_TemperatureZones_Variable" localSheetId="18">_xlfn.LAMBDA("")</definedName>
    <definedName name="Common_SourceData.Common_SourceData_TemperatureZones_Variable" localSheetId="19">_xlfn.LAMBDA("")</definedName>
    <definedName name="Common_SourceData.Common_SourceData_TemperatureZones_Variable" localSheetId="20">_xlfn.LAMBDA("")</definedName>
    <definedName name="Common_SourceData.Common_SourceData_TemperatureZones_Variable" localSheetId="21">_xlfn.LAMBDA("")</definedName>
    <definedName name="Common_SourceData.Common_SourceData_TemperatureZones_Variable" localSheetId="22">_xlfn.LAMBDA("")</definedName>
    <definedName name="Common_SourceData.Common_SourceData_TemperatureZones_Variable" localSheetId="23">_xlfn.LAMBDA("")</definedName>
    <definedName name="Common_SourceData.Common_SourceData_TemperatureZones_Variable" localSheetId="24">_xlfn.LAMBDA("")</definedName>
    <definedName name="Common_SourceData.Common_SourceData_TemperatureZones_Variable" localSheetId="33">_xlfn.LAMBDA("")</definedName>
    <definedName name="Common_SourceData.Common_SourceData_TemperatureZones_Variable" localSheetId="27">_xlfn.LAMBDA("")</definedName>
    <definedName name="Common_SourceData.Common_SourceData_TemperatureZones_Variable" localSheetId="32">_xlfn.LAMBDA("")</definedName>
    <definedName name="Common_SourceData.Common_SourceData_TemperatureZones_Variable" localSheetId="29">_xlfn.LAMBDA("")</definedName>
    <definedName name="Common_SourceData.Common_SourceData_TemperatureZones_Variable" localSheetId="30">_xlfn.LAMBDA("")</definedName>
    <definedName name="Common_SourceData.Common_SourceData_TemperatureZones_Variable" localSheetId="31">_xlfn.LAMBDA("")</definedName>
    <definedName name="Common_SourceData.Common_SourceData_TemperatureZones_Variable" localSheetId="28">_xlfn.LAMBDA("")</definedName>
    <definedName name="Common_SourceData.Common_SourceData_TemperatureZones_Variable" localSheetId="26">_xlfn.LAMBDA("")</definedName>
    <definedName name="Common_SourceData.Common_SourceData_TemperatureZones_Variable" localSheetId="9">_xlfn.LAMBDA("")</definedName>
    <definedName name="Common_SourceData.Common_SourceData_TemperatureZones_Variable" localSheetId="7">_xlfn.LAMBDA("")</definedName>
    <definedName name="Common_SourceData.Common_SourceData_TemperatureZones_Variable" localSheetId="8">_xlfn.LAMBDA("")</definedName>
    <definedName name="Common_SourceData.Common_SourceData_TemperatureZones_Variable" localSheetId="6">_xlfn.LAMBDA("")</definedName>
    <definedName name="Common_SourceData.Common_SourceData_TemperatureZones_Variable" localSheetId="4">_xlfn.LAMBDA("")</definedName>
    <definedName name="Common_SourceData.Common_SourceData_TemperatureZones_Variable" localSheetId="3">_xlfn.LAMBDA("")</definedName>
    <definedName name="Common_SourceData.Common_SourceData_TemperatureZones_Variable" localSheetId="34">_xlfn.LAMBDA("")</definedName>
    <definedName name="Common_SourceData.Common_SourceData_TemperatureZones_Variable">_xlfn.LAMBDA("")</definedName>
    <definedName name="Common_SourceData.Common_SourceData_TemperatureZones_Variation" localSheetId="25">_xlfn.LAMBDA("VARIATION OF SOURCE DATA: Added extra MAT min and MAT max columns to calculate zone from real temperature data.")</definedName>
    <definedName name="Common_SourceData.Common_SourceData_TemperatureZones_Variation" localSheetId="10">_xlfn.LAMBDA("VARIATION OF SOURCE DATA: Added extra MAT min and MAT max columns to calculate zone from real temperature data.")</definedName>
    <definedName name="Common_SourceData.Common_SourceData_TemperatureZones_Variation" localSheetId="11">_xlfn.LAMBDA("VARIATION OF SOURCE DATA: Added extra MAT min and MAT max columns to calculate zone from real temperature data.")</definedName>
    <definedName name="Common_SourceData.Common_SourceData_TemperatureZones_Variation" localSheetId="12">_xlfn.LAMBDA("VARIATION OF SOURCE DATA: Added extra MAT min and MAT max columns to calculate zone from real temperature data.")</definedName>
    <definedName name="Common_SourceData.Common_SourceData_TemperatureZones_Variation" localSheetId="13">_xlfn.LAMBDA("VARIATION OF SOURCE DATA: Added extra MAT min and MAT max columns to calculate zone from real temperature data.")</definedName>
    <definedName name="Common_SourceData.Common_SourceData_TemperatureZones_Variation" localSheetId="14">_xlfn.LAMBDA("VARIATION OF SOURCE DATA: Added extra MAT min and MAT max columns to calculate zone from real temperature data.")</definedName>
    <definedName name="Common_SourceData.Common_SourceData_TemperatureZones_Variation" localSheetId="15">_xlfn.LAMBDA("VARIATION OF SOURCE DATA: Added extra MAT min and MAT max columns to calculate zone from real temperature data.")</definedName>
    <definedName name="Common_SourceData.Common_SourceData_TemperatureZones_Variation" localSheetId="16">_xlfn.LAMBDA("VARIATION OF SOURCE DATA: Added extra MAT min and MAT max columns to calculate zone from real temperature data.")</definedName>
    <definedName name="Common_SourceData.Common_SourceData_TemperatureZones_Variation" localSheetId="17">_xlfn.LAMBDA("VARIATION OF SOURCE DATA: Added extra MAT min and MAT max columns to calculate zone from real temperature data.")</definedName>
    <definedName name="Common_SourceData.Common_SourceData_TemperatureZones_Variation" localSheetId="18">_xlfn.LAMBDA("VARIATION OF SOURCE DATA: Added extra MAT min and MAT max columns to calculate zone from real temperature data.")</definedName>
    <definedName name="Common_SourceData.Common_SourceData_TemperatureZones_Variation" localSheetId="19">_xlfn.LAMBDA("VARIATION OF SOURCE DATA: Added extra MAT min and MAT max columns to calculate zone from real temperature data.")</definedName>
    <definedName name="Common_SourceData.Common_SourceData_TemperatureZones_Variation" localSheetId="20">_xlfn.LAMBDA("VARIATION OF SOURCE DATA: Added extra MAT min and MAT max columns to calculate zone from real temperature data.")</definedName>
    <definedName name="Common_SourceData.Common_SourceData_TemperatureZones_Variation" localSheetId="21">_xlfn.LAMBDA("VARIATION OF SOURCE DATA: Added extra MAT min and MAT max columns to calculate zone from real temperature data.")</definedName>
    <definedName name="Common_SourceData.Common_SourceData_TemperatureZones_Variation" localSheetId="22">_xlfn.LAMBDA("VARIATION OF SOURCE DATA: Added extra MAT min and MAT max columns to calculate zone from real temperature data.")</definedName>
    <definedName name="Common_SourceData.Common_SourceData_TemperatureZones_Variation" localSheetId="23">_xlfn.LAMBDA("VARIATION OF SOURCE DATA: Added extra MAT min and MAT max columns to calculate zone from real temperature data.")</definedName>
    <definedName name="Common_SourceData.Common_SourceData_TemperatureZones_Variation" localSheetId="24">_xlfn.LAMBDA("VARIATION OF SOURCE DATA: Added extra MAT min and MAT max columns to calculate zone from real temperature data.")</definedName>
    <definedName name="Common_SourceData.Common_SourceData_TemperatureZones_Variation" localSheetId="33">_xlfn.LAMBDA("VARIATION OF SOURCE DATA: Added extra MAT min and MAT max columns to calculate zone from real temperature data.")</definedName>
    <definedName name="Common_SourceData.Common_SourceData_TemperatureZones_Variation" localSheetId="27">_xlfn.LAMBDA("VARIATION OF SOURCE DATA: Added extra MAT min and MAT max columns to calculate zone from real temperature data.")</definedName>
    <definedName name="Common_SourceData.Common_SourceData_TemperatureZones_Variation" localSheetId="32">_xlfn.LAMBDA("VARIATION OF SOURCE DATA: Added extra MAT min and MAT max columns to calculate zone from real temperature data.")</definedName>
    <definedName name="Common_SourceData.Common_SourceData_TemperatureZones_Variation" localSheetId="29">_xlfn.LAMBDA("VARIATION OF SOURCE DATA: Added extra MAT min and MAT max columns to calculate zone from real temperature data.")</definedName>
    <definedName name="Common_SourceData.Common_SourceData_TemperatureZones_Variation" localSheetId="30">_xlfn.LAMBDA("VARIATION OF SOURCE DATA: Added extra MAT min and MAT max columns to calculate zone from real temperature data.")</definedName>
    <definedName name="Common_SourceData.Common_SourceData_TemperatureZones_Variation" localSheetId="31">_xlfn.LAMBDA("VARIATION OF SOURCE DATA: Added extra MAT min and MAT max columns to calculate zone from real temperature data.")</definedName>
    <definedName name="Common_SourceData.Common_SourceData_TemperatureZones_Variation" localSheetId="28">_xlfn.LAMBDA("VARIATION OF SOURCE DATA: Added extra MAT min and MAT max columns to calculate zone from real temperature data.")</definedName>
    <definedName name="Common_SourceData.Common_SourceData_TemperatureZones_Variation" localSheetId="26">_xlfn.LAMBDA("VARIATION OF SOURCE DATA: Added extra MAT min and MAT max columns to calculate zone from real temperature data.")</definedName>
    <definedName name="Common_SourceData.Common_SourceData_TemperatureZones_Variation" localSheetId="9">_xlfn.LAMBDA("VARIATION OF SOURCE DATA: Added extra MAT min and MAT max columns to calculate zone from real temperature data.")</definedName>
    <definedName name="Common_SourceData.Common_SourceData_TemperatureZones_Variation" localSheetId="7">_xlfn.LAMBDA("VARIATION OF SOURCE DATA: Added extra MAT min and MAT max columns to calculate zone from real temperature data.")</definedName>
    <definedName name="Common_SourceData.Common_SourceData_TemperatureZones_Variation" localSheetId="8">_xlfn.LAMBDA("VARIATION OF SOURCE DATA: Added extra MAT min and MAT max columns to calculate zone from real temperature data.")</definedName>
    <definedName name="Common_SourceData.Common_SourceData_TemperatureZones_Variation" localSheetId="6">_xlfn.LAMBDA("VARIATION OF SOURCE DATA: Added extra MAT min and MAT max columns to calculate zone from real temperature data.")</definedName>
    <definedName name="Common_SourceData.Common_SourceData_TemperatureZones_Variation" localSheetId="4">_xlfn.LAMBDA("VARIATION OF SOURCE DATA: Added extra MAT min and MAT max columns to calculate zone from real temperature data.")</definedName>
    <definedName name="Common_SourceData.Common_SourceData_TemperatureZones_Variation" localSheetId="3">_xlfn.LAMBDA("VARIATION OF SOURCE DATA: Added extra MAT min and MAT max columns to calculate zone from real temperature data.")</definedName>
    <definedName name="Common_SourceData.Common_SourceData_TemperatureZones_Variation" localSheetId="34">_xlfn.LAMBDA("VARIATION OF SOURCE DATA: Added extra MAT min and MAT max columns to calculate zone from real temperature data.")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2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5">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1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2">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0">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2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9">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7">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8">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3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 localSheetId="25">_xlfn.LAMBDA("Australian Bureau of Statistics (ABS) - Statistical Areas Level 2 - 2021 - Shapefile")</definedName>
    <definedName name="Common_SourceData.Common_SourceData_WASA4Areas_Source" localSheetId="10">_xlfn.LAMBDA("Australian Bureau of Statistics (ABS) - Statistical Areas Level 2 - 2021 - Shapefile")</definedName>
    <definedName name="Common_SourceData.Common_SourceData_WASA4Areas_Source" localSheetId="11">_xlfn.LAMBDA("Australian Bureau of Statistics (ABS) - Statistical Areas Level 2 - 2021 - Shapefile")</definedName>
    <definedName name="Common_SourceData.Common_SourceData_WASA4Areas_Source" localSheetId="12">_xlfn.LAMBDA("Australian Bureau of Statistics (ABS) - Statistical Areas Level 2 - 2021 - Shapefile")</definedName>
    <definedName name="Common_SourceData.Common_SourceData_WASA4Areas_Source" localSheetId="13">_xlfn.LAMBDA("Australian Bureau of Statistics (ABS) - Statistical Areas Level 2 - 2021 - Shapefile")</definedName>
    <definedName name="Common_SourceData.Common_SourceData_WASA4Areas_Source" localSheetId="14">_xlfn.LAMBDA("Australian Bureau of Statistics (ABS) - Statistical Areas Level 2 - 2021 - Shapefile")</definedName>
    <definedName name="Common_SourceData.Common_SourceData_WASA4Areas_Source" localSheetId="15">_xlfn.LAMBDA("Australian Bureau of Statistics (ABS) - Statistical Areas Level 2 - 2021 - Shapefile")</definedName>
    <definedName name="Common_SourceData.Common_SourceData_WASA4Areas_Source" localSheetId="16">_xlfn.LAMBDA("Australian Bureau of Statistics (ABS) - Statistical Areas Level 2 - 2021 - Shapefile")</definedName>
    <definedName name="Common_SourceData.Common_SourceData_WASA4Areas_Source" localSheetId="17">_xlfn.LAMBDA("Australian Bureau of Statistics (ABS) - Statistical Areas Level 2 - 2021 - Shapefile")</definedName>
    <definedName name="Common_SourceData.Common_SourceData_WASA4Areas_Source" localSheetId="18">_xlfn.LAMBDA("Australian Bureau of Statistics (ABS) - Statistical Areas Level 2 - 2021 - Shapefile")</definedName>
    <definedName name="Common_SourceData.Common_SourceData_WASA4Areas_Source" localSheetId="19">_xlfn.LAMBDA("Australian Bureau of Statistics (ABS) - Statistical Areas Level 2 - 2021 - Shapefile")</definedName>
    <definedName name="Common_SourceData.Common_SourceData_WASA4Areas_Source" localSheetId="20">_xlfn.LAMBDA("Australian Bureau of Statistics (ABS) - Statistical Areas Level 2 - 2021 - Shapefile")</definedName>
    <definedName name="Common_SourceData.Common_SourceData_WASA4Areas_Source" localSheetId="21">_xlfn.LAMBDA("Australian Bureau of Statistics (ABS) - Statistical Areas Level 2 - 2021 - Shapefile")</definedName>
    <definedName name="Common_SourceData.Common_SourceData_WASA4Areas_Source" localSheetId="22">_xlfn.LAMBDA("Australian Bureau of Statistics (ABS) - Statistical Areas Level 2 - 2021 - Shapefile")</definedName>
    <definedName name="Common_SourceData.Common_SourceData_WASA4Areas_Source" localSheetId="23">_xlfn.LAMBDA("Australian Bureau of Statistics (ABS) - Statistical Areas Level 2 - 2021 - Shapefile")</definedName>
    <definedName name="Common_SourceData.Common_SourceData_WASA4Areas_Source" localSheetId="24">_xlfn.LAMBDA("Australian Bureau of Statistics (ABS) - Statistical Areas Level 2 - 2021 - Shapefile")</definedName>
    <definedName name="Common_SourceData.Common_SourceData_WASA4Areas_Source" localSheetId="33">_xlfn.LAMBDA("Australian Bureau of Statistics (ABS) - Statistical Areas Level 2 - 2021 - Shapefile")</definedName>
    <definedName name="Common_SourceData.Common_SourceData_WASA4Areas_Source" localSheetId="27">_xlfn.LAMBDA("Australian Bureau of Statistics (ABS) - Statistical Areas Level 2 - 2021 - Shapefile")</definedName>
    <definedName name="Common_SourceData.Common_SourceData_WASA4Areas_Source" localSheetId="32">_xlfn.LAMBDA("Australian Bureau of Statistics (ABS) - Statistical Areas Level 2 - 2021 - Shapefile")</definedName>
    <definedName name="Common_SourceData.Common_SourceData_WASA4Areas_Source" localSheetId="29">_xlfn.LAMBDA("Australian Bureau of Statistics (ABS) - Statistical Areas Level 2 - 2021 - Shapefile")</definedName>
    <definedName name="Common_SourceData.Common_SourceData_WASA4Areas_Source" localSheetId="30">_xlfn.LAMBDA("Australian Bureau of Statistics (ABS) - Statistical Areas Level 2 - 2021 - Shapefile")</definedName>
    <definedName name="Common_SourceData.Common_SourceData_WASA4Areas_Source" localSheetId="31">_xlfn.LAMBDA("Australian Bureau of Statistics (ABS) - Statistical Areas Level 2 - 2021 - Shapefile")</definedName>
    <definedName name="Common_SourceData.Common_SourceData_WASA4Areas_Source" localSheetId="28">_xlfn.LAMBDA("Australian Bureau of Statistics (ABS) - Statistical Areas Level 2 - 2021 - Shapefile")</definedName>
    <definedName name="Common_SourceData.Common_SourceData_WASA4Areas_Source" localSheetId="26">_xlfn.LAMBDA("Australian Bureau of Statistics (ABS) - Statistical Areas Level 2 - 2021 - Shapefile")</definedName>
    <definedName name="Common_SourceData.Common_SourceData_WASA4Areas_Source" localSheetId="9">_xlfn.LAMBDA("Australian Bureau of Statistics (ABS) - Statistical Areas Level 2 - 2021 - Shapefile")</definedName>
    <definedName name="Common_SourceData.Common_SourceData_WASA4Areas_Source" localSheetId="7">_xlfn.LAMBDA("Australian Bureau of Statistics (ABS) - Statistical Areas Level 2 - 2021 - Shapefile")</definedName>
    <definedName name="Common_SourceData.Common_SourceData_WASA4Areas_Source" localSheetId="8">_xlfn.LAMBDA("Australian Bureau of Statistics (ABS) - Statistical Areas Level 2 - 2021 - Shapefile")</definedName>
    <definedName name="Common_SourceData.Common_SourceData_WASA4Areas_Source" localSheetId="6">_xlfn.LAMBDA("Australian Bureau of Statistics (ABS) - Statistical Areas Level 2 - 2021 - Shapefile")</definedName>
    <definedName name="Common_SourceData.Common_SourceData_WASA4Areas_Source" localSheetId="4">_xlfn.LAMBDA("Australian Bureau of Statistics (ABS) - Statistical Areas Level 2 - 2021 - Shapefile")</definedName>
    <definedName name="Common_SourceData.Common_SourceData_WASA4Areas_Source" localSheetId="3">_xlfn.LAMBDA("Australian Bureau of Statistics (ABS) - Statistical Areas Level 2 - 2021 - Shapefile")</definedName>
    <definedName name="Common_SourceData.Common_SourceData_WASA4Areas_Source" localSheetId="34">_xlfn.LAMBDA("Australian Bureau of Statistics (ABS) - Statistical Areas Level 2 - 2021 - Shapefile")</definedName>
    <definedName name="Common_SourceData.Common_SourceData_WASA4Areas_Source">_xlfn.LAMBDA("Australian Bureau of Statistics (ABS) - Statistical Areas Level 2 - 2021 - Shapefile")</definedName>
    <definedName name="Common_SourceData.Common_SourceData_WASA4Areas_Title" localSheetId="25">_xlfn.LAMBDA("ABS Statistcal Areas Level 4 - Western Australia")</definedName>
    <definedName name="Common_SourceData.Common_SourceData_WASA4Areas_Title" localSheetId="10">_xlfn.LAMBDA("ABS Statistcal Areas Level 4 - Western Australia")</definedName>
    <definedName name="Common_SourceData.Common_SourceData_WASA4Areas_Title" localSheetId="11">_xlfn.LAMBDA("ABS Statistcal Areas Level 4 - Western Australia")</definedName>
    <definedName name="Common_SourceData.Common_SourceData_WASA4Areas_Title" localSheetId="12">_xlfn.LAMBDA("ABS Statistcal Areas Level 4 - Western Australia")</definedName>
    <definedName name="Common_SourceData.Common_SourceData_WASA4Areas_Title" localSheetId="13">_xlfn.LAMBDA("ABS Statistcal Areas Level 4 - Western Australia")</definedName>
    <definedName name="Common_SourceData.Common_SourceData_WASA4Areas_Title" localSheetId="14">_xlfn.LAMBDA("ABS Statistcal Areas Level 4 - Western Australia")</definedName>
    <definedName name="Common_SourceData.Common_SourceData_WASA4Areas_Title" localSheetId="15">_xlfn.LAMBDA("ABS Statistcal Areas Level 4 - Western Australia")</definedName>
    <definedName name="Common_SourceData.Common_SourceData_WASA4Areas_Title" localSheetId="16">_xlfn.LAMBDA("ABS Statistcal Areas Level 4 - Western Australia")</definedName>
    <definedName name="Common_SourceData.Common_SourceData_WASA4Areas_Title" localSheetId="17">_xlfn.LAMBDA("ABS Statistcal Areas Level 4 - Western Australia")</definedName>
    <definedName name="Common_SourceData.Common_SourceData_WASA4Areas_Title" localSheetId="18">_xlfn.LAMBDA("ABS Statistcal Areas Level 4 - Western Australia")</definedName>
    <definedName name="Common_SourceData.Common_SourceData_WASA4Areas_Title" localSheetId="19">_xlfn.LAMBDA("ABS Statistcal Areas Level 4 - Western Australia")</definedName>
    <definedName name="Common_SourceData.Common_SourceData_WASA4Areas_Title" localSheetId="20">_xlfn.LAMBDA("ABS Statistcal Areas Level 4 - Western Australia")</definedName>
    <definedName name="Common_SourceData.Common_SourceData_WASA4Areas_Title" localSheetId="21">_xlfn.LAMBDA("ABS Statistcal Areas Level 4 - Western Australia")</definedName>
    <definedName name="Common_SourceData.Common_SourceData_WASA4Areas_Title" localSheetId="22">_xlfn.LAMBDA("ABS Statistcal Areas Level 4 - Western Australia")</definedName>
    <definedName name="Common_SourceData.Common_SourceData_WASA4Areas_Title" localSheetId="23">_xlfn.LAMBDA("ABS Statistcal Areas Level 4 - Western Australia")</definedName>
    <definedName name="Common_SourceData.Common_SourceData_WASA4Areas_Title" localSheetId="24">_xlfn.LAMBDA("ABS Statistcal Areas Level 4 - Western Australia")</definedName>
    <definedName name="Common_SourceData.Common_SourceData_WASA4Areas_Title" localSheetId="33">_xlfn.LAMBDA("ABS Statistcal Areas Level 4 - Western Australia")</definedName>
    <definedName name="Common_SourceData.Common_SourceData_WASA4Areas_Title" localSheetId="27">_xlfn.LAMBDA("ABS Statistcal Areas Level 4 - Western Australia")</definedName>
    <definedName name="Common_SourceData.Common_SourceData_WASA4Areas_Title" localSheetId="32">_xlfn.LAMBDA("ABS Statistcal Areas Level 4 - Western Australia")</definedName>
    <definedName name="Common_SourceData.Common_SourceData_WASA4Areas_Title" localSheetId="29">_xlfn.LAMBDA("ABS Statistcal Areas Level 4 - Western Australia")</definedName>
    <definedName name="Common_SourceData.Common_SourceData_WASA4Areas_Title" localSheetId="30">_xlfn.LAMBDA("ABS Statistcal Areas Level 4 - Western Australia")</definedName>
    <definedName name="Common_SourceData.Common_SourceData_WASA4Areas_Title" localSheetId="31">_xlfn.LAMBDA("ABS Statistcal Areas Level 4 - Western Australia")</definedName>
    <definedName name="Common_SourceData.Common_SourceData_WASA4Areas_Title" localSheetId="28">_xlfn.LAMBDA("ABS Statistcal Areas Level 4 - Western Australia")</definedName>
    <definedName name="Common_SourceData.Common_SourceData_WASA4Areas_Title" localSheetId="26">_xlfn.LAMBDA("ABS Statistcal Areas Level 4 - Western Australia")</definedName>
    <definedName name="Common_SourceData.Common_SourceData_WASA4Areas_Title" localSheetId="9">_xlfn.LAMBDA("ABS Statistcal Areas Level 4 - Western Australia")</definedName>
    <definedName name="Common_SourceData.Common_SourceData_WASA4Areas_Title" localSheetId="7">_xlfn.LAMBDA("ABS Statistcal Areas Level 4 - Western Australia")</definedName>
    <definedName name="Common_SourceData.Common_SourceData_WASA4Areas_Title" localSheetId="8">_xlfn.LAMBDA("ABS Statistcal Areas Level 4 - Western Australia")</definedName>
    <definedName name="Common_SourceData.Common_SourceData_WASA4Areas_Title" localSheetId="6">_xlfn.LAMBDA("ABS Statistcal Areas Level 4 - Western Australia")</definedName>
    <definedName name="Common_SourceData.Common_SourceData_WASA4Areas_Title" localSheetId="4">_xlfn.LAMBDA("ABS Statistcal Areas Level 4 - Western Australia")</definedName>
    <definedName name="Common_SourceData.Common_SourceData_WASA4Areas_Title" localSheetId="3">_xlfn.LAMBDA("ABS Statistcal Areas Level 4 - Western Australia")</definedName>
    <definedName name="Common_SourceData.Common_SourceData_WASA4Areas_Title" localSheetId="34">_xlfn.LAMBDA("ABS Statistcal Areas Level 4 - Western Australia")</definedName>
    <definedName name="Common_SourceData.Common_SourceData_WASA4Areas_Title">_xlfn.LAMBDA("ABS Statistcal Areas Level 4 - Western Australia")</definedName>
    <definedName name="Common_SourceData.Common_SourceData_WASA4Areas_Unit" localSheetId="25">_xlfn.LAMBDA("")</definedName>
    <definedName name="Common_SourceData.Common_SourceData_WASA4Areas_Unit" localSheetId="10">_xlfn.LAMBDA("")</definedName>
    <definedName name="Common_SourceData.Common_SourceData_WASA4Areas_Unit" localSheetId="11">_xlfn.LAMBDA("")</definedName>
    <definedName name="Common_SourceData.Common_SourceData_WASA4Areas_Unit" localSheetId="12">_xlfn.LAMBDA("")</definedName>
    <definedName name="Common_SourceData.Common_SourceData_WASA4Areas_Unit" localSheetId="13">_xlfn.LAMBDA("")</definedName>
    <definedName name="Common_SourceData.Common_SourceData_WASA4Areas_Unit" localSheetId="14">_xlfn.LAMBDA("")</definedName>
    <definedName name="Common_SourceData.Common_SourceData_WASA4Areas_Unit" localSheetId="15">_xlfn.LAMBDA("")</definedName>
    <definedName name="Common_SourceData.Common_SourceData_WASA4Areas_Unit" localSheetId="16">_xlfn.LAMBDA("")</definedName>
    <definedName name="Common_SourceData.Common_SourceData_WASA4Areas_Unit" localSheetId="17">_xlfn.LAMBDA("")</definedName>
    <definedName name="Common_SourceData.Common_SourceData_WASA4Areas_Unit" localSheetId="18">_xlfn.LAMBDA("")</definedName>
    <definedName name="Common_SourceData.Common_SourceData_WASA4Areas_Unit" localSheetId="19">_xlfn.LAMBDA("")</definedName>
    <definedName name="Common_SourceData.Common_SourceData_WASA4Areas_Unit" localSheetId="20">_xlfn.LAMBDA("")</definedName>
    <definedName name="Common_SourceData.Common_SourceData_WASA4Areas_Unit" localSheetId="21">_xlfn.LAMBDA("")</definedName>
    <definedName name="Common_SourceData.Common_SourceData_WASA4Areas_Unit" localSheetId="22">_xlfn.LAMBDA("")</definedName>
    <definedName name="Common_SourceData.Common_SourceData_WASA4Areas_Unit" localSheetId="23">_xlfn.LAMBDA("")</definedName>
    <definedName name="Common_SourceData.Common_SourceData_WASA4Areas_Unit" localSheetId="24">_xlfn.LAMBDA("")</definedName>
    <definedName name="Common_SourceData.Common_SourceData_WASA4Areas_Unit" localSheetId="33">_xlfn.LAMBDA("")</definedName>
    <definedName name="Common_SourceData.Common_SourceData_WASA4Areas_Unit" localSheetId="27">_xlfn.LAMBDA("")</definedName>
    <definedName name="Common_SourceData.Common_SourceData_WASA4Areas_Unit" localSheetId="32">_xlfn.LAMBDA("")</definedName>
    <definedName name="Common_SourceData.Common_SourceData_WASA4Areas_Unit" localSheetId="29">_xlfn.LAMBDA("")</definedName>
    <definedName name="Common_SourceData.Common_SourceData_WASA4Areas_Unit" localSheetId="30">_xlfn.LAMBDA("")</definedName>
    <definedName name="Common_SourceData.Common_SourceData_WASA4Areas_Unit" localSheetId="31">_xlfn.LAMBDA("")</definedName>
    <definedName name="Common_SourceData.Common_SourceData_WASA4Areas_Unit" localSheetId="28">_xlfn.LAMBDA("")</definedName>
    <definedName name="Common_SourceData.Common_SourceData_WASA4Areas_Unit" localSheetId="26">_xlfn.LAMBDA("")</definedName>
    <definedName name="Common_SourceData.Common_SourceData_WASA4Areas_Unit" localSheetId="9">_xlfn.LAMBDA("")</definedName>
    <definedName name="Common_SourceData.Common_SourceData_WASA4Areas_Unit" localSheetId="7">_xlfn.LAMBDA("")</definedName>
    <definedName name="Common_SourceData.Common_SourceData_WASA4Areas_Unit" localSheetId="8">_xlfn.LAMBDA("")</definedName>
    <definedName name="Common_SourceData.Common_SourceData_WASA4Areas_Unit" localSheetId="6">_xlfn.LAMBDA("")</definedName>
    <definedName name="Common_SourceData.Common_SourceData_WASA4Areas_Unit" localSheetId="4">_xlfn.LAMBDA("")</definedName>
    <definedName name="Common_SourceData.Common_SourceData_WASA4Areas_Unit" localSheetId="3">_xlfn.LAMBDA("")</definedName>
    <definedName name="Common_SourceData.Common_SourceData_WASA4Areas_Unit" localSheetId="34">_xlfn.LAMBDA("")</definedName>
    <definedName name="Common_SourceData.Common_SourceData_WASA4Areas_Unit">_xlfn.LAMBDA("")</definedName>
    <definedName name="Common_SourceData.Common_SourceData_WASA4Areas_Variable" localSheetId="25">_xlfn.LAMBDA("")</definedName>
    <definedName name="Common_SourceData.Common_SourceData_WASA4Areas_Variable" localSheetId="10">_xlfn.LAMBDA("")</definedName>
    <definedName name="Common_SourceData.Common_SourceData_WASA4Areas_Variable" localSheetId="11">_xlfn.LAMBDA("")</definedName>
    <definedName name="Common_SourceData.Common_SourceData_WASA4Areas_Variable" localSheetId="12">_xlfn.LAMBDA("")</definedName>
    <definedName name="Common_SourceData.Common_SourceData_WASA4Areas_Variable" localSheetId="13">_xlfn.LAMBDA("")</definedName>
    <definedName name="Common_SourceData.Common_SourceData_WASA4Areas_Variable" localSheetId="14">_xlfn.LAMBDA("")</definedName>
    <definedName name="Common_SourceData.Common_SourceData_WASA4Areas_Variable" localSheetId="15">_xlfn.LAMBDA("")</definedName>
    <definedName name="Common_SourceData.Common_SourceData_WASA4Areas_Variable" localSheetId="16">_xlfn.LAMBDA("")</definedName>
    <definedName name="Common_SourceData.Common_SourceData_WASA4Areas_Variable" localSheetId="17">_xlfn.LAMBDA("")</definedName>
    <definedName name="Common_SourceData.Common_SourceData_WASA4Areas_Variable" localSheetId="18">_xlfn.LAMBDA("")</definedName>
    <definedName name="Common_SourceData.Common_SourceData_WASA4Areas_Variable" localSheetId="19">_xlfn.LAMBDA("")</definedName>
    <definedName name="Common_SourceData.Common_SourceData_WASA4Areas_Variable" localSheetId="20">_xlfn.LAMBDA("")</definedName>
    <definedName name="Common_SourceData.Common_SourceData_WASA4Areas_Variable" localSheetId="21">_xlfn.LAMBDA("")</definedName>
    <definedName name="Common_SourceData.Common_SourceData_WASA4Areas_Variable" localSheetId="22">_xlfn.LAMBDA("")</definedName>
    <definedName name="Common_SourceData.Common_SourceData_WASA4Areas_Variable" localSheetId="23">_xlfn.LAMBDA("")</definedName>
    <definedName name="Common_SourceData.Common_SourceData_WASA4Areas_Variable" localSheetId="24">_xlfn.LAMBDA("")</definedName>
    <definedName name="Common_SourceData.Common_SourceData_WASA4Areas_Variable" localSheetId="33">_xlfn.LAMBDA("")</definedName>
    <definedName name="Common_SourceData.Common_SourceData_WASA4Areas_Variable" localSheetId="27">_xlfn.LAMBDA("")</definedName>
    <definedName name="Common_SourceData.Common_SourceData_WASA4Areas_Variable" localSheetId="32">_xlfn.LAMBDA("")</definedName>
    <definedName name="Common_SourceData.Common_SourceData_WASA4Areas_Variable" localSheetId="29">_xlfn.LAMBDA("")</definedName>
    <definedName name="Common_SourceData.Common_SourceData_WASA4Areas_Variable" localSheetId="30">_xlfn.LAMBDA("")</definedName>
    <definedName name="Common_SourceData.Common_SourceData_WASA4Areas_Variable" localSheetId="31">_xlfn.LAMBDA("")</definedName>
    <definedName name="Common_SourceData.Common_SourceData_WASA4Areas_Variable" localSheetId="28">_xlfn.LAMBDA("")</definedName>
    <definedName name="Common_SourceData.Common_SourceData_WASA4Areas_Variable" localSheetId="26">_xlfn.LAMBDA("")</definedName>
    <definedName name="Common_SourceData.Common_SourceData_WASA4Areas_Variable" localSheetId="9">_xlfn.LAMBDA("")</definedName>
    <definedName name="Common_SourceData.Common_SourceData_WASA4Areas_Variable" localSheetId="7">_xlfn.LAMBDA("")</definedName>
    <definedName name="Common_SourceData.Common_SourceData_WASA4Areas_Variable" localSheetId="8">_xlfn.LAMBDA("")</definedName>
    <definedName name="Common_SourceData.Common_SourceData_WASA4Areas_Variable" localSheetId="6">_xlfn.LAMBDA("")</definedName>
    <definedName name="Common_SourceData.Common_SourceData_WASA4Areas_Variable" localSheetId="4">_xlfn.LAMBDA("")</definedName>
    <definedName name="Common_SourceData.Common_SourceData_WASA4Areas_Variable" localSheetId="3">_xlfn.LAMBDA("")</definedName>
    <definedName name="Common_SourceData.Common_SourceData_WASA4Areas_Variable" localSheetId="34">_xlfn.LAMBDA("")</definedName>
    <definedName name="Common_SourceData.Common_SourceData_WASA4Areas_Variable">_xlfn.LAMBDA("")</definedName>
    <definedName name="Common_SourceData.Common_SourceData_WetAndDryZones_Data" localSheetId="2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5">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1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2">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0">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2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9">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7">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8">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3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 localSheetId="25">_xlfn.LAMBDA("VEERG 2026: Table 1.2: Translating climate zones to wet and dry zones")</definedName>
    <definedName name="Common_SourceData.Common_SourceData_WetAndDryZones_Source" localSheetId="10">_xlfn.LAMBDA("VEERG 2026: Table 1.2: Translating climate zones to wet and dry zones")</definedName>
    <definedName name="Common_SourceData.Common_SourceData_WetAndDryZones_Source" localSheetId="11">_xlfn.LAMBDA("VEERG 2026: Table 1.2: Translating climate zones to wet and dry zones")</definedName>
    <definedName name="Common_SourceData.Common_SourceData_WetAndDryZones_Source" localSheetId="12">_xlfn.LAMBDA("VEERG 2026: Table 1.2: Translating climate zones to wet and dry zones")</definedName>
    <definedName name="Common_SourceData.Common_SourceData_WetAndDryZones_Source" localSheetId="13">_xlfn.LAMBDA("VEERG 2026: Table 1.2: Translating climate zones to wet and dry zones")</definedName>
    <definedName name="Common_SourceData.Common_SourceData_WetAndDryZones_Source" localSheetId="14">_xlfn.LAMBDA("VEERG 2026: Table 1.2: Translating climate zones to wet and dry zones")</definedName>
    <definedName name="Common_SourceData.Common_SourceData_WetAndDryZones_Source" localSheetId="15">_xlfn.LAMBDA("VEERG 2026: Table 1.2: Translating climate zones to wet and dry zones")</definedName>
    <definedName name="Common_SourceData.Common_SourceData_WetAndDryZones_Source" localSheetId="16">_xlfn.LAMBDA("VEERG 2026: Table 1.2: Translating climate zones to wet and dry zones")</definedName>
    <definedName name="Common_SourceData.Common_SourceData_WetAndDryZones_Source" localSheetId="17">_xlfn.LAMBDA("VEERG 2026: Table 1.2: Translating climate zones to wet and dry zones")</definedName>
    <definedName name="Common_SourceData.Common_SourceData_WetAndDryZones_Source" localSheetId="18">_xlfn.LAMBDA("VEERG 2026: Table 1.2: Translating climate zones to wet and dry zones")</definedName>
    <definedName name="Common_SourceData.Common_SourceData_WetAndDryZones_Source" localSheetId="19">_xlfn.LAMBDA("VEERG 2026: Table 1.2: Translating climate zones to wet and dry zones")</definedName>
    <definedName name="Common_SourceData.Common_SourceData_WetAndDryZones_Source" localSheetId="20">_xlfn.LAMBDA("VEERG 2026: Table 1.2: Translating climate zones to wet and dry zones")</definedName>
    <definedName name="Common_SourceData.Common_SourceData_WetAndDryZones_Source" localSheetId="21">_xlfn.LAMBDA("VEERG 2026: Table 1.2: Translating climate zones to wet and dry zones")</definedName>
    <definedName name="Common_SourceData.Common_SourceData_WetAndDryZones_Source" localSheetId="22">_xlfn.LAMBDA("VEERG 2026: Table 1.2: Translating climate zones to wet and dry zones")</definedName>
    <definedName name="Common_SourceData.Common_SourceData_WetAndDryZones_Source" localSheetId="23">_xlfn.LAMBDA("VEERG 2026: Table 1.2: Translating climate zones to wet and dry zones")</definedName>
    <definedName name="Common_SourceData.Common_SourceData_WetAndDryZones_Source" localSheetId="24">_xlfn.LAMBDA("VEERG 2026: Table 1.2: Translating climate zones to wet and dry zones")</definedName>
    <definedName name="Common_SourceData.Common_SourceData_WetAndDryZones_Source" localSheetId="33">_xlfn.LAMBDA("VEERG 2026: Table 1.2: Translating climate zones to wet and dry zones")</definedName>
    <definedName name="Common_SourceData.Common_SourceData_WetAndDryZones_Source" localSheetId="27">_xlfn.LAMBDA("VEERG 2026: Table 1.2: Translating climate zones to wet and dry zones")</definedName>
    <definedName name="Common_SourceData.Common_SourceData_WetAndDryZones_Source" localSheetId="32">_xlfn.LAMBDA("VEERG 2026: Table 1.2: Translating climate zones to wet and dry zones")</definedName>
    <definedName name="Common_SourceData.Common_SourceData_WetAndDryZones_Source" localSheetId="29">_xlfn.LAMBDA("VEERG 2026: Table 1.2: Translating climate zones to wet and dry zones")</definedName>
    <definedName name="Common_SourceData.Common_SourceData_WetAndDryZones_Source" localSheetId="30">_xlfn.LAMBDA("VEERG 2026: Table 1.2: Translating climate zones to wet and dry zones")</definedName>
    <definedName name="Common_SourceData.Common_SourceData_WetAndDryZones_Source" localSheetId="31">_xlfn.LAMBDA("VEERG 2026: Table 1.2: Translating climate zones to wet and dry zones")</definedName>
    <definedName name="Common_SourceData.Common_SourceData_WetAndDryZones_Source" localSheetId="28">_xlfn.LAMBDA("VEERG 2026: Table 1.2: Translating climate zones to wet and dry zones")</definedName>
    <definedName name="Common_SourceData.Common_SourceData_WetAndDryZones_Source" localSheetId="26">_xlfn.LAMBDA("VEERG 2026: Table 1.2: Translating climate zones to wet and dry zones")</definedName>
    <definedName name="Common_SourceData.Common_SourceData_WetAndDryZones_Source" localSheetId="9">_xlfn.LAMBDA("VEERG 2026: Table 1.2: Translating climate zones to wet and dry zones")</definedName>
    <definedName name="Common_SourceData.Common_SourceData_WetAndDryZones_Source" localSheetId="7">_xlfn.LAMBDA("VEERG 2026: Table 1.2: Translating climate zones to wet and dry zones")</definedName>
    <definedName name="Common_SourceData.Common_SourceData_WetAndDryZones_Source" localSheetId="8">_xlfn.LAMBDA("VEERG 2026: Table 1.2: Translating climate zones to wet and dry zones")</definedName>
    <definedName name="Common_SourceData.Common_SourceData_WetAndDryZones_Source" localSheetId="6">_xlfn.LAMBDA("VEERG 2026: Table 1.2: Translating climate zones to wet and dry zones")</definedName>
    <definedName name="Common_SourceData.Common_SourceData_WetAndDryZones_Source" localSheetId="4">_xlfn.LAMBDA("VEERG 2026: Table 1.2: Translating climate zones to wet and dry zones")</definedName>
    <definedName name="Common_SourceData.Common_SourceData_WetAndDryZones_Source" localSheetId="3">_xlfn.LAMBDA("VEERG 2026: Table 1.2: Translating climate zones to wet and dry zones")</definedName>
    <definedName name="Common_SourceData.Common_SourceData_WetAndDryZones_Source" localSheetId="34">_xlfn.LAMBDA("VEERG 2026: Table 1.2: Translating climate zones to wet and dry zones")</definedName>
    <definedName name="Common_SourceData.Common_SourceData_WetAndDryZones_Source">_xlfn.LAMBDA("VEERG 2026: Table 1.2: Translating climate zones to wet and dry zones")</definedName>
    <definedName name="Common_SourceData.Common_SourceData_WetAndDryZones_Title" localSheetId="25">_xlfn.LAMBDA("VEERG Australian wet and dry zones")</definedName>
    <definedName name="Common_SourceData.Common_SourceData_WetAndDryZones_Title" localSheetId="10">_xlfn.LAMBDA("VEERG Australian wet and dry zones")</definedName>
    <definedName name="Common_SourceData.Common_SourceData_WetAndDryZones_Title" localSheetId="11">_xlfn.LAMBDA("VEERG Australian wet and dry zones")</definedName>
    <definedName name="Common_SourceData.Common_SourceData_WetAndDryZones_Title" localSheetId="12">_xlfn.LAMBDA("VEERG Australian wet and dry zones")</definedName>
    <definedName name="Common_SourceData.Common_SourceData_WetAndDryZones_Title" localSheetId="13">_xlfn.LAMBDA("VEERG Australian wet and dry zones")</definedName>
    <definedName name="Common_SourceData.Common_SourceData_WetAndDryZones_Title" localSheetId="14">_xlfn.LAMBDA("VEERG Australian wet and dry zones")</definedName>
    <definedName name="Common_SourceData.Common_SourceData_WetAndDryZones_Title" localSheetId="15">_xlfn.LAMBDA("VEERG Australian wet and dry zones")</definedName>
    <definedName name="Common_SourceData.Common_SourceData_WetAndDryZones_Title" localSheetId="16">_xlfn.LAMBDA("VEERG Australian wet and dry zones")</definedName>
    <definedName name="Common_SourceData.Common_SourceData_WetAndDryZones_Title" localSheetId="17">_xlfn.LAMBDA("VEERG Australian wet and dry zones")</definedName>
    <definedName name="Common_SourceData.Common_SourceData_WetAndDryZones_Title" localSheetId="18">_xlfn.LAMBDA("VEERG Australian wet and dry zones")</definedName>
    <definedName name="Common_SourceData.Common_SourceData_WetAndDryZones_Title" localSheetId="19">_xlfn.LAMBDA("VEERG Australian wet and dry zones")</definedName>
    <definedName name="Common_SourceData.Common_SourceData_WetAndDryZones_Title" localSheetId="20">_xlfn.LAMBDA("VEERG Australian wet and dry zones")</definedName>
    <definedName name="Common_SourceData.Common_SourceData_WetAndDryZones_Title" localSheetId="21">_xlfn.LAMBDA("VEERG Australian wet and dry zones")</definedName>
    <definedName name="Common_SourceData.Common_SourceData_WetAndDryZones_Title" localSheetId="22">_xlfn.LAMBDA("VEERG Australian wet and dry zones")</definedName>
    <definedName name="Common_SourceData.Common_SourceData_WetAndDryZones_Title" localSheetId="23">_xlfn.LAMBDA("VEERG Australian wet and dry zones")</definedName>
    <definedName name="Common_SourceData.Common_SourceData_WetAndDryZones_Title" localSheetId="24">_xlfn.LAMBDA("VEERG Australian wet and dry zones")</definedName>
    <definedName name="Common_SourceData.Common_SourceData_WetAndDryZones_Title" localSheetId="33">_xlfn.LAMBDA("VEERG Australian wet and dry zones")</definedName>
    <definedName name="Common_SourceData.Common_SourceData_WetAndDryZones_Title" localSheetId="27">_xlfn.LAMBDA("VEERG Australian wet and dry zones")</definedName>
    <definedName name="Common_SourceData.Common_SourceData_WetAndDryZones_Title" localSheetId="32">_xlfn.LAMBDA("VEERG Australian wet and dry zones")</definedName>
    <definedName name="Common_SourceData.Common_SourceData_WetAndDryZones_Title" localSheetId="29">_xlfn.LAMBDA("VEERG Australian wet and dry zones")</definedName>
    <definedName name="Common_SourceData.Common_SourceData_WetAndDryZones_Title" localSheetId="30">_xlfn.LAMBDA("VEERG Australian wet and dry zones")</definedName>
    <definedName name="Common_SourceData.Common_SourceData_WetAndDryZones_Title" localSheetId="31">_xlfn.LAMBDA("VEERG Australian wet and dry zones")</definedName>
    <definedName name="Common_SourceData.Common_SourceData_WetAndDryZones_Title" localSheetId="28">_xlfn.LAMBDA("VEERG Australian wet and dry zones")</definedName>
    <definedName name="Common_SourceData.Common_SourceData_WetAndDryZones_Title" localSheetId="26">_xlfn.LAMBDA("VEERG Australian wet and dry zones")</definedName>
    <definedName name="Common_SourceData.Common_SourceData_WetAndDryZones_Title" localSheetId="9">_xlfn.LAMBDA("VEERG Australian wet and dry zones")</definedName>
    <definedName name="Common_SourceData.Common_SourceData_WetAndDryZones_Title" localSheetId="7">_xlfn.LAMBDA("VEERG Australian wet and dry zones")</definedName>
    <definedName name="Common_SourceData.Common_SourceData_WetAndDryZones_Title" localSheetId="8">_xlfn.LAMBDA("VEERG Australian wet and dry zones")</definedName>
    <definedName name="Common_SourceData.Common_SourceData_WetAndDryZones_Title" localSheetId="6">_xlfn.LAMBDA("VEERG Australian wet and dry zones")</definedName>
    <definedName name="Common_SourceData.Common_SourceData_WetAndDryZones_Title" localSheetId="4">_xlfn.LAMBDA("VEERG Australian wet and dry zones")</definedName>
    <definedName name="Common_SourceData.Common_SourceData_WetAndDryZones_Title" localSheetId="3">_xlfn.LAMBDA("VEERG Australian wet and dry zones")</definedName>
    <definedName name="Common_SourceData.Common_SourceData_WetAndDryZones_Title" localSheetId="34">_xlfn.LAMBDA("VEERG Australian wet and dry zones")</definedName>
    <definedName name="Common_SourceData.Common_SourceData_WetAndDryZones_Title">_xlfn.LAMBDA("VEERG Australian wet and dry zones")</definedName>
    <definedName name="Common_SourceData.Common_SourceData_WetAndDryZones_Unit" localSheetId="25">_xlfn.LAMBDA("")</definedName>
    <definedName name="Common_SourceData.Common_SourceData_WetAndDryZones_Unit" localSheetId="10">_xlfn.LAMBDA("")</definedName>
    <definedName name="Common_SourceData.Common_SourceData_WetAndDryZones_Unit" localSheetId="11">_xlfn.LAMBDA("")</definedName>
    <definedName name="Common_SourceData.Common_SourceData_WetAndDryZones_Unit" localSheetId="12">_xlfn.LAMBDA("")</definedName>
    <definedName name="Common_SourceData.Common_SourceData_WetAndDryZones_Unit" localSheetId="13">_xlfn.LAMBDA("")</definedName>
    <definedName name="Common_SourceData.Common_SourceData_WetAndDryZones_Unit" localSheetId="14">_xlfn.LAMBDA("")</definedName>
    <definedName name="Common_SourceData.Common_SourceData_WetAndDryZones_Unit" localSheetId="15">_xlfn.LAMBDA("")</definedName>
    <definedName name="Common_SourceData.Common_SourceData_WetAndDryZones_Unit" localSheetId="16">_xlfn.LAMBDA("")</definedName>
    <definedName name="Common_SourceData.Common_SourceData_WetAndDryZones_Unit" localSheetId="17">_xlfn.LAMBDA("")</definedName>
    <definedName name="Common_SourceData.Common_SourceData_WetAndDryZones_Unit" localSheetId="18">_xlfn.LAMBDA("")</definedName>
    <definedName name="Common_SourceData.Common_SourceData_WetAndDryZones_Unit" localSheetId="19">_xlfn.LAMBDA("")</definedName>
    <definedName name="Common_SourceData.Common_SourceData_WetAndDryZones_Unit" localSheetId="20">_xlfn.LAMBDA("")</definedName>
    <definedName name="Common_SourceData.Common_SourceData_WetAndDryZones_Unit" localSheetId="21">_xlfn.LAMBDA("")</definedName>
    <definedName name="Common_SourceData.Common_SourceData_WetAndDryZones_Unit" localSheetId="22">_xlfn.LAMBDA("")</definedName>
    <definedName name="Common_SourceData.Common_SourceData_WetAndDryZones_Unit" localSheetId="23">_xlfn.LAMBDA("")</definedName>
    <definedName name="Common_SourceData.Common_SourceData_WetAndDryZones_Unit" localSheetId="24">_xlfn.LAMBDA("")</definedName>
    <definedName name="Common_SourceData.Common_SourceData_WetAndDryZones_Unit" localSheetId="33">_xlfn.LAMBDA("")</definedName>
    <definedName name="Common_SourceData.Common_SourceData_WetAndDryZones_Unit" localSheetId="27">_xlfn.LAMBDA("")</definedName>
    <definedName name="Common_SourceData.Common_SourceData_WetAndDryZones_Unit" localSheetId="32">_xlfn.LAMBDA("")</definedName>
    <definedName name="Common_SourceData.Common_SourceData_WetAndDryZones_Unit" localSheetId="29">_xlfn.LAMBDA("")</definedName>
    <definedName name="Common_SourceData.Common_SourceData_WetAndDryZones_Unit" localSheetId="30">_xlfn.LAMBDA("")</definedName>
    <definedName name="Common_SourceData.Common_SourceData_WetAndDryZones_Unit" localSheetId="31">_xlfn.LAMBDA("")</definedName>
    <definedName name="Common_SourceData.Common_SourceData_WetAndDryZones_Unit" localSheetId="28">_xlfn.LAMBDA("")</definedName>
    <definedName name="Common_SourceData.Common_SourceData_WetAndDryZones_Unit" localSheetId="26">_xlfn.LAMBDA("")</definedName>
    <definedName name="Common_SourceData.Common_SourceData_WetAndDryZones_Unit" localSheetId="9">_xlfn.LAMBDA("")</definedName>
    <definedName name="Common_SourceData.Common_SourceData_WetAndDryZones_Unit" localSheetId="7">_xlfn.LAMBDA("")</definedName>
    <definedName name="Common_SourceData.Common_SourceData_WetAndDryZones_Unit" localSheetId="8">_xlfn.LAMBDA("")</definedName>
    <definedName name="Common_SourceData.Common_SourceData_WetAndDryZones_Unit" localSheetId="6">_xlfn.LAMBDA("")</definedName>
    <definedName name="Common_SourceData.Common_SourceData_WetAndDryZones_Unit" localSheetId="4">_xlfn.LAMBDA("")</definedName>
    <definedName name="Common_SourceData.Common_SourceData_WetAndDryZones_Unit" localSheetId="3">_xlfn.LAMBDA("")</definedName>
    <definedName name="Common_SourceData.Common_SourceData_WetAndDryZones_Unit" localSheetId="34">_xlfn.LAMBDA("")</definedName>
    <definedName name="Common_SourceData.Common_SourceData_WetAndDryZones_Unit">_xlfn.LAMBDA("")</definedName>
    <definedName name="Common_SourceData.Common_SourceData_WetAndDryZones_Variable" localSheetId="25">_xlfn.LAMBDA("")</definedName>
    <definedName name="Common_SourceData.Common_SourceData_WetAndDryZones_Variable" localSheetId="10">_xlfn.LAMBDA("")</definedName>
    <definedName name="Common_SourceData.Common_SourceData_WetAndDryZones_Variable" localSheetId="11">_xlfn.LAMBDA("")</definedName>
    <definedName name="Common_SourceData.Common_SourceData_WetAndDryZones_Variable" localSheetId="12">_xlfn.LAMBDA("")</definedName>
    <definedName name="Common_SourceData.Common_SourceData_WetAndDryZones_Variable" localSheetId="13">_xlfn.LAMBDA("")</definedName>
    <definedName name="Common_SourceData.Common_SourceData_WetAndDryZones_Variable" localSheetId="14">_xlfn.LAMBDA("")</definedName>
    <definedName name="Common_SourceData.Common_SourceData_WetAndDryZones_Variable" localSheetId="15">_xlfn.LAMBDA("")</definedName>
    <definedName name="Common_SourceData.Common_SourceData_WetAndDryZones_Variable" localSheetId="16">_xlfn.LAMBDA("")</definedName>
    <definedName name="Common_SourceData.Common_SourceData_WetAndDryZones_Variable" localSheetId="17">_xlfn.LAMBDA("")</definedName>
    <definedName name="Common_SourceData.Common_SourceData_WetAndDryZones_Variable" localSheetId="18">_xlfn.LAMBDA("")</definedName>
    <definedName name="Common_SourceData.Common_SourceData_WetAndDryZones_Variable" localSheetId="19">_xlfn.LAMBDA("")</definedName>
    <definedName name="Common_SourceData.Common_SourceData_WetAndDryZones_Variable" localSheetId="20">_xlfn.LAMBDA("")</definedName>
    <definedName name="Common_SourceData.Common_SourceData_WetAndDryZones_Variable" localSheetId="21">_xlfn.LAMBDA("")</definedName>
    <definedName name="Common_SourceData.Common_SourceData_WetAndDryZones_Variable" localSheetId="22">_xlfn.LAMBDA("")</definedName>
    <definedName name="Common_SourceData.Common_SourceData_WetAndDryZones_Variable" localSheetId="23">_xlfn.LAMBDA("")</definedName>
    <definedName name="Common_SourceData.Common_SourceData_WetAndDryZones_Variable" localSheetId="24">_xlfn.LAMBDA("")</definedName>
    <definedName name="Common_SourceData.Common_SourceData_WetAndDryZones_Variable" localSheetId="33">_xlfn.LAMBDA("")</definedName>
    <definedName name="Common_SourceData.Common_SourceData_WetAndDryZones_Variable" localSheetId="27">_xlfn.LAMBDA("")</definedName>
    <definedName name="Common_SourceData.Common_SourceData_WetAndDryZones_Variable" localSheetId="32">_xlfn.LAMBDA("")</definedName>
    <definedName name="Common_SourceData.Common_SourceData_WetAndDryZones_Variable" localSheetId="29">_xlfn.LAMBDA("")</definedName>
    <definedName name="Common_SourceData.Common_SourceData_WetAndDryZones_Variable" localSheetId="30">_xlfn.LAMBDA("")</definedName>
    <definedName name="Common_SourceData.Common_SourceData_WetAndDryZones_Variable" localSheetId="31">_xlfn.LAMBDA("")</definedName>
    <definedName name="Common_SourceData.Common_SourceData_WetAndDryZones_Variable" localSheetId="28">_xlfn.LAMBDA("")</definedName>
    <definedName name="Common_SourceData.Common_SourceData_WetAndDryZones_Variable" localSheetId="26">_xlfn.LAMBDA("")</definedName>
    <definedName name="Common_SourceData.Common_SourceData_WetAndDryZones_Variable" localSheetId="9">_xlfn.LAMBDA("")</definedName>
    <definedName name="Common_SourceData.Common_SourceData_WetAndDryZones_Variable" localSheetId="7">_xlfn.LAMBDA("")</definedName>
    <definedName name="Common_SourceData.Common_SourceData_WetAndDryZones_Variable" localSheetId="8">_xlfn.LAMBDA("")</definedName>
    <definedName name="Common_SourceData.Common_SourceData_WetAndDryZones_Variable" localSheetId="6">_xlfn.LAMBDA("")</definedName>
    <definedName name="Common_SourceData.Common_SourceData_WetAndDryZones_Variable" localSheetId="4">_xlfn.LAMBDA("")</definedName>
    <definedName name="Common_SourceData.Common_SourceData_WetAndDryZones_Variable" localSheetId="3">_xlfn.LAMBDA("")</definedName>
    <definedName name="Common_SourceData.Common_SourceData_WetAndDryZones_Variable" localSheetId="34">_xlfn.LAMBDA("")</definedName>
    <definedName name="Common_SourceData.Common_SourceData_WetAndDryZones_Variable">_xlfn.LAMBDA("")</definedName>
    <definedName name="Common_SourceData.Common_SourceData_WetAndDryZones_Variation" localSheetId="2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5">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1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2">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0">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2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9">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7">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8">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3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 localSheetId="10">_xlfn.LAMBDA(_xlpm.TotalResidue,_xlpm.AmountRemoved, (_xlpm.AmountRemoved * 10 ^ 3) / (_xlpm.TotalResidue * 10 ^ 3))</definedName>
    <definedName name="CommonCropping_InputFunctions.CommonCropping_CalculateFractionResidueRemoved" localSheetId="11">_xlfn.LAMBDA(_xlpm.TotalResidue,_xlpm.AmountRemoved, (_xlpm.AmountRemoved * 10 ^ 3) / (_xlpm.TotalResidue * 10 ^ 3))</definedName>
    <definedName name="CommonCropping_InputFunctions.CommonCropping_CalculateFractionResidueRemoved" localSheetId="12">_xlfn.LAMBDA(_xlpm.TotalResidue,_xlpm.AmountRemoved, (_xlpm.AmountRemoved * 10 ^ 3) / (_xlpm.TotalResidue * 10 ^ 3))</definedName>
    <definedName name="CommonCropping_InputFunctions.CommonCropping_CalculateFractionResidueRemoved" localSheetId="13">_xlfn.LAMBDA(_xlpm.TotalResidue,_xlpm.AmountRemoved, (_xlpm.AmountRemoved * 10 ^ 3) / (_xlpm.TotalResidue * 10 ^ 3))</definedName>
    <definedName name="CommonCropping_InputFunctions.CommonCropping_CalculateFractionResidueRemoved" localSheetId="14">_xlfn.LAMBDA(_xlpm.TotalResidue,_xlpm.AmountRemoved, (_xlpm.AmountRemoved * 10 ^ 3) / (_xlpm.TotalResidue * 10 ^ 3))</definedName>
    <definedName name="CommonCropping_InputFunctions.CommonCropping_CalculateFractionResidueRemoved" localSheetId="15">_xlfn.LAMBDA(_xlpm.TotalResidue,_xlpm.AmountRemoved, (_xlpm.AmountRemoved * 10 ^ 3) / (_xlpm.TotalResidue * 10 ^ 3))</definedName>
    <definedName name="CommonCropping_InputFunctions.CommonCropping_CalculateFractionResidueRemoved" localSheetId="16">_xlfn.LAMBDA(_xlpm.TotalResidue,_xlpm.AmountRemoved, (_xlpm.AmountRemoved * 10 ^ 3) / (_xlpm.TotalResidue * 10 ^ 3))</definedName>
    <definedName name="CommonCropping_InputFunctions.CommonCropping_CalculateFractionResidueRemoved" localSheetId="17">_xlfn.LAMBDA(_xlpm.TotalResidue,_xlpm.AmountRemoved, (_xlpm.AmountRemoved * 10 ^ 3) / (_xlpm.TotalResidue * 10 ^ 3))</definedName>
    <definedName name="CommonCropping_InputFunctions.CommonCropping_CalculateFractionResidueRemoved" localSheetId="18">_xlfn.LAMBDA(_xlpm.TotalResidue,_xlpm.AmountRemoved, (_xlpm.AmountRemoved * 10 ^ 3) / (_xlpm.TotalResidue * 10 ^ 3))</definedName>
    <definedName name="CommonCropping_InputFunctions.CommonCropping_CalculateFractionResidueRemoved" localSheetId="19">_xlfn.LAMBDA(_xlpm.TotalResidue,_xlpm.AmountRemoved, (_xlpm.AmountRemoved * 10 ^ 3) / (_xlpm.TotalResidue * 10 ^ 3))</definedName>
    <definedName name="CommonCropping_InputFunctions.CommonCropping_CalculateFractionResidueRemoved" localSheetId="20">_xlfn.LAMBDA(_xlpm.TotalResidue,_xlpm.AmountRemoved, (_xlpm.AmountRemoved * 10 ^ 3) / (_xlpm.TotalResidue * 10 ^ 3))</definedName>
    <definedName name="CommonCropping_InputFunctions.CommonCropping_CalculateFractionResidueRemoved" localSheetId="21">_xlfn.LAMBDA(_xlpm.TotalResidue,_xlpm.AmountRemoved, (_xlpm.AmountRemoved * 10 ^ 3) / (_xlpm.TotalResidue * 10 ^ 3))</definedName>
    <definedName name="CommonCropping_InputFunctions.CommonCropping_CalculateFractionResidueRemoved" localSheetId="22">_xlfn.LAMBDA(_xlpm.TotalResidue,_xlpm.AmountRemoved, (_xlpm.AmountRemoved * 10 ^ 3) / (_xlpm.TotalResidue * 10 ^ 3))</definedName>
    <definedName name="CommonCropping_InputFunctions.CommonCropping_CalculateFractionResidueRemoved" localSheetId="33">_xlfn.LAMBDA(_xlpm.TotalResidue,_xlpm.AmountRemoved, (_xlpm.AmountRemoved * 10 ^ 3) / (_xlpm.TotalResidue * 10 ^ 3))</definedName>
    <definedName name="CommonCropping_InputFunctions.CommonCropping_CalculateFractionResidueRemoved" localSheetId="27">_xlfn.LAMBDA(_xlpm.TotalResidue,_xlpm.AmountRemoved, (_xlpm.AmountRemoved * 10 ^ 3) / (_xlpm.TotalResidue * 10 ^ 3))</definedName>
    <definedName name="CommonCropping_InputFunctions.CommonCropping_CalculateFractionResidueRemoved" localSheetId="32">_xlfn.LAMBDA(_xlpm.TotalResidue,_xlpm.AmountRemoved, (_xlpm.AmountRemoved * 10 ^ 3) / (_xlpm.TotalResidue * 10 ^ 3))</definedName>
    <definedName name="CommonCropping_InputFunctions.CommonCropping_CalculateFractionResidueRemoved" localSheetId="30">_xlfn.LAMBDA(_xlpm.TotalResidue,_xlpm.AmountRemoved, (_xlpm.AmountRemoved * 10 ^ 3) / (_xlpm.TotalResidue * 10 ^ 3))</definedName>
    <definedName name="CommonCropping_InputFunctions.CommonCropping_CalculateFractionResidueRemoved" localSheetId="28">_xlfn.LAMBDA(_xlpm.TotalResidue,_xlpm.AmountRemoved, (_xlpm.AmountRemoved * 10 ^ 3) / (_xlpm.TotalResidue * 10 ^ 3))</definedName>
    <definedName name="CommonCropping_InputFunctions.CommonCropping_CalculateFractionResidueRemoved" localSheetId="26">_xlfn.LAMBDA(_xlpm.TotalResidue,_xlpm.AmountRemoved, (_xlpm.AmountRemoved * 10 ^ 3) / (_xlpm.TotalResidue * 10 ^ 3))</definedName>
    <definedName name="CommonCropping_InputFunctions.CommonCropping_CalculateFractionResidueRemoved" localSheetId="7">_xlfn.LAMBDA(_xlpm.TotalResidue,_xlpm.AmountRemoved, (_xlpm.AmountRemoved * 10 ^ 3) / (_xlpm.TotalResidue * 10 ^ 3))</definedName>
    <definedName name="CommonCropping_InputFunctions.CommonCropping_CalculateFractionResidueRemoved" localSheetId="6">_xlfn.LAMBDA(_xlpm.TotalResidue,_xlpm.AmountRemoved, (_xlpm.AmountRemoved * 10 ^ 3) / (_xlpm.TotalResidue * 10 ^ 3))</definedName>
    <definedName name="CommonCropping_InputFunctions.CommonCropping_CalculateFractionResidueRemoved" localSheetId="4">_xlfn.LAMBDA(_xlpm.TotalResidue,_xlpm.AmountRemoved, (_xlpm.AmountRemoved * 10 ^ 3) / (_xlpm.TotalResidue * 10 ^ 3))</definedName>
    <definedName name="CommonCropping_InputFunctions.CommonCropping_CalculateFractionResidueRemoved" localSheetId="3">_xlfn.LAMBDA(_xlpm.TotalResidue,_xlpm.AmountRemoved, (_xlpm.AmountRemoved * 10 ^ 3) / (_xlpm.TotalResidue * 10 ^ 3))</definedName>
    <definedName name="CommonCropping_InputFunctions.CommonCropping_CalculateFractionResidueRemoved" localSheetId="34">_xlfn.LAMBDA(_xlpm.TotalResidue,_xlpm.AmountRemoved, (_xlpm.AmountRemoved * 10 ^ 3) / (_xlpm.TotalResidue * 10 ^ 3))</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0">_xlfn.LAMBDA(_xlpm.CropType,_xlpm.CropTypeArray,_xlpm.ResidueCropRatioArray, 1 / (1 + '3.2.1.1-2 Enteric Methane'!Common_InputFunctions.Utility_LookupValueInTableNumber(_xlpm.CropType,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 / (1 + '4.2.1.1-2 Methane'!Common_InputFunctions.Utility_LookupValueInTableNumber(_xlpm.CropType,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'4.2.1.3-4 Soil direct N20'!Common_InputFunctions.Utility_LookupValueInTableNumber(_xlpm.CropType,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'4.2.1.5-6 Soil Atmos Dep'!Common_InputFunctions.Utility_LookupValueInTableNumber(_xlpm.CropType,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'4.2.1.7-8 Soil leach runoff'!Common_InputFunctions.Utility_LookupValueInTableNumber(_xlpm.CropType,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'6.2.1.1-2 Pasture residue N2O'!Common_InputFunctions.Utility_LookupValueInTableNumber(_xlpm.CropType,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'6.3.1.1-2 Leach runoff pasture'!Common_InputFunctions.Utility_LookupValueInTableNumber(_xlpm.CropType,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Acknowledgements!Common_InputFunctions.Utility_LookupValueInTableNumber(_xlpm.CropType,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'Constants - Ag Residue'!Common_InputFunctions.Utility_LookupValueInTableNumber(_xlpm.CropType,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'Constants - Common'!Common_InputFunctions.Utility_LookupValueInTableNumber(_xlpm.CropType,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'Constants - Livestock'!Common_InputFunctions.Utility_LookupValueInTableNumber(_xlpm.CropType,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'Constants - Pasture Beef'!Common_InputFunctions.Utility_LookupValueInTableNumber(_xlpm.CropType,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'Input - Pasture'!Common_InputFunctions.Utility_LookupValueInTableNumber(_xlpm.CropType,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'Input - Pasture Beef'!Common_InputFunctions.Utility_LookupValueInTableNumber(_xlpm.CropType, _xlpm.CropTypeArray, _xlpm.ResidueCropRatioArray)))</definedName>
    <definedName name="CommonCropping_InputFunctions.CommonCropping_CalculateHarvestIndex" localSheetId="3">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 localSheetId="10">_xlfn.LAMBDA(_xlpm.HarvestIndex, (1 - _xlpm.HarvestIndex) / _xlpm.HarvestIndex)</definedName>
    <definedName name="CommonCropping_InputFunctions.CommonCropping_CalculateResidueCropRatio" localSheetId="11">_xlfn.LAMBDA(_xlpm.HarvestIndex, (1 - _xlpm.HarvestIndex) / _xlpm.HarvestIndex)</definedName>
    <definedName name="CommonCropping_InputFunctions.CommonCropping_CalculateResidueCropRatio" localSheetId="12">_xlfn.LAMBDA(_xlpm.HarvestIndex, (1 - _xlpm.HarvestIndex) / _xlpm.HarvestIndex)</definedName>
    <definedName name="CommonCropping_InputFunctions.CommonCropping_CalculateResidueCropRatio" localSheetId="13">_xlfn.LAMBDA(_xlpm.HarvestIndex, (1 - _xlpm.HarvestIndex) / _xlpm.HarvestIndex)</definedName>
    <definedName name="CommonCropping_InputFunctions.CommonCropping_CalculateResidueCropRatio" localSheetId="14">_xlfn.LAMBDA(_xlpm.HarvestIndex, (1 - _xlpm.HarvestIndex) / _xlpm.HarvestIndex)</definedName>
    <definedName name="CommonCropping_InputFunctions.CommonCropping_CalculateResidueCropRatio" localSheetId="15">_xlfn.LAMBDA(_xlpm.HarvestIndex, (1 - _xlpm.HarvestIndex) / _xlpm.HarvestIndex)</definedName>
    <definedName name="CommonCropping_InputFunctions.CommonCropping_CalculateResidueCropRatio" localSheetId="16">_xlfn.LAMBDA(_xlpm.HarvestIndex, (1 - _xlpm.HarvestIndex) / _xlpm.HarvestIndex)</definedName>
    <definedName name="CommonCropping_InputFunctions.CommonCropping_CalculateResidueCropRatio" localSheetId="17">_xlfn.LAMBDA(_xlpm.HarvestIndex, (1 - _xlpm.HarvestIndex) / _xlpm.HarvestIndex)</definedName>
    <definedName name="CommonCropping_InputFunctions.CommonCropping_CalculateResidueCropRatio" localSheetId="18">_xlfn.LAMBDA(_xlpm.HarvestIndex, (1 - _xlpm.HarvestIndex) / _xlpm.HarvestIndex)</definedName>
    <definedName name="CommonCropping_InputFunctions.CommonCropping_CalculateResidueCropRatio" localSheetId="19">_xlfn.LAMBDA(_xlpm.HarvestIndex, (1 - _xlpm.HarvestIndex) / _xlpm.HarvestIndex)</definedName>
    <definedName name="CommonCropping_InputFunctions.CommonCropping_CalculateResidueCropRatio" localSheetId="20">_xlfn.LAMBDA(_xlpm.HarvestIndex, (1 - _xlpm.HarvestIndex) / _xlpm.HarvestIndex)</definedName>
    <definedName name="CommonCropping_InputFunctions.CommonCropping_CalculateResidueCropRatio" localSheetId="21">_xlfn.LAMBDA(_xlpm.HarvestIndex, (1 - _xlpm.HarvestIndex) / _xlpm.HarvestIndex)</definedName>
    <definedName name="CommonCropping_InputFunctions.CommonCropping_CalculateResidueCropRatio" localSheetId="22">_xlfn.LAMBDA(_xlpm.HarvestIndex, (1 - _xlpm.HarvestIndex) / _xlpm.HarvestIndex)</definedName>
    <definedName name="CommonCropping_InputFunctions.CommonCropping_CalculateResidueCropRatio" localSheetId="33">_xlfn.LAMBDA(_xlpm.HarvestIndex, (1 - _xlpm.HarvestIndex) / _xlpm.HarvestIndex)</definedName>
    <definedName name="CommonCropping_InputFunctions.CommonCropping_CalculateResidueCropRatio" localSheetId="27">_xlfn.LAMBDA(_xlpm.HarvestIndex, (1 - _xlpm.HarvestIndex) / _xlpm.HarvestIndex)</definedName>
    <definedName name="CommonCropping_InputFunctions.CommonCropping_CalculateResidueCropRatio" localSheetId="32">_xlfn.LAMBDA(_xlpm.HarvestIndex, (1 - _xlpm.HarvestIndex) / _xlpm.HarvestIndex)</definedName>
    <definedName name="CommonCropping_InputFunctions.CommonCropping_CalculateResidueCropRatio" localSheetId="30">_xlfn.LAMBDA(_xlpm.HarvestIndex, (1 - _xlpm.HarvestIndex) / _xlpm.HarvestIndex)</definedName>
    <definedName name="CommonCropping_InputFunctions.CommonCropping_CalculateResidueCropRatio" localSheetId="28">_xlfn.LAMBDA(_xlpm.HarvestIndex, (1 - _xlpm.HarvestIndex) / _xlpm.HarvestIndex)</definedName>
    <definedName name="CommonCropping_InputFunctions.CommonCropping_CalculateResidueCropRatio" localSheetId="26">_xlfn.LAMBDA(_xlpm.HarvestIndex, (1 - _xlpm.HarvestIndex) / _xlpm.HarvestIndex)</definedName>
    <definedName name="CommonCropping_InputFunctions.CommonCropping_CalculateResidueCropRatio" localSheetId="7">_xlfn.LAMBDA(_xlpm.HarvestIndex, (1 - _xlpm.HarvestIndex) / _xlpm.HarvestIndex)</definedName>
    <definedName name="CommonCropping_InputFunctions.CommonCropping_CalculateResidueCropRatio" localSheetId="6">_xlfn.LAMBDA(_xlpm.HarvestIndex, (1 - _xlpm.HarvestIndex) / _xlpm.HarvestIndex)</definedName>
    <definedName name="CommonCropping_InputFunctions.CommonCropping_CalculateResidueCropRatio" localSheetId="4">_xlfn.LAMBDA(_xlpm.HarvestIndex, (1 - _xlpm.HarvestIndex) / _xlpm.HarvestIndex)</definedName>
    <definedName name="CommonCropping_InputFunctions.CommonCropping_CalculateResidueCropRatio" localSheetId="3">_xlfn.LAMBDA(_xlpm.HarvestIndex, (1 - _xlpm.HarvestIndex) / _xlpm.HarvestIndex)</definedName>
    <definedName name="CommonCropping_InputFunctions.CommonCropping_CalculateResidueCropRatio" localSheetId="34">_xlfn.LAMBDA(_xlpm.HarvestIndex, (1 - _xlpm.HarvestIndex) / _xlpm.HarvestIndex)</definedName>
    <definedName name="CommonCropping_InputFunctions.CommonCropping_CalculateResidueCropRatio">_xlfn.LAMBDA(_xlpm.HarvestIndex, (1 - _xlpm.HarvestIndex) / _xlpm.HarvestIndex)</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'3.2.1.1-2 Enteric Methane'!Common_InputFunctions.Utility_LookupValueInTableNumber(_xlpm.LeachingZone, _xlpm.LeachingZoneLookup, _xlpm.LeachingZoneFracWETLookup), _xlpm.ProductionSystemFracWET, '3.2.1.1-2 Enteric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_xlfn.LET(_xlpm.LeachingZoneFracWET, '4.2.1.1-2 Methane'!Common_InputFunctions.Utility_LookupValueInTableNumber(_xlpm.LeachingZone, _xlpm.LeachingZoneLookup, _xlpm.LeachingZoneFracWETLookup), _xlpm.ProductionSystemFracWET, '4.2.1.1-2 Methane'!Common_InputFunctions.Utility_LookupValueInTableNumber(_xlpm.ProductionSystem,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'4.2.1.3-4 Soil direct N20'!Common_InputFunctions.Utility_LookupValueInTableNumber(_xlpm.LeachingZone, _xlpm.LeachingZoneLookup, _xlpm.LeachingZoneFracWETLookup), _xlpm.ProductionSystemFracWET, '4.2.1.3-4 Soil direct N20'!Common_InputFunctions.Utility_LookupValueInTableNumber(_xlpm.ProductionSystem,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'4.2.1.5-6 Soil Atmos Dep'!Common_InputFunctions.Utility_LookupValueInTableNumber(_xlpm.LeachingZone, _xlpm.LeachingZoneLookup, _xlpm.LeachingZoneFracWETLookup), _xlpm.ProductionSystemFracWET, '4.2.1.5-6 Soil Atmos Dep'!Common_InputFunctions.Utility_LookupValueInTableNumber(_xlpm.ProductionSystem,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'4.2.1.7-8 Soil leach runoff'!Common_InputFunctions.Utility_LookupValueInTableNumber(_xlpm.LeachingZone, _xlpm.LeachingZoneLookup, _xlpm.LeachingZoneFracWETLookup), _xlpm.ProductionSystemFracWET, '4.2.1.7-8 Soil leach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'6.2.1.1-2 Pasture residue N2O'!Common_InputFunctions.Utility_LookupValueInTableNumber(_xlpm.LeachingZone, _xlpm.LeachingZoneLookup, _xlpm.LeachingZoneFracWETLookup), _xlpm.ProductionSystemFracWET, '6.2.1.1-2 Pasture residue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'6.3.1.1-2 Leach runoff pasture'!Common_InputFunctions.Utility_LookupValueInTableNumber(_xlpm.LeachingZone, _xlpm.LeachingZoneLookup, _xlpm.LeachingZoneFracWETLookup), _xlpm.ProductionSystemFracWET, '6.3.1.1-2 Leach runoff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Acknowledgements!Common_InputFunctions.Utility_LookupValueInTableNumber(_xlpm.LeachingZone, _xlpm.LeachingZoneLookup, _xlpm.LeachingZoneFracWETLookup), _xlpm.ProductionSystemFracWET, Acknowledgements!Common_InputFunctions.Utility_LookupValueInTableNumber(_xlpm.ProductionSystem,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'Constants - Ag Residue'!Common_InputFunctions.Utility_LookupValueInTableNumber(_xlpm.LeachingZone, _xlpm.LeachingZoneLookup, _xlpm.LeachingZoneFracWETLookup), _xlpm.ProductionSystemFracWET, 'Constants - Ag Residue'!Common_InputFunctions.Utility_LookupValueInTableNumber(_xlpm.ProductionSystem,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'Constants - Common'!Common_InputFunctions.Utility_LookupValueInTableNumber(_xlpm.LeachingZone, _xlpm.LeachingZoneLookup, _xlpm.LeachingZoneFracWETLookup), _xlpm.ProductionSystemFracWET, 'Constants - Common'!Common_InputFunctions.Utility_LookupValueInTableNumber(_xlpm.ProductionSystem,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'Constants - Livestock'!Common_InputFunctions.Utility_LookupValueInTableNumber(_xlpm.LeachingZone, _xlpm.LeachingZoneLookup, _xlpm.LeachingZoneFracWETLookup), _xlpm.ProductionSystemFracWET, 'Constants - Livestock'!Common_InputFunctions.Utility_LookupValueInTableNumber(_xlpm.ProductionSystem,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'Constants - Pasture Beef'!Common_InputFunctions.Utility_LookupValueInTableNumber(_xlpm.LeachingZone, _xlpm.LeachingZoneLookup, _xlpm.LeachingZoneFracWETLookup), _xlpm.ProductionSystemFracWET, 'Constants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'Input - Pasture'!Common_InputFunctions.Utility_LookupValueInTableNumber(_xlpm.LeachingZone, _xlpm.LeachingZoneLookup, _xlpm.LeachingZoneFracWETLookup), _xlpm.ProductionSystemFracWET, 'Input - Pasture'!Common_InputFunctions.Utility_LookupValueInTableNumber(_xlpm.ProductionSystem,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'Input - Pasture Beef'!Common_InputFunctions.Utility_LookupValueInTableNumber(_xlpm.LeachingZone, _xlpm.LeachingZoneLookup, _xlpm.LeachingZoneFracWETLookup), _xlpm.ProductionSystemFracWET, 'Input - Pasture Beef'!Common_InputFunctions.Utility_LookupValueInTableNumber(_xlpm.ProductionSystem,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 localSheetId="2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5">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6">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1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2">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3">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7">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2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0">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1">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9">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8">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6">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 localSheetId="34">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 localSheetId="25">_xlfn.LAMBDA("IPCC 2019 Refinement Volume 4 Table 11.3 [1, p. 11]")</definedName>
    <definedName name="CommonCropping_SourceData.CommonCropping_SourceData_FracGASFfInorganicFertiliser_NIRReference" localSheetId="15">_xlfn.LAMBDA("IPCC 2019 Refinement Volume 4 Table 11.3 [1, p. 11]")</definedName>
    <definedName name="CommonCropping_SourceData.CommonCropping_SourceData_FracGASFfInorganicFertiliser_NIRReference" localSheetId="16">_xlfn.LAMBDA("IPCC 2019 Refinement Volume 4 Table 11.3 [1, p. 11]")</definedName>
    <definedName name="CommonCropping_SourceData.CommonCropping_SourceData_FracGASFfInorganicFertiliser_NIRReference" localSheetId="17">_xlfn.LAMBDA("IPCC 2019 Refinement Volume 4 Table 11.3 [1, p. 11]")</definedName>
    <definedName name="CommonCropping_SourceData.CommonCropping_SourceData_FracGASFfInorganicFertiliser_NIRReference" localSheetId="18">_xlfn.LAMBDA("IPCC 2019 Refinement Volume 4 Table 11.3 [1, p. 11]")</definedName>
    <definedName name="CommonCropping_SourceData.CommonCropping_SourceData_FracGASFfInorganicFertiliser_NIRReference" localSheetId="19">_xlfn.LAMBDA("IPCC 2019 Refinement Volume 4 Table 11.3 [1, p. 11]")</definedName>
    <definedName name="CommonCropping_SourceData.CommonCropping_SourceData_FracGASFfInorganicFertiliser_NIRReference" localSheetId="20">_xlfn.LAMBDA("IPCC 2019 Refinement Volume 4 Table 11.3 [1, p. 11]")</definedName>
    <definedName name="CommonCropping_SourceData.CommonCropping_SourceData_FracGASFfInorganicFertiliser_NIRReference" localSheetId="21">_xlfn.LAMBDA("IPCC 2019 Refinement Volume 4 Table 11.3 [1, p. 11]")</definedName>
    <definedName name="CommonCropping_SourceData.CommonCropping_SourceData_FracGASFfInorganicFertiliser_NIRReference" localSheetId="22">_xlfn.LAMBDA("IPCC 2019 Refinement Volume 4 Table 11.3 [1, p. 11]")</definedName>
    <definedName name="CommonCropping_SourceData.CommonCropping_SourceData_FracGASFfInorganicFertiliser_NIRReference" localSheetId="23">_xlfn.LAMBDA("IPCC 2019 Refinement Volume 4 Table 11.3 [1, p. 11]")</definedName>
    <definedName name="CommonCropping_SourceData.CommonCropping_SourceData_FracGASFfInorganicFertiliser_NIRReference" localSheetId="24">_xlfn.LAMBDA("IPCC 2019 Refinement Volume 4 Table 11.3 [1, p. 11]")</definedName>
    <definedName name="CommonCropping_SourceData.CommonCropping_SourceData_FracGASFfInorganicFertiliser_NIRReference" localSheetId="27">_xlfn.LAMBDA("IPCC 2019 Refinement Volume 4 Table 11.3 [1, p. 11]")</definedName>
    <definedName name="CommonCropping_SourceData.CommonCropping_SourceData_FracGASFfInorganicFertiliser_NIRReference" localSheetId="29">_xlfn.LAMBDA("IPCC 2019 Refinement Volume 4 Table 11.3 [1, p. 11]")</definedName>
    <definedName name="CommonCropping_SourceData.CommonCropping_SourceData_FracGASFfInorganicFertiliser_NIRReference" localSheetId="30">_xlfn.LAMBDA("IPCC 2019 Refinement Volume 4 Table 11.3 [1, p. 11]")</definedName>
    <definedName name="CommonCropping_SourceData.CommonCropping_SourceData_FracGASFfInorganicFertiliser_NIRReference" localSheetId="31">_xlfn.LAMBDA("IPCC 2019 Refinement Volume 4 Table 11.3 [1, p. 11]")</definedName>
    <definedName name="CommonCropping_SourceData.CommonCropping_SourceData_FracGASFfInorganicFertiliser_NIRReference" localSheetId="9">_xlfn.LAMBDA("IPCC 2019 Refinement Volume 4 Table 11.3 [1, p. 11]")</definedName>
    <definedName name="CommonCropping_SourceData.CommonCropping_SourceData_FracGASFfInorganicFertiliser_NIRReference" localSheetId="8">_xlfn.LAMBDA("IPCC 2019 Refinement Volume 4 Table 11.3 [1, p. 11]")</definedName>
    <definedName name="CommonCropping_SourceData.CommonCropping_SourceData_FracGASFfInorganicFertiliser_NIRReference" localSheetId="6">_xlfn.LAMBDA("IPCC 2019 Refinement Volume 4 Table 11.3 [1, p. 11]")</definedName>
    <definedName name="CommonCropping_SourceData.CommonCropping_SourceData_FracGASFfInorganicFertiliser_NIRReference" localSheetId="34">_xlfn.LAMBDA("IPCC 2019 Refinement Volume 4 Table 11.3 [1, p. 11]")</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 localSheetId="25">_xlfn.LAMBDA("VEERG 2026:Table 12.2.2.9")</definedName>
    <definedName name="CommonCropping_SourceData.CommonCropping_SourceData_FracGASFfInorganicFertiliser_Source" localSheetId="15">_xlfn.LAMBDA("VEERG 2026:Table 12.2.2.9")</definedName>
    <definedName name="CommonCropping_SourceData.CommonCropping_SourceData_FracGASFfInorganicFertiliser_Source" localSheetId="16">_xlfn.LAMBDA("VEERG 2026:Table 12.2.2.9")</definedName>
    <definedName name="CommonCropping_SourceData.CommonCropping_SourceData_FracGASFfInorganicFertiliser_Source" localSheetId="17">_xlfn.LAMBDA("VEERG 2026:Table 12.2.2.9")</definedName>
    <definedName name="CommonCropping_SourceData.CommonCropping_SourceData_FracGASFfInorganicFertiliser_Source" localSheetId="18">_xlfn.LAMBDA("VEERG 2026:Table 12.2.2.9")</definedName>
    <definedName name="CommonCropping_SourceData.CommonCropping_SourceData_FracGASFfInorganicFertiliser_Source" localSheetId="19">_xlfn.LAMBDA("VEERG 2026:Table 12.2.2.9")</definedName>
    <definedName name="CommonCropping_SourceData.CommonCropping_SourceData_FracGASFfInorganicFertiliser_Source" localSheetId="20">_xlfn.LAMBDA("VEERG 2026:Table 12.2.2.9")</definedName>
    <definedName name="CommonCropping_SourceData.CommonCropping_SourceData_FracGASFfInorganicFertiliser_Source" localSheetId="21">_xlfn.LAMBDA("VEERG 2026:Table 12.2.2.9")</definedName>
    <definedName name="CommonCropping_SourceData.CommonCropping_SourceData_FracGASFfInorganicFertiliser_Source" localSheetId="22">_xlfn.LAMBDA("VEERG 2026:Table 12.2.2.9")</definedName>
    <definedName name="CommonCropping_SourceData.CommonCropping_SourceData_FracGASFfInorganicFertiliser_Source" localSheetId="23">_xlfn.LAMBDA("VEERG 2026:Table 12.2.2.9")</definedName>
    <definedName name="CommonCropping_SourceData.CommonCropping_SourceData_FracGASFfInorganicFertiliser_Source" localSheetId="24">_xlfn.LAMBDA("VEERG 2026:Table 12.2.2.9")</definedName>
    <definedName name="CommonCropping_SourceData.CommonCropping_SourceData_FracGASFfInorganicFertiliser_Source" localSheetId="27">_xlfn.LAMBDA("VEERG 2026:Table 12.2.2.9")</definedName>
    <definedName name="CommonCropping_SourceData.CommonCropping_SourceData_FracGASFfInorganicFertiliser_Source" localSheetId="29">_xlfn.LAMBDA("VEERG 2026:Table 12.2.2.9")</definedName>
    <definedName name="CommonCropping_SourceData.CommonCropping_SourceData_FracGASFfInorganicFertiliser_Source" localSheetId="30">_xlfn.LAMBDA("VEERG 2026:Table 12.2.2.9")</definedName>
    <definedName name="CommonCropping_SourceData.CommonCropping_SourceData_FracGASFfInorganicFertiliser_Source" localSheetId="31">_xlfn.LAMBDA("VEERG 2026:Table 12.2.2.9")</definedName>
    <definedName name="CommonCropping_SourceData.CommonCropping_SourceData_FracGASFfInorganicFertiliser_Source" localSheetId="9">_xlfn.LAMBDA("VEERG 2026:Table 12.2.2.9")</definedName>
    <definedName name="CommonCropping_SourceData.CommonCropping_SourceData_FracGASFfInorganicFertiliser_Source" localSheetId="8">_xlfn.LAMBDA("VEERG 2026:Table 12.2.2.9")</definedName>
    <definedName name="CommonCropping_SourceData.CommonCropping_SourceData_FracGASFfInorganicFertiliser_Source" localSheetId="6">_xlfn.LAMBDA("VEERG 2026:Table 12.2.2.9")</definedName>
    <definedName name="CommonCropping_SourceData.CommonCropping_SourceData_FracGASFfInorganicFertiliser_Source" localSheetId="34">_xlfn.LAMBDA("VEERG 2026:Table 12.2.2.9")</definedName>
    <definedName name="CommonCropping_SourceData.CommonCropping_SourceData_FracGASFfInorganicFertiliser_Source">_xlfn.LAMBDA("VEERG 2026:Table 12.2.2.9")</definedName>
    <definedName name="CommonCropping_SourceData.CommonCropping_SourceData_FracGASFfInorganicFertiliser_Title" localSheetId="25">_xlfn.LAMBDA("The direct nitrous oxide EF from the organic fertiliser when applied to soils")</definedName>
    <definedName name="CommonCropping_SourceData.CommonCropping_SourceData_FracGASFfInorganicFertiliser_Title" localSheetId="15">_xlfn.LAMBDA("The direct nitrous oxide EF from the organic fertiliser when applied to soils")</definedName>
    <definedName name="CommonCropping_SourceData.CommonCropping_SourceData_FracGASFfInorganicFertiliser_Title" localSheetId="16">_xlfn.LAMBDA("The direct nitrous oxide EF from the organic fertiliser when applied to soils")</definedName>
    <definedName name="CommonCropping_SourceData.CommonCropping_SourceData_FracGASFfInorganicFertiliser_Title" localSheetId="17">_xlfn.LAMBDA("The direct nitrous oxide EF from the organic fertiliser when applied to soils")</definedName>
    <definedName name="CommonCropping_SourceData.CommonCropping_SourceData_FracGASFfInorganicFertiliser_Title" localSheetId="18">_xlfn.LAMBDA("The direct nitrous oxide EF from the organic fertiliser when applied to soils")</definedName>
    <definedName name="CommonCropping_SourceData.CommonCropping_SourceData_FracGASFfInorganicFertiliser_Title" localSheetId="19">_xlfn.LAMBDA("The direct nitrous oxide EF from the organic fertiliser when applied to soils")</definedName>
    <definedName name="CommonCropping_SourceData.CommonCropping_SourceData_FracGASFfInorganicFertiliser_Title" localSheetId="20">_xlfn.LAMBDA("The direct nitrous oxide EF from the organic fertiliser when applied to soils")</definedName>
    <definedName name="CommonCropping_SourceData.CommonCropping_SourceData_FracGASFfInorganicFertiliser_Title" localSheetId="21">_xlfn.LAMBDA("The direct nitrous oxide EF from the organic fertiliser when applied to soils")</definedName>
    <definedName name="CommonCropping_SourceData.CommonCropping_SourceData_FracGASFfInorganicFertiliser_Title" localSheetId="22">_xlfn.LAMBDA("The direct nitrous oxide EF from the organic fertiliser when applied to soils")</definedName>
    <definedName name="CommonCropping_SourceData.CommonCropping_SourceData_FracGASFfInorganicFertiliser_Title" localSheetId="23">_xlfn.LAMBDA("The direct nitrous oxide EF from the organic fertiliser when applied to soils")</definedName>
    <definedName name="CommonCropping_SourceData.CommonCropping_SourceData_FracGASFfInorganicFertiliser_Title" localSheetId="24">_xlfn.LAMBDA("The direct nitrous oxide EF from the organic fertiliser when applied to soils")</definedName>
    <definedName name="CommonCropping_SourceData.CommonCropping_SourceData_FracGASFfInorganicFertiliser_Title" localSheetId="27">_xlfn.LAMBDA("The direct nitrous oxide EF from the organic fertiliser when applied to soils")</definedName>
    <definedName name="CommonCropping_SourceData.CommonCropping_SourceData_FracGASFfInorganicFertiliser_Title" localSheetId="29">_xlfn.LAMBDA("The direct nitrous oxide EF from the organic fertiliser when applied to soils")</definedName>
    <definedName name="CommonCropping_SourceData.CommonCropping_SourceData_FracGASFfInorganicFertiliser_Title" localSheetId="30">_xlfn.LAMBDA("The direct nitrous oxide EF from the organic fertiliser when applied to soils")</definedName>
    <definedName name="CommonCropping_SourceData.CommonCropping_SourceData_FracGASFfInorganicFertiliser_Title" localSheetId="31">_xlfn.LAMBDA("The direct nitrous oxide EF from the organic fertiliser when applied to soils")</definedName>
    <definedName name="CommonCropping_SourceData.CommonCropping_SourceData_FracGASFfInorganicFertiliser_Title" localSheetId="9">_xlfn.LAMBDA("The direct nitrous oxide EF from the organic fertiliser when applied to soils")</definedName>
    <definedName name="CommonCropping_SourceData.CommonCropping_SourceData_FracGASFfInorganicFertiliser_Title" localSheetId="8">_xlfn.LAMBDA("The direct nitrous oxide EF from the organic fertiliser when applied to soils")</definedName>
    <definedName name="CommonCropping_SourceData.CommonCropping_SourceData_FracGASFfInorganicFertiliser_Title" localSheetId="6">_xlfn.LAMBDA("The direct nitrous oxide EF from the organic fertiliser when applied to soils")</definedName>
    <definedName name="CommonCropping_SourceData.CommonCropping_SourceData_FracGASFfInorganicFertiliser_Title" localSheetId="34">_xlfn.LAMBDA("The direct nitrous oxide EF from the organic fertiliser when applied to soils")</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 localSheetId="25">_xlfn.LAMBDA("(kg NH3-N + NOx-N)/kg N")</definedName>
    <definedName name="CommonCropping_SourceData.CommonCropping_SourceData_FracGASFfInorganicFertiliser_Unit" localSheetId="15">_xlfn.LAMBDA("(kg NH3-N + NOx-N)/kg N")</definedName>
    <definedName name="CommonCropping_SourceData.CommonCropping_SourceData_FracGASFfInorganicFertiliser_Unit" localSheetId="16">_xlfn.LAMBDA("(kg NH3-N + NOx-N)/kg N")</definedName>
    <definedName name="CommonCropping_SourceData.CommonCropping_SourceData_FracGASFfInorganicFertiliser_Unit" localSheetId="17">_xlfn.LAMBDA("(kg NH3-N + NOx-N)/kg N")</definedName>
    <definedName name="CommonCropping_SourceData.CommonCropping_SourceData_FracGASFfInorganicFertiliser_Unit" localSheetId="18">_xlfn.LAMBDA("(kg NH3-N + NOx-N)/kg N")</definedName>
    <definedName name="CommonCropping_SourceData.CommonCropping_SourceData_FracGASFfInorganicFertiliser_Unit" localSheetId="19">_xlfn.LAMBDA("(kg NH3-N + NOx-N)/kg N")</definedName>
    <definedName name="CommonCropping_SourceData.CommonCropping_SourceData_FracGASFfInorganicFertiliser_Unit" localSheetId="20">_xlfn.LAMBDA("(kg NH3-N + NOx-N)/kg N")</definedName>
    <definedName name="CommonCropping_SourceData.CommonCropping_SourceData_FracGASFfInorganicFertiliser_Unit" localSheetId="21">_xlfn.LAMBDA("(kg NH3-N + NOx-N)/kg N")</definedName>
    <definedName name="CommonCropping_SourceData.CommonCropping_SourceData_FracGASFfInorganicFertiliser_Unit" localSheetId="22">_xlfn.LAMBDA("(kg NH3-N + NOx-N)/kg N")</definedName>
    <definedName name="CommonCropping_SourceData.CommonCropping_SourceData_FracGASFfInorganicFertiliser_Unit" localSheetId="23">_xlfn.LAMBDA("(kg NH3-N + NOx-N)/kg N")</definedName>
    <definedName name="CommonCropping_SourceData.CommonCropping_SourceData_FracGASFfInorganicFertiliser_Unit" localSheetId="24">_xlfn.LAMBDA("(kg NH3-N + NOx-N)/kg N")</definedName>
    <definedName name="CommonCropping_SourceData.CommonCropping_SourceData_FracGASFfInorganicFertiliser_Unit" localSheetId="27">_xlfn.LAMBDA("(kg NH3-N + NOx-N)/kg N")</definedName>
    <definedName name="CommonCropping_SourceData.CommonCropping_SourceData_FracGASFfInorganicFertiliser_Unit" localSheetId="29">_xlfn.LAMBDA("(kg NH3-N + NOx-N)/kg N")</definedName>
    <definedName name="CommonCropping_SourceData.CommonCropping_SourceData_FracGASFfInorganicFertiliser_Unit" localSheetId="30">_xlfn.LAMBDA("(kg NH3-N + NOx-N)/kg N")</definedName>
    <definedName name="CommonCropping_SourceData.CommonCropping_SourceData_FracGASFfInorganicFertiliser_Unit" localSheetId="31">_xlfn.LAMBDA("(kg NH3-N + NOx-N)/kg N")</definedName>
    <definedName name="CommonCropping_SourceData.CommonCropping_SourceData_FracGASFfInorganicFertiliser_Unit" localSheetId="9">_xlfn.LAMBDA("(kg NH3-N + NOx-N)/kg N")</definedName>
    <definedName name="CommonCropping_SourceData.CommonCropping_SourceData_FracGASFfInorganicFertiliser_Unit" localSheetId="8">_xlfn.LAMBDA("(kg NH3-N + NOx-N)/kg N")</definedName>
    <definedName name="CommonCropping_SourceData.CommonCropping_SourceData_FracGASFfInorganicFertiliser_Unit" localSheetId="6">_xlfn.LAMBDA("(kg NH3-N + NOx-N)/kg N")</definedName>
    <definedName name="CommonCropping_SourceData.CommonCropping_SourceData_FracGASFfInorganicFertiliser_Unit" localSheetId="34">_xlfn.LAMBDA("(kg NH3-N + NOx-N)/kg N")</definedName>
    <definedName name="CommonCropping_SourceData.CommonCropping_SourceData_FracGASFfInorganicFertiliser_Unit">_xlfn.LAMBDA("(kg NH3-N + NOx-N)/kg N")</definedName>
    <definedName name="CommonCropping_SourceData.CommonCropping_SourceData_FracGASFfInorganicFertiliser_Variation" localSheetId="25">_xlfn.LAMBDA(("VARIATION FROM SOURCE DATA: Added extra 'Basis' column with simplified naming to assis with lookups in equations"))</definedName>
    <definedName name="CommonCropping_SourceData.CommonCropping_SourceData_FracGASFfInorganicFertiliser_Variation" localSheetId="15">_xlfn.LAMBDA(("VARIATION FROM SOURCE DATA: Added extra 'Basis' column with simplified naming to assis with lookups in equations"))</definedName>
    <definedName name="CommonCropping_SourceData.CommonCropping_SourceData_FracGASFfInorganicFertiliser_Variation" localSheetId="16">_xlfn.LAMBDA(("VARIATION FROM SOURCE DATA: Added extra 'Basis' column with simplified naming to assis with lookups in equations"))</definedName>
    <definedName name="CommonCropping_SourceData.CommonCropping_SourceData_FracGASFfInorganicFertiliser_Variation" localSheetId="17">_xlfn.LAMBDA(("VARIATION FROM SOURCE DATA: Added extra 'Basis' column with simplified naming to assis with lookups in equations"))</definedName>
    <definedName name="CommonCropping_SourceData.CommonCropping_SourceData_FracGASFfInorganicFertiliser_Variation" localSheetId="18">_xlfn.LAMBDA(("VARIATION FROM SOURCE DATA: Added extra 'Basis' column with simplified naming to assis with lookups in equations"))</definedName>
    <definedName name="CommonCropping_SourceData.CommonCropping_SourceData_FracGASFfInorganicFertiliser_Variation" localSheetId="19">_xlfn.LAMBDA(("VARIATION FROM SOURCE DATA: Added extra 'Basis' column with simplified naming to assis with lookups in equations"))</definedName>
    <definedName name="CommonCropping_SourceData.CommonCropping_SourceData_FracGASFfInorganicFertiliser_Variation" localSheetId="20">_xlfn.LAMBDA(("VARIATION FROM SOURCE DATA: Added extra 'Basis' column with simplified naming to assis with lookups in equations"))</definedName>
    <definedName name="CommonCropping_SourceData.CommonCropping_SourceData_FracGASFfInorganicFertiliser_Variation" localSheetId="21">_xlfn.LAMBDA(("VARIATION FROM SOURCE DATA: Added extra 'Basis' column with simplified naming to assis with lookups in equations"))</definedName>
    <definedName name="CommonCropping_SourceData.CommonCropping_SourceData_FracGASFfInorganicFertiliser_Variation" localSheetId="22">_xlfn.LAMBDA(("VARIATION FROM SOURCE DATA: Added extra 'Basis' column with simplified naming to assis with lookups in equations"))</definedName>
    <definedName name="CommonCropping_SourceData.CommonCropping_SourceData_FracGASFfInorganicFertiliser_Variation" localSheetId="23">_xlfn.LAMBDA(("VARIATION FROM SOURCE DATA: Added extra 'Basis' column with simplified naming to assis with lookups in equations"))</definedName>
    <definedName name="CommonCropping_SourceData.CommonCropping_SourceData_FracGASFfInorganicFertiliser_Variation" localSheetId="24">_xlfn.LAMBDA(("VARIATION FROM SOURCE DATA: Added extra 'Basis' column with simplified naming to assis with lookups in equations"))</definedName>
    <definedName name="CommonCropping_SourceData.CommonCropping_SourceData_FracGASFfInorganicFertiliser_Variation" localSheetId="27">_xlfn.LAMBDA(("VARIATION FROM SOURCE DATA: Added extra 'Basis' column with simplified naming to assis with lookups in equations"))</definedName>
    <definedName name="CommonCropping_SourceData.CommonCropping_SourceData_FracGASFfInorganicFertiliser_Variation" localSheetId="29">_xlfn.LAMBDA(("VARIATION FROM SOURCE DATA: Added extra 'Basis' column with simplified naming to assis with lookups in equations"))</definedName>
    <definedName name="CommonCropping_SourceData.CommonCropping_SourceData_FracGASFfInorganicFertiliser_Variation" localSheetId="30">_xlfn.LAMBDA(("VARIATION FROM SOURCE DATA: Added extra 'Basis' column with simplified naming to assis with lookups in equations"))</definedName>
    <definedName name="CommonCropping_SourceData.CommonCropping_SourceData_FracGASFfInorganicFertiliser_Variation" localSheetId="31">_xlfn.LAMBDA(("VARIATION FROM SOURCE DATA: Added extra 'Basis' column with simplified naming to assis with lookups in equations"))</definedName>
    <definedName name="CommonCropping_SourceData.CommonCropping_SourceData_FracGASFfInorganicFertiliser_Variation" localSheetId="9">_xlfn.LAMBDA(("VARIATION FROM SOURCE DATA: Added extra 'Basis' column with simplified naming to assis with lookups in equations"))</definedName>
    <definedName name="CommonCropping_SourceData.CommonCropping_SourceData_FracGASFfInorganicFertiliser_Variation" localSheetId="8">_xlfn.LAMBDA(("VARIATION FROM SOURCE DATA: Added extra 'Basis' column with simplified naming to assis with lookups in equations"))</definedName>
    <definedName name="CommonCropping_SourceData.CommonCropping_SourceData_FracGASFfInorganicFertiliser_Variation" localSheetId="6">_xlfn.LAMBDA(("VARIATION FROM SOURCE DATA: Added extra 'Basis' column with simplified naming to assis with lookups in equations"))</definedName>
    <definedName name="CommonCropping_SourceData.CommonCropping_SourceData_FracGASFfInorganicFertiliser_Variation" localSheetId="34">_xlfn.LAMBDA(("VARIATION FROM SOURCE DATA: Added extra 'Basis' column with simplified naming to assis with lookups in equations"))</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 localSheetId="21">_xlfn.LAMBDA(_xlfn.MAKEARRAY(3, 2, _xlfn.LAMBDA(_xlpm.r,_xlpm.c, INDEX({"Climate zone i","EF i N2O";"Wet climate zone",0.006;"Dry climate zone",0.005}, _xlpm.r, _xlpm.c))))</definedName>
    <definedName name="CommonCropping_SourceData.CommonCropping_SourceData_N2OEFOrganicFertiliser_Data" localSheetId="22">_xlfn.LAMBDA(_xlfn.MAKEARRAY(3, 2, _xlfn.LAMBDA(_xlpm.r,_xlpm.c, INDEX({"Climate zone i","EF i N2O";"Wet climate zone",0.006;"Dry climate zone",0.005}, _xlpm.r, _xlpm.c))))</definedName>
    <definedName name="CommonCropping_SourceData.CommonCropping_SourceData_N2OEFOrganicFertiliser_Data" localSheetId="27">_xlfn.LAMBDA(_xlfn.MAKEARRAY(3, 2, _xlfn.LAMBDA(_xlpm.r,_xlpm.c, INDEX({"Climate zone i","EF i N2O";"Wet climate zone",0.006;"Dry climate zone",0.005}, _xlpm.r, _xlpm.c))))</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 localSheetId="21">_xlfn.LAMBDA("IPCC 2019 Refinement Volume 4 Table 11.1 [1, p. 11]")</definedName>
    <definedName name="CommonCropping_SourceData.CommonCropping_SourceData_N2OEFOrganicFertiliser_NIRReference" localSheetId="22">_xlfn.LAMBDA("IPCC 2019 Refinement Volume 4 Table 11.1 [1, p. 11]")</definedName>
    <definedName name="CommonCropping_SourceData.CommonCropping_SourceData_N2OEFOrganicFertiliser_NIRReference" localSheetId="27">_xlfn.LAMBDA("IPCC 2019 Refinement Volume 4 Table 11.1 [1, p. 11]")</definedName>
    <definedName name="CommonCropping_SourceData.CommonCropping_SourceData_N2OEFOrganicFertiliser_NIRReference">_xlfn.LAMBDA("IPCC 2019 Refinement Volume 4 Table 11.1 [1, p. 11]")</definedName>
    <definedName name="CommonCropping_SourceData.CommonCropping_SourceData_N2OEFOrganicFertiliser_Source" localSheetId="21">_xlfn.LAMBDA("VEERG 2026: Table A.2.1.4")</definedName>
    <definedName name="CommonCropping_SourceData.CommonCropping_SourceData_N2OEFOrganicFertiliser_Source" localSheetId="22">_xlfn.LAMBDA("VEERG 2026: Table A.2.1.4")</definedName>
    <definedName name="CommonCropping_SourceData.CommonCropping_SourceData_N2OEFOrganicFertiliser_Source" localSheetId="27">_xlfn.LAMBDA("VEERG 2026: Table A.2.1.4")</definedName>
    <definedName name="CommonCropping_SourceData.CommonCropping_SourceData_N2OEFOrganicFertiliser_Source">_xlfn.LAMBDA("VEERG 2026: Table A.2.1.4")</definedName>
    <definedName name="CommonCropping_SourceData.CommonCropping_SourceData_N2OEFOrganicFertiliser_Title" localSheetId="21">_xlfn.LAMBDA("Emission factor for organic fertiliser and crop residues returned to the soil")</definedName>
    <definedName name="CommonCropping_SourceData.CommonCropping_SourceData_N2OEFOrganicFertiliser_Title" localSheetId="22">_xlfn.LAMBDA("Emission factor for organic fertiliser and crop residues returned to the soil")</definedName>
    <definedName name="CommonCropping_SourceData.CommonCropping_SourceData_N2OEFOrganicFertiliser_Title" localSheetId="27">_xlfn.LAMBDA("Emission factor for organic fertiliser and crop residues returned to the soil")</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 localSheetId="25">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Common'!CommonLivestock_InputFunctions.LivestockMovement_ProportionalAverageLiveweightAddedDuringMonth(_xlpm.Month, _xlpm.LivestockClass, _xlpm.HeadAtStart) + 'Constants - Common'!CommonLivestock_InputFunctions.LivestockMovement_ProportionalAverageLiveweightRemainingAtEndOfMonth(_xlpm.Month,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Livestock'!CommonLivestock_InputFunctions.LivestockMovement_ProportionalAverageLiveweightAddedDuringMonth(_xlpm.Month, _xlpm.LivestockClass, _xlpm.HeadAtStart) + 'Constants -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Pasture Beef (Enteric)'!CommonLivestock_InputFunctions.LivestockMovement_ProportionalAverageLiveweightAddedDuringMonth(_xlpm.Month, _xlpm.LivestockClass, _xlpm.HeadAtStart) + 'Input - Pasture Beef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 localSheetId="25">_xlfn.LAMBDA(_xlpm.MMS,_xlpm.MMSArray,_xlpm.State,_xlpm.StateArray,_xlpm.ReturnArray, _xlfn.XLOOKUP(_xlpm.MMS, _xlpm.MMSArray, _xlfn.XLOOKUP(_xlpm.State, _xlpm.StateArray, _xlpm.ReturnArray)))</definedName>
    <definedName name="CommonLivestock_InputFunctions.Livestock_LookupMCFState" localSheetId="10">_xlfn.LAMBDA(_xlpm.MMS,_xlpm.MMSArray,_xlpm.State,_xlpm.StateArray,_xlpm.ReturnArray, _xlfn.XLOOKUP(_xlpm.MMS, _xlpm.MMSArray, _xlfn.XLOOKUP(_xlpm.State, _xlpm.StateArray, _xlpm.ReturnArray)))</definedName>
    <definedName name="CommonLivestock_InputFunctions.Livestock_LookupMCFState" localSheetId="11">_xlfn.LAMBDA(_xlpm.MMS,_xlpm.MMSArray,_xlpm.State,_xlpm.StateArray,_xlpm.ReturnArray, _xlfn.XLOOKUP(_xlpm.MMS, _xlpm.MMSArray, _xlfn.XLOOKUP(_xlpm.State, _xlpm.StateArray, _xlpm.ReturnArray)))</definedName>
    <definedName name="CommonLivestock_InputFunctions.Livestock_LookupMCFState" localSheetId="12">_xlfn.LAMBDA(_xlpm.MMS,_xlpm.MMSArray,_xlpm.State,_xlpm.StateArray,_xlpm.ReturnArray, _xlfn.XLOOKUP(_xlpm.MMS, _xlpm.MMSArray, _xlfn.XLOOKUP(_xlpm.State, _xlpm.StateArray, _xlpm.ReturnArray)))</definedName>
    <definedName name="CommonLivestock_InputFunctions.Livestock_LookupMCFState" localSheetId="13">_xlfn.LAMBDA(_xlpm.MMS,_xlpm.MMSArray,_xlpm.State,_xlpm.StateArray,_xlpm.ReturnArray, _xlfn.XLOOKUP(_xlpm.MMS, _xlpm.MMSArray, _xlfn.XLOOKUP(_xlpm.State, _xlpm.StateArray, _xlpm.ReturnArray)))</definedName>
    <definedName name="CommonLivestock_InputFunctions.Livestock_LookupMCFState" localSheetId="14">_xlfn.LAMBDA(_xlpm.MMS,_xlpm.MMSArray,_xlpm.State,_xlpm.StateArray,_xlpm.ReturnArray, _xlfn.XLOOKUP(_xlpm.MMS, _xlpm.MMSArray, _xlfn.XLOOKUP(_xlpm.State, _xlpm.StateArray, _xlpm.ReturnArray)))</definedName>
    <definedName name="CommonLivestock_InputFunctions.Livestock_LookupMCFState" localSheetId="15">_xlfn.LAMBDA(_xlpm.MMS,_xlpm.MMSArray,_xlpm.State,_xlpm.StateArray,_xlpm.ReturnArray, _xlfn.XLOOKUP(_xlpm.MMS, _xlpm.MMSArray, _xlfn.XLOOKUP(_xlpm.State, _xlpm.StateArray, _xlpm.ReturnArray)))</definedName>
    <definedName name="CommonLivestock_InputFunctions.Livestock_LookupMCFState" localSheetId="16">_xlfn.LAMBDA(_xlpm.MMS,_xlpm.MMSArray,_xlpm.State,_xlpm.StateArray,_xlpm.ReturnArray, _xlfn.XLOOKUP(_xlpm.MMS, _xlpm.MMSArray, _xlfn.XLOOKUP(_xlpm.State, _xlpm.StateArray, _xlpm.ReturnArray)))</definedName>
    <definedName name="CommonLivestock_InputFunctions.Livestock_LookupMCFState" localSheetId="17">_xlfn.LAMBDA(_xlpm.MMS,_xlpm.MMSArray,_xlpm.State,_xlpm.StateArray,_xlpm.ReturnArray, _xlfn.XLOOKUP(_xlpm.MMS, _xlpm.MMSArray, _xlfn.XLOOKUP(_xlpm.State, _xlpm.StateArray, _xlpm.ReturnArray)))</definedName>
    <definedName name="CommonLivestock_InputFunctions.Livestock_LookupMCFState" localSheetId="18">_xlfn.LAMBDA(_xlpm.MMS,_xlpm.MMSArray,_xlpm.State,_xlpm.StateArray,_xlpm.ReturnArray, _xlfn.XLOOKUP(_xlpm.MMS, _xlpm.MMSArray, _xlfn.XLOOKUP(_xlpm.State, _xlpm.StateArray, _xlpm.ReturnArray)))</definedName>
    <definedName name="CommonLivestock_InputFunctions.Livestock_LookupMCFState" localSheetId="19">_xlfn.LAMBDA(_xlpm.MMS,_xlpm.MMSArray,_xlpm.State,_xlpm.StateArray,_xlpm.ReturnArray, _xlfn.XLOOKUP(_xlpm.MMS, _xlpm.MMSArray, _xlfn.XLOOKUP(_xlpm.State, _xlpm.StateArray, _xlpm.ReturnArray)))</definedName>
    <definedName name="CommonLivestock_InputFunctions.Livestock_LookupMCFState" localSheetId="20">_xlfn.LAMBDA(_xlpm.MMS,_xlpm.MMSArray,_xlpm.State,_xlpm.StateArray,_xlpm.ReturnArray, _xlfn.XLOOKUP(_xlpm.MMS, _xlpm.MMSArray, _xlfn.XLOOKUP(_xlpm.State, _xlpm.StateArray, _xlpm.ReturnArray)))</definedName>
    <definedName name="CommonLivestock_InputFunctions.Livestock_LookupMCFState" localSheetId="21">_xlfn.LAMBDA(_xlpm.MMS,_xlpm.MMSArray,_xlpm.State,_xlpm.StateArray,_xlpm.ReturnArray, _xlfn.XLOOKUP(_xlpm.MMS, _xlpm.MMSArray, _xlfn.XLOOKUP(_xlpm.State, _xlpm.StateArray, _xlpm.ReturnArray)))</definedName>
    <definedName name="CommonLivestock_InputFunctions.Livestock_LookupMCFState" localSheetId="22">_xlfn.LAMBDA(_xlpm.MMS,_xlpm.MMSArray,_xlpm.State,_xlpm.StateArray,_xlpm.ReturnArray, _xlfn.XLOOKUP(_xlpm.MMS, _xlpm.MMSArray, _xlfn.XLOOKUP(_xlpm.State, _xlpm.StateArray, _xlpm.ReturnArray)))</definedName>
    <definedName name="CommonLivestock_InputFunctions.Livestock_LookupMCFState" localSheetId="23">_xlfn.LAMBDA(_xlpm.MMS,_xlpm.MMSArray,_xlpm.State,_xlpm.StateArray,_xlpm.ReturnArray, _xlfn.XLOOKUP(_xlpm.MMS, _xlpm.MMSArray, _xlfn.XLOOKUP(_xlpm.State, _xlpm.StateArray, _xlpm.ReturnArray)))</definedName>
    <definedName name="CommonLivestock_InputFunctions.Livestock_LookupMCFState" localSheetId="24">_xlfn.LAMBDA(_xlpm.MMS,_xlpm.MMSArray,_xlpm.State,_xlpm.StateArray,_xlpm.ReturnArray, _xlfn.XLOOKUP(_xlpm.MMS, _xlpm.MMSArray, _xlfn.XLOOKUP(_xlpm.State, _xlpm.StateArray, _xlpm.ReturnArray)))</definedName>
    <definedName name="CommonLivestock_InputFunctions.Livestock_LookupMCFState" localSheetId="33">_xlfn.LAMBDA(_xlpm.MMS,_xlpm.MMSArray,_xlpm.State,_xlpm.StateArray,_xlpm.ReturnArray, _xlfn.XLOOKUP(_xlpm.MMS, _xlpm.MMSArray, _xlfn.XLOOKUP(_xlpm.State, _xlpm.StateArray, _xlpm.ReturnArray)))</definedName>
    <definedName name="CommonLivestock_InputFunctions.Livestock_LookupMCFState" localSheetId="27">_xlfn.LAMBDA(_xlpm.MMS,_xlpm.MMSArray,_xlpm.State,_xlpm.StateArray,_xlpm.ReturnArray, _xlfn.XLOOKUP(_xlpm.MMS, _xlpm.MMSArray, _xlfn.XLOOKUP(_xlpm.State, _xlpm.StateArray, _xlpm.ReturnArray)))</definedName>
    <definedName name="CommonLivestock_InputFunctions.Livestock_LookupMCFState" localSheetId="32">_xlfn.LAMBDA(_xlpm.MMS,_xlpm.MMSArray,_xlpm.State,_xlpm.StateArray,_xlpm.ReturnArray, _xlfn.XLOOKUP(_xlpm.MMS, _xlpm.MMSArray, _xlfn.XLOOKUP(_xlpm.State, _xlpm.StateArray, _xlpm.ReturnArray)))</definedName>
    <definedName name="CommonLivestock_InputFunctions.Livestock_LookupMCFState" localSheetId="29">_xlfn.LAMBDA(_xlpm.MMS,_xlpm.MMSArray,_xlpm.State,_xlpm.StateArray,_xlpm.ReturnArray, _xlfn.XLOOKUP(_xlpm.MMS, _xlpm.MMSArray, _xlfn.XLOOKUP(_xlpm.State, _xlpm.StateArray, _xlpm.ReturnArray)))</definedName>
    <definedName name="CommonLivestock_InputFunctions.Livestock_LookupMCFState" localSheetId="30">_xlfn.LAMBDA(_xlpm.MMS,_xlpm.MMSArray,_xlpm.State,_xlpm.StateArray,_xlpm.ReturnArray, _xlfn.XLOOKUP(_xlpm.MMS, _xlpm.MMSArray, _xlfn.XLOOKUP(_xlpm.State, _xlpm.StateArray, _xlpm.ReturnArray)))</definedName>
    <definedName name="CommonLivestock_InputFunctions.Livestock_LookupMCFState" localSheetId="31">_xlfn.LAMBDA(_xlpm.MMS,_xlpm.MMSArray,_xlpm.State,_xlpm.StateArray,_xlpm.ReturnArray, _xlfn.XLOOKUP(_xlpm.MMS, _xlpm.MMSArray, _xlfn.XLOOKUP(_xlpm.State, _xlpm.StateArray, _xlpm.ReturnArray)))</definedName>
    <definedName name="CommonLivestock_InputFunctions.Livestock_LookupMCFState" localSheetId="28">_xlfn.LAMBDA(_xlpm.MMS,_xlpm.MMSArray,_xlpm.State,_xlpm.StateArray,_xlpm.ReturnArray, _xlfn.XLOOKUP(_xlpm.MMS, _xlpm.MMSArray, _xlfn.XLOOKUP(_xlpm.State, _xlpm.StateArray, _xlpm.ReturnArray)))</definedName>
    <definedName name="CommonLivestock_InputFunctions.Livestock_LookupMCFState" localSheetId="26">_xlfn.LAMBDA(_xlpm.MMS,_xlpm.MMSArray,_xlpm.State,_xlpm.StateArray,_xlpm.ReturnArray, _xlfn.XLOOKUP(_xlpm.MMS, _xlpm.MMSArray, _xlfn.XLOOKUP(_xlpm.State, _xlpm.StateArray, _xlpm.ReturnArray)))</definedName>
    <definedName name="CommonLivestock_InputFunctions.Livestock_LookupMCFState" localSheetId="9">_xlfn.LAMBDA(_xlpm.MMS,_xlpm.MMSArray,_xlpm.State,_xlpm.StateArray,_xlpm.ReturnArray, _xlfn.XLOOKUP(_xlpm.MMS, _xlpm.MMSArray, _xlfn.XLOOKUP(_xlpm.State, _xlpm.StateArray, _xlpm.ReturnArray)))</definedName>
    <definedName name="CommonLivestock_InputFunctions.Livestock_LookupMCFState" localSheetId="7">_xlfn.LAMBDA(_xlpm.MMS,_xlpm.MMSArray,_xlpm.State,_xlpm.StateArray,_xlpm.ReturnArray, _xlfn.XLOOKUP(_xlpm.MMS, _xlpm.MMSArray, _xlfn.XLOOKUP(_xlpm.State, _xlpm.StateArray, _xlpm.ReturnArray)))</definedName>
    <definedName name="CommonLivestock_InputFunctions.Livestock_LookupMCFState" localSheetId="8">_xlfn.LAMBDA(_xlpm.MMS,_xlpm.MMSArray,_xlpm.State,_xlpm.StateArray,_xlpm.ReturnArray, _xlfn.XLOOKUP(_xlpm.MMS, _xlpm.MMSArray, _xlfn.XLOOKUP(_xlpm.State, _xlpm.StateArray, _xlpm.ReturnArray)))</definedName>
    <definedName name="CommonLivestock_InputFunctions.Livestock_LookupMCFState" localSheetId="6">_xlfn.LAMBDA(_xlpm.MMS,_xlpm.MMSArray,_xlpm.State,_xlpm.StateArray,_xlpm.ReturnArray, _xlfn.XLOOKUP(_xlpm.MMS, _xlpm.MMSArray, _xlfn.XLOOKUP(_xlpm.State, _xlpm.StateArray, _xlpm.ReturnArray)))</definedName>
    <definedName name="CommonLivestock_InputFunctions.Livestock_LookupMCFState" localSheetId="4">_xlfn.LAMBDA(_xlpm.MMS,_xlpm.MMSArray,_xlpm.State,_xlpm.StateArray,_xlpm.ReturnArray, _xlfn.XLOOKUP(_xlpm.MMS, _xlpm.MMSArray, _xlfn.XLOOKUP(_xlpm.State, _xlpm.StateArray, _xlpm.ReturnArray)))</definedName>
    <definedName name="CommonLivestock_InputFunctions.Livestock_LookupMCFState" localSheetId="5">_xlfn.LAMBDA(_xlpm.MMS,_xlpm.MMSArray,_xlpm.State,_xlpm.StateArray,_xlpm.ReturnArray, _xlfn.XLOOKUP(_xlpm.MMS, _xlpm.MMSArray, _xlfn.XLOOKUP(_xlpm.State, _xlpm.StateArray, _xlpm.ReturnArray)))</definedName>
    <definedName name="CommonLivestock_InputFunctions.Livestock_LookupMCFState" localSheetId="3">_xlfn.LAMBDA(_xlpm.MMS,_xlpm.MMSArray,_xlpm.State,_xlpm.StateArray,_xlpm.ReturnArray, _xlfn.XLOOKUP(_xlpm.MMS, _xlpm.MMSArray, _xlfn.XLOOKUP(_xlpm.State, _xlpm.StateArray, _xlpm.ReturnArray)))</definedName>
    <definedName name="CommonLivestock_InputFunctions.Livestock_LookupMCFState" localSheetId="34">_xlfn.LAMBDA(_xlpm.MMS,_xlpm.MMSArray,_xlpm.State,_xlpm.StateArray,_xlpm.ReturnArray, _xlfn.XLOOKUP(_xlpm.MMS, _xlpm.MMSArray, _xlfn.XLOOKUP(_xlpm.State, _xlpm.StateArray, _xlpm.ReturnArray)))</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25">_xlfn.LAMBDA(_xlpm.Month,_xlpm.LivestockClass, IFERROR('14.1.1-2 Purchased electricity'!CommonLivestock_InputFunctions.LivestockMovement_TotalLiveweightAddedDuringMonth(_xlpm.Month, _xlpm.LivestockClass) / '14.1.1-2 Purchased electricity'!CommonLivestock_InputFunctions.LivestockMovement_HeadAddedDuringMonth(_xlpm.Month, _xlpm.LivestockClass), 0))</definedName>
    <definedName name="CommonLivestock_InputFunctions.LivestockMovement_AverageLiveweightAddedDuringMonth" localSheetId="10">_xlfn.LAMBDA(_xlpm.Month,_xlpm.LivestockClass, IFERROR('3.2.1.1-2 Enteric Methane'!CommonLivestock_InputFunctions.LivestockMovement_TotalLiveweightAddedDuringMonth(_xlpm.Month, _xlpm.LivestockClass) / '3.2.1.1-2 Enteric Methane'!CommonLivestock_InputFunctions.LivestockMovement_HeadAddedDuringMonth(_xlpm.Month, _xlpm.LivestockClass), 0))</definedName>
    <definedName name="CommonLivestock_InputFunctions.LivestockMovement_AverageLiveweightAddedDuringMonth" localSheetId="11">_xlfn.LAMBDA(_xlpm.Month,_xlpm.LivestockClass, IFERROR('4.2.1.1-2 Methane'!CommonLivestock_InputFunctions.LivestockMovement_TotalLiveweightAddedDuringMonth(_xlpm.Month, _xlpm.LivestockClass) / '4.2.1.1-2 Methane'!CommonLivestock_InputFunctions.LivestockMovement_HeadAddedDuringMonth(_xlpm.Month, _xlpm.LivestockClass), 0))</definedName>
    <definedName name="CommonLivestock_InputFunctions.LivestockMovement_AverageLiveweightAddedDuringMonth" localSheetId="12">_xlfn.LAMBDA(_xlpm.Month,_xlpm.LivestockClass, IFERROR('4.2.1.3-4 Soil direct N20'!CommonLivestock_InputFunctions.LivestockMovement_TotalLiveweightAddedDuringMonth(_xlpm.Month, _xlpm.LivestockClass) / '4.2.1.3-4 Soil direct N20'!CommonLivestock_InputFunctions.LivestockMovement_HeadAddedDuringMonth(_xlpm.Month, _xlpm.LivestockClass), 0))</definedName>
    <definedName name="CommonLivestock_InputFunctions.LivestockMovement_AverageLiveweightAddedDuringMonth" localSheetId="13">_xlfn.LAMBDA(_xlpm.Month,_xlpm.LivestockClass, IFERROR('4.2.1.5-6 Soil Atmos Dep'!CommonLivestock_InputFunctions.LivestockMovement_TotalLiveweightAddedDuringMonth(_xlpm.Month, _xlpm.LivestockClass) / '4.2.1.5-6 Soil Atmos Dep'!CommonLivestock_InputFunctions.LivestockMovement_HeadAddedDuringMonth(_xlpm.Month, _xlpm.LivestockClass), 0))</definedName>
    <definedName name="CommonLivestock_InputFunctions.LivestockMovement_AverageLiveweightAddedDuringMonth" localSheetId="14">_xlfn.LAMBDA(_xlpm.Month,_xlpm.LivestockClass, IFERROR('4.2.1.7-8 Soil leach runoff'!CommonLivestock_InputFunctions.LivestockMovement_TotalLiveweightAddedDuringMonth(_xlpm.Month, _xlpm.LivestockClass) / '4.2.1.7-8 Soil leach runoff'!CommonLivestock_InputFunctions.LivestockMovement_HeadAddedDuringMonth(_xlpm.Month, _xlpm.LivestockClass), 0))</definedName>
    <definedName name="CommonLivestock_InputFunctions.LivestockMovement_AverageLiveweightAddedDuringMonth" localSheetId="15">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16">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17">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18">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19">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20">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21">_xlfn.LAMBDA(_xlpm.Month,_xlpm.LivestockClass, IFERROR('6.2.1.1-2 Pasture residue N2O'!CommonLivestock_InputFunctions.LivestockMovement_TotalLiveweightAddedDuringMonth(_xlpm.Month, _xlpm.LivestockClass) / '6.2.1.1-2 Pasture residue N2O'!CommonLivestock_InputFunctions.LivestockMovement_HeadAddedDuringMonth(_xlpm.Month, _xlpm.LivestockClass), 0))</definedName>
    <definedName name="CommonLivestock_InputFunctions.LivestockMovement_AverageLiveweightAddedDuringMonth" localSheetId="22">_xlfn.LAMBDA(_xlpm.Month,_xlpm.LivestockClass, IFERROR('6.3.1.1-2 Leach runoff pasture'!CommonLivestock_InputFunctions.LivestockMovement_TotalLiveweightAddedDuringMonth(_xlpm.Month, _xlpm.LivestockClass) / '6.3.1.1-2 Leach runoff pasture'!CommonLivestock_InputFunctions.LivestockMovement_HeadAddedDuringMonth(_xlpm.Month, _xlpm.LivestockClass), 0))</definedName>
    <definedName name="CommonLivestock_InputFunctions.LivestockMovement_AverageLiveweightAddedDuringMonth" localSheetId="23">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24">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33">_xlfn.LAMBDA(_xlpm.Month,_xlpm.LivestockClass, IFERROR(Acknowledgements!CommonLivestock_InputFunctions.LivestockMovement_TotalLiveweightAddedDuringMonth(_xlpm.Month, _xlpm.LivestockClass) / Acknowledgements!CommonLivestock_InputFunctions.LivestockMovement_HeadAddedDuringMonth(_xlpm.Month, _xlpm.LivestockClass), 0))</definedName>
    <definedName name="CommonLivestock_InputFunctions.LivestockMovement_AverageLiveweightAddedDuringMonth" localSheetId="27">_xlfn.LAMBDA(_xlpm.Month,_xlpm.LivestockClass, IFERROR('Constants - Ag Residue'!CommonLivestock_InputFunctions.LivestockMovement_TotalLiveweightAddedDuringMonth(_xlpm.Month, _xlpm.LivestockClass) / 'Constants - Ag Residue'!CommonLivestock_InputFunctions.LivestockMovement_HeadAddedDuringMonth(_xlpm.Month, _xlpm.LivestockClass), 0))</definedName>
    <definedName name="CommonLivestock_InputFunctions.LivestockMovement_AverageLiveweightAddedDuringMonth" localSheetId="3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IFERROR('Constants - Electricity'!CommonLivestock_InputFunctions.LivestockMovement_TotalLiveweightAddedDuringMonth(_xlpm.Month, _xlpm.LivestockClass) / 'Constants - Electricity'!CommonLivestock_InputFunctions.LivestockMovement_HeadAddedDuringMonth(_xlpm.Month, _xlpm.LivestockClass), 0))</definedName>
    <definedName name="CommonLivestock_InputFunctions.LivestockMovement_AverageLiveweightAddedDuringMonth" localSheetId="30">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31">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28">_xlfn.LAMBDA(_xlpm.Month,_xlpm.LivestockClass, IFERROR('Constants - Livestock'!CommonLivestock_InputFunctions.LivestockMovement_TotalLiveweightAddedDuringMonth(_xlpm.Month, _xlpm.LivestockClass) / 'Constants - Livestock'!CommonLivestock_InputFunctions.LivestockMovement_HeadAddedDuringMonth(_xlpm.Month, _xlpm.LivestockClass), 0))</definedName>
    <definedName name="CommonLivestock_InputFunctions.LivestockMovement_AverageLiveweightAddedDuringMonth" localSheetId="26">_xlfn.LAMBDA(_xlpm.Month,_xlpm.LivestockClass, IFERROR('Constants - Pasture Beef'!CommonLivestock_InputFunctions.LivestockMovement_TotalLiveweightAddedDuringMonth(_xlpm.Month, _xlpm.LivestockClass) / 'Constants - Pasture Beef'!CommonLivestock_InputFunctions.LivestockMovement_HeadAddedDuringMonth(_xlpm.Month, _xlpm.LivestockClass), 0))</definedName>
    <definedName name="CommonLivestock_InputFunctions.LivestockMovement_AverageLiveweightAddedDuringMonth" localSheetId="9">_xlfn.LAMBDA(_xlpm.Month,_xlpm.LivestockClass, IFERROR('Input - Electricity'!CommonLivestock_InputFunctions.LivestockMovement_TotalLiveweightAddedDuringMonth(_xlpm.Month, _xlpm.LivestockClass) / 'Input - Electricity'!CommonLivestock_InputFunctions.LivestockMovement_HeadAddedDuringMonth(_xlpm.Month, _xlpm.LivestockClass), 0))</definedName>
    <definedName name="CommonLivestock_InputFunctions.LivestockMovement_AverageLiveweightAddedDuringMonth" localSheetId="7">_xlfn.LAMBDA(_xlpm.Month,_xlpm.LivestockClass, IFERROR('Input - Fertiliser'!CommonLivestock_InputFunctions.LivestockMovement_TotalLiveweightAddedDuringMonth(_xlpm.Month, _xlpm.LivestockClass) / 'Input - Fertiliser'!CommonLivestock_InputFunctions.LivestockMovement_HeadAddedDuringMonth(_xlpm.Month, _xlpm.LivestockClass), 0))</definedName>
    <definedName name="CommonLivestock_InputFunctions.LivestockMovement_AverageLiveweightAddedDuringMonth" localSheetId="8">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6">_xlfn.LAMBDA(_xlpm.Month,_xlpm.LivestockClass, IFERROR('Input - Pasture'!CommonLivestock_InputFunctions.LivestockMovement_TotalLiveweightAddedDuringMonth(_xlpm.Month, _xlpm.LivestockClass) / 'Input - Pasture'!CommonLivestock_InputFunctions.LivestockMovement_HeadAddedDuringMonth(_xlpm.Month, _xlpm.LivestockClass), 0))</definedName>
    <definedName name="CommonLivestock_InputFunctions.LivestockMovement_AverageLiveweightAddedDuringMonth" localSheetId="4">_xlfn.LAMBDA(_xlpm.Month,_xlpm.LivestockClass, IFERROR('Input - Pasture Beef'!CommonLivestock_InputFunctions.LivestockMovement_TotalLiveweightAddedDuringMonth(_xlpm.Month, _xlpm.LivestockClass) / 'Input - Pasture Beef'!CommonLivestock_InputFunctions.LivestockMovement_HeadAddedDuringMonth(_xlpm.Month, _xlpm.LivestockClass), 0))</definedName>
    <definedName name="CommonLivestock_InputFunctions.LivestockMovement_AverageLiveweightAddedDuringMonth" localSheetId="5">_xlfn.LAMBDA(_xlpm.Month,_xlpm.LivestockClass, IFERROR('Input - Pasture Beef (Enteric)'!CommonLivestock_InputFunctions.LivestockMovement_TotalLiveweightAddedDuringMonth(_xlpm.Month, _xlpm.LivestockClass) / 'Input - Pasture Beef (Enteric)'!CommonLivestock_InputFunctions.LivestockMovement_HeadAddedDuringMonth(_xlpm.Month, _xlpm.LivestockClass), 0))</definedName>
    <definedName name="CommonLivestock_InputFunctions.LivestockMovement_AverageLiveweightAddedDuringMonth" localSheetId="3">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34">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 localSheetId="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25">_xlfn.LAMBDA(_xlpm.HeadAtStart,_xlpm.Month,_xlpm.LivestockClass, _xlpm.HeadAtStart + '14.1.1-2 Purchased electricity'!CommonLivestock_InputFunctions.LivestockMovement_HeadAddedDuringMonth(_xlpm.Month, _xlpm.LivestockClass) - '14.1.1-2 Purchased electricity'!CommonLivestock_InputFunctions.LivestockMovement_HeadLostDuringMonth(_xlpm.Month, _xlpm.LivestockClass))</definedName>
    <definedName name="CommonLivestock_InputFunctions.LivestockMovement_HeadAtEndOfMonth" localSheetId="10">_xlfn.LAMBDA(_xlpm.HeadAtStart,_xlpm.Month,_xlpm.LivestockClass, _xlpm.HeadAtStart + '3.2.1.1-2 Enteric Methane'!CommonLivestock_InputFunctions.LivestockMovement_HeadAddedDuringMonth(_xlpm.Month, _xlpm.LivestockClass) - '3.2.1.1-2 Enteric Methane'!CommonLivestock_InputFunctions.LivestockMovement_HeadLostDuringMonth(_xlpm.Month, _xlpm.LivestockClass))</definedName>
    <definedName name="CommonLivestock_InputFunctions.LivestockMovement_HeadAtEndOfMonth" localSheetId="11">_xlfn.LAMBDA(_xlpm.HeadAtStart,_xlpm.Month,_xlpm.LivestockClass, _xlpm.HeadAtStart + '4.2.1.1-2 Methane'!CommonLivestock_InputFunctions.LivestockMovement_HeadAddedDuringMonth(_xlpm.Month, _xlpm.LivestockClass) - '4.2.1.1-2 Methane'!CommonLivestock_InputFunctions.LivestockMovement_HeadLostDuringMonth(_xlpm.Month, _xlpm.LivestockClass))</definedName>
    <definedName name="CommonLivestock_InputFunctions.LivestockMovement_HeadAtEndOfMonth" localSheetId="12">_xlfn.LAMBDA(_xlpm.HeadAtStart,_xlpm.Month,_xlpm.LivestockClass, _xlpm.HeadAtStart + '4.2.1.3-4 Soil direct N20'!CommonLivestock_InputFunctions.LivestockMovement_HeadAddedDuringMonth(_xlpm.Month, _xlpm.LivestockClass) - '4.2.1.3-4 Soil direct N20'!CommonLivestock_InputFunctions.LivestockMovement_HeadLostDuringMonth(_xlpm.Month,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'4.2.1.5-6 Soil Atmos Dep'!CommonLivestock_InputFunctions.LivestockMovement_HeadAddedDuringMonth(_xlpm.Month, _xlpm.LivestockClass) - '4.2.1.5-6 Soil Atmos Dep'!CommonLivestock_InputFunctions.LivestockMovement_HeadLostDuringMonth(_xlpm.Month, _xlpm.LivestockClass))</definedName>
    <definedName name="CommonLivestock_InputFunctions.LivestockMovement_HeadAtEndOfMonth" localSheetId="14">_xlfn.LAMBDA(_xlpm.HeadAtStart,_xlpm.Month,_xlpm.LivestockClass, _xlpm.HeadAtStart + '4.2.1.7-8 Soil leach runoff'!CommonLivestock_InputFunctions.LivestockMovement_HeadAddedDuringMonth(_xlpm.Month, _xlpm.LivestockClass) - '4.2.1.7-8 Soil leach runoff'!CommonLivestock_InputFunctions.LivestockMovement_HeadLostDuringMonth(_xlpm.Month, _xlpm.LivestockClass))</definedName>
    <definedName name="CommonLivestock_InputFunctions.LivestockMovement_HeadAtEndOfMonth" localSheetId="15">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16">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17">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18">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19">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20">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21">_xlfn.LAMBDA(_xlpm.HeadAtStart,_xlpm.Month,_xlpm.LivestockClass, _xlpm.HeadAtStart + '6.2.1.1-2 Pasture residue N2O'!CommonLivestock_InputFunctions.LivestockMovement_HeadAddedDuringMonth(_xlpm.Month, _xlpm.LivestockClass) - '6.2.1.1-2 Pasture residue N2O'!CommonLivestock_InputFunctions.LivestockMovement_HeadLostDuringMonth(_xlpm.Month, _xlpm.LivestockClass))</definedName>
    <definedName name="CommonLivestock_InputFunctions.LivestockMovement_HeadAtEndOfMonth" localSheetId="22">_xlfn.LAMBDA(_xlpm.HeadAtStart,_xlpm.Month,_xlpm.LivestockClass, _xlpm.HeadAtStart + '6.3.1.1-2 Leach runoff pasture'!CommonLivestock_InputFunctions.LivestockMovement_HeadAddedDuringMonth(_xlpm.Month, _xlpm.LivestockClass) - '6.3.1.1-2 Leach runoff pasture'!CommonLivestock_InputFunctions.LivestockMovement_HeadLostDuringMonth(_xlpm.Month, _xlpm.LivestockClass))</definedName>
    <definedName name="CommonLivestock_InputFunctions.LivestockMovement_HeadAtEndOfMonth" localSheetId="23">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24">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33">_xlfn.LAMBDA(_xlpm.HeadAtStart,_xlpm.Month,_xlpm.LivestockClass, _xlpm.HeadAtStart + Acknowledgements!CommonLivestock_InputFunctions.LivestockMovement_HeadAddedDuringMonth(_xlpm.Month, _xlpm.LivestockClass) - Acknowledgements!CommonLivestock_InputFunctions.LivestockMovement_HeadLostDuringMonth(_xlpm.Month, _xlpm.LivestockClass))</definedName>
    <definedName name="CommonLivestock_InputFunctions.LivestockMovement_HeadAtEndOfMonth" localSheetId="27">_xlfn.LAMBDA(_xlpm.HeadAtStart,_xlpm.Month,_xlpm.LivestockClass, _xlpm.HeadAtStart + 'Constants - Ag Residue'!CommonLivestock_InputFunctions.LivestockMovement_HeadAddedDuringMonth(_xlpm.Month, _xlpm.LivestockClass) - 'Constants - Ag Residue'!CommonLivestock_InputFunctions.LivestockMovement_HeadLostDuringMonth(_xlpm.Month, _xlpm.LivestockClass))</definedName>
    <definedName name="CommonLivestock_InputFunctions.LivestockMovement_HeadAtEndOfMonth" localSheetId="3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'Constants - Electricity'!CommonLivestock_InputFunctions.LivestockMovement_HeadAddedDuringMonth(_xlpm.Month, _xlpm.LivestockClass) - 'Constants - Electricity'!CommonLivestock_InputFunctions.LivestockMovement_HeadLostDuringMonth(_xlpm.Month, _xlpm.LivestockClass))</definedName>
    <definedName name="CommonLivestock_InputFunctions.LivestockMovement_HeadAtEndOfMonth" localSheetId="30">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31">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28">_xlfn.LAMBDA(_xlpm.HeadAtStart,_xlpm.Month,_xlpm.LivestockClass, _xlpm.HeadAtStart + 'Constants - Livestock'!CommonLivestock_InputFunctions.LivestockMovement_HeadAddedDuringMonth(_xlpm.Month, _xlpm.LivestockClass) - 'Constants - Livestock'!CommonLivestock_InputFunctions.LivestockMovement_HeadLostDuringMonth(_xlpm.Month, _xlpm.LivestockClass))</definedName>
    <definedName name="CommonLivestock_InputFunctions.LivestockMovement_HeadAtEndOfMonth" localSheetId="26">_xlfn.LAMBDA(_xlpm.HeadAtStart,_xlpm.Month,_xlpm.LivestockClass, _xlpm.HeadAtStart + 'Constants - Pasture Beef'!CommonLivestock_InputFunctions.LivestockMovement_HeadAddedDuringMonth(_xlpm.Month, _xlpm.LivestockClass) - 'Constants - Pasture Beef'!CommonLivestock_InputFunctions.LivestockMovement_HeadLostDuringMonth(_xlpm.Month, _xlpm.LivestockClass))</definedName>
    <definedName name="CommonLivestock_InputFunctions.LivestockMovement_HeadAtEndOfMonth" localSheetId="9">_xlfn.LAMBDA(_xlpm.HeadAtStart,_xlpm.Month,_xlpm.LivestockClass, _xlpm.HeadAtStart + 'Input - Electricity'!CommonLivestock_InputFunctions.LivestockMovement_HeadAddedDuringMonth(_xlpm.Month, _xlpm.LivestockClass) - 'Input - Electricity'!CommonLivestock_InputFunctions.LivestockMovement_HeadLostDuringMonth(_xlpm.Month, _xlpm.LivestockClass))</definedName>
    <definedName name="CommonLivestock_InputFunctions.LivestockMovement_HeadAtEndOfMonth" localSheetId="7">_xlfn.LAMBDA(_xlpm.HeadAtStart,_xlpm.Month,_xlpm.LivestockClass, _xlpm.HeadAtStart + 'Input - Fertiliser'!CommonLivestock_InputFunctions.LivestockMovement_HeadAddedDuringMonth(_xlpm.Month, _xlpm.LivestockClass) - 'Input - Fertiliser'!CommonLivestock_InputFunctions.LivestockMovement_HeadLostDuringMonth(_xlpm.Month, _xlpm.LivestockClass))</definedName>
    <definedName name="CommonLivestock_InputFunctions.LivestockMovement_HeadAtEndOfMonth" localSheetId="8">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6">_xlfn.LAMBDA(_xlpm.HeadAtStart,_xlpm.Month,_xlpm.LivestockClass, _xlpm.HeadAtStart + 'Input - Pasture'!CommonLivestock_InputFunctions.LivestockMovement_HeadAddedDuringMonth(_xlpm.Month, _xlpm.LivestockClass) - 'Input - Pasture'!CommonLivestock_InputFunctions.LivestockMovement_HeadLostDuringMonth(_xlpm.Month, _xlpm.LivestockClass))</definedName>
    <definedName name="CommonLivestock_InputFunctions.LivestockMovement_HeadAtEndOfMonth" localSheetId="4">_xlfn.LAMBDA(_xlpm.HeadAtStart,_xlpm.Month,_xlpm.LivestockClass, _xlpm.HeadAtStart + 'Input - Pasture Beef'!CommonLivestock_InputFunctions.LivestockMovement_HeadAddedDuringMonth(_xlpm.Month, _xlpm.LivestockClass) - 'Input - Pasture Beef'!CommonLivestock_InputFunctions.LivestockMovement_HeadLostDuringMonth(_xlpm.Month, _xlpm.LivestockClass))</definedName>
    <definedName name="CommonLivestock_InputFunctions.LivestockMovement_HeadAtEndOfMonth" localSheetId="5">_xlfn.LAMBDA(_xlpm.HeadAtStart,_xlpm.Month,_xlpm.LivestockClass, _xlpm.HeadAtStart + 'Input - Pasture Beef (Enteric)'!CommonLivestock_InputFunctions.LivestockMovement_HeadAddedDuringMonth(_xlpm.Month, _xlpm.LivestockClass) - 'Input - Pasture Beef (Enteric)'!CommonLivestock_InputFunctions.LivestockMovement_HeadLostDuringMonth(_xlpm.Month,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34">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 localSheetId="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25">_xlfn.LAMBDA(_xlpm.Month,_xlpm.LivestockClass,_xlpm.HeadAtStartOfMonth, MAX(_xlpm.HeadAtStartOfMonth - '14.1.1-2 Purchased electricity'!CommonLivestock_InputFunctions.LivestockMovement_HeadLostDuringMonth(_xlpm.Month,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'3.2.1.1-2 Enteric Methane'!CommonLivestock_InputFunctions.LivestockMovement_HeadLostDuringMonth(_xlpm.Month,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'4.2.1.1-2 Methane'!CommonLivestock_InputFunctions.LivestockMovement_HeadLostDuringMonth(_xlpm.Month,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'4.2.1.3-4 Soil direct N20'!CommonLivestock_InputFunctions.LivestockMovement_HeadLostDuringMonth(_xlpm.Month,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'4.2.1.5-6 Soil Atmos Dep'!CommonLivestock_InputFunctions.LivestockMovement_HeadLostDuringMonth(_xlpm.Month,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'4.2.1.7-8 Soil leach runoff'!CommonLivestock_InputFunctions.LivestockMovement_HeadLostDuringMonth(_xlpm.Month,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'6.2.1.1-2 Pasture residue N2O'!CommonLivestock_InputFunctions.LivestockMovement_HeadLostDuringMonth(_xlpm.Month,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'6.3.1.1-2 Leach runoff pasture'!CommonLivestock_InputFunctions.LivestockMovement_HeadLostDuringMonth(_xlpm.Month,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Acknowledgements!CommonLivestock_InputFunctions.LivestockMovement_HeadLostDuringMonth(_xlpm.Month,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'Constants - Ag Residue'!CommonLivestock_InputFunctions.LivestockMovement_HeadLostDuringMonth(_xlpm.Month,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'Constants - Electricity'!CommonLivestock_InputFunctions.LivestockMovement_HeadLostDuringMonth(_xlpm.Month,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'Constants - Livestock'!CommonLivestock_InputFunctions.LivestockMovement_HeadLostDuringMonth(_xlpm.Month,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'Constants - Pasture Beef'!CommonLivestock_InputFunctions.LivestockMovement_HeadLostDuringMonth(_xlpm.Month,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'Input - Electricity'!CommonLivestock_InputFunctions.LivestockMovement_HeadLostDuringMonth(_xlpm.Month,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'Input - Fertiliser'!CommonLivestock_InputFunctions.LivestockMovement_HeadLostDuringMonth(_xlpm.Month,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'Input - Pasture'!CommonLivestock_InputFunctions.LivestockMovement_HeadLostDuringMonth(_xlpm.Month,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'Input - Pasture Beef'!CommonLivestock_InputFunctions.LivestockMovement_HeadLostDuringMonth(_xlpm.Month,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'Input - Pasture Beef (Enteric)'!CommonLivestock_InputFunctions.LivestockMovement_HeadLostDuringMonth(_xlpm.Month,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25">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Common'!CommonLivestock_InputFunctions.LivestockMovement_LiveweightGrownDuringMonthPerHead(_xlpm.LivestockClass,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Livestock'!CommonLivestock_InputFunctions.LivestockMovement_LiveweightGrownDuringMonthPerHead(_xlpm.LivestockClass,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Pasture Beef (Enteric)'!CommonLivestock_InputFunctions.LivestockMovement_LiveweightGrownDuringMonthPerHead(_xlpm.LivestockClass,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25">_xlfn.LAMBDA(_xlpm.LivestockClass,_xlpm.MovementDate, IFERROR('14.1.1-2 Purchased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IFERROR('3.2.1.1-2 Enteric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IFERROR('4.2.1.1-2 Methane'!CommonLivestock_InputFunctions.LivestockMovement_GetMovementLiveweightGain(_xlpm.LivestockClass,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IFERROR('4.2.1.3-4 Soil direct N20'!CommonLivestock_InputFunctions.LivestockMovement_GetMovementLiveweightGain(_xlpm.LivestockClass,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IFERROR('4.2.1.5-6 Soil Atmos Dep'!CommonLivestock_InputFunctions.LivestockMovement_GetMovementLiveweightGain(_xlpm.LivestockClass,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IFERROR('4.2.1.7-8 Soil leach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IFERROR('6.2.1.1-2 Pasture residue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IFERROR('6.3.1.1-2 Leach runoff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IFERROR(Acknowledgements!CommonLivestock_InputFunctions.LivestockMovement_GetMovementLiveweightGain(_xlpm.LivestockClass,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IFERROR('Constants - Ag Residue'!CommonLivestock_InputFunctions.LivestockMovement_GetMovementLiveweightGain(_xlpm.LivestockClass,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IFERROR('Constants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IFERROR('Constants - Livestock'!CommonLivestock_InputFunctions.LivestockMovement_GetMovementLiveweightGain(_xlpm.LivestockClass,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IFERROR('Constants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IFERROR('Input - Electricity'!CommonLivestock_InputFunctions.LivestockMovement_GetMovementLiveweightGain(_xlpm.LivestockClass,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IFERROR('Input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IFERROR('Input - Pasture'!CommonLivestock_InputFunctions.LivestockMovement_GetMovementLiveweightGain(_xlpm.LivestockClass,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IFERROR('Input - Pasture Beef'!CommonLivestock_InputFunctions.LivestockMovement_GetMovementLiveweightGain(_xlpm.LivestockClass,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IFERROR('Input - Pasture Beef (Enteric)'!CommonLivestock_InputFunctions.LivestockMovement_GetMovementLiveweightGain(_xlpm.LivestockClass,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25">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Common'!CommonLivestock_InputFunctions.LivestockMovement_LiveweightGrownDuringMonthPerHead(_xlpm.LivestockClass,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Livestock'!CommonLivestock_InputFunctions.LivestockMovement_LiveweightGrownDuringMonthPerHead(_xlpm.LivestockClass,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Pasture Beef (Enteric)'!CommonLivestock_InputFunctions.LivestockMovement_LiveweightGrownDuringMonthPerHead(_xlpm.LivestockClass,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25">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Common'!CommonLivestock_InputFunctions.LivestockMovement_HeadRemainingAtMonthEnd(_xlpm.Month, _xlpm.LivestockClass, _xlpm.HeadAtStartOfMonth) * 'Constants - Common'!CommonLivestock_InputFunctions.LivestockMovement_LiveweightGrownFromMonthStartPerHead(_xlpm.LivestockClass,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Livestock'!CommonLivestock_InputFunctions.LivestockMovement_HeadRemainingAtMonthEnd(_xlpm.Month, _xlpm.LivestockClass, _xlpm.HeadAtStartOfMonth) * 'Constants - Livestock'!CommonLivestock_InputFunctions.LivestockMovement_LiveweightGrownFromMonthStartPerHead(_xlpm.LivestockClass,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Pasture Beef (Enteric)'!CommonLivestock_InputFunctions.LivestockMovement_HeadRemainingAtMonthEnd(_xlpm.Month, _xlpm.LivestockClass, _xlpm.HeadAtStartOfMonth) * 'Input - Pasture Beef (Enteric)'!CommonLivestock_InputFunctions.LivestockMovement_LiveweightGrownFromMonthStartPerHead(_xlpm.LivestockClass,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25">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Common'!CommonLivestock_InputFunctions.LivestockMovement_LiveweightGrownDuringMonthPerHead(_xlpm.LivestockClass,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Livestock'!CommonLivestock_InputFunctions.LivestockMovement_LiveweightGrownDuringMonthPerHead(_xlpm.LivestockClass,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Pasture Beef (Enteric)'!CommonLivestock_InputFunctions.LivestockMovement_LiveweightGrownDuringMonthPerHead(_xlpm.LivestockClass,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25">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Common'!CommonLivestock_InputFunctions.LivestockMovement_ProportionHeadAddedDuringMonth(_xlpm.Month, _xlpm.LivestockClass, _xlpm.HeadAtStart) * 'Constants - Common'!CommonLivestock_InputFunctions.LivestockMovement_AverageLiveweightAddedDuringMonth(_xlpm.Month,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Livestock'!CommonLivestock_InputFunctions.LivestockMovement_ProportionHeadAddedDuringMonth(_xlpm.Month, _xlpm.LivestockClass, _xlpm.HeadAtStart) * 'Constants - Livestock'!CommonLivestock_InputFunctions.LivestockMovement_AverageLiveweightAddedDuringMonth(_xlpm.Month,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Pasture Beef (Enteric)'!CommonLivestock_InputFunctions.LivestockMovement_ProportionHeadAddedDuringMonth(_xlpm.Month, _xlpm.LivestockClass, _xlpm.HeadAtStart) * 'Input - Pasture Beef (Enteric)'!CommonLivestock_InputFunctions.LivestockMovement_AverageLiveweightAddedDuringMonth(_xlpm.Month,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25">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Common'!CommonLivestock_InputFunctions.LivestockMovement_ProportionHeadRemainingAtEndOfMonth(_xlpm.Month,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Pasture Beef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25">_xlfn.LAMBDA(_xlpm.Month,_xlpm.LivestockClass,_xlpm.HeadAtStart, IFERROR(MIN(1, '14.1.1-2 Purchased electricity'!CommonLivestock_InputFunctions.LivestockMovement_HeadAddedDuringMonth(_xlpm.Month,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'3.2.1.1-2 Enteric Methane'!CommonLivestock_InputFunctions.LivestockMovement_HeadAddedDuringMonth(_xlpm.Month,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'4.2.1.1-2 Methane'!CommonLivestock_InputFunctions.LivestockMovement_HeadAddedDuringMonth(_xlpm.Month,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'4.2.1.3-4 Soil direct N20'!CommonLivestock_InputFunctions.LivestockMovement_HeadAddedDuringMonth(_xlpm.Month,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'4.2.1.5-6 Soil Atmos Dep'!CommonLivestock_InputFunctions.LivestockMovement_HeadAddedDuringMonth(_xlpm.Month,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'4.2.1.7-8 Soil leach runoff'!CommonLivestock_InputFunctions.LivestockMovement_HeadAddedDuringMonth(_xlpm.Month,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'6.2.1.1-2 Pasture residue N2O'!CommonLivestock_InputFunctions.LivestockMovement_HeadAddedDuringMonth(_xlpm.Month,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'6.3.1.1-2 Leach runoff pasture'!CommonLivestock_InputFunctions.LivestockMovement_HeadAddedDuringMonth(_xlpm.Month,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Acknowledgements!CommonLivestock_InputFunctions.LivestockMovement_HeadAddedDuringMonth(_xlpm.Month,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'Constants - Ag Residue'!CommonLivestock_InputFunctions.LivestockMovement_HeadAddedDuringMonth(_xlpm.Month,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Common'!CommonLivestock_InputFunctions.LivestockMovement_HeadAtEndOfMonth(_xlpm.HeadAtStart,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'Constants - Electricity'!CommonLivestock_InputFunctions.LivestockMovement_HeadAddedDuringMonth(_xlpm.Month,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'Constants - Livestock'!CommonLivestock_InputFunctions.LivestockMovement_HeadAddedDuringMonth(_xlpm.Month, _xlpm.LivestockClass) / 'Constants - Livestock'!CommonLivestock_InputFunctions.LivestockMovement_HeadAtEndOfMonth(_xlpm.HeadAtStart,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'Constants - Pasture Beef'!CommonLivestock_InputFunctions.LivestockMovement_HeadAddedDuringMonth(_xlpm.Month,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'Input - Electricity'!CommonLivestock_InputFunctions.LivestockMovement_HeadAddedDuringMonth(_xlpm.Month,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'Input - Fertiliser'!CommonLivestock_InputFunctions.LivestockMovement_HeadAddedDuringMonth(_xlpm.Month,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'Input - Pasture'!CommonLivestock_InputFunctions.LivestockMovement_HeadAddedDuringMonth(_xlpm.Month,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'Input - Pasture Beef'!CommonLivestock_InputFunctions.LivestockMovement_HeadAddedDuringMonth(_xlpm.Month,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'Input - Pasture Beef (Enteric)'!CommonLivestock_InputFunctions.LivestockMovement_HeadAddedDuringMonth(_xlpm.Month, _xlpm.LivestockClass) / 'Input - Pasture Beef (Enteric)'!CommonLivestock_InputFunctions.LivestockMovement_HeadAtEndOfMonth(_xlpm.HeadAtStart,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Common'!CommonLivestock_InputFunctions.LivestockMovement_HeadRemainingAtMonthEnd(_xlpm.Month, _xlpm.LivestockClass, _xlpm.HeadAtStart) / 'Constants - Common'!CommonLivestock_InputFunctions.LivestockMovement_HeadAtEndOfMonth(_xlpm.HeadAtStart,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Livestock'!CommonLivestock_InputFunctions.LivestockMovement_HeadRemainingAtMonthEnd(_xlpm.Month, _xlpm.LivestockClass, _xlpm.HeadAtStart) / 'Constants - Livestock'!CommonLivestock_InputFunctions.LivestockMovement_HeadAtEndOfMonth(_xlpm.HeadAtStart,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Pasture Beef (Enteric)'!CommonLivestock_InputFunctions.LivestockMovement_HeadRemainingAtMonthEnd(_xlpm.Month, _xlpm.LivestockClass, _xlpm.HeadAtStart) / 'Input - Pasture Beef (Enteric)'!CommonLivestock_InputFunctions.LivestockMovement_HeadAtEndOfMonth(_xlpm.HeadAtStart,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 localSheetId="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 localSheetId="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25">_xlfn.LAMBDA(_xlpm.Month,_xlpm.LivestockClass,_xlpm.HeadAtStart, '14.1.1-2 Purchased electricity'!CommonLivestock_InputFunctions.LivestockMovement_LiveweightGrownFromMonthStartTotal(_xlpm.LivestockClass, _xlpm.Month, _xlpm.HeadAtStart) + '14.1.1-2 Purchased electricity'!CommonLivestock_InputFunctions.LivestockMovement_TotalLiveweightGrownDuringMonth(_xlpm.Month,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'3.2.1.1-2 Enteric Methane'!CommonLivestock_InputFunctions.LivestockMovement_LiveweightGrownFromMonthStartTotal(_xlpm.LivestockClass, _xlpm.Month, _xlpm.HeadAtStart) + '3.2.1.1-2 Enteric Methane'!CommonLivestock_InputFunctions.LivestockMovement_TotalLiveweightGrownDuringMonth(_xlpm.Month,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'4.2.1.1-2 Methane'!CommonLivestock_InputFunctions.LivestockMovement_LiveweightGrownFromMonthStartTotal(_xlpm.LivestockClass, _xlpm.Month, _xlpm.HeadAtStart) + '4.2.1.1-2 Methane'!CommonLivestock_InputFunctions.LivestockMovement_TotalLiveweightGrownDuringMonth(_xlpm.Month,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'4.2.1.3-4 Soil direct N20'!CommonLivestock_InputFunctions.LivestockMovement_LiveweightGrownFromMonthStartTotal(_xlpm.LivestockClass, _xlpm.Month, _xlpm.HeadAtStart) + '4.2.1.3-4 Soil direct N20'!CommonLivestock_InputFunctions.LivestockMovement_TotalLiveweightGrownDuringMonth(_xlpm.Month,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'4.2.1.5-6 Soil Atmos Dep'!CommonLivestock_InputFunctions.LivestockMovement_LiveweightGrownFromMonthStartTotal(_xlpm.LivestockClass, _xlpm.Month, _xlpm.HeadAtStart) + '4.2.1.5-6 Soil Atmos Dep'!CommonLivestock_InputFunctions.LivestockMovement_TotalLiveweightGrownDuringMonth(_xlpm.Month,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'4.2.1.7-8 Soil leach runoff'!CommonLivestock_InputFunctions.LivestockMovement_LiveweightGrownFromMonthStartTotal(_xlpm.LivestockClass, _xlpm.Month, _xlpm.HeadAtStart) + '4.2.1.7-8 Soil leach runoff'!CommonLivestock_InputFunctions.LivestockMovement_TotalLiveweightGrownDuringMonth(_xlpm.Month,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'6.2.1.1-2 Pasture residue N2O'!CommonLivestock_InputFunctions.LivestockMovement_LiveweightGrownFromMonthStartTotal(_xlpm.LivestockClass, _xlpm.Month, _xlpm.HeadAtStart) + '6.2.1.1-2 Pasture residue N2O'!CommonLivestock_InputFunctions.LivestockMovement_TotalLiveweightGrownDuringMonth(_xlpm.Month,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'6.3.1.1-2 Leach runoff pasture'!CommonLivestock_InputFunctions.LivestockMovement_LiveweightGrownFromMonthStartTotal(_xlpm.LivestockClass, _xlpm.Month, _xlpm.HeadAtStart) + '6.3.1.1-2 Leach runoff pasture'!CommonLivestock_InputFunctions.LivestockMovement_TotalLiveweightGrownDuringMonth(_xlpm.Month,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Acknowledgements!CommonLivestock_InputFunctions.LivestockMovement_LiveweightGrownFromMonthStartTotal(_xlpm.LivestockClass, _xlpm.Month, _xlpm.HeadAtStart) + Acknowledgements!CommonLivestock_InputFunctions.LivestockMovement_TotalLiveweightGrownDuringMonth(_xlpm.Month,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'Constants - Ag Residue'!CommonLivestock_InputFunctions.LivestockMovement_LiveweightGrownFromMonthStartTotal(_xlpm.LivestockClass, _xlpm.Month, _xlpm.HeadAtStart) + 'Constants - Ag Residue'!CommonLivestock_InputFunctions.LivestockMovement_TotalLiveweightGrownDuringMonth(_xlpm.Month,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Common'!CommonLivestock_InputFunctions.LivestockMovement_LiveweightGrownFromMonthStartTotal(_xlpm.LivestockClass,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Electricity'!CommonLivestock_InputFunctions.LivestockMovement_LiveweightGrownFromMonthStartTotal(_xlpm.LivestockClass, _xlpm.Month, _xlpm.HeadAtStart) + 'Constants - Electricity'!CommonLivestock_InputFunctions.LivestockMovement_TotalLiveweightGrownDuringMonth(_xlpm.Month,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Livestock'!CommonLivestock_InputFunctions.LivestockMovement_LiveweightGrownFromMonthStartTotal(_xlpm.LivestockClass, _xlpm.Month, _xlpm.HeadAtStart) + 'Constants - Livestock'!CommonLivestock_InputFunctions.LivestockMovement_TotalLiveweightGrownDuringMonth(_xlpm.Month,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Pasture Beef'!CommonLivestock_InputFunctions.LivestockMovement_LiveweightGrownFromMonthStartTotal(_xlpm.LivestockClass, _xlpm.Month, _xlpm.HeadAtStart) + 'Constants - Pasture Beef'!CommonLivestock_InputFunctions.LivestockMovement_TotalLiveweightGrownDuringMonth(_xlpm.Month,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'Input - Electricity'!CommonLivestock_InputFunctions.LivestockMovement_LiveweightGrownFromMonthStartTotal(_xlpm.LivestockClass, _xlpm.Month, _xlpm.HeadAtStart) + 'Input - Electricity'!CommonLivestock_InputFunctions.LivestockMovement_TotalLiveweightGrownDuringMonth(_xlpm.Month,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Fertiliser'!CommonLivestock_InputFunctions.LivestockMovement_LiveweightGrownFromMonthStartTotal(_xlpm.LivestockClass, _xlpm.Month, _xlpm.HeadAtStart) + 'Input - Fertiliser'!CommonLivestock_InputFunctions.LivestockMovement_TotalLiveweightGrownDuringMonth(_xlpm.Month,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'Input - Pasture'!CommonLivestock_InputFunctions.LivestockMovement_LiveweightGrownFromMonthStartTotal(_xlpm.LivestockClass, _xlpm.Month, _xlpm.HeadAtStart) + 'Input - Pasture'!CommonLivestock_InputFunctions.LivestockMovement_TotalLiveweightGrownDuringMonth(_xlpm.Month,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Pasture Beef'!CommonLivestock_InputFunctions.LivestockMovement_LiveweightGrownFromMonthStartTotal(_xlpm.LivestockClass, _xlpm.Month, _xlpm.HeadAtStart) + 'Input - Pasture Beef'!CommonLivestock_InputFunctions.LivestockMovement_TotalLiveweightGrownDuringMonth(_xlpm.Month,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Pasture Beef (Enteric)'!CommonLivestock_InputFunctions.LivestockMovement_LiveweightGrownFromMonthStartTotal(_xlpm.LivestockClass, _xlpm.Month, _xlpm.HeadAtStart) + 'Input - Pasture Beef (Enteric)'!CommonLivestock_InputFunctions.LivestockMovement_TotalLiveweightGrownDuringMonth(_xlpm.Month,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 localSheetId="1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5">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19">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1">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2">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0">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8">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2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7">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6">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 localSheetId="34">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 localSheetId="10">_xlfn.LAMBDA("National Inventory Report 2023 Volume 1: Equations 3.B.5a_3, 3.B.5c_3, 3.B.5d_3")</definedName>
    <definedName name="CommonLivestock_SourceData.SourceData_Livestock_Common_FracLEACH_MS_Source" localSheetId="11">_xlfn.LAMBDA("National Inventory Report 2023 Volume 1: Equations 3.B.5a_3, 3.B.5c_3, 3.B.5d_3")</definedName>
    <definedName name="CommonLivestock_SourceData.SourceData_Livestock_Common_FracLEACH_MS_Source" localSheetId="12">_xlfn.LAMBDA("National Inventory Report 2023 Volume 1: Equations 3.B.5a_3, 3.B.5c_3, 3.B.5d_3")</definedName>
    <definedName name="CommonLivestock_SourceData.SourceData_Livestock_Common_FracLEACH_MS_Source" localSheetId="13">_xlfn.LAMBDA("National Inventory Report 2023 Volume 1: Equations 3.B.5a_3, 3.B.5c_3, 3.B.5d_3")</definedName>
    <definedName name="CommonLivestock_SourceData.SourceData_Livestock_Common_FracLEACH_MS_Source" localSheetId="14">_xlfn.LAMBDA("National Inventory Report 2023 Volume 1: Equations 3.B.5a_3, 3.B.5c_3, 3.B.5d_3")</definedName>
    <definedName name="CommonLivestock_SourceData.SourceData_Livestock_Common_FracLEACH_MS_Source" localSheetId="15">_xlfn.LAMBDA("National Inventory Report 2023 Volume 1: Equations 3.B.5a_3, 3.B.5c_3, 3.B.5d_3")</definedName>
    <definedName name="CommonLivestock_SourceData.SourceData_Livestock_Common_FracLEACH_MS_Source" localSheetId="16">_xlfn.LAMBDA("National Inventory Report 2023 Volume 1: Equations 3.B.5a_3, 3.B.5c_3, 3.B.5d_3")</definedName>
    <definedName name="CommonLivestock_SourceData.SourceData_Livestock_Common_FracLEACH_MS_Source" localSheetId="17">_xlfn.LAMBDA("National Inventory Report 2023 Volume 1: Equations 3.B.5a_3, 3.B.5c_3, 3.B.5d_3")</definedName>
    <definedName name="CommonLivestock_SourceData.SourceData_Livestock_Common_FracLEACH_MS_Source" localSheetId="18">_xlfn.LAMBDA("National Inventory Report 2023 Volume 1: Equations 3.B.5a_3, 3.B.5c_3, 3.B.5d_3")</definedName>
    <definedName name="CommonLivestock_SourceData.SourceData_Livestock_Common_FracLEACH_MS_Source" localSheetId="19">_xlfn.LAMBDA("National Inventory Report 2023 Volume 1: Equations 3.B.5a_3, 3.B.5c_3, 3.B.5d_3")</definedName>
    <definedName name="CommonLivestock_SourceData.SourceData_Livestock_Common_FracLEACH_MS_Source" localSheetId="20">_xlfn.LAMBDA("National Inventory Report 2023 Volume 1: Equations 3.B.5a_3, 3.B.5c_3, 3.B.5d_3")</definedName>
    <definedName name="CommonLivestock_SourceData.SourceData_Livestock_Common_FracLEACH_MS_Source" localSheetId="21">_xlfn.LAMBDA("National Inventory Report 2023 Volume 1: Equations 3.B.5a_3, 3.B.5c_3, 3.B.5d_3")</definedName>
    <definedName name="CommonLivestock_SourceData.SourceData_Livestock_Common_FracLEACH_MS_Source" localSheetId="22">_xlfn.LAMBDA("National Inventory Report 2023 Volume 1: Equations 3.B.5a_3, 3.B.5c_3, 3.B.5d_3")</definedName>
    <definedName name="CommonLivestock_SourceData.SourceData_Livestock_Common_FracLEACH_MS_Source" localSheetId="33">_xlfn.LAMBDA("National Inventory Report 2023 Volume 1: Equations 3.B.5a_3, 3.B.5c_3, 3.B.5d_3")</definedName>
    <definedName name="CommonLivestock_SourceData.SourceData_Livestock_Common_FracLEACH_MS_Source" localSheetId="27">_xlfn.LAMBDA("National Inventory Report 2023 Volume 1: Equations 3.B.5a_3, 3.B.5c_3, 3.B.5d_3")</definedName>
    <definedName name="CommonLivestock_SourceData.SourceData_Livestock_Common_FracLEACH_MS_Source" localSheetId="32">_xlfn.LAMBDA("National Inventory Report 2023 Volume 1: Equations 3.B.5a_3, 3.B.5c_3, 3.B.5d_3")</definedName>
    <definedName name="CommonLivestock_SourceData.SourceData_Livestock_Common_FracLEACH_MS_Source" localSheetId="30">_xlfn.LAMBDA("National Inventory Report 2023 Volume 1: Equations 3.B.5a_3, 3.B.5c_3, 3.B.5d_3")</definedName>
    <definedName name="CommonLivestock_SourceData.SourceData_Livestock_Common_FracLEACH_MS_Source" localSheetId="28">_xlfn.LAMBDA("National Inventory Report 2023 Volume 1: Equations 3.B.5a_3, 3.B.5c_3, 3.B.5d_3")</definedName>
    <definedName name="CommonLivestock_SourceData.SourceData_Livestock_Common_FracLEACH_MS_Source" localSheetId="26">_xlfn.LAMBDA("National Inventory Report 2023 Volume 1: Equations 3.B.5a_3, 3.B.5c_3, 3.B.5d_3")</definedName>
    <definedName name="CommonLivestock_SourceData.SourceData_Livestock_Common_FracLEACH_MS_Source" localSheetId="7">_xlfn.LAMBDA("National Inventory Report 2023 Volume 1: Equations 3.B.5a_3, 3.B.5c_3, 3.B.5d_3")</definedName>
    <definedName name="CommonLivestock_SourceData.SourceData_Livestock_Common_FracLEACH_MS_Source" localSheetId="6">_xlfn.LAMBDA("National Inventory Report 2023 Volume 1: Equations 3.B.5a_3, 3.B.5c_3, 3.B.5d_3")</definedName>
    <definedName name="CommonLivestock_SourceData.SourceData_Livestock_Common_FracLEACH_MS_Source" localSheetId="4">_xlfn.LAMBDA("National Inventory Report 2023 Volume 1: Equations 3.B.5a_3, 3.B.5c_3, 3.B.5d_3")</definedName>
    <definedName name="CommonLivestock_SourceData.SourceData_Livestock_Common_FracLEACH_MS_Source" localSheetId="3">_xlfn.LAMBDA("National Inventory Report 2023 Volume 1: Equations 3.B.5a_3, 3.B.5c_3, 3.B.5d_3")</definedName>
    <definedName name="CommonLivestock_SourceData.SourceData_Livestock_Common_FracLEACH_MS_Source" localSheetId="34">_xlfn.LAMBDA("National Inventory Report 2023 Volume 1: Equations 3.B.5a_3, 3.B.5c_3, 3.B.5d_3")</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 localSheetId="10">_xlfn.LAMBDA("Fraction of N lost through leaching and runoff")</definedName>
    <definedName name="CommonLivestock_SourceData.SourceData_Livestock_Common_FracLEACH_MS_Title" localSheetId="11">_xlfn.LAMBDA("Fraction of N lost through leaching and runoff")</definedName>
    <definedName name="CommonLivestock_SourceData.SourceData_Livestock_Common_FracLEACH_MS_Title" localSheetId="12">_xlfn.LAMBDA("Fraction of N lost through leaching and runoff")</definedName>
    <definedName name="CommonLivestock_SourceData.SourceData_Livestock_Common_FracLEACH_MS_Title" localSheetId="13">_xlfn.LAMBDA("Fraction of N lost through leaching and runoff")</definedName>
    <definedName name="CommonLivestock_SourceData.SourceData_Livestock_Common_FracLEACH_MS_Title" localSheetId="14">_xlfn.LAMBDA("Fraction of N lost through leaching and runoff")</definedName>
    <definedName name="CommonLivestock_SourceData.SourceData_Livestock_Common_FracLEACH_MS_Title" localSheetId="15">_xlfn.LAMBDA("Fraction of N lost through leaching and runoff")</definedName>
    <definedName name="CommonLivestock_SourceData.SourceData_Livestock_Common_FracLEACH_MS_Title" localSheetId="16">_xlfn.LAMBDA("Fraction of N lost through leaching and runoff")</definedName>
    <definedName name="CommonLivestock_SourceData.SourceData_Livestock_Common_FracLEACH_MS_Title" localSheetId="17">_xlfn.LAMBDA("Fraction of N lost through leaching and runoff")</definedName>
    <definedName name="CommonLivestock_SourceData.SourceData_Livestock_Common_FracLEACH_MS_Title" localSheetId="18">_xlfn.LAMBDA("Fraction of N lost through leaching and runoff")</definedName>
    <definedName name="CommonLivestock_SourceData.SourceData_Livestock_Common_FracLEACH_MS_Title" localSheetId="19">_xlfn.LAMBDA("Fraction of N lost through leaching and runoff")</definedName>
    <definedName name="CommonLivestock_SourceData.SourceData_Livestock_Common_FracLEACH_MS_Title" localSheetId="20">_xlfn.LAMBDA("Fraction of N lost through leaching and runoff")</definedName>
    <definedName name="CommonLivestock_SourceData.SourceData_Livestock_Common_FracLEACH_MS_Title" localSheetId="21">_xlfn.LAMBDA("Fraction of N lost through leaching and runoff")</definedName>
    <definedName name="CommonLivestock_SourceData.SourceData_Livestock_Common_FracLEACH_MS_Title" localSheetId="22">_xlfn.LAMBDA("Fraction of N lost through leaching and runoff")</definedName>
    <definedName name="CommonLivestock_SourceData.SourceData_Livestock_Common_FracLEACH_MS_Title" localSheetId="33">_xlfn.LAMBDA("Fraction of N lost through leaching and runoff")</definedName>
    <definedName name="CommonLivestock_SourceData.SourceData_Livestock_Common_FracLEACH_MS_Title" localSheetId="27">_xlfn.LAMBDA("Fraction of N lost through leaching and runoff")</definedName>
    <definedName name="CommonLivestock_SourceData.SourceData_Livestock_Common_FracLEACH_MS_Title" localSheetId="32">_xlfn.LAMBDA("Fraction of N lost through leaching and runoff")</definedName>
    <definedName name="CommonLivestock_SourceData.SourceData_Livestock_Common_FracLEACH_MS_Title" localSheetId="30">_xlfn.LAMBDA("Fraction of N lost through leaching and runoff")</definedName>
    <definedName name="CommonLivestock_SourceData.SourceData_Livestock_Common_FracLEACH_MS_Title" localSheetId="28">_xlfn.LAMBDA("Fraction of N lost through leaching and runoff")</definedName>
    <definedName name="CommonLivestock_SourceData.SourceData_Livestock_Common_FracLEACH_MS_Title" localSheetId="26">_xlfn.LAMBDA("Fraction of N lost through leaching and runoff")</definedName>
    <definedName name="CommonLivestock_SourceData.SourceData_Livestock_Common_FracLEACH_MS_Title" localSheetId="7">_xlfn.LAMBDA("Fraction of N lost through leaching and runoff")</definedName>
    <definedName name="CommonLivestock_SourceData.SourceData_Livestock_Common_FracLEACH_MS_Title" localSheetId="6">_xlfn.LAMBDA("Fraction of N lost through leaching and runoff")</definedName>
    <definedName name="CommonLivestock_SourceData.SourceData_Livestock_Common_FracLEACH_MS_Title" localSheetId="4">_xlfn.LAMBDA("Fraction of N lost through leaching and runoff")</definedName>
    <definedName name="CommonLivestock_SourceData.SourceData_Livestock_Common_FracLEACH_MS_Title" localSheetId="3">_xlfn.LAMBDA("Fraction of N lost through leaching and runoff")</definedName>
    <definedName name="CommonLivestock_SourceData.SourceData_Livestock_Common_FracLEACH_MS_Title" localSheetId="34">_xlfn.LAMBDA("Fraction of N lost through leaching and runoff")</definedName>
    <definedName name="CommonLivestock_SourceData.SourceData_Livestock_Common_FracLEACH_MS_Title">_xlfn.LAMBDA("Fraction of N lost through leaching and runoff")</definedName>
    <definedName name="CommonLivestock_SourceData.SourceData_Livestock_Common_FracLEACH_MS_Unit" localSheetId="10">_xlfn.LAMBDA("Fraction")</definedName>
    <definedName name="CommonLivestock_SourceData.SourceData_Livestock_Common_FracLEACH_MS_Unit" localSheetId="11">_xlfn.LAMBDA("Fraction")</definedName>
    <definedName name="CommonLivestock_SourceData.SourceData_Livestock_Common_FracLEACH_MS_Unit" localSheetId="12">_xlfn.LAMBDA("Fraction")</definedName>
    <definedName name="CommonLivestock_SourceData.SourceData_Livestock_Common_FracLEACH_MS_Unit" localSheetId="13">_xlfn.LAMBDA("Fraction")</definedName>
    <definedName name="CommonLivestock_SourceData.SourceData_Livestock_Common_FracLEACH_MS_Unit" localSheetId="14">_xlfn.LAMBDA("Fraction")</definedName>
    <definedName name="CommonLivestock_SourceData.SourceData_Livestock_Common_FracLEACH_MS_Unit" localSheetId="15">_xlfn.LAMBDA("Fraction")</definedName>
    <definedName name="CommonLivestock_SourceData.SourceData_Livestock_Common_FracLEACH_MS_Unit" localSheetId="16">_xlfn.LAMBDA("Fraction")</definedName>
    <definedName name="CommonLivestock_SourceData.SourceData_Livestock_Common_FracLEACH_MS_Unit" localSheetId="17">_xlfn.LAMBDA("Fraction")</definedName>
    <definedName name="CommonLivestock_SourceData.SourceData_Livestock_Common_FracLEACH_MS_Unit" localSheetId="18">_xlfn.LAMBDA("Fraction")</definedName>
    <definedName name="CommonLivestock_SourceData.SourceData_Livestock_Common_FracLEACH_MS_Unit" localSheetId="19">_xlfn.LAMBDA("Fraction")</definedName>
    <definedName name="CommonLivestock_SourceData.SourceData_Livestock_Common_FracLEACH_MS_Unit" localSheetId="20">_xlfn.LAMBDA("Fraction")</definedName>
    <definedName name="CommonLivestock_SourceData.SourceData_Livestock_Common_FracLEACH_MS_Unit" localSheetId="21">_xlfn.LAMBDA("Fraction")</definedName>
    <definedName name="CommonLivestock_SourceData.SourceData_Livestock_Common_FracLEACH_MS_Unit" localSheetId="22">_xlfn.LAMBDA("Fraction")</definedName>
    <definedName name="CommonLivestock_SourceData.SourceData_Livestock_Common_FracLEACH_MS_Unit" localSheetId="33">_xlfn.LAMBDA("Fraction")</definedName>
    <definedName name="CommonLivestock_SourceData.SourceData_Livestock_Common_FracLEACH_MS_Unit" localSheetId="27">_xlfn.LAMBDA("Fraction")</definedName>
    <definedName name="CommonLivestock_SourceData.SourceData_Livestock_Common_FracLEACH_MS_Unit" localSheetId="32">_xlfn.LAMBDA("Fraction")</definedName>
    <definedName name="CommonLivestock_SourceData.SourceData_Livestock_Common_FracLEACH_MS_Unit" localSheetId="30">_xlfn.LAMBDA("Fraction")</definedName>
    <definedName name="CommonLivestock_SourceData.SourceData_Livestock_Common_FracLEACH_MS_Unit" localSheetId="28">_xlfn.LAMBDA("Fraction")</definedName>
    <definedName name="CommonLivestock_SourceData.SourceData_Livestock_Common_FracLEACH_MS_Unit" localSheetId="26">_xlfn.LAMBDA("Fraction")</definedName>
    <definedName name="CommonLivestock_SourceData.SourceData_Livestock_Common_FracLEACH_MS_Unit" localSheetId="7">_xlfn.LAMBDA("Fraction")</definedName>
    <definedName name="CommonLivestock_SourceData.SourceData_Livestock_Common_FracLEACH_MS_Unit" localSheetId="6">_xlfn.LAMBDA("Fraction")</definedName>
    <definedName name="CommonLivestock_SourceData.SourceData_Livestock_Common_FracLEACH_MS_Unit" localSheetId="4">_xlfn.LAMBDA("Fraction")</definedName>
    <definedName name="CommonLivestock_SourceData.SourceData_Livestock_Common_FracLEACH_MS_Unit" localSheetId="3">_xlfn.LAMBDA("Fraction")</definedName>
    <definedName name="CommonLivestock_SourceData.SourceData_Livestock_Common_FracLEACH_MS_Unit" localSheetId="34">_xlfn.LAMBDA("Fraction")</definedName>
    <definedName name="CommonLivestock_SourceData.SourceData_Livestock_Common_FracLEACH_MS_Unit">_xlfn.LAMBDA("Fraction")</definedName>
    <definedName name="CommonLivestock_SourceData.SourceData_Livestock_Common_FracWETMMS_Data" localSheetId="10">_xlfn.LAMBDA(1)</definedName>
    <definedName name="CommonLivestock_SourceData.SourceData_Livestock_Common_FracWETMMS_Data" localSheetId="11">_xlfn.LAMBDA(1)</definedName>
    <definedName name="CommonLivestock_SourceData.SourceData_Livestock_Common_FracWETMMS_Data" localSheetId="12">_xlfn.LAMBDA(1)</definedName>
    <definedName name="CommonLivestock_SourceData.SourceData_Livestock_Common_FracWETMMS_Data" localSheetId="13">_xlfn.LAMBDA(1)</definedName>
    <definedName name="CommonLivestock_SourceData.SourceData_Livestock_Common_FracWETMMS_Data" localSheetId="14">_xlfn.LAMBDA(1)</definedName>
    <definedName name="CommonLivestock_SourceData.SourceData_Livestock_Common_FracWETMMS_Data" localSheetId="15">_xlfn.LAMBDA(1)</definedName>
    <definedName name="CommonLivestock_SourceData.SourceData_Livestock_Common_FracWETMMS_Data" localSheetId="16">_xlfn.LAMBDA(1)</definedName>
    <definedName name="CommonLivestock_SourceData.SourceData_Livestock_Common_FracWETMMS_Data" localSheetId="17">_xlfn.LAMBDA(1)</definedName>
    <definedName name="CommonLivestock_SourceData.SourceData_Livestock_Common_FracWETMMS_Data" localSheetId="18">_xlfn.LAMBDA(1)</definedName>
    <definedName name="CommonLivestock_SourceData.SourceData_Livestock_Common_FracWETMMS_Data" localSheetId="19">_xlfn.LAMBDA(1)</definedName>
    <definedName name="CommonLivestock_SourceData.SourceData_Livestock_Common_FracWETMMS_Data" localSheetId="20">_xlfn.LAMBDA(1)</definedName>
    <definedName name="CommonLivestock_SourceData.SourceData_Livestock_Common_FracWETMMS_Data" localSheetId="21">_xlfn.LAMBDA(1)</definedName>
    <definedName name="CommonLivestock_SourceData.SourceData_Livestock_Common_FracWETMMS_Data" localSheetId="22">_xlfn.LAMBDA(1)</definedName>
    <definedName name="CommonLivestock_SourceData.SourceData_Livestock_Common_FracWETMMS_Data" localSheetId="33">_xlfn.LAMBDA(1)</definedName>
    <definedName name="CommonLivestock_SourceData.SourceData_Livestock_Common_FracWETMMS_Data" localSheetId="27">_xlfn.LAMBDA(1)</definedName>
    <definedName name="CommonLivestock_SourceData.SourceData_Livestock_Common_FracWETMMS_Data" localSheetId="32">_xlfn.LAMBDA(1)</definedName>
    <definedName name="CommonLivestock_SourceData.SourceData_Livestock_Common_FracWETMMS_Data" localSheetId="30">_xlfn.LAMBDA(1)</definedName>
    <definedName name="CommonLivestock_SourceData.SourceData_Livestock_Common_FracWETMMS_Data" localSheetId="28">_xlfn.LAMBDA(1)</definedName>
    <definedName name="CommonLivestock_SourceData.SourceData_Livestock_Common_FracWETMMS_Data" localSheetId="26">_xlfn.LAMBDA(1)</definedName>
    <definedName name="CommonLivestock_SourceData.SourceData_Livestock_Common_FracWETMMS_Data" localSheetId="7">_xlfn.LAMBDA(1)</definedName>
    <definedName name="CommonLivestock_SourceData.SourceData_Livestock_Common_FracWETMMS_Data" localSheetId="6">_xlfn.LAMBDA(1)</definedName>
    <definedName name="CommonLivestock_SourceData.SourceData_Livestock_Common_FracWETMMS_Data" localSheetId="4">_xlfn.LAMBDA(1)</definedName>
    <definedName name="CommonLivestock_SourceData.SourceData_Livestock_Common_FracWETMMS_Data" localSheetId="3">_xlfn.LAMBDA(1)</definedName>
    <definedName name="CommonLivestock_SourceData.SourceData_Livestock_Common_FracWETMMS_Data" localSheetId="34">_xlfn.LAMBDA(1)</definedName>
    <definedName name="CommonLivestock_SourceData.SourceData_Livestock_Common_FracWETMMS_Data">_xlfn.LAMBDA(1)</definedName>
    <definedName name="CommonLivestock_SourceData.SourceData_Livestock_Common_FracWETMMS_Source" localSheetId="10">_xlfn.LAMBDA("National Inventory Report 2023 Volume 1: Equations 3.B.5a_3, 3.B.5c_3, 3.B.5d_3")</definedName>
    <definedName name="CommonLivestock_SourceData.SourceData_Livestock_Common_FracWETMMS_Source" localSheetId="11">_xlfn.LAMBDA("National Inventory Report 2023 Volume 1: Equations 3.B.5a_3, 3.B.5c_3, 3.B.5d_3")</definedName>
    <definedName name="CommonLivestock_SourceData.SourceData_Livestock_Common_FracWETMMS_Source" localSheetId="12">_xlfn.LAMBDA("National Inventory Report 2023 Volume 1: Equations 3.B.5a_3, 3.B.5c_3, 3.B.5d_3")</definedName>
    <definedName name="CommonLivestock_SourceData.SourceData_Livestock_Common_FracWETMMS_Source" localSheetId="13">_xlfn.LAMBDA("National Inventory Report 2023 Volume 1: Equations 3.B.5a_3, 3.B.5c_3, 3.B.5d_3")</definedName>
    <definedName name="CommonLivestock_SourceData.SourceData_Livestock_Common_FracWETMMS_Source" localSheetId="14">_xlfn.LAMBDA("National Inventory Report 2023 Volume 1: Equations 3.B.5a_3, 3.B.5c_3, 3.B.5d_3")</definedName>
    <definedName name="CommonLivestock_SourceData.SourceData_Livestock_Common_FracWETMMS_Source" localSheetId="15">_xlfn.LAMBDA("National Inventory Report 2023 Volume 1: Equations 3.B.5a_3, 3.B.5c_3, 3.B.5d_3")</definedName>
    <definedName name="CommonLivestock_SourceData.SourceData_Livestock_Common_FracWETMMS_Source" localSheetId="16">_xlfn.LAMBDA("National Inventory Report 2023 Volume 1: Equations 3.B.5a_3, 3.B.5c_3, 3.B.5d_3")</definedName>
    <definedName name="CommonLivestock_SourceData.SourceData_Livestock_Common_FracWETMMS_Source" localSheetId="17">_xlfn.LAMBDA("National Inventory Report 2023 Volume 1: Equations 3.B.5a_3, 3.B.5c_3, 3.B.5d_3")</definedName>
    <definedName name="CommonLivestock_SourceData.SourceData_Livestock_Common_FracWETMMS_Source" localSheetId="18">_xlfn.LAMBDA("National Inventory Report 2023 Volume 1: Equations 3.B.5a_3, 3.B.5c_3, 3.B.5d_3")</definedName>
    <definedName name="CommonLivestock_SourceData.SourceData_Livestock_Common_FracWETMMS_Source" localSheetId="19">_xlfn.LAMBDA("National Inventory Report 2023 Volume 1: Equations 3.B.5a_3, 3.B.5c_3, 3.B.5d_3")</definedName>
    <definedName name="CommonLivestock_SourceData.SourceData_Livestock_Common_FracWETMMS_Source" localSheetId="20">_xlfn.LAMBDA("National Inventory Report 2023 Volume 1: Equations 3.B.5a_3, 3.B.5c_3, 3.B.5d_3")</definedName>
    <definedName name="CommonLivestock_SourceData.SourceData_Livestock_Common_FracWETMMS_Source" localSheetId="21">_xlfn.LAMBDA("National Inventory Report 2023 Volume 1: Equations 3.B.5a_3, 3.B.5c_3, 3.B.5d_3")</definedName>
    <definedName name="CommonLivestock_SourceData.SourceData_Livestock_Common_FracWETMMS_Source" localSheetId="22">_xlfn.LAMBDA("National Inventory Report 2023 Volume 1: Equations 3.B.5a_3, 3.B.5c_3, 3.B.5d_3")</definedName>
    <definedName name="CommonLivestock_SourceData.SourceData_Livestock_Common_FracWETMMS_Source" localSheetId="33">_xlfn.LAMBDA("National Inventory Report 2023 Volume 1: Equations 3.B.5a_3, 3.B.5c_3, 3.B.5d_3")</definedName>
    <definedName name="CommonLivestock_SourceData.SourceData_Livestock_Common_FracWETMMS_Source" localSheetId="27">_xlfn.LAMBDA("National Inventory Report 2023 Volume 1: Equations 3.B.5a_3, 3.B.5c_3, 3.B.5d_3")</definedName>
    <definedName name="CommonLivestock_SourceData.SourceData_Livestock_Common_FracWETMMS_Source" localSheetId="32">_xlfn.LAMBDA("National Inventory Report 2023 Volume 1: Equations 3.B.5a_3, 3.B.5c_3, 3.B.5d_3")</definedName>
    <definedName name="CommonLivestock_SourceData.SourceData_Livestock_Common_FracWETMMS_Source" localSheetId="30">_xlfn.LAMBDA("National Inventory Report 2023 Volume 1: Equations 3.B.5a_3, 3.B.5c_3, 3.B.5d_3")</definedName>
    <definedName name="CommonLivestock_SourceData.SourceData_Livestock_Common_FracWETMMS_Source" localSheetId="28">_xlfn.LAMBDA("National Inventory Report 2023 Volume 1: Equations 3.B.5a_3, 3.B.5c_3, 3.B.5d_3")</definedName>
    <definedName name="CommonLivestock_SourceData.SourceData_Livestock_Common_FracWETMMS_Source" localSheetId="26">_xlfn.LAMBDA("National Inventory Report 2023 Volume 1: Equations 3.B.5a_3, 3.B.5c_3, 3.B.5d_3")</definedName>
    <definedName name="CommonLivestock_SourceData.SourceData_Livestock_Common_FracWETMMS_Source" localSheetId="7">_xlfn.LAMBDA("National Inventory Report 2023 Volume 1: Equations 3.B.5a_3, 3.B.5c_3, 3.B.5d_3")</definedName>
    <definedName name="CommonLivestock_SourceData.SourceData_Livestock_Common_FracWETMMS_Source" localSheetId="6">_xlfn.LAMBDA("National Inventory Report 2023 Volume 1: Equations 3.B.5a_3, 3.B.5c_3, 3.B.5d_3")</definedName>
    <definedName name="CommonLivestock_SourceData.SourceData_Livestock_Common_FracWETMMS_Source" localSheetId="4">_xlfn.LAMBDA("National Inventory Report 2023 Volume 1: Equations 3.B.5a_3, 3.B.5c_3, 3.B.5d_3")</definedName>
    <definedName name="CommonLivestock_SourceData.SourceData_Livestock_Common_FracWETMMS_Source" localSheetId="3">_xlfn.LAMBDA("National Inventory Report 2023 Volume 1: Equations 3.B.5a_3, 3.B.5c_3, 3.B.5d_3")</definedName>
    <definedName name="CommonLivestock_SourceData.SourceData_Livestock_Common_FracWETMMS_Source" localSheetId="34">_xlfn.LAMBDA("National Inventory Report 2023 Volume 1: Equations 3.B.5a_3, 3.B.5c_3, 3.B.5d_3")</definedName>
    <definedName name="CommonLivestock_SourceData.SourceData_Livestock_Common_FracWETMMS_Source">_xlfn.LAMBDA("National Inventory Report 2023 Volume 1: Equations 3.B.5a_3, 3.B.5c_3, 3.B.5d_3")</definedName>
    <definedName name="CommonLivestock_SourceData.SourceData_Livestock_Common_FracWETMMS_Title" localSheetId="10">_xlfn.LAMBDA("Fraction of N available for leaching and runoff")</definedName>
    <definedName name="CommonLivestock_SourceData.SourceData_Livestock_Common_FracWETMMS_Title" localSheetId="11">_xlfn.LAMBDA("Fraction of N available for leaching and runoff")</definedName>
    <definedName name="CommonLivestock_SourceData.SourceData_Livestock_Common_FracWETMMS_Title" localSheetId="12">_xlfn.LAMBDA("Fraction of N available for leaching and runoff")</definedName>
    <definedName name="CommonLivestock_SourceData.SourceData_Livestock_Common_FracWETMMS_Title" localSheetId="13">_xlfn.LAMBDA("Fraction of N available for leaching and runoff")</definedName>
    <definedName name="CommonLivestock_SourceData.SourceData_Livestock_Common_FracWETMMS_Title" localSheetId="14">_xlfn.LAMBDA("Fraction of N available for leaching and runoff")</definedName>
    <definedName name="CommonLivestock_SourceData.SourceData_Livestock_Common_FracWETMMS_Title" localSheetId="15">_xlfn.LAMBDA("Fraction of N available for leaching and runoff")</definedName>
    <definedName name="CommonLivestock_SourceData.SourceData_Livestock_Common_FracWETMMS_Title" localSheetId="16">_xlfn.LAMBDA("Fraction of N available for leaching and runoff")</definedName>
    <definedName name="CommonLivestock_SourceData.SourceData_Livestock_Common_FracWETMMS_Title" localSheetId="17">_xlfn.LAMBDA("Fraction of N available for leaching and runoff")</definedName>
    <definedName name="CommonLivestock_SourceData.SourceData_Livestock_Common_FracWETMMS_Title" localSheetId="18">_xlfn.LAMBDA("Fraction of N available for leaching and runoff")</definedName>
    <definedName name="CommonLivestock_SourceData.SourceData_Livestock_Common_FracWETMMS_Title" localSheetId="19">_xlfn.LAMBDA("Fraction of N available for leaching and runoff")</definedName>
    <definedName name="CommonLivestock_SourceData.SourceData_Livestock_Common_FracWETMMS_Title" localSheetId="20">_xlfn.LAMBDA("Fraction of N available for leaching and runoff")</definedName>
    <definedName name="CommonLivestock_SourceData.SourceData_Livestock_Common_FracWETMMS_Title" localSheetId="21">_xlfn.LAMBDA("Fraction of N available for leaching and runoff")</definedName>
    <definedName name="CommonLivestock_SourceData.SourceData_Livestock_Common_FracWETMMS_Title" localSheetId="22">_xlfn.LAMBDA("Fraction of N available for leaching and runoff")</definedName>
    <definedName name="CommonLivestock_SourceData.SourceData_Livestock_Common_FracWETMMS_Title" localSheetId="33">_xlfn.LAMBDA("Fraction of N available for leaching and runoff")</definedName>
    <definedName name="CommonLivestock_SourceData.SourceData_Livestock_Common_FracWETMMS_Title" localSheetId="27">_xlfn.LAMBDA("Fraction of N available for leaching and runoff")</definedName>
    <definedName name="CommonLivestock_SourceData.SourceData_Livestock_Common_FracWETMMS_Title" localSheetId="32">_xlfn.LAMBDA("Fraction of N available for leaching and runoff")</definedName>
    <definedName name="CommonLivestock_SourceData.SourceData_Livestock_Common_FracWETMMS_Title" localSheetId="30">_xlfn.LAMBDA("Fraction of N available for leaching and runoff")</definedName>
    <definedName name="CommonLivestock_SourceData.SourceData_Livestock_Common_FracWETMMS_Title" localSheetId="28">_xlfn.LAMBDA("Fraction of N available for leaching and runoff")</definedName>
    <definedName name="CommonLivestock_SourceData.SourceData_Livestock_Common_FracWETMMS_Title" localSheetId="26">_xlfn.LAMBDA("Fraction of N available for leaching and runoff")</definedName>
    <definedName name="CommonLivestock_SourceData.SourceData_Livestock_Common_FracWETMMS_Title" localSheetId="7">_xlfn.LAMBDA("Fraction of N available for leaching and runoff")</definedName>
    <definedName name="CommonLivestock_SourceData.SourceData_Livestock_Common_FracWETMMS_Title" localSheetId="6">_xlfn.LAMBDA("Fraction of N available for leaching and runoff")</definedName>
    <definedName name="CommonLivestock_SourceData.SourceData_Livestock_Common_FracWETMMS_Title" localSheetId="4">_xlfn.LAMBDA("Fraction of N available for leaching and runoff")</definedName>
    <definedName name="CommonLivestock_SourceData.SourceData_Livestock_Common_FracWETMMS_Title" localSheetId="3">_xlfn.LAMBDA("Fraction of N available for leaching and runoff")</definedName>
    <definedName name="CommonLivestock_SourceData.SourceData_Livestock_Common_FracWETMMS_Title" localSheetId="34">_xlfn.LAMBDA("Fraction of N available for leaching and runoff")</definedName>
    <definedName name="CommonLivestock_SourceData.SourceData_Livestock_Common_FracWETMMS_Title">_xlfn.LAMBDA("Fraction of N available for leaching and runoff")</definedName>
    <definedName name="CommonLivestock_SourceData.SourceData_Livestock_Common_FracWETMMS_Unit" localSheetId="10">_xlfn.LAMBDA("Fraction")</definedName>
    <definedName name="CommonLivestock_SourceData.SourceData_Livestock_Common_FracWETMMS_Unit" localSheetId="11">_xlfn.LAMBDA("Fraction")</definedName>
    <definedName name="CommonLivestock_SourceData.SourceData_Livestock_Common_FracWETMMS_Unit" localSheetId="12">_xlfn.LAMBDA("Fraction")</definedName>
    <definedName name="CommonLivestock_SourceData.SourceData_Livestock_Common_FracWETMMS_Unit" localSheetId="13">_xlfn.LAMBDA("Fraction")</definedName>
    <definedName name="CommonLivestock_SourceData.SourceData_Livestock_Common_FracWETMMS_Unit" localSheetId="14">_xlfn.LAMBDA("Fraction")</definedName>
    <definedName name="CommonLivestock_SourceData.SourceData_Livestock_Common_FracWETMMS_Unit" localSheetId="15">_xlfn.LAMBDA("Fraction")</definedName>
    <definedName name="CommonLivestock_SourceData.SourceData_Livestock_Common_FracWETMMS_Unit" localSheetId="16">_xlfn.LAMBDA("Fraction")</definedName>
    <definedName name="CommonLivestock_SourceData.SourceData_Livestock_Common_FracWETMMS_Unit" localSheetId="17">_xlfn.LAMBDA("Fraction")</definedName>
    <definedName name="CommonLivestock_SourceData.SourceData_Livestock_Common_FracWETMMS_Unit" localSheetId="18">_xlfn.LAMBDA("Fraction")</definedName>
    <definedName name="CommonLivestock_SourceData.SourceData_Livestock_Common_FracWETMMS_Unit" localSheetId="19">_xlfn.LAMBDA("Fraction")</definedName>
    <definedName name="CommonLivestock_SourceData.SourceData_Livestock_Common_FracWETMMS_Unit" localSheetId="20">_xlfn.LAMBDA("Fraction")</definedName>
    <definedName name="CommonLivestock_SourceData.SourceData_Livestock_Common_FracWETMMS_Unit" localSheetId="21">_xlfn.LAMBDA("Fraction")</definedName>
    <definedName name="CommonLivestock_SourceData.SourceData_Livestock_Common_FracWETMMS_Unit" localSheetId="22">_xlfn.LAMBDA("Fraction")</definedName>
    <definedName name="CommonLivestock_SourceData.SourceData_Livestock_Common_FracWETMMS_Unit" localSheetId="33">_xlfn.LAMBDA("Fraction")</definedName>
    <definedName name="CommonLivestock_SourceData.SourceData_Livestock_Common_FracWETMMS_Unit" localSheetId="27">_xlfn.LAMBDA("Fraction")</definedName>
    <definedName name="CommonLivestock_SourceData.SourceData_Livestock_Common_FracWETMMS_Unit" localSheetId="32">_xlfn.LAMBDA("Fraction")</definedName>
    <definedName name="CommonLivestock_SourceData.SourceData_Livestock_Common_FracWETMMS_Unit" localSheetId="30">_xlfn.LAMBDA("Fraction")</definedName>
    <definedName name="CommonLivestock_SourceData.SourceData_Livestock_Common_FracWETMMS_Unit" localSheetId="28">_xlfn.LAMBDA("Fraction")</definedName>
    <definedName name="CommonLivestock_SourceData.SourceData_Livestock_Common_FracWETMMS_Unit" localSheetId="26">_xlfn.LAMBDA("Fraction")</definedName>
    <definedName name="CommonLivestock_SourceData.SourceData_Livestock_Common_FracWETMMS_Unit" localSheetId="7">_xlfn.LAMBDA("Fraction")</definedName>
    <definedName name="CommonLivestock_SourceData.SourceData_Livestock_Common_FracWETMMS_Unit" localSheetId="6">_xlfn.LAMBDA("Fraction")</definedName>
    <definedName name="CommonLivestock_SourceData.SourceData_Livestock_Common_FracWETMMS_Unit" localSheetId="4">_xlfn.LAMBDA("Fraction")</definedName>
    <definedName name="CommonLivestock_SourceData.SourceData_Livestock_Common_FracWETMMS_Unit" localSheetId="3">_xlfn.LAMBDA("Fraction")</definedName>
    <definedName name="CommonLivestock_SourceData.SourceData_Livestock_Common_FracWETMMS_Unit" localSheetId="34">_xlfn.LAMBDA("Fraction")</definedName>
    <definedName name="CommonLivestock_SourceData.SourceData_Livestock_Common_FracWETMMS_Unit">_xlfn.LAMBDA("Fraction")</definedName>
    <definedName name="CommonLivestock_SourceData.SourceData_Livestock_Common_SymbolsMMS_Data" localSheetId="2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5">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1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2">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0">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1">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2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9">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7">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8">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6">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 localSheetId="34">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 localSheetId="10">_xlfn.LAMBDA("National Inventory Report 2023 Volume 1: Table 5.12")</definedName>
    <definedName name="CommonLivestock_SourceData.SourceData_Livestock_Common_SymbolsMMS_Source" localSheetId="11">_xlfn.LAMBDA("National Inventory Report 2023 Volume 1: Table 5.12")</definedName>
    <definedName name="CommonLivestock_SourceData.SourceData_Livestock_Common_SymbolsMMS_Source" localSheetId="12">_xlfn.LAMBDA("National Inventory Report 2023 Volume 1: Table 5.12")</definedName>
    <definedName name="CommonLivestock_SourceData.SourceData_Livestock_Common_SymbolsMMS_Source" localSheetId="13">_xlfn.LAMBDA("National Inventory Report 2023 Volume 1: Table 5.12")</definedName>
    <definedName name="CommonLivestock_SourceData.SourceData_Livestock_Common_SymbolsMMS_Source" localSheetId="14">_xlfn.LAMBDA("National Inventory Report 2023 Volume 1: Table 5.12")</definedName>
    <definedName name="CommonLivestock_SourceData.SourceData_Livestock_Common_SymbolsMMS_Source" localSheetId="15">_xlfn.LAMBDA("National Inventory Report 2023 Volume 1: Table 5.12")</definedName>
    <definedName name="CommonLivestock_SourceData.SourceData_Livestock_Common_SymbolsMMS_Source" localSheetId="16">_xlfn.LAMBDA("National Inventory Report 2023 Volume 1: Table 5.12")</definedName>
    <definedName name="CommonLivestock_SourceData.SourceData_Livestock_Common_SymbolsMMS_Source" localSheetId="17">_xlfn.LAMBDA("National Inventory Report 2023 Volume 1: Table 5.12")</definedName>
    <definedName name="CommonLivestock_SourceData.SourceData_Livestock_Common_SymbolsMMS_Source" localSheetId="18">_xlfn.LAMBDA("National Inventory Report 2023 Volume 1: Table 5.12")</definedName>
    <definedName name="CommonLivestock_SourceData.SourceData_Livestock_Common_SymbolsMMS_Source" localSheetId="19">_xlfn.LAMBDA("National Inventory Report 2023 Volume 1: Table 5.12")</definedName>
    <definedName name="CommonLivestock_SourceData.SourceData_Livestock_Common_SymbolsMMS_Source" localSheetId="20">_xlfn.LAMBDA("National Inventory Report 2023 Volume 1: Table 5.12")</definedName>
    <definedName name="CommonLivestock_SourceData.SourceData_Livestock_Common_SymbolsMMS_Source" localSheetId="21">_xlfn.LAMBDA("National Inventory Report 2023 Volume 1: Table 5.12")</definedName>
    <definedName name="CommonLivestock_SourceData.SourceData_Livestock_Common_SymbolsMMS_Source" localSheetId="22">_xlfn.LAMBDA("National Inventory Report 2023 Volume 1: Table 5.12")</definedName>
    <definedName name="CommonLivestock_SourceData.SourceData_Livestock_Common_SymbolsMMS_Source" localSheetId="33">_xlfn.LAMBDA("National Inventory Report 2023 Volume 1: Table 5.12")</definedName>
    <definedName name="CommonLivestock_SourceData.SourceData_Livestock_Common_SymbolsMMS_Source" localSheetId="27">_xlfn.LAMBDA("National Inventory Report 2023 Volume 1: Table 5.12")</definedName>
    <definedName name="CommonLivestock_SourceData.SourceData_Livestock_Common_SymbolsMMS_Source" localSheetId="32">_xlfn.LAMBDA("National Inventory Report 2023 Volume 1: Table 5.12")</definedName>
    <definedName name="CommonLivestock_SourceData.SourceData_Livestock_Common_SymbolsMMS_Source" localSheetId="30">_xlfn.LAMBDA("National Inventory Report 2023 Volume 1: Table 5.12")</definedName>
    <definedName name="CommonLivestock_SourceData.SourceData_Livestock_Common_SymbolsMMS_Source" localSheetId="28">_xlfn.LAMBDA("National Inventory Report 2023 Volume 1: Table 5.12")</definedName>
    <definedName name="CommonLivestock_SourceData.SourceData_Livestock_Common_SymbolsMMS_Source" localSheetId="26">_xlfn.LAMBDA("National Inventory Report 2023 Volume 1: Table 5.12")</definedName>
    <definedName name="CommonLivestock_SourceData.SourceData_Livestock_Common_SymbolsMMS_Source" localSheetId="7">_xlfn.LAMBDA("National Inventory Report 2023 Volume 1: Table 5.12")</definedName>
    <definedName name="CommonLivestock_SourceData.SourceData_Livestock_Common_SymbolsMMS_Source" localSheetId="6">_xlfn.LAMBDA("National Inventory Report 2023 Volume 1: Table 5.12")</definedName>
    <definedName name="CommonLivestock_SourceData.SourceData_Livestock_Common_SymbolsMMS_Source" localSheetId="4">_xlfn.LAMBDA("National Inventory Report 2023 Volume 1: Table 5.12")</definedName>
    <definedName name="CommonLivestock_SourceData.SourceData_Livestock_Common_SymbolsMMS_Source" localSheetId="3">_xlfn.LAMBDA("National Inventory Report 2023 Volume 1: Table 5.12")</definedName>
    <definedName name="CommonLivestock_SourceData.SourceData_Livestock_Common_SymbolsMMS_Source" localSheetId="34">_xlfn.LAMBDA("National Inventory Report 2023 Volume 1: Table 5.12")</definedName>
    <definedName name="CommonLivestock_SourceData.SourceData_Livestock_Common_SymbolsMMS_Source">_xlfn.LAMBDA("National Inventory Report 2023 Volume 1: Table 5.12")</definedName>
    <definedName name="CommonLivestock_SourceData.SourceData_Livestock_Common_SymbolsMMS_Title" localSheetId="10">_xlfn.LAMBDA("Table 5.12 Additional symbols used in algorithms for manure related emissions")</definedName>
    <definedName name="CommonLivestock_SourceData.SourceData_Livestock_Common_SymbolsMMS_Title" localSheetId="11">_xlfn.LAMBDA("Table 5.12 Additional symbols used in algorithms for manure related emissions")</definedName>
    <definedName name="CommonLivestock_SourceData.SourceData_Livestock_Common_SymbolsMMS_Title" localSheetId="12">_xlfn.LAMBDA("Table 5.12 Additional symbols used in algorithms for manure related emissions")</definedName>
    <definedName name="CommonLivestock_SourceData.SourceData_Livestock_Common_SymbolsMMS_Title" localSheetId="13">_xlfn.LAMBDA("Table 5.12 Additional symbols used in algorithms for manure related emissions")</definedName>
    <definedName name="CommonLivestock_SourceData.SourceData_Livestock_Common_SymbolsMMS_Title" localSheetId="14">_xlfn.LAMBDA("Table 5.12 Additional symbols used in algorithms for manure related emissions")</definedName>
    <definedName name="CommonLivestock_SourceData.SourceData_Livestock_Common_SymbolsMMS_Title" localSheetId="15">_xlfn.LAMBDA("Table 5.12 Additional symbols used in algorithms for manure related emissions")</definedName>
    <definedName name="CommonLivestock_SourceData.SourceData_Livestock_Common_SymbolsMMS_Title" localSheetId="16">_xlfn.LAMBDA("Table 5.12 Additional symbols used in algorithms for manure related emissions")</definedName>
    <definedName name="CommonLivestock_SourceData.SourceData_Livestock_Common_SymbolsMMS_Title" localSheetId="17">_xlfn.LAMBDA("Table 5.12 Additional symbols used in algorithms for manure related emissions")</definedName>
    <definedName name="CommonLivestock_SourceData.SourceData_Livestock_Common_SymbolsMMS_Title" localSheetId="18">_xlfn.LAMBDA("Table 5.12 Additional symbols used in algorithms for manure related emissions")</definedName>
    <definedName name="CommonLivestock_SourceData.SourceData_Livestock_Common_SymbolsMMS_Title" localSheetId="19">_xlfn.LAMBDA("Table 5.12 Additional symbols used in algorithms for manure related emissions")</definedName>
    <definedName name="CommonLivestock_SourceData.SourceData_Livestock_Common_SymbolsMMS_Title" localSheetId="20">_xlfn.LAMBDA("Table 5.12 Additional symbols used in algorithms for manure related emissions")</definedName>
    <definedName name="CommonLivestock_SourceData.SourceData_Livestock_Common_SymbolsMMS_Title" localSheetId="21">_xlfn.LAMBDA("Table 5.12 Additional symbols used in algorithms for manure related emissions")</definedName>
    <definedName name="CommonLivestock_SourceData.SourceData_Livestock_Common_SymbolsMMS_Title" localSheetId="22">_xlfn.LAMBDA("Table 5.12 Additional symbols used in algorithms for manure related emissions")</definedName>
    <definedName name="CommonLivestock_SourceData.SourceData_Livestock_Common_SymbolsMMS_Title" localSheetId="33">_xlfn.LAMBDA("Table 5.12 Additional symbols used in algorithms for manure related emissions")</definedName>
    <definedName name="CommonLivestock_SourceData.SourceData_Livestock_Common_SymbolsMMS_Title" localSheetId="27">_xlfn.LAMBDA("Table 5.12 Additional symbols used in algorithms for manure related emissions")</definedName>
    <definedName name="CommonLivestock_SourceData.SourceData_Livestock_Common_SymbolsMMS_Title" localSheetId="32">_xlfn.LAMBDA("Table 5.12 Additional symbols used in algorithms for manure related emissions")</definedName>
    <definedName name="CommonLivestock_SourceData.SourceData_Livestock_Common_SymbolsMMS_Title" localSheetId="30">_xlfn.LAMBDA("Table 5.12 Additional symbols used in algorithms for manure related emissions")</definedName>
    <definedName name="CommonLivestock_SourceData.SourceData_Livestock_Common_SymbolsMMS_Title" localSheetId="28">_xlfn.LAMBDA("Table 5.12 Additional symbols used in algorithms for manure related emissions")</definedName>
    <definedName name="CommonLivestock_SourceData.SourceData_Livestock_Common_SymbolsMMS_Title" localSheetId="26">_xlfn.LAMBDA("Table 5.12 Additional symbols used in algorithms for manure related emissions")</definedName>
    <definedName name="CommonLivestock_SourceData.SourceData_Livestock_Common_SymbolsMMS_Title" localSheetId="7">_xlfn.LAMBDA("Table 5.12 Additional symbols used in algorithms for manure related emissions")</definedName>
    <definedName name="CommonLivestock_SourceData.SourceData_Livestock_Common_SymbolsMMS_Title" localSheetId="6">_xlfn.LAMBDA("Table 5.12 Additional symbols used in algorithms for manure related emissions")</definedName>
    <definedName name="CommonLivestock_SourceData.SourceData_Livestock_Common_SymbolsMMS_Title" localSheetId="4">_xlfn.LAMBDA("Table 5.12 Additional symbols used in algorithms for manure related emissions")</definedName>
    <definedName name="CommonLivestock_SourceData.SourceData_Livestock_Common_SymbolsMMS_Title" localSheetId="3">_xlfn.LAMBDA("Table 5.12 Additional symbols used in algorithms for manure related emissions")</definedName>
    <definedName name="CommonLivestock_SourceData.SourceData_Livestock_Common_SymbolsMMS_Title" localSheetId="34">_xlfn.LAMBDA("Table 5.12 Additional symbols used in algorithms for manure related emissions")</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 localSheetId="10">_xlfn.LAMBDA("")</definedName>
    <definedName name="CommonLivestock_SourceData.SourceData_Livestock_Common_SymbolsMMS_Unit" localSheetId="11">_xlfn.LAMBDA("")</definedName>
    <definedName name="CommonLivestock_SourceData.SourceData_Livestock_Common_SymbolsMMS_Unit" localSheetId="12">_xlfn.LAMBDA("")</definedName>
    <definedName name="CommonLivestock_SourceData.SourceData_Livestock_Common_SymbolsMMS_Unit" localSheetId="13">_xlfn.LAMBDA("")</definedName>
    <definedName name="CommonLivestock_SourceData.SourceData_Livestock_Common_SymbolsMMS_Unit" localSheetId="14">_xlfn.LAMBDA("")</definedName>
    <definedName name="CommonLivestock_SourceData.SourceData_Livestock_Common_SymbolsMMS_Unit" localSheetId="15">_xlfn.LAMBDA("")</definedName>
    <definedName name="CommonLivestock_SourceData.SourceData_Livestock_Common_SymbolsMMS_Unit" localSheetId="16">_xlfn.LAMBDA("")</definedName>
    <definedName name="CommonLivestock_SourceData.SourceData_Livestock_Common_SymbolsMMS_Unit" localSheetId="17">_xlfn.LAMBDA("")</definedName>
    <definedName name="CommonLivestock_SourceData.SourceData_Livestock_Common_SymbolsMMS_Unit" localSheetId="18">_xlfn.LAMBDA("")</definedName>
    <definedName name="CommonLivestock_SourceData.SourceData_Livestock_Common_SymbolsMMS_Unit" localSheetId="19">_xlfn.LAMBDA("")</definedName>
    <definedName name="CommonLivestock_SourceData.SourceData_Livestock_Common_SymbolsMMS_Unit" localSheetId="20">_xlfn.LAMBDA("")</definedName>
    <definedName name="CommonLivestock_SourceData.SourceData_Livestock_Common_SymbolsMMS_Unit" localSheetId="21">_xlfn.LAMBDA("")</definedName>
    <definedName name="CommonLivestock_SourceData.SourceData_Livestock_Common_SymbolsMMS_Unit" localSheetId="22">_xlfn.LAMBDA("")</definedName>
    <definedName name="CommonLivestock_SourceData.SourceData_Livestock_Common_SymbolsMMS_Unit" localSheetId="33">_xlfn.LAMBDA("")</definedName>
    <definedName name="CommonLivestock_SourceData.SourceData_Livestock_Common_SymbolsMMS_Unit" localSheetId="27">_xlfn.LAMBDA("")</definedName>
    <definedName name="CommonLivestock_SourceData.SourceData_Livestock_Common_SymbolsMMS_Unit" localSheetId="32">_xlfn.LAMBDA("")</definedName>
    <definedName name="CommonLivestock_SourceData.SourceData_Livestock_Common_SymbolsMMS_Unit" localSheetId="30">_xlfn.LAMBDA("")</definedName>
    <definedName name="CommonLivestock_SourceData.SourceData_Livestock_Common_SymbolsMMS_Unit" localSheetId="28">_xlfn.LAMBDA("")</definedName>
    <definedName name="CommonLivestock_SourceData.SourceData_Livestock_Common_SymbolsMMS_Unit" localSheetId="26">_xlfn.LAMBDA("")</definedName>
    <definedName name="CommonLivestock_SourceData.SourceData_Livestock_Common_SymbolsMMS_Unit" localSheetId="7">_xlfn.LAMBDA("")</definedName>
    <definedName name="CommonLivestock_SourceData.SourceData_Livestock_Common_SymbolsMMS_Unit" localSheetId="6">_xlfn.LAMBDA("")</definedName>
    <definedName name="CommonLivestock_SourceData.SourceData_Livestock_Common_SymbolsMMS_Unit" localSheetId="4">_xlfn.LAMBDA("")</definedName>
    <definedName name="CommonLivestock_SourceData.SourceData_Livestock_Common_SymbolsMMS_Unit" localSheetId="3">_xlfn.LAMBDA("")</definedName>
    <definedName name="CommonLivestock_SourceData.SourceData_Livestock_Common_SymbolsMMS_Unit" localSheetId="34">_xlfn.LAMBDA("")</definedName>
    <definedName name="CommonLivestock_SourceData.SourceData_Livestock_Common_SymbolsMMS_Unit">_xlfn.LAMBDA("")</definedName>
    <definedName name="CommonLivestock_SourceData.SourceData_Livestock_Common_SymbolsMMS_Vairable" localSheetId="10">_xlfn.LAMBDA("MMS")</definedName>
    <definedName name="CommonLivestock_SourceData.SourceData_Livestock_Common_SymbolsMMS_Vairable" localSheetId="11">_xlfn.LAMBDA("MMS")</definedName>
    <definedName name="CommonLivestock_SourceData.SourceData_Livestock_Common_SymbolsMMS_Vairable" localSheetId="12">_xlfn.LAMBDA("MMS")</definedName>
    <definedName name="CommonLivestock_SourceData.SourceData_Livestock_Common_SymbolsMMS_Vairable" localSheetId="13">_xlfn.LAMBDA("MMS")</definedName>
    <definedName name="CommonLivestock_SourceData.SourceData_Livestock_Common_SymbolsMMS_Vairable" localSheetId="14">_xlfn.LAMBDA("MMS")</definedName>
    <definedName name="CommonLivestock_SourceData.SourceData_Livestock_Common_SymbolsMMS_Vairable" localSheetId="15">_xlfn.LAMBDA("MMS")</definedName>
    <definedName name="CommonLivestock_SourceData.SourceData_Livestock_Common_SymbolsMMS_Vairable" localSheetId="16">_xlfn.LAMBDA("MMS")</definedName>
    <definedName name="CommonLivestock_SourceData.SourceData_Livestock_Common_SymbolsMMS_Vairable" localSheetId="17">_xlfn.LAMBDA("MMS")</definedName>
    <definedName name="CommonLivestock_SourceData.SourceData_Livestock_Common_SymbolsMMS_Vairable" localSheetId="18">_xlfn.LAMBDA("MMS")</definedName>
    <definedName name="CommonLivestock_SourceData.SourceData_Livestock_Common_SymbolsMMS_Vairable" localSheetId="19">_xlfn.LAMBDA("MMS")</definedName>
    <definedName name="CommonLivestock_SourceData.SourceData_Livestock_Common_SymbolsMMS_Vairable" localSheetId="20">_xlfn.LAMBDA("MMS")</definedName>
    <definedName name="CommonLivestock_SourceData.SourceData_Livestock_Common_SymbolsMMS_Vairable" localSheetId="21">_xlfn.LAMBDA("MMS")</definedName>
    <definedName name="CommonLivestock_SourceData.SourceData_Livestock_Common_SymbolsMMS_Vairable" localSheetId="22">_xlfn.LAMBDA("MMS")</definedName>
    <definedName name="CommonLivestock_SourceData.SourceData_Livestock_Common_SymbolsMMS_Vairable" localSheetId="33">_xlfn.LAMBDA("MMS")</definedName>
    <definedName name="CommonLivestock_SourceData.SourceData_Livestock_Common_SymbolsMMS_Vairable" localSheetId="27">_xlfn.LAMBDA("MMS")</definedName>
    <definedName name="CommonLivestock_SourceData.SourceData_Livestock_Common_SymbolsMMS_Vairable" localSheetId="32">_xlfn.LAMBDA("MMS")</definedName>
    <definedName name="CommonLivestock_SourceData.SourceData_Livestock_Common_SymbolsMMS_Vairable" localSheetId="30">_xlfn.LAMBDA("MMS")</definedName>
    <definedName name="CommonLivestock_SourceData.SourceData_Livestock_Common_SymbolsMMS_Vairable" localSheetId="28">_xlfn.LAMBDA("MMS")</definedName>
    <definedName name="CommonLivestock_SourceData.SourceData_Livestock_Common_SymbolsMMS_Vairable" localSheetId="26">_xlfn.LAMBDA("MMS")</definedName>
    <definedName name="CommonLivestock_SourceData.SourceData_Livestock_Common_SymbolsMMS_Vairable" localSheetId="7">_xlfn.LAMBDA("MMS")</definedName>
    <definedName name="CommonLivestock_SourceData.SourceData_Livestock_Common_SymbolsMMS_Vairable" localSheetId="6">_xlfn.LAMBDA("MMS")</definedName>
    <definedName name="CommonLivestock_SourceData.SourceData_Livestock_Common_SymbolsMMS_Vairable" localSheetId="4">_xlfn.LAMBDA("MMS")</definedName>
    <definedName name="CommonLivestock_SourceData.SourceData_Livestock_Common_SymbolsMMS_Vairable" localSheetId="3">_xlfn.LAMBDA("MMS")</definedName>
    <definedName name="CommonLivestock_SourceData.SourceData_Livestock_Common_SymbolsMMS_Vairable" localSheetId="34">_xlfn.LAMBDA("MMS")</definedName>
    <definedName name="CommonLivestock_SourceData.SourceData_Livestock_Common_SymbolsMMS_Vairable">_xlfn.LAMBDA("MMS")</definedName>
    <definedName name="CommonLivestock_SourceData.SourceData_Livestock_Product_BeefCattle_Data" localSheetId="1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5">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 localSheetId="1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5">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19">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1">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2">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0">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8">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2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7">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6">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4">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_xlfn.LAMBDA("Lifecycles. (2026). Greenhouse Gas Emission Intensities for Material Inputs to Australian Agriculture, Fisheries and Forestry. Version 48. doi 10.5281/zenodo.19656580")</definedName>
    <definedName name="CommonLivestock_SourceData.SourceData_Livestock_Product_BeefCattle_Source" localSheetId="34">_xlfn.LAMBDA("Lifecycles. (2026). Greenhouse Gas Emission Intensities for Material Inputs to Australian Agriculture, Fisheries and Forestry. Version 48. doi 10.5281/zenodo.19656580")</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 localSheetId="10">_xlfn.LAMBDA("Beef cattle products for scope 3")</definedName>
    <definedName name="CommonLivestock_SourceData.SourceData_Livestock_Product_BeefCattle_Title" localSheetId="11">_xlfn.LAMBDA("Beef cattle products for scope 3")</definedName>
    <definedName name="CommonLivestock_SourceData.SourceData_Livestock_Product_BeefCattle_Title" localSheetId="12">_xlfn.LAMBDA("Beef cattle products for scope 3")</definedName>
    <definedName name="CommonLivestock_SourceData.SourceData_Livestock_Product_BeefCattle_Title" localSheetId="13">_xlfn.LAMBDA("Beef cattle products for scope 3")</definedName>
    <definedName name="CommonLivestock_SourceData.SourceData_Livestock_Product_BeefCattle_Title" localSheetId="14">_xlfn.LAMBDA("Beef cattle products for scope 3")</definedName>
    <definedName name="CommonLivestock_SourceData.SourceData_Livestock_Product_BeefCattle_Title" localSheetId="15">_xlfn.LAMBDA("Beef cattle products for scope 3")</definedName>
    <definedName name="CommonLivestock_SourceData.SourceData_Livestock_Product_BeefCattle_Title" localSheetId="16">_xlfn.LAMBDA("Beef cattle products for scope 3")</definedName>
    <definedName name="CommonLivestock_SourceData.SourceData_Livestock_Product_BeefCattle_Title" localSheetId="17">_xlfn.LAMBDA("Beef cattle products for scope 3")</definedName>
    <definedName name="CommonLivestock_SourceData.SourceData_Livestock_Product_BeefCattle_Title" localSheetId="18">_xlfn.LAMBDA("Beef cattle products for scope 3")</definedName>
    <definedName name="CommonLivestock_SourceData.SourceData_Livestock_Product_BeefCattle_Title" localSheetId="19">_xlfn.LAMBDA("Beef cattle products for scope 3")</definedName>
    <definedName name="CommonLivestock_SourceData.SourceData_Livestock_Product_BeefCattle_Title" localSheetId="20">_xlfn.LAMBDA("Beef cattle products for scope 3")</definedName>
    <definedName name="CommonLivestock_SourceData.SourceData_Livestock_Product_BeefCattle_Title" localSheetId="21">_xlfn.LAMBDA("Beef cattle products for scope 3")</definedName>
    <definedName name="CommonLivestock_SourceData.SourceData_Livestock_Product_BeefCattle_Title" localSheetId="22">_xlfn.LAMBDA("Beef cattle products for scope 3")</definedName>
    <definedName name="CommonLivestock_SourceData.SourceData_Livestock_Product_BeefCattle_Title" localSheetId="33">_xlfn.LAMBDA("Beef cattle products for scope 3")</definedName>
    <definedName name="CommonLivestock_SourceData.SourceData_Livestock_Product_BeefCattle_Title" localSheetId="27">_xlfn.LAMBDA("Beef cattle products for scope 3")</definedName>
    <definedName name="CommonLivestock_SourceData.SourceData_Livestock_Product_BeefCattle_Title" localSheetId="32">_xlfn.LAMBDA("Beef cattle products for scope 3")</definedName>
    <definedName name="CommonLivestock_SourceData.SourceData_Livestock_Product_BeefCattle_Title" localSheetId="30">_xlfn.LAMBDA("Beef cattle products for scope 3")</definedName>
    <definedName name="CommonLivestock_SourceData.SourceData_Livestock_Product_BeefCattle_Title" localSheetId="28">_xlfn.LAMBDA("Beef cattle products for scope 3")</definedName>
    <definedName name="CommonLivestock_SourceData.SourceData_Livestock_Product_BeefCattle_Title" localSheetId="26">_xlfn.LAMBDA("Beef cattle products for scope 3")</definedName>
    <definedName name="CommonLivestock_SourceData.SourceData_Livestock_Product_BeefCattle_Title" localSheetId="7">_xlfn.LAMBDA("Beef cattle products for scope 3")</definedName>
    <definedName name="CommonLivestock_SourceData.SourceData_Livestock_Product_BeefCattle_Title" localSheetId="6">_xlfn.LAMBDA("Beef cattle products for scope 3")</definedName>
    <definedName name="CommonLivestock_SourceData.SourceData_Livestock_Product_BeefCattle_Title" localSheetId="4">_xlfn.LAMBDA("Beef cattle products for scope 3")</definedName>
    <definedName name="CommonLivestock_SourceData.SourceData_Livestock_Product_BeefCattle_Title" localSheetId="3">_xlfn.LAMBDA("Beef cattle products for scope 3")</definedName>
    <definedName name="CommonLivestock_SourceData.SourceData_Livestock_Product_BeefCattle_Title" localSheetId="34">_xlfn.LAMBDA("Beef cattle products for scope 3")</definedName>
    <definedName name="CommonLivestock_SourceData.SourceData_Livestock_Product_BeefCattle_Title">_xlfn.LAMBDA("Beef cattle products for scope 3")</definedName>
    <definedName name="CommonLivestock_SourceData.SourceData_Livestock_Product_BeefCattle_Unit" localSheetId="10">_xlfn.LAMBDA("")</definedName>
    <definedName name="CommonLivestock_SourceData.SourceData_Livestock_Product_BeefCattle_Unit" localSheetId="11">_xlfn.LAMBDA("")</definedName>
    <definedName name="CommonLivestock_SourceData.SourceData_Livestock_Product_BeefCattle_Unit" localSheetId="12">_xlfn.LAMBDA("")</definedName>
    <definedName name="CommonLivestock_SourceData.SourceData_Livestock_Product_BeefCattle_Unit" localSheetId="13">_xlfn.LAMBDA("")</definedName>
    <definedName name="CommonLivestock_SourceData.SourceData_Livestock_Product_BeefCattle_Unit" localSheetId="14">_xlfn.LAMBDA("")</definedName>
    <definedName name="CommonLivestock_SourceData.SourceData_Livestock_Product_BeefCattle_Unit" localSheetId="15">_xlfn.LAMBDA("")</definedName>
    <definedName name="CommonLivestock_SourceData.SourceData_Livestock_Product_BeefCattle_Unit" localSheetId="16">_xlfn.LAMBDA("")</definedName>
    <definedName name="CommonLivestock_SourceData.SourceData_Livestock_Product_BeefCattle_Unit" localSheetId="17">_xlfn.LAMBDA("")</definedName>
    <definedName name="CommonLivestock_SourceData.SourceData_Livestock_Product_BeefCattle_Unit" localSheetId="18">_xlfn.LAMBDA("")</definedName>
    <definedName name="CommonLivestock_SourceData.SourceData_Livestock_Product_BeefCattle_Unit" localSheetId="19">_xlfn.LAMBDA("")</definedName>
    <definedName name="CommonLivestock_SourceData.SourceData_Livestock_Product_BeefCattle_Unit" localSheetId="20">_xlfn.LAMBDA("")</definedName>
    <definedName name="CommonLivestock_SourceData.SourceData_Livestock_Product_BeefCattle_Unit" localSheetId="21">_xlfn.LAMBDA("")</definedName>
    <definedName name="CommonLivestock_SourceData.SourceData_Livestock_Product_BeefCattle_Unit" localSheetId="22">_xlfn.LAMBDA("")</definedName>
    <definedName name="CommonLivestock_SourceData.SourceData_Livestock_Product_BeefCattle_Unit" localSheetId="33">_xlfn.LAMBDA("")</definedName>
    <definedName name="CommonLivestock_SourceData.SourceData_Livestock_Product_BeefCattle_Unit" localSheetId="27">_xlfn.LAMBDA("")</definedName>
    <definedName name="CommonLivestock_SourceData.SourceData_Livestock_Product_BeefCattle_Unit" localSheetId="32">_xlfn.LAMBDA("")</definedName>
    <definedName name="CommonLivestock_SourceData.SourceData_Livestock_Product_BeefCattle_Unit" localSheetId="30">_xlfn.LAMBDA("")</definedName>
    <definedName name="CommonLivestock_SourceData.SourceData_Livestock_Product_BeefCattle_Unit" localSheetId="28">_xlfn.LAMBDA("")</definedName>
    <definedName name="CommonLivestock_SourceData.SourceData_Livestock_Product_BeefCattle_Unit" localSheetId="26">_xlfn.LAMBDA("")</definedName>
    <definedName name="CommonLivestock_SourceData.SourceData_Livestock_Product_BeefCattle_Unit" localSheetId="7">_xlfn.LAMBDA("")</definedName>
    <definedName name="CommonLivestock_SourceData.SourceData_Livestock_Product_BeefCattle_Unit" localSheetId="6">_xlfn.LAMBDA("")</definedName>
    <definedName name="CommonLivestock_SourceData.SourceData_Livestock_Product_BeefCattle_Unit" localSheetId="4">_xlfn.LAMBDA("")</definedName>
    <definedName name="CommonLivestock_SourceData.SourceData_Livestock_Product_BeefCattle_Unit" localSheetId="3">_xlfn.LAMBDA("")</definedName>
    <definedName name="CommonLivestock_SourceData.SourceData_Livestock_Product_BeefCattle_Unit" localSheetId="34">_xlfn.LAMBDA("")</definedName>
    <definedName name="CommonLivestock_SourceData.SourceData_Livestock_Product_BeefCattle_Unit">_xlfn.LAMBDA("")</definedName>
    <definedName name="CommonLivestock_SourceData.SourceData_Livestock_Product_BeefCattle_Vairable" localSheetId="10">_xlfn.LAMBDA("")</definedName>
    <definedName name="CommonLivestock_SourceData.SourceData_Livestock_Product_BeefCattle_Vairable" localSheetId="11">_xlfn.LAMBDA("")</definedName>
    <definedName name="CommonLivestock_SourceData.SourceData_Livestock_Product_BeefCattle_Vairable" localSheetId="12">_xlfn.LAMBDA("")</definedName>
    <definedName name="CommonLivestock_SourceData.SourceData_Livestock_Product_BeefCattle_Vairable" localSheetId="13">_xlfn.LAMBDA("")</definedName>
    <definedName name="CommonLivestock_SourceData.SourceData_Livestock_Product_BeefCattle_Vairable" localSheetId="14">_xlfn.LAMBDA("")</definedName>
    <definedName name="CommonLivestock_SourceData.SourceData_Livestock_Product_BeefCattle_Vairable" localSheetId="15">_xlfn.LAMBDA("")</definedName>
    <definedName name="CommonLivestock_SourceData.SourceData_Livestock_Product_BeefCattle_Vairable" localSheetId="16">_xlfn.LAMBDA("")</definedName>
    <definedName name="CommonLivestock_SourceData.SourceData_Livestock_Product_BeefCattle_Vairable" localSheetId="17">_xlfn.LAMBDA("")</definedName>
    <definedName name="CommonLivestock_SourceData.SourceData_Livestock_Product_BeefCattle_Vairable" localSheetId="18">_xlfn.LAMBDA("")</definedName>
    <definedName name="CommonLivestock_SourceData.SourceData_Livestock_Product_BeefCattle_Vairable" localSheetId="19">_xlfn.LAMBDA("")</definedName>
    <definedName name="CommonLivestock_SourceData.SourceData_Livestock_Product_BeefCattle_Vairable" localSheetId="20">_xlfn.LAMBDA("")</definedName>
    <definedName name="CommonLivestock_SourceData.SourceData_Livestock_Product_BeefCattle_Vairable" localSheetId="21">_xlfn.LAMBDA("")</definedName>
    <definedName name="CommonLivestock_SourceData.SourceData_Livestock_Product_BeefCattle_Vairable" localSheetId="22">_xlfn.LAMBDA("")</definedName>
    <definedName name="CommonLivestock_SourceData.SourceData_Livestock_Product_BeefCattle_Vairable" localSheetId="33">_xlfn.LAMBDA("")</definedName>
    <definedName name="CommonLivestock_SourceData.SourceData_Livestock_Product_BeefCattle_Vairable" localSheetId="27">_xlfn.LAMBDA("")</definedName>
    <definedName name="CommonLivestock_SourceData.SourceData_Livestock_Product_BeefCattle_Vairable" localSheetId="32">_xlfn.LAMBDA("")</definedName>
    <definedName name="CommonLivestock_SourceData.SourceData_Livestock_Product_BeefCattle_Vairable" localSheetId="30">_xlfn.LAMBDA("")</definedName>
    <definedName name="CommonLivestock_SourceData.SourceData_Livestock_Product_BeefCattle_Vairable" localSheetId="28">_xlfn.LAMBDA("")</definedName>
    <definedName name="CommonLivestock_SourceData.SourceData_Livestock_Product_BeefCattle_Vairable" localSheetId="26">_xlfn.LAMBDA("")</definedName>
    <definedName name="CommonLivestock_SourceData.SourceData_Livestock_Product_BeefCattle_Vairable" localSheetId="7">_xlfn.LAMBDA("")</definedName>
    <definedName name="CommonLivestock_SourceData.SourceData_Livestock_Product_BeefCattle_Vairable" localSheetId="6">_xlfn.LAMBDA("")</definedName>
    <definedName name="CommonLivestock_SourceData.SourceData_Livestock_Product_BeefCattle_Vairable" localSheetId="4">_xlfn.LAMBDA("")</definedName>
    <definedName name="CommonLivestock_SourceData.SourceData_Livestock_Product_BeefCattle_Vairable" localSheetId="3">_xlfn.LAMBDA("")</definedName>
    <definedName name="CommonLivestock_SourceData.SourceData_Livestock_Product_BeefCattle_Vairable" localSheetId="34">_xlfn.LAMBDA("")</definedName>
    <definedName name="CommonLivestock_SourceData.SourceData_Livestock_Product_BeefCattle_Vairable">_xlfn.LAMBDA("")</definedName>
    <definedName name="CommonLivestock_SourceData.SourceData_Livestock_Product_Chickens_Data" localSheetId="10">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12">_xlfn.LAMBDA(_xlfn.MAKEARRAY(2, 2, _xlfn.LAMBDA(_xlpm.r,_xlpm.c, INDEX({"Product","Source region";"Chickens","Australia"}, _xlpm.r, _xlpm.c))))</definedName>
    <definedName name="CommonLivestock_SourceData.SourceData_Livestock_Product_Chickens_Data" localSheetId="13">_xlfn.LAMBDA(_xlfn.MAKEARRAY(2, 2, _xlfn.LAMBDA(_xlpm.r,_xlpm.c, INDEX({"Product","Source region";"Chickens","Australia"}, _xlpm.r, _xlpm.c))))</definedName>
    <definedName name="CommonLivestock_SourceData.SourceData_Livestock_Product_Chickens_Data" localSheetId="14">_xlfn.LAMBDA(_xlfn.MAKEARRAY(2, 2, _xlfn.LAMBDA(_xlpm.r,_xlpm.c, INDEX({"Product","Source region";"Chickens","Australia"}, _xlpm.r, _xlpm.c))))</definedName>
    <definedName name="CommonLivestock_SourceData.SourceData_Livestock_Product_Chickens_Data" localSheetId="15">_xlfn.LAMBDA(_xlfn.MAKEARRAY(2, 2, _xlfn.LAMBDA(_xlpm.r,_xlpm.c, INDEX({"Product","Source region";"Chickens","Australia"}, _xlpm.r, _xlpm.c))))</definedName>
    <definedName name="CommonLivestock_SourceData.SourceData_Livestock_Product_Chickens_Data" localSheetId="16">_xlfn.LAMBDA(_xlfn.MAKEARRAY(2, 2, _xlfn.LAMBDA(_xlpm.r,_xlpm.c, INDEX({"Product","Source region";"Chickens","Australia"}, _xlpm.r, _xlpm.c))))</definedName>
    <definedName name="CommonLivestock_SourceData.SourceData_Livestock_Product_Chickens_Data" localSheetId="17">_xlfn.LAMBDA(_xlfn.MAKEARRAY(2, 2, _xlfn.LAMBDA(_xlpm.r,_xlpm.c, INDEX({"Product","Source region";"Chickens","Australia"}, _xlpm.r, _xlpm.c))))</definedName>
    <definedName name="CommonLivestock_SourceData.SourceData_Livestock_Product_Chickens_Data" localSheetId="18">_xlfn.LAMBDA(_xlfn.MAKEARRAY(2, 2, _xlfn.LAMBDA(_xlpm.r,_xlpm.c, INDEX({"Product","Source region";"Chickens","Australia"}, _xlpm.r, _xlpm.c))))</definedName>
    <definedName name="CommonLivestock_SourceData.SourceData_Livestock_Product_Chickens_Data" localSheetId="19">_xlfn.LAMBDA(_xlfn.MAKEARRAY(2, 2, _xlfn.LAMBDA(_xlpm.r,_xlpm.c, INDEX({"Product","Source region";"Chickens","Australia"}, _xlpm.r, _xlpm.c))))</definedName>
    <definedName name="CommonLivestock_SourceData.SourceData_Livestock_Product_Chickens_Data" localSheetId="20">_xlfn.LAMBDA(_xlfn.MAKEARRAY(2, 2, _xlfn.LAMBDA(_xlpm.r,_xlpm.c, INDEX({"Product","Source region";"Chickens","Australia"}, _xlpm.r, _xlpm.c))))</definedName>
    <definedName name="CommonLivestock_SourceData.SourceData_Livestock_Product_Chickens_Data" localSheetId="21">_xlfn.LAMBDA(_xlfn.MAKEARRAY(2, 2, _xlfn.LAMBDA(_xlpm.r,_xlpm.c, INDEX({"Product","Source region";"Chickens","Australia"}, _xlpm.r, _xlpm.c))))</definedName>
    <definedName name="CommonLivestock_SourceData.SourceData_Livestock_Product_Chickens_Data" localSheetId="22">_xlfn.LAMBDA(_xlfn.MAKEARRAY(2, 2, _xlfn.LAMBDA(_xlpm.r,_xlpm.c, INDEX({"Product","Source region";"Chickens","Australia"}, _xlpm.r, _xlpm.c))))</definedName>
    <definedName name="CommonLivestock_SourceData.SourceData_Livestock_Product_Chickens_Data" localSheetId="33">_xlfn.LAMBDA(_xlfn.MAKEARRAY(2, 2, _xlfn.LAMBDA(_xlpm.r,_xlpm.c, INDEX({"Product","Source region";"Chickens","Australia"}, _xlpm.r, _xlpm.c))))</definedName>
    <definedName name="CommonLivestock_SourceData.SourceData_Livestock_Product_Chickens_Data" localSheetId="27">_xlfn.LAMBDA(_xlfn.MAKEARRAY(2, 2, _xlfn.LAMBDA(_xlpm.r,_xlpm.c, INDEX({"Product","Source region";"Chickens","Australia"}, _xlpm.r, _xlpm.c))))</definedName>
    <definedName name="CommonLivestock_SourceData.SourceData_Livestock_Product_Chickens_Data" localSheetId="32">_xlfn.LAMBDA(_xlfn.MAKEARRAY(2, 2, _xlfn.LAMBDA(_xlpm.r,_xlpm.c, INDEX({"Product","Source region";"Chickens","Australia"}, _xlpm.r, _xlpm.c))))</definedName>
    <definedName name="CommonLivestock_SourceData.SourceData_Livestock_Product_Chickens_Data" localSheetId="30">_xlfn.LAMBDA(_xlfn.MAKEARRAY(2, 2, _xlfn.LAMBDA(_xlpm.r,_xlpm.c, INDEX({"Product","Source region";"Chickens","Australia"}, _xlpm.r, _xlpm.c))))</definedName>
    <definedName name="CommonLivestock_SourceData.SourceData_Livestock_Product_Chickens_Data" localSheetId="28">_xlfn.LAMBDA(_xlfn.MAKEARRAY(2, 2, _xlfn.LAMBDA(_xlpm.r,_xlpm.c, INDEX({"Product","Source region";"Chickens","Australia"}, _xlpm.r, _xlpm.c))))</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7">_xlfn.LAMBDA(_xlfn.MAKEARRAY(2, 2, _xlfn.LAMBDA(_xlpm.r,_xlpm.c, INDEX({"Product","Source region";"Chickens","Australia"}, _xlpm.r, _xlpm.c))))</definedName>
    <definedName name="CommonLivestock_SourceData.SourceData_Livestock_Product_Chickens_Data" localSheetId="6">_xlfn.LAMBDA(_xlfn.MAKEARRAY(2, 2, _xlfn.LAMBDA(_xlpm.r,_xlpm.c, INDEX({"Product","Source region";"Chickens","Australia"}, _xlpm.r, _xlpm.c))))</definedName>
    <definedName name="CommonLivestock_SourceData.SourceData_Livestock_Product_Chickens_Data" localSheetId="4">_xlfn.LAMBDA(_xlfn.MAKEARRAY(2, 2, _xlfn.LAMBDA(_xlpm.r,_xlpm.c, INDEX({"Product","Source region";"Chickens","Australia"}, _xlpm.r, _xlpm.c))))</definedName>
    <definedName name="CommonLivestock_SourceData.SourceData_Livestock_Product_Chickens_Data" localSheetId="3">_xlfn.LAMBDA(_xlfn.MAKEARRAY(2, 2, _xlfn.LAMBDA(_xlpm.r,_xlpm.c, INDEX({"Product","Source region";"Chickens","Australia"}, _xlpm.r, _xlpm.c))))</definedName>
    <definedName name="CommonLivestock_SourceData.SourceData_Livestock_Product_Chickens_Data" localSheetId="34">_xlfn.LAMBDA(_xlfn.MAKEARRAY(2, 2, _xlfn.LAMBDA(_xlpm.r,_xlpm.c, INDEX({"Product","Source region";"Chickens","Australia"}, _xlpm.r, _xlpm.c))))</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 localSheetId="10">_xlfn.LAMBDA("Lifecycles. (2026). Greenhouse Gas Emission Intensities for Material Inputs to Australian Agriculture, Fisheries and Forestry. Version 48. doi 10.5281/zenodo.19656580")</definedName>
    <definedName name="CommonLivestock_SourceData.SourceData_Livestock_Product_Chickens_Source" localSheetId="11">_xlfn.LAMBDA("Lifecycles. (2026). Greenhouse Gas Emission Intensities for Material Inputs to Australian Agriculture, Fisheries and Forestry. Version 48. doi 10.5281/zenodo.19656580")</definedName>
    <definedName name="CommonLivestock_SourceData.SourceData_Livestock_Product_Chickens_Source" localSheetId="12">_xlfn.LAMBDA("Lifecycles. (2026). Greenhouse Gas Emission Intensities for Material Inputs to Australian Agriculture, Fisheries and Forestry. Version 48. doi 10.5281/zenodo.19656580")</definedName>
    <definedName name="CommonLivestock_SourceData.SourceData_Livestock_Product_Chickens_Source" localSheetId="13">_xlfn.LAMBDA("Lifecycles. (2026). Greenhouse Gas Emission Intensities for Material Inputs to Australian Agriculture, Fisheries and Forestry. Version 48. doi 10.5281/zenodo.19656580")</definedName>
    <definedName name="CommonLivestock_SourceData.SourceData_Livestock_Product_Chickens_Source" localSheetId="14">_xlfn.LAMBDA("Lifecycles. (2026). Greenhouse Gas Emission Intensities for Material Inputs to Australian Agriculture, Fisheries and Forestry. Version 48. doi 10.5281/zenodo.19656580")</definedName>
    <definedName name="CommonLivestock_SourceData.SourceData_Livestock_Product_Chickens_Source" localSheetId="15">_xlfn.LAMBDA("Lifecycles. (2026). Greenhouse Gas Emission Intensities for Material Inputs to Australian Agriculture, Fisheries and Forestry. Version 48. doi 10.5281/zenodo.19656580")</definedName>
    <definedName name="CommonLivestock_SourceData.SourceData_Livestock_Product_Chickens_Source" localSheetId="16">_xlfn.LAMBDA("Lifecycles. (2026). Greenhouse Gas Emission Intensities for Material Inputs to Australian Agriculture, Fisheries and Forestry. Version 48. doi 10.5281/zenodo.19656580")</definedName>
    <definedName name="CommonLivestock_SourceData.SourceData_Livestock_Product_Chickens_Source" localSheetId="17">_xlfn.LAMBDA("Lifecycles. (2026). Greenhouse Gas Emission Intensities for Material Inputs to Australian Agriculture, Fisheries and Forestry. Version 48. doi 10.5281/zenodo.19656580")</definedName>
    <definedName name="CommonLivestock_SourceData.SourceData_Livestock_Product_Chickens_Source" localSheetId="18">_xlfn.LAMBDA("Lifecycles. (2026). Greenhouse Gas Emission Intensities for Material Inputs to Australian Agriculture, Fisheries and Forestry. Version 48. doi 10.5281/zenodo.19656580")</definedName>
    <definedName name="CommonLivestock_SourceData.SourceData_Livestock_Product_Chickens_Source" localSheetId="19">_xlfn.LAMBDA("Lifecycles. (2026). Greenhouse Gas Emission Intensities for Material Inputs to Australian Agriculture, Fisheries and Forestry. Version 48. doi 10.5281/zenodo.19656580")</definedName>
    <definedName name="CommonLivestock_SourceData.SourceData_Livestock_Product_Chickens_Source" localSheetId="20">_xlfn.LAMBDA("Lifecycles. (2026). Greenhouse Gas Emission Intensities for Material Inputs to Australian Agriculture, Fisheries and Forestry. Version 48. doi 10.5281/zenodo.19656580")</definedName>
    <definedName name="CommonLivestock_SourceData.SourceData_Livestock_Product_Chickens_Source" localSheetId="21">_xlfn.LAMBDA("Lifecycles. (2026). Greenhouse Gas Emission Intensities for Material Inputs to Australian Agriculture, Fisheries and Forestry. Version 48. doi 10.5281/zenodo.19656580")</definedName>
    <definedName name="CommonLivestock_SourceData.SourceData_Livestock_Product_Chickens_Source" localSheetId="2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3">_xlfn.LAMBDA("Lifecycles. (2026). Greenhouse Gas Emission Intensities for Material Inputs to Australian Agriculture, Fisheries and Forestry. Version 48. doi 10.5281/zenodo.19656580")</definedName>
    <definedName name="CommonLivestock_SourceData.SourceData_Livestock_Product_Chickens_Source" localSheetId="27">_xlfn.LAMBDA("Lifecycles. (2026). Greenhouse Gas Emission Intensities for Material Inputs to Australian Agriculture, Fisheries and Forestry. Version 48. doi 10.5281/zenodo.19656580")</definedName>
    <definedName name="CommonLivestock_SourceData.SourceData_Livestock_Product_Chickens_Source" localSheetId="32">_xlfn.LAMBDA("Lifecycles. (2026). Greenhouse Gas Emission Intensities for Material Inputs to Australian Agriculture, Fisheries and Forestry. Version 48. doi 10.5281/zenodo.19656580")</definedName>
    <definedName name="CommonLivestock_SourceData.SourceData_Livestock_Product_Chickens_Source" localSheetId="30">_xlfn.LAMBDA("Lifecycles. (2026). Greenhouse Gas Emission Intensities for Material Inputs to Australian Agriculture, Fisheries and Forestry. Version 48. doi 10.5281/zenodo.19656580")</definedName>
    <definedName name="CommonLivestock_SourceData.SourceData_Livestock_Product_Chickens_Source" localSheetId="28">_xlfn.LAMBDA("Lifecycles. (2026). Greenhouse Gas Emission Intensities for Material Inputs to Australian Agriculture, Fisheries and Forestry. Version 48. doi 10.5281/zenodo.19656580")</definedName>
    <definedName name="CommonLivestock_SourceData.SourceData_Livestock_Product_Chickens_Source" localSheetId="26">_xlfn.LAMBDA("Lifecycles. (2026). Greenhouse Gas Emission Intensities for Material Inputs to Australian Agriculture, Fisheries and Forestry. Version 48. doi 10.5281/zenodo.19656580")</definedName>
    <definedName name="CommonLivestock_SourceData.SourceData_Livestock_Product_Chickens_Source" localSheetId="7">_xlfn.LAMBDA("Lifecycles. (2026). Greenhouse Gas Emission Intensities for Material Inputs to Australian Agriculture, Fisheries and Forestry. Version 48. doi 10.5281/zenodo.19656580")</definedName>
    <definedName name="CommonLivestock_SourceData.SourceData_Livestock_Product_Chickens_Source" localSheetId="6">_xlfn.LAMBDA("Lifecycles. (2026). Greenhouse Gas Emission Intensities for Material Inputs to Australian Agriculture, Fisheries and Forestry. Version 48. doi 10.5281/zenodo.19656580")</definedName>
    <definedName name="CommonLivestock_SourceData.SourceData_Livestock_Product_Chickens_Source" localSheetId="4">_xlfn.LAMBDA("Lifecycles. (2026). Greenhouse Gas Emission Intensities for Material Inputs to Australian Agriculture, Fisheries and Forestry. Version 48. doi 10.5281/zenodo.19656580")</definedName>
    <definedName name="CommonLivestock_SourceData.SourceData_Livestock_Product_Chickens_Source" localSheetId="3">_xlfn.LAMBDA("Lifecycles. (2026). Greenhouse Gas Emission Intensities for Material Inputs to Australian Agriculture, Fisheries and Forestry. Version 48. doi 10.5281/zenodo.19656580")</definedName>
    <definedName name="CommonLivestock_SourceData.SourceData_Livestock_Product_Chickens_Source" localSheetId="34">_xlfn.LAMBDA("Lifecycles. (2026). Greenhouse Gas Emission Intensities for Material Inputs to Australian Agriculture, Fisheries and Forestry. Version 48. doi 10.5281/zenodo.19656580")</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 localSheetId="10">_xlfn.LAMBDA("Chickens products for scope 3")</definedName>
    <definedName name="CommonLivestock_SourceData.SourceData_Livestock_Product_Chickens_Title" localSheetId="11">_xlfn.LAMBDA("Chickens products for scope 3")</definedName>
    <definedName name="CommonLivestock_SourceData.SourceData_Livestock_Product_Chickens_Title" localSheetId="12">_xlfn.LAMBDA("Chickens products for scope 3")</definedName>
    <definedName name="CommonLivestock_SourceData.SourceData_Livestock_Product_Chickens_Title" localSheetId="13">_xlfn.LAMBDA("Chickens products for scope 3")</definedName>
    <definedName name="CommonLivestock_SourceData.SourceData_Livestock_Product_Chickens_Title" localSheetId="14">_xlfn.LAMBDA("Chickens products for scope 3")</definedName>
    <definedName name="CommonLivestock_SourceData.SourceData_Livestock_Product_Chickens_Title" localSheetId="15">_xlfn.LAMBDA("Chickens products for scope 3")</definedName>
    <definedName name="CommonLivestock_SourceData.SourceData_Livestock_Product_Chickens_Title" localSheetId="16">_xlfn.LAMBDA("Chickens products for scope 3")</definedName>
    <definedName name="CommonLivestock_SourceData.SourceData_Livestock_Product_Chickens_Title" localSheetId="17">_xlfn.LAMBDA("Chickens products for scope 3")</definedName>
    <definedName name="CommonLivestock_SourceData.SourceData_Livestock_Product_Chickens_Title" localSheetId="18">_xlfn.LAMBDA("Chickens products for scope 3")</definedName>
    <definedName name="CommonLivestock_SourceData.SourceData_Livestock_Product_Chickens_Title" localSheetId="19">_xlfn.LAMBDA("Chickens products for scope 3")</definedName>
    <definedName name="CommonLivestock_SourceData.SourceData_Livestock_Product_Chickens_Title" localSheetId="20">_xlfn.LAMBDA("Chickens products for scope 3")</definedName>
    <definedName name="CommonLivestock_SourceData.SourceData_Livestock_Product_Chickens_Title" localSheetId="21">_xlfn.LAMBDA("Chickens products for scope 3")</definedName>
    <definedName name="CommonLivestock_SourceData.SourceData_Livestock_Product_Chickens_Title" localSheetId="22">_xlfn.LAMBDA("Chickens products for scope 3")</definedName>
    <definedName name="CommonLivestock_SourceData.SourceData_Livestock_Product_Chickens_Title" localSheetId="33">_xlfn.LAMBDA("Chickens products for scope 3")</definedName>
    <definedName name="CommonLivestock_SourceData.SourceData_Livestock_Product_Chickens_Title" localSheetId="27">_xlfn.LAMBDA("Chickens products for scope 3")</definedName>
    <definedName name="CommonLivestock_SourceData.SourceData_Livestock_Product_Chickens_Title" localSheetId="32">_xlfn.LAMBDA("Chickens products for scope 3")</definedName>
    <definedName name="CommonLivestock_SourceData.SourceData_Livestock_Product_Chickens_Title" localSheetId="30">_xlfn.LAMBDA("Chickens products for scope 3")</definedName>
    <definedName name="CommonLivestock_SourceData.SourceData_Livestock_Product_Chickens_Title" localSheetId="28">_xlfn.LAMBDA("Chickens products for scope 3")</definedName>
    <definedName name="CommonLivestock_SourceData.SourceData_Livestock_Product_Chickens_Title" localSheetId="26">_xlfn.LAMBDA("Chickens products for scope 3")</definedName>
    <definedName name="CommonLivestock_SourceData.SourceData_Livestock_Product_Chickens_Title" localSheetId="7">_xlfn.LAMBDA("Chickens products for scope 3")</definedName>
    <definedName name="CommonLivestock_SourceData.SourceData_Livestock_Product_Chickens_Title" localSheetId="6">_xlfn.LAMBDA("Chickens products for scope 3")</definedName>
    <definedName name="CommonLivestock_SourceData.SourceData_Livestock_Product_Chickens_Title" localSheetId="4">_xlfn.LAMBDA("Chickens products for scope 3")</definedName>
    <definedName name="CommonLivestock_SourceData.SourceData_Livestock_Product_Chickens_Title" localSheetId="3">_xlfn.LAMBDA("Chickens products for scope 3")</definedName>
    <definedName name="CommonLivestock_SourceData.SourceData_Livestock_Product_Chickens_Title" localSheetId="34">_xlfn.LAMBDA("Chickens products for scope 3")</definedName>
    <definedName name="CommonLivestock_SourceData.SourceData_Livestock_Product_Chickens_Title">_xlfn.LAMBDA("Chickens products for scope 3")</definedName>
    <definedName name="CommonLivestock_SourceData.SourceData_Livestock_Product_Chickens_Unit" localSheetId="10">_xlfn.LAMBDA("")</definedName>
    <definedName name="CommonLivestock_SourceData.SourceData_Livestock_Product_Chickens_Unit" localSheetId="11">_xlfn.LAMBDA("")</definedName>
    <definedName name="CommonLivestock_SourceData.SourceData_Livestock_Product_Chickens_Unit" localSheetId="12">_xlfn.LAMBDA("")</definedName>
    <definedName name="CommonLivestock_SourceData.SourceData_Livestock_Product_Chickens_Unit" localSheetId="13">_xlfn.LAMBDA("")</definedName>
    <definedName name="CommonLivestock_SourceData.SourceData_Livestock_Product_Chickens_Unit" localSheetId="14">_xlfn.LAMBDA("")</definedName>
    <definedName name="CommonLivestock_SourceData.SourceData_Livestock_Product_Chickens_Unit" localSheetId="15">_xlfn.LAMBDA("")</definedName>
    <definedName name="CommonLivestock_SourceData.SourceData_Livestock_Product_Chickens_Unit" localSheetId="16">_xlfn.LAMBDA("")</definedName>
    <definedName name="CommonLivestock_SourceData.SourceData_Livestock_Product_Chickens_Unit" localSheetId="17">_xlfn.LAMBDA("")</definedName>
    <definedName name="CommonLivestock_SourceData.SourceData_Livestock_Product_Chickens_Unit" localSheetId="18">_xlfn.LAMBDA("")</definedName>
    <definedName name="CommonLivestock_SourceData.SourceData_Livestock_Product_Chickens_Unit" localSheetId="19">_xlfn.LAMBDA("")</definedName>
    <definedName name="CommonLivestock_SourceData.SourceData_Livestock_Product_Chickens_Unit" localSheetId="20">_xlfn.LAMBDA("")</definedName>
    <definedName name="CommonLivestock_SourceData.SourceData_Livestock_Product_Chickens_Unit" localSheetId="21">_xlfn.LAMBDA("")</definedName>
    <definedName name="CommonLivestock_SourceData.SourceData_Livestock_Product_Chickens_Unit" localSheetId="22">_xlfn.LAMBDA("")</definedName>
    <definedName name="CommonLivestock_SourceData.SourceData_Livestock_Product_Chickens_Unit" localSheetId="33">_xlfn.LAMBDA("")</definedName>
    <definedName name="CommonLivestock_SourceData.SourceData_Livestock_Product_Chickens_Unit" localSheetId="27">_xlfn.LAMBDA("")</definedName>
    <definedName name="CommonLivestock_SourceData.SourceData_Livestock_Product_Chickens_Unit" localSheetId="32">_xlfn.LAMBDA("")</definedName>
    <definedName name="CommonLivestock_SourceData.SourceData_Livestock_Product_Chickens_Unit" localSheetId="30">_xlfn.LAMBDA("")</definedName>
    <definedName name="CommonLivestock_SourceData.SourceData_Livestock_Product_Chickens_Unit" localSheetId="28">_xlfn.LAMBDA("")</definedName>
    <definedName name="CommonLivestock_SourceData.SourceData_Livestock_Product_Chickens_Unit" localSheetId="26">_xlfn.LAMBDA("")</definedName>
    <definedName name="CommonLivestock_SourceData.SourceData_Livestock_Product_Chickens_Unit" localSheetId="7">_xlfn.LAMBDA("")</definedName>
    <definedName name="CommonLivestock_SourceData.SourceData_Livestock_Product_Chickens_Unit" localSheetId="6">_xlfn.LAMBDA("")</definedName>
    <definedName name="CommonLivestock_SourceData.SourceData_Livestock_Product_Chickens_Unit" localSheetId="4">_xlfn.LAMBDA("")</definedName>
    <definedName name="CommonLivestock_SourceData.SourceData_Livestock_Product_Chickens_Unit" localSheetId="3">_xlfn.LAMBDA("")</definedName>
    <definedName name="CommonLivestock_SourceData.SourceData_Livestock_Product_Chickens_Unit" localSheetId="34">_xlfn.LAMBDA("")</definedName>
    <definedName name="CommonLivestock_SourceData.SourceData_Livestock_Product_Chickens_Unit">_xlfn.LAMBDA("")</definedName>
    <definedName name="CommonLivestock_SourceData.SourceData_Livestock_Product_Chickens_Vairable" localSheetId="10">_xlfn.LAMBDA("")</definedName>
    <definedName name="CommonLivestock_SourceData.SourceData_Livestock_Product_Chickens_Vairable" localSheetId="11">_xlfn.LAMBDA("")</definedName>
    <definedName name="CommonLivestock_SourceData.SourceData_Livestock_Product_Chickens_Vairable" localSheetId="12">_xlfn.LAMBDA("")</definedName>
    <definedName name="CommonLivestock_SourceData.SourceData_Livestock_Product_Chickens_Vairable" localSheetId="13">_xlfn.LAMBDA("")</definedName>
    <definedName name="CommonLivestock_SourceData.SourceData_Livestock_Product_Chickens_Vairable" localSheetId="14">_xlfn.LAMBDA("")</definedName>
    <definedName name="CommonLivestock_SourceData.SourceData_Livestock_Product_Chickens_Vairable" localSheetId="15">_xlfn.LAMBDA("")</definedName>
    <definedName name="CommonLivestock_SourceData.SourceData_Livestock_Product_Chickens_Vairable" localSheetId="16">_xlfn.LAMBDA("")</definedName>
    <definedName name="CommonLivestock_SourceData.SourceData_Livestock_Product_Chickens_Vairable" localSheetId="17">_xlfn.LAMBDA("")</definedName>
    <definedName name="CommonLivestock_SourceData.SourceData_Livestock_Product_Chickens_Vairable" localSheetId="18">_xlfn.LAMBDA("")</definedName>
    <definedName name="CommonLivestock_SourceData.SourceData_Livestock_Product_Chickens_Vairable" localSheetId="19">_xlfn.LAMBDA("")</definedName>
    <definedName name="CommonLivestock_SourceData.SourceData_Livestock_Product_Chickens_Vairable" localSheetId="20">_xlfn.LAMBDA("")</definedName>
    <definedName name="CommonLivestock_SourceData.SourceData_Livestock_Product_Chickens_Vairable" localSheetId="21">_xlfn.LAMBDA("")</definedName>
    <definedName name="CommonLivestock_SourceData.SourceData_Livestock_Product_Chickens_Vairable" localSheetId="22">_xlfn.LAMBDA("")</definedName>
    <definedName name="CommonLivestock_SourceData.SourceData_Livestock_Product_Chickens_Vairable" localSheetId="33">_xlfn.LAMBDA("")</definedName>
    <definedName name="CommonLivestock_SourceData.SourceData_Livestock_Product_Chickens_Vairable" localSheetId="27">_xlfn.LAMBDA("")</definedName>
    <definedName name="CommonLivestock_SourceData.SourceData_Livestock_Product_Chickens_Vairable" localSheetId="32">_xlfn.LAMBDA("")</definedName>
    <definedName name="CommonLivestock_SourceData.SourceData_Livestock_Product_Chickens_Vairable" localSheetId="30">_xlfn.LAMBDA("")</definedName>
    <definedName name="CommonLivestock_SourceData.SourceData_Livestock_Product_Chickens_Vairable" localSheetId="28">_xlfn.LAMBDA("")</definedName>
    <definedName name="CommonLivestock_SourceData.SourceData_Livestock_Product_Chickens_Vairable" localSheetId="26">_xlfn.LAMBDA("")</definedName>
    <definedName name="CommonLivestock_SourceData.SourceData_Livestock_Product_Chickens_Vairable" localSheetId="7">_xlfn.LAMBDA("")</definedName>
    <definedName name="CommonLivestock_SourceData.SourceData_Livestock_Product_Chickens_Vairable" localSheetId="6">_xlfn.LAMBDA("")</definedName>
    <definedName name="CommonLivestock_SourceData.SourceData_Livestock_Product_Chickens_Vairable" localSheetId="4">_xlfn.LAMBDA("")</definedName>
    <definedName name="CommonLivestock_SourceData.SourceData_Livestock_Product_Chickens_Vairable" localSheetId="3">_xlfn.LAMBDA("")</definedName>
    <definedName name="CommonLivestock_SourceData.SourceData_Livestock_Product_Chickens_Vairable" localSheetId="34">_xlfn.LAMBDA("")</definedName>
    <definedName name="CommonLivestock_SourceData.SourceData_Livestock_Product_Chickens_Vairable">_xlfn.LAMBDA("")</definedName>
    <definedName name="CommonLivestock_SourceData.SourceData_Livestock_Product_Dairycattle_Data" localSheetId="10">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12">_xlfn.LAMBDA(_xlfn.MAKEARRAY(2, 2, _xlfn.LAMBDA(_xlpm.r,_xlpm.c, INDEX({"Product","Source region";"Dairy cows","VIC"}, _xlpm.r, _xlpm.c))))</definedName>
    <definedName name="CommonLivestock_SourceData.SourceData_Livestock_Product_Dairycattle_Data" localSheetId="13">_xlfn.LAMBDA(_xlfn.MAKEARRAY(2, 2, _xlfn.LAMBDA(_xlpm.r,_xlpm.c, INDEX({"Product","Source region";"Dairy cows","VIC"}, _xlpm.r, _xlpm.c))))</definedName>
    <definedName name="CommonLivestock_SourceData.SourceData_Livestock_Product_Dairycattle_Data" localSheetId="14">_xlfn.LAMBDA(_xlfn.MAKEARRAY(2, 2, _xlfn.LAMBDA(_xlpm.r,_xlpm.c, INDEX({"Product","Source region";"Dairy cows","VIC"}, _xlpm.r, _xlpm.c))))</definedName>
    <definedName name="CommonLivestock_SourceData.SourceData_Livestock_Product_Dairycattle_Data" localSheetId="15">_xlfn.LAMBDA(_xlfn.MAKEARRAY(2, 2, _xlfn.LAMBDA(_xlpm.r,_xlpm.c, INDEX({"Product","Source region";"Dairy cows","VIC"}, _xlpm.r, _xlpm.c))))</definedName>
    <definedName name="CommonLivestock_SourceData.SourceData_Livestock_Product_Dairycattle_Data" localSheetId="16">_xlfn.LAMBDA(_xlfn.MAKEARRAY(2, 2, _xlfn.LAMBDA(_xlpm.r,_xlpm.c, INDEX({"Product","Source region";"Dairy cows","VIC"}, _xlpm.r, _xlpm.c))))</definedName>
    <definedName name="CommonLivestock_SourceData.SourceData_Livestock_Product_Dairycattle_Data" localSheetId="17">_xlfn.LAMBDA(_xlfn.MAKEARRAY(2, 2, _xlfn.LAMBDA(_xlpm.r,_xlpm.c, INDEX({"Product","Source region";"Dairy cows","VIC"}, _xlpm.r, _xlpm.c))))</definedName>
    <definedName name="CommonLivestock_SourceData.SourceData_Livestock_Product_Dairycattle_Data" localSheetId="18">_xlfn.LAMBDA(_xlfn.MAKEARRAY(2, 2, _xlfn.LAMBDA(_xlpm.r,_xlpm.c, INDEX({"Product","Source region";"Dairy cows","VIC"}, _xlpm.r, _xlpm.c))))</definedName>
    <definedName name="CommonLivestock_SourceData.SourceData_Livestock_Product_Dairycattle_Data" localSheetId="19">_xlfn.LAMBDA(_xlfn.MAKEARRAY(2, 2, _xlfn.LAMBDA(_xlpm.r,_xlpm.c, INDEX({"Product","Source region";"Dairy cows","VIC"}, _xlpm.r, _xlpm.c))))</definedName>
    <definedName name="CommonLivestock_SourceData.SourceData_Livestock_Product_Dairycattle_Data" localSheetId="20">_xlfn.LAMBDA(_xlfn.MAKEARRAY(2, 2, _xlfn.LAMBDA(_xlpm.r,_xlpm.c, INDEX({"Product","Source region";"Dairy cows","VIC"}, _xlpm.r, _xlpm.c))))</definedName>
    <definedName name="CommonLivestock_SourceData.SourceData_Livestock_Product_Dairycattle_Data" localSheetId="21">_xlfn.LAMBDA(_xlfn.MAKEARRAY(2, 2, _xlfn.LAMBDA(_xlpm.r,_xlpm.c, INDEX({"Product","Source region";"Dairy cows","VIC"}, _xlpm.r, _xlpm.c))))</definedName>
    <definedName name="CommonLivestock_SourceData.SourceData_Livestock_Product_Dairycattle_Data" localSheetId="22">_xlfn.LAMBDA(_xlfn.MAKEARRAY(2, 2, _xlfn.LAMBDA(_xlpm.r,_xlpm.c, INDEX({"Product","Source region";"Dairy cows","VIC"}, _xlpm.r, _xlpm.c))))</definedName>
    <definedName name="CommonLivestock_SourceData.SourceData_Livestock_Product_Dairycattle_Data" localSheetId="33">_xlfn.LAMBDA(_xlfn.MAKEARRAY(2, 2, _xlfn.LAMBDA(_xlpm.r,_xlpm.c, INDEX({"Product","Source region";"Dairy cows","VIC"}, _xlpm.r, _xlpm.c))))</definedName>
    <definedName name="CommonLivestock_SourceData.SourceData_Livestock_Product_Dairycattle_Data" localSheetId="27">_xlfn.LAMBDA(_xlfn.MAKEARRAY(2, 2, _xlfn.LAMBDA(_xlpm.r,_xlpm.c, INDEX({"Product","Source region";"Dairy cows","VIC"}, _xlpm.r, _xlpm.c))))</definedName>
    <definedName name="CommonLivestock_SourceData.SourceData_Livestock_Product_Dairycattle_Data" localSheetId="32">_xlfn.LAMBDA(_xlfn.MAKEARRAY(2, 2, _xlfn.LAMBDA(_xlpm.r,_xlpm.c, INDEX({"Product","Source region";"Dairy cows","VIC"}, _xlpm.r, _xlpm.c))))</definedName>
    <definedName name="CommonLivestock_SourceData.SourceData_Livestock_Product_Dairycattle_Data" localSheetId="30">_xlfn.LAMBDA(_xlfn.MAKEARRAY(2, 2, _xlfn.LAMBDA(_xlpm.r,_xlpm.c, INDEX({"Product","Source region";"Dairy cows","VIC"}, _xlpm.r, _xlpm.c))))</definedName>
    <definedName name="CommonLivestock_SourceData.SourceData_Livestock_Product_Dairycattle_Data" localSheetId="28">_xlfn.LAMBDA(_xlfn.MAKEARRAY(2, 2, _xlfn.LAMBDA(_xlpm.r,_xlpm.c, INDEX({"Product","Source region";"Dairy cows","VIC"}, _xlpm.r, _xlpm.c))))</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7">_xlfn.LAMBDA(_xlfn.MAKEARRAY(2, 2, _xlfn.LAMBDA(_xlpm.r,_xlpm.c, INDEX({"Product","Source region";"Dairy cows","VIC"}, _xlpm.r, _xlpm.c))))</definedName>
    <definedName name="CommonLivestock_SourceData.SourceData_Livestock_Product_Dairycattle_Data" localSheetId="6">_xlfn.LAMBDA(_xlfn.MAKEARRAY(2, 2, _xlfn.LAMBDA(_xlpm.r,_xlpm.c, INDEX({"Product","Source region";"Dairy cows","VIC"}, _xlpm.r, _xlpm.c))))</definedName>
    <definedName name="CommonLivestock_SourceData.SourceData_Livestock_Product_Dairycattle_Data" localSheetId="4">_xlfn.LAMBDA(_xlfn.MAKEARRAY(2, 2, _xlfn.LAMBDA(_xlpm.r,_xlpm.c, INDEX({"Product","Source region";"Dairy cows","VIC"}, _xlpm.r, _xlpm.c))))</definedName>
    <definedName name="CommonLivestock_SourceData.SourceData_Livestock_Product_Dairycattle_Data" localSheetId="3">_xlfn.LAMBDA(_xlfn.MAKEARRAY(2, 2, _xlfn.LAMBDA(_xlpm.r,_xlpm.c, INDEX({"Product","Source region";"Dairy cows","VIC"}, _xlpm.r, _xlpm.c))))</definedName>
    <definedName name="CommonLivestock_SourceData.SourceData_Livestock_Product_Dairycattle_Data" localSheetId="34">_xlfn.LAMBDA(_xlfn.MAKEARRAY(2, 2, _xlfn.LAMBDA(_xlpm.r,_xlpm.c, INDEX({"Product","Source region";"Dairy cows","VIC"}, _xlpm.r, _xlpm.c))))</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 localSheetId="1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5">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19">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1">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2">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0">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8">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2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7">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6">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4">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_xlfn.LAMBDA("Lifecycles. (2026). Greenhouse Gas Emission Intensities for Material Inputs to Australian Agriculture, Fisheries and Forestry. Version 48. doi 10.5281/zenodo.19656580")</definedName>
    <definedName name="CommonLivestock_SourceData.SourceData_Livestock_Product_Dairycattle_Source" localSheetId="34">_xlfn.LAMBDA("Lifecycles. (2026). Greenhouse Gas Emission Intensities for Material Inputs to Australian Agriculture, Fisheries and Forestry. Version 48. doi 10.5281/zenodo.19656580")</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 localSheetId="10">_xlfn.LAMBDA("Dairy cattle products for scope 3")</definedName>
    <definedName name="CommonLivestock_SourceData.SourceData_Livestock_Product_Dairycattle_Title" localSheetId="11">_xlfn.LAMBDA("Dairy cattle products for scope 3")</definedName>
    <definedName name="CommonLivestock_SourceData.SourceData_Livestock_Product_Dairycattle_Title" localSheetId="12">_xlfn.LAMBDA("Dairy cattle products for scope 3")</definedName>
    <definedName name="CommonLivestock_SourceData.SourceData_Livestock_Product_Dairycattle_Title" localSheetId="13">_xlfn.LAMBDA("Dairy cattle products for scope 3")</definedName>
    <definedName name="CommonLivestock_SourceData.SourceData_Livestock_Product_Dairycattle_Title" localSheetId="14">_xlfn.LAMBDA("Dairy cattle products for scope 3")</definedName>
    <definedName name="CommonLivestock_SourceData.SourceData_Livestock_Product_Dairycattle_Title" localSheetId="15">_xlfn.LAMBDA("Dairy cattle products for scope 3")</definedName>
    <definedName name="CommonLivestock_SourceData.SourceData_Livestock_Product_Dairycattle_Title" localSheetId="16">_xlfn.LAMBDA("Dairy cattle products for scope 3")</definedName>
    <definedName name="CommonLivestock_SourceData.SourceData_Livestock_Product_Dairycattle_Title" localSheetId="17">_xlfn.LAMBDA("Dairy cattle products for scope 3")</definedName>
    <definedName name="CommonLivestock_SourceData.SourceData_Livestock_Product_Dairycattle_Title" localSheetId="18">_xlfn.LAMBDA("Dairy cattle products for scope 3")</definedName>
    <definedName name="CommonLivestock_SourceData.SourceData_Livestock_Product_Dairycattle_Title" localSheetId="19">_xlfn.LAMBDA("Dairy cattle products for scope 3")</definedName>
    <definedName name="CommonLivestock_SourceData.SourceData_Livestock_Product_Dairycattle_Title" localSheetId="20">_xlfn.LAMBDA("Dairy cattle products for scope 3")</definedName>
    <definedName name="CommonLivestock_SourceData.SourceData_Livestock_Product_Dairycattle_Title" localSheetId="21">_xlfn.LAMBDA("Dairy cattle products for scope 3")</definedName>
    <definedName name="CommonLivestock_SourceData.SourceData_Livestock_Product_Dairycattle_Title" localSheetId="22">_xlfn.LAMBDA("Dairy cattle products for scope 3")</definedName>
    <definedName name="CommonLivestock_SourceData.SourceData_Livestock_Product_Dairycattle_Title" localSheetId="33">_xlfn.LAMBDA("Dairy cattle products for scope 3")</definedName>
    <definedName name="CommonLivestock_SourceData.SourceData_Livestock_Product_Dairycattle_Title" localSheetId="27">_xlfn.LAMBDA("Dairy cattle products for scope 3")</definedName>
    <definedName name="CommonLivestock_SourceData.SourceData_Livestock_Product_Dairycattle_Title" localSheetId="32">_xlfn.LAMBDA("Dairy cattle products for scope 3")</definedName>
    <definedName name="CommonLivestock_SourceData.SourceData_Livestock_Product_Dairycattle_Title" localSheetId="30">_xlfn.LAMBDA("Dairy cattle products for scope 3")</definedName>
    <definedName name="CommonLivestock_SourceData.SourceData_Livestock_Product_Dairycattle_Title" localSheetId="28">_xlfn.LAMBDA("Dairy cattle products for scope 3")</definedName>
    <definedName name="CommonLivestock_SourceData.SourceData_Livestock_Product_Dairycattle_Title" localSheetId="26">_xlfn.LAMBDA("Dairy cattle products for scope 3")</definedName>
    <definedName name="CommonLivestock_SourceData.SourceData_Livestock_Product_Dairycattle_Title" localSheetId="7">_xlfn.LAMBDA("Dairy cattle products for scope 3")</definedName>
    <definedName name="CommonLivestock_SourceData.SourceData_Livestock_Product_Dairycattle_Title" localSheetId="6">_xlfn.LAMBDA("Dairy cattle products for scope 3")</definedName>
    <definedName name="CommonLivestock_SourceData.SourceData_Livestock_Product_Dairycattle_Title" localSheetId="4">_xlfn.LAMBDA("Dairy cattle products for scope 3")</definedName>
    <definedName name="CommonLivestock_SourceData.SourceData_Livestock_Product_Dairycattle_Title" localSheetId="3">_xlfn.LAMBDA("Dairy cattle products for scope 3")</definedName>
    <definedName name="CommonLivestock_SourceData.SourceData_Livestock_Product_Dairycattle_Title" localSheetId="34">_xlfn.LAMBDA("Dairy cattle products for scope 3")</definedName>
    <definedName name="CommonLivestock_SourceData.SourceData_Livestock_Product_Dairycattle_Title">_xlfn.LAMBDA("Dairy cattle products for scope 3")</definedName>
    <definedName name="CommonLivestock_SourceData.SourceData_Livestock_Product_Dairycattle_Unit" localSheetId="10">_xlfn.LAMBDA("")</definedName>
    <definedName name="CommonLivestock_SourceData.SourceData_Livestock_Product_Dairycattle_Unit" localSheetId="11">_xlfn.LAMBDA("")</definedName>
    <definedName name="CommonLivestock_SourceData.SourceData_Livestock_Product_Dairycattle_Unit" localSheetId="12">_xlfn.LAMBDA("")</definedName>
    <definedName name="CommonLivestock_SourceData.SourceData_Livestock_Product_Dairycattle_Unit" localSheetId="13">_xlfn.LAMBDA("")</definedName>
    <definedName name="CommonLivestock_SourceData.SourceData_Livestock_Product_Dairycattle_Unit" localSheetId="14">_xlfn.LAMBDA("")</definedName>
    <definedName name="CommonLivestock_SourceData.SourceData_Livestock_Product_Dairycattle_Unit" localSheetId="15">_xlfn.LAMBDA("")</definedName>
    <definedName name="CommonLivestock_SourceData.SourceData_Livestock_Product_Dairycattle_Unit" localSheetId="16">_xlfn.LAMBDA("")</definedName>
    <definedName name="CommonLivestock_SourceData.SourceData_Livestock_Product_Dairycattle_Unit" localSheetId="17">_xlfn.LAMBDA("")</definedName>
    <definedName name="CommonLivestock_SourceData.SourceData_Livestock_Product_Dairycattle_Unit" localSheetId="18">_xlfn.LAMBDA("")</definedName>
    <definedName name="CommonLivestock_SourceData.SourceData_Livestock_Product_Dairycattle_Unit" localSheetId="19">_xlfn.LAMBDA("")</definedName>
    <definedName name="CommonLivestock_SourceData.SourceData_Livestock_Product_Dairycattle_Unit" localSheetId="20">_xlfn.LAMBDA("")</definedName>
    <definedName name="CommonLivestock_SourceData.SourceData_Livestock_Product_Dairycattle_Unit" localSheetId="21">_xlfn.LAMBDA("")</definedName>
    <definedName name="CommonLivestock_SourceData.SourceData_Livestock_Product_Dairycattle_Unit" localSheetId="22">_xlfn.LAMBDA("")</definedName>
    <definedName name="CommonLivestock_SourceData.SourceData_Livestock_Product_Dairycattle_Unit" localSheetId="33">_xlfn.LAMBDA("")</definedName>
    <definedName name="CommonLivestock_SourceData.SourceData_Livestock_Product_Dairycattle_Unit" localSheetId="27">_xlfn.LAMBDA("")</definedName>
    <definedName name="CommonLivestock_SourceData.SourceData_Livestock_Product_Dairycattle_Unit" localSheetId="32">_xlfn.LAMBDA("")</definedName>
    <definedName name="CommonLivestock_SourceData.SourceData_Livestock_Product_Dairycattle_Unit" localSheetId="30">_xlfn.LAMBDA("")</definedName>
    <definedName name="CommonLivestock_SourceData.SourceData_Livestock_Product_Dairycattle_Unit" localSheetId="28">_xlfn.LAMBDA("")</definedName>
    <definedName name="CommonLivestock_SourceData.SourceData_Livestock_Product_Dairycattle_Unit" localSheetId="26">_xlfn.LAMBDA("")</definedName>
    <definedName name="CommonLivestock_SourceData.SourceData_Livestock_Product_Dairycattle_Unit" localSheetId="7">_xlfn.LAMBDA("")</definedName>
    <definedName name="CommonLivestock_SourceData.SourceData_Livestock_Product_Dairycattle_Unit" localSheetId="6">_xlfn.LAMBDA("")</definedName>
    <definedName name="CommonLivestock_SourceData.SourceData_Livestock_Product_Dairycattle_Unit" localSheetId="4">_xlfn.LAMBDA("")</definedName>
    <definedName name="CommonLivestock_SourceData.SourceData_Livestock_Product_Dairycattle_Unit" localSheetId="3">_xlfn.LAMBDA("")</definedName>
    <definedName name="CommonLivestock_SourceData.SourceData_Livestock_Product_Dairycattle_Unit" localSheetId="34">_xlfn.LAMBDA("")</definedName>
    <definedName name="CommonLivestock_SourceData.SourceData_Livestock_Product_Dairycattle_Unit">_xlfn.LAMBDA("")</definedName>
    <definedName name="CommonLivestock_SourceData.SourceData_Livestock_Product_Dairycattle_Vairable" localSheetId="10">_xlfn.LAMBDA("")</definedName>
    <definedName name="CommonLivestock_SourceData.SourceData_Livestock_Product_Dairycattle_Vairable" localSheetId="11">_xlfn.LAMBDA("")</definedName>
    <definedName name="CommonLivestock_SourceData.SourceData_Livestock_Product_Dairycattle_Vairable" localSheetId="12">_xlfn.LAMBDA("")</definedName>
    <definedName name="CommonLivestock_SourceData.SourceData_Livestock_Product_Dairycattle_Vairable" localSheetId="13">_xlfn.LAMBDA("")</definedName>
    <definedName name="CommonLivestock_SourceData.SourceData_Livestock_Product_Dairycattle_Vairable" localSheetId="14">_xlfn.LAMBDA("")</definedName>
    <definedName name="CommonLivestock_SourceData.SourceData_Livestock_Product_Dairycattle_Vairable" localSheetId="15">_xlfn.LAMBDA("")</definedName>
    <definedName name="CommonLivestock_SourceData.SourceData_Livestock_Product_Dairycattle_Vairable" localSheetId="16">_xlfn.LAMBDA("")</definedName>
    <definedName name="CommonLivestock_SourceData.SourceData_Livestock_Product_Dairycattle_Vairable" localSheetId="17">_xlfn.LAMBDA("")</definedName>
    <definedName name="CommonLivestock_SourceData.SourceData_Livestock_Product_Dairycattle_Vairable" localSheetId="18">_xlfn.LAMBDA("")</definedName>
    <definedName name="CommonLivestock_SourceData.SourceData_Livestock_Product_Dairycattle_Vairable" localSheetId="19">_xlfn.LAMBDA("")</definedName>
    <definedName name="CommonLivestock_SourceData.SourceData_Livestock_Product_Dairycattle_Vairable" localSheetId="20">_xlfn.LAMBDA("")</definedName>
    <definedName name="CommonLivestock_SourceData.SourceData_Livestock_Product_Dairycattle_Vairable" localSheetId="21">_xlfn.LAMBDA("")</definedName>
    <definedName name="CommonLivestock_SourceData.SourceData_Livestock_Product_Dairycattle_Vairable" localSheetId="22">_xlfn.LAMBDA("")</definedName>
    <definedName name="CommonLivestock_SourceData.SourceData_Livestock_Product_Dairycattle_Vairable" localSheetId="33">_xlfn.LAMBDA("")</definedName>
    <definedName name="CommonLivestock_SourceData.SourceData_Livestock_Product_Dairycattle_Vairable" localSheetId="27">_xlfn.LAMBDA("")</definedName>
    <definedName name="CommonLivestock_SourceData.SourceData_Livestock_Product_Dairycattle_Vairable" localSheetId="32">_xlfn.LAMBDA("")</definedName>
    <definedName name="CommonLivestock_SourceData.SourceData_Livestock_Product_Dairycattle_Vairable" localSheetId="30">_xlfn.LAMBDA("")</definedName>
    <definedName name="CommonLivestock_SourceData.SourceData_Livestock_Product_Dairycattle_Vairable" localSheetId="28">_xlfn.LAMBDA("")</definedName>
    <definedName name="CommonLivestock_SourceData.SourceData_Livestock_Product_Dairycattle_Vairable" localSheetId="26">_xlfn.LAMBDA("")</definedName>
    <definedName name="CommonLivestock_SourceData.SourceData_Livestock_Product_Dairycattle_Vairable" localSheetId="7">_xlfn.LAMBDA("")</definedName>
    <definedName name="CommonLivestock_SourceData.SourceData_Livestock_Product_Dairycattle_Vairable" localSheetId="6">_xlfn.LAMBDA("")</definedName>
    <definedName name="CommonLivestock_SourceData.SourceData_Livestock_Product_Dairycattle_Vairable" localSheetId="4">_xlfn.LAMBDA("")</definedName>
    <definedName name="CommonLivestock_SourceData.SourceData_Livestock_Product_Dairycattle_Vairable" localSheetId="3">_xlfn.LAMBDA("")</definedName>
    <definedName name="CommonLivestock_SourceData.SourceData_Livestock_Product_Dairycattle_Vairable" localSheetId="34">_xlfn.LAMBDA("")</definedName>
    <definedName name="CommonLivestock_SourceData.SourceData_Livestock_Product_Dairycattle_Vairable">_xlfn.LAMBDA("")</definedName>
    <definedName name="CommonLivestock_SourceData.SourceData_Livestock_Product_Pigs_Data" localSheetId="10">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12">_xlfn.LAMBDA(_xlfn.MAKEARRAY(2, 2, _xlfn.LAMBDA(_xlpm.r,_xlpm.c, INDEX({"Product","Source region";"Pigs","Australia"}, _xlpm.r, _xlpm.c))))</definedName>
    <definedName name="CommonLivestock_SourceData.SourceData_Livestock_Product_Pigs_Data" localSheetId="13">_xlfn.LAMBDA(_xlfn.MAKEARRAY(2, 2, _xlfn.LAMBDA(_xlpm.r,_xlpm.c, INDEX({"Product","Source region";"Pigs","Australia"}, _xlpm.r, _xlpm.c))))</definedName>
    <definedName name="CommonLivestock_SourceData.SourceData_Livestock_Product_Pigs_Data" localSheetId="14">_xlfn.LAMBDA(_xlfn.MAKEARRAY(2, 2, _xlfn.LAMBDA(_xlpm.r,_xlpm.c, INDEX({"Product","Source region";"Pigs","Australia"}, _xlpm.r, _xlpm.c))))</definedName>
    <definedName name="CommonLivestock_SourceData.SourceData_Livestock_Product_Pigs_Data" localSheetId="15">_xlfn.LAMBDA(_xlfn.MAKEARRAY(2, 2, _xlfn.LAMBDA(_xlpm.r,_xlpm.c, INDEX({"Product","Source region";"Pigs","Australia"}, _xlpm.r, _xlpm.c))))</definedName>
    <definedName name="CommonLivestock_SourceData.SourceData_Livestock_Product_Pigs_Data" localSheetId="16">_xlfn.LAMBDA(_xlfn.MAKEARRAY(2, 2, _xlfn.LAMBDA(_xlpm.r,_xlpm.c, INDEX({"Product","Source region";"Pigs","Australia"}, _xlpm.r, _xlpm.c))))</definedName>
    <definedName name="CommonLivestock_SourceData.SourceData_Livestock_Product_Pigs_Data" localSheetId="17">_xlfn.LAMBDA(_xlfn.MAKEARRAY(2, 2, _xlfn.LAMBDA(_xlpm.r,_xlpm.c, INDEX({"Product","Source region";"Pigs","Australia"}, _xlpm.r, _xlpm.c))))</definedName>
    <definedName name="CommonLivestock_SourceData.SourceData_Livestock_Product_Pigs_Data" localSheetId="18">_xlfn.LAMBDA(_xlfn.MAKEARRAY(2, 2, _xlfn.LAMBDA(_xlpm.r,_xlpm.c, INDEX({"Product","Source region";"Pigs","Australia"}, _xlpm.r, _xlpm.c))))</definedName>
    <definedName name="CommonLivestock_SourceData.SourceData_Livestock_Product_Pigs_Data" localSheetId="19">_xlfn.LAMBDA(_xlfn.MAKEARRAY(2, 2, _xlfn.LAMBDA(_xlpm.r,_xlpm.c, INDEX({"Product","Source region";"Pigs","Australia"}, _xlpm.r, _xlpm.c))))</definedName>
    <definedName name="CommonLivestock_SourceData.SourceData_Livestock_Product_Pigs_Data" localSheetId="20">_xlfn.LAMBDA(_xlfn.MAKEARRAY(2, 2, _xlfn.LAMBDA(_xlpm.r,_xlpm.c, INDEX({"Product","Source region";"Pigs","Australia"}, _xlpm.r, _xlpm.c))))</definedName>
    <definedName name="CommonLivestock_SourceData.SourceData_Livestock_Product_Pigs_Data" localSheetId="21">_xlfn.LAMBDA(_xlfn.MAKEARRAY(2, 2, _xlfn.LAMBDA(_xlpm.r,_xlpm.c, INDEX({"Product","Source region";"Pigs","Australia"}, _xlpm.r, _xlpm.c))))</definedName>
    <definedName name="CommonLivestock_SourceData.SourceData_Livestock_Product_Pigs_Data" localSheetId="22">_xlfn.LAMBDA(_xlfn.MAKEARRAY(2, 2, _xlfn.LAMBDA(_xlpm.r,_xlpm.c, INDEX({"Product","Source region";"Pigs","Australia"}, _xlpm.r, _xlpm.c))))</definedName>
    <definedName name="CommonLivestock_SourceData.SourceData_Livestock_Product_Pigs_Data" localSheetId="33">_xlfn.LAMBDA(_xlfn.MAKEARRAY(2, 2, _xlfn.LAMBDA(_xlpm.r,_xlpm.c, INDEX({"Product","Source region";"Pigs","Australia"}, _xlpm.r, _xlpm.c))))</definedName>
    <definedName name="CommonLivestock_SourceData.SourceData_Livestock_Product_Pigs_Data" localSheetId="27">_xlfn.LAMBDA(_xlfn.MAKEARRAY(2, 2, _xlfn.LAMBDA(_xlpm.r,_xlpm.c, INDEX({"Product","Source region";"Pigs","Australia"}, _xlpm.r, _xlpm.c))))</definedName>
    <definedName name="CommonLivestock_SourceData.SourceData_Livestock_Product_Pigs_Data" localSheetId="32">_xlfn.LAMBDA(_xlfn.MAKEARRAY(2, 2, _xlfn.LAMBDA(_xlpm.r,_xlpm.c, INDEX({"Product","Source region";"Pigs","Australia"}, _xlpm.r, _xlpm.c))))</definedName>
    <definedName name="CommonLivestock_SourceData.SourceData_Livestock_Product_Pigs_Data" localSheetId="30">_xlfn.LAMBDA(_xlfn.MAKEARRAY(2, 2, _xlfn.LAMBDA(_xlpm.r,_xlpm.c, INDEX({"Product","Source region";"Pigs","Australia"}, _xlpm.r, _xlpm.c))))</definedName>
    <definedName name="CommonLivestock_SourceData.SourceData_Livestock_Product_Pigs_Data" localSheetId="28">_xlfn.LAMBDA(_xlfn.MAKEARRAY(2, 2, _xlfn.LAMBDA(_xlpm.r,_xlpm.c, INDEX({"Product","Source region";"Pigs","Australia"}, _xlpm.r, _xlpm.c))))</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7">_xlfn.LAMBDA(_xlfn.MAKEARRAY(2, 2, _xlfn.LAMBDA(_xlpm.r,_xlpm.c, INDEX({"Product","Source region";"Pigs","Australia"}, _xlpm.r, _xlpm.c))))</definedName>
    <definedName name="CommonLivestock_SourceData.SourceData_Livestock_Product_Pigs_Data" localSheetId="6">_xlfn.LAMBDA(_xlfn.MAKEARRAY(2, 2, _xlfn.LAMBDA(_xlpm.r,_xlpm.c, INDEX({"Product","Source region";"Pigs","Australia"}, _xlpm.r, _xlpm.c))))</definedName>
    <definedName name="CommonLivestock_SourceData.SourceData_Livestock_Product_Pigs_Data" localSheetId="4">_xlfn.LAMBDA(_xlfn.MAKEARRAY(2, 2, _xlfn.LAMBDA(_xlpm.r,_xlpm.c, INDEX({"Product","Source region";"Pigs","Australia"}, _xlpm.r, _xlpm.c))))</definedName>
    <definedName name="CommonLivestock_SourceData.SourceData_Livestock_Product_Pigs_Data" localSheetId="3">_xlfn.LAMBDA(_xlfn.MAKEARRAY(2, 2, _xlfn.LAMBDA(_xlpm.r,_xlpm.c, INDEX({"Product","Source region";"Pigs","Australia"}, _xlpm.r, _xlpm.c))))</definedName>
    <definedName name="CommonLivestock_SourceData.SourceData_Livestock_Product_Pigs_Data" localSheetId="34">_xlfn.LAMBDA(_xlfn.MAKEARRAY(2, 2, _xlfn.LAMBDA(_xlpm.r,_xlpm.c, INDEX({"Product","Source region";"Pigs","Australia"}, _xlpm.r, _xlpm.c))))</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 localSheetId="10">_xlfn.LAMBDA("Lifecycles. (2026). Greenhouse Gas Emission Intensities for Material Inputs to Australian Agriculture, Fisheries and Forestry. Version 48. doi 10.5281/zenodo.19656580")</definedName>
    <definedName name="CommonLivestock_SourceData.SourceData_Livestock_Product_Pigs_Source" localSheetId="11">_xlfn.LAMBDA("Lifecycles. (2026). Greenhouse Gas Emission Intensities for Material Inputs to Australian Agriculture, Fisheries and Forestry. Version 48. doi 10.5281/zenodo.19656580")</definedName>
    <definedName name="CommonLivestock_SourceData.SourceData_Livestock_Product_Pigs_Source" localSheetId="12">_xlfn.LAMBDA("Lifecycles. (2026). Greenhouse Gas Emission Intensities for Material Inputs to Australian Agriculture, Fisheries and Forestry. Version 48. doi 10.5281/zenodo.19656580")</definedName>
    <definedName name="CommonLivestock_SourceData.SourceData_Livestock_Product_Pigs_Source" localSheetId="13">_xlfn.LAMBDA("Lifecycles. (2026). Greenhouse Gas Emission Intensities for Material Inputs to Australian Agriculture, Fisheries and Forestry. Version 48. doi 10.5281/zenodo.19656580")</definedName>
    <definedName name="CommonLivestock_SourceData.SourceData_Livestock_Product_Pigs_Source" localSheetId="14">_xlfn.LAMBDA("Lifecycles. (2026). Greenhouse Gas Emission Intensities for Material Inputs to Australian Agriculture, Fisheries and Forestry. Version 48. doi 10.5281/zenodo.19656580")</definedName>
    <definedName name="CommonLivestock_SourceData.SourceData_Livestock_Product_Pigs_Source" localSheetId="15">_xlfn.LAMBDA("Lifecycles. (2026). Greenhouse Gas Emission Intensities for Material Inputs to Australian Agriculture, Fisheries and Forestry. Version 48. doi 10.5281/zenodo.19656580")</definedName>
    <definedName name="CommonLivestock_SourceData.SourceData_Livestock_Product_Pigs_Source" localSheetId="16">_xlfn.LAMBDA("Lifecycles. (2026). Greenhouse Gas Emission Intensities for Material Inputs to Australian Agriculture, Fisheries and Forestry. Version 48. doi 10.5281/zenodo.19656580")</definedName>
    <definedName name="CommonLivestock_SourceData.SourceData_Livestock_Product_Pigs_Source" localSheetId="17">_xlfn.LAMBDA("Lifecycles. (2026). Greenhouse Gas Emission Intensities for Material Inputs to Australian Agriculture, Fisheries and Forestry. Version 48. doi 10.5281/zenodo.19656580")</definedName>
    <definedName name="CommonLivestock_SourceData.SourceData_Livestock_Product_Pigs_Source" localSheetId="18">_xlfn.LAMBDA("Lifecycles. (2026). Greenhouse Gas Emission Intensities for Material Inputs to Australian Agriculture, Fisheries and Forestry. Version 48. doi 10.5281/zenodo.19656580")</definedName>
    <definedName name="CommonLivestock_SourceData.SourceData_Livestock_Product_Pigs_Source" localSheetId="19">_xlfn.LAMBDA("Lifecycles. (2026). Greenhouse Gas Emission Intensities for Material Inputs to Australian Agriculture, Fisheries and Forestry. Version 48. doi 10.5281/zenodo.19656580")</definedName>
    <definedName name="CommonLivestock_SourceData.SourceData_Livestock_Product_Pigs_Source" localSheetId="20">_xlfn.LAMBDA("Lifecycles. (2026). Greenhouse Gas Emission Intensities for Material Inputs to Australian Agriculture, Fisheries and Forestry. Version 48. doi 10.5281/zenodo.19656580")</definedName>
    <definedName name="CommonLivestock_SourceData.SourceData_Livestock_Product_Pigs_Source" localSheetId="21">_xlfn.LAMBDA("Lifecycles. (2026). Greenhouse Gas Emission Intensities for Material Inputs to Australian Agriculture, Fisheries and Forestry. Version 48. doi 10.5281/zenodo.19656580")</definedName>
    <definedName name="CommonLivestock_SourceData.SourceData_Livestock_Product_Pigs_Source" localSheetId="22">_xlfn.LAMBDA("Lifecycles. (2026). Greenhouse Gas Emission Intensities for Material Inputs to Australian Agriculture, Fisheries and Forestry. Version 48. doi 10.5281/zenodo.19656580")</definedName>
    <definedName name="CommonLivestock_SourceData.SourceData_Livestock_Product_Pigs_Source" localSheetId="33">_xlfn.LAMBDA("Lifecycles. (2026). Greenhouse Gas Emission Intensities for Material Inputs to Australian Agriculture, Fisheries and Forestry. Version 48. doi 10.5281/zenodo.19656580")</definedName>
    <definedName name="CommonLivestock_SourceData.SourceData_Livestock_Product_Pigs_Source" localSheetId="27">_xlfn.LAMBDA("Lifecycles. (2026). Greenhouse Gas Emission Intensities for Material Inputs to Australian Agriculture, Fisheries and Forestry. Version 48. doi 10.5281/zenodo.19656580")</definedName>
    <definedName name="CommonLivestock_SourceData.SourceData_Livestock_Product_Pigs_Source" localSheetId="32">_xlfn.LAMBDA("Lifecycles. (2026). Greenhouse Gas Emission Intensities for Material Inputs to Australian Agriculture, Fisheries and Forestry. Version 48. doi 10.5281/zenodo.19656580")</definedName>
    <definedName name="CommonLivestock_SourceData.SourceData_Livestock_Product_Pigs_Source" localSheetId="30">_xlfn.LAMBDA("Lifecycles. (2026). Greenhouse Gas Emission Intensities for Material Inputs to Australian Agriculture, Fisheries and Forestry. Version 48. doi 10.5281/zenodo.19656580")</definedName>
    <definedName name="CommonLivestock_SourceData.SourceData_Livestock_Product_Pigs_Source" localSheetId="28">_xlfn.LAMBDA("Lifecycles. (2026). Greenhouse Gas Emission Intensities for Material Inputs to Australian Agriculture, Fisheries and Forestry. Version 48. doi 10.5281/zenodo.19656580")</definedName>
    <definedName name="CommonLivestock_SourceData.SourceData_Livestock_Product_Pigs_Source" localSheetId="26">_xlfn.LAMBDA("Lifecycles. (2026). Greenhouse Gas Emission Intensities for Material Inputs to Australian Agriculture, Fisheries and Forestry. Version 48. doi 10.5281/zenodo.19656580")</definedName>
    <definedName name="CommonLivestock_SourceData.SourceData_Livestock_Product_Pigs_Source" localSheetId="7">_xlfn.LAMBDA("Lifecycles. (2026). Greenhouse Gas Emission Intensities for Material Inputs to Australian Agriculture, Fisheries and Forestry. Version 48. doi 10.5281/zenodo.19656580")</definedName>
    <definedName name="CommonLivestock_SourceData.SourceData_Livestock_Product_Pigs_Source" localSheetId="6">_xlfn.LAMBDA("Lifecycles. (2026). Greenhouse Gas Emission Intensities for Material Inputs to Australian Agriculture, Fisheries and Forestry. Version 48. doi 10.5281/zenodo.19656580")</definedName>
    <definedName name="CommonLivestock_SourceData.SourceData_Livestock_Product_Pigs_Source" localSheetId="4">_xlfn.LAMBDA("Lifecycles. (2026). Greenhouse Gas Emission Intensities for Material Inputs to Australian Agriculture, Fisheries and Forestry. Version 48. doi 10.5281/zenodo.19656580")</definedName>
    <definedName name="CommonLivestock_SourceData.SourceData_Livestock_Product_Pigs_Source" localSheetId="3">_xlfn.LAMBDA("Lifecycles. (2026). Greenhouse Gas Emission Intensities for Material Inputs to Australian Agriculture, Fisheries and Forestry. Version 48. doi 10.5281/zenodo.19656580")</definedName>
    <definedName name="CommonLivestock_SourceData.SourceData_Livestock_Product_Pigs_Source" localSheetId="34">_xlfn.LAMBDA("Lifecycles. (2026). Greenhouse Gas Emission Intensities for Material Inputs to Australian Agriculture, Fisheries and Forestry. Version 48. doi 10.5281/zenodo.19656580")</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 localSheetId="10">_xlfn.LAMBDA("Pigs products for scope 3")</definedName>
    <definedName name="CommonLivestock_SourceData.SourceData_Livestock_Product_Pigs_Title" localSheetId="11">_xlfn.LAMBDA("Pigs products for scope 3")</definedName>
    <definedName name="CommonLivestock_SourceData.SourceData_Livestock_Product_Pigs_Title" localSheetId="12">_xlfn.LAMBDA("Pigs products for scope 3")</definedName>
    <definedName name="CommonLivestock_SourceData.SourceData_Livestock_Product_Pigs_Title" localSheetId="13">_xlfn.LAMBDA("Pigs products for scope 3")</definedName>
    <definedName name="CommonLivestock_SourceData.SourceData_Livestock_Product_Pigs_Title" localSheetId="14">_xlfn.LAMBDA("Pigs products for scope 3")</definedName>
    <definedName name="CommonLivestock_SourceData.SourceData_Livestock_Product_Pigs_Title" localSheetId="15">_xlfn.LAMBDA("Pigs products for scope 3")</definedName>
    <definedName name="CommonLivestock_SourceData.SourceData_Livestock_Product_Pigs_Title" localSheetId="16">_xlfn.LAMBDA("Pigs products for scope 3")</definedName>
    <definedName name="CommonLivestock_SourceData.SourceData_Livestock_Product_Pigs_Title" localSheetId="17">_xlfn.LAMBDA("Pigs products for scope 3")</definedName>
    <definedName name="CommonLivestock_SourceData.SourceData_Livestock_Product_Pigs_Title" localSheetId="18">_xlfn.LAMBDA("Pigs products for scope 3")</definedName>
    <definedName name="CommonLivestock_SourceData.SourceData_Livestock_Product_Pigs_Title" localSheetId="19">_xlfn.LAMBDA("Pigs products for scope 3")</definedName>
    <definedName name="CommonLivestock_SourceData.SourceData_Livestock_Product_Pigs_Title" localSheetId="20">_xlfn.LAMBDA("Pigs products for scope 3")</definedName>
    <definedName name="CommonLivestock_SourceData.SourceData_Livestock_Product_Pigs_Title" localSheetId="21">_xlfn.LAMBDA("Pigs products for scope 3")</definedName>
    <definedName name="CommonLivestock_SourceData.SourceData_Livestock_Product_Pigs_Title" localSheetId="22">_xlfn.LAMBDA("Pigs products for scope 3")</definedName>
    <definedName name="CommonLivestock_SourceData.SourceData_Livestock_Product_Pigs_Title" localSheetId="33">_xlfn.LAMBDA("Pigs products for scope 3")</definedName>
    <definedName name="CommonLivestock_SourceData.SourceData_Livestock_Product_Pigs_Title" localSheetId="27">_xlfn.LAMBDA("Pigs products for scope 3")</definedName>
    <definedName name="CommonLivestock_SourceData.SourceData_Livestock_Product_Pigs_Title" localSheetId="32">_xlfn.LAMBDA("Pigs products for scope 3")</definedName>
    <definedName name="CommonLivestock_SourceData.SourceData_Livestock_Product_Pigs_Title" localSheetId="30">_xlfn.LAMBDA("Pigs products for scope 3")</definedName>
    <definedName name="CommonLivestock_SourceData.SourceData_Livestock_Product_Pigs_Title" localSheetId="28">_xlfn.LAMBDA("Pigs products for scope 3")</definedName>
    <definedName name="CommonLivestock_SourceData.SourceData_Livestock_Product_Pigs_Title" localSheetId="26">_xlfn.LAMBDA("Pigs products for scope 3")</definedName>
    <definedName name="CommonLivestock_SourceData.SourceData_Livestock_Product_Pigs_Title" localSheetId="7">_xlfn.LAMBDA("Pigs products for scope 3")</definedName>
    <definedName name="CommonLivestock_SourceData.SourceData_Livestock_Product_Pigs_Title" localSheetId="6">_xlfn.LAMBDA("Pigs products for scope 3")</definedName>
    <definedName name="CommonLivestock_SourceData.SourceData_Livestock_Product_Pigs_Title" localSheetId="4">_xlfn.LAMBDA("Pigs products for scope 3")</definedName>
    <definedName name="CommonLivestock_SourceData.SourceData_Livestock_Product_Pigs_Title" localSheetId="3">_xlfn.LAMBDA("Pigs products for scope 3")</definedName>
    <definedName name="CommonLivestock_SourceData.SourceData_Livestock_Product_Pigs_Title" localSheetId="34">_xlfn.LAMBDA("Pigs products for scope 3")</definedName>
    <definedName name="CommonLivestock_SourceData.SourceData_Livestock_Product_Pigs_Title">_xlfn.LAMBDA("Pigs products for scope 3")</definedName>
    <definedName name="CommonLivestock_SourceData.SourceData_Livestock_Product_Pigs_Unit" localSheetId="10">_xlfn.LAMBDA("")</definedName>
    <definedName name="CommonLivestock_SourceData.SourceData_Livestock_Product_Pigs_Unit" localSheetId="11">_xlfn.LAMBDA("")</definedName>
    <definedName name="CommonLivestock_SourceData.SourceData_Livestock_Product_Pigs_Unit" localSheetId="12">_xlfn.LAMBDA("")</definedName>
    <definedName name="CommonLivestock_SourceData.SourceData_Livestock_Product_Pigs_Unit" localSheetId="13">_xlfn.LAMBDA("")</definedName>
    <definedName name="CommonLivestock_SourceData.SourceData_Livestock_Product_Pigs_Unit" localSheetId="14">_xlfn.LAMBDA("")</definedName>
    <definedName name="CommonLivestock_SourceData.SourceData_Livestock_Product_Pigs_Unit" localSheetId="15">_xlfn.LAMBDA("")</definedName>
    <definedName name="CommonLivestock_SourceData.SourceData_Livestock_Product_Pigs_Unit" localSheetId="16">_xlfn.LAMBDA("")</definedName>
    <definedName name="CommonLivestock_SourceData.SourceData_Livestock_Product_Pigs_Unit" localSheetId="17">_xlfn.LAMBDA("")</definedName>
    <definedName name="CommonLivestock_SourceData.SourceData_Livestock_Product_Pigs_Unit" localSheetId="18">_xlfn.LAMBDA("")</definedName>
    <definedName name="CommonLivestock_SourceData.SourceData_Livestock_Product_Pigs_Unit" localSheetId="19">_xlfn.LAMBDA("")</definedName>
    <definedName name="CommonLivestock_SourceData.SourceData_Livestock_Product_Pigs_Unit" localSheetId="20">_xlfn.LAMBDA("")</definedName>
    <definedName name="CommonLivestock_SourceData.SourceData_Livestock_Product_Pigs_Unit" localSheetId="21">_xlfn.LAMBDA("")</definedName>
    <definedName name="CommonLivestock_SourceData.SourceData_Livestock_Product_Pigs_Unit" localSheetId="22">_xlfn.LAMBDA("")</definedName>
    <definedName name="CommonLivestock_SourceData.SourceData_Livestock_Product_Pigs_Unit" localSheetId="33">_xlfn.LAMBDA("")</definedName>
    <definedName name="CommonLivestock_SourceData.SourceData_Livestock_Product_Pigs_Unit" localSheetId="27">_xlfn.LAMBDA("")</definedName>
    <definedName name="CommonLivestock_SourceData.SourceData_Livestock_Product_Pigs_Unit" localSheetId="32">_xlfn.LAMBDA("")</definedName>
    <definedName name="CommonLivestock_SourceData.SourceData_Livestock_Product_Pigs_Unit" localSheetId="30">_xlfn.LAMBDA("")</definedName>
    <definedName name="CommonLivestock_SourceData.SourceData_Livestock_Product_Pigs_Unit" localSheetId="28">_xlfn.LAMBDA("")</definedName>
    <definedName name="CommonLivestock_SourceData.SourceData_Livestock_Product_Pigs_Unit" localSheetId="26">_xlfn.LAMBDA("")</definedName>
    <definedName name="CommonLivestock_SourceData.SourceData_Livestock_Product_Pigs_Unit" localSheetId="7">_xlfn.LAMBDA("")</definedName>
    <definedName name="CommonLivestock_SourceData.SourceData_Livestock_Product_Pigs_Unit" localSheetId="6">_xlfn.LAMBDA("")</definedName>
    <definedName name="CommonLivestock_SourceData.SourceData_Livestock_Product_Pigs_Unit" localSheetId="4">_xlfn.LAMBDA("")</definedName>
    <definedName name="CommonLivestock_SourceData.SourceData_Livestock_Product_Pigs_Unit" localSheetId="3">_xlfn.LAMBDA("")</definedName>
    <definedName name="CommonLivestock_SourceData.SourceData_Livestock_Product_Pigs_Unit" localSheetId="34">_xlfn.LAMBDA("")</definedName>
    <definedName name="CommonLivestock_SourceData.SourceData_Livestock_Product_Pigs_Unit">_xlfn.LAMBDA("")</definedName>
    <definedName name="CommonLivestock_SourceData.SourceData_Livestock_Product_Pigs_Vairable" localSheetId="10">_xlfn.LAMBDA("")</definedName>
    <definedName name="CommonLivestock_SourceData.SourceData_Livestock_Product_Pigs_Vairable" localSheetId="11">_xlfn.LAMBDA("")</definedName>
    <definedName name="CommonLivestock_SourceData.SourceData_Livestock_Product_Pigs_Vairable" localSheetId="12">_xlfn.LAMBDA("")</definedName>
    <definedName name="CommonLivestock_SourceData.SourceData_Livestock_Product_Pigs_Vairable" localSheetId="13">_xlfn.LAMBDA("")</definedName>
    <definedName name="CommonLivestock_SourceData.SourceData_Livestock_Product_Pigs_Vairable" localSheetId="14">_xlfn.LAMBDA("")</definedName>
    <definedName name="CommonLivestock_SourceData.SourceData_Livestock_Product_Pigs_Vairable" localSheetId="15">_xlfn.LAMBDA("")</definedName>
    <definedName name="CommonLivestock_SourceData.SourceData_Livestock_Product_Pigs_Vairable" localSheetId="16">_xlfn.LAMBDA("")</definedName>
    <definedName name="CommonLivestock_SourceData.SourceData_Livestock_Product_Pigs_Vairable" localSheetId="17">_xlfn.LAMBDA("")</definedName>
    <definedName name="CommonLivestock_SourceData.SourceData_Livestock_Product_Pigs_Vairable" localSheetId="18">_xlfn.LAMBDA("")</definedName>
    <definedName name="CommonLivestock_SourceData.SourceData_Livestock_Product_Pigs_Vairable" localSheetId="19">_xlfn.LAMBDA("")</definedName>
    <definedName name="CommonLivestock_SourceData.SourceData_Livestock_Product_Pigs_Vairable" localSheetId="20">_xlfn.LAMBDA("")</definedName>
    <definedName name="CommonLivestock_SourceData.SourceData_Livestock_Product_Pigs_Vairable" localSheetId="21">_xlfn.LAMBDA("")</definedName>
    <definedName name="CommonLivestock_SourceData.SourceData_Livestock_Product_Pigs_Vairable" localSheetId="22">_xlfn.LAMBDA("")</definedName>
    <definedName name="CommonLivestock_SourceData.SourceData_Livestock_Product_Pigs_Vairable" localSheetId="33">_xlfn.LAMBDA("")</definedName>
    <definedName name="CommonLivestock_SourceData.SourceData_Livestock_Product_Pigs_Vairable" localSheetId="27">_xlfn.LAMBDA("")</definedName>
    <definedName name="CommonLivestock_SourceData.SourceData_Livestock_Product_Pigs_Vairable" localSheetId="32">_xlfn.LAMBDA("")</definedName>
    <definedName name="CommonLivestock_SourceData.SourceData_Livestock_Product_Pigs_Vairable" localSheetId="30">_xlfn.LAMBDA("")</definedName>
    <definedName name="CommonLivestock_SourceData.SourceData_Livestock_Product_Pigs_Vairable" localSheetId="28">_xlfn.LAMBDA("")</definedName>
    <definedName name="CommonLivestock_SourceData.SourceData_Livestock_Product_Pigs_Vairable" localSheetId="26">_xlfn.LAMBDA("")</definedName>
    <definedName name="CommonLivestock_SourceData.SourceData_Livestock_Product_Pigs_Vairable" localSheetId="7">_xlfn.LAMBDA("")</definedName>
    <definedName name="CommonLivestock_SourceData.SourceData_Livestock_Product_Pigs_Vairable" localSheetId="6">_xlfn.LAMBDA("")</definedName>
    <definedName name="CommonLivestock_SourceData.SourceData_Livestock_Product_Pigs_Vairable" localSheetId="4">_xlfn.LAMBDA("")</definedName>
    <definedName name="CommonLivestock_SourceData.SourceData_Livestock_Product_Pigs_Vairable" localSheetId="3">_xlfn.LAMBDA("")</definedName>
    <definedName name="CommonLivestock_SourceData.SourceData_Livestock_Product_Pigs_Vairable" localSheetId="34">_xlfn.LAMBDA("")</definedName>
    <definedName name="CommonLivestock_SourceData.SourceData_Livestock_Product_Pigs_Vairable">_xlfn.LAMBDA("")</definedName>
    <definedName name="CommonLivestock_SourceData.SourceData_Livestock_Product_Sheep_Data" localSheetId="10">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12">_xlfn.LAMBDA(_xlfn.MAKEARRAY(8, 2, _xlfn.LAMBDA(_xlpm.r,_xlpm.c, INDEX({"Product","Source region";"Sheep, for mutton","Australia";"Sheep, for prime lamb","NSW";"","QLD";"","SA";"","TAS";"","VIC";"","WA"}, _xlpm.r, _xlpm.c))))</definedName>
    <definedName name="CommonLivestock_SourceData.SourceData_Livestock_Product_Sheep_Data" localSheetId="13">_xlfn.LAMBDA(_xlfn.MAKEARRAY(8, 2, _xlfn.LAMBDA(_xlpm.r,_xlpm.c, INDEX({"Product","Source region";"Sheep, for mutton","Australia";"Sheep, for prime lamb","NSW";"","QLD";"","SA";"","TAS";"","VIC";"","WA"}, _xlpm.r, _xlpm.c))))</definedName>
    <definedName name="CommonLivestock_SourceData.SourceData_Livestock_Product_Sheep_Data" localSheetId="14">_xlfn.LAMBDA(_xlfn.MAKEARRAY(8, 2, _xlfn.LAMBDA(_xlpm.r,_xlpm.c, INDEX({"Product","Source region";"Sheep, for mutton","Australia";"Sheep, for prime lamb","NSW";"","QLD";"","SA";"","TAS";"","VIC";"","WA"}, _xlpm.r, _xlpm.c))))</definedName>
    <definedName name="CommonLivestock_SourceData.SourceData_Livestock_Product_Sheep_Data" localSheetId="15">_xlfn.LAMBDA(_xlfn.MAKEARRAY(8, 2, _xlfn.LAMBDA(_xlpm.r,_xlpm.c, INDEX({"Product","Source region";"Sheep, for mutton","Australia";"Sheep, for prime lamb","NSW";"","QLD";"","SA";"","TAS";"","VIC";"","WA"}, _xlpm.r, _xlpm.c))))</definedName>
    <definedName name="CommonLivestock_SourceData.SourceData_Livestock_Product_Sheep_Data" localSheetId="16">_xlfn.LAMBDA(_xlfn.MAKEARRAY(8, 2, _xlfn.LAMBDA(_xlpm.r,_xlpm.c, INDEX({"Product","Source region";"Sheep, for mutton","Australia";"Sheep, for prime lamb","NSW";"","QLD";"","SA";"","TAS";"","VIC";"","WA"}, _xlpm.r, _xlpm.c))))</definedName>
    <definedName name="CommonLivestock_SourceData.SourceData_Livestock_Product_Sheep_Data" localSheetId="17">_xlfn.LAMBDA(_xlfn.MAKEARRAY(8, 2, _xlfn.LAMBDA(_xlpm.r,_xlpm.c, INDEX({"Product","Source region";"Sheep, for mutton","Australia";"Sheep, for prime lamb","NSW";"","QLD";"","SA";"","TAS";"","VIC";"","WA"}, _xlpm.r, _xlpm.c))))</definedName>
    <definedName name="CommonLivestock_SourceData.SourceData_Livestock_Product_Sheep_Data" localSheetId="18">_xlfn.LAMBDA(_xlfn.MAKEARRAY(8, 2, _xlfn.LAMBDA(_xlpm.r,_xlpm.c, INDEX({"Product","Source region";"Sheep, for mutton","Australia";"Sheep, for prime lamb","NSW";"","QLD";"","SA";"","TAS";"","VIC";"","WA"}, _xlpm.r, _xlpm.c))))</definedName>
    <definedName name="CommonLivestock_SourceData.SourceData_Livestock_Product_Sheep_Data" localSheetId="19">_xlfn.LAMBDA(_xlfn.MAKEARRAY(8, 2, _xlfn.LAMBDA(_xlpm.r,_xlpm.c, INDEX({"Product","Source region";"Sheep, for mutton","Australia";"Sheep, for prime lamb","NSW";"","QLD";"","SA";"","TAS";"","VIC";"","WA"}, _xlpm.r, _xlpm.c))))</definedName>
    <definedName name="CommonLivestock_SourceData.SourceData_Livestock_Product_Sheep_Data" localSheetId="20">_xlfn.LAMBDA(_xlfn.MAKEARRAY(8, 2, _xlfn.LAMBDA(_xlpm.r,_xlpm.c, INDEX({"Product","Source region";"Sheep, for mutton","Australia";"Sheep, for prime lamb","NSW";"","QLD";"","SA";"","TAS";"","VIC";"","WA"}, _xlpm.r, _xlpm.c))))</definedName>
    <definedName name="CommonLivestock_SourceData.SourceData_Livestock_Product_Sheep_Data" localSheetId="21">_xlfn.LAMBDA(_xlfn.MAKEARRAY(8, 2, _xlfn.LAMBDA(_xlpm.r,_xlpm.c, INDEX({"Product","Source region";"Sheep, for mutton","Australia";"Sheep, for prime lamb","NSW";"","QLD";"","SA";"","TAS";"","VIC";"","WA"}, _xlpm.r, _xlpm.c))))</definedName>
    <definedName name="CommonLivestock_SourceData.SourceData_Livestock_Product_Sheep_Data" localSheetId="22">_xlfn.LAMBDA(_xlfn.MAKEARRAY(8, 2, _xlfn.LAMBDA(_xlpm.r,_xlpm.c, INDEX({"Product","Source region";"Sheep, for mutton","Australia";"Sheep, for prime lamb","NSW";"","QLD";"","SA";"","TAS";"","VIC";"","WA"}, _xlpm.r, _xlpm.c))))</definedName>
    <definedName name="CommonLivestock_SourceData.SourceData_Livestock_Product_Sheep_Data" localSheetId="33">_xlfn.LAMBDA(_xlfn.MAKEARRAY(8, 2, _xlfn.LAMBDA(_xlpm.r,_xlpm.c, INDEX({"Product","Source region";"Sheep, for mutton","Australia";"Sheep, for prime lamb","NSW";"","QLD";"","SA";"","TAS";"","VIC";"","WA"}, _xlpm.r, _xlpm.c))))</definedName>
    <definedName name="CommonLivestock_SourceData.SourceData_Livestock_Product_Sheep_Data" localSheetId="27">_xlfn.LAMBDA(_xlfn.MAKEARRAY(8, 2, _xlfn.LAMBDA(_xlpm.r,_xlpm.c, INDEX({"Product","Source region";"Sheep, for mutton","Australia";"Sheep, for prime lamb","NSW";"","QLD";"","SA";"","TAS";"","VIC";"","WA"}, _xlpm.r, _xlpm.c))))</definedName>
    <definedName name="CommonLivestock_SourceData.SourceData_Livestock_Product_Sheep_Data" localSheetId="32">_xlfn.LAMBDA(_xlfn.MAKEARRAY(8, 2, _xlfn.LAMBDA(_xlpm.r,_xlpm.c, INDEX({"Product","Source region";"Sheep, for mutton","Australia";"Sheep, for prime lamb","NSW";"","QLD";"","SA";"","TAS";"","VIC";"","WA"}, _xlpm.r, _xlpm.c))))</definedName>
    <definedName name="CommonLivestock_SourceData.SourceData_Livestock_Product_Sheep_Data" localSheetId="30">_xlfn.LAMBDA(_xlfn.MAKEARRAY(8, 2, _xlfn.LAMBDA(_xlpm.r,_xlpm.c, INDEX({"Product","Source region";"Sheep, for mutton","Australia";"Sheep, for prime lamb","NSW";"","QLD";"","SA";"","TAS";"","VIC";"","WA"}, _xlpm.r, _xlpm.c))))</definedName>
    <definedName name="CommonLivestock_SourceData.SourceData_Livestock_Product_Sheep_Data" localSheetId="28">_xlfn.LAMBDA(_xlfn.MAKEARRAY(8, 2, _xlfn.LAMBDA(_xlpm.r,_xlpm.c, INDEX({"Product","Source region";"Sheep, for mutton","Australia";"Sheep, for prime lamb","NSW";"","QLD";"","SA";"","TAS";"","VIC";"","WA"}, _xlpm.r, _xlpm.c))))</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7">_xlfn.LAMBDA(_xlfn.MAKEARRAY(8, 2, _xlfn.LAMBDA(_xlpm.r,_xlpm.c, INDEX({"Product","Source region";"Sheep, for mutton","Australia";"Sheep, for prime lamb","NSW";"","QLD";"","SA";"","TAS";"","VIC";"","WA"}, _xlpm.r, _xlpm.c))))</definedName>
    <definedName name="CommonLivestock_SourceData.SourceData_Livestock_Product_Sheep_Data" localSheetId="6">_xlfn.LAMBDA(_xlfn.MAKEARRAY(8, 2, _xlfn.LAMBDA(_xlpm.r,_xlpm.c, INDEX({"Product","Source region";"Sheep, for mutton","Australia";"Sheep, for prime lamb","NSW";"","QLD";"","SA";"","TAS";"","VIC";"","WA"}, _xlpm.r, _xlpm.c))))</definedName>
    <definedName name="CommonLivestock_SourceData.SourceData_Livestock_Product_Sheep_Data" localSheetId="4">_xlfn.LAMBDA(_xlfn.MAKEARRAY(8, 2, _xlfn.LAMBDA(_xlpm.r,_xlpm.c, INDEX({"Product","Source region";"Sheep, for mutton","Australia";"Sheep, for prime lamb","NSW";"","QLD";"","SA";"","TAS";"","VIC";"","WA"}, _xlpm.r, _xlpm.c))))</definedName>
    <definedName name="CommonLivestock_SourceData.SourceData_Livestock_Product_Sheep_Data" localSheetId="3">_xlfn.LAMBDA(_xlfn.MAKEARRAY(8, 2, _xlfn.LAMBDA(_xlpm.r,_xlpm.c, INDEX({"Product","Source region";"Sheep, for mutton","Australia";"Sheep, for prime lamb","NSW";"","QLD";"","SA";"","TAS";"","VIC";"","WA"}, _xlpm.r, _xlpm.c))))</definedName>
    <definedName name="CommonLivestock_SourceData.SourceData_Livestock_Product_Sheep_Data" localSheetId="34">_xlfn.LAMBDA(_xlfn.MAKEARRAY(8, 2, _xlfn.LAMBDA(_xlpm.r,_xlpm.c, INDEX({"Product","Source region";"Sheep, for mutton","Australia";"Sheep, for prime lamb","NSW";"","QLD";"","SA";"","TAS";"","VIC";"","WA"}, _xlpm.r, _xlpm.c))))</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 localSheetId="10">_xlfn.LAMBDA("Lifecycles. (2026). Greenhouse Gas Emission Intensities for Material Inputs to Australian Agriculture, Fisheries and Forestry. Version 48. doi 10.5281/zenodo.19656580")</definedName>
    <definedName name="CommonLivestock_SourceData.SourceData_Livestock_Product_Sheep_Source" localSheetId="11">_xlfn.LAMBDA("Lifecycles. (2026). Greenhouse Gas Emission Intensities for Material Inputs to Australian Agriculture, Fisheries and Forestry. Version 48. doi 10.5281/zenodo.19656580")</definedName>
    <definedName name="CommonLivestock_SourceData.SourceData_Livestock_Product_Sheep_Source" localSheetId="12">_xlfn.LAMBDA("Lifecycles. (2026). Greenhouse Gas Emission Intensities for Material Inputs to Australian Agriculture, Fisheries and Forestry. Version 48. doi 10.5281/zenodo.19656580")</definedName>
    <definedName name="CommonLivestock_SourceData.SourceData_Livestock_Product_Sheep_Source" localSheetId="13">_xlfn.LAMBDA("Lifecycles. (2026). Greenhouse Gas Emission Intensities for Material Inputs to Australian Agriculture, Fisheries and Forestry. Version 48. doi 10.5281/zenodo.19656580")</definedName>
    <definedName name="CommonLivestock_SourceData.SourceData_Livestock_Product_Sheep_Source" localSheetId="14">_xlfn.LAMBDA("Lifecycles. (2026). Greenhouse Gas Emission Intensities for Material Inputs to Australian Agriculture, Fisheries and Forestry. Version 48. doi 10.5281/zenodo.19656580")</definedName>
    <definedName name="CommonLivestock_SourceData.SourceData_Livestock_Product_Sheep_Source" localSheetId="15">_xlfn.LAMBDA("Lifecycles. (2026). Greenhouse Gas Emission Intensities for Material Inputs to Australian Agriculture, Fisheries and Forestry. Version 48. doi 10.5281/zenodo.19656580")</definedName>
    <definedName name="CommonLivestock_SourceData.SourceData_Livestock_Product_Sheep_Source" localSheetId="16">_xlfn.LAMBDA("Lifecycles. (2026). Greenhouse Gas Emission Intensities for Material Inputs to Australian Agriculture, Fisheries and Forestry. Version 48. doi 10.5281/zenodo.19656580")</definedName>
    <definedName name="CommonLivestock_SourceData.SourceData_Livestock_Product_Sheep_Source" localSheetId="17">_xlfn.LAMBDA("Lifecycles. (2026). Greenhouse Gas Emission Intensities for Material Inputs to Australian Agriculture, Fisheries and Forestry. Version 48. doi 10.5281/zenodo.19656580")</definedName>
    <definedName name="CommonLivestock_SourceData.SourceData_Livestock_Product_Sheep_Source" localSheetId="18">_xlfn.LAMBDA("Lifecycles. (2026). Greenhouse Gas Emission Intensities for Material Inputs to Australian Agriculture, Fisheries and Forestry. Version 48. doi 10.5281/zenodo.19656580")</definedName>
    <definedName name="CommonLivestock_SourceData.SourceData_Livestock_Product_Sheep_Source" localSheetId="19">_xlfn.LAMBDA("Lifecycles. (2026). Greenhouse Gas Emission Intensities for Material Inputs to Australian Agriculture, Fisheries and Forestry. Version 48. doi 10.5281/zenodo.19656580")</definedName>
    <definedName name="CommonLivestock_SourceData.SourceData_Livestock_Product_Sheep_Source" localSheetId="20">_xlfn.LAMBDA("Lifecycles. (2026). Greenhouse Gas Emission Intensities for Material Inputs to Australian Agriculture, Fisheries and Forestry. Version 48. doi 10.5281/zenodo.19656580")</definedName>
    <definedName name="CommonLivestock_SourceData.SourceData_Livestock_Product_Sheep_Source" localSheetId="21">_xlfn.LAMBDA("Lifecycles. (2026). Greenhouse Gas Emission Intensities for Material Inputs to Australian Agriculture, Fisheries and Forestry. Version 48. doi 10.5281/zenodo.19656580")</definedName>
    <definedName name="CommonLivestock_SourceData.SourceData_Livestock_Product_Sheep_Source" localSheetId="22">_xlfn.LAMBDA("Lifecycles. (2026). Greenhouse Gas Emission Intensities for Material Inputs to Australian Agriculture, Fisheries and Forestry. Version 48. doi 10.5281/zenodo.19656580")</definedName>
    <definedName name="CommonLivestock_SourceData.SourceData_Livestock_Product_Sheep_Source" localSheetId="33">_xlfn.LAMBDA("Lifecycles. (2026). Greenhouse Gas Emission Intensities for Material Inputs to Australian Agriculture, Fisheries and Forestry. Version 48. doi 10.5281/zenodo.19656580")</definedName>
    <definedName name="CommonLivestock_SourceData.SourceData_Livestock_Product_Sheep_Source" localSheetId="27">_xlfn.LAMBDA("Lifecycles. (2026). Greenhouse Gas Emission Intensities for Material Inputs to Australian Agriculture, Fisheries and Forestry. Version 48. doi 10.5281/zenodo.19656580")</definedName>
    <definedName name="CommonLivestock_SourceData.SourceData_Livestock_Product_Sheep_Source" localSheetId="32">_xlfn.LAMBDA("Lifecycles. (2026). Greenhouse Gas Emission Intensities for Material Inputs to Australian Agriculture, Fisheries and Forestry. Version 48. doi 10.5281/zenodo.19656580")</definedName>
    <definedName name="CommonLivestock_SourceData.SourceData_Livestock_Product_Sheep_Source" localSheetId="30">_xlfn.LAMBDA("Lifecycles. (2026). Greenhouse Gas Emission Intensities for Material Inputs to Australian Agriculture, Fisheries and Forestry. Version 48. doi 10.5281/zenodo.19656580")</definedName>
    <definedName name="CommonLivestock_SourceData.SourceData_Livestock_Product_Sheep_Source" localSheetId="28">_xlfn.LAMBDA("Lifecycles. (2026). Greenhouse Gas Emission Intensities for Material Inputs to Australian Agriculture, Fisheries and Forestry. Version 48. doi 10.5281/zenodo.19656580")</definedName>
    <definedName name="CommonLivestock_SourceData.SourceData_Livestock_Product_Sheep_Source" localSheetId="26">_xlfn.LAMBDA("Lifecycles. (2026). Greenhouse Gas Emission Intensities for Material Inputs to Australian Agriculture, Fisheries and Forestry. Version 48. doi 10.5281/zenodo.19656580")</definedName>
    <definedName name="CommonLivestock_SourceData.SourceData_Livestock_Product_Sheep_Source" localSheetId="7">_xlfn.LAMBDA("Lifecycles. (2026). Greenhouse Gas Emission Intensities for Material Inputs to Australian Agriculture, Fisheries and Forestry. Version 48. doi 10.5281/zenodo.19656580")</definedName>
    <definedName name="CommonLivestock_SourceData.SourceData_Livestock_Product_Sheep_Source" localSheetId="6">_xlfn.LAMBDA("Lifecycles. (2026). Greenhouse Gas Emission Intensities for Material Inputs to Australian Agriculture, Fisheries and Forestry. Version 48. doi 10.5281/zenodo.19656580")</definedName>
    <definedName name="CommonLivestock_SourceData.SourceData_Livestock_Product_Sheep_Source" localSheetId="4">_xlfn.LAMBDA("Lifecycles. (2026). Greenhouse Gas Emission Intensities for Material Inputs to Australian Agriculture, Fisheries and Forestry. Version 48. doi 10.5281/zenodo.19656580")</definedName>
    <definedName name="CommonLivestock_SourceData.SourceData_Livestock_Product_Sheep_Source" localSheetId="3">_xlfn.LAMBDA("Lifecycles. (2026). Greenhouse Gas Emission Intensities for Material Inputs to Australian Agriculture, Fisheries and Forestry. Version 48. doi 10.5281/zenodo.19656580")</definedName>
    <definedName name="CommonLivestock_SourceData.SourceData_Livestock_Product_Sheep_Source" localSheetId="34">_xlfn.LAMBDA("Lifecycles. (2026). Greenhouse Gas Emission Intensities for Material Inputs to Australian Agriculture, Fisheries and Forestry. Version 48. doi 10.5281/zenodo.19656580")</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 localSheetId="10">_xlfn.LAMBDA("Sheep products for scope 3")</definedName>
    <definedName name="CommonLivestock_SourceData.SourceData_Livestock_Product_Sheep_Title" localSheetId="11">_xlfn.LAMBDA("Sheep products for scope 3")</definedName>
    <definedName name="CommonLivestock_SourceData.SourceData_Livestock_Product_Sheep_Title" localSheetId="12">_xlfn.LAMBDA("Sheep products for scope 3")</definedName>
    <definedName name="CommonLivestock_SourceData.SourceData_Livestock_Product_Sheep_Title" localSheetId="13">_xlfn.LAMBDA("Sheep products for scope 3")</definedName>
    <definedName name="CommonLivestock_SourceData.SourceData_Livestock_Product_Sheep_Title" localSheetId="14">_xlfn.LAMBDA("Sheep products for scope 3")</definedName>
    <definedName name="CommonLivestock_SourceData.SourceData_Livestock_Product_Sheep_Title" localSheetId="15">_xlfn.LAMBDA("Sheep products for scope 3")</definedName>
    <definedName name="CommonLivestock_SourceData.SourceData_Livestock_Product_Sheep_Title" localSheetId="16">_xlfn.LAMBDA("Sheep products for scope 3")</definedName>
    <definedName name="CommonLivestock_SourceData.SourceData_Livestock_Product_Sheep_Title" localSheetId="17">_xlfn.LAMBDA("Sheep products for scope 3")</definedName>
    <definedName name="CommonLivestock_SourceData.SourceData_Livestock_Product_Sheep_Title" localSheetId="18">_xlfn.LAMBDA("Sheep products for scope 3")</definedName>
    <definedName name="CommonLivestock_SourceData.SourceData_Livestock_Product_Sheep_Title" localSheetId="19">_xlfn.LAMBDA("Sheep products for scope 3")</definedName>
    <definedName name="CommonLivestock_SourceData.SourceData_Livestock_Product_Sheep_Title" localSheetId="20">_xlfn.LAMBDA("Sheep products for scope 3")</definedName>
    <definedName name="CommonLivestock_SourceData.SourceData_Livestock_Product_Sheep_Title" localSheetId="21">_xlfn.LAMBDA("Sheep products for scope 3")</definedName>
    <definedName name="CommonLivestock_SourceData.SourceData_Livestock_Product_Sheep_Title" localSheetId="22">_xlfn.LAMBDA("Sheep products for scope 3")</definedName>
    <definedName name="CommonLivestock_SourceData.SourceData_Livestock_Product_Sheep_Title" localSheetId="33">_xlfn.LAMBDA("Sheep products for scope 3")</definedName>
    <definedName name="CommonLivestock_SourceData.SourceData_Livestock_Product_Sheep_Title" localSheetId="27">_xlfn.LAMBDA("Sheep products for scope 3")</definedName>
    <definedName name="CommonLivestock_SourceData.SourceData_Livestock_Product_Sheep_Title" localSheetId="32">_xlfn.LAMBDA("Sheep products for scope 3")</definedName>
    <definedName name="CommonLivestock_SourceData.SourceData_Livestock_Product_Sheep_Title" localSheetId="30">_xlfn.LAMBDA("Sheep products for scope 3")</definedName>
    <definedName name="CommonLivestock_SourceData.SourceData_Livestock_Product_Sheep_Title" localSheetId="28">_xlfn.LAMBDA("Sheep products for scope 3")</definedName>
    <definedName name="CommonLivestock_SourceData.SourceData_Livestock_Product_Sheep_Title" localSheetId="26">_xlfn.LAMBDA("Sheep products for scope 3")</definedName>
    <definedName name="CommonLivestock_SourceData.SourceData_Livestock_Product_Sheep_Title" localSheetId="7">_xlfn.LAMBDA("Sheep products for scope 3")</definedName>
    <definedName name="CommonLivestock_SourceData.SourceData_Livestock_Product_Sheep_Title" localSheetId="6">_xlfn.LAMBDA("Sheep products for scope 3")</definedName>
    <definedName name="CommonLivestock_SourceData.SourceData_Livestock_Product_Sheep_Title" localSheetId="4">_xlfn.LAMBDA("Sheep products for scope 3")</definedName>
    <definedName name="CommonLivestock_SourceData.SourceData_Livestock_Product_Sheep_Title" localSheetId="3">_xlfn.LAMBDA("Sheep products for scope 3")</definedName>
    <definedName name="CommonLivestock_SourceData.SourceData_Livestock_Product_Sheep_Title" localSheetId="34">_xlfn.LAMBDA("Sheep products for scope 3")</definedName>
    <definedName name="CommonLivestock_SourceData.SourceData_Livestock_Product_Sheep_Title">_xlfn.LAMBDA("Sheep products for scope 3")</definedName>
    <definedName name="CommonLivestock_SourceData.SourceData_Livestock_Product_Sheep_Unit" localSheetId="10">_xlfn.LAMBDA("")</definedName>
    <definedName name="CommonLivestock_SourceData.SourceData_Livestock_Product_Sheep_Unit" localSheetId="11">_xlfn.LAMBDA("")</definedName>
    <definedName name="CommonLivestock_SourceData.SourceData_Livestock_Product_Sheep_Unit" localSheetId="12">_xlfn.LAMBDA("")</definedName>
    <definedName name="CommonLivestock_SourceData.SourceData_Livestock_Product_Sheep_Unit" localSheetId="13">_xlfn.LAMBDA("")</definedName>
    <definedName name="CommonLivestock_SourceData.SourceData_Livestock_Product_Sheep_Unit" localSheetId="14">_xlfn.LAMBDA("")</definedName>
    <definedName name="CommonLivestock_SourceData.SourceData_Livestock_Product_Sheep_Unit" localSheetId="15">_xlfn.LAMBDA("")</definedName>
    <definedName name="CommonLivestock_SourceData.SourceData_Livestock_Product_Sheep_Unit" localSheetId="16">_xlfn.LAMBDA("")</definedName>
    <definedName name="CommonLivestock_SourceData.SourceData_Livestock_Product_Sheep_Unit" localSheetId="17">_xlfn.LAMBDA("")</definedName>
    <definedName name="CommonLivestock_SourceData.SourceData_Livestock_Product_Sheep_Unit" localSheetId="18">_xlfn.LAMBDA("")</definedName>
    <definedName name="CommonLivestock_SourceData.SourceData_Livestock_Product_Sheep_Unit" localSheetId="19">_xlfn.LAMBDA("")</definedName>
    <definedName name="CommonLivestock_SourceData.SourceData_Livestock_Product_Sheep_Unit" localSheetId="20">_xlfn.LAMBDA("")</definedName>
    <definedName name="CommonLivestock_SourceData.SourceData_Livestock_Product_Sheep_Unit" localSheetId="21">_xlfn.LAMBDA("")</definedName>
    <definedName name="CommonLivestock_SourceData.SourceData_Livestock_Product_Sheep_Unit" localSheetId="22">_xlfn.LAMBDA("")</definedName>
    <definedName name="CommonLivestock_SourceData.SourceData_Livestock_Product_Sheep_Unit" localSheetId="33">_xlfn.LAMBDA("")</definedName>
    <definedName name="CommonLivestock_SourceData.SourceData_Livestock_Product_Sheep_Unit" localSheetId="27">_xlfn.LAMBDA("")</definedName>
    <definedName name="CommonLivestock_SourceData.SourceData_Livestock_Product_Sheep_Unit" localSheetId="32">_xlfn.LAMBDA("")</definedName>
    <definedName name="CommonLivestock_SourceData.SourceData_Livestock_Product_Sheep_Unit" localSheetId="30">_xlfn.LAMBDA("")</definedName>
    <definedName name="CommonLivestock_SourceData.SourceData_Livestock_Product_Sheep_Unit" localSheetId="28">_xlfn.LAMBDA("")</definedName>
    <definedName name="CommonLivestock_SourceData.SourceData_Livestock_Product_Sheep_Unit" localSheetId="26">_xlfn.LAMBDA("")</definedName>
    <definedName name="CommonLivestock_SourceData.SourceData_Livestock_Product_Sheep_Unit" localSheetId="7">_xlfn.LAMBDA("")</definedName>
    <definedName name="CommonLivestock_SourceData.SourceData_Livestock_Product_Sheep_Unit" localSheetId="6">_xlfn.LAMBDA("")</definedName>
    <definedName name="CommonLivestock_SourceData.SourceData_Livestock_Product_Sheep_Unit" localSheetId="4">_xlfn.LAMBDA("")</definedName>
    <definedName name="CommonLivestock_SourceData.SourceData_Livestock_Product_Sheep_Unit" localSheetId="3">_xlfn.LAMBDA("")</definedName>
    <definedName name="CommonLivestock_SourceData.SourceData_Livestock_Product_Sheep_Unit" localSheetId="34">_xlfn.LAMBDA("")</definedName>
    <definedName name="CommonLivestock_SourceData.SourceData_Livestock_Product_Sheep_Unit">_xlfn.LAMBDA("")</definedName>
    <definedName name="CommonLivestock_SourceData.SourceData_Livestock_Product_Sheep_Vairable" localSheetId="10">_xlfn.LAMBDA("")</definedName>
    <definedName name="CommonLivestock_SourceData.SourceData_Livestock_Product_Sheep_Vairable" localSheetId="11">_xlfn.LAMBDA("")</definedName>
    <definedName name="CommonLivestock_SourceData.SourceData_Livestock_Product_Sheep_Vairable" localSheetId="12">_xlfn.LAMBDA("")</definedName>
    <definedName name="CommonLivestock_SourceData.SourceData_Livestock_Product_Sheep_Vairable" localSheetId="13">_xlfn.LAMBDA("")</definedName>
    <definedName name="CommonLivestock_SourceData.SourceData_Livestock_Product_Sheep_Vairable" localSheetId="14">_xlfn.LAMBDA("")</definedName>
    <definedName name="CommonLivestock_SourceData.SourceData_Livestock_Product_Sheep_Vairable" localSheetId="15">_xlfn.LAMBDA("")</definedName>
    <definedName name="CommonLivestock_SourceData.SourceData_Livestock_Product_Sheep_Vairable" localSheetId="16">_xlfn.LAMBDA("")</definedName>
    <definedName name="CommonLivestock_SourceData.SourceData_Livestock_Product_Sheep_Vairable" localSheetId="17">_xlfn.LAMBDA("")</definedName>
    <definedName name="CommonLivestock_SourceData.SourceData_Livestock_Product_Sheep_Vairable" localSheetId="18">_xlfn.LAMBDA("")</definedName>
    <definedName name="CommonLivestock_SourceData.SourceData_Livestock_Product_Sheep_Vairable" localSheetId="19">_xlfn.LAMBDA("")</definedName>
    <definedName name="CommonLivestock_SourceData.SourceData_Livestock_Product_Sheep_Vairable" localSheetId="20">_xlfn.LAMBDA("")</definedName>
    <definedName name="CommonLivestock_SourceData.SourceData_Livestock_Product_Sheep_Vairable" localSheetId="21">_xlfn.LAMBDA("")</definedName>
    <definedName name="CommonLivestock_SourceData.SourceData_Livestock_Product_Sheep_Vairable" localSheetId="22">_xlfn.LAMBDA("")</definedName>
    <definedName name="CommonLivestock_SourceData.SourceData_Livestock_Product_Sheep_Vairable" localSheetId="33">_xlfn.LAMBDA("")</definedName>
    <definedName name="CommonLivestock_SourceData.SourceData_Livestock_Product_Sheep_Vairable" localSheetId="27">_xlfn.LAMBDA("")</definedName>
    <definedName name="CommonLivestock_SourceData.SourceData_Livestock_Product_Sheep_Vairable" localSheetId="32">_xlfn.LAMBDA("")</definedName>
    <definedName name="CommonLivestock_SourceData.SourceData_Livestock_Product_Sheep_Vairable" localSheetId="30">_xlfn.LAMBDA("")</definedName>
    <definedName name="CommonLivestock_SourceData.SourceData_Livestock_Product_Sheep_Vairable" localSheetId="28">_xlfn.LAMBDA("")</definedName>
    <definedName name="CommonLivestock_SourceData.SourceData_Livestock_Product_Sheep_Vairable" localSheetId="26">_xlfn.LAMBDA("")</definedName>
    <definedName name="CommonLivestock_SourceData.SourceData_Livestock_Product_Sheep_Vairable" localSheetId="7">_xlfn.LAMBDA("")</definedName>
    <definedName name="CommonLivestock_SourceData.SourceData_Livestock_Product_Sheep_Vairable" localSheetId="6">_xlfn.LAMBDA("")</definedName>
    <definedName name="CommonLivestock_SourceData.SourceData_Livestock_Product_Sheep_Vairable" localSheetId="4">_xlfn.LAMBDA("")</definedName>
    <definedName name="CommonLivestock_SourceData.SourceData_Livestock_Product_Sheep_Vairable" localSheetId="3">_xlfn.LAMBDA("")</definedName>
    <definedName name="CommonLivestock_SourceData.SourceData_Livestock_Product_Sheep_Vairable" localSheetId="34">_xlfn.LAMBDA("")</definedName>
    <definedName name="CommonLivestock_SourceData.SourceData_Livestock_Product_Sheep_Vairable">_xlfn.LAMBDA("")</definedName>
    <definedName name="Electricity_Equations.VEERG_14_1_1__1_LocationBasedScopeElectricityEmissions" localSheetId="25">_xlfn.LAMBDA(_xlpm.Q_elec,_xlpm.EF_2elec, _xlpm.Q_elec * _xlpm.EF_2elec * 10 ^ -3)</definedName>
    <definedName name="Electricity_Equations.VEERG_14_1_1__1_LocationBasedScopeElectricityEmissions" localSheetId="23">_xlfn.LAMBDA(_xlpm.Q_elec,_xlpm.EF_2elec, _xlpm.Q_elec * _xlpm.EF_2elec * 10 ^ -3)</definedName>
    <definedName name="Electricity_Equations.VEERG_14_1_1__1_LocationBasedScopeElectricityEmissions" localSheetId="24">_xlfn.LAMBDA(_xlpm.Q_elec,_xlpm.EF_2elec, _xlpm.Q_elec * _xlpm.EF_2elec * 10 ^ -3)</definedName>
    <definedName name="Electricity_Equations.VEERG_14_1_1__1_LocationBasedScopeElectricityEmissions" localSheetId="29">_xlfn.LAMBDA(_xlpm.Q_elec,_xlpm.EF_2elec, _xlpm.Q_elec * _xlpm.EF_2elec * 10 ^ -3)</definedName>
    <definedName name="Electricity_Equations.VEERG_14_1_1__1_LocationBasedScopeElectricityEmissions" localSheetId="31">_xlfn.LAMBDA(_xlpm.Q_elec,_xlpm.EF_2elec, _xlpm.Q_elec * _xlpm.EF_2elec * 10 ^ -3)</definedName>
    <definedName name="Electricity_Equations.VEERG_14_1_1__1_LocationBasedScopeElectricityEmissions" localSheetId="8">_xlfn.LAMBDA(_xlpm.Q_elec,_xlpm.EF_2elec, _xlpm.Q_elec * _xlpm.EF_2elec * 10 ^ -3)</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 localSheetId="25">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3">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4">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29">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31">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 localSheetId="8">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 localSheetId="25">_xlfn.LAMBDA("E_{2,elec}=Q_{elec}\times EF_{2,elec}\times 10^{-3}")</definedName>
    <definedName name="Electricity_Equations.VEERG_14_1_1__1_LocationBasedScopeElectricityEmissions_LatexEquation" localSheetId="23">_xlfn.LAMBDA("E_{2,elec}=Q_{elec}\times EF_{2,elec}\times 10^{-3}")</definedName>
    <definedName name="Electricity_Equations.VEERG_14_1_1__1_LocationBasedScopeElectricityEmissions_LatexEquation" localSheetId="24">_xlfn.LAMBDA("E_{2,elec}=Q_{elec}\times EF_{2,elec}\times 10^{-3}")</definedName>
    <definedName name="Electricity_Equations.VEERG_14_1_1__1_LocationBasedScopeElectricityEmissions_LatexEquation" localSheetId="29">_xlfn.LAMBDA("E_{2,elec}=Q_{elec}\times EF_{2,elec}\times 10^{-3}")</definedName>
    <definedName name="Electricity_Equations.VEERG_14_1_1__1_LocationBasedScopeElectricityEmissions_LatexEquation" localSheetId="31">_xlfn.LAMBDA("E_{2,elec}=Q_{elec}\times EF_{2,elec}\times 10^{-3}")</definedName>
    <definedName name="Electricity_Equations.VEERG_14_1_1__1_LocationBasedScopeElectricityEmissions_LatexEquation" localSheetId="8">_xlfn.LAMBDA("E_{2,elec}=Q_{elec}\times EF_{2,elec}\times 10^{-3}")</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 localSheetId="25">_xlfn.LAMBDA("")</definedName>
    <definedName name="Electricity_Equations.VEERG_14_1_1__1_LocationBasedScopeElectricityEmissions_NIRReference" localSheetId="23">_xlfn.LAMBDA("")</definedName>
    <definedName name="Electricity_Equations.VEERG_14_1_1__1_LocationBasedScopeElectricityEmissions_NIRReference" localSheetId="24">_xlfn.LAMBDA("")</definedName>
    <definedName name="Electricity_Equations.VEERG_14_1_1__1_LocationBasedScopeElectricityEmissions_NIRReference" localSheetId="29">_xlfn.LAMBDA("")</definedName>
    <definedName name="Electricity_Equations.VEERG_14_1_1__1_LocationBasedScopeElectricityEmissions_NIRReference" localSheetId="31">_xlfn.LAMBDA("")</definedName>
    <definedName name="Electricity_Equations.VEERG_14_1_1__1_LocationBasedScopeElectricityEmissions_NIRReference" localSheetId="8">_xlfn.LAMBDA("")</definedName>
    <definedName name="Electricity_Equations.VEERG_14_1_1__1_LocationBasedScopeElectricityEmissions_NIRReference">_xlfn.LAMBDA("")</definedName>
    <definedName name="Electricity_Equations.VEERG_14_1_1__1_LocationBasedScopeElectricityEmissions_Source" localSheetId="25">_xlfn.LAMBDA("VEERG 2026: 14.1.1, Equation (1)")</definedName>
    <definedName name="Electricity_Equations.VEERG_14_1_1__1_LocationBasedScopeElectricityEmissions_Source" localSheetId="23">_xlfn.LAMBDA("VEERG 2026: 14.1.1, Equation (1)")</definedName>
    <definedName name="Electricity_Equations.VEERG_14_1_1__1_LocationBasedScopeElectricityEmissions_Source" localSheetId="24">_xlfn.LAMBDA("VEERG 2026: 14.1.1, Equation (1)")</definedName>
    <definedName name="Electricity_Equations.VEERG_14_1_1__1_LocationBasedScopeElectricityEmissions_Source" localSheetId="29">_xlfn.LAMBDA("VEERG 2026: 14.1.1, Equation (1)")</definedName>
    <definedName name="Electricity_Equations.VEERG_14_1_1__1_LocationBasedScopeElectricityEmissions_Source" localSheetId="31">_xlfn.LAMBDA("VEERG 2026: 14.1.1, Equation (1)")</definedName>
    <definedName name="Electricity_Equations.VEERG_14_1_1__1_LocationBasedScopeElectricityEmissions_Source" localSheetId="8">_xlfn.LAMBDA("VEERG 2026: 14.1.1, Equation (1)")</definedName>
    <definedName name="Electricity_Equations.VEERG_14_1_1__1_LocationBasedScopeElectricityEmissions_Source">_xlfn.LAMBDA("VEERG 2026: 14.1.1, Equation (1)")</definedName>
    <definedName name="Electricity_Equations.VEERG_14_1_1__1_LocationBasedScopeElectricityEmissions_Title" localSheetId="25">_xlfn.LAMBDA("Location-based Scope 2 emissions from purchased electricity")</definedName>
    <definedName name="Electricity_Equations.VEERG_14_1_1__1_LocationBasedScopeElectricityEmissions_Title" localSheetId="23">_xlfn.LAMBDA("Location-based Scope 2 emissions from purchased electricity")</definedName>
    <definedName name="Electricity_Equations.VEERG_14_1_1__1_LocationBasedScopeElectricityEmissions_Title" localSheetId="24">_xlfn.LAMBDA("Location-based Scope 2 emissions from purchased electricity")</definedName>
    <definedName name="Electricity_Equations.VEERG_14_1_1__1_LocationBasedScopeElectricityEmissions_Title" localSheetId="29">_xlfn.LAMBDA("Location-based Scope 2 emissions from purchased electricity")</definedName>
    <definedName name="Electricity_Equations.VEERG_14_1_1__1_LocationBasedScopeElectricityEmissions_Title" localSheetId="31">_xlfn.LAMBDA("Location-based Scope 2 emissions from purchased electricity")</definedName>
    <definedName name="Electricity_Equations.VEERG_14_1_1__1_LocationBasedScopeElectricityEmissions_Title" localSheetId="8">_xlfn.LAMBDA("Location-based Scope 2 emissions from purchased electricity")</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 localSheetId="25">_xlfn.LAMBDA("t CO2e")</definedName>
    <definedName name="Electricity_Equations.VEERG_14_1_1__1_LocationBasedScopeElectricityEmissions_Unit" localSheetId="23">_xlfn.LAMBDA("t CO2e")</definedName>
    <definedName name="Electricity_Equations.VEERG_14_1_1__1_LocationBasedScopeElectricityEmissions_Unit" localSheetId="24">_xlfn.LAMBDA("t CO2e")</definedName>
    <definedName name="Electricity_Equations.VEERG_14_1_1__1_LocationBasedScopeElectricityEmissions_Unit" localSheetId="29">_xlfn.LAMBDA("t CO2e")</definedName>
    <definedName name="Electricity_Equations.VEERG_14_1_1__1_LocationBasedScopeElectricityEmissions_Unit" localSheetId="31">_xlfn.LAMBDA("t CO2e")</definedName>
    <definedName name="Electricity_Equations.VEERG_14_1_1__1_LocationBasedScopeElectricityEmissions_Unit" localSheetId="8">_xlfn.LAMBDA("t CO2e")</definedName>
    <definedName name="Electricity_Equations.VEERG_14_1_1__1_LocationBasedScopeElectricityEmissions_Unit">_xlfn.LAMBDA("t CO2e")</definedName>
    <definedName name="Electricity_Equations.VEERG_14_1_1__1_LocationBasedScopeElectricityEmissions_Variable" localSheetId="25">_xlfn.LAMBDA("E_2elec")</definedName>
    <definedName name="Electricity_Equations.VEERG_14_1_1__1_LocationBasedScopeElectricityEmissions_Variable" localSheetId="23">_xlfn.LAMBDA("E_2elec")</definedName>
    <definedName name="Electricity_Equations.VEERG_14_1_1__1_LocationBasedScopeElectricityEmissions_Variable" localSheetId="24">_xlfn.LAMBDA("E_2elec")</definedName>
    <definedName name="Electricity_Equations.VEERG_14_1_1__1_LocationBasedScopeElectricityEmissions_Variable" localSheetId="29">_xlfn.LAMBDA("E_2elec")</definedName>
    <definedName name="Electricity_Equations.VEERG_14_1_1__1_LocationBasedScopeElectricityEmissions_Variable" localSheetId="31">_xlfn.LAMBDA("E_2elec")</definedName>
    <definedName name="Electricity_Equations.VEERG_14_1_1__1_LocationBasedScopeElectricityEmissions_Variable" localSheetId="8">_xlfn.LAMBDA("E_2elec")</definedName>
    <definedName name="Electricity_Equations.VEERG_14_1_1__1_LocationBasedScopeElectricityEmissions_Variable">_xlfn.LAMBDA("E_2elec")</definedName>
    <definedName name="Electricity_Equations.VEERG_14_1_1__1_LocationBasedScopeElectricityEmissions_Variation" localSheetId="25">_xlfn.LAMBDA("Added g variable to capture which grid electricity was purchased from")</definedName>
    <definedName name="Electricity_Equations.VEERG_14_1_1__1_LocationBasedScopeElectricityEmissions_Variation" localSheetId="23">_xlfn.LAMBDA("Added g variable to capture which grid electricity was purchased from")</definedName>
    <definedName name="Electricity_Equations.VEERG_14_1_1__1_LocationBasedScopeElectricityEmissions_Variation" localSheetId="24">_xlfn.LAMBDA("Added g variable to capture which grid electricity was purchased from")</definedName>
    <definedName name="Electricity_Equations.VEERG_14_1_1__1_LocationBasedScopeElectricityEmissions_Variation" localSheetId="29">_xlfn.LAMBDA("Added g variable to capture which grid electricity was purchased from")</definedName>
    <definedName name="Electricity_Equations.VEERG_14_1_1__1_LocationBasedScopeElectricityEmissions_Variation" localSheetId="31">_xlfn.LAMBDA("Added g variable to capture which grid electricity was purchased from")</definedName>
    <definedName name="Electricity_Equations.VEERG_14_1_1__1_LocationBasedScopeElectricityEmissions_Variation" localSheetId="8">_xlfn.LAMBDA("Added g variable to capture which grid electricity was purchased from")</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 localSheetId="2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2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31">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 localSheetId="8">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 localSheetId="25">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3">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4">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29">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31">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 localSheetId="8">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 localSheetId="25">_xlfn.LAMBDA("E_{2,elec}=(Q_{elec} \times (1-(RPP+JRPP)) - ((REC_{surrendered}-REC_{onsite})\times 10^{-3})) \times EF_{RMF2,elec} \times 10^{-3}")</definedName>
    <definedName name="Electricity_Equations.VEERG_14_1_2__1_MarketBasedScopeElectricityEmissions_LatexEquation" localSheetId="23">_xlfn.LAMBDA("E_{2,elec}=(Q_{elec} \times (1-(RPP+JRPP)) - ((REC_{surrendered}-REC_{onsite})\times 10^{-3})) \times EF_{RMF2,elec} \times 10^{-3}")</definedName>
    <definedName name="Electricity_Equations.VEERG_14_1_2__1_MarketBasedScopeElectricityEmissions_LatexEquation" localSheetId="24">_xlfn.LAMBDA("E_{2,elec}=(Q_{elec} \times (1-(RPP+JRPP)) - ((REC_{surrendered}-REC_{onsite})\times 10^{-3})) \times EF_{RMF2,elec} \times 10^{-3}")</definedName>
    <definedName name="Electricity_Equations.VEERG_14_1_2__1_MarketBasedScopeElectricityEmissions_LatexEquation" localSheetId="29">_xlfn.LAMBDA("E_{2,elec}=(Q_{elec} \times (1-(RPP+JRPP)) - ((REC_{surrendered}-REC_{onsite})\times 10^{-3})) \times EF_{RMF2,elec} \times 10^{-3}")</definedName>
    <definedName name="Electricity_Equations.VEERG_14_1_2__1_MarketBasedScopeElectricityEmissions_LatexEquation" localSheetId="31">_xlfn.LAMBDA("E_{2,elec}=(Q_{elec} \times (1-(RPP+JRPP)) - ((REC_{surrendered}-REC_{onsite})\times 10^{-3})) \times EF_{RMF2,elec} \times 10^{-3}")</definedName>
    <definedName name="Electricity_Equations.VEERG_14_1_2__1_MarketBasedScopeElectricityEmissions_LatexEquation" localSheetId="8">_xlfn.LAMBDA("E_{2,elec}=(Q_{elec} \times (1-(RPP+JRPP)) - ((REC_{surrendered}-REC_{onsite})\times 10^{-3})) \times EF_{RMF2,elec} \times 10^{-3}")</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 localSheetId="25">_xlfn.LAMBDA("")</definedName>
    <definedName name="Electricity_Equations.VEERG_14_1_2__1_MarketBasedScopeElectricityEmissions_NIRReference" localSheetId="23">_xlfn.LAMBDA("")</definedName>
    <definedName name="Electricity_Equations.VEERG_14_1_2__1_MarketBasedScopeElectricityEmissions_NIRReference" localSheetId="24">_xlfn.LAMBDA("")</definedName>
    <definedName name="Electricity_Equations.VEERG_14_1_2__1_MarketBasedScopeElectricityEmissions_NIRReference" localSheetId="29">_xlfn.LAMBDA("")</definedName>
    <definedName name="Electricity_Equations.VEERG_14_1_2__1_MarketBasedScopeElectricityEmissions_NIRReference" localSheetId="31">_xlfn.LAMBDA("")</definedName>
    <definedName name="Electricity_Equations.VEERG_14_1_2__1_MarketBasedScopeElectricityEmissions_NIRReference" localSheetId="8">_xlfn.LAMBDA("")</definedName>
    <definedName name="Electricity_Equations.VEERG_14_1_2__1_MarketBasedScopeElectricityEmissions_NIRReference">_xlfn.LAMBDA("")</definedName>
    <definedName name="Electricity_Equations.VEERG_14_1_2__1_MarketBasedScopeElectricityEmissions_Source" localSheetId="25">_xlfn.LAMBDA("VEERG 2026: 14.1.2, Equation (1)")</definedName>
    <definedName name="Electricity_Equations.VEERG_14_1_2__1_MarketBasedScopeElectricityEmissions_Source" localSheetId="23">_xlfn.LAMBDA("VEERG 2026: 14.1.2, Equation (1)")</definedName>
    <definedName name="Electricity_Equations.VEERG_14_1_2__1_MarketBasedScopeElectricityEmissions_Source" localSheetId="24">_xlfn.LAMBDA("VEERG 2026: 14.1.2, Equation (1)")</definedName>
    <definedName name="Electricity_Equations.VEERG_14_1_2__1_MarketBasedScopeElectricityEmissions_Source" localSheetId="29">_xlfn.LAMBDA("VEERG 2026: 14.1.2, Equation (1)")</definedName>
    <definedName name="Electricity_Equations.VEERG_14_1_2__1_MarketBasedScopeElectricityEmissions_Source" localSheetId="31">_xlfn.LAMBDA("VEERG 2026: 14.1.2, Equation (1)")</definedName>
    <definedName name="Electricity_Equations.VEERG_14_1_2__1_MarketBasedScopeElectricityEmissions_Source" localSheetId="8">_xlfn.LAMBDA("VEERG 2026: 14.1.2, Equation (1)")</definedName>
    <definedName name="Electricity_Equations.VEERG_14_1_2__1_MarketBasedScopeElectricityEmissions_Source">_xlfn.LAMBDA("VEERG 2026: 14.1.2, Equation (1)")</definedName>
    <definedName name="Electricity_Equations.VEERG_14_1_2__1_MarketBasedScopeElectricityEmissions_Title" localSheetId="25">_xlfn.LAMBDA("Market-based Scope 2 emissions from purchased electricity")</definedName>
    <definedName name="Electricity_Equations.VEERG_14_1_2__1_MarketBasedScopeElectricityEmissions_Title" localSheetId="23">_xlfn.LAMBDA("Market-based Scope 2 emissions from purchased electricity")</definedName>
    <definedName name="Electricity_Equations.VEERG_14_1_2__1_MarketBasedScopeElectricityEmissions_Title" localSheetId="24">_xlfn.LAMBDA("Market-based Scope 2 emissions from purchased electricity")</definedName>
    <definedName name="Electricity_Equations.VEERG_14_1_2__1_MarketBasedScopeElectricityEmissions_Title" localSheetId="29">_xlfn.LAMBDA("Market-based Scope 2 emissions from purchased electricity")</definedName>
    <definedName name="Electricity_Equations.VEERG_14_1_2__1_MarketBasedScopeElectricityEmissions_Title" localSheetId="31">_xlfn.LAMBDA("Market-based Scope 2 emissions from purchased electricity")</definedName>
    <definedName name="Electricity_Equations.VEERG_14_1_2__1_MarketBasedScopeElectricityEmissions_Title" localSheetId="8">_xlfn.LAMBDA("Market-based Scope 2 emissions from purchased electricity")</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 localSheetId="25">_xlfn.LAMBDA("t CO2e")</definedName>
    <definedName name="Electricity_Equations.VEERG_14_1_2__1_MarketBasedScopeElectricityEmissions_Unit" localSheetId="23">_xlfn.LAMBDA("t CO2e")</definedName>
    <definedName name="Electricity_Equations.VEERG_14_1_2__1_MarketBasedScopeElectricityEmissions_Unit" localSheetId="24">_xlfn.LAMBDA("t CO2e")</definedName>
    <definedName name="Electricity_Equations.VEERG_14_1_2__1_MarketBasedScopeElectricityEmissions_Unit" localSheetId="29">_xlfn.LAMBDA("t CO2e")</definedName>
    <definedName name="Electricity_Equations.VEERG_14_1_2__1_MarketBasedScopeElectricityEmissions_Unit" localSheetId="31">_xlfn.LAMBDA("t CO2e")</definedName>
    <definedName name="Electricity_Equations.VEERG_14_1_2__1_MarketBasedScopeElectricityEmissions_Unit" localSheetId="8">_xlfn.LAMBDA("t CO2e")</definedName>
    <definedName name="Electricity_Equations.VEERG_14_1_2__1_MarketBasedScopeElectricityEmissions_Unit">_xlfn.LAMBDA("t CO2e")</definedName>
    <definedName name="Electricity_Equations.VEERG_14_1_2__1_MarketBasedScopeElectricityEmissions_Variable" localSheetId="25">_xlfn.LAMBDA("E_2elec")</definedName>
    <definedName name="Electricity_Equations.VEERG_14_1_2__1_MarketBasedScopeElectricityEmissions_Variable" localSheetId="23">_xlfn.LAMBDA("E_2elec")</definedName>
    <definedName name="Electricity_Equations.VEERG_14_1_2__1_MarketBasedScopeElectricityEmissions_Variable" localSheetId="24">_xlfn.LAMBDA("E_2elec")</definedName>
    <definedName name="Electricity_Equations.VEERG_14_1_2__1_MarketBasedScopeElectricityEmissions_Variable" localSheetId="29">_xlfn.LAMBDA("E_2elec")</definedName>
    <definedName name="Electricity_Equations.VEERG_14_1_2__1_MarketBasedScopeElectricityEmissions_Variable" localSheetId="31">_xlfn.LAMBDA("E_2elec")</definedName>
    <definedName name="Electricity_Equations.VEERG_14_1_2__1_MarketBasedScopeElectricityEmissions_Variable" localSheetId="8">_xlfn.LAMBDA("E_2elec")</definedName>
    <definedName name="Electricity_Equations.VEERG_14_1_2__1_MarketBasedScopeElectricityEmissions_Variable">_xlfn.LAMBDA("E_2elec")</definedName>
    <definedName name="Electricity_Equations.VEERG_14_1_2__1_MarketBasedScopeElectricityEmissions_Variation" localSheetId="25">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3">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4">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29">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31">_xlfn.LAMBDA("VARIATION ON SOURCE: In order to convert megawatt hours to kilowatt hours, the REC_surrendered and REC_onsite variables are multiplied by 10^3 instead of 10^-3.")</definedName>
    <definedName name="Electricity_Equations.VEERG_14_1_2__1_MarketBasedScopeElectricityEmissions_Variation" localSheetId="8">_xlfn.LAMBDA("VARIATION ON SOURCE: In order to convert megawatt hours to kilowatt hours, the REC_surrendered and REC_onsite variables are multiplied by 10^3 instead of 10^-3.")</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 localSheetId="25">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3">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4">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29">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31">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 localSheetId="8">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 localSheetId="25">_xlfn.LAMBDA("E_{2,elec}=(Q_{elec} \times (1-(RPP+JRPP)) - ((REC_{surrendered}-REC_{onsite})\times 10^{3})) \times EF_{RMF2,elec} \times 10^{-3}")</definedName>
    <definedName name="Electricity_Equations.VEERG_14_1_2__1_MarketBasedScopeElectricityEmissionsVariation_LatexEquation" localSheetId="23">_xlfn.LAMBDA("E_{2,elec}=(Q_{elec} \times (1-(RPP+JRPP)) - ((REC_{surrendered}-REC_{onsite})\times 10^{3})) \times EF_{RMF2,elec} \times 10^{-3}")</definedName>
    <definedName name="Electricity_Equations.VEERG_14_1_2__1_MarketBasedScopeElectricityEmissionsVariation_LatexEquation" localSheetId="24">_xlfn.LAMBDA("E_{2,elec}=(Q_{elec} \times (1-(RPP+JRPP)) - ((REC_{surrendered}-REC_{onsite})\times 10^{3})) \times EF_{RMF2,elec} \times 10^{-3}")</definedName>
    <definedName name="Electricity_Equations.VEERG_14_1_2__1_MarketBasedScopeElectricityEmissionsVariation_LatexEquation" localSheetId="29">_xlfn.LAMBDA("E_{2,elec}=(Q_{elec} \times (1-(RPP+JRPP)) - ((REC_{surrendered}-REC_{onsite})\times 10^{3})) \times EF_{RMF2,elec} \times 10^{-3}")</definedName>
    <definedName name="Electricity_Equations.VEERG_14_1_2__1_MarketBasedScopeElectricityEmissionsVariation_LatexEquation" localSheetId="31">_xlfn.LAMBDA("E_{2,elec}=(Q_{elec} \times (1-(RPP+JRPP)) - ((REC_{surrendered}-REC_{onsite})\times 10^{3})) \times EF_{RMF2,elec} \times 10^{-3}")</definedName>
    <definedName name="Electricity_Equations.VEERG_14_1_2__1_MarketBasedScopeElectricityEmissionsVariation_LatexEquation" localSheetId="8">_xlfn.LAMBDA("E_{2,elec}=(Q_{elec} \times (1-(RPP+JRPP)) - ((REC_{surrendered}-REC_{onsite})\times 10^{3})) \times EF_{RMF2,elec} \times 10^{-3}")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 localSheetId="25">_xlfn.LAMBDA(("Indirect (scope 2 and scope 3) location-based emission factors associated with the consumption and losses of purchased or acquired electricity"))</definedName>
    <definedName name="Electricity_SourceData.Electricity_Scope2LocationBased_Description" localSheetId="23">_xlfn.LAMBDA(("Indirect (scope 2 and scope 3) location-based emission factors associated with the consumption and losses of purchased or acquired electricity"))</definedName>
    <definedName name="Electricity_SourceData.Electricity_Scope2LocationBased_Description" localSheetId="24">_xlfn.LAMBDA(("Indirect (scope 2 and scope 3) location-based emission factors associated with the consumption and losses of purchased or acquired electricity"))</definedName>
    <definedName name="Electricity_SourceData.Electricity_Scope2LocationBased_Description" localSheetId="29">_xlfn.LAMBDA(("Indirect (scope 2 and scope 3) location-based emission factors associated with the consumption and losses of purchased or acquired electricity"))</definedName>
    <definedName name="Electricity_SourceData.Electricity_Scope2LocationBased_Description" localSheetId="31">_xlfn.LAMBDA(("Indirect (scope 2 and scope 3) location-based emission factors associated with the consumption and losses of purchased or acquired electricity"))</definedName>
    <definedName name="Electricity_SourceData.Electricity_Scope2LocationBased_Description" localSheetId="8">_xlfn.LAMBDA(("Indirect (scope 2 and scope 3) location-based emission factors associated with the consumption and losses of purchased or acquired electricity"))</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 localSheetId="25">_xlfn.LAMBDA(("Table 2a Indirect (scope 2 and scope 3) emission factors from consumption of purchased or acquired electricity: market-based factors "))</definedName>
    <definedName name="Electricity_SourceData.Electricity_Scope2MarketBased_Description" localSheetId="23">_xlfn.LAMBDA(("Table 2a Indirect (scope 2 and scope 3) emission factors from consumption of purchased or acquired electricity: market-based factors "))</definedName>
    <definedName name="Electricity_SourceData.Electricity_Scope2MarketBased_Description" localSheetId="24">_xlfn.LAMBDA(("Table 2a Indirect (scope 2 and scope 3) emission factors from consumption of purchased or acquired electricity: market-based factors "))</definedName>
    <definedName name="Electricity_SourceData.Electricity_Scope2MarketBased_Description" localSheetId="29">_xlfn.LAMBDA(("Table 2a Indirect (scope 2 and scope 3) emission factors from consumption of purchased or acquired electricity: market-based factors "))</definedName>
    <definedName name="Electricity_SourceData.Electricity_Scope2MarketBased_Description" localSheetId="31">_xlfn.LAMBDA(("Table 2a Indirect (scope 2 and scope 3) emission factors from consumption of purchased or acquired electricity: market-based factors "))</definedName>
    <definedName name="Electricity_SourceData.Electricity_Scope2MarketBased_Description" localSheetId="8">_xlfn.LAMBDA(("Table 2a Indirect (scope 2 and scope 3) emission factors from consumption of purchased or acquired electricity: market-based factors "))</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9">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 localSheetId="25">_xlfn.LAMBDA(("Australian National Greenhouse Accounts Factors 2025 - Table 1"))</definedName>
    <definedName name="Electricity_SourceData.Electricity_Scope2Scope3LocationBased_Source" localSheetId="23">_xlfn.LAMBDA(("Australian National Greenhouse Accounts Factors 2025 - Table 1"))</definedName>
    <definedName name="Electricity_SourceData.Electricity_Scope2Scope3LocationBased_Source" localSheetId="24">_xlfn.LAMBDA(("Australian National Greenhouse Accounts Factors 2025 - Table 1"))</definedName>
    <definedName name="Electricity_SourceData.Electricity_Scope2Scope3LocationBased_Source" localSheetId="29">_xlfn.LAMBDA(("Australian National Greenhouse Accounts Factors 2025 - Table 1"))</definedName>
    <definedName name="Electricity_SourceData.Electricity_Scope2Scope3LocationBased_Source" localSheetId="31">_xlfn.LAMBDA(("Australian National Greenhouse Accounts Factors 2025 - Table 1"))</definedName>
    <definedName name="Electricity_SourceData.Electricity_Scope2Scope3LocationBased_Source" localSheetId="8">_xlfn.LAMBDA(("Australian National Greenhouse Accounts Factors 2025 - Table 1"))</definedName>
    <definedName name="Electricity_SourceData.Electricity_Scope2Scope3LocationBased_Source">_xlfn.LAMBDA(("Australian National Greenhouse Accounts Factors 2025 - Table 1"))</definedName>
    <definedName name="Electricity_SourceData.Electricity_Scope2Scope3LocationBased_Title" localSheetId="25">_xlfn.LAMBDA(("Electricity scope 2 and scope 3 location-based emission factors"))</definedName>
    <definedName name="Electricity_SourceData.Electricity_Scope2Scope3LocationBased_Title" localSheetId="23">_xlfn.LAMBDA(("Electricity scope 2 and scope 3 location-based emission factors"))</definedName>
    <definedName name="Electricity_SourceData.Electricity_Scope2Scope3LocationBased_Title" localSheetId="24">_xlfn.LAMBDA(("Electricity scope 2 and scope 3 location-based emission factors"))</definedName>
    <definedName name="Electricity_SourceData.Electricity_Scope2Scope3LocationBased_Title" localSheetId="29">_xlfn.LAMBDA(("Electricity scope 2 and scope 3 location-based emission factors"))</definedName>
    <definedName name="Electricity_SourceData.Electricity_Scope2Scope3LocationBased_Title" localSheetId="31">_xlfn.LAMBDA(("Electricity scope 2 and scope 3 location-based emission factors"))</definedName>
    <definedName name="Electricity_SourceData.Electricity_Scope2Scope3LocationBased_Title" localSheetId="8">_xlfn.LAMBDA(("Electricity scope 2 and scope 3 location-based emission factors"))</definedName>
    <definedName name="Electricity_SourceData.Electricity_Scope2Scope3LocationBased_Title">_xlfn.LAMBDA(("Electricity scope 2 and scope 3 location-based emission factors"))</definedName>
    <definedName name="Electricity_SourceData.Electricity_Scope2Scope3LocationBased_Variation" localSheetId="25">_xlfn.LAMBDA(("VARIATION OF SOURCE DATA: NSW and ACT split into separate rows."))</definedName>
    <definedName name="Electricity_SourceData.Electricity_Scope2Scope3LocationBased_Variation" localSheetId="23">_xlfn.LAMBDA(("VARIATION OF SOURCE DATA: NSW and ACT split into separate rows."))</definedName>
    <definedName name="Electricity_SourceData.Electricity_Scope2Scope3LocationBased_Variation" localSheetId="24">_xlfn.LAMBDA(("VARIATION OF SOURCE DATA: NSW and ACT split into separate rows."))</definedName>
    <definedName name="Electricity_SourceData.Electricity_Scope2Scope3LocationBased_Variation" localSheetId="29">_xlfn.LAMBDA(("VARIATION OF SOURCE DATA: NSW and ACT split into separate rows."))</definedName>
    <definedName name="Electricity_SourceData.Electricity_Scope2Scope3LocationBased_Variation" localSheetId="31">_xlfn.LAMBDA(("VARIATION OF SOURCE DATA: NSW and ACT split into separate rows."))</definedName>
    <definedName name="Electricity_SourceData.Electricity_Scope2Scope3LocationBased_Variation" localSheetId="8">_xlfn.LAMBDA(("VARIATION OF SOURCE DATA: NSW and ACT split into separate rows."))</definedName>
    <definedName name="Electricity_SourceData.Electricity_Scope2Scope3LocationBased_Variation">_xlfn.LAMBDA(("VARIATION OF SOURCE DATA: NSW and ACT split into separate rows."))</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9">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 localSheetId="25">_xlfn.LAMBDA(("Australian National Greenhouse Accounts Factors 2025 - Table 2a"))</definedName>
    <definedName name="Electricity_SourceData.Electricity_Scope2Scope3MarketBased_Source" localSheetId="23">_xlfn.LAMBDA(("Australian National Greenhouse Accounts Factors 2025 - Table 2a"))</definedName>
    <definedName name="Electricity_SourceData.Electricity_Scope2Scope3MarketBased_Source" localSheetId="24">_xlfn.LAMBDA(("Australian National Greenhouse Accounts Factors 2025 - Table 2a"))</definedName>
    <definedName name="Electricity_SourceData.Electricity_Scope2Scope3MarketBased_Source" localSheetId="29">_xlfn.LAMBDA(("Australian National Greenhouse Accounts Factors 2025 - Table 2a"))</definedName>
    <definedName name="Electricity_SourceData.Electricity_Scope2Scope3MarketBased_Source" localSheetId="31">_xlfn.LAMBDA(("Australian National Greenhouse Accounts Factors 2025 - Table 2a"))</definedName>
    <definedName name="Electricity_SourceData.Electricity_Scope2Scope3MarketBased_Source" localSheetId="8">_xlfn.LAMBDA(("Australian National Greenhouse Accounts Factors 2025 - Table 2a"))</definedName>
    <definedName name="Electricity_SourceData.Electricity_Scope2Scope3MarketBased_Source">_xlfn.LAMBDA(("Australian National Greenhouse Accounts Factors 2025 - Table 2a"))</definedName>
    <definedName name="Electricity_SourceData.Electricity_Scope2Scope3MarketBased_Title" localSheetId="25">_xlfn.LAMBDA(("Electricity scope 2 and scope 3 market-based emission factors"))</definedName>
    <definedName name="Electricity_SourceData.Electricity_Scope2Scope3MarketBased_Title" localSheetId="23">_xlfn.LAMBDA(("Electricity scope 2 and scope 3 market-based emission factors"))</definedName>
    <definedName name="Electricity_SourceData.Electricity_Scope2Scope3MarketBased_Title" localSheetId="24">_xlfn.LAMBDA(("Electricity scope 2 and scope 3 market-based emission factors"))</definedName>
    <definedName name="Electricity_SourceData.Electricity_Scope2Scope3MarketBased_Title" localSheetId="29">_xlfn.LAMBDA(("Electricity scope 2 and scope 3 market-based emission factors"))</definedName>
    <definedName name="Electricity_SourceData.Electricity_Scope2Scope3MarketBased_Title" localSheetId="31">_xlfn.LAMBDA(("Electricity scope 2 and scope 3 market-based emission factors"))</definedName>
    <definedName name="Electricity_SourceData.Electricity_Scope2Scope3MarketBased_Title" localSheetId="8">_xlfn.LAMBDA(("Electricity scope 2 and scope 3 market-based emission factors"))</definedName>
    <definedName name="Electricity_SourceData.Electricity_Scope2Scope3MarketBased_Title">_xlfn.LAMBDA(("Electricity scope 2 and scope 3 market-based emission factors"))</definedName>
    <definedName name="Electricity_SourceData.Electricity_Scope2Scope3MarketBased_Variation" localSheetId="25">_xlfn.LAMBDA((""))</definedName>
    <definedName name="Electricity_SourceData.Electricity_Scope2Scope3MarketBased_Variation" localSheetId="23">_xlfn.LAMBDA((""))</definedName>
    <definedName name="Electricity_SourceData.Electricity_Scope2Scope3MarketBased_Variation" localSheetId="24">_xlfn.LAMBDA((""))</definedName>
    <definedName name="Electricity_SourceData.Electricity_Scope2Scope3MarketBased_Variation" localSheetId="29">_xlfn.LAMBDA((""))</definedName>
    <definedName name="Electricity_SourceData.Electricity_Scope2Scope3MarketBased_Variation" localSheetId="31">_xlfn.LAMBDA((""))</definedName>
    <definedName name="Electricity_SourceData.Electricity_Scope2Scope3MarketBased_Variation" localSheetId="8">_xlfn.LAMBDA((""))</definedName>
    <definedName name="Electricity_SourceData.Electricity_Scope2Scope3MarketBased_Variation">_xlfn.LAMBDA((""))</definedName>
    <definedName name="EntericMethane_PastureBeef_Equations.VEERG_3_2_1_1__1_TotalAnnualMethaneFromEntericFermentation" localSheetId="10">_xlfn.LAMBDA(_xlpm.D_j,_xlpm.M_jkl,_xlpm.N_jkl, (_xlpm.D_j * _xlpm.M_jkl * _xlpm.N_jkl) * 10 ^ -3)</definedName>
    <definedName name="EntericMethane_PastureBeef_Equations.VEERG_3_2_1_1__1_TotalAnnualMethaneFromEntericFermentation" localSheetId="11">_xlfn.LAMBDA(_xlpm.D_j,_xlpm.M_jkl,_xlpm.N_jkl, (_xlpm.D_j * _xlpm.M_jkl * _xlpm.N_jkl) * 10 ^ -3)</definedName>
    <definedName name="EntericMethane_PastureBeef_Equations.VEERG_3_2_1_1__1_TotalAnnualMethaneFromEntericFermentation" localSheetId="12">_xlfn.LAMBDA(_xlpm.D_j,_xlpm.M_jkl,_xlpm.N_jkl, (_xlpm.D_j * _xlpm.M_jkl * _xlpm.N_jkl) * 10 ^ -3)</definedName>
    <definedName name="EntericMethane_PastureBeef_Equations.VEERG_3_2_1_1__1_TotalAnnualMethaneFromEntericFermentation" localSheetId="13">_xlfn.LAMBDA(_xlpm.D_j,_xlpm.M_jkl,_xlpm.N_jkl, (_xlpm.D_j * _xlpm.M_jkl * _xlpm.N_jkl) * 10 ^ -3)</definedName>
    <definedName name="EntericMethane_PastureBeef_Equations.VEERG_3_2_1_1__1_TotalAnnualMethaneFromEntericFermentation" localSheetId="14">_xlfn.LAMBDA(_xlpm.D_j,_xlpm.M_jkl,_xlpm.N_jkl, (_xlpm.D_j * _xlpm.M_jkl * _xlpm.N_jkl) * 10 ^ -3)</definedName>
    <definedName name="EntericMethane_PastureBeef_Equations.VEERG_3_2_1_1__1_TotalAnnualMethaneFromEntericFermentation" localSheetId="33">_xlfn.LAMBDA(_xlpm.D_j,_xlpm.M_jkl,_xlpm.N_jkl, (_xlpm.D_j * _xlpm.M_jkl * _xlpm.N_jkl) * 10 ^ -3)</definedName>
    <definedName name="EntericMethane_PastureBeef_Equations.VEERG_3_2_1_1__1_TotalAnnualMethaneFromEntericFermentation" localSheetId="32">_xlfn.LAMBDA(_xlpm.D_j,_xlpm.M_jkl,_xlpm.N_jkl, (_xlpm.D_j * _xlpm.M_jkl * _xlpm.N_jkl) * 10 ^ -3)</definedName>
    <definedName name="EntericMethane_PastureBeef_Equations.VEERG_3_2_1_1__1_TotalAnnualMethaneFromEntericFermentation" localSheetId="28">_xlfn.LAMBDA(_xlpm.D_j,_xlpm.M_jkl,_xlpm.N_jkl, (_xlpm.D_j * _xlpm.M_jkl * _xlpm.N_jkl) * 10 ^ -3)</definedName>
    <definedName name="EntericMethane_PastureBeef_Equations.VEERG_3_2_1_1__1_TotalAnnualMethaneFromEntericFermentation" localSheetId="26">_xlfn.LAMBDA(_xlpm.D_j,_xlpm.M_jkl,_xlpm.N_jkl, (_xlpm.D_j * _xlpm.M_jkl * _xlpm.N_jkl) * 10 ^ -3)</definedName>
    <definedName name="EntericMethane_PastureBeef_Equations.VEERG_3_2_1_1__1_TotalAnnualMethaneFromEntericFermentation" localSheetId="4">_xlfn.LAMBDA(_xlpm.D_j,_xlpm.M_jkl,_xlpm.N_jkl, (_xlpm.D_j * _xlpm.M_jkl * _xlpm.N_jkl) * 10 ^ -3)</definedName>
    <definedName name="EntericMethane_PastureBeef_Equations.VEERG_3_2_1_1__1_TotalAnnualMethaneFromEntericFermentation" localSheetId="3">_xlfn.LAMBDA(_xlpm.D_j,_xlpm.M_jkl,_xlpm.N_jkl, (_xlpm.D_j * _xlpm.M_jkl * _xlpm.N_jkl) * 10 ^ -3)</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 localSheetId="10">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1">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2">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14">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2">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8">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26">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4">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 localSheetId="3">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 localSheetId="10">_xlfn.LAMBDA("E_{enteric}=\sum_{j}\sum_{k}\sum_{l}(D_j\times M_{jkl}\times N_{jkl})\times 10^{-3}")</definedName>
    <definedName name="EntericMethane_PastureBeef_Equations.VEERG_3_2_1_1__1_TotalAnnualMethaneFromEntericFermentation_LatexEquation" localSheetId="11">_xlfn.LAMBDA("E_{enteric}=\sum_{j}\sum_{k}\sum_{l}(D_j\times M_{jkl}\times N_{jkl})\times 10^{-3}")</definedName>
    <definedName name="EntericMethane_PastureBeef_Equations.VEERG_3_2_1_1__1_TotalAnnualMethaneFromEntericFermentation_LatexEquation" localSheetId="12">_xlfn.LAMBDA("E_{enteric}=\sum_{j}\sum_{k}\sum_{l}(D_j\times M_{jkl}\times N_{jkl})\times 10^{-3}")</definedName>
    <definedName name="EntericMethane_PastureBeef_Equations.VEERG_3_2_1_1__1_TotalAnnualMethaneFromEntericFermentation_LatexEquation" localSheetId="13">_xlfn.LAMBDA("E_{enteric}=\sum_{j}\sum_{k}\sum_{l}(D_j\times M_{jkl}\times N_{jkl})\times 10^{-3}")</definedName>
    <definedName name="EntericMethane_PastureBeef_Equations.VEERG_3_2_1_1__1_TotalAnnualMethaneFromEntericFermentation_LatexEquation" localSheetId="14">_xlfn.LAMBDA("E_{enteric}=\sum_{j}\sum_{k}\sum_{l}(D_j\times M_{jkl}\times N_{jkl})\times 10^{-3}")</definedName>
    <definedName name="EntericMethane_PastureBeef_Equations.VEERG_3_2_1_1__1_TotalAnnualMethaneFromEntericFermentation_LatexEquation" localSheetId="33">_xlfn.LAMBDA("E_{enteric}=\sum_{j}\sum_{k}\sum_{l}(D_j\times M_{jkl}\times N_{jkl})\times 10^{-3}")</definedName>
    <definedName name="EntericMethane_PastureBeef_Equations.VEERG_3_2_1_1__1_TotalAnnualMethaneFromEntericFermentation_LatexEquation" localSheetId="32">_xlfn.LAMBDA("E_{enteric}=\sum_{j}\sum_{k}\sum_{l}(D_j\times M_{jkl}\times N_{jkl})\times 10^{-3}")</definedName>
    <definedName name="EntericMethane_PastureBeef_Equations.VEERG_3_2_1_1__1_TotalAnnualMethaneFromEntericFermentation_LatexEquation" localSheetId="28">_xlfn.LAMBDA("E_{enteric}=\sum_{j}\sum_{k}\sum_{l}(D_j\times M_{jkl}\times N_{jkl})\times 10^{-3}")</definedName>
    <definedName name="EntericMethane_PastureBeef_Equations.VEERG_3_2_1_1__1_TotalAnnualMethaneFromEntericFermentation_LatexEquation" localSheetId="26">_xlfn.LAMBDA("E_{enteric}=\sum_{j}\sum_{k}\sum_{l}(D_j\times M_{jkl}\times N_{jkl})\times 10^{-3}")</definedName>
    <definedName name="EntericMethane_PastureBeef_Equations.VEERG_3_2_1_1__1_TotalAnnualMethaneFromEntericFermentation_LatexEquation" localSheetId="4">_xlfn.LAMBDA("E_{enteric}=\sum_{j}\sum_{k}\sum_{l}(D_j\times M_{jkl}\times N_{jkl})\times 10^{-3}")</definedName>
    <definedName name="EntericMethane_PastureBeef_Equations.VEERG_3_2_1_1__1_TotalAnnualMethaneFromEntericFermentation_LatexEquation" localSheetId="3">_xlfn.LAMBDA("E_{enteric}=\sum_{j}\sum_{k}\sum_{l}(D_j\times M_{jkl}\times N_{jkl})\times 10^{-3}")</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 localSheetId="10">_xlfn.LAMBDA("")</definedName>
    <definedName name="EntericMethane_PastureBeef_Equations.VEERG_3_2_1_1__1_TotalAnnualMethaneFromEntericFermentation_NIRReference" localSheetId="11">_xlfn.LAMBDA("")</definedName>
    <definedName name="EntericMethane_PastureBeef_Equations.VEERG_3_2_1_1__1_TotalAnnualMethaneFromEntericFermentation_NIRReference" localSheetId="12">_xlfn.LAMBDA("")</definedName>
    <definedName name="EntericMethane_PastureBeef_Equations.VEERG_3_2_1_1__1_TotalAnnualMethaneFromEntericFermentation_NIRReference" localSheetId="13">_xlfn.LAMBDA("")</definedName>
    <definedName name="EntericMethane_PastureBeef_Equations.VEERG_3_2_1_1__1_TotalAnnualMethaneFromEntericFermentation_NIRReference" localSheetId="14">_xlfn.LAMBDA("")</definedName>
    <definedName name="EntericMethane_PastureBeef_Equations.VEERG_3_2_1_1__1_TotalAnnualMethaneFromEntericFermentation_NIRReference" localSheetId="33">_xlfn.LAMBDA("")</definedName>
    <definedName name="EntericMethane_PastureBeef_Equations.VEERG_3_2_1_1__1_TotalAnnualMethaneFromEntericFermentation_NIRReference" localSheetId="32">_xlfn.LAMBDA("")</definedName>
    <definedName name="EntericMethane_PastureBeef_Equations.VEERG_3_2_1_1__1_TotalAnnualMethaneFromEntericFermentation_NIRReference" localSheetId="28">_xlfn.LAMBDA("")</definedName>
    <definedName name="EntericMethane_PastureBeef_Equations.VEERG_3_2_1_1__1_TotalAnnualMethaneFromEntericFermentation_NIRReference" localSheetId="26">_xlfn.LAMBDA("")</definedName>
    <definedName name="EntericMethane_PastureBeef_Equations.VEERG_3_2_1_1__1_TotalAnnualMethaneFromEntericFermentation_NIRReference" localSheetId="4">_xlfn.LAMBDA("")</definedName>
    <definedName name="EntericMethane_PastureBeef_Equations.VEERG_3_2_1_1__1_TotalAnnualMethaneFromEntericFermentation_NIRReference" localSheetId="3">_xlfn.LAMBDA("")</definedName>
    <definedName name="EntericMethane_PastureBeef_Equations.VEERG_3_2_1_1__1_TotalAnnualMethaneFromEntericFermentation_NIRReference">_xlfn.LAMBDA("")</definedName>
    <definedName name="EntericMethane_PastureBeef_Equations.VEERG_3_2_1_1__1_TotalAnnualMethaneFromEntericFermentation_Source" localSheetId="10">_xlfn.LAMBDA("VEERG 2026: 3.2.1.1, Equation (1)")</definedName>
    <definedName name="EntericMethane_PastureBeef_Equations.VEERG_3_2_1_1__1_TotalAnnualMethaneFromEntericFermentation_Source" localSheetId="11">_xlfn.LAMBDA("VEERG 2026: 3.2.1.1, Equation (1)")</definedName>
    <definedName name="EntericMethane_PastureBeef_Equations.VEERG_3_2_1_1__1_TotalAnnualMethaneFromEntericFermentation_Source" localSheetId="12">_xlfn.LAMBDA("VEERG 2026: 3.2.1.1, Equation (1)")</definedName>
    <definedName name="EntericMethane_PastureBeef_Equations.VEERG_3_2_1_1__1_TotalAnnualMethaneFromEntericFermentation_Source" localSheetId="13">_xlfn.LAMBDA("VEERG 2026: 3.2.1.1, Equation (1)")</definedName>
    <definedName name="EntericMethane_PastureBeef_Equations.VEERG_3_2_1_1__1_TotalAnnualMethaneFromEntericFermentation_Source" localSheetId="14">_xlfn.LAMBDA("VEERG 2026: 3.2.1.1, Equation (1)")</definedName>
    <definedName name="EntericMethane_PastureBeef_Equations.VEERG_3_2_1_1__1_TotalAnnualMethaneFromEntericFermentation_Source" localSheetId="33">_xlfn.LAMBDA("VEERG 2026: 3.2.1.1, Equation (1)")</definedName>
    <definedName name="EntericMethane_PastureBeef_Equations.VEERG_3_2_1_1__1_TotalAnnualMethaneFromEntericFermentation_Source" localSheetId="32">_xlfn.LAMBDA("VEERG 2026: 3.2.1.1, Equation (1)")</definedName>
    <definedName name="EntericMethane_PastureBeef_Equations.VEERG_3_2_1_1__1_TotalAnnualMethaneFromEntericFermentation_Source" localSheetId="28">_xlfn.LAMBDA("VEERG 2026: 3.2.1.1, Equation (1)")</definedName>
    <definedName name="EntericMethane_PastureBeef_Equations.VEERG_3_2_1_1__1_TotalAnnualMethaneFromEntericFermentation_Source" localSheetId="26">_xlfn.LAMBDA("VEERG 2026: 3.2.1.1, Equation (1)")</definedName>
    <definedName name="EntericMethane_PastureBeef_Equations.VEERG_3_2_1_1__1_TotalAnnualMethaneFromEntericFermentation_Source" localSheetId="4">_xlfn.LAMBDA("VEERG 2026: 3.2.1.1, Equation (1)")</definedName>
    <definedName name="EntericMethane_PastureBeef_Equations.VEERG_3_2_1_1__1_TotalAnnualMethaneFromEntericFermentation_Source" localSheetId="3">_xlfn.LAMBDA("VEERG 2026: 3.2.1.1, Equation (1)")</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 localSheetId="10">_xlfn.LAMBDA("Total annual methane production from enteric fermentation in grazing beef cattle")</definedName>
    <definedName name="EntericMethane_PastureBeef_Equations.VEERG_3_2_1_1__1_TotalAnnualMethaneFromEntericFermentation_Title" localSheetId="11">_xlfn.LAMBDA("Total annual methane production from enteric fermentation in grazing beef cattle")</definedName>
    <definedName name="EntericMethane_PastureBeef_Equations.VEERG_3_2_1_1__1_TotalAnnualMethaneFromEntericFermentation_Title" localSheetId="12">_xlfn.LAMBDA("Total annual methane production from enteric fermentation in grazing beef cattle")</definedName>
    <definedName name="EntericMethane_PastureBeef_Equations.VEERG_3_2_1_1__1_TotalAnnualMethaneFromEntericFermentation_Title" localSheetId="13">_xlfn.LAMBDA("Total annual methane production from enteric fermentation in grazing beef cattle")</definedName>
    <definedName name="EntericMethane_PastureBeef_Equations.VEERG_3_2_1_1__1_TotalAnnualMethaneFromEntericFermentation_Title" localSheetId="14">_xlfn.LAMBDA("Total annual methane production from enteric fermentation in grazing beef cattle")</definedName>
    <definedName name="EntericMethane_PastureBeef_Equations.VEERG_3_2_1_1__1_TotalAnnualMethaneFromEntericFermentation_Title" localSheetId="33">_xlfn.LAMBDA("Total annual methane production from enteric fermentation in grazing beef cattle")</definedName>
    <definedName name="EntericMethane_PastureBeef_Equations.VEERG_3_2_1_1__1_TotalAnnualMethaneFromEntericFermentation_Title" localSheetId="32">_xlfn.LAMBDA("Total annual methane production from enteric fermentation in grazing beef cattle")</definedName>
    <definedName name="EntericMethane_PastureBeef_Equations.VEERG_3_2_1_1__1_TotalAnnualMethaneFromEntericFermentation_Title" localSheetId="28">_xlfn.LAMBDA("Total annual methane production from enteric fermentation in grazing beef cattle")</definedName>
    <definedName name="EntericMethane_PastureBeef_Equations.VEERG_3_2_1_1__1_TotalAnnualMethaneFromEntericFermentation_Title" localSheetId="26">_xlfn.LAMBDA("Total annual methane production from enteric fermentation in grazing beef cattle")</definedName>
    <definedName name="EntericMethane_PastureBeef_Equations.VEERG_3_2_1_1__1_TotalAnnualMethaneFromEntericFermentation_Title" localSheetId="4">_xlfn.LAMBDA("Total annual methane production from enteric fermentation in grazing beef cattle")</definedName>
    <definedName name="EntericMethane_PastureBeef_Equations.VEERG_3_2_1_1__1_TotalAnnualMethaneFromEntericFermentation_Title" localSheetId="3">_xlfn.LAMBDA("Total annual methane production from enteric fermentation in grazing beef cattle")</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 localSheetId="10">_xlfn.LAMBDA("t CH4")</definedName>
    <definedName name="EntericMethane_PastureBeef_Equations.VEERG_3_2_1_1__1_TotalAnnualMethaneFromEntericFermentation_Unit" localSheetId="11">_xlfn.LAMBDA("t CH4")</definedName>
    <definedName name="EntericMethane_PastureBeef_Equations.VEERG_3_2_1_1__1_TotalAnnualMethaneFromEntericFermentation_Unit" localSheetId="12">_xlfn.LAMBDA("t CH4")</definedName>
    <definedName name="EntericMethane_PastureBeef_Equations.VEERG_3_2_1_1__1_TotalAnnualMethaneFromEntericFermentation_Unit" localSheetId="13">_xlfn.LAMBDA("t CH4")</definedName>
    <definedName name="EntericMethane_PastureBeef_Equations.VEERG_3_2_1_1__1_TotalAnnualMethaneFromEntericFermentation_Unit" localSheetId="14">_xlfn.LAMBDA("t CH4")</definedName>
    <definedName name="EntericMethane_PastureBeef_Equations.VEERG_3_2_1_1__1_TotalAnnualMethaneFromEntericFermentation_Unit" localSheetId="33">_xlfn.LAMBDA("t CH4")</definedName>
    <definedName name="EntericMethane_PastureBeef_Equations.VEERG_3_2_1_1__1_TotalAnnualMethaneFromEntericFermentation_Unit" localSheetId="32">_xlfn.LAMBDA("t CH4")</definedName>
    <definedName name="EntericMethane_PastureBeef_Equations.VEERG_3_2_1_1__1_TotalAnnualMethaneFromEntericFermentation_Unit" localSheetId="28">_xlfn.LAMBDA("t CH4")</definedName>
    <definedName name="EntericMethane_PastureBeef_Equations.VEERG_3_2_1_1__1_TotalAnnualMethaneFromEntericFermentation_Unit" localSheetId="26">_xlfn.LAMBDA("t CH4")</definedName>
    <definedName name="EntericMethane_PastureBeef_Equations.VEERG_3_2_1_1__1_TotalAnnualMethaneFromEntericFermentation_Unit" localSheetId="4">_xlfn.LAMBDA("t CH4")</definedName>
    <definedName name="EntericMethane_PastureBeef_Equations.VEERG_3_2_1_1__1_TotalAnnualMethaneFromEntericFermentation_Unit" localSheetId="3">_xlfn.LAMBDA("t CH4")</definedName>
    <definedName name="EntericMethane_PastureBeef_Equations.VEERG_3_2_1_1__1_TotalAnnualMethaneFromEntericFermentation_Unit">_xlfn.LAMBDA("t CH4")</definedName>
    <definedName name="EntericMethane_PastureBeef_Equations.VEERG_3_2_1_1__1_TotalAnnualMethaneFromEntericFermentation_Variable" localSheetId="10">_xlfn.LAMBDA("E_enteric")</definedName>
    <definedName name="EntericMethane_PastureBeef_Equations.VEERG_3_2_1_1__1_TotalAnnualMethaneFromEntericFermentation_Variable" localSheetId="11">_xlfn.LAMBDA("E_enteric")</definedName>
    <definedName name="EntericMethane_PastureBeef_Equations.VEERG_3_2_1_1__1_TotalAnnualMethaneFromEntericFermentation_Variable" localSheetId="12">_xlfn.LAMBDA("E_enteric")</definedName>
    <definedName name="EntericMethane_PastureBeef_Equations.VEERG_3_2_1_1__1_TotalAnnualMethaneFromEntericFermentation_Variable" localSheetId="13">_xlfn.LAMBDA("E_enteric")</definedName>
    <definedName name="EntericMethane_PastureBeef_Equations.VEERG_3_2_1_1__1_TotalAnnualMethaneFromEntericFermentation_Variable" localSheetId="14">_xlfn.LAMBDA("E_enteric")</definedName>
    <definedName name="EntericMethane_PastureBeef_Equations.VEERG_3_2_1_1__1_TotalAnnualMethaneFromEntericFermentation_Variable" localSheetId="33">_xlfn.LAMBDA("E_enteric")</definedName>
    <definedName name="EntericMethane_PastureBeef_Equations.VEERG_3_2_1_1__1_TotalAnnualMethaneFromEntericFermentation_Variable" localSheetId="32">_xlfn.LAMBDA("E_enteric")</definedName>
    <definedName name="EntericMethane_PastureBeef_Equations.VEERG_3_2_1_1__1_TotalAnnualMethaneFromEntericFermentation_Variable" localSheetId="28">_xlfn.LAMBDA("E_enteric")</definedName>
    <definedName name="EntericMethane_PastureBeef_Equations.VEERG_3_2_1_1__1_TotalAnnualMethaneFromEntericFermentation_Variable" localSheetId="26">_xlfn.LAMBDA("E_enteric")</definedName>
    <definedName name="EntericMethane_PastureBeef_Equations.VEERG_3_2_1_1__1_TotalAnnualMethaneFromEntericFermentation_Variable" localSheetId="4">_xlfn.LAMBDA("E_enteric")</definedName>
    <definedName name="EntericMethane_PastureBeef_Equations.VEERG_3_2_1_1__1_TotalAnnualMethaneFromEntericFermentation_Variable" localSheetId="3">_xlfn.LAMBDA("E_enteric")</definedName>
    <definedName name="EntericMethane_PastureBeef_Equations.VEERG_3_2_1_1__1_TotalAnnualMethaneFromEntericFermentation_Variable">_xlfn.LAMBDA("E_enteric")</definedName>
    <definedName name="EntericMethane_PastureBeef_Equations.VEERG_3_2_1_1__2_DailyEntericMethaneProduction" localSheetId="10">_xlfn.LAMBDA(_xlpm.I_jkl, 20.7 * _xlpm.I_jkl * 10 ^ -3)</definedName>
    <definedName name="EntericMethane_PastureBeef_Equations.VEERG_3_2_1_1__2_DailyEntericMethaneProduction" localSheetId="11">_xlfn.LAMBDA(_xlpm.I_jkl, 20.7 * _xlpm.I_jkl * 10 ^ -3)</definedName>
    <definedName name="EntericMethane_PastureBeef_Equations.VEERG_3_2_1_1__2_DailyEntericMethaneProduction" localSheetId="12">_xlfn.LAMBDA(_xlpm.I_jkl, 20.7 * _xlpm.I_jkl * 10 ^ -3)</definedName>
    <definedName name="EntericMethane_PastureBeef_Equations.VEERG_3_2_1_1__2_DailyEntericMethaneProduction" localSheetId="13">_xlfn.LAMBDA(_xlpm.I_jkl, 20.7 * _xlpm.I_jkl * 10 ^ -3)</definedName>
    <definedName name="EntericMethane_PastureBeef_Equations.VEERG_3_2_1_1__2_DailyEntericMethaneProduction" localSheetId="14">_xlfn.LAMBDA(_xlpm.I_jkl, 20.7 * _xlpm.I_jkl * 10 ^ -3)</definedName>
    <definedName name="EntericMethane_PastureBeef_Equations.VEERG_3_2_1_1__2_DailyEntericMethaneProduction" localSheetId="33">_xlfn.LAMBDA(_xlpm.I_jkl, 20.7 * _xlpm.I_jkl * 10 ^ -3)</definedName>
    <definedName name="EntericMethane_PastureBeef_Equations.VEERG_3_2_1_1__2_DailyEntericMethaneProduction" localSheetId="32">_xlfn.LAMBDA(_xlpm.I_jkl, 20.7 * _xlpm.I_jkl * 10 ^ -3)</definedName>
    <definedName name="EntericMethane_PastureBeef_Equations.VEERG_3_2_1_1__2_DailyEntericMethaneProduction" localSheetId="28">_xlfn.LAMBDA(_xlpm.I_jkl, 20.7 * _xlpm.I_jkl * 10 ^ -3)</definedName>
    <definedName name="EntericMethane_PastureBeef_Equations.VEERG_3_2_1_1__2_DailyEntericMethaneProduction" localSheetId="26">_xlfn.LAMBDA(_xlpm.I_jkl, 20.7 * _xlpm.I_jkl * 10 ^ -3)</definedName>
    <definedName name="EntericMethane_PastureBeef_Equations.VEERG_3_2_1_1__2_DailyEntericMethaneProduction" localSheetId="4">_xlfn.LAMBDA(_xlpm.I_jkl, 20.7 * _xlpm.I_jkl * 10 ^ -3)</definedName>
    <definedName name="EntericMethane_PastureBeef_Equations.VEERG_3_2_1_1__2_DailyEntericMethaneProduction" localSheetId="3">_xlfn.LAMBDA(_xlpm.I_jkl, 20.7 * _xlpm.I_jkl * 10 ^ -3)</definedName>
    <definedName name="EntericMethane_PastureBeef_Equations.VEERG_3_2_1_1__2_DailyEntericMethaneProduction">_xlfn.LAMBDA(_xlpm.I_jkl, 20.7 * _xlpm.I_jkl * 10 ^ -3)</definedName>
    <definedName name="EntericMethane_PastureBeef_Equations.VEERG_3_2_1_1__2_DailyEntericMethaneProduction_Arguments" localSheetId="10">_xlfn.LAMBDA(_xlfn.MAKEARRAY(1, 4, _xlfn.LAMBDA(_xlpm.r,_xlpm.c, INDEX({"I_jkl","dry matter intake","kg DM/head/day","Calculated from 3.2.1.1, (3)"}, _xlpm.r, _xlpm.c))))</definedName>
    <definedName name="EntericMethane_PastureBeef_Equations.VEERG_3_2_1_1__2_DailyEntericMethaneProduction_Arguments" localSheetId="11">_xlfn.LAMBDA(_xlfn.MAKEARRAY(1, 4, _xlfn.LAMBDA(_xlpm.r,_xlpm.c, INDEX({"I_jkl","dry matter intake","kg DM/head/day","Calculated from 3.2.1.1, (3)"}, _xlpm.r, _xlpm.c))))</definedName>
    <definedName name="EntericMethane_PastureBeef_Equations.VEERG_3_2_1_1__2_DailyEntericMethaneProduction_Arguments" localSheetId="12">_xlfn.LAMBDA(_xlfn.MAKEARRAY(1, 4, _xlfn.LAMBDA(_xlpm.r,_xlpm.c, INDEX({"I_jkl","dry matter intake","kg DM/head/day","Calculated from 3.2.1.1, (3)"}, _xlpm.r, _xlpm.c))))</definedName>
    <definedName name="EntericMethane_PastureBeef_Equations.VEERG_3_2_1_1__2_DailyEntericMethaneProduction_Arguments" localSheetId="13">_xlfn.LAMBDA(_xlfn.MAKEARRAY(1, 4, _xlfn.LAMBDA(_xlpm.r,_xlpm.c, INDEX({"I_jkl","dry matter intake","kg DM/head/day","Calculated from 3.2.1.1, (3)"}, _xlpm.r, _xlpm.c))))</definedName>
    <definedName name="EntericMethane_PastureBeef_Equations.VEERG_3_2_1_1__2_DailyEntericMethaneProduction_Arguments" localSheetId="14">_xlfn.LAMBDA(_xlfn.MAKEARRAY(1, 4, _xlfn.LAMBDA(_xlpm.r,_xlpm.c, INDEX({"I_jkl","dry matter intake","kg DM/head/day","Calculated from 3.2.1.1, (3)"}, _xlpm.r, _xlpm.c))))</definedName>
    <definedName name="EntericMethane_PastureBeef_Equations.VEERG_3_2_1_1__2_DailyEntericMethaneProduction_Arguments" localSheetId="33">_xlfn.LAMBDA(_xlfn.MAKEARRAY(1, 4, _xlfn.LAMBDA(_xlpm.r,_xlpm.c, INDEX({"I_jkl","dry matter intake","kg DM/head/day","Calculated from 3.2.1.1, (3)"}, _xlpm.r, _xlpm.c))))</definedName>
    <definedName name="EntericMethane_PastureBeef_Equations.VEERG_3_2_1_1__2_DailyEntericMethaneProduction_Arguments" localSheetId="32">_xlfn.LAMBDA(_xlfn.MAKEARRAY(1, 4, _xlfn.LAMBDA(_xlpm.r,_xlpm.c, INDEX({"I_jkl","dry matter intake","kg DM/head/day","Calculated from 3.2.1.1, (3)"}, _xlpm.r, _xlpm.c))))</definedName>
    <definedName name="EntericMethane_PastureBeef_Equations.VEERG_3_2_1_1__2_DailyEntericMethaneProduction_Arguments" localSheetId="28">_xlfn.LAMBDA(_xlfn.MAKEARRAY(1, 4, _xlfn.LAMBDA(_xlpm.r,_xlpm.c, INDEX({"I_jkl","dry matter intake","kg DM/head/day","Calculated from 3.2.1.1, (3)"}, _xlpm.r, _xlpm.c))))</definedName>
    <definedName name="EntericMethane_PastureBeef_Equations.VEERG_3_2_1_1__2_DailyEntericMethaneProduction_Arguments" localSheetId="26">_xlfn.LAMBDA(_xlfn.MAKEARRAY(1, 4, _xlfn.LAMBDA(_xlpm.r,_xlpm.c, INDEX({"I_jkl","dry matter intake","kg DM/head/day","Calculated from 3.2.1.1, (3)"}, _xlpm.r, _xlpm.c))))</definedName>
    <definedName name="EntericMethane_PastureBeef_Equations.VEERG_3_2_1_1__2_DailyEntericMethaneProduction_Arguments" localSheetId="4">_xlfn.LAMBDA(_xlfn.MAKEARRAY(1, 4, _xlfn.LAMBDA(_xlpm.r,_xlpm.c, INDEX({"I_jkl","dry matter intake","kg DM/head/day","Calculated from 3.2.1.1, (3)"}, _xlpm.r, _xlpm.c))))</definedName>
    <definedName name="EntericMethane_PastureBeef_Equations.VEERG_3_2_1_1__2_DailyEntericMethaneProduction_Arguments" localSheetId="3">_xlfn.LAMBDA(_xlfn.MAKEARRAY(1, 4, _xlfn.LAMBDA(_xlpm.r,_xlpm.c, INDEX({"I_jkl","dry matter intake","kg DM/head/day","Calculated from 3.2.1.1, (3)"}, _xlpm.r, _xlpm.c))))</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 localSheetId="10">_xlfn.LAMBDA("M_{jkl}=20.7\times I_{jkl}\times 10^{-3}")</definedName>
    <definedName name="EntericMethane_PastureBeef_Equations.VEERG_3_2_1_1__2_DailyEntericMethaneProduction_LatexEquation" localSheetId="11">_xlfn.LAMBDA("M_{jkl}=20.7\times I_{jkl}\times 10^{-3}")</definedName>
    <definedName name="EntericMethane_PastureBeef_Equations.VEERG_3_2_1_1__2_DailyEntericMethaneProduction_LatexEquation" localSheetId="12">_xlfn.LAMBDA("M_{jkl}=20.7\times I_{jkl}\times 10^{-3}")</definedName>
    <definedName name="EntericMethane_PastureBeef_Equations.VEERG_3_2_1_1__2_DailyEntericMethaneProduction_LatexEquation" localSheetId="13">_xlfn.LAMBDA("M_{jkl}=20.7\times I_{jkl}\times 10^{-3}")</definedName>
    <definedName name="EntericMethane_PastureBeef_Equations.VEERG_3_2_1_1__2_DailyEntericMethaneProduction_LatexEquation" localSheetId="14">_xlfn.LAMBDA("M_{jkl}=20.7\times I_{jkl}\times 10^{-3}")</definedName>
    <definedName name="EntericMethane_PastureBeef_Equations.VEERG_3_2_1_1__2_DailyEntericMethaneProduction_LatexEquation" localSheetId="33">_xlfn.LAMBDA("M_{jkl}=20.7\times I_{jkl}\times 10^{-3}")</definedName>
    <definedName name="EntericMethane_PastureBeef_Equations.VEERG_3_2_1_1__2_DailyEntericMethaneProduction_LatexEquation" localSheetId="32">_xlfn.LAMBDA("M_{jkl}=20.7\times I_{jkl}\times 10^{-3}")</definedName>
    <definedName name="EntericMethane_PastureBeef_Equations.VEERG_3_2_1_1__2_DailyEntericMethaneProduction_LatexEquation" localSheetId="28">_xlfn.LAMBDA("M_{jkl}=20.7\times I_{jkl}\times 10^{-3}")</definedName>
    <definedName name="EntericMethane_PastureBeef_Equations.VEERG_3_2_1_1__2_DailyEntericMethaneProduction_LatexEquation" localSheetId="26">_xlfn.LAMBDA("M_{jkl}=20.7\times I_{jkl}\times 10^{-3}")</definedName>
    <definedName name="EntericMethane_PastureBeef_Equations.VEERG_3_2_1_1__2_DailyEntericMethaneProduction_LatexEquation" localSheetId="4">_xlfn.LAMBDA("M_{jkl}=20.7\times I_{jkl}\times 10^{-3}")</definedName>
    <definedName name="EntericMethane_PastureBeef_Equations.VEERG_3_2_1_1__2_DailyEntericMethaneProduction_LatexEquation" localSheetId="3">_xlfn.LAMBDA("M_{jkl}=20.7\times I_{jkl}\times 10^{-3}")</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 localSheetId="10">_xlfn.LAMBDA("Charmley et al. (2015)")</definedName>
    <definedName name="EntericMethane_PastureBeef_Equations.VEERG_3_2_1_1__2_DailyEntericMethaneProduction_NIRReference" localSheetId="11">_xlfn.LAMBDA("Charmley et al. (2015)")</definedName>
    <definedName name="EntericMethane_PastureBeef_Equations.VEERG_3_2_1_1__2_DailyEntericMethaneProduction_NIRReference" localSheetId="12">_xlfn.LAMBDA("Charmley et al. (2015)")</definedName>
    <definedName name="EntericMethane_PastureBeef_Equations.VEERG_3_2_1_1__2_DailyEntericMethaneProduction_NIRReference" localSheetId="13">_xlfn.LAMBDA("Charmley et al. (2015)")</definedName>
    <definedName name="EntericMethane_PastureBeef_Equations.VEERG_3_2_1_1__2_DailyEntericMethaneProduction_NIRReference" localSheetId="14">_xlfn.LAMBDA("Charmley et al. (2015)")</definedName>
    <definedName name="EntericMethane_PastureBeef_Equations.VEERG_3_2_1_1__2_DailyEntericMethaneProduction_NIRReference" localSheetId="33">_xlfn.LAMBDA("Charmley et al. (2015)")</definedName>
    <definedName name="EntericMethane_PastureBeef_Equations.VEERG_3_2_1_1__2_DailyEntericMethaneProduction_NIRReference" localSheetId="32">_xlfn.LAMBDA("Charmley et al. (2015)")</definedName>
    <definedName name="EntericMethane_PastureBeef_Equations.VEERG_3_2_1_1__2_DailyEntericMethaneProduction_NIRReference" localSheetId="28">_xlfn.LAMBDA("Charmley et al. (2015)")</definedName>
    <definedName name="EntericMethane_PastureBeef_Equations.VEERG_3_2_1_1__2_DailyEntericMethaneProduction_NIRReference" localSheetId="26">_xlfn.LAMBDA("Charmley et al. (2015)")</definedName>
    <definedName name="EntericMethane_PastureBeef_Equations.VEERG_3_2_1_1__2_DailyEntericMethaneProduction_NIRReference" localSheetId="4">_xlfn.LAMBDA("Charmley et al. (2015)")</definedName>
    <definedName name="EntericMethane_PastureBeef_Equations.VEERG_3_2_1_1__2_DailyEntericMethaneProduction_NIRReference" localSheetId="3">_xlfn.LAMBDA("Charmley et al. (2015)")</definedName>
    <definedName name="EntericMethane_PastureBeef_Equations.VEERG_3_2_1_1__2_DailyEntericMethaneProduction_NIRReference">_xlfn.LAMBDA("Charmley et al. (2015)")</definedName>
    <definedName name="EntericMethane_PastureBeef_Equations.VEERG_3_2_1_1__2_DailyEntericMethaneProduction_Source" localSheetId="10">_xlfn.LAMBDA("VEERG 2026: 3.2.1.1, Equation (2)")</definedName>
    <definedName name="EntericMethane_PastureBeef_Equations.VEERG_3_2_1_1__2_DailyEntericMethaneProduction_Source" localSheetId="11">_xlfn.LAMBDA("VEERG 2026: 3.2.1.1, Equation (2)")</definedName>
    <definedName name="EntericMethane_PastureBeef_Equations.VEERG_3_2_1_1__2_DailyEntericMethaneProduction_Source" localSheetId="12">_xlfn.LAMBDA("VEERG 2026: 3.2.1.1, Equation (2)")</definedName>
    <definedName name="EntericMethane_PastureBeef_Equations.VEERG_3_2_1_1__2_DailyEntericMethaneProduction_Source" localSheetId="13">_xlfn.LAMBDA("VEERG 2026: 3.2.1.1, Equation (2)")</definedName>
    <definedName name="EntericMethane_PastureBeef_Equations.VEERG_3_2_1_1__2_DailyEntericMethaneProduction_Source" localSheetId="14">_xlfn.LAMBDA("VEERG 2026: 3.2.1.1, Equation (2)")</definedName>
    <definedName name="EntericMethane_PastureBeef_Equations.VEERG_3_2_1_1__2_DailyEntericMethaneProduction_Source" localSheetId="33">_xlfn.LAMBDA("VEERG 2026: 3.2.1.1, Equation (2)")</definedName>
    <definedName name="EntericMethane_PastureBeef_Equations.VEERG_3_2_1_1__2_DailyEntericMethaneProduction_Source" localSheetId="32">_xlfn.LAMBDA("VEERG 2026: 3.2.1.1, Equation (2)")</definedName>
    <definedName name="EntericMethane_PastureBeef_Equations.VEERG_3_2_1_1__2_DailyEntericMethaneProduction_Source" localSheetId="28">_xlfn.LAMBDA("VEERG 2026: 3.2.1.1, Equation (2)")</definedName>
    <definedName name="EntericMethane_PastureBeef_Equations.VEERG_3_2_1_1__2_DailyEntericMethaneProduction_Source" localSheetId="26">_xlfn.LAMBDA("VEERG 2026: 3.2.1.1, Equation (2)")</definedName>
    <definedName name="EntericMethane_PastureBeef_Equations.VEERG_3_2_1_1__2_DailyEntericMethaneProduction_Source" localSheetId="4">_xlfn.LAMBDA("VEERG 2026: 3.2.1.1, Equation (2)")</definedName>
    <definedName name="EntericMethane_PastureBeef_Equations.VEERG_3_2_1_1__2_DailyEntericMethaneProduction_Source" localSheetId="3">_xlfn.LAMBDA("VEERG 2026: 3.2.1.1, Equation (2)")</definedName>
    <definedName name="EntericMethane_PastureBeef_Equations.VEERG_3_2_1_1__2_DailyEntericMethaneProduction_Source">_xlfn.LAMBDA("VEERG 2026: 3.2.1.1, Equation (2)")</definedName>
    <definedName name="EntericMethane_PastureBeef_Equations.VEERG_3_2_1_1__2_DailyEntericMethaneProduction_Title" localSheetId="10">_xlfn.LAMBDA("Daily production of enteric methane")</definedName>
    <definedName name="EntericMethane_PastureBeef_Equations.VEERG_3_2_1_1__2_DailyEntericMethaneProduction_Title" localSheetId="11">_xlfn.LAMBDA("Daily production of enteric methane")</definedName>
    <definedName name="EntericMethane_PastureBeef_Equations.VEERG_3_2_1_1__2_DailyEntericMethaneProduction_Title" localSheetId="12">_xlfn.LAMBDA("Daily production of enteric methane")</definedName>
    <definedName name="EntericMethane_PastureBeef_Equations.VEERG_3_2_1_1__2_DailyEntericMethaneProduction_Title" localSheetId="13">_xlfn.LAMBDA("Daily production of enteric methane")</definedName>
    <definedName name="EntericMethane_PastureBeef_Equations.VEERG_3_2_1_1__2_DailyEntericMethaneProduction_Title" localSheetId="14">_xlfn.LAMBDA("Daily production of enteric methane")</definedName>
    <definedName name="EntericMethane_PastureBeef_Equations.VEERG_3_2_1_1__2_DailyEntericMethaneProduction_Title" localSheetId="33">_xlfn.LAMBDA("Daily production of enteric methane")</definedName>
    <definedName name="EntericMethane_PastureBeef_Equations.VEERG_3_2_1_1__2_DailyEntericMethaneProduction_Title" localSheetId="32">_xlfn.LAMBDA("Daily production of enteric methane")</definedName>
    <definedName name="EntericMethane_PastureBeef_Equations.VEERG_3_2_1_1__2_DailyEntericMethaneProduction_Title" localSheetId="28">_xlfn.LAMBDA("Daily production of enteric methane")</definedName>
    <definedName name="EntericMethane_PastureBeef_Equations.VEERG_3_2_1_1__2_DailyEntericMethaneProduction_Title" localSheetId="26">_xlfn.LAMBDA("Daily production of enteric methane")</definedName>
    <definedName name="EntericMethane_PastureBeef_Equations.VEERG_3_2_1_1__2_DailyEntericMethaneProduction_Title" localSheetId="4">_xlfn.LAMBDA("Daily production of enteric methane")</definedName>
    <definedName name="EntericMethane_PastureBeef_Equations.VEERG_3_2_1_1__2_DailyEntericMethaneProduction_Title" localSheetId="3">_xlfn.LAMBDA("Daily production of enteric methane")</definedName>
    <definedName name="EntericMethane_PastureBeef_Equations.VEERG_3_2_1_1__2_DailyEntericMethaneProduction_Title">_xlfn.LAMBDA("Daily production of enteric methane")</definedName>
    <definedName name="EntericMethane_PastureBeef_Equations.VEERG_3_2_1_1__2_DailyEntericMethaneProduction_Unit" localSheetId="10">_xlfn.LAMBDA("kg CH4/head/day")</definedName>
    <definedName name="EntericMethane_PastureBeef_Equations.VEERG_3_2_1_1__2_DailyEntericMethaneProduction_Unit" localSheetId="11">_xlfn.LAMBDA("kg CH4/head/day")</definedName>
    <definedName name="EntericMethane_PastureBeef_Equations.VEERG_3_2_1_1__2_DailyEntericMethaneProduction_Unit" localSheetId="12">_xlfn.LAMBDA("kg CH4/head/day")</definedName>
    <definedName name="EntericMethane_PastureBeef_Equations.VEERG_3_2_1_1__2_DailyEntericMethaneProduction_Unit" localSheetId="13">_xlfn.LAMBDA("kg CH4/head/day")</definedName>
    <definedName name="EntericMethane_PastureBeef_Equations.VEERG_3_2_1_1__2_DailyEntericMethaneProduction_Unit" localSheetId="14">_xlfn.LAMBDA("kg CH4/head/day")</definedName>
    <definedName name="EntericMethane_PastureBeef_Equations.VEERG_3_2_1_1__2_DailyEntericMethaneProduction_Unit" localSheetId="33">_xlfn.LAMBDA("kg CH4/head/day")</definedName>
    <definedName name="EntericMethane_PastureBeef_Equations.VEERG_3_2_1_1__2_DailyEntericMethaneProduction_Unit" localSheetId="32">_xlfn.LAMBDA("kg CH4/head/day")</definedName>
    <definedName name="EntericMethane_PastureBeef_Equations.VEERG_3_2_1_1__2_DailyEntericMethaneProduction_Unit" localSheetId="28">_xlfn.LAMBDA("kg CH4/head/day")</definedName>
    <definedName name="EntericMethane_PastureBeef_Equations.VEERG_3_2_1_1__2_DailyEntericMethaneProduction_Unit" localSheetId="26">_xlfn.LAMBDA("kg CH4/head/day")</definedName>
    <definedName name="EntericMethane_PastureBeef_Equations.VEERG_3_2_1_1__2_DailyEntericMethaneProduction_Unit" localSheetId="4">_xlfn.LAMBDA("kg CH4/head/day")</definedName>
    <definedName name="EntericMethane_PastureBeef_Equations.VEERG_3_2_1_1__2_DailyEntericMethaneProduction_Unit" localSheetId="3">_xlfn.LAMBDA("kg CH4/head/day")</definedName>
    <definedName name="EntericMethane_PastureBeef_Equations.VEERG_3_2_1_1__2_DailyEntericMethaneProduction_Unit">_xlfn.LAMBDA("kg CH4/head/day")</definedName>
    <definedName name="EntericMethane_PastureBeef_Equations.VEERG_3_2_1_1__2_DailyEntericMethaneProduction_Variable" localSheetId="10">_xlfn.LAMBDA("M_jkl")</definedName>
    <definedName name="EntericMethane_PastureBeef_Equations.VEERG_3_2_1_1__2_DailyEntericMethaneProduction_Variable" localSheetId="11">_xlfn.LAMBDA("M_jkl")</definedName>
    <definedName name="EntericMethane_PastureBeef_Equations.VEERG_3_2_1_1__2_DailyEntericMethaneProduction_Variable" localSheetId="12">_xlfn.LAMBDA("M_jkl")</definedName>
    <definedName name="EntericMethane_PastureBeef_Equations.VEERG_3_2_1_1__2_DailyEntericMethaneProduction_Variable" localSheetId="13">_xlfn.LAMBDA("M_jkl")</definedName>
    <definedName name="EntericMethane_PastureBeef_Equations.VEERG_3_2_1_1__2_DailyEntericMethaneProduction_Variable" localSheetId="14">_xlfn.LAMBDA("M_jkl")</definedName>
    <definedName name="EntericMethane_PastureBeef_Equations.VEERG_3_2_1_1__2_DailyEntericMethaneProduction_Variable" localSheetId="33">_xlfn.LAMBDA("M_jkl")</definedName>
    <definedName name="EntericMethane_PastureBeef_Equations.VEERG_3_2_1_1__2_DailyEntericMethaneProduction_Variable" localSheetId="32">_xlfn.LAMBDA("M_jkl")</definedName>
    <definedName name="EntericMethane_PastureBeef_Equations.VEERG_3_2_1_1__2_DailyEntericMethaneProduction_Variable" localSheetId="28">_xlfn.LAMBDA("M_jkl")</definedName>
    <definedName name="EntericMethane_PastureBeef_Equations.VEERG_3_2_1_1__2_DailyEntericMethaneProduction_Variable" localSheetId="26">_xlfn.LAMBDA("M_jkl")</definedName>
    <definedName name="EntericMethane_PastureBeef_Equations.VEERG_3_2_1_1__2_DailyEntericMethaneProduction_Variable" localSheetId="4">_xlfn.LAMBDA("M_jkl")</definedName>
    <definedName name="EntericMethane_PastureBeef_Equations.VEERG_3_2_1_1__2_DailyEntericMethaneProduction_Variable" localSheetId="3">_xlfn.LAMBDA("M_jkl")</definedName>
    <definedName name="EntericMethane_PastureBeef_Equations.VEERG_3_2_1_1__2_DailyEntericMethaneProduction_Variable">_xlfn.LAMBDA("M_jkl")</definedName>
    <definedName name="EntericMethane_PastureBeef_Equations.VEERG_3_2_1_1__3_FeedIntakeForGrazingBeef" localSheetId="10">_xlfn.LAMBDA(_xlpm.W_jkl,_xlpm.LWG_jkl,_xlpm.MA_jk45, (1.185 + 0.00454 * _xlpm.W_jkl - 0.0000026 * _xlpm.W_jkl ^ 2 + 0.315 * _xlpm.LWG_jkl) ^ 2 * _xlpm.MA_jk45)</definedName>
    <definedName name="EntericMethane_PastureBeef_Equations.VEERG_3_2_1_1__3_FeedIntakeForGrazingBeef" localSheetId="11">_xlfn.LAMBDA(_xlpm.W_jkl,_xlpm.LWG_jkl,_xlpm.MA_jk45, (1.185 + 0.00454 * _xlpm.W_jkl - 0.0000026 * _xlpm.W_jkl ^ 2 + 0.315 * _xlpm.LWG_jkl) ^ 2 * _xlpm.MA_jk45)</definedName>
    <definedName name="EntericMethane_PastureBeef_Equations.VEERG_3_2_1_1__3_FeedIntakeForGrazingBeef" localSheetId="12">_xlfn.LAMBDA(_xlpm.W_jkl,_xlpm.LWG_jkl,_xlpm.MA_jk45, (1.185 + 0.00454 * _xlpm.W_jkl - 0.0000026 * _xlpm.W_jkl ^ 2 + 0.315 * _xlpm.LWG_jkl) ^ 2 * _xlpm.MA_jk45)</definedName>
    <definedName name="EntericMethane_PastureBeef_Equations.VEERG_3_2_1_1__3_FeedIntakeForGrazingBeef" localSheetId="13">_xlfn.LAMBDA(_xlpm.W_jkl,_xlpm.LWG_jkl,_xlpm.MA_jk45, (1.185 + 0.00454 * _xlpm.W_jkl - 0.0000026 * _xlpm.W_jkl ^ 2 + 0.315 * _xlpm.LWG_jkl) ^ 2 * _xlpm.MA_jk45)</definedName>
    <definedName name="EntericMethane_PastureBeef_Equations.VEERG_3_2_1_1__3_FeedIntakeForGrazingBeef" localSheetId="14">_xlfn.LAMBDA(_xlpm.W_jkl,_xlpm.LWG_jkl,_xlpm.MA_jk45, (1.185 + 0.00454 * _xlpm.W_jkl - 0.0000026 * _xlpm.W_jkl ^ 2 + 0.315 * _xlpm.LWG_jkl) ^ 2 * _xlpm.MA_jk45)</definedName>
    <definedName name="EntericMethane_PastureBeef_Equations.VEERG_3_2_1_1__3_FeedIntakeForGrazingBeef" localSheetId="33">_xlfn.LAMBDA(_xlpm.W_jkl,_xlpm.LWG_jkl,_xlpm.MA_jk45, (1.185 + 0.00454 * _xlpm.W_jkl - 0.0000026 * _xlpm.W_jkl ^ 2 + 0.315 * _xlpm.LWG_jkl) ^ 2 * _xlpm.MA_jk45)</definedName>
    <definedName name="EntericMethane_PastureBeef_Equations.VEERG_3_2_1_1__3_FeedIntakeForGrazingBeef" localSheetId="32">_xlfn.LAMBDA(_xlpm.W_jkl,_xlpm.LWG_jkl,_xlpm.MA_jk45, (1.185 + 0.00454 * _xlpm.W_jkl - 0.0000026 * _xlpm.W_jkl ^ 2 + 0.315 * _xlpm.LWG_jkl) ^ 2 * _xlpm.MA_jk45)</definedName>
    <definedName name="EntericMethane_PastureBeef_Equations.VEERG_3_2_1_1__3_FeedIntakeForGrazingBeef" localSheetId="28">_xlfn.LAMBDA(_xlpm.W_jkl,_xlpm.LWG_jkl,_xlpm.MA_jk45, (1.185 + 0.00454 * _xlpm.W_jkl - 0.0000026 * _xlpm.W_jkl ^ 2 + 0.315 * _xlpm.LWG_jkl) ^ 2 * _xlpm.MA_jk45)</definedName>
    <definedName name="EntericMethane_PastureBeef_Equations.VEERG_3_2_1_1__3_FeedIntakeForGrazingBeef" localSheetId="26">_xlfn.LAMBDA(_xlpm.W_jkl,_xlpm.LWG_jkl,_xlpm.MA_jk45, (1.185 + 0.00454 * _xlpm.W_jkl - 0.0000026 * _xlpm.W_jkl ^ 2 + 0.315 * _xlpm.LWG_jkl) ^ 2 * _xlpm.MA_jk45)</definedName>
    <definedName name="EntericMethane_PastureBeef_Equations.VEERG_3_2_1_1__3_FeedIntakeForGrazingBeef" localSheetId="4">_xlfn.LAMBDA(_xlpm.W_jkl,_xlpm.LWG_jkl,_xlpm.MA_jk45, (1.185 + 0.00454 * _xlpm.W_jkl - 0.0000026 * _xlpm.W_jkl ^ 2 + 0.315 * _xlpm.LWG_jkl) ^ 2 * _xlpm.MA_jk45)</definedName>
    <definedName name="EntericMethane_PastureBeef_Equations.VEERG_3_2_1_1__3_FeedIntakeForGrazingBeef" localSheetId="3">_xlfn.LAMBDA(_xlpm.W_jkl,_xlpm.LWG_jkl,_xlpm.MA_jk45, (1.185 + 0.00454 * _xlpm.W_jkl - 0.0000026 * _xlpm.W_jkl ^ 2 + 0.315 * _xlpm.LWG_jkl) ^ 2 * _xlpm.MA_jk45)</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 localSheetId="10">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1">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2">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14">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2">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8">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26">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4">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 localSheetId="3">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 localSheetId="10">_xlfn.LAMBDA("I_{jkl}=(1.185+0.00454\times W_{jkl}-0.0000026\times W_{jkl}^{2}+0.315\times LWG_{jkl})^2\times MA_{jk=4,5}")</definedName>
    <definedName name="EntericMethane_PastureBeef_Equations.VEERG_3_2_1_1__3_FeedIntakeForGrazingBeef_LatexEquation" localSheetId="11">_xlfn.LAMBDA("I_{jkl}=(1.185+0.00454\times W_{jkl}-0.0000026\times W_{jkl}^{2}+0.315\times LWG_{jkl})^2\times MA_{jk=4,5}")</definedName>
    <definedName name="EntericMethane_PastureBeef_Equations.VEERG_3_2_1_1__3_FeedIntakeForGrazingBeef_LatexEquation" localSheetId="12">_xlfn.LAMBDA("I_{jkl}=(1.185+0.00454\times W_{jkl}-0.0000026\times W_{jkl}^{2}+0.315\times LWG_{jkl})^2\times MA_{jk=4,5}")</definedName>
    <definedName name="EntericMethane_PastureBeef_Equations.VEERG_3_2_1_1__3_FeedIntakeForGrazingBeef_LatexEquation" localSheetId="13">_xlfn.LAMBDA("I_{jkl}=(1.185+0.00454\times W_{jkl}-0.0000026\times W_{jkl}^{2}+0.315\times LWG_{jkl})^2\times MA_{jk=4,5}")</definedName>
    <definedName name="EntericMethane_PastureBeef_Equations.VEERG_3_2_1_1__3_FeedIntakeForGrazingBeef_LatexEquation" localSheetId="14">_xlfn.LAMBDA("I_{jkl}=(1.185+0.00454\times W_{jkl}-0.0000026\times W_{jkl}^{2}+0.315\times LWG_{jkl})^2\times MA_{jk=4,5}")</definedName>
    <definedName name="EntericMethane_PastureBeef_Equations.VEERG_3_2_1_1__3_FeedIntakeForGrazingBeef_LatexEquation" localSheetId="33">_xlfn.LAMBDA("I_{jkl}=(1.185+0.00454\times W_{jkl}-0.0000026\times W_{jkl}^{2}+0.315\times LWG_{jkl})^2\times MA_{jk=4,5}")</definedName>
    <definedName name="EntericMethane_PastureBeef_Equations.VEERG_3_2_1_1__3_FeedIntakeForGrazingBeef_LatexEquation" localSheetId="32">_xlfn.LAMBDA("I_{jkl}=(1.185+0.00454\times W_{jkl}-0.0000026\times W_{jkl}^{2}+0.315\times LWG_{jkl})^2\times MA_{jk=4,5}")</definedName>
    <definedName name="EntericMethane_PastureBeef_Equations.VEERG_3_2_1_1__3_FeedIntakeForGrazingBeef_LatexEquation" localSheetId="28">_xlfn.LAMBDA("I_{jkl}=(1.185+0.00454\times W_{jkl}-0.0000026\times W_{jkl}^{2}+0.315\times LWG_{jkl})^2\times MA_{jk=4,5}")</definedName>
    <definedName name="EntericMethane_PastureBeef_Equations.VEERG_3_2_1_1__3_FeedIntakeForGrazingBeef_LatexEquation" localSheetId="26">_xlfn.LAMBDA("I_{jkl}=(1.185+0.00454\times W_{jkl}-0.0000026\times W_{jkl}^{2}+0.315\times LWG_{jkl})^2\times MA_{jk=4,5}")</definedName>
    <definedName name="EntericMethane_PastureBeef_Equations.VEERG_3_2_1_1__3_FeedIntakeForGrazingBeef_LatexEquation" localSheetId="4">_xlfn.LAMBDA("I_{jkl}=(1.185+0.00454\times W_{jkl}-0.0000026\times W_{jkl}^{2}+0.315\times LWG_{jkl})^2\times MA_{jk=4,5}")</definedName>
    <definedName name="EntericMethane_PastureBeef_Equations.VEERG_3_2_1_1__3_FeedIntakeForGrazingBeef_LatexEquation" localSheetId="3">_xlfn.LAMBDA("I_{jkl}=(1.185+0.00454\times W_{jkl}-0.0000026\times W_{jkl}^{2}+0.315\times LWG_{jkl})^2\times MA_{jk=4,5}")</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 localSheetId="10">_xlfn.LAMBDA("Minson and McDonald (1987)")</definedName>
    <definedName name="EntericMethane_PastureBeef_Equations.VEERG_3_2_1_1__3_FeedIntakeForGrazingBeef_NIRReference" localSheetId="11">_xlfn.LAMBDA("Minson and McDonald (1987)")</definedName>
    <definedName name="EntericMethane_PastureBeef_Equations.VEERG_3_2_1_1__3_FeedIntakeForGrazingBeef_NIRReference" localSheetId="12">_xlfn.LAMBDA("Minson and McDonald (1987)")</definedName>
    <definedName name="EntericMethane_PastureBeef_Equations.VEERG_3_2_1_1__3_FeedIntakeForGrazingBeef_NIRReference" localSheetId="13">_xlfn.LAMBDA("Minson and McDonald (1987)")</definedName>
    <definedName name="EntericMethane_PastureBeef_Equations.VEERG_3_2_1_1__3_FeedIntakeForGrazingBeef_NIRReference" localSheetId="14">_xlfn.LAMBDA("Minson and McDonald (1987)")</definedName>
    <definedName name="EntericMethane_PastureBeef_Equations.VEERG_3_2_1_1__3_FeedIntakeForGrazingBeef_NIRReference" localSheetId="33">_xlfn.LAMBDA("Minson and McDonald (1987)")</definedName>
    <definedName name="EntericMethane_PastureBeef_Equations.VEERG_3_2_1_1__3_FeedIntakeForGrazingBeef_NIRReference" localSheetId="32">_xlfn.LAMBDA("Minson and McDonald (1987)")</definedName>
    <definedName name="EntericMethane_PastureBeef_Equations.VEERG_3_2_1_1__3_FeedIntakeForGrazingBeef_NIRReference" localSheetId="28">_xlfn.LAMBDA("Minson and McDonald (1987)")</definedName>
    <definedName name="EntericMethane_PastureBeef_Equations.VEERG_3_2_1_1__3_FeedIntakeForGrazingBeef_NIRReference" localSheetId="26">_xlfn.LAMBDA("Minson and McDonald (1987)")</definedName>
    <definedName name="EntericMethane_PastureBeef_Equations.VEERG_3_2_1_1__3_FeedIntakeForGrazingBeef_NIRReference" localSheetId="4">_xlfn.LAMBDA("Minson and McDonald (1987)")</definedName>
    <definedName name="EntericMethane_PastureBeef_Equations.VEERG_3_2_1_1__3_FeedIntakeForGrazingBeef_NIRReference" localSheetId="3">_xlfn.LAMBDA("Minson and McDonald (1987)")</definedName>
    <definedName name="EntericMethane_PastureBeef_Equations.VEERG_3_2_1_1__3_FeedIntakeForGrazingBeef_NIRReference">_xlfn.LAMBDA("Minson and McDonald (1987)")</definedName>
    <definedName name="EntericMethane_PastureBeef_Equations.VEERG_3_2_1_1__3_FeedIntakeForGrazingBeef_Source" localSheetId="10">_xlfn.LAMBDA("VEERG 2026: 3.2.1.1, Equation (3)")</definedName>
    <definedName name="EntericMethane_PastureBeef_Equations.VEERG_3_2_1_1__3_FeedIntakeForGrazingBeef_Source" localSheetId="11">_xlfn.LAMBDA("VEERG 2026: 3.2.1.1, Equation (3)")</definedName>
    <definedName name="EntericMethane_PastureBeef_Equations.VEERG_3_2_1_1__3_FeedIntakeForGrazingBeef_Source" localSheetId="12">_xlfn.LAMBDA("VEERG 2026: 3.2.1.1, Equation (3)")</definedName>
    <definedName name="EntericMethane_PastureBeef_Equations.VEERG_3_2_1_1__3_FeedIntakeForGrazingBeef_Source" localSheetId="13">_xlfn.LAMBDA("VEERG 2026: 3.2.1.1, Equation (3)")</definedName>
    <definedName name="EntericMethane_PastureBeef_Equations.VEERG_3_2_1_1__3_FeedIntakeForGrazingBeef_Source" localSheetId="14">_xlfn.LAMBDA("VEERG 2026: 3.2.1.1, Equation (3)")</definedName>
    <definedName name="EntericMethane_PastureBeef_Equations.VEERG_3_2_1_1__3_FeedIntakeForGrazingBeef_Source" localSheetId="33">_xlfn.LAMBDA("VEERG 2026: 3.2.1.1, Equation (3)")</definedName>
    <definedName name="EntericMethane_PastureBeef_Equations.VEERG_3_2_1_1__3_FeedIntakeForGrazingBeef_Source" localSheetId="32">_xlfn.LAMBDA("VEERG 2026: 3.2.1.1, Equation (3)")</definedName>
    <definedName name="EntericMethane_PastureBeef_Equations.VEERG_3_2_1_1__3_FeedIntakeForGrazingBeef_Source" localSheetId="28">_xlfn.LAMBDA("VEERG 2026: 3.2.1.1, Equation (3)")</definedName>
    <definedName name="EntericMethane_PastureBeef_Equations.VEERG_3_2_1_1__3_FeedIntakeForGrazingBeef_Source" localSheetId="26">_xlfn.LAMBDA("VEERG 2026: 3.2.1.1, Equation (3)")</definedName>
    <definedName name="EntericMethane_PastureBeef_Equations.VEERG_3_2_1_1__3_FeedIntakeForGrazingBeef_Source" localSheetId="4">_xlfn.LAMBDA("VEERG 2026: 3.2.1.1, Equation (3)")</definedName>
    <definedName name="EntericMethane_PastureBeef_Equations.VEERG_3_2_1_1__3_FeedIntakeForGrazingBeef_Source" localSheetId="3">_xlfn.LAMBDA("VEERG 2026: 3.2.1.1, Equation (3)")</definedName>
    <definedName name="EntericMethane_PastureBeef_Equations.VEERG_3_2_1_1__3_FeedIntakeForGrazingBeef_Source">_xlfn.LAMBDA("VEERG 2026: 3.2.1.1, Equation (3)")</definedName>
    <definedName name="EntericMethane_PastureBeef_Equations.VEERG_3_2_1_1__3_FeedIntakeForGrazingBeef_Title" localSheetId="10">_xlfn.LAMBDA("Feed intake for grazing beef cattle")</definedName>
    <definedName name="EntericMethane_PastureBeef_Equations.VEERG_3_2_1_1__3_FeedIntakeForGrazingBeef_Title" localSheetId="11">_xlfn.LAMBDA("Feed intake for grazing beef cattle")</definedName>
    <definedName name="EntericMethane_PastureBeef_Equations.VEERG_3_2_1_1__3_FeedIntakeForGrazingBeef_Title" localSheetId="12">_xlfn.LAMBDA("Feed intake for grazing beef cattle")</definedName>
    <definedName name="EntericMethane_PastureBeef_Equations.VEERG_3_2_1_1__3_FeedIntakeForGrazingBeef_Title" localSheetId="13">_xlfn.LAMBDA("Feed intake for grazing beef cattle")</definedName>
    <definedName name="EntericMethane_PastureBeef_Equations.VEERG_3_2_1_1__3_FeedIntakeForGrazingBeef_Title" localSheetId="14">_xlfn.LAMBDA("Feed intake for grazing beef cattle")</definedName>
    <definedName name="EntericMethane_PastureBeef_Equations.VEERG_3_2_1_1__3_FeedIntakeForGrazingBeef_Title" localSheetId="33">_xlfn.LAMBDA("Feed intake for grazing beef cattle")</definedName>
    <definedName name="EntericMethane_PastureBeef_Equations.VEERG_3_2_1_1__3_FeedIntakeForGrazingBeef_Title" localSheetId="32">_xlfn.LAMBDA("Feed intake for grazing beef cattle")</definedName>
    <definedName name="EntericMethane_PastureBeef_Equations.VEERG_3_2_1_1__3_FeedIntakeForGrazingBeef_Title" localSheetId="28">_xlfn.LAMBDA("Feed intake for grazing beef cattle")</definedName>
    <definedName name="EntericMethane_PastureBeef_Equations.VEERG_3_2_1_1__3_FeedIntakeForGrazingBeef_Title" localSheetId="26">_xlfn.LAMBDA("Feed intake for grazing beef cattle")</definedName>
    <definedName name="EntericMethane_PastureBeef_Equations.VEERG_3_2_1_1__3_FeedIntakeForGrazingBeef_Title" localSheetId="4">_xlfn.LAMBDA("Feed intake for grazing beef cattle")</definedName>
    <definedName name="EntericMethane_PastureBeef_Equations.VEERG_3_2_1_1__3_FeedIntakeForGrazingBeef_Title" localSheetId="3">_xlfn.LAMBDA("Feed intake for grazing beef cattle")</definedName>
    <definedName name="EntericMethane_PastureBeef_Equations.VEERG_3_2_1_1__3_FeedIntakeForGrazingBeef_Title">_xlfn.LAMBDA("Feed intake for grazing beef cattle")</definedName>
    <definedName name="EntericMethane_PastureBeef_Equations.VEERG_3_2_1_1__3_FeedIntakeForGrazingBeef_Unit" localSheetId="10">_xlfn.LAMBDA("kg DM/head/day")</definedName>
    <definedName name="EntericMethane_PastureBeef_Equations.VEERG_3_2_1_1__3_FeedIntakeForGrazingBeef_Unit" localSheetId="11">_xlfn.LAMBDA("kg DM/head/day")</definedName>
    <definedName name="EntericMethane_PastureBeef_Equations.VEERG_3_2_1_1__3_FeedIntakeForGrazingBeef_Unit" localSheetId="12">_xlfn.LAMBDA("kg DM/head/day")</definedName>
    <definedName name="EntericMethane_PastureBeef_Equations.VEERG_3_2_1_1__3_FeedIntakeForGrazingBeef_Unit" localSheetId="13">_xlfn.LAMBDA("kg DM/head/day")</definedName>
    <definedName name="EntericMethane_PastureBeef_Equations.VEERG_3_2_1_1__3_FeedIntakeForGrazingBeef_Unit" localSheetId="14">_xlfn.LAMBDA("kg DM/head/day")</definedName>
    <definedName name="EntericMethane_PastureBeef_Equations.VEERG_3_2_1_1__3_FeedIntakeForGrazingBeef_Unit" localSheetId="33">_xlfn.LAMBDA("kg DM/head/day")</definedName>
    <definedName name="EntericMethane_PastureBeef_Equations.VEERG_3_2_1_1__3_FeedIntakeForGrazingBeef_Unit" localSheetId="32">_xlfn.LAMBDA("kg DM/head/day")</definedName>
    <definedName name="EntericMethane_PastureBeef_Equations.VEERG_3_2_1_1__3_FeedIntakeForGrazingBeef_Unit" localSheetId="28">_xlfn.LAMBDA("kg DM/head/day")</definedName>
    <definedName name="EntericMethane_PastureBeef_Equations.VEERG_3_2_1_1__3_FeedIntakeForGrazingBeef_Unit" localSheetId="26">_xlfn.LAMBDA("kg DM/head/day")</definedName>
    <definedName name="EntericMethane_PastureBeef_Equations.VEERG_3_2_1_1__3_FeedIntakeForGrazingBeef_Unit" localSheetId="4">_xlfn.LAMBDA("kg DM/head/day")</definedName>
    <definedName name="EntericMethane_PastureBeef_Equations.VEERG_3_2_1_1__3_FeedIntakeForGrazingBeef_Unit" localSheetId="3">_xlfn.LAMBDA("kg DM/head/day")</definedName>
    <definedName name="EntericMethane_PastureBeef_Equations.VEERG_3_2_1_1__3_FeedIntakeForGrazingBeef_Unit">_xlfn.LAMBDA("kg DM/head/day")</definedName>
    <definedName name="EntericMethane_PastureBeef_Equations.VEERG_3_2_1_1__3_FeedIntakeForGrazingBeef_Variable" localSheetId="10">_xlfn.LAMBDA("I_jkl")</definedName>
    <definedName name="EntericMethane_PastureBeef_Equations.VEERG_3_2_1_1__3_FeedIntakeForGrazingBeef_Variable" localSheetId="11">_xlfn.LAMBDA("I_jkl")</definedName>
    <definedName name="EntericMethane_PastureBeef_Equations.VEERG_3_2_1_1__3_FeedIntakeForGrazingBeef_Variable" localSheetId="12">_xlfn.LAMBDA("I_jkl")</definedName>
    <definedName name="EntericMethane_PastureBeef_Equations.VEERG_3_2_1_1__3_FeedIntakeForGrazingBeef_Variable" localSheetId="13">_xlfn.LAMBDA("I_jkl")</definedName>
    <definedName name="EntericMethane_PastureBeef_Equations.VEERG_3_2_1_1__3_FeedIntakeForGrazingBeef_Variable" localSheetId="14">_xlfn.LAMBDA("I_jkl")</definedName>
    <definedName name="EntericMethane_PastureBeef_Equations.VEERG_3_2_1_1__3_FeedIntakeForGrazingBeef_Variable" localSheetId="33">_xlfn.LAMBDA("I_jkl")</definedName>
    <definedName name="EntericMethane_PastureBeef_Equations.VEERG_3_2_1_1__3_FeedIntakeForGrazingBeef_Variable" localSheetId="32">_xlfn.LAMBDA("I_jkl")</definedName>
    <definedName name="EntericMethane_PastureBeef_Equations.VEERG_3_2_1_1__3_FeedIntakeForGrazingBeef_Variable" localSheetId="28">_xlfn.LAMBDA("I_jkl")</definedName>
    <definedName name="EntericMethane_PastureBeef_Equations.VEERG_3_2_1_1__3_FeedIntakeForGrazingBeef_Variable" localSheetId="26">_xlfn.LAMBDA("I_jkl")</definedName>
    <definedName name="EntericMethane_PastureBeef_Equations.VEERG_3_2_1_1__3_FeedIntakeForGrazingBeef_Variable" localSheetId="4">_xlfn.LAMBDA("I_jkl")</definedName>
    <definedName name="EntericMethane_PastureBeef_Equations.VEERG_3_2_1_1__3_FeedIntakeForGrazingBeef_Variable" localSheetId="3">_xlfn.LAMBDA("I_jkl")</definedName>
    <definedName name="EntericMethane_PastureBeef_Equations.VEERG_3_2_1_1__3_FeedIntakeForGrazingBeef_Variable">_xlfn.LAMBDA("I_jkl")</definedName>
    <definedName name="EntericMethane_PastureBeef_Equations.VEERG_3_2_1_1__4_AdditionalIntakeForMilkProduction" localSheetId="10">_xlfn.LAMBDA(_xlpm.LC_jk45,_xlpm.FA_jk45, (_xlpm.LC_jk45 * _xlpm.FA_jk45) + (1 - _xlpm.LC_jk45))</definedName>
    <definedName name="EntericMethane_PastureBeef_Equations.VEERG_3_2_1_1__4_AdditionalIntakeForMilkProduction" localSheetId="11">_xlfn.LAMBDA(_xlpm.LC_jk45,_xlpm.FA_jk45, (_xlpm.LC_jk45 * _xlpm.FA_jk45) + (1 - _xlpm.LC_jk45))</definedName>
    <definedName name="EntericMethane_PastureBeef_Equations.VEERG_3_2_1_1__4_AdditionalIntakeForMilkProduction" localSheetId="12">_xlfn.LAMBDA(_xlpm.LC_jk45,_xlpm.FA_jk45, (_xlpm.LC_jk45 * _xlpm.FA_jk45) + (1 - _xlpm.LC_jk45))</definedName>
    <definedName name="EntericMethane_PastureBeef_Equations.VEERG_3_2_1_1__4_AdditionalIntakeForMilkProduction" localSheetId="13">_xlfn.LAMBDA(_xlpm.LC_jk45,_xlpm.FA_jk45, (_xlpm.LC_jk45 * _xlpm.FA_jk45) + (1 - _xlpm.LC_jk45))</definedName>
    <definedName name="EntericMethane_PastureBeef_Equations.VEERG_3_2_1_1__4_AdditionalIntakeForMilkProduction" localSheetId="14">_xlfn.LAMBDA(_xlpm.LC_jk45,_xlpm.FA_jk45, (_xlpm.LC_jk45 * _xlpm.FA_jk45) + (1 - _xlpm.LC_jk45))</definedName>
    <definedName name="EntericMethane_PastureBeef_Equations.VEERG_3_2_1_1__4_AdditionalIntakeForMilkProduction" localSheetId="33">_xlfn.LAMBDA(_xlpm.LC_jk45,_xlpm.FA_jk45, (_xlpm.LC_jk45 * _xlpm.FA_jk45) + (1 - _xlpm.LC_jk45))</definedName>
    <definedName name="EntericMethane_PastureBeef_Equations.VEERG_3_2_1_1__4_AdditionalIntakeForMilkProduction" localSheetId="32">_xlfn.LAMBDA(_xlpm.LC_jk45,_xlpm.FA_jk45, (_xlpm.LC_jk45 * _xlpm.FA_jk45) + (1 - _xlpm.LC_jk45))</definedName>
    <definedName name="EntericMethane_PastureBeef_Equations.VEERG_3_2_1_1__4_AdditionalIntakeForMilkProduction" localSheetId="28">_xlfn.LAMBDA(_xlpm.LC_jk45,_xlpm.FA_jk45, (_xlpm.LC_jk45 * _xlpm.FA_jk45) + (1 - _xlpm.LC_jk45))</definedName>
    <definedName name="EntericMethane_PastureBeef_Equations.VEERG_3_2_1_1__4_AdditionalIntakeForMilkProduction" localSheetId="26">_xlfn.LAMBDA(_xlpm.LC_jk45,_xlpm.FA_jk45, (_xlpm.LC_jk45 * _xlpm.FA_jk45) + (1 - _xlpm.LC_jk45))</definedName>
    <definedName name="EntericMethane_PastureBeef_Equations.VEERG_3_2_1_1__4_AdditionalIntakeForMilkProduction" localSheetId="4">_xlfn.LAMBDA(_xlpm.LC_jk45,_xlpm.FA_jk45, (_xlpm.LC_jk45 * _xlpm.FA_jk45) + (1 - _xlpm.LC_jk45))</definedName>
    <definedName name="EntericMethane_PastureBeef_Equations.VEERG_3_2_1_1__4_AdditionalIntakeForMilkProduction" localSheetId="3">_xlfn.LAMBDA(_xlpm.LC_jk45,_xlpm.FA_jk45, (_xlpm.LC_jk45 * _xlpm.FA_jk45) + (1 - _xlpm.LC_jk45))</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 localSheetId="10">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1">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2">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14">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2">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8">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26">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4">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 localSheetId="3">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 localSheetId="10">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1">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2">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14">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2">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8">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26">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4">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 localSheetId="3">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 localSheetId="10">_xlfn.LAMBDA("MA_{jk=4,5}=(LC_{jk=4,5}\times FA_{jk=4,5})+(1-LC_{jk=4,5})")</definedName>
    <definedName name="EntericMethane_PastureBeef_Equations.VEERG_3_2_1_1__4_AdditionalIntakeForMilkProduction_LatexEquation" localSheetId="11">_xlfn.LAMBDA("MA_{jk=4,5}=(LC_{jk=4,5}\times FA_{jk=4,5})+(1-LC_{jk=4,5})")</definedName>
    <definedName name="EntericMethane_PastureBeef_Equations.VEERG_3_2_1_1__4_AdditionalIntakeForMilkProduction_LatexEquation" localSheetId="12">_xlfn.LAMBDA("MA_{jk=4,5}=(LC_{jk=4,5}\times FA_{jk=4,5})+(1-LC_{jk=4,5})")</definedName>
    <definedName name="EntericMethane_PastureBeef_Equations.VEERG_3_2_1_1__4_AdditionalIntakeForMilkProduction_LatexEquation" localSheetId="13">_xlfn.LAMBDA("MA_{jk=4,5}=(LC_{jk=4,5}\times FA_{jk=4,5})+(1-LC_{jk=4,5})")</definedName>
    <definedName name="EntericMethane_PastureBeef_Equations.VEERG_3_2_1_1__4_AdditionalIntakeForMilkProduction_LatexEquation" localSheetId="14">_xlfn.LAMBDA("MA_{jk=4,5}=(LC_{jk=4,5}\times FA_{jk=4,5})+(1-LC_{jk=4,5})")</definedName>
    <definedName name="EntericMethane_PastureBeef_Equations.VEERG_3_2_1_1__4_AdditionalIntakeForMilkProduction_LatexEquation" localSheetId="33">_xlfn.LAMBDA("MA_{jk=4,5}=(LC_{jk=4,5}\times FA_{jk=4,5})+(1-LC_{jk=4,5})")</definedName>
    <definedName name="EntericMethane_PastureBeef_Equations.VEERG_3_2_1_1__4_AdditionalIntakeForMilkProduction_LatexEquation" localSheetId="32">_xlfn.LAMBDA("MA_{jk=4,5}=(LC_{jk=4,5}\times FA_{jk=4,5})+(1-LC_{jk=4,5})")</definedName>
    <definedName name="EntericMethane_PastureBeef_Equations.VEERG_3_2_1_1__4_AdditionalIntakeForMilkProduction_LatexEquation" localSheetId="28">_xlfn.LAMBDA("MA_{jk=4,5}=(LC_{jk=4,5}\times FA_{jk=4,5})+(1-LC_{jk=4,5})")</definedName>
    <definedName name="EntericMethane_PastureBeef_Equations.VEERG_3_2_1_1__4_AdditionalIntakeForMilkProduction_LatexEquation" localSheetId="26">_xlfn.LAMBDA("MA_{jk=4,5}=(LC_{jk=4,5}\times FA_{jk=4,5})+(1-LC_{jk=4,5})")</definedName>
    <definedName name="EntericMethane_PastureBeef_Equations.VEERG_3_2_1_1__4_AdditionalIntakeForMilkProduction_LatexEquation" localSheetId="4">_xlfn.LAMBDA("MA_{jk=4,5}=(LC_{jk=4,5}\times FA_{jk=4,5})+(1-LC_{jk=4,5})")</definedName>
    <definedName name="EntericMethane_PastureBeef_Equations.VEERG_3_2_1_1__4_AdditionalIntakeForMilkProduction_LatexEquation" localSheetId="3">_xlfn.LAMBDA("MA_{jk=4,5}=(LC_{jk=4,5}\times FA_{jk=4,5})+(1-LC_{jk=4,5})")</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 localSheetId="10">_xlfn.LAMBDA("MA_{jk=4,5}=((LC_{jk=4,5}\times FA_{jk=4,5,calv})+(LC_{jk=4,5}\times FA_{jk=4,5,after}))+(1-(LC_{jk=4,5}+LC_{jk=4,5}))")</definedName>
    <definedName name="EntericMethane_PastureBeef_Equations.VEERG_3_2_1_1__4_AdditionalIntakeForMilkProduction_LatexEquationVariation" localSheetId="11">_xlfn.LAMBDA("MA_{jk=4,5}=((LC_{jk=4,5,calv}\times FA_{jk=4,5,calv})+(LC_{jk=4,5,prev}\times FA_{jk=4,5,after}))+(1-(LC_{jk=4,5,calv}+LC_{jk=4,5,prev}))")</definedName>
    <definedName name="EntericMethane_PastureBeef_Equations.VEERG_3_2_1_1__4_AdditionalIntakeForMilkProduction_LatexEquationVariation" localSheetId="12">_xlfn.LAMBDA("MA_{jk=4,5}=((LC_{jk=4,5,calv}\times FA_{jk=4,5,calv})+(LC_{jk=4,5,prev}\times FA_{jk=4,5,after}))+(1-(LC_{jk=4,5,calv}+LC_{jk=4,5,prev}))")</definedName>
    <definedName name="EntericMethane_PastureBeef_Equations.VEERG_3_2_1_1__4_AdditionalIntakeForMilkProduction_LatexEquationVariation" localSheetId="13">_xlfn.LAMBDA("MA_{jk=4,5}=((LC_{jk=4,5,calv}\times FA_{jk=4,5,calv})+(LC_{jk=4,5,prev}\times FA_{jk=4,5,after}))+(1-(LC_{jk=4,5,calv}+LC_{jk=4,5,prev}))")</definedName>
    <definedName name="EntericMethane_PastureBeef_Equations.VEERG_3_2_1_1__4_AdditionalIntakeForMilkProduction_LatexEquationVariation" localSheetId="14">_xlfn.LAMBDA("MA_{jk=4,5}=((LC_{jk=4,5,calv}\times FA_{jk=4,5,calv})+(LC_{jk=4,5,prev}\times FA_{jk=4,5,after}))+(1-(LC_{jk=4,5,calv}+LC_{jk=4,5,prev}))")</definedName>
    <definedName name="EntericMethane_PastureBeef_Equations.VEERG_3_2_1_1__4_AdditionalIntakeForMilkProduction_LatexEquationVariation" localSheetId="33">_xlfn.LAMBDA("MA_{jk=4,5}=((LC_{jk=4,5}\times FA_{jk=4,5,calv})+(LC_{jk=4,5}\times FA_{jk=4,5,after}))+(1-(LC_{jk=4,5}+LC_{jk=4,5}))")</definedName>
    <definedName name="EntericMethane_PastureBeef_Equations.VEERG_3_2_1_1__4_AdditionalIntakeForMilkProduction_LatexEquationVariation" localSheetId="32">_xlfn.LAMBDA("MA_{jk=4,5}=((LC_{jk=4,5}\times FA_{jk=4,5,calv})+(LC_{jk=4,5}\times FA_{jk=4,5,after}))+(1-(LC_{jk=4,5}+LC_{jk=4,5}))")</definedName>
    <definedName name="EntericMethane_PastureBeef_Equations.VEERG_3_2_1_1__4_AdditionalIntakeForMilkProduction_LatexEquationVariation" localSheetId="28">_xlfn.LAMBDA("MA_{jk=4,5}=((LC_{jk=4,5}\times FA_{jk=4,5,calv})+(LC_{jk=4,5}\times FA_{jk=4,5,after}))+(1-(LC_{jk=4,5}+LC_{jk=4,5}))")</definedName>
    <definedName name="EntericMethane_PastureBeef_Equations.VEERG_3_2_1_1__4_AdditionalIntakeForMilkProduction_LatexEquationVariation" localSheetId="26">_xlfn.LAMBDA("MA_{jk=4,5}=((LC_{jk=4,5}\times FA_{jk=4,5,calv})+(LC_{jk=4,5}\times FA_{jk=4,5,after}))+(1-(LC_{jk=4,5}+LC_{jk=4,5}))")</definedName>
    <definedName name="EntericMethane_PastureBeef_Equations.VEERG_3_2_1_1__4_AdditionalIntakeForMilkProduction_LatexEquationVariation" localSheetId="4">_xlfn.LAMBDA("MA_{jk=4,5}=((LC_{jk=4,5,calv}\times FA_{jk=4,5,calv})+(LC_{jk=4,5,prev}\times FA_{jk=4,5,after}))+(1-(LC_{jk=4,5,calv}+LC_{jk=4,5,prev}))")</definedName>
    <definedName name="EntericMethane_PastureBeef_Equations.VEERG_3_2_1_1__4_AdditionalIntakeForMilkProduction_LatexEquationVariation" localSheetId="3">_xlfn.LAMBDA("MA_{jk=4,5}=((LC_{jk=4,5,calv}\times FA_{jk=4,5,calv})+(LC_{jk=4,5,prev}\times FA_{jk=4,5,after}))+(1-(LC_{jk=4,5,calv}+LC_{jk=4,5,prev}))")</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 localSheetId="10">_xlfn.LAMBDA("")</definedName>
    <definedName name="EntericMethane_PastureBeef_Equations.VEERG_3_2_1_1__4_AdditionalIntakeForMilkProduction_NIRReference" localSheetId="11">_xlfn.LAMBDA("")</definedName>
    <definedName name="EntericMethane_PastureBeef_Equations.VEERG_3_2_1_1__4_AdditionalIntakeForMilkProduction_NIRReference" localSheetId="12">_xlfn.LAMBDA("")</definedName>
    <definedName name="EntericMethane_PastureBeef_Equations.VEERG_3_2_1_1__4_AdditionalIntakeForMilkProduction_NIRReference" localSheetId="13">_xlfn.LAMBDA("")</definedName>
    <definedName name="EntericMethane_PastureBeef_Equations.VEERG_3_2_1_1__4_AdditionalIntakeForMilkProduction_NIRReference" localSheetId="14">_xlfn.LAMBDA("")</definedName>
    <definedName name="EntericMethane_PastureBeef_Equations.VEERG_3_2_1_1__4_AdditionalIntakeForMilkProduction_NIRReference" localSheetId="33">_xlfn.LAMBDA("")</definedName>
    <definedName name="EntericMethane_PastureBeef_Equations.VEERG_3_2_1_1__4_AdditionalIntakeForMilkProduction_NIRReference" localSheetId="32">_xlfn.LAMBDA("")</definedName>
    <definedName name="EntericMethane_PastureBeef_Equations.VEERG_3_2_1_1__4_AdditionalIntakeForMilkProduction_NIRReference" localSheetId="28">_xlfn.LAMBDA("")</definedName>
    <definedName name="EntericMethane_PastureBeef_Equations.VEERG_3_2_1_1__4_AdditionalIntakeForMilkProduction_NIRReference" localSheetId="26">_xlfn.LAMBDA("")</definedName>
    <definedName name="EntericMethane_PastureBeef_Equations.VEERG_3_2_1_1__4_AdditionalIntakeForMilkProduction_NIRReference" localSheetId="4">_xlfn.LAMBDA("")</definedName>
    <definedName name="EntericMethane_PastureBeef_Equations.VEERG_3_2_1_1__4_AdditionalIntakeForMilkProduction_NIRReference" localSheetId="3">_xlfn.LAMBDA("")</definedName>
    <definedName name="EntericMethane_PastureBeef_Equations.VEERG_3_2_1_1__4_AdditionalIntakeForMilkProduction_NIRReference">_xlfn.LAMBDA("")</definedName>
    <definedName name="EntericMethane_PastureBeef_Equations.VEERG_3_2_1_1__4_AdditionalIntakeForMilkProduction_Source" localSheetId="10">_xlfn.LAMBDA("VEERG 2026: 3.2.1.1, Equation (4)")</definedName>
    <definedName name="EntericMethane_PastureBeef_Equations.VEERG_3_2_1_1__4_AdditionalIntakeForMilkProduction_Source" localSheetId="11">_xlfn.LAMBDA("VEERG 2026: 3.2.1.1, Equation (4)")</definedName>
    <definedName name="EntericMethane_PastureBeef_Equations.VEERG_3_2_1_1__4_AdditionalIntakeForMilkProduction_Source" localSheetId="12">_xlfn.LAMBDA("VEERG 2026: 3.2.1.1, Equation (4)")</definedName>
    <definedName name="EntericMethane_PastureBeef_Equations.VEERG_3_2_1_1__4_AdditionalIntakeForMilkProduction_Source" localSheetId="13">_xlfn.LAMBDA("VEERG 2026: 3.2.1.1, Equation (4)")</definedName>
    <definedName name="EntericMethane_PastureBeef_Equations.VEERG_3_2_1_1__4_AdditionalIntakeForMilkProduction_Source" localSheetId="14">_xlfn.LAMBDA("VEERG 2026: 3.2.1.1, Equation (4)")</definedName>
    <definedName name="EntericMethane_PastureBeef_Equations.VEERG_3_2_1_1__4_AdditionalIntakeForMilkProduction_Source" localSheetId="33">_xlfn.LAMBDA("VEERG 2026: 3.2.1.1, Equation (4)")</definedName>
    <definedName name="EntericMethane_PastureBeef_Equations.VEERG_3_2_1_1__4_AdditionalIntakeForMilkProduction_Source" localSheetId="32">_xlfn.LAMBDA("VEERG 2026: 3.2.1.1, Equation (4)")</definedName>
    <definedName name="EntericMethane_PastureBeef_Equations.VEERG_3_2_1_1__4_AdditionalIntakeForMilkProduction_Source" localSheetId="28">_xlfn.LAMBDA("VEERG 2026: 3.2.1.1, Equation (4)")</definedName>
    <definedName name="EntericMethane_PastureBeef_Equations.VEERG_3_2_1_1__4_AdditionalIntakeForMilkProduction_Source" localSheetId="26">_xlfn.LAMBDA("VEERG 2026: 3.2.1.1, Equation (4)")</definedName>
    <definedName name="EntericMethane_PastureBeef_Equations.VEERG_3_2_1_1__4_AdditionalIntakeForMilkProduction_Source" localSheetId="4">_xlfn.LAMBDA("VEERG 2026: 3.2.1.1, Equation (4)")</definedName>
    <definedName name="EntericMethane_PastureBeef_Equations.VEERG_3_2_1_1__4_AdditionalIntakeForMilkProduction_Source" localSheetId="3">_xlfn.LAMBDA("VEERG 2026: 3.2.1.1, Equation (4)")</definedName>
    <definedName name="EntericMethane_PastureBeef_Equations.VEERG_3_2_1_1__4_AdditionalIntakeForMilkProduction_Source">_xlfn.LAMBDA("VEERG 2026: 3.2.1.1, Equation (4)")</definedName>
    <definedName name="EntericMethane_PastureBeef_Equations.VEERG_3_2_1_1__4_AdditionalIntakeForMilkProduction_Title" localSheetId="10">_xlfn.LAMBDA("Additional intake for milk production in the season of calving and the season after calving")</definedName>
    <definedName name="EntericMethane_PastureBeef_Equations.VEERG_3_2_1_1__4_AdditionalIntakeForMilkProduction_Title" localSheetId="11">_xlfn.LAMBDA("Additional intake for milk production in the season of calving and the season after calving")</definedName>
    <definedName name="EntericMethane_PastureBeef_Equations.VEERG_3_2_1_1__4_AdditionalIntakeForMilkProduction_Title" localSheetId="12">_xlfn.LAMBDA("Additional intake for milk production in the season of calving and the season after calving")</definedName>
    <definedName name="EntericMethane_PastureBeef_Equations.VEERG_3_2_1_1__4_AdditionalIntakeForMilkProduction_Title" localSheetId="13">_xlfn.LAMBDA("Additional intake for milk production in the season of calving and the season after calving")</definedName>
    <definedName name="EntericMethane_PastureBeef_Equations.VEERG_3_2_1_1__4_AdditionalIntakeForMilkProduction_Title" localSheetId="14">_xlfn.LAMBDA("Additional intake for milk production in the season of calving and the season after calving")</definedName>
    <definedName name="EntericMethane_PastureBeef_Equations.VEERG_3_2_1_1__4_AdditionalIntakeForMilkProduction_Title" localSheetId="33">_xlfn.LAMBDA("Additional intake for milk production in the season of calving and the season after calving")</definedName>
    <definedName name="EntericMethane_PastureBeef_Equations.VEERG_3_2_1_1__4_AdditionalIntakeForMilkProduction_Title" localSheetId="32">_xlfn.LAMBDA("Additional intake for milk production in the season of calving and the season after calving")</definedName>
    <definedName name="EntericMethane_PastureBeef_Equations.VEERG_3_2_1_1__4_AdditionalIntakeForMilkProduction_Title" localSheetId="28">_xlfn.LAMBDA("Additional intake for milk production in the season of calving and the season after calving")</definedName>
    <definedName name="EntericMethane_PastureBeef_Equations.VEERG_3_2_1_1__4_AdditionalIntakeForMilkProduction_Title" localSheetId="26">_xlfn.LAMBDA("Additional intake for milk production in the season of calving and the season after calving")</definedName>
    <definedName name="EntericMethane_PastureBeef_Equations.VEERG_3_2_1_1__4_AdditionalIntakeForMilkProduction_Title" localSheetId="4">_xlfn.LAMBDA("Additional intake for milk production in the season of calving and the season after calving")</definedName>
    <definedName name="EntericMethane_PastureBeef_Equations.VEERG_3_2_1_1__4_AdditionalIntakeForMilkProduction_Title" localSheetId="3">_xlfn.LAMBDA("Additional intake for milk production in the season of calving and the season after calving")</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 localSheetId="10">_xlfn.LAMBDA("fraction")</definedName>
    <definedName name="EntericMethane_PastureBeef_Equations.VEERG_3_2_1_1__4_AdditionalIntakeForMilkProduction_Unit" localSheetId="11">_xlfn.LAMBDA("fraction")</definedName>
    <definedName name="EntericMethane_PastureBeef_Equations.VEERG_3_2_1_1__4_AdditionalIntakeForMilkProduction_Unit" localSheetId="12">_xlfn.LAMBDA("fraction")</definedName>
    <definedName name="EntericMethane_PastureBeef_Equations.VEERG_3_2_1_1__4_AdditionalIntakeForMilkProduction_Unit" localSheetId="13">_xlfn.LAMBDA("fraction")</definedName>
    <definedName name="EntericMethane_PastureBeef_Equations.VEERG_3_2_1_1__4_AdditionalIntakeForMilkProduction_Unit" localSheetId="14">_xlfn.LAMBDA("fraction")</definedName>
    <definedName name="EntericMethane_PastureBeef_Equations.VEERG_3_2_1_1__4_AdditionalIntakeForMilkProduction_Unit" localSheetId="33">_xlfn.LAMBDA("fraction")</definedName>
    <definedName name="EntericMethane_PastureBeef_Equations.VEERG_3_2_1_1__4_AdditionalIntakeForMilkProduction_Unit" localSheetId="32">_xlfn.LAMBDA("fraction")</definedName>
    <definedName name="EntericMethane_PastureBeef_Equations.VEERG_3_2_1_1__4_AdditionalIntakeForMilkProduction_Unit" localSheetId="28">_xlfn.LAMBDA("fraction")</definedName>
    <definedName name="EntericMethane_PastureBeef_Equations.VEERG_3_2_1_1__4_AdditionalIntakeForMilkProduction_Unit" localSheetId="26">_xlfn.LAMBDA("fraction")</definedName>
    <definedName name="EntericMethane_PastureBeef_Equations.VEERG_3_2_1_1__4_AdditionalIntakeForMilkProduction_Unit" localSheetId="4">_xlfn.LAMBDA("fraction")</definedName>
    <definedName name="EntericMethane_PastureBeef_Equations.VEERG_3_2_1_1__4_AdditionalIntakeForMilkProduction_Unit" localSheetId="3">_xlfn.LAMBDA("fraction")</definedName>
    <definedName name="EntericMethane_PastureBeef_Equations.VEERG_3_2_1_1__4_AdditionalIntakeForMilkProduction_Unit">_xlfn.LAMBDA("fraction")</definedName>
    <definedName name="EntericMethane_PastureBeef_Equations.VEERG_3_2_1_1__4_AdditionalIntakeForMilkProduction_Variable" localSheetId="10">_xlfn.LAMBDA("MA_jk45")</definedName>
    <definedName name="EntericMethane_PastureBeef_Equations.VEERG_3_2_1_1__4_AdditionalIntakeForMilkProduction_Variable" localSheetId="11">_xlfn.LAMBDA("MA_jk45")</definedName>
    <definedName name="EntericMethane_PastureBeef_Equations.VEERG_3_2_1_1__4_AdditionalIntakeForMilkProduction_Variable" localSheetId="12">_xlfn.LAMBDA("MA_jk45")</definedName>
    <definedName name="EntericMethane_PastureBeef_Equations.VEERG_3_2_1_1__4_AdditionalIntakeForMilkProduction_Variable" localSheetId="13">_xlfn.LAMBDA("MA_jk45")</definedName>
    <definedName name="EntericMethane_PastureBeef_Equations.VEERG_3_2_1_1__4_AdditionalIntakeForMilkProduction_Variable" localSheetId="14">_xlfn.LAMBDA("MA_jk45")</definedName>
    <definedName name="EntericMethane_PastureBeef_Equations.VEERG_3_2_1_1__4_AdditionalIntakeForMilkProduction_Variable" localSheetId="33">_xlfn.LAMBDA("MA_jk45")</definedName>
    <definedName name="EntericMethane_PastureBeef_Equations.VEERG_3_2_1_1__4_AdditionalIntakeForMilkProduction_Variable" localSheetId="32">_xlfn.LAMBDA("MA_jk45")</definedName>
    <definedName name="EntericMethane_PastureBeef_Equations.VEERG_3_2_1_1__4_AdditionalIntakeForMilkProduction_Variable" localSheetId="28">_xlfn.LAMBDA("MA_jk45")</definedName>
    <definedName name="EntericMethane_PastureBeef_Equations.VEERG_3_2_1_1__4_AdditionalIntakeForMilkProduction_Variable" localSheetId="26">_xlfn.LAMBDA("MA_jk45")</definedName>
    <definedName name="EntericMethane_PastureBeef_Equations.VEERG_3_2_1_1__4_AdditionalIntakeForMilkProduction_Variable" localSheetId="4">_xlfn.LAMBDA("MA_jk45")</definedName>
    <definedName name="EntericMethane_PastureBeef_Equations.VEERG_3_2_1_1__4_AdditionalIntakeForMilkProduction_Variable" localSheetId="3">_xlfn.LAMBDA("MA_jk45")</definedName>
    <definedName name="EntericMethane_PastureBeef_Equations.VEERG_3_2_1_1__4_AdditionalIntakeForMilkProduction_Variable">_xlfn.LAMBDA("MA_jk45")</definedName>
    <definedName name="EntericMethane_PastureBeef_Equations.VEERG_3_2_1_1__4_AdditionalIntakeForMilkProduction_Variation" localSheetId="10">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1">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2">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3">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14">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3">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2">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8">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26">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4">_xlfn.LAMBDA("VARIATION ON SOURCE: Expanded equation to account for season after calving, rather than doing the same equation twice for both seasons")</definedName>
    <definedName name="EntericMethane_PastureBeef_Equations.VEERG_3_2_1_1__4_AdditionalIntakeForMilkProduction_Variation" localSheetId="3">_xlfn.LAMBDA("VARIATION ON SOURCE: Expanded equation to account for season after calving, rather than doing the same equation twice for both seasons")</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10">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11">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2">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3">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32">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8">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26">_xlfn.LAMBDA(_xlpm.LC_jk45,_xlpm.FA_jk45calv,_xlpm.FA_jk45after, ((_xlpm.LC_jk45 * _xlpm.FA_jk45calv) + (_xlpm.LC_jk45 * _xlpm.FA_jk45after)) + (1 - (_xlpm.LC_jk45 + _xlpm.LC_jk45)))</definedName>
    <definedName name="EntericMethane_PastureBeef_Equations.VEERG_3_2_1_1__4_AdditionalIntakeForMilkProductionVariation" localSheetId="4">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3">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Fertiliser_Equations_AtmosphericDeposition.VEERG_5_4_1_1__1_InorganicFertiliserAtmosphericDepositionN2OEmissions" localSheetId="15">_xlfn.LAMBDA(_xlpm.M_volinorganicjf,_xlpm.EF_N2Oj,_xlpm.C_N2O, (_xlpm.M_volinorganicjf * _xlpm.EF_N2Oj) * _xlpm.C_N2O * 10 ^ -3)</definedName>
    <definedName name="Fertiliser_Equations_AtmosphericDeposition.VEERG_5_4_1_1__1_InorganicFertiliserAtmosphericDepositionN2OEmissions" localSheetId="16">_xlfn.LAMBDA(_xlpm.M_volinorganicjf,_xlpm.EF_N2Oj,_xlpm.C_N2O, (_xlpm.M_volinorganicjf * _xlpm.EF_N2Oj) * _xlpm.C_N2O * 10 ^ -3)</definedName>
    <definedName name="Fertiliser_Equations_AtmosphericDeposition.VEERG_5_4_1_1__1_InorganicFertiliserAtmosphericDepositionN2OEmissions" localSheetId="17">_xlfn.LAMBDA(_xlpm.M_volinorganicjf,_xlpm.EF_N2Oj,_xlpm.C_N2O, (_xlpm.M_volinorganicjf * _xlpm.EF_N2Oj) * _xlpm.C_N2O * 10 ^ -3)</definedName>
    <definedName name="Fertiliser_Equations_AtmosphericDeposition.VEERG_5_4_1_1__1_InorganicFertiliserAtmosphericDepositionN2OEmissions" localSheetId="18">_xlfn.LAMBDA(_xlpm.M_volinorganicjf,_xlpm.EF_N2Oj,_xlpm.C_N2O, (_xlpm.M_volinorganicjf * _xlpm.EF_N2Oj) * _xlpm.C_N2O * 10 ^ -3)</definedName>
    <definedName name="Fertiliser_Equations_AtmosphericDeposition.VEERG_5_4_1_1__1_InorganicFertiliserAtmosphericDepositionN2OEmissions" localSheetId="19">_xlfn.LAMBDA(_xlpm.M_volinorganicjf,_xlpm.EF_N2Oj,_xlpm.C_N2O, (_xlpm.M_volinorganicjf * _xlpm.EF_N2Oj) * _xlpm.C_N2O * 10 ^ -3)</definedName>
    <definedName name="Fertiliser_Equations_AtmosphericDeposition.VEERG_5_4_1_1__1_InorganicFertiliserAtmosphericDepositionN2OEmissions" localSheetId="20">_xlfn.LAMBDA(_xlpm.M_volinorganicjf,_xlpm.EF_N2Oj,_xlpm.C_N2O, (_xlpm.M_volinorganicjf * _xlpm.EF_N2Oj) * _xlpm.C_N2O * 10 ^ -3)</definedName>
    <definedName name="Fertiliser_Equations_AtmosphericDeposition.VEERG_5_4_1_1__1_InorganicFertiliserAtmosphericDepositionN2OEmissions" localSheetId="21">_xlfn.LAMBDA(_xlpm.M_volinorganicjf,_xlpm.EF_N2Oj,_xlpm.C_N2O, (_xlpm.M_volinorganicjf * _xlpm.EF_N2Oj) * _xlpm.C_N2O * 10 ^ -3)</definedName>
    <definedName name="Fertiliser_Equations_AtmosphericDeposition.VEERG_5_4_1_1__1_InorganicFertiliserAtmosphericDepositionN2OEmissions" localSheetId="22">_xlfn.LAMBDA(_xlpm.M_volinorganicjf,_xlpm.EF_N2Oj,_xlpm.C_N2O, (_xlpm.M_volinorganicjf * _xlpm.EF_N2Oj) * _xlpm.C_N2O * 10 ^ -3)</definedName>
    <definedName name="Fertiliser_Equations_AtmosphericDeposition.VEERG_5_4_1_1__1_InorganicFertiliserAtmosphericDepositionN2OEmissions" localSheetId="27">_xlfn.LAMBDA(_xlpm.M_volinorganicjf,_xlpm.EF_N2Oj,_xlpm.C_N2O, (_xlpm.M_volinorganicjf * _xlpm.EF_N2Oj) * _xlpm.C_N2O * 10 ^ -3)</definedName>
    <definedName name="Fertiliser_Equations_AtmosphericDeposition.VEERG_5_4_1_1__1_InorganicFertiliserAtmosphericDepositionN2OEmissions" localSheetId="30">_xlfn.LAMBDA(_xlpm.M_volinorganicjf,_xlpm.EF_N2Oj,_xlpm.C_N2O, (_xlpm.M_volinorganicjf * _xlpm.EF_N2Oj) * _xlpm.C_N2O * 10 ^ -3)</definedName>
    <definedName name="Fertiliser_Equations_AtmosphericDeposition.VEERG_5_4_1_1__1_InorganicFertiliserAtmosphericDepositionN2OEmissions" localSheetId="6">_xlfn.LAMBDA(_xlpm.M_volinorganicjf,_xlpm.EF_N2Oj,_xlpm.C_N2O, (_xlpm.M_volinorganicjf * _xlpm.EF_N2Oj) * _xlpm.C_N2O * 10 ^ -3)</definedName>
    <definedName name="Fertiliser_Equations_AtmosphericDeposition.VEERG_5_4_1_1__1_InorganicFertiliserAtmosphericDepositionN2OEmissions" localSheetId="34">_xlfn.LAMBDA(_xlpm.M_volinorganicjf,_xlpm.EF_N2Oj,_xlpm.C_N2O, (_xlpm.M_volinorganicjf * _xlpm.EF_N2Oj) * _xlpm.C_N2O * 10 ^ -3)</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 localSheetId="15">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6">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7">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8">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19">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0">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1">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2">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27">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30">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6">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 localSheetId="34">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 localSheetId="15">_xlfn.LAMBDA("E_{ad,inorganic}=\sum\nolimits_{j}\sum\nolimits_{f}((M_{vol,inorganic,jf}\times EF_{N2O,j})\times C_{N2O}\times 10^{-3})")</definedName>
    <definedName name="Fertiliser_Equations_AtmosphericDeposition.VEERG_5_4_1_1__1_InorganicFertiliserAtmosphericDepositionN2OEmissions_LatexEquation" localSheetId="16">_xlfn.LAMBDA("E_{ad,inorganic}=\sum\nolimits_{j}\sum\nolimits_{f}((M_{vol,inorganic,jf}\times EF_{N2O,j})\times C_{N2O}\times 10^{-3})")</definedName>
    <definedName name="Fertiliser_Equations_AtmosphericDeposition.VEERG_5_4_1_1__1_InorganicFertiliserAtmosphericDepositionN2OEmissions_LatexEquation" localSheetId="17">_xlfn.LAMBDA("E_{ad,inorganic}=\sum\nolimits_{j}\sum\nolimits_{f}((M_{vol,inorganic,jf}\times EF_{N2O,j})\times C_{N2O}\times 10^{-3})")</definedName>
    <definedName name="Fertiliser_Equations_AtmosphericDeposition.VEERG_5_4_1_1__1_InorganicFertiliserAtmosphericDepositionN2OEmissions_LatexEquation" localSheetId="18">_xlfn.LAMBDA("E_{ad,inorganic}=\sum\nolimits_{j}\sum\nolimits_{f}((M_{vol,inorganic,jf}\times EF_{N2O,j})\times C_{N2O}\times 10^{-3})")</definedName>
    <definedName name="Fertiliser_Equations_AtmosphericDeposition.VEERG_5_4_1_1__1_InorganicFertiliserAtmosphericDepositionN2OEmissions_LatexEquation" localSheetId="19">_xlfn.LAMBDA("E_{ad,inorganic}=\sum\nolimits_{j}\sum\nolimits_{f}((M_{vol,inorganic,jf}\times EF_{N2O,j})\times C_{N2O}\times 10^{-3})")</definedName>
    <definedName name="Fertiliser_Equations_AtmosphericDeposition.VEERG_5_4_1_1__1_InorganicFertiliserAtmosphericDepositionN2OEmissions_LatexEquation" localSheetId="20">_xlfn.LAMBDA("E_{ad,inorganic}=\sum\nolimits_{j}\sum\nolimits_{f}((M_{vol,inorganic,jf}\times EF_{N2O,j})\times C_{N2O}\times 10^{-3})")</definedName>
    <definedName name="Fertiliser_Equations_AtmosphericDeposition.VEERG_5_4_1_1__1_InorganicFertiliserAtmosphericDepositionN2OEmissions_LatexEquation" localSheetId="21">_xlfn.LAMBDA("E_{ad,inorganic}=\sum\nolimits_{j}\sum\nolimits_{f}((M_{vol,inorganic,jf}\times EF_{N2O,j})\times C_{N2O}\times 10^{-3})")</definedName>
    <definedName name="Fertiliser_Equations_AtmosphericDeposition.VEERG_5_4_1_1__1_InorganicFertiliserAtmosphericDepositionN2OEmissions_LatexEquation" localSheetId="22">_xlfn.LAMBDA("E_{ad,inorganic}=\sum\nolimits_{j}\sum\nolimits_{f}((M_{vol,inorganic,jf}\times EF_{N2O,j})\times C_{N2O}\times 10^{-3})")</definedName>
    <definedName name="Fertiliser_Equations_AtmosphericDeposition.VEERG_5_4_1_1__1_InorganicFertiliserAtmosphericDepositionN2OEmissions_LatexEquation" localSheetId="27">_xlfn.LAMBDA("E_{ad,inorganic}=\sum\nolimits_{j}\sum\nolimits_{f}((M_{vol,inorganic,jf}\times EF_{N2O,j})\times C_{N2O}\times 10^{-3})")</definedName>
    <definedName name="Fertiliser_Equations_AtmosphericDeposition.VEERG_5_4_1_1__1_InorganicFertiliserAtmosphericDepositionN2OEmissions_LatexEquation" localSheetId="30">_xlfn.LAMBDA("E_{ad,inorganic}=\sum\nolimits_{j}\sum\nolimits_{f}((M_{vol,inorganic,jf}\times EF_{N2O,j})\times C_{N2O}\times 10^{-3})")</definedName>
    <definedName name="Fertiliser_Equations_AtmosphericDeposition.VEERG_5_4_1_1__1_InorganicFertiliserAtmosphericDepositionN2OEmissions_LatexEquation" localSheetId="6">_xlfn.LAMBDA("E_{ad,inorganic}=\sum\nolimits_{j}\sum\nolimits_{f}((M_{vol,inorganic,jf}\times EF_{N2O,j})\times C_{N2O}\times 10^{-3})")</definedName>
    <definedName name="Fertiliser_Equations_AtmosphericDeposition.VEERG_5_4_1_1__1_InorganicFertiliserAtmosphericDepositionN2OEmissions_LatexEquation" localSheetId="34">_xlfn.LAMBDA("E_{ad,inorganic}=\sum\nolimits_{j}\sum\nolimits_{f}((M_{vol,inorganic,jf}\times EF_{N2O,j})\times C_{N2O}\times 10^{-3})")</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 localSheetId="15">_xlfn.LAMBDA("")</definedName>
    <definedName name="Fertiliser_Equations_AtmosphericDeposition.VEERG_5_4_1_1__1_InorganicFertiliserAtmosphericDepositionN2OEmissions_NIRReference" localSheetId="16">_xlfn.LAMBDA("")</definedName>
    <definedName name="Fertiliser_Equations_AtmosphericDeposition.VEERG_5_4_1_1__1_InorganicFertiliserAtmosphericDepositionN2OEmissions_NIRReference" localSheetId="17">_xlfn.LAMBDA("")</definedName>
    <definedName name="Fertiliser_Equations_AtmosphericDeposition.VEERG_5_4_1_1__1_InorganicFertiliserAtmosphericDepositionN2OEmissions_NIRReference" localSheetId="18">_xlfn.LAMBDA("")</definedName>
    <definedName name="Fertiliser_Equations_AtmosphericDeposition.VEERG_5_4_1_1__1_InorganicFertiliserAtmosphericDepositionN2OEmissions_NIRReference" localSheetId="19">_xlfn.LAMBDA("")</definedName>
    <definedName name="Fertiliser_Equations_AtmosphericDeposition.VEERG_5_4_1_1__1_InorganicFertiliserAtmosphericDepositionN2OEmissions_NIRReference" localSheetId="20">_xlfn.LAMBDA("")</definedName>
    <definedName name="Fertiliser_Equations_AtmosphericDeposition.VEERG_5_4_1_1__1_InorganicFertiliserAtmosphericDepositionN2OEmissions_NIRReference" localSheetId="21">_xlfn.LAMBDA("")</definedName>
    <definedName name="Fertiliser_Equations_AtmosphericDeposition.VEERG_5_4_1_1__1_InorganicFertiliserAtmosphericDepositionN2OEmissions_NIRReference" localSheetId="22">_xlfn.LAMBDA("")</definedName>
    <definedName name="Fertiliser_Equations_AtmosphericDeposition.VEERG_5_4_1_1__1_InorganicFertiliserAtmosphericDepositionN2OEmissions_NIRReference" localSheetId="27">_xlfn.LAMBDA("")</definedName>
    <definedName name="Fertiliser_Equations_AtmosphericDeposition.VEERG_5_4_1_1__1_InorganicFertiliserAtmosphericDepositionN2OEmissions_NIRReference" localSheetId="30">_xlfn.LAMBDA("")</definedName>
    <definedName name="Fertiliser_Equations_AtmosphericDeposition.VEERG_5_4_1_1__1_InorganicFertiliserAtmosphericDepositionN2OEmissions_NIRReference" localSheetId="6">_xlfn.LAMBDA("")</definedName>
    <definedName name="Fertiliser_Equations_AtmosphericDeposition.VEERG_5_4_1_1__1_InorganicFertiliserAtmosphericDepositionN2OEmissions_NIRReference" localSheetId="34">_xlfn.LAMBDA("")</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 localSheetId="15">_xlfn.LAMBDA("VEERG 2026: 5.4.1.1, Equation (1)")</definedName>
    <definedName name="Fertiliser_Equations_AtmosphericDeposition.VEERG_5_4_1_1__1_InorganicFertiliserAtmosphericDepositionN2OEmissions_Source" localSheetId="16">_xlfn.LAMBDA("VEERG 2026: 5.4.1.1, Equation (1)")</definedName>
    <definedName name="Fertiliser_Equations_AtmosphericDeposition.VEERG_5_4_1_1__1_InorganicFertiliserAtmosphericDepositionN2OEmissions_Source" localSheetId="17">_xlfn.LAMBDA("VEERG 2026: 5.4.1.1, Equation (1)")</definedName>
    <definedName name="Fertiliser_Equations_AtmosphericDeposition.VEERG_5_4_1_1__1_InorganicFertiliserAtmosphericDepositionN2OEmissions_Source" localSheetId="18">_xlfn.LAMBDA("VEERG 2026: 5.4.1.1, Equation (1)")</definedName>
    <definedName name="Fertiliser_Equations_AtmosphericDeposition.VEERG_5_4_1_1__1_InorganicFertiliserAtmosphericDepositionN2OEmissions_Source" localSheetId="19">_xlfn.LAMBDA("VEERG 2026: 5.4.1.1, Equation (1)")</definedName>
    <definedName name="Fertiliser_Equations_AtmosphericDeposition.VEERG_5_4_1_1__1_InorganicFertiliserAtmosphericDepositionN2OEmissions_Source" localSheetId="20">_xlfn.LAMBDA("VEERG 2026: 5.4.1.1, Equation (1)")</definedName>
    <definedName name="Fertiliser_Equations_AtmosphericDeposition.VEERG_5_4_1_1__1_InorganicFertiliserAtmosphericDepositionN2OEmissions_Source" localSheetId="21">_xlfn.LAMBDA("VEERG 2026: 5.4.1.1, Equation (1)")</definedName>
    <definedName name="Fertiliser_Equations_AtmosphericDeposition.VEERG_5_4_1_1__1_InorganicFertiliserAtmosphericDepositionN2OEmissions_Source" localSheetId="22">_xlfn.LAMBDA("VEERG 2026: 5.4.1.1, Equation (1)")</definedName>
    <definedName name="Fertiliser_Equations_AtmosphericDeposition.VEERG_5_4_1_1__1_InorganicFertiliserAtmosphericDepositionN2OEmissions_Source" localSheetId="27">_xlfn.LAMBDA("VEERG 2026: 5.4.1.1, Equation (1)")</definedName>
    <definedName name="Fertiliser_Equations_AtmosphericDeposition.VEERG_5_4_1_1__1_InorganicFertiliserAtmosphericDepositionN2OEmissions_Source" localSheetId="30">_xlfn.LAMBDA("VEERG 2026: 5.4.1.1, Equation (1)")</definedName>
    <definedName name="Fertiliser_Equations_AtmosphericDeposition.VEERG_5_4_1_1__1_InorganicFertiliserAtmosphericDepositionN2OEmissions_Source" localSheetId="6">_xlfn.LAMBDA("VEERG 2026: 5.4.1.1, Equation (1)")</definedName>
    <definedName name="Fertiliser_Equations_AtmosphericDeposition.VEERG_5_4_1_1__1_InorganicFertiliserAtmosphericDepositionN2OEmissions_Source" localSheetId="34">_xlfn.LAMBDA("VEERG 2026: 5.4.1.1, Equation (1)")</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 localSheetId="15">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6">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7">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8">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19">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0">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1">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2">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27">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30">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6">_xlfn.LAMBDA("Nitrous oxide emissions from atmospheric deposition from all inorganic fertiliser types f and all production systems j")</definedName>
    <definedName name="Fertiliser_Equations_AtmosphericDeposition.VEERG_5_4_1_1__1_InorganicFertiliserAtmosphericDepositionN2OEmissions_Title" localSheetId="34">_xlfn.LAMBDA("Nitrous oxide emissions from atmospheric deposition from all inorganic fertiliser types f and all production systems j")</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 localSheetId="15">_xlfn.LAMBDA("t N2O")</definedName>
    <definedName name="Fertiliser_Equations_AtmosphericDeposition.VEERG_5_4_1_1__1_InorganicFertiliserAtmosphericDepositionN2OEmissions_Unit" localSheetId="16">_xlfn.LAMBDA("t N2O")</definedName>
    <definedName name="Fertiliser_Equations_AtmosphericDeposition.VEERG_5_4_1_1__1_InorganicFertiliserAtmosphericDepositionN2OEmissions_Unit" localSheetId="17">_xlfn.LAMBDA("t N2O")</definedName>
    <definedName name="Fertiliser_Equations_AtmosphericDeposition.VEERG_5_4_1_1__1_InorganicFertiliserAtmosphericDepositionN2OEmissions_Unit" localSheetId="18">_xlfn.LAMBDA("t N2O")</definedName>
    <definedName name="Fertiliser_Equations_AtmosphericDeposition.VEERG_5_4_1_1__1_InorganicFertiliserAtmosphericDepositionN2OEmissions_Unit" localSheetId="19">_xlfn.LAMBDA("t N2O")</definedName>
    <definedName name="Fertiliser_Equations_AtmosphericDeposition.VEERG_5_4_1_1__1_InorganicFertiliserAtmosphericDepositionN2OEmissions_Unit" localSheetId="20">_xlfn.LAMBDA("t N2O")</definedName>
    <definedName name="Fertiliser_Equations_AtmosphericDeposition.VEERG_5_4_1_1__1_InorganicFertiliserAtmosphericDepositionN2OEmissions_Unit" localSheetId="21">_xlfn.LAMBDA("t N2O")</definedName>
    <definedName name="Fertiliser_Equations_AtmosphericDeposition.VEERG_5_4_1_1__1_InorganicFertiliserAtmosphericDepositionN2OEmissions_Unit" localSheetId="22">_xlfn.LAMBDA("t N2O")</definedName>
    <definedName name="Fertiliser_Equations_AtmosphericDeposition.VEERG_5_4_1_1__1_InorganicFertiliserAtmosphericDepositionN2OEmissions_Unit" localSheetId="27">_xlfn.LAMBDA("t N2O")</definedName>
    <definedName name="Fertiliser_Equations_AtmosphericDeposition.VEERG_5_4_1_1__1_InorganicFertiliserAtmosphericDepositionN2OEmissions_Unit" localSheetId="30">_xlfn.LAMBDA("t N2O")</definedName>
    <definedName name="Fertiliser_Equations_AtmosphericDeposition.VEERG_5_4_1_1__1_InorganicFertiliserAtmosphericDepositionN2OEmissions_Unit" localSheetId="6">_xlfn.LAMBDA("t N2O")</definedName>
    <definedName name="Fertiliser_Equations_AtmosphericDeposition.VEERG_5_4_1_1__1_InorganicFertiliserAtmosphericDepositionN2OEmissions_Unit" localSheetId="34">_xlfn.LAMBDA("t N2O")</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 localSheetId="15">_xlfn.LAMBDA("E_adinorganic")</definedName>
    <definedName name="Fertiliser_Equations_AtmosphericDeposition.VEERG_5_4_1_1__1_InorganicFertiliserAtmosphericDepositionN2OEmissions_Variable" localSheetId="16">_xlfn.LAMBDA("E_adinorganic")</definedName>
    <definedName name="Fertiliser_Equations_AtmosphericDeposition.VEERG_5_4_1_1__1_InorganicFertiliserAtmosphericDepositionN2OEmissions_Variable" localSheetId="17">_xlfn.LAMBDA("E_adinorganic")</definedName>
    <definedName name="Fertiliser_Equations_AtmosphericDeposition.VEERG_5_4_1_1__1_InorganicFertiliserAtmosphericDepositionN2OEmissions_Variable" localSheetId="18">_xlfn.LAMBDA("E_adinorganic")</definedName>
    <definedName name="Fertiliser_Equations_AtmosphericDeposition.VEERG_5_4_1_1__1_InorganicFertiliserAtmosphericDepositionN2OEmissions_Variable" localSheetId="19">_xlfn.LAMBDA("E_adinorganic")</definedName>
    <definedName name="Fertiliser_Equations_AtmosphericDeposition.VEERG_5_4_1_1__1_InorganicFertiliserAtmosphericDepositionN2OEmissions_Variable" localSheetId="20">_xlfn.LAMBDA("E_adinorganic")</definedName>
    <definedName name="Fertiliser_Equations_AtmosphericDeposition.VEERG_5_4_1_1__1_InorganicFertiliserAtmosphericDepositionN2OEmissions_Variable" localSheetId="21">_xlfn.LAMBDA("E_adinorganic")</definedName>
    <definedName name="Fertiliser_Equations_AtmosphericDeposition.VEERG_5_4_1_1__1_InorganicFertiliserAtmosphericDepositionN2OEmissions_Variable" localSheetId="22">_xlfn.LAMBDA("E_adinorganic")</definedName>
    <definedName name="Fertiliser_Equations_AtmosphericDeposition.VEERG_5_4_1_1__1_InorganicFertiliserAtmosphericDepositionN2OEmissions_Variable" localSheetId="27">_xlfn.LAMBDA("E_adinorganic")</definedName>
    <definedName name="Fertiliser_Equations_AtmosphericDeposition.VEERG_5_4_1_1__1_InorganicFertiliserAtmosphericDepositionN2OEmissions_Variable" localSheetId="30">_xlfn.LAMBDA("E_adinorganic")</definedName>
    <definedName name="Fertiliser_Equations_AtmosphericDeposition.VEERG_5_4_1_1__1_InorganicFertiliserAtmosphericDepositionN2OEmissions_Variable" localSheetId="6">_xlfn.LAMBDA("E_adinorganic")</definedName>
    <definedName name="Fertiliser_Equations_AtmosphericDeposition.VEERG_5_4_1_1__1_InorganicFertiliserAtmosphericDepositionN2OEmissions_Variable" localSheetId="34">_xlfn.LAMBDA("E_adinorganic")</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 localSheetId="15">_xlfn.LAMBDA(_xlpm.MN_jf,_xlpm.FracGASF_f, _xlpm.MN_jf * _xlpm.FracGASF_f)</definedName>
    <definedName name="Fertiliser_Equations_AtmosphericDeposition.VEERG_5_4_1_1__2_MassOfNitrogenVolatilisedFromInorganicFertiliser" localSheetId="16">_xlfn.LAMBDA(_xlpm.MN_jf,_xlpm.FracGASF_f, _xlpm.MN_jf * _xlpm.FracGASF_f)</definedName>
    <definedName name="Fertiliser_Equations_AtmosphericDeposition.VEERG_5_4_1_1__2_MassOfNitrogenVolatilisedFromInorganicFertiliser" localSheetId="17">_xlfn.LAMBDA(_xlpm.MN_jf,_xlpm.FracGASF_f, _xlpm.MN_jf * _xlpm.FracGASF_f)</definedName>
    <definedName name="Fertiliser_Equations_AtmosphericDeposition.VEERG_5_4_1_1__2_MassOfNitrogenVolatilisedFromInorganicFertiliser" localSheetId="18">_xlfn.LAMBDA(_xlpm.MN_jf,_xlpm.FracGASF_f, _xlpm.MN_jf * _xlpm.FracGASF_f)</definedName>
    <definedName name="Fertiliser_Equations_AtmosphericDeposition.VEERG_5_4_1_1__2_MassOfNitrogenVolatilisedFromInorganicFertiliser" localSheetId="19">_xlfn.LAMBDA(_xlpm.MN_jf,_xlpm.FracGASF_f, _xlpm.MN_jf * _xlpm.FracGASF_f)</definedName>
    <definedName name="Fertiliser_Equations_AtmosphericDeposition.VEERG_5_4_1_1__2_MassOfNitrogenVolatilisedFromInorganicFertiliser" localSheetId="20">_xlfn.LAMBDA(_xlpm.MN_jf,_xlpm.FracGASF_f, _xlpm.MN_jf * _xlpm.FracGASF_f)</definedName>
    <definedName name="Fertiliser_Equations_AtmosphericDeposition.VEERG_5_4_1_1__2_MassOfNitrogenVolatilisedFromInorganicFertiliser" localSheetId="21">_xlfn.LAMBDA(_xlpm.MN_jf,_xlpm.FracGASF_f, _xlpm.MN_jf * _xlpm.FracGASF_f)</definedName>
    <definedName name="Fertiliser_Equations_AtmosphericDeposition.VEERG_5_4_1_1__2_MassOfNitrogenVolatilisedFromInorganicFertiliser" localSheetId="22">_xlfn.LAMBDA(_xlpm.MN_jf,_xlpm.FracGASF_f, _xlpm.MN_jf * _xlpm.FracGASF_f)</definedName>
    <definedName name="Fertiliser_Equations_AtmosphericDeposition.VEERG_5_4_1_1__2_MassOfNitrogenVolatilisedFromInorganicFertiliser" localSheetId="27">_xlfn.LAMBDA(_xlpm.MN_jf,_xlpm.FracGASF_f, _xlpm.MN_jf * _xlpm.FracGASF_f)</definedName>
    <definedName name="Fertiliser_Equations_AtmosphericDeposition.VEERG_5_4_1_1__2_MassOfNitrogenVolatilisedFromInorganicFertiliser" localSheetId="30">_xlfn.LAMBDA(_xlpm.MN_jf,_xlpm.FracGASF_f, _xlpm.MN_jf * _xlpm.FracGASF_f)</definedName>
    <definedName name="Fertiliser_Equations_AtmosphericDeposition.VEERG_5_4_1_1__2_MassOfNitrogenVolatilisedFromInorganicFertiliser" localSheetId="6">_xlfn.LAMBDA(_xlpm.MN_jf,_xlpm.FracGASF_f, _xlpm.MN_jf * _xlpm.FracGASF_f)</definedName>
    <definedName name="Fertiliser_Equations_AtmosphericDeposition.VEERG_5_4_1_1__2_MassOfNitrogenVolatilisedFromInorganicFertiliser" localSheetId="34">_xlfn.LAMBDA(_xlpm.MN_jf,_xlpm.FracGASF_f, _xlpm.MN_jf * _xlpm.FracGASF_f)</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 localSheetId="15">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6">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7">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8">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19">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0">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1">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2">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27">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30">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6">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 localSheetId="34">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 localSheetId="15">_xlfn.LAMBDA("M_{vol,inorganic,jf}={MN}_{jf}\times FracGASF_{f}")</definedName>
    <definedName name="Fertiliser_Equations_AtmosphericDeposition.VEERG_5_4_1_1__2_MassOfNitrogenVolatilisedFromInorganicFertiliser_LatexEquation" localSheetId="16">_xlfn.LAMBDA("M_{vol,inorganic,jf}={MN}_{jf}\times FracGASF_{f}")</definedName>
    <definedName name="Fertiliser_Equations_AtmosphericDeposition.VEERG_5_4_1_1__2_MassOfNitrogenVolatilisedFromInorganicFertiliser_LatexEquation" localSheetId="17">_xlfn.LAMBDA("M_{vol,inorganic,jf}={MN}_{jf}\times FracGASF_{f}")</definedName>
    <definedName name="Fertiliser_Equations_AtmosphericDeposition.VEERG_5_4_1_1__2_MassOfNitrogenVolatilisedFromInorganicFertiliser_LatexEquation" localSheetId="18">_xlfn.LAMBDA("M_{vol,inorganic,jf}={MN}_{jf}\times FracGASF_{f}")</definedName>
    <definedName name="Fertiliser_Equations_AtmosphericDeposition.VEERG_5_4_1_1__2_MassOfNitrogenVolatilisedFromInorganicFertiliser_LatexEquation" localSheetId="19">_xlfn.LAMBDA("M_{vol,inorganic,jf}={MN}_{jf}\times FracGASF_{f}")</definedName>
    <definedName name="Fertiliser_Equations_AtmosphericDeposition.VEERG_5_4_1_1__2_MassOfNitrogenVolatilisedFromInorganicFertiliser_LatexEquation" localSheetId="20">_xlfn.LAMBDA("M_{vol,inorganic,jf}={MN}_{jf}\times FracGASF_{f}")</definedName>
    <definedName name="Fertiliser_Equations_AtmosphericDeposition.VEERG_5_4_1_1__2_MassOfNitrogenVolatilisedFromInorganicFertiliser_LatexEquation" localSheetId="21">_xlfn.LAMBDA("M_{vol,inorganic,jf}={MN}_{jf}\times FracGASF_{f}")</definedName>
    <definedName name="Fertiliser_Equations_AtmosphericDeposition.VEERG_5_4_1_1__2_MassOfNitrogenVolatilisedFromInorganicFertiliser_LatexEquation" localSheetId="22">_xlfn.LAMBDA("M_{vol,inorganic,jf}={MN}_{jf}\times FracGASF_{f}")</definedName>
    <definedName name="Fertiliser_Equations_AtmosphericDeposition.VEERG_5_4_1_1__2_MassOfNitrogenVolatilisedFromInorganicFertiliser_LatexEquation" localSheetId="27">_xlfn.LAMBDA("M_{vol,inorganic,jf}={MN}_{jf}\times FracGASF_{f}")</definedName>
    <definedName name="Fertiliser_Equations_AtmosphericDeposition.VEERG_5_4_1_1__2_MassOfNitrogenVolatilisedFromInorganicFertiliser_LatexEquation" localSheetId="30">_xlfn.LAMBDA("M_{vol,inorganic,jf}={MN}_{jf}\times FracGASF_{f}")</definedName>
    <definedName name="Fertiliser_Equations_AtmosphericDeposition.VEERG_5_4_1_1__2_MassOfNitrogenVolatilisedFromInorganicFertiliser_LatexEquation" localSheetId="6">_xlfn.LAMBDA("M_{vol,inorganic,jf}={MN}_{jf}\times FracGASF_{f}")</definedName>
    <definedName name="Fertiliser_Equations_AtmosphericDeposition.VEERG_5_4_1_1__2_MassOfNitrogenVolatilisedFromInorganicFertiliser_LatexEquation" localSheetId="34">_xlfn.LAMBDA("M_{vol,inorganic,jf}={MN}_{jf}\times FracGASF_{f}")</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 localSheetId="15">_xlfn.LAMBDA("")</definedName>
    <definedName name="Fertiliser_Equations_AtmosphericDeposition.VEERG_5_4_1_1__2_MassOfNitrogenVolatilisedFromInorganicFertiliser_NIRReference" localSheetId="16">_xlfn.LAMBDA("")</definedName>
    <definedName name="Fertiliser_Equations_AtmosphericDeposition.VEERG_5_4_1_1__2_MassOfNitrogenVolatilisedFromInorganicFertiliser_NIRReference" localSheetId="17">_xlfn.LAMBDA("")</definedName>
    <definedName name="Fertiliser_Equations_AtmosphericDeposition.VEERG_5_4_1_1__2_MassOfNitrogenVolatilisedFromInorganicFertiliser_NIRReference" localSheetId="18">_xlfn.LAMBDA("")</definedName>
    <definedName name="Fertiliser_Equations_AtmosphericDeposition.VEERG_5_4_1_1__2_MassOfNitrogenVolatilisedFromInorganicFertiliser_NIRReference" localSheetId="19">_xlfn.LAMBDA("")</definedName>
    <definedName name="Fertiliser_Equations_AtmosphericDeposition.VEERG_5_4_1_1__2_MassOfNitrogenVolatilisedFromInorganicFertiliser_NIRReference" localSheetId="20">_xlfn.LAMBDA("")</definedName>
    <definedName name="Fertiliser_Equations_AtmosphericDeposition.VEERG_5_4_1_1__2_MassOfNitrogenVolatilisedFromInorganicFertiliser_NIRReference" localSheetId="21">_xlfn.LAMBDA("")</definedName>
    <definedName name="Fertiliser_Equations_AtmosphericDeposition.VEERG_5_4_1_1__2_MassOfNitrogenVolatilisedFromInorganicFertiliser_NIRReference" localSheetId="22">_xlfn.LAMBDA("")</definedName>
    <definedName name="Fertiliser_Equations_AtmosphericDeposition.VEERG_5_4_1_1__2_MassOfNitrogenVolatilisedFromInorganicFertiliser_NIRReference" localSheetId="27">_xlfn.LAMBDA("")</definedName>
    <definedName name="Fertiliser_Equations_AtmosphericDeposition.VEERG_5_4_1_1__2_MassOfNitrogenVolatilisedFromInorganicFertiliser_NIRReference" localSheetId="30">_xlfn.LAMBDA("")</definedName>
    <definedName name="Fertiliser_Equations_AtmosphericDeposition.VEERG_5_4_1_1__2_MassOfNitrogenVolatilisedFromInorganicFertiliser_NIRReference" localSheetId="6">_xlfn.LAMBDA("")</definedName>
    <definedName name="Fertiliser_Equations_AtmosphericDeposition.VEERG_5_4_1_1__2_MassOfNitrogenVolatilisedFromInorganicFertiliser_NIRReference" localSheetId="34">_xlfn.LAMBDA("")</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 localSheetId="15">_xlfn.LAMBDA("VEERG 2026: 5.4.1.1, Equation (2)")</definedName>
    <definedName name="Fertiliser_Equations_AtmosphericDeposition.VEERG_5_4_1_1__2_MassOfNitrogenVolatilisedFromInorganicFertiliser_Source" localSheetId="16">_xlfn.LAMBDA("VEERG 2026: 5.4.1.1, Equation (2)")</definedName>
    <definedName name="Fertiliser_Equations_AtmosphericDeposition.VEERG_5_4_1_1__2_MassOfNitrogenVolatilisedFromInorganicFertiliser_Source" localSheetId="17">_xlfn.LAMBDA("VEERG 2026: 5.4.1.1, Equation (2)")</definedName>
    <definedName name="Fertiliser_Equations_AtmosphericDeposition.VEERG_5_4_1_1__2_MassOfNitrogenVolatilisedFromInorganicFertiliser_Source" localSheetId="18">_xlfn.LAMBDA("VEERG 2026: 5.4.1.1, Equation (2)")</definedName>
    <definedName name="Fertiliser_Equations_AtmosphericDeposition.VEERG_5_4_1_1__2_MassOfNitrogenVolatilisedFromInorganicFertiliser_Source" localSheetId="19">_xlfn.LAMBDA("VEERG 2026: 5.4.1.1, Equation (2)")</definedName>
    <definedName name="Fertiliser_Equations_AtmosphericDeposition.VEERG_5_4_1_1__2_MassOfNitrogenVolatilisedFromInorganicFertiliser_Source" localSheetId="20">_xlfn.LAMBDA("VEERG 2026: 5.4.1.1, Equation (2)")</definedName>
    <definedName name="Fertiliser_Equations_AtmosphericDeposition.VEERG_5_4_1_1__2_MassOfNitrogenVolatilisedFromInorganicFertiliser_Source" localSheetId="21">_xlfn.LAMBDA("VEERG 2026: 5.4.1.1, Equation (2)")</definedName>
    <definedName name="Fertiliser_Equations_AtmosphericDeposition.VEERG_5_4_1_1__2_MassOfNitrogenVolatilisedFromInorganicFertiliser_Source" localSheetId="22">_xlfn.LAMBDA("VEERG 2026: 5.4.1.1, Equation (2)")</definedName>
    <definedName name="Fertiliser_Equations_AtmosphericDeposition.VEERG_5_4_1_1__2_MassOfNitrogenVolatilisedFromInorganicFertiliser_Source" localSheetId="27">_xlfn.LAMBDA("VEERG 2026: 5.4.1.1, Equation (2)")</definedName>
    <definedName name="Fertiliser_Equations_AtmosphericDeposition.VEERG_5_4_1_1__2_MassOfNitrogenVolatilisedFromInorganicFertiliser_Source" localSheetId="30">_xlfn.LAMBDA("VEERG 2026: 5.4.1.1, Equation (2)")</definedName>
    <definedName name="Fertiliser_Equations_AtmosphericDeposition.VEERG_5_4_1_1__2_MassOfNitrogenVolatilisedFromInorganicFertiliser_Source" localSheetId="6">_xlfn.LAMBDA("VEERG 2026: 5.4.1.1, Equation (2)")</definedName>
    <definedName name="Fertiliser_Equations_AtmosphericDeposition.VEERG_5_4_1_1__2_MassOfNitrogenVolatilisedFromInorganicFertiliser_Source" localSheetId="34">_xlfn.LAMBDA("VEERG 2026: 5.4.1.1, Equation (2)")</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 localSheetId="15">_xlfn.LAMBDA("Mass of nitrogen volatilised from inorganic fertiliser applied to production system")</definedName>
    <definedName name="Fertiliser_Equations_AtmosphericDeposition.VEERG_5_4_1_1__2_MassOfNitrogenVolatilisedFromInorganicFertiliser_Title" localSheetId="16">_xlfn.LAMBDA("Mass of nitrogen volatilised from inorganic fertiliser applied to production system")</definedName>
    <definedName name="Fertiliser_Equations_AtmosphericDeposition.VEERG_5_4_1_1__2_MassOfNitrogenVolatilisedFromInorganicFertiliser_Title" localSheetId="17">_xlfn.LAMBDA("Mass of nitrogen volatilised from inorganic fertiliser applied to production system")</definedName>
    <definedName name="Fertiliser_Equations_AtmosphericDeposition.VEERG_5_4_1_1__2_MassOfNitrogenVolatilisedFromInorganicFertiliser_Title" localSheetId="18">_xlfn.LAMBDA("Mass of nitrogen volatilised from inorganic fertiliser applied to production system")</definedName>
    <definedName name="Fertiliser_Equations_AtmosphericDeposition.VEERG_5_4_1_1__2_MassOfNitrogenVolatilisedFromInorganicFertiliser_Title" localSheetId="19">_xlfn.LAMBDA("Mass of nitrogen volatilised from inorganic fertiliser applied to production system")</definedName>
    <definedName name="Fertiliser_Equations_AtmosphericDeposition.VEERG_5_4_1_1__2_MassOfNitrogenVolatilisedFromInorganicFertiliser_Title" localSheetId="20">_xlfn.LAMBDA("Mass of nitrogen volatilised from inorganic fertiliser applied to production system")</definedName>
    <definedName name="Fertiliser_Equations_AtmosphericDeposition.VEERG_5_4_1_1__2_MassOfNitrogenVolatilisedFromInorganicFertiliser_Title" localSheetId="21">_xlfn.LAMBDA("Mass of nitrogen volatilised from inorganic fertiliser applied to production system")</definedName>
    <definedName name="Fertiliser_Equations_AtmosphericDeposition.VEERG_5_4_1_1__2_MassOfNitrogenVolatilisedFromInorganicFertiliser_Title" localSheetId="22">_xlfn.LAMBDA("Mass of nitrogen volatilised from inorganic fertiliser applied to production system")</definedName>
    <definedName name="Fertiliser_Equations_AtmosphericDeposition.VEERG_5_4_1_1__2_MassOfNitrogenVolatilisedFromInorganicFertiliser_Title" localSheetId="27">_xlfn.LAMBDA("Mass of nitrogen volatilised from inorganic fertiliser applied to production system")</definedName>
    <definedName name="Fertiliser_Equations_AtmosphericDeposition.VEERG_5_4_1_1__2_MassOfNitrogenVolatilisedFromInorganicFertiliser_Title" localSheetId="30">_xlfn.LAMBDA("Mass of nitrogen volatilised from inorganic fertiliser applied to production system")</definedName>
    <definedName name="Fertiliser_Equations_AtmosphericDeposition.VEERG_5_4_1_1__2_MassOfNitrogenVolatilisedFromInorganicFertiliser_Title" localSheetId="6">_xlfn.LAMBDA("Mass of nitrogen volatilised from inorganic fertiliser applied to production system")</definedName>
    <definedName name="Fertiliser_Equations_AtmosphericDeposition.VEERG_5_4_1_1__2_MassOfNitrogenVolatilisedFromInorganicFertiliser_Title" localSheetId="34">_xlfn.LAMBDA("Mass of nitrogen volatilised from inorganic fertiliser applied to production system")</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 localSheetId="15">_xlfn.LAMBDA("kg N")</definedName>
    <definedName name="Fertiliser_Equations_AtmosphericDeposition.VEERG_5_4_1_1__2_MassOfNitrogenVolatilisedFromInorganicFertiliser_Unit" localSheetId="16">_xlfn.LAMBDA("kg N")</definedName>
    <definedName name="Fertiliser_Equations_AtmosphericDeposition.VEERG_5_4_1_1__2_MassOfNitrogenVolatilisedFromInorganicFertiliser_Unit" localSheetId="17">_xlfn.LAMBDA("kg N")</definedName>
    <definedName name="Fertiliser_Equations_AtmosphericDeposition.VEERG_5_4_1_1__2_MassOfNitrogenVolatilisedFromInorganicFertiliser_Unit" localSheetId="18">_xlfn.LAMBDA("kg N")</definedName>
    <definedName name="Fertiliser_Equations_AtmosphericDeposition.VEERG_5_4_1_1__2_MassOfNitrogenVolatilisedFromInorganicFertiliser_Unit" localSheetId="19">_xlfn.LAMBDA("kg N")</definedName>
    <definedName name="Fertiliser_Equations_AtmosphericDeposition.VEERG_5_4_1_1__2_MassOfNitrogenVolatilisedFromInorganicFertiliser_Unit" localSheetId="20">_xlfn.LAMBDA("kg N")</definedName>
    <definedName name="Fertiliser_Equations_AtmosphericDeposition.VEERG_5_4_1_1__2_MassOfNitrogenVolatilisedFromInorganicFertiliser_Unit" localSheetId="21">_xlfn.LAMBDA("kg N")</definedName>
    <definedName name="Fertiliser_Equations_AtmosphericDeposition.VEERG_5_4_1_1__2_MassOfNitrogenVolatilisedFromInorganicFertiliser_Unit" localSheetId="22">_xlfn.LAMBDA("kg N")</definedName>
    <definedName name="Fertiliser_Equations_AtmosphericDeposition.VEERG_5_4_1_1__2_MassOfNitrogenVolatilisedFromInorganicFertiliser_Unit" localSheetId="27">_xlfn.LAMBDA("kg N")</definedName>
    <definedName name="Fertiliser_Equations_AtmosphericDeposition.VEERG_5_4_1_1__2_MassOfNitrogenVolatilisedFromInorganicFertiliser_Unit" localSheetId="30">_xlfn.LAMBDA("kg N")</definedName>
    <definedName name="Fertiliser_Equations_AtmosphericDeposition.VEERG_5_4_1_1__2_MassOfNitrogenVolatilisedFromInorganicFertiliser_Unit" localSheetId="6">_xlfn.LAMBDA("kg N")</definedName>
    <definedName name="Fertiliser_Equations_AtmosphericDeposition.VEERG_5_4_1_1__2_MassOfNitrogenVolatilisedFromInorganicFertiliser_Unit" localSheetId="34">_xlfn.LAMBDA("kg N")</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 localSheetId="15">_xlfn.LAMBDA("M_volinorganicjf")</definedName>
    <definedName name="Fertiliser_Equations_AtmosphericDeposition.VEERG_5_4_1_1__2_MassOfNitrogenVolatilisedFromInorganicFertiliser_Variable" localSheetId="16">_xlfn.LAMBDA("M_volinorganicjf")</definedName>
    <definedName name="Fertiliser_Equations_AtmosphericDeposition.VEERG_5_4_1_1__2_MassOfNitrogenVolatilisedFromInorganicFertiliser_Variable" localSheetId="17">_xlfn.LAMBDA("M_volinorganicjf")</definedName>
    <definedName name="Fertiliser_Equations_AtmosphericDeposition.VEERG_5_4_1_1__2_MassOfNitrogenVolatilisedFromInorganicFertiliser_Variable" localSheetId="18">_xlfn.LAMBDA("M_volinorganicjf")</definedName>
    <definedName name="Fertiliser_Equations_AtmosphericDeposition.VEERG_5_4_1_1__2_MassOfNitrogenVolatilisedFromInorganicFertiliser_Variable" localSheetId="19">_xlfn.LAMBDA("M_volinorganicjf")</definedName>
    <definedName name="Fertiliser_Equations_AtmosphericDeposition.VEERG_5_4_1_1__2_MassOfNitrogenVolatilisedFromInorganicFertiliser_Variable" localSheetId="20">_xlfn.LAMBDA("M_volinorganicjf")</definedName>
    <definedName name="Fertiliser_Equations_AtmosphericDeposition.VEERG_5_4_1_1__2_MassOfNitrogenVolatilisedFromInorganicFertiliser_Variable" localSheetId="21">_xlfn.LAMBDA("M_volinorganicjf")</definedName>
    <definedName name="Fertiliser_Equations_AtmosphericDeposition.VEERG_5_4_1_1__2_MassOfNitrogenVolatilisedFromInorganicFertiliser_Variable" localSheetId="22">_xlfn.LAMBDA("M_volinorganicjf")</definedName>
    <definedName name="Fertiliser_Equations_AtmosphericDeposition.VEERG_5_4_1_1__2_MassOfNitrogenVolatilisedFromInorganicFertiliser_Variable" localSheetId="27">_xlfn.LAMBDA("M_volinorganicjf")</definedName>
    <definedName name="Fertiliser_Equations_AtmosphericDeposition.VEERG_5_4_1_1__2_MassOfNitrogenVolatilisedFromInorganicFertiliser_Variable" localSheetId="30">_xlfn.LAMBDA("M_volinorganicjf")</definedName>
    <definedName name="Fertiliser_Equations_AtmosphericDeposition.VEERG_5_4_1_1__2_MassOfNitrogenVolatilisedFromInorganicFertiliser_Variable" localSheetId="6">_xlfn.LAMBDA("M_volinorganicjf")</definedName>
    <definedName name="Fertiliser_Equations_AtmosphericDeposition.VEERG_5_4_1_1__2_MassOfNitrogenVolatilisedFromInorganicFertiliser_Variable" localSheetId="34">_xlfn.LAMBDA("M_volinorganicjf")</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 localSheetId="15">_xlfn.LAMBDA(_xlpm.M_volorganicjf,_xlpm.EF_N2Oj,_xlpm.C_N2O, (_xlpm.M_volorganicjf * _xlpm.EF_N2Oj) * _xlpm.C_N2O * 10 ^ -3)</definedName>
    <definedName name="Fertiliser_Equations_AtmosphericDeposition.VEERG_5_4_1_3__1_OrganicFertiliserAtmosphericDepositionN2OEmissions" localSheetId="16">_xlfn.LAMBDA(_xlpm.M_volorganicjf,_xlpm.EF_N2Oj,_xlpm.C_N2O, (_xlpm.M_volorganicjf * _xlpm.EF_N2Oj) * _xlpm.C_N2O * 10 ^ -3)</definedName>
    <definedName name="Fertiliser_Equations_AtmosphericDeposition.VEERG_5_4_1_3__1_OrganicFertiliserAtmosphericDepositionN2OEmissions" localSheetId="17">_xlfn.LAMBDA(_xlpm.M_volorganicjf,_xlpm.EF_N2Oj,_xlpm.C_N2O, (_xlpm.M_volorganicjf * _xlpm.EF_N2Oj) * _xlpm.C_N2O * 10 ^ -3)</definedName>
    <definedName name="Fertiliser_Equations_AtmosphericDeposition.VEERG_5_4_1_3__1_OrganicFertiliserAtmosphericDepositionN2OEmissions" localSheetId="18">_xlfn.LAMBDA(_xlpm.M_volorganicjf,_xlpm.EF_N2Oj,_xlpm.C_N2O, (_xlpm.M_volorganicjf * _xlpm.EF_N2Oj) * _xlpm.C_N2O * 10 ^ -3)</definedName>
    <definedName name="Fertiliser_Equations_AtmosphericDeposition.VEERG_5_4_1_3__1_OrganicFertiliserAtmosphericDepositionN2OEmissions" localSheetId="19">_xlfn.LAMBDA(_xlpm.M_volorganicjf,_xlpm.EF_N2Oj,_xlpm.C_N2O, (_xlpm.M_volorganicjf * _xlpm.EF_N2Oj) * _xlpm.C_N2O * 10 ^ -3)</definedName>
    <definedName name="Fertiliser_Equations_AtmosphericDeposition.VEERG_5_4_1_3__1_OrganicFertiliserAtmosphericDepositionN2OEmissions" localSheetId="20">_xlfn.LAMBDA(_xlpm.M_volorganicjf,_xlpm.EF_N2Oj,_xlpm.C_N2O, (_xlpm.M_volorganicjf * _xlpm.EF_N2Oj) * _xlpm.C_N2O * 10 ^ -3)</definedName>
    <definedName name="Fertiliser_Equations_AtmosphericDeposition.VEERG_5_4_1_3__1_OrganicFertiliserAtmosphericDepositionN2OEmissions" localSheetId="21">_xlfn.LAMBDA(_xlpm.M_volorganicjf,_xlpm.EF_N2Oj,_xlpm.C_N2O, (_xlpm.M_volorganicjf * _xlpm.EF_N2Oj) * _xlpm.C_N2O * 10 ^ -3)</definedName>
    <definedName name="Fertiliser_Equations_AtmosphericDeposition.VEERG_5_4_1_3__1_OrganicFertiliserAtmosphericDepositionN2OEmissions" localSheetId="22">_xlfn.LAMBDA(_xlpm.M_volorganicjf,_xlpm.EF_N2Oj,_xlpm.C_N2O, (_xlpm.M_volorganicjf * _xlpm.EF_N2Oj) * _xlpm.C_N2O * 10 ^ -3)</definedName>
    <definedName name="Fertiliser_Equations_AtmosphericDeposition.VEERG_5_4_1_3__1_OrganicFertiliserAtmosphericDepositionN2OEmissions" localSheetId="27">_xlfn.LAMBDA(_xlpm.M_volorganicjf,_xlpm.EF_N2Oj,_xlpm.C_N2O, (_xlpm.M_volorganicjf * _xlpm.EF_N2Oj) * _xlpm.C_N2O * 10 ^ -3)</definedName>
    <definedName name="Fertiliser_Equations_AtmosphericDeposition.VEERG_5_4_1_3__1_OrganicFertiliserAtmosphericDepositionN2OEmissions" localSheetId="30">_xlfn.LAMBDA(_xlpm.M_volorganicjf,_xlpm.EF_N2Oj,_xlpm.C_N2O, (_xlpm.M_volorganicjf * _xlpm.EF_N2Oj) * _xlpm.C_N2O * 10 ^ -3)</definedName>
    <definedName name="Fertiliser_Equations_AtmosphericDeposition.VEERG_5_4_1_3__1_OrganicFertiliserAtmosphericDepositionN2OEmissions" localSheetId="6">_xlfn.LAMBDA(_xlpm.M_volorganicjf,_xlpm.EF_N2Oj,_xlpm.C_N2O, (_xlpm.M_volorganicjf * _xlpm.EF_N2Oj) * _xlpm.C_N2O * 10 ^ -3)</definedName>
    <definedName name="Fertiliser_Equations_AtmosphericDeposition.VEERG_5_4_1_3__1_OrganicFertiliserAtmosphericDepositionN2OEmissions" localSheetId="34">_xlfn.LAMBDA(_xlpm.M_volorganicjf,_xlpm.EF_N2Oj,_xlpm.C_N2O, (_xlpm.M_volorganicjf * _xlpm.EF_N2Oj) * _xlpm.C_N2O * 10 ^ -3)</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 localSheetId="15">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6">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7">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8">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19">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0">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1">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2">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27">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30">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6">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 localSheetId="34">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 localSheetId="15">_xlfn.LAMBDA("E_{ad,organic}=\sum\nolimits_{j}\sum\nolimits_{f}((M_{vol,organic,jf}\times EF_{N2O,j})\times C_{N2O}\times 10^{-3})")</definedName>
    <definedName name="Fertiliser_Equations_AtmosphericDeposition.VEERG_5_4_1_3__1_OrganicFertiliserAtmosphericDepositionN2OEmissions_LatexEquation" localSheetId="16">_xlfn.LAMBDA("E_{ad,organic}=\sum\nolimits_{j}\sum\nolimits_{f}((M_{vol,organic,jf}\times EF_{N2O,j})\times C_{N2O}\times 10^{-3})")</definedName>
    <definedName name="Fertiliser_Equations_AtmosphericDeposition.VEERG_5_4_1_3__1_OrganicFertiliserAtmosphericDepositionN2OEmissions_LatexEquation" localSheetId="17">_xlfn.LAMBDA("E_{ad,organic}=\sum\nolimits_{j}\sum\nolimits_{f}((M_{vol,organic,jf}\times EF_{N2O,j})\times C_{N2O}\times 10^{-3})")</definedName>
    <definedName name="Fertiliser_Equations_AtmosphericDeposition.VEERG_5_4_1_3__1_OrganicFertiliserAtmosphericDepositionN2OEmissions_LatexEquation" localSheetId="18">_xlfn.LAMBDA("E_{ad,organic}=\sum\nolimits_{j}\sum\nolimits_{f}((M_{vol,organic,jf}\times EF_{N2O,j})\times C_{N2O}\times 10^{-3})")</definedName>
    <definedName name="Fertiliser_Equations_AtmosphericDeposition.VEERG_5_4_1_3__1_OrganicFertiliserAtmosphericDepositionN2OEmissions_LatexEquation" localSheetId="19">_xlfn.LAMBDA("E_{ad,organic}=\sum\nolimits_{j}\sum\nolimits_{f}((M_{vol,organic,jf}\times EF_{N2O,j})\times C_{N2O}\times 10^{-3})")</definedName>
    <definedName name="Fertiliser_Equations_AtmosphericDeposition.VEERG_5_4_1_3__1_OrganicFertiliserAtmosphericDepositionN2OEmissions_LatexEquation" localSheetId="20">_xlfn.LAMBDA("E_{ad,organic}=\sum\nolimits_{j}\sum\nolimits_{f}((M_{vol,organic,jf}\times EF_{N2O,j})\times C_{N2O}\times 10^{-3})")</definedName>
    <definedName name="Fertiliser_Equations_AtmosphericDeposition.VEERG_5_4_1_3__1_OrganicFertiliserAtmosphericDepositionN2OEmissions_LatexEquation" localSheetId="21">_xlfn.LAMBDA("E_{ad,organic}=\sum\nolimits_{j}\sum\nolimits_{f}((M_{vol,organic,jf}\times EF_{N2O,j})\times C_{N2O}\times 10^{-3})")</definedName>
    <definedName name="Fertiliser_Equations_AtmosphericDeposition.VEERG_5_4_1_3__1_OrganicFertiliserAtmosphericDepositionN2OEmissions_LatexEquation" localSheetId="22">_xlfn.LAMBDA("E_{ad,organic}=\sum\nolimits_{j}\sum\nolimits_{f}((M_{vol,organic,jf}\times EF_{N2O,j})\times C_{N2O}\times 10^{-3})")</definedName>
    <definedName name="Fertiliser_Equations_AtmosphericDeposition.VEERG_5_4_1_3__1_OrganicFertiliserAtmosphericDepositionN2OEmissions_LatexEquation" localSheetId="27">_xlfn.LAMBDA("E_{ad,organic}=\sum\nolimits_{j}\sum\nolimits_{f}((M_{vol,organic,jf}\times EF_{N2O,j})\times C_{N2O}\times 10^{-3})")</definedName>
    <definedName name="Fertiliser_Equations_AtmosphericDeposition.VEERG_5_4_1_3__1_OrganicFertiliserAtmosphericDepositionN2OEmissions_LatexEquation" localSheetId="30">_xlfn.LAMBDA("E_{ad,organic}=\sum\nolimits_{j}\sum\nolimits_{f}((M_{vol,organic,jf}\times EF_{N2O,j})\times C_{N2O}\times 10^{-3})")</definedName>
    <definedName name="Fertiliser_Equations_AtmosphericDeposition.VEERG_5_4_1_3__1_OrganicFertiliserAtmosphericDepositionN2OEmissions_LatexEquation" localSheetId="6">_xlfn.LAMBDA("E_{ad,organic}=\sum\nolimits_{j}\sum\nolimits_{f}((M_{vol,organic,jf}\times EF_{N2O,j})\times C_{N2O}\times 10^{-3})")</definedName>
    <definedName name="Fertiliser_Equations_AtmosphericDeposition.VEERG_5_4_1_3__1_OrganicFertiliserAtmosphericDepositionN2OEmissions_LatexEquation" localSheetId="34">_xlfn.LAMBDA("E_{ad,organic}=\sum\nolimits_{j}\sum\nolimits_{f}((M_{vol,organic,jf}\times EF_{N2O,j})\times C_{N2O}\times 10^{-3})")</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 localSheetId="15">_xlfn.LAMBDA("")</definedName>
    <definedName name="Fertiliser_Equations_AtmosphericDeposition.VEERG_5_4_1_3__1_OrganicFertiliserAtmosphericDepositionN2OEmissions_NIRReference" localSheetId="16">_xlfn.LAMBDA("")</definedName>
    <definedName name="Fertiliser_Equations_AtmosphericDeposition.VEERG_5_4_1_3__1_OrganicFertiliserAtmosphericDepositionN2OEmissions_NIRReference" localSheetId="17">_xlfn.LAMBDA("")</definedName>
    <definedName name="Fertiliser_Equations_AtmosphericDeposition.VEERG_5_4_1_3__1_OrganicFertiliserAtmosphericDepositionN2OEmissions_NIRReference" localSheetId="18">_xlfn.LAMBDA("")</definedName>
    <definedName name="Fertiliser_Equations_AtmosphericDeposition.VEERG_5_4_1_3__1_OrganicFertiliserAtmosphericDepositionN2OEmissions_NIRReference" localSheetId="19">_xlfn.LAMBDA("")</definedName>
    <definedName name="Fertiliser_Equations_AtmosphericDeposition.VEERG_5_4_1_3__1_OrganicFertiliserAtmosphericDepositionN2OEmissions_NIRReference" localSheetId="20">_xlfn.LAMBDA("")</definedName>
    <definedName name="Fertiliser_Equations_AtmosphericDeposition.VEERG_5_4_1_3__1_OrganicFertiliserAtmosphericDepositionN2OEmissions_NIRReference" localSheetId="21">_xlfn.LAMBDA("")</definedName>
    <definedName name="Fertiliser_Equations_AtmosphericDeposition.VEERG_5_4_1_3__1_OrganicFertiliserAtmosphericDepositionN2OEmissions_NIRReference" localSheetId="22">_xlfn.LAMBDA("")</definedName>
    <definedName name="Fertiliser_Equations_AtmosphericDeposition.VEERG_5_4_1_3__1_OrganicFertiliserAtmosphericDepositionN2OEmissions_NIRReference" localSheetId="27">_xlfn.LAMBDA("")</definedName>
    <definedName name="Fertiliser_Equations_AtmosphericDeposition.VEERG_5_4_1_3__1_OrganicFertiliserAtmosphericDepositionN2OEmissions_NIRReference" localSheetId="30">_xlfn.LAMBDA("")</definedName>
    <definedName name="Fertiliser_Equations_AtmosphericDeposition.VEERG_5_4_1_3__1_OrganicFertiliserAtmosphericDepositionN2OEmissions_NIRReference" localSheetId="6">_xlfn.LAMBDA("")</definedName>
    <definedName name="Fertiliser_Equations_AtmosphericDeposition.VEERG_5_4_1_3__1_OrganicFertiliserAtmosphericDepositionN2OEmissions_NIRReference" localSheetId="34">_xlfn.LAMBDA("")</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 localSheetId="15">_xlfn.LAMBDA("VEERG 2026: 5.4.1.3, Equation (1)")</definedName>
    <definedName name="Fertiliser_Equations_AtmosphericDeposition.VEERG_5_4_1_3__1_OrganicFertiliserAtmosphericDepositionN2OEmissions_Source" localSheetId="16">_xlfn.LAMBDA("VEERG 2026: 5.4.1.3, Equation (1)")</definedName>
    <definedName name="Fertiliser_Equations_AtmosphericDeposition.VEERG_5_4_1_3__1_OrganicFertiliserAtmosphericDepositionN2OEmissions_Source" localSheetId="17">_xlfn.LAMBDA("VEERG 2026: 5.4.1.3, Equation (1)")</definedName>
    <definedName name="Fertiliser_Equations_AtmosphericDeposition.VEERG_5_4_1_3__1_OrganicFertiliserAtmosphericDepositionN2OEmissions_Source" localSheetId="18">_xlfn.LAMBDA("VEERG 2026: 5.4.1.3, Equation (1)")</definedName>
    <definedName name="Fertiliser_Equations_AtmosphericDeposition.VEERG_5_4_1_3__1_OrganicFertiliserAtmosphericDepositionN2OEmissions_Source" localSheetId="19">_xlfn.LAMBDA("VEERG 2026: 5.4.1.3, Equation (1)")</definedName>
    <definedName name="Fertiliser_Equations_AtmosphericDeposition.VEERG_5_4_1_3__1_OrganicFertiliserAtmosphericDepositionN2OEmissions_Source" localSheetId="20">_xlfn.LAMBDA("VEERG 2026: 5.4.1.3, Equation (1)")</definedName>
    <definedName name="Fertiliser_Equations_AtmosphericDeposition.VEERG_5_4_1_3__1_OrganicFertiliserAtmosphericDepositionN2OEmissions_Source" localSheetId="21">_xlfn.LAMBDA("VEERG 2026: 5.4.1.3, Equation (1)")</definedName>
    <definedName name="Fertiliser_Equations_AtmosphericDeposition.VEERG_5_4_1_3__1_OrganicFertiliserAtmosphericDepositionN2OEmissions_Source" localSheetId="22">_xlfn.LAMBDA("VEERG 2026: 5.4.1.3, Equation (1)")</definedName>
    <definedName name="Fertiliser_Equations_AtmosphericDeposition.VEERG_5_4_1_3__1_OrganicFertiliserAtmosphericDepositionN2OEmissions_Source" localSheetId="27">_xlfn.LAMBDA("VEERG 2026: 5.4.1.3, Equation (1)")</definedName>
    <definedName name="Fertiliser_Equations_AtmosphericDeposition.VEERG_5_4_1_3__1_OrganicFertiliserAtmosphericDepositionN2OEmissions_Source" localSheetId="30">_xlfn.LAMBDA("VEERG 2026: 5.4.1.3, Equation (1)")</definedName>
    <definedName name="Fertiliser_Equations_AtmosphericDeposition.VEERG_5_4_1_3__1_OrganicFertiliserAtmosphericDepositionN2OEmissions_Source" localSheetId="6">_xlfn.LAMBDA("VEERG 2026: 5.4.1.3, Equation (1)")</definedName>
    <definedName name="Fertiliser_Equations_AtmosphericDeposition.VEERG_5_4_1_3__1_OrganicFertiliserAtmosphericDepositionN2OEmissions_Source" localSheetId="34">_xlfn.LAMBDA("VEERG 2026: 5.4.1.3, Equation (1)")</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 localSheetId="15">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6">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7">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8">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19">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0">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1">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2">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27">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30">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6">_xlfn.LAMBDA("Nitrous oxide emissions from atmospheric deposition of all organic fertiliser types f and all production systems j")</definedName>
    <definedName name="Fertiliser_Equations_AtmosphericDeposition.VEERG_5_4_1_3__1_OrganicFertiliserAtmosphericDepositionN2OEmissions_Title" localSheetId="34">_xlfn.LAMBDA("Nitrous oxide emissions from atmospheric deposition of all organic fertiliser types f and all production systems j")</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 localSheetId="15">_xlfn.LAMBDA("t N2O")</definedName>
    <definedName name="Fertiliser_Equations_AtmosphericDeposition.VEERG_5_4_1_3__1_OrganicFertiliserAtmosphericDepositionN2OEmissions_Unit" localSheetId="16">_xlfn.LAMBDA("t N2O")</definedName>
    <definedName name="Fertiliser_Equations_AtmosphericDeposition.VEERG_5_4_1_3__1_OrganicFertiliserAtmosphericDepositionN2OEmissions_Unit" localSheetId="17">_xlfn.LAMBDA("t N2O")</definedName>
    <definedName name="Fertiliser_Equations_AtmosphericDeposition.VEERG_5_4_1_3__1_OrganicFertiliserAtmosphericDepositionN2OEmissions_Unit" localSheetId="18">_xlfn.LAMBDA("t N2O")</definedName>
    <definedName name="Fertiliser_Equations_AtmosphericDeposition.VEERG_5_4_1_3__1_OrganicFertiliserAtmosphericDepositionN2OEmissions_Unit" localSheetId="19">_xlfn.LAMBDA("t N2O")</definedName>
    <definedName name="Fertiliser_Equations_AtmosphericDeposition.VEERG_5_4_1_3__1_OrganicFertiliserAtmosphericDepositionN2OEmissions_Unit" localSheetId="20">_xlfn.LAMBDA("t N2O")</definedName>
    <definedName name="Fertiliser_Equations_AtmosphericDeposition.VEERG_5_4_1_3__1_OrganicFertiliserAtmosphericDepositionN2OEmissions_Unit" localSheetId="21">_xlfn.LAMBDA("t N2O")</definedName>
    <definedName name="Fertiliser_Equations_AtmosphericDeposition.VEERG_5_4_1_3__1_OrganicFertiliserAtmosphericDepositionN2OEmissions_Unit" localSheetId="22">_xlfn.LAMBDA("t N2O")</definedName>
    <definedName name="Fertiliser_Equations_AtmosphericDeposition.VEERG_5_4_1_3__1_OrganicFertiliserAtmosphericDepositionN2OEmissions_Unit" localSheetId="27">_xlfn.LAMBDA("t N2O")</definedName>
    <definedName name="Fertiliser_Equations_AtmosphericDeposition.VEERG_5_4_1_3__1_OrganicFertiliserAtmosphericDepositionN2OEmissions_Unit" localSheetId="30">_xlfn.LAMBDA("t N2O")</definedName>
    <definedName name="Fertiliser_Equations_AtmosphericDeposition.VEERG_5_4_1_3__1_OrganicFertiliserAtmosphericDepositionN2OEmissions_Unit" localSheetId="6">_xlfn.LAMBDA("t N2O")</definedName>
    <definedName name="Fertiliser_Equations_AtmosphericDeposition.VEERG_5_4_1_3__1_OrganicFertiliserAtmosphericDepositionN2OEmissions_Unit" localSheetId="34">_xlfn.LAMBDA("t N2O")</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 localSheetId="15">_xlfn.LAMBDA("E_adorganic")</definedName>
    <definedName name="Fertiliser_Equations_AtmosphericDeposition.VEERG_5_4_1_3__1_OrganicFertiliserAtmosphericDepositionN2OEmissions_Variable" localSheetId="16">_xlfn.LAMBDA("E_adorganic")</definedName>
    <definedName name="Fertiliser_Equations_AtmosphericDeposition.VEERG_5_4_1_3__1_OrganicFertiliserAtmosphericDepositionN2OEmissions_Variable" localSheetId="17">_xlfn.LAMBDA("E_adorganic")</definedName>
    <definedName name="Fertiliser_Equations_AtmosphericDeposition.VEERG_5_4_1_3__1_OrganicFertiliserAtmosphericDepositionN2OEmissions_Variable" localSheetId="18">_xlfn.LAMBDA("E_adorganic")</definedName>
    <definedName name="Fertiliser_Equations_AtmosphericDeposition.VEERG_5_4_1_3__1_OrganicFertiliserAtmosphericDepositionN2OEmissions_Variable" localSheetId="19">_xlfn.LAMBDA("E_adorganic")</definedName>
    <definedName name="Fertiliser_Equations_AtmosphericDeposition.VEERG_5_4_1_3__1_OrganicFertiliserAtmosphericDepositionN2OEmissions_Variable" localSheetId="20">_xlfn.LAMBDA("E_adorganic")</definedName>
    <definedName name="Fertiliser_Equations_AtmosphericDeposition.VEERG_5_4_1_3__1_OrganicFertiliserAtmosphericDepositionN2OEmissions_Variable" localSheetId="21">_xlfn.LAMBDA("E_adorganic")</definedName>
    <definedName name="Fertiliser_Equations_AtmosphericDeposition.VEERG_5_4_1_3__1_OrganicFertiliserAtmosphericDepositionN2OEmissions_Variable" localSheetId="22">_xlfn.LAMBDA("E_adorganic")</definedName>
    <definedName name="Fertiliser_Equations_AtmosphericDeposition.VEERG_5_4_1_3__1_OrganicFertiliserAtmosphericDepositionN2OEmissions_Variable" localSheetId="27">_xlfn.LAMBDA("E_adorganic")</definedName>
    <definedName name="Fertiliser_Equations_AtmosphericDeposition.VEERG_5_4_1_3__1_OrganicFertiliserAtmosphericDepositionN2OEmissions_Variable" localSheetId="30">_xlfn.LAMBDA("E_adorganic")</definedName>
    <definedName name="Fertiliser_Equations_AtmosphericDeposition.VEERG_5_4_1_3__1_OrganicFertiliserAtmosphericDepositionN2OEmissions_Variable" localSheetId="6">_xlfn.LAMBDA("E_adorganic")</definedName>
    <definedName name="Fertiliser_Equations_AtmosphericDeposition.VEERG_5_4_1_3__1_OrganicFertiliserAtmosphericDepositionN2OEmissions_Variable" localSheetId="34">_xlfn.LAMBDA("E_adorganic")</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 localSheetId="15">_xlfn.LAMBDA(_xlpm.MNSoil_jf,_xlpm.FracGASM_soil, _xlpm.MNSoil_jf * _xlpm.FracGASM_soil)</definedName>
    <definedName name="Fertiliser_Equations_AtmosphericDeposition.VEERG_5_4_1_3__2_MassOfNitrogenVolatilisedFromOrganicFertiliser" localSheetId="16">_xlfn.LAMBDA(_xlpm.MNSoil_jf,_xlpm.FracGASM_soil, _xlpm.MNSoil_jf * _xlpm.FracGASM_soil)</definedName>
    <definedName name="Fertiliser_Equations_AtmosphericDeposition.VEERG_5_4_1_3__2_MassOfNitrogenVolatilisedFromOrganicFertiliser" localSheetId="17">_xlfn.LAMBDA(_xlpm.MNSoil_jf,_xlpm.FracGASM_soil, _xlpm.MNSoil_jf * _xlpm.FracGASM_soil)</definedName>
    <definedName name="Fertiliser_Equations_AtmosphericDeposition.VEERG_5_4_1_3__2_MassOfNitrogenVolatilisedFromOrganicFertiliser" localSheetId="18">_xlfn.LAMBDA(_xlpm.MNSoil_jf,_xlpm.FracGASM_soil, _xlpm.MNSoil_jf * _xlpm.FracGASM_soil)</definedName>
    <definedName name="Fertiliser_Equations_AtmosphericDeposition.VEERG_5_4_1_3__2_MassOfNitrogenVolatilisedFromOrganicFertiliser" localSheetId="19">_xlfn.LAMBDA(_xlpm.MNSoil_jf,_xlpm.FracGASM_soil, _xlpm.MNSoil_jf * _xlpm.FracGASM_soil)</definedName>
    <definedName name="Fertiliser_Equations_AtmosphericDeposition.VEERG_5_4_1_3__2_MassOfNitrogenVolatilisedFromOrganicFertiliser" localSheetId="20">_xlfn.LAMBDA(_xlpm.MNSoil_jf,_xlpm.FracGASM_soil, _xlpm.MNSoil_jf * _xlpm.FracGASM_soil)</definedName>
    <definedName name="Fertiliser_Equations_AtmosphericDeposition.VEERG_5_4_1_3__2_MassOfNitrogenVolatilisedFromOrganicFertiliser" localSheetId="21">_xlfn.LAMBDA(_xlpm.MNSoil_jf,_xlpm.FracGASM_soil, _xlpm.MNSoil_jf * _xlpm.FracGASM_soil)</definedName>
    <definedName name="Fertiliser_Equations_AtmosphericDeposition.VEERG_5_4_1_3__2_MassOfNitrogenVolatilisedFromOrganicFertiliser" localSheetId="22">_xlfn.LAMBDA(_xlpm.MNSoil_jf,_xlpm.FracGASM_soil, _xlpm.MNSoil_jf * _xlpm.FracGASM_soil)</definedName>
    <definedName name="Fertiliser_Equations_AtmosphericDeposition.VEERG_5_4_1_3__2_MassOfNitrogenVolatilisedFromOrganicFertiliser" localSheetId="27">_xlfn.LAMBDA(_xlpm.MNSoil_jf,_xlpm.FracGASM_soil, _xlpm.MNSoil_jf * _xlpm.FracGASM_soil)</definedName>
    <definedName name="Fertiliser_Equations_AtmosphericDeposition.VEERG_5_4_1_3__2_MassOfNitrogenVolatilisedFromOrganicFertiliser" localSheetId="30">_xlfn.LAMBDA(_xlpm.MNSoil_jf,_xlpm.FracGASM_soil, _xlpm.MNSoil_jf * _xlpm.FracGASM_soil)</definedName>
    <definedName name="Fertiliser_Equations_AtmosphericDeposition.VEERG_5_4_1_3__2_MassOfNitrogenVolatilisedFromOrganicFertiliser" localSheetId="6">_xlfn.LAMBDA(_xlpm.MNSoil_jf,_xlpm.FracGASM_soil, _xlpm.MNSoil_jf * _xlpm.FracGASM_soil)</definedName>
    <definedName name="Fertiliser_Equations_AtmosphericDeposition.VEERG_5_4_1_3__2_MassOfNitrogenVolatilisedFromOrganicFertiliser" localSheetId="34">_xlfn.LAMBDA(_xlpm.MNSoil_jf,_xlpm.FracGASM_soil, _xlpm.MNSoil_jf * _xlpm.FracGASM_soil)</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 localSheetId="15">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6">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7">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8">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19">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0">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1">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2">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27">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30">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6">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 localSheetId="34">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 localSheetId="15">_xlfn.LAMBDA("M_{vol,organic,jf}=MNSoil_{jf}\times FracGASM_{soil}")</definedName>
    <definedName name="Fertiliser_Equations_AtmosphericDeposition.VEERG_5_4_1_3__2_MassOfNitrogenVolatilisedFromOrganicFertiliser_LatexEquation" localSheetId="16">_xlfn.LAMBDA("M_{vol,organic,jf}=MNSoil_{jf}\times FracGASM_{soil}")</definedName>
    <definedName name="Fertiliser_Equations_AtmosphericDeposition.VEERG_5_4_1_3__2_MassOfNitrogenVolatilisedFromOrganicFertiliser_LatexEquation" localSheetId="17">_xlfn.LAMBDA("M_{vol,organic,jf}=MNSoil_{jf}\times FracGASM_{soil}")</definedName>
    <definedName name="Fertiliser_Equations_AtmosphericDeposition.VEERG_5_4_1_3__2_MassOfNitrogenVolatilisedFromOrganicFertiliser_LatexEquation" localSheetId="18">_xlfn.LAMBDA("M_{vol,organic,jf}=MNSoil_{jf}\times FracGASM_{soil}")</definedName>
    <definedName name="Fertiliser_Equations_AtmosphericDeposition.VEERG_5_4_1_3__2_MassOfNitrogenVolatilisedFromOrganicFertiliser_LatexEquation" localSheetId="19">_xlfn.LAMBDA("M_{vol,organic,jf}=MNSoil_{jf}\times FracGASM_{soil}")</definedName>
    <definedName name="Fertiliser_Equations_AtmosphericDeposition.VEERG_5_4_1_3__2_MassOfNitrogenVolatilisedFromOrganicFertiliser_LatexEquation" localSheetId="20">_xlfn.LAMBDA("M_{vol,organic,jf}=MNSoil_{jf}\times FracGASM_{soil}")</definedName>
    <definedName name="Fertiliser_Equations_AtmosphericDeposition.VEERG_5_4_1_3__2_MassOfNitrogenVolatilisedFromOrganicFertiliser_LatexEquation" localSheetId="21">_xlfn.LAMBDA("M_{vol,organic,jf}=MNSoil_{jf}\times FracGASM_{soil}")</definedName>
    <definedName name="Fertiliser_Equations_AtmosphericDeposition.VEERG_5_4_1_3__2_MassOfNitrogenVolatilisedFromOrganicFertiliser_LatexEquation" localSheetId="22">_xlfn.LAMBDA("M_{vol,organic,jf}=MNSoil_{jf}\times FracGASM_{soil}")</definedName>
    <definedName name="Fertiliser_Equations_AtmosphericDeposition.VEERG_5_4_1_3__2_MassOfNitrogenVolatilisedFromOrganicFertiliser_LatexEquation" localSheetId="27">_xlfn.LAMBDA("M_{vol,organic,jf}=MNSoil_{jf}\times FracGASM_{soil}")</definedName>
    <definedName name="Fertiliser_Equations_AtmosphericDeposition.VEERG_5_4_1_3__2_MassOfNitrogenVolatilisedFromOrganicFertiliser_LatexEquation" localSheetId="30">_xlfn.LAMBDA("M_{vol,organic,jf}=MNSoil_{jf}\times FracGASM_{soil}")</definedName>
    <definedName name="Fertiliser_Equations_AtmosphericDeposition.VEERG_5_4_1_3__2_MassOfNitrogenVolatilisedFromOrganicFertiliser_LatexEquation" localSheetId="6">_xlfn.LAMBDA("M_{vol,organic,jf}=MNSoil_{jf}\times FracGASM_{soil}")</definedName>
    <definedName name="Fertiliser_Equations_AtmosphericDeposition.VEERG_5_4_1_3__2_MassOfNitrogenVolatilisedFromOrganicFertiliser_LatexEquation" localSheetId="34">_xlfn.LAMBDA("M_{vol,organic,jf}=MNSoil_{jf}\times FracGASM_{soil}")</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 localSheetId="15">_xlfn.LAMBDA("")</definedName>
    <definedName name="Fertiliser_Equations_AtmosphericDeposition.VEERG_5_4_1_3__2_MassOfNitrogenVolatilisedFromOrganicFertiliser_NIRReference" localSheetId="16">_xlfn.LAMBDA("")</definedName>
    <definedName name="Fertiliser_Equations_AtmosphericDeposition.VEERG_5_4_1_3__2_MassOfNitrogenVolatilisedFromOrganicFertiliser_NIRReference" localSheetId="17">_xlfn.LAMBDA("")</definedName>
    <definedName name="Fertiliser_Equations_AtmosphericDeposition.VEERG_5_4_1_3__2_MassOfNitrogenVolatilisedFromOrganicFertiliser_NIRReference" localSheetId="18">_xlfn.LAMBDA("")</definedName>
    <definedName name="Fertiliser_Equations_AtmosphericDeposition.VEERG_5_4_1_3__2_MassOfNitrogenVolatilisedFromOrganicFertiliser_NIRReference" localSheetId="19">_xlfn.LAMBDA("")</definedName>
    <definedName name="Fertiliser_Equations_AtmosphericDeposition.VEERG_5_4_1_3__2_MassOfNitrogenVolatilisedFromOrganicFertiliser_NIRReference" localSheetId="20">_xlfn.LAMBDA("")</definedName>
    <definedName name="Fertiliser_Equations_AtmosphericDeposition.VEERG_5_4_1_3__2_MassOfNitrogenVolatilisedFromOrganicFertiliser_NIRReference" localSheetId="21">_xlfn.LAMBDA("")</definedName>
    <definedName name="Fertiliser_Equations_AtmosphericDeposition.VEERG_5_4_1_3__2_MassOfNitrogenVolatilisedFromOrganicFertiliser_NIRReference" localSheetId="22">_xlfn.LAMBDA("")</definedName>
    <definedName name="Fertiliser_Equations_AtmosphericDeposition.VEERG_5_4_1_3__2_MassOfNitrogenVolatilisedFromOrganicFertiliser_NIRReference" localSheetId="27">_xlfn.LAMBDA("")</definedName>
    <definedName name="Fertiliser_Equations_AtmosphericDeposition.VEERG_5_4_1_3__2_MassOfNitrogenVolatilisedFromOrganicFertiliser_NIRReference" localSheetId="30">_xlfn.LAMBDA("")</definedName>
    <definedName name="Fertiliser_Equations_AtmosphericDeposition.VEERG_5_4_1_3__2_MassOfNitrogenVolatilisedFromOrganicFertiliser_NIRReference" localSheetId="6">_xlfn.LAMBDA("")</definedName>
    <definedName name="Fertiliser_Equations_AtmosphericDeposition.VEERG_5_4_1_3__2_MassOfNitrogenVolatilisedFromOrganicFertiliser_NIRReference" localSheetId="34">_xlfn.LAMBDA("")</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 localSheetId="15">_xlfn.LAMBDA("VEERG 2026: 5.4.1.3, Equation (2)")</definedName>
    <definedName name="Fertiliser_Equations_AtmosphericDeposition.VEERG_5_4_1_3__2_MassOfNitrogenVolatilisedFromOrganicFertiliser_Source" localSheetId="16">_xlfn.LAMBDA("VEERG 2026: 5.4.1.3, Equation (2)")</definedName>
    <definedName name="Fertiliser_Equations_AtmosphericDeposition.VEERG_5_4_1_3__2_MassOfNitrogenVolatilisedFromOrganicFertiliser_Source" localSheetId="17">_xlfn.LAMBDA("VEERG 2026: 5.4.1.3, Equation (2)")</definedName>
    <definedName name="Fertiliser_Equations_AtmosphericDeposition.VEERG_5_4_1_3__2_MassOfNitrogenVolatilisedFromOrganicFertiliser_Source" localSheetId="18">_xlfn.LAMBDA("VEERG 2026: 5.4.1.3, Equation (2)")</definedName>
    <definedName name="Fertiliser_Equations_AtmosphericDeposition.VEERG_5_4_1_3__2_MassOfNitrogenVolatilisedFromOrganicFertiliser_Source" localSheetId="19">_xlfn.LAMBDA("VEERG 2026: 5.4.1.3, Equation (2)")</definedName>
    <definedName name="Fertiliser_Equations_AtmosphericDeposition.VEERG_5_4_1_3__2_MassOfNitrogenVolatilisedFromOrganicFertiliser_Source" localSheetId="20">_xlfn.LAMBDA("VEERG 2026: 5.4.1.3, Equation (2)")</definedName>
    <definedName name="Fertiliser_Equations_AtmosphericDeposition.VEERG_5_4_1_3__2_MassOfNitrogenVolatilisedFromOrganicFertiliser_Source" localSheetId="21">_xlfn.LAMBDA("VEERG 2026: 5.4.1.3, Equation (2)")</definedName>
    <definedName name="Fertiliser_Equations_AtmosphericDeposition.VEERG_5_4_1_3__2_MassOfNitrogenVolatilisedFromOrganicFertiliser_Source" localSheetId="22">_xlfn.LAMBDA("VEERG 2026: 5.4.1.3, Equation (2)")</definedName>
    <definedName name="Fertiliser_Equations_AtmosphericDeposition.VEERG_5_4_1_3__2_MassOfNitrogenVolatilisedFromOrganicFertiliser_Source" localSheetId="27">_xlfn.LAMBDA("VEERG 2026: 5.4.1.3, Equation (2)")</definedName>
    <definedName name="Fertiliser_Equations_AtmosphericDeposition.VEERG_5_4_1_3__2_MassOfNitrogenVolatilisedFromOrganicFertiliser_Source" localSheetId="30">_xlfn.LAMBDA("VEERG 2026: 5.4.1.3, Equation (2)")</definedName>
    <definedName name="Fertiliser_Equations_AtmosphericDeposition.VEERG_5_4_1_3__2_MassOfNitrogenVolatilisedFromOrganicFertiliser_Source" localSheetId="6">_xlfn.LAMBDA("VEERG 2026: 5.4.1.3, Equation (2)")</definedName>
    <definedName name="Fertiliser_Equations_AtmosphericDeposition.VEERG_5_4_1_3__2_MassOfNitrogenVolatilisedFromOrganicFertiliser_Source" localSheetId="34">_xlfn.LAMBDA("VEERG 2026: 5.4.1.3, Equation (2)")</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 localSheetId="15">_xlfn.LAMBDA("Mass of nitrogen volatilised from organic fertiliser applied to production system")</definedName>
    <definedName name="Fertiliser_Equations_AtmosphericDeposition.VEERG_5_4_1_3__2_MassOfNitrogenVolatilisedFromOrganicFertiliser_Title" localSheetId="16">_xlfn.LAMBDA("Mass of nitrogen volatilised from organic fertiliser applied to production system")</definedName>
    <definedName name="Fertiliser_Equations_AtmosphericDeposition.VEERG_5_4_1_3__2_MassOfNitrogenVolatilisedFromOrganicFertiliser_Title" localSheetId="17">_xlfn.LAMBDA("Mass of nitrogen volatilised from organic fertiliser applied to production system")</definedName>
    <definedName name="Fertiliser_Equations_AtmosphericDeposition.VEERG_5_4_1_3__2_MassOfNitrogenVolatilisedFromOrganicFertiliser_Title" localSheetId="18">_xlfn.LAMBDA("Mass of nitrogen volatilised from organic fertiliser applied to production system")</definedName>
    <definedName name="Fertiliser_Equations_AtmosphericDeposition.VEERG_5_4_1_3__2_MassOfNitrogenVolatilisedFromOrganicFertiliser_Title" localSheetId="19">_xlfn.LAMBDA("Mass of nitrogen volatilised from organic fertiliser applied to production system")</definedName>
    <definedName name="Fertiliser_Equations_AtmosphericDeposition.VEERG_5_4_1_3__2_MassOfNitrogenVolatilisedFromOrganicFertiliser_Title" localSheetId="20">_xlfn.LAMBDA("Mass of nitrogen volatilised from organic fertiliser applied to production system")</definedName>
    <definedName name="Fertiliser_Equations_AtmosphericDeposition.VEERG_5_4_1_3__2_MassOfNitrogenVolatilisedFromOrganicFertiliser_Title" localSheetId="21">_xlfn.LAMBDA("Mass of nitrogen volatilised from organic fertiliser applied to production system")</definedName>
    <definedName name="Fertiliser_Equations_AtmosphericDeposition.VEERG_5_4_1_3__2_MassOfNitrogenVolatilisedFromOrganicFertiliser_Title" localSheetId="22">_xlfn.LAMBDA("Mass of nitrogen volatilised from organic fertiliser applied to production system")</definedName>
    <definedName name="Fertiliser_Equations_AtmosphericDeposition.VEERG_5_4_1_3__2_MassOfNitrogenVolatilisedFromOrganicFertiliser_Title" localSheetId="27">_xlfn.LAMBDA("Mass of nitrogen volatilised from organic fertiliser applied to production system")</definedName>
    <definedName name="Fertiliser_Equations_AtmosphericDeposition.VEERG_5_4_1_3__2_MassOfNitrogenVolatilisedFromOrganicFertiliser_Title" localSheetId="30">_xlfn.LAMBDA("Mass of nitrogen volatilised from organic fertiliser applied to production system")</definedName>
    <definedName name="Fertiliser_Equations_AtmosphericDeposition.VEERG_5_4_1_3__2_MassOfNitrogenVolatilisedFromOrganicFertiliser_Title" localSheetId="6">_xlfn.LAMBDA("Mass of nitrogen volatilised from organic fertiliser applied to production system")</definedName>
    <definedName name="Fertiliser_Equations_AtmosphericDeposition.VEERG_5_4_1_3__2_MassOfNitrogenVolatilisedFromOrganicFertiliser_Title" localSheetId="34">_xlfn.LAMBDA("Mass of nitrogen volatilised from organic fertiliser applied to production system")</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 localSheetId="15">_xlfn.LAMBDA("kg N")</definedName>
    <definedName name="Fertiliser_Equations_AtmosphericDeposition.VEERG_5_4_1_3__2_MassOfNitrogenVolatilisedFromOrganicFertiliser_Unit" localSheetId="16">_xlfn.LAMBDA("kg N")</definedName>
    <definedName name="Fertiliser_Equations_AtmosphericDeposition.VEERG_5_4_1_3__2_MassOfNitrogenVolatilisedFromOrganicFertiliser_Unit" localSheetId="17">_xlfn.LAMBDA("kg N")</definedName>
    <definedName name="Fertiliser_Equations_AtmosphericDeposition.VEERG_5_4_1_3__2_MassOfNitrogenVolatilisedFromOrganicFertiliser_Unit" localSheetId="18">_xlfn.LAMBDA("kg N")</definedName>
    <definedName name="Fertiliser_Equations_AtmosphericDeposition.VEERG_5_4_1_3__2_MassOfNitrogenVolatilisedFromOrganicFertiliser_Unit" localSheetId="19">_xlfn.LAMBDA("kg N")</definedName>
    <definedName name="Fertiliser_Equations_AtmosphericDeposition.VEERG_5_4_1_3__2_MassOfNitrogenVolatilisedFromOrganicFertiliser_Unit" localSheetId="20">_xlfn.LAMBDA("kg N")</definedName>
    <definedName name="Fertiliser_Equations_AtmosphericDeposition.VEERG_5_4_1_3__2_MassOfNitrogenVolatilisedFromOrganicFertiliser_Unit" localSheetId="21">_xlfn.LAMBDA("kg N")</definedName>
    <definedName name="Fertiliser_Equations_AtmosphericDeposition.VEERG_5_4_1_3__2_MassOfNitrogenVolatilisedFromOrganicFertiliser_Unit" localSheetId="22">_xlfn.LAMBDA("kg N")</definedName>
    <definedName name="Fertiliser_Equations_AtmosphericDeposition.VEERG_5_4_1_3__2_MassOfNitrogenVolatilisedFromOrganicFertiliser_Unit" localSheetId="27">_xlfn.LAMBDA("kg N")</definedName>
    <definedName name="Fertiliser_Equations_AtmosphericDeposition.VEERG_5_4_1_3__2_MassOfNitrogenVolatilisedFromOrganicFertiliser_Unit" localSheetId="30">_xlfn.LAMBDA("kg N")</definedName>
    <definedName name="Fertiliser_Equations_AtmosphericDeposition.VEERG_5_4_1_3__2_MassOfNitrogenVolatilisedFromOrganicFertiliser_Unit" localSheetId="6">_xlfn.LAMBDA("kg N")</definedName>
    <definedName name="Fertiliser_Equations_AtmosphericDeposition.VEERG_5_4_1_3__2_MassOfNitrogenVolatilisedFromOrganicFertiliser_Unit" localSheetId="34">_xlfn.LAMBDA("kg N")</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 localSheetId="15">_xlfn.LAMBDA("M_volorganicjf")</definedName>
    <definedName name="Fertiliser_Equations_AtmosphericDeposition.VEERG_5_4_1_3__2_MassOfNitrogenVolatilisedFromOrganicFertiliser_Variable" localSheetId="16">_xlfn.LAMBDA("M_volorganicjf")</definedName>
    <definedName name="Fertiliser_Equations_AtmosphericDeposition.VEERG_5_4_1_3__2_MassOfNitrogenVolatilisedFromOrganicFertiliser_Variable" localSheetId="17">_xlfn.LAMBDA("M_volorganicjf")</definedName>
    <definedName name="Fertiliser_Equations_AtmosphericDeposition.VEERG_5_4_1_3__2_MassOfNitrogenVolatilisedFromOrganicFertiliser_Variable" localSheetId="18">_xlfn.LAMBDA("M_volorganicjf")</definedName>
    <definedName name="Fertiliser_Equations_AtmosphericDeposition.VEERG_5_4_1_3__2_MassOfNitrogenVolatilisedFromOrganicFertiliser_Variable" localSheetId="19">_xlfn.LAMBDA("M_volorganicjf")</definedName>
    <definedName name="Fertiliser_Equations_AtmosphericDeposition.VEERG_5_4_1_3__2_MassOfNitrogenVolatilisedFromOrganicFertiliser_Variable" localSheetId="20">_xlfn.LAMBDA("M_volorganicjf")</definedName>
    <definedName name="Fertiliser_Equations_AtmosphericDeposition.VEERG_5_4_1_3__2_MassOfNitrogenVolatilisedFromOrganicFertiliser_Variable" localSheetId="21">_xlfn.LAMBDA("M_volorganicjf")</definedName>
    <definedName name="Fertiliser_Equations_AtmosphericDeposition.VEERG_5_4_1_3__2_MassOfNitrogenVolatilisedFromOrganicFertiliser_Variable" localSheetId="22">_xlfn.LAMBDA("M_volorganicjf")</definedName>
    <definedName name="Fertiliser_Equations_AtmosphericDeposition.VEERG_5_4_1_3__2_MassOfNitrogenVolatilisedFromOrganicFertiliser_Variable" localSheetId="27">_xlfn.LAMBDA("M_volorganicjf")</definedName>
    <definedName name="Fertiliser_Equations_AtmosphericDeposition.VEERG_5_4_1_3__2_MassOfNitrogenVolatilisedFromOrganicFertiliser_Variable" localSheetId="30">_xlfn.LAMBDA("M_volorganicjf")</definedName>
    <definedName name="Fertiliser_Equations_AtmosphericDeposition.VEERG_5_4_1_3__2_MassOfNitrogenVolatilisedFromOrganicFertiliser_Variable" localSheetId="6">_xlfn.LAMBDA("M_volorganicjf")</definedName>
    <definedName name="Fertiliser_Equations_AtmosphericDeposition.VEERG_5_4_1_3__2_MassOfNitrogenVolatilisedFromOrganicFertiliser_Variable" localSheetId="34">_xlfn.LAMBDA("M_volorganicjf")</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 localSheetId="15">_xlfn.LAMBDA(_xlpm.MU_jf,_xlpm.EF_ureaCO2,_xlpm.C_CO2, (_xlpm.MU_jf * _xlpm.EF_ureaCO2 * _xlpm.C_CO2) * 10 ^ -3)</definedName>
    <definedName name="Fertiliser_Equations_InorganicCO2.VEERG_5_1_1_3__1_InorganicFertiliserApplicationCO2Emissions" localSheetId="16">_xlfn.LAMBDA(_xlpm.MU_jf,_xlpm.EF_ureaCO2,_xlpm.C_CO2, (_xlpm.MU_jf * _xlpm.EF_ureaCO2 * _xlpm.C_CO2) * 10 ^ -3)</definedName>
    <definedName name="Fertiliser_Equations_InorganicCO2.VEERG_5_1_1_3__1_InorganicFertiliserApplicationCO2Emissions" localSheetId="17">_xlfn.LAMBDA(_xlpm.MU_jf,_xlpm.EF_ureaCO2,_xlpm.C_CO2, (_xlpm.MU_jf * _xlpm.EF_ureaCO2 * _xlpm.C_CO2) * 10 ^ -3)</definedName>
    <definedName name="Fertiliser_Equations_InorganicCO2.VEERG_5_1_1_3__1_InorganicFertiliserApplicationCO2Emissions" localSheetId="18">_xlfn.LAMBDA(_xlpm.MU_jf,_xlpm.EF_ureaCO2,_xlpm.C_CO2, (_xlpm.MU_jf * _xlpm.EF_ureaCO2 * _xlpm.C_CO2) * 10 ^ -3)</definedName>
    <definedName name="Fertiliser_Equations_InorganicCO2.VEERG_5_1_1_3__1_InorganicFertiliserApplicationCO2Emissions" localSheetId="19">_xlfn.LAMBDA(_xlpm.MU_jf,_xlpm.EF_ureaCO2,_xlpm.C_CO2, (_xlpm.MU_jf * _xlpm.EF_ureaCO2 * _xlpm.C_CO2) * 10 ^ -3)</definedName>
    <definedName name="Fertiliser_Equations_InorganicCO2.VEERG_5_1_1_3__1_InorganicFertiliserApplicationCO2Emissions" localSheetId="20">_xlfn.LAMBDA(_xlpm.MU_jf,_xlpm.EF_ureaCO2,_xlpm.C_CO2, (_xlpm.MU_jf * _xlpm.EF_ureaCO2 * _xlpm.C_CO2) * 10 ^ -3)</definedName>
    <definedName name="Fertiliser_Equations_InorganicCO2.VEERG_5_1_1_3__1_InorganicFertiliserApplicationCO2Emissions" localSheetId="21">_xlfn.LAMBDA(_xlpm.MU_jf,_xlpm.EF_ureaCO2,_xlpm.C_CO2, (_xlpm.MU_jf * _xlpm.EF_ureaCO2 * _xlpm.C_CO2) * 10 ^ -3)</definedName>
    <definedName name="Fertiliser_Equations_InorganicCO2.VEERG_5_1_1_3__1_InorganicFertiliserApplicationCO2Emissions" localSheetId="22">_xlfn.LAMBDA(_xlpm.MU_jf,_xlpm.EF_ureaCO2,_xlpm.C_CO2, (_xlpm.MU_jf * _xlpm.EF_ureaCO2 * _xlpm.C_CO2) * 10 ^ -3)</definedName>
    <definedName name="Fertiliser_Equations_InorganicCO2.VEERG_5_1_1_3__1_InorganicFertiliserApplicationCO2Emissions" localSheetId="27">_xlfn.LAMBDA(_xlpm.MU_jf,_xlpm.EF_ureaCO2,_xlpm.C_CO2, (_xlpm.MU_jf * _xlpm.EF_ureaCO2 * _xlpm.C_CO2) * 10 ^ -3)</definedName>
    <definedName name="Fertiliser_Equations_InorganicCO2.VEERG_5_1_1_3__1_InorganicFertiliserApplicationCO2Emissions" localSheetId="30">_xlfn.LAMBDA(_xlpm.MU_jf,_xlpm.EF_ureaCO2,_xlpm.C_CO2, (_xlpm.MU_jf * _xlpm.EF_ureaCO2 * _xlpm.C_CO2) * 10 ^ -3)</definedName>
    <definedName name="Fertiliser_Equations_InorganicCO2.VEERG_5_1_1_3__1_InorganicFertiliserApplicationCO2Emissions" localSheetId="6">_xlfn.LAMBDA(_xlpm.MU_jf,_xlpm.EF_ureaCO2,_xlpm.C_CO2, (_xlpm.MU_jf * _xlpm.EF_ureaCO2 * _xlpm.C_CO2) * 10 ^ -3)</definedName>
    <definedName name="Fertiliser_Equations_InorganicCO2.VEERG_5_1_1_3__1_InorganicFertiliserApplicationCO2Emissions" localSheetId="34">_xlfn.LAMBDA(_xlpm.MU_jf,_xlpm.EF_ureaCO2,_xlpm.C_CO2, (_xlpm.MU_jf * _xlpm.EF_ureaCO2 * _xlpm.C_CO2) * 10 ^ -3)</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 localSheetId="15">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6">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7">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8">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19">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0">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1">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2">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27">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30">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6">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 localSheetId="34">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 localSheetId="15">_xlfn.LAMBDA("E_{CO2}=\sum_{j}\sum_{f}((MU_{jf}\times EF_{urea,CO2}\times C_{CO2})\times 10^{-3})")</definedName>
    <definedName name="Fertiliser_Equations_InorganicCO2.VEERG_5_1_1_3__1_InorganicFertiliserApplicationCO2Emissions_LatexEquation" localSheetId="16">_xlfn.LAMBDA("E_{CO2}=\sum_{j}\sum_{f}((MU_{jf}\times EF_{urea,CO2}\times C_{CO2})\times 10^{-3})")</definedName>
    <definedName name="Fertiliser_Equations_InorganicCO2.VEERG_5_1_1_3__1_InorganicFertiliserApplicationCO2Emissions_LatexEquation" localSheetId="17">_xlfn.LAMBDA("E_{CO2}=\sum_{j}\sum_{f}((MU_{jf}\times EF_{urea,CO2}\times C_{CO2})\times 10^{-3})")</definedName>
    <definedName name="Fertiliser_Equations_InorganicCO2.VEERG_5_1_1_3__1_InorganicFertiliserApplicationCO2Emissions_LatexEquation" localSheetId="18">_xlfn.LAMBDA("E_{CO2}=\sum_{j}\sum_{f}((MU_{jf}\times EF_{urea,CO2}\times C_{CO2})\times 10^{-3})")</definedName>
    <definedName name="Fertiliser_Equations_InorganicCO2.VEERG_5_1_1_3__1_InorganicFertiliserApplicationCO2Emissions_LatexEquation" localSheetId="19">_xlfn.LAMBDA("E_{CO2}=\sum_{j}\sum_{f}((MU_{jf}\times EF_{urea,CO2}\times C_{CO2})\times 10^{-3})")</definedName>
    <definedName name="Fertiliser_Equations_InorganicCO2.VEERG_5_1_1_3__1_InorganicFertiliserApplicationCO2Emissions_LatexEquation" localSheetId="20">_xlfn.LAMBDA("E_{CO2}=\sum_{j}\sum_{f}((MU_{jf}\times EF_{urea,CO2}\times C_{CO2})\times 10^{-3})")</definedName>
    <definedName name="Fertiliser_Equations_InorganicCO2.VEERG_5_1_1_3__1_InorganicFertiliserApplicationCO2Emissions_LatexEquation" localSheetId="21">_xlfn.LAMBDA("E_{CO2}=\sum_{j}\sum_{f}((MU_{jf}\times EF_{urea,CO2}\times C_{CO2})\times 10^{-3})")</definedName>
    <definedName name="Fertiliser_Equations_InorganicCO2.VEERG_5_1_1_3__1_InorganicFertiliserApplicationCO2Emissions_LatexEquation" localSheetId="22">_xlfn.LAMBDA("E_{CO2}=\sum_{j}\sum_{f}((MU_{jf}\times EF_{urea,CO2}\times C_{CO2})\times 10^{-3})")</definedName>
    <definedName name="Fertiliser_Equations_InorganicCO2.VEERG_5_1_1_3__1_InorganicFertiliserApplicationCO2Emissions_LatexEquation" localSheetId="27">_xlfn.LAMBDA("E_{CO2}=\sum_{j}\sum_{f}((MU_{jf}\times EF_{urea,CO2}\times C_{CO2})\times 10^{-3})")</definedName>
    <definedName name="Fertiliser_Equations_InorganicCO2.VEERG_5_1_1_3__1_InorganicFertiliserApplicationCO2Emissions_LatexEquation" localSheetId="30">_xlfn.LAMBDA("E_{CO2}=\sum_{j}\sum_{f}((MU_{jf}\times EF_{urea,CO2}\times C_{CO2})\times 10^{-3})")</definedName>
    <definedName name="Fertiliser_Equations_InorganicCO2.VEERG_5_1_1_3__1_InorganicFertiliserApplicationCO2Emissions_LatexEquation" localSheetId="6">_xlfn.LAMBDA("E_{CO2}=\sum_{j}\sum_{f}((MU_{jf}\times EF_{urea,CO2}\times C_{CO2})\times 10^{-3})")</definedName>
    <definedName name="Fertiliser_Equations_InorganicCO2.VEERG_5_1_1_3__1_InorganicFertiliserApplicationCO2Emissions_LatexEquation" localSheetId="34">_xlfn.LAMBDA("E_{CO2}=\sum_{j}\sum_{f}((MU_{jf}\times EF_{urea,CO2}\times C_{CO2})\times 10^{-3})")</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 localSheetId="15">_xlfn.LAMBDA("")</definedName>
    <definedName name="Fertiliser_Equations_InorganicCO2.VEERG_5_1_1_3__1_InorganicFertiliserApplicationCO2Emissions_NIRReference" localSheetId="16">_xlfn.LAMBDA("")</definedName>
    <definedName name="Fertiliser_Equations_InorganicCO2.VEERG_5_1_1_3__1_InorganicFertiliserApplicationCO2Emissions_NIRReference" localSheetId="17">_xlfn.LAMBDA("")</definedName>
    <definedName name="Fertiliser_Equations_InorganicCO2.VEERG_5_1_1_3__1_InorganicFertiliserApplicationCO2Emissions_NIRReference" localSheetId="18">_xlfn.LAMBDA("")</definedName>
    <definedName name="Fertiliser_Equations_InorganicCO2.VEERG_5_1_1_3__1_InorganicFertiliserApplicationCO2Emissions_NIRReference" localSheetId="19">_xlfn.LAMBDA("")</definedName>
    <definedName name="Fertiliser_Equations_InorganicCO2.VEERG_5_1_1_3__1_InorganicFertiliserApplicationCO2Emissions_NIRReference" localSheetId="20">_xlfn.LAMBDA("")</definedName>
    <definedName name="Fertiliser_Equations_InorganicCO2.VEERG_5_1_1_3__1_InorganicFertiliserApplicationCO2Emissions_NIRReference" localSheetId="21">_xlfn.LAMBDA("")</definedName>
    <definedName name="Fertiliser_Equations_InorganicCO2.VEERG_5_1_1_3__1_InorganicFertiliserApplicationCO2Emissions_NIRReference" localSheetId="22">_xlfn.LAMBDA("")</definedName>
    <definedName name="Fertiliser_Equations_InorganicCO2.VEERG_5_1_1_3__1_InorganicFertiliserApplicationCO2Emissions_NIRReference" localSheetId="27">_xlfn.LAMBDA("")</definedName>
    <definedName name="Fertiliser_Equations_InorganicCO2.VEERG_5_1_1_3__1_InorganicFertiliserApplicationCO2Emissions_NIRReference" localSheetId="30">_xlfn.LAMBDA("")</definedName>
    <definedName name="Fertiliser_Equations_InorganicCO2.VEERG_5_1_1_3__1_InorganicFertiliserApplicationCO2Emissions_NIRReference" localSheetId="6">_xlfn.LAMBDA("")</definedName>
    <definedName name="Fertiliser_Equations_InorganicCO2.VEERG_5_1_1_3__1_InorganicFertiliserApplicationCO2Emissions_NIRReference" localSheetId="34">_xlfn.LAMBDA("")</definedName>
    <definedName name="Fertiliser_Equations_InorganicCO2.VEERG_5_1_1_3__1_InorganicFertiliserApplicationCO2Emissions_NIRReference">_xlfn.LAMBDA("")</definedName>
    <definedName name="Fertiliser_Equations_InorganicCO2.VEERG_5_1_1_3__1_InorganicFertiliserApplicationCO2Emissions_Source" localSheetId="15">_xlfn.LAMBDA("VEERG 2026: 5.1.1.3, Equation (1)")</definedName>
    <definedName name="Fertiliser_Equations_InorganicCO2.VEERG_5_1_1_3__1_InorganicFertiliserApplicationCO2Emissions_Source" localSheetId="16">_xlfn.LAMBDA("VEERG 2026: 5.1.1.3, Equation (1)")</definedName>
    <definedName name="Fertiliser_Equations_InorganicCO2.VEERG_5_1_1_3__1_InorganicFertiliserApplicationCO2Emissions_Source" localSheetId="17">_xlfn.LAMBDA("VEERG 2026: 5.1.1.3, Equation (1)")</definedName>
    <definedName name="Fertiliser_Equations_InorganicCO2.VEERG_5_1_1_3__1_InorganicFertiliserApplicationCO2Emissions_Source" localSheetId="18">_xlfn.LAMBDA("VEERG 2026: 5.1.1.3, Equation (1)")</definedName>
    <definedName name="Fertiliser_Equations_InorganicCO2.VEERG_5_1_1_3__1_InorganicFertiliserApplicationCO2Emissions_Source" localSheetId="19">_xlfn.LAMBDA("VEERG 2026: 5.1.1.3, Equation (1)")</definedName>
    <definedName name="Fertiliser_Equations_InorganicCO2.VEERG_5_1_1_3__1_InorganicFertiliserApplicationCO2Emissions_Source" localSheetId="20">_xlfn.LAMBDA("VEERG 2026: 5.1.1.3, Equation (1)")</definedName>
    <definedName name="Fertiliser_Equations_InorganicCO2.VEERG_5_1_1_3__1_InorganicFertiliserApplicationCO2Emissions_Source" localSheetId="21">_xlfn.LAMBDA("VEERG 2026: 5.1.1.3, Equation (1)")</definedName>
    <definedName name="Fertiliser_Equations_InorganicCO2.VEERG_5_1_1_3__1_InorganicFertiliserApplicationCO2Emissions_Source" localSheetId="22">_xlfn.LAMBDA("VEERG 2026: 5.1.1.3, Equation (1)")</definedName>
    <definedName name="Fertiliser_Equations_InorganicCO2.VEERG_5_1_1_3__1_InorganicFertiliserApplicationCO2Emissions_Source" localSheetId="27">_xlfn.LAMBDA("VEERG 2026: 5.1.1.3, Equation (1)")</definedName>
    <definedName name="Fertiliser_Equations_InorganicCO2.VEERG_5_1_1_3__1_InorganicFertiliserApplicationCO2Emissions_Source" localSheetId="30">_xlfn.LAMBDA("VEERG 2026: 5.1.1.3, Equation (1)")</definedName>
    <definedName name="Fertiliser_Equations_InorganicCO2.VEERG_5_1_1_3__1_InorganicFertiliserApplicationCO2Emissions_Source" localSheetId="6">_xlfn.LAMBDA("VEERG 2026: 5.1.1.3, Equation (1)")</definedName>
    <definedName name="Fertiliser_Equations_InorganicCO2.VEERG_5_1_1_3__1_InorganicFertiliserApplicationCO2Emissions_Source" localSheetId="34">_xlfn.LAMBDA("VEERG 2026: 5.1.1.3, Equation (1)")</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 localSheetId="15">_xlfn.LAMBDA("Carbon dioxide emissions resulting from the use of all inorganic, urea-based fertilisers")</definedName>
    <definedName name="Fertiliser_Equations_InorganicCO2.VEERG_5_1_1_3__1_InorganicFertiliserApplicationCO2Emissions_Title" localSheetId="16">_xlfn.LAMBDA("Carbon dioxide emissions resulting from the use of all inorganic, urea-based fertilisers")</definedName>
    <definedName name="Fertiliser_Equations_InorganicCO2.VEERG_5_1_1_3__1_InorganicFertiliserApplicationCO2Emissions_Title" localSheetId="17">_xlfn.LAMBDA("Carbon dioxide emissions resulting from the use of all inorganic, urea-based fertilisers")</definedName>
    <definedName name="Fertiliser_Equations_InorganicCO2.VEERG_5_1_1_3__1_InorganicFertiliserApplicationCO2Emissions_Title" localSheetId="18">_xlfn.LAMBDA("Carbon dioxide emissions resulting from the use of all inorganic, urea-based fertilisers")</definedName>
    <definedName name="Fertiliser_Equations_InorganicCO2.VEERG_5_1_1_3__1_InorganicFertiliserApplicationCO2Emissions_Title" localSheetId="19">_xlfn.LAMBDA("Carbon dioxide emissions resulting from the use of all inorganic, urea-based fertilisers")</definedName>
    <definedName name="Fertiliser_Equations_InorganicCO2.VEERG_5_1_1_3__1_InorganicFertiliserApplicationCO2Emissions_Title" localSheetId="20">_xlfn.LAMBDA("Carbon dioxide emissions resulting from the use of all inorganic, urea-based fertilisers")</definedName>
    <definedName name="Fertiliser_Equations_InorganicCO2.VEERG_5_1_1_3__1_InorganicFertiliserApplicationCO2Emissions_Title" localSheetId="21">_xlfn.LAMBDA("Carbon dioxide emissions resulting from the use of all inorganic, urea-based fertilisers")</definedName>
    <definedName name="Fertiliser_Equations_InorganicCO2.VEERG_5_1_1_3__1_InorganicFertiliserApplicationCO2Emissions_Title" localSheetId="22">_xlfn.LAMBDA("Carbon dioxide emissions resulting from the use of all inorganic, urea-based fertilisers")</definedName>
    <definedName name="Fertiliser_Equations_InorganicCO2.VEERG_5_1_1_3__1_InorganicFertiliserApplicationCO2Emissions_Title" localSheetId="27">_xlfn.LAMBDA("Carbon dioxide emissions resulting from the use of all inorganic, urea-based fertilisers")</definedName>
    <definedName name="Fertiliser_Equations_InorganicCO2.VEERG_5_1_1_3__1_InorganicFertiliserApplicationCO2Emissions_Title" localSheetId="30">_xlfn.LAMBDA("Carbon dioxide emissions resulting from the use of all inorganic, urea-based fertilisers")</definedName>
    <definedName name="Fertiliser_Equations_InorganicCO2.VEERG_5_1_1_3__1_InorganicFertiliserApplicationCO2Emissions_Title" localSheetId="6">_xlfn.LAMBDA("Carbon dioxide emissions resulting from the use of all inorganic, urea-based fertilisers")</definedName>
    <definedName name="Fertiliser_Equations_InorganicCO2.VEERG_5_1_1_3__1_InorganicFertiliserApplicationCO2Emissions_Title" localSheetId="34">_xlfn.LAMBDA("Carbon dioxide emissions resulting from the use of all inorganic, urea-based fertilisers")</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 localSheetId="15">_xlfn.LAMBDA("t CO2")</definedName>
    <definedName name="Fertiliser_Equations_InorganicCO2.VEERG_5_1_1_3__1_InorganicFertiliserApplicationCO2Emissions_Unit" localSheetId="16">_xlfn.LAMBDA("t CO2")</definedName>
    <definedName name="Fertiliser_Equations_InorganicCO2.VEERG_5_1_1_3__1_InorganicFertiliserApplicationCO2Emissions_Unit" localSheetId="17">_xlfn.LAMBDA("t CO2")</definedName>
    <definedName name="Fertiliser_Equations_InorganicCO2.VEERG_5_1_1_3__1_InorganicFertiliserApplicationCO2Emissions_Unit" localSheetId="18">_xlfn.LAMBDA("t CO2")</definedName>
    <definedName name="Fertiliser_Equations_InorganicCO2.VEERG_5_1_1_3__1_InorganicFertiliserApplicationCO2Emissions_Unit" localSheetId="19">_xlfn.LAMBDA("t CO2")</definedName>
    <definedName name="Fertiliser_Equations_InorganicCO2.VEERG_5_1_1_3__1_InorganicFertiliserApplicationCO2Emissions_Unit" localSheetId="20">_xlfn.LAMBDA("t CO2")</definedName>
    <definedName name="Fertiliser_Equations_InorganicCO2.VEERG_5_1_1_3__1_InorganicFertiliserApplicationCO2Emissions_Unit" localSheetId="21">_xlfn.LAMBDA("t CO2")</definedName>
    <definedName name="Fertiliser_Equations_InorganicCO2.VEERG_5_1_1_3__1_InorganicFertiliserApplicationCO2Emissions_Unit" localSheetId="22">_xlfn.LAMBDA("t CO2")</definedName>
    <definedName name="Fertiliser_Equations_InorganicCO2.VEERG_5_1_1_3__1_InorganicFertiliserApplicationCO2Emissions_Unit" localSheetId="27">_xlfn.LAMBDA("t CO2")</definedName>
    <definedName name="Fertiliser_Equations_InorganicCO2.VEERG_5_1_1_3__1_InorganicFertiliserApplicationCO2Emissions_Unit" localSheetId="30">_xlfn.LAMBDA("t CO2")</definedName>
    <definedName name="Fertiliser_Equations_InorganicCO2.VEERG_5_1_1_3__1_InorganicFertiliserApplicationCO2Emissions_Unit" localSheetId="6">_xlfn.LAMBDA("t CO2")</definedName>
    <definedName name="Fertiliser_Equations_InorganicCO2.VEERG_5_1_1_3__1_InorganicFertiliserApplicationCO2Emissions_Unit" localSheetId="34">_xlfn.LAMBDA("t CO2")</definedName>
    <definedName name="Fertiliser_Equations_InorganicCO2.VEERG_5_1_1_3__1_InorganicFertiliserApplicationCO2Emissions_Unit">_xlfn.LAMBDA("t CO2")</definedName>
    <definedName name="Fertiliser_Equations_InorganicCO2.VEERG_5_1_1_3__1_InorganicFertiliserApplicationCO2Emissions_Variable" localSheetId="15">_xlfn.LAMBDA("E_CO2")</definedName>
    <definedName name="Fertiliser_Equations_InorganicCO2.VEERG_5_1_1_3__1_InorganicFertiliserApplicationCO2Emissions_Variable" localSheetId="16">_xlfn.LAMBDA("E_CO2")</definedName>
    <definedName name="Fertiliser_Equations_InorganicCO2.VEERG_5_1_1_3__1_InorganicFertiliserApplicationCO2Emissions_Variable" localSheetId="17">_xlfn.LAMBDA("E_CO2")</definedName>
    <definedName name="Fertiliser_Equations_InorganicCO2.VEERG_5_1_1_3__1_InorganicFertiliserApplicationCO2Emissions_Variable" localSheetId="18">_xlfn.LAMBDA("E_CO2")</definedName>
    <definedName name="Fertiliser_Equations_InorganicCO2.VEERG_5_1_1_3__1_InorganicFertiliserApplicationCO2Emissions_Variable" localSheetId="19">_xlfn.LAMBDA("E_CO2")</definedName>
    <definedName name="Fertiliser_Equations_InorganicCO2.VEERG_5_1_1_3__1_InorganicFertiliserApplicationCO2Emissions_Variable" localSheetId="20">_xlfn.LAMBDA("E_CO2")</definedName>
    <definedName name="Fertiliser_Equations_InorganicCO2.VEERG_5_1_1_3__1_InorganicFertiliserApplicationCO2Emissions_Variable" localSheetId="21">_xlfn.LAMBDA("E_CO2")</definedName>
    <definedName name="Fertiliser_Equations_InorganicCO2.VEERG_5_1_1_3__1_InorganicFertiliserApplicationCO2Emissions_Variable" localSheetId="22">_xlfn.LAMBDA("E_CO2")</definedName>
    <definedName name="Fertiliser_Equations_InorganicCO2.VEERG_5_1_1_3__1_InorganicFertiliserApplicationCO2Emissions_Variable" localSheetId="27">_xlfn.LAMBDA("E_CO2")</definedName>
    <definedName name="Fertiliser_Equations_InorganicCO2.VEERG_5_1_1_3__1_InorganicFertiliserApplicationCO2Emissions_Variable" localSheetId="30">_xlfn.LAMBDA("E_CO2")</definedName>
    <definedName name="Fertiliser_Equations_InorganicCO2.VEERG_5_1_1_3__1_InorganicFertiliserApplicationCO2Emissions_Variable" localSheetId="6">_xlfn.LAMBDA("E_CO2")</definedName>
    <definedName name="Fertiliser_Equations_InorganicCO2.VEERG_5_1_1_3__1_InorganicFertiliserApplicationCO2Emissions_Variable" localSheetId="34">_xlfn.LAMBDA("E_CO2")</definedName>
    <definedName name="Fertiliser_Equations_InorganicCO2.VEERG_5_1_1_3__1_InorganicFertiliserApplicationCO2Emissions_Variable">_xlfn.LAMBDA("E_CO2")</definedName>
    <definedName name="Fertiliser_Equations_InorganicCO2.VEERG_5_1_1_3__2_MassOfUreaInInorganicFertiliser" localSheetId="15">_xlfn.LAMBDA(_xlpm.TM_jf,_xlpm.FU_f, _xlpm.TM_jf * _xlpm.FU_f)</definedName>
    <definedName name="Fertiliser_Equations_InorganicCO2.VEERG_5_1_1_3__2_MassOfUreaInInorganicFertiliser" localSheetId="16">_xlfn.LAMBDA(_xlpm.TM_jf,_xlpm.FU_f, _xlpm.TM_jf * _xlpm.FU_f)</definedName>
    <definedName name="Fertiliser_Equations_InorganicCO2.VEERG_5_1_1_3__2_MassOfUreaInInorganicFertiliser" localSheetId="17">_xlfn.LAMBDA(_xlpm.TM_jf,_xlpm.FU_f, _xlpm.TM_jf * _xlpm.FU_f)</definedName>
    <definedName name="Fertiliser_Equations_InorganicCO2.VEERG_5_1_1_3__2_MassOfUreaInInorganicFertiliser" localSheetId="18">_xlfn.LAMBDA(_xlpm.TM_jf,_xlpm.FU_f, _xlpm.TM_jf * _xlpm.FU_f)</definedName>
    <definedName name="Fertiliser_Equations_InorganicCO2.VEERG_5_1_1_3__2_MassOfUreaInInorganicFertiliser" localSheetId="19">_xlfn.LAMBDA(_xlpm.TM_jf,_xlpm.FU_f, _xlpm.TM_jf * _xlpm.FU_f)</definedName>
    <definedName name="Fertiliser_Equations_InorganicCO2.VEERG_5_1_1_3__2_MassOfUreaInInorganicFertiliser" localSheetId="20">_xlfn.LAMBDA(_xlpm.TM_jf,_xlpm.FU_f, _xlpm.TM_jf * _xlpm.FU_f)</definedName>
    <definedName name="Fertiliser_Equations_InorganicCO2.VEERG_5_1_1_3__2_MassOfUreaInInorganicFertiliser" localSheetId="21">_xlfn.LAMBDA(_xlpm.TM_jf,_xlpm.FU_f, _xlpm.TM_jf * _xlpm.FU_f)</definedName>
    <definedName name="Fertiliser_Equations_InorganicCO2.VEERG_5_1_1_3__2_MassOfUreaInInorganicFertiliser" localSheetId="22">_xlfn.LAMBDA(_xlpm.TM_jf,_xlpm.FU_f, _xlpm.TM_jf * _xlpm.FU_f)</definedName>
    <definedName name="Fertiliser_Equations_InorganicCO2.VEERG_5_1_1_3__2_MassOfUreaInInorganicFertiliser" localSheetId="27">_xlfn.LAMBDA(_xlpm.TM_jf,_xlpm.FU_f, _xlpm.TM_jf * _xlpm.FU_f)</definedName>
    <definedName name="Fertiliser_Equations_InorganicCO2.VEERG_5_1_1_3__2_MassOfUreaInInorganicFertiliser" localSheetId="30">_xlfn.LAMBDA(_xlpm.TM_jf,_xlpm.FU_f, _xlpm.TM_jf * _xlpm.FU_f)</definedName>
    <definedName name="Fertiliser_Equations_InorganicCO2.VEERG_5_1_1_3__2_MassOfUreaInInorganicFertiliser" localSheetId="6">_xlfn.LAMBDA(_xlpm.TM_jf,_xlpm.FU_f, _xlpm.TM_jf * _xlpm.FU_f)</definedName>
    <definedName name="Fertiliser_Equations_InorganicCO2.VEERG_5_1_1_3__2_MassOfUreaInInorganicFertiliser" localSheetId="34">_xlfn.LAMBDA(_xlpm.TM_jf,_xlpm.FU_f, _xlpm.TM_jf * _xlpm.FU_f)</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 localSheetId="15">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6">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7">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8">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19">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0">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1">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2">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27">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30">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6">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 localSheetId="34">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 localSheetId="15">_xlfn.LAMBDA("{MU}_{jf}=TM_{jf}\times FU_f")</definedName>
    <definedName name="Fertiliser_Equations_InorganicCO2.VEERG_5_1_1_3__2_MassOfUreaInInorganicFertiliser_LatexEquation" localSheetId="16">_xlfn.LAMBDA("{MU}_{jf}=TM_{jf}\times FU_f")</definedName>
    <definedName name="Fertiliser_Equations_InorganicCO2.VEERG_5_1_1_3__2_MassOfUreaInInorganicFertiliser_LatexEquation" localSheetId="17">_xlfn.LAMBDA("{MU}_{jf}=TM_{jf}\times FU_f")</definedName>
    <definedName name="Fertiliser_Equations_InorganicCO2.VEERG_5_1_1_3__2_MassOfUreaInInorganicFertiliser_LatexEquation" localSheetId="18">_xlfn.LAMBDA("{MU}_{jf}=TM_{jf}\times FU_f")</definedName>
    <definedName name="Fertiliser_Equations_InorganicCO2.VEERG_5_1_1_3__2_MassOfUreaInInorganicFertiliser_LatexEquation" localSheetId="19">_xlfn.LAMBDA("{MU}_{jf}=TM_{jf}\times FU_f")</definedName>
    <definedName name="Fertiliser_Equations_InorganicCO2.VEERG_5_1_1_3__2_MassOfUreaInInorganicFertiliser_LatexEquation" localSheetId="20">_xlfn.LAMBDA("{MU}_{jf}=TM_{jf}\times FU_f")</definedName>
    <definedName name="Fertiliser_Equations_InorganicCO2.VEERG_5_1_1_3__2_MassOfUreaInInorganicFertiliser_LatexEquation" localSheetId="21">_xlfn.LAMBDA("{MU}_{jf}=TM_{jf}\times FU_f")</definedName>
    <definedName name="Fertiliser_Equations_InorganicCO2.VEERG_5_1_1_3__2_MassOfUreaInInorganicFertiliser_LatexEquation" localSheetId="22">_xlfn.LAMBDA("{MU}_{jf}=TM_{jf}\times FU_f")</definedName>
    <definedName name="Fertiliser_Equations_InorganicCO2.VEERG_5_1_1_3__2_MassOfUreaInInorganicFertiliser_LatexEquation" localSheetId="27">_xlfn.LAMBDA("{MU}_{jf}=TM_{jf}\times FU_f")</definedName>
    <definedName name="Fertiliser_Equations_InorganicCO2.VEERG_5_1_1_3__2_MassOfUreaInInorganicFertiliser_LatexEquation" localSheetId="30">_xlfn.LAMBDA("{MU}_{jf}=TM_{jf}\times FU_f")</definedName>
    <definedName name="Fertiliser_Equations_InorganicCO2.VEERG_5_1_1_3__2_MassOfUreaInInorganicFertiliser_LatexEquation" localSheetId="6">_xlfn.LAMBDA("{MU}_{jf}=TM_{jf}\times FU_f")</definedName>
    <definedName name="Fertiliser_Equations_InorganicCO2.VEERG_5_1_1_3__2_MassOfUreaInInorganicFertiliser_LatexEquation" localSheetId="34">_xlfn.LAMBDA("{MU}_{jf}=TM_{jf}\times FU_f")</definedName>
    <definedName name="Fertiliser_Equations_InorganicCO2.VEERG_5_1_1_3__2_MassOfUreaInInorganicFertiliser_LatexEquation">_xlfn.LAMBDA("{MU}_{jf}=TM_{jf}\times FU_f")</definedName>
    <definedName name="Fertiliser_Equations_InorganicCO2.VEERG_5_1_1_3__2_MassOfUreaInInorganicFertiliser_NIRReference" localSheetId="15">_xlfn.LAMBDA("")</definedName>
    <definedName name="Fertiliser_Equations_InorganicCO2.VEERG_5_1_1_3__2_MassOfUreaInInorganicFertiliser_NIRReference" localSheetId="16">_xlfn.LAMBDA("")</definedName>
    <definedName name="Fertiliser_Equations_InorganicCO2.VEERG_5_1_1_3__2_MassOfUreaInInorganicFertiliser_NIRReference" localSheetId="17">_xlfn.LAMBDA("")</definedName>
    <definedName name="Fertiliser_Equations_InorganicCO2.VEERG_5_1_1_3__2_MassOfUreaInInorganicFertiliser_NIRReference" localSheetId="18">_xlfn.LAMBDA("")</definedName>
    <definedName name="Fertiliser_Equations_InorganicCO2.VEERG_5_1_1_3__2_MassOfUreaInInorganicFertiliser_NIRReference" localSheetId="19">_xlfn.LAMBDA("")</definedName>
    <definedName name="Fertiliser_Equations_InorganicCO2.VEERG_5_1_1_3__2_MassOfUreaInInorganicFertiliser_NIRReference" localSheetId="20">_xlfn.LAMBDA("")</definedName>
    <definedName name="Fertiliser_Equations_InorganicCO2.VEERG_5_1_1_3__2_MassOfUreaInInorganicFertiliser_NIRReference" localSheetId="21">_xlfn.LAMBDA("")</definedName>
    <definedName name="Fertiliser_Equations_InorganicCO2.VEERG_5_1_1_3__2_MassOfUreaInInorganicFertiliser_NIRReference" localSheetId="22">_xlfn.LAMBDA("")</definedName>
    <definedName name="Fertiliser_Equations_InorganicCO2.VEERG_5_1_1_3__2_MassOfUreaInInorganicFertiliser_NIRReference" localSheetId="27">_xlfn.LAMBDA("")</definedName>
    <definedName name="Fertiliser_Equations_InorganicCO2.VEERG_5_1_1_3__2_MassOfUreaInInorganicFertiliser_NIRReference" localSheetId="30">_xlfn.LAMBDA("")</definedName>
    <definedName name="Fertiliser_Equations_InorganicCO2.VEERG_5_1_1_3__2_MassOfUreaInInorganicFertiliser_NIRReference" localSheetId="6">_xlfn.LAMBDA("")</definedName>
    <definedName name="Fertiliser_Equations_InorganicCO2.VEERG_5_1_1_3__2_MassOfUreaInInorganicFertiliser_NIRReference" localSheetId="34">_xlfn.LAMBDA("")</definedName>
    <definedName name="Fertiliser_Equations_InorganicCO2.VEERG_5_1_1_3__2_MassOfUreaInInorganicFertiliser_NIRReference">_xlfn.LAMBDA("")</definedName>
    <definedName name="Fertiliser_Equations_InorganicCO2.VEERG_5_1_1_3__2_MassOfUreaInInorganicFertiliser_Source" localSheetId="15">_xlfn.LAMBDA("VEERG 2026: 5.1.1.3, Equation (2)")</definedName>
    <definedName name="Fertiliser_Equations_InorganicCO2.VEERG_5_1_1_3__2_MassOfUreaInInorganicFertiliser_Source" localSheetId="16">_xlfn.LAMBDA("VEERG 2026: 5.1.1.3, Equation (2)")</definedName>
    <definedName name="Fertiliser_Equations_InorganicCO2.VEERG_5_1_1_3__2_MassOfUreaInInorganicFertiliser_Source" localSheetId="17">_xlfn.LAMBDA("VEERG 2026: 5.1.1.3, Equation (2)")</definedName>
    <definedName name="Fertiliser_Equations_InorganicCO2.VEERG_5_1_1_3__2_MassOfUreaInInorganicFertiliser_Source" localSheetId="18">_xlfn.LAMBDA("VEERG 2026: 5.1.1.3, Equation (2)")</definedName>
    <definedName name="Fertiliser_Equations_InorganicCO2.VEERG_5_1_1_3__2_MassOfUreaInInorganicFertiliser_Source" localSheetId="19">_xlfn.LAMBDA("VEERG 2026: 5.1.1.3, Equation (2)")</definedName>
    <definedName name="Fertiliser_Equations_InorganicCO2.VEERG_5_1_1_3__2_MassOfUreaInInorganicFertiliser_Source" localSheetId="20">_xlfn.LAMBDA("VEERG 2026: 5.1.1.3, Equation (2)")</definedName>
    <definedName name="Fertiliser_Equations_InorganicCO2.VEERG_5_1_1_3__2_MassOfUreaInInorganicFertiliser_Source" localSheetId="21">_xlfn.LAMBDA("VEERG 2026: 5.1.1.3, Equation (2)")</definedName>
    <definedName name="Fertiliser_Equations_InorganicCO2.VEERG_5_1_1_3__2_MassOfUreaInInorganicFertiliser_Source" localSheetId="22">_xlfn.LAMBDA("VEERG 2026: 5.1.1.3, Equation (2)")</definedName>
    <definedName name="Fertiliser_Equations_InorganicCO2.VEERG_5_1_1_3__2_MassOfUreaInInorganicFertiliser_Source" localSheetId="27">_xlfn.LAMBDA("VEERG 2026: 5.1.1.3, Equation (2)")</definedName>
    <definedName name="Fertiliser_Equations_InorganicCO2.VEERG_5_1_1_3__2_MassOfUreaInInorganicFertiliser_Source" localSheetId="30">_xlfn.LAMBDA("VEERG 2026: 5.1.1.3, Equation (2)")</definedName>
    <definedName name="Fertiliser_Equations_InorganicCO2.VEERG_5_1_1_3__2_MassOfUreaInInorganicFertiliser_Source" localSheetId="6">_xlfn.LAMBDA("VEERG 2026: 5.1.1.3, Equation (2)")</definedName>
    <definedName name="Fertiliser_Equations_InorganicCO2.VEERG_5_1_1_3__2_MassOfUreaInInorganicFertiliser_Source" localSheetId="34">_xlfn.LAMBDA("VEERG 2026: 5.1.1.3, Equation (2)")</definedName>
    <definedName name="Fertiliser_Equations_InorganicCO2.VEERG_5_1_1_3__2_MassOfUreaInInorganicFertiliser_Source">_xlfn.LAMBDA("VEERG 2026: 5.1.1.3, Equation (2)")</definedName>
    <definedName name="Fertiliser_Equations_InorganicCO2.VEERG_5_1_1_3__2_MassOfUreaInInorganicFertiliser_Title" localSheetId="15">_xlfn.LAMBDA("Mass of urea applied to production system")</definedName>
    <definedName name="Fertiliser_Equations_InorganicCO2.VEERG_5_1_1_3__2_MassOfUreaInInorganicFertiliser_Title" localSheetId="16">_xlfn.LAMBDA("Mass of urea applied to production system")</definedName>
    <definedName name="Fertiliser_Equations_InorganicCO2.VEERG_5_1_1_3__2_MassOfUreaInInorganicFertiliser_Title" localSheetId="17">_xlfn.LAMBDA("Mass of urea applied to production system")</definedName>
    <definedName name="Fertiliser_Equations_InorganicCO2.VEERG_5_1_1_3__2_MassOfUreaInInorganicFertiliser_Title" localSheetId="18">_xlfn.LAMBDA("Mass of urea applied to production system")</definedName>
    <definedName name="Fertiliser_Equations_InorganicCO2.VEERG_5_1_1_3__2_MassOfUreaInInorganicFertiliser_Title" localSheetId="19">_xlfn.LAMBDA("Mass of urea applied to production system")</definedName>
    <definedName name="Fertiliser_Equations_InorganicCO2.VEERG_5_1_1_3__2_MassOfUreaInInorganicFertiliser_Title" localSheetId="20">_xlfn.LAMBDA("Mass of urea applied to production system")</definedName>
    <definedName name="Fertiliser_Equations_InorganicCO2.VEERG_5_1_1_3__2_MassOfUreaInInorganicFertiliser_Title" localSheetId="21">_xlfn.LAMBDA("Mass of urea applied to production system")</definedName>
    <definedName name="Fertiliser_Equations_InorganicCO2.VEERG_5_1_1_3__2_MassOfUreaInInorganicFertiliser_Title" localSheetId="22">_xlfn.LAMBDA("Mass of urea applied to production system")</definedName>
    <definedName name="Fertiliser_Equations_InorganicCO2.VEERG_5_1_1_3__2_MassOfUreaInInorganicFertiliser_Title" localSheetId="27">_xlfn.LAMBDA("Mass of urea applied to production system")</definedName>
    <definedName name="Fertiliser_Equations_InorganicCO2.VEERG_5_1_1_3__2_MassOfUreaInInorganicFertiliser_Title" localSheetId="30">_xlfn.LAMBDA("Mass of urea applied to production system")</definedName>
    <definedName name="Fertiliser_Equations_InorganicCO2.VEERG_5_1_1_3__2_MassOfUreaInInorganicFertiliser_Title" localSheetId="6">_xlfn.LAMBDA("Mass of urea applied to production system")</definedName>
    <definedName name="Fertiliser_Equations_InorganicCO2.VEERG_5_1_1_3__2_MassOfUreaInInorganicFertiliser_Title" localSheetId="34">_xlfn.LAMBDA("Mass of urea applied to production system")</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 localSheetId="15">_xlfn.LAMBDA("kg urea")</definedName>
    <definedName name="Fertiliser_Equations_InorganicCO2.VEERG_5_1_1_3__2_MassOfUreaInInorganicFertiliser_Unit" localSheetId="16">_xlfn.LAMBDA("kg urea")</definedName>
    <definedName name="Fertiliser_Equations_InorganicCO2.VEERG_5_1_1_3__2_MassOfUreaInInorganicFertiliser_Unit" localSheetId="17">_xlfn.LAMBDA("kg urea")</definedName>
    <definedName name="Fertiliser_Equations_InorganicCO2.VEERG_5_1_1_3__2_MassOfUreaInInorganicFertiliser_Unit" localSheetId="18">_xlfn.LAMBDA("kg urea")</definedName>
    <definedName name="Fertiliser_Equations_InorganicCO2.VEERG_5_1_1_3__2_MassOfUreaInInorganicFertiliser_Unit" localSheetId="19">_xlfn.LAMBDA("kg urea")</definedName>
    <definedName name="Fertiliser_Equations_InorganicCO2.VEERG_5_1_1_3__2_MassOfUreaInInorganicFertiliser_Unit" localSheetId="20">_xlfn.LAMBDA("kg urea")</definedName>
    <definedName name="Fertiliser_Equations_InorganicCO2.VEERG_5_1_1_3__2_MassOfUreaInInorganicFertiliser_Unit" localSheetId="21">_xlfn.LAMBDA("kg urea")</definedName>
    <definedName name="Fertiliser_Equations_InorganicCO2.VEERG_5_1_1_3__2_MassOfUreaInInorganicFertiliser_Unit" localSheetId="22">_xlfn.LAMBDA("kg urea")</definedName>
    <definedName name="Fertiliser_Equations_InorganicCO2.VEERG_5_1_1_3__2_MassOfUreaInInorganicFertiliser_Unit" localSheetId="27">_xlfn.LAMBDA("kg urea")</definedName>
    <definedName name="Fertiliser_Equations_InorganicCO2.VEERG_5_1_1_3__2_MassOfUreaInInorganicFertiliser_Unit" localSheetId="30">_xlfn.LAMBDA("kg urea")</definedName>
    <definedName name="Fertiliser_Equations_InorganicCO2.VEERG_5_1_1_3__2_MassOfUreaInInorganicFertiliser_Unit" localSheetId="6">_xlfn.LAMBDA("kg urea")</definedName>
    <definedName name="Fertiliser_Equations_InorganicCO2.VEERG_5_1_1_3__2_MassOfUreaInInorganicFertiliser_Unit" localSheetId="34">_xlfn.LAMBDA("kg urea")</definedName>
    <definedName name="Fertiliser_Equations_InorganicCO2.VEERG_5_1_1_3__2_MassOfUreaInInorganicFertiliser_Unit">_xlfn.LAMBDA("kg urea")</definedName>
    <definedName name="Fertiliser_Equations_InorganicCO2.VEERG_5_1_1_3__2_MassOfUreaInInorganicFertiliser_Variable" localSheetId="15">_xlfn.LAMBDA("MU_jf")</definedName>
    <definedName name="Fertiliser_Equations_InorganicCO2.VEERG_5_1_1_3__2_MassOfUreaInInorganicFertiliser_Variable" localSheetId="16">_xlfn.LAMBDA("MU_jf")</definedName>
    <definedName name="Fertiliser_Equations_InorganicCO2.VEERG_5_1_1_3__2_MassOfUreaInInorganicFertiliser_Variable" localSheetId="17">_xlfn.LAMBDA("MU_jf")</definedName>
    <definedName name="Fertiliser_Equations_InorganicCO2.VEERG_5_1_1_3__2_MassOfUreaInInorganicFertiliser_Variable" localSheetId="18">_xlfn.LAMBDA("MU_jf")</definedName>
    <definedName name="Fertiliser_Equations_InorganicCO2.VEERG_5_1_1_3__2_MassOfUreaInInorganicFertiliser_Variable" localSheetId="19">_xlfn.LAMBDA("MU_jf")</definedName>
    <definedName name="Fertiliser_Equations_InorganicCO2.VEERG_5_1_1_3__2_MassOfUreaInInorganicFertiliser_Variable" localSheetId="20">_xlfn.LAMBDA("MU_jf")</definedName>
    <definedName name="Fertiliser_Equations_InorganicCO2.VEERG_5_1_1_3__2_MassOfUreaInInorganicFertiliser_Variable" localSheetId="21">_xlfn.LAMBDA("MU_jf")</definedName>
    <definedName name="Fertiliser_Equations_InorganicCO2.VEERG_5_1_1_3__2_MassOfUreaInInorganicFertiliser_Variable" localSheetId="22">_xlfn.LAMBDA("MU_jf")</definedName>
    <definedName name="Fertiliser_Equations_InorganicCO2.VEERG_5_1_1_3__2_MassOfUreaInInorganicFertiliser_Variable" localSheetId="27">_xlfn.LAMBDA("MU_jf")</definedName>
    <definedName name="Fertiliser_Equations_InorganicCO2.VEERG_5_1_1_3__2_MassOfUreaInInorganicFertiliser_Variable" localSheetId="30">_xlfn.LAMBDA("MU_jf")</definedName>
    <definedName name="Fertiliser_Equations_InorganicCO2.VEERG_5_1_1_3__2_MassOfUreaInInorganicFertiliser_Variable" localSheetId="6">_xlfn.LAMBDA("MU_jf")</definedName>
    <definedName name="Fertiliser_Equations_InorganicCO2.VEERG_5_1_1_3__2_MassOfUreaInInorganicFertiliser_Variable" localSheetId="34">_xlfn.LAMBDA("MU_jf")</definedName>
    <definedName name="Fertiliser_Equations_InorganicCO2.VEERG_5_1_1_3__2_MassOfUreaInInorganicFertiliser_Variable">_xlfn.LAMBDA("MU_jf")</definedName>
    <definedName name="Fertiliser_Equations_InorganicN2O.VEERG_5_1_1_1__1_InorganicFertiliserApplicationN2OEmissions" localSheetId="15">_xlfn.LAMBDA(_xlpm.MN_jf,_xlpm.EF_jN2O,_xlpm.C_N2O, (_xlpm.MN_jf * _xlpm.EF_jN2O * _xlpm.C_N2O) * 10 ^ -3)</definedName>
    <definedName name="Fertiliser_Equations_InorganicN2O.VEERG_5_1_1_1__1_InorganicFertiliserApplicationN2OEmissions" localSheetId="16">_xlfn.LAMBDA(_xlpm.MN_jf,_xlpm.EF_jN2O,_xlpm.C_N2O, (_xlpm.MN_jf * _xlpm.EF_jN2O * _xlpm.C_N2O) * 10 ^ -3)</definedName>
    <definedName name="Fertiliser_Equations_InorganicN2O.VEERG_5_1_1_1__1_InorganicFertiliserApplicationN2OEmissions" localSheetId="17">_xlfn.LAMBDA(_xlpm.MN_jf,_xlpm.EF_jN2O,_xlpm.C_N2O, (_xlpm.MN_jf * _xlpm.EF_jN2O * _xlpm.C_N2O) * 10 ^ -3)</definedName>
    <definedName name="Fertiliser_Equations_InorganicN2O.VEERG_5_1_1_1__1_InorganicFertiliserApplicationN2OEmissions" localSheetId="18">_xlfn.LAMBDA(_xlpm.MN_jf,_xlpm.EF_jN2O,_xlpm.C_N2O, (_xlpm.MN_jf * _xlpm.EF_jN2O * _xlpm.C_N2O) * 10 ^ -3)</definedName>
    <definedName name="Fertiliser_Equations_InorganicN2O.VEERG_5_1_1_1__1_InorganicFertiliserApplicationN2OEmissions" localSheetId="19">_xlfn.LAMBDA(_xlpm.MN_jf,_xlpm.EF_jN2O,_xlpm.C_N2O, (_xlpm.MN_jf * _xlpm.EF_jN2O * _xlpm.C_N2O) * 10 ^ -3)</definedName>
    <definedName name="Fertiliser_Equations_InorganicN2O.VEERG_5_1_1_1__1_InorganicFertiliserApplicationN2OEmissions" localSheetId="20">_xlfn.LAMBDA(_xlpm.MN_jf,_xlpm.EF_jN2O,_xlpm.C_N2O, (_xlpm.MN_jf * _xlpm.EF_jN2O * _xlpm.C_N2O) * 10 ^ -3)</definedName>
    <definedName name="Fertiliser_Equations_InorganicN2O.VEERG_5_1_1_1__1_InorganicFertiliserApplicationN2OEmissions" localSheetId="21">_xlfn.LAMBDA(_xlpm.MN_jf,_xlpm.EF_jN2O,_xlpm.C_N2O, (_xlpm.MN_jf * _xlpm.EF_jN2O * _xlpm.C_N2O) * 10 ^ -3)</definedName>
    <definedName name="Fertiliser_Equations_InorganicN2O.VEERG_5_1_1_1__1_InorganicFertiliserApplicationN2OEmissions" localSheetId="22">_xlfn.LAMBDA(_xlpm.MN_jf,_xlpm.EF_jN2O,_xlpm.C_N2O, (_xlpm.MN_jf * _xlpm.EF_jN2O * _xlpm.C_N2O) * 10 ^ -3)</definedName>
    <definedName name="Fertiliser_Equations_InorganicN2O.VEERG_5_1_1_1__1_InorganicFertiliserApplicationN2OEmissions" localSheetId="27">_xlfn.LAMBDA(_xlpm.MN_jf,_xlpm.EF_jN2O,_xlpm.C_N2O, (_xlpm.MN_jf * _xlpm.EF_jN2O * _xlpm.C_N2O) * 10 ^ -3)</definedName>
    <definedName name="Fertiliser_Equations_InorganicN2O.VEERG_5_1_1_1__1_InorganicFertiliserApplicationN2OEmissions" localSheetId="30">_xlfn.LAMBDA(_xlpm.MN_jf,_xlpm.EF_jN2O,_xlpm.C_N2O, (_xlpm.MN_jf * _xlpm.EF_jN2O * _xlpm.C_N2O) * 10 ^ -3)</definedName>
    <definedName name="Fertiliser_Equations_InorganicN2O.VEERG_5_1_1_1__1_InorganicFertiliserApplicationN2OEmissions" localSheetId="6">_xlfn.LAMBDA(_xlpm.MN_jf,_xlpm.EF_jN2O,_xlpm.C_N2O, (_xlpm.MN_jf * _xlpm.EF_jN2O * _xlpm.C_N2O) * 10 ^ -3)</definedName>
    <definedName name="Fertiliser_Equations_InorganicN2O.VEERG_5_1_1_1__1_InorganicFertiliserApplicationN2OEmissions" localSheetId="34">_xlfn.LAMBDA(_xlpm.MN_jf,_xlpm.EF_jN2O,_xlpm.C_N2O, (_xlpm.MN_jf * _xlpm.EF_jN2O * _xlpm.C_N2O) * 10 ^ -3)</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 localSheetId="15">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6">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7">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8">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19">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0">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1">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2">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27">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30">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6">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 localSheetId="34">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 localSheetId="15">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6">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7">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8">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19">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0">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1">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27">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30">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6">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 localSheetId="34">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 localSheetId="15">_xlfn.LAMBDA("E_{N2O}=\sum_{j}\sum_{f}((MN_{jf}\times EF_{j,N2O}\times C_{N2O})\times 10^{-3})")</definedName>
    <definedName name="Fertiliser_Equations_InorganicN2O.VEERG_5_1_1_1__1_InorganicFertiliserApplicationN2OEmissions_LatexEquation" localSheetId="16">_xlfn.LAMBDA("E_{N2O}=\sum_{j}\sum_{f}((MN_{jf}\times EF_{j,N2O}\times C_{N2O})\times 10^{-3})")</definedName>
    <definedName name="Fertiliser_Equations_InorganicN2O.VEERG_5_1_1_1__1_InorganicFertiliserApplicationN2OEmissions_LatexEquation" localSheetId="17">_xlfn.LAMBDA("E_{N2O}=\sum_{j}\sum_{f}((MN_{jf}\times EF_{j,N2O}\times C_{N2O})\times 10^{-3})")</definedName>
    <definedName name="Fertiliser_Equations_InorganicN2O.VEERG_5_1_1_1__1_InorganicFertiliserApplicationN2OEmissions_LatexEquation" localSheetId="18">_xlfn.LAMBDA("E_{N2O}=\sum_{j}\sum_{f}((MN_{jf}\times EF_{j,N2O}\times C_{N2O})\times 10^{-3})")</definedName>
    <definedName name="Fertiliser_Equations_InorganicN2O.VEERG_5_1_1_1__1_InorganicFertiliserApplicationN2OEmissions_LatexEquation" localSheetId="19">_xlfn.LAMBDA("E_{N2O}=\sum_{j}\sum_{f}((MN_{jf}\times EF_{j,N2O}\times C_{N2O})\times 10^{-3})")</definedName>
    <definedName name="Fertiliser_Equations_InorganicN2O.VEERG_5_1_1_1__1_InorganicFertiliserApplicationN2OEmissions_LatexEquation" localSheetId="20">_xlfn.LAMBDA("E_{N2O}=\sum_{j}\sum_{f}((MN_{jf}\times EF_{j,N2O}\times C_{N2O})\times 10^{-3})")</definedName>
    <definedName name="Fertiliser_Equations_InorganicN2O.VEERG_5_1_1_1__1_InorganicFertiliserApplicationN2OEmissions_LatexEquation" localSheetId="21">_xlfn.LAMBDA("E_{N2O}=\sum_{j}\sum_{f}((MN_{jf}\times EF_{j,N2O}\times C_{N2O})\times 10^{-3})")</definedName>
    <definedName name="Fertiliser_Equations_InorganicN2O.VEERG_5_1_1_1__1_InorganicFertiliserApplicationN2OEmissions_LatexEquation" localSheetId="22">_xlfn.LAMBDA("E_{N2O}=\sum_{j}\sum_{f}((MN_{jf}\times EF_{j,N2O}\times C_{N2O})\times 10^{-3})")</definedName>
    <definedName name="Fertiliser_Equations_InorganicN2O.VEERG_5_1_1_1__1_InorganicFertiliserApplicationN2OEmissions_LatexEquation" localSheetId="27">_xlfn.LAMBDA("E_{N2O}=\sum_{j}\sum_{f}((MN_{jf}\times EF_{j,N2O}\times C_{N2O})\times 10^{-3})")</definedName>
    <definedName name="Fertiliser_Equations_InorganicN2O.VEERG_5_1_1_1__1_InorganicFertiliserApplicationN2OEmissions_LatexEquation" localSheetId="30">_xlfn.LAMBDA("E_{N2O}=\sum_{j}\sum_{f}((MN_{jf}\times EF_{j,N2O}\times C_{N2O})\times 10^{-3})")</definedName>
    <definedName name="Fertiliser_Equations_InorganicN2O.VEERG_5_1_1_1__1_InorganicFertiliserApplicationN2OEmissions_LatexEquation" localSheetId="6">_xlfn.LAMBDA("E_{N2O}=\sum_{j}\sum_{f}((MN_{jf}\times EF_{j,N2O}\times C_{N2O})\times 10^{-3})")</definedName>
    <definedName name="Fertiliser_Equations_InorganicN2O.VEERG_5_1_1_1__1_InorganicFertiliserApplicationN2OEmissions_LatexEquation" localSheetId="34">_xlfn.LAMBDA("E_{N2O}=\sum_{j}\sum_{f}((MN_{jf}\times EF_{j,N2O}\times C_{N2O})\times 10^{-3})")</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 localSheetId="15">_xlfn.LAMBDA("")</definedName>
    <definedName name="Fertiliser_Equations_InorganicN2O.VEERG_5_1_1_1__1_InorganicFertiliserApplicationN2OEmissions_NIRReference" localSheetId="16">_xlfn.LAMBDA("")</definedName>
    <definedName name="Fertiliser_Equations_InorganicN2O.VEERG_5_1_1_1__1_InorganicFertiliserApplicationN2OEmissions_NIRReference" localSheetId="17">_xlfn.LAMBDA("")</definedName>
    <definedName name="Fertiliser_Equations_InorganicN2O.VEERG_5_1_1_1__1_InorganicFertiliserApplicationN2OEmissions_NIRReference" localSheetId="18">_xlfn.LAMBDA("")</definedName>
    <definedName name="Fertiliser_Equations_InorganicN2O.VEERG_5_1_1_1__1_InorganicFertiliserApplicationN2OEmissions_NIRReference" localSheetId="19">_xlfn.LAMBDA("")</definedName>
    <definedName name="Fertiliser_Equations_InorganicN2O.VEERG_5_1_1_1__1_InorganicFertiliserApplicationN2OEmissions_NIRReference" localSheetId="20">_xlfn.LAMBDA("")</definedName>
    <definedName name="Fertiliser_Equations_InorganicN2O.VEERG_5_1_1_1__1_InorganicFertiliserApplicationN2OEmissions_NIRReference" localSheetId="21">_xlfn.LAMBDA("")</definedName>
    <definedName name="Fertiliser_Equations_InorganicN2O.VEERG_5_1_1_1__1_InorganicFertiliserApplicationN2OEmissions_NIRReference" localSheetId="22">_xlfn.LAMBDA("")</definedName>
    <definedName name="Fertiliser_Equations_InorganicN2O.VEERG_5_1_1_1__1_InorganicFertiliserApplicationN2OEmissions_NIRReference" localSheetId="27">_xlfn.LAMBDA("")</definedName>
    <definedName name="Fertiliser_Equations_InorganicN2O.VEERG_5_1_1_1__1_InorganicFertiliserApplicationN2OEmissions_NIRReference" localSheetId="30">_xlfn.LAMBDA("")</definedName>
    <definedName name="Fertiliser_Equations_InorganicN2O.VEERG_5_1_1_1__1_InorganicFertiliserApplicationN2OEmissions_NIRReference" localSheetId="6">_xlfn.LAMBDA("")</definedName>
    <definedName name="Fertiliser_Equations_InorganicN2O.VEERG_5_1_1_1__1_InorganicFertiliserApplicationN2OEmissions_NIRReference" localSheetId="34">_xlfn.LAMBDA("")</definedName>
    <definedName name="Fertiliser_Equations_InorganicN2O.VEERG_5_1_1_1__1_InorganicFertiliserApplicationN2OEmissions_NIRReference">_xlfn.LAMBDA("")</definedName>
    <definedName name="Fertiliser_Equations_InorganicN2O.VEERG_5_1_1_1__1_InorganicFertiliserApplicationN2OEmissions_Source" localSheetId="15">_xlfn.LAMBDA("VEERG 2026: 5.1.1.1, Equation (1)")</definedName>
    <definedName name="Fertiliser_Equations_InorganicN2O.VEERG_5_1_1_1__1_InorganicFertiliserApplicationN2OEmissions_Source" localSheetId="16">_xlfn.LAMBDA("VEERG 2026: 5.1.1.1, Equation (1)")</definedName>
    <definedName name="Fertiliser_Equations_InorganicN2O.VEERG_5_1_1_1__1_InorganicFertiliserApplicationN2OEmissions_Source" localSheetId="17">_xlfn.LAMBDA("VEERG 2026: 5.1.1.1, Equation (1)")</definedName>
    <definedName name="Fertiliser_Equations_InorganicN2O.VEERG_5_1_1_1__1_InorganicFertiliserApplicationN2OEmissions_Source" localSheetId="18">_xlfn.LAMBDA("VEERG 2026: 5.1.1.1, Equation (1)")</definedName>
    <definedName name="Fertiliser_Equations_InorganicN2O.VEERG_5_1_1_1__1_InorganicFertiliserApplicationN2OEmissions_Source" localSheetId="19">_xlfn.LAMBDA("VEERG 2026: 5.1.1.1, Equation (1)")</definedName>
    <definedName name="Fertiliser_Equations_InorganicN2O.VEERG_5_1_1_1__1_InorganicFertiliserApplicationN2OEmissions_Source" localSheetId="20">_xlfn.LAMBDA("VEERG 2026: 5.1.1.1, Equation (1)")</definedName>
    <definedName name="Fertiliser_Equations_InorganicN2O.VEERG_5_1_1_1__1_InorganicFertiliserApplicationN2OEmissions_Source" localSheetId="21">_xlfn.LAMBDA("VEERG 2026: 5.1.1.1, Equation (1)")</definedName>
    <definedName name="Fertiliser_Equations_InorganicN2O.VEERG_5_1_1_1__1_InorganicFertiliserApplicationN2OEmissions_Source" localSheetId="22">_xlfn.LAMBDA("VEERG 2026: 5.1.1.1, Equation (1)")</definedName>
    <definedName name="Fertiliser_Equations_InorganicN2O.VEERG_5_1_1_1__1_InorganicFertiliserApplicationN2OEmissions_Source" localSheetId="27">_xlfn.LAMBDA("VEERG 2026: 5.1.1.1, Equation (1)")</definedName>
    <definedName name="Fertiliser_Equations_InorganicN2O.VEERG_5_1_1_1__1_InorganicFertiliserApplicationN2OEmissions_Source" localSheetId="30">_xlfn.LAMBDA("VEERG 2026: 5.1.1.1, Equation (1)")</definedName>
    <definedName name="Fertiliser_Equations_InorganicN2O.VEERG_5_1_1_1__1_InorganicFertiliserApplicationN2OEmissions_Source" localSheetId="6">_xlfn.LAMBDA("VEERG 2026: 5.1.1.1, Equation (1)")</definedName>
    <definedName name="Fertiliser_Equations_InorganicN2O.VEERG_5_1_1_1__1_InorganicFertiliserApplicationN2OEmissions_Source" localSheetId="34">_xlfn.LAMBDA("VEERG 2026: 5.1.1.1, Equation (1)")</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 localSheetId="15">_xlfn.LAMBDA("Nitrous oxide emissions from the application of all inorganic fertiliser types f to all production systems j")</definedName>
    <definedName name="Fertiliser_Equations_InorganicN2O.VEERG_5_1_1_1__1_InorganicFertiliserApplicationN2OEmissions_Title" localSheetId="16">_xlfn.LAMBDA("Nitrous oxide emissions from the application of all inorganic fertiliser types f to all production systems j")</definedName>
    <definedName name="Fertiliser_Equations_InorganicN2O.VEERG_5_1_1_1__1_InorganicFertiliserApplicationN2OEmissions_Title" localSheetId="17">_xlfn.LAMBDA("Nitrous oxide emissions from the application of all inorganic fertiliser types f to all production systems j")</definedName>
    <definedName name="Fertiliser_Equations_InorganicN2O.VEERG_5_1_1_1__1_InorganicFertiliserApplicationN2OEmissions_Title" localSheetId="18">_xlfn.LAMBDA("Nitrous oxide emissions from the application of all inorganic fertiliser types f to all production systems j")</definedName>
    <definedName name="Fertiliser_Equations_InorganicN2O.VEERG_5_1_1_1__1_InorganicFertiliserApplicationN2OEmissions_Title" localSheetId="19">_xlfn.LAMBDA("Nitrous oxide emissions from the application of all inorganic fertiliser types f to all production systems j")</definedName>
    <definedName name="Fertiliser_Equations_InorganicN2O.VEERG_5_1_1_1__1_InorganicFertiliserApplicationN2OEmissions_Title" localSheetId="20">_xlfn.LAMBDA("Nitrous oxide emissions from the application of all inorganic fertiliser types f to all production systems j")</definedName>
    <definedName name="Fertiliser_Equations_InorganicN2O.VEERG_5_1_1_1__1_InorganicFertiliserApplicationN2OEmissions_Title" localSheetId="21">_xlfn.LAMBDA("Nitrous oxide emissions from the application of all inorganic fertiliser types f to all production systems j")</definedName>
    <definedName name="Fertiliser_Equations_InorganicN2O.VEERG_5_1_1_1__1_InorganicFertiliserApplicationN2OEmissions_Title" localSheetId="22">_xlfn.LAMBDA("Nitrous oxide emissions from the application of all inorganic fertiliser types f to all production systems j")</definedName>
    <definedName name="Fertiliser_Equations_InorganicN2O.VEERG_5_1_1_1__1_InorganicFertiliserApplicationN2OEmissions_Title" localSheetId="27">_xlfn.LAMBDA("Nitrous oxide emissions from the application of all inorganic fertiliser types f to all production systems j")</definedName>
    <definedName name="Fertiliser_Equations_InorganicN2O.VEERG_5_1_1_1__1_InorganicFertiliserApplicationN2OEmissions_Title" localSheetId="30">_xlfn.LAMBDA("Nitrous oxide emissions from the application of all inorganic fertiliser types f to all production systems j")</definedName>
    <definedName name="Fertiliser_Equations_InorganicN2O.VEERG_5_1_1_1__1_InorganicFertiliserApplicationN2OEmissions_Title" localSheetId="6">_xlfn.LAMBDA("Nitrous oxide emissions from the application of all inorganic fertiliser types f to all production systems j")</definedName>
    <definedName name="Fertiliser_Equations_InorganicN2O.VEERG_5_1_1_1__1_InorganicFertiliserApplicationN2OEmissions_Title" localSheetId="34">_xlfn.LAMBDA("Nitrous oxide emissions from the application of all inorganic fertiliser types f to all production systems j")</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 localSheetId="15">_xlfn.LAMBDA("t N2O")</definedName>
    <definedName name="Fertiliser_Equations_InorganicN2O.VEERG_5_1_1_1__1_InorganicFertiliserApplicationN2OEmissions_Unit" localSheetId="16">_xlfn.LAMBDA("t N2O")</definedName>
    <definedName name="Fertiliser_Equations_InorganicN2O.VEERG_5_1_1_1__1_InorganicFertiliserApplicationN2OEmissions_Unit" localSheetId="17">_xlfn.LAMBDA("t N2O")</definedName>
    <definedName name="Fertiliser_Equations_InorganicN2O.VEERG_5_1_1_1__1_InorganicFertiliserApplicationN2OEmissions_Unit" localSheetId="18">_xlfn.LAMBDA("t N2O")</definedName>
    <definedName name="Fertiliser_Equations_InorganicN2O.VEERG_5_1_1_1__1_InorganicFertiliserApplicationN2OEmissions_Unit" localSheetId="19">_xlfn.LAMBDA("t N2O")</definedName>
    <definedName name="Fertiliser_Equations_InorganicN2O.VEERG_5_1_1_1__1_InorganicFertiliserApplicationN2OEmissions_Unit" localSheetId="20">_xlfn.LAMBDA("t N2O")</definedName>
    <definedName name="Fertiliser_Equations_InorganicN2O.VEERG_5_1_1_1__1_InorganicFertiliserApplicationN2OEmissions_Unit" localSheetId="21">_xlfn.LAMBDA("t N2O")</definedName>
    <definedName name="Fertiliser_Equations_InorganicN2O.VEERG_5_1_1_1__1_InorganicFertiliserApplicationN2OEmissions_Unit" localSheetId="22">_xlfn.LAMBDA("t N2O")</definedName>
    <definedName name="Fertiliser_Equations_InorganicN2O.VEERG_5_1_1_1__1_InorganicFertiliserApplicationN2OEmissions_Unit" localSheetId="27">_xlfn.LAMBDA("t N2O")</definedName>
    <definedName name="Fertiliser_Equations_InorganicN2O.VEERG_5_1_1_1__1_InorganicFertiliserApplicationN2OEmissions_Unit" localSheetId="30">_xlfn.LAMBDA("t N2O")</definedName>
    <definedName name="Fertiliser_Equations_InorganicN2O.VEERG_5_1_1_1__1_InorganicFertiliserApplicationN2OEmissions_Unit" localSheetId="6">_xlfn.LAMBDA("t N2O")</definedName>
    <definedName name="Fertiliser_Equations_InorganicN2O.VEERG_5_1_1_1__1_InorganicFertiliserApplicationN2OEmissions_Unit" localSheetId="34">_xlfn.LAMBDA("t N2O")</definedName>
    <definedName name="Fertiliser_Equations_InorganicN2O.VEERG_5_1_1_1__1_InorganicFertiliserApplicationN2OEmissions_Unit">_xlfn.LAMBDA("t N2O")</definedName>
    <definedName name="Fertiliser_Equations_InorganicN2O.VEERG_5_1_1_1__1_InorganicFertiliserApplicationN2OEmissions_Variable" localSheetId="15">_xlfn.LAMBDA("E_N2O")</definedName>
    <definedName name="Fertiliser_Equations_InorganicN2O.VEERG_5_1_1_1__1_InorganicFertiliserApplicationN2OEmissions_Variable" localSheetId="16">_xlfn.LAMBDA("E_N2O")</definedName>
    <definedName name="Fertiliser_Equations_InorganicN2O.VEERG_5_1_1_1__1_InorganicFertiliserApplicationN2OEmissions_Variable" localSheetId="17">_xlfn.LAMBDA("E_N2O")</definedName>
    <definedName name="Fertiliser_Equations_InorganicN2O.VEERG_5_1_1_1__1_InorganicFertiliserApplicationN2OEmissions_Variable" localSheetId="18">_xlfn.LAMBDA("E_N2O")</definedName>
    <definedName name="Fertiliser_Equations_InorganicN2O.VEERG_5_1_1_1__1_InorganicFertiliserApplicationN2OEmissions_Variable" localSheetId="19">_xlfn.LAMBDA("E_N2O")</definedName>
    <definedName name="Fertiliser_Equations_InorganicN2O.VEERG_5_1_1_1__1_InorganicFertiliserApplicationN2OEmissions_Variable" localSheetId="20">_xlfn.LAMBDA("E_N2O")</definedName>
    <definedName name="Fertiliser_Equations_InorganicN2O.VEERG_5_1_1_1__1_InorganicFertiliserApplicationN2OEmissions_Variable" localSheetId="21">_xlfn.LAMBDA("E_N2O")</definedName>
    <definedName name="Fertiliser_Equations_InorganicN2O.VEERG_5_1_1_1__1_InorganicFertiliserApplicationN2OEmissions_Variable" localSheetId="22">_xlfn.LAMBDA("E_N2O")</definedName>
    <definedName name="Fertiliser_Equations_InorganicN2O.VEERG_5_1_1_1__1_InorganicFertiliserApplicationN2OEmissions_Variable" localSheetId="27">_xlfn.LAMBDA("E_N2O")</definedName>
    <definedName name="Fertiliser_Equations_InorganicN2O.VEERG_5_1_1_1__1_InorganicFertiliserApplicationN2OEmissions_Variable" localSheetId="30">_xlfn.LAMBDA("E_N2O")</definedName>
    <definedName name="Fertiliser_Equations_InorganicN2O.VEERG_5_1_1_1__1_InorganicFertiliserApplicationN2OEmissions_Variable" localSheetId="6">_xlfn.LAMBDA("E_N2O")</definedName>
    <definedName name="Fertiliser_Equations_InorganicN2O.VEERG_5_1_1_1__1_InorganicFertiliserApplicationN2OEmissions_Variable" localSheetId="34">_xlfn.LAMBDA("E_N2O")</definedName>
    <definedName name="Fertiliser_Equations_InorganicN2O.VEERG_5_1_1_1__1_InorganicFertiliserApplicationN2OEmissions_Variable">_xlfn.LAMBDA("E_N2O")</definedName>
    <definedName name="Fertiliser_Equations_InorganicN2O.VEERG_5_1_1_1__2_MassOfNitrogenInInorganicFertiliser" localSheetId="15">_xlfn.LAMBDA(_xlpm.TM_jf,_xlpm.FN_inorganicf, _xlpm.TM_jf * _xlpm.FN_inorganicf)</definedName>
    <definedName name="Fertiliser_Equations_InorganicN2O.VEERG_5_1_1_1__2_MassOfNitrogenInInorganicFertiliser" localSheetId="16">_xlfn.LAMBDA(_xlpm.TM_jf,_xlpm.FN_inorganicf, _xlpm.TM_jf * _xlpm.FN_inorganicf)</definedName>
    <definedName name="Fertiliser_Equations_InorganicN2O.VEERG_5_1_1_1__2_MassOfNitrogenInInorganicFertiliser" localSheetId="17">_xlfn.LAMBDA(_xlpm.TM_jf,_xlpm.FN_inorganicf, _xlpm.TM_jf * _xlpm.FN_inorganicf)</definedName>
    <definedName name="Fertiliser_Equations_InorganicN2O.VEERG_5_1_1_1__2_MassOfNitrogenInInorganicFertiliser" localSheetId="18">_xlfn.LAMBDA(_xlpm.TM_jf,_xlpm.FN_inorganicf, _xlpm.TM_jf * _xlpm.FN_inorganicf)</definedName>
    <definedName name="Fertiliser_Equations_InorganicN2O.VEERG_5_1_1_1__2_MassOfNitrogenInInorganicFertiliser" localSheetId="19">_xlfn.LAMBDA(_xlpm.TM_jf,_xlpm.FN_inorganicf, _xlpm.TM_jf * _xlpm.FN_inorganicf)</definedName>
    <definedName name="Fertiliser_Equations_InorganicN2O.VEERG_5_1_1_1__2_MassOfNitrogenInInorganicFertiliser" localSheetId="20">_xlfn.LAMBDA(_xlpm.TM_jf,_xlpm.FN_inorganicf, _xlpm.TM_jf * _xlpm.FN_inorganicf)</definedName>
    <definedName name="Fertiliser_Equations_InorganicN2O.VEERG_5_1_1_1__2_MassOfNitrogenInInorganicFertiliser" localSheetId="21">_xlfn.LAMBDA(_xlpm.TM_jf,_xlpm.FN_inorganicf, _xlpm.TM_jf * _xlpm.FN_inorganicf)</definedName>
    <definedName name="Fertiliser_Equations_InorganicN2O.VEERG_5_1_1_1__2_MassOfNitrogenInInorganicFertiliser" localSheetId="22">_xlfn.LAMBDA(_xlpm.TM_jf,_xlpm.FN_inorganicf, _xlpm.TM_jf * _xlpm.FN_inorganicf)</definedName>
    <definedName name="Fertiliser_Equations_InorganicN2O.VEERG_5_1_1_1__2_MassOfNitrogenInInorganicFertiliser" localSheetId="27">_xlfn.LAMBDA(_xlpm.TM_jf,_xlpm.FN_inorganicf, _xlpm.TM_jf * _xlpm.FN_inorganicf)</definedName>
    <definedName name="Fertiliser_Equations_InorganicN2O.VEERG_5_1_1_1__2_MassOfNitrogenInInorganicFertiliser" localSheetId="30">_xlfn.LAMBDA(_xlpm.TM_jf,_xlpm.FN_inorganicf, _xlpm.TM_jf * _xlpm.FN_inorganicf)</definedName>
    <definedName name="Fertiliser_Equations_InorganicN2O.VEERG_5_1_1_1__2_MassOfNitrogenInInorganicFertiliser" localSheetId="6">_xlfn.LAMBDA(_xlpm.TM_jf,_xlpm.FN_inorganicf, _xlpm.TM_jf * _xlpm.FN_inorganicf)</definedName>
    <definedName name="Fertiliser_Equations_InorganicN2O.VEERG_5_1_1_1__2_MassOfNitrogenInInorganicFertiliser" localSheetId="34">_xlfn.LAMBDA(_xlpm.TM_jf,_xlpm.FN_inorganicf, _xlpm.TM_jf * _xlpm.FN_inorganicf)</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 localSheetId="15">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6">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7">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8">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19">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0">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1">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2">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27">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30">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6">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 localSheetId="34">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 localSheetId="15">_xlfn.LAMBDA("{MN}_{jf}=TM_{jf}\times FN_{inorganic,f}")</definedName>
    <definedName name="Fertiliser_Equations_InorganicN2O.VEERG_5_1_1_1__2_MassOfNitrogenInInorganicFertiliser_LatexEquation" localSheetId="16">_xlfn.LAMBDA("{MN}_{jf}=TM_{jf}\times FN_{inorganic,f}")</definedName>
    <definedName name="Fertiliser_Equations_InorganicN2O.VEERG_5_1_1_1__2_MassOfNitrogenInInorganicFertiliser_LatexEquation" localSheetId="17">_xlfn.LAMBDA("{MN}_{jf}=TM_{jf}\times FN_{inorganic,f}")</definedName>
    <definedName name="Fertiliser_Equations_InorganicN2O.VEERG_5_1_1_1__2_MassOfNitrogenInInorganicFertiliser_LatexEquation" localSheetId="18">_xlfn.LAMBDA("{MN}_{jf}=TM_{jf}\times FN_{inorganic,f}")</definedName>
    <definedName name="Fertiliser_Equations_InorganicN2O.VEERG_5_1_1_1__2_MassOfNitrogenInInorganicFertiliser_LatexEquation" localSheetId="19">_xlfn.LAMBDA("{MN}_{jf}=TM_{jf}\times FN_{inorganic,f}")</definedName>
    <definedName name="Fertiliser_Equations_InorganicN2O.VEERG_5_1_1_1__2_MassOfNitrogenInInorganicFertiliser_LatexEquation" localSheetId="20">_xlfn.LAMBDA("{MN}_{jf}=TM_{jf}\times FN_{inorganic,f}")</definedName>
    <definedName name="Fertiliser_Equations_InorganicN2O.VEERG_5_1_1_1__2_MassOfNitrogenInInorganicFertiliser_LatexEquation" localSheetId="21">_xlfn.LAMBDA("{MN}_{jf}=TM_{jf}\times FN_{inorganic,f}")</definedName>
    <definedName name="Fertiliser_Equations_InorganicN2O.VEERG_5_1_1_1__2_MassOfNitrogenInInorganicFertiliser_LatexEquation" localSheetId="22">_xlfn.LAMBDA("{MN}_{jf}=TM_{jf}\times FN_{inorganic,f}")</definedName>
    <definedName name="Fertiliser_Equations_InorganicN2O.VEERG_5_1_1_1__2_MassOfNitrogenInInorganicFertiliser_LatexEquation" localSheetId="27">_xlfn.LAMBDA("{MN}_{jf}=TM_{jf}\times FN_{inorganic,f}")</definedName>
    <definedName name="Fertiliser_Equations_InorganicN2O.VEERG_5_1_1_1__2_MassOfNitrogenInInorganicFertiliser_LatexEquation" localSheetId="30">_xlfn.LAMBDA("{MN}_{jf}=TM_{jf}\times FN_{inorganic,f}")</definedName>
    <definedName name="Fertiliser_Equations_InorganicN2O.VEERG_5_1_1_1__2_MassOfNitrogenInInorganicFertiliser_LatexEquation" localSheetId="6">_xlfn.LAMBDA("{MN}_{jf}=TM_{jf}\times FN_{inorganic,f}")</definedName>
    <definedName name="Fertiliser_Equations_InorganicN2O.VEERG_5_1_1_1__2_MassOfNitrogenInInorganicFertiliser_LatexEquation" localSheetId="34">_xlfn.LAMBDA("{MN}_{jf}=TM_{jf}\times FN_{inorganic,f}")</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 localSheetId="15">_xlfn.LAMBDA("")</definedName>
    <definedName name="Fertiliser_Equations_InorganicN2O.VEERG_5_1_1_1__2_MassOfNitrogenInInorganicFertiliser_NIRReference" localSheetId="16">_xlfn.LAMBDA("")</definedName>
    <definedName name="Fertiliser_Equations_InorganicN2O.VEERG_5_1_1_1__2_MassOfNitrogenInInorganicFertiliser_NIRReference" localSheetId="17">_xlfn.LAMBDA("")</definedName>
    <definedName name="Fertiliser_Equations_InorganicN2O.VEERG_5_1_1_1__2_MassOfNitrogenInInorganicFertiliser_NIRReference" localSheetId="18">_xlfn.LAMBDA("")</definedName>
    <definedName name="Fertiliser_Equations_InorganicN2O.VEERG_5_1_1_1__2_MassOfNitrogenInInorganicFertiliser_NIRReference" localSheetId="19">_xlfn.LAMBDA("")</definedName>
    <definedName name="Fertiliser_Equations_InorganicN2O.VEERG_5_1_1_1__2_MassOfNitrogenInInorganicFertiliser_NIRReference" localSheetId="20">_xlfn.LAMBDA("")</definedName>
    <definedName name="Fertiliser_Equations_InorganicN2O.VEERG_5_1_1_1__2_MassOfNitrogenInInorganicFertiliser_NIRReference" localSheetId="21">_xlfn.LAMBDA("")</definedName>
    <definedName name="Fertiliser_Equations_InorganicN2O.VEERG_5_1_1_1__2_MassOfNitrogenInInorganicFertiliser_NIRReference" localSheetId="22">_xlfn.LAMBDA("")</definedName>
    <definedName name="Fertiliser_Equations_InorganicN2O.VEERG_5_1_1_1__2_MassOfNitrogenInInorganicFertiliser_NIRReference" localSheetId="27">_xlfn.LAMBDA("")</definedName>
    <definedName name="Fertiliser_Equations_InorganicN2O.VEERG_5_1_1_1__2_MassOfNitrogenInInorganicFertiliser_NIRReference" localSheetId="30">_xlfn.LAMBDA("")</definedName>
    <definedName name="Fertiliser_Equations_InorganicN2O.VEERG_5_1_1_1__2_MassOfNitrogenInInorganicFertiliser_NIRReference" localSheetId="6">_xlfn.LAMBDA("")</definedName>
    <definedName name="Fertiliser_Equations_InorganicN2O.VEERG_5_1_1_1__2_MassOfNitrogenInInorganicFertiliser_NIRReference" localSheetId="34">_xlfn.LAMBDA("")</definedName>
    <definedName name="Fertiliser_Equations_InorganicN2O.VEERG_5_1_1_1__2_MassOfNitrogenInInorganicFertiliser_NIRReference">_xlfn.LAMBDA("")</definedName>
    <definedName name="Fertiliser_Equations_InorganicN2O.VEERG_5_1_1_1__2_MassOfNitrogenInInorganicFertiliser_Source" localSheetId="15">_xlfn.LAMBDA("VEERG 2026: 5.1.1.1, Equation (2)")</definedName>
    <definedName name="Fertiliser_Equations_InorganicN2O.VEERG_5_1_1_1__2_MassOfNitrogenInInorganicFertiliser_Source" localSheetId="16">_xlfn.LAMBDA("VEERG 2026: 5.1.1.1, Equation (2)")</definedName>
    <definedName name="Fertiliser_Equations_InorganicN2O.VEERG_5_1_1_1__2_MassOfNitrogenInInorganicFertiliser_Source" localSheetId="17">_xlfn.LAMBDA("VEERG 2026: 5.1.1.1, Equation (2)")</definedName>
    <definedName name="Fertiliser_Equations_InorganicN2O.VEERG_5_1_1_1__2_MassOfNitrogenInInorganicFertiliser_Source" localSheetId="18">_xlfn.LAMBDA("VEERG 2026: 5.1.1.1, Equation (2)")</definedName>
    <definedName name="Fertiliser_Equations_InorganicN2O.VEERG_5_1_1_1__2_MassOfNitrogenInInorganicFertiliser_Source" localSheetId="19">_xlfn.LAMBDA("VEERG 2026: 5.1.1.1, Equation (2)")</definedName>
    <definedName name="Fertiliser_Equations_InorganicN2O.VEERG_5_1_1_1__2_MassOfNitrogenInInorganicFertiliser_Source" localSheetId="20">_xlfn.LAMBDA("VEERG 2026: 5.1.1.1, Equation (2)")</definedName>
    <definedName name="Fertiliser_Equations_InorganicN2O.VEERG_5_1_1_1__2_MassOfNitrogenInInorganicFertiliser_Source" localSheetId="21">_xlfn.LAMBDA("VEERG 2026: 5.1.1.1, Equation (2)")</definedName>
    <definedName name="Fertiliser_Equations_InorganicN2O.VEERG_5_1_1_1__2_MassOfNitrogenInInorganicFertiliser_Source" localSheetId="22">_xlfn.LAMBDA("VEERG 2026: 5.1.1.1, Equation (2)")</definedName>
    <definedName name="Fertiliser_Equations_InorganicN2O.VEERG_5_1_1_1__2_MassOfNitrogenInInorganicFertiliser_Source" localSheetId="27">_xlfn.LAMBDA("VEERG 2026: 5.1.1.1, Equation (2)")</definedName>
    <definedName name="Fertiliser_Equations_InorganicN2O.VEERG_5_1_1_1__2_MassOfNitrogenInInorganicFertiliser_Source" localSheetId="30">_xlfn.LAMBDA("VEERG 2026: 5.1.1.1, Equation (2)")</definedName>
    <definedName name="Fertiliser_Equations_InorganicN2O.VEERG_5_1_1_1__2_MassOfNitrogenInInorganicFertiliser_Source" localSheetId="6">_xlfn.LAMBDA("VEERG 2026: 5.1.1.1, Equation (2)")</definedName>
    <definedName name="Fertiliser_Equations_InorganicN2O.VEERG_5_1_1_1__2_MassOfNitrogenInInorganicFertiliser_Source" localSheetId="34">_xlfn.LAMBDA("VEERG 2026: 5.1.1.1, Equation (2)")</definedName>
    <definedName name="Fertiliser_Equations_InorganicN2O.VEERG_5_1_1_1__2_MassOfNitrogenInInorganicFertiliser_Source">_xlfn.LAMBDA("VEERG 2026: 5.1.1.1, Equation (2)")</definedName>
    <definedName name="Fertiliser_Equations_InorganicN2O.VEERG_5_1_1_1__2_MassOfNitrogenInInorganicFertiliser_Title" localSheetId="15">_xlfn.LAMBDA("Mass of nitrogen in inorganic fertiliser applied to production system")</definedName>
    <definedName name="Fertiliser_Equations_InorganicN2O.VEERG_5_1_1_1__2_MassOfNitrogenInInorganicFertiliser_Title" localSheetId="16">_xlfn.LAMBDA("Mass of nitrogen in inorganic fertiliser applied to production system")</definedName>
    <definedName name="Fertiliser_Equations_InorganicN2O.VEERG_5_1_1_1__2_MassOfNitrogenInInorganicFertiliser_Title" localSheetId="17">_xlfn.LAMBDA("Mass of nitrogen in inorganic fertiliser applied to production system")</definedName>
    <definedName name="Fertiliser_Equations_InorganicN2O.VEERG_5_1_1_1__2_MassOfNitrogenInInorganicFertiliser_Title" localSheetId="18">_xlfn.LAMBDA("Mass of nitrogen in inorganic fertiliser applied to production system")</definedName>
    <definedName name="Fertiliser_Equations_InorganicN2O.VEERG_5_1_1_1__2_MassOfNitrogenInInorganicFertiliser_Title" localSheetId="19">_xlfn.LAMBDA("Mass of nitrogen in inorganic fertiliser applied to production system")</definedName>
    <definedName name="Fertiliser_Equations_InorganicN2O.VEERG_5_1_1_1__2_MassOfNitrogenInInorganicFertiliser_Title" localSheetId="20">_xlfn.LAMBDA("Mass of nitrogen in inorganic fertiliser applied to production system")</definedName>
    <definedName name="Fertiliser_Equations_InorganicN2O.VEERG_5_1_1_1__2_MassOfNitrogenInInorganicFertiliser_Title" localSheetId="21">_xlfn.LAMBDA("Mass of nitrogen in inorganic fertiliser applied to production system")</definedName>
    <definedName name="Fertiliser_Equations_InorganicN2O.VEERG_5_1_1_1__2_MassOfNitrogenInInorganicFertiliser_Title" localSheetId="22">_xlfn.LAMBDA("Mass of nitrogen in inorganic fertiliser applied to production system")</definedName>
    <definedName name="Fertiliser_Equations_InorganicN2O.VEERG_5_1_1_1__2_MassOfNitrogenInInorganicFertiliser_Title" localSheetId="27">_xlfn.LAMBDA("Mass of nitrogen in inorganic fertiliser applied to production system")</definedName>
    <definedName name="Fertiliser_Equations_InorganicN2O.VEERG_5_1_1_1__2_MassOfNitrogenInInorganicFertiliser_Title" localSheetId="30">_xlfn.LAMBDA("Mass of nitrogen in inorganic fertiliser applied to production system")</definedName>
    <definedName name="Fertiliser_Equations_InorganicN2O.VEERG_5_1_1_1__2_MassOfNitrogenInInorganicFertiliser_Title" localSheetId="6">_xlfn.LAMBDA("Mass of nitrogen in inorganic fertiliser applied to production system")</definedName>
    <definedName name="Fertiliser_Equations_InorganicN2O.VEERG_5_1_1_1__2_MassOfNitrogenInInorganicFertiliser_Title" localSheetId="34">_xlfn.LAMBDA("Mass of nitrogen in inorganic fertiliser applied to production system")</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 localSheetId="15">_xlfn.LAMBDA("kg N")</definedName>
    <definedName name="Fertiliser_Equations_InorganicN2O.VEERG_5_1_1_1__2_MassOfNitrogenInInorganicFertiliser_Unit" localSheetId="16">_xlfn.LAMBDA("kg N")</definedName>
    <definedName name="Fertiliser_Equations_InorganicN2O.VEERG_5_1_1_1__2_MassOfNitrogenInInorganicFertiliser_Unit" localSheetId="17">_xlfn.LAMBDA("kg N")</definedName>
    <definedName name="Fertiliser_Equations_InorganicN2O.VEERG_5_1_1_1__2_MassOfNitrogenInInorganicFertiliser_Unit" localSheetId="18">_xlfn.LAMBDA("kg N")</definedName>
    <definedName name="Fertiliser_Equations_InorganicN2O.VEERG_5_1_1_1__2_MassOfNitrogenInInorganicFertiliser_Unit" localSheetId="19">_xlfn.LAMBDA("kg N")</definedName>
    <definedName name="Fertiliser_Equations_InorganicN2O.VEERG_5_1_1_1__2_MassOfNitrogenInInorganicFertiliser_Unit" localSheetId="20">_xlfn.LAMBDA("kg N")</definedName>
    <definedName name="Fertiliser_Equations_InorganicN2O.VEERG_5_1_1_1__2_MassOfNitrogenInInorganicFertiliser_Unit" localSheetId="21">_xlfn.LAMBDA("kg N")</definedName>
    <definedName name="Fertiliser_Equations_InorganicN2O.VEERG_5_1_1_1__2_MassOfNitrogenInInorganicFertiliser_Unit" localSheetId="22">_xlfn.LAMBDA("kg N")</definedName>
    <definedName name="Fertiliser_Equations_InorganicN2O.VEERG_5_1_1_1__2_MassOfNitrogenInInorganicFertiliser_Unit" localSheetId="27">_xlfn.LAMBDA("kg N")</definedName>
    <definedName name="Fertiliser_Equations_InorganicN2O.VEERG_5_1_1_1__2_MassOfNitrogenInInorganicFertiliser_Unit" localSheetId="30">_xlfn.LAMBDA("kg N")</definedName>
    <definedName name="Fertiliser_Equations_InorganicN2O.VEERG_5_1_1_1__2_MassOfNitrogenInInorganicFertiliser_Unit" localSheetId="6">_xlfn.LAMBDA("kg N")</definedName>
    <definedName name="Fertiliser_Equations_InorganicN2O.VEERG_5_1_1_1__2_MassOfNitrogenInInorganicFertiliser_Unit" localSheetId="34">_xlfn.LAMBDA("kg N")</definedName>
    <definedName name="Fertiliser_Equations_InorganicN2O.VEERG_5_1_1_1__2_MassOfNitrogenInInorganicFertiliser_Unit">_xlfn.LAMBDA("kg N")</definedName>
    <definedName name="Fertiliser_Equations_InorganicN2O.VEERG_5_1_1_1__2_MassOfNitrogenInInorganicFertiliser_Variable" localSheetId="15">_xlfn.LAMBDA("MN_jf")</definedName>
    <definedName name="Fertiliser_Equations_InorganicN2O.VEERG_5_1_1_1__2_MassOfNitrogenInInorganicFertiliser_Variable" localSheetId="16">_xlfn.LAMBDA("MN_jf")</definedName>
    <definedName name="Fertiliser_Equations_InorganicN2O.VEERG_5_1_1_1__2_MassOfNitrogenInInorganicFertiliser_Variable" localSheetId="17">_xlfn.LAMBDA("MN_jf")</definedName>
    <definedName name="Fertiliser_Equations_InorganicN2O.VEERG_5_1_1_1__2_MassOfNitrogenInInorganicFertiliser_Variable" localSheetId="18">_xlfn.LAMBDA("MN_jf")</definedName>
    <definedName name="Fertiliser_Equations_InorganicN2O.VEERG_5_1_1_1__2_MassOfNitrogenInInorganicFertiliser_Variable" localSheetId="19">_xlfn.LAMBDA("MN_jf")</definedName>
    <definedName name="Fertiliser_Equations_InorganicN2O.VEERG_5_1_1_1__2_MassOfNitrogenInInorganicFertiliser_Variable" localSheetId="20">_xlfn.LAMBDA("MN_jf")</definedName>
    <definedName name="Fertiliser_Equations_InorganicN2O.VEERG_5_1_1_1__2_MassOfNitrogenInInorganicFertiliser_Variable" localSheetId="21">_xlfn.LAMBDA("MN_jf")</definedName>
    <definedName name="Fertiliser_Equations_InorganicN2O.VEERG_5_1_1_1__2_MassOfNitrogenInInorganicFertiliser_Variable" localSheetId="22">_xlfn.LAMBDA("MN_jf")</definedName>
    <definedName name="Fertiliser_Equations_InorganicN2O.VEERG_5_1_1_1__2_MassOfNitrogenInInorganicFertiliser_Variable" localSheetId="27">_xlfn.LAMBDA("MN_jf")</definedName>
    <definedName name="Fertiliser_Equations_InorganicN2O.VEERG_5_1_1_1__2_MassOfNitrogenInInorganicFertiliser_Variable" localSheetId="30">_xlfn.LAMBDA("MN_jf")</definedName>
    <definedName name="Fertiliser_Equations_InorganicN2O.VEERG_5_1_1_1__2_MassOfNitrogenInInorganicFertiliser_Variable" localSheetId="6">_xlfn.LAMBDA("MN_jf")</definedName>
    <definedName name="Fertiliser_Equations_InorganicN2O.VEERG_5_1_1_1__2_MassOfNitrogenInInorganicFertiliser_Variable" localSheetId="34">_xlfn.LAMBDA("MN_jf")</definedName>
    <definedName name="Fertiliser_Equations_InorganicN2O.VEERG_5_1_1_1__2_MassOfNitrogenInInorganicFertiliser_Variable">_xlfn.LAMBDA("MN_jf")</definedName>
    <definedName name="Fertiliser_Equations_InorganicN2O.VEERG_5_1_1_2__1_EmissionFactorIrrigatedMaize" localSheetId="15">_xlfn.LAMBDA(_xlpm.N_fjIrrigatedMaize, (-0.1474 + (0.0061 * _xlpm.N_fjIrrigatedMaize)) * 10 ^ -2)</definedName>
    <definedName name="Fertiliser_Equations_InorganicN2O.VEERG_5_1_1_2__1_EmissionFactorIrrigatedMaize" localSheetId="16">_xlfn.LAMBDA(_xlpm.N_fjIrrigatedMaize, (-0.1474 + (0.0061 * _xlpm.N_fjIrrigatedMaize)) * 10 ^ -2)</definedName>
    <definedName name="Fertiliser_Equations_InorganicN2O.VEERG_5_1_1_2__1_EmissionFactorIrrigatedMaize" localSheetId="17">_xlfn.LAMBDA(_xlpm.N_fjIrrigatedMaize, (-0.1474 + (0.0061 * _xlpm.N_fjIrrigatedMaize)) * 10 ^ -2)</definedName>
    <definedName name="Fertiliser_Equations_InorganicN2O.VEERG_5_1_1_2__1_EmissionFactorIrrigatedMaize" localSheetId="18">_xlfn.LAMBDA(_xlpm.N_fjIrrigatedMaize, (-0.1474 + (0.0061 * _xlpm.N_fjIrrigatedMaize)) * 10 ^ -2)</definedName>
    <definedName name="Fertiliser_Equations_InorganicN2O.VEERG_5_1_1_2__1_EmissionFactorIrrigatedMaize" localSheetId="19">_xlfn.LAMBDA(_xlpm.N_fjIrrigatedMaize, (-0.1474 + (0.0061 * _xlpm.N_fjIrrigatedMaize)) * 10 ^ -2)</definedName>
    <definedName name="Fertiliser_Equations_InorganicN2O.VEERG_5_1_1_2__1_EmissionFactorIrrigatedMaize" localSheetId="20">_xlfn.LAMBDA(_xlpm.N_fjIrrigatedMaize, (-0.1474 + (0.0061 * _xlpm.N_fjIrrigatedMaize)) * 10 ^ -2)</definedName>
    <definedName name="Fertiliser_Equations_InorganicN2O.VEERG_5_1_1_2__1_EmissionFactorIrrigatedMaize" localSheetId="21">_xlfn.LAMBDA(_xlpm.N_fjIrrigatedMaize, (-0.1474 + (0.0061 * _xlpm.N_fjIrrigatedMaize)) * 10 ^ -2)</definedName>
    <definedName name="Fertiliser_Equations_InorganicN2O.VEERG_5_1_1_2__1_EmissionFactorIrrigatedMaize" localSheetId="22">_xlfn.LAMBDA(_xlpm.N_fjIrrigatedMaize, (-0.1474 + (0.0061 * _xlpm.N_fjIrrigatedMaize)) * 10 ^ -2)</definedName>
    <definedName name="Fertiliser_Equations_InorganicN2O.VEERG_5_1_1_2__1_EmissionFactorIrrigatedMaize" localSheetId="27">_xlfn.LAMBDA(_xlpm.N_fjIrrigatedMaize, (-0.1474 + (0.0061 * _xlpm.N_fjIrrigatedMaize)) * 10 ^ -2)</definedName>
    <definedName name="Fertiliser_Equations_InorganicN2O.VEERG_5_1_1_2__1_EmissionFactorIrrigatedMaize" localSheetId="30">_xlfn.LAMBDA(_xlpm.N_fjIrrigatedMaize, (-0.1474 + (0.0061 * _xlpm.N_fjIrrigatedMaize)) * 10 ^ -2)</definedName>
    <definedName name="Fertiliser_Equations_InorganicN2O.VEERG_5_1_1_2__1_EmissionFactorIrrigatedMaize" localSheetId="6">_xlfn.LAMBDA(_xlpm.N_fjIrrigatedMaize, (-0.1474 + (0.0061 * _xlpm.N_fjIrrigatedMaize)) * 10 ^ -2)</definedName>
    <definedName name="Fertiliser_Equations_InorganicN2O.VEERG_5_1_1_2__1_EmissionFactorIrrigatedMaize" localSheetId="34">_xlfn.LAMBDA(_xlpm.N_fjIrrigatedMaize, (-0.1474 + (0.0061 * _xlpm.N_fjIrrigatedMaize)) * 10 ^ -2)</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 localSheetId="15">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6">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7">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8">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19">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0">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1">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2">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27">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30">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6">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 localSheetId="34">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 localSheetId="15">_xlfn.LAMBDA("EF_{fj=irrigatedmaize,N2O}=(-0.1474+(0.0061\times N_{fj=irrigatedmaize}))\times 10^{-2}")</definedName>
    <definedName name="Fertiliser_Equations_InorganicN2O.VEERG_5_1_1_2__1_EmissionFactorIrrigatedMaize_LatexEquation" localSheetId="16">_xlfn.LAMBDA("EF_{fj=irrigatedmaize,N2O}=(-0.1474+(0.0061\times N_{fj=irrigatedmaize}))\times 10^{-2}")</definedName>
    <definedName name="Fertiliser_Equations_InorganicN2O.VEERG_5_1_1_2__1_EmissionFactorIrrigatedMaize_LatexEquation" localSheetId="17">_xlfn.LAMBDA("EF_{fj=irrigatedmaize,N2O}=(-0.1474+(0.0061\times N_{fj=irrigatedmaize}))\times 10^{-2}")</definedName>
    <definedName name="Fertiliser_Equations_InorganicN2O.VEERG_5_1_1_2__1_EmissionFactorIrrigatedMaize_LatexEquation" localSheetId="18">_xlfn.LAMBDA("EF_{fj=irrigatedmaize,N2O}=(-0.1474+(0.0061\times N_{fj=irrigatedmaize}))\times 10^{-2}")</definedName>
    <definedName name="Fertiliser_Equations_InorganicN2O.VEERG_5_1_1_2__1_EmissionFactorIrrigatedMaize_LatexEquation" localSheetId="19">_xlfn.LAMBDA("EF_{fj=irrigatedmaize,N2O}=(-0.1474+(0.0061\times N_{fj=irrigatedmaize}))\times 10^{-2}")</definedName>
    <definedName name="Fertiliser_Equations_InorganicN2O.VEERG_5_1_1_2__1_EmissionFactorIrrigatedMaize_LatexEquation" localSheetId="20">_xlfn.LAMBDA("EF_{fj=irrigatedmaize,N2O}=(-0.1474+(0.0061\times N_{fj=irrigatedmaize}))\times 10^{-2}")</definedName>
    <definedName name="Fertiliser_Equations_InorganicN2O.VEERG_5_1_1_2__1_EmissionFactorIrrigatedMaize_LatexEquation" localSheetId="21">_xlfn.LAMBDA("EF_{fj=irrigatedmaize,N2O}=(-0.1474+(0.0061\times N_{fj=irrigatedmaize}))\times 10^{-2}")</definedName>
    <definedName name="Fertiliser_Equations_InorganicN2O.VEERG_5_1_1_2__1_EmissionFactorIrrigatedMaize_LatexEquation" localSheetId="22">_xlfn.LAMBDA("EF_{fj=irrigatedmaize,N2O}=(-0.1474+(0.0061\times N_{fj=irrigatedmaize}))\times 10^{-2}")</definedName>
    <definedName name="Fertiliser_Equations_InorganicN2O.VEERG_5_1_1_2__1_EmissionFactorIrrigatedMaize_LatexEquation" localSheetId="27">_xlfn.LAMBDA("EF_{fj=irrigatedmaize,N2O}=(-0.1474+(0.0061\times N_{fj=irrigatedmaize}))\times 10^{-2}")</definedName>
    <definedName name="Fertiliser_Equations_InorganicN2O.VEERG_5_1_1_2__1_EmissionFactorIrrigatedMaize_LatexEquation" localSheetId="30">_xlfn.LAMBDA("EF_{fj=irrigatedmaize,N2O}=(-0.1474+(0.0061\times N_{fj=irrigatedmaize}))\times 10^{-2}")</definedName>
    <definedName name="Fertiliser_Equations_InorganicN2O.VEERG_5_1_1_2__1_EmissionFactorIrrigatedMaize_LatexEquation" localSheetId="6">_xlfn.LAMBDA("EF_{fj=irrigatedmaize,N2O}=(-0.1474+(0.0061\times N_{fj=irrigatedmaize}))\times 10^{-2}")</definedName>
    <definedName name="Fertiliser_Equations_InorganicN2O.VEERG_5_1_1_2__1_EmissionFactorIrrigatedMaize_LatexEquation" localSheetId="34">_xlfn.LAMBDA("EF_{fj=irrigatedmaize,N2O}=(-0.1474+(0.0061\times N_{fj=irrigatedmaize}))\times 10^{-2}")</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 localSheetId="15">_xlfn.LAMBDA("")</definedName>
    <definedName name="Fertiliser_Equations_InorganicN2O.VEERG_5_1_1_2__1_EmissionFactorIrrigatedMaize_NIRReference" localSheetId="16">_xlfn.LAMBDA("")</definedName>
    <definedName name="Fertiliser_Equations_InorganicN2O.VEERG_5_1_1_2__1_EmissionFactorIrrigatedMaize_NIRReference" localSheetId="17">_xlfn.LAMBDA("")</definedName>
    <definedName name="Fertiliser_Equations_InorganicN2O.VEERG_5_1_1_2__1_EmissionFactorIrrigatedMaize_NIRReference" localSheetId="18">_xlfn.LAMBDA("")</definedName>
    <definedName name="Fertiliser_Equations_InorganicN2O.VEERG_5_1_1_2__1_EmissionFactorIrrigatedMaize_NIRReference" localSheetId="19">_xlfn.LAMBDA("")</definedName>
    <definedName name="Fertiliser_Equations_InorganicN2O.VEERG_5_1_1_2__1_EmissionFactorIrrigatedMaize_NIRReference" localSheetId="20">_xlfn.LAMBDA("")</definedName>
    <definedName name="Fertiliser_Equations_InorganicN2O.VEERG_5_1_1_2__1_EmissionFactorIrrigatedMaize_NIRReference" localSheetId="21">_xlfn.LAMBDA("")</definedName>
    <definedName name="Fertiliser_Equations_InorganicN2O.VEERG_5_1_1_2__1_EmissionFactorIrrigatedMaize_NIRReference" localSheetId="22">_xlfn.LAMBDA("")</definedName>
    <definedName name="Fertiliser_Equations_InorganicN2O.VEERG_5_1_1_2__1_EmissionFactorIrrigatedMaize_NIRReference" localSheetId="27">_xlfn.LAMBDA("")</definedName>
    <definedName name="Fertiliser_Equations_InorganicN2O.VEERG_5_1_1_2__1_EmissionFactorIrrigatedMaize_NIRReference" localSheetId="30">_xlfn.LAMBDA("")</definedName>
    <definedName name="Fertiliser_Equations_InorganicN2O.VEERG_5_1_1_2__1_EmissionFactorIrrigatedMaize_NIRReference" localSheetId="6">_xlfn.LAMBDA("")</definedName>
    <definedName name="Fertiliser_Equations_InorganicN2O.VEERG_5_1_1_2__1_EmissionFactorIrrigatedMaize_NIRReference" localSheetId="34">_xlfn.LAMBDA("")</definedName>
    <definedName name="Fertiliser_Equations_InorganicN2O.VEERG_5_1_1_2__1_EmissionFactorIrrigatedMaize_NIRReference">_xlfn.LAMBDA("")</definedName>
    <definedName name="Fertiliser_Equations_InorganicN2O.VEERG_5_1_1_2__1_EmissionFactorIrrigatedMaize_Source" localSheetId="15">_xlfn.LAMBDA("VEERG 2026: 5.1.1.2, Equation (1)")</definedName>
    <definedName name="Fertiliser_Equations_InorganicN2O.VEERG_5_1_1_2__1_EmissionFactorIrrigatedMaize_Source" localSheetId="16">_xlfn.LAMBDA("VEERG 2026: 5.1.1.2, Equation (1)")</definedName>
    <definedName name="Fertiliser_Equations_InorganicN2O.VEERG_5_1_1_2__1_EmissionFactorIrrigatedMaize_Source" localSheetId="17">_xlfn.LAMBDA("VEERG 2026: 5.1.1.2, Equation (1)")</definedName>
    <definedName name="Fertiliser_Equations_InorganicN2O.VEERG_5_1_1_2__1_EmissionFactorIrrigatedMaize_Source" localSheetId="18">_xlfn.LAMBDA("VEERG 2026: 5.1.1.2, Equation (1)")</definedName>
    <definedName name="Fertiliser_Equations_InorganicN2O.VEERG_5_1_1_2__1_EmissionFactorIrrigatedMaize_Source" localSheetId="19">_xlfn.LAMBDA("VEERG 2026: 5.1.1.2, Equation (1)")</definedName>
    <definedName name="Fertiliser_Equations_InorganicN2O.VEERG_5_1_1_2__1_EmissionFactorIrrigatedMaize_Source" localSheetId="20">_xlfn.LAMBDA("VEERG 2026: 5.1.1.2, Equation (1)")</definedName>
    <definedName name="Fertiliser_Equations_InorganicN2O.VEERG_5_1_1_2__1_EmissionFactorIrrigatedMaize_Source" localSheetId="21">_xlfn.LAMBDA("VEERG 2026: 5.1.1.2, Equation (1)")</definedName>
    <definedName name="Fertiliser_Equations_InorganicN2O.VEERG_5_1_1_2__1_EmissionFactorIrrigatedMaize_Source" localSheetId="22">_xlfn.LAMBDA("VEERG 2026: 5.1.1.2, Equation (1)")</definedName>
    <definedName name="Fertiliser_Equations_InorganicN2O.VEERG_5_1_1_2__1_EmissionFactorIrrigatedMaize_Source" localSheetId="27">_xlfn.LAMBDA("VEERG 2026: 5.1.1.2, Equation (1)")</definedName>
    <definedName name="Fertiliser_Equations_InorganicN2O.VEERG_5_1_1_2__1_EmissionFactorIrrigatedMaize_Source" localSheetId="30">_xlfn.LAMBDA("VEERG 2026: 5.1.1.2, Equation (1)")</definedName>
    <definedName name="Fertiliser_Equations_InorganicN2O.VEERG_5_1_1_2__1_EmissionFactorIrrigatedMaize_Source" localSheetId="6">_xlfn.LAMBDA("VEERG 2026: 5.1.1.2, Equation (1)")</definedName>
    <definedName name="Fertiliser_Equations_InorganicN2O.VEERG_5_1_1_2__1_EmissionFactorIrrigatedMaize_Source" localSheetId="34">_xlfn.LAMBDA("VEERG 2026: 5.1.1.2, Equation (1)")</definedName>
    <definedName name="Fertiliser_Equations_InorganicN2O.VEERG_5_1_1_2__1_EmissionFactorIrrigatedMaize_Source">_xlfn.LAMBDA("VEERG 2026: 5.1.1.2, Equation (1)")</definedName>
    <definedName name="Fertiliser_Equations_InorganicN2O.VEERG_5_1_1_2__1_EmissionFactorIrrigatedMaize_Title" localSheetId="15">_xlfn.LAMBDA("Emission factor for nitrous oxide for irrigated maize")</definedName>
    <definedName name="Fertiliser_Equations_InorganicN2O.VEERG_5_1_1_2__1_EmissionFactorIrrigatedMaize_Title" localSheetId="16">_xlfn.LAMBDA("Emission factor for nitrous oxide for irrigated maize")</definedName>
    <definedName name="Fertiliser_Equations_InorganicN2O.VEERG_5_1_1_2__1_EmissionFactorIrrigatedMaize_Title" localSheetId="17">_xlfn.LAMBDA("Emission factor for nitrous oxide for irrigated maize")</definedName>
    <definedName name="Fertiliser_Equations_InorganicN2O.VEERG_5_1_1_2__1_EmissionFactorIrrigatedMaize_Title" localSheetId="18">_xlfn.LAMBDA("Emission factor for nitrous oxide for irrigated maize")</definedName>
    <definedName name="Fertiliser_Equations_InorganicN2O.VEERG_5_1_1_2__1_EmissionFactorIrrigatedMaize_Title" localSheetId="19">_xlfn.LAMBDA("Emission factor for nitrous oxide for irrigated maize")</definedName>
    <definedName name="Fertiliser_Equations_InorganicN2O.VEERG_5_1_1_2__1_EmissionFactorIrrigatedMaize_Title" localSheetId="20">_xlfn.LAMBDA("Emission factor for nitrous oxide for irrigated maize")</definedName>
    <definedName name="Fertiliser_Equations_InorganicN2O.VEERG_5_1_1_2__1_EmissionFactorIrrigatedMaize_Title" localSheetId="21">_xlfn.LAMBDA("Emission factor for nitrous oxide for irrigated maize")</definedName>
    <definedName name="Fertiliser_Equations_InorganicN2O.VEERG_5_1_1_2__1_EmissionFactorIrrigatedMaize_Title" localSheetId="22">_xlfn.LAMBDA("Emission factor for nitrous oxide for irrigated maize")</definedName>
    <definedName name="Fertiliser_Equations_InorganicN2O.VEERG_5_1_1_2__1_EmissionFactorIrrigatedMaize_Title" localSheetId="27">_xlfn.LAMBDA("Emission factor for nitrous oxide for irrigated maize")</definedName>
    <definedName name="Fertiliser_Equations_InorganicN2O.VEERG_5_1_1_2__1_EmissionFactorIrrigatedMaize_Title" localSheetId="30">_xlfn.LAMBDA("Emission factor for nitrous oxide for irrigated maize")</definedName>
    <definedName name="Fertiliser_Equations_InorganicN2O.VEERG_5_1_1_2__1_EmissionFactorIrrigatedMaize_Title" localSheetId="6">_xlfn.LAMBDA("Emission factor for nitrous oxide for irrigated maize")</definedName>
    <definedName name="Fertiliser_Equations_InorganicN2O.VEERG_5_1_1_2__1_EmissionFactorIrrigatedMaize_Title" localSheetId="34">_xlfn.LAMBDA("Emission factor for nitrous oxide for irrigated maize")</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 localSheetId="15">_xlfn.LAMBDA("kg N2O-N/kg N applied")</definedName>
    <definedName name="Fertiliser_Equations_InorganicN2O.VEERG_5_1_1_2__1_EmissionFactorIrrigatedMaize_Unit" localSheetId="16">_xlfn.LAMBDA("kg N2O-N/kg N applied")</definedName>
    <definedName name="Fertiliser_Equations_InorganicN2O.VEERG_5_1_1_2__1_EmissionFactorIrrigatedMaize_Unit" localSheetId="17">_xlfn.LAMBDA("kg N2O-N/kg N applied")</definedName>
    <definedName name="Fertiliser_Equations_InorganicN2O.VEERG_5_1_1_2__1_EmissionFactorIrrigatedMaize_Unit" localSheetId="18">_xlfn.LAMBDA("kg N2O-N/kg N applied")</definedName>
    <definedName name="Fertiliser_Equations_InorganicN2O.VEERG_5_1_1_2__1_EmissionFactorIrrigatedMaize_Unit" localSheetId="19">_xlfn.LAMBDA("kg N2O-N/kg N applied")</definedName>
    <definedName name="Fertiliser_Equations_InorganicN2O.VEERG_5_1_1_2__1_EmissionFactorIrrigatedMaize_Unit" localSheetId="20">_xlfn.LAMBDA("kg N2O-N/kg N applied")</definedName>
    <definedName name="Fertiliser_Equations_InorganicN2O.VEERG_5_1_1_2__1_EmissionFactorIrrigatedMaize_Unit" localSheetId="21">_xlfn.LAMBDA("kg N2O-N/kg N applied")</definedName>
    <definedName name="Fertiliser_Equations_InorganicN2O.VEERG_5_1_1_2__1_EmissionFactorIrrigatedMaize_Unit" localSheetId="22">_xlfn.LAMBDA("kg N2O-N/kg N applied")</definedName>
    <definedName name="Fertiliser_Equations_InorganicN2O.VEERG_5_1_1_2__1_EmissionFactorIrrigatedMaize_Unit" localSheetId="27">_xlfn.LAMBDA("kg N2O-N/kg N applied")</definedName>
    <definedName name="Fertiliser_Equations_InorganicN2O.VEERG_5_1_1_2__1_EmissionFactorIrrigatedMaize_Unit" localSheetId="30">_xlfn.LAMBDA("kg N2O-N/kg N applied")</definedName>
    <definedName name="Fertiliser_Equations_InorganicN2O.VEERG_5_1_1_2__1_EmissionFactorIrrigatedMaize_Unit" localSheetId="6">_xlfn.LAMBDA("kg N2O-N/kg N applied")</definedName>
    <definedName name="Fertiliser_Equations_InorganicN2O.VEERG_5_1_1_2__1_EmissionFactorIrrigatedMaize_Unit" localSheetId="34">_xlfn.LAMBDA("kg N2O-N/kg N applied")</definedName>
    <definedName name="Fertiliser_Equations_InorganicN2O.VEERG_5_1_1_2__1_EmissionFactorIrrigatedMaize_Unit">_xlfn.LAMBDA("kg N2O-N/kg N applied")</definedName>
    <definedName name="Fertiliser_Equations_InorganicN2O.VEERG_5_1_1_2__1_EmissionFactorIrrigatedMaize_Variable" localSheetId="15">_xlfn.LAMBDA("EF_fjIrrigatedMaizeN2O")</definedName>
    <definedName name="Fertiliser_Equations_InorganicN2O.VEERG_5_1_1_2__1_EmissionFactorIrrigatedMaize_Variable" localSheetId="16">_xlfn.LAMBDA("EF_fjIrrigatedMaizeN2O")</definedName>
    <definedName name="Fertiliser_Equations_InorganicN2O.VEERG_5_1_1_2__1_EmissionFactorIrrigatedMaize_Variable" localSheetId="17">_xlfn.LAMBDA("EF_fjIrrigatedMaizeN2O")</definedName>
    <definedName name="Fertiliser_Equations_InorganicN2O.VEERG_5_1_1_2__1_EmissionFactorIrrigatedMaize_Variable" localSheetId="18">_xlfn.LAMBDA("EF_fjIrrigatedMaizeN2O")</definedName>
    <definedName name="Fertiliser_Equations_InorganicN2O.VEERG_5_1_1_2__1_EmissionFactorIrrigatedMaize_Variable" localSheetId="19">_xlfn.LAMBDA("EF_fjIrrigatedMaizeN2O")</definedName>
    <definedName name="Fertiliser_Equations_InorganicN2O.VEERG_5_1_1_2__1_EmissionFactorIrrigatedMaize_Variable" localSheetId="20">_xlfn.LAMBDA("EF_fjIrrigatedMaizeN2O")</definedName>
    <definedName name="Fertiliser_Equations_InorganicN2O.VEERG_5_1_1_2__1_EmissionFactorIrrigatedMaize_Variable" localSheetId="21">_xlfn.LAMBDA("EF_fjIrrigatedMaizeN2O")</definedName>
    <definedName name="Fertiliser_Equations_InorganicN2O.VEERG_5_1_1_2__1_EmissionFactorIrrigatedMaize_Variable" localSheetId="22">_xlfn.LAMBDA("EF_fjIrrigatedMaizeN2O")</definedName>
    <definedName name="Fertiliser_Equations_InorganicN2O.VEERG_5_1_1_2__1_EmissionFactorIrrigatedMaize_Variable" localSheetId="27">_xlfn.LAMBDA("EF_fjIrrigatedMaizeN2O")</definedName>
    <definedName name="Fertiliser_Equations_InorganicN2O.VEERG_5_1_1_2__1_EmissionFactorIrrigatedMaize_Variable" localSheetId="30">_xlfn.LAMBDA("EF_fjIrrigatedMaizeN2O")</definedName>
    <definedName name="Fertiliser_Equations_InorganicN2O.VEERG_5_1_1_2__1_EmissionFactorIrrigatedMaize_Variable" localSheetId="6">_xlfn.LAMBDA("EF_fjIrrigatedMaizeN2O")</definedName>
    <definedName name="Fertiliser_Equations_InorganicN2O.VEERG_5_1_1_2__1_EmissionFactorIrrigatedMaize_Variable" localSheetId="34">_xlfn.LAMBDA("EF_fjIrrigatedMaizeN2O")</definedName>
    <definedName name="Fertiliser_Equations_InorganicN2O.VEERG_5_1_1_2__1_EmissionFactorIrrigatedMaize_Variable">_xlfn.LAMBDA("EF_fjIrrigatedMaizeN2O")</definedName>
    <definedName name="Fertiliser_Equations_InorganicN2O.VEERG_5_1_1_2__2_EmissionFactorNonIrrigatedGrainsHighRainfall" localSheetId="15">_xlfn.LAMBDA(_xlpm.N_fjNonIrrigatedGrains, (0.0781 + (0.0075 * _xlpm.N_fjNonIrrigatedGrains)) * 10 ^ -2)</definedName>
    <definedName name="Fertiliser_Equations_InorganicN2O.VEERG_5_1_1_2__2_EmissionFactorNonIrrigatedGrainsHighRainfall" localSheetId="16">_xlfn.LAMBDA(_xlpm.N_fjNonIrrigatedGrains, (0.0781 + (0.0075 * _xlpm.N_fjNonIrrigatedGrains)) * 10 ^ -2)</definedName>
    <definedName name="Fertiliser_Equations_InorganicN2O.VEERG_5_1_1_2__2_EmissionFactorNonIrrigatedGrainsHighRainfall" localSheetId="17">_xlfn.LAMBDA(_xlpm.N_fjNonIrrigatedGrains, (0.0781 + (0.0075 * _xlpm.N_fjNonIrrigatedGrains)) * 10 ^ -2)</definedName>
    <definedName name="Fertiliser_Equations_InorganicN2O.VEERG_5_1_1_2__2_EmissionFactorNonIrrigatedGrainsHighRainfall" localSheetId="18">_xlfn.LAMBDA(_xlpm.N_fjNonIrrigatedGrains, (0.0781 + (0.0075 * _xlpm.N_fjNonIrrigatedGrains)) * 10 ^ -2)</definedName>
    <definedName name="Fertiliser_Equations_InorganicN2O.VEERG_5_1_1_2__2_EmissionFactorNonIrrigatedGrainsHighRainfall" localSheetId="19">_xlfn.LAMBDA(_xlpm.N_fjNonIrrigatedGrains, (0.0781 + (0.0075 * _xlpm.N_fjNonIrrigatedGrains)) * 10 ^ -2)</definedName>
    <definedName name="Fertiliser_Equations_InorganicN2O.VEERG_5_1_1_2__2_EmissionFactorNonIrrigatedGrainsHighRainfall" localSheetId="20">_xlfn.LAMBDA(_xlpm.N_fjNonIrrigatedGrains, (0.0781 + (0.0075 * _xlpm.N_fjNonIrrigatedGrains)) * 10 ^ -2)</definedName>
    <definedName name="Fertiliser_Equations_InorganicN2O.VEERG_5_1_1_2__2_EmissionFactorNonIrrigatedGrainsHighRainfall" localSheetId="21">_xlfn.LAMBDA(_xlpm.N_fjNonIrrigatedGrains, (0.0781 + (0.0075 * _xlpm.N_fjNonIrrigatedGrains)) * 10 ^ -2)</definedName>
    <definedName name="Fertiliser_Equations_InorganicN2O.VEERG_5_1_1_2__2_EmissionFactorNonIrrigatedGrainsHighRainfall" localSheetId="22">_xlfn.LAMBDA(_xlpm.N_fjNonIrrigatedGrains, (0.0781 + (0.0075 * _xlpm.N_fjNonIrrigatedGrains)) * 10 ^ -2)</definedName>
    <definedName name="Fertiliser_Equations_InorganicN2O.VEERG_5_1_1_2__2_EmissionFactorNonIrrigatedGrainsHighRainfall" localSheetId="27">_xlfn.LAMBDA(_xlpm.N_fjNonIrrigatedGrains, (0.0781 + (0.0075 * _xlpm.N_fjNonIrrigatedGrains)) * 10 ^ -2)</definedName>
    <definedName name="Fertiliser_Equations_InorganicN2O.VEERG_5_1_1_2__2_EmissionFactorNonIrrigatedGrainsHighRainfall" localSheetId="30">_xlfn.LAMBDA(_xlpm.N_fjNonIrrigatedGrains, (0.0781 + (0.0075 * _xlpm.N_fjNonIrrigatedGrains)) * 10 ^ -2)</definedName>
    <definedName name="Fertiliser_Equations_InorganicN2O.VEERG_5_1_1_2__2_EmissionFactorNonIrrigatedGrainsHighRainfall" localSheetId="6">_xlfn.LAMBDA(_xlpm.N_fjNonIrrigatedGrains, (0.0781 + (0.0075 * _xlpm.N_fjNonIrrigatedGrains)) * 10 ^ -2)</definedName>
    <definedName name="Fertiliser_Equations_InorganicN2O.VEERG_5_1_1_2__2_EmissionFactorNonIrrigatedGrainsHighRainfall" localSheetId="34">_xlfn.LAMBDA(_xlpm.N_fjNonIrrigatedGrains, (0.0781 + (0.0075 * _xlpm.N_fjNonIrrigatedGrains)) * 10 ^ -2)</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 localSheetId="15">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6">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7">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8">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19">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0">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1">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2">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27">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30">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6">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 localSheetId="34">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 localSheetId="15">_xlfn.LAMBDA("EF_{fj=nonirrigatedgrains,N2O}=(0.0781+(0.0075\times N_{fj=nonirrigatedgrains}))\times 10^{-2}")</definedName>
    <definedName name="Fertiliser_Equations_InorganicN2O.VEERG_5_1_1_2__2_EmissionFactorNonIrrigatedGrainsHighRainfall_LatexEquation" localSheetId="16">_xlfn.LAMBDA("EF_{fj=nonirrigatedgrains,N2O}=(0.0781+(0.0075\times N_{fj=nonirrigatedgrains}))\times 10^{-2}")</definedName>
    <definedName name="Fertiliser_Equations_InorganicN2O.VEERG_5_1_1_2__2_EmissionFactorNonIrrigatedGrainsHighRainfall_LatexEquation" localSheetId="17">_xlfn.LAMBDA("EF_{fj=nonirrigatedgrains,N2O}=(0.0781+(0.0075\times N_{fj=nonirrigatedgrains}))\times 10^{-2}")</definedName>
    <definedName name="Fertiliser_Equations_InorganicN2O.VEERG_5_1_1_2__2_EmissionFactorNonIrrigatedGrainsHighRainfall_LatexEquation" localSheetId="18">_xlfn.LAMBDA("EF_{fj=nonirrigatedgrains,N2O}=(0.0781+(0.0075\times N_{fj=nonirrigatedgrains}))\times 10^{-2}")</definedName>
    <definedName name="Fertiliser_Equations_InorganicN2O.VEERG_5_1_1_2__2_EmissionFactorNonIrrigatedGrainsHighRainfall_LatexEquation" localSheetId="19">_xlfn.LAMBDA("EF_{fj=nonirrigatedgrains,N2O}=(0.0781+(0.0075\times N_{fj=nonirrigatedgrains}))\times 10^{-2}")</definedName>
    <definedName name="Fertiliser_Equations_InorganicN2O.VEERG_5_1_1_2__2_EmissionFactorNonIrrigatedGrainsHighRainfall_LatexEquation" localSheetId="20">_xlfn.LAMBDA("EF_{fj=nonirrigatedgrains,N2O}=(0.0781+(0.0075\times N_{fj=nonirrigatedgrains}))\times 10^{-2}")</definedName>
    <definedName name="Fertiliser_Equations_InorganicN2O.VEERG_5_1_1_2__2_EmissionFactorNonIrrigatedGrainsHighRainfall_LatexEquation" localSheetId="21">_xlfn.LAMBDA("EF_{fj=nonirrigatedgrains,N2O}=(0.0781+(0.0075\times N_{fj=nonirrigatedgrains}))\times 10^{-2}")</definedName>
    <definedName name="Fertiliser_Equations_InorganicN2O.VEERG_5_1_1_2__2_EmissionFactorNonIrrigatedGrainsHighRainfall_LatexEquation" localSheetId="22">_xlfn.LAMBDA("EF_{fj=nonirrigatedgrains,N2O}=(0.0781+(0.0075\times N_{fj=nonirrigatedgrains}))\times 10^{-2}")</definedName>
    <definedName name="Fertiliser_Equations_InorganicN2O.VEERG_5_1_1_2__2_EmissionFactorNonIrrigatedGrainsHighRainfall_LatexEquation" localSheetId="27">_xlfn.LAMBDA("EF_{fj=nonirrigatedgrains,N2O}=(0.0781+(0.0075\times N_{fj=nonirrigatedgrains}))\times 10^{-2}")</definedName>
    <definedName name="Fertiliser_Equations_InorganicN2O.VEERG_5_1_1_2__2_EmissionFactorNonIrrigatedGrainsHighRainfall_LatexEquation" localSheetId="30">_xlfn.LAMBDA("EF_{fj=nonirrigatedgrains,N2O}=(0.0781+(0.0075\times N_{fj=nonirrigatedgrains}))\times 10^{-2}")</definedName>
    <definedName name="Fertiliser_Equations_InorganicN2O.VEERG_5_1_1_2__2_EmissionFactorNonIrrigatedGrainsHighRainfall_LatexEquation" localSheetId="6">_xlfn.LAMBDA("EF_{fj=nonirrigatedgrains,N2O}=(0.0781+(0.0075\times N_{fj=nonirrigatedgrains}))\times 10^{-2}")</definedName>
    <definedName name="Fertiliser_Equations_InorganicN2O.VEERG_5_1_1_2__2_EmissionFactorNonIrrigatedGrainsHighRainfall_LatexEquation" localSheetId="34">_xlfn.LAMBDA("EF_{fj=nonirrigatedgrains,N2O}=(0.0781+(0.0075\times N_{fj=nonirrigatedgrains}))\times 10^{-2}")</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 localSheetId="15">_xlfn.LAMBDA("")</definedName>
    <definedName name="Fertiliser_Equations_InorganicN2O.VEERG_5_1_1_2__2_EmissionFactorNonIrrigatedGrainsHighRainfall_NIRReference" localSheetId="16">_xlfn.LAMBDA("")</definedName>
    <definedName name="Fertiliser_Equations_InorganicN2O.VEERG_5_1_1_2__2_EmissionFactorNonIrrigatedGrainsHighRainfall_NIRReference" localSheetId="17">_xlfn.LAMBDA("")</definedName>
    <definedName name="Fertiliser_Equations_InorganicN2O.VEERG_5_1_1_2__2_EmissionFactorNonIrrigatedGrainsHighRainfall_NIRReference" localSheetId="18">_xlfn.LAMBDA("")</definedName>
    <definedName name="Fertiliser_Equations_InorganicN2O.VEERG_5_1_1_2__2_EmissionFactorNonIrrigatedGrainsHighRainfall_NIRReference" localSheetId="19">_xlfn.LAMBDA("")</definedName>
    <definedName name="Fertiliser_Equations_InorganicN2O.VEERG_5_1_1_2__2_EmissionFactorNonIrrigatedGrainsHighRainfall_NIRReference" localSheetId="20">_xlfn.LAMBDA("")</definedName>
    <definedName name="Fertiliser_Equations_InorganicN2O.VEERG_5_1_1_2__2_EmissionFactorNonIrrigatedGrainsHighRainfall_NIRReference" localSheetId="21">_xlfn.LAMBDA("")</definedName>
    <definedName name="Fertiliser_Equations_InorganicN2O.VEERG_5_1_1_2__2_EmissionFactorNonIrrigatedGrainsHighRainfall_NIRReference" localSheetId="22">_xlfn.LAMBDA("")</definedName>
    <definedName name="Fertiliser_Equations_InorganicN2O.VEERG_5_1_1_2__2_EmissionFactorNonIrrigatedGrainsHighRainfall_NIRReference" localSheetId="27">_xlfn.LAMBDA("")</definedName>
    <definedName name="Fertiliser_Equations_InorganicN2O.VEERG_5_1_1_2__2_EmissionFactorNonIrrigatedGrainsHighRainfall_NIRReference" localSheetId="30">_xlfn.LAMBDA("")</definedName>
    <definedName name="Fertiliser_Equations_InorganicN2O.VEERG_5_1_1_2__2_EmissionFactorNonIrrigatedGrainsHighRainfall_NIRReference" localSheetId="6">_xlfn.LAMBDA("")</definedName>
    <definedName name="Fertiliser_Equations_InorganicN2O.VEERG_5_1_1_2__2_EmissionFactorNonIrrigatedGrainsHighRainfall_NIRReference" localSheetId="34">_xlfn.LAMBDA("")</definedName>
    <definedName name="Fertiliser_Equations_InorganicN2O.VEERG_5_1_1_2__2_EmissionFactorNonIrrigatedGrainsHighRainfall_NIRReference">_xlfn.LAMBDA("")</definedName>
    <definedName name="Fertiliser_Equations_InorganicN2O.VEERG_5_1_1_2__2_EmissionFactorNonIrrigatedGrainsHighRainfall_Source" localSheetId="15">_xlfn.LAMBDA("VEERG 2026: 5.1.1.2, Equation (2)")</definedName>
    <definedName name="Fertiliser_Equations_InorganicN2O.VEERG_5_1_1_2__2_EmissionFactorNonIrrigatedGrainsHighRainfall_Source" localSheetId="16">_xlfn.LAMBDA("VEERG 2026: 5.1.1.2, Equation (2)")</definedName>
    <definedName name="Fertiliser_Equations_InorganicN2O.VEERG_5_1_1_2__2_EmissionFactorNonIrrigatedGrainsHighRainfall_Source" localSheetId="17">_xlfn.LAMBDA("VEERG 2026: 5.1.1.2, Equation (2)")</definedName>
    <definedName name="Fertiliser_Equations_InorganicN2O.VEERG_5_1_1_2__2_EmissionFactorNonIrrigatedGrainsHighRainfall_Source" localSheetId="18">_xlfn.LAMBDA("VEERG 2026: 5.1.1.2, Equation (2)")</definedName>
    <definedName name="Fertiliser_Equations_InorganicN2O.VEERG_5_1_1_2__2_EmissionFactorNonIrrigatedGrainsHighRainfall_Source" localSheetId="19">_xlfn.LAMBDA("VEERG 2026: 5.1.1.2, Equation (2)")</definedName>
    <definedName name="Fertiliser_Equations_InorganicN2O.VEERG_5_1_1_2__2_EmissionFactorNonIrrigatedGrainsHighRainfall_Source" localSheetId="20">_xlfn.LAMBDA("VEERG 2026: 5.1.1.2, Equation (2)")</definedName>
    <definedName name="Fertiliser_Equations_InorganicN2O.VEERG_5_1_1_2__2_EmissionFactorNonIrrigatedGrainsHighRainfall_Source" localSheetId="21">_xlfn.LAMBDA("VEERG 2026: 5.1.1.2, Equation (2)")</definedName>
    <definedName name="Fertiliser_Equations_InorganicN2O.VEERG_5_1_1_2__2_EmissionFactorNonIrrigatedGrainsHighRainfall_Source" localSheetId="22">_xlfn.LAMBDA("VEERG 2026: 5.1.1.2, Equation (2)")</definedName>
    <definedName name="Fertiliser_Equations_InorganicN2O.VEERG_5_1_1_2__2_EmissionFactorNonIrrigatedGrainsHighRainfall_Source" localSheetId="27">_xlfn.LAMBDA("VEERG 2026: 5.1.1.2, Equation (2)")</definedName>
    <definedName name="Fertiliser_Equations_InorganicN2O.VEERG_5_1_1_2__2_EmissionFactorNonIrrigatedGrainsHighRainfall_Source" localSheetId="30">_xlfn.LAMBDA("VEERG 2026: 5.1.1.2, Equation (2)")</definedName>
    <definedName name="Fertiliser_Equations_InorganicN2O.VEERG_5_1_1_2__2_EmissionFactorNonIrrigatedGrainsHighRainfall_Source" localSheetId="6">_xlfn.LAMBDA("VEERG 2026: 5.1.1.2, Equation (2)")</definedName>
    <definedName name="Fertiliser_Equations_InorganicN2O.VEERG_5_1_1_2__2_EmissionFactorNonIrrigatedGrainsHighRainfall_Source" localSheetId="34">_xlfn.LAMBDA("VEERG 2026: 5.1.1.2, Equation (2)")</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 localSheetId="15">_xlfn.LAMBDA("Emission factor for nitrous oxide for non-irrigated grains in high rainfall zone")</definedName>
    <definedName name="Fertiliser_Equations_InorganicN2O.VEERG_5_1_1_2__2_EmissionFactorNonIrrigatedGrainsHighRainfall_Title" localSheetId="16">_xlfn.LAMBDA("Emission factor for nitrous oxide for non-irrigated grains in high rainfall zone")</definedName>
    <definedName name="Fertiliser_Equations_InorganicN2O.VEERG_5_1_1_2__2_EmissionFactorNonIrrigatedGrainsHighRainfall_Title" localSheetId="17">_xlfn.LAMBDA("Emission factor for nitrous oxide for non-irrigated grains in high rainfall zone")</definedName>
    <definedName name="Fertiliser_Equations_InorganicN2O.VEERG_5_1_1_2__2_EmissionFactorNonIrrigatedGrainsHighRainfall_Title" localSheetId="18">_xlfn.LAMBDA("Emission factor for nitrous oxide for non-irrigated grains in high rainfall zone")</definedName>
    <definedName name="Fertiliser_Equations_InorganicN2O.VEERG_5_1_1_2__2_EmissionFactorNonIrrigatedGrainsHighRainfall_Title" localSheetId="19">_xlfn.LAMBDA("Emission factor for nitrous oxide for non-irrigated grains in high rainfall zone")</definedName>
    <definedName name="Fertiliser_Equations_InorganicN2O.VEERG_5_1_1_2__2_EmissionFactorNonIrrigatedGrainsHighRainfall_Title" localSheetId="20">_xlfn.LAMBDA("Emission factor for nitrous oxide for non-irrigated grains in high rainfall zone")</definedName>
    <definedName name="Fertiliser_Equations_InorganicN2O.VEERG_5_1_1_2__2_EmissionFactorNonIrrigatedGrainsHighRainfall_Title" localSheetId="21">_xlfn.LAMBDA("Emission factor for nitrous oxide for non-irrigated grains in high rainfall zone")</definedName>
    <definedName name="Fertiliser_Equations_InorganicN2O.VEERG_5_1_1_2__2_EmissionFactorNonIrrigatedGrainsHighRainfall_Title" localSheetId="22">_xlfn.LAMBDA("Emission factor for nitrous oxide for non-irrigated grains in high rainfall zone")</definedName>
    <definedName name="Fertiliser_Equations_InorganicN2O.VEERG_5_1_1_2__2_EmissionFactorNonIrrigatedGrainsHighRainfall_Title" localSheetId="27">_xlfn.LAMBDA("Emission factor for nitrous oxide for non-irrigated grains in high rainfall zone")</definedName>
    <definedName name="Fertiliser_Equations_InorganicN2O.VEERG_5_1_1_2__2_EmissionFactorNonIrrigatedGrainsHighRainfall_Title" localSheetId="30">_xlfn.LAMBDA("Emission factor for nitrous oxide for non-irrigated grains in high rainfall zone")</definedName>
    <definedName name="Fertiliser_Equations_InorganicN2O.VEERG_5_1_1_2__2_EmissionFactorNonIrrigatedGrainsHighRainfall_Title" localSheetId="6">_xlfn.LAMBDA("Emission factor for nitrous oxide for non-irrigated grains in high rainfall zone")</definedName>
    <definedName name="Fertiliser_Equations_InorganicN2O.VEERG_5_1_1_2__2_EmissionFactorNonIrrigatedGrainsHighRainfall_Title" localSheetId="34">_xlfn.LAMBDA("Emission factor for nitrous oxide for non-irrigated grains in high rainfall zone")</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 localSheetId="15">_xlfn.LAMBDA("kg N2O-N/kg N applied")</definedName>
    <definedName name="Fertiliser_Equations_InorganicN2O.VEERG_5_1_1_2__2_EmissionFactorNonIrrigatedGrainsHighRainfall_Unit" localSheetId="16">_xlfn.LAMBDA("kg N2O-N/kg N applied")</definedName>
    <definedName name="Fertiliser_Equations_InorganicN2O.VEERG_5_1_1_2__2_EmissionFactorNonIrrigatedGrainsHighRainfall_Unit" localSheetId="17">_xlfn.LAMBDA("kg N2O-N/kg N applied")</definedName>
    <definedName name="Fertiliser_Equations_InorganicN2O.VEERG_5_1_1_2__2_EmissionFactorNonIrrigatedGrainsHighRainfall_Unit" localSheetId="18">_xlfn.LAMBDA("kg N2O-N/kg N applied")</definedName>
    <definedName name="Fertiliser_Equations_InorganicN2O.VEERG_5_1_1_2__2_EmissionFactorNonIrrigatedGrainsHighRainfall_Unit" localSheetId="19">_xlfn.LAMBDA("kg N2O-N/kg N applied")</definedName>
    <definedName name="Fertiliser_Equations_InorganicN2O.VEERG_5_1_1_2__2_EmissionFactorNonIrrigatedGrainsHighRainfall_Unit" localSheetId="20">_xlfn.LAMBDA("kg N2O-N/kg N applied")</definedName>
    <definedName name="Fertiliser_Equations_InorganicN2O.VEERG_5_1_1_2__2_EmissionFactorNonIrrigatedGrainsHighRainfall_Unit" localSheetId="21">_xlfn.LAMBDA("kg N2O-N/kg N applied")</definedName>
    <definedName name="Fertiliser_Equations_InorganicN2O.VEERG_5_1_1_2__2_EmissionFactorNonIrrigatedGrainsHighRainfall_Unit" localSheetId="22">_xlfn.LAMBDA("kg N2O-N/kg N applied")</definedName>
    <definedName name="Fertiliser_Equations_InorganicN2O.VEERG_5_1_1_2__2_EmissionFactorNonIrrigatedGrainsHighRainfall_Unit" localSheetId="27">_xlfn.LAMBDA("kg N2O-N/kg N applied")</definedName>
    <definedName name="Fertiliser_Equations_InorganicN2O.VEERG_5_1_1_2__2_EmissionFactorNonIrrigatedGrainsHighRainfall_Unit" localSheetId="30">_xlfn.LAMBDA("kg N2O-N/kg N applied")</definedName>
    <definedName name="Fertiliser_Equations_InorganicN2O.VEERG_5_1_1_2__2_EmissionFactorNonIrrigatedGrainsHighRainfall_Unit" localSheetId="6">_xlfn.LAMBDA("kg N2O-N/kg N applied")</definedName>
    <definedName name="Fertiliser_Equations_InorganicN2O.VEERG_5_1_1_2__2_EmissionFactorNonIrrigatedGrainsHighRainfall_Unit" localSheetId="34">_xlfn.LAMBDA("kg N2O-N/kg N applied")</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 localSheetId="15">_xlfn.LAMBDA("EF_fjNonIrrigatedGrainsN2O")</definedName>
    <definedName name="Fertiliser_Equations_InorganicN2O.VEERG_5_1_1_2__2_EmissionFactorNonIrrigatedGrainsHighRainfall_Variable" localSheetId="16">_xlfn.LAMBDA("EF_fjNonIrrigatedGrainsN2O")</definedName>
    <definedName name="Fertiliser_Equations_InorganicN2O.VEERG_5_1_1_2__2_EmissionFactorNonIrrigatedGrainsHighRainfall_Variable" localSheetId="17">_xlfn.LAMBDA("EF_fjNonIrrigatedGrainsN2O")</definedName>
    <definedName name="Fertiliser_Equations_InorganicN2O.VEERG_5_1_1_2__2_EmissionFactorNonIrrigatedGrainsHighRainfall_Variable" localSheetId="18">_xlfn.LAMBDA("EF_fjNonIrrigatedGrainsN2O")</definedName>
    <definedName name="Fertiliser_Equations_InorganicN2O.VEERG_5_1_1_2__2_EmissionFactorNonIrrigatedGrainsHighRainfall_Variable" localSheetId="19">_xlfn.LAMBDA("EF_fjNonIrrigatedGrainsN2O")</definedName>
    <definedName name="Fertiliser_Equations_InorganicN2O.VEERG_5_1_1_2__2_EmissionFactorNonIrrigatedGrainsHighRainfall_Variable" localSheetId="20">_xlfn.LAMBDA("EF_fjNonIrrigatedGrainsN2O")</definedName>
    <definedName name="Fertiliser_Equations_InorganicN2O.VEERG_5_1_1_2__2_EmissionFactorNonIrrigatedGrainsHighRainfall_Variable" localSheetId="21">_xlfn.LAMBDA("EF_fjNonIrrigatedGrainsN2O")</definedName>
    <definedName name="Fertiliser_Equations_InorganicN2O.VEERG_5_1_1_2__2_EmissionFactorNonIrrigatedGrainsHighRainfall_Variable" localSheetId="22">_xlfn.LAMBDA("EF_fjNonIrrigatedGrainsN2O")</definedName>
    <definedName name="Fertiliser_Equations_InorganicN2O.VEERG_5_1_1_2__2_EmissionFactorNonIrrigatedGrainsHighRainfall_Variable" localSheetId="27">_xlfn.LAMBDA("EF_fjNonIrrigatedGrainsN2O")</definedName>
    <definedName name="Fertiliser_Equations_InorganicN2O.VEERG_5_1_1_2__2_EmissionFactorNonIrrigatedGrainsHighRainfall_Variable" localSheetId="30">_xlfn.LAMBDA("EF_fjNonIrrigatedGrainsN2O")</definedName>
    <definedName name="Fertiliser_Equations_InorganicN2O.VEERG_5_1_1_2__2_EmissionFactorNonIrrigatedGrainsHighRainfall_Variable" localSheetId="6">_xlfn.LAMBDA("EF_fjNonIrrigatedGrainsN2O")</definedName>
    <definedName name="Fertiliser_Equations_InorganicN2O.VEERG_5_1_1_2__2_EmissionFactorNonIrrigatedGrainsHighRainfall_Variable" localSheetId="34">_xlfn.LAMBDA("EF_fjNonIrrigatedGrainsN2O")</definedName>
    <definedName name="Fertiliser_Equations_InorganicN2O.VEERG_5_1_1_2__2_EmissionFactorNonIrrigatedGrainsHighRainfall_Variable">_xlfn.LAMBDA("EF_fjNonIrrigatedGrainsN2O")</definedName>
    <definedName name="Fertiliser_Equations_InorganicN2O.VEERG_5_1_1_2__3_EmissionFactorCotton" localSheetId="15">_xlfn.LAMBDA(_xlpm.N_fjCotton, (0.01 * (0.29 + ((0.007 * (EXP(0.037 * _xlpm.N_fjCotton) - 1)) / _xlpm.N_fjCotton))) * 10 ^ -2)</definedName>
    <definedName name="Fertiliser_Equations_InorganicN2O.VEERG_5_1_1_2__3_EmissionFactorCotton" localSheetId="16">_xlfn.LAMBDA(_xlpm.N_fjCotton, (0.01 * (0.29 + ((0.007 * (EXP(0.037 * _xlpm.N_fjCotton) - 1)) / _xlpm.N_fjCotton))) * 10 ^ -2)</definedName>
    <definedName name="Fertiliser_Equations_InorganicN2O.VEERG_5_1_1_2__3_EmissionFactorCotton" localSheetId="17">_xlfn.LAMBDA(_xlpm.N_fjCotton, (0.01 * (0.29 + ((0.007 * (EXP(0.037 * _xlpm.N_fjCotton) - 1)) / _xlpm.N_fjCotton))) * 10 ^ -2)</definedName>
    <definedName name="Fertiliser_Equations_InorganicN2O.VEERG_5_1_1_2__3_EmissionFactorCotton" localSheetId="18">_xlfn.LAMBDA(_xlpm.N_fjCotton, (0.01 * (0.29 + ((0.007 * (EXP(0.037 * _xlpm.N_fjCotton) - 1)) / _xlpm.N_fjCotton))) * 10 ^ -2)</definedName>
    <definedName name="Fertiliser_Equations_InorganicN2O.VEERG_5_1_1_2__3_EmissionFactorCotton" localSheetId="19">_xlfn.LAMBDA(_xlpm.N_fjCotton, (0.01 * (0.29 + ((0.007 * (EXP(0.037 * _xlpm.N_fjCotton) - 1)) / _xlpm.N_fjCotton))) * 10 ^ -2)</definedName>
    <definedName name="Fertiliser_Equations_InorganicN2O.VEERG_5_1_1_2__3_EmissionFactorCotton" localSheetId="20">_xlfn.LAMBDA(_xlpm.N_fjCotton, (0.01 * (0.29 + ((0.007 * (EXP(0.037 * _xlpm.N_fjCotton) - 1)) / _xlpm.N_fjCotton))) * 10 ^ -2)</definedName>
    <definedName name="Fertiliser_Equations_InorganicN2O.VEERG_5_1_1_2__3_EmissionFactorCotton" localSheetId="21">_xlfn.LAMBDA(_xlpm.N_fjCotton, (0.01 * (0.29 + ((0.007 * (EXP(0.037 * _xlpm.N_fjCotton) - 1)) / _xlpm.N_fjCotton))) * 10 ^ -2)</definedName>
    <definedName name="Fertiliser_Equations_InorganicN2O.VEERG_5_1_1_2__3_EmissionFactorCotton" localSheetId="22">_xlfn.LAMBDA(_xlpm.N_fjCotton, (0.01 * (0.29 + ((0.007 * (EXP(0.037 * _xlpm.N_fjCotton) - 1)) / _xlpm.N_fjCotton))) * 10 ^ -2)</definedName>
    <definedName name="Fertiliser_Equations_InorganicN2O.VEERG_5_1_1_2__3_EmissionFactorCotton" localSheetId="27">_xlfn.LAMBDA(_xlpm.N_fjCotton, (0.01 * (0.29 + ((0.007 * (EXP(0.037 * _xlpm.N_fjCotton) - 1)) / _xlpm.N_fjCotton))) * 10 ^ -2)</definedName>
    <definedName name="Fertiliser_Equations_InorganicN2O.VEERG_5_1_1_2__3_EmissionFactorCotton" localSheetId="30">_xlfn.LAMBDA(_xlpm.N_fjCotton, (0.01 * (0.29 + ((0.007 * (EXP(0.037 * _xlpm.N_fjCotton) - 1)) / _xlpm.N_fjCotton))) * 10 ^ -2)</definedName>
    <definedName name="Fertiliser_Equations_InorganicN2O.VEERG_5_1_1_2__3_EmissionFactorCotton" localSheetId="6">_xlfn.LAMBDA(_xlpm.N_fjCotton, (0.01 * (0.29 + ((0.007 * (EXP(0.037 * _xlpm.N_fjCotton) - 1)) / _xlpm.N_fjCotton))) * 10 ^ -2)</definedName>
    <definedName name="Fertiliser_Equations_InorganicN2O.VEERG_5_1_1_2__3_EmissionFactorCotton" localSheetId="34">_xlfn.LAMBDA(_xlpm.N_fjCotton, (0.01 * (0.29 + ((0.007 * (EXP(0.037 * _xlpm.N_fjCotton) - 1)) / _xlpm.N_fjCotton))) * 10 ^ -2)</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 localSheetId="15">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6">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7">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8">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19">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0">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1">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2">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27">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30">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6">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 localSheetId="34">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 localSheetId="15">_xlfn.LAMBDA("EF_{fj=cotton,N2O}=(0.01 \times (0.29 + \frac{0.007(e^{0.037 \times N_{fj=cotton}}-1)}{N_{fj=cotton}})) \times 10^{-2}
")</definedName>
    <definedName name="Fertiliser_Equations_InorganicN2O.VEERG_5_1_1_2__3_EmissionFactorCotton_LatexEquation" localSheetId="16">_xlfn.LAMBDA("EF_{fj=cotton,N2O}=(0.01 \times (0.29 + \frac{0.007(e^{0.037 \times N_{fj=cotton}}-1)}{N_{fj=cotton}})) \times 10^{-2}
")</definedName>
    <definedName name="Fertiliser_Equations_InorganicN2O.VEERG_5_1_1_2__3_EmissionFactorCotton_LatexEquation" localSheetId="17">_xlfn.LAMBDA("EF_{fj=cotton,N2O}=(0.01 \times (0.29 + \frac{0.007(e^{0.037 \times N_{fj=cotton}}-1)}{N_{fj=cotton}})) \times 10^{-2}
")</definedName>
    <definedName name="Fertiliser_Equations_InorganicN2O.VEERG_5_1_1_2__3_EmissionFactorCotton_LatexEquation" localSheetId="18">_xlfn.LAMBDA("EF_{fj=cotton,N2O}=(0.01 \times (0.29 + \frac{0.007(e^{0.037 \times N_{fj=cotton}}-1)}{N_{fj=cotton}})) \times 10^{-2}
")</definedName>
    <definedName name="Fertiliser_Equations_InorganicN2O.VEERG_5_1_1_2__3_EmissionFactorCotton_LatexEquation" localSheetId="19">_xlfn.LAMBDA("EF_{fj=cotton,N2O}=(0.01 \times (0.29 + \frac{0.007(e^{0.037 \times N_{fj=cotton}}-1)}{N_{fj=cotton}})) \times 10^{-2}
")</definedName>
    <definedName name="Fertiliser_Equations_InorganicN2O.VEERG_5_1_1_2__3_EmissionFactorCotton_LatexEquation" localSheetId="20">_xlfn.LAMBDA("EF_{fj=cotton,N2O}=(0.01 \times (0.29 + \frac{0.007(e^{0.037 \times N_{fj=cotton}}-1)}{N_{fj=cotton}})) \times 10^{-2}
")</definedName>
    <definedName name="Fertiliser_Equations_InorganicN2O.VEERG_5_1_1_2__3_EmissionFactorCotton_LatexEquation" localSheetId="21">_xlfn.LAMBDA("EF_{fj=cotton,N2O}=(0.01 \times (0.29 + \frac{0.007(e^{0.037 \times N_{fj=cotton}}-1)}{N_{fj=cotton}})) \times 10^{-2}
")</definedName>
    <definedName name="Fertiliser_Equations_InorganicN2O.VEERG_5_1_1_2__3_EmissionFactorCotton_LatexEquation" localSheetId="22">_xlfn.LAMBDA("EF_{fj=cotton,N2O}=(0.01 \times (0.29 + \frac{0.007(e^{0.037 \times N_{fj=cotton}}-1)}{N_{fj=cotton}})) \times 10^{-2}
")</definedName>
    <definedName name="Fertiliser_Equations_InorganicN2O.VEERG_5_1_1_2__3_EmissionFactorCotton_LatexEquation" localSheetId="27">_xlfn.LAMBDA("EF_{fj=cotton,N2O}=(0.01 \times (0.29 + \frac{0.007(e^{0.037 \times N_{fj=cotton}}-1)}{N_{fj=cotton}})) \times 10^{-2}
")</definedName>
    <definedName name="Fertiliser_Equations_InorganicN2O.VEERG_5_1_1_2__3_EmissionFactorCotton_LatexEquation" localSheetId="30">_xlfn.LAMBDA("EF_{fj=cotton,N2O}=(0.01 \times (0.29 + \frac{0.007(e^{0.037 \times N_{fj=cotton}}-1)}{N_{fj=cotton}})) \times 10^{-2}
")</definedName>
    <definedName name="Fertiliser_Equations_InorganicN2O.VEERG_5_1_1_2__3_EmissionFactorCotton_LatexEquation" localSheetId="6">_xlfn.LAMBDA("EF_{fj=cotton,N2O}=(0.01 \times (0.29 + \frac{0.007(e^{0.037 \times N_{fj=cotton}}-1)}{N_{fj=cotton}})) \times 10^{-2}
")</definedName>
    <definedName name="Fertiliser_Equations_InorganicN2O.VEERG_5_1_1_2__3_EmissionFactorCotton_LatexEquation" localSheetId="34">_xlfn.LAMBDA("EF_{fj=cotton,N2O}=(0.01 \times (0.29 + \frac{0.007(e^{0.037 \times N_{fj=cotton}}-1)}{N_{fj=cotton}})) \times 10^{-2}
")</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 localSheetId="15">_xlfn.LAMBDA("")</definedName>
    <definedName name="Fertiliser_Equations_InorganicN2O.VEERG_5_1_1_2__3_EmissionFactorCotton_NIRReference" localSheetId="16">_xlfn.LAMBDA("")</definedName>
    <definedName name="Fertiliser_Equations_InorganicN2O.VEERG_5_1_1_2__3_EmissionFactorCotton_NIRReference" localSheetId="17">_xlfn.LAMBDA("")</definedName>
    <definedName name="Fertiliser_Equations_InorganicN2O.VEERG_5_1_1_2__3_EmissionFactorCotton_NIRReference" localSheetId="18">_xlfn.LAMBDA("")</definedName>
    <definedName name="Fertiliser_Equations_InorganicN2O.VEERG_5_1_1_2__3_EmissionFactorCotton_NIRReference" localSheetId="19">_xlfn.LAMBDA("")</definedName>
    <definedName name="Fertiliser_Equations_InorganicN2O.VEERG_5_1_1_2__3_EmissionFactorCotton_NIRReference" localSheetId="20">_xlfn.LAMBDA("")</definedName>
    <definedName name="Fertiliser_Equations_InorganicN2O.VEERG_5_1_1_2__3_EmissionFactorCotton_NIRReference" localSheetId="21">_xlfn.LAMBDA("")</definedName>
    <definedName name="Fertiliser_Equations_InorganicN2O.VEERG_5_1_1_2__3_EmissionFactorCotton_NIRReference" localSheetId="22">_xlfn.LAMBDA("")</definedName>
    <definedName name="Fertiliser_Equations_InorganicN2O.VEERG_5_1_1_2__3_EmissionFactorCotton_NIRReference" localSheetId="27">_xlfn.LAMBDA("")</definedName>
    <definedName name="Fertiliser_Equations_InorganicN2O.VEERG_5_1_1_2__3_EmissionFactorCotton_NIRReference" localSheetId="30">_xlfn.LAMBDA("")</definedName>
    <definedName name="Fertiliser_Equations_InorganicN2O.VEERG_5_1_1_2__3_EmissionFactorCotton_NIRReference" localSheetId="6">_xlfn.LAMBDA("")</definedName>
    <definedName name="Fertiliser_Equations_InorganicN2O.VEERG_5_1_1_2__3_EmissionFactorCotton_NIRReference" localSheetId="34">_xlfn.LAMBDA("")</definedName>
    <definedName name="Fertiliser_Equations_InorganicN2O.VEERG_5_1_1_2__3_EmissionFactorCotton_NIRReference">_xlfn.LAMBDA("")</definedName>
    <definedName name="Fertiliser_Equations_InorganicN2O.VEERG_5_1_1_2__3_EmissionFactorCotton_Source" localSheetId="15">_xlfn.LAMBDA("VEERG 2026: 5.1.1.2, Equation (3)")</definedName>
    <definedName name="Fertiliser_Equations_InorganicN2O.VEERG_5_1_1_2__3_EmissionFactorCotton_Source" localSheetId="16">_xlfn.LAMBDA("VEERG 2026: 5.1.1.2, Equation (3)")</definedName>
    <definedName name="Fertiliser_Equations_InorganicN2O.VEERG_5_1_1_2__3_EmissionFactorCotton_Source" localSheetId="17">_xlfn.LAMBDA("VEERG 2026: 5.1.1.2, Equation (3)")</definedName>
    <definedName name="Fertiliser_Equations_InorganicN2O.VEERG_5_1_1_2__3_EmissionFactorCotton_Source" localSheetId="18">_xlfn.LAMBDA("VEERG 2026: 5.1.1.2, Equation (3)")</definedName>
    <definedName name="Fertiliser_Equations_InorganicN2O.VEERG_5_1_1_2__3_EmissionFactorCotton_Source" localSheetId="19">_xlfn.LAMBDA("VEERG 2026: 5.1.1.2, Equation (3)")</definedName>
    <definedName name="Fertiliser_Equations_InorganicN2O.VEERG_5_1_1_2__3_EmissionFactorCotton_Source" localSheetId="20">_xlfn.LAMBDA("VEERG 2026: 5.1.1.2, Equation (3)")</definedName>
    <definedName name="Fertiliser_Equations_InorganicN2O.VEERG_5_1_1_2__3_EmissionFactorCotton_Source" localSheetId="21">_xlfn.LAMBDA("VEERG 2026: 5.1.1.2, Equation (3)")</definedName>
    <definedName name="Fertiliser_Equations_InorganicN2O.VEERG_5_1_1_2__3_EmissionFactorCotton_Source" localSheetId="22">_xlfn.LAMBDA("VEERG 2026: 5.1.1.2, Equation (3)")</definedName>
    <definedName name="Fertiliser_Equations_InorganicN2O.VEERG_5_1_1_2__3_EmissionFactorCotton_Source" localSheetId="27">_xlfn.LAMBDA("VEERG 2026: 5.1.1.2, Equation (3)")</definedName>
    <definedName name="Fertiliser_Equations_InorganicN2O.VEERG_5_1_1_2__3_EmissionFactorCotton_Source" localSheetId="30">_xlfn.LAMBDA("VEERG 2026: 5.1.1.2, Equation (3)")</definedName>
    <definedName name="Fertiliser_Equations_InorganicN2O.VEERG_5_1_1_2__3_EmissionFactorCotton_Source" localSheetId="6">_xlfn.LAMBDA("VEERG 2026: 5.1.1.2, Equation (3)")</definedName>
    <definedName name="Fertiliser_Equations_InorganicN2O.VEERG_5_1_1_2__3_EmissionFactorCotton_Source" localSheetId="34">_xlfn.LAMBDA("VEERG 2026: 5.1.1.2, Equation (3)")</definedName>
    <definedName name="Fertiliser_Equations_InorganicN2O.VEERG_5_1_1_2__3_EmissionFactorCotton_Source">_xlfn.LAMBDA("VEERG 2026: 5.1.1.2, Equation (3)")</definedName>
    <definedName name="Fertiliser_Equations_InorganicN2O.VEERG_5_1_1_2__3_EmissionFactorCotton_Title" localSheetId="15">_xlfn.LAMBDA("Emission factor for nitrous oxide for cotton")</definedName>
    <definedName name="Fertiliser_Equations_InorganicN2O.VEERG_5_1_1_2__3_EmissionFactorCotton_Title" localSheetId="16">_xlfn.LAMBDA("Emission factor for nitrous oxide for cotton")</definedName>
    <definedName name="Fertiliser_Equations_InorganicN2O.VEERG_5_1_1_2__3_EmissionFactorCotton_Title" localSheetId="17">_xlfn.LAMBDA("Emission factor for nitrous oxide for cotton")</definedName>
    <definedName name="Fertiliser_Equations_InorganicN2O.VEERG_5_1_1_2__3_EmissionFactorCotton_Title" localSheetId="18">_xlfn.LAMBDA("Emission factor for nitrous oxide for cotton")</definedName>
    <definedName name="Fertiliser_Equations_InorganicN2O.VEERG_5_1_1_2__3_EmissionFactorCotton_Title" localSheetId="19">_xlfn.LAMBDA("Emission factor for nitrous oxide for cotton")</definedName>
    <definedName name="Fertiliser_Equations_InorganicN2O.VEERG_5_1_1_2__3_EmissionFactorCotton_Title" localSheetId="20">_xlfn.LAMBDA("Emission factor for nitrous oxide for cotton")</definedName>
    <definedName name="Fertiliser_Equations_InorganicN2O.VEERG_5_1_1_2__3_EmissionFactorCotton_Title" localSheetId="21">_xlfn.LAMBDA("Emission factor for nitrous oxide for cotton")</definedName>
    <definedName name="Fertiliser_Equations_InorganicN2O.VEERG_5_1_1_2__3_EmissionFactorCotton_Title" localSheetId="22">_xlfn.LAMBDA("Emission factor for nitrous oxide for cotton")</definedName>
    <definedName name="Fertiliser_Equations_InorganicN2O.VEERG_5_1_1_2__3_EmissionFactorCotton_Title" localSheetId="27">_xlfn.LAMBDA("Emission factor for nitrous oxide for cotton")</definedName>
    <definedName name="Fertiliser_Equations_InorganicN2O.VEERG_5_1_1_2__3_EmissionFactorCotton_Title" localSheetId="30">_xlfn.LAMBDA("Emission factor for nitrous oxide for cotton")</definedName>
    <definedName name="Fertiliser_Equations_InorganicN2O.VEERG_5_1_1_2__3_EmissionFactorCotton_Title" localSheetId="6">_xlfn.LAMBDA("Emission factor for nitrous oxide for cotton")</definedName>
    <definedName name="Fertiliser_Equations_InorganicN2O.VEERG_5_1_1_2__3_EmissionFactorCotton_Title" localSheetId="34">_xlfn.LAMBDA("Emission factor for nitrous oxide for cotton")</definedName>
    <definedName name="Fertiliser_Equations_InorganicN2O.VEERG_5_1_1_2__3_EmissionFactorCotton_Title">_xlfn.LAMBDA("Emission factor for nitrous oxide for cotton")</definedName>
    <definedName name="Fertiliser_Equations_InorganicN2O.VEERG_5_1_1_2__3_EmissionFactorCotton_Unit" localSheetId="15">_xlfn.LAMBDA("kg N2O-N/kg N applied")</definedName>
    <definedName name="Fertiliser_Equations_InorganicN2O.VEERG_5_1_1_2__3_EmissionFactorCotton_Unit" localSheetId="16">_xlfn.LAMBDA("kg N2O-N/kg N applied")</definedName>
    <definedName name="Fertiliser_Equations_InorganicN2O.VEERG_5_1_1_2__3_EmissionFactorCotton_Unit" localSheetId="17">_xlfn.LAMBDA("kg N2O-N/kg N applied")</definedName>
    <definedName name="Fertiliser_Equations_InorganicN2O.VEERG_5_1_1_2__3_EmissionFactorCotton_Unit" localSheetId="18">_xlfn.LAMBDA("kg N2O-N/kg N applied")</definedName>
    <definedName name="Fertiliser_Equations_InorganicN2O.VEERG_5_1_1_2__3_EmissionFactorCotton_Unit" localSheetId="19">_xlfn.LAMBDA("kg N2O-N/kg N applied")</definedName>
    <definedName name="Fertiliser_Equations_InorganicN2O.VEERG_5_1_1_2__3_EmissionFactorCotton_Unit" localSheetId="20">_xlfn.LAMBDA("kg N2O-N/kg N applied")</definedName>
    <definedName name="Fertiliser_Equations_InorganicN2O.VEERG_5_1_1_2__3_EmissionFactorCotton_Unit" localSheetId="21">_xlfn.LAMBDA("kg N2O-N/kg N applied")</definedName>
    <definedName name="Fertiliser_Equations_InorganicN2O.VEERG_5_1_1_2__3_EmissionFactorCotton_Unit" localSheetId="22">_xlfn.LAMBDA("kg N2O-N/kg N applied")</definedName>
    <definedName name="Fertiliser_Equations_InorganicN2O.VEERG_5_1_1_2__3_EmissionFactorCotton_Unit" localSheetId="27">_xlfn.LAMBDA("kg N2O-N/kg N applied")</definedName>
    <definedName name="Fertiliser_Equations_InorganicN2O.VEERG_5_1_1_2__3_EmissionFactorCotton_Unit" localSheetId="30">_xlfn.LAMBDA("kg N2O-N/kg N applied")</definedName>
    <definedName name="Fertiliser_Equations_InorganicN2O.VEERG_5_1_1_2__3_EmissionFactorCotton_Unit" localSheetId="6">_xlfn.LAMBDA("kg N2O-N/kg N applied")</definedName>
    <definedName name="Fertiliser_Equations_InorganicN2O.VEERG_5_1_1_2__3_EmissionFactorCotton_Unit" localSheetId="34">_xlfn.LAMBDA("kg N2O-N/kg N applied")</definedName>
    <definedName name="Fertiliser_Equations_InorganicN2O.VEERG_5_1_1_2__3_EmissionFactorCotton_Unit">_xlfn.LAMBDA("kg N2O-N/kg N applied")</definedName>
    <definedName name="Fertiliser_Equations_InorganicN2O.VEERG_5_1_1_2__3_EmissionFactorCotton_Variable" localSheetId="15">_xlfn.LAMBDA("EF_fjCottonN2O")</definedName>
    <definedName name="Fertiliser_Equations_InorganicN2O.VEERG_5_1_1_2__3_EmissionFactorCotton_Variable" localSheetId="16">_xlfn.LAMBDA("EF_fjCottonN2O")</definedName>
    <definedName name="Fertiliser_Equations_InorganicN2O.VEERG_5_1_1_2__3_EmissionFactorCotton_Variable" localSheetId="17">_xlfn.LAMBDA("EF_fjCottonN2O")</definedName>
    <definedName name="Fertiliser_Equations_InorganicN2O.VEERG_5_1_1_2__3_EmissionFactorCotton_Variable" localSheetId="18">_xlfn.LAMBDA("EF_fjCottonN2O")</definedName>
    <definedName name="Fertiliser_Equations_InorganicN2O.VEERG_5_1_1_2__3_EmissionFactorCotton_Variable" localSheetId="19">_xlfn.LAMBDA("EF_fjCottonN2O")</definedName>
    <definedName name="Fertiliser_Equations_InorganicN2O.VEERG_5_1_1_2__3_EmissionFactorCotton_Variable" localSheetId="20">_xlfn.LAMBDA("EF_fjCottonN2O")</definedName>
    <definedName name="Fertiliser_Equations_InorganicN2O.VEERG_5_1_1_2__3_EmissionFactorCotton_Variable" localSheetId="21">_xlfn.LAMBDA("EF_fjCottonN2O")</definedName>
    <definedName name="Fertiliser_Equations_InorganicN2O.VEERG_5_1_1_2__3_EmissionFactorCotton_Variable" localSheetId="22">_xlfn.LAMBDA("EF_fjCottonN2O")</definedName>
    <definedName name="Fertiliser_Equations_InorganicN2O.VEERG_5_1_1_2__3_EmissionFactorCotton_Variable" localSheetId="27">_xlfn.LAMBDA("EF_fjCottonN2O")</definedName>
    <definedName name="Fertiliser_Equations_InorganicN2O.VEERG_5_1_1_2__3_EmissionFactorCotton_Variable" localSheetId="30">_xlfn.LAMBDA("EF_fjCottonN2O")</definedName>
    <definedName name="Fertiliser_Equations_InorganicN2O.VEERG_5_1_1_2__3_EmissionFactorCotton_Variable" localSheetId="6">_xlfn.LAMBDA("EF_fjCottonN2O")</definedName>
    <definedName name="Fertiliser_Equations_InorganicN2O.VEERG_5_1_1_2__3_EmissionFactorCotton_Variable" localSheetId="34">_xlfn.LAMBDA("EF_fjCottonN2O")</definedName>
    <definedName name="Fertiliser_Equations_InorganicN2O.VEERG_5_1_1_2__3_EmissionFactorCotton_Variable">_xlfn.LAMBDA("EF_fjCottonN2O")</definedName>
    <definedName name="Fertiliser_Equations_LeachingAndRunoff.VEERG_5_5_1_1__1_FertiliserLeachingAndRunoffN2OEmissions" localSheetId="15">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6">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7">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8">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19">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0">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1">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2">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27">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30">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6">_xlfn.LAMBDA(_xlpm.M_leachinorganicj,_xlpm.M_leachorganicj,_xlpm.EF_leach,_xlpm.C_N2O, (_xlpm.M_leachinorganicj + _xlpm.M_leachorganicj) * _xlpm.EF_leach * _xlpm.C_N2O * 10 ^ -3)</definedName>
    <definedName name="Fertiliser_Equations_LeachingAndRunoff.VEERG_5_5_1_1__1_FertiliserLeachingAndRunoffN2OEmissions" localSheetId="34">_xlfn.LAMBDA(_xlpm.M_leachinorganicj,_xlpm.M_leachorganicj,_xlpm.EF_leach,_xlpm.C_N2O, (_xlpm.M_leachinorganicj + _xlpm.M_leachorganicj) * _xlpm.EF_leach * _xlpm.C_N2O * 10 ^ -3)</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 localSheetId="15">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6">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7">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8">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19">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0">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1">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2">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27">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30">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6">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 localSheetId="34">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 localSheetId="15">_xlfn.LAMBDA("E_{fert,leach}=\sum_{j}((M_{leach,inorganic,j}+M_{leach,organic,j})\times EF_{leach}\times C_{N2O}\times 10^{-3})")</definedName>
    <definedName name="Fertiliser_Equations_LeachingAndRunoff.VEERG_5_5_1_1__1_FertiliserLeachingAndRunoffN2OEmissions_LatexEquation" localSheetId="16">_xlfn.LAMBDA("E_{fert,leach}=\sum_{j}((M_{leach,inorganic,j}+M_{leach,organic,j})\times EF_{leach}\times C_{N2O}\times 10^{-3})")</definedName>
    <definedName name="Fertiliser_Equations_LeachingAndRunoff.VEERG_5_5_1_1__1_FertiliserLeachingAndRunoffN2OEmissions_LatexEquation" localSheetId="17">_xlfn.LAMBDA("E_{fert,leach}=\sum_{j}((M_{leach,inorganic,j}+M_{leach,organic,j})\times EF_{leach}\times C_{N2O}\times 10^{-3})")</definedName>
    <definedName name="Fertiliser_Equations_LeachingAndRunoff.VEERG_5_5_1_1__1_FertiliserLeachingAndRunoffN2OEmissions_LatexEquation" localSheetId="18">_xlfn.LAMBDA("E_{fert,leach}=\sum_{j}((M_{leach,inorganic,j}+M_{leach,organic,j})\times EF_{leach}\times C_{N2O}\times 10^{-3})")</definedName>
    <definedName name="Fertiliser_Equations_LeachingAndRunoff.VEERG_5_5_1_1__1_FertiliserLeachingAndRunoffN2OEmissions_LatexEquation" localSheetId="19">_xlfn.LAMBDA("E_{fert,leach}=\sum_{j}((M_{leach,inorganic,j}+M_{leach,organic,j})\times EF_{leach}\times C_{N2O}\times 10^{-3})")</definedName>
    <definedName name="Fertiliser_Equations_LeachingAndRunoff.VEERG_5_5_1_1__1_FertiliserLeachingAndRunoffN2OEmissions_LatexEquation" localSheetId="20">_xlfn.LAMBDA("E_{fert,leach}=\sum_{j}((M_{leach,inorganic,j}+M_{leach,organic,j})\times EF_{leach}\times C_{N2O}\times 10^{-3})")</definedName>
    <definedName name="Fertiliser_Equations_LeachingAndRunoff.VEERG_5_5_1_1__1_FertiliserLeachingAndRunoffN2OEmissions_LatexEquation" localSheetId="21">_xlfn.LAMBDA("E_{fert,leach}=\sum_{j}((M_{leach,inorganic,j}+M_{leach,organic,j})\times EF_{leach}\times C_{N2O}\times 10^{-3})")</definedName>
    <definedName name="Fertiliser_Equations_LeachingAndRunoff.VEERG_5_5_1_1__1_FertiliserLeachingAndRunoffN2OEmissions_LatexEquation" localSheetId="22">_xlfn.LAMBDA("E_{fert,leach}=\sum_{j}((M_{leach,inorganic,j}+M_{leach,organic,j})\times EF_{leach}\times C_{N2O}\times 10^{-3})")</definedName>
    <definedName name="Fertiliser_Equations_LeachingAndRunoff.VEERG_5_5_1_1__1_FertiliserLeachingAndRunoffN2OEmissions_LatexEquation" localSheetId="27">_xlfn.LAMBDA("E_{fert,leach}=\sum_{j}((M_{leach,inorganic,j}+M_{leach,organic,j})\times EF_{leach}\times C_{N2O}\times 10^{-3})")</definedName>
    <definedName name="Fertiliser_Equations_LeachingAndRunoff.VEERG_5_5_1_1__1_FertiliserLeachingAndRunoffN2OEmissions_LatexEquation" localSheetId="30">_xlfn.LAMBDA("E_{fert,leach}=\sum_{j}((M_{leach,inorganic,j}+M_{leach,organic,j})\times EF_{leach}\times C_{N2O}\times 10^{-3})")</definedName>
    <definedName name="Fertiliser_Equations_LeachingAndRunoff.VEERG_5_5_1_1__1_FertiliserLeachingAndRunoffN2OEmissions_LatexEquation" localSheetId="6">_xlfn.LAMBDA("E_{fert,leach}=\sum_{j}((M_{leach,inorganic,j}+M_{leach,organic,j})\times EF_{leach}\times C_{N2O}\times 10^{-3})")</definedName>
    <definedName name="Fertiliser_Equations_LeachingAndRunoff.VEERG_5_5_1_1__1_FertiliserLeachingAndRunoffN2OEmissions_LatexEquation" localSheetId="34">_xlfn.LAMBDA("E_{fert,leach}=\sum_{j}((M_{leach,inorganic,j}+M_{leach,organic,j})\times EF_{leach}\times C_{N2O}\times 10^{-3})")</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 localSheetId="15">_xlfn.LAMBDA("")</definedName>
    <definedName name="Fertiliser_Equations_LeachingAndRunoff.VEERG_5_5_1_1__1_FertiliserLeachingAndRunoffN2OEmissions_NIRReference" localSheetId="16">_xlfn.LAMBDA("")</definedName>
    <definedName name="Fertiliser_Equations_LeachingAndRunoff.VEERG_5_5_1_1__1_FertiliserLeachingAndRunoffN2OEmissions_NIRReference" localSheetId="17">_xlfn.LAMBDA("")</definedName>
    <definedName name="Fertiliser_Equations_LeachingAndRunoff.VEERG_5_5_1_1__1_FertiliserLeachingAndRunoffN2OEmissions_NIRReference" localSheetId="18">_xlfn.LAMBDA("")</definedName>
    <definedName name="Fertiliser_Equations_LeachingAndRunoff.VEERG_5_5_1_1__1_FertiliserLeachingAndRunoffN2OEmissions_NIRReference" localSheetId="19">_xlfn.LAMBDA("")</definedName>
    <definedName name="Fertiliser_Equations_LeachingAndRunoff.VEERG_5_5_1_1__1_FertiliserLeachingAndRunoffN2OEmissions_NIRReference" localSheetId="20">_xlfn.LAMBDA("")</definedName>
    <definedName name="Fertiliser_Equations_LeachingAndRunoff.VEERG_5_5_1_1__1_FertiliserLeachingAndRunoffN2OEmissions_NIRReference" localSheetId="21">_xlfn.LAMBDA("")</definedName>
    <definedName name="Fertiliser_Equations_LeachingAndRunoff.VEERG_5_5_1_1__1_FertiliserLeachingAndRunoffN2OEmissions_NIRReference" localSheetId="22">_xlfn.LAMBDA("")</definedName>
    <definedName name="Fertiliser_Equations_LeachingAndRunoff.VEERG_5_5_1_1__1_FertiliserLeachingAndRunoffN2OEmissions_NIRReference" localSheetId="27">_xlfn.LAMBDA("")</definedName>
    <definedName name="Fertiliser_Equations_LeachingAndRunoff.VEERG_5_5_1_1__1_FertiliserLeachingAndRunoffN2OEmissions_NIRReference" localSheetId="30">_xlfn.LAMBDA("")</definedName>
    <definedName name="Fertiliser_Equations_LeachingAndRunoff.VEERG_5_5_1_1__1_FertiliserLeachingAndRunoffN2OEmissions_NIRReference" localSheetId="6">_xlfn.LAMBDA("")</definedName>
    <definedName name="Fertiliser_Equations_LeachingAndRunoff.VEERG_5_5_1_1__1_FertiliserLeachingAndRunoffN2OEmissions_NIRReference" localSheetId="34">_xlfn.LAMBDA("")</definedName>
    <definedName name="Fertiliser_Equations_LeachingAndRunoff.VEERG_5_5_1_1__1_FertiliserLeachingAndRunoffN2OEmissions_NIRReference">_xlfn.LAMBDA("")</definedName>
    <definedName name="Fertiliser_Equations_LeachingAndRunoff.VEERG_5_5_1_1__1_FertiliserLeachingAndRunoffN2OEmissions_Source" localSheetId="15">_xlfn.LAMBDA("VEERG 2026: 5.5, Equation (1)")</definedName>
    <definedName name="Fertiliser_Equations_LeachingAndRunoff.VEERG_5_5_1_1__1_FertiliserLeachingAndRunoffN2OEmissions_Source" localSheetId="16">_xlfn.LAMBDA("VEERG 2026: 5.5, Equation (1)")</definedName>
    <definedName name="Fertiliser_Equations_LeachingAndRunoff.VEERG_5_5_1_1__1_FertiliserLeachingAndRunoffN2OEmissions_Source" localSheetId="17">_xlfn.LAMBDA("VEERG 2026: 5.5, Equation (1)")</definedName>
    <definedName name="Fertiliser_Equations_LeachingAndRunoff.VEERG_5_5_1_1__1_FertiliserLeachingAndRunoffN2OEmissions_Source" localSheetId="18">_xlfn.LAMBDA("VEERG 2026: 5.5, Equation (1)")</definedName>
    <definedName name="Fertiliser_Equations_LeachingAndRunoff.VEERG_5_5_1_1__1_FertiliserLeachingAndRunoffN2OEmissions_Source" localSheetId="19">_xlfn.LAMBDA("VEERG 2026: 5.5, Equation (1)")</definedName>
    <definedName name="Fertiliser_Equations_LeachingAndRunoff.VEERG_5_5_1_1__1_FertiliserLeachingAndRunoffN2OEmissions_Source" localSheetId="20">_xlfn.LAMBDA("VEERG 2026: 5.5, Equation (1)")</definedName>
    <definedName name="Fertiliser_Equations_LeachingAndRunoff.VEERG_5_5_1_1__1_FertiliserLeachingAndRunoffN2OEmissions_Source" localSheetId="21">_xlfn.LAMBDA("VEERG 2026: 5.5, Equation (1)")</definedName>
    <definedName name="Fertiliser_Equations_LeachingAndRunoff.VEERG_5_5_1_1__1_FertiliserLeachingAndRunoffN2OEmissions_Source" localSheetId="22">_xlfn.LAMBDA("VEERG 2026: 5.5, Equation (1)")</definedName>
    <definedName name="Fertiliser_Equations_LeachingAndRunoff.VEERG_5_5_1_1__1_FertiliserLeachingAndRunoffN2OEmissions_Source" localSheetId="27">_xlfn.LAMBDA("VEERG 2026: 5.5, Equation (1)")</definedName>
    <definedName name="Fertiliser_Equations_LeachingAndRunoff.VEERG_5_5_1_1__1_FertiliserLeachingAndRunoffN2OEmissions_Source" localSheetId="30">_xlfn.LAMBDA("VEERG 2026: 5.5, Equation (1)")</definedName>
    <definedName name="Fertiliser_Equations_LeachingAndRunoff.VEERG_5_5_1_1__1_FertiliserLeachingAndRunoffN2OEmissions_Source" localSheetId="6">_xlfn.LAMBDA("VEERG 2026: 5.5, Equation (1)")</definedName>
    <definedName name="Fertiliser_Equations_LeachingAndRunoff.VEERG_5_5_1_1__1_FertiliserLeachingAndRunoffN2OEmissions_Source" localSheetId="34">_xlfn.LAMBDA("VEERG 2026: 5.5, Equation (1)")</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 localSheetId="15">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6">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7">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8">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19">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0">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1">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2">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27">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30">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6">_xlfn.LAMBDA("Nitrous oxide emissions from nitrogen leaching and runoff from the application of all fertilisers across all production systems j")</definedName>
    <definedName name="Fertiliser_Equations_LeachingAndRunoff.VEERG_5_5_1_1__1_FertiliserLeachingAndRunoffN2OEmissions_Title" localSheetId="34">_xlfn.LAMBDA("Nitrous oxide emissions from nitrogen leaching and runoff from the application of all fertilisers across all production systems j")</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 localSheetId="15">_xlfn.LAMBDA("t N2O")</definedName>
    <definedName name="Fertiliser_Equations_LeachingAndRunoff.VEERG_5_5_1_1__1_FertiliserLeachingAndRunoffN2OEmissions_Unit" localSheetId="16">_xlfn.LAMBDA("t N2O")</definedName>
    <definedName name="Fertiliser_Equations_LeachingAndRunoff.VEERG_5_5_1_1__1_FertiliserLeachingAndRunoffN2OEmissions_Unit" localSheetId="17">_xlfn.LAMBDA("t N2O")</definedName>
    <definedName name="Fertiliser_Equations_LeachingAndRunoff.VEERG_5_5_1_1__1_FertiliserLeachingAndRunoffN2OEmissions_Unit" localSheetId="18">_xlfn.LAMBDA("t N2O")</definedName>
    <definedName name="Fertiliser_Equations_LeachingAndRunoff.VEERG_5_5_1_1__1_FertiliserLeachingAndRunoffN2OEmissions_Unit" localSheetId="19">_xlfn.LAMBDA("t N2O")</definedName>
    <definedName name="Fertiliser_Equations_LeachingAndRunoff.VEERG_5_5_1_1__1_FertiliserLeachingAndRunoffN2OEmissions_Unit" localSheetId="20">_xlfn.LAMBDA("t N2O")</definedName>
    <definedName name="Fertiliser_Equations_LeachingAndRunoff.VEERG_5_5_1_1__1_FertiliserLeachingAndRunoffN2OEmissions_Unit" localSheetId="21">_xlfn.LAMBDA("t N2O")</definedName>
    <definedName name="Fertiliser_Equations_LeachingAndRunoff.VEERG_5_5_1_1__1_FertiliserLeachingAndRunoffN2OEmissions_Unit" localSheetId="22">_xlfn.LAMBDA("t N2O")</definedName>
    <definedName name="Fertiliser_Equations_LeachingAndRunoff.VEERG_5_5_1_1__1_FertiliserLeachingAndRunoffN2OEmissions_Unit" localSheetId="27">_xlfn.LAMBDA("t N2O")</definedName>
    <definedName name="Fertiliser_Equations_LeachingAndRunoff.VEERG_5_5_1_1__1_FertiliserLeachingAndRunoffN2OEmissions_Unit" localSheetId="30">_xlfn.LAMBDA("t N2O")</definedName>
    <definedName name="Fertiliser_Equations_LeachingAndRunoff.VEERG_5_5_1_1__1_FertiliserLeachingAndRunoffN2OEmissions_Unit" localSheetId="6">_xlfn.LAMBDA("t N2O")</definedName>
    <definedName name="Fertiliser_Equations_LeachingAndRunoff.VEERG_5_5_1_1__1_FertiliserLeachingAndRunoffN2OEmissions_Unit" localSheetId="34">_xlfn.LAMBDA("t N2O")</definedName>
    <definedName name="Fertiliser_Equations_LeachingAndRunoff.VEERG_5_5_1_1__1_FertiliserLeachingAndRunoffN2OEmissions_Unit">_xlfn.LAMBDA("t N2O")</definedName>
    <definedName name="Fertiliser_Equations_LeachingAndRunoff.VEERG_5_5_1_1__1_FertiliserLeachingAndRunoffN2OEmissions_Variable" localSheetId="15">_xlfn.LAMBDA("E_fertleach")</definedName>
    <definedName name="Fertiliser_Equations_LeachingAndRunoff.VEERG_5_5_1_1__1_FertiliserLeachingAndRunoffN2OEmissions_Variable" localSheetId="16">_xlfn.LAMBDA("E_fertleach")</definedName>
    <definedName name="Fertiliser_Equations_LeachingAndRunoff.VEERG_5_5_1_1__1_FertiliserLeachingAndRunoffN2OEmissions_Variable" localSheetId="17">_xlfn.LAMBDA("E_fertleach")</definedName>
    <definedName name="Fertiliser_Equations_LeachingAndRunoff.VEERG_5_5_1_1__1_FertiliserLeachingAndRunoffN2OEmissions_Variable" localSheetId="18">_xlfn.LAMBDA("E_fertleach")</definedName>
    <definedName name="Fertiliser_Equations_LeachingAndRunoff.VEERG_5_5_1_1__1_FertiliserLeachingAndRunoffN2OEmissions_Variable" localSheetId="19">_xlfn.LAMBDA("E_fertleach")</definedName>
    <definedName name="Fertiliser_Equations_LeachingAndRunoff.VEERG_5_5_1_1__1_FertiliserLeachingAndRunoffN2OEmissions_Variable" localSheetId="20">_xlfn.LAMBDA("E_fertleach")</definedName>
    <definedName name="Fertiliser_Equations_LeachingAndRunoff.VEERG_5_5_1_1__1_FertiliserLeachingAndRunoffN2OEmissions_Variable" localSheetId="21">_xlfn.LAMBDA("E_fertleach")</definedName>
    <definedName name="Fertiliser_Equations_LeachingAndRunoff.VEERG_5_5_1_1__1_FertiliserLeachingAndRunoffN2OEmissions_Variable" localSheetId="22">_xlfn.LAMBDA("E_fertleach")</definedName>
    <definedName name="Fertiliser_Equations_LeachingAndRunoff.VEERG_5_5_1_1__1_FertiliserLeachingAndRunoffN2OEmissions_Variable" localSheetId="27">_xlfn.LAMBDA("E_fertleach")</definedName>
    <definedName name="Fertiliser_Equations_LeachingAndRunoff.VEERG_5_5_1_1__1_FertiliserLeachingAndRunoffN2OEmissions_Variable" localSheetId="30">_xlfn.LAMBDA("E_fertleach")</definedName>
    <definedName name="Fertiliser_Equations_LeachingAndRunoff.VEERG_5_5_1_1__1_FertiliserLeachingAndRunoffN2OEmissions_Variable" localSheetId="6">_xlfn.LAMBDA("E_fertleach")</definedName>
    <definedName name="Fertiliser_Equations_LeachingAndRunoff.VEERG_5_5_1_1__1_FertiliserLeachingAndRunoffN2OEmissions_Variable" localSheetId="34">_xlfn.LAMBDA("E_fertleach")</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 localSheetId="15">_xlfn.LAMBDA(_xlpm.MN_jf,_xlpm.FracWETj,_xlpm.FracLEACH, _xlpm.MN_jf * _xlpm.FracWETj * _xlpm.FracLEACH)</definedName>
    <definedName name="Fertiliser_Equations_LeachingAndRunoff.VEERG_5_5_1_1__2_MassOfNitrogenLeachedFromInorganicFertiliser" localSheetId="16">_xlfn.LAMBDA(_xlpm.MN_jf,_xlpm.FracWETj,_xlpm.FracLEACH, _xlpm.MN_jf * _xlpm.FracWETj * _xlpm.FracLEACH)</definedName>
    <definedName name="Fertiliser_Equations_LeachingAndRunoff.VEERG_5_5_1_1__2_MassOfNitrogenLeachedFromInorganicFertiliser" localSheetId="17">_xlfn.LAMBDA(_xlpm.MN_jf,_xlpm.FracWETj,_xlpm.FracLEACH, _xlpm.MN_jf * _xlpm.FracWETj * _xlpm.FracLEACH)</definedName>
    <definedName name="Fertiliser_Equations_LeachingAndRunoff.VEERG_5_5_1_1__2_MassOfNitrogenLeachedFromInorganicFertiliser" localSheetId="18">_xlfn.LAMBDA(_xlpm.MN_jf,_xlpm.FracWETj,_xlpm.FracLEACH, _xlpm.MN_jf * _xlpm.FracWETj * _xlpm.FracLEACH)</definedName>
    <definedName name="Fertiliser_Equations_LeachingAndRunoff.VEERG_5_5_1_1__2_MassOfNitrogenLeachedFromInorganicFertiliser" localSheetId="19">_xlfn.LAMBDA(_xlpm.MN_jf,_xlpm.FracWETj,_xlpm.FracLEACH, _xlpm.MN_jf * _xlpm.FracWETj * _xlpm.FracLEACH)</definedName>
    <definedName name="Fertiliser_Equations_LeachingAndRunoff.VEERG_5_5_1_1__2_MassOfNitrogenLeachedFromInorganicFertiliser" localSheetId="20">_xlfn.LAMBDA(_xlpm.MN_jf,_xlpm.FracWETj,_xlpm.FracLEACH, _xlpm.MN_jf * _xlpm.FracWETj * _xlpm.FracLEACH)</definedName>
    <definedName name="Fertiliser_Equations_LeachingAndRunoff.VEERG_5_5_1_1__2_MassOfNitrogenLeachedFromInorganicFertiliser" localSheetId="21">_xlfn.LAMBDA(_xlpm.MN_jf,_xlpm.FracWETj,_xlpm.FracLEACH, _xlpm.MN_jf * _xlpm.FracWETj * _xlpm.FracLEACH)</definedName>
    <definedName name="Fertiliser_Equations_LeachingAndRunoff.VEERG_5_5_1_1__2_MassOfNitrogenLeachedFromInorganicFertiliser" localSheetId="22">_xlfn.LAMBDA(_xlpm.MN_jf,_xlpm.FracWETj,_xlpm.FracLEACH, _xlpm.MN_jf * _xlpm.FracWETj * _xlpm.FracLEACH)</definedName>
    <definedName name="Fertiliser_Equations_LeachingAndRunoff.VEERG_5_5_1_1__2_MassOfNitrogenLeachedFromInorganicFertiliser" localSheetId="27">_xlfn.LAMBDA(_xlpm.MN_jf,_xlpm.FracWETj,_xlpm.FracLEACH, _xlpm.MN_jf * _xlpm.FracWETj * _xlpm.FracLEACH)</definedName>
    <definedName name="Fertiliser_Equations_LeachingAndRunoff.VEERG_5_5_1_1__2_MassOfNitrogenLeachedFromInorganicFertiliser" localSheetId="30">_xlfn.LAMBDA(_xlpm.MN_jf,_xlpm.FracWETj,_xlpm.FracLEACH, _xlpm.MN_jf * _xlpm.FracWETj * _xlpm.FracLEACH)</definedName>
    <definedName name="Fertiliser_Equations_LeachingAndRunoff.VEERG_5_5_1_1__2_MassOfNitrogenLeachedFromInorganicFertiliser" localSheetId="6">_xlfn.LAMBDA(_xlpm.MN_jf,_xlpm.FracWETj,_xlpm.FracLEACH, _xlpm.MN_jf * _xlpm.FracWETj * _xlpm.FracLEACH)</definedName>
    <definedName name="Fertiliser_Equations_LeachingAndRunoff.VEERG_5_5_1_1__2_MassOfNitrogenLeachedFromInorganicFertiliser" localSheetId="34">_xlfn.LAMBDA(_xlpm.MN_jf,_xlpm.FracWETj,_xlpm.FracLEACH, _xlpm.MN_jf * _xlpm.FracWETj * _xlpm.FracLEACH)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 localSheetId="15">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6">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7">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8">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19">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0">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1">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2">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27">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30">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6">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 localSheetId="34">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 localSheetId="15">_xlfn.LAMBDA("M_{leach,inorganic,j}=\sum\nolimits_{f}\left({MN}_{jf}\times Frac_{WET,j}\times Frac_{LEACH}\right)")</definedName>
    <definedName name="Fertiliser_Equations_LeachingAndRunoff.VEERG_5_5_1_1__2_MassOfNitrogenLeachedFromInorganicFertiliser_LatexEquation" localSheetId="16">_xlfn.LAMBDA("M_{leach,inorganic,j}=\sum\nolimits_{f}\left({MN}_{jf}\times Frac_{WET,j}\times Frac_{LEACH}\right)")</definedName>
    <definedName name="Fertiliser_Equations_LeachingAndRunoff.VEERG_5_5_1_1__2_MassOfNitrogenLeachedFromInorganicFertiliser_LatexEquation" localSheetId="17">_xlfn.LAMBDA("M_{leach,inorganic,j}=\sum\nolimits_{f}\left({MN}_{jf}\times Frac_{WET,j}\times Frac_{LEACH}\right)")</definedName>
    <definedName name="Fertiliser_Equations_LeachingAndRunoff.VEERG_5_5_1_1__2_MassOfNitrogenLeachedFromInorganicFertiliser_LatexEquation" localSheetId="18">_xlfn.LAMBDA("M_{leach,inorganic,j}=\sum\nolimits_{f}\left({MN}_{jf}\times Frac_{WET,j}\times Frac_{LEACH}\right)")</definedName>
    <definedName name="Fertiliser_Equations_LeachingAndRunoff.VEERG_5_5_1_1__2_MassOfNitrogenLeachedFromInorganicFertiliser_LatexEquation" localSheetId="19">_xlfn.LAMBDA("M_{leach,inorganic,j}=\sum\nolimits_{f}\left({MN}_{jf}\times Frac_{WET,j}\times Frac_{LEACH}\right)")</definedName>
    <definedName name="Fertiliser_Equations_LeachingAndRunoff.VEERG_5_5_1_1__2_MassOfNitrogenLeachedFromInorganicFertiliser_LatexEquation" localSheetId="20">_xlfn.LAMBDA("M_{leach,inorganic,j}=\sum\nolimits_{f}\left({MN}_{jf}\times Frac_{WET,j}\times Frac_{LEACH}\right)")</definedName>
    <definedName name="Fertiliser_Equations_LeachingAndRunoff.VEERG_5_5_1_1__2_MassOfNitrogenLeachedFromInorganicFertiliser_LatexEquation" localSheetId="21">_xlfn.LAMBDA("M_{leach,inorganic,j}=\sum\nolimits_{f}\left({MN}_{jf}\times Frac_{WET,j}\times Frac_{LEACH}\right)")</definedName>
    <definedName name="Fertiliser_Equations_LeachingAndRunoff.VEERG_5_5_1_1__2_MassOfNitrogenLeachedFromInorganicFertiliser_LatexEquation" localSheetId="22">_xlfn.LAMBDA("M_{leach,inorganic,j}=\sum\nolimits_{f}\left({MN}_{jf}\times Frac_{WET,j}\times Frac_{LEACH}\right)")</definedName>
    <definedName name="Fertiliser_Equations_LeachingAndRunoff.VEERG_5_5_1_1__2_MassOfNitrogenLeachedFromInorganicFertiliser_LatexEquation" localSheetId="27">_xlfn.LAMBDA("M_{leach,inorganic,j}=\sum\nolimits_{f}\left({MN}_{jf}\times Frac_{WET,j}\times Frac_{LEACH}\right)")</definedName>
    <definedName name="Fertiliser_Equations_LeachingAndRunoff.VEERG_5_5_1_1__2_MassOfNitrogenLeachedFromInorganicFertiliser_LatexEquation" localSheetId="30">_xlfn.LAMBDA("M_{leach,inorganic,j}=\sum\nolimits_{f}\left({MN}_{jf}\times Frac_{WET,j}\times Frac_{LEACH}\right)")</definedName>
    <definedName name="Fertiliser_Equations_LeachingAndRunoff.VEERG_5_5_1_1__2_MassOfNitrogenLeachedFromInorganicFertiliser_LatexEquation" localSheetId="6">_xlfn.LAMBDA("M_{leach,inorganic,j}=\sum\nolimits_{f}\left({MN}_{jf}\times Frac_{WET,j}\times Frac_{LEACH}\right)")</definedName>
    <definedName name="Fertiliser_Equations_LeachingAndRunoff.VEERG_5_5_1_1__2_MassOfNitrogenLeachedFromInorganicFertiliser_LatexEquation" localSheetId="34">_xlfn.LAMBDA("M_{leach,inorganic,j}=\sum\nolimits_{f}\left({MN}_{jf}\times Frac_{WET,j}\times Frac_{LEACH}\right)")</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 localSheetId="15">_xlfn.LAMBDA("")</definedName>
    <definedName name="Fertiliser_Equations_LeachingAndRunoff.VEERG_5_5_1_1__2_MassOfNitrogenLeachedFromInorganicFertiliser_NIRReference" localSheetId="16">_xlfn.LAMBDA("")</definedName>
    <definedName name="Fertiliser_Equations_LeachingAndRunoff.VEERG_5_5_1_1__2_MassOfNitrogenLeachedFromInorganicFertiliser_NIRReference" localSheetId="17">_xlfn.LAMBDA("")</definedName>
    <definedName name="Fertiliser_Equations_LeachingAndRunoff.VEERG_5_5_1_1__2_MassOfNitrogenLeachedFromInorganicFertiliser_NIRReference" localSheetId="18">_xlfn.LAMBDA("")</definedName>
    <definedName name="Fertiliser_Equations_LeachingAndRunoff.VEERG_5_5_1_1__2_MassOfNitrogenLeachedFromInorganicFertiliser_NIRReference" localSheetId="19">_xlfn.LAMBDA("")</definedName>
    <definedName name="Fertiliser_Equations_LeachingAndRunoff.VEERG_5_5_1_1__2_MassOfNitrogenLeachedFromInorganicFertiliser_NIRReference" localSheetId="20">_xlfn.LAMBDA("")</definedName>
    <definedName name="Fertiliser_Equations_LeachingAndRunoff.VEERG_5_5_1_1__2_MassOfNitrogenLeachedFromInorganicFertiliser_NIRReference" localSheetId="21">_xlfn.LAMBDA("")</definedName>
    <definedName name="Fertiliser_Equations_LeachingAndRunoff.VEERG_5_5_1_1__2_MassOfNitrogenLeachedFromInorganicFertiliser_NIRReference" localSheetId="22">_xlfn.LAMBDA("")</definedName>
    <definedName name="Fertiliser_Equations_LeachingAndRunoff.VEERG_5_5_1_1__2_MassOfNitrogenLeachedFromInorganicFertiliser_NIRReference" localSheetId="27">_xlfn.LAMBDA("")</definedName>
    <definedName name="Fertiliser_Equations_LeachingAndRunoff.VEERG_5_5_1_1__2_MassOfNitrogenLeachedFromInorganicFertiliser_NIRReference" localSheetId="30">_xlfn.LAMBDA("")</definedName>
    <definedName name="Fertiliser_Equations_LeachingAndRunoff.VEERG_5_5_1_1__2_MassOfNitrogenLeachedFromInorganicFertiliser_NIRReference" localSheetId="6">_xlfn.LAMBDA("")</definedName>
    <definedName name="Fertiliser_Equations_LeachingAndRunoff.VEERG_5_5_1_1__2_MassOfNitrogenLeachedFromInorganicFertiliser_NIRReference" localSheetId="34">_xlfn.LAMBDA("")</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 localSheetId="15">_xlfn.LAMBDA("VEERG 2026: 5.5, Equation (2)")</definedName>
    <definedName name="Fertiliser_Equations_LeachingAndRunoff.VEERG_5_5_1_1__2_MassOfNitrogenLeachedFromInorganicFertiliser_Source" localSheetId="16">_xlfn.LAMBDA("VEERG 2026: 5.5, Equation (2)")</definedName>
    <definedName name="Fertiliser_Equations_LeachingAndRunoff.VEERG_5_5_1_1__2_MassOfNitrogenLeachedFromInorganicFertiliser_Source" localSheetId="17">_xlfn.LAMBDA("VEERG 2026: 5.5, Equation (2)")</definedName>
    <definedName name="Fertiliser_Equations_LeachingAndRunoff.VEERG_5_5_1_1__2_MassOfNitrogenLeachedFromInorganicFertiliser_Source" localSheetId="18">_xlfn.LAMBDA("VEERG 2026: 5.5, Equation (2)")</definedName>
    <definedName name="Fertiliser_Equations_LeachingAndRunoff.VEERG_5_5_1_1__2_MassOfNitrogenLeachedFromInorganicFertiliser_Source" localSheetId="19">_xlfn.LAMBDA("VEERG 2026: 5.5, Equation (2)")</definedName>
    <definedName name="Fertiliser_Equations_LeachingAndRunoff.VEERG_5_5_1_1__2_MassOfNitrogenLeachedFromInorganicFertiliser_Source" localSheetId="20">_xlfn.LAMBDA("VEERG 2026: 5.5, Equation (2)")</definedName>
    <definedName name="Fertiliser_Equations_LeachingAndRunoff.VEERG_5_5_1_1__2_MassOfNitrogenLeachedFromInorganicFertiliser_Source" localSheetId="21">_xlfn.LAMBDA("VEERG 2026: 5.5, Equation (2)")</definedName>
    <definedName name="Fertiliser_Equations_LeachingAndRunoff.VEERG_5_5_1_1__2_MassOfNitrogenLeachedFromInorganicFertiliser_Source" localSheetId="22">_xlfn.LAMBDA("VEERG 2026: 5.5, Equation (2)")</definedName>
    <definedName name="Fertiliser_Equations_LeachingAndRunoff.VEERG_5_5_1_1__2_MassOfNitrogenLeachedFromInorganicFertiliser_Source" localSheetId="27">_xlfn.LAMBDA("VEERG 2026: 5.5, Equation (2)")</definedName>
    <definedName name="Fertiliser_Equations_LeachingAndRunoff.VEERG_5_5_1_1__2_MassOfNitrogenLeachedFromInorganicFertiliser_Source" localSheetId="30">_xlfn.LAMBDA("VEERG 2026: 5.5, Equation (2)")</definedName>
    <definedName name="Fertiliser_Equations_LeachingAndRunoff.VEERG_5_5_1_1__2_MassOfNitrogenLeachedFromInorganicFertiliser_Source" localSheetId="6">_xlfn.LAMBDA("VEERG 2026: 5.5, Equation (2)")</definedName>
    <definedName name="Fertiliser_Equations_LeachingAndRunoff.VEERG_5_5_1_1__2_MassOfNitrogenLeachedFromInorganicFertiliser_Source" localSheetId="34">_xlfn.LAMBDA("VEERG 2026: 5.5, Equation (2)")</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 localSheetId="15">_xlfn.LAMBDA("Mass of nitrogen lost through leaching and runoff from inorganic fertiliser application in production system j")</definedName>
    <definedName name="Fertiliser_Equations_LeachingAndRunoff.VEERG_5_5_1_1__2_MassOfNitrogenLeachedFromInorganicFertiliser_Title" localSheetId="16">_xlfn.LAMBDA("Mass of nitrogen lost through leaching and runoff from inorganic fertiliser application in production system j")</definedName>
    <definedName name="Fertiliser_Equations_LeachingAndRunoff.VEERG_5_5_1_1__2_MassOfNitrogenLeachedFromInorganicFertiliser_Title" localSheetId="17">_xlfn.LAMBDA("Mass of nitrogen lost through leaching and runoff from inorganic fertiliser application in production system j")</definedName>
    <definedName name="Fertiliser_Equations_LeachingAndRunoff.VEERG_5_5_1_1__2_MassOfNitrogenLeachedFromInorganicFertiliser_Title" localSheetId="18">_xlfn.LAMBDA("Mass of nitrogen lost through leaching and runoff from inorganic fertiliser application in production system j")</definedName>
    <definedName name="Fertiliser_Equations_LeachingAndRunoff.VEERG_5_5_1_1__2_MassOfNitrogenLeachedFromInorganicFertiliser_Title" localSheetId="19">_xlfn.LAMBDA("Mass of nitrogen lost through leaching and runoff from inorganic fertiliser application in production system j")</definedName>
    <definedName name="Fertiliser_Equations_LeachingAndRunoff.VEERG_5_5_1_1__2_MassOfNitrogenLeachedFromInorganicFertiliser_Title" localSheetId="20">_xlfn.LAMBDA("Mass of nitrogen lost through leaching and runoff from inorganic fertiliser application in production system j")</definedName>
    <definedName name="Fertiliser_Equations_LeachingAndRunoff.VEERG_5_5_1_1__2_MassOfNitrogenLeachedFromInorganicFertiliser_Title" localSheetId="21">_xlfn.LAMBDA("Mass of nitrogen lost through leaching and runoff from inorganic fertiliser application in production system j")</definedName>
    <definedName name="Fertiliser_Equations_LeachingAndRunoff.VEERG_5_5_1_1__2_MassOfNitrogenLeachedFromInorganicFertiliser_Title" localSheetId="22">_xlfn.LAMBDA("Mass of nitrogen lost through leaching and runoff from inorganic fertiliser application in production system j")</definedName>
    <definedName name="Fertiliser_Equations_LeachingAndRunoff.VEERG_5_5_1_1__2_MassOfNitrogenLeachedFromInorganicFertiliser_Title" localSheetId="27">_xlfn.LAMBDA("Mass of nitrogen lost through leaching and runoff from inorganic fertiliser application in production system j")</definedName>
    <definedName name="Fertiliser_Equations_LeachingAndRunoff.VEERG_5_5_1_1__2_MassOfNitrogenLeachedFromInorganicFertiliser_Title" localSheetId="30">_xlfn.LAMBDA("Mass of nitrogen lost through leaching and runoff from inorganic fertiliser application in production system j")</definedName>
    <definedName name="Fertiliser_Equations_LeachingAndRunoff.VEERG_5_5_1_1__2_MassOfNitrogenLeachedFromInorganicFertiliser_Title" localSheetId="6">_xlfn.LAMBDA("Mass of nitrogen lost through leaching and runoff from inorganic fertiliser application in production system j")</definedName>
    <definedName name="Fertiliser_Equations_LeachingAndRunoff.VEERG_5_5_1_1__2_MassOfNitrogenLeachedFromInorganicFertiliser_Title" localSheetId="34">_xlfn.LAMBDA("Mass of nitrogen lost through leaching and runoff from inorganic fertiliser application in production system j")</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 localSheetId="15">_xlfn.LAMBDA("kg N")</definedName>
    <definedName name="Fertiliser_Equations_LeachingAndRunoff.VEERG_5_5_1_1__2_MassOfNitrogenLeachedFromInorganicFertiliser_Unit" localSheetId="16">_xlfn.LAMBDA("kg N")</definedName>
    <definedName name="Fertiliser_Equations_LeachingAndRunoff.VEERG_5_5_1_1__2_MassOfNitrogenLeachedFromInorganicFertiliser_Unit" localSheetId="17">_xlfn.LAMBDA("kg N")</definedName>
    <definedName name="Fertiliser_Equations_LeachingAndRunoff.VEERG_5_5_1_1__2_MassOfNitrogenLeachedFromInorganicFertiliser_Unit" localSheetId="18">_xlfn.LAMBDA("kg N")</definedName>
    <definedName name="Fertiliser_Equations_LeachingAndRunoff.VEERG_5_5_1_1__2_MassOfNitrogenLeachedFromInorganicFertiliser_Unit" localSheetId="19">_xlfn.LAMBDA("kg N")</definedName>
    <definedName name="Fertiliser_Equations_LeachingAndRunoff.VEERG_5_5_1_1__2_MassOfNitrogenLeachedFromInorganicFertiliser_Unit" localSheetId="20">_xlfn.LAMBDA("kg N")</definedName>
    <definedName name="Fertiliser_Equations_LeachingAndRunoff.VEERG_5_5_1_1__2_MassOfNitrogenLeachedFromInorganicFertiliser_Unit" localSheetId="21">_xlfn.LAMBDA("kg N")</definedName>
    <definedName name="Fertiliser_Equations_LeachingAndRunoff.VEERG_5_5_1_1__2_MassOfNitrogenLeachedFromInorganicFertiliser_Unit" localSheetId="22">_xlfn.LAMBDA("kg N")</definedName>
    <definedName name="Fertiliser_Equations_LeachingAndRunoff.VEERG_5_5_1_1__2_MassOfNitrogenLeachedFromInorganicFertiliser_Unit" localSheetId="27">_xlfn.LAMBDA("kg N")</definedName>
    <definedName name="Fertiliser_Equations_LeachingAndRunoff.VEERG_5_5_1_1__2_MassOfNitrogenLeachedFromInorganicFertiliser_Unit" localSheetId="30">_xlfn.LAMBDA("kg N")</definedName>
    <definedName name="Fertiliser_Equations_LeachingAndRunoff.VEERG_5_5_1_1__2_MassOfNitrogenLeachedFromInorganicFertiliser_Unit" localSheetId="6">_xlfn.LAMBDA("kg N")</definedName>
    <definedName name="Fertiliser_Equations_LeachingAndRunoff.VEERG_5_5_1_1__2_MassOfNitrogenLeachedFromInorganicFertiliser_Unit" localSheetId="34">_xlfn.LAMBDA("kg N")</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 localSheetId="15">_xlfn.LAMBDA("M_leachinorganicj")</definedName>
    <definedName name="Fertiliser_Equations_LeachingAndRunoff.VEERG_5_5_1_1__2_MassOfNitrogenLeachedFromInorganicFertiliser_Variable" localSheetId="16">_xlfn.LAMBDA("M_leachinorganicj")</definedName>
    <definedName name="Fertiliser_Equations_LeachingAndRunoff.VEERG_5_5_1_1__2_MassOfNitrogenLeachedFromInorganicFertiliser_Variable" localSheetId="17">_xlfn.LAMBDA("M_leachinorganicj")</definedName>
    <definedName name="Fertiliser_Equations_LeachingAndRunoff.VEERG_5_5_1_1__2_MassOfNitrogenLeachedFromInorganicFertiliser_Variable" localSheetId="18">_xlfn.LAMBDA("M_leachinorganicj")</definedName>
    <definedName name="Fertiliser_Equations_LeachingAndRunoff.VEERG_5_5_1_1__2_MassOfNitrogenLeachedFromInorganicFertiliser_Variable" localSheetId="19">_xlfn.LAMBDA("M_leachinorganicj")</definedName>
    <definedName name="Fertiliser_Equations_LeachingAndRunoff.VEERG_5_5_1_1__2_MassOfNitrogenLeachedFromInorganicFertiliser_Variable" localSheetId="20">_xlfn.LAMBDA("M_leachinorganicj")</definedName>
    <definedName name="Fertiliser_Equations_LeachingAndRunoff.VEERG_5_5_1_1__2_MassOfNitrogenLeachedFromInorganicFertiliser_Variable" localSheetId="21">_xlfn.LAMBDA("M_leachinorganicj")</definedName>
    <definedName name="Fertiliser_Equations_LeachingAndRunoff.VEERG_5_5_1_1__2_MassOfNitrogenLeachedFromInorganicFertiliser_Variable" localSheetId="22">_xlfn.LAMBDA("M_leachinorganicj")</definedName>
    <definedName name="Fertiliser_Equations_LeachingAndRunoff.VEERG_5_5_1_1__2_MassOfNitrogenLeachedFromInorganicFertiliser_Variable" localSheetId="27">_xlfn.LAMBDA("M_leachinorganicj")</definedName>
    <definedName name="Fertiliser_Equations_LeachingAndRunoff.VEERG_5_5_1_1__2_MassOfNitrogenLeachedFromInorganicFertiliser_Variable" localSheetId="30">_xlfn.LAMBDA("M_leachinorganicj")</definedName>
    <definedName name="Fertiliser_Equations_LeachingAndRunoff.VEERG_5_5_1_1__2_MassOfNitrogenLeachedFromInorganicFertiliser_Variable" localSheetId="6">_xlfn.LAMBDA("M_leachinorganicj")</definedName>
    <definedName name="Fertiliser_Equations_LeachingAndRunoff.VEERG_5_5_1_1__2_MassOfNitrogenLeachedFromInorganicFertiliser_Variable" localSheetId="34">_xlfn.LAMBDA("M_leachinorganicj")</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 localSheetId="15">_xlfn.LAMBDA(_xlpm.MNSoil_jf,_xlpm.FracWETj,_xlpm.FracLEACH, _xlpm.MNSoil_jf * _xlpm.FracWETj * _xlpm.FracLEACH)</definedName>
    <definedName name="Fertiliser_Equations_LeachingAndRunoff.VEERG_5_5_1_1__3_MassOfNitrogenLeachedFromOrganicFertiliser" localSheetId="16">_xlfn.LAMBDA(_xlpm.MNSoil_jf,_xlpm.FracWETj,_xlpm.FracLEACH, _xlpm.MNSoil_jf * _xlpm.FracWETj * _xlpm.FracLEACH)</definedName>
    <definedName name="Fertiliser_Equations_LeachingAndRunoff.VEERG_5_5_1_1__3_MassOfNitrogenLeachedFromOrganicFertiliser" localSheetId="17">_xlfn.LAMBDA(_xlpm.MNSoil_jf,_xlpm.FracWETj,_xlpm.FracLEACH, _xlpm.MNSoil_jf * _xlpm.FracWETj * _xlpm.FracLEACH)</definedName>
    <definedName name="Fertiliser_Equations_LeachingAndRunoff.VEERG_5_5_1_1__3_MassOfNitrogenLeachedFromOrganicFertiliser" localSheetId="18">_xlfn.LAMBDA(_xlpm.MNSoil_jf,_xlpm.FracWETj,_xlpm.FracLEACH, _xlpm.MNSoil_jf * _xlpm.FracWETj * _xlpm.FracLEACH)</definedName>
    <definedName name="Fertiliser_Equations_LeachingAndRunoff.VEERG_5_5_1_1__3_MassOfNitrogenLeachedFromOrganicFertiliser" localSheetId="19">_xlfn.LAMBDA(_xlpm.MNSoil_jf,_xlpm.FracWETj,_xlpm.FracLEACH, _xlpm.MNSoil_jf * _xlpm.FracWETj * _xlpm.FracLEACH)</definedName>
    <definedName name="Fertiliser_Equations_LeachingAndRunoff.VEERG_5_5_1_1__3_MassOfNitrogenLeachedFromOrganicFertiliser" localSheetId="20">_xlfn.LAMBDA(_xlpm.MNSoil_jf,_xlpm.FracWETj,_xlpm.FracLEACH, _xlpm.MNSoil_jf * _xlpm.FracWETj * _xlpm.FracLEACH)</definedName>
    <definedName name="Fertiliser_Equations_LeachingAndRunoff.VEERG_5_5_1_1__3_MassOfNitrogenLeachedFromOrganicFertiliser" localSheetId="21">_xlfn.LAMBDA(_xlpm.MNSoil_jf,_xlpm.FracWETj,_xlpm.FracLEACH, _xlpm.MNSoil_jf * _xlpm.FracWETj * _xlpm.FracLEACH)</definedName>
    <definedName name="Fertiliser_Equations_LeachingAndRunoff.VEERG_5_5_1_1__3_MassOfNitrogenLeachedFromOrganicFertiliser" localSheetId="22">_xlfn.LAMBDA(_xlpm.MNSoil_jf,_xlpm.FracWETj,_xlpm.FracLEACH, _xlpm.MNSoil_jf * _xlpm.FracWETj * _xlpm.FracLEACH)</definedName>
    <definedName name="Fertiliser_Equations_LeachingAndRunoff.VEERG_5_5_1_1__3_MassOfNitrogenLeachedFromOrganicFertiliser" localSheetId="27">_xlfn.LAMBDA(_xlpm.MNSoil_jf,_xlpm.FracWETj,_xlpm.FracLEACH, _xlpm.MNSoil_jf * _xlpm.FracWETj * _xlpm.FracLEACH)</definedName>
    <definedName name="Fertiliser_Equations_LeachingAndRunoff.VEERG_5_5_1_1__3_MassOfNitrogenLeachedFromOrganicFertiliser" localSheetId="30">_xlfn.LAMBDA(_xlpm.MNSoil_jf,_xlpm.FracWETj,_xlpm.FracLEACH, _xlpm.MNSoil_jf * _xlpm.FracWETj * _xlpm.FracLEACH)</definedName>
    <definedName name="Fertiliser_Equations_LeachingAndRunoff.VEERG_5_5_1_1__3_MassOfNitrogenLeachedFromOrganicFertiliser" localSheetId="6">_xlfn.LAMBDA(_xlpm.MNSoil_jf,_xlpm.FracWETj,_xlpm.FracLEACH, _xlpm.MNSoil_jf * _xlpm.FracWETj * _xlpm.FracLEACH)</definedName>
    <definedName name="Fertiliser_Equations_LeachingAndRunoff.VEERG_5_5_1_1__3_MassOfNitrogenLeachedFromOrganicFertiliser" localSheetId="34">_xlfn.LAMBDA(_xlpm.MNSoil_jf,_xlpm.FracWETj,_xlpm.FracLEACH, _xlpm.MNSoil_jf * _xlpm.FracWETj * _xlpm.FracLEACH)</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 localSheetId="15">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6">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7">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8">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19">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0">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1">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2">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27">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30">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6">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 localSheetId="34">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 localSheetId="15">_xlfn.LAMBDA("M_{leach,organic,j}=\sum\nolimits_{f}\left({MNSoil}_{jf}\times Frac_{WET,j}\times Frac_{LEACH}\right)")</definedName>
    <definedName name="Fertiliser_Equations_LeachingAndRunoff.VEERG_5_5_1_1__3_MassOfNitrogenLeachedFromOrganicFertiliser_LatexEquation" localSheetId="16">_xlfn.LAMBDA("M_{leach,organic,j}=\sum\nolimits_{f}\left({MNSoil}_{jf}\times Frac_{WET,j}\times Frac_{LEACH}\right)")</definedName>
    <definedName name="Fertiliser_Equations_LeachingAndRunoff.VEERG_5_5_1_1__3_MassOfNitrogenLeachedFromOrganicFertiliser_LatexEquation" localSheetId="17">_xlfn.LAMBDA("M_{leach,organic,j}=\sum\nolimits_{f}\left({MNSoil}_{jf}\times Frac_{WET,j}\times Frac_{LEACH}\right)")</definedName>
    <definedName name="Fertiliser_Equations_LeachingAndRunoff.VEERG_5_5_1_1__3_MassOfNitrogenLeachedFromOrganicFertiliser_LatexEquation" localSheetId="18">_xlfn.LAMBDA("M_{leach,organic,j}=\sum\nolimits_{f}\left({MNSoil}_{jf}\times Frac_{WET,j}\times Frac_{LEACH}\right)")</definedName>
    <definedName name="Fertiliser_Equations_LeachingAndRunoff.VEERG_5_5_1_1__3_MassOfNitrogenLeachedFromOrganicFertiliser_LatexEquation" localSheetId="19">_xlfn.LAMBDA("M_{leach,organic,j}=\sum\nolimits_{f}\left({MNSoil}_{jf}\times Frac_{WET,j}\times Frac_{LEACH}\right)")</definedName>
    <definedName name="Fertiliser_Equations_LeachingAndRunoff.VEERG_5_5_1_1__3_MassOfNitrogenLeachedFromOrganicFertiliser_LatexEquation" localSheetId="20">_xlfn.LAMBDA("M_{leach,organic,j}=\sum\nolimits_{f}\left({MNSoil}_{jf}\times Frac_{WET,j}\times Frac_{LEACH}\right)")</definedName>
    <definedName name="Fertiliser_Equations_LeachingAndRunoff.VEERG_5_5_1_1__3_MassOfNitrogenLeachedFromOrganicFertiliser_LatexEquation" localSheetId="21">_xlfn.LAMBDA("M_{leach,organic,j}=\sum\nolimits_{f}\left({MNSoil}_{jf}\times Frac_{WET,j}\times Frac_{LEACH}\right)")</definedName>
    <definedName name="Fertiliser_Equations_LeachingAndRunoff.VEERG_5_5_1_1__3_MassOfNitrogenLeachedFromOrganicFertiliser_LatexEquation" localSheetId="22">_xlfn.LAMBDA("M_{leach,organic,j}=\sum\nolimits_{f}\left({MNSoil}_{jf}\times Frac_{WET,j}\times Frac_{LEACH}\right)")</definedName>
    <definedName name="Fertiliser_Equations_LeachingAndRunoff.VEERG_5_5_1_1__3_MassOfNitrogenLeachedFromOrganicFertiliser_LatexEquation" localSheetId="27">_xlfn.LAMBDA("M_{leach,organic,j}=\sum\nolimits_{f}\left({MNSoil}_{jf}\times Frac_{WET,j}\times Frac_{LEACH}\right)")</definedName>
    <definedName name="Fertiliser_Equations_LeachingAndRunoff.VEERG_5_5_1_1__3_MassOfNitrogenLeachedFromOrganicFertiliser_LatexEquation" localSheetId="30">_xlfn.LAMBDA("M_{leach,organic,j}=\sum\nolimits_{f}\left({MNSoil}_{jf}\times Frac_{WET,j}\times Frac_{LEACH}\right)")</definedName>
    <definedName name="Fertiliser_Equations_LeachingAndRunoff.VEERG_5_5_1_1__3_MassOfNitrogenLeachedFromOrganicFertiliser_LatexEquation" localSheetId="6">_xlfn.LAMBDA("M_{leach,organic,j}=\sum\nolimits_{f}\left({MNSoil}_{jf}\times Frac_{WET,j}\times Frac_{LEACH}\right)")</definedName>
    <definedName name="Fertiliser_Equations_LeachingAndRunoff.VEERG_5_5_1_1__3_MassOfNitrogenLeachedFromOrganicFertiliser_LatexEquation" localSheetId="34">_xlfn.LAMBDA("M_{leach,organic,j}=\sum\nolimits_{f}\left({MNSoil}_{jf}\times Frac_{WET,j}\times Frac_{LEACH}\right)")</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 localSheetId="15">_xlfn.LAMBDA("")</definedName>
    <definedName name="Fertiliser_Equations_LeachingAndRunoff.VEERG_5_5_1_1__3_MassOfNitrogenLeachedFromOrganicFertiliser_NIRReference" localSheetId="16">_xlfn.LAMBDA("")</definedName>
    <definedName name="Fertiliser_Equations_LeachingAndRunoff.VEERG_5_5_1_1__3_MassOfNitrogenLeachedFromOrganicFertiliser_NIRReference" localSheetId="17">_xlfn.LAMBDA("")</definedName>
    <definedName name="Fertiliser_Equations_LeachingAndRunoff.VEERG_5_5_1_1__3_MassOfNitrogenLeachedFromOrganicFertiliser_NIRReference" localSheetId="18">_xlfn.LAMBDA("")</definedName>
    <definedName name="Fertiliser_Equations_LeachingAndRunoff.VEERG_5_5_1_1__3_MassOfNitrogenLeachedFromOrganicFertiliser_NIRReference" localSheetId="19">_xlfn.LAMBDA("")</definedName>
    <definedName name="Fertiliser_Equations_LeachingAndRunoff.VEERG_5_5_1_1__3_MassOfNitrogenLeachedFromOrganicFertiliser_NIRReference" localSheetId="20">_xlfn.LAMBDA("")</definedName>
    <definedName name="Fertiliser_Equations_LeachingAndRunoff.VEERG_5_5_1_1__3_MassOfNitrogenLeachedFromOrganicFertiliser_NIRReference" localSheetId="21">_xlfn.LAMBDA("")</definedName>
    <definedName name="Fertiliser_Equations_LeachingAndRunoff.VEERG_5_5_1_1__3_MassOfNitrogenLeachedFromOrganicFertiliser_NIRReference" localSheetId="22">_xlfn.LAMBDA("")</definedName>
    <definedName name="Fertiliser_Equations_LeachingAndRunoff.VEERG_5_5_1_1__3_MassOfNitrogenLeachedFromOrganicFertiliser_NIRReference" localSheetId="27">_xlfn.LAMBDA("")</definedName>
    <definedName name="Fertiliser_Equations_LeachingAndRunoff.VEERG_5_5_1_1__3_MassOfNitrogenLeachedFromOrganicFertiliser_NIRReference" localSheetId="30">_xlfn.LAMBDA("")</definedName>
    <definedName name="Fertiliser_Equations_LeachingAndRunoff.VEERG_5_5_1_1__3_MassOfNitrogenLeachedFromOrganicFertiliser_NIRReference" localSheetId="6">_xlfn.LAMBDA("")</definedName>
    <definedName name="Fertiliser_Equations_LeachingAndRunoff.VEERG_5_5_1_1__3_MassOfNitrogenLeachedFromOrganicFertiliser_NIRReference" localSheetId="34">_xlfn.LAMBDA("")</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 localSheetId="15">_xlfn.LAMBDA("VEERG 2026: 5.5, Equation (3)")</definedName>
    <definedName name="Fertiliser_Equations_LeachingAndRunoff.VEERG_5_5_1_1__3_MassOfNitrogenLeachedFromOrganicFertiliser_Source" localSheetId="16">_xlfn.LAMBDA("VEERG 2026: 5.5, Equation (3)")</definedName>
    <definedName name="Fertiliser_Equations_LeachingAndRunoff.VEERG_5_5_1_1__3_MassOfNitrogenLeachedFromOrganicFertiliser_Source" localSheetId="17">_xlfn.LAMBDA("VEERG 2026: 5.5, Equation (3)")</definedName>
    <definedName name="Fertiliser_Equations_LeachingAndRunoff.VEERG_5_5_1_1__3_MassOfNitrogenLeachedFromOrganicFertiliser_Source" localSheetId="18">_xlfn.LAMBDA("VEERG 2026: 5.5, Equation (3)")</definedName>
    <definedName name="Fertiliser_Equations_LeachingAndRunoff.VEERG_5_5_1_1__3_MassOfNitrogenLeachedFromOrganicFertiliser_Source" localSheetId="19">_xlfn.LAMBDA("VEERG 2026: 5.5, Equation (3)")</definedName>
    <definedName name="Fertiliser_Equations_LeachingAndRunoff.VEERG_5_5_1_1__3_MassOfNitrogenLeachedFromOrganicFertiliser_Source" localSheetId="20">_xlfn.LAMBDA("VEERG 2026: 5.5, Equation (3)")</definedName>
    <definedName name="Fertiliser_Equations_LeachingAndRunoff.VEERG_5_5_1_1__3_MassOfNitrogenLeachedFromOrganicFertiliser_Source" localSheetId="21">_xlfn.LAMBDA("VEERG 2026: 5.5, Equation (3)")</definedName>
    <definedName name="Fertiliser_Equations_LeachingAndRunoff.VEERG_5_5_1_1__3_MassOfNitrogenLeachedFromOrganicFertiliser_Source" localSheetId="22">_xlfn.LAMBDA("VEERG 2026: 5.5, Equation (3)")</definedName>
    <definedName name="Fertiliser_Equations_LeachingAndRunoff.VEERG_5_5_1_1__3_MassOfNitrogenLeachedFromOrganicFertiliser_Source" localSheetId="27">_xlfn.LAMBDA("VEERG 2026: 5.5, Equation (3)")</definedName>
    <definedName name="Fertiliser_Equations_LeachingAndRunoff.VEERG_5_5_1_1__3_MassOfNitrogenLeachedFromOrganicFertiliser_Source" localSheetId="30">_xlfn.LAMBDA("VEERG 2026: 5.5, Equation (3)")</definedName>
    <definedName name="Fertiliser_Equations_LeachingAndRunoff.VEERG_5_5_1_1__3_MassOfNitrogenLeachedFromOrganicFertiliser_Source" localSheetId="6">_xlfn.LAMBDA("VEERG 2026: 5.5, Equation (3)")</definedName>
    <definedName name="Fertiliser_Equations_LeachingAndRunoff.VEERG_5_5_1_1__3_MassOfNitrogenLeachedFromOrganicFertiliser_Source" localSheetId="34">_xlfn.LAMBDA("VEERG 2026: 5.5, Equation (3)")</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 localSheetId="15">_xlfn.LAMBDA("Mass of nitrogen lost through leaching and runoff from organic fertiliser application in production system j")</definedName>
    <definedName name="Fertiliser_Equations_LeachingAndRunoff.VEERG_5_5_1_1__3_MassOfNitrogenLeachedFromOrganicFertiliser_Title" localSheetId="16">_xlfn.LAMBDA("Mass of nitrogen lost through leaching and runoff from organic fertiliser application in production system j")</definedName>
    <definedName name="Fertiliser_Equations_LeachingAndRunoff.VEERG_5_5_1_1__3_MassOfNitrogenLeachedFromOrganicFertiliser_Title" localSheetId="17">_xlfn.LAMBDA("Mass of nitrogen lost through leaching and runoff from organic fertiliser application in production system j")</definedName>
    <definedName name="Fertiliser_Equations_LeachingAndRunoff.VEERG_5_5_1_1__3_MassOfNitrogenLeachedFromOrganicFertiliser_Title" localSheetId="18">_xlfn.LAMBDA("Mass of nitrogen lost through leaching and runoff from organic fertiliser application in production system j")</definedName>
    <definedName name="Fertiliser_Equations_LeachingAndRunoff.VEERG_5_5_1_1__3_MassOfNitrogenLeachedFromOrganicFertiliser_Title" localSheetId="19">_xlfn.LAMBDA("Mass of nitrogen lost through leaching and runoff from organic fertiliser application in production system j")</definedName>
    <definedName name="Fertiliser_Equations_LeachingAndRunoff.VEERG_5_5_1_1__3_MassOfNitrogenLeachedFromOrganicFertiliser_Title" localSheetId="20">_xlfn.LAMBDA("Mass of nitrogen lost through leaching and runoff from organic fertiliser application in production system j")</definedName>
    <definedName name="Fertiliser_Equations_LeachingAndRunoff.VEERG_5_5_1_1__3_MassOfNitrogenLeachedFromOrganicFertiliser_Title" localSheetId="21">_xlfn.LAMBDA("Mass of nitrogen lost through leaching and runoff from organic fertiliser application in production system j")</definedName>
    <definedName name="Fertiliser_Equations_LeachingAndRunoff.VEERG_5_5_1_1__3_MassOfNitrogenLeachedFromOrganicFertiliser_Title" localSheetId="22">_xlfn.LAMBDA("Mass of nitrogen lost through leaching and runoff from organic fertiliser application in production system j")</definedName>
    <definedName name="Fertiliser_Equations_LeachingAndRunoff.VEERG_5_5_1_1__3_MassOfNitrogenLeachedFromOrganicFertiliser_Title" localSheetId="27">_xlfn.LAMBDA("Mass of nitrogen lost through leaching and runoff from organic fertiliser application in production system j")</definedName>
    <definedName name="Fertiliser_Equations_LeachingAndRunoff.VEERG_5_5_1_1__3_MassOfNitrogenLeachedFromOrganicFertiliser_Title" localSheetId="30">_xlfn.LAMBDA("Mass of nitrogen lost through leaching and runoff from organic fertiliser application in production system j")</definedName>
    <definedName name="Fertiliser_Equations_LeachingAndRunoff.VEERG_5_5_1_1__3_MassOfNitrogenLeachedFromOrganicFertiliser_Title" localSheetId="6">_xlfn.LAMBDA("Mass of nitrogen lost through leaching and runoff from organic fertiliser application in production system j")</definedName>
    <definedName name="Fertiliser_Equations_LeachingAndRunoff.VEERG_5_5_1_1__3_MassOfNitrogenLeachedFromOrganicFertiliser_Title" localSheetId="34">_xlfn.LAMBDA("Mass of nitrogen lost through leaching and runoff from organic fertiliser application in production system j")</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 localSheetId="15">_xlfn.LAMBDA("kg N")</definedName>
    <definedName name="Fertiliser_Equations_LeachingAndRunoff.VEERG_5_5_1_1__3_MassOfNitrogenLeachedFromOrganicFertiliser_Unit" localSheetId="16">_xlfn.LAMBDA("kg N")</definedName>
    <definedName name="Fertiliser_Equations_LeachingAndRunoff.VEERG_5_5_1_1__3_MassOfNitrogenLeachedFromOrganicFertiliser_Unit" localSheetId="17">_xlfn.LAMBDA("kg N")</definedName>
    <definedName name="Fertiliser_Equations_LeachingAndRunoff.VEERG_5_5_1_1__3_MassOfNitrogenLeachedFromOrganicFertiliser_Unit" localSheetId="18">_xlfn.LAMBDA("kg N")</definedName>
    <definedName name="Fertiliser_Equations_LeachingAndRunoff.VEERG_5_5_1_1__3_MassOfNitrogenLeachedFromOrganicFertiliser_Unit" localSheetId="19">_xlfn.LAMBDA("kg N")</definedName>
    <definedName name="Fertiliser_Equations_LeachingAndRunoff.VEERG_5_5_1_1__3_MassOfNitrogenLeachedFromOrganicFertiliser_Unit" localSheetId="20">_xlfn.LAMBDA("kg N")</definedName>
    <definedName name="Fertiliser_Equations_LeachingAndRunoff.VEERG_5_5_1_1__3_MassOfNitrogenLeachedFromOrganicFertiliser_Unit" localSheetId="21">_xlfn.LAMBDA("kg N")</definedName>
    <definedName name="Fertiliser_Equations_LeachingAndRunoff.VEERG_5_5_1_1__3_MassOfNitrogenLeachedFromOrganicFertiliser_Unit" localSheetId="22">_xlfn.LAMBDA("kg N")</definedName>
    <definedName name="Fertiliser_Equations_LeachingAndRunoff.VEERG_5_5_1_1__3_MassOfNitrogenLeachedFromOrganicFertiliser_Unit" localSheetId="27">_xlfn.LAMBDA("kg N")</definedName>
    <definedName name="Fertiliser_Equations_LeachingAndRunoff.VEERG_5_5_1_1__3_MassOfNitrogenLeachedFromOrganicFertiliser_Unit" localSheetId="30">_xlfn.LAMBDA("kg N")</definedName>
    <definedName name="Fertiliser_Equations_LeachingAndRunoff.VEERG_5_5_1_1__3_MassOfNitrogenLeachedFromOrganicFertiliser_Unit" localSheetId="6">_xlfn.LAMBDA("kg N")</definedName>
    <definedName name="Fertiliser_Equations_LeachingAndRunoff.VEERG_5_5_1_1__3_MassOfNitrogenLeachedFromOrganicFertiliser_Unit" localSheetId="34">_xlfn.LAMBDA("kg N")</definedName>
    <definedName name="Fertiliser_Equations_LeachingAndRunoff.VEERG_5_5_1_1__3_MassOfNitrogenLeachedFromOrganicFertiliser_Unit">_xlfn.LAMBDA("kg N")</definedName>
    <definedName name="Fertiliser_Equations_LeachingAndRunoff.VEERG_5_5_1_1__3_MassOfNitrogenLeachedFromOrganicFertiliser_Variable" localSheetId="15">_xlfn.LAMBDA("M_leachorganicj")</definedName>
    <definedName name="Fertiliser_Equations_LeachingAndRunoff.VEERG_5_5_1_1__3_MassOfNitrogenLeachedFromOrganicFertiliser_Variable" localSheetId="16">_xlfn.LAMBDA("M_leachorganicj")</definedName>
    <definedName name="Fertiliser_Equations_LeachingAndRunoff.VEERG_5_5_1_1__3_MassOfNitrogenLeachedFromOrganicFertiliser_Variable" localSheetId="17">_xlfn.LAMBDA("M_leachorganicj")</definedName>
    <definedName name="Fertiliser_Equations_LeachingAndRunoff.VEERG_5_5_1_1__3_MassOfNitrogenLeachedFromOrganicFertiliser_Variable" localSheetId="18">_xlfn.LAMBDA("M_leachorganicj")</definedName>
    <definedName name="Fertiliser_Equations_LeachingAndRunoff.VEERG_5_5_1_1__3_MassOfNitrogenLeachedFromOrganicFertiliser_Variable" localSheetId="19">_xlfn.LAMBDA("M_leachorganicj")</definedName>
    <definedName name="Fertiliser_Equations_LeachingAndRunoff.VEERG_5_5_1_1__3_MassOfNitrogenLeachedFromOrganicFertiliser_Variable" localSheetId="20">_xlfn.LAMBDA("M_leachorganicj")</definedName>
    <definedName name="Fertiliser_Equations_LeachingAndRunoff.VEERG_5_5_1_1__3_MassOfNitrogenLeachedFromOrganicFertiliser_Variable" localSheetId="21">_xlfn.LAMBDA("M_leachorganicj")</definedName>
    <definedName name="Fertiliser_Equations_LeachingAndRunoff.VEERG_5_5_1_1__3_MassOfNitrogenLeachedFromOrganicFertiliser_Variable" localSheetId="22">_xlfn.LAMBDA("M_leachorganicj")</definedName>
    <definedName name="Fertiliser_Equations_LeachingAndRunoff.VEERG_5_5_1_1__3_MassOfNitrogenLeachedFromOrganicFertiliser_Variable" localSheetId="27">_xlfn.LAMBDA("M_leachorganicj")</definedName>
    <definedName name="Fertiliser_Equations_LeachingAndRunoff.VEERG_5_5_1_1__3_MassOfNitrogenLeachedFromOrganicFertiliser_Variable" localSheetId="30">_xlfn.LAMBDA("M_leachorganicj")</definedName>
    <definedName name="Fertiliser_Equations_LeachingAndRunoff.VEERG_5_5_1_1__3_MassOfNitrogenLeachedFromOrganicFertiliser_Variable" localSheetId="6">_xlfn.LAMBDA("M_leachorganicj")</definedName>
    <definedName name="Fertiliser_Equations_LeachingAndRunoff.VEERG_5_5_1_1__3_MassOfNitrogenLeachedFromOrganicFertiliser_Variable" localSheetId="34">_xlfn.LAMBDA("M_leachorganicj")</definedName>
    <definedName name="Fertiliser_Equations_LeachingAndRunoff.VEERG_5_5_1_1__3_MassOfNitrogenLeachedFromOrganicFertiliser_Variable">_xlfn.LAMBDA("M_leachorganicj")</definedName>
    <definedName name="Fertiliser_Equations_Lime.VEERG_5_3_1_1__1_LimeApplication" localSheetId="2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5">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6">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1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2">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3">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7">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2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0">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1">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9">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8">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6">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 localSheetId="34">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 localSheetId="15">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6">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7">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8">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19">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0">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1">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2">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27">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30">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6">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 localSheetId="34">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 localSheetId="15">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6">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7">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8">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19">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0">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1">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2">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27">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30">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6">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 localSheetId="34">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 localSheetId="15">_xlfn.LAMBDA("E_{lime}=[(M_{lime}\times FracLime\times P_{lime}\times EF_{lime})+(M_{lime}\times FracDol\times P_{dol}\times EF_{dol})]\times C_{CO2}\times 10^{-3}")</definedName>
    <definedName name="Fertiliser_Equations_Lime.VEERG_5_3_1_1__1_LimeApplicationCO2Emissions_LatexEquation" localSheetId="16">_xlfn.LAMBDA("E_{lime}=[(M_{lime}\times FracLime\times P_{lime}\times EF_{lime})+(M_{lime}\times FracDol\times P_{dol}\times EF_{dol})]\times C_{CO2}\times 10^{-3}")</definedName>
    <definedName name="Fertiliser_Equations_Lime.VEERG_5_3_1_1__1_LimeApplicationCO2Emissions_LatexEquation" localSheetId="17">_xlfn.LAMBDA("E_{lime}=[(M_{lime}\times FracLime\times P_{lime}\times EF_{lime})+(M_{lime}\times FracDol\times P_{dol}\times EF_{dol})]\times C_{CO2}\times 10^{-3}")</definedName>
    <definedName name="Fertiliser_Equations_Lime.VEERG_5_3_1_1__1_LimeApplicationCO2Emissions_LatexEquation" localSheetId="18">_xlfn.LAMBDA("E_{lime}=[(M_{lime}\times FracLime\times P_{lime}\times EF_{lime})+(M_{lime}\times FracDol\times P_{dol}\times EF_{dol})]\times C_{CO2}\times 10^{-3}")</definedName>
    <definedName name="Fertiliser_Equations_Lime.VEERG_5_3_1_1__1_LimeApplicationCO2Emissions_LatexEquation" localSheetId="19">_xlfn.LAMBDA("E_{lime}=[(M_{lime}\times FracLime\times P_{lime}\times EF_{lime})+(M_{lime}\times FracDol\times P_{dol}\times EF_{dol})]\times C_{CO2}\times 10^{-3}")</definedName>
    <definedName name="Fertiliser_Equations_Lime.VEERG_5_3_1_1__1_LimeApplicationCO2Emissions_LatexEquation" localSheetId="20">_xlfn.LAMBDA("E_{lime}=[(M_{lime}\times FracLime\times P_{lime}\times EF_{lime})+(M_{lime}\times FracDol\times P_{dol}\times EF_{dol})]\times C_{CO2}\times 10^{-3}")</definedName>
    <definedName name="Fertiliser_Equations_Lime.VEERG_5_3_1_1__1_LimeApplicationCO2Emissions_LatexEquation" localSheetId="21">_xlfn.LAMBDA("E_{lime}=[(M_{lime}\times FracLime\times P_{lime}\times EF_{lime})+(M_{lime}\times FracDol\times P_{dol}\times EF_{dol})]\times C_{CO2}\times 10^{-3}")</definedName>
    <definedName name="Fertiliser_Equations_Lime.VEERG_5_3_1_1__1_LimeApplicationCO2Emissions_LatexEquation" localSheetId="22">_xlfn.LAMBDA("E_{lime}=[(M_{lime}\times FracLime\times P_{lime}\times EF_{lime})+(M_{lime}\times FracDol\times P_{dol}\times EF_{dol})]\times C_{CO2}\times 10^{-3}")</definedName>
    <definedName name="Fertiliser_Equations_Lime.VEERG_5_3_1_1__1_LimeApplicationCO2Emissions_LatexEquation" localSheetId="27">_xlfn.LAMBDA("E_{lime}=[(M_{lime}\times FracLime\times P_{lime}\times EF_{lime})+(M_{lime}\times FracDol\times P_{dol}\times EF_{dol})]\times C_{CO2}\times 10^{-3}")</definedName>
    <definedName name="Fertiliser_Equations_Lime.VEERG_5_3_1_1__1_LimeApplicationCO2Emissions_LatexEquation" localSheetId="30">_xlfn.LAMBDA("E_{lime}=[(M_{lime}\times FracLime\times P_{lime}\times EF_{lime})+(M_{lime}\times FracDol\times P_{dol}\times EF_{dol})]\times C_{CO2}\times 10^{-3}")</definedName>
    <definedName name="Fertiliser_Equations_Lime.VEERG_5_3_1_1__1_LimeApplicationCO2Emissions_LatexEquation" localSheetId="6">_xlfn.LAMBDA("E_{lime}=[(M_{lime}\times FracLime\times P_{lime}\times EF_{lime})+(M_{lime}\times FracDol\times P_{dol}\times EF_{dol})]\times C_{CO2}\times 10^{-3}")</definedName>
    <definedName name="Fertiliser_Equations_Lime.VEERG_5_3_1_1__1_LimeApplicationCO2Emissions_LatexEquation" localSheetId="34">_xlfn.LAMBDA("E_{lime}=[(M_{lime}\times FracLime\times P_{lime}\times EF_{lime})+(M_{lime}\times FracDol\times P_{dol}\times EF_{dol})]\times C_{CO2}\times 10^{-3}")</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 localSheetId="15">_xlfn.LAMBDA("")</definedName>
    <definedName name="Fertiliser_Equations_Lime.VEERG_5_3_1_1__1_LimeApplicationCO2Emissions_NIRReference" localSheetId="16">_xlfn.LAMBDA("")</definedName>
    <definedName name="Fertiliser_Equations_Lime.VEERG_5_3_1_1__1_LimeApplicationCO2Emissions_NIRReference" localSheetId="17">_xlfn.LAMBDA("")</definedName>
    <definedName name="Fertiliser_Equations_Lime.VEERG_5_3_1_1__1_LimeApplicationCO2Emissions_NIRReference" localSheetId="18">_xlfn.LAMBDA("")</definedName>
    <definedName name="Fertiliser_Equations_Lime.VEERG_5_3_1_1__1_LimeApplicationCO2Emissions_NIRReference" localSheetId="19">_xlfn.LAMBDA("")</definedName>
    <definedName name="Fertiliser_Equations_Lime.VEERG_5_3_1_1__1_LimeApplicationCO2Emissions_NIRReference" localSheetId="20">_xlfn.LAMBDA("")</definedName>
    <definedName name="Fertiliser_Equations_Lime.VEERG_5_3_1_1__1_LimeApplicationCO2Emissions_NIRReference" localSheetId="21">_xlfn.LAMBDA("")</definedName>
    <definedName name="Fertiliser_Equations_Lime.VEERG_5_3_1_1__1_LimeApplicationCO2Emissions_NIRReference" localSheetId="22">_xlfn.LAMBDA("")</definedName>
    <definedName name="Fertiliser_Equations_Lime.VEERG_5_3_1_1__1_LimeApplicationCO2Emissions_NIRReference" localSheetId="27">_xlfn.LAMBDA("")</definedName>
    <definedName name="Fertiliser_Equations_Lime.VEERG_5_3_1_1__1_LimeApplicationCO2Emissions_NIRReference" localSheetId="30">_xlfn.LAMBDA("")</definedName>
    <definedName name="Fertiliser_Equations_Lime.VEERG_5_3_1_1__1_LimeApplicationCO2Emissions_NIRReference" localSheetId="6">_xlfn.LAMBDA("")</definedName>
    <definedName name="Fertiliser_Equations_Lime.VEERG_5_3_1_1__1_LimeApplicationCO2Emissions_NIRReference" localSheetId="34">_xlfn.LAMBDA("")</definedName>
    <definedName name="Fertiliser_Equations_Lime.VEERG_5_3_1_1__1_LimeApplicationCO2Emissions_NIRReference">_xlfn.LAMBDA("")</definedName>
    <definedName name="Fertiliser_Equations_Lime.VEERG_5_3_1_1__1_LimeApplicationCO2Emissions_Source" localSheetId="15">_xlfn.LAMBDA("VEERG 2026: 5.3.1.1, Equation (1)")</definedName>
    <definedName name="Fertiliser_Equations_Lime.VEERG_5_3_1_1__1_LimeApplicationCO2Emissions_Source" localSheetId="16">_xlfn.LAMBDA("VEERG 2026: 5.3.1.1, Equation (1)")</definedName>
    <definedName name="Fertiliser_Equations_Lime.VEERG_5_3_1_1__1_LimeApplicationCO2Emissions_Source" localSheetId="17">_xlfn.LAMBDA("VEERG 2026: 5.3.1.1, Equation (1)")</definedName>
    <definedName name="Fertiliser_Equations_Lime.VEERG_5_3_1_1__1_LimeApplicationCO2Emissions_Source" localSheetId="18">_xlfn.LAMBDA("VEERG 2026: 5.3.1.1, Equation (1)")</definedName>
    <definedName name="Fertiliser_Equations_Lime.VEERG_5_3_1_1__1_LimeApplicationCO2Emissions_Source" localSheetId="19">_xlfn.LAMBDA("VEERG 2026: 5.3.1.1, Equation (1)")</definedName>
    <definedName name="Fertiliser_Equations_Lime.VEERG_5_3_1_1__1_LimeApplicationCO2Emissions_Source" localSheetId="20">_xlfn.LAMBDA("VEERG 2026: 5.3.1.1, Equation (1)")</definedName>
    <definedName name="Fertiliser_Equations_Lime.VEERG_5_3_1_1__1_LimeApplicationCO2Emissions_Source" localSheetId="21">_xlfn.LAMBDA("VEERG 2026: 5.3.1.1, Equation (1)")</definedName>
    <definedName name="Fertiliser_Equations_Lime.VEERG_5_3_1_1__1_LimeApplicationCO2Emissions_Source" localSheetId="22">_xlfn.LAMBDA("VEERG 2026: 5.3.1.1, Equation (1)")</definedName>
    <definedName name="Fertiliser_Equations_Lime.VEERG_5_3_1_1__1_LimeApplicationCO2Emissions_Source" localSheetId="27">_xlfn.LAMBDA("VEERG 2026: 5.3.1.1, Equation (1)")</definedName>
    <definedName name="Fertiliser_Equations_Lime.VEERG_5_3_1_1__1_LimeApplicationCO2Emissions_Source" localSheetId="30">_xlfn.LAMBDA("VEERG 2026: 5.3.1.1, Equation (1)")</definedName>
    <definedName name="Fertiliser_Equations_Lime.VEERG_5_3_1_1__1_LimeApplicationCO2Emissions_Source" localSheetId="6">_xlfn.LAMBDA("VEERG 2026: 5.3.1.1, Equation (1)")</definedName>
    <definedName name="Fertiliser_Equations_Lime.VEERG_5_3_1_1__1_LimeApplicationCO2Emissions_Source" localSheetId="34">_xlfn.LAMBDA("VEERG 2026: 5.3.1.1, Equation (1)")</definedName>
    <definedName name="Fertiliser_Equations_Lime.VEERG_5_3_1_1__1_LimeApplicationCO2Emissions_Source">_xlfn.LAMBDA("VEERG 2026: 5.3.1.1, Equation (1)")</definedName>
    <definedName name="Fertiliser_Equations_Lime.VEERG_5_3_1_1__1_LimeApplicationCO2Emissions_Title" localSheetId="15">_xlfn.LAMBDA("Emissions from the application of lime and dolomite to production systems")</definedName>
    <definedName name="Fertiliser_Equations_Lime.VEERG_5_3_1_1__1_LimeApplicationCO2Emissions_Title" localSheetId="16">_xlfn.LAMBDA("Emissions from the application of lime and dolomite to production systems")</definedName>
    <definedName name="Fertiliser_Equations_Lime.VEERG_5_3_1_1__1_LimeApplicationCO2Emissions_Title" localSheetId="17">_xlfn.LAMBDA("Emissions from the application of lime and dolomite to production systems")</definedName>
    <definedName name="Fertiliser_Equations_Lime.VEERG_5_3_1_1__1_LimeApplicationCO2Emissions_Title" localSheetId="18">_xlfn.LAMBDA("Emissions from the application of lime and dolomite to production systems")</definedName>
    <definedName name="Fertiliser_Equations_Lime.VEERG_5_3_1_1__1_LimeApplicationCO2Emissions_Title" localSheetId="19">_xlfn.LAMBDA("Emissions from the application of lime and dolomite to production systems")</definedName>
    <definedName name="Fertiliser_Equations_Lime.VEERG_5_3_1_1__1_LimeApplicationCO2Emissions_Title" localSheetId="20">_xlfn.LAMBDA("Emissions from the application of lime and dolomite to production systems")</definedName>
    <definedName name="Fertiliser_Equations_Lime.VEERG_5_3_1_1__1_LimeApplicationCO2Emissions_Title" localSheetId="21">_xlfn.LAMBDA("Emissions from the application of lime and dolomite to production systems")</definedName>
    <definedName name="Fertiliser_Equations_Lime.VEERG_5_3_1_1__1_LimeApplicationCO2Emissions_Title" localSheetId="22">_xlfn.LAMBDA("Emissions from the application of lime and dolomite to production systems")</definedName>
    <definedName name="Fertiliser_Equations_Lime.VEERG_5_3_1_1__1_LimeApplicationCO2Emissions_Title" localSheetId="27">_xlfn.LAMBDA("Emissions from the application of lime and dolomite to production systems")</definedName>
    <definedName name="Fertiliser_Equations_Lime.VEERG_5_3_1_1__1_LimeApplicationCO2Emissions_Title" localSheetId="30">_xlfn.LAMBDA("Emissions from the application of lime and dolomite to production systems")</definedName>
    <definedName name="Fertiliser_Equations_Lime.VEERG_5_3_1_1__1_LimeApplicationCO2Emissions_Title" localSheetId="6">_xlfn.LAMBDA("Emissions from the application of lime and dolomite to production systems")</definedName>
    <definedName name="Fertiliser_Equations_Lime.VEERG_5_3_1_1__1_LimeApplicationCO2Emissions_Title" localSheetId="34">_xlfn.LAMBDA("Emissions from the application of lime and dolomite to production systems")</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 localSheetId="15">_xlfn.LAMBDA("t CO2")</definedName>
    <definedName name="Fertiliser_Equations_Lime.VEERG_5_3_1_1__1_LimeApplicationCO2Emissions_Unit" localSheetId="16">_xlfn.LAMBDA("t CO2")</definedName>
    <definedName name="Fertiliser_Equations_Lime.VEERG_5_3_1_1__1_LimeApplicationCO2Emissions_Unit" localSheetId="17">_xlfn.LAMBDA("t CO2")</definedName>
    <definedName name="Fertiliser_Equations_Lime.VEERG_5_3_1_1__1_LimeApplicationCO2Emissions_Unit" localSheetId="18">_xlfn.LAMBDA("t CO2")</definedName>
    <definedName name="Fertiliser_Equations_Lime.VEERG_5_3_1_1__1_LimeApplicationCO2Emissions_Unit" localSheetId="19">_xlfn.LAMBDA("t CO2")</definedName>
    <definedName name="Fertiliser_Equations_Lime.VEERG_5_3_1_1__1_LimeApplicationCO2Emissions_Unit" localSheetId="20">_xlfn.LAMBDA("t CO2")</definedName>
    <definedName name="Fertiliser_Equations_Lime.VEERG_5_3_1_1__1_LimeApplicationCO2Emissions_Unit" localSheetId="21">_xlfn.LAMBDA("t CO2")</definedName>
    <definedName name="Fertiliser_Equations_Lime.VEERG_5_3_1_1__1_LimeApplicationCO2Emissions_Unit" localSheetId="22">_xlfn.LAMBDA("t CO2")</definedName>
    <definedName name="Fertiliser_Equations_Lime.VEERG_5_3_1_1__1_LimeApplicationCO2Emissions_Unit" localSheetId="27">_xlfn.LAMBDA("t CO2")</definedName>
    <definedName name="Fertiliser_Equations_Lime.VEERG_5_3_1_1__1_LimeApplicationCO2Emissions_Unit" localSheetId="30">_xlfn.LAMBDA("t CO2")</definedName>
    <definedName name="Fertiliser_Equations_Lime.VEERG_5_3_1_1__1_LimeApplicationCO2Emissions_Unit" localSheetId="6">_xlfn.LAMBDA("t CO2")</definedName>
    <definedName name="Fertiliser_Equations_Lime.VEERG_5_3_1_1__1_LimeApplicationCO2Emissions_Unit" localSheetId="34">_xlfn.LAMBDA("t CO2")</definedName>
    <definedName name="Fertiliser_Equations_Lime.VEERG_5_3_1_1__1_LimeApplicationCO2Emissions_Unit">_xlfn.LAMBDA("t CO2")</definedName>
    <definedName name="Fertiliser_Equations_Lime.VEERG_5_3_1_1__1_LimeApplicationCO2Emissions_Variable" localSheetId="15">_xlfn.LAMBDA("E_lime")</definedName>
    <definedName name="Fertiliser_Equations_Lime.VEERG_5_3_1_1__1_LimeApplicationCO2Emissions_Variable" localSheetId="16">_xlfn.LAMBDA("E_lime")</definedName>
    <definedName name="Fertiliser_Equations_Lime.VEERG_5_3_1_1__1_LimeApplicationCO2Emissions_Variable" localSheetId="17">_xlfn.LAMBDA("E_lime")</definedName>
    <definedName name="Fertiliser_Equations_Lime.VEERG_5_3_1_1__1_LimeApplicationCO2Emissions_Variable" localSheetId="18">_xlfn.LAMBDA("E_lime")</definedName>
    <definedName name="Fertiliser_Equations_Lime.VEERG_5_3_1_1__1_LimeApplicationCO2Emissions_Variable" localSheetId="19">_xlfn.LAMBDA("E_lime")</definedName>
    <definedName name="Fertiliser_Equations_Lime.VEERG_5_3_1_1__1_LimeApplicationCO2Emissions_Variable" localSheetId="20">_xlfn.LAMBDA("E_lime")</definedName>
    <definedName name="Fertiliser_Equations_Lime.VEERG_5_3_1_1__1_LimeApplicationCO2Emissions_Variable" localSheetId="21">_xlfn.LAMBDA("E_lime")</definedName>
    <definedName name="Fertiliser_Equations_Lime.VEERG_5_3_1_1__1_LimeApplicationCO2Emissions_Variable" localSheetId="22">_xlfn.LAMBDA("E_lime")</definedName>
    <definedName name="Fertiliser_Equations_Lime.VEERG_5_3_1_1__1_LimeApplicationCO2Emissions_Variable" localSheetId="27">_xlfn.LAMBDA("E_lime")</definedName>
    <definedName name="Fertiliser_Equations_Lime.VEERG_5_3_1_1__1_LimeApplicationCO2Emissions_Variable" localSheetId="30">_xlfn.LAMBDA("E_lime")</definedName>
    <definedName name="Fertiliser_Equations_Lime.VEERG_5_3_1_1__1_LimeApplicationCO2Emissions_Variable" localSheetId="6">_xlfn.LAMBDA("E_lime")</definedName>
    <definedName name="Fertiliser_Equations_Lime.VEERG_5_3_1_1__1_LimeApplicationCO2Emissions_Variable" localSheetId="34">_xlfn.LAMBDA("E_lime")</definedName>
    <definedName name="Fertiliser_Equations_Lime.VEERG_5_3_1_1__1_LimeApplicationCO2Emissions_Variable">_xlfn.LAMBDA("E_lime")</definedName>
    <definedName name="Fertiliser_Equations_Organic.VEERG_5_2_1_1__2_MassOfNitrogenInOrganicFertiliser" localSheetId="25">_xlfn.LAMBDA(_xlpm.Morganicjf,_xlpm.FNorganicf, _xlpm.Morganicjf * _xlpm.FNorganicf)</definedName>
    <definedName name="Fertiliser_Equations_Organic.VEERG_5_2_1_1__2_MassOfNitrogenInOrganicFertiliser" localSheetId="15">_xlfn.LAMBDA(_xlpm.Morganicjf,_xlpm.FNorganicf, _xlpm.Morganicjf * _xlpm.FNorganicf)</definedName>
    <definedName name="Fertiliser_Equations_Organic.VEERG_5_2_1_1__2_MassOfNitrogenInOrganicFertiliser" localSheetId="16">_xlfn.LAMBDA(_xlpm.Morganicjf,_xlpm.FNorganicf, _xlpm.Morganicjf * _xlpm.FNorganicf)</definedName>
    <definedName name="Fertiliser_Equations_Organic.VEERG_5_2_1_1__2_MassOfNitrogenInOrganicFertiliser" localSheetId="17">_xlfn.LAMBDA(_xlpm.Morganicjf,_xlpm.FNorganicf, _xlpm.Morganicjf * _xlpm.FNorganicf)</definedName>
    <definedName name="Fertiliser_Equations_Organic.VEERG_5_2_1_1__2_MassOfNitrogenInOrganicFertiliser" localSheetId="18">_xlfn.LAMBDA(_xlpm.Morganicjf,_xlpm.FNorganicf, _xlpm.Morganicjf * _xlpm.FNorganicf)</definedName>
    <definedName name="Fertiliser_Equations_Organic.VEERG_5_2_1_1__2_MassOfNitrogenInOrganicFertiliser" localSheetId="19">_xlfn.LAMBDA(_xlpm.Morganicjf,_xlpm.FNorganicf, _xlpm.Morganicjf * _xlpm.FNorganicf)</definedName>
    <definedName name="Fertiliser_Equations_Organic.VEERG_5_2_1_1__2_MassOfNitrogenInOrganicFertiliser" localSheetId="20">_xlfn.LAMBDA(_xlpm.Morganicjf,_xlpm.FNorganicf, _xlpm.Morganicjf * _xlpm.FNorganicf)</definedName>
    <definedName name="Fertiliser_Equations_Organic.VEERG_5_2_1_1__2_MassOfNitrogenInOrganicFertiliser" localSheetId="21">_xlfn.LAMBDA(_xlpm.Morganicjf,_xlpm.FNorganicf, _xlpm.Morganicjf * _xlpm.FNorganicf)</definedName>
    <definedName name="Fertiliser_Equations_Organic.VEERG_5_2_1_1__2_MassOfNitrogenInOrganicFertiliser" localSheetId="22">_xlfn.LAMBDA(_xlpm.Morganicjf,_xlpm.FNorganicf, _xlpm.Morganicjf * _xlpm.FNorganicf)</definedName>
    <definedName name="Fertiliser_Equations_Organic.VEERG_5_2_1_1__2_MassOfNitrogenInOrganicFertiliser" localSheetId="23">_xlfn.LAMBDA(_xlpm.Morganicjf,_xlpm.FNorganicf, _xlpm.Morganicjf * _xlpm.FNorganicf)</definedName>
    <definedName name="Fertiliser_Equations_Organic.VEERG_5_2_1_1__2_MassOfNitrogenInOrganicFertiliser" localSheetId="24">_xlfn.LAMBDA(_xlpm.Morganicjf,_xlpm.FNorganicf, _xlpm.Morganicjf * _xlpm.FNorganicf)</definedName>
    <definedName name="Fertiliser_Equations_Organic.VEERG_5_2_1_1__2_MassOfNitrogenInOrganicFertiliser" localSheetId="27">_xlfn.LAMBDA(_xlpm.Morganicjf,_xlpm.FNorganicf, _xlpm.Morganicjf * _xlpm.FNorganicf)</definedName>
    <definedName name="Fertiliser_Equations_Organic.VEERG_5_2_1_1__2_MassOfNitrogenInOrganicFertiliser" localSheetId="29">_xlfn.LAMBDA(_xlpm.Morganicjf,_xlpm.FNorganicf, _xlpm.Morganicjf * _xlpm.FNorganicf)</definedName>
    <definedName name="Fertiliser_Equations_Organic.VEERG_5_2_1_1__2_MassOfNitrogenInOrganicFertiliser" localSheetId="30">_xlfn.LAMBDA(_xlpm.Morganicjf,_xlpm.FNorganicf, _xlpm.Morganicjf * _xlpm.FNorganicf)</definedName>
    <definedName name="Fertiliser_Equations_Organic.VEERG_5_2_1_1__2_MassOfNitrogenInOrganicFertiliser" localSheetId="31">_xlfn.LAMBDA(_xlpm.Morganicjf,_xlpm.FNorganicf, _xlpm.Morganicjf * _xlpm.FNorganicf)</definedName>
    <definedName name="Fertiliser_Equations_Organic.VEERG_5_2_1_1__2_MassOfNitrogenInOrganicFertiliser" localSheetId="9">_xlfn.LAMBDA(_xlpm.Morganicjf,_xlpm.FNorganicf, _xlpm.Morganicjf * _xlpm.FNorganicf)</definedName>
    <definedName name="Fertiliser_Equations_Organic.VEERG_5_2_1_1__2_MassOfNitrogenInOrganicFertiliser" localSheetId="8">_xlfn.LAMBDA(_xlpm.Morganicjf,_xlpm.FNorganicf, _xlpm.Morganicjf * _xlpm.FNorganicf)</definedName>
    <definedName name="Fertiliser_Equations_Organic.VEERG_5_2_1_1__2_MassOfNitrogenInOrganicFertiliser" localSheetId="6">_xlfn.LAMBDA(_xlpm.Morganicjf,_xlpm.FNorganicf, _xlpm.Morganicjf * _xlpm.FNorganicf)</definedName>
    <definedName name="Fertiliser_Equations_Organic.VEERG_5_2_1_1__2_MassOfNitrogenInOrganicFertiliser" localSheetId="34">_xlfn.LAMBDA(_xlpm.Morganicjf,_xlpm.FNorganicf, _xlpm.Morganicjf * _xlpm.FNorganicf)</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 localSheetId="15">_xlfn.LAMBDA(_xlpm.MNSoil_jf,_xlpm.EF_N2Oi,_xlpm.C_N2O, (_xlpm.MNSoil_jf * _xlpm.EF_N2Oi * _xlpm.C_N2O) * 10 ^ -3)</definedName>
    <definedName name="Fertiliser_Equations_OrganicN2O.VEERG_5_2_1_1__1_OrganicFertiliserApplicationN2OEmissions" localSheetId="16">_xlfn.LAMBDA(_xlpm.MNSoil_jf,_xlpm.EF_N2Oi,_xlpm.C_N2O, (_xlpm.MNSoil_jf * _xlpm.EF_N2Oi * _xlpm.C_N2O) * 10 ^ -3)</definedName>
    <definedName name="Fertiliser_Equations_OrganicN2O.VEERG_5_2_1_1__1_OrganicFertiliserApplicationN2OEmissions" localSheetId="17">_xlfn.LAMBDA(_xlpm.MNSoil_jf,_xlpm.EF_N2Oi,_xlpm.C_N2O, (_xlpm.MNSoil_jf * _xlpm.EF_N2Oi * _xlpm.C_N2O) * 10 ^ -3)</definedName>
    <definedName name="Fertiliser_Equations_OrganicN2O.VEERG_5_2_1_1__1_OrganicFertiliserApplicationN2OEmissions" localSheetId="18">_xlfn.LAMBDA(_xlpm.MNSoil_jf,_xlpm.EF_N2Oi,_xlpm.C_N2O, (_xlpm.MNSoil_jf * _xlpm.EF_N2Oi * _xlpm.C_N2O) * 10 ^ -3)</definedName>
    <definedName name="Fertiliser_Equations_OrganicN2O.VEERG_5_2_1_1__1_OrganicFertiliserApplicationN2OEmissions" localSheetId="19">_xlfn.LAMBDA(_xlpm.MNSoil_jf,_xlpm.EF_N2Oi,_xlpm.C_N2O, (_xlpm.MNSoil_jf * _xlpm.EF_N2Oi * _xlpm.C_N2O) * 10 ^ -3)</definedName>
    <definedName name="Fertiliser_Equations_OrganicN2O.VEERG_5_2_1_1__1_OrganicFertiliserApplicationN2OEmissions" localSheetId="20">_xlfn.LAMBDA(_xlpm.MNSoil_jf,_xlpm.EF_N2Oi,_xlpm.C_N2O, (_xlpm.MNSoil_jf * _xlpm.EF_N2Oi * _xlpm.C_N2O) * 10 ^ -3)</definedName>
    <definedName name="Fertiliser_Equations_OrganicN2O.VEERG_5_2_1_1__1_OrganicFertiliserApplicationN2OEmissions" localSheetId="21">_xlfn.LAMBDA(_xlpm.MNSoil_jf,_xlpm.EF_N2Oi,_xlpm.C_N2O, (_xlpm.MNSoil_jf * _xlpm.EF_N2Oi * _xlpm.C_N2O) * 10 ^ -3)</definedName>
    <definedName name="Fertiliser_Equations_OrganicN2O.VEERG_5_2_1_1__1_OrganicFertiliserApplicationN2OEmissions" localSheetId="22">_xlfn.LAMBDA(_xlpm.MNSoil_jf,_xlpm.EF_N2Oi,_xlpm.C_N2O, (_xlpm.MNSoil_jf * _xlpm.EF_N2Oi * _xlpm.C_N2O) * 10 ^ -3)</definedName>
    <definedName name="Fertiliser_Equations_OrganicN2O.VEERG_5_2_1_1__1_OrganicFertiliserApplicationN2OEmissions" localSheetId="27">_xlfn.LAMBDA(_xlpm.MNSoil_jf,_xlpm.EF_N2Oi,_xlpm.C_N2O, (_xlpm.MNSoil_jf * _xlpm.EF_N2Oi * _xlpm.C_N2O) * 10 ^ -3)</definedName>
    <definedName name="Fertiliser_Equations_OrganicN2O.VEERG_5_2_1_1__1_OrganicFertiliserApplicationN2OEmissions" localSheetId="30">_xlfn.LAMBDA(_xlpm.MNSoil_jf,_xlpm.EF_N2Oi,_xlpm.C_N2O, (_xlpm.MNSoil_jf * _xlpm.EF_N2Oi * _xlpm.C_N2O) * 10 ^ -3)</definedName>
    <definedName name="Fertiliser_Equations_OrganicN2O.VEERG_5_2_1_1__1_OrganicFertiliserApplicationN2OEmissions" localSheetId="6">_xlfn.LAMBDA(_xlpm.MNSoil_jf,_xlpm.EF_N2Oi,_xlpm.C_N2O, (_xlpm.MNSoil_jf * _xlpm.EF_N2Oi * _xlpm.C_N2O) * 10 ^ -3)</definedName>
    <definedName name="Fertiliser_Equations_OrganicN2O.VEERG_5_2_1_1__1_OrganicFertiliserApplicationN2OEmissions" localSheetId="34">_xlfn.LAMBDA(_xlpm.MNSoil_jf,_xlpm.EF_N2Oi,_xlpm.C_N2O, (_xlpm.MNSoil_jf * _xlpm.EF_N2Oi * _xlpm.C_N2O) * 10 ^ -3)</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 localSheetId="15">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6">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7">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8">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19">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0">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1">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2">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27">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30">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6">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 localSheetId="34">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 localSheetId="15">_xlfn.LAMBDA("E_{N2O}=\sum_{j}\sum_{f}((MNSoil_{jf}\times EF_{N2O,i}\times C_{N2O})\times 10^{-3})")</definedName>
    <definedName name="Fertiliser_Equations_OrganicN2O.VEERG_5_2_1_1__1_OrganicFertiliserApplicationN2OEmissions_LatexEquation" localSheetId="16">_xlfn.LAMBDA("E_{N2O}=\sum_{j}\sum_{f}((MNSoil_{jf}\times EF_{N2O,i}\times C_{N2O})\times 10^{-3})")</definedName>
    <definedName name="Fertiliser_Equations_OrganicN2O.VEERG_5_2_1_1__1_OrganicFertiliserApplicationN2OEmissions_LatexEquation" localSheetId="17">_xlfn.LAMBDA("E_{N2O}=\sum_{j}\sum_{f}((MNSoil_{jf}\times EF_{N2O,i}\times C_{N2O})\times 10^{-3})")</definedName>
    <definedName name="Fertiliser_Equations_OrganicN2O.VEERG_5_2_1_1__1_OrganicFertiliserApplicationN2OEmissions_LatexEquation" localSheetId="18">_xlfn.LAMBDA("E_{N2O}=\sum_{j}\sum_{f}((MNSoil_{jf}\times EF_{N2O,i}\times C_{N2O})\times 10^{-3})")</definedName>
    <definedName name="Fertiliser_Equations_OrganicN2O.VEERG_5_2_1_1__1_OrganicFertiliserApplicationN2OEmissions_LatexEquation" localSheetId="19">_xlfn.LAMBDA("E_{N2O}=\sum_{j}\sum_{f}((MNSoil_{jf}\times EF_{N2O,i}\times C_{N2O})\times 10^{-3})")</definedName>
    <definedName name="Fertiliser_Equations_OrganicN2O.VEERG_5_2_1_1__1_OrganicFertiliserApplicationN2OEmissions_LatexEquation" localSheetId="20">_xlfn.LAMBDA("E_{N2O}=\sum_{j}\sum_{f}((MNSoil_{jf}\times EF_{N2O,i}\times C_{N2O})\times 10^{-3})")</definedName>
    <definedName name="Fertiliser_Equations_OrganicN2O.VEERG_5_2_1_1__1_OrganicFertiliserApplicationN2OEmissions_LatexEquation" localSheetId="21">_xlfn.LAMBDA("E_{N2O}=\sum_{j}\sum_{f}((MNSoil_{jf}\times EF_{N2O,i}\times C_{N2O})\times 10^{-3})")</definedName>
    <definedName name="Fertiliser_Equations_OrganicN2O.VEERG_5_2_1_1__1_OrganicFertiliserApplicationN2OEmissions_LatexEquation" localSheetId="22">_xlfn.LAMBDA("E_{N2O}=\sum_{j}\sum_{f}((MNSoil_{jf}\times EF_{N2O,i}\times C_{N2O})\times 10^{-3})")</definedName>
    <definedName name="Fertiliser_Equations_OrganicN2O.VEERG_5_2_1_1__1_OrganicFertiliserApplicationN2OEmissions_LatexEquation" localSheetId="27">_xlfn.LAMBDA("E_{N2O}=\sum_{j}\sum_{f}((MNSoil_{jf}\times EF_{N2O,i}\times C_{N2O})\times 10^{-3})")</definedName>
    <definedName name="Fertiliser_Equations_OrganicN2O.VEERG_5_2_1_1__1_OrganicFertiliserApplicationN2OEmissions_LatexEquation" localSheetId="30">_xlfn.LAMBDA("E_{N2O}=\sum_{j}\sum_{f}((MNSoil_{jf}\times EF_{N2O,i}\times C_{N2O})\times 10^{-3})")</definedName>
    <definedName name="Fertiliser_Equations_OrganicN2O.VEERG_5_2_1_1__1_OrganicFertiliserApplicationN2OEmissions_LatexEquation" localSheetId="6">_xlfn.LAMBDA("E_{N2O}=\sum_{j}\sum_{f}((MNSoil_{jf}\times EF_{N2O,i}\times C_{N2O})\times 10^{-3})")</definedName>
    <definedName name="Fertiliser_Equations_OrganicN2O.VEERG_5_2_1_1__1_OrganicFertiliserApplicationN2OEmissions_LatexEquation" localSheetId="34">_xlfn.LAMBDA("E_{N2O}=\sum_{j}\sum_{f}((MNSoil_{jf}\times EF_{N2O,i}\times C_{N2O})\times 10^{-3})")</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 localSheetId="15">_xlfn.LAMBDA("")</definedName>
    <definedName name="Fertiliser_Equations_OrganicN2O.VEERG_5_2_1_1__1_OrganicFertiliserApplicationN2OEmissions_NIRReference" localSheetId="16">_xlfn.LAMBDA("")</definedName>
    <definedName name="Fertiliser_Equations_OrganicN2O.VEERG_5_2_1_1__1_OrganicFertiliserApplicationN2OEmissions_NIRReference" localSheetId="17">_xlfn.LAMBDA("")</definedName>
    <definedName name="Fertiliser_Equations_OrganicN2O.VEERG_5_2_1_1__1_OrganicFertiliserApplicationN2OEmissions_NIRReference" localSheetId="18">_xlfn.LAMBDA("")</definedName>
    <definedName name="Fertiliser_Equations_OrganicN2O.VEERG_5_2_1_1__1_OrganicFertiliserApplicationN2OEmissions_NIRReference" localSheetId="19">_xlfn.LAMBDA("")</definedName>
    <definedName name="Fertiliser_Equations_OrganicN2O.VEERG_5_2_1_1__1_OrganicFertiliserApplicationN2OEmissions_NIRReference" localSheetId="20">_xlfn.LAMBDA("")</definedName>
    <definedName name="Fertiliser_Equations_OrganicN2O.VEERG_5_2_1_1__1_OrganicFertiliserApplicationN2OEmissions_NIRReference" localSheetId="21">_xlfn.LAMBDA("")</definedName>
    <definedName name="Fertiliser_Equations_OrganicN2O.VEERG_5_2_1_1__1_OrganicFertiliserApplicationN2OEmissions_NIRReference" localSheetId="22">_xlfn.LAMBDA("")</definedName>
    <definedName name="Fertiliser_Equations_OrganicN2O.VEERG_5_2_1_1__1_OrganicFertiliserApplicationN2OEmissions_NIRReference" localSheetId="27">_xlfn.LAMBDA("")</definedName>
    <definedName name="Fertiliser_Equations_OrganicN2O.VEERG_5_2_1_1__1_OrganicFertiliserApplicationN2OEmissions_NIRReference" localSheetId="30">_xlfn.LAMBDA("")</definedName>
    <definedName name="Fertiliser_Equations_OrganicN2O.VEERG_5_2_1_1__1_OrganicFertiliserApplicationN2OEmissions_NIRReference" localSheetId="6">_xlfn.LAMBDA("")</definedName>
    <definedName name="Fertiliser_Equations_OrganicN2O.VEERG_5_2_1_1__1_OrganicFertiliserApplicationN2OEmissions_NIRReference" localSheetId="34">_xlfn.LAMBDA("")</definedName>
    <definedName name="Fertiliser_Equations_OrganicN2O.VEERG_5_2_1_1__1_OrganicFertiliserApplicationN2OEmissions_NIRReference">_xlfn.LAMBDA("")</definedName>
    <definedName name="Fertiliser_Equations_OrganicN2O.VEERG_5_2_1_1__1_OrganicFertiliserApplicationN2OEmissions_Source" localSheetId="15">_xlfn.LAMBDA("VEERG 2026: 5.2.1.1, Equation (1)")</definedName>
    <definedName name="Fertiliser_Equations_OrganicN2O.VEERG_5_2_1_1__1_OrganicFertiliserApplicationN2OEmissions_Source" localSheetId="16">_xlfn.LAMBDA("VEERG 2026: 5.2.1.1, Equation (1)")</definedName>
    <definedName name="Fertiliser_Equations_OrganicN2O.VEERG_5_2_1_1__1_OrganicFertiliserApplicationN2OEmissions_Source" localSheetId="17">_xlfn.LAMBDA("VEERG 2026: 5.2.1.1, Equation (1)")</definedName>
    <definedName name="Fertiliser_Equations_OrganicN2O.VEERG_5_2_1_1__1_OrganicFertiliserApplicationN2OEmissions_Source" localSheetId="18">_xlfn.LAMBDA("VEERG 2026: 5.2.1.1, Equation (1)")</definedName>
    <definedName name="Fertiliser_Equations_OrganicN2O.VEERG_5_2_1_1__1_OrganicFertiliserApplicationN2OEmissions_Source" localSheetId="19">_xlfn.LAMBDA("VEERG 2026: 5.2.1.1, Equation (1)")</definedName>
    <definedName name="Fertiliser_Equations_OrganicN2O.VEERG_5_2_1_1__1_OrganicFertiliserApplicationN2OEmissions_Source" localSheetId="20">_xlfn.LAMBDA("VEERG 2026: 5.2.1.1, Equation (1)")</definedName>
    <definedName name="Fertiliser_Equations_OrganicN2O.VEERG_5_2_1_1__1_OrganicFertiliserApplicationN2OEmissions_Source" localSheetId="21">_xlfn.LAMBDA("VEERG 2026: 5.2.1.1, Equation (1)")</definedName>
    <definedName name="Fertiliser_Equations_OrganicN2O.VEERG_5_2_1_1__1_OrganicFertiliserApplicationN2OEmissions_Source" localSheetId="22">_xlfn.LAMBDA("VEERG 2026: 5.2.1.1, Equation (1)")</definedName>
    <definedName name="Fertiliser_Equations_OrganicN2O.VEERG_5_2_1_1__1_OrganicFertiliserApplicationN2OEmissions_Source" localSheetId="27">_xlfn.LAMBDA("VEERG 2026: 5.2.1.1, Equation (1)")</definedName>
    <definedName name="Fertiliser_Equations_OrganicN2O.VEERG_5_2_1_1__1_OrganicFertiliserApplicationN2OEmissions_Source" localSheetId="30">_xlfn.LAMBDA("VEERG 2026: 5.2.1.1, Equation (1)")</definedName>
    <definedName name="Fertiliser_Equations_OrganicN2O.VEERG_5_2_1_1__1_OrganicFertiliserApplicationN2OEmissions_Source" localSheetId="6">_xlfn.LAMBDA("VEERG 2026: 5.2.1.1, Equation (1)")</definedName>
    <definedName name="Fertiliser_Equations_OrganicN2O.VEERG_5_2_1_1__1_OrganicFertiliserApplicationN2OEmissions_Source" localSheetId="34">_xlfn.LAMBDA("VEERG 2026: 5.2.1.1, Equation (1)")</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 localSheetId="15">_xlfn.LAMBDA("Nitrous oxide emissions from the application of all organic fertiliser types f to all production systems j")</definedName>
    <definedName name="Fertiliser_Equations_OrganicN2O.VEERG_5_2_1_1__1_OrganicFertiliserApplicationN2OEmissions_Title" localSheetId="16">_xlfn.LAMBDA("Nitrous oxide emissions from the application of all organic fertiliser types f to all production systems j")</definedName>
    <definedName name="Fertiliser_Equations_OrganicN2O.VEERG_5_2_1_1__1_OrganicFertiliserApplicationN2OEmissions_Title" localSheetId="17">_xlfn.LAMBDA("Nitrous oxide emissions from the application of all organic fertiliser types f to all production systems j")</definedName>
    <definedName name="Fertiliser_Equations_OrganicN2O.VEERG_5_2_1_1__1_OrganicFertiliserApplicationN2OEmissions_Title" localSheetId="18">_xlfn.LAMBDA("Nitrous oxide emissions from the application of all organic fertiliser types f to all production systems j")</definedName>
    <definedName name="Fertiliser_Equations_OrganicN2O.VEERG_5_2_1_1__1_OrganicFertiliserApplicationN2OEmissions_Title" localSheetId="19">_xlfn.LAMBDA("Nitrous oxide emissions from the application of all organic fertiliser types f to all production systems j")</definedName>
    <definedName name="Fertiliser_Equations_OrganicN2O.VEERG_5_2_1_1__1_OrganicFertiliserApplicationN2OEmissions_Title" localSheetId="20">_xlfn.LAMBDA("Nitrous oxide emissions from the application of all organic fertiliser types f to all production systems j")</definedName>
    <definedName name="Fertiliser_Equations_OrganicN2O.VEERG_5_2_1_1__1_OrganicFertiliserApplicationN2OEmissions_Title" localSheetId="21">_xlfn.LAMBDA("Nitrous oxide emissions from the application of all organic fertiliser types f to all production systems j")</definedName>
    <definedName name="Fertiliser_Equations_OrganicN2O.VEERG_5_2_1_1__1_OrganicFertiliserApplicationN2OEmissions_Title" localSheetId="22">_xlfn.LAMBDA("Nitrous oxide emissions from the application of all organic fertiliser types f to all production systems j")</definedName>
    <definedName name="Fertiliser_Equations_OrganicN2O.VEERG_5_2_1_1__1_OrganicFertiliserApplicationN2OEmissions_Title" localSheetId="27">_xlfn.LAMBDA("Nitrous oxide emissions from the application of all organic fertiliser types f to all production systems j")</definedName>
    <definedName name="Fertiliser_Equations_OrganicN2O.VEERG_5_2_1_1__1_OrganicFertiliserApplicationN2OEmissions_Title" localSheetId="30">_xlfn.LAMBDA("Nitrous oxide emissions from the application of all organic fertiliser types f to all production systems j")</definedName>
    <definedName name="Fertiliser_Equations_OrganicN2O.VEERG_5_2_1_1__1_OrganicFertiliserApplicationN2OEmissions_Title" localSheetId="6">_xlfn.LAMBDA("Nitrous oxide emissions from the application of all organic fertiliser types f to all production systems j")</definedName>
    <definedName name="Fertiliser_Equations_OrganicN2O.VEERG_5_2_1_1__1_OrganicFertiliserApplicationN2OEmissions_Title" localSheetId="34">_xlfn.LAMBDA("Nitrous oxide emissions from the application of all organic fertiliser types f to all production systems j")</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 localSheetId="15">_xlfn.LAMBDA("t N2O")</definedName>
    <definedName name="Fertiliser_Equations_OrganicN2O.VEERG_5_2_1_1__1_OrganicFertiliserApplicationN2OEmissions_Unit" localSheetId="16">_xlfn.LAMBDA("t N2O")</definedName>
    <definedName name="Fertiliser_Equations_OrganicN2O.VEERG_5_2_1_1__1_OrganicFertiliserApplicationN2OEmissions_Unit" localSheetId="17">_xlfn.LAMBDA("t N2O")</definedName>
    <definedName name="Fertiliser_Equations_OrganicN2O.VEERG_5_2_1_1__1_OrganicFertiliserApplicationN2OEmissions_Unit" localSheetId="18">_xlfn.LAMBDA("t N2O")</definedName>
    <definedName name="Fertiliser_Equations_OrganicN2O.VEERG_5_2_1_1__1_OrganicFertiliserApplicationN2OEmissions_Unit" localSheetId="19">_xlfn.LAMBDA("t N2O")</definedName>
    <definedName name="Fertiliser_Equations_OrganicN2O.VEERG_5_2_1_1__1_OrganicFertiliserApplicationN2OEmissions_Unit" localSheetId="20">_xlfn.LAMBDA("t N2O")</definedName>
    <definedName name="Fertiliser_Equations_OrganicN2O.VEERG_5_2_1_1__1_OrganicFertiliserApplicationN2OEmissions_Unit" localSheetId="21">_xlfn.LAMBDA("t N2O")</definedName>
    <definedName name="Fertiliser_Equations_OrganicN2O.VEERG_5_2_1_1__1_OrganicFertiliserApplicationN2OEmissions_Unit" localSheetId="22">_xlfn.LAMBDA("t N2O")</definedName>
    <definedName name="Fertiliser_Equations_OrganicN2O.VEERG_5_2_1_1__1_OrganicFertiliserApplicationN2OEmissions_Unit" localSheetId="27">_xlfn.LAMBDA("t N2O")</definedName>
    <definedName name="Fertiliser_Equations_OrganicN2O.VEERG_5_2_1_1__1_OrganicFertiliserApplicationN2OEmissions_Unit" localSheetId="30">_xlfn.LAMBDA("t N2O")</definedName>
    <definedName name="Fertiliser_Equations_OrganicN2O.VEERG_5_2_1_1__1_OrganicFertiliserApplicationN2OEmissions_Unit" localSheetId="6">_xlfn.LAMBDA("t N2O")</definedName>
    <definedName name="Fertiliser_Equations_OrganicN2O.VEERG_5_2_1_1__1_OrganicFertiliserApplicationN2OEmissions_Unit" localSheetId="34">_xlfn.LAMBDA("t N2O")</definedName>
    <definedName name="Fertiliser_Equations_OrganicN2O.VEERG_5_2_1_1__1_OrganicFertiliserApplicationN2OEmissions_Unit">_xlfn.LAMBDA("t N2O")</definedName>
    <definedName name="Fertiliser_Equations_OrganicN2O.VEERG_5_2_1_1__1_OrganicFertiliserApplicationN2OEmissions_Variable" localSheetId="15">_xlfn.LAMBDA("E_N2O")</definedName>
    <definedName name="Fertiliser_Equations_OrganicN2O.VEERG_5_2_1_1__1_OrganicFertiliserApplicationN2OEmissions_Variable" localSheetId="16">_xlfn.LAMBDA("E_N2O")</definedName>
    <definedName name="Fertiliser_Equations_OrganicN2O.VEERG_5_2_1_1__1_OrganicFertiliserApplicationN2OEmissions_Variable" localSheetId="17">_xlfn.LAMBDA("E_N2O")</definedName>
    <definedName name="Fertiliser_Equations_OrganicN2O.VEERG_5_2_1_1__1_OrganicFertiliserApplicationN2OEmissions_Variable" localSheetId="18">_xlfn.LAMBDA("E_N2O")</definedName>
    <definedName name="Fertiliser_Equations_OrganicN2O.VEERG_5_2_1_1__1_OrganicFertiliserApplicationN2OEmissions_Variable" localSheetId="19">_xlfn.LAMBDA("E_N2O")</definedName>
    <definedName name="Fertiliser_Equations_OrganicN2O.VEERG_5_2_1_1__1_OrganicFertiliserApplicationN2OEmissions_Variable" localSheetId="20">_xlfn.LAMBDA("E_N2O")</definedName>
    <definedName name="Fertiliser_Equations_OrganicN2O.VEERG_5_2_1_1__1_OrganicFertiliserApplicationN2OEmissions_Variable" localSheetId="21">_xlfn.LAMBDA("E_N2O")</definedName>
    <definedName name="Fertiliser_Equations_OrganicN2O.VEERG_5_2_1_1__1_OrganicFertiliserApplicationN2OEmissions_Variable" localSheetId="22">_xlfn.LAMBDA("E_N2O")</definedName>
    <definedName name="Fertiliser_Equations_OrganicN2O.VEERG_5_2_1_1__1_OrganicFertiliserApplicationN2OEmissions_Variable" localSheetId="27">_xlfn.LAMBDA("E_N2O")</definedName>
    <definedName name="Fertiliser_Equations_OrganicN2O.VEERG_5_2_1_1__1_OrganicFertiliserApplicationN2OEmissions_Variable" localSheetId="30">_xlfn.LAMBDA("E_N2O")</definedName>
    <definedName name="Fertiliser_Equations_OrganicN2O.VEERG_5_2_1_1__1_OrganicFertiliserApplicationN2OEmissions_Variable" localSheetId="6">_xlfn.LAMBDA("E_N2O")</definedName>
    <definedName name="Fertiliser_Equations_OrganicN2O.VEERG_5_2_1_1__1_OrganicFertiliserApplicationN2OEmissions_Variable" localSheetId="34">_xlfn.LAMBDA("E_N2O")</definedName>
    <definedName name="Fertiliser_Equations_OrganicN2O.VEERG_5_2_1_1__1_OrganicFertiliserApplicationN2OEmissions_Variable">_xlfn.LAMBDA("E_N2O")</definedName>
    <definedName name="Fertiliser_Equations_OrganicN2O.VEERG_5_2_1_1__2_MassOfNitrogenInOrganicFertiliser" localSheetId="15">_xlfn.LAMBDA(_xlpm.M_organicjf,_xlpm.FN_organicf, _xlpm.M_organicjf * _xlpm.FN_organicf)</definedName>
    <definedName name="Fertiliser_Equations_OrganicN2O.VEERG_5_2_1_1__2_MassOfNitrogenInOrganicFertiliser" localSheetId="16">_xlfn.LAMBDA(_xlpm.M_organicjf,_xlpm.FN_organicf, _xlpm.M_organicjf * _xlpm.FN_organicf)</definedName>
    <definedName name="Fertiliser_Equations_OrganicN2O.VEERG_5_2_1_1__2_MassOfNitrogenInOrganicFertiliser" localSheetId="17">_xlfn.LAMBDA(_xlpm.M_organicjf,_xlpm.FN_organicf, _xlpm.M_organicjf * _xlpm.FN_organicf)</definedName>
    <definedName name="Fertiliser_Equations_OrganicN2O.VEERG_5_2_1_1__2_MassOfNitrogenInOrganicFertiliser" localSheetId="18">_xlfn.LAMBDA(_xlpm.M_organicjf,_xlpm.FN_organicf, _xlpm.M_organicjf * _xlpm.FN_organicf)</definedName>
    <definedName name="Fertiliser_Equations_OrganicN2O.VEERG_5_2_1_1__2_MassOfNitrogenInOrganicFertiliser" localSheetId="19">_xlfn.LAMBDA(_xlpm.M_organicjf,_xlpm.FN_organicf, _xlpm.M_organicjf * _xlpm.FN_organicf)</definedName>
    <definedName name="Fertiliser_Equations_OrganicN2O.VEERG_5_2_1_1__2_MassOfNitrogenInOrganicFertiliser" localSheetId="20">_xlfn.LAMBDA(_xlpm.M_organicjf,_xlpm.FN_organicf, _xlpm.M_organicjf * _xlpm.FN_organicf)</definedName>
    <definedName name="Fertiliser_Equations_OrganicN2O.VEERG_5_2_1_1__2_MassOfNitrogenInOrganicFertiliser" localSheetId="21">_xlfn.LAMBDA(_xlpm.M_organicjf,_xlpm.FN_organicf, _xlpm.M_organicjf * _xlpm.FN_organicf)</definedName>
    <definedName name="Fertiliser_Equations_OrganicN2O.VEERG_5_2_1_1__2_MassOfNitrogenInOrganicFertiliser" localSheetId="22">_xlfn.LAMBDA(_xlpm.M_organicjf,_xlpm.FN_organicf, _xlpm.M_organicjf * _xlpm.FN_organicf)</definedName>
    <definedName name="Fertiliser_Equations_OrganicN2O.VEERG_5_2_1_1__2_MassOfNitrogenInOrganicFertiliser" localSheetId="27">_xlfn.LAMBDA(_xlpm.M_organicjf,_xlpm.FN_organicf, _xlpm.M_organicjf * _xlpm.FN_organicf)</definedName>
    <definedName name="Fertiliser_Equations_OrganicN2O.VEERG_5_2_1_1__2_MassOfNitrogenInOrganicFertiliser" localSheetId="30">_xlfn.LAMBDA(_xlpm.M_organicjf,_xlpm.FN_organicf, _xlpm.M_organicjf * _xlpm.FN_organicf)</definedName>
    <definedName name="Fertiliser_Equations_OrganicN2O.VEERG_5_2_1_1__2_MassOfNitrogenInOrganicFertiliser" localSheetId="6">_xlfn.LAMBDA(_xlpm.M_organicjf,_xlpm.FN_organicf, _xlpm.M_organicjf * _xlpm.FN_organicf)</definedName>
    <definedName name="Fertiliser_Equations_OrganicN2O.VEERG_5_2_1_1__2_MassOfNitrogenInOrganicFertiliser" localSheetId="34">_xlfn.LAMBDA(_xlpm.M_organicjf,_xlpm.FN_organicf, _xlpm.M_organicjf * _xlpm.FN_organicf)</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 localSheetId="15">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6">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7">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8">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19">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0">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1">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2">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27">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30">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6">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 localSheetId="34">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 localSheetId="15">_xlfn.LAMBDA("MNSoil_{jf}=M_{organic,jf}\times FN_{organic,f}")</definedName>
    <definedName name="Fertiliser_Equations_OrganicN2O.VEERG_5_2_1_1__2_MassOfNitrogenInOrganicFertiliser_LatexEquation" localSheetId="16">_xlfn.LAMBDA("MNSoil_{jf}=M_{organic,jf}\times FN_{organic,f}")</definedName>
    <definedName name="Fertiliser_Equations_OrganicN2O.VEERG_5_2_1_1__2_MassOfNitrogenInOrganicFertiliser_LatexEquation" localSheetId="17">_xlfn.LAMBDA("MNSoil_{jf}=M_{organic,jf}\times FN_{organic,f}")</definedName>
    <definedName name="Fertiliser_Equations_OrganicN2O.VEERG_5_2_1_1__2_MassOfNitrogenInOrganicFertiliser_LatexEquation" localSheetId="18">_xlfn.LAMBDA("MNSoil_{jf}=M_{organic,jf}\times FN_{organic,f}")</definedName>
    <definedName name="Fertiliser_Equations_OrganicN2O.VEERG_5_2_1_1__2_MassOfNitrogenInOrganicFertiliser_LatexEquation" localSheetId="19">_xlfn.LAMBDA("MNSoil_{jf}=M_{organic,jf}\times FN_{organic,f}")</definedName>
    <definedName name="Fertiliser_Equations_OrganicN2O.VEERG_5_2_1_1__2_MassOfNitrogenInOrganicFertiliser_LatexEquation" localSheetId="20">_xlfn.LAMBDA("MNSoil_{jf}=M_{organic,jf}\times FN_{organic,f}")</definedName>
    <definedName name="Fertiliser_Equations_OrganicN2O.VEERG_5_2_1_1__2_MassOfNitrogenInOrganicFertiliser_LatexEquation" localSheetId="21">_xlfn.LAMBDA("MNSoil_{jf}=M_{organic,jf}\times FN_{organic,f}")</definedName>
    <definedName name="Fertiliser_Equations_OrganicN2O.VEERG_5_2_1_1__2_MassOfNitrogenInOrganicFertiliser_LatexEquation" localSheetId="22">_xlfn.LAMBDA("MNSoil_{jf}=M_{organic,jf}\times FN_{organic,f}")</definedName>
    <definedName name="Fertiliser_Equations_OrganicN2O.VEERG_5_2_1_1__2_MassOfNitrogenInOrganicFertiliser_LatexEquation" localSheetId="27">_xlfn.LAMBDA("MNSoil_{jf}=M_{organic,jf}\times FN_{organic,f}")</definedName>
    <definedName name="Fertiliser_Equations_OrganicN2O.VEERG_5_2_1_1__2_MassOfNitrogenInOrganicFertiliser_LatexEquation" localSheetId="30">_xlfn.LAMBDA("MNSoil_{jf}=M_{organic,jf}\times FN_{organic,f}")</definedName>
    <definedName name="Fertiliser_Equations_OrganicN2O.VEERG_5_2_1_1__2_MassOfNitrogenInOrganicFertiliser_LatexEquation" localSheetId="6">_xlfn.LAMBDA("MNSoil_{jf}=M_{organic,jf}\times FN_{organic,f}")</definedName>
    <definedName name="Fertiliser_Equations_OrganicN2O.VEERG_5_2_1_1__2_MassOfNitrogenInOrganicFertiliser_LatexEquation" localSheetId="34">_xlfn.LAMBDA("MNSoil_{jf}=M_{organic,jf}\times FN_{organic,f}")</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 localSheetId="15">_xlfn.LAMBDA("")</definedName>
    <definedName name="Fertiliser_Equations_OrganicN2O.VEERG_5_2_1_1__2_MassOfNitrogenInOrganicFertiliser_NIRReference" localSheetId="16">_xlfn.LAMBDA("")</definedName>
    <definedName name="Fertiliser_Equations_OrganicN2O.VEERG_5_2_1_1__2_MassOfNitrogenInOrganicFertiliser_NIRReference" localSheetId="17">_xlfn.LAMBDA("")</definedName>
    <definedName name="Fertiliser_Equations_OrganicN2O.VEERG_5_2_1_1__2_MassOfNitrogenInOrganicFertiliser_NIRReference" localSheetId="18">_xlfn.LAMBDA("")</definedName>
    <definedName name="Fertiliser_Equations_OrganicN2O.VEERG_5_2_1_1__2_MassOfNitrogenInOrganicFertiliser_NIRReference" localSheetId="19">_xlfn.LAMBDA("")</definedName>
    <definedName name="Fertiliser_Equations_OrganicN2O.VEERG_5_2_1_1__2_MassOfNitrogenInOrganicFertiliser_NIRReference" localSheetId="20">_xlfn.LAMBDA("")</definedName>
    <definedName name="Fertiliser_Equations_OrganicN2O.VEERG_5_2_1_1__2_MassOfNitrogenInOrganicFertiliser_NIRReference" localSheetId="21">_xlfn.LAMBDA("")</definedName>
    <definedName name="Fertiliser_Equations_OrganicN2O.VEERG_5_2_1_1__2_MassOfNitrogenInOrganicFertiliser_NIRReference" localSheetId="22">_xlfn.LAMBDA("")</definedName>
    <definedName name="Fertiliser_Equations_OrganicN2O.VEERG_5_2_1_1__2_MassOfNitrogenInOrganicFertiliser_NIRReference" localSheetId="27">_xlfn.LAMBDA("")</definedName>
    <definedName name="Fertiliser_Equations_OrganicN2O.VEERG_5_2_1_1__2_MassOfNitrogenInOrganicFertiliser_NIRReference" localSheetId="30">_xlfn.LAMBDA("")</definedName>
    <definedName name="Fertiliser_Equations_OrganicN2O.VEERG_5_2_1_1__2_MassOfNitrogenInOrganicFertiliser_NIRReference" localSheetId="6">_xlfn.LAMBDA("")</definedName>
    <definedName name="Fertiliser_Equations_OrganicN2O.VEERG_5_2_1_1__2_MassOfNitrogenInOrganicFertiliser_NIRReference" localSheetId="34">_xlfn.LAMBDA("")</definedName>
    <definedName name="Fertiliser_Equations_OrganicN2O.VEERG_5_2_1_1__2_MassOfNitrogenInOrganicFertiliser_NIRReference">_xlfn.LAMBDA("")</definedName>
    <definedName name="Fertiliser_Equations_OrganicN2O.VEERG_5_2_1_1__2_MassOfNitrogenInOrganicFertiliser_Source" localSheetId="15">_xlfn.LAMBDA("VEERG 2026: 5.2.1.1, Equation (2)")</definedName>
    <definedName name="Fertiliser_Equations_OrganicN2O.VEERG_5_2_1_1__2_MassOfNitrogenInOrganicFertiliser_Source" localSheetId="16">_xlfn.LAMBDA("VEERG 2026: 5.2.1.1, Equation (2)")</definedName>
    <definedName name="Fertiliser_Equations_OrganicN2O.VEERG_5_2_1_1__2_MassOfNitrogenInOrganicFertiliser_Source" localSheetId="17">_xlfn.LAMBDA("VEERG 2026: 5.2.1.1, Equation (2)")</definedName>
    <definedName name="Fertiliser_Equations_OrganicN2O.VEERG_5_2_1_1__2_MassOfNitrogenInOrganicFertiliser_Source" localSheetId="18">_xlfn.LAMBDA("VEERG 2026: 5.2.1.1, Equation (2)")</definedName>
    <definedName name="Fertiliser_Equations_OrganicN2O.VEERG_5_2_1_1__2_MassOfNitrogenInOrganicFertiliser_Source" localSheetId="19">_xlfn.LAMBDA("VEERG 2026: 5.2.1.1, Equation (2)")</definedName>
    <definedName name="Fertiliser_Equations_OrganicN2O.VEERG_5_2_1_1__2_MassOfNitrogenInOrganicFertiliser_Source" localSheetId="20">_xlfn.LAMBDA("VEERG 2026: 5.2.1.1, Equation (2)")</definedName>
    <definedName name="Fertiliser_Equations_OrganicN2O.VEERG_5_2_1_1__2_MassOfNitrogenInOrganicFertiliser_Source" localSheetId="21">_xlfn.LAMBDA("VEERG 2026: 5.2.1.1, Equation (2)")</definedName>
    <definedName name="Fertiliser_Equations_OrganicN2O.VEERG_5_2_1_1__2_MassOfNitrogenInOrganicFertiliser_Source" localSheetId="22">_xlfn.LAMBDA("VEERG 2026: 5.2.1.1, Equation (2)")</definedName>
    <definedName name="Fertiliser_Equations_OrganicN2O.VEERG_5_2_1_1__2_MassOfNitrogenInOrganicFertiliser_Source" localSheetId="27">_xlfn.LAMBDA("VEERG 2026: 5.2.1.1, Equation (2)")</definedName>
    <definedName name="Fertiliser_Equations_OrganicN2O.VEERG_5_2_1_1__2_MassOfNitrogenInOrganicFertiliser_Source" localSheetId="30">_xlfn.LAMBDA("VEERG 2026: 5.2.1.1, Equation (2)")</definedName>
    <definedName name="Fertiliser_Equations_OrganicN2O.VEERG_5_2_1_1__2_MassOfNitrogenInOrganicFertiliser_Source" localSheetId="6">_xlfn.LAMBDA("VEERG 2026: 5.2.1.1, Equation (2)")</definedName>
    <definedName name="Fertiliser_Equations_OrganicN2O.VEERG_5_2_1_1__2_MassOfNitrogenInOrganicFertiliser_Source" localSheetId="34">_xlfn.LAMBDA("VEERG 2026: 5.2.1.1, Equation (2)")</definedName>
    <definedName name="Fertiliser_Equations_OrganicN2O.VEERG_5_2_1_1__2_MassOfNitrogenInOrganicFertiliser_Source">_xlfn.LAMBDA("VEERG 2026: 5.2.1.1, Equation (2)")</definedName>
    <definedName name="Fertiliser_Equations_OrganicN2O.VEERG_5_2_1_1__2_MassOfNitrogenInOrganicFertiliser_Title" localSheetId="15">_xlfn.LAMBDA("Mass of nitrogen in purchased organic fertilisers applied to production system")</definedName>
    <definedName name="Fertiliser_Equations_OrganicN2O.VEERG_5_2_1_1__2_MassOfNitrogenInOrganicFertiliser_Title" localSheetId="16">_xlfn.LAMBDA("Mass of nitrogen in purchased organic fertilisers applied to production system")</definedName>
    <definedName name="Fertiliser_Equations_OrganicN2O.VEERG_5_2_1_1__2_MassOfNitrogenInOrganicFertiliser_Title" localSheetId="17">_xlfn.LAMBDA("Mass of nitrogen in purchased organic fertilisers applied to production system")</definedName>
    <definedName name="Fertiliser_Equations_OrganicN2O.VEERG_5_2_1_1__2_MassOfNitrogenInOrganicFertiliser_Title" localSheetId="18">_xlfn.LAMBDA("Mass of nitrogen in purchased organic fertilisers applied to production system")</definedName>
    <definedName name="Fertiliser_Equations_OrganicN2O.VEERG_5_2_1_1__2_MassOfNitrogenInOrganicFertiliser_Title" localSheetId="19">_xlfn.LAMBDA("Mass of nitrogen in purchased organic fertilisers applied to production system")</definedName>
    <definedName name="Fertiliser_Equations_OrganicN2O.VEERG_5_2_1_1__2_MassOfNitrogenInOrganicFertiliser_Title" localSheetId="20">_xlfn.LAMBDA("Mass of nitrogen in purchased organic fertilisers applied to production system")</definedName>
    <definedName name="Fertiliser_Equations_OrganicN2O.VEERG_5_2_1_1__2_MassOfNitrogenInOrganicFertiliser_Title" localSheetId="21">_xlfn.LAMBDA("Mass of nitrogen in purchased organic fertilisers applied to production system")</definedName>
    <definedName name="Fertiliser_Equations_OrganicN2O.VEERG_5_2_1_1__2_MassOfNitrogenInOrganicFertiliser_Title" localSheetId="22">_xlfn.LAMBDA("Mass of nitrogen in purchased organic fertilisers applied to production system")</definedName>
    <definedName name="Fertiliser_Equations_OrganicN2O.VEERG_5_2_1_1__2_MassOfNitrogenInOrganicFertiliser_Title" localSheetId="27">_xlfn.LAMBDA("Mass of nitrogen in purchased organic fertilisers applied to production system")</definedName>
    <definedName name="Fertiliser_Equations_OrganicN2O.VEERG_5_2_1_1__2_MassOfNitrogenInOrganicFertiliser_Title" localSheetId="30">_xlfn.LAMBDA("Mass of nitrogen in purchased organic fertilisers applied to production system")</definedName>
    <definedName name="Fertiliser_Equations_OrganicN2O.VEERG_5_2_1_1__2_MassOfNitrogenInOrganicFertiliser_Title" localSheetId="6">_xlfn.LAMBDA("Mass of nitrogen in purchased organic fertilisers applied to production system")</definedName>
    <definedName name="Fertiliser_Equations_OrganicN2O.VEERG_5_2_1_1__2_MassOfNitrogenInOrganicFertiliser_Title" localSheetId="34">_xlfn.LAMBDA("Mass of nitrogen in purchased organic fertilisers applied to production system")</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 localSheetId="15">_xlfn.LAMBDA("kg N")</definedName>
    <definedName name="Fertiliser_Equations_OrganicN2O.VEERG_5_2_1_1__2_MassOfNitrogenInOrganicFertiliser_Unit" localSheetId="16">_xlfn.LAMBDA("kg N")</definedName>
    <definedName name="Fertiliser_Equations_OrganicN2O.VEERG_5_2_1_1__2_MassOfNitrogenInOrganicFertiliser_Unit" localSheetId="17">_xlfn.LAMBDA("kg N")</definedName>
    <definedName name="Fertiliser_Equations_OrganicN2O.VEERG_5_2_1_1__2_MassOfNitrogenInOrganicFertiliser_Unit" localSheetId="18">_xlfn.LAMBDA("kg N")</definedName>
    <definedName name="Fertiliser_Equations_OrganicN2O.VEERG_5_2_1_1__2_MassOfNitrogenInOrganicFertiliser_Unit" localSheetId="19">_xlfn.LAMBDA("kg N")</definedName>
    <definedName name="Fertiliser_Equations_OrganicN2O.VEERG_5_2_1_1__2_MassOfNitrogenInOrganicFertiliser_Unit" localSheetId="20">_xlfn.LAMBDA("kg N")</definedName>
    <definedName name="Fertiliser_Equations_OrganicN2O.VEERG_5_2_1_1__2_MassOfNitrogenInOrganicFertiliser_Unit" localSheetId="21">_xlfn.LAMBDA("kg N")</definedName>
    <definedName name="Fertiliser_Equations_OrganicN2O.VEERG_5_2_1_1__2_MassOfNitrogenInOrganicFertiliser_Unit" localSheetId="22">_xlfn.LAMBDA("kg N")</definedName>
    <definedName name="Fertiliser_Equations_OrganicN2O.VEERG_5_2_1_1__2_MassOfNitrogenInOrganicFertiliser_Unit" localSheetId="27">_xlfn.LAMBDA("kg N")</definedName>
    <definedName name="Fertiliser_Equations_OrganicN2O.VEERG_5_2_1_1__2_MassOfNitrogenInOrganicFertiliser_Unit" localSheetId="30">_xlfn.LAMBDA("kg N")</definedName>
    <definedName name="Fertiliser_Equations_OrganicN2O.VEERG_5_2_1_1__2_MassOfNitrogenInOrganicFertiliser_Unit" localSheetId="6">_xlfn.LAMBDA("kg N")</definedName>
    <definedName name="Fertiliser_Equations_OrganicN2O.VEERG_5_2_1_1__2_MassOfNitrogenInOrganicFertiliser_Unit" localSheetId="34">_xlfn.LAMBDA("kg N")</definedName>
    <definedName name="Fertiliser_Equations_OrganicN2O.VEERG_5_2_1_1__2_MassOfNitrogenInOrganicFertiliser_Unit">_xlfn.LAMBDA("kg N")</definedName>
    <definedName name="Fertiliser_Equations_OrganicN2O.VEERG_5_2_1_1__2_MassOfNitrogenInOrganicFertiliser_Variable" localSheetId="15">_xlfn.LAMBDA("MNSoil_jf")</definedName>
    <definedName name="Fertiliser_Equations_OrganicN2O.VEERG_5_2_1_1__2_MassOfNitrogenInOrganicFertiliser_Variable" localSheetId="16">_xlfn.LAMBDA("MNSoil_jf")</definedName>
    <definedName name="Fertiliser_Equations_OrganicN2O.VEERG_5_2_1_1__2_MassOfNitrogenInOrganicFertiliser_Variable" localSheetId="17">_xlfn.LAMBDA("MNSoil_jf")</definedName>
    <definedName name="Fertiliser_Equations_OrganicN2O.VEERG_5_2_1_1__2_MassOfNitrogenInOrganicFertiliser_Variable" localSheetId="18">_xlfn.LAMBDA("MNSoil_jf")</definedName>
    <definedName name="Fertiliser_Equations_OrganicN2O.VEERG_5_2_1_1__2_MassOfNitrogenInOrganicFertiliser_Variable" localSheetId="19">_xlfn.LAMBDA("MNSoil_jf")</definedName>
    <definedName name="Fertiliser_Equations_OrganicN2O.VEERG_5_2_1_1__2_MassOfNitrogenInOrganicFertiliser_Variable" localSheetId="20">_xlfn.LAMBDA("MNSoil_jf")</definedName>
    <definedName name="Fertiliser_Equations_OrganicN2O.VEERG_5_2_1_1__2_MassOfNitrogenInOrganicFertiliser_Variable" localSheetId="21">_xlfn.LAMBDA("MNSoil_jf")</definedName>
    <definedName name="Fertiliser_Equations_OrganicN2O.VEERG_5_2_1_1__2_MassOfNitrogenInOrganicFertiliser_Variable" localSheetId="22">_xlfn.LAMBDA("MNSoil_jf")</definedName>
    <definedName name="Fertiliser_Equations_OrganicN2O.VEERG_5_2_1_1__2_MassOfNitrogenInOrganicFertiliser_Variable" localSheetId="27">_xlfn.LAMBDA("MNSoil_jf")</definedName>
    <definedName name="Fertiliser_Equations_OrganicN2O.VEERG_5_2_1_1__2_MassOfNitrogenInOrganicFertiliser_Variable" localSheetId="30">_xlfn.LAMBDA("MNSoil_jf")</definedName>
    <definedName name="Fertiliser_Equations_OrganicN2O.VEERG_5_2_1_1__2_MassOfNitrogenInOrganicFertiliser_Variable" localSheetId="6">_xlfn.LAMBDA("MNSoil_jf")</definedName>
    <definedName name="Fertiliser_Equations_OrganicN2O.VEERG_5_2_1_1__2_MassOfNitrogenInOrganicFertiliser_Variable" localSheetId="34">_xlfn.LAMBDA("MNSoil_jf")</definedName>
    <definedName name="Fertiliser_Equations_OrganicN2O.VEERG_5_2_1_1__2_MassOfNitrogenInOrganicFertiliser_Variable">_xlfn.LAMBDA("MNSoil_jf")</definedName>
    <definedName name="Fertiliser_InputFunctions.Fertiliser_FertiliserProductLookup" localSheetId="15">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6">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7">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8">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19">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0">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1">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2">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27">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30">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6">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 localSheetId="34">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 localSheetId="15">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6">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7">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8">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19">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0">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1">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2">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27">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30">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6">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 localSheetId="34">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 localSheetId="15">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6">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7">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8">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19">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0">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1">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2">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27">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30">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6">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 localSheetId="34">_xlfn.LAMBDA(_xlpm.ChemicalCompound,_xlpm.Scope3Array,_xlpm.ChemicalCompoundColumn,_xlpm.Source,_xlpm.SourceRow, INDEX(_xlpm.Scope3Array, MATCH(_xlpm.ChemicalCompound, _xlpm.ChemicalCompoundColumn, 0), MATCH(_xlpm.Source, _xlpm.SourceRow,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 localSheetId="15">_xlfn.LAMBDA(_xlpm.AmountApplied,_xlpm.AmendmentPercent, SUMPRODUCT(_xlpm.AmountApplied * _xlpm.AmendmentPercent))</definedName>
    <definedName name="Fertiliser_InputFunctions.Fertiliser_TotalSoilAmendmentApplied" localSheetId="16">_xlfn.LAMBDA(_xlpm.AmountApplied,_xlpm.AmendmentPercent, SUMPRODUCT(_xlpm.AmountApplied * _xlpm.AmendmentPercent))</definedName>
    <definedName name="Fertiliser_InputFunctions.Fertiliser_TotalSoilAmendmentApplied" localSheetId="17">_xlfn.LAMBDA(_xlpm.AmountApplied,_xlpm.AmendmentPercent, SUMPRODUCT(_xlpm.AmountApplied * _xlpm.AmendmentPercent))</definedName>
    <definedName name="Fertiliser_InputFunctions.Fertiliser_TotalSoilAmendmentApplied" localSheetId="18">_xlfn.LAMBDA(_xlpm.AmountApplied,_xlpm.AmendmentPercent, SUMPRODUCT(_xlpm.AmountApplied * _xlpm.AmendmentPercent))</definedName>
    <definedName name="Fertiliser_InputFunctions.Fertiliser_TotalSoilAmendmentApplied" localSheetId="19">_xlfn.LAMBDA(_xlpm.AmountApplied,_xlpm.AmendmentPercent, SUMPRODUCT(_xlpm.AmountApplied * _xlpm.AmendmentPercent))</definedName>
    <definedName name="Fertiliser_InputFunctions.Fertiliser_TotalSoilAmendmentApplied" localSheetId="20">_xlfn.LAMBDA(_xlpm.AmountApplied,_xlpm.AmendmentPercent, SUMPRODUCT(_xlpm.AmountApplied * _xlpm.AmendmentPercent))</definedName>
    <definedName name="Fertiliser_InputFunctions.Fertiliser_TotalSoilAmendmentApplied" localSheetId="21">_xlfn.LAMBDA(_xlpm.AmountApplied,_xlpm.AmendmentPercent, SUMPRODUCT(_xlpm.AmountApplied * _xlpm.AmendmentPercent))</definedName>
    <definedName name="Fertiliser_InputFunctions.Fertiliser_TotalSoilAmendmentApplied" localSheetId="22">_xlfn.LAMBDA(_xlpm.AmountApplied,_xlpm.AmendmentPercent, SUMPRODUCT(_xlpm.AmountApplied * _xlpm.AmendmentPercent))</definedName>
    <definedName name="Fertiliser_InputFunctions.Fertiliser_TotalSoilAmendmentApplied" localSheetId="27">_xlfn.LAMBDA(_xlpm.AmountApplied,_xlpm.AmendmentPercent, SUMPRODUCT(_xlpm.AmountApplied * _xlpm.AmendmentPercent))</definedName>
    <definedName name="Fertiliser_InputFunctions.Fertiliser_TotalSoilAmendmentApplied" localSheetId="30">_xlfn.LAMBDA(_xlpm.AmountApplied,_xlpm.AmendmentPercent, SUMPRODUCT(_xlpm.AmountApplied * _xlpm.AmendmentPercent))</definedName>
    <definedName name="Fertiliser_InputFunctions.Fertiliser_TotalSoilAmendmentApplied" localSheetId="6">_xlfn.LAMBDA(_xlpm.AmountApplied,_xlpm.AmendmentPercent, SUMPRODUCT(_xlpm.AmountApplied * _xlpm.AmendmentPercent))</definedName>
    <definedName name="Fertiliser_InputFunctions.Fertiliser_TotalSoilAmendmentApplied" localSheetId="34">_xlfn.LAMBDA(_xlpm.AmountApplied,_xlpm.AmendmentPercent, SUMPRODUCT(_xlpm.AmountApplied * _xlpm.AmendmentPercent))</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15">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6">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7">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8">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19">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20">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30">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 localSheetId="34">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 localSheetId="15">_xlfn.LAMBDA(("Table A.2.2.3: Fraction of nitrogen in common inorganic fertilisers (kgN/kg) (FNorganic,f) AND Table A.2.2.4: Fraction of urea in common inorganic fertilisers (kg urea/kg) (FUf)"))</definedName>
    <definedName name="Fertiliser_SourceData.Fertiliser_ChemicalCompoundElements_Source" localSheetId="16">_xlfn.LAMBDA(("Table A.2.2.3: Fraction of nitrogen in common inorganic fertilisers (kgN/kg) (FNorganic,f) AND Table A.2.2.4: Fraction of urea in common inorganic fertilisers (kg urea/kg) (FUf)"))</definedName>
    <definedName name="Fertiliser_SourceData.Fertiliser_ChemicalCompoundElements_Source" localSheetId="17">_xlfn.LAMBDA(("Table A.2.2.3: Fraction of nitrogen in common inorganic fertilisers (kgN/kg) (FNorganic,f) AND Table A.2.2.4: Fraction of urea in common inorganic fertilisers (kg urea/kg) (FUf)"))</definedName>
    <definedName name="Fertiliser_SourceData.Fertiliser_ChemicalCompoundElements_Source" localSheetId="18">_xlfn.LAMBDA(("Table A.2.2.3: Fraction of nitrogen in common inorganic fertilisers (kgN/kg) (FNorganic,f) AND Table A.2.2.4: Fraction of urea in common inorganic fertilisers (kg urea/kg) (FUf)"))</definedName>
    <definedName name="Fertiliser_SourceData.Fertiliser_ChemicalCompoundElements_Source" localSheetId="19">_xlfn.LAMBDA(("Table A.2.2.3: Fraction of nitrogen in common inorganic fertilisers (kgN/kg) (FNorganic,f) AND Table A.2.2.4: Fraction of urea in common inorganic fertilisers (kg urea/kg) (FUf)"))</definedName>
    <definedName name="Fertiliser_SourceData.Fertiliser_ChemicalCompoundElements_Source" localSheetId="20">_xlfn.LAMBDA(("Table A.2.2.3: Fraction of nitrogen in common inorganic fertilisers (kgN/kg) (FNorganic,f) AND Table A.2.2.4: Fraction of urea in common inorganic fertilisers (kg urea/kg) (FUf)"))</definedName>
    <definedName name="Fertiliser_SourceData.Fertiliser_ChemicalCompoundElements_Source" localSheetId="30">_xlfn.LAMBDA(("Table A.2.2.3: Fraction of nitrogen in common inorganic fertilisers (kgN/kg) (FNorganic,f) AND Table A.2.2.4: Fraction of urea in common inorganic fertilisers (kg urea/kg) (FUf)"))</definedName>
    <definedName name="Fertiliser_SourceData.Fertiliser_ChemicalCompoundElements_Source" localSheetId="34">_xlfn.LAMBDA(("Table A.2.2.3: Fraction of nitrogen in common inorganic fertilisers (kgN/kg) (FNorganic,f) AND Table A.2.2.4: Fraction of urea in common inorganic fertilisers (kg urea/kg) (FUf)"))</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 localSheetId="15">_xlfn.LAMBDA(("Common inorganic fertilisers"))</definedName>
    <definedName name="Fertiliser_SourceData.Fertiliser_ChemicalCompoundElements_Title" localSheetId="16">_xlfn.LAMBDA(("Common inorganic fertilisers"))</definedName>
    <definedName name="Fertiliser_SourceData.Fertiliser_ChemicalCompoundElements_Title" localSheetId="17">_xlfn.LAMBDA(("Common inorganic fertilisers"))</definedName>
    <definedName name="Fertiliser_SourceData.Fertiliser_ChemicalCompoundElements_Title" localSheetId="18">_xlfn.LAMBDA(("Common inorganic fertilisers"))</definedName>
    <definedName name="Fertiliser_SourceData.Fertiliser_ChemicalCompoundElements_Title" localSheetId="19">_xlfn.LAMBDA(("Common inorganic fertilisers"))</definedName>
    <definedName name="Fertiliser_SourceData.Fertiliser_ChemicalCompoundElements_Title" localSheetId="20">_xlfn.LAMBDA(("Common inorganic fertilisers"))</definedName>
    <definedName name="Fertiliser_SourceData.Fertiliser_ChemicalCompoundElements_Title" localSheetId="30">_xlfn.LAMBDA(("Common inorganic fertilisers"))</definedName>
    <definedName name="Fertiliser_SourceData.Fertiliser_ChemicalCompoundElements_Title" localSheetId="34">_xlfn.LAMBDA(("Common inorganic fertilisers"))</definedName>
    <definedName name="Fertiliser_SourceData.Fertiliser_ChemicalCompoundElements_Title">_xlfn.LAMBDA(("Common inorganic fertilisers"))</definedName>
    <definedName name="Fertiliser_SourceData.Fertiliser_ChemicalCompoundElements_Variation" localSheetId="15">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6">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7">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8">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19">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20">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30">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 localSheetId="34">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 localSheetId="15">_xlfn.LAMBDA(0.011)</definedName>
    <definedName name="Fertiliser_SourceData.Fertiliser_EFLeach_Data" localSheetId="16">_xlfn.LAMBDA(0.011)</definedName>
    <definedName name="Fertiliser_SourceData.Fertiliser_EFLeach_Data" localSheetId="17">_xlfn.LAMBDA(0.011)</definedName>
    <definedName name="Fertiliser_SourceData.Fertiliser_EFLeach_Data" localSheetId="18">_xlfn.LAMBDA(0.011)</definedName>
    <definedName name="Fertiliser_SourceData.Fertiliser_EFLeach_Data" localSheetId="19">_xlfn.LAMBDA(0.011)</definedName>
    <definedName name="Fertiliser_SourceData.Fertiliser_EFLeach_Data" localSheetId="20">_xlfn.LAMBDA(0.011)</definedName>
    <definedName name="Fertiliser_SourceData.Fertiliser_EFLeach_Data" localSheetId="30">_xlfn.LAMBDA(0.011)</definedName>
    <definedName name="Fertiliser_SourceData.Fertiliser_EFLeach_Data" localSheetId="34">_xlfn.LAMBDA(0.011)</definedName>
    <definedName name="Fertiliser_SourceData.Fertiliser_EFLeach_Data">_xlfn.LAMBDA(0.011)</definedName>
    <definedName name="Fertiliser_SourceData.Fertiliser_EFLeach_Source" localSheetId="15">_xlfn.LAMBDA(("VEERG 2026: 5.5.2.3 Constant Parameters"))</definedName>
    <definedName name="Fertiliser_SourceData.Fertiliser_EFLeach_Source" localSheetId="16">_xlfn.LAMBDA(("VEERG 2026: 5.5.2.3 Constant Parameters"))</definedName>
    <definedName name="Fertiliser_SourceData.Fertiliser_EFLeach_Source" localSheetId="17">_xlfn.LAMBDA(("VEERG 2026: 5.5.2.3 Constant Parameters"))</definedName>
    <definedName name="Fertiliser_SourceData.Fertiliser_EFLeach_Source" localSheetId="18">_xlfn.LAMBDA(("VEERG 2026: 5.5.2.3 Constant Parameters"))</definedName>
    <definedName name="Fertiliser_SourceData.Fertiliser_EFLeach_Source" localSheetId="19">_xlfn.LAMBDA(("VEERG 2026: 5.5.2.3 Constant Parameters"))</definedName>
    <definedName name="Fertiliser_SourceData.Fertiliser_EFLeach_Source" localSheetId="20">_xlfn.LAMBDA(("VEERG 2026: 5.5.2.3 Constant Parameters"))</definedName>
    <definedName name="Fertiliser_SourceData.Fertiliser_EFLeach_Source" localSheetId="30">_xlfn.LAMBDA(("VEERG 2026: 5.5.2.3 Constant Parameters"))</definedName>
    <definedName name="Fertiliser_SourceData.Fertiliser_EFLeach_Source" localSheetId="34">_xlfn.LAMBDA(("VEERG 2026: 5.5.2.3 Constant Parameters"))</definedName>
    <definedName name="Fertiliser_SourceData.Fertiliser_EFLeach_Source">_xlfn.LAMBDA(("VEERG 2026: 5.5.2.3 Constant Parameters"))</definedName>
    <definedName name="Fertiliser_SourceData.Fertiliser_EFLeach_Title" localSheetId="15">_xlfn.LAMBDA(("Emission factor for nitrogen leaching and runoff"))</definedName>
    <definedName name="Fertiliser_SourceData.Fertiliser_EFLeach_Title" localSheetId="16">_xlfn.LAMBDA(("Emission factor for nitrogen leaching and runoff"))</definedName>
    <definedName name="Fertiliser_SourceData.Fertiliser_EFLeach_Title" localSheetId="17">_xlfn.LAMBDA(("Emission factor for nitrogen leaching and runoff"))</definedName>
    <definedName name="Fertiliser_SourceData.Fertiliser_EFLeach_Title" localSheetId="18">_xlfn.LAMBDA(("Emission factor for nitrogen leaching and runoff"))</definedName>
    <definedName name="Fertiliser_SourceData.Fertiliser_EFLeach_Title" localSheetId="19">_xlfn.LAMBDA(("Emission factor for nitrogen leaching and runoff"))</definedName>
    <definedName name="Fertiliser_SourceData.Fertiliser_EFLeach_Title" localSheetId="20">_xlfn.LAMBDA(("Emission factor for nitrogen leaching and runoff"))</definedName>
    <definedName name="Fertiliser_SourceData.Fertiliser_EFLeach_Title" localSheetId="30">_xlfn.LAMBDA(("Emission factor for nitrogen leaching and runoff"))</definedName>
    <definedName name="Fertiliser_SourceData.Fertiliser_EFLeach_Title" localSheetId="34">_xlfn.LAMBDA(("Emission factor for nitrogen leaching and runoff"))</definedName>
    <definedName name="Fertiliser_SourceData.Fertiliser_EFLeach_Title">_xlfn.LAMBDA(("Emission factor for nitrogen leaching and runoff"))</definedName>
    <definedName name="Fertiliser_SourceData.Fertiliser_EFLeach_Unit" localSheetId="15">_xlfn.LAMBDA(("kg N2O-N / kg N"))</definedName>
    <definedName name="Fertiliser_SourceData.Fertiliser_EFLeach_Unit" localSheetId="16">_xlfn.LAMBDA(("kg N2O-N / kg N"))</definedName>
    <definedName name="Fertiliser_SourceData.Fertiliser_EFLeach_Unit" localSheetId="17">_xlfn.LAMBDA(("kg N2O-N / kg N"))</definedName>
    <definedName name="Fertiliser_SourceData.Fertiliser_EFLeach_Unit" localSheetId="18">_xlfn.LAMBDA(("kg N2O-N / kg N"))</definedName>
    <definedName name="Fertiliser_SourceData.Fertiliser_EFLeach_Unit" localSheetId="19">_xlfn.LAMBDA(("kg N2O-N / kg N"))</definedName>
    <definedName name="Fertiliser_SourceData.Fertiliser_EFLeach_Unit" localSheetId="20">_xlfn.LAMBDA(("kg N2O-N / kg N"))</definedName>
    <definedName name="Fertiliser_SourceData.Fertiliser_EFLeach_Unit" localSheetId="30">_xlfn.LAMBDA(("kg N2O-N / kg N"))</definedName>
    <definedName name="Fertiliser_SourceData.Fertiliser_EFLeach_Unit" localSheetId="34">_xlfn.LAMBDA(("kg N2O-N / kg N"))</definedName>
    <definedName name="Fertiliser_SourceData.Fertiliser_EFLeach_Unit">_xlfn.LAMBDA(("kg N2O-N / kg N"))</definedName>
    <definedName name="Fertiliser_SourceData.Fertiliser_EFLeach_Variable" localSheetId="15">_xlfn.LAMBDA(("EFLeach"))</definedName>
    <definedName name="Fertiliser_SourceData.Fertiliser_EFLeach_Variable" localSheetId="16">_xlfn.LAMBDA(("EFLeach"))</definedName>
    <definedName name="Fertiliser_SourceData.Fertiliser_EFLeach_Variable" localSheetId="17">_xlfn.LAMBDA(("EFLeach"))</definedName>
    <definedName name="Fertiliser_SourceData.Fertiliser_EFLeach_Variable" localSheetId="18">_xlfn.LAMBDA(("EFLeach"))</definedName>
    <definedName name="Fertiliser_SourceData.Fertiliser_EFLeach_Variable" localSheetId="19">_xlfn.LAMBDA(("EFLeach"))</definedName>
    <definedName name="Fertiliser_SourceData.Fertiliser_EFLeach_Variable" localSheetId="20">_xlfn.LAMBDA(("EFLeach"))</definedName>
    <definedName name="Fertiliser_SourceData.Fertiliser_EFLeach_Variable" localSheetId="30">_xlfn.LAMBDA(("EFLeach"))</definedName>
    <definedName name="Fertiliser_SourceData.Fertiliser_EFLeach_Variable" localSheetId="34">_xlfn.LAMBDA(("EFLeach"))</definedName>
    <definedName name="Fertiliser_SourceData.Fertiliser_EFLeach_Variable">_xlfn.LAMBDA(("EFLeach"))</definedName>
    <definedName name="Fertiliser_SourceData.Fertiliser_EFLeach_Variation" localSheetId="15">_xlfn.LAMBDA("")</definedName>
    <definedName name="Fertiliser_SourceData.Fertiliser_EFLeach_Variation" localSheetId="16">_xlfn.LAMBDA("")</definedName>
    <definedName name="Fertiliser_SourceData.Fertiliser_EFLeach_Variation" localSheetId="17">_xlfn.LAMBDA("")</definedName>
    <definedName name="Fertiliser_SourceData.Fertiliser_EFLeach_Variation" localSheetId="18">_xlfn.LAMBDA("")</definedName>
    <definedName name="Fertiliser_SourceData.Fertiliser_EFLeach_Variation" localSheetId="19">_xlfn.LAMBDA("")</definedName>
    <definedName name="Fertiliser_SourceData.Fertiliser_EFLeach_Variation" localSheetId="20">_xlfn.LAMBDA("")</definedName>
    <definedName name="Fertiliser_SourceData.Fertiliser_EFLeach_Variation" localSheetId="30">_xlfn.LAMBDA("")</definedName>
    <definedName name="Fertiliser_SourceData.Fertiliser_EFLeach_Variation" localSheetId="34">_xlfn.LAMBDA("")</definedName>
    <definedName name="Fertiliser_SourceData.Fertiliser_EFLeach_Variation">_xlfn.LAMBDA("")</definedName>
    <definedName name="Fertiliser_SourceData.Fertiliser_EFUreaCO2_Data" localSheetId="15">_xlfn.LAMBDA(0.2)</definedName>
    <definedName name="Fertiliser_SourceData.Fertiliser_EFUreaCO2_Data" localSheetId="16">_xlfn.LAMBDA(0.2)</definedName>
    <definedName name="Fertiliser_SourceData.Fertiliser_EFUreaCO2_Data" localSheetId="17">_xlfn.LAMBDA(0.2)</definedName>
    <definedName name="Fertiliser_SourceData.Fertiliser_EFUreaCO2_Data" localSheetId="18">_xlfn.LAMBDA(0.2)</definedName>
    <definedName name="Fertiliser_SourceData.Fertiliser_EFUreaCO2_Data" localSheetId="19">_xlfn.LAMBDA(0.2)</definedName>
    <definedName name="Fertiliser_SourceData.Fertiliser_EFUreaCO2_Data" localSheetId="20">_xlfn.LAMBDA(0.2)</definedName>
    <definedName name="Fertiliser_SourceData.Fertiliser_EFUreaCO2_Data" localSheetId="30">_xlfn.LAMBDA(0.2)</definedName>
    <definedName name="Fertiliser_SourceData.Fertiliser_EFUreaCO2_Data" localSheetId="34">_xlfn.LAMBDA(0.2)</definedName>
    <definedName name="Fertiliser_SourceData.Fertiliser_EFUreaCO2_Data">_xlfn.LAMBDA(0.2)</definedName>
    <definedName name="Fertiliser_SourceData.Fertiliser_EFUreaCO2_Source" localSheetId="15">_xlfn.LAMBDA(("VEERG 2026: 5.1.2.2 Constant Parameters"))</definedName>
    <definedName name="Fertiliser_SourceData.Fertiliser_EFUreaCO2_Source" localSheetId="16">_xlfn.LAMBDA(("VEERG 2026: 5.1.2.2 Constant Parameters"))</definedName>
    <definedName name="Fertiliser_SourceData.Fertiliser_EFUreaCO2_Source" localSheetId="17">_xlfn.LAMBDA(("VEERG 2026: 5.1.2.2 Constant Parameters"))</definedName>
    <definedName name="Fertiliser_SourceData.Fertiliser_EFUreaCO2_Source" localSheetId="18">_xlfn.LAMBDA(("VEERG 2026: 5.1.2.2 Constant Parameters"))</definedName>
    <definedName name="Fertiliser_SourceData.Fertiliser_EFUreaCO2_Source" localSheetId="19">_xlfn.LAMBDA(("VEERG 2026: 5.1.2.2 Constant Parameters"))</definedName>
    <definedName name="Fertiliser_SourceData.Fertiliser_EFUreaCO2_Source" localSheetId="20">_xlfn.LAMBDA(("VEERG 2026: 5.1.2.2 Constant Parameters"))</definedName>
    <definedName name="Fertiliser_SourceData.Fertiliser_EFUreaCO2_Source" localSheetId="30">_xlfn.LAMBDA(("VEERG 2026: 5.1.2.2 Constant Parameters"))</definedName>
    <definedName name="Fertiliser_SourceData.Fertiliser_EFUreaCO2_Source" localSheetId="34">_xlfn.LAMBDA(("VEERG 2026: 5.1.2.2 Constant Parameters"))</definedName>
    <definedName name="Fertiliser_SourceData.Fertiliser_EFUreaCO2_Source">_xlfn.LAMBDA(("VEERG 2026: 5.1.2.2 Constant Parameters"))</definedName>
    <definedName name="Fertiliser_SourceData.Fertiliser_EFUreaCO2_Title" localSheetId="15">_xlfn.LAMBDA(("Emission factor for carbon emissions from urea application"))</definedName>
    <definedName name="Fertiliser_SourceData.Fertiliser_EFUreaCO2_Title" localSheetId="16">_xlfn.LAMBDA(("Emission factor for carbon emissions from urea application"))</definedName>
    <definedName name="Fertiliser_SourceData.Fertiliser_EFUreaCO2_Title" localSheetId="17">_xlfn.LAMBDA(("Emission factor for carbon emissions from urea application"))</definedName>
    <definedName name="Fertiliser_SourceData.Fertiliser_EFUreaCO2_Title" localSheetId="18">_xlfn.LAMBDA(("Emission factor for carbon emissions from urea application"))</definedName>
    <definedName name="Fertiliser_SourceData.Fertiliser_EFUreaCO2_Title" localSheetId="19">_xlfn.LAMBDA(("Emission factor for carbon emissions from urea application"))</definedName>
    <definedName name="Fertiliser_SourceData.Fertiliser_EFUreaCO2_Title" localSheetId="20">_xlfn.LAMBDA(("Emission factor for carbon emissions from urea application"))</definedName>
    <definedName name="Fertiliser_SourceData.Fertiliser_EFUreaCO2_Title" localSheetId="30">_xlfn.LAMBDA(("Emission factor for carbon emissions from urea application"))</definedName>
    <definedName name="Fertiliser_SourceData.Fertiliser_EFUreaCO2_Title" localSheetId="34">_xlfn.LAMBDA(("Emission factor for carbon emissions from urea application"))</definedName>
    <definedName name="Fertiliser_SourceData.Fertiliser_EFUreaCO2_Title">_xlfn.LAMBDA(("Emission factor for carbon emissions from urea application"))</definedName>
    <definedName name="Fertiliser_SourceData.Fertiliser_EFUreaCO2_Unit" localSheetId="15">_xlfn.LAMBDA(("kg C/kg urea"))</definedName>
    <definedName name="Fertiliser_SourceData.Fertiliser_EFUreaCO2_Unit" localSheetId="16">_xlfn.LAMBDA(("kg C/kg urea"))</definedName>
    <definedName name="Fertiliser_SourceData.Fertiliser_EFUreaCO2_Unit" localSheetId="17">_xlfn.LAMBDA(("kg C/kg urea"))</definedName>
    <definedName name="Fertiliser_SourceData.Fertiliser_EFUreaCO2_Unit" localSheetId="18">_xlfn.LAMBDA(("kg C/kg urea"))</definedName>
    <definedName name="Fertiliser_SourceData.Fertiliser_EFUreaCO2_Unit" localSheetId="19">_xlfn.LAMBDA(("kg C/kg urea"))</definedName>
    <definedName name="Fertiliser_SourceData.Fertiliser_EFUreaCO2_Unit" localSheetId="20">_xlfn.LAMBDA(("kg C/kg urea"))</definedName>
    <definedName name="Fertiliser_SourceData.Fertiliser_EFUreaCO2_Unit" localSheetId="30">_xlfn.LAMBDA(("kg C/kg urea"))</definedName>
    <definedName name="Fertiliser_SourceData.Fertiliser_EFUreaCO2_Unit" localSheetId="34">_xlfn.LAMBDA(("kg C/kg urea"))</definedName>
    <definedName name="Fertiliser_SourceData.Fertiliser_EFUreaCO2_Unit">_xlfn.LAMBDA(("kg C/kg urea"))</definedName>
    <definedName name="Fertiliser_SourceData.Fertiliser_EFUreaCO2_Variable" localSheetId="15">_xlfn.LAMBDA(("EFureaCO2"))</definedName>
    <definedName name="Fertiliser_SourceData.Fertiliser_EFUreaCO2_Variable" localSheetId="16">_xlfn.LAMBDA(("EFureaCO2"))</definedName>
    <definedName name="Fertiliser_SourceData.Fertiliser_EFUreaCO2_Variable" localSheetId="17">_xlfn.LAMBDA(("EFureaCO2"))</definedName>
    <definedName name="Fertiliser_SourceData.Fertiliser_EFUreaCO2_Variable" localSheetId="18">_xlfn.LAMBDA(("EFureaCO2"))</definedName>
    <definedName name="Fertiliser_SourceData.Fertiliser_EFUreaCO2_Variable" localSheetId="19">_xlfn.LAMBDA(("EFureaCO2"))</definedName>
    <definedName name="Fertiliser_SourceData.Fertiliser_EFUreaCO2_Variable" localSheetId="20">_xlfn.LAMBDA(("EFureaCO2"))</definedName>
    <definedName name="Fertiliser_SourceData.Fertiliser_EFUreaCO2_Variable" localSheetId="30">_xlfn.LAMBDA(("EFureaCO2"))</definedName>
    <definedName name="Fertiliser_SourceData.Fertiliser_EFUreaCO2_Variable" localSheetId="34">_xlfn.LAMBDA(("EFureaCO2"))</definedName>
    <definedName name="Fertiliser_SourceData.Fertiliser_EFUreaCO2_Variable">_xlfn.LAMBDA(("EFureaCO2"))</definedName>
    <definedName name="Fertiliser_SourceData.Fertiliser_EFUreaCO2_Variation" localSheetId="15">_xlfn.LAMBDA("")</definedName>
    <definedName name="Fertiliser_SourceData.Fertiliser_EFUreaCO2_Variation" localSheetId="16">_xlfn.LAMBDA("")</definedName>
    <definedName name="Fertiliser_SourceData.Fertiliser_EFUreaCO2_Variation" localSheetId="17">_xlfn.LAMBDA("")</definedName>
    <definedName name="Fertiliser_SourceData.Fertiliser_EFUreaCO2_Variation" localSheetId="18">_xlfn.LAMBDA("")</definedName>
    <definedName name="Fertiliser_SourceData.Fertiliser_EFUreaCO2_Variation" localSheetId="19">_xlfn.LAMBDA("")</definedName>
    <definedName name="Fertiliser_SourceData.Fertiliser_EFUreaCO2_Variation" localSheetId="20">_xlfn.LAMBDA("")</definedName>
    <definedName name="Fertiliser_SourceData.Fertiliser_EFUreaCO2_Variation" localSheetId="30">_xlfn.LAMBDA("")</definedName>
    <definedName name="Fertiliser_SourceData.Fertiliser_EFUreaCO2_Variation" localSheetId="34">_xlfn.LAMBDA("")</definedName>
    <definedName name="Fertiliser_SourceData.Fertiliser_EFUreaCO2_Variation">_xlfn.LAMBDA("")</definedName>
    <definedName name="Fertiliser_SourceData.Fertiliser_FracGASF_Data" localSheetId="15">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6">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7">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8">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19">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20">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30">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 localSheetId="34">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NH3â€“N + NOxâ€“N)/kg N) (FracGASFf)"))</definedName>
    <definedName name="Fertiliser_SourceData.Fertiliser_FracGASF_Title" localSheetId="15">_xlfn.LAMBDA(("Fraction of inorganic fertiliser that volatilises as NH3 and NOx"))</definedName>
    <definedName name="Fertiliser_SourceData.Fertiliser_FracGASF_Title" localSheetId="16">_xlfn.LAMBDA(("Fraction of inorganic fertiliser that volatilises as NH3 and NOx"))</definedName>
    <definedName name="Fertiliser_SourceData.Fertiliser_FracGASF_Title" localSheetId="17">_xlfn.LAMBDA(("Fraction of inorganic fertiliser that volatilises as NH3 and NOx"))</definedName>
    <definedName name="Fertiliser_SourceData.Fertiliser_FracGASF_Title" localSheetId="18">_xlfn.LAMBDA(("Fraction of inorganic fertiliser that volatilises as NH3 and NOx"))</definedName>
    <definedName name="Fertiliser_SourceData.Fertiliser_FracGASF_Title" localSheetId="19">_xlfn.LAMBDA(("Fraction of inorganic fertiliser that volatilises as NH3 and NOx"))</definedName>
    <definedName name="Fertiliser_SourceData.Fertiliser_FracGASF_Title" localSheetId="20">_xlfn.LAMBDA(("Fraction of inorganic fertiliser that volatilises as NH3 and NOx"))</definedName>
    <definedName name="Fertiliser_SourceData.Fertiliser_FracGASF_Title" localSheetId="30">_xlfn.LAMBDA(("Fraction of inorganic fertiliser that volatilises as NH3 and NOx"))</definedName>
    <definedName name="Fertiliser_SourceData.Fertiliser_FracGASF_Title" localSheetId="34">_xlfn.LAMBDA(("Fraction of inorganic fertiliser that volatilises as NH3 and NOx"))</definedName>
    <definedName name="Fertiliser_SourceData.Fertiliser_FracGASF_Title">_xlfn.LAMBDA(("Fraction of inorganic fertiliser that volatilises as NH3 and NOx"))</definedName>
    <definedName name="Fertiliser_SourceData.Fertiliser_FracGASF_Variation" localSheetId="15">_xlfn.LAMBDA("")</definedName>
    <definedName name="Fertiliser_SourceData.Fertiliser_FracGASF_Variation" localSheetId="16">_xlfn.LAMBDA("")</definedName>
    <definedName name="Fertiliser_SourceData.Fertiliser_FracGASF_Variation" localSheetId="17">_xlfn.LAMBDA("")</definedName>
    <definedName name="Fertiliser_SourceData.Fertiliser_FracGASF_Variation" localSheetId="18">_xlfn.LAMBDA("")</definedName>
    <definedName name="Fertiliser_SourceData.Fertiliser_FracGASF_Variation" localSheetId="19">_xlfn.LAMBDA("")</definedName>
    <definedName name="Fertiliser_SourceData.Fertiliser_FracGASF_Variation" localSheetId="20">_xlfn.LAMBDA("")</definedName>
    <definedName name="Fertiliser_SourceData.Fertiliser_FracGASF_Variation" localSheetId="30">_xlfn.LAMBDA("")</definedName>
    <definedName name="Fertiliser_SourceData.Fertiliser_FracGASF_Variation" localSheetId="34">_xlfn.LAMBDA("")</definedName>
    <definedName name="Fertiliser_SourceData.Fertiliser_FracGASF_Variation">_xlfn.LAMBDA("")</definedName>
    <definedName name="Fertiliser_SourceData.Fertiliser_FracGASMSoil_Data" localSheetId="15">_xlfn.LAMBDA(0.21)</definedName>
    <definedName name="Fertiliser_SourceData.Fertiliser_FracGASMSoil_Data" localSheetId="16">_xlfn.LAMBDA(0.21)</definedName>
    <definedName name="Fertiliser_SourceData.Fertiliser_FracGASMSoil_Data" localSheetId="17">_xlfn.LAMBDA(0.21)</definedName>
    <definedName name="Fertiliser_SourceData.Fertiliser_FracGASMSoil_Data" localSheetId="18">_xlfn.LAMBDA(0.21)</definedName>
    <definedName name="Fertiliser_SourceData.Fertiliser_FracGASMSoil_Data" localSheetId="19">_xlfn.LAMBDA(0.21)</definedName>
    <definedName name="Fertiliser_SourceData.Fertiliser_FracGASMSoil_Data" localSheetId="20">_xlfn.LAMBDA(0.21)</definedName>
    <definedName name="Fertiliser_SourceData.Fertiliser_FracGASMSoil_Data" localSheetId="30">_xlfn.LAMBDA(0.21)</definedName>
    <definedName name="Fertiliser_SourceData.Fertiliser_FracGASMSoil_Data" localSheetId="34">_xlfn.LAMBDA(0.21)</definedName>
    <definedName name="Fertiliser_SourceData.Fertiliser_FracGASMSoil_Data">_xlfn.LAMBDA(0.21)</definedName>
    <definedName name="Fertiliser_SourceData.Fertiliser_FracGASMSoil_Source" localSheetId="15">_xlfn.LAMBDA(("VEERG 2026: 5.4.2.3 Constant Parameters"))</definedName>
    <definedName name="Fertiliser_SourceData.Fertiliser_FracGASMSoil_Source" localSheetId="16">_xlfn.LAMBDA(("VEERG 2026: 5.4.2.3 Constant Parameters"))</definedName>
    <definedName name="Fertiliser_SourceData.Fertiliser_FracGASMSoil_Source" localSheetId="17">_xlfn.LAMBDA(("VEERG 2026: 5.4.2.3 Constant Parameters"))</definedName>
    <definedName name="Fertiliser_SourceData.Fertiliser_FracGASMSoil_Source" localSheetId="18">_xlfn.LAMBDA(("VEERG 2026: 5.4.2.3 Constant Parameters"))</definedName>
    <definedName name="Fertiliser_SourceData.Fertiliser_FracGASMSoil_Source" localSheetId="19">_xlfn.LAMBDA(("VEERG 2026: 5.4.2.3 Constant Parameters"))</definedName>
    <definedName name="Fertiliser_SourceData.Fertiliser_FracGASMSoil_Source" localSheetId="20">_xlfn.LAMBDA(("VEERG 2026: 5.4.2.3 Constant Parameters"))</definedName>
    <definedName name="Fertiliser_SourceData.Fertiliser_FracGASMSoil_Source" localSheetId="30">_xlfn.LAMBDA(("VEERG 2026: 5.4.2.3 Constant Parameters"))</definedName>
    <definedName name="Fertiliser_SourceData.Fertiliser_FracGASMSoil_Source" localSheetId="34">_xlfn.LAMBDA(("VEERG 2026: 5.4.2.3 Constant Parameters"))</definedName>
    <definedName name="Fertiliser_SourceData.Fertiliser_FracGASMSoil_Source">_xlfn.LAMBDA(("VEERG 2026: 5.4.2.3 Constant Parameters"))</definedName>
    <definedName name="Fertiliser_SourceData.Fertiliser_FracGASMSoil_Title" localSheetId="15">_xlfn.LAMBDA(("Fraction of organic fertiliser that volatilises as NH3 and NOx"))</definedName>
    <definedName name="Fertiliser_SourceData.Fertiliser_FracGASMSoil_Title" localSheetId="16">_xlfn.LAMBDA(("Fraction of organic fertiliser that volatilises as NH3 and NOx"))</definedName>
    <definedName name="Fertiliser_SourceData.Fertiliser_FracGASMSoil_Title" localSheetId="17">_xlfn.LAMBDA(("Fraction of organic fertiliser that volatilises as NH3 and NOx"))</definedName>
    <definedName name="Fertiliser_SourceData.Fertiliser_FracGASMSoil_Title" localSheetId="18">_xlfn.LAMBDA(("Fraction of organic fertiliser that volatilises as NH3 and NOx"))</definedName>
    <definedName name="Fertiliser_SourceData.Fertiliser_FracGASMSoil_Title" localSheetId="19">_xlfn.LAMBDA(("Fraction of organic fertiliser that volatilises as NH3 and NOx"))</definedName>
    <definedName name="Fertiliser_SourceData.Fertiliser_FracGASMSoil_Title" localSheetId="20">_xlfn.LAMBDA(("Fraction of organic fertiliser that volatilises as NH3 and NOx"))</definedName>
    <definedName name="Fertiliser_SourceData.Fertiliser_FracGASMSoil_Title" localSheetId="30">_xlfn.LAMBDA(("Fraction of organic fertiliser that volatilises as NH3 and NOx"))</definedName>
    <definedName name="Fertiliser_SourceData.Fertiliser_FracGASMSoil_Title" localSheetId="34">_xlfn.LAMBDA(("Fraction of organic fertiliser that volatilises as NH3 and NOx"))</definedName>
    <definedName name="Fertiliser_SourceData.Fertiliser_FracGASMSoil_Title">_xlfn.LAMBDA(("Fraction of organic fertiliser that volatilises as NH3 and NOx"))</definedName>
    <definedName name="Fertiliser_SourceData.Fertiliser_FracGASMSoil_Unit" localSheetId="15">_xlfn.LAMBDA(("(kg NH3-N + NOx-N)/kg N"))</definedName>
    <definedName name="Fertiliser_SourceData.Fertiliser_FracGASMSoil_Unit" localSheetId="16">_xlfn.LAMBDA(("(kg NH3-N + NOx-N)/kg N"))</definedName>
    <definedName name="Fertiliser_SourceData.Fertiliser_FracGASMSoil_Unit" localSheetId="17">_xlfn.LAMBDA(("(kg NH3-N + NOx-N)/kg N"))</definedName>
    <definedName name="Fertiliser_SourceData.Fertiliser_FracGASMSoil_Unit" localSheetId="18">_xlfn.LAMBDA(("(kg NH3-N + NOx-N)/kg N"))</definedName>
    <definedName name="Fertiliser_SourceData.Fertiliser_FracGASMSoil_Unit" localSheetId="19">_xlfn.LAMBDA(("(kg NH3-N + NOx-N)/kg N"))</definedName>
    <definedName name="Fertiliser_SourceData.Fertiliser_FracGASMSoil_Unit" localSheetId="20">_xlfn.LAMBDA(("(kg NH3-N + NOx-N)/kg N"))</definedName>
    <definedName name="Fertiliser_SourceData.Fertiliser_FracGASMSoil_Unit" localSheetId="30">_xlfn.LAMBDA(("(kg NH3-N + NOx-N)/kg N"))</definedName>
    <definedName name="Fertiliser_SourceData.Fertiliser_FracGASMSoil_Unit" localSheetId="34">_xlfn.LAMBDA(("(kg NH3-N + NOx-N)/kg N"))</definedName>
    <definedName name="Fertiliser_SourceData.Fertiliser_FracGASMSoil_Unit">_xlfn.LAMBDA(("(kg NH3-N + NOx-N)/kg N"))</definedName>
    <definedName name="Fertiliser_SourceData.Fertiliser_FracGASMSoil_Variable" localSheetId="15">_xlfn.LAMBDA(("FracGASMsoil"))</definedName>
    <definedName name="Fertiliser_SourceData.Fertiliser_FracGASMSoil_Variable" localSheetId="16">_xlfn.LAMBDA(("FracGASMsoil"))</definedName>
    <definedName name="Fertiliser_SourceData.Fertiliser_FracGASMSoil_Variable" localSheetId="17">_xlfn.LAMBDA(("FracGASMsoil"))</definedName>
    <definedName name="Fertiliser_SourceData.Fertiliser_FracGASMSoil_Variable" localSheetId="18">_xlfn.LAMBDA(("FracGASMsoil"))</definedName>
    <definedName name="Fertiliser_SourceData.Fertiliser_FracGASMSoil_Variable" localSheetId="19">_xlfn.LAMBDA(("FracGASMsoil"))</definedName>
    <definedName name="Fertiliser_SourceData.Fertiliser_FracGASMSoil_Variable" localSheetId="20">_xlfn.LAMBDA(("FracGASMsoil"))</definedName>
    <definedName name="Fertiliser_SourceData.Fertiliser_FracGASMSoil_Variable" localSheetId="30">_xlfn.LAMBDA(("FracGASMsoil"))</definedName>
    <definedName name="Fertiliser_SourceData.Fertiliser_FracGASMSoil_Variable" localSheetId="34">_xlfn.LAMBDA(("FracGASMsoil"))</definedName>
    <definedName name="Fertiliser_SourceData.Fertiliser_FracGASMSoil_Variable">_xlfn.LAMBDA(("FracGASMsoil"))</definedName>
    <definedName name="Fertiliser_SourceData.Fertiliser_FracGASMSoil_Variation" localSheetId="15">_xlfn.LAMBDA("")</definedName>
    <definedName name="Fertiliser_SourceData.Fertiliser_FracGASMSoil_Variation" localSheetId="16">_xlfn.LAMBDA("")</definedName>
    <definedName name="Fertiliser_SourceData.Fertiliser_FracGASMSoil_Variation" localSheetId="17">_xlfn.LAMBDA("")</definedName>
    <definedName name="Fertiliser_SourceData.Fertiliser_FracGASMSoil_Variation" localSheetId="18">_xlfn.LAMBDA("")</definedName>
    <definedName name="Fertiliser_SourceData.Fertiliser_FracGASMSoil_Variation" localSheetId="19">_xlfn.LAMBDA("")</definedName>
    <definedName name="Fertiliser_SourceData.Fertiliser_FracGASMSoil_Variation" localSheetId="20">_xlfn.LAMBDA("")</definedName>
    <definedName name="Fertiliser_SourceData.Fertiliser_FracGASMSoil_Variation" localSheetId="30">_xlfn.LAMBDA("")</definedName>
    <definedName name="Fertiliser_SourceData.Fertiliser_FracGASMSoil_Variation" localSheetId="34">_xlfn.LAMBDA("")</definedName>
    <definedName name="Fertiliser_SourceData.Fertiliser_FracGASMSoil_Variation">_xlfn.LAMBDA("")</definedName>
    <definedName name="Fertiliser_SourceData.Fertiliser_FracLEACH_Data" localSheetId="15">_xlfn.LAMBDA(0.24)</definedName>
    <definedName name="Fertiliser_SourceData.Fertiliser_FracLEACH_Data" localSheetId="16">_xlfn.LAMBDA(0.24)</definedName>
    <definedName name="Fertiliser_SourceData.Fertiliser_FracLEACH_Data" localSheetId="17">_xlfn.LAMBDA(0.24)</definedName>
    <definedName name="Fertiliser_SourceData.Fertiliser_FracLEACH_Data" localSheetId="18">_xlfn.LAMBDA(0.24)</definedName>
    <definedName name="Fertiliser_SourceData.Fertiliser_FracLEACH_Data" localSheetId="19">_xlfn.LAMBDA(0.24)</definedName>
    <definedName name="Fertiliser_SourceData.Fertiliser_FracLEACH_Data" localSheetId="20">_xlfn.LAMBDA(0.24)</definedName>
    <definedName name="Fertiliser_SourceData.Fertiliser_FracLEACH_Data" localSheetId="30">_xlfn.LAMBDA(0.24)</definedName>
    <definedName name="Fertiliser_SourceData.Fertiliser_FracLEACH_Data" localSheetId="34">_xlfn.LAMBDA(0.24)</definedName>
    <definedName name="Fertiliser_SourceData.Fertiliser_FracLEACH_Data">_xlfn.LAMBDA(0.24)</definedName>
    <definedName name="Fertiliser_SourceData.Fertiliser_FracLEACH_Source" localSheetId="15">_xlfn.LAMBDA(("VEERG 2026: 5.5.2.3 Constant Parameters"))</definedName>
    <definedName name="Fertiliser_SourceData.Fertiliser_FracLEACH_Source" localSheetId="16">_xlfn.LAMBDA(("VEERG 2026: 5.5.2.3 Constant Parameters"))</definedName>
    <definedName name="Fertiliser_SourceData.Fertiliser_FracLEACH_Source" localSheetId="17">_xlfn.LAMBDA(("VEERG 2026: 5.5.2.3 Constant Parameters"))</definedName>
    <definedName name="Fertiliser_SourceData.Fertiliser_FracLEACH_Source" localSheetId="18">_xlfn.LAMBDA(("VEERG 2026: 5.5.2.3 Constant Parameters"))</definedName>
    <definedName name="Fertiliser_SourceData.Fertiliser_FracLEACH_Source" localSheetId="19">_xlfn.LAMBDA(("VEERG 2026: 5.5.2.3 Constant Parameters"))</definedName>
    <definedName name="Fertiliser_SourceData.Fertiliser_FracLEACH_Source" localSheetId="20">_xlfn.LAMBDA(("VEERG 2026: 5.5.2.3 Constant Parameters"))</definedName>
    <definedName name="Fertiliser_SourceData.Fertiliser_FracLEACH_Source" localSheetId="30">_xlfn.LAMBDA(("VEERG 2026: 5.5.2.3 Constant Parameters"))</definedName>
    <definedName name="Fertiliser_SourceData.Fertiliser_FracLEACH_Source" localSheetId="34">_xlfn.LAMBDA(("VEERG 2026: 5.5.2.3 Constant Parameters"))</definedName>
    <definedName name="Fertiliser_SourceData.Fertiliser_FracLEACH_Source">_xlfn.LAMBDA(("VEERG 2026: 5.5.2.3 Constant Parameters"))</definedName>
    <definedName name="Fertiliser_SourceData.Fertiliser_FracLEACH_Title" localSheetId="15">_xlfn.LAMBDA(("Fraction of nitrogen that is lost through leaching and runoff"))</definedName>
    <definedName name="Fertiliser_SourceData.Fertiliser_FracLEACH_Title" localSheetId="16">_xlfn.LAMBDA(("Fraction of nitrogen that is lost through leaching and runoff"))</definedName>
    <definedName name="Fertiliser_SourceData.Fertiliser_FracLEACH_Title" localSheetId="17">_xlfn.LAMBDA(("Fraction of nitrogen that is lost through leaching and runoff"))</definedName>
    <definedName name="Fertiliser_SourceData.Fertiliser_FracLEACH_Title" localSheetId="18">_xlfn.LAMBDA(("Fraction of nitrogen that is lost through leaching and runoff"))</definedName>
    <definedName name="Fertiliser_SourceData.Fertiliser_FracLEACH_Title" localSheetId="19">_xlfn.LAMBDA(("Fraction of nitrogen that is lost through leaching and runoff"))</definedName>
    <definedName name="Fertiliser_SourceData.Fertiliser_FracLEACH_Title" localSheetId="20">_xlfn.LAMBDA(("Fraction of nitrogen that is lost through leaching and runoff"))</definedName>
    <definedName name="Fertiliser_SourceData.Fertiliser_FracLEACH_Title" localSheetId="30">_xlfn.LAMBDA(("Fraction of nitrogen that is lost through leaching and runoff"))</definedName>
    <definedName name="Fertiliser_SourceData.Fertiliser_FracLEACH_Title" localSheetId="34">_xlfn.LAMBDA(("Fraction of nitrogen that is lost through leaching and runoff"))</definedName>
    <definedName name="Fertiliser_SourceData.Fertiliser_FracLEACH_Title">_xlfn.LAMBDA(("Fraction of nitrogen that is lost through leaching and runoff"))</definedName>
    <definedName name="Fertiliser_SourceData.Fertiliser_FracLEACH_Unit" localSheetId="15">_xlfn.LAMBDA(("fraction"))</definedName>
    <definedName name="Fertiliser_SourceData.Fertiliser_FracLEACH_Unit" localSheetId="16">_xlfn.LAMBDA(("fraction"))</definedName>
    <definedName name="Fertiliser_SourceData.Fertiliser_FracLEACH_Unit" localSheetId="17">_xlfn.LAMBDA(("fraction"))</definedName>
    <definedName name="Fertiliser_SourceData.Fertiliser_FracLEACH_Unit" localSheetId="18">_xlfn.LAMBDA(("fraction"))</definedName>
    <definedName name="Fertiliser_SourceData.Fertiliser_FracLEACH_Unit" localSheetId="19">_xlfn.LAMBDA(("fraction"))</definedName>
    <definedName name="Fertiliser_SourceData.Fertiliser_FracLEACH_Unit" localSheetId="20">_xlfn.LAMBDA(("fraction"))</definedName>
    <definedName name="Fertiliser_SourceData.Fertiliser_FracLEACH_Unit" localSheetId="30">_xlfn.LAMBDA(("fraction"))</definedName>
    <definedName name="Fertiliser_SourceData.Fertiliser_FracLEACH_Unit" localSheetId="34">_xlfn.LAMBDA(("fraction"))</definedName>
    <definedName name="Fertiliser_SourceData.Fertiliser_FracLEACH_Unit">_xlfn.LAMBDA(("fraction"))</definedName>
    <definedName name="Fertiliser_SourceData.Fertiliser_FracLEACH_Variable" localSheetId="15">_xlfn.LAMBDA(("FracLEACH"))</definedName>
    <definedName name="Fertiliser_SourceData.Fertiliser_FracLEACH_Variable" localSheetId="16">_xlfn.LAMBDA(("FracLEACH"))</definedName>
    <definedName name="Fertiliser_SourceData.Fertiliser_FracLEACH_Variable" localSheetId="17">_xlfn.LAMBDA(("FracLEACH"))</definedName>
    <definedName name="Fertiliser_SourceData.Fertiliser_FracLEACH_Variable" localSheetId="18">_xlfn.LAMBDA(("FracLEACH"))</definedName>
    <definedName name="Fertiliser_SourceData.Fertiliser_FracLEACH_Variable" localSheetId="19">_xlfn.LAMBDA(("FracLEACH"))</definedName>
    <definedName name="Fertiliser_SourceData.Fertiliser_FracLEACH_Variable" localSheetId="20">_xlfn.LAMBDA(("FracLEACH"))</definedName>
    <definedName name="Fertiliser_SourceData.Fertiliser_FracLEACH_Variable" localSheetId="30">_xlfn.LAMBDA(("FracLEACH"))</definedName>
    <definedName name="Fertiliser_SourceData.Fertiliser_FracLEACH_Variable" localSheetId="34">_xlfn.LAMBDA(("FracLEACH"))</definedName>
    <definedName name="Fertiliser_SourceData.Fertiliser_FracLEACH_Variable">_xlfn.LAMBDA(("FracLEACH"))</definedName>
    <definedName name="Fertiliser_SourceData.Fertiliser_FracLEACH_Variation" localSheetId="15">_xlfn.LAMBDA("")</definedName>
    <definedName name="Fertiliser_SourceData.Fertiliser_FracLEACH_Variation" localSheetId="16">_xlfn.LAMBDA("")</definedName>
    <definedName name="Fertiliser_SourceData.Fertiliser_FracLEACH_Variation" localSheetId="17">_xlfn.LAMBDA("")</definedName>
    <definedName name="Fertiliser_SourceData.Fertiliser_FracLEACH_Variation" localSheetId="18">_xlfn.LAMBDA("")</definedName>
    <definedName name="Fertiliser_SourceData.Fertiliser_FracLEACH_Variation" localSheetId="19">_xlfn.LAMBDA("")</definedName>
    <definedName name="Fertiliser_SourceData.Fertiliser_FracLEACH_Variation" localSheetId="20">_xlfn.LAMBDA("")</definedName>
    <definedName name="Fertiliser_SourceData.Fertiliser_FracLEACH_Variation" localSheetId="30">_xlfn.LAMBDA("")</definedName>
    <definedName name="Fertiliser_SourceData.Fertiliser_FracLEACH_Variation" localSheetId="34">_xlfn.LAMBDA("")</definedName>
    <definedName name="Fertiliser_SourceData.Fertiliser_FracLEACH_Variation">_xlfn.LAMBDA("")</definedName>
    <definedName name="Fertiliser_SourceData.Fertiliser_FractionNCommonFertilisers_Data" localSheetId="15">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6">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7">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8">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19">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20">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30">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 localSheetId="34">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 localSheetId="15">_xlfn.LAMBDA(("VEERG 2026: Table A.2.2.3"))</definedName>
    <definedName name="Fertiliser_SourceData.Fertiliser_FractionNCommonFertilisers_Source" localSheetId="16">_xlfn.LAMBDA(("VEERG 2026: Table A.2.2.3"))</definedName>
    <definedName name="Fertiliser_SourceData.Fertiliser_FractionNCommonFertilisers_Source" localSheetId="17">_xlfn.LAMBDA(("VEERG 2026: Table A.2.2.3"))</definedName>
    <definedName name="Fertiliser_SourceData.Fertiliser_FractionNCommonFertilisers_Source" localSheetId="18">_xlfn.LAMBDA(("VEERG 2026: Table A.2.2.3"))</definedName>
    <definedName name="Fertiliser_SourceData.Fertiliser_FractionNCommonFertilisers_Source" localSheetId="19">_xlfn.LAMBDA(("VEERG 2026: Table A.2.2.3"))</definedName>
    <definedName name="Fertiliser_SourceData.Fertiliser_FractionNCommonFertilisers_Source" localSheetId="20">_xlfn.LAMBDA(("VEERG 2026: Table A.2.2.3"))</definedName>
    <definedName name="Fertiliser_SourceData.Fertiliser_FractionNCommonFertilisers_Source" localSheetId="30">_xlfn.LAMBDA(("VEERG 2026: Table A.2.2.3"))</definedName>
    <definedName name="Fertiliser_SourceData.Fertiliser_FractionNCommonFertilisers_Source" localSheetId="34">_xlfn.LAMBDA(("VEERG 2026: Table A.2.2.3"))</definedName>
    <definedName name="Fertiliser_SourceData.Fertiliser_FractionNCommonFertilisers_Source">_xlfn.LAMBDA(("VEERG 2026: Table A.2.2.3"))</definedName>
    <definedName name="Fertiliser_SourceData.Fertiliser_FractionNCommonFertilisers_Title" localSheetId="15">_xlfn.LAMBDA(("Fraction of nitrogen in common inorganic fertilisers (kgN/kg) (FNorganic,f)"))</definedName>
    <definedName name="Fertiliser_SourceData.Fertiliser_FractionNCommonFertilisers_Title" localSheetId="16">_xlfn.LAMBDA(("Fraction of nitrogen in common inorganic fertilisers (kgN/kg) (FNorganic,f)"))</definedName>
    <definedName name="Fertiliser_SourceData.Fertiliser_FractionNCommonFertilisers_Title" localSheetId="17">_xlfn.LAMBDA(("Fraction of nitrogen in common inorganic fertilisers (kgN/kg) (FNorganic,f)"))</definedName>
    <definedName name="Fertiliser_SourceData.Fertiliser_FractionNCommonFertilisers_Title" localSheetId="18">_xlfn.LAMBDA(("Fraction of nitrogen in common inorganic fertilisers (kgN/kg) (FNorganic,f)"))</definedName>
    <definedName name="Fertiliser_SourceData.Fertiliser_FractionNCommonFertilisers_Title" localSheetId="19">_xlfn.LAMBDA(("Fraction of nitrogen in common inorganic fertilisers (kgN/kg) (FNorganic,f)"))</definedName>
    <definedName name="Fertiliser_SourceData.Fertiliser_FractionNCommonFertilisers_Title" localSheetId="20">_xlfn.LAMBDA(("Fraction of nitrogen in common inorganic fertilisers (kgN/kg) (FNorganic,f)"))</definedName>
    <definedName name="Fertiliser_SourceData.Fertiliser_FractionNCommonFertilisers_Title" localSheetId="30">_xlfn.LAMBDA(("Fraction of nitrogen in common inorganic fertilisers (kgN/kg) (FNorganic,f)"))</definedName>
    <definedName name="Fertiliser_SourceData.Fertiliser_FractionNCommonFertilisers_Title" localSheetId="34">_xlfn.LAMBDA(("Fraction of nitrogen in common inorganic fertilisers (kgN/kg) (FNorganic,f)"))</definedName>
    <definedName name="Fertiliser_SourceData.Fertiliser_FractionNCommonFertilisers_Title">_xlfn.LAMBDA(("Fraction of nitrogen in common inorganic fertilisers (kgN/kg) (FNorganic,f)"))</definedName>
    <definedName name="Fertiliser_SourceData.Fertiliser_FractionNCommonFertilisers_Variation" localSheetId="15">_xlfn.LAMBDA((""))</definedName>
    <definedName name="Fertiliser_SourceData.Fertiliser_FractionNCommonFertilisers_Variation" localSheetId="16">_xlfn.LAMBDA((""))</definedName>
    <definedName name="Fertiliser_SourceData.Fertiliser_FractionNCommonFertilisers_Variation" localSheetId="17">_xlfn.LAMBDA((""))</definedName>
    <definedName name="Fertiliser_SourceData.Fertiliser_FractionNCommonFertilisers_Variation" localSheetId="18">_xlfn.LAMBDA((""))</definedName>
    <definedName name="Fertiliser_SourceData.Fertiliser_FractionNCommonFertilisers_Variation" localSheetId="19">_xlfn.LAMBDA((""))</definedName>
    <definedName name="Fertiliser_SourceData.Fertiliser_FractionNCommonFertilisers_Variation" localSheetId="20">_xlfn.LAMBDA((""))</definedName>
    <definedName name="Fertiliser_SourceData.Fertiliser_FractionNCommonFertilisers_Variation" localSheetId="30">_xlfn.LAMBDA((""))</definedName>
    <definedName name="Fertiliser_SourceData.Fertiliser_FractionNCommonFertilisers_Variation" localSheetId="34">_xlfn.LAMBDA((""))</definedName>
    <definedName name="Fertiliser_SourceData.Fertiliser_FractionNCommonFertilisers_Variation">_xlfn.LAMBDA((""))</definedName>
    <definedName name="Fertiliser_SourceData.Fertiliser_FractionUreaCommonFertilisers_Data" localSheetId="15">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6">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7">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8">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19">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20">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30">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 localSheetId="34">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 localSheetId="15">_xlfn.LAMBDA(("VEERG 2026: Table A.2.2.4"))</definedName>
    <definedName name="Fertiliser_SourceData.Fertiliser_FractionUreaCommonFertilisers_Source" localSheetId="16">_xlfn.LAMBDA(("VEERG 2026: Table A.2.2.4"))</definedName>
    <definedName name="Fertiliser_SourceData.Fertiliser_FractionUreaCommonFertilisers_Source" localSheetId="17">_xlfn.LAMBDA(("VEERG 2026: Table A.2.2.4"))</definedName>
    <definedName name="Fertiliser_SourceData.Fertiliser_FractionUreaCommonFertilisers_Source" localSheetId="18">_xlfn.LAMBDA(("VEERG 2026: Table A.2.2.4"))</definedName>
    <definedName name="Fertiliser_SourceData.Fertiliser_FractionUreaCommonFertilisers_Source" localSheetId="19">_xlfn.LAMBDA(("VEERG 2026: Table A.2.2.4"))</definedName>
    <definedName name="Fertiliser_SourceData.Fertiliser_FractionUreaCommonFertilisers_Source" localSheetId="20">_xlfn.LAMBDA(("VEERG 2026: Table A.2.2.4"))</definedName>
    <definedName name="Fertiliser_SourceData.Fertiliser_FractionUreaCommonFertilisers_Source" localSheetId="30">_xlfn.LAMBDA(("VEERG 2026: Table A.2.2.4"))</definedName>
    <definedName name="Fertiliser_SourceData.Fertiliser_FractionUreaCommonFertilisers_Source" localSheetId="34">_xlfn.LAMBDA(("VEERG 2026: Table A.2.2.4"))</definedName>
    <definedName name="Fertiliser_SourceData.Fertiliser_FractionUreaCommonFertilisers_Source">_xlfn.LAMBDA(("VEERG 2026: Table A.2.2.4"))</definedName>
    <definedName name="Fertiliser_SourceData.Fertiliser_FractionUreaCommonFertilisers_Title" localSheetId="15">_xlfn.LAMBDA(("Fraction of urea in common inorganic fertilisers (kg urea/kg) (FUf)"))</definedName>
    <definedName name="Fertiliser_SourceData.Fertiliser_FractionUreaCommonFertilisers_Title" localSheetId="16">_xlfn.LAMBDA(("Fraction of urea in common inorganic fertilisers (kg urea/kg) (FUf)"))</definedName>
    <definedName name="Fertiliser_SourceData.Fertiliser_FractionUreaCommonFertilisers_Title" localSheetId="17">_xlfn.LAMBDA(("Fraction of urea in common inorganic fertilisers (kg urea/kg) (FUf)"))</definedName>
    <definedName name="Fertiliser_SourceData.Fertiliser_FractionUreaCommonFertilisers_Title" localSheetId="18">_xlfn.LAMBDA(("Fraction of urea in common inorganic fertilisers (kg urea/kg) (FUf)"))</definedName>
    <definedName name="Fertiliser_SourceData.Fertiliser_FractionUreaCommonFertilisers_Title" localSheetId="19">_xlfn.LAMBDA(("Fraction of urea in common inorganic fertilisers (kg urea/kg) (FUf)"))</definedName>
    <definedName name="Fertiliser_SourceData.Fertiliser_FractionUreaCommonFertilisers_Title" localSheetId="20">_xlfn.LAMBDA(("Fraction of urea in common inorganic fertilisers (kg urea/kg) (FUf)"))</definedName>
    <definedName name="Fertiliser_SourceData.Fertiliser_FractionUreaCommonFertilisers_Title" localSheetId="30">_xlfn.LAMBDA(("Fraction of urea in common inorganic fertilisers (kg urea/kg) (FUf)"))</definedName>
    <definedName name="Fertiliser_SourceData.Fertiliser_FractionUreaCommonFertilisers_Title" localSheetId="34">_xlfn.LAMBDA(("Fraction of urea in common inorganic fertilisers (kg urea/kg) (FUf)"))</definedName>
    <definedName name="Fertiliser_SourceData.Fertiliser_FractionUreaCommonFertilisers_Title">_xlfn.LAMBDA(("Fraction of urea in common inorganic fertilisers (kg urea/kg) (FUf)"))</definedName>
    <definedName name="Fertiliser_SourceData.Fertiliser_FractionUreaCommonFertilisers_Variation" localSheetId="15">_xlfn.LAMBDA((""))</definedName>
    <definedName name="Fertiliser_SourceData.Fertiliser_FractionUreaCommonFertilisers_Variation" localSheetId="16">_xlfn.LAMBDA((""))</definedName>
    <definedName name="Fertiliser_SourceData.Fertiliser_FractionUreaCommonFertilisers_Variation" localSheetId="17">_xlfn.LAMBDA((""))</definedName>
    <definedName name="Fertiliser_SourceData.Fertiliser_FractionUreaCommonFertilisers_Variation" localSheetId="18">_xlfn.LAMBDA((""))</definedName>
    <definedName name="Fertiliser_SourceData.Fertiliser_FractionUreaCommonFertilisers_Variation" localSheetId="19">_xlfn.LAMBDA((""))</definedName>
    <definedName name="Fertiliser_SourceData.Fertiliser_FractionUreaCommonFertilisers_Variation" localSheetId="20">_xlfn.LAMBDA((""))</definedName>
    <definedName name="Fertiliser_SourceData.Fertiliser_FractionUreaCommonFertilisers_Variation" localSheetId="30">_xlfn.LAMBDA((""))</definedName>
    <definedName name="Fertiliser_SourceData.Fertiliser_FractionUreaCommonFertilisers_Variation" localSheetId="34">_xlfn.LAMBDA((""))</definedName>
    <definedName name="Fertiliser_SourceData.Fertiliser_FractionUreaCommonFertilisers_Variation">_xlfn.LAMBDA((""))</definedName>
    <definedName name="Fertiliser_SourceData.Fertiliser_LimeDolomiteGypsumConstants_Data" localSheetId="15">_xlfn.LAMBDA(_xlfn.MAKEARRAY(4, 3, _xlfn.LAMBDA(_xlpm.r,_xlpm.c, INDEX({"Element","P","EF";"Lime (Calcium carbonate)",0.9,0.12;"Dolomite (Magnesium carbonate)",0.95,0.13;"Gypsum",0,0}, _xlpm.r, _xlpm.c))))</definedName>
    <definedName name="Fertiliser_SourceData.Fertiliser_LimeDolomiteGypsumConstants_Data" localSheetId="16">_xlfn.LAMBDA(_xlfn.MAKEARRAY(4, 3, _xlfn.LAMBDA(_xlpm.r,_xlpm.c, INDEX({"Element","P","EF";"Lime (Calcium carbonate)",0.9,0.12;"Dolomite (Magnesium carbonate)",0.95,0.13;"Gypsum",0,0}, _xlpm.r, _xlpm.c))))</definedName>
    <definedName name="Fertiliser_SourceData.Fertiliser_LimeDolomiteGypsumConstants_Data" localSheetId="17">_xlfn.LAMBDA(_xlfn.MAKEARRAY(4, 3, _xlfn.LAMBDA(_xlpm.r,_xlpm.c, INDEX({"Element","P","EF";"Lime (Calcium carbonate)",0.9,0.12;"Dolomite (Magnesium carbonate)",0.95,0.13;"Gypsum",0,0}, _xlpm.r, _xlpm.c))))</definedName>
    <definedName name="Fertiliser_SourceData.Fertiliser_LimeDolomiteGypsumConstants_Data" localSheetId="18">_xlfn.LAMBDA(_xlfn.MAKEARRAY(4, 3, _xlfn.LAMBDA(_xlpm.r,_xlpm.c, INDEX({"Element","P","EF";"Lime (Calcium carbonate)",0.9,0.12;"Dolomite (Magnesium carbonate)",0.95,0.13;"Gypsum",0,0}, _xlpm.r, _xlpm.c))))</definedName>
    <definedName name="Fertiliser_SourceData.Fertiliser_LimeDolomiteGypsumConstants_Data" localSheetId="19">_xlfn.LAMBDA(_xlfn.MAKEARRAY(4, 3, _xlfn.LAMBDA(_xlpm.r,_xlpm.c, INDEX({"Element","P","EF";"Lime (Calcium carbonate)",0.9,0.12;"Dolomite (Magnesium carbonate)",0.95,0.13;"Gypsum",0,0}, _xlpm.r, _xlpm.c))))</definedName>
    <definedName name="Fertiliser_SourceData.Fertiliser_LimeDolomiteGypsumConstants_Data" localSheetId="20">_xlfn.LAMBDA(_xlfn.MAKEARRAY(4, 3, _xlfn.LAMBDA(_xlpm.r,_xlpm.c, INDEX({"Element","P","EF";"Lime (Calcium carbonate)",0.9,0.12;"Dolomite (Magnesium carbonate)",0.95,0.13;"Gypsum",0,0}, _xlpm.r, _xlpm.c))))</definedName>
    <definedName name="Fertiliser_SourceData.Fertiliser_LimeDolomiteGypsumConstants_Data" localSheetId="30">_xlfn.LAMBDA(_xlfn.MAKEARRAY(4, 3, _xlfn.LAMBDA(_xlpm.r,_xlpm.c, INDEX({"Element","P","EF";"Lime (Calcium carbonate)",0.9,0.12;"Dolomite (Magnesium carbonate)",0.95,0.13;"Gypsum",0,0}, _xlpm.r, _xlpm.c))))</definedName>
    <definedName name="Fertiliser_SourceData.Fertiliser_LimeDolomiteGypsumConstants_Data" localSheetId="34">_xlfn.LAMBDA(_xlfn.MAKEARRAY(4, 3, _xlfn.LAMBDA(_xlpm.r,_xlpm.c, INDEX({"Element","P","EF";"Lime (Calcium carbonate)",0.9,0.12;"Dolomite (Magnesium carbonate)",0.95,0.13;"Gypsum",0,0}, _xlpm.r, _xlpm.c))))</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 localSheetId="15">_xlfn.LAMBDA(("Constants for lime, dolomite and gypsum"))</definedName>
    <definedName name="Fertiliser_SourceData.Fertiliser_LimeDolomiteGypsumConstants_Description" localSheetId="16">_xlfn.LAMBDA(("Constants for lime, dolomite and gypsum"))</definedName>
    <definedName name="Fertiliser_SourceData.Fertiliser_LimeDolomiteGypsumConstants_Description" localSheetId="17">_xlfn.LAMBDA(("Constants for lime, dolomite and gypsum"))</definedName>
    <definedName name="Fertiliser_SourceData.Fertiliser_LimeDolomiteGypsumConstants_Description" localSheetId="18">_xlfn.LAMBDA(("Constants for lime, dolomite and gypsum"))</definedName>
    <definedName name="Fertiliser_SourceData.Fertiliser_LimeDolomiteGypsumConstants_Description" localSheetId="19">_xlfn.LAMBDA(("Constants for lime, dolomite and gypsum"))</definedName>
    <definedName name="Fertiliser_SourceData.Fertiliser_LimeDolomiteGypsumConstants_Description" localSheetId="20">_xlfn.LAMBDA(("Constants for lime, dolomite and gypsum"))</definedName>
    <definedName name="Fertiliser_SourceData.Fertiliser_LimeDolomiteGypsumConstants_Description" localSheetId="30">_xlfn.LAMBDA(("Constants for lime, dolomite and gypsum"))</definedName>
    <definedName name="Fertiliser_SourceData.Fertiliser_LimeDolomiteGypsumConstants_Description" localSheetId="34">_xlfn.LAMBDA(("Constants for lime, dolomite and gypsum"))</definedName>
    <definedName name="Fertiliser_SourceData.Fertiliser_LimeDolomiteGypsumConstants_Description">_xlfn.LAMBDA(("Constants for lime, dolomite and gypsum"))</definedName>
    <definedName name="Fertiliser_SourceData.Fertiliser_LimeDolomiteGypsumConstants_Source" localSheetId="15">_xlfn.LAMBDA(("VEERG 2026: 5.3.2.3 Constant Parameters"))</definedName>
    <definedName name="Fertiliser_SourceData.Fertiliser_LimeDolomiteGypsumConstants_Source" localSheetId="16">_xlfn.LAMBDA(("VEERG 2026: 5.3.2.3 Constant Parameters"))</definedName>
    <definedName name="Fertiliser_SourceData.Fertiliser_LimeDolomiteGypsumConstants_Source" localSheetId="17">_xlfn.LAMBDA(("VEERG 2026: 5.3.2.3 Constant Parameters"))</definedName>
    <definedName name="Fertiliser_SourceData.Fertiliser_LimeDolomiteGypsumConstants_Source" localSheetId="18">_xlfn.LAMBDA(("VEERG 2026: 5.3.2.3 Constant Parameters"))</definedName>
    <definedName name="Fertiliser_SourceData.Fertiliser_LimeDolomiteGypsumConstants_Source" localSheetId="19">_xlfn.LAMBDA(("VEERG 2026: 5.3.2.3 Constant Parameters"))</definedName>
    <definedName name="Fertiliser_SourceData.Fertiliser_LimeDolomiteGypsumConstants_Source" localSheetId="20">_xlfn.LAMBDA(("VEERG 2026: 5.3.2.3 Constant Parameters"))</definedName>
    <definedName name="Fertiliser_SourceData.Fertiliser_LimeDolomiteGypsumConstants_Source" localSheetId="30">_xlfn.LAMBDA(("VEERG 2026: 5.3.2.3 Constant Parameters"))</definedName>
    <definedName name="Fertiliser_SourceData.Fertiliser_LimeDolomiteGypsumConstants_Source" localSheetId="34">_xlfn.LAMBDA(("VEERG 2026: 5.3.2.3 Constant Parameters"))</definedName>
    <definedName name="Fertiliser_SourceData.Fertiliser_LimeDolomiteGypsumConstants_Source">_xlfn.LAMBDA(("VEERG 2026: 5.3.2.3 Constant Parameters"))</definedName>
    <definedName name="Fertiliser_SourceData.Fertiliser_LimeDolomiteGypsumConstants_Title" localSheetId="15">_xlfn.LAMBDA(("Constants for lime, dolomite and gypsum"))</definedName>
    <definedName name="Fertiliser_SourceData.Fertiliser_LimeDolomiteGypsumConstants_Title" localSheetId="16">_xlfn.LAMBDA(("Constants for lime, dolomite and gypsum"))</definedName>
    <definedName name="Fertiliser_SourceData.Fertiliser_LimeDolomiteGypsumConstants_Title" localSheetId="17">_xlfn.LAMBDA(("Constants for lime, dolomite and gypsum"))</definedName>
    <definedName name="Fertiliser_SourceData.Fertiliser_LimeDolomiteGypsumConstants_Title" localSheetId="18">_xlfn.LAMBDA(("Constants for lime, dolomite and gypsum"))</definedName>
    <definedName name="Fertiliser_SourceData.Fertiliser_LimeDolomiteGypsumConstants_Title" localSheetId="19">_xlfn.LAMBDA(("Constants for lime, dolomite and gypsum"))</definedName>
    <definedName name="Fertiliser_SourceData.Fertiliser_LimeDolomiteGypsumConstants_Title" localSheetId="20">_xlfn.LAMBDA(("Constants for lime, dolomite and gypsum"))</definedName>
    <definedName name="Fertiliser_SourceData.Fertiliser_LimeDolomiteGypsumConstants_Title" localSheetId="30">_xlfn.LAMBDA(("Constants for lime, dolomite and gypsum"))</definedName>
    <definedName name="Fertiliser_SourceData.Fertiliser_LimeDolomiteGypsumConstants_Title" localSheetId="34">_xlfn.LAMBDA(("Constants for lime, dolomite and gypsum"))</definedName>
    <definedName name="Fertiliser_SourceData.Fertiliser_LimeDolomiteGypsumConstants_Title">_xlfn.LAMBDA(("Constants for lime, dolomite and gypsum"))</definedName>
    <definedName name="Fertiliser_SourceData.Fertiliser_LimeDolomiteGypsumConstants_Variation" localSheetId="15">_xlfn.LAMBDA(("VARIATION FROM SOURCE DATA: Gypsum has been added with placeholder values of 0 for P and EF."))</definedName>
    <definedName name="Fertiliser_SourceData.Fertiliser_LimeDolomiteGypsumConstants_Variation" localSheetId="16">_xlfn.LAMBDA(("VARIATION FROM SOURCE DATA: Gypsum has been added with placeholder values of 0 for P and EF."))</definedName>
    <definedName name="Fertiliser_SourceData.Fertiliser_LimeDolomiteGypsumConstants_Variation" localSheetId="17">_xlfn.LAMBDA(("VARIATION FROM SOURCE DATA: Gypsum has been added with placeholder values of 0 for P and EF."))</definedName>
    <definedName name="Fertiliser_SourceData.Fertiliser_LimeDolomiteGypsumConstants_Variation" localSheetId="18">_xlfn.LAMBDA(("VARIATION FROM SOURCE DATA: Gypsum has been added with placeholder values of 0 for P and EF."))</definedName>
    <definedName name="Fertiliser_SourceData.Fertiliser_LimeDolomiteGypsumConstants_Variation" localSheetId="19">_xlfn.LAMBDA(("VARIATION FROM SOURCE DATA: Gypsum has been added with placeholder values of 0 for P and EF."))</definedName>
    <definedName name="Fertiliser_SourceData.Fertiliser_LimeDolomiteGypsumConstants_Variation" localSheetId="20">_xlfn.LAMBDA(("VARIATION FROM SOURCE DATA: Gypsum has been added with placeholder values of 0 for P and EF."))</definedName>
    <definedName name="Fertiliser_SourceData.Fertiliser_LimeDolomiteGypsumConstants_Variation" localSheetId="30">_xlfn.LAMBDA(("VARIATION FROM SOURCE DATA: Gypsum has been added with placeholder values of 0 for P and EF."))</definedName>
    <definedName name="Fertiliser_SourceData.Fertiliser_LimeDolomiteGypsumConstants_Variation" localSheetId="34">_xlfn.LAMBDA(("VARIATION FROM SOURCE DATA: Gypsum has been added with placeholder values of 0 for P and EF."))</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 localSheetId="15">_xlfn.LAMBDA((""))</definedName>
    <definedName name="Fertiliser_SourceData.Fertiliser_Products_Source" localSheetId="16">_xlfn.LAMBDA((""))</definedName>
    <definedName name="Fertiliser_SourceData.Fertiliser_Products_Source" localSheetId="17">_xlfn.LAMBDA((""))</definedName>
    <definedName name="Fertiliser_SourceData.Fertiliser_Products_Source" localSheetId="18">_xlfn.LAMBDA((""))</definedName>
    <definedName name="Fertiliser_SourceData.Fertiliser_Products_Source" localSheetId="19">_xlfn.LAMBDA((""))</definedName>
    <definedName name="Fertiliser_SourceData.Fertiliser_Products_Source" localSheetId="20">_xlfn.LAMBDA((""))</definedName>
    <definedName name="Fertiliser_SourceData.Fertiliser_Products_Source" localSheetId="30">_xlfn.LAMBDA((""))</definedName>
    <definedName name="Fertiliser_SourceData.Fertiliser_Products_Source" localSheetId="34">_xlfn.LAMBDA((""))</definedName>
    <definedName name="Fertiliser_SourceData.Fertiliser_Products_Source">_xlfn.LAMBDA((""))</definedName>
    <definedName name="Fertiliser_SourceData.Fertiliser_Products_Title" localSheetId="15">_xlfn.LAMBDA(("Branded fertiliser products and their chemical composition"))</definedName>
    <definedName name="Fertiliser_SourceData.Fertiliser_Products_Title" localSheetId="16">_xlfn.LAMBDA(("Branded fertiliser products and their chemical composition"))</definedName>
    <definedName name="Fertiliser_SourceData.Fertiliser_Products_Title" localSheetId="17">_xlfn.LAMBDA(("Branded fertiliser products and their chemical composition"))</definedName>
    <definedName name="Fertiliser_SourceData.Fertiliser_Products_Title" localSheetId="18">_xlfn.LAMBDA(("Branded fertiliser products and their chemical composition"))</definedName>
    <definedName name="Fertiliser_SourceData.Fertiliser_Products_Title" localSheetId="19">_xlfn.LAMBDA(("Branded fertiliser products and their chemical composition"))</definedName>
    <definedName name="Fertiliser_SourceData.Fertiliser_Products_Title" localSheetId="20">_xlfn.LAMBDA(("Branded fertiliser products and their chemical composition"))</definedName>
    <definedName name="Fertiliser_SourceData.Fertiliser_Products_Title" localSheetId="30">_xlfn.LAMBDA(("Branded fertiliser products and their chemical composition"))</definedName>
    <definedName name="Fertiliser_SourceData.Fertiliser_Products_Title" localSheetId="34">_xlfn.LAMBDA(("Branded fertiliser products and their chemical composition"))</definedName>
    <definedName name="Fertiliser_SourceData.Fertiliser_Products_Title">_xlfn.LAMBDA(("Branded fertiliser products and their chemical composition"))</definedName>
    <definedName name="Fertiliser_SourceData.Fertiliser_UreaAmmoniaSourceRegions_Data" localSheetId="15">_xlfn.LAMBDA(_xlfn.MAKEARRAY(5, 1, _xlfn.LAMBDA(_xlpm.r,_xlpm.c, INDEX({"Source";"Global";"Canada";"China";"Yemen"}, _xlpm.r, _xlpm.c))))</definedName>
    <definedName name="Fertiliser_SourceData.Fertiliser_UreaAmmoniaSourceRegions_Data" localSheetId="16">_xlfn.LAMBDA(_xlfn.MAKEARRAY(5, 1, _xlfn.LAMBDA(_xlpm.r,_xlpm.c, INDEX({"Source";"Global";"Canada";"China";"Yemen"}, _xlpm.r, _xlpm.c))))</definedName>
    <definedName name="Fertiliser_SourceData.Fertiliser_UreaAmmoniaSourceRegions_Data" localSheetId="17">_xlfn.LAMBDA(_xlfn.MAKEARRAY(5, 1, _xlfn.LAMBDA(_xlpm.r,_xlpm.c, INDEX({"Source";"Global";"Canada";"China";"Yemen"}, _xlpm.r, _xlpm.c))))</definedName>
    <definedName name="Fertiliser_SourceData.Fertiliser_UreaAmmoniaSourceRegions_Data" localSheetId="18">_xlfn.LAMBDA(_xlfn.MAKEARRAY(5, 1, _xlfn.LAMBDA(_xlpm.r,_xlpm.c, INDEX({"Source";"Global";"Canada";"China";"Yemen"}, _xlpm.r, _xlpm.c))))</definedName>
    <definedName name="Fertiliser_SourceData.Fertiliser_UreaAmmoniaSourceRegions_Data" localSheetId="19">_xlfn.LAMBDA(_xlfn.MAKEARRAY(5, 1, _xlfn.LAMBDA(_xlpm.r,_xlpm.c, INDEX({"Source";"Global";"Canada";"China";"Yemen"}, _xlpm.r, _xlpm.c))))</definedName>
    <definedName name="Fertiliser_SourceData.Fertiliser_UreaAmmoniaSourceRegions_Data" localSheetId="20">_xlfn.LAMBDA(_xlfn.MAKEARRAY(5, 1, _xlfn.LAMBDA(_xlpm.r,_xlpm.c, INDEX({"Source";"Global";"Canada";"China";"Yemen"}, _xlpm.r, _xlpm.c))))</definedName>
    <definedName name="Fertiliser_SourceData.Fertiliser_UreaAmmoniaSourceRegions_Data" localSheetId="30">_xlfn.LAMBDA(_xlfn.MAKEARRAY(5, 1, _xlfn.LAMBDA(_xlpm.r,_xlpm.c, INDEX({"Source";"Global";"Canada";"China";"Yemen"}, _xlpm.r, _xlpm.c))))</definedName>
    <definedName name="Fertiliser_SourceData.Fertiliser_UreaAmmoniaSourceRegions_Data" localSheetId="34">_xlfn.LAMBDA(_xlfn.MAKEARRAY(5, 1, _xlfn.LAMBDA(_xlpm.r,_xlpm.c, INDEX({"Source";"Global";"Canada";"China";"Yemen"}, _xlpm.r, _xlpm.c))))</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 localSheetId="15">_xlfn.LAMBDA("Lifecycles. (2026). Greenhouse Gas Emission Intensities for Material Inputs to Australian Agriculture, Fisheries and Forestry. Version 48. doi 10.5281/zenodo.19656580")</definedName>
    <definedName name="Fertiliser_SourceData.Fertiliser_UreaAmmoniaSourceRegions_Source" localSheetId="16">_xlfn.LAMBDA("Lifecycles. (2026). Greenhouse Gas Emission Intensities for Material Inputs to Australian Agriculture, Fisheries and Forestry. Version 48. doi 10.5281/zenodo.19656580")</definedName>
    <definedName name="Fertiliser_SourceData.Fertiliser_UreaAmmoniaSourceRegions_Source" localSheetId="17">_xlfn.LAMBDA("Lifecycles. (2026). Greenhouse Gas Emission Intensities for Material Inputs to Australian Agriculture, Fisheries and Forestry. Version 48. doi 10.5281/zenodo.19656580")</definedName>
    <definedName name="Fertiliser_SourceData.Fertiliser_UreaAmmoniaSourceRegions_Source" localSheetId="18">_xlfn.LAMBDA("Lifecycles. (2026). Greenhouse Gas Emission Intensities for Material Inputs to Australian Agriculture, Fisheries and Forestry. Version 48. doi 10.5281/zenodo.19656580")</definedName>
    <definedName name="Fertiliser_SourceData.Fertiliser_UreaAmmoniaSourceRegions_Source" localSheetId="19">_xlfn.LAMBDA("Lifecycles. (2026). Greenhouse Gas Emission Intensities for Material Inputs to Australian Agriculture, Fisheries and Forestry. Version 48. doi 10.5281/zenodo.19656580")</definedName>
    <definedName name="Fertiliser_SourceData.Fertiliser_UreaAmmoniaSourceRegions_Source" localSheetId="20">_xlfn.LAMBDA("Lifecycles. (2026). Greenhouse Gas Emission Intensities for Material Inputs to Australian Agriculture, Fisheries and Forestry. Version 48. doi 10.5281/zenodo.19656580")</definedName>
    <definedName name="Fertiliser_SourceData.Fertiliser_UreaAmmoniaSourceRegions_Source" localSheetId="30">_xlfn.LAMBDA("Lifecycles. (2026). Greenhouse Gas Emission Intensities for Material Inputs to Australian Agriculture, Fisheries and Forestry. Version 48. doi 10.5281/zenodo.19656580")</definedName>
    <definedName name="Fertiliser_SourceData.Fertiliser_UreaAmmoniaSourceRegions_Source" localSheetId="34">_xlfn.LAMBDA("Lifecycles. (2026). Greenhouse Gas Emission Intensities for Material Inputs to Australian Agriculture, Fisheries and Forestry. Version 48. doi 10.5281/zenodo.19656580")</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 localSheetId="15">_xlfn.LAMBDA("Source regions for urea and ammonia")</definedName>
    <definedName name="Fertiliser_SourceData.Fertiliser_UreaAmmoniaSourceRegions_Title" localSheetId="16">_xlfn.LAMBDA("Source regions for urea and ammonia")</definedName>
    <definedName name="Fertiliser_SourceData.Fertiliser_UreaAmmoniaSourceRegions_Title" localSheetId="17">_xlfn.LAMBDA("Source regions for urea and ammonia")</definedName>
    <definedName name="Fertiliser_SourceData.Fertiliser_UreaAmmoniaSourceRegions_Title" localSheetId="18">_xlfn.LAMBDA("Source regions for urea and ammonia")</definedName>
    <definedName name="Fertiliser_SourceData.Fertiliser_UreaAmmoniaSourceRegions_Title" localSheetId="19">_xlfn.LAMBDA("Source regions for urea and ammonia")</definedName>
    <definedName name="Fertiliser_SourceData.Fertiliser_UreaAmmoniaSourceRegions_Title" localSheetId="20">_xlfn.LAMBDA("Source regions for urea and ammonia")</definedName>
    <definedName name="Fertiliser_SourceData.Fertiliser_UreaAmmoniaSourceRegions_Title" localSheetId="30">_xlfn.LAMBDA("Source regions for urea and ammonia")</definedName>
    <definedName name="Fertiliser_SourceData.Fertiliser_UreaAmmoniaSourceRegions_Title" localSheetId="34">_xlfn.LAMBDA("Source regions for urea and ammonia")</definedName>
    <definedName name="Fertiliser_SourceData.Fertiliser_UreaAmmoniaSourceRegions_Title">_xlfn.LAMBDA("Source regions for urea and ammonia")</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 localSheetId="23">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24">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 localSheetId="31">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 localSheetId="23">_xlfn.LAMBDA("E_g=\sum\nolimits_t \sum\nolimits_q\left(Q_{Trans,tq}\times EC_{Trans,q}\times EF_{Trans,1,tqg}\right)\times 10^{-3}")</definedName>
    <definedName name="Fuel_Equations.VEERG_8_1_1_1__1_FuelCombustionTransport_LatexEquation" localSheetId="24">_xlfn.LAMBDA("E_g=\sum\nolimits_t \sum\nolimits_q\left(Q_{Trans,tq}\times EC_{Trans,q}\times EF_{Trans,1,tqg}\right)\times 10^{-3}")</definedName>
    <definedName name="Fuel_Equations.VEERG_8_1_1_1__1_FuelCombustionTransport_LatexEquation" localSheetId="31">_xlfn.LAMBDA("E_g=\sum\nolimits_t \sum\nolimits_q\left(Q_{Trans,tq}\times EC_{Trans,q}\times EF_{Trans,1,tqg}\right)\times 10^{-3}")</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 localSheetId="23">_xlfn.LAMBDA("Australian National Greenhouse Accounts Factors 2025 - 2.3 Estimating emissions from transport fuels")</definedName>
    <definedName name="Fuel_Equations.VEERG_8_1_1_1__1_FuelCombustionTransport_NIRReference" localSheetId="24">_xlfn.LAMBDA("Australian National Greenhouse Accounts Factors 2025 - 2.3 Estimating emissions from transport fuels")</definedName>
    <definedName name="Fuel_Equations.VEERG_8_1_1_1__1_FuelCombustionTransport_NIRReference" localSheetId="31">_xlfn.LAMBDA("Australian National Greenhouse Accounts Factors 2025 - 2.3 Estimating emissions from transport fuels")</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 localSheetId="23">_xlfn.LAMBDA("VEERG 2026: 8.1.1.1, Equation (1)")</definedName>
    <definedName name="Fuel_Equations.VEERG_8_1_1_1__1_FuelCombustionTransport_Source" localSheetId="24">_xlfn.LAMBDA("VEERG 2026: 8.1.1.1, Equation (1)")</definedName>
    <definedName name="Fuel_Equations.VEERG_8_1_1_1__1_FuelCombustionTransport_Source" localSheetId="31">_xlfn.LAMBDA("VEERG 2026: 8.1.1.1, Equation (1)")</definedName>
    <definedName name="Fuel_Equations.VEERG_8_1_1_1__1_FuelCombustionTransport_Source">_xlfn.LAMBDA("VEERG 2026: 8.1.1.1, Equation (1)")</definedName>
    <definedName name="Fuel_Equations.VEERG_8_1_1_1__1_FuelCombustionTransport_Title" localSheetId="23">_xlfn.LAMBDA("Emissions for each GHG from the combustion of fuels for transport energy purposes")</definedName>
    <definedName name="Fuel_Equations.VEERG_8_1_1_1__1_FuelCombustionTransport_Title" localSheetId="24">_xlfn.LAMBDA("Emissions for each GHG from the combustion of fuels for transport energy purposes")</definedName>
    <definedName name="Fuel_Equations.VEERG_8_1_1_1__1_FuelCombustionTransport_Title" localSheetId="31">_xlfn.LAMBDA("Emissions for each GHG from the combustion of fuels for transport energy purposes")</definedName>
    <definedName name="Fuel_Equations.VEERG_8_1_1_1__1_FuelCombustionTransport_Title">_xlfn.LAMBDA("Emissions for each GHG from the combustion of fuels for transport energy purposes")</definedName>
    <definedName name="Fuel_Equations.VEERG_8_1_1_1__1_FuelCombustionTransport_Unit" localSheetId="23">_xlfn.LAMBDA("t CO2-e")</definedName>
    <definedName name="Fuel_Equations.VEERG_8_1_1_1__1_FuelCombustionTransport_Unit" localSheetId="24">_xlfn.LAMBDA("t CO2-e")</definedName>
    <definedName name="Fuel_Equations.VEERG_8_1_1_1__1_FuelCombustionTransport_Unit" localSheetId="31">_xlfn.LAMBDA("t CO2-e")</definedName>
    <definedName name="Fuel_Equations.VEERG_8_1_1_1__1_FuelCombustionTransport_Unit">_xlfn.LAMBDA("t CO2-e")</definedName>
    <definedName name="Fuel_Equations.VEERG_8_1_1_1__1_FuelCombustionTransport_Variable" localSheetId="23">_xlfn.LAMBDA("E_g")</definedName>
    <definedName name="Fuel_Equations.VEERG_8_1_1_1__1_FuelCombustionTransport_Variable" localSheetId="24">_xlfn.LAMBDA("E_g")</definedName>
    <definedName name="Fuel_Equations.VEERG_8_1_1_1__1_FuelCombustionTransport_Variable" localSheetId="31">_xlfn.LAMBDA("E_g")</definedName>
    <definedName name="Fuel_Equations.VEERG_8_1_1_1__1_FuelCombustionTransport_Variable">_xlfn.LAMBDA("E_g")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 localSheetId="23">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24">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 localSheetId="31">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 localSheetId="23">_xlfn.LAMBDA("E_g=\sum\nolimits_t \sum\nolimits_q\left(Q_{SC,q}\times EC_{SC,q}\times EF_{SC,1,qg}\right)\times 10^{-3}")</definedName>
    <definedName name="Fuel_Equations.VEERG_8_2_1_1__1_FuelCombustionStationary_LatexEquation" localSheetId="24">_xlfn.LAMBDA("E_g=\sum\nolimits_t \sum\nolimits_q\left(Q_{SC,q}\times EC_{SC,q}\times EF_{SC,1,qg}\right)\times 10^{-3}")</definedName>
    <definedName name="Fuel_Equations.VEERG_8_2_1_1__1_FuelCombustionStationary_LatexEquation" localSheetId="31">_xlfn.LAMBDA("E_g=\sum\nolimits_t \sum\nolimits_q\left(Q_{SC,q}\times EC_{SC,q}\times EF_{SC,1,qg}\right)\times 10^{-3}")</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 localSheetId="23">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24">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 localSheetId="31">_xlfn.LAMBDA("Australian National Greenhouse Accounts Factors 2025 - 2.2 Estimating emissions from stationary energy sources - Calculating emissions from stationary combustion of liquid fuels")</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 localSheetId="23">_xlfn.LAMBDA("VEERG 2026: 8.2.1.1, Equation (1)")</definedName>
    <definedName name="Fuel_Equations.VEERG_8_2_1_1__1_FuelCombustionStationary_Source" localSheetId="24">_xlfn.LAMBDA("VEERG 2026: 8.2.1.1, Equation (1)")</definedName>
    <definedName name="Fuel_Equations.VEERG_8_2_1_1__1_FuelCombustionStationary_Source" localSheetId="31">_xlfn.LAMBDA("VEERG 2026: 8.2.1.1, Equation (1)")</definedName>
    <definedName name="Fuel_Equations.VEERG_8_2_1_1__1_FuelCombustionStationary_Source">_xlfn.LAMBDA("VEERG 2026: 8.2.1.1, Equation (1)")</definedName>
    <definedName name="Fuel_Equations.VEERG_8_2_1_1__1_FuelCombustionStationary_Title" localSheetId="23">_xlfn.LAMBDA("Emissions for each GHG from the stationary combustion of fuels")</definedName>
    <definedName name="Fuel_Equations.VEERG_8_2_1_1__1_FuelCombustionStationary_Title" localSheetId="24">_xlfn.LAMBDA("Emissions for each GHG from the stationary combustion of fuels")</definedName>
    <definedName name="Fuel_Equations.VEERG_8_2_1_1__1_FuelCombustionStationary_Title" localSheetId="31">_xlfn.LAMBDA("Emissions for each GHG from the stationary combustion of fuels")</definedName>
    <definedName name="Fuel_Equations.VEERG_8_2_1_1__1_FuelCombustionStationary_Title">_xlfn.LAMBDA("Emissions for each GHG from the stationary combustion of fuels")</definedName>
    <definedName name="Fuel_Equations.VEERG_8_2_1_1__1_FuelCombustionStationary_Unit" localSheetId="23">_xlfn.LAMBDA("t CO2-e")</definedName>
    <definedName name="Fuel_Equations.VEERG_8_2_1_1__1_FuelCombustionStationary_Unit" localSheetId="24">_xlfn.LAMBDA("t CO2-e")</definedName>
    <definedName name="Fuel_Equations.VEERG_8_2_1_1__1_FuelCombustionStationary_Unit" localSheetId="31">_xlfn.LAMBDA("t CO2-e")</definedName>
    <definedName name="Fuel_Equations.VEERG_8_2_1_1__1_FuelCombustionStationary_Unit">_xlfn.LAMBDA("t CO2-e")</definedName>
    <definedName name="Fuel_Equations.VEERG_8_2_1_1__1_FuelCombustionStationary_Variable" localSheetId="23">_xlfn.LAMBDA("E_g")</definedName>
    <definedName name="Fuel_Equations.VEERG_8_2_1_1__1_FuelCombustionStationary_Variable" localSheetId="24">_xlfn.LAMBDA("E_g")</definedName>
    <definedName name="Fuel_Equations.VEERG_8_2_1_1__1_FuelCombustionStationary_Variable" localSheetId="31">_xlfn.LAMBDA("E_g")</definedName>
    <definedName name="Fuel_Equations.VEERG_8_2_1_1__1_FuelCombustionStationary_Variable">_xlfn.LAMBDA("E_g")</definedName>
    <definedName name="Fuel_Equations.VEERG_8_FuelCombustion" localSheetId="23">_xlfn.LAMBDA(_xlpm.Q,_xlpm.EC,_xlpm.EF, (_xlpm.Q * _xlpm.EC * _xlpm.EF) * 10 ^ -3)</definedName>
    <definedName name="Fuel_Equations.VEERG_8_FuelCombustion" localSheetId="24">_xlfn.LAMBDA(_xlpm.Q,_xlpm.EC,_xlpm.EF, (_xlpm.Q * _xlpm.EC * _xlpm.EF) * 10 ^ -3)</definedName>
    <definedName name="Fuel_Equations.VEERG_8_FuelCombustion" localSheetId="31">_xlfn.LAMBDA(_xlpm.Q,_xlpm.EC,_xlpm.EF, (_xlpm.Q * _xlpm.EC * _xlpm.EF) * 10 ^ -3)</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_xlfn.LAMBDA(_xlpm.Cell, RIGHT(_xlpm.Cell, LEN(_xlpm.Cell) - FIND(", ", _xlpm.Cell) - 1))</definedName>
    <definedName name="Fuel_InputFunctions.Fuel_GetTransportFuelString" localSheetId="23">_xlfn.LAMBDA(_xlpm.Cell, LEFT(_xlpm.Cell, FIND(", ", _xlpm.Cell) - 1))</definedName>
    <definedName name="Fuel_InputFunctions.Fuel_GetTransportFuelString" localSheetId="24">_xlfn.LAMBDA(_xlpm.Cell, LEFT(_xlpm.Cell, FIND(", ", _xlpm.Cell) - 1))</definedName>
    <definedName name="Fuel_InputFunctions.Fuel_GetTransportFuelString" localSheetId="31">_xlfn.LAMBDA(_xlpm.Cell, LEFT(_xlpm.Cell, FIND(", ", _xlpm.Cell) - 1))</definedName>
    <definedName name="Fuel_InputFunctions.Fuel_GetTransportFuelString">_xlfn.LAMBDA(_xlpm.Cell, LEFT(_xlpm.Cell, FIND(", ", _xlpm.Cell) - 1))</definedName>
    <definedName name="Fuel_InputFunctions.Fuel_TotalConsumption" localSheetId="23">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24">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 localSheetId="31">_xlfn.LAMBDA(_xlpm.FuelConsumptionArray,_xlpm.FuelUseArray,_xlpm.FuelUse,_xlpm.FuelTypeArray,_xlpm.FuelType, IFERROR(SUM(_xlfn._xlws.FILTER(_xlpm.FuelConsumptionArray, (_xlpm.FuelTypeArray = _xlpm.FuelType) * (_xlpm.FuelUseArray = _xlpm.FuelUse))), 0))</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23">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24">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 localSheetId="31">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 localSheetId="23">_xlfn.LAMBDA(("Direct (Scope 1) emission factors for the consumption of gaseous fuels including liquefied natural gas  "))</definedName>
    <definedName name="Fuel_SourceData.Fuel_Scope1EmissionFactorsStationaryGaseous_Description" localSheetId="24">_xlfn.LAMBDA(("Direct (Scope 1) emission factors for the consumption of gaseous fuels including liquefied natural gas  "))</definedName>
    <definedName name="Fuel_SourceData.Fuel_Scope1EmissionFactorsStationaryGaseous_Description" localSheetId="31">_xlfn.LAMBDA(("Direct (Scope 1) emission factors for the consumption of gaseous fuels including liquefied natural gas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 localSheetId="23">_xlfn.LAMBDA(("Australian National Greenhouse Accounts Factors 2025 - Table 5"))</definedName>
    <definedName name="Fuel_SourceData.Fuel_Scope1EmissionFactorsStationaryGaseous_Source" localSheetId="24">_xlfn.LAMBDA(("Australian National Greenhouse Accounts Factors 2025 - Table 5"))</definedName>
    <definedName name="Fuel_SourceData.Fuel_Scope1EmissionFactorsStationaryGaseous_Source" localSheetId="31">_xlfn.LAMBDA(("Australian National Greenhouse Accounts Factors 2025 - Table 5"))</definedName>
    <definedName name="Fuel_SourceData.Fuel_Scope1EmissionFactorsStationaryGaseous_Source">_xlfn.LAMBDA(("Australian National Greenhouse Accounts Factors 2025 - Table 5"))</definedName>
    <definedName name="Fuel_SourceData.Fuel_Scope1EmissionFactorsStationaryGaseous_Title" localSheetId="23">_xlfn.LAMBDA(("Fuel scope 1 emission factors - Stationary gaseous fuels"))</definedName>
    <definedName name="Fuel_SourceData.Fuel_Scope1EmissionFactorsStationaryGaseous_Title" localSheetId="24">_xlfn.LAMBDA(("Fuel scope 1 emission factors - Stationary gaseous fuels"))</definedName>
    <definedName name="Fuel_SourceData.Fuel_Scope1EmissionFactorsStationaryGaseous_Title" localSheetId="31">_xlfn.LAMBDA(("Fuel scope 1 emission factors - Stationary gaseous fuels"))</definedName>
    <definedName name="Fuel_SourceData.Fuel_Scope1EmissionFactorsStationaryGaseous_Title">_xlfn.LAMBDA(("Fuel scope 1 emission factors - Stationary gaseous fuels"))</definedName>
    <definedName name="Fuel_SourceData.Fuel_Scope1EmissionFactorsStationaryGaseous_Variation" localSheetId="23">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24">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 localSheetId="31">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23">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24">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 localSheetId="31">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 localSheetId="23">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24">_xlfn.LAMBDA(("Direct (Scope 1) and indirect (scope 3) emission factors for the consumption of liquid fuels, including certain petroleum based products for stationary energy purposes."))</definedName>
    <definedName name="Fuel_SourceData.Fuel_Scope1Scope3EmissionFactorsStationaryLiquid_Description" localSheetId="31">_xlfn.LAMBDA(("Direct (Scope 1) and indirect (scope 3) emission factors for the consumption of liquid fuels, including certain petroleum based products for stationary energy purposes."))</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 localSheetId="23">_xlfn.LAMBDA(("Australian National Greenhouse Accounts Factors 2025 - Table 8"))</definedName>
    <definedName name="Fuel_SourceData.Fuel_Scope1Scope3EmissionFactorsStationaryLiquid_Source" localSheetId="24">_xlfn.LAMBDA(("Australian National Greenhouse Accounts Factors 2025 - Table 8"))</definedName>
    <definedName name="Fuel_SourceData.Fuel_Scope1Scope3EmissionFactorsStationaryLiquid_Source" localSheetId="31">_xlfn.LAMBDA(("Australian National Greenhouse Accounts Factors 2025 - Table 8"))</definedName>
    <definedName name="Fuel_SourceData.Fuel_Scope1Scope3EmissionFactorsStationaryLiquid_Source">_xlfn.LAMBDA(("Australian National Greenhouse Accounts Factors 2025 - Table 8"))</definedName>
    <definedName name="Fuel_SourceData.Fuel_Scope1Scope3EmissionFactorsStationaryLiquid_Title" localSheetId="23">_xlfn.LAMBDA(("Fuel scope 1 and 3 emission factors - Stationary liquid fuels"))</definedName>
    <definedName name="Fuel_SourceData.Fuel_Scope1Scope3EmissionFactorsStationaryLiquid_Title" localSheetId="24">_xlfn.LAMBDA(("Fuel scope 1 and 3 emission factors - Stationary liquid fuels"))</definedName>
    <definedName name="Fuel_SourceData.Fuel_Scope1Scope3EmissionFactorsStationaryLiquid_Title" localSheetId="31">_xlfn.LAMBDA(("Fuel scope 1 and 3 emission factors - Stationary liquid fuels"))</definedName>
    <definedName name="Fuel_SourceData.Fuel_Scope1Scope3EmissionFactorsStationaryLiquid_Title">_xlfn.LAMBDA(("Fuel scope 1 and 3 emission factors - Stationary liquid fuels"))</definedName>
    <definedName name="Fuel_SourceData.Fuel_Scope1Scope3EmissionFactorsStationaryLiquid_Variation" localSheetId="23">_xlfn.LAMBDA("VARIATION OF SOURCE DATA: 'NE' values returned as zero for calculations.")</definedName>
    <definedName name="Fuel_SourceData.Fuel_Scope1Scope3EmissionFactorsStationaryLiquid_Variation" localSheetId="24">_xlfn.LAMBDA("VARIATION OF SOURCE DATA: 'NE' values returned as zero for calculations.")</definedName>
    <definedName name="Fuel_SourceData.Fuel_Scope1Scope3EmissionFactorsStationaryLiquid_Variation" localSheetId="31">_xlfn.LAMBDA("VARIATION OF SOURCE DATA: 'NE' values returned as zero for calculations.")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23">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24">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 localSheetId="31">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 localSheetId="23">_xlfn.LAMBDA(("Direct (scope 1) and indirect (scope 3) emission factors for the consumption of transport fuels in different transport equipment"))</definedName>
    <definedName name="Fuel_SourceData.Fuel_Scope1Scope3EmissionFactorsTransport_Description" localSheetId="24">_xlfn.LAMBDA(("Direct (scope 1) and indirect (scope 3) emission factors for the consumption of transport fuels in different transport equipment"))</definedName>
    <definedName name="Fuel_SourceData.Fuel_Scope1Scope3EmissionFactorsTransport_Description" localSheetId="31">_xlfn.LAMBDA(("Direct (scope 1) and indirect (scope 3) emission factors for the consumption of transport fuels in different transport equipment"))</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 localSheetId="23">_xlfn.LAMBDA(("Australian National Greenhouse Accounts Factors 2025 - Table 9"))</definedName>
    <definedName name="Fuel_SourceData.Fuel_Scope1Scope3EmissionFactorsTransport_Source" localSheetId="24">_xlfn.LAMBDA(("Australian National Greenhouse Accounts Factors 2025 - Table 9"))</definedName>
    <definedName name="Fuel_SourceData.Fuel_Scope1Scope3EmissionFactorsTransport_Source" localSheetId="31">_xlfn.LAMBDA(("Australian National Greenhouse Accounts Factors 2025 - Table 9"))</definedName>
    <definedName name="Fuel_SourceData.Fuel_Scope1Scope3EmissionFactorsTransport_Source">_xlfn.LAMBDA(("Australian National Greenhouse Accounts Factors 2025 - Table 9"))</definedName>
    <definedName name="Fuel_SourceData.Fuel_Scope1Scope3EmissionFactorsTransport_Title" localSheetId="23">_xlfn.LAMBDA(("Fuel scope 1 and 3 emission factors - Transport"))</definedName>
    <definedName name="Fuel_SourceData.Fuel_Scope1Scope3EmissionFactorsTransport_Title" localSheetId="24">_xlfn.LAMBDA(("Fuel scope 1 and 3 emission factors - Transport"))</definedName>
    <definedName name="Fuel_SourceData.Fuel_Scope1Scope3EmissionFactorsTransport_Title" localSheetId="31">_xlfn.LAMBDA(("Fuel scope 1 and 3 emission factors - Transport"))</definedName>
    <definedName name="Fuel_SourceData.Fuel_Scope1Scope3EmissionFactorsTransport_Title">_xlfn.LAMBDA(("Fuel scope 1 and 3 emission factors - Transport"))</definedName>
    <definedName name="Fuel_SourceData.Fuel_Scope1Scope3EmissionFactorsTransport_Variation" localSheetId="23">_xlfn.LAMBDA("VARIATION OF SOURCE DATA: 'NE' values returned as zero for calculations.")</definedName>
    <definedName name="Fuel_SourceData.Fuel_Scope1Scope3EmissionFactorsTransport_Variation" localSheetId="24">_xlfn.LAMBDA("VARIATION OF SOURCE DATA: 'NE' values returned as zero for calculations.")</definedName>
    <definedName name="Fuel_SourceData.Fuel_Scope1Scope3EmissionFactorsTransport_Variation" localSheetId="31">_xlfn.LAMBDA("VARIATION OF SOURCE DATA: 'NE' values returned as zero for calculations.")</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23">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24">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 localSheetId="31">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 localSheetId="23">_xlfn.LAMBDA(("Direct (scope 1) and indirect (scope 3) emission factors for the consumption of fuels in off-road equipment and vessels"))</definedName>
    <definedName name="Fuel_SourceData.Fuel_Scope1Scope3EmissionFactorsTransportOffRoad_Description" localSheetId="24">_xlfn.LAMBDA(("Direct (scope 1) and indirect (scope 3) emission factors for the consumption of fuels in off-road equipment and vessels"))</definedName>
    <definedName name="Fuel_SourceData.Fuel_Scope1Scope3EmissionFactorsTransportOffRoad_Description" localSheetId="31">_xlfn.LAMBDA(("Direct (scope 1) and indirect (scope 3) emission factors for the consumption of fuels in off-road equipment and vessels"))</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 localSheetId="23">_xlfn.LAMBDA(("VEERG 2026: Table A.4.2.1"))</definedName>
    <definedName name="Fuel_SourceData.Fuel_Scope1Scope3EmissionFactorsTransportOffRoad_Source" localSheetId="24">_xlfn.LAMBDA(("VEERG 2026: Table A.4.2.1"))</definedName>
    <definedName name="Fuel_SourceData.Fuel_Scope1Scope3EmissionFactorsTransportOffRoad_Source" localSheetId="31">_xlfn.LAMBDA(("VEERG 2026: Table A.4.2.1"))</definedName>
    <definedName name="Fuel_SourceData.Fuel_Scope1Scope3EmissionFactorsTransportOffRoad_Source">_xlfn.LAMBDA(("VEERG 2026: Table A.4.2.1"))</definedName>
    <definedName name="Fuel_SourceData.Fuel_Scope1Scope3EmissionFactorsTransportOffRoad_Title" localSheetId="23">_xlfn.LAMBDA(("Fuel scope 1 and 3 emission factors - Off-road equipment and vessels"))</definedName>
    <definedName name="Fuel_SourceData.Fuel_Scope1Scope3EmissionFactorsTransportOffRoad_Title" localSheetId="24">_xlfn.LAMBDA(("Fuel scope 1 and 3 emission factors - Off-road equipment and vessels"))</definedName>
    <definedName name="Fuel_SourceData.Fuel_Scope1Scope3EmissionFactorsTransportOffRoad_Title" localSheetId="31">_xlfn.LAMBDA(("Fuel scope 1 and 3 emission factors - Off-road equipment and vessels"))</definedName>
    <definedName name="Fuel_SourceData.Fuel_Scope1Scope3EmissionFactorsTransportOffRoad_Title">_xlfn.LAMBDA(("Fuel scope 1 and 3 emission factors - Off-road equipment and vessels"))</definedName>
    <definedName name="Fuel_SourceData.Fuel_Scope3EmissionFactorsStationaryGaseous_Appendices" localSheetId="23">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24">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 localSheetId="31">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23">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24">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 localSheetId="31">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 localSheetId="23">_xlfn.LAMBDA(("Indirect (Scope 3) emission factors for the consumption of natural gas."))</definedName>
    <definedName name="Fuel_SourceData.Fuel_Scope3EmissionFactorsStationaryGaseous_Description" localSheetId="24">_xlfn.LAMBDA(("Indirect (Scope 3) emission factors for the consumption of natural gas."))</definedName>
    <definedName name="Fuel_SourceData.Fuel_Scope3EmissionFactorsStationaryGaseous_Description" localSheetId="31">_xlfn.LAMBDA(("Indirect (Scope 3) emission factors for the consumption of natural gas."))</definedName>
    <definedName name="Fuel_SourceData.Fuel_Scope3EmissionFactorsStationaryGaseous_Description">_xlfn.LAMBDA(("Indirect (Scope 3) emission factors for the consumption of natural gas."))</definedName>
    <definedName name="Fuel_SourceData.Fuel_Scope3EmissionFactorsStationaryGaseous_Source" localSheetId="23">_xlfn.LAMBDA(("Australian National Greenhouse Accounts Factors 2025 - Table 6"))</definedName>
    <definedName name="Fuel_SourceData.Fuel_Scope3EmissionFactorsStationaryGaseous_Source" localSheetId="24">_xlfn.LAMBDA(("Australian National Greenhouse Accounts Factors 2025 - Table 6"))</definedName>
    <definedName name="Fuel_SourceData.Fuel_Scope3EmissionFactorsStationaryGaseous_Source" localSheetId="31">_xlfn.LAMBDA(("Australian National Greenhouse Accounts Factors 2025 - Table 6"))</definedName>
    <definedName name="Fuel_SourceData.Fuel_Scope3EmissionFactorsStationaryGaseous_Source">_xlfn.LAMBDA(("Australian National Greenhouse Accounts Factors 2025 - Table 6"))</definedName>
    <definedName name="Fuel_SourceData.Fuel_Scope3EmissionFactorsStationaryGaseous_Title" localSheetId="23">_xlfn.LAMBDA(("Fuel scope 3 emission factors - Stationary gaseous fuels"))</definedName>
    <definedName name="Fuel_SourceData.Fuel_Scope3EmissionFactorsStationaryGaseous_Title" localSheetId="24">_xlfn.LAMBDA(("Fuel scope 3 emission factors - Stationary gaseous fuels"))</definedName>
    <definedName name="Fuel_SourceData.Fuel_Scope3EmissionFactorsStationaryGaseous_Title" localSheetId="31">_xlfn.LAMBDA(("Fuel scope 3 emission factors - Stationary gaseous fuels"))</definedName>
    <definedName name="Fuel_SourceData.Fuel_Scope3EmissionFactorsStationaryGaseous_Title">_xlfn.LAMBDA(("Fuel scope 3 emission factors - Stationary gaseous fuels"))</definedName>
    <definedName name="Fuel_SourceData.Fuel_Scope3EmissionFactorsStationaryGaseous_Variation" localSheetId="23">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24">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 localSheetId="31">_xlfn.LAMBDA(("VARIATION OF SOURCE DATA: NSW and ACT split into separate rows. 'C' Values for Tasmania and Northern Territory replaced with those for Victoria and Western Australia respectively. (See appendices)"))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 localSheetId="2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1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2">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0">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2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9">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7">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8">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5">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3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 localSheetId="10">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1">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2">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1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2">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8">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2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3">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10">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1">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2">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1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2">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8">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2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3">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10">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1">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2">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1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2">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8">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2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3">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10">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1">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2">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1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2">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8">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2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3">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10">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1">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2">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1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2">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8">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2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3">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 localSheetId="3">'4.2.1.1-2 Methane'!$D$83:$N$87</definedName>
    <definedName name="M1_Table_I_j_k_l">'3.2.1.1-2 Enteric Methane'!$D$63:$N$67</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 localSheetId="3">'4.2.1.1-2 Methane'!$D$29:$R$33</definedName>
    <definedName name="M1_Table_MA_j_k45">'3.2.1.1-2 Enteric Methane'!$D$25:$P$29</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 localSheetId="3">'4.2.1.1-2 Methane'!$W$75:$AG$87</definedName>
    <definedName name="M2_Table_I_j_k_l">'3.2.1.1-2 Enteric Methane'!$U$75:$AE$87</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MS_PastureBeef_Methane_Equations.VEERG_4_2_1_1__1_TotalAnnualMethaneProductionFromManureManagement" localSheetId="11">_xlfn.LAMBDA(_xlpm.N_jkl,_xlpm.M_jklm,_xlpm.D_j, (_xlpm.N_jkl * _xlpm.M_jklm * _xlpm.D_j) * 10 ^ -3)</definedName>
    <definedName name="MMS_PastureBeef_Methane_Equations.VEERG_4_2_1_1__1_TotalAnnualMethaneProductionFromManureManagement" localSheetId="12">_xlfn.LAMBDA(_xlpm.N_jkl,_xlpm.M_jklm,_xlpm.D_j, (_xlpm.N_jkl * _xlpm.M_jklm * _xlpm.D_j) * 10 ^ -3)</definedName>
    <definedName name="MMS_PastureBeef_Methane_Equations.VEERG_4_2_1_1__1_TotalAnnualMethaneProductionFromManureManagement" localSheetId="13">_xlfn.LAMBDA(_xlpm.N_jkl,_xlpm.M_jklm,_xlpm.D_j, (_xlpm.N_jkl * _xlpm.M_jklm * _xlpm.D_j) * 10 ^ -3)</definedName>
    <definedName name="MMS_PastureBeef_Methane_Equations.VEERG_4_2_1_1__1_TotalAnnualMethaneProductionFromManureManagement" localSheetId="14">_xlfn.LAMBDA(_xlpm.N_jkl,_xlpm.M_jklm,_xlpm.D_j, (_xlpm.N_jkl * _xlpm.M_jklm * _xlpm.D_j) * 10 ^ -3)</definedName>
    <definedName name="MMS_PastureBeef_Methane_Equations.VEERG_4_2_1_1__1_TotalAnnualMethaneProductionFromManureManagement" localSheetId="3">_xlfn.LAMBDA(_xlpm.N_jkl,_xlpm.M_jklm,_xlpm.D_j, (_xlpm.N_jkl * _xlpm.M_jklm * _xlpm.D_j)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 localSheetId="11">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2">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3">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14">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 localSheetId="3">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 localSheetId="11">_xlfn.LAMBDA("E_{CH4}=\sum_{j}\sum_{k}\sum_{l}\sum_{m}(N_{jkl}\times M_{jklm}\times D_j)\times 10^{-3}")</definedName>
    <definedName name="MMS_PastureBeef_Methane_Equations.VEERG_4_2_1_1__1_TotalAnnualMethaneProductionFromManureManagement_LatexEquation" localSheetId="12">_xlfn.LAMBDA("E_{CH4}=\sum_{j}\sum_{k}\sum_{l}\sum_{m}(N_{jkl}\times M_{jklm}\times D_j)\times 10^{-3}")</definedName>
    <definedName name="MMS_PastureBeef_Methane_Equations.VEERG_4_2_1_1__1_TotalAnnualMethaneProductionFromManureManagement_LatexEquation" localSheetId="13">_xlfn.LAMBDA("E_{CH4}=\sum_{j}\sum_{k}\sum_{l}\sum_{m}(N_{jkl}\times M_{jklm}\times D_j)\times 10^{-3}")</definedName>
    <definedName name="MMS_PastureBeef_Methane_Equations.VEERG_4_2_1_1__1_TotalAnnualMethaneProductionFromManureManagement_LatexEquation" localSheetId="14">_xlfn.LAMBDA("E_{CH4}=\sum_{j}\sum_{k}\sum_{l}\sum_{m}(N_{jkl}\times M_{jklm}\times D_j)\times 10^{-3}")</definedName>
    <definedName name="MMS_PastureBeef_Methane_Equations.VEERG_4_2_1_1__1_TotalAnnualMethaneProductionFromManureManagement_LatexEquation" localSheetId="3">_xlfn.LAMBDA("E_{CH4}=\sum_{j}\sum_{k}\sum_{l}\sum_{m}(N_{jkl}\times M_{jklm}\times D_j)\times 10^{-3}")</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 localSheetId="11">_xlfn.LAMBDA("")</definedName>
    <definedName name="MMS_PastureBeef_Methane_Equations.VEERG_4_2_1_1__1_TotalAnnualMethaneProductionFromManureManagement_NIRReference" localSheetId="12">_xlfn.LAMBDA("")</definedName>
    <definedName name="MMS_PastureBeef_Methane_Equations.VEERG_4_2_1_1__1_TotalAnnualMethaneProductionFromManureManagement_NIRReference" localSheetId="13">_xlfn.LAMBDA("")</definedName>
    <definedName name="MMS_PastureBeef_Methane_Equations.VEERG_4_2_1_1__1_TotalAnnualMethaneProductionFromManureManagement_NIRReference" localSheetId="14">_xlfn.LAMBDA("")</definedName>
    <definedName name="MMS_PastureBeef_Methane_Equations.VEERG_4_2_1_1__1_TotalAnnualMethaneProductionFromManureManagement_NIRReference" localSheetId="3">_xlfn.LAMBDA("")</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 localSheetId="11">_xlfn.LAMBDA("VEERG 2026: 4.2.1.1, Equation (1)")</definedName>
    <definedName name="MMS_PastureBeef_Methane_Equations.VEERG_4_2_1_1__1_TotalAnnualMethaneProductionFromManureManagement_Source" localSheetId="12">_xlfn.LAMBDA("VEERG 2026: 4.2.1.1, Equation (1)")</definedName>
    <definedName name="MMS_PastureBeef_Methane_Equations.VEERG_4_2_1_1__1_TotalAnnualMethaneProductionFromManureManagement_Source" localSheetId="13">_xlfn.LAMBDA("VEERG 2026: 4.2.1.1, Equation (1)")</definedName>
    <definedName name="MMS_PastureBeef_Methane_Equations.VEERG_4_2_1_1__1_TotalAnnualMethaneProductionFromManureManagement_Source" localSheetId="14">_xlfn.LAMBDA("VEERG 2026: 4.2.1.1, Equation (1)")</definedName>
    <definedName name="MMS_PastureBeef_Methane_Equations.VEERG_4_2_1_1__1_TotalAnnualMethaneProductionFromManureManagement_Source" localSheetId="3">_xlfn.LAMBDA("VEERG 2026: 4.2.1.1, Equation (1)")</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 localSheetId="11">_xlfn.LAMBDA("Total annual methane production from manure management for grazing beef cattle")</definedName>
    <definedName name="MMS_PastureBeef_Methane_Equations.VEERG_4_2_1_1__1_TotalAnnualMethaneProductionFromManureManagement_Title" localSheetId="12">_xlfn.LAMBDA("Total annual methane production from manure management for grazing beef cattle")</definedName>
    <definedName name="MMS_PastureBeef_Methane_Equations.VEERG_4_2_1_1__1_TotalAnnualMethaneProductionFromManureManagement_Title" localSheetId="13">_xlfn.LAMBDA("Total annual methane production from manure management for grazing beef cattle")</definedName>
    <definedName name="MMS_PastureBeef_Methane_Equations.VEERG_4_2_1_1__1_TotalAnnualMethaneProductionFromManureManagement_Title" localSheetId="14">_xlfn.LAMBDA("Total annual methane production from manure management for grazing beef cattle")</definedName>
    <definedName name="MMS_PastureBeef_Methane_Equations.VEERG_4_2_1_1__1_TotalAnnualMethaneProductionFromManureManagement_Title" localSheetId="3">_xlfn.LAMBDA("Total annual methane production from manure management for grazing beef cattle")</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 localSheetId="11">_xlfn.LAMBDA("t CH4")</definedName>
    <definedName name="MMS_PastureBeef_Methane_Equations.VEERG_4_2_1_1__1_TotalAnnualMethaneProductionFromManureManagement_Unit" localSheetId="12">_xlfn.LAMBDA("t CH4")</definedName>
    <definedName name="MMS_PastureBeef_Methane_Equations.VEERG_4_2_1_1__1_TotalAnnualMethaneProductionFromManureManagement_Unit" localSheetId="13">_xlfn.LAMBDA("t CH4")</definedName>
    <definedName name="MMS_PastureBeef_Methane_Equations.VEERG_4_2_1_1__1_TotalAnnualMethaneProductionFromManureManagement_Unit" localSheetId="14">_xlfn.LAMBDA("t CH4")</definedName>
    <definedName name="MMS_PastureBeef_Methane_Equations.VEERG_4_2_1_1__1_TotalAnnualMethaneProductionFromManureManagement_Unit" localSheetId="3">_xlfn.LAMBDA("t CH4")</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 localSheetId="11">_xlfn.LAMBDA("E_CH4")</definedName>
    <definedName name="MMS_PastureBeef_Methane_Equations.VEERG_4_2_1_1__1_TotalAnnualMethaneProductionFromManureManagement_Variable" localSheetId="12">_xlfn.LAMBDA("E_CH4")</definedName>
    <definedName name="MMS_PastureBeef_Methane_Equations.VEERG_4_2_1_1__1_TotalAnnualMethaneProductionFromManureManagement_Variable" localSheetId="13">_xlfn.LAMBDA("E_CH4")</definedName>
    <definedName name="MMS_PastureBeef_Methane_Equations.VEERG_4_2_1_1__1_TotalAnnualMethaneProductionFromManureManagement_Variable" localSheetId="14">_xlfn.LAMBDA("E_CH4")</definedName>
    <definedName name="MMS_PastureBeef_Methane_Equations.VEERG_4_2_1_1__1_TotalAnnualMethaneProductionFromManureManagement_Variable" localSheetId="3">_xlfn.LAMBDA("E_CH4")</definedName>
    <definedName name="MMS_PastureBeef_Methane_Equations.VEERG_4_2_1_1__1_TotalAnnualMethaneProductionFromManureManagement_Variable">_xlfn.LAMBDA("E_CH4")</definedName>
    <definedName name="MMS_PastureBeef_Methane_Equations.VEERG_4_2_1_1__2_MethaneProductionFromManure" localSheetId="11">_xlfn.LAMBDA(_xlpm.VS_jkl,_xlpm.B_o,_xlpm.MMS_m,_xlpm.MCF_im,_xlpm.rho, _xlpm.VS_jkl * _xlpm.B_o * _xlpm.MMS_m * _xlpm.MCF_im * _xlpm.rho)</definedName>
    <definedName name="MMS_PastureBeef_Methane_Equations.VEERG_4_2_1_1__2_MethaneProductionFromManure" localSheetId="12">_xlfn.LAMBDA(_xlpm.VS_jkl,_xlpm.B_o,_xlpm.MMS_m,_xlpm.MCF_im,_xlpm.rho, _xlpm.VS_jkl * _xlpm.B_o * _xlpm.MMS_m * _xlpm.MCF_im * _xlpm.rho)</definedName>
    <definedName name="MMS_PastureBeef_Methane_Equations.VEERG_4_2_1_1__2_MethaneProductionFromManure" localSheetId="13">_xlfn.LAMBDA(_xlpm.VS_jkl,_xlpm.B_o,_xlpm.MMS_m,_xlpm.MCF_im,_xlpm.rho, _xlpm.VS_jkl * _xlpm.B_o * _xlpm.MMS_m * _xlpm.MCF_im * _xlpm.rho)</definedName>
    <definedName name="MMS_PastureBeef_Methane_Equations.VEERG_4_2_1_1__2_MethaneProductionFromManure" localSheetId="14">_xlfn.LAMBDA(_xlpm.VS_jkl,_xlpm.B_o,_xlpm.MMS_m,_xlpm.MCF_im,_xlpm.rho, _xlpm.VS_jkl * _xlpm.B_o * _xlpm.MMS_m * _xlpm.MCF_im * _xlpm.rho)</definedName>
    <definedName name="MMS_PastureBeef_Methane_Equations.VEERG_4_2_1_1__2_MethaneProductionFromManure" localSheetId="3">_xlfn.LAMBDA(_xlpm.VS_jkl,_xlpm.B_o,_xlpm.MMS_m,_xlpm.MCF_im,_xlpm.rho, _xlpm.VS_jkl * _xlpm.B_o * _xlpm.MMS_m * _xlpm.MCF_im * _xlpm.rho)</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 localSheetId="11">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3">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14">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 localSheetId="3">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 localSheetId="11">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3">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14">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 localSheetId="3">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 localSheetId="11">_xlfn.LAMBDA("M_{jklm}=VS_{jkl}\times B_o\times MMS_m\times MCF_{im}\times \rho")</definedName>
    <definedName name="MMS_PastureBeef_Methane_Equations.VEERG_4_2_1_1__2_MethaneProductionFromManure_LatexEquation" localSheetId="12">_xlfn.LAMBDA("M_{jklm}=VS_{jkl}\times B_o\times MMS_m\times MCF_{im}\times \rho")</definedName>
    <definedName name="MMS_PastureBeef_Methane_Equations.VEERG_4_2_1_1__2_MethaneProductionFromManure_LatexEquation" localSheetId="13">_xlfn.LAMBDA("M_{jklm}=VS_{jkl}\times B_o\times MMS_m\times MCF_{im}\times \rho")</definedName>
    <definedName name="MMS_PastureBeef_Methane_Equations.VEERG_4_2_1_1__2_MethaneProductionFromManure_LatexEquation" localSheetId="14">_xlfn.LAMBDA("M_{jklm}=VS_{jkl}\times B_o\times MMS_m\times MCF_{im}\times \rho")</definedName>
    <definedName name="MMS_PastureBeef_Methane_Equations.VEERG_4_2_1_1__2_MethaneProductionFromManure_LatexEquation" localSheetId="3">_xlfn.LAMBDA("M_{jklm}=VS_{jkl}\times B_o\times MMS_m\times MCF_{im}\times \rho")</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 localSheetId="11">_xlfn.LAMBDA("")</definedName>
    <definedName name="MMS_PastureBeef_Methane_Equations.VEERG_4_2_1_1__2_MethaneProductionFromManure_NIRReference" localSheetId="12">_xlfn.LAMBDA("")</definedName>
    <definedName name="MMS_PastureBeef_Methane_Equations.VEERG_4_2_1_1__2_MethaneProductionFromManure_NIRReference" localSheetId="13">_xlfn.LAMBDA("")</definedName>
    <definedName name="MMS_PastureBeef_Methane_Equations.VEERG_4_2_1_1__2_MethaneProductionFromManure_NIRReference" localSheetId="14">_xlfn.LAMBDA("")</definedName>
    <definedName name="MMS_PastureBeef_Methane_Equations.VEERG_4_2_1_1__2_MethaneProductionFromManure_NIRReference" localSheetId="3">_xlfn.LAMBDA("")</definedName>
    <definedName name="MMS_PastureBeef_Methane_Equations.VEERG_4_2_1_1__2_MethaneProductionFromManure_NIRReference">_xlfn.LAMBDA("")</definedName>
    <definedName name="MMS_PastureBeef_Methane_Equations.VEERG_4_2_1_1__2_MethaneProductionFromManure_Source" localSheetId="11">_xlfn.LAMBDA("VEERG 2026: 4.2.1.1, Equation (2)")</definedName>
    <definedName name="MMS_PastureBeef_Methane_Equations.VEERG_4_2_1_1__2_MethaneProductionFromManure_Source" localSheetId="12">_xlfn.LAMBDA("VEERG 2026: 4.2.1.1, Equation (2)")</definedName>
    <definedName name="MMS_PastureBeef_Methane_Equations.VEERG_4_2_1_1__2_MethaneProductionFromManure_Source" localSheetId="13">_xlfn.LAMBDA("VEERG 2026: 4.2.1.1, Equation (2)")</definedName>
    <definedName name="MMS_PastureBeef_Methane_Equations.VEERG_4_2_1_1__2_MethaneProductionFromManure_Source" localSheetId="14">_xlfn.LAMBDA("VEERG 2026: 4.2.1.1, Equation (2)")</definedName>
    <definedName name="MMS_PastureBeef_Methane_Equations.VEERG_4_2_1_1__2_MethaneProductionFromManure_Source" localSheetId="3">_xlfn.LAMBDA("VEERG 2026: 4.2.1.1, Equation (2)")</definedName>
    <definedName name="MMS_PastureBeef_Methane_Equations.VEERG_4_2_1_1__2_MethaneProductionFromManure_Source">_xlfn.LAMBDA("VEERG 2026: 4.2.1.1, Equation (2)")</definedName>
    <definedName name="MMS_PastureBeef_Methane_Equations.VEERG_4_2_1_1__2_MethaneProductionFromManure_Title" localSheetId="11">_xlfn.LAMBDA("Methane production from the manure of grazing beef cattle")</definedName>
    <definedName name="MMS_PastureBeef_Methane_Equations.VEERG_4_2_1_1__2_MethaneProductionFromManure_Title" localSheetId="12">_xlfn.LAMBDA("Methane production from the manure of grazing beef cattle")</definedName>
    <definedName name="MMS_PastureBeef_Methane_Equations.VEERG_4_2_1_1__2_MethaneProductionFromManure_Title" localSheetId="13">_xlfn.LAMBDA("Methane production from the manure of grazing beef cattle")</definedName>
    <definedName name="MMS_PastureBeef_Methane_Equations.VEERG_4_2_1_1__2_MethaneProductionFromManure_Title" localSheetId="14">_xlfn.LAMBDA("Methane production from the manure of grazing beef cattle")</definedName>
    <definedName name="MMS_PastureBeef_Methane_Equations.VEERG_4_2_1_1__2_MethaneProductionFromManure_Title" localSheetId="3">_xlfn.LAMBDA("Methane production from the manure of grazing beef cattle")</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 localSheetId="11">_xlfn.LAMBDA("kg CH4/head/day")</definedName>
    <definedName name="MMS_PastureBeef_Methane_Equations.VEERG_4_2_1_1__2_MethaneProductionFromManure_Unit" localSheetId="12">_xlfn.LAMBDA("kg CH4/head/day")</definedName>
    <definedName name="MMS_PastureBeef_Methane_Equations.VEERG_4_2_1_1__2_MethaneProductionFromManure_Unit" localSheetId="13">_xlfn.LAMBDA("kg CH4/head/day")</definedName>
    <definedName name="MMS_PastureBeef_Methane_Equations.VEERG_4_2_1_1__2_MethaneProductionFromManure_Unit" localSheetId="14">_xlfn.LAMBDA("kg CH4/head/day")</definedName>
    <definedName name="MMS_PastureBeef_Methane_Equations.VEERG_4_2_1_1__2_MethaneProductionFromManure_Unit" localSheetId="3">_xlfn.LAMBDA("kg CH4/head/day")</definedName>
    <definedName name="MMS_PastureBeef_Methane_Equations.VEERG_4_2_1_1__2_MethaneProductionFromManure_Unit">_xlfn.LAMBDA("kg CH4/head/day")</definedName>
    <definedName name="MMS_PastureBeef_Methane_Equations.VEERG_4_2_1_1__2_MethaneProductionFromManure_Variable" localSheetId="11">_xlfn.LAMBDA("M_jklm")</definedName>
    <definedName name="MMS_PastureBeef_Methane_Equations.VEERG_4_2_1_1__2_MethaneProductionFromManure_Variable" localSheetId="12">_xlfn.LAMBDA("M_jklm")</definedName>
    <definedName name="MMS_PastureBeef_Methane_Equations.VEERG_4_2_1_1__2_MethaneProductionFromManure_Variable" localSheetId="13">_xlfn.LAMBDA("M_jklm")</definedName>
    <definedName name="MMS_PastureBeef_Methane_Equations.VEERG_4_2_1_1__2_MethaneProductionFromManure_Variable" localSheetId="14">_xlfn.LAMBDA("M_jklm")</definedName>
    <definedName name="MMS_PastureBeef_Methane_Equations.VEERG_4_2_1_1__2_MethaneProductionFromManure_Variable" localSheetId="3">_xlfn.LAMBDA("M_jklm")</definedName>
    <definedName name="MMS_PastureBeef_Methane_Equations.VEERG_4_2_1_1__2_MethaneProductionFromManure_Variable">_xlfn.LAMBDA("M_jklm")</definedName>
    <definedName name="MMS_PastureBeef_Methane_Equations.VEERG_4_2_1_1__3_VolatileSolidProductionFromGrazingBeef" localSheetId="11">_xlfn.LAMBDA(_xlpm.I_jkl,_xlpm.DMD_jkl,_xlpm.A, (_xlpm.I_jkl * (1 - _xlpm.DMD_jkl) + (0.04 * _xlpm.I_jkl)) * (1 - _xlpm.A))</definedName>
    <definedName name="MMS_PastureBeef_Methane_Equations.VEERG_4_2_1_1__3_VolatileSolidProductionFromGrazingBeef" localSheetId="12">_xlfn.LAMBDA(_xlpm.I_jkl,_xlpm.DMD_jkl,_xlpm.A, (_xlpm.I_jkl * (1 - _xlpm.DMD_jkl) + (0.04 * _xlpm.I_jkl)) * (1 - _xlpm.A))</definedName>
    <definedName name="MMS_PastureBeef_Methane_Equations.VEERG_4_2_1_1__3_VolatileSolidProductionFromGrazingBeef" localSheetId="13">_xlfn.LAMBDA(_xlpm.I_jkl,_xlpm.DMD_jkl,_xlpm.A, (_xlpm.I_jkl * (1 - _xlpm.DMD_jkl) + (0.04 * _xlpm.I_jkl)) * (1 - _xlpm.A))</definedName>
    <definedName name="MMS_PastureBeef_Methane_Equations.VEERG_4_2_1_1__3_VolatileSolidProductionFromGrazingBeef" localSheetId="14">_xlfn.LAMBDA(_xlpm.I_jkl,_xlpm.DMD_jkl,_xlpm.A, (_xlpm.I_jkl * (1 - _xlpm.DMD_jkl) + (0.04 * _xlpm.I_jkl)) * (1 - _xlpm.A))</definedName>
    <definedName name="MMS_PastureBeef_Methane_Equations.VEERG_4_2_1_1__3_VolatileSolidProductionFromGrazingBeef" localSheetId="3">_xlfn.LAMBDA(_xlpm.I_jkl,_xlpm.DMD_jkl,_xlpm.A, (_xlpm.I_jkl * (1 - _xlpm.DMD_jkl) + (0.04 * _xlpm.I_jkl)) * (1 - _xlpm.A))</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 localSheetId="11">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2">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3">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14">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 localSheetId="3">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 localSheetId="11">_xlfn.LAMBDA("VS_{jkl}=(I_{jkl}\times (1-DMD_{jkl})+(0.04\times I_{jkl}))\times (1-A)")</definedName>
    <definedName name="MMS_PastureBeef_Methane_Equations.VEERG_4_2_1_1__3_VolatileSolidProductionFromGrazingBeef_LatexEquation" localSheetId="12">_xlfn.LAMBDA("VS_{jkl}=(I_{jkl}\times (1-DMD_{jkl})+(0.04\times I_{jkl}))\times (1-A)")</definedName>
    <definedName name="MMS_PastureBeef_Methane_Equations.VEERG_4_2_1_1__3_VolatileSolidProductionFromGrazingBeef_LatexEquation" localSheetId="13">_xlfn.LAMBDA("VS_{jkl}=(I_{jkl}\times (1-DMD_{jkl})+(0.04\times I_{jkl}))\times (1-A)")</definedName>
    <definedName name="MMS_PastureBeef_Methane_Equations.VEERG_4_2_1_1__3_VolatileSolidProductionFromGrazingBeef_LatexEquation" localSheetId="14">_xlfn.LAMBDA("VS_{jkl}=(I_{jkl}\times (1-DMD_{jkl})+(0.04\times I_{jkl}))\times (1-A)")</definedName>
    <definedName name="MMS_PastureBeef_Methane_Equations.VEERG_4_2_1_1__3_VolatileSolidProductionFromGrazingBeef_LatexEquation" localSheetId="3">_xlfn.LAMBDA("VS_{jkl}=(I_{jkl}\times (1-DMD_{jkl})+(0.04\times I_{jkl}))\times (1-A)")</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 localSheetId="11">_xlfn.LAMBDA("")</definedName>
    <definedName name="MMS_PastureBeef_Methane_Equations.VEERG_4_2_1_1__3_VolatileSolidProductionFromGrazingBeef_NIRReference" localSheetId="12">_xlfn.LAMBDA("")</definedName>
    <definedName name="MMS_PastureBeef_Methane_Equations.VEERG_4_2_1_1__3_VolatileSolidProductionFromGrazingBeef_NIRReference" localSheetId="13">_xlfn.LAMBDA("")</definedName>
    <definedName name="MMS_PastureBeef_Methane_Equations.VEERG_4_2_1_1__3_VolatileSolidProductionFromGrazingBeef_NIRReference" localSheetId="14">_xlfn.LAMBDA("")</definedName>
    <definedName name="MMS_PastureBeef_Methane_Equations.VEERG_4_2_1_1__3_VolatileSolidProductionFromGrazingBeef_NIRReference" localSheetId="3">_xlfn.LAMBDA("")</definedName>
    <definedName name="MMS_PastureBeef_Methane_Equations.VEERG_4_2_1_1__3_VolatileSolidProductionFromGrazingBeef_NIRReference">_xlfn.LAMBDA("")</definedName>
    <definedName name="MMS_PastureBeef_Methane_Equations.VEERG_4_2_1_1__3_VolatileSolidProductionFromGrazingBeef_Source" localSheetId="11">_xlfn.LAMBDA("VEERG 2026: 4.2.1.1, Equation (3)")</definedName>
    <definedName name="MMS_PastureBeef_Methane_Equations.VEERG_4_2_1_1__3_VolatileSolidProductionFromGrazingBeef_Source" localSheetId="12">_xlfn.LAMBDA("VEERG 2026: 4.2.1.1, Equation (3)")</definedName>
    <definedName name="MMS_PastureBeef_Methane_Equations.VEERG_4_2_1_1__3_VolatileSolidProductionFromGrazingBeef_Source" localSheetId="13">_xlfn.LAMBDA("VEERG 2026: 4.2.1.1, Equation (3)")</definedName>
    <definedName name="MMS_PastureBeef_Methane_Equations.VEERG_4_2_1_1__3_VolatileSolidProductionFromGrazingBeef_Source" localSheetId="14">_xlfn.LAMBDA("VEERG 2026: 4.2.1.1, Equation (3)")</definedName>
    <definedName name="MMS_PastureBeef_Methane_Equations.VEERG_4_2_1_1__3_VolatileSolidProductionFromGrazingBeef_Source" localSheetId="3">_xlfn.LAMBDA("VEERG 2026: 4.2.1.1, Equation (3)")</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 localSheetId="11">_xlfn.LAMBDA("Volatile solid production from grazing beef")</definedName>
    <definedName name="MMS_PastureBeef_Methane_Equations.VEERG_4_2_1_1__3_VolatileSolidProductionFromGrazingBeef_Title" localSheetId="12">_xlfn.LAMBDA("Volatile solid production from grazing beef")</definedName>
    <definedName name="MMS_PastureBeef_Methane_Equations.VEERG_4_2_1_1__3_VolatileSolidProductionFromGrazingBeef_Title" localSheetId="13">_xlfn.LAMBDA("Volatile solid production from grazing beef")</definedName>
    <definedName name="MMS_PastureBeef_Methane_Equations.VEERG_4_2_1_1__3_VolatileSolidProductionFromGrazingBeef_Title" localSheetId="14">_xlfn.LAMBDA("Volatile solid production from grazing beef")</definedName>
    <definedName name="MMS_PastureBeef_Methane_Equations.VEERG_4_2_1_1__3_VolatileSolidProductionFromGrazingBeef_Title" localSheetId="3">_xlfn.LAMBDA("Volatile solid production from grazing beef")</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 localSheetId="11">_xlfn.LAMBDA("kg/head/day")</definedName>
    <definedName name="MMS_PastureBeef_Methane_Equations.VEERG_4_2_1_1__3_VolatileSolidProductionFromGrazingBeef_Unit" localSheetId="12">_xlfn.LAMBDA("kg/head/day")</definedName>
    <definedName name="MMS_PastureBeef_Methane_Equations.VEERG_4_2_1_1__3_VolatileSolidProductionFromGrazingBeef_Unit" localSheetId="13">_xlfn.LAMBDA("kg/head/day")</definedName>
    <definedName name="MMS_PastureBeef_Methane_Equations.VEERG_4_2_1_1__3_VolatileSolidProductionFromGrazingBeef_Unit" localSheetId="14">_xlfn.LAMBDA("kg/head/day")</definedName>
    <definedName name="MMS_PastureBeef_Methane_Equations.VEERG_4_2_1_1__3_VolatileSolidProductionFromGrazingBeef_Unit" localSheetId="3">_xlfn.LAMBDA("kg/head/day")</definedName>
    <definedName name="MMS_PastureBeef_Methane_Equations.VEERG_4_2_1_1__3_VolatileSolidProductionFromGrazingBeef_Unit">_xlfn.LAMBDA("kg/head/day")</definedName>
    <definedName name="MMS_PastureBeef_Methane_Equations.VEERG_4_2_1_1__3_VolatileSolidProductionFromGrazingBeef_Variable" localSheetId="11">_xlfn.LAMBDA("VS_jkl")</definedName>
    <definedName name="MMS_PastureBeef_Methane_Equations.VEERG_4_2_1_1__3_VolatileSolidProductionFromGrazingBeef_Variable" localSheetId="12">_xlfn.LAMBDA("VS_jkl")</definedName>
    <definedName name="MMS_PastureBeef_Methane_Equations.VEERG_4_2_1_1__3_VolatileSolidProductionFromGrazingBeef_Variable" localSheetId="13">_xlfn.LAMBDA("VS_jkl")</definedName>
    <definedName name="MMS_PastureBeef_Methane_Equations.VEERG_4_2_1_1__3_VolatileSolidProductionFromGrazingBeef_Variable" localSheetId="14">_xlfn.LAMBDA("VS_jkl")</definedName>
    <definedName name="MMS_PastureBeef_Methane_Equations.VEERG_4_2_1_1__3_VolatileSolidProductionFromGrazingBeef_Variable" localSheetId="3">_xlfn.LAMBDA("VS_jkl")</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 localSheetId="11">_xlfn.LAMBDA(_xlpm.M_vol,_xlpm.EF_N2O,_xlpm.C_N2O, _xlpm.M_vol * _xlpm.EF_N2O * _xlpm.C_N2O * 10 ^ -3)</definedName>
    <definedName name="MMS_PastureBeef_Soil_AtmosphericDeposition_Equations.VEERG_4_2_1_5__1_AtmosphericDepositionEmissionsFromUrineAndDungOnPasture" localSheetId="12">_xlfn.LAMBDA(_xlpm.M_vol,_xlpm.EF_N2O,_xlpm.C_N2O, _xlpm.M_vol * _xlpm.EF_N2O * _xlpm.C_N2O * 10 ^ -3)</definedName>
    <definedName name="MMS_PastureBeef_Soil_AtmosphericDeposition_Equations.VEERG_4_2_1_5__1_AtmosphericDepositionEmissionsFromUrineAndDungOnPasture" localSheetId="13">_xlfn.LAMBDA(_xlpm.M_vol,_xlpm.EF_N2O,_xlpm.C_N2O, _xlpm.M_vol * _xlpm.EF_N2O * _xlpm.C_N2O * 10 ^ -3)</definedName>
    <definedName name="MMS_PastureBeef_Soil_AtmosphericDeposition_Equations.VEERG_4_2_1_5__1_AtmosphericDepositionEmissionsFromUrineAndDungOnPasture" localSheetId="14">_xlfn.LAMBDA(_xlpm.M_vol,_xlpm.EF_N2O,_xlpm.C_N2O, _xlpm.M_vol * _xlpm.EF_N2O * _xlpm.C_N2O * 10 ^ -3)</definedName>
    <definedName name="MMS_PastureBeef_Soil_AtmosphericDeposition_Equations.VEERG_4_2_1_5__1_AtmosphericDepositionEmissionsFromUrineAndDungOnPasture" localSheetId="3">_xlfn.LAMBDA(_xlpm.M_vol,_xlpm.EF_N2O,_xlpm.C_N2O, _xlpm.M_vol * _xlpm.EF_N2O * _xlpm.C_N2O * 10 ^ -3)</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 localSheetId="11">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2">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3">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14">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 localSheetId="3">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 localSheetId="11">_xlfn.LAMBDA("E_{N2O,ad}=M_{vol}\times EF_{N2O}\times C_{N2O}\times 10^{-3}")</definedName>
    <definedName name="MMS_PastureBeef_Soil_AtmosphericDeposition_Equations.VEERG_4_2_1_5__1_AtmosphericDepositionEmissionsFromUrineAndDungOnPasture_LatexEquation" localSheetId="12">_xlfn.LAMBDA("E_{N2O,ad}=M_{vol}\times EF_{N2O}\times C_{N2O}\times 10^{-3}")</definedName>
    <definedName name="MMS_PastureBeef_Soil_AtmosphericDeposition_Equations.VEERG_4_2_1_5__1_AtmosphericDepositionEmissionsFromUrineAndDungOnPasture_LatexEquation" localSheetId="13">_xlfn.LAMBDA("E_{N2O,ad}=M_{vol}\times EF_{N2O}\times C_{N2O}\times 10^{-3}")</definedName>
    <definedName name="MMS_PastureBeef_Soil_AtmosphericDeposition_Equations.VEERG_4_2_1_5__1_AtmosphericDepositionEmissionsFromUrineAndDungOnPasture_LatexEquation" localSheetId="14">_xlfn.LAMBDA("E_{N2O,ad}=M_{vol}\times EF_{N2O}\times C_{N2O}\times 10^{-3}")</definedName>
    <definedName name="MMS_PastureBeef_Soil_AtmosphericDeposition_Equations.VEERG_4_2_1_5__1_AtmosphericDepositionEmissionsFromUrineAndDungOnPasture_LatexEquation" localSheetId="3">_xlfn.LAMBDA("E_{N2O,ad}=M_{vol}\times EF_{N2O}\times C_{N2O}\times 10^{-3}")</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 localSheetId="11">_xlfn.LAMBDA("")</definedName>
    <definedName name="MMS_PastureBeef_Soil_AtmosphericDeposition_Equations.VEERG_4_2_1_5__1_AtmosphericDepositionEmissionsFromUrineAndDungOnPasture_NIRReference" localSheetId="12">_xlfn.LAMBDA("")</definedName>
    <definedName name="MMS_PastureBeef_Soil_AtmosphericDeposition_Equations.VEERG_4_2_1_5__1_AtmosphericDepositionEmissionsFromUrineAndDungOnPasture_NIRReference" localSheetId="13">_xlfn.LAMBDA("")</definedName>
    <definedName name="MMS_PastureBeef_Soil_AtmosphericDeposition_Equations.VEERG_4_2_1_5__1_AtmosphericDepositionEmissionsFromUrineAndDungOnPasture_NIRReference" localSheetId="14">_xlfn.LAMBDA("")</definedName>
    <definedName name="MMS_PastureBeef_Soil_AtmosphericDeposition_Equations.VEERG_4_2_1_5__1_AtmosphericDepositionEmissionsFromUrineAndDungOnPasture_NIRReference" localSheetId="3">_xlfn.LAMBDA("")</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 localSheetId="11">_xlfn.LAMBDA("VEERG 2026: 4.2.1.5, Equation (1)")</definedName>
    <definedName name="MMS_PastureBeef_Soil_AtmosphericDeposition_Equations.VEERG_4_2_1_5__1_AtmosphericDepositionEmissionsFromUrineAndDungOnPasture_Source" localSheetId="12">_xlfn.LAMBDA("VEERG 2026: 4.2.1.5, Equation (1)")</definedName>
    <definedName name="MMS_PastureBeef_Soil_AtmosphericDeposition_Equations.VEERG_4_2_1_5__1_AtmosphericDepositionEmissionsFromUrineAndDungOnPasture_Source" localSheetId="13">_xlfn.LAMBDA("VEERG 2026: 4.2.1.5, Equation (1)")</definedName>
    <definedName name="MMS_PastureBeef_Soil_AtmosphericDeposition_Equations.VEERG_4_2_1_5__1_AtmosphericDepositionEmissionsFromUrineAndDungOnPasture_Source" localSheetId="14">_xlfn.LAMBDA("VEERG 2026: 4.2.1.5, Equation (1)")</definedName>
    <definedName name="MMS_PastureBeef_Soil_AtmosphericDeposition_Equations.VEERG_4_2_1_5__1_AtmosphericDepositionEmissionsFromUrineAndDungOnPasture_Source" localSheetId="3">_xlfn.LAMBDA("VEERG 2026: 4.2.1.5, Equation (1)")</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 localSheetId="11">_xlfn.LAMBDA("Atmospheric deposition emissions from urine and dung deposited on pasture")</definedName>
    <definedName name="MMS_PastureBeef_Soil_AtmosphericDeposition_Equations.VEERG_4_2_1_5__1_AtmosphericDepositionEmissionsFromUrineAndDungOnPasture_Title" localSheetId="12">_xlfn.LAMBDA("Atmospheric deposition emissions from urine and dung deposited on pasture")</definedName>
    <definedName name="MMS_PastureBeef_Soil_AtmosphericDeposition_Equations.VEERG_4_2_1_5__1_AtmosphericDepositionEmissionsFromUrineAndDungOnPasture_Title" localSheetId="13">_xlfn.LAMBDA("Atmospheric deposition emissions from urine and dung deposited on pasture")</definedName>
    <definedName name="MMS_PastureBeef_Soil_AtmosphericDeposition_Equations.VEERG_4_2_1_5__1_AtmosphericDepositionEmissionsFromUrineAndDungOnPasture_Title" localSheetId="14">_xlfn.LAMBDA("Atmospheric deposition emissions from urine and dung deposited on pasture")</definedName>
    <definedName name="MMS_PastureBeef_Soil_AtmosphericDeposition_Equations.VEERG_4_2_1_5__1_AtmosphericDepositionEmissionsFromUrineAndDungOnPasture_Title" localSheetId="3">_xlfn.LAMBDA("Atmospheric deposition emissions from urine and dung deposited on pasture")</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 localSheetId="11">_xlfn.LAMBDA("t N2O")</definedName>
    <definedName name="MMS_PastureBeef_Soil_AtmosphericDeposition_Equations.VEERG_4_2_1_5__1_AtmosphericDepositionEmissionsFromUrineAndDungOnPasture_Unit" localSheetId="12">_xlfn.LAMBDA("t N2O")</definedName>
    <definedName name="MMS_PastureBeef_Soil_AtmosphericDeposition_Equations.VEERG_4_2_1_5__1_AtmosphericDepositionEmissionsFromUrineAndDungOnPasture_Unit" localSheetId="13">_xlfn.LAMBDA("t N2O")</definedName>
    <definedName name="MMS_PastureBeef_Soil_AtmosphericDeposition_Equations.VEERG_4_2_1_5__1_AtmosphericDepositionEmissionsFromUrineAndDungOnPasture_Unit" localSheetId="14">_xlfn.LAMBDA("t N2O")</definedName>
    <definedName name="MMS_PastureBeef_Soil_AtmosphericDeposition_Equations.VEERG_4_2_1_5__1_AtmosphericDepositionEmissionsFromUrineAndDungOnPasture_Unit" localSheetId="3">_xlfn.LAMBDA("t N2O")</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 localSheetId="11">_xlfn.LAMBDA("E_N2Oad")</definedName>
    <definedName name="MMS_PastureBeef_Soil_AtmosphericDeposition_Equations.VEERG_4_2_1_5__1_AtmosphericDepositionEmissionsFromUrineAndDungOnPasture_Variable" localSheetId="12">_xlfn.LAMBDA("E_N2Oad")</definedName>
    <definedName name="MMS_PastureBeef_Soil_AtmosphericDeposition_Equations.VEERG_4_2_1_5__1_AtmosphericDepositionEmissionsFromUrineAndDungOnPasture_Variable" localSheetId="13">_xlfn.LAMBDA("E_N2Oad")</definedName>
    <definedName name="MMS_PastureBeef_Soil_AtmosphericDeposition_Equations.VEERG_4_2_1_5__1_AtmosphericDepositionEmissionsFromUrineAndDungOnPasture_Variable" localSheetId="14">_xlfn.LAMBDA("E_N2Oad")</definedName>
    <definedName name="MMS_PastureBeef_Soil_AtmosphericDeposition_Equations.VEERG_4_2_1_5__1_AtmosphericDepositionEmissionsFromUrineAndDungOnPasture_Variable" localSheetId="3">_xlfn.LAMBDA("E_N2Oad")</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 localSheetId="11">_xlfn.LAMBDA(_xlpm.AE,_xlpm.FracGASMsoil, _xlpm.AE * _xlpm.FracGASMsoil)</definedName>
    <definedName name="MMS_PastureBeef_Soil_AtmosphericDeposition_Equations.VEERG_4_2_1_5__2_MassOfNitrogenVolatilisedOnPasture" localSheetId="12">_xlfn.LAMBDA(_xlpm.AE,_xlpm.FracGASMsoil, _xlpm.AE * _xlpm.FracGASMsoil)</definedName>
    <definedName name="MMS_PastureBeef_Soil_AtmosphericDeposition_Equations.VEERG_4_2_1_5__2_MassOfNitrogenVolatilisedOnPasture" localSheetId="13">_xlfn.LAMBDA(_xlpm.AE,_xlpm.FracGASMsoil, _xlpm.AE * _xlpm.FracGASMsoil)</definedName>
    <definedName name="MMS_PastureBeef_Soil_AtmosphericDeposition_Equations.VEERG_4_2_1_5__2_MassOfNitrogenVolatilisedOnPasture" localSheetId="14">_xlfn.LAMBDA(_xlpm.AE,_xlpm.FracGASMsoil, _xlpm.AE * _xlpm.FracGASMsoil)</definedName>
    <definedName name="MMS_PastureBeef_Soil_AtmosphericDeposition_Equations.VEERG_4_2_1_5__2_MassOfNitrogenVolatilisedOnPasture" localSheetId="3">_xlfn.LAMBDA(_xlpm.AE,_xlpm.FracGASMsoil, _xlpm.AE * _xlpm.FracGASMsoil)</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 localSheetId="11">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2">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3">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14">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 localSheetId="3">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 localSheetId="11">_xlfn.LAMBDA("M_{vol}=AE\times FracGASMsoil")</definedName>
    <definedName name="MMS_PastureBeef_Soil_AtmosphericDeposition_Equations.VEERG_4_2_1_5__2_MassOfNitrogenVolatilisedOnPasture_LatexEquation" localSheetId="12">_xlfn.LAMBDA("M_{vol}=AE\times FracGASMsoil")</definedName>
    <definedName name="MMS_PastureBeef_Soil_AtmosphericDeposition_Equations.VEERG_4_2_1_5__2_MassOfNitrogenVolatilisedOnPasture_LatexEquation" localSheetId="13">_xlfn.LAMBDA("M_{vol}=AE\times FracGASMsoil")</definedName>
    <definedName name="MMS_PastureBeef_Soil_AtmosphericDeposition_Equations.VEERG_4_2_1_5__2_MassOfNitrogenVolatilisedOnPasture_LatexEquation" localSheetId="14">_xlfn.LAMBDA("M_{vol}=AE\times FracGASMsoil")</definedName>
    <definedName name="MMS_PastureBeef_Soil_AtmosphericDeposition_Equations.VEERG_4_2_1_5__2_MassOfNitrogenVolatilisedOnPasture_LatexEquation" localSheetId="3">_xlfn.LAMBDA("M_{vol}=AE\times FracGASMsoil")</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 localSheetId="11">_xlfn.LAMBDA("")</definedName>
    <definedName name="MMS_PastureBeef_Soil_AtmosphericDeposition_Equations.VEERG_4_2_1_5__2_MassOfNitrogenVolatilisedOnPasture_NIRReference" localSheetId="12">_xlfn.LAMBDA("")</definedName>
    <definedName name="MMS_PastureBeef_Soil_AtmosphericDeposition_Equations.VEERG_4_2_1_5__2_MassOfNitrogenVolatilisedOnPasture_NIRReference" localSheetId="13">_xlfn.LAMBDA("")</definedName>
    <definedName name="MMS_PastureBeef_Soil_AtmosphericDeposition_Equations.VEERG_4_2_1_5__2_MassOfNitrogenVolatilisedOnPasture_NIRReference" localSheetId="14">_xlfn.LAMBDA("")</definedName>
    <definedName name="MMS_PastureBeef_Soil_AtmosphericDeposition_Equations.VEERG_4_2_1_5__2_MassOfNitrogenVolatilisedOnPasture_NIRReference" localSheetId="3">_xlfn.LAMBDA("")</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 localSheetId="11">_xlfn.LAMBDA("VEERG 2026: 4.2.1.5, Equation (2)")</definedName>
    <definedName name="MMS_PastureBeef_Soil_AtmosphericDeposition_Equations.VEERG_4_2_1_5__2_MassOfNitrogenVolatilisedOnPasture_Source" localSheetId="12">_xlfn.LAMBDA("VEERG 2026: 4.2.1.5, Equation (2)")</definedName>
    <definedName name="MMS_PastureBeef_Soil_AtmosphericDeposition_Equations.VEERG_4_2_1_5__2_MassOfNitrogenVolatilisedOnPasture_Source" localSheetId="13">_xlfn.LAMBDA("VEERG 2026: 4.2.1.5, Equation (2)")</definedName>
    <definedName name="MMS_PastureBeef_Soil_AtmosphericDeposition_Equations.VEERG_4_2_1_5__2_MassOfNitrogenVolatilisedOnPasture_Source" localSheetId="14">_xlfn.LAMBDA("VEERG 2026: 4.2.1.5, Equation (2)")</definedName>
    <definedName name="MMS_PastureBeef_Soil_AtmosphericDeposition_Equations.VEERG_4_2_1_5__2_MassOfNitrogenVolatilisedOnPasture_Source" localSheetId="3">_xlfn.LAMBDA("VEERG 2026: 4.2.1.5, Equation (2)")</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 localSheetId="11">_xlfn.LAMBDA("Mass of nitrogen volatilised")</definedName>
    <definedName name="MMS_PastureBeef_Soil_AtmosphericDeposition_Equations.VEERG_4_2_1_5__2_MassOfNitrogenVolatilisedOnPasture_Title" localSheetId="12">_xlfn.LAMBDA("Mass of nitrogen volatilised")</definedName>
    <definedName name="MMS_PastureBeef_Soil_AtmosphericDeposition_Equations.VEERG_4_2_1_5__2_MassOfNitrogenVolatilisedOnPasture_Title" localSheetId="13">_xlfn.LAMBDA("Mass of nitrogen volatilised")</definedName>
    <definedName name="MMS_PastureBeef_Soil_AtmosphericDeposition_Equations.VEERG_4_2_1_5__2_MassOfNitrogenVolatilisedOnPasture_Title" localSheetId="14">_xlfn.LAMBDA("Mass of nitrogen volatilised")</definedName>
    <definedName name="MMS_PastureBeef_Soil_AtmosphericDeposition_Equations.VEERG_4_2_1_5__2_MassOfNitrogenVolatilisedOnPasture_Title" localSheetId="3">_xlfn.LAMBDA("Mass of nitrogen volatilised")</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 localSheetId="11">_xlfn.LAMBDA("kg N")</definedName>
    <definedName name="MMS_PastureBeef_Soil_AtmosphericDeposition_Equations.VEERG_4_2_1_5__2_MassOfNitrogenVolatilisedOnPasture_Unit" localSheetId="12">_xlfn.LAMBDA("kg N")</definedName>
    <definedName name="MMS_PastureBeef_Soil_AtmosphericDeposition_Equations.VEERG_4_2_1_5__2_MassOfNitrogenVolatilisedOnPasture_Unit" localSheetId="13">_xlfn.LAMBDA("kg N")</definedName>
    <definedName name="MMS_PastureBeef_Soil_AtmosphericDeposition_Equations.VEERG_4_2_1_5__2_MassOfNitrogenVolatilisedOnPasture_Unit" localSheetId="14">_xlfn.LAMBDA("kg N")</definedName>
    <definedName name="MMS_PastureBeef_Soil_AtmosphericDeposition_Equations.VEERG_4_2_1_5__2_MassOfNitrogenVolatilisedOnPasture_Unit" localSheetId="3">_xlfn.LAMBDA("kg N")</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 localSheetId="11">_xlfn.LAMBDA("M_vol")</definedName>
    <definedName name="MMS_PastureBeef_Soil_AtmosphericDeposition_Equations.VEERG_4_2_1_5__2_MassOfNitrogenVolatilisedOnPasture_Variable" localSheetId="12">_xlfn.LAMBDA("M_vol")</definedName>
    <definedName name="MMS_PastureBeef_Soil_AtmosphericDeposition_Equations.VEERG_4_2_1_5__2_MassOfNitrogenVolatilisedOnPasture_Variable" localSheetId="13">_xlfn.LAMBDA("M_vol")</definedName>
    <definedName name="MMS_PastureBeef_Soil_AtmosphericDeposition_Equations.VEERG_4_2_1_5__2_MassOfNitrogenVolatilisedOnPasture_Variable" localSheetId="14">_xlfn.LAMBDA("M_vol")</definedName>
    <definedName name="MMS_PastureBeef_Soil_AtmosphericDeposition_Equations.VEERG_4_2_1_5__2_MassOfNitrogenVolatilisedOnPasture_Variable" localSheetId="3">_xlfn.LAMBDA("M_vol")</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 localSheetId="11">_xlfn.LAMBDA(_xlpm.M_leach,_xlpm.EF_leach,_xlpm.C_N2O, _xlpm.M_leach * _xlpm.EF_leach * _xlpm.C_N2O * 10 ^ -3)</definedName>
    <definedName name="MMS_PastureBeef_Soil_LeachingAndRunoff.VEERG_4_2_1_7__1_LeachingAndRunoffEmissionsFromUrineAndDungOnPasture" localSheetId="12">_xlfn.LAMBDA(_xlpm.M_leach,_xlpm.EF_leach,_xlpm.C_N2O, _xlpm.M_leach * _xlpm.EF_leach * _xlpm.C_N2O * 10 ^ -3)</definedName>
    <definedName name="MMS_PastureBeef_Soil_LeachingAndRunoff.VEERG_4_2_1_7__1_LeachingAndRunoffEmissionsFromUrineAndDungOnPasture" localSheetId="13">_xlfn.LAMBDA(_xlpm.M_leach,_xlpm.EF_leach,_xlpm.C_N2O, _xlpm.M_leach * _xlpm.EF_leach * _xlpm.C_N2O * 10 ^ -3)</definedName>
    <definedName name="MMS_PastureBeef_Soil_LeachingAndRunoff.VEERG_4_2_1_7__1_LeachingAndRunoffEmissionsFromUrineAndDungOnPasture" localSheetId="14">_xlfn.LAMBDA(_xlpm.M_leach,_xlpm.EF_leach,_xlpm.C_N2O, _xlpm.M_leach * _xlpm.EF_leach * _xlpm.C_N2O * 10 ^ -3)</definedName>
    <definedName name="MMS_PastureBeef_Soil_LeachingAndRunoff.VEERG_4_2_1_7__1_LeachingAndRunoffEmissionsFromUrineAndDungOnPasture" localSheetId="3">_xlfn.LAMBDA(_xlpm.M_leach,_xlpm.EF_leach,_xlpm.C_N2O, _xlpm.M_leach * _xlpm.EF_leach * _xlpm.C_N2O * 10 ^ -3)</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 localSheetId="11">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2">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3">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14">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 localSheetId="3">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 localSheetId="11">_xlfn.LAMBDA("E_{N2O,leach}=M_{leach}\times EF_{leach}\times C_{N2O}\times 10^{-3}")</definedName>
    <definedName name="MMS_PastureBeef_Soil_LeachingAndRunoff.VEERG_4_2_1_7__1_LeachingAndRunoffEmissionsFromUrineAndDungOnPasture_LatexEquation" localSheetId="12">_xlfn.LAMBDA("E_{N2O,leach}=M_{leach}\times EF_{leach}\times C_{N2O}\times 10^{-3}")</definedName>
    <definedName name="MMS_PastureBeef_Soil_LeachingAndRunoff.VEERG_4_2_1_7__1_LeachingAndRunoffEmissionsFromUrineAndDungOnPasture_LatexEquation" localSheetId="13">_xlfn.LAMBDA("E_{N2O,leach}=M_{leach}\times EF_{leach}\times C_{N2O}\times 10^{-3}")</definedName>
    <definedName name="MMS_PastureBeef_Soil_LeachingAndRunoff.VEERG_4_2_1_7__1_LeachingAndRunoffEmissionsFromUrineAndDungOnPasture_LatexEquation" localSheetId="14">_xlfn.LAMBDA("E_{N2O,leach}=M_{leach}\times EF_{leach}\times C_{N2O}\times 10^{-3}")</definedName>
    <definedName name="MMS_PastureBeef_Soil_LeachingAndRunoff.VEERG_4_2_1_7__1_LeachingAndRunoffEmissionsFromUrineAndDungOnPasture_LatexEquation" localSheetId="3">_xlfn.LAMBDA("E_{N2O,leach}=M_{leach}\times EF_{leach}\times C_{N2O}\times 10^{-3}")</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 localSheetId="11">_xlfn.LAMBDA("")</definedName>
    <definedName name="MMS_PastureBeef_Soil_LeachingAndRunoff.VEERG_4_2_1_7__1_LeachingAndRunoffEmissionsFromUrineAndDungOnPasture_NIRReference" localSheetId="12">_xlfn.LAMBDA("")</definedName>
    <definedName name="MMS_PastureBeef_Soil_LeachingAndRunoff.VEERG_4_2_1_7__1_LeachingAndRunoffEmissionsFromUrineAndDungOnPasture_NIRReference" localSheetId="13">_xlfn.LAMBDA("")</definedName>
    <definedName name="MMS_PastureBeef_Soil_LeachingAndRunoff.VEERG_4_2_1_7__1_LeachingAndRunoffEmissionsFromUrineAndDungOnPasture_NIRReference" localSheetId="14">_xlfn.LAMBDA("")</definedName>
    <definedName name="MMS_PastureBeef_Soil_LeachingAndRunoff.VEERG_4_2_1_7__1_LeachingAndRunoffEmissionsFromUrineAndDungOnPasture_NIRReference" localSheetId="3">_xlfn.LAMBDA("")</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 localSheetId="11">_xlfn.LAMBDA("VEERG 2026: 4.2.1.7, Equation (1)")</definedName>
    <definedName name="MMS_PastureBeef_Soil_LeachingAndRunoff.VEERG_4_2_1_7__1_LeachingAndRunoffEmissionsFromUrineAndDungOnPasture_Source" localSheetId="12">_xlfn.LAMBDA("VEERG 2026: 4.2.1.7, Equation (1)")</definedName>
    <definedName name="MMS_PastureBeef_Soil_LeachingAndRunoff.VEERG_4_2_1_7__1_LeachingAndRunoffEmissionsFromUrineAndDungOnPasture_Source" localSheetId="13">_xlfn.LAMBDA("VEERG 2026: 4.2.1.7, Equation (1)")</definedName>
    <definedName name="MMS_PastureBeef_Soil_LeachingAndRunoff.VEERG_4_2_1_7__1_LeachingAndRunoffEmissionsFromUrineAndDungOnPasture_Source" localSheetId="14">_xlfn.LAMBDA("VEERG 2026: 4.2.1.7, Equation (1)")</definedName>
    <definedName name="MMS_PastureBeef_Soil_LeachingAndRunoff.VEERG_4_2_1_7__1_LeachingAndRunoffEmissionsFromUrineAndDungOnPasture_Source" localSheetId="3">_xlfn.LAMBDA("VEERG 2026: 4.2.1.7, Equation (1)")</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 localSheetId="11">_xlfn.LAMBDA("Leaching and runoff emissions from urine and dung deposited on pasture")</definedName>
    <definedName name="MMS_PastureBeef_Soil_LeachingAndRunoff.VEERG_4_2_1_7__1_LeachingAndRunoffEmissionsFromUrineAndDungOnPasture_Title" localSheetId="12">_xlfn.LAMBDA("Leaching and runoff emissions from urine and dung deposited on pasture")</definedName>
    <definedName name="MMS_PastureBeef_Soil_LeachingAndRunoff.VEERG_4_2_1_7__1_LeachingAndRunoffEmissionsFromUrineAndDungOnPasture_Title" localSheetId="13">_xlfn.LAMBDA("Leaching and runoff emissions from urine and dung deposited on pasture")</definedName>
    <definedName name="MMS_PastureBeef_Soil_LeachingAndRunoff.VEERG_4_2_1_7__1_LeachingAndRunoffEmissionsFromUrineAndDungOnPasture_Title" localSheetId="14">_xlfn.LAMBDA("Leaching and runoff emissions from urine and dung deposited on pasture")</definedName>
    <definedName name="MMS_PastureBeef_Soil_LeachingAndRunoff.VEERG_4_2_1_7__1_LeachingAndRunoffEmissionsFromUrineAndDungOnPasture_Title" localSheetId="3">_xlfn.LAMBDA("Leaching and runoff emissions from urine and dung deposited on pasture")</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 localSheetId="11">_xlfn.LAMBDA("t N2O")</definedName>
    <definedName name="MMS_PastureBeef_Soil_LeachingAndRunoff.VEERG_4_2_1_7__1_LeachingAndRunoffEmissionsFromUrineAndDungOnPasture_Unit" localSheetId="12">_xlfn.LAMBDA("t N2O")</definedName>
    <definedName name="MMS_PastureBeef_Soil_LeachingAndRunoff.VEERG_4_2_1_7__1_LeachingAndRunoffEmissionsFromUrineAndDungOnPasture_Unit" localSheetId="13">_xlfn.LAMBDA("t N2O")</definedName>
    <definedName name="MMS_PastureBeef_Soil_LeachingAndRunoff.VEERG_4_2_1_7__1_LeachingAndRunoffEmissionsFromUrineAndDungOnPasture_Unit" localSheetId="14">_xlfn.LAMBDA("t N2O")</definedName>
    <definedName name="MMS_PastureBeef_Soil_LeachingAndRunoff.VEERG_4_2_1_7__1_LeachingAndRunoffEmissionsFromUrineAndDungOnPasture_Unit" localSheetId="3">_xlfn.LAMBDA("t N2O")</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 localSheetId="11">_xlfn.LAMBDA("E_N2Oleach")</definedName>
    <definedName name="MMS_PastureBeef_Soil_LeachingAndRunoff.VEERG_4_2_1_7__1_LeachingAndRunoffEmissionsFromUrineAndDungOnPasture_Variable" localSheetId="12">_xlfn.LAMBDA("E_N2Oleach")</definedName>
    <definedName name="MMS_PastureBeef_Soil_LeachingAndRunoff.VEERG_4_2_1_7__1_LeachingAndRunoffEmissionsFromUrineAndDungOnPasture_Variable" localSheetId="13">_xlfn.LAMBDA("E_N2Oleach")</definedName>
    <definedName name="MMS_PastureBeef_Soil_LeachingAndRunoff.VEERG_4_2_1_7__1_LeachingAndRunoffEmissionsFromUrineAndDungOnPasture_Variable" localSheetId="14">_xlfn.LAMBDA("E_N2Oleach")</definedName>
    <definedName name="MMS_PastureBeef_Soil_LeachingAndRunoff.VEERG_4_2_1_7__1_LeachingAndRunoffEmissionsFromUrineAndDungOnPasture_Variable" localSheetId="3">_xlfn.LAMBDA("E_N2Oleach")</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 localSheetId="11">_xlfn.LAMBDA(_xlpm.AE,_xlpm.FracWet,_xlpm.FracLEACH, _xlpm.AE * _xlpm.FracWet * _xlpm.FracLEACH)</definedName>
    <definedName name="MMS_PastureBeef_Soil_LeachingAndRunoff.VEERG_4_2_1_7__2_MassOfNitrogenLostToLeachingAndRunoffOnPasture" localSheetId="12">_xlfn.LAMBDA(_xlpm.AE,_xlpm.FracWet,_xlpm.FracLEACH, _xlpm.AE * _xlpm.FracWet * _xlpm.FracLEACH)</definedName>
    <definedName name="MMS_PastureBeef_Soil_LeachingAndRunoff.VEERG_4_2_1_7__2_MassOfNitrogenLostToLeachingAndRunoffOnPasture" localSheetId="13">_xlfn.LAMBDA(_xlpm.AE,_xlpm.FracWet,_xlpm.FracLEACH, _xlpm.AE * _xlpm.FracWet * _xlpm.FracLEACH)</definedName>
    <definedName name="MMS_PastureBeef_Soil_LeachingAndRunoff.VEERG_4_2_1_7__2_MassOfNitrogenLostToLeachingAndRunoffOnPasture" localSheetId="14">_xlfn.LAMBDA(_xlpm.AE,_xlpm.FracWet,_xlpm.FracLEACH, _xlpm.AE * _xlpm.FracWet * _xlpm.FracLEACH)</definedName>
    <definedName name="MMS_PastureBeef_Soil_LeachingAndRunoff.VEERG_4_2_1_7__2_MassOfNitrogenLostToLeachingAndRunoffOnPasture" localSheetId="3">_xlfn.LAMBDA(_xlpm.AE,_xlpm.FracWet,_xlpm.FracLEACH, _xlpm.AE * _xlpm.FracWet * _xlpm.FracLEACH)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 localSheetId="11">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2">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3">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14">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 localSheetId="3">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 localSheetId="11">_xlfn.LAMBDA("M_{leach}=AE\times FracWet\times FracLEACH")</definedName>
    <definedName name="MMS_PastureBeef_Soil_LeachingAndRunoff.VEERG_4_2_1_7__2_MassOfNitrogenLostToLeachingAndRunoffOnPasture_LatexEquation" localSheetId="12">_xlfn.LAMBDA("M_{leach}=AE\times FracWet\times FracLEACH")</definedName>
    <definedName name="MMS_PastureBeef_Soil_LeachingAndRunoff.VEERG_4_2_1_7__2_MassOfNitrogenLostToLeachingAndRunoffOnPasture_LatexEquation" localSheetId="13">_xlfn.LAMBDA("M_{leach}=AE\times FracWet\times FracLEACH")</definedName>
    <definedName name="MMS_PastureBeef_Soil_LeachingAndRunoff.VEERG_4_2_1_7__2_MassOfNitrogenLostToLeachingAndRunoffOnPasture_LatexEquation" localSheetId="14">_xlfn.LAMBDA("M_{leach}=AE\times FracWet\times FracLEACH")</definedName>
    <definedName name="MMS_PastureBeef_Soil_LeachingAndRunoff.VEERG_4_2_1_7__2_MassOfNitrogenLostToLeachingAndRunoffOnPasture_LatexEquation" localSheetId="3">_xlfn.LAMBDA("M_{leach}=AE\times FracWet\times FracLEACH")</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 localSheetId="11">_xlfn.LAMBDA("")</definedName>
    <definedName name="MMS_PastureBeef_Soil_LeachingAndRunoff.VEERG_4_2_1_7__2_MassOfNitrogenLostToLeachingAndRunoffOnPasture_NIRReference" localSheetId="12">_xlfn.LAMBDA("")</definedName>
    <definedName name="MMS_PastureBeef_Soil_LeachingAndRunoff.VEERG_4_2_1_7__2_MassOfNitrogenLostToLeachingAndRunoffOnPasture_NIRReference" localSheetId="13">_xlfn.LAMBDA("")</definedName>
    <definedName name="MMS_PastureBeef_Soil_LeachingAndRunoff.VEERG_4_2_1_7__2_MassOfNitrogenLostToLeachingAndRunoffOnPasture_NIRReference" localSheetId="14">_xlfn.LAMBDA("")</definedName>
    <definedName name="MMS_PastureBeef_Soil_LeachingAndRunoff.VEERG_4_2_1_7__2_MassOfNitrogenLostToLeachingAndRunoffOnPasture_NIRReference" localSheetId="3">_xlfn.LAMBDA("")</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 localSheetId="11">_xlfn.LAMBDA("VEERG 2026: 4.2.1.7, Equation (2)")</definedName>
    <definedName name="MMS_PastureBeef_Soil_LeachingAndRunoff.VEERG_4_2_1_7__2_MassOfNitrogenLostToLeachingAndRunoffOnPasture_Source" localSheetId="12">_xlfn.LAMBDA("VEERG 2026: 4.2.1.7, Equation (2)")</definedName>
    <definedName name="MMS_PastureBeef_Soil_LeachingAndRunoff.VEERG_4_2_1_7__2_MassOfNitrogenLostToLeachingAndRunoffOnPasture_Source" localSheetId="13">_xlfn.LAMBDA("VEERG 2026: 4.2.1.7, Equation (2)")</definedName>
    <definedName name="MMS_PastureBeef_Soil_LeachingAndRunoff.VEERG_4_2_1_7__2_MassOfNitrogenLostToLeachingAndRunoffOnPasture_Source" localSheetId="14">_xlfn.LAMBDA("VEERG 2026: 4.2.1.7, Equation (2)")</definedName>
    <definedName name="MMS_PastureBeef_Soil_LeachingAndRunoff.VEERG_4_2_1_7__2_MassOfNitrogenLostToLeachingAndRunoffOnPasture_Source" localSheetId="3">_xlfn.LAMBDA("VEERG 2026: 4.2.1.7, Equation (2)")</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 localSheetId="11">_xlfn.LAMBDA("Mass of nitrogen lost to leaching and runoff")</definedName>
    <definedName name="MMS_PastureBeef_Soil_LeachingAndRunoff.VEERG_4_2_1_7__2_MassOfNitrogenLostToLeachingAndRunoffOnPasture_Title" localSheetId="12">_xlfn.LAMBDA("Mass of nitrogen lost to leaching and runoff")</definedName>
    <definedName name="MMS_PastureBeef_Soil_LeachingAndRunoff.VEERG_4_2_1_7__2_MassOfNitrogenLostToLeachingAndRunoffOnPasture_Title" localSheetId="13">_xlfn.LAMBDA("Mass of nitrogen lost to leaching and runoff")</definedName>
    <definedName name="MMS_PastureBeef_Soil_LeachingAndRunoff.VEERG_4_2_1_7__2_MassOfNitrogenLostToLeachingAndRunoffOnPasture_Title" localSheetId="14">_xlfn.LAMBDA("Mass of nitrogen lost to leaching and runoff")</definedName>
    <definedName name="MMS_PastureBeef_Soil_LeachingAndRunoff.VEERG_4_2_1_7__2_MassOfNitrogenLostToLeachingAndRunoffOnPasture_Title" localSheetId="3">_xlfn.LAMBDA("Mass of nitrogen lost to leaching and runoff")</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 localSheetId="11">_xlfn.LAMBDA("kg N")</definedName>
    <definedName name="MMS_PastureBeef_Soil_LeachingAndRunoff.VEERG_4_2_1_7__2_MassOfNitrogenLostToLeachingAndRunoffOnPasture_Unit" localSheetId="12">_xlfn.LAMBDA("kg N")</definedName>
    <definedName name="MMS_PastureBeef_Soil_LeachingAndRunoff.VEERG_4_2_1_7__2_MassOfNitrogenLostToLeachingAndRunoffOnPasture_Unit" localSheetId="13">_xlfn.LAMBDA("kg N")</definedName>
    <definedName name="MMS_PastureBeef_Soil_LeachingAndRunoff.VEERG_4_2_1_7__2_MassOfNitrogenLostToLeachingAndRunoffOnPasture_Unit" localSheetId="14">_xlfn.LAMBDA("kg N")</definedName>
    <definedName name="MMS_PastureBeef_Soil_LeachingAndRunoff.VEERG_4_2_1_7__2_MassOfNitrogenLostToLeachingAndRunoffOnPasture_Unit" localSheetId="3">_xlfn.LAMBDA("kg N")</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 localSheetId="11">_xlfn.LAMBDA("M_leach")</definedName>
    <definedName name="MMS_PastureBeef_Soil_LeachingAndRunoff.VEERG_4_2_1_7__2_MassOfNitrogenLostToLeachingAndRunoffOnPasture_Variable" localSheetId="12">_xlfn.LAMBDA("M_leach")</definedName>
    <definedName name="MMS_PastureBeef_Soil_LeachingAndRunoff.VEERG_4_2_1_7__2_MassOfNitrogenLostToLeachingAndRunoffOnPasture_Variable" localSheetId="13">_xlfn.LAMBDA("M_leach")</definedName>
    <definedName name="MMS_PastureBeef_Soil_LeachingAndRunoff.VEERG_4_2_1_7__2_MassOfNitrogenLostToLeachingAndRunoffOnPasture_Variable" localSheetId="14">_xlfn.LAMBDA("M_leach")</definedName>
    <definedName name="MMS_PastureBeef_Soil_LeachingAndRunoff.VEERG_4_2_1_7__2_MassOfNitrogenLostToLeachingAndRunoffOnPasture_Variable" localSheetId="3">_xlfn.LAMBDA("M_leach")</definedName>
    <definedName name="MMS_PastureBeef_Soil_LeachingAndRunoff.VEERG_4_2_1_7__2_MassOfNitrogenLostToLeachingAndRunoffOnPasture_Variable">_xlfn.LAMBDA("M_leach")</definedName>
    <definedName name="MMS_PastureBeef_Soil_N2ODirect_Equations.VEERG_4_2_1_3__1_DirectNitrousOxideEmissionsOnPasture" localSheetId="11">_xlfn.LAMBDA(_xlpm.AE,_xlpm.EF_PRP,_xlpm.C_N2O, _xlpm.AE * _xlpm.EF_PRP * _xlpm.C_N2O * 10 ^ -3)</definedName>
    <definedName name="MMS_PastureBeef_Soil_N2ODirect_Equations.VEERG_4_2_1_3__1_DirectNitrousOxideEmissionsOnPasture" localSheetId="12">_xlfn.LAMBDA(_xlpm.AE,_xlpm.EF_PRP,_xlpm.C_N2O, _xlpm.AE * _xlpm.EF_PRP * _xlpm.C_N2O * 10 ^ -3)</definedName>
    <definedName name="MMS_PastureBeef_Soil_N2ODirect_Equations.VEERG_4_2_1_3__1_DirectNitrousOxideEmissionsOnPasture" localSheetId="13">_xlfn.LAMBDA(_xlpm.AE,_xlpm.EF_PRP,_xlpm.C_N2O, _xlpm.AE * _xlpm.EF_PRP * _xlpm.C_N2O * 10 ^ -3)</definedName>
    <definedName name="MMS_PastureBeef_Soil_N2ODirect_Equations.VEERG_4_2_1_3__1_DirectNitrousOxideEmissionsOnPasture" localSheetId="14">_xlfn.LAMBDA(_xlpm.AE,_xlpm.EF_PRP,_xlpm.C_N2O, _xlpm.AE * _xlpm.EF_PRP * _xlpm.C_N2O * 10 ^ -3)</definedName>
    <definedName name="MMS_PastureBeef_Soil_N2ODirect_Equations.VEERG_4_2_1_3__1_DirectNitrousOxideEmissionsOnPasture" localSheetId="3">_xlfn.LAMBDA(_xlpm.AE,_xlpm.EF_PRP,_xlpm.C_N2O, _xlpm.AE * _xlpm.EF_PRP * _xlpm.C_N2O * 10 ^ -3)</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 localSheetId="11">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2">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3">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14">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 localSheetId="3">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 localSheetId="11">_xlfn.LAMBDA("E_{N2O,dir}=AE\times EF_{PRP}\times C_{N2O}\times 10^{-3}")</definedName>
    <definedName name="MMS_PastureBeef_Soil_N2ODirect_Equations.VEERG_4_2_1_3__1_DirectNitrousOxideEmissionsOnPasture_LatexEquation" localSheetId="12">_xlfn.LAMBDA("E_{N2O,dir}=AE\times EF_{PRP}\times C_{N2O}\times 10^{-3}")</definedName>
    <definedName name="MMS_PastureBeef_Soil_N2ODirect_Equations.VEERG_4_2_1_3__1_DirectNitrousOxideEmissionsOnPasture_LatexEquation" localSheetId="13">_xlfn.LAMBDA("E_{N2O,dir}=AE\times EF_{PRP}\times C_{N2O}\times 10^{-3}")</definedName>
    <definedName name="MMS_PastureBeef_Soil_N2ODirect_Equations.VEERG_4_2_1_3__1_DirectNitrousOxideEmissionsOnPasture_LatexEquation" localSheetId="14">_xlfn.LAMBDA("E_{N2O,dir}=AE\times EF_{PRP}\times C_{N2O}\times 10^{-3}")</definedName>
    <definedName name="MMS_PastureBeef_Soil_N2ODirect_Equations.VEERG_4_2_1_3__1_DirectNitrousOxideEmissionsOnPasture_LatexEquation" localSheetId="3">_xlfn.LAMBDA("E_{N2O,dir}=AE\times EF_{PRP}\times C_{N2O}\times 10^{-3}")</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 localSheetId="11">_xlfn.LAMBDA("")</definedName>
    <definedName name="MMS_PastureBeef_Soil_N2ODirect_Equations.VEERG_4_2_1_3__1_DirectNitrousOxideEmissionsOnPasture_NIRReference" localSheetId="12">_xlfn.LAMBDA("")</definedName>
    <definedName name="MMS_PastureBeef_Soil_N2ODirect_Equations.VEERG_4_2_1_3__1_DirectNitrousOxideEmissionsOnPasture_NIRReference" localSheetId="13">_xlfn.LAMBDA("")</definedName>
    <definedName name="MMS_PastureBeef_Soil_N2ODirect_Equations.VEERG_4_2_1_3__1_DirectNitrousOxideEmissionsOnPasture_NIRReference" localSheetId="14">_xlfn.LAMBDA("")</definedName>
    <definedName name="MMS_PastureBeef_Soil_N2ODirect_Equations.VEERG_4_2_1_3__1_DirectNitrousOxideEmissionsOnPasture_NIRReference" localSheetId="3">_xlfn.LAMBDA("")</definedName>
    <definedName name="MMS_PastureBeef_Soil_N2ODirect_Equations.VEERG_4_2_1_3__1_DirectNitrousOxideEmissionsOnPasture_NIRReference">_xlfn.LAMBDA("")</definedName>
    <definedName name="MMS_PastureBeef_Soil_N2ODirect_Equations.VEERG_4_2_1_3__1_DirectNitrousOxideEmissionsOnPasture_Source" localSheetId="11">_xlfn.LAMBDA("VEERG 2026: 4.2.1.3, Equation (1)")</definedName>
    <definedName name="MMS_PastureBeef_Soil_N2ODirect_Equations.VEERG_4_2_1_3__1_DirectNitrousOxideEmissionsOnPasture_Source" localSheetId="12">_xlfn.LAMBDA("VEERG 2026: 4.2.1.3, Equation (1)")</definedName>
    <definedName name="MMS_PastureBeef_Soil_N2ODirect_Equations.VEERG_4_2_1_3__1_DirectNitrousOxideEmissionsOnPasture_Source" localSheetId="13">_xlfn.LAMBDA("VEERG 2026: 4.2.1.3, Equation (1)")</definedName>
    <definedName name="MMS_PastureBeef_Soil_N2ODirect_Equations.VEERG_4_2_1_3__1_DirectNitrousOxideEmissionsOnPasture_Source" localSheetId="14">_xlfn.LAMBDA("VEERG 2026: 4.2.1.3, Equation (1)")</definedName>
    <definedName name="MMS_PastureBeef_Soil_N2ODirect_Equations.VEERG_4_2_1_3__1_DirectNitrousOxideEmissionsOnPasture_Source" localSheetId="3">_xlfn.LAMBDA("VEERG 2026: 4.2.1.3, Equation (1)")</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 localSheetId="11">_xlfn.LAMBDA("Total annual direct nitrous oxide emissions from agricultural soils from deposition of urine and dung")</definedName>
    <definedName name="MMS_PastureBeef_Soil_N2ODirect_Equations.VEERG_4_2_1_3__1_DirectNitrousOxideEmissionsOnPasture_Title" localSheetId="12">_xlfn.LAMBDA("Total annual direct nitrous oxide emissions from agricultural soils from deposition of urine and dung")</definedName>
    <definedName name="MMS_PastureBeef_Soil_N2ODirect_Equations.VEERG_4_2_1_3__1_DirectNitrousOxideEmissionsOnPasture_Title" localSheetId="13">_xlfn.LAMBDA("Total annual direct nitrous oxide emissions from agricultural soils from deposition of urine and dung")</definedName>
    <definedName name="MMS_PastureBeef_Soil_N2ODirect_Equations.VEERG_4_2_1_3__1_DirectNitrousOxideEmissionsOnPasture_Title" localSheetId="14">_xlfn.LAMBDA("Total annual direct nitrous oxide emissions from agricultural soils from deposition of urine and dung")</definedName>
    <definedName name="MMS_PastureBeef_Soil_N2ODirect_Equations.VEERG_4_2_1_3__1_DirectNitrousOxideEmissionsOnPasture_Title" localSheetId="3">_xlfn.LAMBDA("Total annual direct nitrous oxide emissions from agricultural soils from deposition of urine and dung")</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 localSheetId="11">_xlfn.LAMBDA("t N2O")</definedName>
    <definedName name="MMS_PastureBeef_Soil_N2ODirect_Equations.VEERG_4_2_1_3__1_DirectNitrousOxideEmissionsOnPasture_Unit" localSheetId="12">_xlfn.LAMBDA("t N2O")</definedName>
    <definedName name="MMS_PastureBeef_Soil_N2ODirect_Equations.VEERG_4_2_1_3__1_DirectNitrousOxideEmissionsOnPasture_Unit" localSheetId="13">_xlfn.LAMBDA("t N2O")</definedName>
    <definedName name="MMS_PastureBeef_Soil_N2ODirect_Equations.VEERG_4_2_1_3__1_DirectNitrousOxideEmissionsOnPasture_Unit" localSheetId="14">_xlfn.LAMBDA("t N2O")</definedName>
    <definedName name="MMS_PastureBeef_Soil_N2ODirect_Equations.VEERG_4_2_1_3__1_DirectNitrousOxideEmissionsOnPasture_Unit" localSheetId="3">_xlfn.LAMBDA("t N2O")</definedName>
    <definedName name="MMS_PastureBeef_Soil_N2ODirect_Equations.VEERG_4_2_1_3__1_DirectNitrousOxideEmissionsOnPasture_Unit">_xlfn.LAMBDA("t N2O")</definedName>
    <definedName name="MMS_PastureBeef_Soil_N2ODirect_Equations.VEERG_4_2_1_3__1_DirectNitrousOxideEmissionsOnPasture_Variable" localSheetId="11">_xlfn.LAMBDA("E_N2Odir")</definedName>
    <definedName name="MMS_PastureBeef_Soil_N2ODirect_Equations.VEERG_4_2_1_3__1_DirectNitrousOxideEmissionsOnPasture_Variable" localSheetId="12">_xlfn.LAMBDA("E_N2Odir")</definedName>
    <definedName name="MMS_PastureBeef_Soil_N2ODirect_Equations.VEERG_4_2_1_3__1_DirectNitrousOxideEmissionsOnPasture_Variable" localSheetId="13">_xlfn.LAMBDA("E_N2Odir")</definedName>
    <definedName name="MMS_PastureBeef_Soil_N2ODirect_Equations.VEERG_4_2_1_3__1_DirectNitrousOxideEmissionsOnPasture_Variable" localSheetId="14">_xlfn.LAMBDA("E_N2Odir")</definedName>
    <definedName name="MMS_PastureBeef_Soil_N2ODirect_Equations.VEERG_4_2_1_3__1_DirectNitrousOxideEmissionsOnPasture_Variable" localSheetId="3">_xlfn.LAMBDA("E_N2Odir")</definedName>
    <definedName name="MMS_PastureBeef_Soil_N2ODirect_Equations.VEERG_4_2_1_3__1_DirectNitrousOxideEmissionsOnPasture_Variable">_xlfn.LAMBDA("E_N2Odir")</definedName>
    <definedName name="MMS_PastureBeef_Soil_N2ODirect_Equations.VEERG_4_2_1_3__2_TotalNitrogenExcretedToPastureRangeAndPaddock" localSheetId="11">_xlfn.LAMBDA(_xlpm.N_jkl,_xlpm.NE_jkl,_xlpm.D_j, SUM((_xlpm.N_jkl * _xlpm.NE_jkl) * _xlpm.D_j))</definedName>
    <definedName name="MMS_PastureBeef_Soil_N2ODirect_Equations.VEERG_4_2_1_3__2_TotalNitrogenExcretedToPastureRangeAndPaddock" localSheetId="12">_xlfn.LAMBDA(_xlpm.N_jkl,_xlpm.NE_jkl,_xlpm.D_j, SUM((_xlpm.N_jkl * _xlpm.NE_jkl) * _xlpm.D_j))</definedName>
    <definedName name="MMS_PastureBeef_Soil_N2ODirect_Equations.VEERG_4_2_1_3__2_TotalNitrogenExcretedToPastureRangeAndPaddock" localSheetId="13">_xlfn.LAMBDA(_xlpm.N_jkl,_xlpm.NE_jkl,_xlpm.D_j, SUM((_xlpm.N_jkl * _xlpm.NE_jkl) * _xlpm.D_j))</definedName>
    <definedName name="MMS_PastureBeef_Soil_N2ODirect_Equations.VEERG_4_2_1_3__2_TotalNitrogenExcretedToPastureRangeAndPaddock" localSheetId="14">_xlfn.LAMBDA(_xlpm.N_jkl,_xlpm.NE_jkl,_xlpm.D_j, SUM((_xlpm.N_jkl * _xlpm.NE_jkl) * _xlpm.D_j))</definedName>
    <definedName name="MMS_PastureBeef_Soil_N2ODirect_Equations.VEERG_4_2_1_3__2_TotalNitrogenExcretedToPastureRangeAndPaddock" localSheetId="3">_xlfn.LAMBDA(_xlpm.N_jkl,_xlpm.NE_jkl,_xlpm.D_j, SUM((_xlpm.N_jkl * _xlpm.NE_jkl) * _xlpm.D_j))</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 localSheetId="11">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2">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3">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14">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 localSheetId="3">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 localSheetId="11">_xlfn.LAMBDA("AE=\sum_{j}\sum_{k}\sum_{l}(N_{jkl}\times NE_{jkl}\times D_j)")</definedName>
    <definedName name="MMS_PastureBeef_Soil_N2ODirect_Equations.VEERG_4_2_1_3__2_TotalNitrogenExcretedToPastureRangeAndPaddock_LatexEquation" localSheetId="12">_xlfn.LAMBDA("AE=\sum_{j}\sum_{k}\sum_{l}(N_{jkl}\times NE_{jkl}\times D_j)")</definedName>
    <definedName name="MMS_PastureBeef_Soil_N2ODirect_Equations.VEERG_4_2_1_3__2_TotalNitrogenExcretedToPastureRangeAndPaddock_LatexEquation" localSheetId="13">_xlfn.LAMBDA("AE=\sum_{j}\sum_{k}\sum_{l}(N_{jkl}\times NE_{jkl}\times D_j)")</definedName>
    <definedName name="MMS_PastureBeef_Soil_N2ODirect_Equations.VEERG_4_2_1_3__2_TotalNitrogenExcretedToPastureRangeAndPaddock_LatexEquation" localSheetId="14">_xlfn.LAMBDA("AE=\sum_{j}\sum_{k}\sum_{l}(N_{jkl}\times NE_{jkl}\times D_j)")</definedName>
    <definedName name="MMS_PastureBeef_Soil_N2ODirect_Equations.VEERG_4_2_1_3__2_TotalNitrogenExcretedToPastureRangeAndPaddock_LatexEquation" localSheetId="3">_xlfn.LAMBDA("AE=\sum_{j}\sum_{k}\sum_{l}(N_{jkl}\times NE_{jkl}\times D_j)")</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 localSheetId="11">_xlfn.LAMBDA("")</definedName>
    <definedName name="MMS_PastureBeef_Soil_N2ODirect_Equations.VEERG_4_2_1_3__2_TotalNitrogenExcretedToPastureRangeAndPaddock_NIRReference" localSheetId="12">_xlfn.LAMBDA("")</definedName>
    <definedName name="MMS_PastureBeef_Soil_N2ODirect_Equations.VEERG_4_2_1_3__2_TotalNitrogenExcretedToPastureRangeAndPaddock_NIRReference" localSheetId="13">_xlfn.LAMBDA("")</definedName>
    <definedName name="MMS_PastureBeef_Soil_N2ODirect_Equations.VEERG_4_2_1_3__2_TotalNitrogenExcretedToPastureRangeAndPaddock_NIRReference" localSheetId="14">_xlfn.LAMBDA("")</definedName>
    <definedName name="MMS_PastureBeef_Soil_N2ODirect_Equations.VEERG_4_2_1_3__2_TotalNitrogenExcretedToPastureRangeAndPaddock_NIRReference" localSheetId="3">_xlfn.LAMBDA("")</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 localSheetId="11">_xlfn.LAMBDA("VEERG 2026: 4.2.1.3, Equation (2)")</definedName>
    <definedName name="MMS_PastureBeef_Soil_N2ODirect_Equations.VEERG_4_2_1_3__2_TotalNitrogenExcretedToPastureRangeAndPaddock_Source" localSheetId="12">_xlfn.LAMBDA("VEERG 2026: 4.2.1.3, Equation (2)")</definedName>
    <definedName name="MMS_PastureBeef_Soil_N2ODirect_Equations.VEERG_4_2_1_3__2_TotalNitrogenExcretedToPastureRangeAndPaddock_Source" localSheetId="13">_xlfn.LAMBDA("VEERG 2026: 4.2.1.3, Equation (2)")</definedName>
    <definedName name="MMS_PastureBeef_Soil_N2ODirect_Equations.VEERG_4_2_1_3__2_TotalNitrogenExcretedToPastureRangeAndPaddock_Source" localSheetId="14">_xlfn.LAMBDA("VEERG 2026: 4.2.1.3, Equation (2)")</definedName>
    <definedName name="MMS_PastureBeef_Soil_N2ODirect_Equations.VEERG_4_2_1_3__2_TotalNitrogenExcretedToPastureRangeAndPaddock_Source" localSheetId="3">_xlfn.LAMBDA("VEERG 2026: 4.2.1.3, Equation (2)")</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 localSheetId="11">_xlfn.LAMBDA("Total nitrogen excreted to pasture, range and paddock")</definedName>
    <definedName name="MMS_PastureBeef_Soil_N2ODirect_Equations.VEERG_4_2_1_3__2_TotalNitrogenExcretedToPastureRangeAndPaddock_Title" localSheetId="12">_xlfn.LAMBDA("Total nitrogen excreted to pasture, range and paddock")</definedName>
    <definedName name="MMS_PastureBeef_Soil_N2ODirect_Equations.VEERG_4_2_1_3__2_TotalNitrogenExcretedToPastureRangeAndPaddock_Title" localSheetId="13">_xlfn.LAMBDA("Total nitrogen excreted to pasture, range and paddock")</definedName>
    <definedName name="MMS_PastureBeef_Soil_N2ODirect_Equations.VEERG_4_2_1_3__2_TotalNitrogenExcretedToPastureRangeAndPaddock_Title" localSheetId="14">_xlfn.LAMBDA("Total nitrogen excreted to pasture, range and paddock")</definedName>
    <definedName name="MMS_PastureBeef_Soil_N2ODirect_Equations.VEERG_4_2_1_3__2_TotalNitrogenExcretedToPastureRangeAndPaddock_Title" localSheetId="3">_xlfn.LAMBDA("Total nitrogen excreted to pasture, range and paddock")</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 localSheetId="11">_xlfn.LAMBDA("kg N")</definedName>
    <definedName name="MMS_PastureBeef_Soil_N2ODirect_Equations.VEERG_4_2_1_3__2_TotalNitrogenExcretedToPastureRangeAndPaddock_Unit" localSheetId="12">_xlfn.LAMBDA("kg N")</definedName>
    <definedName name="MMS_PastureBeef_Soil_N2ODirect_Equations.VEERG_4_2_1_3__2_TotalNitrogenExcretedToPastureRangeAndPaddock_Unit" localSheetId="13">_xlfn.LAMBDA("kg N")</definedName>
    <definedName name="MMS_PastureBeef_Soil_N2ODirect_Equations.VEERG_4_2_1_3__2_TotalNitrogenExcretedToPastureRangeAndPaddock_Unit" localSheetId="14">_xlfn.LAMBDA("kg N")</definedName>
    <definedName name="MMS_PastureBeef_Soil_N2ODirect_Equations.VEERG_4_2_1_3__2_TotalNitrogenExcretedToPastureRangeAndPaddock_Unit" localSheetId="3">_xlfn.LAMBDA("kg N")</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 localSheetId="11">_xlfn.LAMBDA("AE")</definedName>
    <definedName name="MMS_PastureBeef_Soil_N2ODirect_Equations.VEERG_4_2_1_3__2_TotalNitrogenExcretedToPastureRangeAndPaddock_Variable" localSheetId="12">_xlfn.LAMBDA("AE")</definedName>
    <definedName name="MMS_PastureBeef_Soil_N2ODirect_Equations.VEERG_4_2_1_3__2_TotalNitrogenExcretedToPastureRangeAndPaddock_Variable" localSheetId="13">_xlfn.LAMBDA("AE")</definedName>
    <definedName name="MMS_PastureBeef_Soil_N2ODirect_Equations.VEERG_4_2_1_3__2_TotalNitrogenExcretedToPastureRangeAndPaddock_Variable" localSheetId="14">_xlfn.LAMBDA("AE")</definedName>
    <definedName name="MMS_PastureBeef_Soil_N2ODirect_Equations.VEERG_4_2_1_3__2_TotalNitrogenExcretedToPastureRangeAndPaddock_Variable" localSheetId="3">_xlfn.LAMBDA("AE")</definedName>
    <definedName name="MMS_PastureBeef_Soil_N2ODirect_Equations.VEERG_4_2_1_3__2_TotalNitrogenExcretedToPastureRangeAndPaddock_Variable">_xlfn.LAMBDA("AE")</definedName>
    <definedName name="MMS_PastureBeef_Soil_N2ODirect_Equations.VEERG_4_2_1_3__3_NitrogenExcreted" localSheetId="11">_xlfn.LAMBDA(_xlpm.I_jkl,_xlpm.CP_j,_xlpm.MC_jk136,_xlpm.NR_jkl,_xlpm.W_jkl, ((_xlpm.I_jkl * _xlpm.CP_j) / 6.25) + ((0.032 * _xlpm.MC_jk136) / 6.38) - _xlpm.NR_jkl - ((1.1 * 10 ^ -4 * _xlpm.W_jkl ^ 0.75) / 6.25))</definedName>
    <definedName name="MMS_PastureBeef_Soil_N2ODirect_Equations.VEERG_4_2_1_3__3_NitrogenExcreted" localSheetId="12">_xlfn.LAMBDA(_xlpm.I_jkl,_xlpm.CP_j,_xlpm.MC_jk136,_xlpm.NR_jkl,_xlpm.W_jkl, ((_xlpm.I_jkl * _xlpm.CP_j) / 6.25) + ((0.032 * _xlpm.MC_jk136) / 6.38) - _xlpm.NR_jkl - ((1.1 * 10 ^ -4 * _xlpm.W_jkl ^ 0.75) / 6.25))</definedName>
    <definedName name="MMS_PastureBeef_Soil_N2ODirect_Equations.VEERG_4_2_1_3__3_NitrogenExcreted" localSheetId="13">_xlfn.LAMBDA(_xlpm.I_jkl,_xlpm.CP_j,_xlpm.MC_jk136,_xlpm.NR_jkl,_xlpm.W_jkl, ((_xlpm.I_jkl * _xlpm.CP_j) / 6.25) + ((0.032 * _xlpm.MC_jk136) / 6.38) - _xlpm.NR_jkl - ((1.1 * 10 ^ -4 * _xlpm.W_jkl ^ 0.75) / 6.25))</definedName>
    <definedName name="MMS_PastureBeef_Soil_N2ODirect_Equations.VEERG_4_2_1_3__3_NitrogenExcreted" localSheetId="14">_xlfn.LAMBDA(_xlpm.I_jkl,_xlpm.CP_j,_xlpm.MC_jk136,_xlpm.NR_jkl,_xlpm.W_jkl, ((_xlpm.I_jkl * _xlpm.CP_j) / 6.25) + ((0.032 * _xlpm.MC_jk136) / 6.38) - _xlpm.NR_jkl - ((1.1 * 10 ^ -4 * _xlpm.W_jkl ^ 0.75) / 6.25))</definedName>
    <definedName name="MMS_PastureBeef_Soil_N2ODirect_Equations.VEERG_4_2_1_3__3_NitrogenExcreted" localSheetId="3">_xlfn.LAMBDA(_xlpm.I_jkl,_xlpm.CP_j,_xlpm.MC_jk136,_xlpm.NR_jkl,_xlpm.W_jkl, ((_xlpm.I_jkl * _xlpm.CP_j) / 6.25) + ((0.032 * _xlpm.MC_jk136) / 6.38) - _xlpm.NR_jkl - ((1.1 * 10 ^ -4 * _xlpm.W_jkl ^ 0.75) / 6.25))</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 localSheetId="11">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2">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3">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14">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 localSheetId="3">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 localSheetId="11">_xlfn.LAMBDA("NE_{jkl}= (I_{jkl}\times CP_j \div 6.25)  + (0.032\times MC_{jk=1,3,6} \div 6.38)  - NR_{jkl} - \left[ (1.1\times 10^{-4}\times W_{jkl}^{0.75}) \div  6.25 \right]")</definedName>
    <definedName name="MMS_PastureBeef_Soil_N2ODirect_Equations.VEERG_4_2_1_3__3_NitrogenExcreted_LatexEquation" localSheetId="12">_xlfn.LAMBDA("NE_{jkl}= (I_{jkl}\times CP_j \div 6.25)  + (0.032\times MC_{jk=1,3,6} \div 6.38)  - NR_{jkl} - \left[ (1.1\times 10^{-4}\times W_{jkl}^{0.75}) \div  6.25 \right]")</definedName>
    <definedName name="MMS_PastureBeef_Soil_N2ODirect_Equations.VEERG_4_2_1_3__3_NitrogenExcreted_LatexEquation" localSheetId="13">_xlfn.LAMBDA("NE_{jkl}= (I_{jkl}\times CP_j \div 6.25)  + (0.032\times MC_{jk=1,3,6} \div 6.38)  - NR_{jkl} - \left[ (1.1\times 10^{-4}\times W_{jkl}^{0.75}) \div  6.25 \right]")</definedName>
    <definedName name="MMS_PastureBeef_Soil_N2ODirect_Equations.VEERG_4_2_1_3__3_NitrogenExcreted_LatexEquation" localSheetId="14">_xlfn.LAMBDA("NE_{jkl}= (I_{jkl}\times CP_j \div 6.25)  + (0.032\times MC_{jk=1,3,6} \div 6.38)  - NR_{jkl} - \left[ (1.1\times 10^{-4}\times W_{jkl}^{0.75}) \div  6.25 \right]")</definedName>
    <definedName name="MMS_PastureBeef_Soil_N2ODirect_Equations.VEERG_4_2_1_3__3_NitrogenExcreted_LatexEquation" localSheetId="3">_xlfn.LAMBDA("NE_{jkl}= (I_{jkl}\times CP_j \div 6.25)  + (0.032\times MC_{jk=1,3,6} \div 6.38)  - NR_{jkl} - \left[ (1.1\times 10^{-4}\times W_{jkl}^{0.75}) \div  6.25 \right]")</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 localSheetId="11">_xlfn.LAMBDA("")</definedName>
    <definedName name="MMS_PastureBeef_Soil_N2ODirect_Equations.VEERG_4_2_1_3__3_NitrogenExcreted_NIRReference" localSheetId="12">_xlfn.LAMBDA("")</definedName>
    <definedName name="MMS_PastureBeef_Soil_N2ODirect_Equations.VEERG_4_2_1_3__3_NitrogenExcreted_NIRReference" localSheetId="13">_xlfn.LAMBDA("")</definedName>
    <definedName name="MMS_PastureBeef_Soil_N2ODirect_Equations.VEERG_4_2_1_3__3_NitrogenExcreted_NIRReference" localSheetId="14">_xlfn.LAMBDA("")</definedName>
    <definedName name="MMS_PastureBeef_Soil_N2ODirect_Equations.VEERG_4_2_1_3__3_NitrogenExcreted_NIRReference" localSheetId="3">_xlfn.LAMBDA("")</definedName>
    <definedName name="MMS_PastureBeef_Soil_N2ODirect_Equations.VEERG_4_2_1_3__3_NitrogenExcreted_NIRReference">_xlfn.LAMBDA("")</definedName>
    <definedName name="MMS_PastureBeef_Soil_N2ODirect_Equations.VEERG_4_2_1_3__3_NitrogenExcreted_Source" localSheetId="11">_xlfn.LAMBDA("VEERG 2026: 4.2.1.3, Equation (3)")</definedName>
    <definedName name="MMS_PastureBeef_Soil_N2ODirect_Equations.VEERG_4_2_1_3__3_NitrogenExcreted_Source" localSheetId="12">_xlfn.LAMBDA("VEERG 2026: 4.2.1.3, Equation (3)")</definedName>
    <definedName name="MMS_PastureBeef_Soil_N2ODirect_Equations.VEERG_4_2_1_3__3_NitrogenExcreted_Source" localSheetId="13">_xlfn.LAMBDA("VEERG 2026: 4.2.1.3, Equation (3)")</definedName>
    <definedName name="MMS_PastureBeef_Soil_N2ODirect_Equations.VEERG_4_2_1_3__3_NitrogenExcreted_Source" localSheetId="14">_xlfn.LAMBDA("VEERG 2026: 4.2.1.3, Equation (3)")</definedName>
    <definedName name="MMS_PastureBeef_Soil_N2ODirect_Equations.VEERG_4_2_1_3__3_NitrogenExcreted_Source" localSheetId="3">_xlfn.LAMBDA("VEERG 2026: 4.2.1.3, Equation (3)")</definedName>
    <definedName name="MMS_PastureBeef_Soil_N2ODirect_Equations.VEERG_4_2_1_3__3_NitrogenExcreted_Source">_xlfn.LAMBDA("VEERG 2026: 4.2.1.3, Equation (3)")</definedName>
    <definedName name="MMS_PastureBeef_Soil_N2ODirect_Equations.VEERG_4_2_1_3__3_NitrogenExcreted_Title" localSheetId="11">_xlfn.LAMBDA("Nitrogen excreted")</definedName>
    <definedName name="MMS_PastureBeef_Soil_N2ODirect_Equations.VEERG_4_2_1_3__3_NitrogenExcreted_Title" localSheetId="12">_xlfn.LAMBDA("Nitrogen excreted")</definedName>
    <definedName name="MMS_PastureBeef_Soil_N2ODirect_Equations.VEERG_4_2_1_3__3_NitrogenExcreted_Title" localSheetId="13">_xlfn.LAMBDA("Nitrogen excreted")</definedName>
    <definedName name="MMS_PastureBeef_Soil_N2ODirect_Equations.VEERG_4_2_1_3__3_NitrogenExcreted_Title" localSheetId="14">_xlfn.LAMBDA("Nitrogen excreted")</definedName>
    <definedName name="MMS_PastureBeef_Soil_N2ODirect_Equations.VEERG_4_2_1_3__3_NitrogenExcreted_Title" localSheetId="3">_xlfn.LAMBDA("Nitrogen excreted")</definedName>
    <definedName name="MMS_PastureBeef_Soil_N2ODirect_Equations.VEERG_4_2_1_3__3_NitrogenExcreted_Title">_xlfn.LAMBDA("Nitrogen excreted")</definedName>
    <definedName name="MMS_PastureBeef_Soil_N2ODirect_Equations.VEERG_4_2_1_3__3_NitrogenExcreted_Unit" localSheetId="11">_xlfn.LAMBDA("kg N/head/day")</definedName>
    <definedName name="MMS_PastureBeef_Soil_N2ODirect_Equations.VEERG_4_2_1_3__3_NitrogenExcreted_Unit" localSheetId="12">_xlfn.LAMBDA("kg N/head/day")</definedName>
    <definedName name="MMS_PastureBeef_Soil_N2ODirect_Equations.VEERG_4_2_1_3__3_NitrogenExcreted_Unit" localSheetId="13">_xlfn.LAMBDA("kg N/head/day")</definedName>
    <definedName name="MMS_PastureBeef_Soil_N2ODirect_Equations.VEERG_4_2_1_3__3_NitrogenExcreted_Unit" localSheetId="14">_xlfn.LAMBDA("kg N/head/day")</definedName>
    <definedName name="MMS_PastureBeef_Soil_N2ODirect_Equations.VEERG_4_2_1_3__3_NitrogenExcreted_Unit" localSheetId="3">_xlfn.LAMBDA("kg N/head/day")</definedName>
    <definedName name="MMS_PastureBeef_Soil_N2ODirect_Equations.VEERG_4_2_1_3__3_NitrogenExcreted_Unit">_xlfn.LAMBDA("kg N/head/day")</definedName>
    <definedName name="MMS_PastureBeef_Soil_N2ODirect_Equations.VEERG_4_2_1_3__3_NitrogenExcreted_Variable" localSheetId="11">_xlfn.LAMBDA("NE_jkl")</definedName>
    <definedName name="MMS_PastureBeef_Soil_N2ODirect_Equations.VEERG_4_2_1_3__3_NitrogenExcreted_Variable" localSheetId="12">_xlfn.LAMBDA("NE_jkl")</definedName>
    <definedName name="MMS_PastureBeef_Soil_N2ODirect_Equations.VEERG_4_2_1_3__3_NitrogenExcreted_Variable" localSheetId="13">_xlfn.LAMBDA("NE_jkl")</definedName>
    <definedName name="MMS_PastureBeef_Soil_N2ODirect_Equations.VEERG_4_2_1_3__3_NitrogenExcreted_Variable" localSheetId="14">_xlfn.LAMBDA("NE_jkl")</definedName>
    <definedName name="MMS_PastureBeef_Soil_N2ODirect_Equations.VEERG_4_2_1_3__3_NitrogenExcreted_Variable" localSheetId="3">_xlfn.LAMBDA("NE_jkl")</definedName>
    <definedName name="MMS_PastureBeef_Soil_N2ODirect_Equations.VEERG_4_2_1_3__3_NitrogenExcreted_Variable">_xlfn.LAMBDA("NE_jkl")</definedName>
    <definedName name="MMS_PastureBeef_Soil_N2ODirect_Equations.VEERG_4_2_1_3__4_NitrogenRetainedByBody" localSheetId="11">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2">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3">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14">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 localSheetId="3">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 localSheetId="11">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2">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3">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14">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 localSheetId="3">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 localSheetId="11">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2">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3">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14">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 localSheetId="3">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 localSheetId="11">_xlfn.LAMBDA("")</definedName>
    <definedName name="MMS_PastureBeef_Soil_N2ODirect_Equations.VEERG_4_2_1_3__4_NitrogenRetainedByBody_NIRReference" localSheetId="12">_xlfn.LAMBDA("")</definedName>
    <definedName name="MMS_PastureBeef_Soil_N2ODirect_Equations.VEERG_4_2_1_3__4_NitrogenRetainedByBody_NIRReference" localSheetId="13">_xlfn.LAMBDA("")</definedName>
    <definedName name="MMS_PastureBeef_Soil_N2ODirect_Equations.VEERG_4_2_1_3__4_NitrogenRetainedByBody_NIRReference" localSheetId="14">_xlfn.LAMBDA("")</definedName>
    <definedName name="MMS_PastureBeef_Soil_N2ODirect_Equations.VEERG_4_2_1_3__4_NitrogenRetainedByBody_NIRReference" localSheetId="3">_xlfn.LAMBDA("")</definedName>
    <definedName name="MMS_PastureBeef_Soil_N2ODirect_Equations.VEERG_4_2_1_3__4_NitrogenRetainedByBody_NIRReference">_xlfn.LAMBDA("")</definedName>
    <definedName name="MMS_PastureBeef_Soil_N2ODirect_Equations.VEERG_4_2_1_3__4_NitrogenRetainedByBody_Source" localSheetId="11">_xlfn.LAMBDA("VEERG 2026: 4.2.1.3, Equation (4)")</definedName>
    <definedName name="MMS_PastureBeef_Soil_N2ODirect_Equations.VEERG_4_2_1_3__4_NitrogenRetainedByBody_Source" localSheetId="12">_xlfn.LAMBDA("VEERG 2026: 4.2.1.3, Equation (4)")</definedName>
    <definedName name="MMS_PastureBeef_Soil_N2ODirect_Equations.VEERG_4_2_1_3__4_NitrogenRetainedByBody_Source" localSheetId="13">_xlfn.LAMBDA("VEERG 2026: 4.2.1.3, Equation (4)")</definedName>
    <definedName name="MMS_PastureBeef_Soil_N2ODirect_Equations.VEERG_4_2_1_3__4_NitrogenRetainedByBody_Source" localSheetId="14">_xlfn.LAMBDA("VEERG 2026: 4.2.1.3, Equation (4)")</definedName>
    <definedName name="MMS_PastureBeef_Soil_N2ODirect_Equations.VEERG_4_2_1_3__4_NitrogenRetainedByBody_Source" localSheetId="3">_xlfn.LAMBDA("VEERG 2026: 4.2.1.3, Equation (4)")</definedName>
    <definedName name="MMS_PastureBeef_Soil_N2ODirect_Equations.VEERG_4_2_1_3__4_NitrogenRetainedByBody_Source">_xlfn.LAMBDA("VEERG 2026: 4.2.1.3, Equation (4)")</definedName>
    <definedName name="MMS_PastureBeef_Soil_N2ODirect_Equations.VEERG_4_2_1_3__4_NitrogenRetainedByBody_Title" localSheetId="11">_xlfn.LAMBDA("Amount of nitrogen retained by the body")</definedName>
    <definedName name="MMS_PastureBeef_Soil_N2ODirect_Equations.VEERG_4_2_1_3__4_NitrogenRetainedByBody_Title" localSheetId="12">_xlfn.LAMBDA("Amount of nitrogen retained by the body")</definedName>
    <definedName name="MMS_PastureBeef_Soil_N2ODirect_Equations.VEERG_4_2_1_3__4_NitrogenRetainedByBody_Title" localSheetId="13">_xlfn.LAMBDA("Amount of nitrogen retained by the body")</definedName>
    <definedName name="MMS_PastureBeef_Soil_N2ODirect_Equations.VEERG_4_2_1_3__4_NitrogenRetainedByBody_Title" localSheetId="14">_xlfn.LAMBDA("Amount of nitrogen retained by the body")</definedName>
    <definedName name="MMS_PastureBeef_Soil_N2ODirect_Equations.VEERG_4_2_1_3__4_NitrogenRetainedByBody_Title" localSheetId="3">_xlfn.LAMBDA("Amount of nitrogen retained by the body")</definedName>
    <definedName name="MMS_PastureBeef_Soil_N2ODirect_Equations.VEERG_4_2_1_3__4_NitrogenRetainedByBody_Title">_xlfn.LAMBDA("Amount of nitrogen retained by the body")</definedName>
    <definedName name="MMS_PastureBeef_Soil_N2ODirect_Equations.VEERG_4_2_1_3__4_NitrogenRetainedByBody_Unit" localSheetId="11">_xlfn.LAMBDA("kg N/head/day")</definedName>
    <definedName name="MMS_PastureBeef_Soil_N2ODirect_Equations.VEERG_4_2_1_3__4_NitrogenRetainedByBody_Unit" localSheetId="12">_xlfn.LAMBDA("kg N/head/day")</definedName>
    <definedName name="MMS_PastureBeef_Soil_N2ODirect_Equations.VEERG_4_2_1_3__4_NitrogenRetainedByBody_Unit" localSheetId="13">_xlfn.LAMBDA("kg N/head/day")</definedName>
    <definedName name="MMS_PastureBeef_Soil_N2ODirect_Equations.VEERG_4_2_1_3__4_NitrogenRetainedByBody_Unit" localSheetId="14">_xlfn.LAMBDA("kg N/head/day")</definedName>
    <definedName name="MMS_PastureBeef_Soil_N2ODirect_Equations.VEERG_4_2_1_3__4_NitrogenRetainedByBody_Unit" localSheetId="3">_xlfn.LAMBDA("kg N/head/day")</definedName>
    <definedName name="MMS_PastureBeef_Soil_N2ODirect_Equations.VEERG_4_2_1_3__4_NitrogenRetainedByBody_Unit">_xlfn.LAMBDA("kg N/head/day")</definedName>
    <definedName name="MMS_PastureBeef_Soil_N2ODirect_Equations.VEERG_4_2_1_3__4_NitrogenRetainedByBody_Variable" localSheetId="11">_xlfn.LAMBDA("NR_jkl")</definedName>
    <definedName name="MMS_PastureBeef_Soil_N2ODirect_Equations.VEERG_4_2_1_3__4_NitrogenRetainedByBody_Variable" localSheetId="12">_xlfn.LAMBDA("NR_jkl")</definedName>
    <definedName name="MMS_PastureBeef_Soil_N2ODirect_Equations.VEERG_4_2_1_3__4_NitrogenRetainedByBody_Variable" localSheetId="13">_xlfn.LAMBDA("NR_jkl")</definedName>
    <definedName name="MMS_PastureBeef_Soil_N2ODirect_Equations.VEERG_4_2_1_3__4_NitrogenRetainedByBody_Variable" localSheetId="14">_xlfn.LAMBDA("NR_jkl")</definedName>
    <definedName name="MMS_PastureBeef_Soil_N2ODirect_Equations.VEERG_4_2_1_3__4_NitrogenRetainedByBody_Variable" localSheetId="3">_xlfn.LAMBDA("NR_jkl")</definedName>
    <definedName name="MMS_PastureBeef_Soil_N2ODirect_Equations.VEERG_4_2_1_3__4_NitrogenRetainedByBody_Variable">_xlfn.LAMBDA("NR_jkl")</definedName>
    <definedName name="MMS_PastureBeef_Soil_N2ODirect_Equations.VEERG_4_2_1_3__5_MilkProductionForCalvingSeason" localSheetId="11">_xlfn.LAMBDA(_xlpm.LC_jk5,_xlpm.DMP_jk5, _xlpm.LC_jk5 * _xlpm.DMP_jk5)</definedName>
    <definedName name="MMS_PastureBeef_Soil_N2ODirect_Equations.VEERG_4_2_1_3__5_MilkProductionForCalvingSeason" localSheetId="12">_xlfn.LAMBDA(_xlpm.LC_jk5,_xlpm.DMP_jk5, _xlpm.LC_jk5 * _xlpm.DMP_jk5)</definedName>
    <definedName name="MMS_PastureBeef_Soil_N2ODirect_Equations.VEERG_4_2_1_3__5_MilkProductionForCalvingSeason" localSheetId="13">_xlfn.LAMBDA(_xlpm.LC_jk5,_xlpm.DMP_jk5, _xlpm.LC_jk5 * _xlpm.DMP_jk5)</definedName>
    <definedName name="MMS_PastureBeef_Soil_N2ODirect_Equations.VEERG_4_2_1_3__5_MilkProductionForCalvingSeason" localSheetId="14">_xlfn.LAMBDA(_xlpm.LC_jk5,_xlpm.DMP_jk5, _xlpm.LC_jk5 * _xlpm.DMP_jk5)</definedName>
    <definedName name="MMS_PastureBeef_Soil_N2ODirect_Equations.VEERG_4_2_1_3__5_MilkProductionForCalvingSeason" localSheetId="3">_xlfn.LAMBDA(_xlpm.LC_jk5,_xlpm.DMP_jk5, _xlpm.LC_jk5 * _xlpm.DMP_jk5)</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 localSheetId="11">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2">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3">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14">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 localSheetId="3">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 localSheetId="11">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2">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3">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14">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 localSheetId="3">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 localSheetId="11">_xlfn.LAMBDA("MP_{jk=5}=LC_{jk=5}\times DMP_{jk=5}")</definedName>
    <definedName name="MMS_PastureBeef_Soil_N2ODirect_Equations.VEERG_4_2_1_3__5_MilkProductionForCalvingSeason_LatexEquation" localSheetId="12">_xlfn.LAMBDA("MP_{jk=5}=LC_{jk=5}\times DMP_{jk=5}")</definedName>
    <definedName name="MMS_PastureBeef_Soil_N2ODirect_Equations.VEERG_4_2_1_3__5_MilkProductionForCalvingSeason_LatexEquation" localSheetId="13">_xlfn.LAMBDA("MP_{jk=5}=LC_{jk=5}\times DMP_{jk=5}")</definedName>
    <definedName name="MMS_PastureBeef_Soil_N2ODirect_Equations.VEERG_4_2_1_3__5_MilkProductionForCalvingSeason_LatexEquation" localSheetId="14">_xlfn.LAMBDA("MP_{jk=5}=LC_{jk=5}\times DMP_{jk=5}")</definedName>
    <definedName name="MMS_PastureBeef_Soil_N2ODirect_Equations.VEERG_4_2_1_3__5_MilkProductionForCalvingSeason_LatexEquation" localSheetId="3">_xlfn.LAMBDA("MP_{jk=5}=LC_{jk=5}\times DMP_{jk=5}")</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 localSheetId="11">_xlfn.LAMBDA("MP_{jk=5}=(LC_{jk=5,current}\times DMP_{jk=5,calv})+(LC_{jk=5,prev}\times DMP_{jk=5,after})")</definedName>
    <definedName name="MMS_PastureBeef_Soil_N2ODirect_Equations.VEERG_4_2_1_3__5_MilkProductionForCalvingSeason_LatexEquationVariation" localSheetId="12">_xlfn.LAMBDA("MP_{jk=5}=(LC_{jk=5,current}\times DMP_{jk=5,calv})+(LC_{jk=5,prev}\times DMP_{jk=5,after})")</definedName>
    <definedName name="MMS_PastureBeef_Soil_N2ODirect_Equations.VEERG_4_2_1_3__5_MilkProductionForCalvingSeason_LatexEquationVariation" localSheetId="13">_xlfn.LAMBDA("MP_{jk=5}=(LC_{jk=5,current}\times DMP_{jk=5,calv})+(LC_{jk=5,prev}\times DMP_{jk=5,after})")</definedName>
    <definedName name="MMS_PastureBeef_Soil_N2ODirect_Equations.VEERG_4_2_1_3__5_MilkProductionForCalvingSeason_LatexEquationVariation" localSheetId="14">_xlfn.LAMBDA("MP_{jk=5}=(LC_{jk=5,current}\times DMP_{jk=5,calv})+(LC_{jk=5,prev}\times DMP_{jk=5,after})")</definedName>
    <definedName name="MMS_PastureBeef_Soil_N2ODirect_Equations.VEERG_4_2_1_3__5_MilkProductionForCalvingSeason_LatexEquationVariation" localSheetId="3">_xlfn.LAMBDA("MP_{jk=5}=(LC_{jk=5,current}\times DMP_{jk=5,calv})+(LC_{jk=5,prev}\times DMP_{jk=5,after})")</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 localSheetId="11">_xlfn.LAMBDA("")</definedName>
    <definedName name="MMS_PastureBeef_Soil_N2ODirect_Equations.VEERG_4_2_1_3__5_MilkProductionForCalvingSeason_NIRReference" localSheetId="12">_xlfn.LAMBDA("")</definedName>
    <definedName name="MMS_PastureBeef_Soil_N2ODirect_Equations.VEERG_4_2_1_3__5_MilkProductionForCalvingSeason_NIRReference" localSheetId="13">_xlfn.LAMBDA("")</definedName>
    <definedName name="MMS_PastureBeef_Soil_N2ODirect_Equations.VEERG_4_2_1_3__5_MilkProductionForCalvingSeason_NIRReference" localSheetId="14">_xlfn.LAMBDA("")</definedName>
    <definedName name="MMS_PastureBeef_Soil_N2ODirect_Equations.VEERG_4_2_1_3__5_MilkProductionForCalvingSeason_NIRReference" localSheetId="3">_xlfn.LAMBDA("")</definedName>
    <definedName name="MMS_PastureBeef_Soil_N2ODirect_Equations.VEERG_4_2_1_3__5_MilkProductionForCalvingSeason_NIRReference">_xlfn.LAMBDA("")</definedName>
    <definedName name="MMS_PastureBeef_Soil_N2ODirect_Equations.VEERG_4_2_1_3__5_MilkProductionForCalvingSeason_Source" localSheetId="11">_xlfn.LAMBDA("VEERG 2026: 4.2.1.3, Equation (5)")</definedName>
    <definedName name="MMS_PastureBeef_Soil_N2ODirect_Equations.VEERG_4_2_1_3__5_MilkProductionForCalvingSeason_Source" localSheetId="12">_xlfn.LAMBDA("VEERG 2026: 4.2.1.3, Equation (5)")</definedName>
    <definedName name="MMS_PastureBeef_Soil_N2ODirect_Equations.VEERG_4_2_1_3__5_MilkProductionForCalvingSeason_Source" localSheetId="13">_xlfn.LAMBDA("VEERG 2026: 4.2.1.3, Equation (5)")</definedName>
    <definedName name="MMS_PastureBeef_Soil_N2ODirect_Equations.VEERG_4_2_1_3__5_MilkProductionForCalvingSeason_Source" localSheetId="14">_xlfn.LAMBDA("VEERG 2026: 4.2.1.3, Equation (5)")</definedName>
    <definedName name="MMS_PastureBeef_Soil_N2ODirect_Equations.VEERG_4_2_1_3__5_MilkProductionForCalvingSeason_Source" localSheetId="3">_xlfn.LAMBDA("VEERG 2026: 4.2.1.3, Equation (5)")</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 localSheetId="11">_xlfn.LAMBDA("Milk production for the season of calving and season after calving")</definedName>
    <definedName name="MMS_PastureBeef_Soil_N2ODirect_Equations.VEERG_4_2_1_3__5_MilkProductionForCalvingSeason_Title" localSheetId="12">_xlfn.LAMBDA("Milk production for the season of calving and season after calving")</definedName>
    <definedName name="MMS_PastureBeef_Soil_N2ODirect_Equations.VEERG_4_2_1_3__5_MilkProductionForCalvingSeason_Title" localSheetId="13">_xlfn.LAMBDA("Milk production for the season of calving and season after calving")</definedName>
    <definedName name="MMS_PastureBeef_Soil_N2ODirect_Equations.VEERG_4_2_1_3__5_MilkProductionForCalvingSeason_Title" localSheetId="14">_xlfn.LAMBDA("Milk production for the season of calving and season after calving")</definedName>
    <definedName name="MMS_PastureBeef_Soil_N2ODirect_Equations.VEERG_4_2_1_3__5_MilkProductionForCalvingSeason_Title" localSheetId="3">_xlfn.LAMBDA("Milk production for the season of calving and season after calving")</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 localSheetId="11">_xlfn.LAMBDA("kg/head/day")</definedName>
    <definedName name="MMS_PastureBeef_Soil_N2ODirect_Equations.VEERG_4_2_1_3__5_MilkProductionForCalvingSeason_Unit" localSheetId="12">_xlfn.LAMBDA("kg/head/day")</definedName>
    <definedName name="MMS_PastureBeef_Soil_N2ODirect_Equations.VEERG_4_2_1_3__5_MilkProductionForCalvingSeason_Unit" localSheetId="13">_xlfn.LAMBDA("kg/head/day")</definedName>
    <definedName name="MMS_PastureBeef_Soil_N2ODirect_Equations.VEERG_4_2_1_3__5_MilkProductionForCalvingSeason_Unit" localSheetId="14">_xlfn.LAMBDA("kg/head/day")</definedName>
    <definedName name="MMS_PastureBeef_Soil_N2ODirect_Equations.VEERG_4_2_1_3__5_MilkProductionForCalvingSeason_Unit" localSheetId="3">_xlfn.LAMBDA("kg/head/day")</definedName>
    <definedName name="MMS_PastureBeef_Soil_N2ODirect_Equations.VEERG_4_2_1_3__5_MilkProductionForCalvingSeason_Unit">_xlfn.LAMBDA("kg/head/day")</definedName>
    <definedName name="MMS_PastureBeef_Soil_N2ODirect_Equations.VEERG_4_2_1_3__5_MilkProductionForCalvingSeason_Variable" localSheetId="11">_xlfn.LAMBDA("MP_jk5")</definedName>
    <definedName name="MMS_PastureBeef_Soil_N2ODirect_Equations.VEERG_4_2_1_3__5_MilkProductionForCalvingSeason_Variable" localSheetId="12">_xlfn.LAMBDA("MP_jk5")</definedName>
    <definedName name="MMS_PastureBeef_Soil_N2ODirect_Equations.VEERG_4_2_1_3__5_MilkProductionForCalvingSeason_Variable" localSheetId="13">_xlfn.LAMBDA("MP_jk5")</definedName>
    <definedName name="MMS_PastureBeef_Soil_N2ODirect_Equations.VEERG_4_2_1_3__5_MilkProductionForCalvingSeason_Variable" localSheetId="14">_xlfn.LAMBDA("MP_jk5")</definedName>
    <definedName name="MMS_PastureBeef_Soil_N2ODirect_Equations.VEERG_4_2_1_3__5_MilkProductionForCalvingSeason_Variable" localSheetId="3">_xlfn.LAMBDA("MP_jk5")</definedName>
    <definedName name="MMS_PastureBeef_Soil_N2ODirect_Equations.VEERG_4_2_1_3__5_MilkProductionForCalvingSeason_Variable">_xlfn.LAMBDA("MP_jk5")</definedName>
    <definedName name="MMS_PastureBeef_Soil_N2ODirect_Equations.VEERG_4_2_1_3__5_MilkProductionForCalvingSeason_Variation" localSheetId="11">_xlfn.LAMBDA("VARIATION ON SOURCE: Split LC and DMP into calving season and after calving season values.")</definedName>
    <definedName name="MMS_PastureBeef_Soil_N2ODirect_Equations.VEERG_4_2_1_3__5_MilkProductionForCalvingSeason_Variation" localSheetId="12">_xlfn.LAMBDA("VARIATION ON SOURCE: Split LC and DMP into calving season and after calving season values.")</definedName>
    <definedName name="MMS_PastureBeef_Soil_N2ODirect_Equations.VEERG_4_2_1_3__5_MilkProductionForCalvingSeason_Variation" localSheetId="13">_xlfn.LAMBDA("VARIATION ON SOURCE: Split LC and DMP into calving season and after calving season values.")</definedName>
    <definedName name="MMS_PastureBeef_Soil_N2ODirect_Equations.VEERG_4_2_1_3__5_MilkProductionForCalvingSeason_Variation" localSheetId="14">_xlfn.LAMBDA("VARIATION ON SOURCE: Split LC and DMP into calving season and after calving season values.")</definedName>
    <definedName name="MMS_PastureBeef_Soil_N2ODirect_Equations.VEERG_4_2_1_3__5_MilkProductionForCalvingSeason_Variation" localSheetId="3">_xlfn.LAMBDA("VARIATION ON SOURCE: Split LC and DMP into calving season and after calving season values.")</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 localSheetId="11">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2">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3">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14">_xlfn.LAMBDA(_xlpm.LC_jk5curr,_xlpm.LC_jk5prev,_xlpm.DMP_jk5calv,_xlpm.DMP_jk5after, (_xlpm.LC_jk5curr * _xlpm.DMP_jk5calv) + (_xlpm.LC_jk5prev * _xlpm.DMP_jk5after))</definedName>
    <definedName name="MMS_PastureBeef_Soil_N2ODirect_Equations.VEERG_4_2_1_3__5_MilkProductionForCalvingSeasonVariation" localSheetId="3">_xlfn.LAMBDA(_xlpm.LC_jk5curr,_xlpm.LC_jk5prev,_xlpm.DMP_jk5calv,_xlpm.DMP_jk5after, (_xlpm.LC_jk5curr * _xlpm.DMP_jk5calv) + (_xlpm.LC_jk5prev * _xlpm.DMP_jk5after))</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 localSheetId="11">_xlfn.LAMBDA(_xlpm.I_jkl,_xlpm.W_jkl, _xlpm.I_jkl / ((1.185 + 0.00454 * _xlpm.W_jkl - 0.0000026 * _xlpm.W_jkl ^ 2) ^ 2))</definedName>
    <definedName name="MMS_PastureBeef_Soil_N2ODirect_Equations.VEERG_4_2_1_3__6_IntakeRelativeToMaintenance" localSheetId="12">_xlfn.LAMBDA(_xlpm.I_jkl,_xlpm.W_jkl, _xlpm.I_jkl / ((1.185 + 0.00454 * _xlpm.W_jkl - 0.0000026 * _xlpm.W_jkl ^ 2) ^ 2))</definedName>
    <definedName name="MMS_PastureBeef_Soil_N2ODirect_Equations.VEERG_4_2_1_3__6_IntakeRelativeToMaintenance" localSheetId="13">_xlfn.LAMBDA(_xlpm.I_jkl,_xlpm.W_jkl, _xlpm.I_jkl / ((1.185 + 0.00454 * _xlpm.W_jkl - 0.0000026 * _xlpm.W_jkl ^ 2) ^ 2))</definedName>
    <definedName name="MMS_PastureBeef_Soil_N2ODirect_Equations.VEERG_4_2_1_3__6_IntakeRelativeToMaintenance" localSheetId="14">_xlfn.LAMBDA(_xlpm.I_jkl,_xlpm.W_jkl, _xlpm.I_jkl / ((1.185 + 0.00454 * _xlpm.W_jkl - 0.0000026 * _xlpm.W_jkl ^ 2) ^ 2))</definedName>
    <definedName name="MMS_PastureBeef_Soil_N2ODirect_Equations.VEERG_4_2_1_3__6_IntakeRelativeToMaintenance" localSheetId="3">_xlfn.LAMBDA(_xlpm.I_jkl,_xlpm.W_jkl, _xlpm.I_jkl / ((1.185 + 0.00454 * _xlpm.W_jkl - 0.0000026 * _xlpm.W_jkl ^ 2) ^ 2))</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 localSheetId="11">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2">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3">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14">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 localSheetId="3">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 localSheetId="11">_xlfn.LAMBDA("L_{jkl}=\frac{I_{jkl}}{(1.185+0.00454\times W_{jkl}-0.0000026\times W_{jkl}^{2})^{2}}")</definedName>
    <definedName name="MMS_PastureBeef_Soil_N2ODirect_Equations.VEERG_4_2_1_3__6_IntakeRelativeToMaintenance_LatexEquation" localSheetId="12">_xlfn.LAMBDA("L_{jkl}=\frac{I_{jkl}}{(1.185+0.00454\times W_{jkl}-0.0000026\times W_{jkl}^{2})^{2}}")</definedName>
    <definedName name="MMS_PastureBeef_Soil_N2ODirect_Equations.VEERG_4_2_1_3__6_IntakeRelativeToMaintenance_LatexEquation" localSheetId="13">_xlfn.LAMBDA("L_{jkl}=\frac{I_{jkl}}{(1.185+0.00454\times W_{jkl}-0.0000026\times W_{jkl}^{2})^{2}}")</definedName>
    <definedName name="MMS_PastureBeef_Soil_N2ODirect_Equations.VEERG_4_2_1_3__6_IntakeRelativeToMaintenance_LatexEquation" localSheetId="14">_xlfn.LAMBDA("L_{jkl}=\frac{I_{jkl}}{(1.185+0.00454\times W_{jkl}-0.0000026\times W_{jkl}^{2})^{2}}")</definedName>
    <definedName name="MMS_PastureBeef_Soil_N2ODirect_Equations.VEERG_4_2_1_3__6_IntakeRelativeToMaintenance_LatexEquation" localSheetId="3">_xlfn.LAMBDA("L_{jkl}=\frac{I_{jkl}}{(1.185+0.00454\times W_{jkl}-0.0000026\times W_{jkl}^{2})^{2}}")</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 localSheetId="11">_xlfn.LAMBDA("")</definedName>
    <definedName name="MMS_PastureBeef_Soil_N2ODirect_Equations.VEERG_4_2_1_3__6_IntakeRelativeToMaintenance_NIRReference" localSheetId="12">_xlfn.LAMBDA("")</definedName>
    <definedName name="MMS_PastureBeef_Soil_N2ODirect_Equations.VEERG_4_2_1_3__6_IntakeRelativeToMaintenance_NIRReference" localSheetId="13">_xlfn.LAMBDA("")</definedName>
    <definedName name="MMS_PastureBeef_Soil_N2ODirect_Equations.VEERG_4_2_1_3__6_IntakeRelativeToMaintenance_NIRReference" localSheetId="14">_xlfn.LAMBDA("")</definedName>
    <definedName name="MMS_PastureBeef_Soil_N2ODirect_Equations.VEERG_4_2_1_3__6_IntakeRelativeToMaintenance_NIRReference" localSheetId="3">_xlfn.LAMBDA("")</definedName>
    <definedName name="MMS_PastureBeef_Soil_N2ODirect_Equations.VEERG_4_2_1_3__6_IntakeRelativeToMaintenance_NIRReference">_xlfn.LAMBDA("")</definedName>
    <definedName name="MMS_PastureBeef_Soil_N2ODirect_Equations.VEERG_4_2_1_3__6_IntakeRelativeToMaintenance_Source" localSheetId="11">_xlfn.LAMBDA("VEERG 2026: 4.2.1.3, Equation (6)")</definedName>
    <definedName name="MMS_PastureBeef_Soil_N2ODirect_Equations.VEERG_4_2_1_3__6_IntakeRelativeToMaintenance_Source" localSheetId="12">_xlfn.LAMBDA("VEERG 2026: 4.2.1.3, Equation (6)")</definedName>
    <definedName name="MMS_PastureBeef_Soil_N2ODirect_Equations.VEERG_4_2_1_3__6_IntakeRelativeToMaintenance_Source" localSheetId="13">_xlfn.LAMBDA("VEERG 2026: 4.2.1.3, Equation (6)")</definedName>
    <definedName name="MMS_PastureBeef_Soil_N2ODirect_Equations.VEERG_4_2_1_3__6_IntakeRelativeToMaintenance_Source" localSheetId="14">_xlfn.LAMBDA("VEERG 2026: 4.2.1.3, Equation (6)")</definedName>
    <definedName name="MMS_PastureBeef_Soil_N2ODirect_Equations.VEERG_4_2_1_3__6_IntakeRelativeToMaintenance_Source" localSheetId="3">_xlfn.LAMBDA("VEERG 2026: 4.2.1.3, Equation (6)")</definedName>
    <definedName name="MMS_PastureBeef_Soil_N2ODirect_Equations.VEERG_4_2_1_3__6_IntakeRelativeToMaintenance_Source">_xlfn.LAMBDA("VEERG 2026: 4.2.1.3, Equation (6)")</definedName>
    <definedName name="MMS_PastureBeef_Soil_N2ODirect_Equations.VEERG_4_2_1_3__6_IntakeRelativeToMaintenance_Title" localSheetId="11">_xlfn.LAMBDA("Intake relative to that needed for maintenance")</definedName>
    <definedName name="MMS_PastureBeef_Soil_N2ODirect_Equations.VEERG_4_2_1_3__6_IntakeRelativeToMaintenance_Title" localSheetId="12">_xlfn.LAMBDA("Intake relative to that needed for maintenance")</definedName>
    <definedName name="MMS_PastureBeef_Soil_N2ODirect_Equations.VEERG_4_2_1_3__6_IntakeRelativeToMaintenance_Title" localSheetId="13">_xlfn.LAMBDA("Intake relative to that needed for maintenance")</definedName>
    <definedName name="MMS_PastureBeef_Soil_N2ODirect_Equations.VEERG_4_2_1_3__6_IntakeRelativeToMaintenance_Title" localSheetId="14">_xlfn.LAMBDA("Intake relative to that needed for maintenance")</definedName>
    <definedName name="MMS_PastureBeef_Soil_N2ODirect_Equations.VEERG_4_2_1_3__6_IntakeRelativeToMaintenance_Title" localSheetId="3">_xlfn.LAMBDA("Intake relative to that needed for maintenance")</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 localSheetId="11">_xlfn.LAMBDA("ratio")</definedName>
    <definedName name="MMS_PastureBeef_Soil_N2ODirect_Equations.VEERG_4_2_1_3__6_IntakeRelativeToMaintenance_Unit" localSheetId="12">_xlfn.LAMBDA("ratio")</definedName>
    <definedName name="MMS_PastureBeef_Soil_N2ODirect_Equations.VEERG_4_2_1_3__6_IntakeRelativeToMaintenance_Unit" localSheetId="13">_xlfn.LAMBDA("ratio")</definedName>
    <definedName name="MMS_PastureBeef_Soil_N2ODirect_Equations.VEERG_4_2_1_3__6_IntakeRelativeToMaintenance_Unit" localSheetId="14">_xlfn.LAMBDA("ratio")</definedName>
    <definedName name="MMS_PastureBeef_Soil_N2ODirect_Equations.VEERG_4_2_1_3__6_IntakeRelativeToMaintenance_Unit" localSheetId="3">_xlfn.LAMBDA("ratio")</definedName>
    <definedName name="MMS_PastureBeef_Soil_N2ODirect_Equations.VEERG_4_2_1_3__6_IntakeRelativeToMaintenance_Unit">_xlfn.LAMBDA("ratio")</definedName>
    <definedName name="MMS_PastureBeef_Soil_N2ODirect_Equations.VEERG_4_2_1_3__6_IntakeRelativeToMaintenance_Variable" localSheetId="11">_xlfn.LAMBDA("L_jkl")</definedName>
    <definedName name="MMS_PastureBeef_Soil_N2ODirect_Equations.VEERG_4_2_1_3__6_IntakeRelativeToMaintenance_Variable" localSheetId="12">_xlfn.LAMBDA("L_jkl")</definedName>
    <definedName name="MMS_PastureBeef_Soil_N2ODirect_Equations.VEERG_4_2_1_3__6_IntakeRelativeToMaintenance_Variable" localSheetId="13">_xlfn.LAMBDA("L_jkl")</definedName>
    <definedName name="MMS_PastureBeef_Soil_N2ODirect_Equations.VEERG_4_2_1_3__6_IntakeRelativeToMaintenance_Variable" localSheetId="14">_xlfn.LAMBDA("L_jkl")</definedName>
    <definedName name="MMS_PastureBeef_Soil_N2ODirect_Equations.VEERG_4_2_1_3__6_IntakeRelativeToMaintenance_Variable" localSheetId="3">_xlfn.LAMBDA("L_jkl")</definedName>
    <definedName name="MMS_PastureBeef_Soil_N2ODirect_Equations.VEERG_4_2_1_3__6_IntakeRelativeToMaintenance_Variable">_xlfn.LAMBDA("L_jkl")</definedName>
    <definedName name="MMS_PastureBeef_Soil_N2ODirect_Equations.VEERG_4_2_1_3__7_RelativeSize" localSheetId="11">_xlfn.LAMBDA(_xlpm.W_jkl,_xlpm.SRW_k, _xlpm.W_jkl / _xlpm.SRW_k)</definedName>
    <definedName name="MMS_PastureBeef_Soil_N2ODirect_Equations.VEERG_4_2_1_3__7_RelativeSize" localSheetId="12">_xlfn.LAMBDA(_xlpm.W_jkl,_xlpm.SRW_k, _xlpm.W_jkl / _xlpm.SRW_k)</definedName>
    <definedName name="MMS_PastureBeef_Soil_N2ODirect_Equations.VEERG_4_2_1_3__7_RelativeSize" localSheetId="13">_xlfn.LAMBDA(_xlpm.W_jkl,_xlpm.SRW_k, _xlpm.W_jkl / _xlpm.SRW_k)</definedName>
    <definedName name="MMS_PastureBeef_Soil_N2ODirect_Equations.VEERG_4_2_1_3__7_RelativeSize" localSheetId="14">_xlfn.LAMBDA(_xlpm.W_jkl,_xlpm.SRW_k, _xlpm.W_jkl / _xlpm.SRW_k)</definedName>
    <definedName name="MMS_PastureBeef_Soil_N2ODirect_Equations.VEERG_4_2_1_3__7_RelativeSize" localSheetId="3">_xlfn.LAMBDA(_xlpm.W_jkl,_xlpm.SRW_k, _xlpm.W_jkl / _xlpm.SRW_k)</definedName>
    <definedName name="MMS_PastureBeef_Soil_N2ODirect_Equations.VEERG_4_2_1_3__7_RelativeSize">_xlfn.LAMBDA(_xlpm.W_jkl,_xlpm.SRW_k, _xlpm.W_jkl / _xlpm.SRW_k)</definedName>
    <definedName name="MMS_PastureBeef_Soil_N2ODirect_Equations.VEERG_4_2_1_3__7_RelativeSize_Arguments" localSheetId="11">_xlfn.LAMBDA(_xlfn.MAKEARRAY(3, 4, _xlfn.LAMBDA(_xlpm.r,_xlpm.c, INDEX({"W_jkl","liveweight (kg)","kg","Input";"SRW_k","standard reference weight (kg)","kg","Constant";"i","state","","Input"}, _xlpm.r, _xlpm.c))))</definedName>
    <definedName name="MMS_PastureBeef_Soil_N2ODirect_Equations.VEERG_4_2_1_3__7_RelativeSize_Arguments" localSheetId="12">_xlfn.LAMBDA(_xlfn.MAKEARRAY(3, 4, _xlfn.LAMBDA(_xlpm.r,_xlpm.c, INDEX({"W_jkl","liveweight (kg)","kg","Input";"SRW_k","standard reference weight (kg)","kg","Constant";"i","state","","Input"}, _xlpm.r, _xlpm.c))))</definedName>
    <definedName name="MMS_PastureBeef_Soil_N2ODirect_Equations.VEERG_4_2_1_3__7_RelativeSize_Arguments" localSheetId="13">_xlfn.LAMBDA(_xlfn.MAKEARRAY(3, 4, _xlfn.LAMBDA(_xlpm.r,_xlpm.c, INDEX({"W_jkl","liveweight (kg)","kg","Input";"SRW_k","standard reference weight (kg)","kg","Constant";"i","state","","Input"}, _xlpm.r, _xlpm.c))))</definedName>
    <definedName name="MMS_PastureBeef_Soil_N2ODirect_Equations.VEERG_4_2_1_3__7_RelativeSize_Arguments" localSheetId="14">_xlfn.LAMBDA(_xlfn.MAKEARRAY(3, 4, _xlfn.LAMBDA(_xlpm.r,_xlpm.c, INDEX({"W_jkl","liveweight (kg)","kg","Input";"SRW_k","standard reference weight (kg)","kg","Constant";"i","state","","Input"}, _xlpm.r, _xlpm.c))))</definedName>
    <definedName name="MMS_PastureBeef_Soil_N2ODirect_Equations.VEERG_4_2_1_3__7_RelativeSize_Arguments" localSheetId="3">_xlfn.LAMBDA(_xlfn.MAKEARRAY(3, 4, _xlfn.LAMBDA(_xlpm.r,_xlpm.c, INDEX({"W_jkl","liveweight (kg)","kg","Input";"SRW_k","standard reference weight (kg)","kg","Constant";"i","state","","Input"}, _xlpm.r, _xlpm.c))))</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 localSheetId="11">_xlfn.LAMBDA("Z_{jkl}=\frac{W_{jkl}}{SRW_k}")</definedName>
    <definedName name="MMS_PastureBeef_Soil_N2ODirect_Equations.VEERG_4_2_1_3__7_RelativeSize_LatexEquation" localSheetId="12">_xlfn.LAMBDA("Z_{jkl}=\frac{W_{jkl}}{SRW_k}")</definedName>
    <definedName name="MMS_PastureBeef_Soil_N2ODirect_Equations.VEERG_4_2_1_3__7_RelativeSize_LatexEquation" localSheetId="13">_xlfn.LAMBDA("Z_{jkl}=\frac{W_{jkl}}{SRW_k}")</definedName>
    <definedName name="MMS_PastureBeef_Soil_N2ODirect_Equations.VEERG_4_2_1_3__7_RelativeSize_LatexEquation" localSheetId="14">_xlfn.LAMBDA("Z_{jkl}=\frac{W_{jkl}}{SRW_k}")</definedName>
    <definedName name="MMS_PastureBeef_Soil_N2ODirect_Equations.VEERG_4_2_1_3__7_RelativeSize_LatexEquation" localSheetId="3">_xlfn.LAMBDA("Z_{jkl}=\frac{W_{jkl}}{SRW_k}")</definedName>
    <definedName name="MMS_PastureBeef_Soil_N2ODirect_Equations.VEERG_4_2_1_3__7_RelativeSize_LatexEquation">_xlfn.LAMBDA("Z_{jkl}=\frac{W_{jkl}}{SRW_k}")</definedName>
    <definedName name="MMS_PastureBeef_Soil_N2ODirect_Equations.VEERG_4_2_1_3__7_RelativeSize_NIRReference" localSheetId="11">_xlfn.LAMBDA("")</definedName>
    <definedName name="MMS_PastureBeef_Soil_N2ODirect_Equations.VEERG_4_2_1_3__7_RelativeSize_NIRReference" localSheetId="12">_xlfn.LAMBDA("")</definedName>
    <definedName name="MMS_PastureBeef_Soil_N2ODirect_Equations.VEERG_4_2_1_3__7_RelativeSize_NIRReference" localSheetId="13">_xlfn.LAMBDA("")</definedName>
    <definedName name="MMS_PastureBeef_Soil_N2ODirect_Equations.VEERG_4_2_1_3__7_RelativeSize_NIRReference" localSheetId="14">_xlfn.LAMBDA("")</definedName>
    <definedName name="MMS_PastureBeef_Soil_N2ODirect_Equations.VEERG_4_2_1_3__7_RelativeSize_NIRReference" localSheetId="3">_xlfn.LAMBDA("")</definedName>
    <definedName name="MMS_PastureBeef_Soil_N2ODirect_Equations.VEERG_4_2_1_3__7_RelativeSize_NIRReference">_xlfn.LAMBDA("")</definedName>
    <definedName name="MMS_PastureBeef_Soil_N2ODirect_Equations.VEERG_4_2_1_3__7_RelativeSize_Source" localSheetId="11">_xlfn.LAMBDA("VEERG 2026: 4.2.1.3, Equation (7)")</definedName>
    <definedName name="MMS_PastureBeef_Soil_N2ODirect_Equations.VEERG_4_2_1_3__7_RelativeSize_Source" localSheetId="12">_xlfn.LAMBDA("VEERG 2026: 4.2.1.3, Equation (7)")</definedName>
    <definedName name="MMS_PastureBeef_Soil_N2ODirect_Equations.VEERG_4_2_1_3__7_RelativeSize_Source" localSheetId="13">_xlfn.LAMBDA("VEERG 2026: 4.2.1.3, Equation (7)")</definedName>
    <definedName name="MMS_PastureBeef_Soil_N2ODirect_Equations.VEERG_4_2_1_3__7_RelativeSize_Source" localSheetId="14">_xlfn.LAMBDA("VEERG 2026: 4.2.1.3, Equation (7)")</definedName>
    <definedName name="MMS_PastureBeef_Soil_N2ODirect_Equations.VEERG_4_2_1_3__7_RelativeSize_Source" localSheetId="3">_xlfn.LAMBDA("VEERG 2026: 4.2.1.3, Equation (7)")</definedName>
    <definedName name="MMS_PastureBeef_Soil_N2ODirect_Equations.VEERG_4_2_1_3__7_RelativeSize_Source">_xlfn.LAMBDA("VEERG 2026: 4.2.1.3, Equation (7)")</definedName>
    <definedName name="MMS_PastureBeef_Soil_N2ODirect_Equations.VEERG_4_2_1_3__7_RelativeSize_Title" localSheetId="11">_xlfn.LAMBDA("Relative size of the cattle")</definedName>
    <definedName name="MMS_PastureBeef_Soil_N2ODirect_Equations.VEERG_4_2_1_3__7_RelativeSize_Title" localSheetId="12">_xlfn.LAMBDA("Relative size of the cattle")</definedName>
    <definedName name="MMS_PastureBeef_Soil_N2ODirect_Equations.VEERG_4_2_1_3__7_RelativeSize_Title" localSheetId="13">_xlfn.LAMBDA("Relative size of the cattle")</definedName>
    <definedName name="MMS_PastureBeef_Soil_N2ODirect_Equations.VEERG_4_2_1_3__7_RelativeSize_Title" localSheetId="14">_xlfn.LAMBDA("Relative size of the cattle")</definedName>
    <definedName name="MMS_PastureBeef_Soil_N2ODirect_Equations.VEERG_4_2_1_3__7_RelativeSize_Title" localSheetId="3">_xlfn.LAMBDA("Relative size of the cattle")</definedName>
    <definedName name="MMS_PastureBeef_Soil_N2ODirect_Equations.VEERG_4_2_1_3__7_RelativeSize_Title">_xlfn.LAMBDA("Relative size of the cattle")</definedName>
    <definedName name="MMS_PastureBeef_Soil_N2ODirect_Equations.VEERG_4_2_1_3__7_RelativeSize_Unit" localSheetId="11">_xlfn.LAMBDA("ratio")</definedName>
    <definedName name="MMS_PastureBeef_Soil_N2ODirect_Equations.VEERG_4_2_1_3__7_RelativeSize_Unit" localSheetId="12">_xlfn.LAMBDA("ratio")</definedName>
    <definedName name="MMS_PastureBeef_Soil_N2ODirect_Equations.VEERG_4_2_1_3__7_RelativeSize_Unit" localSheetId="13">_xlfn.LAMBDA("ratio")</definedName>
    <definedName name="MMS_PastureBeef_Soil_N2ODirect_Equations.VEERG_4_2_1_3__7_RelativeSize_Unit" localSheetId="14">_xlfn.LAMBDA("ratio")</definedName>
    <definedName name="MMS_PastureBeef_Soil_N2ODirect_Equations.VEERG_4_2_1_3__7_RelativeSize_Unit" localSheetId="3">_xlfn.LAMBDA("ratio")</definedName>
    <definedName name="MMS_PastureBeef_Soil_N2ODirect_Equations.VEERG_4_2_1_3__7_RelativeSize_Unit">_xlfn.LAMBDA("ratio")</definedName>
    <definedName name="MMS_PastureBeef_Soil_N2ODirect_Equations.VEERG_4_2_1_3__7_RelativeSize_Variable" localSheetId="11">_xlfn.LAMBDA("Z_jkl")</definedName>
    <definedName name="MMS_PastureBeef_Soil_N2ODirect_Equations.VEERG_4_2_1_3__7_RelativeSize_Variable" localSheetId="12">_xlfn.LAMBDA("Z_jkl")</definedName>
    <definedName name="MMS_PastureBeef_Soil_N2ODirect_Equations.VEERG_4_2_1_3__7_RelativeSize_Variable" localSheetId="13">_xlfn.LAMBDA("Z_jkl")</definedName>
    <definedName name="MMS_PastureBeef_Soil_N2ODirect_Equations.VEERG_4_2_1_3__7_RelativeSize_Variable" localSheetId="14">_xlfn.LAMBDA("Z_jkl")</definedName>
    <definedName name="MMS_PastureBeef_Soil_N2ODirect_Equations.VEERG_4_2_1_3__7_RelativeSize_Variable" localSheetId="3">_xlfn.LAMBDA("Z_jkl")</definedName>
    <definedName name="MMS_PastureBeef_Soil_N2ODirect_Equations.VEERG_4_2_1_3__7_RelativeSize_Variable">_xlfn.LAMBDA("Z_jkl")</definedName>
    <definedName name="Range_LivestockStartingValues">#REF!</definedName>
    <definedName name="Scope3_Equations.VEERG_15_1_1_1__1_EmissionsFromPurchasedLivestock" localSheetId="23">_xlfn.LAMBDA(_xlpm.N_co,_xlpm.W_co,_xlpm.EF_co, (_xlpm.N_co * _xlpm.W_co * _xlpm.EF_co) * 10 ^ -3)</definedName>
    <definedName name="Scope3_Equations.VEERG_15_1_1_1__1_EmissionsFromPurchasedLivestock" localSheetId="24">_xlfn.LAMBDA(_xlpm.N_co,_xlpm.W_co,_xlpm.EF_co, (_xlpm.N_co * _xlpm.W_co * _xlpm.EF_co) * 10 ^ -3)</definedName>
    <definedName name="Scope3_Equations.VEERG_15_1_1_1__1_EmissionsFromPurchasedLivestock" localSheetId="31">_xlfn.LAMBDA(_xlpm.N_co,_xlpm.W_co,_xlpm.EF_co, (_xlpm.N_co * _xlpm.W_co * _xlpm.EF_co) * 10 ^ -3)</definedName>
    <definedName name="Scope3_Equations.VEERG_15_1_1_1__1_EmissionsFromPurchasedLivestock">_xlfn.LAMBDA(_xlpm.N_co,_xlpm.W_co,_xlpm.EF_co, (_xlpm.N_co * _xlpm.W_co * _xlpm.EF_co) * 10 ^ -3)</definedName>
    <definedName name="Scope3_Equations.VEERG_15_1_1_1__1_EmissionsFromPurchasedLivestock_Arguments" localSheetId="23">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24">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 localSheetId="31">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 localSheetId="23">_xlfn.LAMBDA("E=\sum\nolimits_c\sum\nolimits_o\left(N_{co}\times W_{co}\times EF_{co}\right)\times 10^{-3}")</definedName>
    <definedName name="Scope3_Equations.VEERG_15_1_1_1__1_EmissionsFromPurchasedLivestock_LatexEquation" localSheetId="24">_xlfn.LAMBDA("E=\sum\nolimits_c\sum\nolimits_o\left(N_{co}\times W_{co}\times EF_{co}\right)\times 10^{-3}")</definedName>
    <definedName name="Scope3_Equations.VEERG_15_1_1_1__1_EmissionsFromPurchasedLivestock_LatexEquation" localSheetId="31">_xlfn.LAMBDA("E=\sum\nolimits_c\sum\nolimits_o\left(N_{co}\times W_{co}\times EF_{co}\right)\times 10^{-3}")</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 localSheetId="23">_xlfn.LAMBDA("")</definedName>
    <definedName name="Scope3_Equations.VEERG_15_1_1_1__1_EmissionsFromPurchasedLivestock_NIRReference" localSheetId="24">_xlfn.LAMBDA("")</definedName>
    <definedName name="Scope3_Equations.VEERG_15_1_1_1__1_EmissionsFromPurchasedLivestock_NIRReference" localSheetId="31">_xlfn.LAMBDA("")</definedName>
    <definedName name="Scope3_Equations.VEERG_15_1_1_1__1_EmissionsFromPurchasedLivestock_NIRReference">_xlfn.LAMBDA("")</definedName>
    <definedName name="Scope3_Equations.VEERG_15_1_1_1__1_EmissionsFromPurchasedLivestock_Source" localSheetId="23">_xlfn.LAMBDA("VEERG 2026: 15.1.1.1, Equation (1)")</definedName>
    <definedName name="Scope3_Equations.VEERG_15_1_1_1__1_EmissionsFromPurchasedLivestock_Source" localSheetId="24">_xlfn.LAMBDA("VEERG 2026: 15.1.1.1, Equation (1)")</definedName>
    <definedName name="Scope3_Equations.VEERG_15_1_1_1__1_EmissionsFromPurchasedLivestock_Source" localSheetId="31">_xlfn.LAMBDA("VEERG 2026: 15.1.1.1, Equation (1)")</definedName>
    <definedName name="Scope3_Equations.VEERG_15_1_1_1__1_EmissionsFromPurchasedLivestock_Source">_xlfn.LAMBDA("VEERG 2026: 15.1.1.1, Equation (1)")</definedName>
    <definedName name="Scope3_Equations.VEERG_15_1_1_1__1_EmissionsFromPurchasedLivestock_Title" localSheetId="23">_xlfn.LAMBDA("Total emissions from purchased livestock")</definedName>
    <definedName name="Scope3_Equations.VEERG_15_1_1_1__1_EmissionsFromPurchasedLivestock_Title" localSheetId="24">_xlfn.LAMBDA("Total emissions from purchased livestock")</definedName>
    <definedName name="Scope3_Equations.VEERG_15_1_1_1__1_EmissionsFromPurchasedLivestock_Title" localSheetId="31">_xlfn.LAMBDA("Total emissions from purchased livestock")</definedName>
    <definedName name="Scope3_Equations.VEERG_15_1_1_1__1_EmissionsFromPurchasedLivestock_Title">_xlfn.LAMBDA("Total emissions from purchased livestock")</definedName>
    <definedName name="Scope3_Equations.VEERG_15_1_1_1__1_EmissionsFromPurchasedLivestock_Unit" localSheetId="23">_xlfn.LAMBDA("t CO2e")</definedName>
    <definedName name="Scope3_Equations.VEERG_15_1_1_1__1_EmissionsFromPurchasedLivestock_Unit" localSheetId="24">_xlfn.LAMBDA("t CO2e")</definedName>
    <definedName name="Scope3_Equations.VEERG_15_1_1_1__1_EmissionsFromPurchasedLivestock_Unit" localSheetId="31">_xlfn.LAMBDA("t CO2e")</definedName>
    <definedName name="Scope3_Equations.VEERG_15_1_1_1__1_EmissionsFromPurchasedLivestock_Unit">_xlfn.LAMBDA("t CO2e")</definedName>
    <definedName name="Scope3_Equations.VEERG_15_1_1_1__1_EmissionsFromPurchasedLivestock_Variable" localSheetId="23">_xlfn.LAMBDA("E")</definedName>
    <definedName name="Scope3_Equations.VEERG_15_1_1_1__1_EmissionsFromPurchasedLivestock_Variable" localSheetId="24">_xlfn.LAMBDA("E")</definedName>
    <definedName name="Scope3_Equations.VEERG_15_1_1_1__1_EmissionsFromPurchasedLivestock_Variable" localSheetId="31">_xlfn.LAMBDA("E")</definedName>
    <definedName name="Scope3_Equations.VEERG_15_1_1_1__1_EmissionsFromPurchasedLivestock_Variable">_xlfn.LAMBDA("E")</definedName>
    <definedName name="Scope3_Equations.VEERG_15_10_1_1__1_OtherPurchasedGoodsAndServices" localSheetId="23">_xlfn.LAMBDA(_xlpm.activity_data,_xlpm.emission_factor, _xlpm.activity_data * _xlpm.emission_factor)</definedName>
    <definedName name="Scope3_Equations.VEERG_15_10_1_1__1_OtherPurchasedGoodsAndServices" localSheetId="24">_xlfn.LAMBDA(_xlpm.activity_data,_xlpm.emission_factor, _xlpm.activity_data * _xlpm.emission_factor)</definedName>
    <definedName name="Scope3_Equations.VEERG_15_10_1_1__1_OtherPurchasedGoodsAndServices" localSheetId="31">_xlfn.LAMBDA(_xlpm.activity_data,_xlpm.emission_factor, _xlpm.activity_data * _xlpm.emission_factor)</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 localSheetId="23">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24">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 localSheetId="31">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 localSheetId="23">_xlfn.LAMBDA("emissions=activity\_data\times emission\_factor")</definedName>
    <definedName name="Scope3_Equations.VEERG_15_10_1_1__1_OtherPurchasedGoodsAndServices_LatexEquation" localSheetId="24">_xlfn.LAMBDA("emissions=activity\_data\times emission\_factor")</definedName>
    <definedName name="Scope3_Equations.VEERG_15_10_1_1__1_OtherPurchasedGoodsAndServices_LatexEquation" localSheetId="31">_xlfn.LAMBDA("emissions=activity\_data\times emission\_factor")</definedName>
    <definedName name="Scope3_Equations.VEERG_15_10_1_1__1_OtherPurchasedGoodsAndServices_LatexEquation">_xlfn.LAMBDA("emissions=activity\_data\times emission\_factor")</definedName>
    <definedName name="Scope3_Equations.VEERG_15_10_1_1__1_OtherPurchasedGoodsAndServices_NIRReference" localSheetId="23">_xlfn.LAMBDA("")</definedName>
    <definedName name="Scope3_Equations.VEERG_15_10_1_1__1_OtherPurchasedGoodsAndServices_NIRReference" localSheetId="24">_xlfn.LAMBDA("")</definedName>
    <definedName name="Scope3_Equations.VEERG_15_10_1_1__1_OtherPurchasedGoodsAndServices_NIRReference" localSheetId="31">_xlfn.LAMBDA("")</definedName>
    <definedName name="Scope3_Equations.VEERG_15_10_1_1__1_OtherPurchasedGoodsAndServices_NIRReference">_xlfn.LAMBDA("")</definedName>
    <definedName name="Scope3_Equations.VEERG_15_10_1_1__1_OtherPurchasedGoodsAndServices_Source" localSheetId="23">_xlfn.LAMBDA("VEERG 2026: 15.10, generic placeholder equation")</definedName>
    <definedName name="Scope3_Equations.VEERG_15_10_1_1__1_OtherPurchasedGoodsAndServices_Source" localSheetId="24">_xlfn.LAMBDA("VEERG 2026: 15.10, generic placeholder equation")</definedName>
    <definedName name="Scope3_Equations.VEERG_15_10_1_1__1_OtherPurchasedGoodsAndServices_Source" localSheetId="31">_xlfn.LAMBDA("VEERG 2026: 15.10, generic placeholder equation")</definedName>
    <definedName name="Scope3_Equations.VEERG_15_10_1_1__1_OtherPurchasedGoodsAndServices_Source">_xlfn.LAMBDA("VEERG 2026: 15.10, generic placeholder equation")</definedName>
    <definedName name="Scope3_Equations.VEERG_15_10_1_1__1_OtherPurchasedGoodsAndServices_Title" localSheetId="23">_xlfn.LAMBDA("Other purchased goods and services generic estimate")</definedName>
    <definedName name="Scope3_Equations.VEERG_15_10_1_1__1_OtherPurchasedGoodsAndServices_Title" localSheetId="24">_xlfn.LAMBDA("Other purchased goods and services generic estimate")</definedName>
    <definedName name="Scope3_Equations.VEERG_15_10_1_1__1_OtherPurchasedGoodsAndServices_Title" localSheetId="31">_xlfn.LAMBDA("Other purchased goods and services generic estimate")</definedName>
    <definedName name="Scope3_Equations.VEERG_15_10_1_1__1_OtherPurchasedGoodsAndServices_Title">_xlfn.LAMBDA("Other purchased goods and services generic estimate")</definedName>
    <definedName name="Scope3_Equations.VEERG_15_10_1_1__1_OtherPurchasedGoodsAndServices_Unit" localSheetId="23">_xlfn.LAMBDA("t CO2e")</definedName>
    <definedName name="Scope3_Equations.VEERG_15_10_1_1__1_OtherPurchasedGoodsAndServices_Unit" localSheetId="24">_xlfn.LAMBDA("t CO2e")</definedName>
    <definedName name="Scope3_Equations.VEERG_15_10_1_1__1_OtherPurchasedGoodsAndServices_Unit" localSheetId="31">_xlfn.LAMBDA("t CO2e")</definedName>
    <definedName name="Scope3_Equations.VEERG_15_10_1_1__1_OtherPurchasedGoodsAndServices_Unit">_xlfn.LAMBDA("t CO2e")</definedName>
    <definedName name="Scope3_Equations.VEERG_15_10_1_1__1_OtherPurchasedGoodsAndServices_Variable" localSheetId="23">_xlfn.LAMBDA("emissions")</definedName>
    <definedName name="Scope3_Equations.VEERG_15_10_1_1__1_OtherPurchasedGoodsAndServices_Variable" localSheetId="24">_xlfn.LAMBDA("emissions")</definedName>
    <definedName name="Scope3_Equations.VEERG_15_10_1_1__1_OtherPurchasedGoodsAndServices_Variable" localSheetId="31">_xlfn.LAMBDA("emissions")</definedName>
    <definedName name="Scope3_Equations.VEERG_15_10_1_1__1_OtherPurchasedGoodsAndServices_Variable">_xlfn.LAMBDA("emissions")</definedName>
    <definedName name="Scope3_Equations.VEERG_15_11_1_1__1_TotalUpstreamEmissionsFromFuel" localSheetId="23">_xlfn.LAMBDA(_xlpm.E_WTTtransq,_xlpm.E_WTTSCq, _xlpm.E_WTTtransq + _xlpm.E_WTTSCq)</definedName>
    <definedName name="Scope3_Equations.VEERG_15_11_1_1__1_TotalUpstreamEmissionsFromFuel" localSheetId="24">_xlfn.LAMBDA(_xlpm.E_WTTtransq,_xlpm.E_WTTSCq, _xlpm.E_WTTtransq + _xlpm.E_WTTSCq)</definedName>
    <definedName name="Scope3_Equations.VEERG_15_11_1_1__1_TotalUpstreamEmissionsFromFuel" localSheetId="31">_xlfn.LAMBDA(_xlpm.E_WTTtransq,_xlpm.E_WTTSCq, _xlpm.E_WTTtransq + _xlpm.E_WTTSCq)</definedName>
    <definedName name="Scope3_Equations.VEERG_15_11_1_1__1_TotalUpstreamEmissionsFromFuel">_xlfn.LAMBDA(_xlpm.E_WTTtransq,_xlpm.E_WTTSCq, _xlpm.E_WTTtransq + _xlpm.E_WTTSCq)</definedName>
    <definedName name="Scope3_Equations.VEERG_15_11_1_1__1_TotalUpstreamEmissionsFromFuel_Arguments" localSheetId="23">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24">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 localSheetId="31">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 localSheetId="23">_xlfn.LAMBDA("E=\sum\nolimits_qE_{WTT,trans,q}+\sum\nolimits_qE_{WTT,SC,q}")</definedName>
    <definedName name="Scope3_Equations.VEERG_15_11_1_1__1_TotalUpstreamEmissionsFromFuel_LatexEquation" localSheetId="24">_xlfn.LAMBDA("E=\sum\nolimits_qE_{WTT,trans,q}+\sum\nolimits_qE_{WTT,SC,q}")</definedName>
    <definedName name="Scope3_Equations.VEERG_15_11_1_1__1_TotalUpstreamEmissionsFromFuel_LatexEquation" localSheetId="31">_xlfn.LAMBDA("E=\sum\nolimits_qE_{WTT,trans,q}+\sum\nolimits_qE_{WTT,SC,q}")</definedName>
    <definedName name="Scope3_Equations.VEERG_15_11_1_1__1_TotalUpstreamEmissionsFromFuel_LatexEquation">_xlfn.LAMBDA("E=\sum\nolimits_qE_{WTT,trans,q}+\sum\nolimits_qE_{WTT,SC,q}")</definedName>
    <definedName name="Scope3_Equations.VEERG_15_11_1_1__1_TotalUpstreamEmissionsFromFuel_NIRReference" localSheetId="23">_xlfn.LAMBDA("")</definedName>
    <definedName name="Scope3_Equations.VEERG_15_11_1_1__1_TotalUpstreamEmissionsFromFuel_NIRReference" localSheetId="24">_xlfn.LAMBDA("")</definedName>
    <definedName name="Scope3_Equations.VEERG_15_11_1_1__1_TotalUpstreamEmissionsFromFuel_NIRReference" localSheetId="31">_xlfn.LAMBDA("")</definedName>
    <definedName name="Scope3_Equations.VEERG_15_11_1_1__1_TotalUpstreamEmissionsFromFuel_NIRReference">_xlfn.LAMBDA("")</definedName>
    <definedName name="Scope3_Equations.VEERG_15_11_1_1__1_TotalUpstreamEmissionsFromFuel_Source" localSheetId="23">_xlfn.LAMBDA("VEERG 2026: 15.11.1.1, Equation (1)")</definedName>
    <definedName name="Scope3_Equations.VEERG_15_11_1_1__1_TotalUpstreamEmissionsFromFuel_Source" localSheetId="24">_xlfn.LAMBDA("VEERG 2026: 15.11.1.1, Equation (1)")</definedName>
    <definedName name="Scope3_Equations.VEERG_15_11_1_1__1_TotalUpstreamEmissionsFromFuel_Source" localSheetId="31">_xlfn.LAMBDA("VEERG 2026: 15.11.1.1, Equation (1)")</definedName>
    <definedName name="Scope3_Equations.VEERG_15_11_1_1__1_TotalUpstreamEmissionsFromFuel_Source">_xlfn.LAMBDA("VEERG 2026: 15.11.1.1, Equation (1)")</definedName>
    <definedName name="Scope3_Equations.VEERG_15_11_1_1__1_TotalUpstreamEmissionsFromFuel_Title" localSheetId="23">_xlfn.LAMBDA("Total upstream emissions from scope 1 fuel consumption")</definedName>
    <definedName name="Scope3_Equations.VEERG_15_11_1_1__1_TotalUpstreamEmissionsFromFuel_Title" localSheetId="24">_xlfn.LAMBDA("Total upstream emissions from scope 1 fuel consumption")</definedName>
    <definedName name="Scope3_Equations.VEERG_15_11_1_1__1_TotalUpstreamEmissionsFromFuel_Title" localSheetId="31">_xlfn.LAMBDA("Total upstream emissions from scope 1 fuel consumption")</definedName>
    <definedName name="Scope3_Equations.VEERG_15_11_1_1__1_TotalUpstreamEmissionsFromFuel_Title">_xlfn.LAMBDA("Total upstream emissions from scope 1 fuel consumption")</definedName>
    <definedName name="Scope3_Equations.VEERG_15_11_1_1__1_TotalUpstreamEmissionsFromFuel_Unit" localSheetId="23">_xlfn.LAMBDA("t CO2e")</definedName>
    <definedName name="Scope3_Equations.VEERG_15_11_1_1__1_TotalUpstreamEmissionsFromFuel_Unit" localSheetId="24">_xlfn.LAMBDA("t CO2e")</definedName>
    <definedName name="Scope3_Equations.VEERG_15_11_1_1__1_TotalUpstreamEmissionsFromFuel_Unit" localSheetId="31">_xlfn.LAMBDA("t CO2e")</definedName>
    <definedName name="Scope3_Equations.VEERG_15_11_1_1__1_TotalUpstreamEmissionsFromFuel_Unit">_xlfn.LAMBDA("t CO2e")</definedName>
    <definedName name="Scope3_Equations.VEERG_15_11_1_1__1_TotalUpstreamEmissionsFromFuel_Variable" localSheetId="23">_xlfn.LAMBDA("E")</definedName>
    <definedName name="Scope3_Equations.VEERG_15_11_1_1__1_TotalUpstreamEmissionsFromFuel_Variable" localSheetId="24">_xlfn.LAMBDA("E")</definedName>
    <definedName name="Scope3_Equations.VEERG_15_11_1_1__1_TotalUpstreamEmissionsFromFuel_Variable" localSheetId="31">_xlfn.LAMBDA("E")</definedName>
    <definedName name="Scope3_Equations.VEERG_15_11_1_1__1_TotalUpstreamEmissionsFromFuel_Variable">_xlfn.LAMBDA("E")</definedName>
    <definedName name="Scope3_Equations.VEERG_15_11_1_1__2_UpstreamTransportFuelEmissions" localSheetId="23">_xlfn.LAMBDA(_xlpm.Q_Transq,_xlpm.EC_Transq,_xlpm.EF_Trans3q, (_xlpm.Q_Transq * _xlpm.EC_Transq * _xlpm.EF_Trans3q) * 10 ^ -3)</definedName>
    <definedName name="Scope3_Equations.VEERG_15_11_1_1__2_UpstreamTransportFuelEmissions" localSheetId="24">_xlfn.LAMBDA(_xlpm.Q_Transq,_xlpm.EC_Transq,_xlpm.EF_Trans3q, (_xlpm.Q_Transq * _xlpm.EC_Transq * _xlpm.EF_Trans3q) * 10 ^ -3)</definedName>
    <definedName name="Scope3_Equations.VEERG_15_11_1_1__2_UpstreamTransportFuelEmissions" localSheetId="31">_xlfn.LAMBDA(_xlpm.Q_Transq,_xlpm.EC_Transq,_xlpm.EF_Trans3q, (_xlpm.Q_Transq * _xlpm.EC_Transq * _xlpm.EF_Trans3q) * 10 ^ -3)</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 localSheetId="23">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24">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 localSheetId="31">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 localSheetId="23">_xlfn.LAMBDA("E_{WTT,trans,q}=Q_{Trans,q}\times EC_{Trans,q}\times EF_{Trans,3,q}\times 10^{-3}")</definedName>
    <definedName name="Scope3_Equations.VEERG_15_11_1_1__2_UpstreamTransportFuelEmissions_LatexEquation" localSheetId="24">_xlfn.LAMBDA("E_{WTT,trans,q}=Q_{Trans,q}\times EC_{Trans,q}\times EF_{Trans,3,q}\times 10^{-3}")</definedName>
    <definedName name="Scope3_Equations.VEERG_15_11_1_1__2_UpstreamTransportFuelEmissions_LatexEquation" localSheetId="31">_xlfn.LAMBDA("E_{WTT,trans,q}=Q_{Trans,q}\times EC_{Trans,q}\times EF_{Trans,3,q}\times 10^{-3}")</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 localSheetId="23">_xlfn.LAMBDA("")</definedName>
    <definedName name="Scope3_Equations.VEERG_15_11_1_1__2_UpstreamTransportFuelEmissions_NIRReference" localSheetId="24">_xlfn.LAMBDA("")</definedName>
    <definedName name="Scope3_Equations.VEERG_15_11_1_1__2_UpstreamTransportFuelEmissions_NIRReference" localSheetId="31">_xlfn.LAMBDA("")</definedName>
    <definedName name="Scope3_Equations.VEERG_15_11_1_1__2_UpstreamTransportFuelEmissions_NIRReference">_xlfn.LAMBDA("")</definedName>
    <definedName name="Scope3_Equations.VEERG_15_11_1_1__2_UpstreamTransportFuelEmissions_Source" localSheetId="23">_xlfn.LAMBDA("VEERG 2026: 15.11.1.1, Equation (2)")</definedName>
    <definedName name="Scope3_Equations.VEERG_15_11_1_1__2_UpstreamTransportFuelEmissions_Source" localSheetId="24">_xlfn.LAMBDA("VEERG 2026: 15.11.1.1, Equation (2)")</definedName>
    <definedName name="Scope3_Equations.VEERG_15_11_1_1__2_UpstreamTransportFuelEmissions_Source" localSheetId="31">_xlfn.LAMBDA("VEERG 2026: 15.11.1.1, Equation (2)")</definedName>
    <definedName name="Scope3_Equations.VEERG_15_11_1_1__2_UpstreamTransportFuelEmissions_Source">_xlfn.LAMBDA("VEERG 2026: 15.11.1.1, Equation (2)")</definedName>
    <definedName name="Scope3_Equations.VEERG_15_11_1_1__2_UpstreamTransportFuelEmissions_Title" localSheetId="23">_xlfn.LAMBDA("Upstream emissions from scope 1 fuel use for transport purposes")</definedName>
    <definedName name="Scope3_Equations.VEERG_15_11_1_1__2_UpstreamTransportFuelEmissions_Title" localSheetId="24">_xlfn.LAMBDA("Upstream emissions from scope 1 fuel use for transport purposes")</definedName>
    <definedName name="Scope3_Equations.VEERG_15_11_1_1__2_UpstreamTransportFuelEmissions_Title" localSheetId="31">_xlfn.LAMBDA("Upstream emissions from scope 1 fuel use for transport purposes")</definedName>
    <definedName name="Scope3_Equations.VEERG_15_11_1_1__2_UpstreamTransportFuelEmissions_Title">_xlfn.LAMBDA("Upstream emissions from scope 1 fuel use for transport purposes")</definedName>
    <definedName name="Scope3_Equations.VEERG_15_11_1_1__2_UpstreamTransportFuelEmissions_Unit" localSheetId="23">_xlfn.LAMBDA("t CO2e")</definedName>
    <definedName name="Scope3_Equations.VEERG_15_11_1_1__2_UpstreamTransportFuelEmissions_Unit" localSheetId="24">_xlfn.LAMBDA("t CO2e")</definedName>
    <definedName name="Scope3_Equations.VEERG_15_11_1_1__2_UpstreamTransportFuelEmissions_Unit" localSheetId="31">_xlfn.LAMBDA("t CO2e")</definedName>
    <definedName name="Scope3_Equations.VEERG_15_11_1_1__2_UpstreamTransportFuelEmissions_Unit">_xlfn.LAMBDA("t CO2e")</definedName>
    <definedName name="Scope3_Equations.VEERG_15_11_1_1__2_UpstreamTransportFuelEmissions_Variable" localSheetId="23">_xlfn.LAMBDA("E_WTTtransq")</definedName>
    <definedName name="Scope3_Equations.VEERG_15_11_1_1__2_UpstreamTransportFuelEmissions_Variable" localSheetId="24">_xlfn.LAMBDA("E_WTTtransq")</definedName>
    <definedName name="Scope3_Equations.VEERG_15_11_1_1__2_UpstreamTransportFuelEmissions_Variable" localSheetId="31">_xlfn.LAMBDA("E_WTTtransq")</definedName>
    <definedName name="Scope3_Equations.VEERG_15_11_1_1__2_UpstreamTransportFuelEmissions_Variable">_xlfn.LAMBDA("E_WTTtransq")</definedName>
    <definedName name="Scope3_Equations.VEERG_15_11_1_1__3_UpstreamStationaryFuelEmissions" localSheetId="23">_xlfn.LAMBDA(_xlpm.Q_SCq,_xlpm.EC_SCq,_xlpm.EF_SC3q, (_xlpm.Q_SCq * _xlpm.EC_SCq * _xlpm.EF_SC3q) * 10 ^ -3)</definedName>
    <definedName name="Scope3_Equations.VEERG_15_11_1_1__3_UpstreamStationaryFuelEmissions" localSheetId="24">_xlfn.LAMBDA(_xlpm.Q_SCq,_xlpm.EC_SCq,_xlpm.EF_SC3q, (_xlpm.Q_SCq * _xlpm.EC_SCq * _xlpm.EF_SC3q) * 10 ^ -3)</definedName>
    <definedName name="Scope3_Equations.VEERG_15_11_1_1__3_UpstreamStationaryFuelEmissions" localSheetId="31">_xlfn.LAMBDA(_xlpm.Q_SCq,_xlpm.EC_SCq,_xlpm.EF_SC3q, (_xlpm.Q_SCq * _xlpm.EC_SCq * _xlpm.EF_SC3q) * 10 ^ -3)</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 localSheetId="23">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24">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 localSheetId="31">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 localSheetId="23">_xlfn.LAMBDA("E_{WTT,SC,q}=Q_{SC,q}\times EC_{SC,q}\times EF_{SC,3,q}\times 10^{-3}")</definedName>
    <definedName name="Scope3_Equations.VEERG_15_11_1_1__3_UpstreamStationaryFuelEmissions_LatexEquation" localSheetId="24">_xlfn.LAMBDA("E_{WTT,SC,q}=Q_{SC,q}\times EC_{SC,q}\times EF_{SC,3,q}\times 10^{-3}")</definedName>
    <definedName name="Scope3_Equations.VEERG_15_11_1_1__3_UpstreamStationaryFuelEmissions_LatexEquation" localSheetId="31">_xlfn.LAMBDA("E_{WTT,SC,q}=Q_{SC,q}\times EC_{SC,q}\times EF_{SC,3,q}\times 10^{-3}")</definedName>
    <definedName name="Scope3_Equations.VEERG_15_11_1_1__3_UpstreamStationaryFuelEmissions_LatexEquation">_xlfn.LAMBDA("E_{WTT,SC,q}=Q_{SC,q}\times EC_{SC,q}\times EF_{SC,3,q}\times 10^{-3}")</definedName>
    <definedName name="Scope3_Equations.VEERG_15_11_1_1__3_UpstreamStationaryFuelEmissions_NIRReference" localSheetId="23">_xlfn.LAMBDA("")</definedName>
    <definedName name="Scope3_Equations.VEERG_15_11_1_1__3_UpstreamStationaryFuelEmissions_NIRReference" localSheetId="24">_xlfn.LAMBDA("")</definedName>
    <definedName name="Scope3_Equations.VEERG_15_11_1_1__3_UpstreamStationaryFuelEmissions_NIRReference" localSheetId="31">_xlfn.LAMBDA("")</definedName>
    <definedName name="Scope3_Equations.VEERG_15_11_1_1__3_UpstreamStationaryFuelEmissions_NIRReference">_xlfn.LAMBDA("")</definedName>
    <definedName name="Scope3_Equations.VEERG_15_11_1_1__3_UpstreamStationaryFuelEmissions_Source" localSheetId="23">_xlfn.LAMBDA("VEERG 2026: 15.11.1.1, Equation (3)")</definedName>
    <definedName name="Scope3_Equations.VEERG_15_11_1_1__3_UpstreamStationaryFuelEmissions_Source" localSheetId="24">_xlfn.LAMBDA("VEERG 2026: 15.11.1.1, Equation (3)")</definedName>
    <definedName name="Scope3_Equations.VEERG_15_11_1_1__3_UpstreamStationaryFuelEmissions_Source" localSheetId="31">_xlfn.LAMBDA("VEERG 2026: 15.11.1.1, Equation (3)")</definedName>
    <definedName name="Scope3_Equations.VEERG_15_11_1_1__3_UpstreamStationaryFuelEmissions_Source">_xlfn.LAMBDA("VEERG 2026: 15.11.1.1, Equation (3)")</definedName>
    <definedName name="Scope3_Equations.VEERG_15_11_1_1__3_UpstreamStationaryFuelEmissions_Title" localSheetId="23">_xlfn.LAMBDA("Upstream emissions from scope 1 stationary combustion fuel use")</definedName>
    <definedName name="Scope3_Equations.VEERG_15_11_1_1__3_UpstreamStationaryFuelEmissions_Title" localSheetId="24">_xlfn.LAMBDA("Upstream emissions from scope 1 stationary combustion fuel use")</definedName>
    <definedName name="Scope3_Equations.VEERG_15_11_1_1__3_UpstreamStationaryFuelEmissions_Title" localSheetId="31">_xlfn.LAMBDA("Upstream emissions from scope 1 stationary combustion fuel use")</definedName>
    <definedName name="Scope3_Equations.VEERG_15_11_1_1__3_UpstreamStationaryFuelEmissions_Title">_xlfn.LAMBDA("Upstream emissions from scope 1 stationary combustion fuel use")</definedName>
    <definedName name="Scope3_Equations.VEERG_15_11_1_1__3_UpstreamStationaryFuelEmissions_Unit" localSheetId="23">_xlfn.LAMBDA("t CO2e")</definedName>
    <definedName name="Scope3_Equations.VEERG_15_11_1_1__3_UpstreamStationaryFuelEmissions_Unit" localSheetId="24">_xlfn.LAMBDA("t CO2e")</definedName>
    <definedName name="Scope3_Equations.VEERG_15_11_1_1__3_UpstreamStationaryFuelEmissions_Unit" localSheetId="31">_xlfn.LAMBDA("t CO2e")</definedName>
    <definedName name="Scope3_Equations.VEERG_15_11_1_1__3_UpstreamStationaryFuelEmissions_Unit">_xlfn.LAMBDA("t CO2e")</definedName>
    <definedName name="Scope3_Equations.VEERG_15_11_1_1__3_UpstreamStationaryFuelEmissions_Variable" localSheetId="23">_xlfn.LAMBDA("E_WTTSCq")</definedName>
    <definedName name="Scope3_Equations.VEERG_15_11_1_1__3_UpstreamStationaryFuelEmissions_Variable" localSheetId="24">_xlfn.LAMBDA("E_WTTSCq")</definedName>
    <definedName name="Scope3_Equations.VEERG_15_11_1_1__3_UpstreamStationaryFuelEmissions_Variable" localSheetId="31">_xlfn.LAMBDA("E_WTTSCq")</definedName>
    <definedName name="Scope3_Equations.VEERG_15_11_1_1__3_UpstreamStationaryFuelEmissions_Variable">_xlfn.LAMBDA("E_WTTSCq")</definedName>
    <definedName name="Scope3_Equations.VEERG_15_11_1_1__3_UpstreamStationaryFuelEmissions_Variation" localSheetId="23">_xlfn.LAMBDA("VARIATION ON SOURCE: Added 'state' and 'metro/non-metro' arguments as gaseous scope 3 EFs are state and metro/non-metro location-based.")</definedName>
    <definedName name="Scope3_Equations.VEERG_15_11_1_1__3_UpstreamStationaryFuelEmissions_Variation" localSheetId="24">_xlfn.LAMBDA("VARIATION ON SOURCE: Added 'state' and 'metro/non-metro' arguments as gaseous scope 3 EFs are state and metro/non-metro location-based.")</definedName>
    <definedName name="Scope3_Equations.VEERG_15_11_1_1__3_UpstreamStationaryFuelEmissions_Variation" localSheetId="31">_xlfn.LAMBDA("VARIATION ON SOURCE: Added 'state' and 'metro/non-metro' arguments as gaseous scope 3 EFs are state and metro/non-metro location-based.")</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 localSheetId="23">_xlfn.LAMBDA(_xlpm.Q_elec,_xlpm.EF_3elec, (_xlpm.Q_elec * _xlpm.EF_3elec) * 10 ^ -3)</definedName>
    <definedName name="Scope3_Equations.VEERG_15_12_1_1__1_UpstreamPurchasedElectricityLocationBased" localSheetId="24">_xlfn.LAMBDA(_xlpm.Q_elec,_xlpm.EF_3elec, (_xlpm.Q_elec * _xlpm.EF_3elec) * 10 ^ -3)</definedName>
    <definedName name="Scope3_Equations.VEERG_15_12_1_1__1_UpstreamPurchasedElectricityLocationBased" localSheetId="31">_xlfn.LAMBDA(_xlpm.Q_elec,_xlpm.EF_3elec, (_xlpm.Q_elec * _xlpm.EF_3elec) * 10 ^ -3)</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 localSheetId="23">_xlfn.LAMBDA("E_{3,elec}=Q_{elec}\times EF_{3,elec}\times 10^{-3}")</definedName>
    <definedName name="Scope3_Equations.VEERG_15_12_1_1__1_UpstreamPurchasedElectricityLocationBased_LatexEquation" localSheetId="24">_xlfn.LAMBDA("E_{3,elec}=Q_{elec}\times EF_{3,elec}\times 10^{-3}")</definedName>
    <definedName name="Scope3_Equations.VEERG_15_12_1_1__1_UpstreamPurchasedElectricityLocationBased_LatexEquation" localSheetId="31">_xlfn.LAMBDA("E_{3,elec}=Q_{elec}\times EF_{3,elec}\times 10^{-3}")</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 localSheetId="23">_xlfn.LAMBDA("")</definedName>
    <definedName name="Scope3_Equations.VEERG_15_12_1_1__1_UpstreamPurchasedElectricityLocationBased_NIRReference" localSheetId="24">_xlfn.LAMBDA("")</definedName>
    <definedName name="Scope3_Equations.VEERG_15_12_1_1__1_UpstreamPurchasedElectricityLocationBased_NIRReference" localSheetId="31">_xlfn.LAMBDA("")</definedName>
    <definedName name="Scope3_Equations.VEERG_15_12_1_1__1_UpstreamPurchasedElectricityLocationBased_NIRReference">_xlfn.LAMBDA("")</definedName>
    <definedName name="Scope3_Equations.VEERG_15_12_1_1__1_UpstreamPurchasedElectricityLocationBased_Source" localSheetId="23">_xlfn.LAMBDA("VEERG 2026: 15.12.1.1, Equation (1)")</definedName>
    <definedName name="Scope3_Equations.VEERG_15_12_1_1__1_UpstreamPurchasedElectricityLocationBased_Source" localSheetId="24">_xlfn.LAMBDA("VEERG 2026: 15.12.1.1, Equation (1)")</definedName>
    <definedName name="Scope3_Equations.VEERG_15_12_1_1__1_UpstreamPurchasedElectricityLocationBased_Source" localSheetId="31">_xlfn.LAMBDA("VEERG 2026: 15.12.1.1, Equation (1)")</definedName>
    <definedName name="Scope3_Equations.VEERG_15_12_1_1__1_UpstreamPurchasedElectricityLocationBased_Source">_xlfn.LAMBDA("VEERG 2026: 15.12.1.1, Equation (1)")</definedName>
    <definedName name="Scope3_Equations.VEERG_15_12_1_1__1_UpstreamPurchasedElectricityLocationBased_Title" localSheetId="23">_xlfn.LAMBDA("Scope 3 emissions from purchased electricity location based")</definedName>
    <definedName name="Scope3_Equations.VEERG_15_12_1_1__1_UpstreamPurchasedElectricityLocationBased_Title" localSheetId="24">_xlfn.LAMBDA("Scope 3 emissions from purchased electricity location based")</definedName>
    <definedName name="Scope3_Equations.VEERG_15_12_1_1__1_UpstreamPurchasedElectricityLocationBased_Title" localSheetId="31">_xlfn.LAMBDA("Scope 3 emissions from purchased electricity location based")</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 localSheetId="23">_xlfn.LAMBDA("t CO2e")</definedName>
    <definedName name="Scope3_Equations.VEERG_15_12_1_1__1_UpstreamPurchasedElectricityLocationBased_Unit" localSheetId="24">_xlfn.LAMBDA("t CO2e")</definedName>
    <definedName name="Scope3_Equations.VEERG_15_12_1_1__1_UpstreamPurchasedElectricityLocationBased_Unit" localSheetId="31">_xlfn.LAMBDA("t CO2e")</definedName>
    <definedName name="Scope3_Equations.VEERG_15_12_1_1__1_UpstreamPurchasedElectricityLocationBased_Unit">_xlfn.LAMBDA("t CO2e")</definedName>
    <definedName name="Scope3_Equations.VEERG_15_12_1_1__1_UpstreamPurchasedElectricityLocationBased_Variable" localSheetId="23">_xlfn.LAMBDA("E_3elec")</definedName>
    <definedName name="Scope3_Equations.VEERG_15_12_1_1__1_UpstreamPurchasedElectricityLocationBased_Variable" localSheetId="24">_xlfn.LAMBDA("E_3elec")</definedName>
    <definedName name="Scope3_Equations.VEERG_15_12_1_1__1_UpstreamPurchasedElectricityLocationBased_Variable" localSheetId="31">_xlfn.LAMBDA("E_3elec")</definedName>
    <definedName name="Scope3_Equations.VEERG_15_12_1_1__1_UpstreamPurchasedElectricityLocationBased_Variable">_xlfn.LAMBDA("E_3elec")</definedName>
    <definedName name="Scope3_Equations.VEERG_15_12_1_2__1_UpstreamPurchasedElectricityMarketBased" localSheetId="2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2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 localSheetId="23">_xlfn.LAMBDA("")</definedName>
    <definedName name="Scope3_Equations.VEERG_15_12_1_2__1_UpstreamPurchasedElectricityMarketBased_NIRReference" localSheetId="24">_xlfn.LAMBDA("")</definedName>
    <definedName name="Scope3_Equations.VEERG_15_12_1_2__1_UpstreamPurchasedElectricityMarketBased_NIRReference" localSheetId="31">_xlfn.LAMBDA("")</definedName>
    <definedName name="Scope3_Equations.VEERG_15_12_1_2__1_UpstreamPurchasedElectricityMarketBased_NIRReference">_xlfn.LAMBDA("")</definedName>
    <definedName name="Scope3_Equations.VEERG_15_12_1_2__1_UpstreamPurchasedElectricityMarketBased_Source" localSheetId="23">_xlfn.LAMBDA("VEERG 2026: 15.12.1.2, Equation (1)")</definedName>
    <definedName name="Scope3_Equations.VEERG_15_12_1_2__1_UpstreamPurchasedElectricityMarketBased_Source" localSheetId="24">_xlfn.LAMBDA("VEERG 2026: 15.12.1.2, Equation (1)")</definedName>
    <definedName name="Scope3_Equations.VEERG_15_12_1_2__1_UpstreamPurchasedElectricityMarketBased_Source" localSheetId="31">_xlfn.LAMBDA("VEERG 2026: 15.12.1.2, Equation (1)")</definedName>
    <definedName name="Scope3_Equations.VEERG_15_12_1_2__1_UpstreamPurchasedElectricityMarketBased_Source">_xlfn.LAMBDA("VEERG 2026: 15.12.1.2, Equation (1)")</definedName>
    <definedName name="Scope3_Equations.VEERG_15_12_1_2__1_UpstreamPurchasedElectricityMarketBased_Title" localSheetId="23">_xlfn.LAMBDA("Scope 3 emissions from purchased electricity market based")</definedName>
    <definedName name="Scope3_Equations.VEERG_15_12_1_2__1_UpstreamPurchasedElectricityMarketBased_Title" localSheetId="24">_xlfn.LAMBDA("Scope 3 emissions from purchased electricity market based")</definedName>
    <definedName name="Scope3_Equations.VEERG_15_12_1_2__1_UpstreamPurchasedElectricityMarketBased_Title" localSheetId="31">_xlfn.LAMBDA("Scope 3 emissions from purchased electricity market based")</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 localSheetId="23">_xlfn.LAMBDA("t CO2e")</definedName>
    <definedName name="Scope3_Equations.VEERG_15_12_1_2__1_UpstreamPurchasedElectricityMarketBased_Unit" localSheetId="24">_xlfn.LAMBDA("t CO2e")</definedName>
    <definedName name="Scope3_Equations.VEERG_15_12_1_2__1_UpstreamPurchasedElectricityMarketBased_Unit" localSheetId="31">_xlfn.LAMBDA("t CO2e")</definedName>
    <definedName name="Scope3_Equations.VEERG_15_12_1_2__1_UpstreamPurchasedElectricityMarketBased_Unit">_xlfn.LAMBDA("t CO2e")</definedName>
    <definedName name="Scope3_Equations.VEERG_15_12_1_2__1_UpstreamPurchasedElectricityMarketBased_Variable" localSheetId="23">_xlfn.LAMBDA("E_3elec")</definedName>
    <definedName name="Scope3_Equations.VEERG_15_12_1_2__1_UpstreamPurchasedElectricityMarketBased_Variable" localSheetId="24">_xlfn.LAMBDA("E_3elec")</definedName>
    <definedName name="Scope3_Equations.VEERG_15_12_1_2__1_UpstreamPurchasedElectricityMarketBased_Variable" localSheetId="31">_xlfn.LAMBDA("E_3elec")</definedName>
    <definedName name="Scope3_Equations.VEERG_15_12_1_2__1_UpstreamPurchasedElectricityMarketBased_Variable">_xlfn.LAMBDA("E_3elec")</definedName>
    <definedName name="Scope3_Equations.VEERG_15_13_1_1__1_EmissionsFromManureSentOffSite" localSheetId="23">_xlfn.LAMBDA(_xlpm.E_N2O,_xlpm.E_ad,_xlpm.E_leach, _xlpm.E_N2O + _xlpm.E_ad + _xlpm.E_leach)</definedName>
    <definedName name="Scope3_Equations.VEERG_15_13_1_1__1_EmissionsFromManureSentOffSite" localSheetId="24">_xlfn.LAMBDA(_xlpm.E_N2O,_xlpm.E_ad,_xlpm.E_leach, _xlpm.E_N2O + _xlpm.E_ad + _xlpm.E_leach)</definedName>
    <definedName name="Scope3_Equations.VEERG_15_13_1_1__1_EmissionsFromManureSentOffSite" localSheetId="31">_xlfn.LAMBDA(_xlpm.E_N2O,_xlpm.E_ad,_xlpm.E_leach, _xlpm.E_N2O + _xlpm.E_ad + _xlpm.E_leach)</definedName>
    <definedName name="Scope3_Equations.VEERG_15_13_1_1__1_EmissionsFromManureSentOffSite">_xlfn.LAMBDA(_xlpm.E_N2O,_xlpm.E_ad,_xlpm.E_leach, _xlpm.E_N2O + _xlpm.E_ad + _xlpm.E_leach)</definedName>
    <definedName name="Scope3_Equations.VEERG_15_13_1_1__1_EmissionsFromManureSentOffSite_Arguments" localSheetId="23">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24">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 localSheetId="31">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 localSheetId="23">_xlfn.LAMBDA("E=E_{N2O}+E_{ad}+E_{leach}")</definedName>
    <definedName name="Scope3_Equations.VEERG_15_13_1_1__1_EmissionsFromManureSentOffSite_LatexEquation" localSheetId="24">_xlfn.LAMBDA("E=E_{N2O}+E_{ad}+E_{leach}")</definedName>
    <definedName name="Scope3_Equations.VEERG_15_13_1_1__1_EmissionsFromManureSentOffSite_LatexEquation" localSheetId="31">_xlfn.LAMBDA("E=E_{N2O}+E_{ad}+E_{leach}")</definedName>
    <definedName name="Scope3_Equations.VEERG_15_13_1_1__1_EmissionsFromManureSentOffSite_LatexEquation">_xlfn.LAMBDA("E=E_{N2O}+E_{ad}+E_{leach}")</definedName>
    <definedName name="Scope3_Equations.VEERG_15_13_1_1__1_EmissionsFromManureSentOffSite_NIRReference" localSheetId="23">_xlfn.LAMBDA("")</definedName>
    <definedName name="Scope3_Equations.VEERG_15_13_1_1__1_EmissionsFromManureSentOffSite_NIRReference" localSheetId="24">_xlfn.LAMBDA("")</definedName>
    <definedName name="Scope3_Equations.VEERG_15_13_1_1__1_EmissionsFromManureSentOffSite_NIRReference" localSheetId="31">_xlfn.LAMBDA("")</definedName>
    <definedName name="Scope3_Equations.VEERG_15_13_1_1__1_EmissionsFromManureSentOffSite_NIRReference">_xlfn.LAMBDA("")</definedName>
    <definedName name="Scope3_Equations.VEERG_15_13_1_1__1_EmissionsFromManureSentOffSite_Source" localSheetId="23">_xlfn.LAMBDA("VEERG 2026: 15.13.1.1, Equation (1)")</definedName>
    <definedName name="Scope3_Equations.VEERG_15_13_1_1__1_EmissionsFromManureSentOffSite_Source" localSheetId="24">_xlfn.LAMBDA("VEERG 2026: 15.13.1.1, Equation (1)")</definedName>
    <definedName name="Scope3_Equations.VEERG_15_13_1_1__1_EmissionsFromManureSentOffSite_Source" localSheetId="31">_xlfn.LAMBDA("VEERG 2026: 15.13.1.1, Equation (1)")</definedName>
    <definedName name="Scope3_Equations.VEERG_15_13_1_1__1_EmissionsFromManureSentOffSite_Source">_xlfn.LAMBDA("VEERG 2026: 15.13.1.1, Equation (1)")</definedName>
    <definedName name="Scope3_Equations.VEERG_15_13_1_1__1_EmissionsFromManureSentOffSite_Title" localSheetId="23">_xlfn.LAMBDA("Emissions from manure sent off site applied to soils in another farming system or enterprise")</definedName>
    <definedName name="Scope3_Equations.VEERG_15_13_1_1__1_EmissionsFromManureSentOffSite_Title" localSheetId="24">_xlfn.LAMBDA("Emissions from manure sent off site applied to soils in another farming system or enterprise")</definedName>
    <definedName name="Scope3_Equations.VEERG_15_13_1_1__1_EmissionsFromManureSentOffSite_Title" localSheetId="31">_xlfn.LAMBDA("Emissions from manure sent off site applied to soils in another farming system or enterprise")</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 localSheetId="23">_xlfn.LAMBDA("t N2O")</definedName>
    <definedName name="Scope3_Equations.VEERG_15_13_1_1__1_EmissionsFromManureSentOffSite_Unit" localSheetId="24">_xlfn.LAMBDA("t N2O")</definedName>
    <definedName name="Scope3_Equations.VEERG_15_13_1_1__1_EmissionsFromManureSentOffSite_Unit" localSheetId="31">_xlfn.LAMBDA("t N2O")</definedName>
    <definedName name="Scope3_Equations.VEERG_15_13_1_1__1_EmissionsFromManureSentOffSite_Unit">_xlfn.LAMBDA("t N2O")</definedName>
    <definedName name="Scope3_Equations.VEERG_15_13_1_1__1_EmissionsFromManureSentOffSite_Variable" localSheetId="23">_xlfn.LAMBDA("E")</definedName>
    <definedName name="Scope3_Equations.VEERG_15_13_1_1__1_EmissionsFromManureSentOffSite_Variable" localSheetId="24">_xlfn.LAMBDA("E")</definedName>
    <definedName name="Scope3_Equations.VEERG_15_13_1_1__1_EmissionsFromManureSentOffSite_Variable" localSheetId="31">_xlfn.LAMBDA("E")</definedName>
    <definedName name="Scope3_Equations.VEERG_15_13_1_1__1_EmissionsFromManureSentOffSite_Variable">_xlfn.LAMBDA("E")</definedName>
    <definedName name="Scope3_Equations.VEERG_15_14_1_1__1_EmbeddedEmissionsFromUpstreamFreight" localSheetId="23">_xlfn.LAMBDA(_xlpm.W_f,_xlpm.D_f,_xlpm.EF_f, (_xlpm.W_f * _xlpm.D_f) * _xlpm.EF_f)</definedName>
    <definedName name="Scope3_Equations.VEERG_15_14_1_1__1_EmbeddedEmissionsFromUpstreamFreight" localSheetId="24">_xlfn.LAMBDA(_xlpm.W_f,_xlpm.D_f,_xlpm.EF_f, (_xlpm.W_f * _xlpm.D_f) * _xlpm.EF_f)</definedName>
    <definedName name="Scope3_Equations.VEERG_15_14_1_1__1_EmbeddedEmissionsFromUpstreamFreight" localSheetId="31">_xlfn.LAMBDA(_xlpm.W_f,_xlpm.D_f,_xlpm.EF_f, (_xlpm.W_f * _xlpm.D_f) * _xlpm.EF_f)</definedName>
    <definedName name="Scope3_Equations.VEERG_15_14_1_1__1_EmbeddedEmissionsFromUpstreamFreight">_xlfn.LAMBDA(_xlpm.W_f,_xlpm.D_f,_xlpm.EF_f, (_xlpm.W_f * _xlpm.D_f) * _xlpm.EF_f)</definedName>
    <definedName name="Scope3_Equations.VEERG_15_14_1_1__1_EmbeddedEmissionsFromUpstreamFreight_Arguments" localSheetId="23">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24">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 localSheetId="31">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 localSheetId="23">_xlfn.LAMBDA("E=\sum\nolimits_f\left((W_f\times D_f)\times EF_f\right)")</definedName>
    <definedName name="Scope3_Equations.VEERG_15_14_1_1__1_EmbeddedEmissionsFromUpstreamFreight_LatexEquation" localSheetId="24">_xlfn.LAMBDA("E=\sum\nolimits_f\left((W_f\times D_f)\times EF_f\right)")</definedName>
    <definedName name="Scope3_Equations.VEERG_15_14_1_1__1_EmbeddedEmissionsFromUpstreamFreight_LatexEquation" localSheetId="31">_xlfn.LAMBDA("E=\sum\nolimits_f\left((W_f\times D_f)\times EF_f\right)")</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 localSheetId="23">_xlfn.LAMBDA("")</definedName>
    <definedName name="Scope3_Equations.VEERG_15_14_1_1__1_EmbeddedEmissionsFromUpstreamFreight_NIRReference" localSheetId="24">_xlfn.LAMBDA("")</definedName>
    <definedName name="Scope3_Equations.VEERG_15_14_1_1__1_EmbeddedEmissionsFromUpstreamFreight_NIRReference" localSheetId="31">_xlfn.LAMBDA("")</definedName>
    <definedName name="Scope3_Equations.VEERG_15_14_1_1__1_EmbeddedEmissionsFromUpstreamFreight_NIRReference">_xlfn.LAMBDA("")</definedName>
    <definedName name="Scope3_Equations.VEERG_15_14_1_1__1_EmbeddedEmissionsFromUpstreamFreight_Source" localSheetId="23">_xlfn.LAMBDA("VEERG 2026: 15.14.1.1, Equation (1)")</definedName>
    <definedName name="Scope3_Equations.VEERG_15_14_1_1__1_EmbeddedEmissionsFromUpstreamFreight_Source" localSheetId="24">_xlfn.LAMBDA("VEERG 2026: 15.14.1.1, Equation (1)")</definedName>
    <definedName name="Scope3_Equations.VEERG_15_14_1_1__1_EmbeddedEmissionsFromUpstreamFreight_Source" localSheetId="31">_xlfn.LAMBDA("VEERG 2026: 15.14.1.1, Equation (1)")</definedName>
    <definedName name="Scope3_Equations.VEERG_15_14_1_1__1_EmbeddedEmissionsFromUpstreamFreight_Source">_xlfn.LAMBDA("VEERG 2026: 15.14.1.1, Equation (1)")</definedName>
    <definedName name="Scope3_Equations.VEERG_15_14_1_1__1_EmbeddedEmissionsFromUpstreamFreight_Title" localSheetId="23">_xlfn.LAMBDA("Embedded emissions from upstream freight")</definedName>
    <definedName name="Scope3_Equations.VEERG_15_14_1_1__1_EmbeddedEmissionsFromUpstreamFreight_Title" localSheetId="24">_xlfn.LAMBDA("Embedded emissions from upstream freight")</definedName>
    <definedName name="Scope3_Equations.VEERG_15_14_1_1__1_EmbeddedEmissionsFromUpstreamFreight_Title" localSheetId="31">_xlfn.LAMBDA("Embedded emissions from upstream freight")</definedName>
    <definedName name="Scope3_Equations.VEERG_15_14_1_1__1_EmbeddedEmissionsFromUpstreamFreight_Title">_xlfn.LAMBDA("Embedded emissions from upstream freight")</definedName>
    <definedName name="Scope3_Equations.VEERG_15_14_1_1__1_EmbeddedEmissionsFromUpstreamFreight_Unit" localSheetId="23">_xlfn.LAMBDA("t CO2e")</definedName>
    <definedName name="Scope3_Equations.VEERG_15_14_1_1__1_EmbeddedEmissionsFromUpstreamFreight_Unit" localSheetId="24">_xlfn.LAMBDA("t CO2e")</definedName>
    <definedName name="Scope3_Equations.VEERG_15_14_1_1__1_EmbeddedEmissionsFromUpstreamFreight_Unit" localSheetId="31">_xlfn.LAMBDA("t CO2e")</definedName>
    <definedName name="Scope3_Equations.VEERG_15_14_1_1__1_EmbeddedEmissionsFromUpstreamFreight_Unit">_xlfn.LAMBDA("t CO2e")</definedName>
    <definedName name="Scope3_Equations.VEERG_15_14_1_1__1_EmbeddedEmissionsFromUpstreamFreight_Variable" localSheetId="23">_xlfn.LAMBDA("E")</definedName>
    <definedName name="Scope3_Equations.VEERG_15_14_1_1__1_EmbeddedEmissionsFromUpstreamFreight_Variable" localSheetId="24">_xlfn.LAMBDA("E")</definedName>
    <definedName name="Scope3_Equations.VEERG_15_14_1_1__1_EmbeddedEmissionsFromUpstreamFreight_Variable" localSheetId="31">_xlfn.LAMBDA("E")</definedName>
    <definedName name="Scope3_Equations.VEERG_15_14_1_1__1_EmbeddedEmissionsFromUpstreamFreight_Variable">_xlfn.LAMBDA("E")</definedName>
    <definedName name="Scope3_Equations.VEERG_15_2_1_1__1_EmissionsFromPurchasedFeed" localSheetId="23">_xlfn.LAMBDA(_xlpm.Q_j,_xlpm.EF_j, _xlpm.Q_j * _xlpm.EF_j)</definedName>
    <definedName name="Scope3_Equations.VEERG_15_2_1_1__1_EmissionsFromPurchasedFeed" localSheetId="24">_xlfn.LAMBDA(_xlpm.Q_j,_xlpm.EF_j, _xlpm.Q_j * _xlpm.EF_j)</definedName>
    <definedName name="Scope3_Equations.VEERG_15_2_1_1__1_EmissionsFromPurchasedFeed" localSheetId="31">_xlfn.LAMBDA(_xlpm.Q_j,_xlpm.EF_j, _xlpm.Q_j * _xlpm.EF_j)</definedName>
    <definedName name="Scope3_Equations.VEERG_15_2_1_1__1_EmissionsFromPurchasedFeed">_xlfn.LAMBDA(_xlpm.Q_j,_xlpm.EF_j, _xlpm.Q_j * _xlpm.EF_j)</definedName>
    <definedName name="Scope3_Equations.VEERG_15_2_1_1__1_EmissionsFromPurchasedFeed_Arguments" localSheetId="23">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24">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 localSheetId="31">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 localSheetId="23">_xlfn.LAMBDA("E=\sum\nolimits_j\left(Q_j\times EF_j\right)")</definedName>
    <definedName name="Scope3_Equations.VEERG_15_2_1_1__1_EmissionsFromPurchasedFeed_LatexEquation" localSheetId="24">_xlfn.LAMBDA("E=\sum\nolimits_j\left(Q_j\times EF_j\right)")</definedName>
    <definedName name="Scope3_Equations.VEERG_15_2_1_1__1_EmissionsFromPurchasedFeed_LatexEquation" localSheetId="31">_xlfn.LAMBDA("E=\sum\nolimits_j\left(Q_j\times EF_j\right)")</definedName>
    <definedName name="Scope3_Equations.VEERG_15_2_1_1__1_EmissionsFromPurchasedFeed_LatexEquation">_xlfn.LAMBDA("E=\sum\nolimits_j\left(Q_j\times EF_j\right)")</definedName>
    <definedName name="Scope3_Equations.VEERG_15_2_1_1__1_EmissionsFromPurchasedFeed_NIRReference" localSheetId="23">_xlfn.LAMBDA("")</definedName>
    <definedName name="Scope3_Equations.VEERG_15_2_1_1__1_EmissionsFromPurchasedFeed_NIRReference" localSheetId="24">_xlfn.LAMBDA("")</definedName>
    <definedName name="Scope3_Equations.VEERG_15_2_1_1__1_EmissionsFromPurchasedFeed_NIRReference" localSheetId="31">_xlfn.LAMBDA("")</definedName>
    <definedName name="Scope3_Equations.VEERG_15_2_1_1__1_EmissionsFromPurchasedFeed_NIRReference">_xlfn.LAMBDA("")</definedName>
    <definedName name="Scope3_Equations.VEERG_15_2_1_1__1_EmissionsFromPurchasedFeed_Source" localSheetId="23">_xlfn.LAMBDA("VEERG 2026: 15.2.1.1, Equation (1)")</definedName>
    <definedName name="Scope3_Equations.VEERG_15_2_1_1__1_EmissionsFromPurchasedFeed_Source" localSheetId="24">_xlfn.LAMBDA("VEERG 2026: 15.2.1.1, Equation (1)")</definedName>
    <definedName name="Scope3_Equations.VEERG_15_2_1_1__1_EmissionsFromPurchasedFeed_Source" localSheetId="31">_xlfn.LAMBDA("VEERG 2026: 15.2.1.1, Equation (1)")</definedName>
    <definedName name="Scope3_Equations.VEERG_15_2_1_1__1_EmissionsFromPurchasedFeed_Source">_xlfn.LAMBDA("VEERG 2026: 15.2.1.1, Equation (1)")</definedName>
    <definedName name="Scope3_Equations.VEERG_15_2_1_1__1_EmissionsFromPurchasedFeed_Title" localSheetId="23">_xlfn.LAMBDA("Emissions from purchased feed")</definedName>
    <definedName name="Scope3_Equations.VEERG_15_2_1_1__1_EmissionsFromPurchasedFeed_Title" localSheetId="24">_xlfn.LAMBDA("Emissions from purchased feed")</definedName>
    <definedName name="Scope3_Equations.VEERG_15_2_1_1__1_EmissionsFromPurchasedFeed_Title" localSheetId="31">_xlfn.LAMBDA("Emissions from purchased feed")</definedName>
    <definedName name="Scope3_Equations.VEERG_15_2_1_1__1_EmissionsFromPurchasedFeed_Title">_xlfn.LAMBDA("Emissions from purchased feed")</definedName>
    <definedName name="Scope3_Equations.VEERG_15_2_1_1__1_EmissionsFromPurchasedFeed_Unit" localSheetId="23">_xlfn.LAMBDA("t CO2e")</definedName>
    <definedName name="Scope3_Equations.VEERG_15_2_1_1__1_EmissionsFromPurchasedFeed_Unit" localSheetId="24">_xlfn.LAMBDA("t CO2e")</definedName>
    <definedName name="Scope3_Equations.VEERG_15_2_1_1__1_EmissionsFromPurchasedFeed_Unit" localSheetId="31">_xlfn.LAMBDA("t CO2e")</definedName>
    <definedName name="Scope3_Equations.VEERG_15_2_1_1__1_EmissionsFromPurchasedFeed_Unit">_xlfn.LAMBDA("t CO2e")</definedName>
    <definedName name="Scope3_Equations.VEERG_15_2_1_1__1_EmissionsFromPurchasedFeed_Variable" localSheetId="23">_xlfn.LAMBDA("E")</definedName>
    <definedName name="Scope3_Equations.VEERG_15_2_1_1__1_EmissionsFromPurchasedFeed_Variable" localSheetId="24">_xlfn.LAMBDA("E")</definedName>
    <definedName name="Scope3_Equations.VEERG_15_2_1_1__1_EmissionsFromPurchasedFeed_Variable" localSheetId="31">_xlfn.LAMBDA("E")</definedName>
    <definedName name="Scope3_Equations.VEERG_15_2_1_1__1_EmissionsFromPurchasedFeed_Variable">_xlfn.LAMBDA("E")</definedName>
    <definedName name="Scope3_Equations.VEERG_15_3_1_1__1_EmissionsFromPurchasedMineralSupplements" localSheetId="23">_xlfn.LAMBDA(_xlpm.Q_m,_xlpm.EF_m, _xlpm.Q_m * _xlpm.EF_m)</definedName>
    <definedName name="Scope3_Equations.VEERG_15_3_1_1__1_EmissionsFromPurchasedMineralSupplements" localSheetId="24">_xlfn.LAMBDA(_xlpm.Q_m,_xlpm.EF_m, _xlpm.Q_m * _xlpm.EF_m)</definedName>
    <definedName name="Scope3_Equations.VEERG_15_3_1_1__1_EmissionsFromPurchasedMineralSupplements" localSheetId="31">_xlfn.LAMBDA(_xlpm.Q_m,_xlpm.EF_m, _xlpm.Q_m * _xlpm.EF_m)</definedName>
    <definedName name="Scope3_Equations.VEERG_15_3_1_1__1_EmissionsFromPurchasedMineralSupplements">_xlfn.LAMBDA(_xlpm.Q_m,_xlpm.EF_m, _xlpm.Q_m * _xlpm.EF_m)</definedName>
    <definedName name="Scope3_Equations.VEERG_15_3_1_1__1_EmissionsFromPurchasedMineralSupplements_Arguments" localSheetId="23">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24">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 localSheetId="31">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 localSheetId="23">_xlfn.LAMBDA("E=\sum\nolimits_m\left(Q_m\times EF_m\right)")</definedName>
    <definedName name="Scope3_Equations.VEERG_15_3_1_1__1_EmissionsFromPurchasedMineralSupplements_LatexEquation" localSheetId="24">_xlfn.LAMBDA("E=\sum\nolimits_m\left(Q_m\times EF_m\right)")</definedName>
    <definedName name="Scope3_Equations.VEERG_15_3_1_1__1_EmissionsFromPurchasedMineralSupplements_LatexEquation" localSheetId="31">_xlfn.LAMBDA("E=\sum\nolimits_m\left(Q_m\times EF_m\right)")</definedName>
    <definedName name="Scope3_Equations.VEERG_15_3_1_1__1_EmissionsFromPurchasedMineralSupplements_LatexEquation">_xlfn.LAMBDA("E=\sum\nolimits_m\left(Q_m\times EF_m\right)")</definedName>
    <definedName name="Scope3_Equations.VEERG_15_3_1_1__1_EmissionsFromPurchasedMineralSupplements_NIRReference" localSheetId="23">_xlfn.LAMBDA("")</definedName>
    <definedName name="Scope3_Equations.VEERG_15_3_1_1__1_EmissionsFromPurchasedMineralSupplements_NIRReference" localSheetId="24">_xlfn.LAMBDA("")</definedName>
    <definedName name="Scope3_Equations.VEERG_15_3_1_1__1_EmissionsFromPurchasedMineralSupplements_NIRReference" localSheetId="31">_xlfn.LAMBDA("")</definedName>
    <definedName name="Scope3_Equations.VEERG_15_3_1_1__1_EmissionsFromPurchasedMineralSupplements_NIRReference">_xlfn.LAMBDA("")</definedName>
    <definedName name="Scope3_Equations.VEERG_15_3_1_1__1_EmissionsFromPurchasedMineralSupplements_Source" localSheetId="23">_xlfn.LAMBDA("VEERG 2026: 15.3.1.1, Equation (1)")</definedName>
    <definedName name="Scope3_Equations.VEERG_15_3_1_1__1_EmissionsFromPurchasedMineralSupplements_Source" localSheetId="24">_xlfn.LAMBDA("VEERG 2026: 15.3.1.1, Equation (1)")</definedName>
    <definedName name="Scope3_Equations.VEERG_15_3_1_1__1_EmissionsFromPurchasedMineralSupplements_Source" localSheetId="31">_xlfn.LAMBDA("VEERG 2026: 15.3.1.1, Equation (1)")</definedName>
    <definedName name="Scope3_Equations.VEERG_15_3_1_1__1_EmissionsFromPurchasedMineralSupplements_Source">_xlfn.LAMBDA("VEERG 2026: 15.3.1.1, Equation (1)")</definedName>
    <definedName name="Scope3_Equations.VEERG_15_3_1_1__1_EmissionsFromPurchasedMineralSupplements_Title" localSheetId="23">_xlfn.LAMBDA("Total emissions from purchased mineral supplements")</definedName>
    <definedName name="Scope3_Equations.VEERG_15_3_1_1__1_EmissionsFromPurchasedMineralSupplements_Title" localSheetId="24">_xlfn.LAMBDA("Total emissions from purchased mineral supplements")</definedName>
    <definedName name="Scope3_Equations.VEERG_15_3_1_1__1_EmissionsFromPurchasedMineralSupplements_Title" localSheetId="31">_xlfn.LAMBDA("Total emissions from purchased mineral supplements")</definedName>
    <definedName name="Scope3_Equations.VEERG_15_3_1_1__1_EmissionsFromPurchasedMineralSupplements_Title">_xlfn.LAMBDA("Total emissions from purchased mineral supplements")</definedName>
    <definedName name="Scope3_Equations.VEERG_15_3_1_1__1_EmissionsFromPurchasedMineralSupplements_Unit" localSheetId="23">_xlfn.LAMBDA("t CO2e")</definedName>
    <definedName name="Scope3_Equations.VEERG_15_3_1_1__1_EmissionsFromPurchasedMineralSupplements_Unit" localSheetId="24">_xlfn.LAMBDA("t CO2e")</definedName>
    <definedName name="Scope3_Equations.VEERG_15_3_1_1__1_EmissionsFromPurchasedMineralSupplements_Unit" localSheetId="31">_xlfn.LAMBDA("t CO2e")</definedName>
    <definedName name="Scope3_Equations.VEERG_15_3_1_1__1_EmissionsFromPurchasedMineralSupplements_Unit">_xlfn.LAMBDA("t CO2e")</definedName>
    <definedName name="Scope3_Equations.VEERG_15_3_1_1__1_EmissionsFromPurchasedMineralSupplements_Variable" localSheetId="23">_xlfn.LAMBDA("E")</definedName>
    <definedName name="Scope3_Equations.VEERG_15_3_1_1__1_EmissionsFromPurchasedMineralSupplements_Variable" localSheetId="24">_xlfn.LAMBDA("E")</definedName>
    <definedName name="Scope3_Equations.VEERG_15_3_1_1__1_EmissionsFromPurchasedMineralSupplements_Variable" localSheetId="31">_xlfn.LAMBDA("E")</definedName>
    <definedName name="Scope3_Equations.VEERG_15_3_1_1__1_EmissionsFromPurchasedMineralSupplements_Variable">_xlfn.LAMBDA("E")</definedName>
    <definedName name="Scope3_Equations.VEERG_15_4_1_1__1_EmissionsFromPurchasedFertiliser" localSheetId="23">_xlfn.LAMBDA(_xlpm.TM_jf,_xlpm.EF_f, (_xlpm.TM_jf * _xlpm.EF_f) * 10 ^ -3)</definedName>
    <definedName name="Scope3_Equations.VEERG_15_4_1_1__1_EmissionsFromPurchasedFertiliser" localSheetId="24">_xlfn.LAMBDA(_xlpm.TM_jf,_xlpm.EF_f, (_xlpm.TM_jf * _xlpm.EF_f) * 10 ^ -3)</definedName>
    <definedName name="Scope3_Equations.VEERG_15_4_1_1__1_EmissionsFromPurchasedFertiliser" localSheetId="31">_xlfn.LAMBDA(_xlpm.TM_jf,_xlpm.EF_f, (_xlpm.TM_jf * _xlpm.EF_f) * 10 ^ -3)</definedName>
    <definedName name="Scope3_Equations.VEERG_15_4_1_1__1_EmissionsFromPurchasedFertiliser">_xlfn.LAMBDA(_xlpm.TM_jf,_xlpm.EF_f, (_xlpm.TM_jf * _xlpm.EF_f) * 10 ^ -3)</definedName>
    <definedName name="Scope3_Equations.VEERG_15_4_1_1__1_EmissionsFromPurchasedFertiliser_Arguments" localSheetId="23">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24">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 localSheetId="31">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 localSheetId="23">_xlfn.LAMBDA("E=\sum\nolimits_f\sum\nolimits_j\left(TM_{jf}\times EF_f\right)\times 10^{-3}")</definedName>
    <definedName name="Scope3_Equations.VEERG_15_4_1_1__1_EmissionsFromPurchasedFertiliser_LatexEquation" localSheetId="24">_xlfn.LAMBDA("E=\sum\nolimits_f\sum\nolimits_j\left(TM_{jf}\times EF_f\right)\times 10^{-3}")</definedName>
    <definedName name="Scope3_Equations.VEERG_15_4_1_1__1_EmissionsFromPurchasedFertiliser_LatexEquation" localSheetId="31">_xlfn.LAMBDA("E=\sum\nolimits_f\sum\nolimits_j\left(TM_{jf}\times EF_f\right)\times 10^{-3}")</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 localSheetId="23">_xlfn.LAMBDA("")</definedName>
    <definedName name="Scope3_Equations.VEERG_15_4_1_1__1_EmissionsFromPurchasedFertiliser_NIRReference" localSheetId="24">_xlfn.LAMBDA("")</definedName>
    <definedName name="Scope3_Equations.VEERG_15_4_1_1__1_EmissionsFromPurchasedFertiliser_NIRReference" localSheetId="31">_xlfn.LAMBDA("")</definedName>
    <definedName name="Scope3_Equations.VEERG_15_4_1_1__1_EmissionsFromPurchasedFertiliser_NIRReference">_xlfn.LAMBDA("")</definedName>
    <definedName name="Scope3_Equations.VEERG_15_4_1_1__1_EmissionsFromPurchasedFertiliser_Source" localSheetId="23">_xlfn.LAMBDA("VEERG 2026: 15.4.1.1, Equation (1)")</definedName>
    <definedName name="Scope3_Equations.VEERG_15_4_1_1__1_EmissionsFromPurchasedFertiliser_Source" localSheetId="24">_xlfn.LAMBDA("VEERG 2026: 15.4.1.1, Equation (1)")</definedName>
    <definedName name="Scope3_Equations.VEERG_15_4_1_1__1_EmissionsFromPurchasedFertiliser_Source" localSheetId="31">_xlfn.LAMBDA("VEERG 2026: 15.4.1.1, Equation (1)")</definedName>
    <definedName name="Scope3_Equations.VEERG_15_4_1_1__1_EmissionsFromPurchasedFertiliser_Source">_xlfn.LAMBDA("VEERG 2026: 15.4.1.1, Equation (1)")</definedName>
    <definedName name="Scope3_Equations.VEERG_15_4_1_1__1_EmissionsFromPurchasedFertiliser_Title" localSheetId="23">_xlfn.LAMBDA("Emissions from purchased fertiliser")</definedName>
    <definedName name="Scope3_Equations.VEERG_15_4_1_1__1_EmissionsFromPurchasedFertiliser_Title" localSheetId="24">_xlfn.LAMBDA("Emissions from purchased fertiliser")</definedName>
    <definedName name="Scope3_Equations.VEERG_15_4_1_1__1_EmissionsFromPurchasedFertiliser_Title" localSheetId="31">_xlfn.LAMBDA("Emissions from purchased fertiliser")</definedName>
    <definedName name="Scope3_Equations.VEERG_15_4_1_1__1_EmissionsFromPurchasedFertiliser_Title">_xlfn.LAMBDA("Emissions from purchased fertiliser")</definedName>
    <definedName name="Scope3_Equations.VEERG_15_4_1_1__1_EmissionsFromPurchasedFertiliser_Unit" localSheetId="23">_xlfn.LAMBDA("t CO2e")</definedName>
    <definedName name="Scope3_Equations.VEERG_15_4_1_1__1_EmissionsFromPurchasedFertiliser_Unit" localSheetId="24">_xlfn.LAMBDA("t CO2e")</definedName>
    <definedName name="Scope3_Equations.VEERG_15_4_1_1__1_EmissionsFromPurchasedFertiliser_Unit" localSheetId="31">_xlfn.LAMBDA("t CO2e")</definedName>
    <definedName name="Scope3_Equations.VEERG_15_4_1_1__1_EmissionsFromPurchasedFertiliser_Unit">_xlfn.LAMBDA("t CO2e")</definedName>
    <definedName name="Scope3_Equations.VEERG_15_4_1_1__1_EmissionsFromPurchasedFertiliser_Variable" localSheetId="23">_xlfn.LAMBDA("E")</definedName>
    <definedName name="Scope3_Equations.VEERG_15_4_1_1__1_EmissionsFromPurchasedFertiliser_Variable" localSheetId="24">_xlfn.LAMBDA("E")</definedName>
    <definedName name="Scope3_Equations.VEERG_15_4_1_1__1_EmissionsFromPurchasedFertiliser_Variable" localSheetId="31">_xlfn.LAMBDA("E")</definedName>
    <definedName name="Scope3_Equations.VEERG_15_4_1_1__1_EmissionsFromPurchasedFertiliser_Variable">_xlfn.LAMBDA("E")</definedName>
    <definedName name="Scope3_Equations.VEERG_15_4_1_1__2_EmissionsFromPurchasedFertiliserComponents" localSheetId="23">_xlfn.LAMBDA(_xlpm.F_cf,_xlpm.TM_jf,_xlpm.EF_c, ((_xlpm.F_cf * _xlpm.TM_jf) / 100) * _xlpm.EF_c)</definedName>
    <definedName name="Scope3_Equations.VEERG_15_4_1_1__2_EmissionsFromPurchasedFertiliserComponents" localSheetId="24">_xlfn.LAMBDA(_xlpm.F_cf,_xlpm.TM_jf,_xlpm.EF_c, ((_xlpm.F_cf * _xlpm.TM_jf) / 100) * _xlpm.EF_c)</definedName>
    <definedName name="Scope3_Equations.VEERG_15_4_1_1__2_EmissionsFromPurchasedFertiliserComponents" localSheetId="31">_xlfn.LAMBDA(_xlpm.F_cf,_xlpm.TM_jf,_xlpm.EF_c, ((_xlpm.F_cf * _xlpm.TM_jf) / 100) * _xlpm.EF_c)</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 localSheetId="23">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24">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 localSheetId="31">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 localSheetId="23">_xlfn.LAMBDA("E=\sum\nolimits_f\sum\nolimits_c\sum\nolimits_j\left(\frac{F_{cf}\times TM_{jf}}{100}\times EF_c\right)")</definedName>
    <definedName name="Scope3_Equations.VEERG_15_4_1_1__2_EmissionsFromPurchasedFertiliserComponents_LatexEquation" localSheetId="24">_xlfn.LAMBDA("E=\sum\nolimits_f\sum\nolimits_c\sum\nolimits_j\left(\frac{F_{cf}\times TM_{jf}}{100}\times EF_c\right)")</definedName>
    <definedName name="Scope3_Equations.VEERG_15_4_1_1__2_EmissionsFromPurchasedFertiliserComponents_LatexEquation" localSheetId="31">_xlfn.LAMBDA("E=\sum\nolimits_f\sum\nolimits_c\sum\nolimits_j\left(\frac{F_{cf}\times TM_{jf}}{100}\times EF_c\right)")</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 localSheetId="23">_xlfn.LAMBDA("E=\sum\nolimits_f\sum\nolimits_c\sum\nolimits_j\left(F_{cf}\times TM_{jf}\times EF_c\right)\times 10^{-3}")</definedName>
    <definedName name="Scope3_Equations.VEERG_15_4_1_1__2_EmissionsFromPurchasedFertiliserComponents_LatexEquationVariation" localSheetId="24">_xlfn.LAMBDA("E=\sum\nolimits_f\sum\nolimits_c\sum\nolimits_j\left(F_{cf}\times TM_{jf}\times EF_c\right)\times 10^{-3}")</definedName>
    <definedName name="Scope3_Equations.VEERG_15_4_1_1__2_EmissionsFromPurchasedFertiliserComponents_LatexEquationVariation" localSheetId="31">_xlfn.LAMBDA("E=\sum\nolimits_f\sum\nolimits_c\sum\nolimits_j\left(F_{cf}\times TM_{jf}\times EF_c\right)\times 10^{-3}")</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 localSheetId="23">_xlfn.LAMBDA("")</definedName>
    <definedName name="Scope3_Equations.VEERG_15_4_1_1__2_EmissionsFromPurchasedFertiliserComponents_NIRReference" localSheetId="24">_xlfn.LAMBDA("")</definedName>
    <definedName name="Scope3_Equations.VEERG_15_4_1_1__2_EmissionsFromPurchasedFertiliserComponents_NIRReference" localSheetId="31">_xlfn.LAMBDA("")</definedName>
    <definedName name="Scope3_Equations.VEERG_15_4_1_1__2_EmissionsFromPurchasedFertiliserComponents_NIRReference">_xlfn.LAMBDA("")</definedName>
    <definedName name="Scope3_Equations.VEERG_15_4_1_1__2_EmissionsFromPurchasedFertiliserComponents_Source" localSheetId="23">_xlfn.LAMBDA("VEERG 2026: 15.4.1.1, Equation (2)")</definedName>
    <definedName name="Scope3_Equations.VEERG_15_4_1_1__2_EmissionsFromPurchasedFertiliserComponents_Source" localSheetId="24">_xlfn.LAMBDA("VEERG 2026: 15.4.1.1, Equation (2)")</definedName>
    <definedName name="Scope3_Equations.VEERG_15_4_1_1__2_EmissionsFromPurchasedFertiliserComponents_Source" localSheetId="31">_xlfn.LAMBDA("VEERG 2026: 15.4.1.1, Equation (2)")</definedName>
    <definedName name="Scope3_Equations.VEERG_15_4_1_1__2_EmissionsFromPurchasedFertiliserComponents_Source">_xlfn.LAMBDA("VEERG 2026: 15.4.1.1, Equation (2)")</definedName>
    <definedName name="Scope3_Equations.VEERG_15_4_1_1__2_EmissionsFromPurchasedFertiliserComponents_Title" localSheetId="23">_xlfn.LAMBDA("Emissions from purchased fertiliser components")</definedName>
    <definedName name="Scope3_Equations.VEERG_15_4_1_1__2_EmissionsFromPurchasedFertiliserComponents_Title" localSheetId="24">_xlfn.LAMBDA("Emissions from purchased fertiliser components")</definedName>
    <definedName name="Scope3_Equations.VEERG_15_4_1_1__2_EmissionsFromPurchasedFertiliserComponents_Title" localSheetId="31">_xlfn.LAMBDA("Emissions from purchased fertiliser components")</definedName>
    <definedName name="Scope3_Equations.VEERG_15_4_1_1__2_EmissionsFromPurchasedFertiliserComponents_Title">_xlfn.LAMBDA("Emissions from purchased fertiliser components")</definedName>
    <definedName name="Scope3_Equations.VEERG_15_4_1_1__2_EmissionsFromPurchasedFertiliserComponents_Unit" localSheetId="23">_xlfn.LAMBDA("t CO2e")</definedName>
    <definedName name="Scope3_Equations.VEERG_15_4_1_1__2_EmissionsFromPurchasedFertiliserComponents_Unit" localSheetId="24">_xlfn.LAMBDA("t CO2e")</definedName>
    <definedName name="Scope3_Equations.VEERG_15_4_1_1__2_EmissionsFromPurchasedFertiliserComponents_Unit" localSheetId="31">_xlfn.LAMBDA("t CO2e")</definedName>
    <definedName name="Scope3_Equations.VEERG_15_4_1_1__2_EmissionsFromPurchasedFertiliserComponents_Unit">_xlfn.LAMBDA("t CO2e")</definedName>
    <definedName name="Scope3_Equations.VEERG_15_4_1_1__2_EmissionsFromPurchasedFertiliserComponents_Variable" localSheetId="23">_xlfn.LAMBDA("E")</definedName>
    <definedName name="Scope3_Equations.VEERG_15_4_1_1__2_EmissionsFromPurchasedFertiliserComponents_Variable" localSheetId="24">_xlfn.LAMBDA("E")</definedName>
    <definedName name="Scope3_Equations.VEERG_15_4_1_1__2_EmissionsFromPurchasedFertiliserComponents_Variable" localSheetId="31">_xlfn.LAMBDA("E")</definedName>
    <definedName name="Scope3_Equations.VEERG_15_4_1_1__2_EmissionsFromPurchasedFertiliserComponents_Variable">_xlfn.LAMBDA("E")</definedName>
    <definedName name="Scope3_Equations.VEERG_15_4_1_1__2_EmissionsFromPurchasedFertiliserComponents_Variation" localSheetId="23">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24">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 localSheetId="31">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 localSheetId="23">_xlfn.LAMBDA(_xlpm.F_cf,_xlpm.TM_jf,_xlpm.EF_c, (_xlpm.F_cf * _xlpm.TM_jf) * _xlpm.EF_c * 10 ^ -3)</definedName>
    <definedName name="Scope3_Equations.VEERG_15_4_1_1__2_EmissionsFromPurchasedFertiliserComponentsVariation" localSheetId="24">_xlfn.LAMBDA(_xlpm.F_cf,_xlpm.TM_jf,_xlpm.EF_c, (_xlpm.F_cf * _xlpm.TM_jf) * _xlpm.EF_c * 10 ^ -3)</definedName>
    <definedName name="Scope3_Equations.VEERG_15_4_1_1__2_EmissionsFromPurchasedFertiliserComponentsVariation" localSheetId="31">_xlfn.LAMBDA(_xlpm.F_cf,_xlpm.TM_jf,_xlpm.EF_c, (_xlpm.F_cf * _xlpm.TM_jf) * _xlpm.EF_c * 10 ^ -3)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 localSheetId="23">_xlfn.LAMBDA(_xlpm.F_cf,_xlpm.EF_c, _xlpm.F_cf * _xlpm.EF_c)</definedName>
    <definedName name="Scope3_Equations.VEERG_15_4_1_1__X_EmissionFactorFromPurchasedFertiliserComponents" localSheetId="24">_xlfn.LAMBDA(_xlpm.F_cf,_xlpm.EF_c, _xlpm.F_cf * _xlpm.EF_c)</definedName>
    <definedName name="Scope3_Equations.VEERG_15_4_1_1__X_EmissionFactorFromPurchasedFertiliserComponents" localSheetId="31">_xlfn.LAMBDA(_xlpm.F_cf,_xlpm.EF_c, _xlpm.F_cf * _xlpm.EF_c)</definedName>
    <definedName name="Scope3_Equations.VEERG_15_4_1_1__X_EmissionFactorFromPurchasedFertiliserComponents">_xlfn.LAMBDA(_xlpm.F_cf,_xlpm.EF_c, _xlpm.F_cf * _xlpm.EF_c)</definedName>
    <definedName name="Scope3_Equations.VEERG_15_4_1_1__X_EmissionFactorFromPurchasedFertiliserComponents_Arguments" localSheetId="23">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24">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 localSheetId="31">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 localSheetId="23">_xlfn.LAMBDA("EF_f=\sum\nolimits_c\left(F_{cf}\times EF_c\right)")</definedName>
    <definedName name="Scope3_Equations.VEERG_15_4_1_1__X_EmissionFactorFromPurchasedFertiliserComponents_LatexEquation" localSheetId="24">_xlfn.LAMBDA("EF_f=\sum\nolimits_c\left(F_{cf}\times EF_c\right)")</definedName>
    <definedName name="Scope3_Equations.VEERG_15_4_1_1__X_EmissionFactorFromPurchasedFertiliserComponents_LatexEquation" localSheetId="31">_xlfn.LAMBDA("EF_f=\sum\nolimits_c\left(F_{cf}\times EF_c\right)")</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 localSheetId="23">_xlfn.LAMBDA("")</definedName>
    <definedName name="Scope3_Equations.VEERG_15_4_1_1__X_EmissionFactorFromPurchasedFertiliserComponents_NIRReference" localSheetId="24">_xlfn.LAMBDA("")</definedName>
    <definedName name="Scope3_Equations.VEERG_15_4_1_1__X_EmissionFactorFromPurchasedFertiliserComponents_NIRReference" localSheetId="31">_xlfn.LAMBDA("")</definedName>
    <definedName name="Scope3_Equations.VEERG_15_4_1_1__X_EmissionFactorFromPurchasedFertiliserComponents_NIRReference">_xlfn.LAMBDA("")</definedName>
    <definedName name="Scope3_Equations.VEERG_15_4_1_1__X_EmissionFactorFromPurchasedFertiliserComponents_Source" localSheetId="23">_xlfn.LAMBDA("GAF")</definedName>
    <definedName name="Scope3_Equations.VEERG_15_4_1_1__X_EmissionFactorFromPurchasedFertiliserComponents_Source" localSheetId="24">_xlfn.LAMBDA("GAF")</definedName>
    <definedName name="Scope3_Equations.VEERG_15_4_1_1__X_EmissionFactorFromPurchasedFertiliserComponents_Source" localSheetId="31">_xlfn.LAMBDA("GAF")</definedName>
    <definedName name="Scope3_Equations.VEERG_15_4_1_1__X_EmissionFactorFromPurchasedFertiliserComponents_Source">_xlfn.LAMBDA("GAF")</definedName>
    <definedName name="Scope3_Equations.VEERG_15_4_1_1__X_EmissionFactorFromPurchasedFertiliserComponents_Title" localSheetId="23">_xlfn.LAMBDA("Emission factor for fertiliser product derived from components")</definedName>
    <definedName name="Scope3_Equations.VEERG_15_4_1_1__X_EmissionFactorFromPurchasedFertiliserComponents_Title" localSheetId="24">_xlfn.LAMBDA("Emission factor for fertiliser product derived from components")</definedName>
    <definedName name="Scope3_Equations.VEERG_15_4_1_1__X_EmissionFactorFromPurchasedFertiliserComponents_Title" localSheetId="31">_xlfn.LAMBDA("Emission factor for fertiliser product derived from components")</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 localSheetId="23">_xlfn.LAMBDA("kg CO2e/kg fertiliser")</definedName>
    <definedName name="Scope3_Equations.VEERG_15_4_1_1__X_EmissionFactorFromPurchasedFertiliserComponents_Unit" localSheetId="24">_xlfn.LAMBDA("kg CO2e/kg fertiliser")</definedName>
    <definedName name="Scope3_Equations.VEERG_15_4_1_1__X_EmissionFactorFromPurchasedFertiliserComponents_Unit" localSheetId="31">_xlfn.LAMBDA("kg CO2e/kg fertiliser")</definedName>
    <definedName name="Scope3_Equations.VEERG_15_4_1_1__X_EmissionFactorFromPurchasedFertiliserComponents_Unit">_xlfn.LAMBDA("kg CO2e/kg fertiliser")</definedName>
    <definedName name="Scope3_Equations.VEERG_15_4_1_1__X_EmissionFactorFromPurchasedFertiliserComponents_Variable" localSheetId="23">_xlfn.LAMBDA("EF_f")</definedName>
    <definedName name="Scope3_Equations.VEERG_15_4_1_1__X_EmissionFactorFromPurchasedFertiliserComponents_Variable" localSheetId="24">_xlfn.LAMBDA("EF_f")</definedName>
    <definedName name="Scope3_Equations.VEERG_15_4_1_1__X_EmissionFactorFromPurchasedFertiliserComponents_Variable" localSheetId="31">_xlfn.LAMBDA("EF_f")</definedName>
    <definedName name="Scope3_Equations.VEERG_15_4_1_1__X_EmissionFactorFromPurchasedFertiliserComponents_Variable">_xlfn.LAMBDA("EF_f")</definedName>
    <definedName name="Scope3_Equations.VEERG_15_4_1_1__X_EmissionFactorFromPurchasedFertiliserComponents_Variation" localSheetId="23">_xlfn.LAMBDA("VARIATION ON SOURCE: This equation is added to calculate an EF value from fertiliser components that can be used in 15.4.1.1 (1)")</definedName>
    <definedName name="Scope3_Equations.VEERG_15_4_1_1__X_EmissionFactorFromPurchasedFertiliserComponents_Variation" localSheetId="24">_xlfn.LAMBDA("VARIATION ON SOURCE: This equation is added to calculate an EF value from fertiliser components that can be used in 15.4.1.1 (1)")</definedName>
    <definedName name="Scope3_Equations.VEERG_15_4_1_1__X_EmissionFactorFromPurchasedFertiliserComponents_Variation" localSheetId="31">_xlfn.LAMBDA("VARIATION ON SOURCE: This equation is added to calculate an EF value from fertiliser components that can be used in 15.4.1.1 (1)")</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 localSheetId="23">_xlfn.LAMBDA(_xlpm.Q_h,_xlpm.EF_h, (_xlpm.Q_h * _xlpm.EF_h) * 10 ^ -3)</definedName>
    <definedName name="Scope3_Equations.VEERG_15_5_1_1__1_EmissionsFromPurchasedAgrichemicals" localSheetId="24">_xlfn.LAMBDA(_xlpm.Q_h,_xlpm.EF_h, (_xlpm.Q_h * _xlpm.EF_h) * 10 ^ -3)</definedName>
    <definedName name="Scope3_Equations.VEERG_15_5_1_1__1_EmissionsFromPurchasedAgrichemicals" localSheetId="31">_xlfn.LAMBDA(_xlpm.Q_h,_xlpm.EF_h, (_xlpm.Q_h * _xlpm.EF_h) * 10 ^ -3)</definedName>
    <definedName name="Scope3_Equations.VEERG_15_5_1_1__1_EmissionsFromPurchasedAgrichemicals">_xlfn.LAMBDA(_xlpm.Q_h,_xlpm.EF_h, (_xlpm.Q_h * _xlpm.EF_h) * 10 ^ -3)</definedName>
    <definedName name="Scope3_Equations.VEERG_15_5_1_1__1_EmissionsFromPurchasedAgrichemicals_Arguments" localSheetId="23">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24">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 localSheetId="31">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 localSheetId="23">_xlfn.LAMBDA("E=\sum\nolimits_h\left(Q_h\times EF_h\right)\times 10^{-3}")</definedName>
    <definedName name="Scope3_Equations.VEERG_15_5_1_1__1_EmissionsFromPurchasedAgrichemicals_LatexEquation" localSheetId="24">_xlfn.LAMBDA("E=\sum\nolimits_h\left(Q_h\times EF_h\right)\times 10^{-3}")</definedName>
    <definedName name="Scope3_Equations.VEERG_15_5_1_1__1_EmissionsFromPurchasedAgrichemicals_LatexEquation" localSheetId="31">_xlfn.LAMBDA("E=\sum\nolimits_h\left(Q_h\times EF_h\right)\times 10^{-3}")</definedName>
    <definedName name="Scope3_Equations.VEERG_15_5_1_1__1_EmissionsFromPurchasedAgrichemicals_LatexEquation">_xlfn.LAMBDA("E=\sum\nolimits_h\left(Q_h\times EF_h\right)\times 10^{-3}")</definedName>
    <definedName name="Scope3_Equations.VEERG_15_5_1_1__1_EmissionsFromPurchasedAgrichemicals_NIRReference" localSheetId="23">_xlfn.LAMBDA("")</definedName>
    <definedName name="Scope3_Equations.VEERG_15_5_1_1__1_EmissionsFromPurchasedAgrichemicals_NIRReference" localSheetId="24">_xlfn.LAMBDA("")</definedName>
    <definedName name="Scope3_Equations.VEERG_15_5_1_1__1_EmissionsFromPurchasedAgrichemicals_NIRReference" localSheetId="31">_xlfn.LAMBDA("")</definedName>
    <definedName name="Scope3_Equations.VEERG_15_5_1_1__1_EmissionsFromPurchasedAgrichemicals_NIRReference">_xlfn.LAMBDA("")</definedName>
    <definedName name="Scope3_Equations.VEERG_15_5_1_1__1_EmissionsFromPurchasedAgrichemicals_Source" localSheetId="23">_xlfn.LAMBDA("VEERG 2026: 15.5.1.1, Equation (1)")</definedName>
    <definedName name="Scope3_Equations.VEERG_15_5_1_1__1_EmissionsFromPurchasedAgrichemicals_Source" localSheetId="24">_xlfn.LAMBDA("VEERG 2026: 15.5.1.1, Equation (1)")</definedName>
    <definedName name="Scope3_Equations.VEERG_15_5_1_1__1_EmissionsFromPurchasedAgrichemicals_Source" localSheetId="31">_xlfn.LAMBDA("VEERG 2026: 15.5.1.1, Equation (1)")</definedName>
    <definedName name="Scope3_Equations.VEERG_15_5_1_1__1_EmissionsFromPurchasedAgrichemicals_Source">_xlfn.LAMBDA("VEERG 2026: 15.5.1.1, Equation (1)")</definedName>
    <definedName name="Scope3_Equations.VEERG_15_5_1_1__1_EmissionsFromPurchasedAgrichemicals_Title" localSheetId="23">_xlfn.LAMBDA("Total emissions from purchased agrichemicals")</definedName>
    <definedName name="Scope3_Equations.VEERG_15_5_1_1__1_EmissionsFromPurchasedAgrichemicals_Title" localSheetId="24">_xlfn.LAMBDA("Total emissions from purchased agrichemicals")</definedName>
    <definedName name="Scope3_Equations.VEERG_15_5_1_1__1_EmissionsFromPurchasedAgrichemicals_Title" localSheetId="31">_xlfn.LAMBDA("Total emissions from purchased agrichemicals")</definedName>
    <definedName name="Scope3_Equations.VEERG_15_5_1_1__1_EmissionsFromPurchasedAgrichemicals_Title">_xlfn.LAMBDA("Total emissions from purchased agrichemicals")</definedName>
    <definedName name="Scope3_Equations.VEERG_15_5_1_1__1_EmissionsFromPurchasedAgrichemicals_Unit" localSheetId="23">_xlfn.LAMBDA("t CO2e")</definedName>
    <definedName name="Scope3_Equations.VEERG_15_5_1_1__1_EmissionsFromPurchasedAgrichemicals_Unit" localSheetId="24">_xlfn.LAMBDA("t CO2e")</definedName>
    <definedName name="Scope3_Equations.VEERG_15_5_1_1__1_EmissionsFromPurchasedAgrichemicals_Unit" localSheetId="31">_xlfn.LAMBDA("t CO2e")</definedName>
    <definedName name="Scope3_Equations.VEERG_15_5_1_1__1_EmissionsFromPurchasedAgrichemicals_Unit">_xlfn.LAMBDA("t CO2e")</definedName>
    <definedName name="Scope3_Equations.VEERG_15_5_1_1__1_EmissionsFromPurchasedAgrichemicals_Variable" localSheetId="23">_xlfn.LAMBDA("E")</definedName>
    <definedName name="Scope3_Equations.VEERG_15_5_1_1__1_EmissionsFromPurchasedAgrichemicals_Variable" localSheetId="24">_xlfn.LAMBDA("E")</definedName>
    <definedName name="Scope3_Equations.VEERG_15_5_1_1__1_EmissionsFromPurchasedAgrichemicals_Variable" localSheetId="31">_xlfn.LAMBDA("E")</definedName>
    <definedName name="Scope3_Equations.VEERG_15_5_1_1__1_EmissionsFromPurchasedAgrichemicals_Variable">_xlfn.LAMBDA("E")</definedName>
    <definedName name="Scope3_Equations.VEERG_15_6_1_1__1_EmissionsFromPurchasedLime" localSheetId="23">_xlfn.LAMBDA(_xlpm.M_lime,_xlpm.EF_l, _xlpm.M_lime * _xlpm.EF_l)</definedName>
    <definedName name="Scope3_Equations.VEERG_15_6_1_1__1_EmissionsFromPurchasedLime" localSheetId="24">_xlfn.LAMBDA(_xlpm.M_lime,_xlpm.EF_l, _xlpm.M_lime * _xlpm.EF_l)</definedName>
    <definedName name="Scope3_Equations.VEERG_15_6_1_1__1_EmissionsFromPurchasedLime" localSheetId="31">_xlfn.LAMBDA(_xlpm.M_lime,_xlpm.EF_l, _xlpm.M_lime * _xlpm.EF_l)</definedName>
    <definedName name="Scope3_Equations.VEERG_15_6_1_1__1_EmissionsFromPurchasedLime">_xlfn.LAMBDA(_xlpm.M_lime,_xlpm.EF_l, _xlpm.M_lime * _xlpm.EF_l)</definedName>
    <definedName name="Scope3_Equations.VEERG_15_6_1_1__1_EmissionsFromPurchasedLime_Arguments" localSheetId="23">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24">_xlfn.LAMBDA(_xlfn.MAKEARRAY(2, 4, _xlfn.LAMBDA(_xlpm.r,_xlpm.c, INDEX({"M_lime","total quantity of lime applied to soils","t","Input";"EF_l","emission factor for purchased lime","t CO2e/t","Constant"}, _xlpm.r, _xlpm.c))))</definedName>
    <definedName name="Scope3_Equations.VEERG_15_6_1_1__1_EmissionsFromPurchasedLime_Arguments" localSheetId="31">_xlfn.LAMBDA(_xlfn.MAKEARRAY(2, 4, _xlfn.LAMBDA(_xlpm.r,_xlpm.c, INDEX({"M_lime","total quantity of lime applied to soils","t","Input";"EF_l","emission factor for purchased lime","t CO2e/t","Constant"}, _xlpm.r, _xlpm.c))))</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 localSheetId="23">_xlfn.LAMBDA("E=M_{lime}\times EF_l")</definedName>
    <definedName name="Scope3_Equations.VEERG_15_6_1_1__1_EmissionsFromPurchasedLime_LatexEquation" localSheetId="24">_xlfn.LAMBDA("E=M_{lime}\times EF_l")</definedName>
    <definedName name="Scope3_Equations.VEERG_15_6_1_1__1_EmissionsFromPurchasedLime_LatexEquation" localSheetId="31">_xlfn.LAMBDA("E=M_{lime}\times EF_l")</definedName>
    <definedName name="Scope3_Equations.VEERG_15_6_1_1__1_EmissionsFromPurchasedLime_LatexEquation">_xlfn.LAMBDA("E=M_{lime}\times EF_l")</definedName>
    <definedName name="Scope3_Equations.VEERG_15_6_1_1__1_EmissionsFromPurchasedLime_NIRReference" localSheetId="23">_xlfn.LAMBDA("")</definedName>
    <definedName name="Scope3_Equations.VEERG_15_6_1_1__1_EmissionsFromPurchasedLime_NIRReference" localSheetId="24">_xlfn.LAMBDA("")</definedName>
    <definedName name="Scope3_Equations.VEERG_15_6_1_1__1_EmissionsFromPurchasedLime_NIRReference" localSheetId="31">_xlfn.LAMBDA("")</definedName>
    <definedName name="Scope3_Equations.VEERG_15_6_1_1__1_EmissionsFromPurchasedLime_NIRReference">_xlfn.LAMBDA("")</definedName>
    <definedName name="Scope3_Equations.VEERG_15_6_1_1__1_EmissionsFromPurchasedLime_Source" localSheetId="23">_xlfn.LAMBDA("VEERG 2026: 15.6.1.1, Equation (1)")</definedName>
    <definedName name="Scope3_Equations.VEERG_15_6_1_1__1_EmissionsFromPurchasedLime_Source" localSheetId="24">_xlfn.LAMBDA("VEERG 2026: 15.6.1.1, Equation (1)")</definedName>
    <definedName name="Scope3_Equations.VEERG_15_6_1_1__1_EmissionsFromPurchasedLime_Source" localSheetId="31">_xlfn.LAMBDA("VEERG 2026: 15.6.1.1, Equation (1)")</definedName>
    <definedName name="Scope3_Equations.VEERG_15_6_1_1__1_EmissionsFromPurchasedLime_Source">_xlfn.LAMBDA("VEERG 2026: 15.6.1.1, Equation (1)")</definedName>
    <definedName name="Scope3_Equations.VEERG_15_6_1_1__1_EmissionsFromPurchasedLime_Title" localSheetId="23">_xlfn.LAMBDA("Embedded emissions for purchased lime")</definedName>
    <definedName name="Scope3_Equations.VEERG_15_6_1_1__1_EmissionsFromPurchasedLime_Title" localSheetId="24">_xlfn.LAMBDA("Embedded emissions for purchased lime")</definedName>
    <definedName name="Scope3_Equations.VEERG_15_6_1_1__1_EmissionsFromPurchasedLime_Title" localSheetId="31">_xlfn.LAMBDA("Embedded emissions for purchased lime")</definedName>
    <definedName name="Scope3_Equations.VEERG_15_6_1_1__1_EmissionsFromPurchasedLime_Title">_xlfn.LAMBDA("Embedded emissions for purchased lime")</definedName>
    <definedName name="Scope3_Equations.VEERG_15_6_1_1__1_EmissionsFromPurchasedLime_Unit" localSheetId="23">_xlfn.LAMBDA("t CO2e")</definedName>
    <definedName name="Scope3_Equations.VEERG_15_6_1_1__1_EmissionsFromPurchasedLime_Unit" localSheetId="24">_xlfn.LAMBDA("t CO2e")</definedName>
    <definedName name="Scope3_Equations.VEERG_15_6_1_1__1_EmissionsFromPurchasedLime_Unit" localSheetId="31">_xlfn.LAMBDA("t CO2e")</definedName>
    <definedName name="Scope3_Equations.VEERG_15_6_1_1__1_EmissionsFromPurchasedLime_Unit">_xlfn.LAMBDA("t CO2e")</definedName>
    <definedName name="Scope3_Equations.VEERG_15_6_1_1__1_EmissionsFromPurchasedLime_Variable" localSheetId="23">_xlfn.LAMBDA("E")</definedName>
    <definedName name="Scope3_Equations.VEERG_15_6_1_1__1_EmissionsFromPurchasedLime_Variable" localSheetId="24">_xlfn.LAMBDA("E")</definedName>
    <definedName name="Scope3_Equations.VEERG_15_6_1_1__1_EmissionsFromPurchasedLime_Variable" localSheetId="31">_xlfn.LAMBDA("E")</definedName>
    <definedName name="Scope3_Equations.VEERG_15_6_1_1__1_EmissionsFromPurchasedLime_Variable">_xlfn.LAMBDA("E")</definedName>
    <definedName name="Scope3_Equations.VEERG_15_7_1_1__1_EmissionsFromPurchasedServices" localSheetId="23">_xlfn.LAMBDA(_xlpm.A_p,_xlpm.EF_p, (_xlpm.A_p * _xlpm.EF_p) * 10 ^ -3)</definedName>
    <definedName name="Scope3_Equations.VEERG_15_7_1_1__1_EmissionsFromPurchasedServices" localSheetId="24">_xlfn.LAMBDA(_xlpm.A_p,_xlpm.EF_p, (_xlpm.A_p * _xlpm.EF_p) * 10 ^ -3)</definedName>
    <definedName name="Scope3_Equations.VEERG_15_7_1_1__1_EmissionsFromPurchasedServices" localSheetId="31">_xlfn.LAMBDA(_xlpm.A_p,_xlpm.EF_p, (_xlpm.A_p * _xlpm.EF_p) * 10 ^ -3)</definedName>
    <definedName name="Scope3_Equations.VEERG_15_7_1_1__1_EmissionsFromPurchasedServices">_xlfn.LAMBDA(_xlpm.A_p,_xlpm.EF_p, (_xlpm.A_p * _xlpm.EF_p) * 10 ^ -3)</definedName>
    <definedName name="Scope3_Equations.VEERG_15_7_1_1__1_EmissionsFromPurchasedServices_Arguments" localSheetId="23">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24">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 localSheetId="31">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 localSheetId="23">_xlfn.LAMBDA("E=\sum\nolimits_p\left(A_p\times EF_p\right)\times 10^{-3}")</definedName>
    <definedName name="Scope3_Equations.VEERG_15_7_1_1__1_EmissionsFromPurchasedServices_LatexEquation" localSheetId="24">_xlfn.LAMBDA("E=\sum\nolimits_p\left(A_p\times EF_p\right)\times 10^{-3}")</definedName>
    <definedName name="Scope3_Equations.VEERG_15_7_1_1__1_EmissionsFromPurchasedServices_LatexEquation" localSheetId="31">_xlfn.LAMBDA("E=\sum\nolimits_p\left(A_p\times EF_p\right)\times 10^{-3}")</definedName>
    <definedName name="Scope3_Equations.VEERG_15_7_1_1__1_EmissionsFromPurchasedServices_LatexEquation">_xlfn.LAMBDA("E=\sum\nolimits_p\left(A_p\times EF_p\right)\times 10^{-3}")</definedName>
    <definedName name="Scope3_Equations.VEERG_15_7_1_1__1_EmissionsFromPurchasedServices_NIRReference" localSheetId="23">_xlfn.LAMBDA("")</definedName>
    <definedName name="Scope3_Equations.VEERG_15_7_1_1__1_EmissionsFromPurchasedServices_NIRReference" localSheetId="24">_xlfn.LAMBDA("")</definedName>
    <definedName name="Scope3_Equations.VEERG_15_7_1_1__1_EmissionsFromPurchasedServices_NIRReference" localSheetId="31">_xlfn.LAMBDA("")</definedName>
    <definedName name="Scope3_Equations.VEERG_15_7_1_1__1_EmissionsFromPurchasedServices_NIRReference">_xlfn.LAMBDA("")</definedName>
    <definedName name="Scope3_Equations.VEERG_15_7_1_1__1_EmissionsFromPurchasedServices_Source" localSheetId="23">_xlfn.LAMBDA("VEERG 2026: 15.7.1.1, Equation (1)")</definedName>
    <definedName name="Scope3_Equations.VEERG_15_7_1_1__1_EmissionsFromPurchasedServices_Source" localSheetId="24">_xlfn.LAMBDA("VEERG 2026: 15.7.1.1, Equation (1)")</definedName>
    <definedName name="Scope3_Equations.VEERG_15_7_1_1__1_EmissionsFromPurchasedServices_Source" localSheetId="31">_xlfn.LAMBDA("VEERG 2026: 15.7.1.1, Equation (1)")</definedName>
    <definedName name="Scope3_Equations.VEERG_15_7_1_1__1_EmissionsFromPurchasedServices_Source">_xlfn.LAMBDA("VEERG 2026: 15.7.1.1, Equation (1)")</definedName>
    <definedName name="Scope3_Equations.VEERG_15_7_1_1__1_EmissionsFromPurchasedServices_Title" localSheetId="23">_xlfn.LAMBDA("Emissions of purchased services and contractor operations")</definedName>
    <definedName name="Scope3_Equations.VEERG_15_7_1_1__1_EmissionsFromPurchasedServices_Title" localSheetId="24">_xlfn.LAMBDA("Emissions of purchased services and contractor operations")</definedName>
    <definedName name="Scope3_Equations.VEERG_15_7_1_1__1_EmissionsFromPurchasedServices_Title" localSheetId="31">_xlfn.LAMBDA("Emissions of purchased services and contractor operations")</definedName>
    <definedName name="Scope3_Equations.VEERG_15_7_1_1__1_EmissionsFromPurchasedServices_Title">_xlfn.LAMBDA("Emissions of purchased services and contractor operations")</definedName>
    <definedName name="Scope3_Equations.VEERG_15_7_1_1__1_EmissionsFromPurchasedServices_Unit" localSheetId="23">_xlfn.LAMBDA("t CO2e")</definedName>
    <definedName name="Scope3_Equations.VEERG_15_7_1_1__1_EmissionsFromPurchasedServices_Unit" localSheetId="24">_xlfn.LAMBDA("t CO2e")</definedName>
    <definedName name="Scope3_Equations.VEERG_15_7_1_1__1_EmissionsFromPurchasedServices_Unit" localSheetId="31">_xlfn.LAMBDA("t CO2e")</definedName>
    <definedName name="Scope3_Equations.VEERG_15_7_1_1__1_EmissionsFromPurchasedServices_Unit">_xlfn.LAMBDA("t CO2e")</definedName>
    <definedName name="Scope3_Equations.VEERG_15_7_1_1__1_EmissionsFromPurchasedServices_Variable" localSheetId="23">_xlfn.LAMBDA("E")</definedName>
    <definedName name="Scope3_Equations.VEERG_15_7_1_1__1_EmissionsFromPurchasedServices_Variable" localSheetId="24">_xlfn.LAMBDA("E")</definedName>
    <definedName name="Scope3_Equations.VEERG_15_7_1_1__1_EmissionsFromPurchasedServices_Variable" localSheetId="31">_xlfn.LAMBDA("E")</definedName>
    <definedName name="Scope3_Equations.VEERG_15_7_1_1__1_EmissionsFromPurchasedServices_Variable">_xlfn.LAMBDA("E")</definedName>
    <definedName name="Scope3_Equations.VEERG_15_8_1_1__1_EmissionsFromPurchasedPackaging" localSheetId="23">_xlfn.LAMBDA(_xlpm.Q_p,_xlpm.EF_p, (_xlpm.Q_p * _xlpm.EF_p) * 10 ^ -3)</definedName>
    <definedName name="Scope3_Equations.VEERG_15_8_1_1__1_EmissionsFromPurchasedPackaging" localSheetId="24">_xlfn.LAMBDA(_xlpm.Q_p,_xlpm.EF_p, (_xlpm.Q_p * _xlpm.EF_p) * 10 ^ -3)</definedName>
    <definedName name="Scope3_Equations.VEERG_15_8_1_1__1_EmissionsFromPurchasedPackaging" localSheetId="31">_xlfn.LAMBDA(_xlpm.Q_p,_xlpm.EF_p, (_xlpm.Q_p * _xlpm.EF_p) * 10 ^ -3)</definedName>
    <definedName name="Scope3_Equations.VEERG_15_8_1_1__1_EmissionsFromPurchasedPackaging">_xlfn.LAMBDA(_xlpm.Q_p,_xlpm.EF_p, (_xlpm.Q_p * _xlpm.EF_p) * 10 ^ -3)</definedName>
    <definedName name="Scope3_Equations.VEERG_15_8_1_1__1_EmissionsFromPurchasedPackaging_Arguments" localSheetId="23">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24">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 localSheetId="31">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 localSheetId="23">_xlfn.LAMBDA("E=\sum\nolimits_p\left(Q_p\times EF_p\right)\times 10^{-3}")</definedName>
    <definedName name="Scope3_Equations.VEERG_15_8_1_1__1_EmissionsFromPurchasedPackaging_LatexEquation" localSheetId="24">_xlfn.LAMBDA("E=\sum\nolimits_p\left(Q_p\times EF_p\right)\times 10^{-3}")</definedName>
    <definedName name="Scope3_Equations.VEERG_15_8_1_1__1_EmissionsFromPurchasedPackaging_LatexEquation" localSheetId="31">_xlfn.LAMBDA("E=\sum\nolimits_p\left(Q_p\times EF_p\right)\times 10^{-3}")</definedName>
    <definedName name="Scope3_Equations.VEERG_15_8_1_1__1_EmissionsFromPurchasedPackaging_LatexEquation">_xlfn.LAMBDA("E=\sum\nolimits_p\left(Q_p\times EF_p\right)\times 10^{-3}")</definedName>
    <definedName name="Scope3_Equations.VEERG_15_8_1_1__1_EmissionsFromPurchasedPackaging_NIRReference" localSheetId="23">_xlfn.LAMBDA("")</definedName>
    <definedName name="Scope3_Equations.VEERG_15_8_1_1__1_EmissionsFromPurchasedPackaging_NIRReference" localSheetId="24">_xlfn.LAMBDA("")</definedName>
    <definedName name="Scope3_Equations.VEERG_15_8_1_1__1_EmissionsFromPurchasedPackaging_NIRReference" localSheetId="31">_xlfn.LAMBDA("")</definedName>
    <definedName name="Scope3_Equations.VEERG_15_8_1_1__1_EmissionsFromPurchasedPackaging_NIRReference">_xlfn.LAMBDA("")</definedName>
    <definedName name="Scope3_Equations.VEERG_15_8_1_1__1_EmissionsFromPurchasedPackaging_Source" localSheetId="23">_xlfn.LAMBDA("VEERG 2026: 15.8.1.1, Equation (1)")</definedName>
    <definedName name="Scope3_Equations.VEERG_15_8_1_1__1_EmissionsFromPurchasedPackaging_Source" localSheetId="24">_xlfn.LAMBDA("VEERG 2026: 15.8.1.1, Equation (1)")</definedName>
    <definedName name="Scope3_Equations.VEERG_15_8_1_1__1_EmissionsFromPurchasedPackaging_Source" localSheetId="31">_xlfn.LAMBDA("VEERG 2026: 15.8.1.1, Equation (1)")</definedName>
    <definedName name="Scope3_Equations.VEERG_15_8_1_1__1_EmissionsFromPurchasedPackaging_Source">_xlfn.LAMBDA("VEERG 2026: 15.8.1.1, Equation (1)")</definedName>
    <definedName name="Scope3_Equations.VEERG_15_8_1_1__1_EmissionsFromPurchasedPackaging_Title" localSheetId="23">_xlfn.LAMBDA("Embedded emissions from use of packaging materials")</definedName>
    <definedName name="Scope3_Equations.VEERG_15_8_1_1__1_EmissionsFromPurchasedPackaging_Title" localSheetId="24">_xlfn.LAMBDA("Embedded emissions from use of packaging materials")</definedName>
    <definedName name="Scope3_Equations.VEERG_15_8_1_1__1_EmissionsFromPurchasedPackaging_Title" localSheetId="31">_xlfn.LAMBDA("Embedded emissions from use of packaging materials")</definedName>
    <definedName name="Scope3_Equations.VEERG_15_8_1_1__1_EmissionsFromPurchasedPackaging_Title">_xlfn.LAMBDA("Embedded emissions from use of packaging materials")</definedName>
    <definedName name="Scope3_Equations.VEERG_15_8_1_1__1_EmissionsFromPurchasedPackaging_Unit" localSheetId="23">_xlfn.LAMBDA("t CO2e")</definedName>
    <definedName name="Scope3_Equations.VEERG_15_8_1_1__1_EmissionsFromPurchasedPackaging_Unit" localSheetId="24">_xlfn.LAMBDA("t CO2e")</definedName>
    <definedName name="Scope3_Equations.VEERG_15_8_1_1__1_EmissionsFromPurchasedPackaging_Unit" localSheetId="31">_xlfn.LAMBDA("t CO2e")</definedName>
    <definedName name="Scope3_Equations.VEERG_15_8_1_1__1_EmissionsFromPurchasedPackaging_Unit">_xlfn.LAMBDA("t CO2e")</definedName>
    <definedName name="Scope3_Equations.VEERG_15_8_1_1__1_EmissionsFromPurchasedPackaging_Variable" localSheetId="23">_xlfn.LAMBDA("E")</definedName>
    <definedName name="Scope3_Equations.VEERG_15_8_1_1__1_EmissionsFromPurchasedPackaging_Variable" localSheetId="24">_xlfn.LAMBDA("E")</definedName>
    <definedName name="Scope3_Equations.VEERG_15_8_1_1__1_EmissionsFromPurchasedPackaging_Variable" localSheetId="31">_xlfn.LAMBDA("E")</definedName>
    <definedName name="Scope3_Equations.VEERG_15_8_1_1__1_EmissionsFromPurchasedPackaging_Variable">_xlfn.LAMBDA("E")</definedName>
    <definedName name="Scope3_Equations.VEERG_15_8_1_1__1_EmissionsFromPurchasedPackaging_Variation" localSheetId="23">_xlfn.LAMBDA("VARIATION ON SOURCE: Changed unit of Q from 'units' to 'kg' as EF data is in kg.")</definedName>
    <definedName name="Scope3_Equations.VEERG_15_8_1_1__1_EmissionsFromPurchasedPackaging_Variation" localSheetId="24">_xlfn.LAMBDA("VARIATION ON SOURCE: Changed unit of Q from 'units' to 'kg' as EF data is in kg.")</definedName>
    <definedName name="Scope3_Equations.VEERG_15_8_1_1__1_EmissionsFromPurchasedPackaging_Variation" localSheetId="31">_xlfn.LAMBDA("VARIATION ON SOURCE: Changed unit of Q from 'units' to 'kg' as EF data is in kg.")</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 localSheetId="23">_xlfn.LAMBDA(_xlpm.Q_g,_xlpm.EF_g, (_xlpm.Q_g * _xlpm.EF_g) * 10 ^ -3)</definedName>
    <definedName name="Scope3_Equations.VEERG_15_9_1_1__1_EmissionsFromPurchasedGrowMedia" localSheetId="24">_xlfn.LAMBDA(_xlpm.Q_g,_xlpm.EF_g, (_xlpm.Q_g * _xlpm.EF_g) * 10 ^ -3)</definedName>
    <definedName name="Scope3_Equations.VEERG_15_9_1_1__1_EmissionsFromPurchasedGrowMedia" localSheetId="31">_xlfn.LAMBDA(_xlpm.Q_g,_xlpm.EF_g, (_xlpm.Q_g * _xlpm.EF_g) * 10 ^ -3)</definedName>
    <definedName name="Scope3_Equations.VEERG_15_9_1_1__1_EmissionsFromPurchasedGrowMedia">_xlfn.LAMBDA(_xlpm.Q_g,_xlpm.EF_g, (_xlpm.Q_g * _xlpm.EF_g) * 10 ^ -3)</definedName>
    <definedName name="Scope3_Equations.VEERG_15_9_1_1__1_EmissionsFromPurchasedGrowMedia_Arguments" localSheetId="23">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24">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 localSheetId="31">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 localSheetId="23">_xlfn.LAMBDA("E=\sum\nolimits_g\left(Q_g\times EF_g\right)\times 10^{-3}")</definedName>
    <definedName name="Scope3_Equations.VEERG_15_9_1_1__1_EmissionsFromPurchasedGrowMedia_LatexEquation" localSheetId="24">_xlfn.LAMBDA("E=\sum\nolimits_g\left(Q_g\times EF_g\right)\times 10^{-3}")</definedName>
    <definedName name="Scope3_Equations.VEERG_15_9_1_1__1_EmissionsFromPurchasedGrowMedia_LatexEquation" localSheetId="31">_xlfn.LAMBDA("E=\sum\nolimits_g\left(Q_g\times EF_g\right)\times 10^{-3}")</definedName>
    <definedName name="Scope3_Equations.VEERG_15_9_1_1__1_EmissionsFromPurchasedGrowMedia_LatexEquation">_xlfn.LAMBDA("E=\sum\nolimits_g\left(Q_g\times EF_g\right)\times 10^{-3}")</definedName>
    <definedName name="Scope3_Equations.VEERG_15_9_1_1__1_EmissionsFromPurchasedGrowMedia_NIRReference" localSheetId="23">_xlfn.LAMBDA("")</definedName>
    <definedName name="Scope3_Equations.VEERG_15_9_1_1__1_EmissionsFromPurchasedGrowMedia_NIRReference" localSheetId="24">_xlfn.LAMBDA("")</definedName>
    <definedName name="Scope3_Equations.VEERG_15_9_1_1__1_EmissionsFromPurchasedGrowMedia_NIRReference" localSheetId="31">_xlfn.LAMBDA("")</definedName>
    <definedName name="Scope3_Equations.VEERG_15_9_1_1__1_EmissionsFromPurchasedGrowMedia_NIRReference">_xlfn.LAMBDA("")</definedName>
    <definedName name="Scope3_Equations.VEERG_15_9_1_1__1_EmissionsFromPurchasedGrowMedia_Source" localSheetId="23">_xlfn.LAMBDA("VEERG 2026: 15.9.1.1, Equation (1)")</definedName>
    <definedName name="Scope3_Equations.VEERG_15_9_1_1__1_EmissionsFromPurchasedGrowMedia_Source" localSheetId="24">_xlfn.LAMBDA("VEERG 2026: 15.9.1.1, Equation (1)")</definedName>
    <definedName name="Scope3_Equations.VEERG_15_9_1_1__1_EmissionsFromPurchasedGrowMedia_Source" localSheetId="31">_xlfn.LAMBDA("VEERG 2026: 15.9.1.1, Equation (1)")</definedName>
    <definedName name="Scope3_Equations.VEERG_15_9_1_1__1_EmissionsFromPurchasedGrowMedia_Source">_xlfn.LAMBDA("VEERG 2026: 15.9.1.1, Equation (1)")</definedName>
    <definedName name="Scope3_Equations.VEERG_15_9_1_1__1_EmissionsFromPurchasedGrowMedia_Title" localSheetId="23">_xlfn.LAMBDA("Embedded emissions from use of grow media products")</definedName>
    <definedName name="Scope3_Equations.VEERG_15_9_1_1__1_EmissionsFromPurchasedGrowMedia_Title" localSheetId="24">_xlfn.LAMBDA("Embedded emissions from use of grow media products")</definedName>
    <definedName name="Scope3_Equations.VEERG_15_9_1_1__1_EmissionsFromPurchasedGrowMedia_Title" localSheetId="31">_xlfn.LAMBDA("Embedded emissions from use of grow media products")</definedName>
    <definedName name="Scope3_Equations.VEERG_15_9_1_1__1_EmissionsFromPurchasedGrowMedia_Title">_xlfn.LAMBDA("Embedded emissions from use of grow media products")</definedName>
    <definedName name="Scope3_Equations.VEERG_15_9_1_1__1_EmissionsFromPurchasedGrowMedia_Unit" localSheetId="23">_xlfn.LAMBDA("t CO2e")</definedName>
    <definedName name="Scope3_Equations.VEERG_15_9_1_1__1_EmissionsFromPurchasedGrowMedia_Unit" localSheetId="24">_xlfn.LAMBDA("t CO2e")</definedName>
    <definedName name="Scope3_Equations.VEERG_15_9_1_1__1_EmissionsFromPurchasedGrowMedia_Unit" localSheetId="31">_xlfn.LAMBDA("t CO2e")</definedName>
    <definedName name="Scope3_Equations.VEERG_15_9_1_1__1_EmissionsFromPurchasedGrowMedia_Unit">_xlfn.LAMBDA("t CO2e")</definedName>
    <definedName name="Scope3_Equations.VEERG_15_9_1_1__1_EmissionsFromPurchasedGrowMedia_Variable" localSheetId="23">_xlfn.LAMBDA("E")</definedName>
    <definedName name="Scope3_Equations.VEERG_15_9_1_1__1_EmissionsFromPurchasedGrowMedia_Variable" localSheetId="24">_xlfn.LAMBDA("E")</definedName>
    <definedName name="Scope3_Equations.VEERG_15_9_1_1__1_EmissionsFromPurchasedGrowMedia_Variable" localSheetId="31">_xlfn.LAMBDA("E")</definedName>
    <definedName name="Scope3_Equations.VEERG_15_9_1_1__1_EmissionsFromPurchasedGrowMedia_Variable">_xlfn.LAMBDA("E")</definedName>
    <definedName name="SourceData_PastureBeef.SourceData_PastureBeef_AshContentOfFeedIntake_Data" localSheetId="10">_xlfn.LAMBDA(0.08)</definedName>
    <definedName name="SourceData_PastureBeef.SourceData_PastureBeef_AshContentOfFeedIntake_Data" localSheetId="11">_xlfn.LAMBDA(0.08)</definedName>
    <definedName name="SourceData_PastureBeef.SourceData_PastureBeef_AshContentOfFeedIntake_Data" localSheetId="12">_xlfn.LAMBDA(0.08)</definedName>
    <definedName name="SourceData_PastureBeef.SourceData_PastureBeef_AshContentOfFeedIntake_Data" localSheetId="13">_xlfn.LAMBDA(0.08)</definedName>
    <definedName name="SourceData_PastureBeef.SourceData_PastureBeef_AshContentOfFeedIntake_Data" localSheetId="14">_xlfn.LAMBDA(0.08)</definedName>
    <definedName name="SourceData_PastureBeef.SourceData_PastureBeef_AshContentOfFeedIntake_Data" localSheetId="33">_xlfn.LAMBDA(0.08)</definedName>
    <definedName name="SourceData_PastureBeef.SourceData_PastureBeef_AshContentOfFeedIntake_Data" localSheetId="32">_xlfn.LAMBDA(0.08)</definedName>
    <definedName name="SourceData_PastureBeef.SourceData_PastureBeef_AshContentOfFeedIntake_Data" localSheetId="28">_xlfn.LAMBDA(0.08)</definedName>
    <definedName name="SourceData_PastureBeef.SourceData_PastureBeef_AshContentOfFeedIntake_Data" localSheetId="26">_xlfn.LAMBDA(0.08)</definedName>
    <definedName name="SourceData_PastureBeef.SourceData_PastureBeef_AshContentOfFeedIntake_Data" localSheetId="4">_xlfn.LAMBDA(0.08)</definedName>
    <definedName name="SourceData_PastureBeef.SourceData_PastureBeef_AshContentOfFeedIntake_Data" localSheetId="3">_xlfn.LAMBDA(0.08)</definedName>
    <definedName name="SourceData_PastureBeef.SourceData_PastureBeef_AshContentOfFeedIntake_Data">_xlfn.LAMBDA(0.08)</definedName>
    <definedName name="SourceData_PastureBeef.SourceData_PastureBeef_AshContentOfFeedIntake_Source" localSheetId="10">_xlfn.LAMBDA("VEERG 2026: 4.2.2.3 CONSTANTS")</definedName>
    <definedName name="SourceData_PastureBeef.SourceData_PastureBeef_AshContentOfFeedIntake_Source" localSheetId="11">_xlfn.LAMBDA("VEERG 2026: 4.2.2.3 CONSTANTS")</definedName>
    <definedName name="SourceData_PastureBeef.SourceData_PastureBeef_AshContentOfFeedIntake_Source" localSheetId="12">_xlfn.LAMBDA("VEERG 2026: 4.2.2.3 CONSTANTS")</definedName>
    <definedName name="SourceData_PastureBeef.SourceData_PastureBeef_AshContentOfFeedIntake_Source" localSheetId="13">_xlfn.LAMBDA("VEERG 2026: 4.2.2.3 CONSTANTS")</definedName>
    <definedName name="SourceData_PastureBeef.SourceData_PastureBeef_AshContentOfFeedIntake_Source" localSheetId="14">_xlfn.LAMBDA("VEERG 2026: 4.2.2.3 CONSTANTS")</definedName>
    <definedName name="SourceData_PastureBeef.SourceData_PastureBeef_AshContentOfFeedIntake_Source" localSheetId="33">_xlfn.LAMBDA("VEERG 2026: 4.2.2.3 CONSTANTS")</definedName>
    <definedName name="SourceData_PastureBeef.SourceData_PastureBeef_AshContentOfFeedIntake_Source" localSheetId="32">_xlfn.LAMBDA("VEERG 2026: 4.2.2.3 CONSTANTS")</definedName>
    <definedName name="SourceData_PastureBeef.SourceData_PastureBeef_AshContentOfFeedIntake_Source" localSheetId="28">_xlfn.LAMBDA("VEERG 2026: 4.2.2.3 CONSTANTS")</definedName>
    <definedName name="SourceData_PastureBeef.SourceData_PastureBeef_AshContentOfFeedIntake_Source" localSheetId="26">_xlfn.LAMBDA("VEERG 2026: 4.2.2.3 CONSTANTS")</definedName>
    <definedName name="SourceData_PastureBeef.SourceData_PastureBeef_AshContentOfFeedIntake_Source" localSheetId="4">_xlfn.LAMBDA("VEERG 2026: 4.2.2.3 CONSTANTS")</definedName>
    <definedName name="SourceData_PastureBeef.SourceData_PastureBeef_AshContentOfFeedIntake_Source" localSheetId="3">_xlfn.LAMBDA("VEERG 2026: 4.2.2.3 CONSTANTS")</definedName>
    <definedName name="SourceData_PastureBeef.SourceData_PastureBeef_AshContentOfFeedIntake_Source">_xlfn.LAMBDA("VEERG 2026: 4.2.2.3 CONSTANTS")</definedName>
    <definedName name="SourceData_PastureBeef.SourceData_PastureBeef_AshContentOfFeedIntake_Title" localSheetId="10">_xlfn.LAMBDA("Ash content of feed intake")</definedName>
    <definedName name="SourceData_PastureBeef.SourceData_PastureBeef_AshContentOfFeedIntake_Title" localSheetId="11">_xlfn.LAMBDA("Ash content of feed intake")</definedName>
    <definedName name="SourceData_PastureBeef.SourceData_PastureBeef_AshContentOfFeedIntake_Title" localSheetId="12">_xlfn.LAMBDA("Ash content of feed intake")</definedName>
    <definedName name="SourceData_PastureBeef.SourceData_PastureBeef_AshContentOfFeedIntake_Title" localSheetId="13">_xlfn.LAMBDA("Ash content of feed intake")</definedName>
    <definedName name="SourceData_PastureBeef.SourceData_PastureBeef_AshContentOfFeedIntake_Title" localSheetId="14">_xlfn.LAMBDA("Ash content of feed intake")</definedName>
    <definedName name="SourceData_PastureBeef.SourceData_PastureBeef_AshContentOfFeedIntake_Title" localSheetId="33">_xlfn.LAMBDA("Ash content of feed intake")</definedName>
    <definedName name="SourceData_PastureBeef.SourceData_PastureBeef_AshContentOfFeedIntake_Title" localSheetId="32">_xlfn.LAMBDA("Ash content of feed intake")</definedName>
    <definedName name="SourceData_PastureBeef.SourceData_PastureBeef_AshContentOfFeedIntake_Title" localSheetId="28">_xlfn.LAMBDA("Ash content of feed intake")</definedName>
    <definedName name="SourceData_PastureBeef.SourceData_PastureBeef_AshContentOfFeedIntake_Title" localSheetId="26">_xlfn.LAMBDA("Ash content of feed intake")</definedName>
    <definedName name="SourceData_PastureBeef.SourceData_PastureBeef_AshContentOfFeedIntake_Title" localSheetId="4">_xlfn.LAMBDA("Ash content of feed intake")</definedName>
    <definedName name="SourceData_PastureBeef.SourceData_PastureBeef_AshContentOfFeedIntake_Title" localSheetId="3">_xlfn.LAMBDA("Ash content of feed intake")</definedName>
    <definedName name="SourceData_PastureBeef.SourceData_PastureBeef_AshContentOfFeedIntake_Title">_xlfn.LAMBDA("Ash content of feed intake")</definedName>
    <definedName name="SourceData_PastureBeef.SourceData_PastureBeef_AshContentOfFeedIntake_Unit" localSheetId="10">_xlfn.LAMBDA("fraction")</definedName>
    <definedName name="SourceData_PastureBeef.SourceData_PastureBeef_AshContentOfFeedIntake_Unit" localSheetId="11">_xlfn.LAMBDA("fraction")</definedName>
    <definedName name="SourceData_PastureBeef.SourceData_PastureBeef_AshContentOfFeedIntake_Unit" localSheetId="12">_xlfn.LAMBDA("fraction")</definedName>
    <definedName name="SourceData_PastureBeef.SourceData_PastureBeef_AshContentOfFeedIntake_Unit" localSheetId="13">_xlfn.LAMBDA("fraction")</definedName>
    <definedName name="SourceData_PastureBeef.SourceData_PastureBeef_AshContentOfFeedIntake_Unit" localSheetId="14">_xlfn.LAMBDA("fraction")</definedName>
    <definedName name="SourceData_PastureBeef.SourceData_PastureBeef_AshContentOfFeedIntake_Unit" localSheetId="33">_xlfn.LAMBDA("fraction")</definedName>
    <definedName name="SourceData_PastureBeef.SourceData_PastureBeef_AshContentOfFeedIntake_Unit" localSheetId="32">_xlfn.LAMBDA("fraction")</definedName>
    <definedName name="SourceData_PastureBeef.SourceData_PastureBeef_AshContentOfFeedIntake_Unit" localSheetId="28">_xlfn.LAMBDA("fraction")</definedName>
    <definedName name="SourceData_PastureBeef.SourceData_PastureBeef_AshContentOfFeedIntake_Unit" localSheetId="26">_xlfn.LAMBDA("fraction")</definedName>
    <definedName name="SourceData_PastureBeef.SourceData_PastureBeef_AshContentOfFeedIntake_Unit" localSheetId="4">_xlfn.LAMBDA("fraction")</definedName>
    <definedName name="SourceData_PastureBeef.SourceData_PastureBeef_AshContentOfFeedIntake_Unit" localSheetId="3">_xlfn.LAMBDA("fraction")</definedName>
    <definedName name="SourceData_PastureBeef.SourceData_PastureBeef_AshContentOfFeedIntake_Unit">_xlfn.LAMBDA("fraction")</definedName>
    <definedName name="SourceData_PastureBeef.SourceData_PastureBeef_AshContentOfFeedIntake_Variable" localSheetId="10">_xlfn.LAMBDA("A")</definedName>
    <definedName name="SourceData_PastureBeef.SourceData_PastureBeef_AshContentOfFeedIntake_Variable" localSheetId="11">_xlfn.LAMBDA("A")</definedName>
    <definedName name="SourceData_PastureBeef.SourceData_PastureBeef_AshContentOfFeedIntake_Variable" localSheetId="12">_xlfn.LAMBDA("A")</definedName>
    <definedName name="SourceData_PastureBeef.SourceData_PastureBeef_AshContentOfFeedIntake_Variable" localSheetId="13">_xlfn.LAMBDA("A")</definedName>
    <definedName name="SourceData_PastureBeef.SourceData_PastureBeef_AshContentOfFeedIntake_Variable" localSheetId="14">_xlfn.LAMBDA("A")</definedName>
    <definedName name="SourceData_PastureBeef.SourceData_PastureBeef_AshContentOfFeedIntake_Variable" localSheetId="33">_xlfn.LAMBDA("A")</definedName>
    <definedName name="SourceData_PastureBeef.SourceData_PastureBeef_AshContentOfFeedIntake_Variable" localSheetId="32">_xlfn.LAMBDA("A")</definedName>
    <definedName name="SourceData_PastureBeef.SourceData_PastureBeef_AshContentOfFeedIntake_Variable" localSheetId="28">_xlfn.LAMBDA("A")</definedName>
    <definedName name="SourceData_PastureBeef.SourceData_PastureBeef_AshContentOfFeedIntake_Variable" localSheetId="26">_xlfn.LAMBDA("A")</definedName>
    <definedName name="SourceData_PastureBeef.SourceData_PastureBeef_AshContentOfFeedIntake_Variable" localSheetId="4">_xlfn.LAMBDA("A")</definedName>
    <definedName name="SourceData_PastureBeef.SourceData_PastureBeef_AshContentOfFeedIntake_Variable" localSheetId="3">_xlfn.LAMBDA("A")</definedName>
    <definedName name="SourceData_PastureBeef.SourceData_PastureBeef_AshContentOfFeedIntake_Variable">_xlfn.LAMBDA("A")</definedName>
    <definedName name="SourceData_PastureBeef.SourceData_PastureBeef_AshContentOfFeedIntake_Variation" localSheetId="10">_xlfn.LAMBDA("")</definedName>
    <definedName name="SourceData_PastureBeef.SourceData_PastureBeef_AshContentOfFeedIntake_Variation" localSheetId="11">_xlfn.LAMBDA("")</definedName>
    <definedName name="SourceData_PastureBeef.SourceData_PastureBeef_AshContentOfFeedIntake_Variation" localSheetId="12">_xlfn.LAMBDA("")</definedName>
    <definedName name="SourceData_PastureBeef.SourceData_PastureBeef_AshContentOfFeedIntake_Variation" localSheetId="13">_xlfn.LAMBDA("")</definedName>
    <definedName name="SourceData_PastureBeef.SourceData_PastureBeef_AshContentOfFeedIntake_Variation" localSheetId="14">_xlfn.LAMBDA("")</definedName>
    <definedName name="SourceData_PastureBeef.SourceData_PastureBeef_AshContentOfFeedIntake_Variation" localSheetId="33">_xlfn.LAMBDA("")</definedName>
    <definedName name="SourceData_PastureBeef.SourceData_PastureBeef_AshContentOfFeedIntake_Variation" localSheetId="32">_xlfn.LAMBDA("")</definedName>
    <definedName name="SourceData_PastureBeef.SourceData_PastureBeef_AshContentOfFeedIntake_Variation" localSheetId="28">_xlfn.LAMBDA("")</definedName>
    <definedName name="SourceData_PastureBeef.SourceData_PastureBeef_AshContentOfFeedIntake_Variation" localSheetId="26">_xlfn.LAMBDA("")</definedName>
    <definedName name="SourceData_PastureBeef.SourceData_PastureBeef_AshContentOfFeedIntake_Variation" localSheetId="4">_xlfn.LAMBDA("")</definedName>
    <definedName name="SourceData_PastureBeef.SourceData_PastureBeef_AshContentOfFeedIntake_Variation" localSheetId="3">_xlfn.LAMBDA("")</definedName>
    <definedName name="SourceData_PastureBeef.SourceData_PastureBeef_AshContentOfFeedIntake_Variation">_xlfn.LAMBDA("")</definedName>
    <definedName name="SourceData_PastureBeef.SourceData_PastureBeef_CrudeProteinContent_Data" localSheetId="10">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1">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2">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14">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2">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8">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26">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4">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 localSheetId="3">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 localSheetId="10">_xlfn.LAMBDA("VEERG 2026: Table A.1.2.6")</definedName>
    <definedName name="SourceData_PastureBeef.SourceData_PastureBeef_CrudeProteinContent_Source" localSheetId="11">_xlfn.LAMBDA("VEERG 2026: Table A.1.2.6")</definedName>
    <definedName name="SourceData_PastureBeef.SourceData_PastureBeef_CrudeProteinContent_Source" localSheetId="12">_xlfn.LAMBDA("VEERG 2026: Table A.1.2.6")</definedName>
    <definedName name="SourceData_PastureBeef.SourceData_PastureBeef_CrudeProteinContent_Source" localSheetId="13">_xlfn.LAMBDA("VEERG 2026: Table A.1.2.6")</definedName>
    <definedName name="SourceData_PastureBeef.SourceData_PastureBeef_CrudeProteinContent_Source" localSheetId="14">_xlfn.LAMBDA("VEERG 2026: Table A.1.2.6")</definedName>
    <definedName name="SourceData_PastureBeef.SourceData_PastureBeef_CrudeProteinContent_Source" localSheetId="33">_xlfn.LAMBDA("VEERG 2026: Table A.1.2.6")</definedName>
    <definedName name="SourceData_PastureBeef.SourceData_PastureBeef_CrudeProteinContent_Source" localSheetId="32">_xlfn.LAMBDA("VEERG 2026: Table A.1.2.6")</definedName>
    <definedName name="SourceData_PastureBeef.SourceData_PastureBeef_CrudeProteinContent_Source" localSheetId="28">_xlfn.LAMBDA("VEERG 2026: Table A.1.2.6")</definedName>
    <definedName name="SourceData_PastureBeef.SourceData_PastureBeef_CrudeProteinContent_Source" localSheetId="26">_xlfn.LAMBDA("VEERG 2026: Table A.1.2.6")</definedName>
    <definedName name="SourceData_PastureBeef.SourceData_PastureBeef_CrudeProteinContent_Source" localSheetId="4">_xlfn.LAMBDA("VEERG 2026: Table A.1.2.6")</definedName>
    <definedName name="SourceData_PastureBeef.SourceData_PastureBeef_CrudeProteinContent_Source" localSheetId="3">_xlfn.LAMBDA("VEERG 2026: Table A.1.2.6")</definedName>
    <definedName name="SourceData_PastureBeef.SourceData_PastureBeef_CrudeProteinContent_Source">_xlfn.LAMBDA("VEERG 2026: Table A.1.2.6")</definedName>
    <definedName name="SourceData_PastureBeef.SourceData_PastureBeef_CrudeProteinContent_Title" localSheetId="10">_xlfn.LAMBDA("Beef pasture cattle - Crude protein content of feed intake (fraction) (CPj)")</definedName>
    <definedName name="SourceData_PastureBeef.SourceData_PastureBeef_CrudeProteinContent_Title" localSheetId="11">_xlfn.LAMBDA("Beef pasture cattle - Crude protein content of feed intake (fraction) (CPj)")</definedName>
    <definedName name="SourceData_PastureBeef.SourceData_PastureBeef_CrudeProteinContent_Title" localSheetId="12">_xlfn.LAMBDA("Beef pasture cattle - Crude protein content of feed intake (fraction) (CPj)")</definedName>
    <definedName name="SourceData_PastureBeef.SourceData_PastureBeef_CrudeProteinContent_Title" localSheetId="13">_xlfn.LAMBDA("Beef pasture cattle - Crude protein content of feed intake (fraction) (CPj)")</definedName>
    <definedName name="SourceData_PastureBeef.SourceData_PastureBeef_CrudeProteinContent_Title" localSheetId="14">_xlfn.LAMBDA("Beef pasture cattle - Crude protein content of feed intake (fraction) (CPj)")</definedName>
    <definedName name="SourceData_PastureBeef.SourceData_PastureBeef_CrudeProteinContent_Title" localSheetId="33">_xlfn.LAMBDA("Beef pasture cattle - Crude protein content of feed intake (fraction) (CPj)")</definedName>
    <definedName name="SourceData_PastureBeef.SourceData_PastureBeef_CrudeProteinContent_Title" localSheetId="32">_xlfn.LAMBDA("Beef pasture cattle - Crude protein content of feed intake (fraction) (CPj)")</definedName>
    <definedName name="SourceData_PastureBeef.SourceData_PastureBeef_CrudeProteinContent_Title" localSheetId="28">_xlfn.LAMBDA("Beef pasture cattle - Crude protein content of feed intake (fraction) (CPj)")</definedName>
    <definedName name="SourceData_PastureBeef.SourceData_PastureBeef_CrudeProteinContent_Title" localSheetId="26">_xlfn.LAMBDA("Beef pasture cattle - Crude protein content of feed intake (fraction) (CPj)")</definedName>
    <definedName name="SourceData_PastureBeef.SourceData_PastureBeef_CrudeProteinContent_Title" localSheetId="4">_xlfn.LAMBDA("Beef pasture cattle - Crude protein content of feed intake (fraction) (CPj)")</definedName>
    <definedName name="SourceData_PastureBeef.SourceData_PastureBeef_CrudeProteinContent_Title" localSheetId="3">_xlfn.LAMBDA("Beef pasture cattle - Crude protein content of feed intake (fraction) (CPj)")</definedName>
    <definedName name="SourceData_PastureBeef.SourceData_PastureBeef_CrudeProteinContent_Title">_xlfn.LAMBDA("Beef pasture cattle - Crude protein content of feed intake (fraction) (CPj)")</definedName>
    <definedName name="SourceData_PastureBeef.SourceData_PastureBeef_CrudeProteinContent_Unit" localSheetId="10">_xlfn.LAMBDA("fraction")</definedName>
    <definedName name="SourceData_PastureBeef.SourceData_PastureBeef_CrudeProteinContent_Unit" localSheetId="11">_xlfn.LAMBDA("fraction")</definedName>
    <definedName name="SourceData_PastureBeef.SourceData_PastureBeef_CrudeProteinContent_Unit" localSheetId="12">_xlfn.LAMBDA("fraction")</definedName>
    <definedName name="SourceData_PastureBeef.SourceData_PastureBeef_CrudeProteinContent_Unit" localSheetId="13">_xlfn.LAMBDA("fraction")</definedName>
    <definedName name="SourceData_PastureBeef.SourceData_PastureBeef_CrudeProteinContent_Unit" localSheetId="14">_xlfn.LAMBDA("fraction")</definedName>
    <definedName name="SourceData_PastureBeef.SourceData_PastureBeef_CrudeProteinContent_Unit" localSheetId="33">_xlfn.LAMBDA("fraction")</definedName>
    <definedName name="SourceData_PastureBeef.SourceData_PastureBeef_CrudeProteinContent_Unit" localSheetId="32">_xlfn.LAMBDA("fraction")</definedName>
    <definedName name="SourceData_PastureBeef.SourceData_PastureBeef_CrudeProteinContent_Unit" localSheetId="28">_xlfn.LAMBDA("fraction")</definedName>
    <definedName name="SourceData_PastureBeef.SourceData_PastureBeef_CrudeProteinContent_Unit" localSheetId="26">_xlfn.LAMBDA("fraction")</definedName>
    <definedName name="SourceData_PastureBeef.SourceData_PastureBeef_CrudeProteinContent_Unit" localSheetId="4">_xlfn.LAMBDA("fraction")</definedName>
    <definedName name="SourceData_PastureBeef.SourceData_PastureBeef_CrudeProteinContent_Unit" localSheetId="3">_xlfn.LAMBDA("fraction")</definedName>
    <definedName name="SourceData_PastureBeef.SourceData_PastureBeef_CrudeProteinContent_Unit">_xlfn.LAMBDA("fraction")</definedName>
    <definedName name="SourceData_PastureBeef.SourceData_PastureBeef_CrudeProteinContent_Variable" localSheetId="10">_xlfn.LAMBDA("CPj")</definedName>
    <definedName name="SourceData_PastureBeef.SourceData_PastureBeef_CrudeProteinContent_Variable" localSheetId="11">_xlfn.LAMBDA("CPj")</definedName>
    <definedName name="SourceData_PastureBeef.SourceData_PastureBeef_CrudeProteinContent_Variable" localSheetId="12">_xlfn.LAMBDA("CPj")</definedName>
    <definedName name="SourceData_PastureBeef.SourceData_PastureBeef_CrudeProteinContent_Variable" localSheetId="13">_xlfn.LAMBDA("CPj")</definedName>
    <definedName name="SourceData_PastureBeef.SourceData_PastureBeef_CrudeProteinContent_Variable" localSheetId="14">_xlfn.LAMBDA("CPj")</definedName>
    <definedName name="SourceData_PastureBeef.SourceData_PastureBeef_CrudeProteinContent_Variable" localSheetId="33">_xlfn.LAMBDA("CPj")</definedName>
    <definedName name="SourceData_PastureBeef.SourceData_PastureBeef_CrudeProteinContent_Variable" localSheetId="32">_xlfn.LAMBDA("CPj")</definedName>
    <definedName name="SourceData_PastureBeef.SourceData_PastureBeef_CrudeProteinContent_Variable" localSheetId="28">_xlfn.LAMBDA("CPj")</definedName>
    <definedName name="SourceData_PastureBeef.SourceData_PastureBeef_CrudeProteinContent_Variable" localSheetId="26">_xlfn.LAMBDA("CPj")</definedName>
    <definedName name="SourceData_PastureBeef.SourceData_PastureBeef_CrudeProteinContent_Variable" localSheetId="4">_xlfn.LAMBDA("CPj")</definedName>
    <definedName name="SourceData_PastureBeef.SourceData_PastureBeef_CrudeProteinContent_Variable" localSheetId="3">_xlfn.LAMBDA("CPj")</definedName>
    <definedName name="SourceData_PastureBeef.SourceData_PastureBeef_CrudeProteinContent_Variable">_xlfn.LAMBDA("CPj")</definedName>
    <definedName name="SourceData_PastureBeef.SourceData_PastureBeef_CrudeProteinContent_Variation" localSheetId="10">_xlfn.LAMBDA("VARIATION ON SOURCE: Split ACT and NSW into separate rows. Duplicated QLD and NT rows with regions from table A.1.2.2 to aid lookup")</definedName>
    <definedName name="SourceData_PastureBeef.SourceData_PastureBeef_CrudeProteinContent_Variation" localSheetId="11">_xlfn.LAMBDA("VARIATION ON SOURCE: Split ACT and NSW into separate rows. Duplicated QLD and NT rows with regions from table A.1.2.2 to aid lookup")</definedName>
    <definedName name="SourceData_PastureBeef.SourceData_PastureBeef_CrudeProteinContent_Variation" localSheetId="12">_xlfn.LAMBDA("VARIATION ON SOURCE: Split ACT and NSW into separate rows. Duplicated QLD and NT rows with regions from table A.1.2.2 to aid lookup")</definedName>
    <definedName name="SourceData_PastureBeef.SourceData_PastureBeef_CrudeProteinContent_Variation" localSheetId="13">_xlfn.LAMBDA("VARIATION ON SOURCE: Split ACT and NSW into separate rows. Duplicated QLD and NT rows with regions from table A.1.2.2 to aid lookup")</definedName>
    <definedName name="SourceData_PastureBeef.SourceData_PastureBeef_CrudeProteinContent_Variation" localSheetId="14">_xlfn.LAMBDA("VARIATION ON SOURCE: Split ACT and NSW into separate rows. Duplicated QLD and NT rows with regions from table A.1.2.2 to aid lookup")</definedName>
    <definedName name="SourceData_PastureBeef.SourceData_PastureBeef_CrudeProteinContent_Variation" localSheetId="33">_xlfn.LAMBDA("VARIATION ON SOURCE: Split ACT and NSW into separate rows. Duplicated QLD and NT rows with regions from table A.1.2.2 to aid lookup")</definedName>
    <definedName name="SourceData_PastureBeef.SourceData_PastureBeef_CrudeProteinContent_Variation" localSheetId="32">_xlfn.LAMBDA("VARIATION ON SOURCE: Split ACT and NSW into separate rows. Duplicated QLD and NT rows with regions from table A.1.2.2 to aid lookup")</definedName>
    <definedName name="SourceData_PastureBeef.SourceData_PastureBeef_CrudeProteinContent_Variation" localSheetId="28">_xlfn.LAMBDA("VARIATION ON SOURCE: Split ACT and NSW into separate rows. Duplicated QLD and NT rows with regions from table A.1.2.2 to aid lookup")</definedName>
    <definedName name="SourceData_PastureBeef.SourceData_PastureBeef_CrudeProteinContent_Variation" localSheetId="26">_xlfn.LAMBDA("VARIATION ON SOURCE: Split ACT and NSW into separate rows. Duplicated QLD and NT rows with regions from table A.1.2.2 to aid lookup")</definedName>
    <definedName name="SourceData_PastureBeef.SourceData_PastureBeef_CrudeProteinContent_Variation" localSheetId="4">_xlfn.LAMBDA("VARIATION ON SOURCE: Split ACT and NSW into separate rows. Duplicated QLD and NT rows with regions from table A.1.2.2 to aid lookup")</definedName>
    <definedName name="SourceData_PastureBeef.SourceData_PastureBeef_CrudeProteinContent_Variation" localSheetId="3">_xlfn.LAMBDA("VARIATION ON SOURCE: Split ACT and NSW into separate rows. Duplicated QLD and NT rows with regions from table A.1.2.2 to aid lookup")</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 localSheetId="10">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1">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2">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14">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2">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8">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26">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4">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 localSheetId="3">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 localSheetId="10">_xlfn.LAMBDA("VEERG 2026: Table A.1.2.5")</definedName>
    <definedName name="SourceData_PastureBeef.SourceData_PastureBeef_DryMatterDigestibility_Source" localSheetId="11">_xlfn.LAMBDA("VEERG 2026: Table A.1.2.5")</definedName>
    <definedName name="SourceData_PastureBeef.SourceData_PastureBeef_DryMatterDigestibility_Source" localSheetId="12">_xlfn.LAMBDA("VEERG 2026: Table A.1.2.5")</definedName>
    <definedName name="SourceData_PastureBeef.SourceData_PastureBeef_DryMatterDigestibility_Source" localSheetId="13">_xlfn.LAMBDA("VEERG 2026: Table A.1.2.5")</definedName>
    <definedName name="SourceData_PastureBeef.SourceData_PastureBeef_DryMatterDigestibility_Source" localSheetId="14">_xlfn.LAMBDA("VEERG 2026: Table A.1.2.5")</definedName>
    <definedName name="SourceData_PastureBeef.SourceData_PastureBeef_DryMatterDigestibility_Source" localSheetId="33">_xlfn.LAMBDA("VEERG 2026: Table A.1.2.5")</definedName>
    <definedName name="SourceData_PastureBeef.SourceData_PastureBeef_DryMatterDigestibility_Source" localSheetId="32">_xlfn.LAMBDA("VEERG 2026: Table A.1.2.5")</definedName>
    <definedName name="SourceData_PastureBeef.SourceData_PastureBeef_DryMatterDigestibility_Source" localSheetId="28">_xlfn.LAMBDA("VEERG 2026: Table A.1.2.5")</definedName>
    <definedName name="SourceData_PastureBeef.SourceData_PastureBeef_DryMatterDigestibility_Source" localSheetId="26">_xlfn.LAMBDA("VEERG 2026: Table A.1.2.5")</definedName>
    <definedName name="SourceData_PastureBeef.SourceData_PastureBeef_DryMatterDigestibility_Source" localSheetId="4">_xlfn.LAMBDA("VEERG 2026: Table A.1.2.5")</definedName>
    <definedName name="SourceData_PastureBeef.SourceData_PastureBeef_DryMatterDigestibility_Source" localSheetId="3">_xlfn.LAMBDA("VEERG 2026: Table A.1.2.5")</definedName>
    <definedName name="SourceData_PastureBeef.SourceData_PastureBeef_DryMatterDigestibility_Source">_xlfn.LAMBDA("VEERG 2026: Table A.1.2.5")</definedName>
    <definedName name="SourceData_PastureBeef.SourceData_PastureBeef_DryMatterDigestibility_Title" localSheetId="10">_xlfn.LAMBDA("Beef pasture cattle - Dry matter digestibility of feed intake (fraction) (DMDj)")</definedName>
    <definedName name="SourceData_PastureBeef.SourceData_PastureBeef_DryMatterDigestibility_Title" localSheetId="11">_xlfn.LAMBDA("Beef pasture cattle - Dry matter digestibility of feed intake (fraction) (DMDj)")</definedName>
    <definedName name="SourceData_PastureBeef.SourceData_PastureBeef_DryMatterDigestibility_Title" localSheetId="12">_xlfn.LAMBDA("Beef pasture cattle - Dry matter digestibility of feed intake (fraction) (DMDj)")</definedName>
    <definedName name="SourceData_PastureBeef.SourceData_PastureBeef_DryMatterDigestibility_Title" localSheetId="13">_xlfn.LAMBDA("Beef pasture cattle - Dry matter digestibility of feed intake (fraction) (DMDj)")</definedName>
    <definedName name="SourceData_PastureBeef.SourceData_PastureBeef_DryMatterDigestibility_Title" localSheetId="14">_xlfn.LAMBDA("Beef pasture cattle - Dry matter digestibility of feed intake (fraction) (DMDj)")</definedName>
    <definedName name="SourceData_PastureBeef.SourceData_PastureBeef_DryMatterDigestibility_Title" localSheetId="33">_xlfn.LAMBDA("Beef pasture cattle - Dry matter digestibility of feed intake (fraction) (DMDj)")</definedName>
    <definedName name="SourceData_PastureBeef.SourceData_PastureBeef_DryMatterDigestibility_Title" localSheetId="32">_xlfn.LAMBDA("Beef pasture cattle - Dry matter digestibility of feed intake (fraction) (DMDj)")</definedName>
    <definedName name="SourceData_PastureBeef.SourceData_PastureBeef_DryMatterDigestibility_Title" localSheetId="28">_xlfn.LAMBDA("Beef pasture cattle - Dry matter digestibility of feed intake (fraction) (DMDj)")</definedName>
    <definedName name="SourceData_PastureBeef.SourceData_PastureBeef_DryMatterDigestibility_Title" localSheetId="26">_xlfn.LAMBDA("Beef pasture cattle - Dry matter digestibility of feed intake (fraction) (DMDj)")</definedName>
    <definedName name="SourceData_PastureBeef.SourceData_PastureBeef_DryMatterDigestibility_Title" localSheetId="4">_xlfn.LAMBDA("Beef pasture cattle - Dry matter digestibility of feed intake (fraction) (DMDj)")</definedName>
    <definedName name="SourceData_PastureBeef.SourceData_PastureBeef_DryMatterDigestibility_Title" localSheetId="3">_xlfn.LAMBDA("Beef pasture cattle - Dry matter digestibility of feed intake (fraction) (DMDj)")</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 localSheetId="10">_xlfn.LAMBDA("fraction")</definedName>
    <definedName name="SourceData_PastureBeef.SourceData_PastureBeef_DryMatterDigestibility_Unit" localSheetId="11">_xlfn.LAMBDA("fraction")</definedName>
    <definedName name="SourceData_PastureBeef.SourceData_PastureBeef_DryMatterDigestibility_Unit" localSheetId="12">_xlfn.LAMBDA("fraction")</definedName>
    <definedName name="SourceData_PastureBeef.SourceData_PastureBeef_DryMatterDigestibility_Unit" localSheetId="13">_xlfn.LAMBDA("fraction")</definedName>
    <definedName name="SourceData_PastureBeef.SourceData_PastureBeef_DryMatterDigestibility_Unit" localSheetId="14">_xlfn.LAMBDA("fraction")</definedName>
    <definedName name="SourceData_PastureBeef.SourceData_PastureBeef_DryMatterDigestibility_Unit" localSheetId="33">_xlfn.LAMBDA("fraction")</definedName>
    <definedName name="SourceData_PastureBeef.SourceData_PastureBeef_DryMatterDigestibility_Unit" localSheetId="32">_xlfn.LAMBDA("fraction")</definedName>
    <definedName name="SourceData_PastureBeef.SourceData_PastureBeef_DryMatterDigestibility_Unit" localSheetId="28">_xlfn.LAMBDA("fraction")</definedName>
    <definedName name="SourceData_PastureBeef.SourceData_PastureBeef_DryMatterDigestibility_Unit" localSheetId="26">_xlfn.LAMBDA("fraction")</definedName>
    <definedName name="SourceData_PastureBeef.SourceData_PastureBeef_DryMatterDigestibility_Unit" localSheetId="4">_xlfn.LAMBDA("fraction")</definedName>
    <definedName name="SourceData_PastureBeef.SourceData_PastureBeef_DryMatterDigestibility_Unit" localSheetId="3">_xlfn.LAMBDA("fraction")</definedName>
    <definedName name="SourceData_PastureBeef.SourceData_PastureBeef_DryMatterDigestibility_Unit">_xlfn.LAMBDA("fraction")</definedName>
    <definedName name="SourceData_PastureBeef.SourceData_PastureBeef_DryMatterDigestibility_Variable" localSheetId="10">_xlfn.LAMBDA("DMDj")</definedName>
    <definedName name="SourceData_PastureBeef.SourceData_PastureBeef_DryMatterDigestibility_Variable" localSheetId="11">_xlfn.LAMBDA("DMDj")</definedName>
    <definedName name="SourceData_PastureBeef.SourceData_PastureBeef_DryMatterDigestibility_Variable" localSheetId="12">_xlfn.LAMBDA("DMDj")</definedName>
    <definedName name="SourceData_PastureBeef.SourceData_PastureBeef_DryMatterDigestibility_Variable" localSheetId="13">_xlfn.LAMBDA("DMDj")</definedName>
    <definedName name="SourceData_PastureBeef.SourceData_PastureBeef_DryMatterDigestibility_Variable" localSheetId="14">_xlfn.LAMBDA("DMDj")</definedName>
    <definedName name="SourceData_PastureBeef.SourceData_PastureBeef_DryMatterDigestibility_Variable" localSheetId="33">_xlfn.LAMBDA("DMDj")</definedName>
    <definedName name="SourceData_PastureBeef.SourceData_PastureBeef_DryMatterDigestibility_Variable" localSheetId="32">_xlfn.LAMBDA("DMDj")</definedName>
    <definedName name="SourceData_PastureBeef.SourceData_PastureBeef_DryMatterDigestibility_Variable" localSheetId="28">_xlfn.LAMBDA("DMDj")</definedName>
    <definedName name="SourceData_PastureBeef.SourceData_PastureBeef_DryMatterDigestibility_Variable" localSheetId="26">_xlfn.LAMBDA("DMDj")</definedName>
    <definedName name="SourceData_PastureBeef.SourceData_PastureBeef_DryMatterDigestibility_Variable" localSheetId="4">_xlfn.LAMBDA("DMDj")</definedName>
    <definedName name="SourceData_PastureBeef.SourceData_PastureBeef_DryMatterDigestibility_Variable" localSheetId="3">_xlfn.LAMBDA("DMDj")</definedName>
    <definedName name="SourceData_PastureBeef.SourceData_PastureBeef_DryMatterDigestibility_Variable">_xlfn.LAMBDA("DMDj")</definedName>
    <definedName name="SourceData_PastureBeef.SourceData_PastureBeef_DryMatterDigestibility_Variation" localSheetId="10">_xlfn.LAMBDA("VARIATION ON SOURCE: Split ACT and NSW into separate rows. Duplicated QLD and NT rows with regions from table A.1.2.2 to aid lookup")</definedName>
    <definedName name="SourceData_PastureBeef.SourceData_PastureBeef_DryMatterDigestibility_Variation" localSheetId="11">_xlfn.LAMBDA("VARIATION ON SOURCE: Split ACT and NSW into separate rows. Duplicated QLD and NT rows with regions from table A.1.2.2 to aid lookup")</definedName>
    <definedName name="SourceData_PastureBeef.SourceData_PastureBeef_DryMatterDigestibility_Variation" localSheetId="12">_xlfn.LAMBDA("VARIATION ON SOURCE: Split ACT and NSW into separate rows. Duplicated QLD and NT rows with regions from table A.1.2.2 to aid lookup")</definedName>
    <definedName name="SourceData_PastureBeef.SourceData_PastureBeef_DryMatterDigestibility_Variation" localSheetId="13">_xlfn.LAMBDA("VARIATION ON SOURCE: Split ACT and NSW into separate rows. Duplicated QLD and NT rows with regions from table A.1.2.2 to aid lookup")</definedName>
    <definedName name="SourceData_PastureBeef.SourceData_PastureBeef_DryMatterDigestibility_Variation" localSheetId="14">_xlfn.LAMBDA("VARIATION ON SOURCE: Split ACT and NSW into separate rows. Duplicated QLD and NT rows with regions from table A.1.2.2 to aid lookup")</definedName>
    <definedName name="SourceData_PastureBeef.SourceData_PastureBeef_DryMatterDigestibility_Variation" localSheetId="33">_xlfn.LAMBDA("VARIATION ON SOURCE: Split ACT and NSW into separate rows. Duplicated QLD and NT rows with regions from table A.1.2.2 to aid lookup")</definedName>
    <definedName name="SourceData_PastureBeef.SourceData_PastureBeef_DryMatterDigestibility_Variation" localSheetId="32">_xlfn.LAMBDA("VARIATION ON SOURCE: Split ACT and NSW into separate rows. Duplicated QLD and NT rows with regions from table A.1.2.2 to aid lookup")</definedName>
    <definedName name="SourceData_PastureBeef.SourceData_PastureBeef_DryMatterDigestibility_Variation" localSheetId="28">_xlfn.LAMBDA("VARIATION ON SOURCE: Split ACT and NSW into separate rows. Duplicated QLD and NT rows with regions from table A.1.2.2 to aid lookup")</definedName>
    <definedName name="SourceData_PastureBeef.SourceData_PastureBeef_DryMatterDigestibility_Variation" localSheetId="26">_xlfn.LAMBDA("VARIATION ON SOURCE: Split ACT and NSW into separate rows. Duplicated QLD and NT rows with regions from table A.1.2.2 to aid lookup")</definedName>
    <definedName name="SourceData_PastureBeef.SourceData_PastureBeef_DryMatterDigestibility_Variation" localSheetId="4">_xlfn.LAMBDA("VARIATION ON SOURCE: Split ACT and NSW into separate rows. Duplicated QLD and NT rows with regions from table A.1.2.2 to aid lookup")</definedName>
    <definedName name="SourceData_PastureBeef.SourceData_PastureBeef_DryMatterDigestibility_Variation" localSheetId="3">_xlfn.LAMBDA("VARIATION ON SOURCE: Split ACT and NSW into separate rows. Duplicated QLD and NT rows with regions from table A.1.2.2 to aid lookup")</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 localSheetId="10">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1">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2">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14">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2">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8">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26">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4">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 localSheetId="3">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 localSheetId="10">_xlfn.LAMBDA("VEERG 2026: Table A.1.2.7")</definedName>
    <definedName name="SourceData_PastureBeef.SourceData_PastureBeef_FeedAdjustmentAndMilkProduction_Source" localSheetId="11">_xlfn.LAMBDA("VEERG 2026: Table A.1.2.7")</definedName>
    <definedName name="SourceData_PastureBeef.SourceData_PastureBeef_FeedAdjustmentAndMilkProduction_Source" localSheetId="12">_xlfn.LAMBDA("VEERG 2026: Table A.1.2.7")</definedName>
    <definedName name="SourceData_PastureBeef.SourceData_PastureBeef_FeedAdjustmentAndMilkProduction_Source" localSheetId="13">_xlfn.LAMBDA("VEERG 2026: Table A.1.2.7")</definedName>
    <definedName name="SourceData_PastureBeef.SourceData_PastureBeef_FeedAdjustmentAndMilkProduction_Source" localSheetId="14">_xlfn.LAMBDA("VEERG 2026: Table A.1.2.7")</definedName>
    <definedName name="SourceData_PastureBeef.SourceData_PastureBeef_FeedAdjustmentAndMilkProduction_Source" localSheetId="33">_xlfn.LAMBDA("VEERG 2026: Table A.1.2.7")</definedName>
    <definedName name="SourceData_PastureBeef.SourceData_PastureBeef_FeedAdjustmentAndMilkProduction_Source" localSheetId="32">_xlfn.LAMBDA("VEERG 2026: Table A.1.2.7")</definedName>
    <definedName name="SourceData_PastureBeef.SourceData_PastureBeef_FeedAdjustmentAndMilkProduction_Source" localSheetId="28">_xlfn.LAMBDA("VEERG 2026: Table A.1.2.7")</definedName>
    <definedName name="SourceData_PastureBeef.SourceData_PastureBeef_FeedAdjustmentAndMilkProduction_Source" localSheetId="26">_xlfn.LAMBDA("VEERG 2026: Table A.1.2.7")</definedName>
    <definedName name="SourceData_PastureBeef.SourceData_PastureBeef_FeedAdjustmentAndMilkProduction_Source" localSheetId="4">_xlfn.LAMBDA("VEERG 2026: Table A.1.2.7")</definedName>
    <definedName name="SourceData_PastureBeef.SourceData_PastureBeef_FeedAdjustmentAndMilkProduction_Source" localSheetId="3">_xlfn.LAMBDA("VEERG 2026: Table A.1.2.7")</definedName>
    <definedName name="SourceData_PastureBeef.SourceData_PastureBeef_FeedAdjustmentAndMilkProduction_Source">_xlfn.LAMBDA("VEERG 2026: Table A.1.2.7")</definedName>
    <definedName name="SourceData_PastureBeef.SourceData_PastureBeef_FeedAdjustmentAndMilkProduction_Title" localSheetId="10">_xlfn.LAMBDA("Beef pasture cattle - Feed intake adjustment and milk production (kg/head/day)")</definedName>
    <definedName name="SourceData_PastureBeef.SourceData_PastureBeef_FeedAdjustmentAndMilkProduction_Title" localSheetId="11">_xlfn.LAMBDA("Beef pasture cattle - Feed intake adjustment and milk production (kg/head/day)")</definedName>
    <definedName name="SourceData_PastureBeef.SourceData_PastureBeef_FeedAdjustmentAndMilkProduction_Title" localSheetId="12">_xlfn.LAMBDA("Beef pasture cattle - Feed intake adjustment and milk production (kg/head/day)")</definedName>
    <definedName name="SourceData_PastureBeef.SourceData_PastureBeef_FeedAdjustmentAndMilkProduction_Title" localSheetId="13">_xlfn.LAMBDA("Beef pasture cattle - Feed intake adjustment and milk production (kg/head/day)")</definedName>
    <definedName name="SourceData_PastureBeef.SourceData_PastureBeef_FeedAdjustmentAndMilkProduction_Title" localSheetId="14">_xlfn.LAMBDA("Beef pasture cattle - Feed intake adjustment and milk production (kg/head/day)")</definedName>
    <definedName name="SourceData_PastureBeef.SourceData_PastureBeef_FeedAdjustmentAndMilkProduction_Title" localSheetId="33">_xlfn.LAMBDA("Beef pasture cattle - Feed intake adjustment and milk production (kg/head/day)")</definedName>
    <definedName name="SourceData_PastureBeef.SourceData_PastureBeef_FeedAdjustmentAndMilkProduction_Title" localSheetId="32">_xlfn.LAMBDA("Beef pasture cattle - Feed intake adjustment and milk production (kg/head/day)")</definedName>
    <definedName name="SourceData_PastureBeef.SourceData_PastureBeef_FeedAdjustmentAndMilkProduction_Title" localSheetId="28">_xlfn.LAMBDA("Beef pasture cattle - Feed intake adjustment and milk production (kg/head/day)")</definedName>
    <definedName name="SourceData_PastureBeef.SourceData_PastureBeef_FeedAdjustmentAndMilkProduction_Title" localSheetId="26">_xlfn.LAMBDA("Beef pasture cattle - Feed intake adjustment and milk production (kg/head/day)")</definedName>
    <definedName name="SourceData_PastureBeef.SourceData_PastureBeef_FeedAdjustmentAndMilkProduction_Title" localSheetId="4">_xlfn.LAMBDA("Beef pasture cattle - Feed intake adjustment and milk production (kg/head/day)")</definedName>
    <definedName name="SourceData_PastureBeef.SourceData_PastureBeef_FeedAdjustmentAndMilkProduction_Title" localSheetId="3">_xlfn.LAMBDA("Beef pasture cattle - Feed intake adjustment and milk production (kg/head/day)")</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 localSheetId="10">_xlfn.LAMBDA("")</definedName>
    <definedName name="SourceData_PastureBeef.SourceData_PastureBeef_FeedAdjustmentAndMilkProduction_Unit" localSheetId="11">_xlfn.LAMBDA("")</definedName>
    <definedName name="SourceData_PastureBeef.SourceData_PastureBeef_FeedAdjustmentAndMilkProduction_Unit" localSheetId="12">_xlfn.LAMBDA("")</definedName>
    <definedName name="SourceData_PastureBeef.SourceData_PastureBeef_FeedAdjustmentAndMilkProduction_Unit" localSheetId="13">_xlfn.LAMBDA("")</definedName>
    <definedName name="SourceData_PastureBeef.SourceData_PastureBeef_FeedAdjustmentAndMilkProduction_Unit" localSheetId="14">_xlfn.LAMBDA("")</definedName>
    <definedName name="SourceData_PastureBeef.SourceData_PastureBeef_FeedAdjustmentAndMilkProduction_Unit" localSheetId="33">_xlfn.LAMBDA("")</definedName>
    <definedName name="SourceData_PastureBeef.SourceData_PastureBeef_FeedAdjustmentAndMilkProduction_Unit" localSheetId="32">_xlfn.LAMBDA("")</definedName>
    <definedName name="SourceData_PastureBeef.SourceData_PastureBeef_FeedAdjustmentAndMilkProduction_Unit" localSheetId="28">_xlfn.LAMBDA("")</definedName>
    <definedName name="SourceData_PastureBeef.SourceData_PastureBeef_FeedAdjustmentAndMilkProduction_Unit" localSheetId="26">_xlfn.LAMBDA("")</definedName>
    <definedName name="SourceData_PastureBeef.SourceData_PastureBeef_FeedAdjustmentAndMilkProduction_Unit" localSheetId="4">_xlfn.LAMBDA("")</definedName>
    <definedName name="SourceData_PastureBeef.SourceData_PastureBeef_FeedAdjustmentAndMilkProduction_Unit" localSheetId="3">_xlfn.LAMBDA("")</definedName>
    <definedName name="SourceData_PastureBeef.SourceData_PastureBeef_FeedAdjustmentAndMilkProduction_Unit">_xlfn.LAMBDA("")</definedName>
    <definedName name="SourceData_PastureBeef.SourceData_PastureBeef_FeedAdjustmentAndMilkProduction_Variable" localSheetId="10">_xlfn.LAMBDA("MCjk=1,3,6; DMPjk=5")</definedName>
    <definedName name="SourceData_PastureBeef.SourceData_PastureBeef_FeedAdjustmentAndMilkProduction_Variable" localSheetId="11">_xlfn.LAMBDA("MCjk=1,3,6; DMPjk=5")</definedName>
    <definedName name="SourceData_PastureBeef.SourceData_PastureBeef_FeedAdjustmentAndMilkProduction_Variable" localSheetId="12">_xlfn.LAMBDA("MCjk=1,3,6; DMPjk=5")</definedName>
    <definedName name="SourceData_PastureBeef.SourceData_PastureBeef_FeedAdjustmentAndMilkProduction_Variable" localSheetId="13">_xlfn.LAMBDA("MCjk=1,3,6; DMPjk=5")</definedName>
    <definedName name="SourceData_PastureBeef.SourceData_PastureBeef_FeedAdjustmentAndMilkProduction_Variable" localSheetId="14">_xlfn.LAMBDA("MCjk=1,3,6; DMPjk=5")</definedName>
    <definedName name="SourceData_PastureBeef.SourceData_PastureBeef_FeedAdjustmentAndMilkProduction_Variable" localSheetId="33">_xlfn.LAMBDA("MCjk=1,3,6; DMPjk=5")</definedName>
    <definedName name="SourceData_PastureBeef.SourceData_PastureBeef_FeedAdjustmentAndMilkProduction_Variable" localSheetId="32">_xlfn.LAMBDA("MCjk=1,3,6; DMPjk=5")</definedName>
    <definedName name="SourceData_PastureBeef.SourceData_PastureBeef_FeedAdjustmentAndMilkProduction_Variable" localSheetId="28">_xlfn.LAMBDA("MCjk=1,3,6; DMPjk=5")</definedName>
    <definedName name="SourceData_PastureBeef.SourceData_PastureBeef_FeedAdjustmentAndMilkProduction_Variable" localSheetId="26">_xlfn.LAMBDA("MCjk=1,3,6; DMPjk=5")</definedName>
    <definedName name="SourceData_PastureBeef.SourceData_PastureBeef_FeedAdjustmentAndMilkProduction_Variable" localSheetId="4">_xlfn.LAMBDA("MCjk=1,3,6; DMPjk=5")</definedName>
    <definedName name="SourceData_PastureBeef.SourceData_PastureBeef_FeedAdjustmentAndMilkProduction_Variable" localSheetId="3">_xlfn.LAMBDA("MCjk=1,3,6; DMPjk=5")</definedName>
    <definedName name="SourceData_PastureBeef.SourceData_PastureBeef_FeedAdjustmentAndMilkProduction_Variable">_xlfn.LAMBDA("MCjk=1,3,6; DMPjk=5")</definedName>
    <definedName name="SourceData_PastureBeef.SourceData_PastureBeef_FeedAdjustmentAndMilkProduction_Variation" localSheetId="10">_xlfn.LAMBDA("")</definedName>
    <definedName name="SourceData_PastureBeef.SourceData_PastureBeef_FeedAdjustmentAndMilkProduction_Variation" localSheetId="11">_xlfn.LAMBDA("")</definedName>
    <definedName name="SourceData_PastureBeef.SourceData_PastureBeef_FeedAdjustmentAndMilkProduction_Variation" localSheetId="12">_xlfn.LAMBDA("")</definedName>
    <definedName name="SourceData_PastureBeef.SourceData_PastureBeef_FeedAdjustmentAndMilkProduction_Variation" localSheetId="13">_xlfn.LAMBDA("")</definedName>
    <definedName name="SourceData_PastureBeef.SourceData_PastureBeef_FeedAdjustmentAndMilkProduction_Variation" localSheetId="14">_xlfn.LAMBDA("")</definedName>
    <definedName name="SourceData_PastureBeef.SourceData_PastureBeef_FeedAdjustmentAndMilkProduction_Variation" localSheetId="33">_xlfn.LAMBDA("")</definedName>
    <definedName name="SourceData_PastureBeef.SourceData_PastureBeef_FeedAdjustmentAndMilkProduction_Variation" localSheetId="32">_xlfn.LAMBDA("")</definedName>
    <definedName name="SourceData_PastureBeef.SourceData_PastureBeef_FeedAdjustmentAndMilkProduction_Variation" localSheetId="28">_xlfn.LAMBDA("")</definedName>
    <definedName name="SourceData_PastureBeef.SourceData_PastureBeef_FeedAdjustmentAndMilkProduction_Variation" localSheetId="26">_xlfn.LAMBDA("")</definedName>
    <definedName name="SourceData_PastureBeef.SourceData_PastureBeef_FeedAdjustmentAndMilkProduction_Variation" localSheetId="4">_xlfn.LAMBDA("")</definedName>
    <definedName name="SourceData_PastureBeef.SourceData_PastureBeef_FeedAdjustmentAndMilkProduction_Variation" localSheetId="3">_xlfn.LAMBDA("")</definedName>
    <definedName name="SourceData_PastureBeef.SourceData_PastureBeef_FeedAdjustmentAndMilkProduction_Variation">_xlfn.LAMBDA("")</definedName>
    <definedName name="SourceData_PastureBeef.SourceData_PastureBeef_FracGASMSoil_Data" localSheetId="10">_xlfn.LAMBDA(0.21)</definedName>
    <definedName name="SourceData_PastureBeef.SourceData_PastureBeef_FracGASMSoil_Data" localSheetId="11">_xlfn.LAMBDA(0.21)</definedName>
    <definedName name="SourceData_PastureBeef.SourceData_PastureBeef_FracGASMSoil_Data" localSheetId="12">_xlfn.LAMBDA(0.21)</definedName>
    <definedName name="SourceData_PastureBeef.SourceData_PastureBeef_FracGASMSoil_Data" localSheetId="13">_xlfn.LAMBDA(0.21)</definedName>
    <definedName name="SourceData_PastureBeef.SourceData_PastureBeef_FracGASMSoil_Data" localSheetId="14">_xlfn.LAMBDA(0.21)</definedName>
    <definedName name="SourceData_PastureBeef.SourceData_PastureBeef_FracGASMSoil_Data" localSheetId="33">_xlfn.LAMBDA(0.21)</definedName>
    <definedName name="SourceData_PastureBeef.SourceData_PastureBeef_FracGASMSoil_Data" localSheetId="32">_xlfn.LAMBDA(0.21)</definedName>
    <definedName name="SourceData_PastureBeef.SourceData_PastureBeef_FracGASMSoil_Data" localSheetId="28">_xlfn.LAMBDA(0.21)</definedName>
    <definedName name="SourceData_PastureBeef.SourceData_PastureBeef_FracGASMSoil_Data" localSheetId="26">_xlfn.LAMBDA(0.21)</definedName>
    <definedName name="SourceData_PastureBeef.SourceData_PastureBeef_FracGASMSoil_Data" localSheetId="4">_xlfn.LAMBDA(0.21)</definedName>
    <definedName name="SourceData_PastureBeef.SourceData_PastureBeef_FracGASMSoil_Data" localSheetId="3">_xlfn.LAMBDA(0.21)</definedName>
    <definedName name="SourceData_PastureBeef.SourceData_PastureBeef_FracGASMSoil_Data">_xlfn.LAMBDA(0.21)</definedName>
    <definedName name="SourceData_PastureBeef.SourceData_PastureBeef_FracGASMSoil_Source" localSheetId="10">_xlfn.LAMBDA("VEERG 2026: 4.2.2.3 CONSTANTS")</definedName>
    <definedName name="SourceData_PastureBeef.SourceData_PastureBeef_FracGASMSoil_Source" localSheetId="11">_xlfn.LAMBDA("VEERG 2026: 4.2.2.3 CONSTANTS")</definedName>
    <definedName name="SourceData_PastureBeef.SourceData_PastureBeef_FracGASMSoil_Source" localSheetId="12">_xlfn.LAMBDA("VEERG 2026: 4.2.2.3 CONSTANTS")</definedName>
    <definedName name="SourceData_PastureBeef.SourceData_PastureBeef_FracGASMSoil_Source" localSheetId="13">_xlfn.LAMBDA("VEERG 2026: 4.2.2.3 CONSTANTS")</definedName>
    <definedName name="SourceData_PastureBeef.SourceData_PastureBeef_FracGASMSoil_Source" localSheetId="14">_xlfn.LAMBDA("VEERG 2026: 4.2.2.3 CONSTANTS")</definedName>
    <definedName name="SourceData_PastureBeef.SourceData_PastureBeef_FracGASMSoil_Source" localSheetId="33">_xlfn.LAMBDA("VEERG 2026: 4.2.2.3 CONSTANTS")</definedName>
    <definedName name="SourceData_PastureBeef.SourceData_PastureBeef_FracGASMSoil_Source" localSheetId="32">_xlfn.LAMBDA("VEERG 2026: 4.2.2.3 CONSTANTS")</definedName>
    <definedName name="SourceData_PastureBeef.SourceData_PastureBeef_FracGASMSoil_Source" localSheetId="28">_xlfn.LAMBDA("VEERG 2026: 4.2.2.3 CONSTANTS")</definedName>
    <definedName name="SourceData_PastureBeef.SourceData_PastureBeef_FracGASMSoil_Source" localSheetId="26">_xlfn.LAMBDA("VEERG 2026: 4.2.2.3 CONSTANTS")</definedName>
    <definedName name="SourceData_PastureBeef.SourceData_PastureBeef_FracGASMSoil_Source" localSheetId="4">_xlfn.LAMBDA("VEERG 2026: 4.2.2.3 CONSTANTS")</definedName>
    <definedName name="SourceData_PastureBeef.SourceData_PastureBeef_FracGASMSoil_Source" localSheetId="3">_xlfn.LAMBDA("VEERG 2026: 4.2.2.3 CONSTANTS")</definedName>
    <definedName name="SourceData_PastureBeef.SourceData_PastureBeef_FracGASMSoil_Source">_xlfn.LAMBDA("VEERG 2026: 4.2.2.3 CONSTANTS")</definedName>
    <definedName name="SourceData_PastureBeef.SourceData_PastureBeef_FracGASMSoil_Title" localSheetId="10">_xlfn.LAMBDA("Fraction of nitrogen volatilised from urine and faeces deposited on pasture")</definedName>
    <definedName name="SourceData_PastureBeef.SourceData_PastureBeef_FracGASMSoil_Title" localSheetId="11">_xlfn.LAMBDA("Fraction of nitrogen volatilised from urine and faeces deposited on pasture")</definedName>
    <definedName name="SourceData_PastureBeef.SourceData_PastureBeef_FracGASMSoil_Title" localSheetId="12">_xlfn.LAMBDA("Fraction of nitrogen volatilised from urine and faeces deposited on pasture")</definedName>
    <definedName name="SourceData_PastureBeef.SourceData_PastureBeef_FracGASMSoil_Title" localSheetId="13">_xlfn.LAMBDA("Fraction of nitrogen volatilised from urine and faeces deposited on pasture")</definedName>
    <definedName name="SourceData_PastureBeef.SourceData_PastureBeef_FracGASMSoil_Title" localSheetId="14">_xlfn.LAMBDA("Fraction of nitrogen volatilised from urine and faeces deposited on pasture")</definedName>
    <definedName name="SourceData_PastureBeef.SourceData_PastureBeef_FracGASMSoil_Title" localSheetId="33">_xlfn.LAMBDA("Fraction of nitrogen volatilised from urine and faeces deposited on pasture")</definedName>
    <definedName name="SourceData_PastureBeef.SourceData_PastureBeef_FracGASMSoil_Title" localSheetId="32">_xlfn.LAMBDA("Fraction of nitrogen volatilised from urine and faeces deposited on pasture")</definedName>
    <definedName name="SourceData_PastureBeef.SourceData_PastureBeef_FracGASMSoil_Title" localSheetId="28">_xlfn.LAMBDA("Fraction of nitrogen volatilised from urine and faeces deposited on pasture")</definedName>
    <definedName name="SourceData_PastureBeef.SourceData_PastureBeef_FracGASMSoil_Title" localSheetId="26">_xlfn.LAMBDA("Fraction of nitrogen volatilised from urine and faeces deposited on pasture")</definedName>
    <definedName name="SourceData_PastureBeef.SourceData_PastureBeef_FracGASMSoil_Title" localSheetId="4">_xlfn.LAMBDA("Fraction of nitrogen volatilised from urine and faeces deposited on pasture")</definedName>
    <definedName name="SourceData_PastureBeef.SourceData_PastureBeef_FracGASMSoil_Title" localSheetId="3">_xlfn.LAMBDA("Fraction of nitrogen volatilised from urine and faeces deposited on pasture")</definedName>
    <definedName name="SourceData_PastureBeef.SourceData_PastureBeef_FracGASMSoil_Title">_xlfn.LAMBDA("Fraction of nitrogen volatilised from urine and faeces deposited on pasture")</definedName>
    <definedName name="SourceData_PastureBeef.SourceData_PastureBeef_FracGASMSoil_Unit" localSheetId="10">_xlfn.LAMBDA("fraction")</definedName>
    <definedName name="SourceData_PastureBeef.SourceData_PastureBeef_FracGASMSoil_Unit" localSheetId="11">_xlfn.LAMBDA("fraction")</definedName>
    <definedName name="SourceData_PastureBeef.SourceData_PastureBeef_FracGASMSoil_Unit" localSheetId="12">_xlfn.LAMBDA("fraction")</definedName>
    <definedName name="SourceData_PastureBeef.SourceData_PastureBeef_FracGASMSoil_Unit" localSheetId="13">_xlfn.LAMBDA("fraction")</definedName>
    <definedName name="SourceData_PastureBeef.SourceData_PastureBeef_FracGASMSoil_Unit" localSheetId="14">_xlfn.LAMBDA("fraction")</definedName>
    <definedName name="SourceData_PastureBeef.SourceData_PastureBeef_FracGASMSoil_Unit" localSheetId="33">_xlfn.LAMBDA("fraction")</definedName>
    <definedName name="SourceData_PastureBeef.SourceData_PastureBeef_FracGASMSoil_Unit" localSheetId="32">_xlfn.LAMBDA("fraction")</definedName>
    <definedName name="SourceData_PastureBeef.SourceData_PastureBeef_FracGASMSoil_Unit" localSheetId="28">_xlfn.LAMBDA("fraction")</definedName>
    <definedName name="SourceData_PastureBeef.SourceData_PastureBeef_FracGASMSoil_Unit" localSheetId="26">_xlfn.LAMBDA("fraction")</definedName>
    <definedName name="SourceData_PastureBeef.SourceData_PastureBeef_FracGASMSoil_Unit" localSheetId="4">_xlfn.LAMBDA("fraction")</definedName>
    <definedName name="SourceData_PastureBeef.SourceData_PastureBeef_FracGASMSoil_Unit" localSheetId="3">_xlfn.LAMBDA("fraction")</definedName>
    <definedName name="SourceData_PastureBeef.SourceData_PastureBeef_FracGASMSoil_Unit">_xlfn.LAMBDA("fraction")</definedName>
    <definedName name="SourceData_PastureBeef.SourceData_PastureBeef_FracGASMSoil_Variable" localSheetId="10">_xlfn.LAMBDA("FracGASMSoil")</definedName>
    <definedName name="SourceData_PastureBeef.SourceData_PastureBeef_FracGASMSoil_Variable" localSheetId="11">_xlfn.LAMBDA("FracGASMSoil")</definedName>
    <definedName name="SourceData_PastureBeef.SourceData_PastureBeef_FracGASMSoil_Variable" localSheetId="12">_xlfn.LAMBDA("FracGASMSoil")</definedName>
    <definedName name="SourceData_PastureBeef.SourceData_PastureBeef_FracGASMSoil_Variable" localSheetId="13">_xlfn.LAMBDA("FracGASMSoil")</definedName>
    <definedName name="SourceData_PastureBeef.SourceData_PastureBeef_FracGASMSoil_Variable" localSheetId="14">_xlfn.LAMBDA("FracGASMSoil")</definedName>
    <definedName name="SourceData_PastureBeef.SourceData_PastureBeef_FracGASMSoil_Variable" localSheetId="33">_xlfn.LAMBDA("FracGASMSoil")</definedName>
    <definedName name="SourceData_PastureBeef.SourceData_PastureBeef_FracGASMSoil_Variable" localSheetId="32">_xlfn.LAMBDA("FracGASMSoil")</definedName>
    <definedName name="SourceData_PastureBeef.SourceData_PastureBeef_FracGASMSoil_Variable" localSheetId="28">_xlfn.LAMBDA("FracGASMSoil")</definedName>
    <definedName name="SourceData_PastureBeef.SourceData_PastureBeef_FracGASMSoil_Variable" localSheetId="26">_xlfn.LAMBDA("FracGASMSoil")</definedName>
    <definedName name="SourceData_PastureBeef.SourceData_PastureBeef_FracGASMSoil_Variable" localSheetId="4">_xlfn.LAMBDA("FracGASMSoil")</definedName>
    <definedName name="SourceData_PastureBeef.SourceData_PastureBeef_FracGASMSoil_Variable" localSheetId="3">_xlfn.LAMBDA("FracGASMSoil")</definedName>
    <definedName name="SourceData_PastureBeef.SourceData_PastureBeef_FracGASMSoil_Variable">_xlfn.LAMBDA("FracGASMSoil")</definedName>
    <definedName name="SourceData_PastureBeef.SourceData_PastureBeef_FracGASMSoil_Variation" localSheetId="10">_xlfn.LAMBDA("")</definedName>
    <definedName name="SourceData_PastureBeef.SourceData_PastureBeef_FracGASMSoil_Variation" localSheetId="11">_xlfn.LAMBDA("")</definedName>
    <definedName name="SourceData_PastureBeef.SourceData_PastureBeef_FracGASMSoil_Variation" localSheetId="12">_xlfn.LAMBDA("")</definedName>
    <definedName name="SourceData_PastureBeef.SourceData_PastureBeef_FracGASMSoil_Variation" localSheetId="13">_xlfn.LAMBDA("")</definedName>
    <definedName name="SourceData_PastureBeef.SourceData_PastureBeef_FracGASMSoil_Variation" localSheetId="14">_xlfn.LAMBDA("")</definedName>
    <definedName name="SourceData_PastureBeef.SourceData_PastureBeef_FracGASMSoil_Variation" localSheetId="33">_xlfn.LAMBDA("")</definedName>
    <definedName name="SourceData_PastureBeef.SourceData_PastureBeef_FracGASMSoil_Variation" localSheetId="32">_xlfn.LAMBDA("")</definedName>
    <definedName name="SourceData_PastureBeef.SourceData_PastureBeef_FracGASMSoil_Variation" localSheetId="28">_xlfn.LAMBDA("")</definedName>
    <definedName name="SourceData_PastureBeef.SourceData_PastureBeef_FracGASMSoil_Variation" localSheetId="26">_xlfn.LAMBDA("")</definedName>
    <definedName name="SourceData_PastureBeef.SourceData_PastureBeef_FracGASMSoil_Variation" localSheetId="4">_xlfn.LAMBDA("")</definedName>
    <definedName name="SourceData_PastureBeef.SourceData_PastureBeef_FracGASMSoil_Variation" localSheetId="3">_xlfn.LAMBDA("")</definedName>
    <definedName name="SourceData_PastureBeef.SourceData_PastureBeef_FracGASMSoil_Variation">_xlfn.LAMBDA("")</definedName>
    <definedName name="SourceData_PastureBeef.SourceData_PastureBeef_FracLEACH_Data" localSheetId="10">_xlfn.LAMBDA(0.24)</definedName>
    <definedName name="SourceData_PastureBeef.SourceData_PastureBeef_FracLEACH_Data" localSheetId="11">_xlfn.LAMBDA(0.24)</definedName>
    <definedName name="SourceData_PastureBeef.SourceData_PastureBeef_FracLEACH_Data" localSheetId="12">_xlfn.LAMBDA(0.24)</definedName>
    <definedName name="SourceData_PastureBeef.SourceData_PastureBeef_FracLEACH_Data" localSheetId="13">_xlfn.LAMBDA(0.24)</definedName>
    <definedName name="SourceData_PastureBeef.SourceData_PastureBeef_FracLEACH_Data" localSheetId="14">_xlfn.LAMBDA(0.24)</definedName>
    <definedName name="SourceData_PastureBeef.SourceData_PastureBeef_FracLEACH_Data" localSheetId="33">_xlfn.LAMBDA(0.24)</definedName>
    <definedName name="SourceData_PastureBeef.SourceData_PastureBeef_FracLEACH_Data" localSheetId="32">_xlfn.LAMBDA(0.24)</definedName>
    <definedName name="SourceData_PastureBeef.SourceData_PastureBeef_FracLEACH_Data" localSheetId="28">_xlfn.LAMBDA(0.24)</definedName>
    <definedName name="SourceData_PastureBeef.SourceData_PastureBeef_FracLEACH_Data" localSheetId="26">_xlfn.LAMBDA(0.24)</definedName>
    <definedName name="SourceData_PastureBeef.SourceData_PastureBeef_FracLEACH_Data" localSheetId="4">_xlfn.LAMBDA(0.24)</definedName>
    <definedName name="SourceData_PastureBeef.SourceData_PastureBeef_FracLEACH_Data" localSheetId="3">_xlfn.LAMBDA(0.24)</definedName>
    <definedName name="SourceData_PastureBeef.SourceData_PastureBeef_FracLEACH_Data">_xlfn.LAMBDA(0.24)</definedName>
    <definedName name="SourceData_PastureBeef.SourceData_PastureBeef_FracLEACH_Source" localSheetId="10">_xlfn.LAMBDA("VEERG 2026: 4.2.2.3 CONSTANTS")</definedName>
    <definedName name="SourceData_PastureBeef.SourceData_PastureBeef_FracLEACH_Source" localSheetId="11">_xlfn.LAMBDA("VEERG 2026: 4.2.2.3 CONSTANTS")</definedName>
    <definedName name="SourceData_PastureBeef.SourceData_PastureBeef_FracLEACH_Source" localSheetId="12">_xlfn.LAMBDA("VEERG 2026: 4.2.2.3 CONSTANTS")</definedName>
    <definedName name="SourceData_PastureBeef.SourceData_PastureBeef_FracLEACH_Source" localSheetId="13">_xlfn.LAMBDA("VEERG 2026: 4.2.2.3 CONSTANTS")</definedName>
    <definedName name="SourceData_PastureBeef.SourceData_PastureBeef_FracLEACH_Source" localSheetId="14">_xlfn.LAMBDA("VEERG 2026: 4.2.2.3 CONSTANTS")</definedName>
    <definedName name="SourceData_PastureBeef.SourceData_PastureBeef_FracLEACH_Source" localSheetId="33">_xlfn.LAMBDA("VEERG 2026: 4.2.2.3 CONSTANTS")</definedName>
    <definedName name="SourceData_PastureBeef.SourceData_PastureBeef_FracLEACH_Source" localSheetId="32">_xlfn.LAMBDA("VEERG 2026: 4.2.2.3 CONSTANTS")</definedName>
    <definedName name="SourceData_PastureBeef.SourceData_PastureBeef_FracLEACH_Source" localSheetId="28">_xlfn.LAMBDA("VEERG 2026: 4.2.2.3 CONSTANTS")</definedName>
    <definedName name="SourceData_PastureBeef.SourceData_PastureBeef_FracLEACH_Source" localSheetId="26">_xlfn.LAMBDA("VEERG 2026: 4.2.2.3 CONSTANTS")</definedName>
    <definedName name="SourceData_PastureBeef.SourceData_PastureBeef_FracLEACH_Source" localSheetId="4">_xlfn.LAMBDA("VEERG 2026: 4.2.2.3 CONSTANTS")</definedName>
    <definedName name="SourceData_PastureBeef.SourceData_PastureBeef_FracLEACH_Source" localSheetId="3">_xlfn.LAMBDA("VEERG 2026: 4.2.2.3 CONSTANTS")</definedName>
    <definedName name="SourceData_PastureBeef.SourceData_PastureBeef_FracLEACH_Source">_xlfn.LAMBDA("VEERG 2026: 4.2.2.3 CONSTANTS")</definedName>
    <definedName name="SourceData_PastureBeef.SourceData_PastureBeef_FracLEACH_Title" localSheetId="10">_xlfn.LAMBDA("Default fraction of N that is lost through leaching and runoff")</definedName>
    <definedName name="SourceData_PastureBeef.SourceData_PastureBeef_FracLEACH_Title" localSheetId="11">_xlfn.LAMBDA("Default fraction of N that is lost through leaching and runoff")</definedName>
    <definedName name="SourceData_PastureBeef.SourceData_PastureBeef_FracLEACH_Title" localSheetId="12">_xlfn.LAMBDA("Default fraction of N that is lost through leaching and runoff")</definedName>
    <definedName name="SourceData_PastureBeef.SourceData_PastureBeef_FracLEACH_Title" localSheetId="13">_xlfn.LAMBDA("Default fraction of N that is lost through leaching and runoff")</definedName>
    <definedName name="SourceData_PastureBeef.SourceData_PastureBeef_FracLEACH_Title" localSheetId="14">_xlfn.LAMBDA("Default fraction of N that is lost through leaching and runoff")</definedName>
    <definedName name="SourceData_PastureBeef.SourceData_PastureBeef_FracLEACH_Title" localSheetId="33">_xlfn.LAMBDA("Default fraction of N that is lost through leaching and runoff")</definedName>
    <definedName name="SourceData_PastureBeef.SourceData_PastureBeef_FracLEACH_Title" localSheetId="32">_xlfn.LAMBDA("Default fraction of N that is lost through leaching and runoff")</definedName>
    <definedName name="SourceData_PastureBeef.SourceData_PastureBeef_FracLEACH_Title" localSheetId="28">_xlfn.LAMBDA("Default fraction of N that is lost through leaching and runoff")</definedName>
    <definedName name="SourceData_PastureBeef.SourceData_PastureBeef_FracLEACH_Title" localSheetId="26">_xlfn.LAMBDA("Default fraction of N that is lost through leaching and runoff")</definedName>
    <definedName name="SourceData_PastureBeef.SourceData_PastureBeef_FracLEACH_Title" localSheetId="4">_xlfn.LAMBDA("Default fraction of N that is lost through leaching and runoff")</definedName>
    <definedName name="SourceData_PastureBeef.SourceData_PastureBeef_FracLEACH_Title" localSheetId="3">_xlfn.LAMBDA("Default fraction of N that is lost through leaching and runoff")</definedName>
    <definedName name="SourceData_PastureBeef.SourceData_PastureBeef_FracLEACH_Title">_xlfn.LAMBDA("Default fraction of N that is lost through leaching and runoff")</definedName>
    <definedName name="SourceData_PastureBeef.SourceData_PastureBeef_FracLEACH_Unit" localSheetId="10">_xlfn.LAMBDA("fraction")</definedName>
    <definedName name="SourceData_PastureBeef.SourceData_PastureBeef_FracLEACH_Unit" localSheetId="11">_xlfn.LAMBDA("fraction")</definedName>
    <definedName name="SourceData_PastureBeef.SourceData_PastureBeef_FracLEACH_Unit" localSheetId="12">_xlfn.LAMBDA("fraction")</definedName>
    <definedName name="SourceData_PastureBeef.SourceData_PastureBeef_FracLEACH_Unit" localSheetId="13">_xlfn.LAMBDA("fraction")</definedName>
    <definedName name="SourceData_PastureBeef.SourceData_PastureBeef_FracLEACH_Unit" localSheetId="14">_xlfn.LAMBDA("fraction")</definedName>
    <definedName name="SourceData_PastureBeef.SourceData_PastureBeef_FracLEACH_Unit" localSheetId="33">_xlfn.LAMBDA("fraction")</definedName>
    <definedName name="SourceData_PastureBeef.SourceData_PastureBeef_FracLEACH_Unit" localSheetId="32">_xlfn.LAMBDA("fraction")</definedName>
    <definedName name="SourceData_PastureBeef.SourceData_PastureBeef_FracLEACH_Unit" localSheetId="28">_xlfn.LAMBDA("fraction")</definedName>
    <definedName name="SourceData_PastureBeef.SourceData_PastureBeef_FracLEACH_Unit" localSheetId="26">_xlfn.LAMBDA("fraction")</definedName>
    <definedName name="SourceData_PastureBeef.SourceData_PastureBeef_FracLEACH_Unit" localSheetId="4">_xlfn.LAMBDA("fraction")</definedName>
    <definedName name="SourceData_PastureBeef.SourceData_PastureBeef_FracLEACH_Unit" localSheetId="3">_xlfn.LAMBDA("fraction")</definedName>
    <definedName name="SourceData_PastureBeef.SourceData_PastureBeef_FracLEACH_Unit">_xlfn.LAMBDA("fraction")</definedName>
    <definedName name="SourceData_PastureBeef.SourceData_PastureBeef_FracLEACH_Variable" localSheetId="10">_xlfn.LAMBDA("FracLEACH")</definedName>
    <definedName name="SourceData_PastureBeef.SourceData_PastureBeef_FracLEACH_Variable" localSheetId="11">_xlfn.LAMBDA("FracLEACH")</definedName>
    <definedName name="SourceData_PastureBeef.SourceData_PastureBeef_FracLEACH_Variable" localSheetId="12">_xlfn.LAMBDA("FracLEACH")</definedName>
    <definedName name="SourceData_PastureBeef.SourceData_PastureBeef_FracLEACH_Variable" localSheetId="13">_xlfn.LAMBDA("FracLEACH")</definedName>
    <definedName name="SourceData_PastureBeef.SourceData_PastureBeef_FracLEACH_Variable" localSheetId="14">_xlfn.LAMBDA("FracLEACH")</definedName>
    <definedName name="SourceData_PastureBeef.SourceData_PastureBeef_FracLEACH_Variable" localSheetId="33">_xlfn.LAMBDA("FracLEACH")</definedName>
    <definedName name="SourceData_PastureBeef.SourceData_PastureBeef_FracLEACH_Variable" localSheetId="32">_xlfn.LAMBDA("FracLEACH")</definedName>
    <definedName name="SourceData_PastureBeef.SourceData_PastureBeef_FracLEACH_Variable" localSheetId="28">_xlfn.LAMBDA("FracLEACH")</definedName>
    <definedName name="SourceData_PastureBeef.SourceData_PastureBeef_FracLEACH_Variable" localSheetId="26">_xlfn.LAMBDA("FracLEACH")</definedName>
    <definedName name="SourceData_PastureBeef.SourceData_PastureBeef_FracLEACH_Variable" localSheetId="4">_xlfn.LAMBDA("FracLEACH")</definedName>
    <definedName name="SourceData_PastureBeef.SourceData_PastureBeef_FracLEACH_Variable" localSheetId="3">_xlfn.LAMBDA("FracLEACH")</definedName>
    <definedName name="SourceData_PastureBeef.SourceData_PastureBeef_FracLEACH_Variable">_xlfn.LAMBDA("FracLEACH")</definedName>
    <definedName name="SourceData_PastureBeef.SourceData_PastureBeef_FracLEACH_Variation" localSheetId="10">_xlfn.LAMBDA("")</definedName>
    <definedName name="SourceData_PastureBeef.SourceData_PastureBeef_FracLEACH_Variation" localSheetId="11">_xlfn.LAMBDA("")</definedName>
    <definedName name="SourceData_PastureBeef.SourceData_PastureBeef_FracLEACH_Variation" localSheetId="12">_xlfn.LAMBDA("")</definedName>
    <definedName name="SourceData_PastureBeef.SourceData_PastureBeef_FracLEACH_Variation" localSheetId="13">_xlfn.LAMBDA("")</definedName>
    <definedName name="SourceData_PastureBeef.SourceData_PastureBeef_FracLEACH_Variation" localSheetId="14">_xlfn.LAMBDA("")</definedName>
    <definedName name="SourceData_PastureBeef.SourceData_PastureBeef_FracLEACH_Variation" localSheetId="33">_xlfn.LAMBDA("")</definedName>
    <definedName name="SourceData_PastureBeef.SourceData_PastureBeef_FracLEACH_Variation" localSheetId="32">_xlfn.LAMBDA("")</definedName>
    <definedName name="SourceData_PastureBeef.SourceData_PastureBeef_FracLEACH_Variation" localSheetId="28">_xlfn.LAMBDA("")</definedName>
    <definedName name="SourceData_PastureBeef.SourceData_PastureBeef_FracLEACH_Variation" localSheetId="26">_xlfn.LAMBDA("")</definedName>
    <definedName name="SourceData_PastureBeef.SourceData_PastureBeef_FracLEACH_Variation" localSheetId="4">_xlfn.LAMBDA("")</definedName>
    <definedName name="SourceData_PastureBeef.SourceData_PastureBeef_FracLEACH_Variation" localSheetId="3">_xlfn.LAMBDA("")</definedName>
    <definedName name="SourceData_PastureBeef.SourceData_PastureBeef_FracLEACH_Variation">_xlfn.LAMBDA("")</definedName>
    <definedName name="SourceData_PastureBeef.SourceData_PastureBeef_FractionOfManureToMMS_Data" localSheetId="10">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1">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2">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14">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2">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8">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26">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4">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 localSheetId="3">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 localSheetId="10">_xlfn.LAMBDA("VEERG 2026: Table A.1.2.9")</definedName>
    <definedName name="SourceData_PastureBeef.SourceData_PastureBeef_FractionOfManureToMMS_Source" localSheetId="11">_xlfn.LAMBDA("VEERG 2026: Table A.1.2.9")</definedName>
    <definedName name="SourceData_PastureBeef.SourceData_PastureBeef_FractionOfManureToMMS_Source" localSheetId="12">_xlfn.LAMBDA("VEERG 2026: Table A.1.2.9")</definedName>
    <definedName name="SourceData_PastureBeef.SourceData_PastureBeef_FractionOfManureToMMS_Source" localSheetId="13">_xlfn.LAMBDA("VEERG 2026: Table A.1.2.9")</definedName>
    <definedName name="SourceData_PastureBeef.SourceData_PastureBeef_FractionOfManureToMMS_Source" localSheetId="14">_xlfn.LAMBDA("VEERG 2026: Table A.1.2.9")</definedName>
    <definedName name="SourceData_PastureBeef.SourceData_PastureBeef_FractionOfManureToMMS_Source" localSheetId="33">_xlfn.LAMBDA("VEERG 2026: Table A.1.2.9")</definedName>
    <definedName name="SourceData_PastureBeef.SourceData_PastureBeef_FractionOfManureToMMS_Source" localSheetId="32">_xlfn.LAMBDA("VEERG 2026: Table A.1.2.9")</definedName>
    <definedName name="SourceData_PastureBeef.SourceData_PastureBeef_FractionOfManureToMMS_Source" localSheetId="28">_xlfn.LAMBDA("VEERG 2026: Table A.1.2.9")</definedName>
    <definedName name="SourceData_PastureBeef.SourceData_PastureBeef_FractionOfManureToMMS_Source" localSheetId="26">_xlfn.LAMBDA("VEERG 2026: Table A.1.2.9")</definedName>
    <definedName name="SourceData_PastureBeef.SourceData_PastureBeef_FractionOfManureToMMS_Source" localSheetId="4">_xlfn.LAMBDA("VEERG 2026: Table A.1.2.9")</definedName>
    <definedName name="SourceData_PastureBeef.SourceData_PastureBeef_FractionOfManureToMMS_Source" localSheetId="3">_xlfn.LAMBDA("VEERG 2026: Table A.1.2.9")</definedName>
    <definedName name="SourceData_PastureBeef.SourceData_PastureBeef_FractionOfManureToMMS_Source">_xlfn.LAMBDA("VEERG 2026: Table A.1.2.9")</definedName>
    <definedName name="SourceData_PastureBeef.SourceData_PastureBeef_FractionOfManureToMMS_Title" localSheetId="10">_xlfn.LAMBDA("Beef pasture cattle - Fraction of manure to each manure management system (fraction) (MMSm)")</definedName>
    <definedName name="SourceData_PastureBeef.SourceData_PastureBeef_FractionOfManureToMMS_Title" localSheetId="11">_xlfn.LAMBDA("Beef pasture cattle - Fraction of manure to each manure management system (fraction) (MMSm)")</definedName>
    <definedName name="SourceData_PastureBeef.SourceData_PastureBeef_FractionOfManureToMMS_Title" localSheetId="12">_xlfn.LAMBDA("Beef pasture cattle - Fraction of manure to each manure management system (fraction) (MMSm)")</definedName>
    <definedName name="SourceData_PastureBeef.SourceData_PastureBeef_FractionOfManureToMMS_Title" localSheetId="13">_xlfn.LAMBDA("Beef pasture cattle - Fraction of manure to each manure management system (fraction) (MMSm)")</definedName>
    <definedName name="SourceData_PastureBeef.SourceData_PastureBeef_FractionOfManureToMMS_Title" localSheetId="14">_xlfn.LAMBDA("Beef pasture cattle - Fraction of manure to each manure management system (fraction) (MMSm)")</definedName>
    <definedName name="SourceData_PastureBeef.SourceData_PastureBeef_FractionOfManureToMMS_Title" localSheetId="33">_xlfn.LAMBDA("Beef pasture cattle - Fraction of manure to each manure management system (fraction) (MMSm)")</definedName>
    <definedName name="SourceData_PastureBeef.SourceData_PastureBeef_FractionOfManureToMMS_Title" localSheetId="32">_xlfn.LAMBDA("Beef pasture cattle - Fraction of manure to each manure management system (fraction) (MMSm)")</definedName>
    <definedName name="SourceData_PastureBeef.SourceData_PastureBeef_FractionOfManureToMMS_Title" localSheetId="28">_xlfn.LAMBDA("Beef pasture cattle - Fraction of manure to each manure management system (fraction) (MMSm)")</definedName>
    <definedName name="SourceData_PastureBeef.SourceData_PastureBeef_FractionOfManureToMMS_Title" localSheetId="26">_xlfn.LAMBDA("Beef pasture cattle - Fraction of manure to each manure management system (fraction) (MMSm)")</definedName>
    <definedName name="SourceData_PastureBeef.SourceData_PastureBeef_FractionOfManureToMMS_Title" localSheetId="4">_xlfn.LAMBDA("Beef pasture cattle - Fraction of manure to each manure management system (fraction) (MMSm)")</definedName>
    <definedName name="SourceData_PastureBeef.SourceData_PastureBeef_FractionOfManureToMMS_Title" localSheetId="3">_xlfn.LAMBDA("Beef pasture cattle - Fraction of manure to each manure management system (fraction) (MMSm)")</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 localSheetId="10">_xlfn.LAMBDA("fraction")</definedName>
    <definedName name="SourceData_PastureBeef.SourceData_PastureBeef_FractionOfManureToMMS_Unit" localSheetId="11">_xlfn.LAMBDA("fraction")</definedName>
    <definedName name="SourceData_PastureBeef.SourceData_PastureBeef_FractionOfManureToMMS_Unit" localSheetId="12">_xlfn.LAMBDA("fraction")</definedName>
    <definedName name="SourceData_PastureBeef.SourceData_PastureBeef_FractionOfManureToMMS_Unit" localSheetId="13">_xlfn.LAMBDA("fraction")</definedName>
    <definedName name="SourceData_PastureBeef.SourceData_PastureBeef_FractionOfManureToMMS_Unit" localSheetId="14">_xlfn.LAMBDA("fraction")</definedName>
    <definedName name="SourceData_PastureBeef.SourceData_PastureBeef_FractionOfManureToMMS_Unit" localSheetId="33">_xlfn.LAMBDA("fraction")</definedName>
    <definedName name="SourceData_PastureBeef.SourceData_PastureBeef_FractionOfManureToMMS_Unit" localSheetId="32">_xlfn.LAMBDA("fraction")</definedName>
    <definedName name="SourceData_PastureBeef.SourceData_PastureBeef_FractionOfManureToMMS_Unit" localSheetId="28">_xlfn.LAMBDA("fraction")</definedName>
    <definedName name="SourceData_PastureBeef.SourceData_PastureBeef_FractionOfManureToMMS_Unit" localSheetId="26">_xlfn.LAMBDA("fraction")</definedName>
    <definedName name="SourceData_PastureBeef.SourceData_PastureBeef_FractionOfManureToMMS_Unit" localSheetId="4">_xlfn.LAMBDA("fraction")</definedName>
    <definedName name="SourceData_PastureBeef.SourceData_PastureBeef_FractionOfManureToMMS_Unit" localSheetId="3">_xlfn.LAMBDA("fraction")</definedName>
    <definedName name="SourceData_PastureBeef.SourceData_PastureBeef_FractionOfManureToMMS_Unit">_xlfn.LAMBDA("fraction")</definedName>
    <definedName name="SourceData_PastureBeef.SourceData_PastureBeef_FractionOfManureToMMS_Variable" localSheetId="10">_xlfn.LAMBDA("MMSm")</definedName>
    <definedName name="SourceData_PastureBeef.SourceData_PastureBeef_FractionOfManureToMMS_Variable" localSheetId="11">_xlfn.LAMBDA("MMSm")</definedName>
    <definedName name="SourceData_PastureBeef.SourceData_PastureBeef_FractionOfManureToMMS_Variable" localSheetId="12">_xlfn.LAMBDA("MMSm")</definedName>
    <definedName name="SourceData_PastureBeef.SourceData_PastureBeef_FractionOfManureToMMS_Variable" localSheetId="13">_xlfn.LAMBDA("MMSm")</definedName>
    <definedName name="SourceData_PastureBeef.SourceData_PastureBeef_FractionOfManureToMMS_Variable" localSheetId="14">_xlfn.LAMBDA("MMSm")</definedName>
    <definedName name="SourceData_PastureBeef.SourceData_PastureBeef_FractionOfManureToMMS_Variable" localSheetId="33">_xlfn.LAMBDA("MMSm")</definedName>
    <definedName name="SourceData_PastureBeef.SourceData_PastureBeef_FractionOfManureToMMS_Variable" localSheetId="32">_xlfn.LAMBDA("MMSm")</definedName>
    <definedName name="SourceData_PastureBeef.SourceData_PastureBeef_FractionOfManureToMMS_Variable" localSheetId="28">_xlfn.LAMBDA("MMSm")</definedName>
    <definedName name="SourceData_PastureBeef.SourceData_PastureBeef_FractionOfManureToMMS_Variable" localSheetId="26">_xlfn.LAMBDA("MMSm")</definedName>
    <definedName name="SourceData_PastureBeef.SourceData_PastureBeef_FractionOfManureToMMS_Variable" localSheetId="4">_xlfn.LAMBDA("MMSm")</definedName>
    <definedName name="SourceData_PastureBeef.SourceData_PastureBeef_FractionOfManureToMMS_Variable" localSheetId="3">_xlfn.LAMBDA("MMSm")</definedName>
    <definedName name="SourceData_PastureBeef.SourceData_PastureBeef_FractionOfManureToMMS_Variable">_xlfn.LAMBDA("MMSm")</definedName>
    <definedName name="SourceData_PastureBeef.SourceData_PastureBeef_FractionOfManureToMMS_Variation" localSheetId="10">_xlfn.LAMBDA("VARIATION ON SOURCE: Removed comma from 'Pasture range and paddock' to aid lookup")</definedName>
    <definedName name="SourceData_PastureBeef.SourceData_PastureBeef_FractionOfManureToMMS_Variation" localSheetId="11">_xlfn.LAMBDA("VARIATION ON SOURCE: Removed comma from 'Pasture range and paddock' to aid lookup")</definedName>
    <definedName name="SourceData_PastureBeef.SourceData_PastureBeef_FractionOfManureToMMS_Variation" localSheetId="12">_xlfn.LAMBDA("VARIATION ON SOURCE: Removed comma from 'Pasture range and paddock' to aid lookup")</definedName>
    <definedName name="SourceData_PastureBeef.SourceData_PastureBeef_FractionOfManureToMMS_Variation" localSheetId="13">_xlfn.LAMBDA("VARIATION ON SOURCE: Removed comma from 'Pasture range and paddock' to aid lookup")</definedName>
    <definedName name="SourceData_PastureBeef.SourceData_PastureBeef_FractionOfManureToMMS_Variation" localSheetId="14">_xlfn.LAMBDA("VARIATION ON SOURCE: Removed comma from 'Pasture range and paddock' to aid lookup")</definedName>
    <definedName name="SourceData_PastureBeef.SourceData_PastureBeef_FractionOfManureToMMS_Variation" localSheetId="33">_xlfn.LAMBDA("VARIATION ON SOURCE: Removed comma from 'Pasture range and paddock' to aid lookup")</definedName>
    <definedName name="SourceData_PastureBeef.SourceData_PastureBeef_FractionOfManureToMMS_Variation" localSheetId="32">_xlfn.LAMBDA("VARIATION ON SOURCE: Removed comma from 'Pasture range and paddock' to aid lookup")</definedName>
    <definedName name="SourceData_PastureBeef.SourceData_PastureBeef_FractionOfManureToMMS_Variation" localSheetId="28">_xlfn.LAMBDA("VARIATION ON SOURCE: Removed comma from 'Pasture range and paddock' to aid lookup")</definedName>
    <definedName name="SourceData_PastureBeef.SourceData_PastureBeef_FractionOfManureToMMS_Variation" localSheetId="26">_xlfn.LAMBDA("VARIATION ON SOURCE: Removed comma from 'Pasture range and paddock' to aid lookup")</definedName>
    <definedName name="SourceData_PastureBeef.SourceData_PastureBeef_FractionOfManureToMMS_Variation" localSheetId="4">_xlfn.LAMBDA("VARIATION ON SOURCE: Removed comma from 'Pasture range and paddock' to aid lookup")</definedName>
    <definedName name="SourceData_PastureBeef.SourceData_PastureBeef_FractionOfManureToMMS_Variation" localSheetId="3">_xlfn.LAMBDA("VARIATION ON SOURCE: Removed comma from 'Pasture range and paddock' to aid lookup")</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 localSheetId="10">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1">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2">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14">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2">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8">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26">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4">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 localSheetId="3">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 localSheetId="10">_xlfn.LAMBDA("VEERG 2026: Table A.1.2.1")</definedName>
    <definedName name="SourceData_PastureBeef.SourceData_PastureBeef_Liveweight_Source" localSheetId="11">_xlfn.LAMBDA("VEERG 2026: Table A.1.2.1")</definedName>
    <definedName name="SourceData_PastureBeef.SourceData_PastureBeef_Liveweight_Source" localSheetId="12">_xlfn.LAMBDA("VEERG 2026: Table A.1.2.1")</definedName>
    <definedName name="SourceData_PastureBeef.SourceData_PastureBeef_Liveweight_Source" localSheetId="13">_xlfn.LAMBDA("VEERG 2026: Table A.1.2.1")</definedName>
    <definedName name="SourceData_PastureBeef.SourceData_PastureBeef_Liveweight_Source" localSheetId="14">_xlfn.LAMBDA("VEERG 2026: Table A.1.2.1")</definedName>
    <definedName name="SourceData_PastureBeef.SourceData_PastureBeef_Liveweight_Source" localSheetId="33">_xlfn.LAMBDA("VEERG 2026: Table A.1.2.1")</definedName>
    <definedName name="SourceData_PastureBeef.SourceData_PastureBeef_Liveweight_Source" localSheetId="32">_xlfn.LAMBDA("VEERG 2026: Table A.1.2.1")</definedName>
    <definedName name="SourceData_PastureBeef.SourceData_PastureBeef_Liveweight_Source" localSheetId="28">_xlfn.LAMBDA("VEERG 2026: Table A.1.2.1")</definedName>
    <definedName name="SourceData_PastureBeef.SourceData_PastureBeef_Liveweight_Source" localSheetId="26">_xlfn.LAMBDA("VEERG 2026: Table A.1.2.1")</definedName>
    <definedName name="SourceData_PastureBeef.SourceData_PastureBeef_Liveweight_Source" localSheetId="4">_xlfn.LAMBDA("VEERG 2026: Table A.1.2.1")</definedName>
    <definedName name="SourceData_PastureBeef.SourceData_PastureBeef_Liveweight_Source" localSheetId="3">_xlfn.LAMBDA("VEERG 2026: Table A.1.2.1")</definedName>
    <definedName name="SourceData_PastureBeef.SourceData_PastureBeef_Liveweight_Source">_xlfn.LAMBDA("VEERG 2026: Table A.1.2.1")</definedName>
    <definedName name="SourceData_PastureBeef.SourceData_PastureBeef_Liveweight_Title" localSheetId="10">_xlfn.LAMBDA("Beef pasture cattle - Liveweight (kg) (Wjkl)")</definedName>
    <definedName name="SourceData_PastureBeef.SourceData_PastureBeef_Liveweight_Title" localSheetId="11">_xlfn.LAMBDA("Beef pasture cattle - Liveweight (kg) (Wjkl)")</definedName>
    <definedName name="SourceData_PastureBeef.SourceData_PastureBeef_Liveweight_Title" localSheetId="12">_xlfn.LAMBDA("Beef pasture cattle - Liveweight (kg) (Wjkl)")</definedName>
    <definedName name="SourceData_PastureBeef.SourceData_PastureBeef_Liveweight_Title" localSheetId="13">_xlfn.LAMBDA("Beef pasture cattle - Liveweight (kg) (Wjkl)")</definedName>
    <definedName name="SourceData_PastureBeef.SourceData_PastureBeef_Liveweight_Title" localSheetId="14">_xlfn.LAMBDA("Beef pasture cattle - Liveweight (kg) (Wjkl)")</definedName>
    <definedName name="SourceData_PastureBeef.SourceData_PastureBeef_Liveweight_Title" localSheetId="33">_xlfn.LAMBDA("Beef pasture cattle - Liveweight (kg) (Wjkl)")</definedName>
    <definedName name="SourceData_PastureBeef.SourceData_PastureBeef_Liveweight_Title" localSheetId="32">_xlfn.LAMBDA("Beef pasture cattle - Liveweight (kg) (Wjkl)")</definedName>
    <definedName name="SourceData_PastureBeef.SourceData_PastureBeef_Liveweight_Title" localSheetId="28">_xlfn.LAMBDA("Beef pasture cattle - Liveweight (kg) (Wjkl)")</definedName>
    <definedName name="SourceData_PastureBeef.SourceData_PastureBeef_Liveweight_Title" localSheetId="26">_xlfn.LAMBDA("Beef pasture cattle - Liveweight (kg) (Wjkl)")</definedName>
    <definedName name="SourceData_PastureBeef.SourceData_PastureBeef_Liveweight_Title" localSheetId="4">_xlfn.LAMBDA("Beef pasture cattle - Liveweight (kg) (Wjkl)")</definedName>
    <definedName name="SourceData_PastureBeef.SourceData_PastureBeef_Liveweight_Title" localSheetId="3">_xlfn.LAMBDA("Beef pasture cattle - Liveweight (kg) (Wjkl)")</definedName>
    <definedName name="SourceData_PastureBeef.SourceData_PastureBeef_Liveweight_Title">_xlfn.LAMBDA("Beef pasture cattle - Liveweight (kg) (Wjkl)")</definedName>
    <definedName name="SourceData_PastureBeef.SourceData_PastureBeef_Liveweight_Unit" localSheetId="10">_xlfn.LAMBDA("kg")</definedName>
    <definedName name="SourceData_PastureBeef.SourceData_PastureBeef_Liveweight_Unit" localSheetId="11">_xlfn.LAMBDA("kg")</definedName>
    <definedName name="SourceData_PastureBeef.SourceData_PastureBeef_Liveweight_Unit" localSheetId="12">_xlfn.LAMBDA("kg")</definedName>
    <definedName name="SourceData_PastureBeef.SourceData_PastureBeef_Liveweight_Unit" localSheetId="13">_xlfn.LAMBDA("kg")</definedName>
    <definedName name="SourceData_PastureBeef.SourceData_PastureBeef_Liveweight_Unit" localSheetId="14">_xlfn.LAMBDA("kg")</definedName>
    <definedName name="SourceData_PastureBeef.SourceData_PastureBeef_Liveweight_Unit" localSheetId="33">_xlfn.LAMBDA("kg")</definedName>
    <definedName name="SourceData_PastureBeef.SourceData_PastureBeef_Liveweight_Unit" localSheetId="32">_xlfn.LAMBDA("kg")</definedName>
    <definedName name="SourceData_PastureBeef.SourceData_PastureBeef_Liveweight_Unit" localSheetId="28">_xlfn.LAMBDA("kg")</definedName>
    <definedName name="SourceData_PastureBeef.SourceData_PastureBeef_Liveweight_Unit" localSheetId="26">_xlfn.LAMBDA("kg")</definedName>
    <definedName name="SourceData_PastureBeef.SourceData_PastureBeef_Liveweight_Unit" localSheetId="4">_xlfn.LAMBDA("kg")</definedName>
    <definedName name="SourceData_PastureBeef.SourceData_PastureBeef_Liveweight_Unit" localSheetId="3">_xlfn.LAMBDA("kg")</definedName>
    <definedName name="SourceData_PastureBeef.SourceData_PastureBeef_Liveweight_Unit">_xlfn.LAMBDA("kg")</definedName>
    <definedName name="SourceData_PastureBeef.SourceData_PastureBeef_Liveweight_Variable" localSheetId="10">_xlfn.LAMBDA("Wjkl")</definedName>
    <definedName name="SourceData_PastureBeef.SourceData_PastureBeef_Liveweight_Variable" localSheetId="11">_xlfn.LAMBDA("Wjkl")</definedName>
    <definedName name="SourceData_PastureBeef.SourceData_PastureBeef_Liveweight_Variable" localSheetId="12">_xlfn.LAMBDA("Wjkl")</definedName>
    <definedName name="SourceData_PastureBeef.SourceData_PastureBeef_Liveweight_Variable" localSheetId="13">_xlfn.LAMBDA("Wjkl")</definedName>
    <definedName name="SourceData_PastureBeef.SourceData_PastureBeef_Liveweight_Variable" localSheetId="14">_xlfn.LAMBDA("Wjkl")</definedName>
    <definedName name="SourceData_PastureBeef.SourceData_PastureBeef_Liveweight_Variable" localSheetId="33">_xlfn.LAMBDA("Wjkl")</definedName>
    <definedName name="SourceData_PastureBeef.SourceData_PastureBeef_Liveweight_Variable" localSheetId="32">_xlfn.LAMBDA("Wjkl")</definedName>
    <definedName name="SourceData_PastureBeef.SourceData_PastureBeef_Liveweight_Variable" localSheetId="28">_xlfn.LAMBDA("Wjkl")</definedName>
    <definedName name="SourceData_PastureBeef.SourceData_PastureBeef_Liveweight_Variable" localSheetId="26">_xlfn.LAMBDA("Wjkl")</definedName>
    <definedName name="SourceData_PastureBeef.SourceData_PastureBeef_Liveweight_Variable" localSheetId="4">_xlfn.LAMBDA("Wjkl")</definedName>
    <definedName name="SourceData_PastureBeef.SourceData_PastureBeef_Liveweight_Variable" localSheetId="3">_xlfn.LAMBDA("Wjkl")</definedName>
    <definedName name="SourceData_PastureBeef.SourceData_PastureBeef_Liveweight_Variable">_xlfn.LAMBDA("Wjkl")</definedName>
    <definedName name="SourceData_PastureBeef.SourceData_PastureBeef_Liveweight_Variation" localSheetId="10">_xlfn.LAMBDA("")</definedName>
    <definedName name="SourceData_PastureBeef.SourceData_PastureBeef_Liveweight_Variation" localSheetId="11">_xlfn.LAMBDA("")</definedName>
    <definedName name="SourceData_PastureBeef.SourceData_PastureBeef_Liveweight_Variation" localSheetId="12">_xlfn.LAMBDA("")</definedName>
    <definedName name="SourceData_PastureBeef.SourceData_PastureBeef_Liveweight_Variation" localSheetId="13">_xlfn.LAMBDA("")</definedName>
    <definedName name="SourceData_PastureBeef.SourceData_PastureBeef_Liveweight_Variation" localSheetId="14">_xlfn.LAMBDA("")</definedName>
    <definedName name="SourceData_PastureBeef.SourceData_PastureBeef_Liveweight_Variation" localSheetId="33">_xlfn.LAMBDA("")</definedName>
    <definedName name="SourceData_PastureBeef.SourceData_PastureBeef_Liveweight_Variation" localSheetId="32">_xlfn.LAMBDA("")</definedName>
    <definedName name="SourceData_PastureBeef.SourceData_PastureBeef_Liveweight_Variation" localSheetId="28">_xlfn.LAMBDA("")</definedName>
    <definedName name="SourceData_PastureBeef.SourceData_PastureBeef_Liveweight_Variation" localSheetId="26">_xlfn.LAMBDA("")</definedName>
    <definedName name="SourceData_PastureBeef.SourceData_PastureBeef_Liveweight_Variation" localSheetId="4">_xlfn.LAMBDA("")</definedName>
    <definedName name="SourceData_PastureBeef.SourceData_PastureBeef_Liveweight_Variation" localSheetId="3">_xlfn.LAMBDA("")</definedName>
    <definedName name="SourceData_PastureBeef.SourceData_PastureBeef_Liveweight_Variation">_xlfn.LAMBDA("")</definedName>
    <definedName name="SourceData_PastureBeef.SourceData_PastureBeef_LiveweightGain_Data" localSheetId="10">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1">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2">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14">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2">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8">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26">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4">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 localSheetId="3">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 localSheetId="10">_xlfn.LAMBDA("VEERG 2026: Table A.1.2.3")</definedName>
    <definedName name="SourceData_PastureBeef.SourceData_PastureBeef_LiveweightGain_Source" localSheetId="11">_xlfn.LAMBDA("VEERG 2026: Table A.1.2.3")</definedName>
    <definedName name="SourceData_PastureBeef.SourceData_PastureBeef_LiveweightGain_Source" localSheetId="12">_xlfn.LAMBDA("VEERG 2026: Table A.1.2.3")</definedName>
    <definedName name="SourceData_PastureBeef.SourceData_PastureBeef_LiveweightGain_Source" localSheetId="13">_xlfn.LAMBDA("VEERG 2026: Table A.1.2.3")</definedName>
    <definedName name="SourceData_PastureBeef.SourceData_PastureBeef_LiveweightGain_Source" localSheetId="14">_xlfn.LAMBDA("VEERG 2026: Table A.1.2.3")</definedName>
    <definedName name="SourceData_PastureBeef.SourceData_PastureBeef_LiveweightGain_Source" localSheetId="33">_xlfn.LAMBDA("VEERG 2026: Table A.1.2.3")</definedName>
    <definedName name="SourceData_PastureBeef.SourceData_PastureBeef_LiveweightGain_Source" localSheetId="32">_xlfn.LAMBDA("VEERG 2026: Table A.1.2.3")</definedName>
    <definedName name="SourceData_PastureBeef.SourceData_PastureBeef_LiveweightGain_Source" localSheetId="28">_xlfn.LAMBDA("VEERG 2026: Table A.1.2.3")</definedName>
    <definedName name="SourceData_PastureBeef.SourceData_PastureBeef_LiveweightGain_Source" localSheetId="26">_xlfn.LAMBDA("VEERG 2026: Table A.1.2.3")</definedName>
    <definedName name="SourceData_PastureBeef.SourceData_PastureBeef_LiveweightGain_Source" localSheetId="4">_xlfn.LAMBDA("VEERG 2026: Table A.1.2.3")</definedName>
    <definedName name="SourceData_PastureBeef.SourceData_PastureBeef_LiveweightGain_Source" localSheetId="3">_xlfn.LAMBDA("VEERG 2026: Table A.1.2.3")</definedName>
    <definedName name="SourceData_PastureBeef.SourceData_PastureBeef_LiveweightGain_Source">_xlfn.LAMBDA("VEERG 2026: Table A.1.2.3")</definedName>
    <definedName name="SourceData_PastureBeef.SourceData_PastureBeef_LiveweightGain_Title" localSheetId="10">_xlfn.LAMBDA("Beef pasture cattle - Liveweight gain (kg) (LWGjkl)")</definedName>
    <definedName name="SourceData_PastureBeef.SourceData_PastureBeef_LiveweightGain_Title" localSheetId="11">_xlfn.LAMBDA("Beef pasture cattle - Liveweight gain (kg) (LWGjkl)")</definedName>
    <definedName name="SourceData_PastureBeef.SourceData_PastureBeef_LiveweightGain_Title" localSheetId="12">_xlfn.LAMBDA("Beef pasture cattle - Liveweight gain (kg) (LWGjkl)")</definedName>
    <definedName name="SourceData_PastureBeef.SourceData_PastureBeef_LiveweightGain_Title" localSheetId="13">_xlfn.LAMBDA("Beef pasture cattle - Liveweight gain (kg) (LWGjkl)")</definedName>
    <definedName name="SourceData_PastureBeef.SourceData_PastureBeef_LiveweightGain_Title" localSheetId="14">_xlfn.LAMBDA("Beef pasture cattle - Liveweight gain (kg) (LWGjkl)")</definedName>
    <definedName name="SourceData_PastureBeef.SourceData_PastureBeef_LiveweightGain_Title" localSheetId="33">_xlfn.LAMBDA("Beef pasture cattle - Liveweight gain (kg) (LWGjkl)")</definedName>
    <definedName name="SourceData_PastureBeef.SourceData_PastureBeef_LiveweightGain_Title" localSheetId="32">_xlfn.LAMBDA("Beef pasture cattle - Liveweight gain (kg) (LWGjkl)")</definedName>
    <definedName name="SourceData_PastureBeef.SourceData_PastureBeef_LiveweightGain_Title" localSheetId="28">_xlfn.LAMBDA("Beef pasture cattle - Liveweight gain (kg) (LWGjkl)")</definedName>
    <definedName name="SourceData_PastureBeef.SourceData_PastureBeef_LiveweightGain_Title" localSheetId="26">_xlfn.LAMBDA("Beef pasture cattle - Liveweight gain (kg) (LWGjkl)")</definedName>
    <definedName name="SourceData_PastureBeef.SourceData_PastureBeef_LiveweightGain_Title" localSheetId="4">_xlfn.LAMBDA("Beef pasture cattle - Liveweight gain (kg) (LWGjkl)")</definedName>
    <definedName name="SourceData_PastureBeef.SourceData_PastureBeef_LiveweightGain_Title" localSheetId="3">_xlfn.LAMBDA("Beef pasture cattle - Liveweight gain (kg) (LWGjkl)")</definedName>
    <definedName name="SourceData_PastureBeef.SourceData_PastureBeef_LiveweightGain_Title">_xlfn.LAMBDA("Beef pasture cattle - Liveweight gain (kg) (LWGjkl)")</definedName>
    <definedName name="SourceData_PastureBeef.SourceData_PastureBeef_LiveweightGain_Unit" localSheetId="10">_xlfn.LAMBDA("kg")</definedName>
    <definedName name="SourceData_PastureBeef.SourceData_PastureBeef_LiveweightGain_Unit" localSheetId="11">_xlfn.LAMBDA("kg")</definedName>
    <definedName name="SourceData_PastureBeef.SourceData_PastureBeef_LiveweightGain_Unit" localSheetId="12">_xlfn.LAMBDA("kg")</definedName>
    <definedName name="SourceData_PastureBeef.SourceData_PastureBeef_LiveweightGain_Unit" localSheetId="13">_xlfn.LAMBDA("kg")</definedName>
    <definedName name="SourceData_PastureBeef.SourceData_PastureBeef_LiveweightGain_Unit" localSheetId="14">_xlfn.LAMBDA("kg")</definedName>
    <definedName name="SourceData_PastureBeef.SourceData_PastureBeef_LiveweightGain_Unit" localSheetId="33">_xlfn.LAMBDA("kg")</definedName>
    <definedName name="SourceData_PastureBeef.SourceData_PastureBeef_LiveweightGain_Unit" localSheetId="32">_xlfn.LAMBDA("kg")</definedName>
    <definedName name="SourceData_PastureBeef.SourceData_PastureBeef_LiveweightGain_Unit" localSheetId="28">_xlfn.LAMBDA("kg")</definedName>
    <definedName name="SourceData_PastureBeef.SourceData_PastureBeef_LiveweightGain_Unit" localSheetId="26">_xlfn.LAMBDA("kg")</definedName>
    <definedName name="SourceData_PastureBeef.SourceData_PastureBeef_LiveweightGain_Unit" localSheetId="4">_xlfn.LAMBDA("kg")</definedName>
    <definedName name="SourceData_PastureBeef.SourceData_PastureBeef_LiveweightGain_Unit" localSheetId="3">_xlfn.LAMBDA("kg")</definedName>
    <definedName name="SourceData_PastureBeef.SourceData_PastureBeef_LiveweightGain_Unit">_xlfn.LAMBDA("kg")</definedName>
    <definedName name="SourceData_PastureBeef.SourceData_PastureBeef_LiveweightGain_Variable" localSheetId="10">_xlfn.LAMBDA("LWGjkl")</definedName>
    <definedName name="SourceData_PastureBeef.SourceData_PastureBeef_LiveweightGain_Variable" localSheetId="11">_xlfn.LAMBDA("LWGjkl")</definedName>
    <definedName name="SourceData_PastureBeef.SourceData_PastureBeef_LiveweightGain_Variable" localSheetId="12">_xlfn.LAMBDA("LWGjkl")</definedName>
    <definedName name="SourceData_PastureBeef.SourceData_PastureBeef_LiveweightGain_Variable" localSheetId="13">_xlfn.LAMBDA("LWGjkl")</definedName>
    <definedName name="SourceData_PastureBeef.SourceData_PastureBeef_LiveweightGain_Variable" localSheetId="14">_xlfn.LAMBDA("LWGjkl")</definedName>
    <definedName name="SourceData_PastureBeef.SourceData_PastureBeef_LiveweightGain_Variable" localSheetId="33">_xlfn.LAMBDA("LWGjkl")</definedName>
    <definedName name="SourceData_PastureBeef.SourceData_PastureBeef_LiveweightGain_Variable" localSheetId="32">_xlfn.LAMBDA("LWGjkl")</definedName>
    <definedName name="SourceData_PastureBeef.SourceData_PastureBeef_LiveweightGain_Variable" localSheetId="28">_xlfn.LAMBDA("LWGjkl")</definedName>
    <definedName name="SourceData_PastureBeef.SourceData_PastureBeef_LiveweightGain_Variable" localSheetId="26">_xlfn.LAMBDA("LWGjkl")</definedName>
    <definedName name="SourceData_PastureBeef.SourceData_PastureBeef_LiveweightGain_Variable" localSheetId="4">_xlfn.LAMBDA("LWGjkl")</definedName>
    <definedName name="SourceData_PastureBeef.SourceData_PastureBeef_LiveweightGain_Variable" localSheetId="3">_xlfn.LAMBDA("LWGjkl")</definedName>
    <definedName name="SourceData_PastureBeef.SourceData_PastureBeef_LiveweightGain_Variable">_xlfn.LAMBDA("LWGjkl")</definedName>
    <definedName name="SourceData_PastureBeef.SourceData_PastureBeef_LiveweightGain_Variation" localSheetId="10">_xlfn.LAMBDA("VARIATION ON SOURCE: Replaced 'n/a' with 'South West' for first four rows of Western Australia to be consistent with table A.1.2.1")</definedName>
    <definedName name="SourceData_PastureBeef.SourceData_PastureBeef_LiveweightGain_Variation" localSheetId="11">_xlfn.LAMBDA("VARIATION ON SOURCE: Replaced 'n/a' with 'South West' for first four rows of Western Australia to be consistent with table A.1.2.1")</definedName>
    <definedName name="SourceData_PastureBeef.SourceData_PastureBeef_LiveweightGain_Variation" localSheetId="12">_xlfn.LAMBDA("VARIATION ON SOURCE: Replaced 'n/a' with 'South West' for first four rows of Western Australia to be consistent with table A.1.2.1")</definedName>
    <definedName name="SourceData_PastureBeef.SourceData_PastureBeef_LiveweightGain_Variation" localSheetId="13">_xlfn.LAMBDA("VARIATION ON SOURCE: Replaced 'n/a' with 'South West' for first four rows of Western Australia to be consistent with table A.1.2.1")</definedName>
    <definedName name="SourceData_PastureBeef.SourceData_PastureBeef_LiveweightGain_Variation" localSheetId="14">_xlfn.LAMBDA("VARIATION ON SOURCE: Replaced 'n/a' with 'South West' for first four rows of Western Australia to be consistent with table A.1.2.1")</definedName>
    <definedName name="SourceData_PastureBeef.SourceData_PastureBeef_LiveweightGain_Variation" localSheetId="33">_xlfn.LAMBDA("VARIATION ON SOURCE: Replaced 'n/a' with 'South West' for first four rows of Western Australia to be consistent with table A.1.2.1")</definedName>
    <definedName name="SourceData_PastureBeef.SourceData_PastureBeef_LiveweightGain_Variation" localSheetId="32">_xlfn.LAMBDA("VARIATION ON SOURCE: Replaced 'n/a' with 'South West' for first four rows of Western Australia to be consistent with table A.1.2.1")</definedName>
    <definedName name="SourceData_PastureBeef.SourceData_PastureBeef_LiveweightGain_Variation" localSheetId="28">_xlfn.LAMBDA("VARIATION ON SOURCE: Replaced 'n/a' with 'South West' for first four rows of Western Australia to be consistent with table A.1.2.1")</definedName>
    <definedName name="SourceData_PastureBeef.SourceData_PastureBeef_LiveweightGain_Variation" localSheetId="26">_xlfn.LAMBDA("VARIATION ON SOURCE: Replaced 'n/a' with 'South West' for first four rows of Western Australia to be consistent with table A.1.2.1")</definedName>
    <definedName name="SourceData_PastureBeef.SourceData_PastureBeef_LiveweightGain_Variation" localSheetId="4">_xlfn.LAMBDA("VARIATION ON SOURCE: Replaced 'n/a' with 'South West' for first four rows of Western Australia to be consistent with table A.1.2.1")</definedName>
    <definedName name="SourceData_PastureBeef.SourceData_PastureBeef_LiveweightGain_Variation" localSheetId="3">_xlfn.LAMBDA("VARIATION ON SOURCE: Replaced 'n/a' with 'South West' for first four rows of Western Australia to be consistent with table A.1.2.1")</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 localSheetId="10">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1">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2">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14">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2">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8">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26">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4">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 localSheetId="3">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 localSheetId="10">_xlfn.LAMBDA("VEERG 2026: Table A.1.2.4")</definedName>
    <definedName name="SourceData_PastureBeef.SourceData_PastureBeef_LiveweightGainNTQLD_Source" localSheetId="11">_xlfn.LAMBDA("VEERG 2026: Table A.1.2.4")</definedName>
    <definedName name="SourceData_PastureBeef.SourceData_PastureBeef_LiveweightGainNTQLD_Source" localSheetId="12">_xlfn.LAMBDA("VEERG 2026: Table A.1.2.4")</definedName>
    <definedName name="SourceData_PastureBeef.SourceData_PastureBeef_LiveweightGainNTQLD_Source" localSheetId="13">_xlfn.LAMBDA("VEERG 2026: Table A.1.2.4")</definedName>
    <definedName name="SourceData_PastureBeef.SourceData_PastureBeef_LiveweightGainNTQLD_Source" localSheetId="14">_xlfn.LAMBDA("VEERG 2026: Table A.1.2.4")</definedName>
    <definedName name="SourceData_PastureBeef.SourceData_PastureBeef_LiveweightGainNTQLD_Source" localSheetId="33">_xlfn.LAMBDA("VEERG 2026: Table A.1.2.4")</definedName>
    <definedName name="SourceData_PastureBeef.SourceData_PastureBeef_LiveweightGainNTQLD_Source" localSheetId="32">_xlfn.LAMBDA("VEERG 2026: Table A.1.2.4")</definedName>
    <definedName name="SourceData_PastureBeef.SourceData_PastureBeef_LiveweightGainNTQLD_Source" localSheetId="28">_xlfn.LAMBDA("VEERG 2026: Table A.1.2.4")</definedName>
    <definedName name="SourceData_PastureBeef.SourceData_PastureBeef_LiveweightGainNTQLD_Source" localSheetId="26">_xlfn.LAMBDA("VEERG 2026: Table A.1.2.4")</definedName>
    <definedName name="SourceData_PastureBeef.SourceData_PastureBeef_LiveweightGainNTQLD_Source" localSheetId="4">_xlfn.LAMBDA("VEERG 2026: Table A.1.2.4")</definedName>
    <definedName name="SourceData_PastureBeef.SourceData_PastureBeef_LiveweightGainNTQLD_Source" localSheetId="3">_xlfn.LAMBDA("VEERG 2026: Table A.1.2.4")</definedName>
    <definedName name="SourceData_PastureBeef.SourceData_PastureBeef_LiveweightGainNTQLD_Source">_xlfn.LAMBDA("VEERG 2026: Table A.1.2.4")</definedName>
    <definedName name="SourceData_PastureBeef.SourceData_PastureBeef_LiveweightGainNTQLD_Title" localSheetId="10">_xlfn.LAMBDA("Beef pasture cattle - Liveweight gain (kg) (LWGjkl) for NT and QLD")</definedName>
    <definedName name="SourceData_PastureBeef.SourceData_PastureBeef_LiveweightGainNTQLD_Title" localSheetId="11">_xlfn.LAMBDA("Beef pasture cattle - Liveweight gain (kg) (LWGjkl) for NT and QLD")</definedName>
    <definedName name="SourceData_PastureBeef.SourceData_PastureBeef_LiveweightGainNTQLD_Title" localSheetId="12">_xlfn.LAMBDA("Beef pasture cattle - Liveweight gain (kg) (LWGjkl) for NT and QLD")</definedName>
    <definedName name="SourceData_PastureBeef.SourceData_PastureBeef_LiveweightGainNTQLD_Title" localSheetId="13">_xlfn.LAMBDA("Beef pasture cattle - Liveweight gain (kg) (LWGjkl) for NT and QLD")</definedName>
    <definedName name="SourceData_PastureBeef.SourceData_PastureBeef_LiveweightGainNTQLD_Title" localSheetId="14">_xlfn.LAMBDA("Beef pasture cattle - Liveweight gain (kg) (LWGjkl) for NT and QLD")</definedName>
    <definedName name="SourceData_PastureBeef.SourceData_PastureBeef_LiveweightGainNTQLD_Title" localSheetId="33">_xlfn.LAMBDA("Beef pasture cattle - Liveweight gain (kg) (LWGjkl) for NT and QLD")</definedName>
    <definedName name="SourceData_PastureBeef.SourceData_PastureBeef_LiveweightGainNTQLD_Title" localSheetId="32">_xlfn.LAMBDA("Beef pasture cattle - Liveweight gain (kg) (LWGjkl) for NT and QLD")</definedName>
    <definedName name="SourceData_PastureBeef.SourceData_PastureBeef_LiveweightGainNTQLD_Title" localSheetId="28">_xlfn.LAMBDA("Beef pasture cattle - Liveweight gain (kg) (LWGjkl) for NT and QLD")</definedName>
    <definedName name="SourceData_PastureBeef.SourceData_PastureBeef_LiveweightGainNTQLD_Title" localSheetId="26">_xlfn.LAMBDA("Beef pasture cattle - Liveweight gain (kg) (LWGjkl) for NT and QLD")</definedName>
    <definedName name="SourceData_PastureBeef.SourceData_PastureBeef_LiveweightGainNTQLD_Title" localSheetId="4">_xlfn.LAMBDA("Beef pasture cattle - Liveweight gain (kg) (LWGjkl) for NT and QLD")</definedName>
    <definedName name="SourceData_PastureBeef.SourceData_PastureBeef_LiveweightGainNTQLD_Title" localSheetId="3">_xlfn.LAMBDA("Beef pasture cattle - Liveweight gain (kg) (LWGjkl) for NT and QLD")</definedName>
    <definedName name="SourceData_PastureBeef.SourceData_PastureBeef_LiveweightGainNTQLD_Title">_xlfn.LAMBDA("Beef pasture cattle - Liveweight gain (kg) (LWGjkl) for NT and QLD")</definedName>
    <definedName name="SourceData_PastureBeef.SourceData_PastureBeef_LiveweightGainNTQLD_Unit" localSheetId="10">_xlfn.LAMBDA("kg")</definedName>
    <definedName name="SourceData_PastureBeef.SourceData_PastureBeef_LiveweightGainNTQLD_Unit" localSheetId="11">_xlfn.LAMBDA("kg")</definedName>
    <definedName name="SourceData_PastureBeef.SourceData_PastureBeef_LiveweightGainNTQLD_Unit" localSheetId="12">_xlfn.LAMBDA("kg")</definedName>
    <definedName name="SourceData_PastureBeef.SourceData_PastureBeef_LiveweightGainNTQLD_Unit" localSheetId="13">_xlfn.LAMBDA("kg")</definedName>
    <definedName name="SourceData_PastureBeef.SourceData_PastureBeef_LiveweightGainNTQLD_Unit" localSheetId="14">_xlfn.LAMBDA("kg")</definedName>
    <definedName name="SourceData_PastureBeef.SourceData_PastureBeef_LiveweightGainNTQLD_Unit" localSheetId="33">_xlfn.LAMBDA("kg")</definedName>
    <definedName name="SourceData_PastureBeef.SourceData_PastureBeef_LiveweightGainNTQLD_Unit" localSheetId="32">_xlfn.LAMBDA("kg")</definedName>
    <definedName name="SourceData_PastureBeef.SourceData_PastureBeef_LiveweightGainNTQLD_Unit" localSheetId="28">_xlfn.LAMBDA("kg")</definedName>
    <definedName name="SourceData_PastureBeef.SourceData_PastureBeef_LiveweightGainNTQLD_Unit" localSheetId="26">_xlfn.LAMBDA("kg")</definedName>
    <definedName name="SourceData_PastureBeef.SourceData_PastureBeef_LiveweightGainNTQLD_Unit" localSheetId="4">_xlfn.LAMBDA("kg")</definedName>
    <definedName name="SourceData_PastureBeef.SourceData_PastureBeef_LiveweightGainNTQLD_Unit" localSheetId="3">_xlfn.LAMBDA("kg")</definedName>
    <definedName name="SourceData_PastureBeef.SourceData_PastureBeef_LiveweightGainNTQLD_Unit">_xlfn.LAMBDA("kg")</definedName>
    <definedName name="SourceData_PastureBeef.SourceData_PastureBeef_LiveweightGainNTQLD_Variable" localSheetId="10">_xlfn.LAMBDA("LWGjkl")</definedName>
    <definedName name="SourceData_PastureBeef.SourceData_PastureBeef_LiveweightGainNTQLD_Variable" localSheetId="11">_xlfn.LAMBDA("LWGjkl")</definedName>
    <definedName name="SourceData_PastureBeef.SourceData_PastureBeef_LiveweightGainNTQLD_Variable" localSheetId="12">_xlfn.LAMBDA("LWGjkl")</definedName>
    <definedName name="SourceData_PastureBeef.SourceData_PastureBeef_LiveweightGainNTQLD_Variable" localSheetId="13">_xlfn.LAMBDA("LWGjkl")</definedName>
    <definedName name="SourceData_PastureBeef.SourceData_PastureBeef_LiveweightGainNTQLD_Variable" localSheetId="14">_xlfn.LAMBDA("LWGjkl")</definedName>
    <definedName name="SourceData_PastureBeef.SourceData_PastureBeef_LiveweightGainNTQLD_Variable" localSheetId="33">_xlfn.LAMBDA("LWGjkl")</definedName>
    <definedName name="SourceData_PastureBeef.SourceData_PastureBeef_LiveweightGainNTQLD_Variable" localSheetId="32">_xlfn.LAMBDA("LWGjkl")</definedName>
    <definedName name="SourceData_PastureBeef.SourceData_PastureBeef_LiveweightGainNTQLD_Variable" localSheetId="28">_xlfn.LAMBDA("LWGjkl")</definedName>
    <definedName name="SourceData_PastureBeef.SourceData_PastureBeef_LiveweightGainNTQLD_Variable" localSheetId="26">_xlfn.LAMBDA("LWGjkl")</definedName>
    <definedName name="SourceData_PastureBeef.SourceData_PastureBeef_LiveweightGainNTQLD_Variable" localSheetId="4">_xlfn.LAMBDA("LWGjkl")</definedName>
    <definedName name="SourceData_PastureBeef.SourceData_PastureBeef_LiveweightGainNTQLD_Variable" localSheetId="3">_xlfn.LAMBDA("LWGjkl")</definedName>
    <definedName name="SourceData_PastureBeef.SourceData_PastureBeef_LiveweightGainNTQLD_Variable">_xlfn.LAMBDA("LWGjkl")</definedName>
    <definedName name="SourceData_PastureBeef.SourceData_PastureBeef_LiveweightGainNTQLD_Variation" localSheetId="10">_xlfn.LAMBDA("")</definedName>
    <definedName name="SourceData_PastureBeef.SourceData_PastureBeef_LiveweightGainNTQLD_Variation" localSheetId="11">_xlfn.LAMBDA("")</definedName>
    <definedName name="SourceData_PastureBeef.SourceData_PastureBeef_LiveweightGainNTQLD_Variation" localSheetId="12">_xlfn.LAMBDA("")</definedName>
    <definedName name="SourceData_PastureBeef.SourceData_PastureBeef_LiveweightGainNTQLD_Variation" localSheetId="13">_xlfn.LAMBDA("")</definedName>
    <definedName name="SourceData_PastureBeef.SourceData_PastureBeef_LiveweightGainNTQLD_Variation" localSheetId="14">_xlfn.LAMBDA("")</definedName>
    <definedName name="SourceData_PastureBeef.SourceData_PastureBeef_LiveweightGainNTQLD_Variation" localSheetId="33">_xlfn.LAMBDA("")</definedName>
    <definedName name="SourceData_PastureBeef.SourceData_PastureBeef_LiveweightGainNTQLD_Variation" localSheetId="32">_xlfn.LAMBDA("")</definedName>
    <definedName name="SourceData_PastureBeef.SourceData_PastureBeef_LiveweightGainNTQLD_Variation" localSheetId="28">_xlfn.LAMBDA("")</definedName>
    <definedName name="SourceData_PastureBeef.SourceData_PastureBeef_LiveweightGainNTQLD_Variation" localSheetId="26">_xlfn.LAMBDA("")</definedName>
    <definedName name="SourceData_PastureBeef.SourceData_PastureBeef_LiveweightGainNTQLD_Variation" localSheetId="4">_xlfn.LAMBDA("")</definedName>
    <definedName name="SourceData_PastureBeef.SourceData_PastureBeef_LiveweightGainNTQLD_Variation" localSheetId="3">_xlfn.LAMBDA("")</definedName>
    <definedName name="SourceData_PastureBeef.SourceData_PastureBeef_LiveweightGainNTQLD_Variation">_xlfn.LAMBDA("")</definedName>
    <definedName name="SourceData_PastureBeef.SourceData_PastureBeef_LiveweightNTQLD_Data" localSheetId="10">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1">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2">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14">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2">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8">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26">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4">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 localSheetId="3">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 localSheetId="10">_xlfn.LAMBDA("VEERG 2026: Table A.1.2.2")</definedName>
    <definedName name="SourceData_PastureBeef.SourceData_PastureBeef_LiveweightNTQLD_Source" localSheetId="11">_xlfn.LAMBDA("VEERG 2026: Table A.1.2.2")</definedName>
    <definedName name="SourceData_PastureBeef.SourceData_PastureBeef_LiveweightNTQLD_Source" localSheetId="12">_xlfn.LAMBDA("VEERG 2026: Table A.1.2.2")</definedName>
    <definedName name="SourceData_PastureBeef.SourceData_PastureBeef_LiveweightNTQLD_Source" localSheetId="13">_xlfn.LAMBDA("VEERG 2026: Table A.1.2.2")</definedName>
    <definedName name="SourceData_PastureBeef.SourceData_PastureBeef_LiveweightNTQLD_Source" localSheetId="14">_xlfn.LAMBDA("VEERG 2026: Table A.1.2.2")</definedName>
    <definedName name="SourceData_PastureBeef.SourceData_PastureBeef_LiveweightNTQLD_Source" localSheetId="33">_xlfn.LAMBDA("VEERG 2026: Table A.1.2.2")</definedName>
    <definedName name="SourceData_PastureBeef.SourceData_PastureBeef_LiveweightNTQLD_Source" localSheetId="32">_xlfn.LAMBDA("VEERG 2026: Table A.1.2.2")</definedName>
    <definedName name="SourceData_PastureBeef.SourceData_PastureBeef_LiveweightNTQLD_Source" localSheetId="28">_xlfn.LAMBDA("VEERG 2026: Table A.1.2.2")</definedName>
    <definedName name="SourceData_PastureBeef.SourceData_PastureBeef_LiveweightNTQLD_Source" localSheetId="26">_xlfn.LAMBDA("VEERG 2026: Table A.1.2.2")</definedName>
    <definedName name="SourceData_PastureBeef.SourceData_PastureBeef_LiveweightNTQLD_Source" localSheetId="4">_xlfn.LAMBDA("VEERG 2026: Table A.1.2.2")</definedName>
    <definedName name="SourceData_PastureBeef.SourceData_PastureBeef_LiveweightNTQLD_Source" localSheetId="3">_xlfn.LAMBDA("VEERG 2026: Table A.1.2.2")</definedName>
    <definedName name="SourceData_PastureBeef.SourceData_PastureBeef_LiveweightNTQLD_Source">_xlfn.LAMBDA("VEERG 2026: Table A.1.2.2")</definedName>
    <definedName name="SourceData_PastureBeef.SourceData_PastureBeef_LiveweightNTQLD_Title" localSheetId="10">_xlfn.LAMBDA("Beef pasture cattle - Liveweight (kg) (Wjkl) for NT and QLD")</definedName>
    <definedName name="SourceData_PastureBeef.SourceData_PastureBeef_LiveweightNTQLD_Title" localSheetId="11">_xlfn.LAMBDA("Beef pasture cattle - Liveweight (kg) (Wjkl) for NT and QLD")</definedName>
    <definedName name="SourceData_PastureBeef.SourceData_PastureBeef_LiveweightNTQLD_Title" localSheetId="12">_xlfn.LAMBDA("Beef pasture cattle - Liveweight (kg) (Wjkl) for NT and QLD")</definedName>
    <definedName name="SourceData_PastureBeef.SourceData_PastureBeef_LiveweightNTQLD_Title" localSheetId="13">_xlfn.LAMBDA("Beef pasture cattle - Liveweight (kg) (Wjkl) for NT and QLD")</definedName>
    <definedName name="SourceData_PastureBeef.SourceData_PastureBeef_LiveweightNTQLD_Title" localSheetId="14">_xlfn.LAMBDA("Beef pasture cattle - Liveweight (kg) (Wjkl) for NT and QLD")</definedName>
    <definedName name="SourceData_PastureBeef.SourceData_PastureBeef_LiveweightNTQLD_Title" localSheetId="33">_xlfn.LAMBDA("Beef pasture cattle - Liveweight (kg) (Wjkl) for NT and QLD")</definedName>
    <definedName name="SourceData_PastureBeef.SourceData_PastureBeef_LiveweightNTQLD_Title" localSheetId="32">_xlfn.LAMBDA("Beef pasture cattle - Liveweight (kg) (Wjkl) for NT and QLD")</definedName>
    <definedName name="SourceData_PastureBeef.SourceData_PastureBeef_LiveweightNTQLD_Title" localSheetId="28">_xlfn.LAMBDA("Beef pasture cattle - Liveweight (kg) (Wjkl) for NT and QLD")</definedName>
    <definedName name="SourceData_PastureBeef.SourceData_PastureBeef_LiveweightNTQLD_Title" localSheetId="26">_xlfn.LAMBDA("Beef pasture cattle - Liveweight (kg) (Wjkl) for NT and QLD")</definedName>
    <definedName name="SourceData_PastureBeef.SourceData_PastureBeef_LiveweightNTQLD_Title" localSheetId="4">_xlfn.LAMBDA("Beef pasture cattle - Liveweight (kg) (Wjkl) for NT and QLD")</definedName>
    <definedName name="SourceData_PastureBeef.SourceData_PastureBeef_LiveweightNTQLD_Title" localSheetId="3">_xlfn.LAMBDA("Beef pasture cattle - Liveweight (kg) (Wjkl) for NT and QLD")</definedName>
    <definedName name="SourceData_PastureBeef.SourceData_PastureBeef_LiveweightNTQLD_Title">_xlfn.LAMBDA("Beef pasture cattle - Liveweight (kg) (Wjkl) for NT and QLD")</definedName>
    <definedName name="SourceData_PastureBeef.SourceData_PastureBeef_LiveweightNTQLD_Unit" localSheetId="10">_xlfn.LAMBDA("kg")</definedName>
    <definedName name="SourceData_PastureBeef.SourceData_PastureBeef_LiveweightNTQLD_Unit" localSheetId="11">_xlfn.LAMBDA("kg")</definedName>
    <definedName name="SourceData_PastureBeef.SourceData_PastureBeef_LiveweightNTQLD_Unit" localSheetId="12">_xlfn.LAMBDA("kg")</definedName>
    <definedName name="SourceData_PastureBeef.SourceData_PastureBeef_LiveweightNTQLD_Unit" localSheetId="13">_xlfn.LAMBDA("kg")</definedName>
    <definedName name="SourceData_PastureBeef.SourceData_PastureBeef_LiveweightNTQLD_Unit" localSheetId="14">_xlfn.LAMBDA("kg")</definedName>
    <definedName name="SourceData_PastureBeef.SourceData_PastureBeef_LiveweightNTQLD_Unit" localSheetId="33">_xlfn.LAMBDA("kg")</definedName>
    <definedName name="SourceData_PastureBeef.SourceData_PastureBeef_LiveweightNTQLD_Unit" localSheetId="32">_xlfn.LAMBDA("kg")</definedName>
    <definedName name="SourceData_PastureBeef.SourceData_PastureBeef_LiveweightNTQLD_Unit" localSheetId="28">_xlfn.LAMBDA("kg")</definedName>
    <definedName name="SourceData_PastureBeef.SourceData_PastureBeef_LiveweightNTQLD_Unit" localSheetId="26">_xlfn.LAMBDA("kg")</definedName>
    <definedName name="SourceData_PastureBeef.SourceData_PastureBeef_LiveweightNTQLD_Unit" localSheetId="4">_xlfn.LAMBDA("kg")</definedName>
    <definedName name="SourceData_PastureBeef.SourceData_PastureBeef_LiveweightNTQLD_Unit" localSheetId="3">_xlfn.LAMBDA("kg")</definedName>
    <definedName name="SourceData_PastureBeef.SourceData_PastureBeef_LiveweightNTQLD_Unit">_xlfn.LAMBDA("kg")</definedName>
    <definedName name="SourceData_PastureBeef.SourceData_PastureBeef_LiveweightNTQLD_Variable" localSheetId="10">_xlfn.LAMBDA("Wjkl")</definedName>
    <definedName name="SourceData_PastureBeef.SourceData_PastureBeef_LiveweightNTQLD_Variable" localSheetId="11">_xlfn.LAMBDA("Wjkl")</definedName>
    <definedName name="SourceData_PastureBeef.SourceData_PastureBeef_LiveweightNTQLD_Variable" localSheetId="12">_xlfn.LAMBDA("Wjkl")</definedName>
    <definedName name="SourceData_PastureBeef.SourceData_PastureBeef_LiveweightNTQLD_Variable" localSheetId="13">_xlfn.LAMBDA("Wjkl")</definedName>
    <definedName name="SourceData_PastureBeef.SourceData_PastureBeef_LiveweightNTQLD_Variable" localSheetId="14">_xlfn.LAMBDA("Wjkl")</definedName>
    <definedName name="SourceData_PastureBeef.SourceData_PastureBeef_LiveweightNTQLD_Variable" localSheetId="33">_xlfn.LAMBDA("Wjkl")</definedName>
    <definedName name="SourceData_PastureBeef.SourceData_PastureBeef_LiveweightNTQLD_Variable" localSheetId="32">_xlfn.LAMBDA("Wjkl")</definedName>
    <definedName name="SourceData_PastureBeef.SourceData_PastureBeef_LiveweightNTQLD_Variable" localSheetId="28">_xlfn.LAMBDA("Wjkl")</definedName>
    <definedName name="SourceData_PastureBeef.SourceData_PastureBeef_LiveweightNTQLD_Variable" localSheetId="26">_xlfn.LAMBDA("Wjkl")</definedName>
    <definedName name="SourceData_PastureBeef.SourceData_PastureBeef_LiveweightNTQLD_Variable" localSheetId="4">_xlfn.LAMBDA("Wjkl")</definedName>
    <definedName name="SourceData_PastureBeef.SourceData_PastureBeef_LiveweightNTQLD_Variable" localSheetId="3">_xlfn.LAMBDA("Wjkl")</definedName>
    <definedName name="SourceData_PastureBeef.SourceData_PastureBeef_LiveweightNTQLD_Variable">_xlfn.LAMBDA("Wjkl")</definedName>
    <definedName name="SourceData_PastureBeef.SourceData_PastureBeef_LiveweightNTQLD_Variation" localSheetId="10">_xlfn.LAMBDA("")</definedName>
    <definedName name="SourceData_PastureBeef.SourceData_PastureBeef_LiveweightNTQLD_Variation" localSheetId="11">_xlfn.LAMBDA("")</definedName>
    <definedName name="SourceData_PastureBeef.SourceData_PastureBeef_LiveweightNTQLD_Variation" localSheetId="12">_xlfn.LAMBDA("")</definedName>
    <definedName name="SourceData_PastureBeef.SourceData_PastureBeef_LiveweightNTQLD_Variation" localSheetId="13">_xlfn.LAMBDA("")</definedName>
    <definedName name="SourceData_PastureBeef.SourceData_PastureBeef_LiveweightNTQLD_Variation" localSheetId="14">_xlfn.LAMBDA("")</definedName>
    <definedName name="SourceData_PastureBeef.SourceData_PastureBeef_LiveweightNTQLD_Variation" localSheetId="33">_xlfn.LAMBDA("")</definedName>
    <definedName name="SourceData_PastureBeef.SourceData_PastureBeef_LiveweightNTQLD_Variation" localSheetId="32">_xlfn.LAMBDA("")</definedName>
    <definedName name="SourceData_PastureBeef.SourceData_PastureBeef_LiveweightNTQLD_Variation" localSheetId="28">_xlfn.LAMBDA("")</definedName>
    <definedName name="SourceData_PastureBeef.SourceData_PastureBeef_LiveweightNTQLD_Variation" localSheetId="26">_xlfn.LAMBDA("")</definedName>
    <definedName name="SourceData_PastureBeef.SourceData_PastureBeef_LiveweightNTQLD_Variation" localSheetId="4">_xlfn.LAMBDA("")</definedName>
    <definedName name="SourceData_PastureBeef.SourceData_PastureBeef_LiveweightNTQLD_Variation" localSheetId="3">_xlfn.LAMBDA("")</definedName>
    <definedName name="SourceData_PastureBeef.SourceData_PastureBeef_LiveweightNTQLD_Variation">_xlfn.LAMBDA("")</definedName>
    <definedName name="SourceData_PastureBeef.SourceData_PastureBeef_MethaneConversionFactorPerRegion_Data" localSheetId="10">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1">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2">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14">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2">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8">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26">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4">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 localSheetId="3">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 localSheetId="10">_xlfn.LAMBDA("VEERG 2026: Table A.1.2.10")</definedName>
    <definedName name="SourceData_PastureBeef.SourceData_PastureBeef_MethaneConversionFactorPerRegion_Source" localSheetId="11">_xlfn.LAMBDA("VEERG 2026: Table A.1.2.10")</definedName>
    <definedName name="SourceData_PastureBeef.SourceData_PastureBeef_MethaneConversionFactorPerRegion_Source" localSheetId="12">_xlfn.LAMBDA("VEERG 2026: Table A.1.2.10")</definedName>
    <definedName name="SourceData_PastureBeef.SourceData_PastureBeef_MethaneConversionFactorPerRegion_Source" localSheetId="13">_xlfn.LAMBDA("VEERG 2026: Table A.1.2.10")</definedName>
    <definedName name="SourceData_PastureBeef.SourceData_PastureBeef_MethaneConversionFactorPerRegion_Source" localSheetId="14">_xlfn.LAMBDA("VEERG 2026: Table A.1.2.10")</definedName>
    <definedName name="SourceData_PastureBeef.SourceData_PastureBeef_MethaneConversionFactorPerRegion_Source" localSheetId="33">_xlfn.LAMBDA("VEERG 2026: Table A.1.2.10")</definedName>
    <definedName name="SourceData_PastureBeef.SourceData_PastureBeef_MethaneConversionFactorPerRegion_Source" localSheetId="32">_xlfn.LAMBDA("VEERG 2026: Table A.1.2.10")</definedName>
    <definedName name="SourceData_PastureBeef.SourceData_PastureBeef_MethaneConversionFactorPerRegion_Source" localSheetId="28">_xlfn.LAMBDA("VEERG 2026: Table A.1.2.10")</definedName>
    <definedName name="SourceData_PastureBeef.SourceData_PastureBeef_MethaneConversionFactorPerRegion_Source" localSheetId="26">_xlfn.LAMBDA("VEERG 2026: Table A.1.2.10")</definedName>
    <definedName name="SourceData_PastureBeef.SourceData_PastureBeef_MethaneConversionFactorPerRegion_Source" localSheetId="4">_xlfn.LAMBDA("VEERG 2026: Table A.1.2.10")</definedName>
    <definedName name="SourceData_PastureBeef.SourceData_PastureBeef_MethaneConversionFactorPerRegion_Source" localSheetId="3">_xlfn.LAMBDA("VEERG 2026: Table A.1.2.10")</definedName>
    <definedName name="SourceData_PastureBeef.SourceData_PastureBeef_MethaneConversionFactorPerRegion_Source">_xlfn.LAMBDA("VEERG 2026: Table A.1.2.10")</definedName>
    <definedName name="SourceData_PastureBeef.SourceData_PastureBeef_MethaneConversionFactorPerRegion_Title" localSheetId="10">_xlfn.LAMBDA("Beef pasture cattle - Methane conversion factor per region (fraction) (MCFim)")</definedName>
    <definedName name="SourceData_PastureBeef.SourceData_PastureBeef_MethaneConversionFactorPerRegion_Title" localSheetId="11">_xlfn.LAMBDA("Beef pasture cattle - Methane conversion factor per region (fraction) (MCFim)")</definedName>
    <definedName name="SourceData_PastureBeef.SourceData_PastureBeef_MethaneConversionFactorPerRegion_Title" localSheetId="12">_xlfn.LAMBDA("Beef pasture cattle - Methane conversion factor per region (fraction) (MCFim)")</definedName>
    <definedName name="SourceData_PastureBeef.SourceData_PastureBeef_MethaneConversionFactorPerRegion_Title" localSheetId="13">_xlfn.LAMBDA("Beef pasture cattle - Methane conversion factor per region (fraction) (MCFim)")</definedName>
    <definedName name="SourceData_PastureBeef.SourceData_PastureBeef_MethaneConversionFactorPerRegion_Title" localSheetId="14">_xlfn.LAMBDA("Beef pasture cattle - Methane conversion factor per region (fraction) (MCFim)")</definedName>
    <definedName name="SourceData_PastureBeef.SourceData_PastureBeef_MethaneConversionFactorPerRegion_Title" localSheetId="33">_xlfn.LAMBDA("Beef pasture cattle - Methane conversion factor per region (fraction) (MCFim)")</definedName>
    <definedName name="SourceData_PastureBeef.SourceData_PastureBeef_MethaneConversionFactorPerRegion_Title" localSheetId="32">_xlfn.LAMBDA("Beef pasture cattle - Methane conversion factor per region (fraction) (MCFim)")</definedName>
    <definedName name="SourceData_PastureBeef.SourceData_PastureBeef_MethaneConversionFactorPerRegion_Title" localSheetId="28">_xlfn.LAMBDA("Beef pasture cattle - Methane conversion factor per region (fraction) (MCFim)")</definedName>
    <definedName name="SourceData_PastureBeef.SourceData_PastureBeef_MethaneConversionFactorPerRegion_Title" localSheetId="26">_xlfn.LAMBDA("Beef pasture cattle - Methane conversion factor per region (fraction) (MCFim)")</definedName>
    <definedName name="SourceData_PastureBeef.SourceData_PastureBeef_MethaneConversionFactorPerRegion_Title" localSheetId="4">_xlfn.LAMBDA("Beef pasture cattle - Methane conversion factor per region (fraction) (MCFim)")</definedName>
    <definedName name="SourceData_PastureBeef.SourceData_PastureBeef_MethaneConversionFactorPerRegion_Title" localSheetId="3">_xlfn.LAMBDA("Beef pasture cattle - Methane conversion factor per region (fraction) (MCFim)")</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 localSheetId="10">_xlfn.LAMBDA("fraction")</definedName>
    <definedName name="SourceData_PastureBeef.SourceData_PastureBeef_MethaneConversionFactorPerRegion_Unit" localSheetId="11">_xlfn.LAMBDA("fraction")</definedName>
    <definedName name="SourceData_PastureBeef.SourceData_PastureBeef_MethaneConversionFactorPerRegion_Unit" localSheetId="12">_xlfn.LAMBDA("fraction")</definedName>
    <definedName name="SourceData_PastureBeef.SourceData_PastureBeef_MethaneConversionFactorPerRegion_Unit" localSheetId="13">_xlfn.LAMBDA("fraction")</definedName>
    <definedName name="SourceData_PastureBeef.SourceData_PastureBeef_MethaneConversionFactorPerRegion_Unit" localSheetId="14">_xlfn.LAMBDA("fraction")</definedName>
    <definedName name="SourceData_PastureBeef.SourceData_PastureBeef_MethaneConversionFactorPerRegion_Unit" localSheetId="33">_xlfn.LAMBDA("fraction")</definedName>
    <definedName name="SourceData_PastureBeef.SourceData_PastureBeef_MethaneConversionFactorPerRegion_Unit" localSheetId="32">_xlfn.LAMBDA("fraction")</definedName>
    <definedName name="SourceData_PastureBeef.SourceData_PastureBeef_MethaneConversionFactorPerRegion_Unit" localSheetId="28">_xlfn.LAMBDA("fraction")</definedName>
    <definedName name="SourceData_PastureBeef.SourceData_PastureBeef_MethaneConversionFactorPerRegion_Unit" localSheetId="26">_xlfn.LAMBDA("fraction")</definedName>
    <definedName name="SourceData_PastureBeef.SourceData_PastureBeef_MethaneConversionFactorPerRegion_Unit" localSheetId="4">_xlfn.LAMBDA("fraction")</definedName>
    <definedName name="SourceData_PastureBeef.SourceData_PastureBeef_MethaneConversionFactorPerRegion_Unit" localSheetId="3">_xlfn.LAMBDA("fraction")</definedName>
    <definedName name="SourceData_PastureBeef.SourceData_PastureBeef_MethaneConversionFactorPerRegion_Unit">_xlfn.LAMBDA("fraction")</definedName>
    <definedName name="SourceData_PastureBeef.SourceData_PastureBeef_MethaneConversionFactorPerRegion_Variable" localSheetId="10">_xlfn.LAMBDA("MCFim")</definedName>
    <definedName name="SourceData_PastureBeef.SourceData_PastureBeef_MethaneConversionFactorPerRegion_Variable" localSheetId="11">_xlfn.LAMBDA("MCFim")</definedName>
    <definedName name="SourceData_PastureBeef.SourceData_PastureBeef_MethaneConversionFactorPerRegion_Variable" localSheetId="12">_xlfn.LAMBDA("MCFim")</definedName>
    <definedName name="SourceData_PastureBeef.SourceData_PastureBeef_MethaneConversionFactorPerRegion_Variable" localSheetId="13">_xlfn.LAMBDA("MCFim")</definedName>
    <definedName name="SourceData_PastureBeef.SourceData_PastureBeef_MethaneConversionFactorPerRegion_Variable" localSheetId="14">_xlfn.LAMBDA("MCFim")</definedName>
    <definedName name="SourceData_PastureBeef.SourceData_PastureBeef_MethaneConversionFactorPerRegion_Variable" localSheetId="33">_xlfn.LAMBDA("MCFim")</definedName>
    <definedName name="SourceData_PastureBeef.SourceData_PastureBeef_MethaneConversionFactorPerRegion_Variable" localSheetId="32">_xlfn.LAMBDA("MCFim")</definedName>
    <definedName name="SourceData_PastureBeef.SourceData_PastureBeef_MethaneConversionFactorPerRegion_Variable" localSheetId="28">_xlfn.LAMBDA("MCFim")</definedName>
    <definedName name="SourceData_PastureBeef.SourceData_PastureBeef_MethaneConversionFactorPerRegion_Variable" localSheetId="26">_xlfn.LAMBDA("MCFim")</definedName>
    <definedName name="SourceData_PastureBeef.SourceData_PastureBeef_MethaneConversionFactorPerRegion_Variable" localSheetId="4">_xlfn.LAMBDA("MCFim")</definedName>
    <definedName name="SourceData_PastureBeef.SourceData_PastureBeef_MethaneConversionFactorPerRegion_Variable" localSheetId="3">_xlfn.LAMBDA("MCFim")</definedName>
    <definedName name="SourceData_PastureBeef.SourceData_PastureBeef_MethaneConversionFactorPerRegion_Variable">_xlfn.LAMBDA("MCFim")</definedName>
    <definedName name="SourceData_PastureBeef.SourceData_PastureBeef_MethaneConversionFactorPerRegion_Variation" localSheetId="10">_xlfn.LAMBDA("VARIATION ON SOURCE: Removed comma from 'Pasture range and paddock' to aid lookup")</definedName>
    <definedName name="SourceData_PastureBeef.SourceData_PastureBeef_MethaneConversionFactorPerRegion_Variation" localSheetId="11">_xlfn.LAMBDA("VARIATION ON SOURCE: Removed comma from 'Pasture range and paddock' to aid lookup")</definedName>
    <definedName name="SourceData_PastureBeef.SourceData_PastureBeef_MethaneConversionFactorPerRegion_Variation" localSheetId="12">_xlfn.LAMBDA("VARIATION ON SOURCE: Removed comma from 'Pasture range and paddock' to aid lookup")</definedName>
    <definedName name="SourceData_PastureBeef.SourceData_PastureBeef_MethaneConversionFactorPerRegion_Variation" localSheetId="13">_xlfn.LAMBDA("VARIATION ON SOURCE: Removed comma from 'Pasture range and paddock' to aid lookup")</definedName>
    <definedName name="SourceData_PastureBeef.SourceData_PastureBeef_MethaneConversionFactorPerRegion_Variation" localSheetId="14">_xlfn.LAMBDA("VARIATION ON SOURCE: Removed comma from 'Pasture range and paddock' to aid lookup")</definedName>
    <definedName name="SourceData_PastureBeef.SourceData_PastureBeef_MethaneConversionFactorPerRegion_Variation" localSheetId="33">_xlfn.LAMBDA("VARIATION ON SOURCE: Removed comma from 'Pasture range and paddock' to aid lookup")</definedName>
    <definedName name="SourceData_PastureBeef.SourceData_PastureBeef_MethaneConversionFactorPerRegion_Variation" localSheetId="32">_xlfn.LAMBDA("VARIATION ON SOURCE: Removed comma from 'Pasture range and paddock' to aid lookup")</definedName>
    <definedName name="SourceData_PastureBeef.SourceData_PastureBeef_MethaneConversionFactorPerRegion_Variation" localSheetId="28">_xlfn.LAMBDA("VARIATION ON SOURCE: Removed comma from 'Pasture range and paddock' to aid lookup")</definedName>
    <definedName name="SourceData_PastureBeef.SourceData_PastureBeef_MethaneConversionFactorPerRegion_Variation" localSheetId="26">_xlfn.LAMBDA("VARIATION ON SOURCE: Removed comma from 'Pasture range and paddock' to aid lookup")</definedName>
    <definedName name="SourceData_PastureBeef.SourceData_PastureBeef_MethaneConversionFactorPerRegion_Variation" localSheetId="4">_xlfn.LAMBDA("VARIATION ON SOURCE: Removed comma from 'Pasture range and paddock' to aid lookup")</definedName>
    <definedName name="SourceData_PastureBeef.SourceData_PastureBeef_MethaneConversionFactorPerRegion_Variation" localSheetId="3">_xlfn.LAMBDA("VARIATION ON SOURCE: Removed comma from 'Pasture range and paddock' to aid lookup")</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 localSheetId="10">_xlfn.LAMBDA(0.19)</definedName>
    <definedName name="SourceData_PastureBeef.SourceData_PastureBeef_MethaneEmissionsPotential_Data" localSheetId="11">_xlfn.LAMBDA(0.19)</definedName>
    <definedName name="SourceData_PastureBeef.SourceData_PastureBeef_MethaneEmissionsPotential_Data" localSheetId="12">_xlfn.LAMBDA(0.19)</definedName>
    <definedName name="SourceData_PastureBeef.SourceData_PastureBeef_MethaneEmissionsPotential_Data" localSheetId="13">_xlfn.LAMBDA(0.19)</definedName>
    <definedName name="SourceData_PastureBeef.SourceData_PastureBeef_MethaneEmissionsPotential_Data" localSheetId="14">_xlfn.LAMBDA(0.19)</definedName>
    <definedName name="SourceData_PastureBeef.SourceData_PastureBeef_MethaneEmissionsPotential_Data" localSheetId="33">_xlfn.LAMBDA(0.19)</definedName>
    <definedName name="SourceData_PastureBeef.SourceData_PastureBeef_MethaneEmissionsPotential_Data" localSheetId="32">_xlfn.LAMBDA(0.19)</definedName>
    <definedName name="SourceData_PastureBeef.SourceData_PastureBeef_MethaneEmissionsPotential_Data" localSheetId="28">_xlfn.LAMBDA(0.19)</definedName>
    <definedName name="SourceData_PastureBeef.SourceData_PastureBeef_MethaneEmissionsPotential_Data" localSheetId="26">_xlfn.LAMBDA(0.19)</definedName>
    <definedName name="SourceData_PastureBeef.SourceData_PastureBeef_MethaneEmissionsPotential_Data" localSheetId="4">_xlfn.LAMBDA(0.19)</definedName>
    <definedName name="SourceData_PastureBeef.SourceData_PastureBeef_MethaneEmissionsPotential_Data" localSheetId="3">_xlfn.LAMBDA(0.19)</definedName>
    <definedName name="SourceData_PastureBeef.SourceData_PastureBeef_MethaneEmissionsPotential_Data">_xlfn.LAMBDA(0.19)</definedName>
    <definedName name="SourceData_PastureBeef.SourceData_PastureBeef_MethaneEmissionsPotential_Source" localSheetId="10">_xlfn.LAMBDA("VEERG 2026: 4.2.2.3 CONSTANTS")</definedName>
    <definedName name="SourceData_PastureBeef.SourceData_PastureBeef_MethaneEmissionsPotential_Source" localSheetId="11">_xlfn.LAMBDA("VEERG 2026: 4.2.2.3 CONSTANTS")</definedName>
    <definedName name="SourceData_PastureBeef.SourceData_PastureBeef_MethaneEmissionsPotential_Source" localSheetId="12">_xlfn.LAMBDA("VEERG 2026: 4.2.2.3 CONSTANTS")</definedName>
    <definedName name="SourceData_PastureBeef.SourceData_PastureBeef_MethaneEmissionsPotential_Source" localSheetId="13">_xlfn.LAMBDA("VEERG 2026: 4.2.2.3 CONSTANTS")</definedName>
    <definedName name="SourceData_PastureBeef.SourceData_PastureBeef_MethaneEmissionsPotential_Source" localSheetId="14">_xlfn.LAMBDA("VEERG 2026: 4.2.2.3 CONSTANTS")</definedName>
    <definedName name="SourceData_PastureBeef.SourceData_PastureBeef_MethaneEmissionsPotential_Source" localSheetId="33">_xlfn.LAMBDA("VEERG 2026: 4.2.2.3 CONSTANTS")</definedName>
    <definedName name="SourceData_PastureBeef.SourceData_PastureBeef_MethaneEmissionsPotential_Source" localSheetId="32">_xlfn.LAMBDA("VEERG 2026: 4.2.2.3 CONSTANTS")</definedName>
    <definedName name="SourceData_PastureBeef.SourceData_PastureBeef_MethaneEmissionsPotential_Source" localSheetId="28">_xlfn.LAMBDA("VEERG 2026: 4.2.2.3 CONSTANTS")</definedName>
    <definedName name="SourceData_PastureBeef.SourceData_PastureBeef_MethaneEmissionsPotential_Source" localSheetId="26">_xlfn.LAMBDA("VEERG 2026: 4.2.2.3 CONSTANTS")</definedName>
    <definedName name="SourceData_PastureBeef.SourceData_PastureBeef_MethaneEmissionsPotential_Source" localSheetId="4">_xlfn.LAMBDA("VEERG 2026: 4.2.2.3 CONSTANTS")</definedName>
    <definedName name="SourceData_PastureBeef.SourceData_PastureBeef_MethaneEmissionsPotential_Source" localSheetId="3">_xlfn.LAMBDA("VEERG 2026: 4.2.2.3 CONSTANTS")</definedName>
    <definedName name="SourceData_PastureBeef.SourceData_PastureBeef_MethaneEmissionsPotential_Source">_xlfn.LAMBDA("VEERG 2026: 4.2.2.3 CONSTANTS")</definedName>
    <definedName name="SourceData_PastureBeef.SourceData_PastureBeef_MethaneEmissionsPotential_Title" localSheetId="10">_xlfn.LAMBDA("Methane emissions potential")</definedName>
    <definedName name="SourceData_PastureBeef.SourceData_PastureBeef_MethaneEmissionsPotential_Title" localSheetId="11">_xlfn.LAMBDA("Methane emissions potential")</definedName>
    <definedName name="SourceData_PastureBeef.SourceData_PastureBeef_MethaneEmissionsPotential_Title" localSheetId="12">_xlfn.LAMBDA("Methane emissions potential")</definedName>
    <definedName name="SourceData_PastureBeef.SourceData_PastureBeef_MethaneEmissionsPotential_Title" localSheetId="13">_xlfn.LAMBDA("Methane emissions potential")</definedName>
    <definedName name="SourceData_PastureBeef.SourceData_PastureBeef_MethaneEmissionsPotential_Title" localSheetId="14">_xlfn.LAMBDA("Methane emissions potential")</definedName>
    <definedName name="SourceData_PastureBeef.SourceData_PastureBeef_MethaneEmissionsPotential_Title" localSheetId="33">_xlfn.LAMBDA("Methane emissions potential")</definedName>
    <definedName name="SourceData_PastureBeef.SourceData_PastureBeef_MethaneEmissionsPotential_Title" localSheetId="32">_xlfn.LAMBDA("Methane emissions potential")</definedName>
    <definedName name="SourceData_PastureBeef.SourceData_PastureBeef_MethaneEmissionsPotential_Title" localSheetId="28">_xlfn.LAMBDA("Methane emissions potential")</definedName>
    <definedName name="SourceData_PastureBeef.SourceData_PastureBeef_MethaneEmissionsPotential_Title" localSheetId="26">_xlfn.LAMBDA("Methane emissions potential")</definedName>
    <definedName name="SourceData_PastureBeef.SourceData_PastureBeef_MethaneEmissionsPotential_Title" localSheetId="4">_xlfn.LAMBDA("Methane emissions potential")</definedName>
    <definedName name="SourceData_PastureBeef.SourceData_PastureBeef_MethaneEmissionsPotential_Title" localSheetId="3">_xlfn.LAMBDA("Methane emissions potential")</definedName>
    <definedName name="SourceData_PastureBeef.SourceData_PastureBeef_MethaneEmissionsPotential_Title">_xlfn.LAMBDA("Methane emissions potential")</definedName>
    <definedName name="SourceData_PastureBeef.SourceData_PastureBeef_MethaneEmissionsPotential_Unit" localSheetId="10">_xlfn.LAMBDA("m3 CH4 / kg VS")</definedName>
    <definedName name="SourceData_PastureBeef.SourceData_PastureBeef_MethaneEmissionsPotential_Unit" localSheetId="11">_xlfn.LAMBDA("m3 CH4 / kg VS")</definedName>
    <definedName name="SourceData_PastureBeef.SourceData_PastureBeef_MethaneEmissionsPotential_Unit" localSheetId="12">_xlfn.LAMBDA("m3 CH4 / kg VS")</definedName>
    <definedName name="SourceData_PastureBeef.SourceData_PastureBeef_MethaneEmissionsPotential_Unit" localSheetId="13">_xlfn.LAMBDA("m3 CH4 / kg VS")</definedName>
    <definedName name="SourceData_PastureBeef.SourceData_PastureBeef_MethaneEmissionsPotential_Unit" localSheetId="14">_xlfn.LAMBDA("m3 CH4 / kg VS")</definedName>
    <definedName name="SourceData_PastureBeef.SourceData_PastureBeef_MethaneEmissionsPotential_Unit" localSheetId="33">_xlfn.LAMBDA("m3 CH4 / kg VS")</definedName>
    <definedName name="SourceData_PastureBeef.SourceData_PastureBeef_MethaneEmissionsPotential_Unit" localSheetId="32">_xlfn.LAMBDA("m3 CH4 / kg VS")</definedName>
    <definedName name="SourceData_PastureBeef.SourceData_PastureBeef_MethaneEmissionsPotential_Unit" localSheetId="28">_xlfn.LAMBDA("m3 CH4 / kg VS")</definedName>
    <definedName name="SourceData_PastureBeef.SourceData_PastureBeef_MethaneEmissionsPotential_Unit" localSheetId="26">_xlfn.LAMBDA("m3 CH4 / kg VS")</definedName>
    <definedName name="SourceData_PastureBeef.SourceData_PastureBeef_MethaneEmissionsPotential_Unit" localSheetId="4">_xlfn.LAMBDA("m3 CH4 / kg VS")</definedName>
    <definedName name="SourceData_PastureBeef.SourceData_PastureBeef_MethaneEmissionsPotential_Unit" localSheetId="3">_xlfn.LAMBDA("m3 CH4 / kg VS")</definedName>
    <definedName name="SourceData_PastureBeef.SourceData_PastureBeef_MethaneEmissionsPotential_Unit">_xlfn.LAMBDA("m3 CH4 / kg VS")</definedName>
    <definedName name="SourceData_PastureBeef.SourceData_PastureBeef_MethaneEmissionsPotential_Variable" localSheetId="10">_xlfn.LAMBDA("B0")</definedName>
    <definedName name="SourceData_PastureBeef.SourceData_PastureBeef_MethaneEmissionsPotential_Variable" localSheetId="11">_xlfn.LAMBDA("B0")</definedName>
    <definedName name="SourceData_PastureBeef.SourceData_PastureBeef_MethaneEmissionsPotential_Variable" localSheetId="12">_xlfn.LAMBDA("B0")</definedName>
    <definedName name="SourceData_PastureBeef.SourceData_PastureBeef_MethaneEmissionsPotential_Variable" localSheetId="13">_xlfn.LAMBDA("B0")</definedName>
    <definedName name="SourceData_PastureBeef.SourceData_PastureBeef_MethaneEmissionsPotential_Variable" localSheetId="14">_xlfn.LAMBDA("B0")</definedName>
    <definedName name="SourceData_PastureBeef.SourceData_PastureBeef_MethaneEmissionsPotential_Variable" localSheetId="33">_xlfn.LAMBDA("B0")</definedName>
    <definedName name="SourceData_PastureBeef.SourceData_PastureBeef_MethaneEmissionsPotential_Variable" localSheetId="32">_xlfn.LAMBDA("B0")</definedName>
    <definedName name="SourceData_PastureBeef.SourceData_PastureBeef_MethaneEmissionsPotential_Variable" localSheetId="28">_xlfn.LAMBDA("B0")</definedName>
    <definedName name="SourceData_PastureBeef.SourceData_PastureBeef_MethaneEmissionsPotential_Variable" localSheetId="26">_xlfn.LAMBDA("B0")</definedName>
    <definedName name="SourceData_PastureBeef.SourceData_PastureBeef_MethaneEmissionsPotential_Variable" localSheetId="4">_xlfn.LAMBDA("B0")</definedName>
    <definedName name="SourceData_PastureBeef.SourceData_PastureBeef_MethaneEmissionsPotential_Variable" localSheetId="3">_xlfn.LAMBDA("B0")</definedName>
    <definedName name="SourceData_PastureBeef.SourceData_PastureBeef_MethaneEmissionsPotential_Variable">_xlfn.LAMBDA("B0")</definedName>
    <definedName name="SourceData_PastureBeef.SourceData_PastureBeef_MethaneEmissionsPotential_Variation" localSheetId="10">_xlfn.LAMBDA("")</definedName>
    <definedName name="SourceData_PastureBeef.SourceData_PastureBeef_MethaneEmissionsPotential_Variation" localSheetId="11">_xlfn.LAMBDA("")</definedName>
    <definedName name="SourceData_PastureBeef.SourceData_PastureBeef_MethaneEmissionsPotential_Variation" localSheetId="12">_xlfn.LAMBDA("")</definedName>
    <definedName name="SourceData_PastureBeef.SourceData_PastureBeef_MethaneEmissionsPotential_Variation" localSheetId="13">_xlfn.LAMBDA("")</definedName>
    <definedName name="SourceData_PastureBeef.SourceData_PastureBeef_MethaneEmissionsPotential_Variation" localSheetId="14">_xlfn.LAMBDA("")</definedName>
    <definedName name="SourceData_PastureBeef.SourceData_PastureBeef_MethaneEmissionsPotential_Variation" localSheetId="33">_xlfn.LAMBDA("")</definedName>
    <definedName name="SourceData_PastureBeef.SourceData_PastureBeef_MethaneEmissionsPotential_Variation" localSheetId="32">_xlfn.LAMBDA("")</definedName>
    <definedName name="SourceData_PastureBeef.SourceData_PastureBeef_MethaneEmissionsPotential_Variation" localSheetId="28">_xlfn.LAMBDA("")</definedName>
    <definedName name="SourceData_PastureBeef.SourceData_PastureBeef_MethaneEmissionsPotential_Variation" localSheetId="26">_xlfn.LAMBDA("")</definedName>
    <definedName name="SourceData_PastureBeef.SourceData_PastureBeef_MethaneEmissionsPotential_Variation" localSheetId="4">_xlfn.LAMBDA("")</definedName>
    <definedName name="SourceData_PastureBeef.SourceData_PastureBeef_MethaneEmissionsPotential_Variation" localSheetId="3">_xlfn.LAMBDA("")</definedName>
    <definedName name="SourceData_PastureBeef.SourceData_PastureBeef_MethaneEmissionsPotential_Variation">_xlfn.LAMBDA("")</definedName>
    <definedName name="SourceData_PastureBeef.SourceData_PastureBeef_StandardReferenceWeights_Data" localSheetId="10">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1">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2">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14">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2">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8">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26">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4">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 localSheetId="3">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 localSheetId="10">_xlfn.LAMBDA("VEERG 2026: Table A.1.2.8")</definedName>
    <definedName name="SourceData_PastureBeef.SourceData_PastureBeef_StandardReferenceWeights_Source" localSheetId="11">_xlfn.LAMBDA("VEERG 2026: Table A.1.2.8")</definedName>
    <definedName name="SourceData_PastureBeef.SourceData_PastureBeef_StandardReferenceWeights_Source" localSheetId="12">_xlfn.LAMBDA("VEERG 2026: Table A.1.2.8")</definedName>
    <definedName name="SourceData_PastureBeef.SourceData_PastureBeef_StandardReferenceWeights_Source" localSheetId="13">_xlfn.LAMBDA("VEERG 2026: Table A.1.2.8")</definedName>
    <definedName name="SourceData_PastureBeef.SourceData_PastureBeef_StandardReferenceWeights_Source" localSheetId="14">_xlfn.LAMBDA("VEERG 2026: Table A.1.2.8")</definedName>
    <definedName name="SourceData_PastureBeef.SourceData_PastureBeef_StandardReferenceWeights_Source" localSheetId="33">_xlfn.LAMBDA("VEERG 2026: Table A.1.2.8")</definedName>
    <definedName name="SourceData_PastureBeef.SourceData_PastureBeef_StandardReferenceWeights_Source" localSheetId="32">_xlfn.LAMBDA("VEERG 2026: Table A.1.2.8")</definedName>
    <definedName name="SourceData_PastureBeef.SourceData_PastureBeef_StandardReferenceWeights_Source" localSheetId="28">_xlfn.LAMBDA("VEERG 2026: Table A.1.2.8")</definedName>
    <definedName name="SourceData_PastureBeef.SourceData_PastureBeef_StandardReferenceWeights_Source" localSheetId="26">_xlfn.LAMBDA("VEERG 2026: Table A.1.2.8")</definedName>
    <definedName name="SourceData_PastureBeef.SourceData_PastureBeef_StandardReferenceWeights_Source" localSheetId="4">_xlfn.LAMBDA("VEERG 2026: Table A.1.2.8")</definedName>
    <definedName name="SourceData_PastureBeef.SourceData_PastureBeef_StandardReferenceWeights_Source" localSheetId="3">_xlfn.LAMBDA("VEERG 2026: Table A.1.2.8")</definedName>
    <definedName name="SourceData_PastureBeef.SourceData_PastureBeef_StandardReferenceWeights_Source">_xlfn.LAMBDA("VEERG 2026: Table A.1.2.8")</definedName>
    <definedName name="SourceData_PastureBeef.SourceData_PastureBeef_StandardReferenceWeights_Title" localSheetId="10">_xlfn.LAMBDA("Beef pasture cattle - Standard reference weights (kg) (SRWk)")</definedName>
    <definedName name="SourceData_PastureBeef.SourceData_PastureBeef_StandardReferenceWeights_Title" localSheetId="11">_xlfn.LAMBDA("Beef pasture cattle - Standard reference weights (kg) (SRWk)")</definedName>
    <definedName name="SourceData_PastureBeef.SourceData_PastureBeef_StandardReferenceWeights_Title" localSheetId="12">_xlfn.LAMBDA("Beef pasture cattle - Standard reference weights (kg) (SRWk)")</definedName>
    <definedName name="SourceData_PastureBeef.SourceData_PastureBeef_StandardReferenceWeights_Title" localSheetId="13">_xlfn.LAMBDA("Beef pasture cattle - Standard reference weights (kg) (SRWk)")</definedName>
    <definedName name="SourceData_PastureBeef.SourceData_PastureBeef_StandardReferenceWeights_Title" localSheetId="14">_xlfn.LAMBDA("Beef pasture cattle - Standard reference weights (kg) (SRWk)")</definedName>
    <definedName name="SourceData_PastureBeef.SourceData_PastureBeef_StandardReferenceWeights_Title" localSheetId="33">_xlfn.LAMBDA("Beef pasture cattle - Standard reference weights (kg) (SRWk)")</definedName>
    <definedName name="SourceData_PastureBeef.SourceData_PastureBeef_StandardReferenceWeights_Title" localSheetId="32">_xlfn.LAMBDA("Beef pasture cattle - Standard reference weights (kg) (SRWk)")</definedName>
    <definedName name="SourceData_PastureBeef.SourceData_PastureBeef_StandardReferenceWeights_Title" localSheetId="28">_xlfn.LAMBDA("Beef pasture cattle - Standard reference weights (kg) (SRWk)")</definedName>
    <definedName name="SourceData_PastureBeef.SourceData_PastureBeef_StandardReferenceWeights_Title" localSheetId="26">_xlfn.LAMBDA("Beef pasture cattle - Standard reference weights (kg) (SRWk)")</definedName>
    <definedName name="SourceData_PastureBeef.SourceData_PastureBeef_StandardReferenceWeights_Title" localSheetId="4">_xlfn.LAMBDA("Beef pasture cattle - Standard reference weights (kg) (SRWk)")</definedName>
    <definedName name="SourceData_PastureBeef.SourceData_PastureBeef_StandardReferenceWeights_Title" localSheetId="3">_xlfn.LAMBDA("Beef pasture cattle - Standard reference weights (kg) (SRWk)")</definedName>
    <definedName name="SourceData_PastureBeef.SourceData_PastureBeef_StandardReferenceWeights_Title">_xlfn.LAMBDA("Beef pasture cattle - Standard reference weights (kg) (SRWk)")</definedName>
    <definedName name="SourceData_PastureBeef.SourceData_PastureBeef_StandardReferenceWeights_Unit" localSheetId="10">_xlfn.LAMBDA("kg")</definedName>
    <definedName name="SourceData_PastureBeef.SourceData_PastureBeef_StandardReferenceWeights_Unit" localSheetId="11">_xlfn.LAMBDA("kg")</definedName>
    <definedName name="SourceData_PastureBeef.SourceData_PastureBeef_StandardReferenceWeights_Unit" localSheetId="12">_xlfn.LAMBDA("kg")</definedName>
    <definedName name="SourceData_PastureBeef.SourceData_PastureBeef_StandardReferenceWeights_Unit" localSheetId="13">_xlfn.LAMBDA("kg")</definedName>
    <definedName name="SourceData_PastureBeef.SourceData_PastureBeef_StandardReferenceWeights_Unit" localSheetId="14">_xlfn.LAMBDA("kg")</definedName>
    <definedName name="SourceData_PastureBeef.SourceData_PastureBeef_StandardReferenceWeights_Unit" localSheetId="33">_xlfn.LAMBDA("kg")</definedName>
    <definedName name="SourceData_PastureBeef.SourceData_PastureBeef_StandardReferenceWeights_Unit" localSheetId="32">_xlfn.LAMBDA("kg")</definedName>
    <definedName name="SourceData_PastureBeef.SourceData_PastureBeef_StandardReferenceWeights_Unit" localSheetId="28">_xlfn.LAMBDA("kg")</definedName>
    <definedName name="SourceData_PastureBeef.SourceData_PastureBeef_StandardReferenceWeights_Unit" localSheetId="26">_xlfn.LAMBDA("kg")</definedName>
    <definedName name="SourceData_PastureBeef.SourceData_PastureBeef_StandardReferenceWeights_Unit" localSheetId="4">_xlfn.LAMBDA("kg")</definedName>
    <definedName name="SourceData_PastureBeef.SourceData_PastureBeef_StandardReferenceWeights_Unit" localSheetId="3">_xlfn.LAMBDA("kg")</definedName>
    <definedName name="SourceData_PastureBeef.SourceData_PastureBeef_StandardReferenceWeights_Unit">_xlfn.LAMBDA("kg")</definedName>
    <definedName name="SourceData_PastureBeef.SourceData_PastureBeef_StandardReferenceWeights_Variable" localSheetId="10">_xlfn.LAMBDA("SRWk")</definedName>
    <definedName name="SourceData_PastureBeef.SourceData_PastureBeef_StandardReferenceWeights_Variable" localSheetId="11">_xlfn.LAMBDA("SRWk")</definedName>
    <definedName name="SourceData_PastureBeef.SourceData_PastureBeef_StandardReferenceWeights_Variable" localSheetId="12">_xlfn.LAMBDA("SRWk")</definedName>
    <definedName name="SourceData_PastureBeef.SourceData_PastureBeef_StandardReferenceWeights_Variable" localSheetId="13">_xlfn.LAMBDA("SRWk")</definedName>
    <definedName name="SourceData_PastureBeef.SourceData_PastureBeef_StandardReferenceWeights_Variable" localSheetId="14">_xlfn.LAMBDA("SRWk")</definedName>
    <definedName name="SourceData_PastureBeef.SourceData_PastureBeef_StandardReferenceWeights_Variable" localSheetId="33">_xlfn.LAMBDA("SRWk")</definedName>
    <definedName name="SourceData_PastureBeef.SourceData_PastureBeef_StandardReferenceWeights_Variable" localSheetId="32">_xlfn.LAMBDA("SRWk")</definedName>
    <definedName name="SourceData_PastureBeef.SourceData_PastureBeef_StandardReferenceWeights_Variable" localSheetId="28">_xlfn.LAMBDA("SRWk")</definedName>
    <definedName name="SourceData_PastureBeef.SourceData_PastureBeef_StandardReferenceWeights_Variable" localSheetId="26">_xlfn.LAMBDA("SRWk")</definedName>
    <definedName name="SourceData_PastureBeef.SourceData_PastureBeef_StandardReferenceWeights_Variable" localSheetId="4">_xlfn.LAMBDA("SRWk")</definedName>
    <definedName name="SourceData_PastureBeef.SourceData_PastureBeef_StandardReferenceWeights_Variable" localSheetId="3">_xlfn.LAMBDA("SRWk")</definedName>
    <definedName name="SourceData_PastureBeef.SourceData_PastureBeef_StandardReferenceWeights_Variable">_xlfn.LAMBDA("SRWk")</definedName>
    <definedName name="SourceData_PastureBeef.SourceData_PastureBeef_StandardReferenceWeights_Variation" localSheetId="10">_xlfn.LAMBDA("VARIATION ON SOURCE: Split ACT and NSW into separate rows. Added 'State abbreviation' column to aid lookup.")</definedName>
    <definedName name="SourceData_PastureBeef.SourceData_PastureBeef_StandardReferenceWeights_Variation" localSheetId="11">_xlfn.LAMBDA("VARIATION ON SOURCE: Split ACT and NSW into separate rows. Added 'State abbreviation' column to aid lookup.")</definedName>
    <definedName name="SourceData_PastureBeef.SourceData_PastureBeef_StandardReferenceWeights_Variation" localSheetId="12">_xlfn.LAMBDA("VARIATION ON SOURCE: Split ACT and NSW into separate rows. Added 'State abbreviation' column to aid lookup.")</definedName>
    <definedName name="SourceData_PastureBeef.SourceData_PastureBeef_StandardReferenceWeights_Variation" localSheetId="13">_xlfn.LAMBDA("VARIATION ON SOURCE: Split ACT and NSW into separate rows. Added 'State abbreviation' column to aid lookup.")</definedName>
    <definedName name="SourceData_PastureBeef.SourceData_PastureBeef_StandardReferenceWeights_Variation" localSheetId="14">_xlfn.LAMBDA("VARIATION ON SOURCE: Split ACT and NSW into separate rows. Added 'State abbreviation' column to aid lookup.")</definedName>
    <definedName name="SourceData_PastureBeef.SourceData_PastureBeef_StandardReferenceWeights_Variation" localSheetId="33">_xlfn.LAMBDA("VARIATION ON SOURCE: Split ACT and NSW into separate rows. Added 'State abbreviation' column to aid lookup.")</definedName>
    <definedName name="SourceData_PastureBeef.SourceData_PastureBeef_StandardReferenceWeights_Variation" localSheetId="32">_xlfn.LAMBDA("VARIATION ON SOURCE: Split ACT and NSW into separate rows. Added 'State abbreviation' column to aid lookup.")</definedName>
    <definedName name="SourceData_PastureBeef.SourceData_PastureBeef_StandardReferenceWeights_Variation" localSheetId="28">_xlfn.LAMBDA("VARIATION ON SOURCE: Split ACT and NSW into separate rows. Added 'State abbreviation' column to aid lookup.")</definedName>
    <definedName name="SourceData_PastureBeef.SourceData_PastureBeef_StandardReferenceWeights_Variation" localSheetId="26">_xlfn.LAMBDA("VARIATION ON SOURCE: Split ACT and NSW into separate rows. Added 'State abbreviation' column to aid lookup.")</definedName>
    <definedName name="SourceData_PastureBeef.SourceData_PastureBeef_StandardReferenceWeights_Variation" localSheetId="4">_xlfn.LAMBDA("VARIATION ON SOURCE: Split ACT and NSW into separate rows. Added 'State abbreviation' column to aid lookup.")</definedName>
    <definedName name="SourceData_PastureBeef.SourceData_PastureBeef_StandardReferenceWeights_Variation" localSheetId="3">_xlfn.LAMBDA("VARIATION ON SOURCE: Split ACT and NSW into separate rows. Added 'State abbreviation' column to aid lookup.")</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 localSheetId="16">'5.1.1.1-2 Inorganic fert N2O'!$D$18:$G$37</definedName>
    <definedName name="Table_MN_j_f" localSheetId="17">'5.1.1.1-2 Inorganic fert N2O'!$D$18:$G$37</definedName>
    <definedName name="Table_MN_j_f" localSheetId="18">'5.1.1.1-2 Inorganic fert N2O'!$D$18:$G$37</definedName>
    <definedName name="Table_MN_j_f" localSheetId="19">'5.1.1.1-2 Inorganic fert N2O'!$D$18:$G$37</definedName>
    <definedName name="Table_MN_j_f" localSheetId="20">'5.1.1.1-2 Inorganic fert N2O'!$D$18:$G$37</definedName>
    <definedName name="Table_MN_j_f" localSheetId="30">'5.1.1.1-2 Inorganic fert N2O'!$D$18:$G$37</definedName>
    <definedName name="Table_MN_j_f" localSheetId="34">'5.1.1.1-2 Inorganic fert N2O'!$D$18:$G$37</definedName>
    <definedName name="Table_MN_j_f">'5.1.1.1-2 Inorganic fert N2O'!$D$18:$G$37</definedName>
    <definedName name="Table_MNSoil_j_f" localSheetId="18">'5.2.1.1-2 Organic Fert N2O'!$D$19:$I$22</definedName>
    <definedName name="Table_MNSoil_j_f" localSheetId="19">'5.2.1.1-2 Organic Fert N2O'!$D$19:$I$22</definedName>
    <definedName name="Table_MNSoil_j_f" localSheetId="20">'5.2.1.1-2 Organic Fert N2O'!$D$19:$I$22</definedName>
    <definedName name="Table_MNSoil_j_f" localSheetId="30">'5.2.1.1-2 Organic Fert N2O'!$D$19:$I$22</definedName>
    <definedName name="Table_MNSoil_j_f" localSheetId="34">'5.2.1.1-2 Organic Fert N2O'!$D$19:$I$22</definedName>
    <definedName name="Table_MNSoil_j_f">'5.2.1.1-2 Organic Fert N2O'!$D$19:$I$22</definedName>
    <definedName name="Table_MU_j_f">'5.1.1.3-4 Inorganic fert CO2'!$D$18:$G$37</definedName>
    <definedName name="Table_SRW_k">'4.2.1.3-4 Soil direct N20'!$D$27:$M$28</definedName>
    <definedName name="VEERG_14_1_1__1_LocationBasedScopeElectricityEmissions_Result_Method1" localSheetId="29">'14.1.1-2 Purchased electricity'!$E$18</definedName>
    <definedName name="VEERG_14_1_1__1_LocationBasedScopeElectricityEmissions_Result_Method1">'14.1.1-2 Purchased electricity'!$E$18</definedName>
    <definedName name="VEERG_14_1_2__1_MarketBasedScopeElectricityEmissionsVariation_Result_Method1" localSheetId="29">'14.1.1-2 Purchased electricity'!$E$39</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 localSheetId="33">'3.2.1.1-2 Enteric Methane'!$V$161</definedName>
    <definedName name="VEERG_3_2_1_1__1_TotalAnnualMethaneFromEntericFermentation_Result_Method2" localSheetId="32">'3.2.1.1-2 Enteric Methane'!$V$161</definedName>
    <definedName name="VEERG_3_2_1_1__1_TotalAnnualMethaneFromEntericFermentation_Result_Method2" localSheetId="28">'3.2.1.1-2 Enteric Methane'!$V$161</definedName>
    <definedName name="VEERG_3_2_1_1__1_TotalAnnualMethaneFromEntericFermentation_Result_Method2" localSheetId="26">'3.2.1.1-2 Enteric Methane'!$V$161</definedName>
    <definedName name="VEERG_3_2_1_1__1_TotalAnnualMethaneFromEntericFermentation_Result_Method2">'3.2.1.1-2 Enteric Methane'!$V$161</definedName>
    <definedName name="VEERG_4_2_1_1__1_TotalAnnualMethaneProductionFromManureManagement_Result_Method1" localSheetId="11">'4.2.1.1-2 Methane'!$E$244</definedName>
    <definedName name="VEERG_4_2_1_1__1_TotalAnnualMethaneProductionFromManureManagement_Result_Method1" localSheetId="12">'4.2.1.1-2 Methane'!$E$244</definedName>
    <definedName name="VEERG_4_2_1_1__1_TotalAnnualMethaneProductionFromManureManagement_Result_Method1" localSheetId="13">'4.2.1.1-2 Methane'!$E$244</definedName>
    <definedName name="VEERG_4_2_1_1__1_TotalAnnualMethaneProductionFromManureManagement_Result_Method1" localSheetId="14">'4.2.1.1-2 Methane'!$E$244</definedName>
    <definedName name="VEERG_4_2_1_1__1_TotalAnnualMethaneProductionFromManureManagement_Result_Method1" localSheetId="4">'4.2.1.1-2 Methane'!$E$244</definedName>
    <definedName name="VEERG_4_2_1_1__1_TotalAnnualMethaneProductionFromManureManagement_Result_Method1" localSheetId="3">'4.2.1.1-2 Methane'!$E$244</definedName>
    <definedName name="VEERG_4_2_1_1__1_TotalAnnualMethaneProductionFromManureManagement_Result_Method1">#REF!</definedName>
    <definedName name="VEERG_4_2_1_1__1_TotalAnnualMethaneProductionFromManureManagement_Result_Method2" localSheetId="11">'4.2.1.1-2 Methane'!$X$276</definedName>
    <definedName name="VEERG_4_2_1_1__1_TotalAnnualMethaneProductionFromManureManagement_Result_Method2" localSheetId="12">'4.2.1.1-2 Methane'!$X$276</definedName>
    <definedName name="VEERG_4_2_1_1__1_TotalAnnualMethaneProductionFromManureManagement_Result_Method2" localSheetId="13">'4.2.1.1-2 Methane'!$X$276</definedName>
    <definedName name="VEERG_4_2_1_1__1_TotalAnnualMethaneProductionFromManureManagement_Result_Method2" localSheetId="14">'4.2.1.1-2 Methane'!$X$276</definedName>
    <definedName name="VEERG_4_2_1_1__1_TotalAnnualMethaneProductionFromManureManagement_Result_Method2" localSheetId="4">'4.2.1.1-2 Methane'!$X$276</definedName>
    <definedName name="VEERG_4_2_1_1__1_TotalAnnualMethaneProductionFromManureManagement_Result_Method2" localSheetId="3">'4.2.1.1-2 Methane'!$X$276</definedName>
    <definedName name="VEERG_4_2_1_1__1_TotalAnnualMethaneProductionFromManureManagement_Result_Method2">#REF!</definedName>
    <definedName name="VEERG_4_2_1_3__1_DirectNitrousOxideEmissionsOnPasture_Result_Method1" localSheetId="11">'4.2.1.3-4 Soil direct N20'!$E$229</definedName>
    <definedName name="VEERG_4_2_1_3__1_DirectNitrousOxideEmissionsOnPasture_Result_Method1" localSheetId="12">'4.2.1.3-4 Soil direct N20'!$E$229</definedName>
    <definedName name="VEERG_4_2_1_3__1_DirectNitrousOxideEmissionsOnPasture_Result_Method1" localSheetId="13">'4.2.1.3-4 Soil direct N20'!$E$229</definedName>
    <definedName name="VEERG_4_2_1_3__1_DirectNitrousOxideEmissionsOnPasture_Result_Method1" localSheetId="14">'4.2.1.3-4 Soil direct N20'!$E$229</definedName>
    <definedName name="VEERG_4_2_1_3__1_DirectNitrousOxideEmissionsOnPasture_Result_Method1" localSheetId="4">'4.2.1.3-4 Soil direct N20'!$E$229</definedName>
    <definedName name="VEERG_4_2_1_3__1_DirectNitrousOxideEmissionsOnPasture_Result_Method1" localSheetId="3">'4.2.1.3-4 Soil direct N20'!$E$229</definedName>
    <definedName name="VEERG_4_2_1_3__1_DirectNitrousOxideEmissionsOnPasture_Result_Method1">#REF!</definedName>
    <definedName name="VEERG_4_2_1_3__1_DirectNitrousOxideEmissionsOnPasture_Result_Method2" localSheetId="11">'4.2.1.3-4 Soil direct N20'!$V$267</definedName>
    <definedName name="VEERG_4_2_1_3__1_DirectNitrousOxideEmissionsOnPasture_Result_Method2" localSheetId="12">'4.2.1.3-4 Soil direct N20'!$V$267</definedName>
    <definedName name="VEERG_4_2_1_3__1_DirectNitrousOxideEmissionsOnPasture_Result_Method2" localSheetId="13">'4.2.1.3-4 Soil direct N20'!$V$267</definedName>
    <definedName name="VEERG_4_2_1_3__1_DirectNitrousOxideEmissionsOnPasture_Result_Method2" localSheetId="14">'4.2.1.3-4 Soil direct N20'!$V$267</definedName>
    <definedName name="VEERG_4_2_1_3__1_DirectNitrousOxideEmissionsOnPasture_Result_Method2" localSheetId="4">'4.2.1.3-4 Soil direct N20'!$V$267</definedName>
    <definedName name="VEERG_4_2_1_3__1_DirectNitrousOxideEmissionsOnPasture_Result_Method2" localSheetId="3">'4.2.1.3-4 Soil direct N20'!$V$267</definedName>
    <definedName name="VEERG_4_2_1_3__1_DirectNitrousOxideEmissionsOnPasture_Result_Method2">#REF!</definedName>
    <definedName name="VEERG_4_2_1_5__1_AtmosphericDepositionEmissionsFromUrineAndDungOnPasture_Result_Method1" localSheetId="11">'4.2.1.5-6 Soil Atmos Dep'!$E$35</definedName>
    <definedName name="VEERG_4_2_1_5__1_AtmosphericDepositionEmissionsFromUrineAndDungOnPasture_Result_Method1" localSheetId="12">'4.2.1.5-6 Soil Atmos Dep'!$E$35</definedName>
    <definedName name="VEERG_4_2_1_5__1_AtmosphericDepositionEmissionsFromUrineAndDungOnPasture_Result_Method1" localSheetId="13">'4.2.1.5-6 Soil Atmos Dep'!$E$35</definedName>
    <definedName name="VEERG_4_2_1_5__1_AtmosphericDepositionEmissionsFromUrineAndDungOnPasture_Result_Method1" localSheetId="14">'4.2.1.5-6 Soil Atmos Dep'!$E$35</definedName>
    <definedName name="VEERG_4_2_1_5__1_AtmosphericDepositionEmissionsFromUrineAndDungOnPasture_Result_Method1" localSheetId="4">'4.2.1.5-6 Soil Atmos Dep'!$E$35</definedName>
    <definedName name="VEERG_4_2_1_5__1_AtmosphericDepositionEmissionsFromUrineAndDungOnPasture_Result_Method1" localSheetId="3">'4.2.1.5-6 Soil Atmos Dep'!$E$35</definedName>
    <definedName name="VEERG_4_2_1_5__1_AtmosphericDepositionEmissionsFromUrineAndDungOnPasture_Result_Method1">#REF!</definedName>
    <definedName name="VEERG_4_2_1_5__1_AtmosphericDepositionEmissionsFromUrineAndDungOnPasture_Result_Method2" localSheetId="11">'4.2.1.5-6 Soil Atmos Dep'!$O$35</definedName>
    <definedName name="VEERG_4_2_1_5__1_AtmosphericDepositionEmissionsFromUrineAndDungOnPasture_Result_Method2" localSheetId="12">'4.2.1.5-6 Soil Atmos Dep'!$O$35</definedName>
    <definedName name="VEERG_4_2_1_5__1_AtmosphericDepositionEmissionsFromUrineAndDungOnPasture_Result_Method2" localSheetId="13">'4.2.1.5-6 Soil Atmos Dep'!$O$35</definedName>
    <definedName name="VEERG_4_2_1_5__1_AtmosphericDepositionEmissionsFromUrineAndDungOnPasture_Result_Method2" localSheetId="14">'4.2.1.5-6 Soil Atmos Dep'!$O$35</definedName>
    <definedName name="VEERG_4_2_1_5__1_AtmosphericDepositionEmissionsFromUrineAndDungOnPasture_Result_Method2" localSheetId="4">'4.2.1.5-6 Soil Atmos Dep'!$O$35</definedName>
    <definedName name="VEERG_4_2_1_5__1_AtmosphericDepositionEmissionsFromUrineAndDungOnPasture_Result_Method2" localSheetId="3">'4.2.1.5-6 Soil Atmos Dep'!$O$35</definedName>
    <definedName name="VEERG_4_2_1_5__1_AtmosphericDepositionEmissionsFromUrineAndDungOnPasture_Result_Method2">#REF!</definedName>
    <definedName name="VEERG_4_2_1_7__1_LeachingAndRunoffEmissionsFromUrineAndDungOnPasture_Result_Method1" localSheetId="11">'4.2.1.7-8 Soil leach runoff'!$E$36</definedName>
    <definedName name="VEERG_4_2_1_7__1_LeachingAndRunoffEmissionsFromUrineAndDungOnPasture_Result_Method1" localSheetId="12">'4.2.1.7-8 Soil leach runoff'!$E$36</definedName>
    <definedName name="VEERG_4_2_1_7__1_LeachingAndRunoffEmissionsFromUrineAndDungOnPasture_Result_Method1" localSheetId="13">'4.2.1.7-8 Soil leach runoff'!$E$36</definedName>
    <definedName name="VEERG_4_2_1_7__1_LeachingAndRunoffEmissionsFromUrineAndDungOnPasture_Result_Method1" localSheetId="14">'4.2.1.7-8 Soil leach runoff'!$E$36</definedName>
    <definedName name="VEERG_4_2_1_7__1_LeachingAndRunoffEmissionsFromUrineAndDungOnPasture_Result_Method1" localSheetId="4">'4.2.1.7-8 Soil leach runoff'!$E$36</definedName>
    <definedName name="VEERG_4_2_1_7__1_LeachingAndRunoffEmissionsFromUrineAndDungOnPasture_Result_Method1" localSheetId="3">'4.2.1.7-8 Soil leach runoff'!$E$36</definedName>
    <definedName name="VEERG_4_2_1_7__1_LeachingAndRunoffEmissionsFromUrineAndDungOnPasture_Result_Method1">#REF!</definedName>
    <definedName name="VEERG_4_2_1_7__1_LeachingAndRunoffEmissionsFromUrineAndDungOnPasture_Result_Method2" localSheetId="11">'4.2.1.7-8 Soil leach runoff'!$N$36</definedName>
    <definedName name="VEERG_4_2_1_7__1_LeachingAndRunoffEmissionsFromUrineAndDungOnPasture_Result_Method2" localSheetId="12">'4.2.1.7-8 Soil leach runoff'!$N$36</definedName>
    <definedName name="VEERG_4_2_1_7__1_LeachingAndRunoffEmissionsFromUrineAndDungOnPasture_Result_Method2" localSheetId="13">'4.2.1.7-8 Soil leach runoff'!$N$36</definedName>
    <definedName name="VEERG_4_2_1_7__1_LeachingAndRunoffEmissionsFromUrineAndDungOnPasture_Result_Method2" localSheetId="14">'4.2.1.7-8 Soil leach runoff'!$N$36</definedName>
    <definedName name="VEERG_4_2_1_7__1_LeachingAndRunoffEmissionsFromUrineAndDungOnPasture_Result_Method2" localSheetId="4">'4.2.1.7-8 Soil leach runoff'!$N$36</definedName>
    <definedName name="VEERG_4_2_1_7__1_LeachingAndRunoffEmissionsFromUrineAndDungOnPasture_Result_Method2" localSheetId="3">'4.2.1.7-8 Soil leach runoff'!$N$36</definedName>
    <definedName name="VEERG_4_2_1_7__1_LeachingAndRunoffEmissionsFromUrineAndDungOnPasture_Result_Method2">#REF!</definedName>
    <definedName name="VEERG_5_1_1_1__1_InorganicFertiliserApplicationN2OEmissions_Result_Method1" localSheetId="16">'5.1.1.1-2 Inorganic fert N2O'!$E$80</definedName>
    <definedName name="VEERG_5_1_1_1__1_InorganicFertiliserApplicationN2OEmissions_Result_Method1" localSheetId="17">'5.1.1.1-2 Inorganic fert N2O'!$E$80</definedName>
    <definedName name="VEERG_5_1_1_1__1_InorganicFertiliserApplicationN2OEmissions_Result_Method1" localSheetId="18">'5.1.1.1-2 Inorganic fert N2O'!$E$80</definedName>
    <definedName name="VEERG_5_1_1_1__1_InorganicFertiliserApplicationN2OEmissions_Result_Method1" localSheetId="19">'5.1.1.1-2 Inorganic fert N2O'!$E$80</definedName>
    <definedName name="VEERG_5_1_1_1__1_InorganicFertiliserApplicationN2OEmissions_Result_Method1" localSheetId="20">'5.1.1.1-2 Inorganic fert N2O'!$E$80</definedName>
    <definedName name="VEERG_5_1_1_1__1_InorganicFertiliserApplicationN2OEmissions_Result_Method1" localSheetId="30">'5.1.1.1-2 Inorganic fert N2O'!$E$80</definedName>
    <definedName name="VEERG_5_1_1_1__1_InorganicFertiliserApplicationN2OEmissions_Result_Method1" localSheetId="34">'5.1.1.1-2 Inorganic fert N2O'!$E$80</definedName>
    <definedName name="VEERG_5_1_1_1__1_InorganicFertiliserApplicationN2OEmissions_Result_Method1">'5.1.1.1-2 Inorganic fert N2O'!$E$80</definedName>
    <definedName name="VEERG_5_1_1_1__1_InorganicFertiliserApplicationN2OEmissions_Result_Method2" localSheetId="16">'5.1.1.1-2 Inorganic fert N2O'!$N$88</definedName>
    <definedName name="VEERG_5_1_1_1__1_InorganicFertiliserApplicationN2OEmissions_Result_Method2" localSheetId="17">'5.1.1.1-2 Inorganic fert N2O'!$N$88</definedName>
    <definedName name="VEERG_5_1_1_1__1_InorganicFertiliserApplicationN2OEmissions_Result_Method2" localSheetId="18">'5.1.1.1-2 Inorganic fert N2O'!$N$88</definedName>
    <definedName name="VEERG_5_1_1_1__1_InorganicFertiliserApplicationN2OEmissions_Result_Method2" localSheetId="19">'5.1.1.1-2 Inorganic fert N2O'!$N$88</definedName>
    <definedName name="VEERG_5_1_1_1__1_InorganicFertiliserApplicationN2OEmissions_Result_Method2" localSheetId="20">'5.1.1.1-2 Inorganic fert N2O'!$N$88</definedName>
    <definedName name="VEERG_5_1_1_1__1_InorganicFertiliserApplicationN2OEmissions_Result_Method2" localSheetId="30">'5.1.1.1-2 Inorganic fert N2O'!$N$88</definedName>
    <definedName name="VEERG_5_1_1_1__1_InorganicFertiliserApplicationN2OEmissions_Result_Method2" localSheetId="34">'5.1.1.1-2 Inorganic fert N2O'!$N$88</definedName>
    <definedName name="VEERG_5_1_1_1__1_InorganicFertiliserApplicationN2OEmissions_Result_Method2">'5.1.1.1-2 Inorganic fert N2O'!$N$88</definedName>
    <definedName name="VEERG_5_1_1_3__1_InorganicFertiliserApplicationCO2Emissions_Result_Method1" localSheetId="17">'5.1.1.3-4 Inorganic fert CO2'!$E$78</definedName>
    <definedName name="VEERG_5_1_1_3__1_InorganicFertiliserApplicationCO2Emissions_Result_Method1" localSheetId="18">'5.1.1.3-4 Inorganic fert CO2'!$E$78</definedName>
    <definedName name="VEERG_5_1_1_3__1_InorganicFertiliserApplicationCO2Emissions_Result_Method1" localSheetId="19">'5.1.1.3-4 Inorganic fert CO2'!$E$78</definedName>
    <definedName name="VEERG_5_1_1_3__1_InorganicFertiliserApplicationCO2Emissions_Result_Method1" localSheetId="20">'5.1.1.3-4 Inorganic fert CO2'!$E$78</definedName>
    <definedName name="VEERG_5_1_1_3__1_InorganicFertiliserApplicationCO2Emissions_Result_Method1" localSheetId="30">'5.1.1.3-4 Inorganic fert CO2'!$E$78</definedName>
    <definedName name="VEERG_5_1_1_3__1_InorganicFertiliserApplicationCO2Emissions_Result_Method1" localSheetId="34">'5.1.1.3-4 Inorganic fert CO2'!$E$78</definedName>
    <definedName name="VEERG_5_1_1_3__1_InorganicFertiliserApplicationCO2Emissions_Result_Method1">'5.1.1.3-4 Inorganic fert CO2'!$E$78</definedName>
    <definedName name="VEERG_5_2_1_1__2_MassOfNitrogenInOrganicFertiliser_Result_Method1" localSheetId="18">'5.2.1.1-2 Organic Fert N2O'!$E$50</definedName>
    <definedName name="VEERG_5_2_1_1__2_MassOfNitrogenInOrganicFertiliser_Result_Method1" localSheetId="19">'5.2.1.1-2 Organic Fert N2O'!$E$50</definedName>
    <definedName name="VEERG_5_2_1_1__2_MassOfNitrogenInOrganicFertiliser_Result_Method1" localSheetId="20">'5.2.1.1-2 Organic Fert N2O'!$E$50</definedName>
    <definedName name="VEERG_5_2_1_1__2_MassOfNitrogenInOrganicFertiliser_Result_Method1" localSheetId="30">'5.2.1.1-2 Organic Fert N2O'!$E$50</definedName>
    <definedName name="VEERG_5_2_1_1__2_MassOfNitrogenInOrganicFertiliser_Result_Method1" localSheetId="34">'5.2.1.1-2 Organic Fert N2O'!$E$50</definedName>
    <definedName name="VEERG_5_2_1_1__2_MassOfNitrogenInOrganicFertiliser_Result_Method1">'5.2.1.1-2 Organic Fert N2O'!$E$50</definedName>
    <definedName name="VEERG_5_3_1_1__1_LimeApplicationCO2Emissions_Result_Method1" localSheetId="19">'5.3.1.1-2 Lime CO2'!$E$31</definedName>
    <definedName name="VEERG_5_3_1_1__1_LimeApplicationCO2Emissions_Result_Method1" localSheetId="20">'5.3.1.1-2 Lime CO2'!$E$31</definedName>
    <definedName name="VEERG_5_3_1_1__1_LimeApplicationCO2Emissions_Result_Method1" localSheetId="30">'5.3.1.1-2 Lime CO2'!$E$31</definedName>
    <definedName name="VEERG_5_3_1_1__1_LimeApplicationCO2Emissions_Result_Method1" localSheetId="34">'5.3.1.1-2 Lime CO2'!$E$31</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 localSheetId="30">'5.5.1.1-2 Leaching and runoff'!$E$94</definedName>
    <definedName name="VEERG_5_5_1_1__1_FertiliserLeachingAndRunoffN2OEmissions_result_Method1" localSheetId="34">'5.5.1.1-2 Leaching and runoff'!$E$94</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 localSheetId="22">'6.2.1.1-2 Pasture residue N2O'!$E$40</definedName>
    <definedName name="VEERG_6_2_1_1__1__NitrousOxideEmissionsFromPastureResidues_Result_Method1" localSheetId="27">'6.2.1.1-2 Pasture residue N2O'!$E$40</definedName>
    <definedName name="VEERG_6_2_1_1__1__NitrousOxideEmissionsFromPastureResidues_Result_Method1">'6.2.1.1-2 Pasture residue N2O'!$E$40</definedName>
    <definedName name="VEERG_6_2_1_1__1__NitrousOxideEmissionsFromPastureResidues_Result_Method2" localSheetId="22">'6.2.1.1-2 Pasture residue N2O'!$O$40</definedName>
    <definedName name="VEERG_6_2_1_1__1__NitrousOxideEmissionsFromPastureResidues_Result_Method2" localSheetId="27">'6.2.1.1-2 Pasture residue N2O'!$O$40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 localSheetId="24">'8.1.1.1-2 Transport fuel'!$E$68</definedName>
    <definedName name="VEERG_8_1_1_1__1_FuelCombustionTransport_Result_CH4" localSheetId="31">'8.1.1.1-2 Transport fuel'!$E$68</definedName>
    <definedName name="VEERG_8_1_1_1__1_FuelCombustionTransport_Result_CH4">'8.1.1.1-2 Transport fuel'!$E$68</definedName>
    <definedName name="VEERG_8_1_1_1__1_FuelCombustionTransport_Result_CO2" localSheetId="24">'8.1.1.1-2 Transport fuel'!$E$67</definedName>
    <definedName name="VEERG_8_1_1_1__1_FuelCombustionTransport_Result_CO2" localSheetId="31">'8.1.1.1-2 Transport fuel'!$E$67</definedName>
    <definedName name="VEERG_8_1_1_1__1_FuelCombustionTransport_Result_CO2">'8.1.1.1-2 Transport fuel'!$E$67</definedName>
    <definedName name="VEERG_8_1_1_1__1_FuelCombustionTransport_Result_N2O" localSheetId="24">'8.1.1.1-2 Transport fuel'!$E$69</definedName>
    <definedName name="VEERG_8_1_1_1__1_FuelCombustionTransport_Result_N2O" localSheetId="31">'8.1.1.1-2 Transport fuel'!$E$69</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 localSheetId="31">'8.2.1.1-2 Stationary fuel'!$E$56</definedName>
    <definedName name="VEERG_8_2_1_1__1_FuelCombustionStationary_Result_CH4">'8.2.1.1-2 Stationary fuel'!$E$56</definedName>
    <definedName name="VEERG_8_2_1_1__1_FuelCombustionStationary_Result_CO2" localSheetId="31">'8.2.1.1-2 Stationary fuel'!$E$55</definedName>
    <definedName name="VEERG_8_2_1_1__1_FuelCombustionStationary_Result_CO2">'8.2.1.1-2 Stationary fuel'!$E$55</definedName>
    <definedName name="VEERG_8_2_1_1__1_FuelCombustionStationary_Result_N2O" localSheetId="31">'8.2.1.1-2 Stationary fuel'!$E$57</definedName>
    <definedName name="VEERG_8_2_1_1__1_FuelCombustionStationary_Result_N2O">'8.2.1.1-2 Stationary fuel'!$E$57</definedName>
    <definedName name="VEERG_8_2_1_1__1_FuelCombustionStationary_Result_Scope3">'8.2.1.1-2 Stationary fuel'!$E$58</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Location_AmountPurchasedInkWh" localSheetId="25">'Input - Electricity'!$E$11</definedName>
    <definedName name="X_Cell_Electricity_Location_AmountPurchasedInkWh" localSheetId="29">'Input - Electricity'!$E$11</definedName>
    <definedName name="X_Cell_Electricity_Location_AmountPurchasedInkWh">'Input - Electricity'!$E$11</definedName>
    <definedName name="X_Cell_Electricity_Location_GridElectricityPurchasedFrom" localSheetId="25">'Input - Electricity'!$E$13</definedName>
    <definedName name="X_Cell_Electricity_Location_GridElectricityPurchasedFrom" localSheetId="29">'Input - Electricity'!$E$13</definedName>
    <definedName name="X_Cell_Electricity_Location_GridElectricityPurchasedFrom">'Input - Electricity'!$E$13</definedName>
    <definedName name="X_Cell_Electricity_Market_AmountPurchasedExcludingGreenPower" localSheetId="25">'Input - Electricity'!$E$19</definedName>
    <definedName name="X_Cell_Electricity_Market_AmountPurchasedExcludingGreenPower" localSheetId="29">'Input - Electricity'!$E$19</definedName>
    <definedName name="X_Cell_Electricity_Market_AmountPurchasedExcludingGreenPower">'Input - Electricity'!$E$19</definedName>
    <definedName name="X_Cell_Electricity_Market_AmountPurchasedGreenPower" localSheetId="25">'Input - Electricity'!$E$23</definedName>
    <definedName name="X_Cell_Electricity_Market_AmountPurchasedGreenPower" localSheetId="29">'Input - Electricity'!$E$23</definedName>
    <definedName name="X_Cell_Electricity_Market_AmountPurchasedGreenPower">'Input - Electricity'!$E$23</definedName>
    <definedName name="X_Cell_Electricity_Market_JurisdictionalRenewablePowerPercentage" localSheetId="25">'Input - Electricity'!$E$21</definedName>
    <definedName name="X_Cell_Electricity_Market_JurisdictionalRenewablePowerPercentage" localSheetId="29">'Input - Electricity'!$E$21</definedName>
    <definedName name="X_Cell_Electricity_Market_JurisdictionalRenewablePowerPercentage">'Input - Electricity'!$E$21</definedName>
    <definedName name="X_Cell_Electricity_Market_RenewablePowerPercentage" localSheetId="25">'Input - Electricity'!$E$20</definedName>
    <definedName name="X_Cell_Electricity_Market_RenewablePowerPercentage" localSheetId="29">'Input - Electricity'!$E$20</definedName>
    <definedName name="X_Cell_Electricity_Market_RenewablePowerPercentage">'Input - Electricity'!$E$20</definedName>
    <definedName name="X_Cell_Fertiliser_AreaUnderCropping">'Input - Fertiliser'!$E$9</definedName>
    <definedName name="X_Cell_Fertiliser_CropType" localSheetId="15">'Input - Fertiliser'!$E$7</definedName>
    <definedName name="X_Cell_Fertiliser_CropType" localSheetId="16">'Input - Fertiliser'!$E$7</definedName>
    <definedName name="X_Cell_Fertiliser_CropType" localSheetId="17">'Input - Fertiliser'!$E$7</definedName>
    <definedName name="X_Cell_Fertiliser_CropType" localSheetId="18">'Input - Fertiliser'!$E$7</definedName>
    <definedName name="X_Cell_Fertiliser_CropType" localSheetId="19">'Input - Fertiliser'!$E$7</definedName>
    <definedName name="X_Cell_Fertiliser_CropType" localSheetId="20">'Input - Fertiliser'!$E$7</definedName>
    <definedName name="X_Cell_Fertiliser_CropType" localSheetId="30">'Input - Fertiliser'!$E$7</definedName>
    <definedName name="X_Cell_Fertiliser_CropType" localSheetId="34">'Input - Fertiliser'!$E$7</definedName>
    <definedName name="X_Cell_Fertiliser_CropType">'Input - Fertiliser'!$E$7</definedName>
    <definedName name="X_Cell_Fertiliser_IrrigationMethod" localSheetId="15">'Input - Fertiliser'!$E$8</definedName>
    <definedName name="X_Cell_Fertiliser_IrrigationMethod" localSheetId="16">'Input - Fertiliser'!$E$8</definedName>
    <definedName name="X_Cell_Fertiliser_IrrigationMethod" localSheetId="17">'Input - Fertiliser'!$E$8</definedName>
    <definedName name="X_Cell_Fertiliser_IrrigationMethod" localSheetId="18">'Input - Fertiliser'!$E$8</definedName>
    <definedName name="X_Cell_Fertiliser_IrrigationMethod" localSheetId="19">'Input - Fertiliser'!$E$8</definedName>
    <definedName name="X_Cell_Fertiliser_IrrigationMethod" localSheetId="20">'Input - Fertiliser'!$E$8</definedName>
    <definedName name="X_Cell_Fertiliser_IrrigationMethod" localSheetId="30">'Input - Fertiliser'!$E$8</definedName>
    <definedName name="X_Cell_Fertiliser_IrrigationMethod" localSheetId="34">'Input - Fertiliser'!$E$8</definedName>
    <definedName name="X_Cell_Fertiliser_IrrigationMethod">'Input - Fertiliser'!$E$8</definedName>
    <definedName name="X_Cell_Fertiliser_ProductionSystem" localSheetId="15">'Input - Fertiliser'!$E$6</definedName>
    <definedName name="X_Cell_Fertiliser_ProductionSystem" localSheetId="16">'Input - Fertiliser'!$E$6</definedName>
    <definedName name="X_Cell_Fertiliser_ProductionSystem" localSheetId="17">'Input - Fertiliser'!$E$6</definedName>
    <definedName name="X_Cell_Fertiliser_ProductionSystem" localSheetId="18">'Input - Fertiliser'!$E$6</definedName>
    <definedName name="X_Cell_Fertiliser_ProductionSystem" localSheetId="19">'Input - Fertiliser'!$E$6</definedName>
    <definedName name="X_Cell_Fertiliser_ProductionSystem" localSheetId="20">'Input - Fertiliser'!$E$6</definedName>
    <definedName name="X_Cell_Fertiliser_ProductionSystem" localSheetId="30">'Input - Fertiliser'!$E$6</definedName>
    <definedName name="X_Cell_Fertiliser_ProductionSystem" localSheetId="34">'Input - Fertiliser'!$E$6</definedName>
    <definedName name="X_Cell_Fertiliser_ProductionSystem">'Input - Fertiliser'!$E$6</definedName>
    <definedName name="X_Cell_Fuel_IsMetroLocation" localSheetId="23">'Input - Fuel'!$E$11</definedName>
    <definedName name="X_Cell_Fuel_IsMetroLocation" localSheetId="24">'Input - Fuel'!$E$11</definedName>
    <definedName name="X_Cell_Fuel_IsMetroLocation" localSheetId="31">'Input - Fuel'!$E$11</definedName>
    <definedName name="X_Cell_Fuel_IsMetroLocation">'Input - Fuel'!$E$11</definedName>
    <definedName name="X_Cell_Pasture_AreaRemovedOrRenewed" localSheetId="21">'Input - Pasture'!$E$25</definedName>
    <definedName name="X_Cell_Pasture_AreaRemovedOrRenewed" localSheetId="22">'Input - Pasture'!$E$25</definedName>
    <definedName name="X_Cell_Pasture_AreaRemovedOrRenewed" localSheetId="27">'Input - Pasture'!$E$25</definedName>
    <definedName name="X_Cell_Pasture_AreaRemovedOrRenewed">'Input - Pasture'!$E$25</definedName>
    <definedName name="X_Cell_Pasture_AreaUnderPasture">'Input - Pasture'!$E$12</definedName>
    <definedName name="X_Cell_Pasture_IrrigationMethod" localSheetId="21">'Input - Pasture'!$E$10</definedName>
    <definedName name="X_Cell_Pasture_IrrigationMethod" localSheetId="22">'Input - Pasture'!$E$10</definedName>
    <definedName name="X_Cell_Pasture_IrrigationMethod" localSheetId="27">'Input - Pasture'!$E$10</definedName>
    <definedName name="X_Cell_Pasture_IrrigationMethod">'Input - Pasture'!$E$10</definedName>
    <definedName name="X_Cell_Pasture_PastureType" localSheetId="21">'Input - Pasture'!$E$9</definedName>
    <definedName name="X_Cell_Pasture_PastureType" localSheetId="22">'Input - Pasture'!$E$9</definedName>
    <definedName name="X_Cell_Pasture_PastureType" localSheetId="27">'Input - Pasture'!$E$9</definedName>
    <definedName name="X_Cell_Pasture_PastureType">'Input - Pasture'!$E$9</definedName>
    <definedName name="X_Cell_Pasture_YieldPerHectare" localSheetId="21">'Input - Pasture'!$E$19</definedName>
    <definedName name="X_Cell_Pasture_YieldPerHectare" localSheetId="22">'Input - Pasture'!$E$19</definedName>
    <definedName name="X_Cell_Pasture_YieldPerHectare" localSheetId="27">'Input - Pasture'!$E$19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32">'Input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 localSheetId="5">'Input - Pasture Beef (Enteric)'!$E$9</definedName>
    <definedName name="X_Cell_PastureBeef_Breed" localSheetId="3">'Input - Pasture Beef'!$E$9</definedName>
    <definedName name="X_Cell_PastureBeef_Breed">#REF!</definedName>
    <definedName name="X_Cell_PastureBeef_FencedWater" localSheetId="4">'Input - Pasture Beef'!$E$176</definedName>
    <definedName name="X_Cell_PastureBeef_FencedWater" localSheetId="5">'Input - Pasture Beef (Enteric)'!$E$169</definedName>
    <definedName name="X_Cell_PastureBeef_FencedWater">#REF!</definedName>
    <definedName name="X_Cell_PastureBeef_GrazingIrrigationMethod" localSheetId="11">'Input - Pasture Beef'!$E$184</definedName>
    <definedName name="X_Cell_PastureBeef_GrazingIrrigationMethod" localSheetId="12">'Input - Pasture Beef'!$E$184</definedName>
    <definedName name="X_Cell_PastureBeef_GrazingIrrigationMethod" localSheetId="13">'Input - Pasture Beef'!$E$184</definedName>
    <definedName name="X_Cell_PastureBeef_GrazingIrrigationMethod" localSheetId="14">'Input - Pasture Beef'!$E$184</definedName>
    <definedName name="X_Cell_PastureBeef_GrazingIrrigationMethod" localSheetId="4">'Input - Pasture Beef'!$E$184</definedName>
    <definedName name="X_Cell_PastureBeef_GrazingIrrigationMethod" localSheetId="5">'Input - Pasture Beef (Enteric)'!$E$177</definedName>
    <definedName name="X_Cell_PastureBeef_GrazingIrrigationMethod" localSheetId="3">'Input - Pasture Beef'!$E$184</definedName>
    <definedName name="X_Cell_PastureBeef_GrazingIrrigationMethod">#REF!</definedName>
    <definedName name="X_Cell_PastureBeef_GrazingProductionSystem" localSheetId="11">'Input - Pasture Beef'!$E$183</definedName>
    <definedName name="X_Cell_PastureBeef_GrazingProductionSystem" localSheetId="12">'Input - Pasture Beef'!$E$183</definedName>
    <definedName name="X_Cell_PastureBeef_GrazingProductionSystem" localSheetId="13">'Input - Pasture Beef'!$E$183</definedName>
    <definedName name="X_Cell_PastureBeef_GrazingProductionSystem" localSheetId="14">'Input - Pasture Beef'!$E$183</definedName>
    <definedName name="X_Cell_PastureBeef_GrazingProductionSystem" localSheetId="4">'Input - Pasture Beef'!$E$183</definedName>
    <definedName name="X_Cell_PastureBeef_GrazingProductionSystem" localSheetId="5">'Input - Pasture Beef (Enteric)'!$E$176</definedName>
    <definedName name="X_Cell_PastureBeef_GrazingProductionSystem" localSheetId="3">'Input - Pasture Beef'!$E$183</definedName>
    <definedName name="X_Cell_PastureBeef_GrazingProductionSystem">#REF!</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 localSheetId="5">'Input - Pasture Beef (Enteric)'!$E$8</definedName>
    <definedName name="X_Cell_PastureBeef_ProductionRegion" localSheetId="3">'Input - Pasture Beef'!$E$8</definedName>
    <definedName name="X_Cell_PastureBeef_ProductionRegion">#REF!</definedName>
    <definedName name="X_Cell_Site_AverageTemperature" localSheetId="11">'Input - Site'!$E$25</definedName>
    <definedName name="X_Cell_Site_AverageTemperature" localSheetId="12">'Input - Site'!$E$25</definedName>
    <definedName name="X_Cell_Site_AverageTemperature" localSheetId="13">'Input - Site'!$E$25</definedName>
    <definedName name="X_Cell_Site_AverageTemperature" localSheetId="14">'Input - Site'!$E$25</definedName>
    <definedName name="X_Cell_Site_AverageTemperature" localSheetId="4">'Input - Site'!$E$25</definedName>
    <definedName name="X_Cell_Site_AverageTemperature" localSheetId="3">'Input - Site'!$E$25</definedName>
    <definedName name="X_Cell_Site_AverageTemperature">#REF!</definedName>
    <definedName name="X_Cell_Site_ClimateZone" localSheetId="3">'Input - Site'!$E$31</definedName>
    <definedName name="X_Cell_Site_ClimateZone">#REF!</definedName>
    <definedName name="X_Cell_Site_Elevation" localSheetId="3">'Input - Site'!$E$24</definedName>
    <definedName name="X_Cell_Site_Elevation">#REF!</definedName>
    <definedName name="X_Cell_Site_FarmName" localSheetId="3">'Input - Site'!$E$7</definedName>
    <definedName name="X_Cell_Site_FarmName">#REF!</definedName>
    <definedName name="X_Cell_Site_FrostDays" localSheetId="3">'Input - Site'!$E$28</definedName>
    <definedName name="X_Cell_Site_FrostDays">#REF!</definedName>
    <definedName name="X_Cell_Site_LeachingZone" localSheetId="11">'Input - Site'!$E$23</definedName>
    <definedName name="X_Cell_Site_LeachingZone" localSheetId="12">'Input - Site'!$E$23</definedName>
    <definedName name="X_Cell_Site_LeachingZone" localSheetId="13">'Input - Site'!$E$23</definedName>
    <definedName name="X_Cell_Site_LeachingZone" localSheetId="14">'Input - Site'!$E$23</definedName>
    <definedName name="X_Cell_Site_LeachingZone" localSheetId="15">'Input - Site'!$E$23</definedName>
    <definedName name="X_Cell_Site_LeachingZone" localSheetId="16">'Input - Site'!$E$23</definedName>
    <definedName name="X_Cell_Site_LeachingZone" localSheetId="17">'Input - Site'!$E$23</definedName>
    <definedName name="X_Cell_Site_LeachingZone" localSheetId="18">'Input - Site'!$E$23</definedName>
    <definedName name="X_Cell_Site_LeachingZone" localSheetId="19">'Input - Site'!$E$23</definedName>
    <definedName name="X_Cell_Site_LeachingZone" localSheetId="20">'Input - Site'!$E$23</definedName>
    <definedName name="X_Cell_Site_LeachingZone" localSheetId="21">'Input - Site'!$E$23</definedName>
    <definedName name="X_Cell_Site_LeachingZone" localSheetId="22">'Input - Site'!$E$23</definedName>
    <definedName name="X_Cell_Site_LeachingZone" localSheetId="27">'Input - Site'!$E$23</definedName>
    <definedName name="X_Cell_Site_LeachingZone" localSheetId="30">'Input - Site'!$E$23</definedName>
    <definedName name="X_Cell_Site_LeachingZone" localSheetId="7">'Input - Site'!$E$23</definedName>
    <definedName name="X_Cell_Site_LeachingZone" localSheetId="6">'Input - Site'!$E$23</definedName>
    <definedName name="X_Cell_Site_LeachingZone" localSheetId="4">'Input - Site'!$E$23</definedName>
    <definedName name="X_Cell_Site_LeachingZone" localSheetId="3">'Input - Site'!$E$23</definedName>
    <definedName name="X_Cell_Site_LeachingZone" localSheetId="34">'Input - Site'!$E$23</definedName>
    <definedName name="X_Cell_Site_LeachingZone">#REF!</definedName>
    <definedName name="X_Cell_Site_MapPetRatio" localSheetId="3">'Input - Site'!$E$29</definedName>
    <definedName name="X_Cell_Site_MapPetRatio">#REF!</definedName>
    <definedName name="X_Cell_Site_PotentialEvapotranspiration" localSheetId="3">'Input - Site'!$E$27</definedName>
    <definedName name="X_Cell_Site_PotentialEvapotranspiration">#REF!</definedName>
    <definedName name="X_Cell_Site_RainfallZone" localSheetId="11">'Input - Site'!$E$30</definedName>
    <definedName name="X_Cell_Site_RainfallZone" localSheetId="12">'Input - Site'!$E$30</definedName>
    <definedName name="X_Cell_Site_RainfallZone" localSheetId="13">'Input - Site'!$E$30</definedName>
    <definedName name="X_Cell_Site_RainfallZone" localSheetId="14">'Input - Site'!$E$30</definedName>
    <definedName name="X_Cell_Site_RainfallZone" localSheetId="15">'Input - Site'!$E$30</definedName>
    <definedName name="X_Cell_Site_RainfallZone" localSheetId="16">'Input - Site'!$E$30</definedName>
    <definedName name="X_Cell_Site_RainfallZone" localSheetId="17">'Input - Site'!$E$30</definedName>
    <definedName name="X_Cell_Site_RainfallZone" localSheetId="18">'Input - Site'!$E$30</definedName>
    <definedName name="X_Cell_Site_RainfallZone" localSheetId="19">'Input - Site'!$E$30</definedName>
    <definedName name="X_Cell_Site_RainfallZone" localSheetId="20">'Input - Site'!$E$30</definedName>
    <definedName name="X_Cell_Site_RainfallZone" localSheetId="30">'Input - Site'!$E$30</definedName>
    <definedName name="X_Cell_Site_RainfallZone" localSheetId="7">'Input - Site'!$E$30</definedName>
    <definedName name="X_Cell_Site_RainfallZone" localSheetId="4">'Input - Site'!$E$30</definedName>
    <definedName name="X_Cell_Site_RainfallZone" localSheetId="3">'Input - Site'!$E$30</definedName>
    <definedName name="X_Cell_Site_RainfallZone" localSheetId="34">'Input - Site'!$E$30</definedName>
    <definedName name="X_Cell_Site_RainfallZone">#REF!</definedName>
    <definedName name="X_Cell_Site_Region" localSheetId="3">'Input - Site'!$E$22</definedName>
    <definedName name="X_Cell_Site_Region">#REF!</definedName>
    <definedName name="X_Cell_Site_ReportingEntityName" localSheetId="3">'Input - Site'!$E$8</definedName>
    <definedName name="X_Cell_Site_ReportingEntityName">#REF!</definedName>
    <definedName name="X_Cell_Site_StartDate" localSheetId="3">'Input - Site'!$E$12</definedName>
    <definedName name="X_Cell_Site_StartDate">#REF!</definedName>
    <definedName name="X_Cell_Site_State" localSheetId="25">'Input - Site'!$E$21</definedName>
    <definedName name="X_Cell_Site_State" localSheetId="10">'Input - Site'!$E$21</definedName>
    <definedName name="X_Cell_Site_State" localSheetId="11">'Input - Site'!$E$21</definedName>
    <definedName name="X_Cell_Site_State" localSheetId="12">'Input - Site'!$E$21</definedName>
    <definedName name="X_Cell_Site_State" localSheetId="13">'Input - Site'!$E$21</definedName>
    <definedName name="X_Cell_Site_State" localSheetId="14">'Input - Site'!$E$21</definedName>
    <definedName name="X_Cell_Site_State" localSheetId="21">'Input - Site'!$E$21</definedName>
    <definedName name="X_Cell_Site_State" localSheetId="22">'Input - Site'!$E$21</definedName>
    <definedName name="X_Cell_Site_State" localSheetId="23">'Input - Site'!$E$21</definedName>
    <definedName name="X_Cell_Site_State" localSheetId="24">'Input - Site'!$E$21</definedName>
    <definedName name="X_Cell_Site_State" localSheetId="33">'Input - Site'!$E$21</definedName>
    <definedName name="X_Cell_Site_State" localSheetId="27">'Input - Site'!$E$21</definedName>
    <definedName name="X_Cell_Site_State" localSheetId="32">'Input - Site'!$E$21</definedName>
    <definedName name="X_Cell_Site_State" localSheetId="29">'Input - Site'!$E$21</definedName>
    <definedName name="X_Cell_Site_State" localSheetId="31">'Input - Site'!$E$21</definedName>
    <definedName name="X_Cell_Site_State" localSheetId="28">'Input - Site'!$E$21</definedName>
    <definedName name="X_Cell_Site_State" localSheetId="26">'Input - Site'!$E$21</definedName>
    <definedName name="X_Cell_Site_State" localSheetId="9">'Input - Site'!$E$21</definedName>
    <definedName name="X_Cell_Site_State" localSheetId="8">'Input - Site'!$E$21</definedName>
    <definedName name="X_Cell_Site_State" localSheetId="6">'Input - Site'!$E$21</definedName>
    <definedName name="X_Cell_Site_State" localSheetId="4">'Input - Site'!$E$21</definedName>
    <definedName name="X_Cell_Site_State" localSheetId="5">'Input - Site'!$E$21</definedName>
    <definedName name="X_Cell_Site_State" localSheetId="3">'Input - Site'!$E$21</definedName>
    <definedName name="X_Cell_Site_State">#REF!</definedName>
    <definedName name="X_Cell_Site_TemperatureZone" localSheetId="3">'Input - Site'!$E$33</definedName>
    <definedName name="X_Cell_Site_TemperatureZone">#REF!</definedName>
    <definedName name="X_Cell_Site_TotalRainfall" localSheetId="3">'Input - Site'!$E$26</definedName>
    <definedName name="X_Cell_Site_TotalRainfall">#REF!</definedName>
    <definedName name="X_Cell_Site_WetOrDryClimateZone" localSheetId="11">'Input - Site'!$E$32</definedName>
    <definedName name="X_Cell_Site_WetOrDryClimateZone" localSheetId="12">'Input - Site'!$E$32</definedName>
    <definedName name="X_Cell_Site_WetOrDryClimateZone" localSheetId="13">'Input - Site'!$E$32</definedName>
    <definedName name="X_Cell_Site_WetOrDryClimateZone" localSheetId="14">'Input - Site'!$E$32</definedName>
    <definedName name="X_Cell_Site_WetOrDryClimateZone" localSheetId="15">'Input - Site'!$E$32</definedName>
    <definedName name="X_Cell_Site_WetOrDryClimateZone" localSheetId="16">'Input - Site'!$E$32</definedName>
    <definedName name="X_Cell_Site_WetOrDryClimateZone" localSheetId="17">'Input - Site'!$E$32</definedName>
    <definedName name="X_Cell_Site_WetOrDryClimateZone" localSheetId="18">'Input - Site'!$E$32</definedName>
    <definedName name="X_Cell_Site_WetOrDryClimateZone" localSheetId="19">'Input - Site'!$E$32</definedName>
    <definedName name="X_Cell_Site_WetOrDryClimateZone" localSheetId="20">'Input - Site'!$E$32</definedName>
    <definedName name="X_Cell_Site_WetOrDryClimateZone" localSheetId="21">'Input - Site'!$E$32</definedName>
    <definedName name="X_Cell_Site_WetOrDryClimateZone" localSheetId="22">'Input - Site'!$E$32</definedName>
    <definedName name="X_Cell_Site_WetOrDryClimateZone" localSheetId="27">'Input - Site'!$E$32</definedName>
    <definedName name="X_Cell_Site_WetOrDryClimateZone" localSheetId="30">'Input - Site'!$E$32</definedName>
    <definedName name="X_Cell_Site_WetOrDryClimateZone" localSheetId="7">'Input - Site'!$E$32</definedName>
    <definedName name="X_Cell_Site_WetOrDryClimateZone" localSheetId="6">'Input - Site'!$E$32</definedName>
    <definedName name="X_Cell_Site_WetOrDryClimateZone" localSheetId="4">'Input - Site'!$E$32</definedName>
    <definedName name="X_Cell_Site_WetOrDryClimateZone" localSheetId="3">'Input - Site'!$E$32</definedName>
    <definedName name="X_Cell_Site_WetOrDryClimateZone" localSheetId="34">'Input - Site'!$E$32</definedName>
    <definedName name="X_Cell_Site_WetOrDryClimateZone">#REF!</definedName>
    <definedName name="X_Cell_TotalElegibleRECsForElectricityProducedOnSite" localSheetId="25">'Input - Electricity'!$E$46</definedName>
    <definedName name="X_Cell_TotalElegibleRECsForElectricityProducedOnSite" localSheetId="29">'Input - Electricity'!$E$46</definedName>
    <definedName name="X_Cell_TotalElegibleRECsForElectricityProducedOnSite">'Input - Electricity'!$E$46</definedName>
    <definedName name="X_Cell_TotalElegibleVoluntarilySurrenderedRECs" localSheetId="25">'Input - Electricity'!$E$37</definedName>
    <definedName name="X_Cell_TotalElegibleVoluntarilySurrenderedRECs" localSheetId="29">'Input - Electricity'!$E$37</definedName>
    <definedName name="X_Cell_TotalElegibleVoluntarilySurrenderedRECs">'Input - Electricity'!$E$37</definedName>
    <definedName name="X_Table_PastureBeef_CrudeProtein_Method1" localSheetId="11">'Input - Pasture Beef'!$D$153:$N$157</definedName>
    <definedName name="X_Table_PastureBeef_CrudeProtein_Method1" localSheetId="12">'Input - Pasture Beef'!$D$153:$N$157</definedName>
    <definedName name="X_Table_PastureBeef_CrudeProtein_Method1" localSheetId="13">'Input - Pasture Beef'!$D$153:$N$157</definedName>
    <definedName name="X_Table_PastureBeef_CrudeProtein_Method1" localSheetId="14">'Input - Pasture Beef'!$D$153:$N$157</definedName>
    <definedName name="X_Table_PastureBeef_CrudeProtein_Method1" localSheetId="4">'Input - Pasture Beef'!$D$153:$N$157</definedName>
    <definedName name="X_Table_PastureBeef_CrudeProtein_Method1" localSheetId="5">'Input - Pasture Beef (Enteric)'!$D$146:$N$150</definedName>
    <definedName name="X_Table_PastureBeef_CrudeProtein_Method1" localSheetId="3">'Input - Pasture Beef'!$D$153:$N$157</definedName>
    <definedName name="X_Table_PastureBeef_CrudeProtein_Method1">#REF!</definedName>
    <definedName name="X_Table_PastureBeef_CrudeProtein_Method2" localSheetId="11">'Input - Pasture Beef'!$D$159:$N$171</definedName>
    <definedName name="X_Table_PastureBeef_CrudeProtein_Method2" localSheetId="12">'Input - Pasture Beef'!$D$159:$N$171</definedName>
    <definedName name="X_Table_PastureBeef_CrudeProtein_Method2" localSheetId="13">'Input - Pasture Beef'!$D$159:$N$171</definedName>
    <definedName name="X_Table_PastureBeef_CrudeProtein_Method2" localSheetId="14">'Input - Pasture Beef'!$D$159:$N$171</definedName>
    <definedName name="X_Table_PastureBeef_CrudeProtein_Method2" localSheetId="4">'Input - Pasture Beef'!$D$159:$N$171</definedName>
    <definedName name="X_Table_PastureBeef_CrudeProtein_Method2" localSheetId="5">'Input - Pasture Beef (Enteric)'!$D$152:$N$164</definedName>
    <definedName name="X_Table_PastureBeef_CrudeProtein_Method2" localSheetId="3">'Input - Pasture Beef'!$D$159:$N$171</definedName>
    <definedName name="X_Table_PastureBeef_CrudeProtein_Method2">#REF!</definedName>
    <definedName name="X_Table_PastureBeef_DryMatterDigestibility_Method1" localSheetId="11">'Input - Pasture Beef'!$D$131:$N$135</definedName>
    <definedName name="X_Table_PastureBeef_DryMatterDigestibility_Method1" localSheetId="12">'Input - Pasture Beef'!$D$131:$N$135</definedName>
    <definedName name="X_Table_PastureBeef_DryMatterDigestibility_Method1" localSheetId="13">'Input - Pasture Beef'!$D$131:$N$135</definedName>
    <definedName name="X_Table_PastureBeef_DryMatterDigestibility_Method1" localSheetId="14">'Input - Pasture Beef'!$D$131:$N$135</definedName>
    <definedName name="X_Table_PastureBeef_DryMatterDigestibility_Method1" localSheetId="4">'Input - Pasture Beef'!$D$131:$N$135</definedName>
    <definedName name="X_Table_PastureBeef_DryMatterDigestibility_Method1" localSheetId="5">'Input - Pasture Beef (Enteric)'!$D$124:$N$128</definedName>
    <definedName name="X_Table_PastureBeef_DryMatterDigestibility_Method1" localSheetId="3">'Input - Pasture Beef'!$D$131:$N$135</definedName>
    <definedName name="X_Table_PastureBeef_DryMatterDigestibility_Method1">#REF!</definedName>
    <definedName name="X_Table_PastureBeef_DryMatterDigestibility_Method2" localSheetId="11">'Input - Pasture Beef'!$D$137:$N$149</definedName>
    <definedName name="X_Table_PastureBeef_DryMatterDigestibility_Method2" localSheetId="12">'Input - Pasture Beef'!$D$137:$N$149</definedName>
    <definedName name="X_Table_PastureBeef_DryMatterDigestibility_Method2" localSheetId="13">'Input - Pasture Beef'!$D$137:$N$149</definedName>
    <definedName name="X_Table_PastureBeef_DryMatterDigestibility_Method2" localSheetId="14">'Input - Pasture Beef'!$D$137:$N$149</definedName>
    <definedName name="X_Table_PastureBeef_DryMatterDigestibility_Method2" localSheetId="4">'Input - Pasture Beef'!$D$137:$N$149</definedName>
    <definedName name="X_Table_PastureBeef_DryMatterDigestibility_Method2" localSheetId="5">'Input - Pasture Beef (Enteric)'!$D$130:$N$142</definedName>
    <definedName name="X_Table_PastureBeef_DryMatterDigestibility_Method2" localSheetId="3">'Input - Pasture Beef'!$D$137:$N$149</definedName>
    <definedName name="X_Table_PastureBeef_DryMatterDigestibility_Method2">#REF!</definedName>
    <definedName name="X_Table_PastureBeef_Duration_Method1" localSheetId="10">'Input - Pasture Beef'!$D$15:$N$19</definedName>
    <definedName name="X_Table_PastureBeef_Duration_Method1" localSheetId="11">'Input - Pasture Beef'!$D$15:$N$19</definedName>
    <definedName name="X_Table_PastureBeef_Duration_Method1" localSheetId="12">'Input - Pasture Beef'!$D$15:$N$19</definedName>
    <definedName name="X_Table_PastureBeef_Duration_Method1" localSheetId="13">'Input - Pasture Beef'!$D$15:$N$19</definedName>
    <definedName name="X_Table_PastureBeef_Duration_Method1" localSheetId="14">'Input - Pasture Beef'!$D$15:$N$19</definedName>
    <definedName name="X_Table_PastureBeef_Duration_Method1" localSheetId="33">'Input - Pasture Beef'!$D$15:$N$19</definedName>
    <definedName name="X_Table_PastureBeef_Duration_Method1" localSheetId="32">'Input - Pasture Beef'!$D$15:$N$19</definedName>
    <definedName name="X_Table_PastureBeef_Duration_Method1" localSheetId="28">'Input - Pasture Beef'!$D$15:$N$19</definedName>
    <definedName name="X_Table_PastureBeef_Duration_Method1" localSheetId="26">'Input - Pasture Beef'!$D$15:$N$19</definedName>
    <definedName name="X_Table_PastureBeef_Duration_Method1" localSheetId="4">'Input - Pasture Beef'!$D$15:$N$19</definedName>
    <definedName name="X_Table_PastureBeef_Duration_Method1" localSheetId="5">'Input - Pasture Beef (Enteric)'!$D$15:$N$19</definedName>
    <definedName name="X_Table_PastureBeef_Duration_Method1" localSheetId="3">'Input - Pasture Beef'!$D$15:$N$19</definedName>
    <definedName name="X_Table_PastureBeef_Duration_Method1">#REF!</definedName>
    <definedName name="X_Table_PastureBeef_Duration_Method2" localSheetId="10">'Input - Pasture Beef'!$D$21:$N$33</definedName>
    <definedName name="X_Table_PastureBeef_Duration_Method2" localSheetId="11">'Input - Pasture Beef'!$D$21:$N$33</definedName>
    <definedName name="X_Table_PastureBeef_Duration_Method2" localSheetId="12">'Input - Pasture Beef'!$D$21:$N$33</definedName>
    <definedName name="X_Table_PastureBeef_Duration_Method2" localSheetId="13">'Input - Pasture Beef'!$D$21:$N$33</definedName>
    <definedName name="X_Table_PastureBeef_Duration_Method2" localSheetId="14">'Input - Pasture Beef'!$D$21:$N$33</definedName>
    <definedName name="X_Table_PastureBeef_Duration_Method2" localSheetId="33">'Input - Pasture Beef'!$D$21:$N$33</definedName>
    <definedName name="X_Table_PastureBeef_Duration_Method2" localSheetId="32">'Input - Pasture Beef'!$D$21:$N$33</definedName>
    <definedName name="X_Table_PastureBeef_Duration_Method2" localSheetId="28">'Input - Pasture Beef'!$D$21:$N$33</definedName>
    <definedName name="X_Table_PastureBeef_Duration_Method2" localSheetId="26">'Input - Pasture Beef'!$D$21:$N$33</definedName>
    <definedName name="X_Table_PastureBeef_Duration_Method2" localSheetId="4">'Input - Pasture Beef'!$D$21:$N$33</definedName>
    <definedName name="X_Table_PastureBeef_Duration_Method2" localSheetId="5">'Input - Pasture Beef (Enteric)'!$D$21:$N$33</definedName>
    <definedName name="X_Table_PastureBeef_Duration_Method2" localSheetId="3">'Input - Pasture Beef'!$D$21:$N$33</definedName>
    <definedName name="X_Table_PastureBeef_Duration_Method2">#REF!</definedName>
    <definedName name="X_Table_PastureBeef_Head_Method1" localSheetId="10">'Input - Pasture Beef'!$D$37:$N$41</definedName>
    <definedName name="X_Table_PastureBeef_Head_Method1" localSheetId="11">'Input - Pasture Beef'!$D$37:$N$41</definedName>
    <definedName name="X_Table_PastureBeef_Head_Method1" localSheetId="12">'Input - Pasture Beef'!$D$37:$N$41</definedName>
    <definedName name="X_Table_PastureBeef_Head_Method1" localSheetId="13">'Input - Pasture Beef'!$D$37:$N$41</definedName>
    <definedName name="X_Table_PastureBeef_Head_Method1" localSheetId="14">'Input - Pasture Beef'!$D$37:$N$41</definedName>
    <definedName name="X_Table_PastureBeef_Head_Method1" localSheetId="33">'Input - Pasture Beef'!$D$37:$N$41</definedName>
    <definedName name="X_Table_PastureBeef_Head_Method1" localSheetId="32">'Input - Pasture Beef'!$D$37:$N$41</definedName>
    <definedName name="X_Table_PastureBeef_Head_Method1" localSheetId="28">'Input - Pasture Beef'!$D$37:$N$41</definedName>
    <definedName name="X_Table_PastureBeef_Head_Method1" localSheetId="26">'Input - Pasture Beef'!$D$37:$N$41</definedName>
    <definedName name="X_Table_PastureBeef_Head_Method1" localSheetId="4">'Input - Pasture Beef'!$D$37:$N$41</definedName>
    <definedName name="X_Table_PastureBeef_Head_Method1" localSheetId="5">'Input - Pasture Beef (Enteric)'!$D$37:$N$41</definedName>
    <definedName name="X_Table_PastureBeef_Head_Method1" localSheetId="3">'Input - Pasture Beef'!$D$37:$N$41</definedName>
    <definedName name="X_Table_PastureBeef_Head_Method1">#REF!</definedName>
    <definedName name="X_Table_PastureBeef_Head_Method2" localSheetId="10">'Input - Pasture Beef'!$D$43:$N$55</definedName>
    <definedName name="X_Table_PastureBeef_Head_Method2" localSheetId="11">'Input - Pasture Beef'!$D$43:$N$55</definedName>
    <definedName name="X_Table_PastureBeef_Head_Method2" localSheetId="12">'Input - Pasture Beef'!$D$43:$N$55</definedName>
    <definedName name="X_Table_PastureBeef_Head_Method2" localSheetId="13">'Input - Pasture Beef'!$D$43:$N$55</definedName>
    <definedName name="X_Table_PastureBeef_Head_Method2" localSheetId="14">'Input - Pasture Beef'!$D$43:$N$55</definedName>
    <definedName name="X_Table_PastureBeef_Head_Method2" localSheetId="33">'Input - Pasture Beef'!$D$43:$N$55</definedName>
    <definedName name="X_Table_PastureBeef_Head_Method2" localSheetId="32">'Input - Pasture Beef'!$D$43:$N$55</definedName>
    <definedName name="X_Table_PastureBeef_Head_Method2" localSheetId="28">'Input - Pasture Beef'!$D$43:$N$55</definedName>
    <definedName name="X_Table_PastureBeef_Head_Method2" localSheetId="26">'Input - Pasture Beef'!$D$43:$N$55</definedName>
    <definedName name="X_Table_PastureBeef_Head_Method2" localSheetId="4">'Input - Pasture Beef'!$D$43:$N$55</definedName>
    <definedName name="X_Table_PastureBeef_Head_Method2" localSheetId="5">'Input - Pasture Beef (Enteric)'!$D$43:$N$55</definedName>
    <definedName name="X_Table_PastureBeef_Head_Method2" localSheetId="3">'Input - Pasture Beef'!$D$43:$N$55</definedName>
    <definedName name="X_Table_PastureBeef_Head_Method2">#REF!</definedName>
    <definedName name="X_Table_PastureBeef_Liveweight_Method1" localSheetId="10">'Input - Pasture Beef'!$D$59:$N$63</definedName>
    <definedName name="X_Table_PastureBeef_Liveweight_Method1" localSheetId="11">'Input - Pasture Beef'!$D$59:$N$63</definedName>
    <definedName name="X_Table_PastureBeef_Liveweight_Method1" localSheetId="12">'Input - Pasture Beef'!$D$59:$N$63</definedName>
    <definedName name="X_Table_PastureBeef_Liveweight_Method1" localSheetId="13">'Input - Pasture Beef'!$D$59:$N$63</definedName>
    <definedName name="X_Table_PastureBeef_Liveweight_Method1" localSheetId="14">'Input - Pasture Beef'!$D$59:$N$63</definedName>
    <definedName name="X_Table_PastureBeef_Liveweight_Method1" localSheetId="33">'Input - Pasture Beef'!$D$59:$N$63</definedName>
    <definedName name="X_Table_PastureBeef_Liveweight_Method1" localSheetId="32">'Input - Pasture Beef'!$D$59:$N$63</definedName>
    <definedName name="X_Table_PastureBeef_Liveweight_Method1" localSheetId="28">'Input - Pasture Beef'!$D$59:$N$63</definedName>
    <definedName name="X_Table_PastureBeef_Liveweight_Method1" localSheetId="26">'Input - Pasture Beef'!$D$59:$N$63</definedName>
    <definedName name="X_Table_PastureBeef_Liveweight_Method1" localSheetId="4">'Input - Pasture Beef'!$D$59:$N$63</definedName>
    <definedName name="X_Table_PastureBeef_Liveweight_Method1" localSheetId="5">'Input - Pasture Beef (Enteric)'!$D$59:$N$63</definedName>
    <definedName name="X_Table_PastureBeef_Liveweight_Method1" localSheetId="3">'Input - Pasture Beef'!$D$59:$N$63</definedName>
    <definedName name="X_Table_PastureBeef_Liveweight_Method1">#REF!</definedName>
    <definedName name="X_Table_PastureBeef_Liveweight_Method2" localSheetId="10">'Input - Pasture Beef'!$D$65:$N$77</definedName>
    <definedName name="X_Table_PastureBeef_Liveweight_Method2" localSheetId="11">'Input - Pasture Beef'!$D$65:$N$77</definedName>
    <definedName name="X_Table_PastureBeef_Liveweight_Method2" localSheetId="12">'Input - Pasture Beef'!$D$65:$N$77</definedName>
    <definedName name="X_Table_PastureBeef_Liveweight_Method2" localSheetId="13">'Input - Pasture Beef'!$D$65:$N$77</definedName>
    <definedName name="X_Table_PastureBeef_Liveweight_Method2" localSheetId="14">'Input - Pasture Beef'!$D$65:$N$77</definedName>
    <definedName name="X_Table_PastureBeef_Liveweight_Method2" localSheetId="33">'Input - Pasture Beef'!$D$65:$N$77</definedName>
    <definedName name="X_Table_PastureBeef_Liveweight_Method2" localSheetId="32">'Input - Pasture Beef'!$D$65:$N$77</definedName>
    <definedName name="X_Table_PastureBeef_Liveweight_Method2" localSheetId="28">'Input - Pasture Beef'!$D$65:$N$77</definedName>
    <definedName name="X_Table_PastureBeef_Liveweight_Method2" localSheetId="26">'Input - Pasture Beef'!$D$65:$N$77</definedName>
    <definedName name="X_Table_PastureBeef_Liveweight_Method2" localSheetId="4">'Input - Pasture Beef'!$D$65:$N$77</definedName>
    <definedName name="X_Table_PastureBeef_Liveweight_Method2" localSheetId="5">'Input - Pasture Beef (Enteric)'!$D$65:$N$77</definedName>
    <definedName name="X_Table_PastureBeef_Liveweight_Method2" localSheetId="3">'Input - Pasture Beef'!$D$65:$N$77</definedName>
    <definedName name="X_Table_PastureBeef_Liveweight_Method2">#REF!</definedName>
    <definedName name="X_Table_PastureBeef_LiveweightGain_Method1" localSheetId="10">'Input - Pasture Beef'!$D$81:$N$85</definedName>
    <definedName name="X_Table_PastureBeef_LiveweightGain_Method1" localSheetId="11">'Input - Pasture Beef'!$D$81:$N$85</definedName>
    <definedName name="X_Table_PastureBeef_LiveweightGain_Method1" localSheetId="12">'Input - Pasture Beef'!$D$81:$N$85</definedName>
    <definedName name="X_Table_PastureBeef_LiveweightGain_Method1" localSheetId="13">'Input - Pasture Beef'!$D$81:$N$85</definedName>
    <definedName name="X_Table_PastureBeef_LiveweightGain_Method1" localSheetId="14">'Input - Pasture Beef'!$D$81:$N$85</definedName>
    <definedName name="X_Table_PastureBeef_LiveweightGain_Method1" localSheetId="33">'Input - Pasture Beef'!$D$81:$N$85</definedName>
    <definedName name="X_Table_PastureBeef_LiveweightGain_Method1" localSheetId="32">'Input - Pasture Beef'!$D$81:$N$85</definedName>
    <definedName name="X_Table_PastureBeef_LiveweightGain_Method1" localSheetId="28">'Input - Pasture Beef'!$D$81:$N$85</definedName>
    <definedName name="X_Table_PastureBeef_LiveweightGain_Method1" localSheetId="26">'Input - Pasture Beef'!$D$81:$N$85</definedName>
    <definedName name="X_Table_PastureBeef_LiveweightGain_Method1" localSheetId="4">'Input - Pasture Beef'!$D$81:$N$85</definedName>
    <definedName name="X_Table_PastureBeef_LiveweightGain_Method1" localSheetId="5">'Input - Pasture Beef (Enteric)'!$D$81:$N$85</definedName>
    <definedName name="X_Table_PastureBeef_LiveweightGain_Method1" localSheetId="3">'Input - Pasture Beef'!$D$81:$N$85</definedName>
    <definedName name="X_Table_PastureBeef_LiveweightGain_Method1">#REF!</definedName>
    <definedName name="X_Table_PastureBeef_LiveweightGain_Method2" localSheetId="10">'Input - Pasture Beef'!$D$87:$N$99</definedName>
    <definedName name="X_Table_PastureBeef_LiveweightGain_Method2" localSheetId="11">'Input - Pasture Beef'!$D$87:$N$99</definedName>
    <definedName name="X_Table_PastureBeef_LiveweightGain_Method2" localSheetId="12">'Input - Pasture Beef'!$D$87:$N$99</definedName>
    <definedName name="X_Table_PastureBeef_LiveweightGain_Method2" localSheetId="13">'Input - Pasture Beef'!$D$87:$N$99</definedName>
    <definedName name="X_Table_PastureBeef_LiveweightGain_Method2" localSheetId="14">'Input - Pasture Beef'!$D$87:$N$99</definedName>
    <definedName name="X_Table_PastureBeef_LiveweightGain_Method2" localSheetId="33">'Input - Pasture Beef'!$D$87:$N$99</definedName>
    <definedName name="X_Table_PastureBeef_LiveweightGain_Method2" localSheetId="32">'Input - Pasture Beef'!$D$87:$N$99</definedName>
    <definedName name="X_Table_PastureBeef_LiveweightGain_Method2" localSheetId="28">'Input - Pasture Beef'!$D$87:$N$99</definedName>
    <definedName name="X_Table_PastureBeef_LiveweightGain_Method2" localSheetId="26">'Input - Pasture Beef'!$D$87:$N$99</definedName>
    <definedName name="X_Table_PastureBeef_LiveweightGain_Method2" localSheetId="4">'Input - Pasture Beef'!$D$87:$N$99</definedName>
    <definedName name="X_Table_PastureBeef_LiveweightGain_Method2" localSheetId="5">'Input - Pasture Beef (Enteric)'!$D$87:$N$99</definedName>
    <definedName name="X_Table_PastureBeef_LiveweightGain_Method2" localSheetId="3">'Input - Pasture Beef'!$D$87:$N$99</definedName>
    <definedName name="X_Table_PastureBeef_LiveweightGain_Method2">#REF!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1" l="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4"/>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73"/>
  <c r="A45" i="73"/>
  <c r="A44" i="73"/>
  <c r="A43" i="73"/>
  <c r="A42" i="73"/>
  <c r="A41" i="73"/>
  <c r="A40" i="73"/>
  <c r="A39" i="73"/>
  <c r="A38" i="73"/>
  <c r="A34" i="73"/>
  <c r="A33" i="73"/>
  <c r="A32" i="73"/>
  <c r="A31" i="73"/>
  <c r="A30" i="73"/>
  <c r="A29" i="73"/>
  <c r="A28" i="73"/>
  <c r="A27" i="73"/>
  <c r="A26" i="73"/>
  <c r="A25" i="73"/>
  <c r="A24" i="73"/>
  <c r="A23" i="73"/>
  <c r="A22" i="73"/>
  <c r="A21" i="73"/>
  <c r="A20" i="73"/>
  <c r="A19" i="73"/>
  <c r="A15" i="73"/>
  <c r="A14" i="73"/>
  <c r="A13" i="73"/>
  <c r="A12" i="73"/>
  <c r="A11" i="73"/>
  <c r="A10" i="73"/>
  <c r="A9" i="73"/>
  <c r="A8" i="73"/>
  <c r="A4" i="73"/>
  <c r="A3" i="73"/>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4"/>
  <c r="X22" i="74"/>
  <c r="W22" i="74"/>
  <c r="V22" i="74"/>
  <c r="U22" i="74"/>
  <c r="G21" i="74"/>
  <c r="F21" i="74"/>
  <c r="E21" i="74"/>
  <c r="D21" i="74"/>
  <c r="D9" i="75"/>
  <c r="D8" i="75"/>
  <c r="J36" i="90" a="1"/>
  <c r="J36" i="90" s="1"/>
  <c r="M40" i="94" a="1"/>
  <c r="M40" i="94" s="1"/>
  <c r="L40" i="94" a="1"/>
  <c r="L40" i="94" s="1"/>
  <c r="J40" i="94"/>
  <c r="I40" i="94"/>
  <c r="H40" i="94"/>
  <c r="G40" i="94"/>
  <c r="F40" i="94"/>
  <c r="E40" i="94"/>
  <c r="M39" i="94" a="1"/>
  <c r="M39" i="94" s="1"/>
  <c r="L39" i="94" a="1"/>
  <c r="L39" i="94" s="1"/>
  <c r="J39" i="94"/>
  <c r="I39" i="94"/>
  <c r="H39" i="94"/>
  <c r="G39" i="94"/>
  <c r="F39" i="94"/>
  <c r="E39" i="94"/>
  <c r="M38" i="94" a="1"/>
  <c r="M38" i="94" s="1"/>
  <c r="L38" i="94" a="1"/>
  <c r="L38" i="94" s="1"/>
  <c r="K38" i="94"/>
  <c r="J38" i="94"/>
  <c r="I38" i="94"/>
  <c r="H38" i="94"/>
  <c r="G38" i="94"/>
  <c r="F38" i="94"/>
  <c r="E38" i="94"/>
  <c r="M37" i="94" a="1"/>
  <c r="M37" i="94" s="1"/>
  <c r="L37" i="94" a="1"/>
  <c r="L37" i="94" s="1"/>
  <c r="K37" i="94"/>
  <c r="J37" i="94"/>
  <c r="I37" i="94"/>
  <c r="H37" i="94"/>
  <c r="G37" i="94"/>
  <c r="F37" i="94"/>
  <c r="E37" i="94"/>
  <c r="M36" i="94" a="1"/>
  <c r="M36" i="94" s="1"/>
  <c r="L36" i="94" a="1"/>
  <c r="L36" i="94" s="1"/>
  <c r="K36" i="94"/>
  <c r="J36" i="94"/>
  <c r="I36" i="94"/>
  <c r="H36" i="94"/>
  <c r="G36" i="94"/>
  <c r="F36" i="94"/>
  <c r="E36" i="94"/>
  <c r="M35" i="94" a="1"/>
  <c r="M35" i="94" s="1"/>
  <c r="L35" i="94" a="1"/>
  <c r="L35" i="94" s="1"/>
  <c r="K35" i="94"/>
  <c r="J35" i="94"/>
  <c r="I35" i="94"/>
  <c r="H35" i="94"/>
  <c r="G35" i="94"/>
  <c r="F35" i="94"/>
  <c r="E35" i="94"/>
  <c r="M34" i="94" a="1"/>
  <c r="M34" i="94" s="1"/>
  <c r="L34" i="94" a="1"/>
  <c r="L34" i="94" s="1"/>
  <c r="K34" i="94"/>
  <c r="J34" i="94"/>
  <c r="I34" i="94"/>
  <c r="H34" i="94"/>
  <c r="G34" i="94"/>
  <c r="F34" i="94"/>
  <c r="E34" i="94"/>
  <c r="M33" i="94" a="1"/>
  <c r="M33" i="94" s="1"/>
  <c r="L33" i="94" a="1"/>
  <c r="L33" i="94" s="1"/>
  <c r="K33" i="94"/>
  <c r="J33" i="94"/>
  <c r="I33" i="94"/>
  <c r="H33" i="94"/>
  <c r="G33" i="94"/>
  <c r="F33" i="94"/>
  <c r="E33" i="94"/>
  <c r="M32" i="94" a="1"/>
  <c r="M32" i="94" s="1"/>
  <c r="L32" i="94" a="1"/>
  <c r="L32" i="94" s="1"/>
  <c r="K32" i="94"/>
  <c r="J32" i="94"/>
  <c r="I32" i="94"/>
  <c r="H32" i="94"/>
  <c r="G32" i="94"/>
  <c r="F32" i="94"/>
  <c r="E32" i="94"/>
  <c r="D32" i="94"/>
  <c r="M31" i="94" a="1"/>
  <c r="M31" i="94" s="1"/>
  <c r="L31" i="94" a="1"/>
  <c r="L31" i="94" s="1"/>
  <c r="K31" i="94"/>
  <c r="J31" i="94"/>
  <c r="I31" i="94"/>
  <c r="H31" i="94"/>
  <c r="G31" i="94"/>
  <c r="F31" i="94"/>
  <c r="E31" i="94"/>
  <c r="M30" i="94" a="1"/>
  <c r="M30" i="94" s="1"/>
  <c r="L30" i="94" a="1"/>
  <c r="L30" i="94" s="1"/>
  <c r="K30" i="94"/>
  <c r="J30" i="94"/>
  <c r="I30" i="94"/>
  <c r="H30" i="94"/>
  <c r="G30" i="94"/>
  <c r="F30" i="94"/>
  <c r="E30" i="94"/>
  <c r="M29" i="94" a="1"/>
  <c r="M29" i="94" s="1"/>
  <c r="L29" i="94" a="1"/>
  <c r="L29" i="94" s="1"/>
  <c r="K29" i="94"/>
  <c r="J29" i="94"/>
  <c r="I29" i="94"/>
  <c r="H29" i="94"/>
  <c r="G29" i="94"/>
  <c r="F29" i="94"/>
  <c r="E29" i="94"/>
  <c r="M28" i="94" a="1"/>
  <c r="M28" i="94" s="1"/>
  <c r="L28" i="94" a="1"/>
  <c r="L28" i="94" s="1"/>
  <c r="K28" i="94"/>
  <c r="J28" i="94"/>
  <c r="I28" i="94"/>
  <c r="H28" i="94"/>
  <c r="G28" i="94"/>
  <c r="F28" i="94"/>
  <c r="E28" i="94"/>
  <c r="M27" i="94" a="1"/>
  <c r="M27" i="94" s="1"/>
  <c r="L27" i="94" a="1"/>
  <c r="L27" i="94" s="1"/>
  <c r="K27" i="94"/>
  <c r="J27" i="94"/>
  <c r="I27" i="94"/>
  <c r="H27" i="94"/>
  <c r="G27" i="94"/>
  <c r="F27" i="94"/>
  <c r="E27" i="94"/>
  <c r="M26" i="94" a="1"/>
  <c r="M26" i="94" s="1"/>
  <c r="L26" i="94" a="1"/>
  <c r="L26" i="94" s="1"/>
  <c r="K26" i="94"/>
  <c r="J26" i="94"/>
  <c r="I26" i="94"/>
  <c r="H26" i="94"/>
  <c r="G26" i="94"/>
  <c r="F26" i="94"/>
  <c r="E26" i="94"/>
  <c r="M25" i="94" a="1"/>
  <c r="M25" i="94" s="1"/>
  <c r="L25" i="94" a="1"/>
  <c r="L25" i="94" s="1"/>
  <c r="K25" i="94"/>
  <c r="J25" i="94"/>
  <c r="I25" i="94"/>
  <c r="H25" i="94"/>
  <c r="G25" i="94"/>
  <c r="F25" i="94"/>
  <c r="E25" i="94"/>
  <c r="D25" i="94"/>
  <c r="M39" i="93" a="1"/>
  <c r="M39" i="93" s="1"/>
  <c r="L39" i="93" a="1"/>
  <c r="L39" i="93" s="1"/>
  <c r="K39" i="93" a="1"/>
  <c r="K39" i="93" s="1"/>
  <c r="J39" i="93" a="1"/>
  <c r="J39" i="93" s="1"/>
  <c r="I39" i="93" a="1"/>
  <c r="I39" i="93" s="1"/>
  <c r="H39" i="93" a="1"/>
  <c r="H39" i="93" s="1"/>
  <c r="G39" i="93" a="1"/>
  <c r="G39" i="93" s="1"/>
  <c r="F39" i="93"/>
  <c r="E39" i="93"/>
  <c r="M38" i="93" a="1"/>
  <c r="M38" i="93" s="1"/>
  <c r="L38" i="93" a="1"/>
  <c r="L38" i="93" s="1"/>
  <c r="K38" i="93" a="1"/>
  <c r="K38" i="93" s="1"/>
  <c r="J38" i="93" a="1"/>
  <c r="J38" i="93" s="1"/>
  <c r="I38" i="93" a="1"/>
  <c r="I38" i="93" s="1"/>
  <c r="H38" i="93" a="1"/>
  <c r="H38" i="93" s="1"/>
  <c r="G38" i="93" a="1"/>
  <c r="G38" i="93" s="1"/>
  <c r="F38" i="93"/>
  <c r="E38" i="93"/>
  <c r="M37" i="93" a="1"/>
  <c r="M37" i="93" s="1"/>
  <c r="L37" i="93" a="1"/>
  <c r="L37" i="93" s="1"/>
  <c r="K37" i="93" a="1"/>
  <c r="K37" i="93" s="1"/>
  <c r="J37" i="93" a="1"/>
  <c r="J37" i="93" s="1"/>
  <c r="I37" i="93" a="1"/>
  <c r="I37" i="93" s="1"/>
  <c r="H37" i="93" a="1"/>
  <c r="H37" i="93" s="1"/>
  <c r="G37" i="93" a="1"/>
  <c r="G37" i="93" s="1"/>
  <c r="F37" i="93"/>
  <c r="E37" i="93"/>
  <c r="D37" i="93"/>
  <c r="M36" i="93" a="1"/>
  <c r="M36" i="93" s="1"/>
  <c r="L36" i="93" a="1"/>
  <c r="L36" i="93" s="1"/>
  <c r="K36" i="93" a="1"/>
  <c r="K36" i="93" s="1"/>
  <c r="J36" i="93" a="1"/>
  <c r="J36" i="93" s="1"/>
  <c r="I36" i="93" a="1"/>
  <c r="I36" i="93" s="1"/>
  <c r="H36" i="93" a="1"/>
  <c r="H36" i="93" s="1"/>
  <c r="G36" i="93" a="1"/>
  <c r="G36" i="93" s="1"/>
  <c r="F36" i="93"/>
  <c r="E36" i="93"/>
  <c r="M35" i="93" a="1"/>
  <c r="M35" i="93" s="1"/>
  <c r="L35" i="93" a="1"/>
  <c r="L35" i="93" s="1"/>
  <c r="K35" i="93" a="1"/>
  <c r="K35" i="93" s="1"/>
  <c r="J35" i="93" a="1"/>
  <c r="J35" i="93" s="1"/>
  <c r="I35" i="93" a="1"/>
  <c r="I35" i="93" s="1"/>
  <c r="H35" i="93" a="1"/>
  <c r="H35" i="93" s="1"/>
  <c r="G35" i="93" a="1"/>
  <c r="G35" i="93" s="1"/>
  <c r="F35" i="93"/>
  <c r="E35" i="93"/>
  <c r="M34" i="93" a="1"/>
  <c r="M34" i="93" s="1"/>
  <c r="L34" i="93" a="1"/>
  <c r="L34" i="93" s="1"/>
  <c r="K34" i="93" a="1"/>
  <c r="K34" i="93" s="1"/>
  <c r="J34" i="93" a="1"/>
  <c r="J34" i="93" s="1"/>
  <c r="I34" i="93" a="1"/>
  <c r="I34" i="93" s="1"/>
  <c r="H34" i="93" a="1"/>
  <c r="H34" i="93"/>
  <c r="G34" i="93" a="1"/>
  <c r="G34" i="93" s="1"/>
  <c r="F34" i="93"/>
  <c r="E34" i="93"/>
  <c r="D34" i="93"/>
  <c r="M33" i="93" a="1"/>
  <c r="M33" i="93" s="1"/>
  <c r="L33" i="93" a="1"/>
  <c r="L33" i="93" s="1"/>
  <c r="K33" i="93" a="1"/>
  <c r="K33" i="93" s="1"/>
  <c r="J33" i="93" a="1"/>
  <c r="J33" i="93" s="1"/>
  <c r="I33" i="93" a="1"/>
  <c r="I33" i="93" s="1"/>
  <c r="H33" i="93" a="1"/>
  <c r="H33" i="93" s="1"/>
  <c r="G33" i="93" a="1"/>
  <c r="G33" i="93" s="1"/>
  <c r="F33" i="93"/>
  <c r="E33" i="93"/>
  <c r="D33" i="93"/>
  <c r="M32" i="93" a="1"/>
  <c r="M32" i="93" s="1"/>
  <c r="L32" i="93" a="1"/>
  <c r="L32" i="93" s="1"/>
  <c r="K32" i="93" a="1"/>
  <c r="K32" i="93" s="1"/>
  <c r="J32" i="93" a="1"/>
  <c r="J32" i="93" s="1"/>
  <c r="I32" i="93" a="1"/>
  <c r="I32" i="93" s="1"/>
  <c r="H32" i="93" a="1"/>
  <c r="H32" i="93" s="1"/>
  <c r="G32" i="93" a="1"/>
  <c r="G32" i="93" s="1"/>
  <c r="F32" i="93"/>
  <c r="E32" i="93"/>
  <c r="M31" i="93" a="1"/>
  <c r="M31" i="93" s="1"/>
  <c r="L31" i="93" a="1"/>
  <c r="L31" i="93" s="1"/>
  <c r="K31" i="93" a="1"/>
  <c r="K31" i="93" s="1"/>
  <c r="J31" i="93" a="1"/>
  <c r="J31" i="93" s="1"/>
  <c r="I31" i="93" a="1"/>
  <c r="I31" i="93" s="1"/>
  <c r="H31" i="93" a="1"/>
  <c r="H31" i="93" s="1"/>
  <c r="G31" i="93" a="1"/>
  <c r="G31" i="93" s="1"/>
  <c r="F31" i="93"/>
  <c r="E31" i="93"/>
  <c r="M30" i="93" a="1"/>
  <c r="M30" i="93" s="1"/>
  <c r="L30" i="93" a="1"/>
  <c r="L30" i="93" s="1"/>
  <c r="K30" i="93" a="1"/>
  <c r="K30" i="93" s="1"/>
  <c r="J30" i="93" a="1"/>
  <c r="J30" i="93" s="1"/>
  <c r="I30" i="93" a="1"/>
  <c r="I30" i="93" s="1"/>
  <c r="H30" i="93" a="1"/>
  <c r="H30" i="93" s="1"/>
  <c r="G30" i="93" a="1"/>
  <c r="G30" i="93" s="1"/>
  <c r="F30" i="93"/>
  <c r="E30" i="93"/>
  <c r="M29" i="93" a="1"/>
  <c r="M29" i="93" s="1"/>
  <c r="L29" i="93" a="1"/>
  <c r="L29" i="93" s="1"/>
  <c r="K29" i="93" a="1"/>
  <c r="K29" i="93" s="1"/>
  <c r="J29" i="93" a="1"/>
  <c r="J29" i="93" s="1"/>
  <c r="I29" i="93" a="1"/>
  <c r="I29" i="93" s="1"/>
  <c r="H29" i="93" a="1"/>
  <c r="H29" i="93" s="1"/>
  <c r="G29" i="93" a="1"/>
  <c r="G29" i="93" s="1"/>
  <c r="F29" i="93"/>
  <c r="E29" i="93"/>
  <c r="M28" i="93" a="1"/>
  <c r="M28" i="93" s="1"/>
  <c r="L28" i="93" a="1"/>
  <c r="L28" i="93" s="1"/>
  <c r="K28" i="93" a="1"/>
  <c r="K28" i="93" s="1"/>
  <c r="J28" i="93" a="1"/>
  <c r="J28" i="93" s="1"/>
  <c r="I28" i="93" a="1"/>
  <c r="I28" i="93" s="1"/>
  <c r="H28" i="93" a="1"/>
  <c r="H28" i="93" s="1"/>
  <c r="G28" i="93" a="1"/>
  <c r="G28" i="93" s="1"/>
  <c r="F28" i="93"/>
  <c r="E28" i="93"/>
  <c r="M27" i="93" a="1"/>
  <c r="M27" i="93" s="1"/>
  <c r="L27" i="93" a="1"/>
  <c r="L27" i="93" s="1"/>
  <c r="K27" i="93" a="1"/>
  <c r="K27" i="93" s="1"/>
  <c r="J27" i="93" a="1"/>
  <c r="J27" i="93" s="1"/>
  <c r="I27" i="93" a="1"/>
  <c r="I27" i="93" s="1"/>
  <c r="H27" i="93" a="1"/>
  <c r="H27" i="93" s="1"/>
  <c r="G27" i="93" a="1"/>
  <c r="G27" i="93" s="1"/>
  <c r="F27" i="93"/>
  <c r="E27" i="93"/>
  <c r="M26" i="93" a="1"/>
  <c r="M26" i="93" s="1"/>
  <c r="L26" i="93" a="1"/>
  <c r="L26" i="93" s="1"/>
  <c r="K26" i="93" a="1"/>
  <c r="K26" i="93" s="1"/>
  <c r="J26" i="93" a="1"/>
  <c r="J26" i="93" s="1"/>
  <c r="I26" i="93" a="1"/>
  <c r="I26" i="93" s="1"/>
  <c r="H26" i="93" a="1"/>
  <c r="H26" i="93" s="1"/>
  <c r="G26" i="93" a="1"/>
  <c r="G26" i="93" s="1"/>
  <c r="F26" i="93"/>
  <c r="E26" i="93"/>
  <c r="M25" i="93" a="1"/>
  <c r="M25" i="93" s="1"/>
  <c r="L25" i="93" a="1"/>
  <c r="L25" i="93" s="1"/>
  <c r="K25" i="93" a="1"/>
  <c r="K25" i="93" s="1"/>
  <c r="J25" i="93" a="1"/>
  <c r="J25" i="93" s="1"/>
  <c r="I25" i="93" a="1"/>
  <c r="I25" i="93" s="1"/>
  <c r="H25" i="93" a="1"/>
  <c r="H25" i="93" s="1"/>
  <c r="G25" i="93" a="1"/>
  <c r="G25" i="93" s="1"/>
  <c r="F25" i="93"/>
  <c r="E25" i="93"/>
  <c r="D25" i="93"/>
  <c r="Q51" i="98"/>
  <c r="G51" i="98"/>
  <c r="J38" i="98"/>
  <c r="J37" i="98"/>
  <c r="H25" i="98"/>
  <c r="J15" i="98"/>
  <c r="Q43" i="97"/>
  <c r="G43" i="97"/>
  <c r="J35" i="97"/>
  <c r="J16" i="97" a="1"/>
  <c r="J16" i="97" s="1"/>
  <c r="J15" i="97" a="1"/>
  <c r="J15" i="97" s="1"/>
  <c r="G97" i="87"/>
  <c r="J92" i="87"/>
  <c r="J91" i="87"/>
  <c r="E75" i="87"/>
  <c r="D75" i="87"/>
  <c r="E74" i="87"/>
  <c r="D74" i="87"/>
  <c r="E73" i="87"/>
  <c r="D73" i="87"/>
  <c r="E72" i="87"/>
  <c r="D72" i="87"/>
  <c r="E71" i="87"/>
  <c r="D71" i="87"/>
  <c r="E70" i="87"/>
  <c r="D70" i="87"/>
  <c r="E69" i="87"/>
  <c r="D69" i="87"/>
  <c r="E68" i="87"/>
  <c r="D68" i="87"/>
  <c r="I57" i="87"/>
  <c r="D23" i="87" a="1"/>
  <c r="D23" i="87" s="1"/>
  <c r="I15" i="87"/>
  <c r="G149" i="86"/>
  <c r="D134" i="86" a="1"/>
  <c r="D134" i="86" s="1"/>
  <c r="I126" i="86"/>
  <c r="I125" i="86"/>
  <c r="E112" i="86"/>
  <c r="E111" i="86"/>
  <c r="E110" i="86"/>
  <c r="E109" i="86"/>
  <c r="E108" i="86"/>
  <c r="E107" i="86"/>
  <c r="E106" i="86"/>
  <c r="E105" i="86"/>
  <c r="D102" i="86" a="1"/>
  <c r="D102" i="86" s="1"/>
  <c r="I97" i="86"/>
  <c r="G82" i="86"/>
  <c r="D59" i="86" a="1"/>
  <c r="D59" i="86" s="1"/>
  <c r="J51" i="86"/>
  <c r="G37" i="86" a="1"/>
  <c r="G37" i="86" s="1"/>
  <c r="F37" i="86" a="1"/>
  <c r="F37" i="86" s="1"/>
  <c r="G36" i="86" a="1"/>
  <c r="G36" i="86" s="1"/>
  <c r="F36" i="86" a="1"/>
  <c r="F36" i="86" s="1"/>
  <c r="G35" i="86" a="1"/>
  <c r="G35" i="86" s="1"/>
  <c r="F35" i="86" a="1"/>
  <c r="F35" i="86" s="1"/>
  <c r="G34" i="86" a="1"/>
  <c r="G34" i="86" s="1"/>
  <c r="F34" i="86" a="1"/>
  <c r="F34" i="86" s="1"/>
  <c r="G33" i="86" a="1"/>
  <c r="G33" i="86" s="1"/>
  <c r="F33" i="86" a="1"/>
  <c r="F33" i="86" s="1"/>
  <c r="G32" i="86" a="1"/>
  <c r="G32" i="86" s="1"/>
  <c r="F32" i="86" a="1"/>
  <c r="F32" i="86" s="1"/>
  <c r="G31" i="86" a="1"/>
  <c r="G31" i="86" s="1"/>
  <c r="F31" i="86" a="1"/>
  <c r="F31" i="86" s="1"/>
  <c r="G30" i="86" a="1"/>
  <c r="G30" i="86" s="1"/>
  <c r="F30" i="86" a="1"/>
  <c r="F30" i="86" s="1"/>
  <c r="G29" i="86" a="1"/>
  <c r="G29" i="86" s="1"/>
  <c r="F29" i="86" a="1"/>
  <c r="F29" i="86" s="1"/>
  <c r="G28" i="86" a="1"/>
  <c r="G28" i="86" s="1"/>
  <c r="F28" i="86" a="1"/>
  <c r="F28" i="86" s="1"/>
  <c r="G27" i="86" a="1"/>
  <c r="G27" i="86" s="1"/>
  <c r="F27" i="86" a="1"/>
  <c r="F27" i="86" s="1"/>
  <c r="G26" i="86" a="1"/>
  <c r="G26" i="86" s="1"/>
  <c r="F26" i="86" a="1"/>
  <c r="F26" i="86" s="1"/>
  <c r="G25" i="86" a="1"/>
  <c r="G25" i="86" s="1"/>
  <c r="F25" i="86" a="1"/>
  <c r="F25" i="86" s="1"/>
  <c r="G24" i="86" a="1"/>
  <c r="G24" i="86" s="1"/>
  <c r="F24" i="86" a="1"/>
  <c r="F24" i="86" s="1"/>
  <c r="G23" i="86" a="1"/>
  <c r="G23" i="86" s="1"/>
  <c r="F23" i="86" a="1"/>
  <c r="F23" i="86" s="1"/>
  <c r="G22" i="86" a="1"/>
  <c r="G22" i="86" s="1"/>
  <c r="F22" i="86" a="1"/>
  <c r="F22" i="86" s="1"/>
  <c r="G21" i="86" a="1"/>
  <c r="G21" i="86" s="1"/>
  <c r="F21" i="86" a="1"/>
  <c r="F21" i="86" s="1"/>
  <c r="G20" i="86" a="1"/>
  <c r="G20" i="86" s="1"/>
  <c r="F20" i="86" a="1"/>
  <c r="F20" i="86" s="1"/>
  <c r="G19" i="86" a="1"/>
  <c r="G19" i="86" s="1"/>
  <c r="F19" i="86" a="1"/>
  <c r="F19" i="86" s="1"/>
  <c r="D19" i="86" a="1"/>
  <c r="D19" i="86" s="1"/>
  <c r="G25" i="85" a="1"/>
  <c r="G25" i="85" s="1"/>
  <c r="F25" i="85" a="1"/>
  <c r="F25" i="85" s="1"/>
  <c r="E25" i="85" a="1"/>
  <c r="E25" i="85" s="1"/>
  <c r="D25" i="85" a="1"/>
  <c r="D25" i="85" s="1"/>
  <c r="I20" i="85"/>
  <c r="I19" i="85"/>
  <c r="I18" i="85"/>
  <c r="I16" i="85"/>
  <c r="I15" i="85"/>
  <c r="G53" i="84"/>
  <c r="K46" i="84"/>
  <c r="H20" i="84" a="1"/>
  <c r="H20" i="84" s="1"/>
  <c r="G20" i="84" a="1"/>
  <c r="G20" i="84" s="1"/>
  <c r="F20" i="84" a="1"/>
  <c r="F20" i="84" s="1"/>
  <c r="E20" i="84" a="1"/>
  <c r="E20" i="84" s="1"/>
  <c r="D20" i="84" a="1"/>
  <c r="D20" i="84" s="1"/>
  <c r="D58" i="83" a="1"/>
  <c r="D58" i="83" s="1"/>
  <c r="I51" i="83"/>
  <c r="I50" i="83"/>
  <c r="F37" i="83" a="1"/>
  <c r="F37" i="83" s="1"/>
  <c r="E37" i="83" a="1"/>
  <c r="E37" i="83" s="1"/>
  <c r="F36" i="83" a="1"/>
  <c r="F36" i="83" s="1"/>
  <c r="E36" i="83" a="1"/>
  <c r="E36" i="83" s="1"/>
  <c r="F35" i="83" a="1"/>
  <c r="F35" i="83" s="1"/>
  <c r="E35" i="83" a="1"/>
  <c r="E35" i="83" s="1"/>
  <c r="F34" i="83" a="1"/>
  <c r="F34" i="83" s="1"/>
  <c r="E34" i="83" a="1"/>
  <c r="E34" i="83" s="1"/>
  <c r="F33" i="83" a="1"/>
  <c r="F33" i="83" s="1"/>
  <c r="E33" i="83" a="1"/>
  <c r="E33" i="83" s="1"/>
  <c r="F32" i="83" a="1"/>
  <c r="F32" i="83" s="1"/>
  <c r="E32" i="83" a="1"/>
  <c r="E32" i="83" s="1"/>
  <c r="F31" i="83" a="1"/>
  <c r="F31" i="83" s="1"/>
  <c r="E31" i="83" a="1"/>
  <c r="E31" i="83" s="1"/>
  <c r="F30" i="83" a="1"/>
  <c r="F30" i="83" s="1"/>
  <c r="E30" i="83" a="1"/>
  <c r="E30" i="83" s="1"/>
  <c r="F29" i="83" a="1"/>
  <c r="F29" i="83" s="1"/>
  <c r="E29" i="83" a="1"/>
  <c r="E29" i="83" s="1"/>
  <c r="F28" i="83" a="1"/>
  <c r="F28" i="83" s="1"/>
  <c r="E28" i="83" a="1"/>
  <c r="E28" i="83" s="1"/>
  <c r="F27" i="83" a="1"/>
  <c r="F27" i="83" s="1"/>
  <c r="E27" i="83" a="1"/>
  <c r="E27" i="83" s="1"/>
  <c r="F26" i="83" a="1"/>
  <c r="F26" i="83" s="1"/>
  <c r="E26" i="83" a="1"/>
  <c r="E26" i="83" s="1"/>
  <c r="F25" i="83" a="1"/>
  <c r="F25" i="83" s="1"/>
  <c r="E25" i="83" a="1"/>
  <c r="E25" i="83" s="1"/>
  <c r="F24" i="83" a="1"/>
  <c r="F24" i="83" s="1"/>
  <c r="E24" i="83" a="1"/>
  <c r="E24" i="83" s="1"/>
  <c r="F23" i="83" a="1"/>
  <c r="F23" i="83" s="1"/>
  <c r="E23" i="83" a="1"/>
  <c r="E23" i="83" s="1"/>
  <c r="F22" i="83" a="1"/>
  <c r="F22" i="83" s="1"/>
  <c r="E22" i="83" a="1"/>
  <c r="E22" i="83" s="1"/>
  <c r="F21" i="83" a="1"/>
  <c r="F21" i="83" s="1"/>
  <c r="E21" i="83" a="1"/>
  <c r="E21" i="83" s="1"/>
  <c r="F20" i="83" a="1"/>
  <c r="F20" i="83" s="1"/>
  <c r="E20" i="83" a="1"/>
  <c r="E20" i="83" s="1"/>
  <c r="F19" i="83" a="1"/>
  <c r="F19" i="83" s="1"/>
  <c r="E19" i="83" a="1"/>
  <c r="E19" i="83" s="1"/>
  <c r="D19" i="83" a="1"/>
  <c r="D19" i="83" s="1"/>
  <c r="P91" i="82"/>
  <c r="G83" i="82"/>
  <c r="N82" i="82" a="1"/>
  <c r="N82" i="82" s="1"/>
  <c r="N77" i="82" a="1"/>
  <c r="N77" i="82" s="1"/>
  <c r="S69" i="82"/>
  <c r="D60" i="82" a="1"/>
  <c r="D60" i="82" s="1"/>
  <c r="W54" i="82"/>
  <c r="W53" i="82"/>
  <c r="I51" i="82"/>
  <c r="P50" i="82" a="1"/>
  <c r="P50" i="82" s="1"/>
  <c r="O50" i="82" a="1"/>
  <c r="O50" i="82" s="1"/>
  <c r="N50" i="82" a="1"/>
  <c r="N50" i="82" s="1"/>
  <c r="W47" i="82"/>
  <c r="W46" i="82"/>
  <c r="P45" i="82" a="1"/>
  <c r="P45" i="82" s="1"/>
  <c r="O45" i="82" a="1"/>
  <c r="O45" i="82" s="1"/>
  <c r="N45" i="82" a="1"/>
  <c r="N45" i="82" s="1"/>
  <c r="F37" i="82" a="1"/>
  <c r="F37" i="82" s="1"/>
  <c r="E37" i="82" a="1"/>
  <c r="E37" i="82" s="1"/>
  <c r="F36" i="82" a="1"/>
  <c r="F36" i="82" s="1"/>
  <c r="E36" i="82" a="1"/>
  <c r="E36" i="82" s="1"/>
  <c r="F35" i="82" a="1"/>
  <c r="F35" i="82" s="1"/>
  <c r="E35" i="82" a="1"/>
  <c r="E35" i="82" s="1"/>
  <c r="F34" i="82" a="1"/>
  <c r="F34" i="82" s="1"/>
  <c r="E34" i="82" a="1"/>
  <c r="E34" i="82" s="1"/>
  <c r="F33" i="82" a="1"/>
  <c r="F33" i="82" s="1"/>
  <c r="E33" i="82" a="1"/>
  <c r="E33" i="82" s="1"/>
  <c r="F32" i="82" a="1"/>
  <c r="F32" i="82" s="1"/>
  <c r="E32" i="82" a="1"/>
  <c r="E32" i="82" s="1"/>
  <c r="F31" i="82" a="1"/>
  <c r="F31" i="82" s="1"/>
  <c r="E31" i="82" a="1"/>
  <c r="E31" i="82" s="1"/>
  <c r="F30" i="82" a="1"/>
  <c r="F30" i="82" s="1"/>
  <c r="E30" i="82" a="1"/>
  <c r="E30" i="82" s="1"/>
  <c r="F29" i="82" a="1"/>
  <c r="F29" i="82" s="1"/>
  <c r="E29" i="82" a="1"/>
  <c r="E29" i="82" s="1"/>
  <c r="F28" i="82" a="1"/>
  <c r="F28" i="82" s="1"/>
  <c r="E28" i="82" a="1"/>
  <c r="E28" i="82" s="1"/>
  <c r="F27" i="82" a="1"/>
  <c r="F27" i="82" s="1"/>
  <c r="E27" i="82" a="1"/>
  <c r="E27" i="82" s="1"/>
  <c r="F26" i="82" a="1"/>
  <c r="F26" i="82" s="1"/>
  <c r="E26" i="82" a="1"/>
  <c r="E26" i="82" s="1"/>
  <c r="F25" i="82" a="1"/>
  <c r="F25" i="82" s="1"/>
  <c r="E25" i="82" a="1"/>
  <c r="E25" i="82" s="1"/>
  <c r="F24" i="82" a="1"/>
  <c r="F24" i="82" s="1"/>
  <c r="E24" i="82" a="1"/>
  <c r="E24" i="82" s="1"/>
  <c r="F23" i="82" a="1"/>
  <c r="F23" i="82" s="1"/>
  <c r="E23" i="82" a="1"/>
  <c r="E23" i="82" s="1"/>
  <c r="F22" i="82" a="1"/>
  <c r="F22" i="82" s="1"/>
  <c r="E22" i="82" a="1"/>
  <c r="E22" i="82" s="1"/>
  <c r="F21" i="82" a="1"/>
  <c r="F21" i="82" s="1"/>
  <c r="E21" i="82" a="1"/>
  <c r="E21" i="82" s="1"/>
  <c r="F20" i="82" a="1"/>
  <c r="F20" i="82" s="1"/>
  <c r="E20" i="82" a="1"/>
  <c r="E20" i="82" s="1"/>
  <c r="F19" i="82" a="1"/>
  <c r="F19" i="82" s="1"/>
  <c r="E19" i="82" a="1"/>
  <c r="E19" i="82" s="1"/>
  <c r="D19" i="82" a="1"/>
  <c r="D19" i="82" s="1"/>
  <c r="P39" i="80"/>
  <c r="G39" i="80"/>
  <c r="I34" i="80"/>
  <c r="I33" i="80"/>
  <c r="I15" i="80"/>
  <c r="Q38" i="79"/>
  <c r="G38" i="79"/>
  <c r="I30" i="79"/>
  <c r="J14" i="79"/>
  <c r="X270" i="78"/>
  <c r="U259" i="78"/>
  <c r="U258" i="78"/>
  <c r="U257" i="78"/>
  <c r="U256" i="78"/>
  <c r="U255" i="78"/>
  <c r="U254" i="78"/>
  <c r="U253" i="78"/>
  <c r="U252" i="78"/>
  <c r="U251" i="78"/>
  <c r="U250" i="78"/>
  <c r="U249" i="78"/>
  <c r="U248" i="78"/>
  <c r="U243" i="78"/>
  <c r="U242" i="78"/>
  <c r="U241" i="78"/>
  <c r="U240" i="78"/>
  <c r="U239" i="78"/>
  <c r="U238" i="78"/>
  <c r="U237" i="78"/>
  <c r="U236" i="78"/>
  <c r="U235" i="78"/>
  <c r="U234" i="78"/>
  <c r="U233" i="78"/>
  <c r="U232" i="78"/>
  <c r="G232" i="78"/>
  <c r="U227" i="78"/>
  <c r="U226" i="78"/>
  <c r="H226" i="78"/>
  <c r="U225" i="78"/>
  <c r="H225" i="78"/>
  <c r="U224" i="78"/>
  <c r="U223" i="78"/>
  <c r="U222" i="78"/>
  <c r="U221" i="78"/>
  <c r="U220" i="78"/>
  <c r="U219" i="78"/>
  <c r="U218" i="78"/>
  <c r="U217" i="78"/>
  <c r="U216" i="78"/>
  <c r="U207" i="78"/>
  <c r="U206" i="78"/>
  <c r="U205" i="78"/>
  <c r="U204" i="78"/>
  <c r="U203" i="78"/>
  <c r="U202" i="78"/>
  <c r="U201" i="78"/>
  <c r="U200" i="78"/>
  <c r="U199" i="78"/>
  <c r="U198" i="78"/>
  <c r="U197" i="78"/>
  <c r="U196" i="78"/>
  <c r="AC191" i="78" a="1"/>
  <c r="AC191" i="78" s="1"/>
  <c r="Y191" i="78" a="1"/>
  <c r="Y191" i="78" s="1"/>
  <c r="W191" i="78" a="1"/>
  <c r="W191" i="78" s="1"/>
  <c r="U191" i="78"/>
  <c r="AC190" i="78" a="1"/>
  <c r="AC190" i="78" s="1"/>
  <c r="Y190" i="78" a="1"/>
  <c r="Y190" i="78" s="1"/>
  <c r="W190" i="78" a="1"/>
  <c r="W190" i="78" s="1"/>
  <c r="U190" i="78"/>
  <c r="AC189" i="78" a="1"/>
  <c r="AC189" i="78" s="1"/>
  <c r="Y189" i="78" a="1"/>
  <c r="Y189" i="78" s="1"/>
  <c r="W189" i="78" a="1"/>
  <c r="W189" i="78" s="1"/>
  <c r="U189" i="78"/>
  <c r="AC188" i="78" a="1"/>
  <c r="AC188" i="78" s="1"/>
  <c r="Y188" i="78" a="1"/>
  <c r="Y188" i="78" s="1"/>
  <c r="W188" i="78" a="1"/>
  <c r="W188" i="78" s="1"/>
  <c r="U188" i="78"/>
  <c r="AC187" i="78" a="1"/>
  <c r="AC187" i="78" s="1"/>
  <c r="Y187" i="78" a="1"/>
  <c r="Y187" i="78" s="1"/>
  <c r="W187" i="78" a="1"/>
  <c r="W187" i="78" s="1"/>
  <c r="U187" i="78"/>
  <c r="AC186" i="78" a="1"/>
  <c r="AC186" i="78" s="1"/>
  <c r="Y186" i="78" a="1"/>
  <c r="Y186" i="78" s="1"/>
  <c r="W186" i="78" a="1"/>
  <c r="W186" i="78" s="1"/>
  <c r="U186" i="78"/>
  <c r="AC185" i="78" a="1"/>
  <c r="AC185" i="78" s="1"/>
  <c r="Y185" i="78" a="1"/>
  <c r="Y185" i="78" s="1"/>
  <c r="W185" i="78" a="1"/>
  <c r="W185" i="78" s="1"/>
  <c r="U185" i="78"/>
  <c r="AC184" i="78" a="1"/>
  <c r="AC184" i="78" s="1"/>
  <c r="Y184" i="78" a="1"/>
  <c r="Y184" i="78" s="1"/>
  <c r="W184" i="78" a="1"/>
  <c r="W184" i="78" s="1"/>
  <c r="U184" i="78"/>
  <c r="AC183" i="78" a="1"/>
  <c r="AC183" i="78" s="1"/>
  <c r="Y183" i="78" a="1"/>
  <c r="Y183" i="78" s="1"/>
  <c r="W183" i="78" a="1"/>
  <c r="W183" i="78" s="1"/>
  <c r="U183" i="78"/>
  <c r="AC182" i="78" a="1"/>
  <c r="AC182" i="78" s="1"/>
  <c r="Y182" i="78" a="1"/>
  <c r="Y182" i="78" s="1"/>
  <c r="W182" i="78" a="1"/>
  <c r="W182" i="78" s="1"/>
  <c r="U182" i="78"/>
  <c r="AC181" i="78" a="1"/>
  <c r="AC181" i="78" s="1"/>
  <c r="Y181" i="78" a="1"/>
  <c r="Y181" i="78" s="1"/>
  <c r="W181" i="78" a="1"/>
  <c r="W181" i="78" s="1"/>
  <c r="U181" i="78"/>
  <c r="AC180" i="78" a="1"/>
  <c r="AC180" i="78" s="1"/>
  <c r="Y180" i="78" a="1"/>
  <c r="Y180" i="78" s="1"/>
  <c r="W180" i="78" a="1"/>
  <c r="W180" i="78" s="1"/>
  <c r="U180" i="78"/>
  <c r="U175" i="78"/>
  <c r="U174" i="78"/>
  <c r="U173" i="78"/>
  <c r="U172" i="78"/>
  <c r="U171" i="78"/>
  <c r="U170" i="78"/>
  <c r="U169" i="78"/>
  <c r="U168" i="78"/>
  <c r="U167" i="78"/>
  <c r="U166" i="78"/>
  <c r="U165" i="78"/>
  <c r="U164" i="78"/>
  <c r="L164" i="78" a="1"/>
  <c r="L164" i="78" s="1"/>
  <c r="F162" i="78" a="1"/>
  <c r="F162" i="78" s="1"/>
  <c r="F161" i="78" a="1"/>
  <c r="F161" i="78" s="1"/>
  <c r="I148" i="78"/>
  <c r="U147" i="78"/>
  <c r="U146" i="78"/>
  <c r="U145" i="78"/>
  <c r="U144" i="78"/>
  <c r="U143" i="78"/>
  <c r="U142" i="78"/>
  <c r="U141" i="78"/>
  <c r="U140" i="78"/>
  <c r="U139" i="78"/>
  <c r="U138" i="78"/>
  <c r="U137" i="78"/>
  <c r="U136" i="78"/>
  <c r="U131" i="78"/>
  <c r="U130" i="78"/>
  <c r="U129" i="78"/>
  <c r="U128" i="78"/>
  <c r="U127" i="78"/>
  <c r="U126" i="78"/>
  <c r="U125" i="78"/>
  <c r="U124" i="78"/>
  <c r="U123" i="78"/>
  <c r="U122" i="78"/>
  <c r="U121" i="78"/>
  <c r="U120" i="78"/>
  <c r="U111" i="78"/>
  <c r="U110" i="78"/>
  <c r="U109" i="78"/>
  <c r="U108" i="78"/>
  <c r="U107" i="78"/>
  <c r="U106" i="78"/>
  <c r="U105" i="78"/>
  <c r="U104" i="78"/>
  <c r="U103" i="78"/>
  <c r="U102" i="78"/>
  <c r="U101" i="78"/>
  <c r="U100" i="78"/>
  <c r="U93" i="78"/>
  <c r="X92" i="78"/>
  <c r="W92" i="78"/>
  <c r="V92" i="78"/>
  <c r="U92" i="78"/>
  <c r="G87" i="78"/>
  <c r="F87" i="78"/>
  <c r="E87" i="78"/>
  <c r="D87" i="78"/>
  <c r="U83" i="78"/>
  <c r="U82" i="78"/>
  <c r="U81" i="78"/>
  <c r="U80" i="78"/>
  <c r="U79" i="78"/>
  <c r="U78" i="78"/>
  <c r="U77" i="78"/>
  <c r="U76" i="78"/>
  <c r="U75" i="78"/>
  <c r="U74" i="78"/>
  <c r="U73" i="78"/>
  <c r="U72" i="78"/>
  <c r="AF67" i="78"/>
  <c r="U67" i="78"/>
  <c r="AF66" i="78"/>
  <c r="U66" i="78"/>
  <c r="AF65" i="78"/>
  <c r="U65" i="78"/>
  <c r="AF64" i="78"/>
  <c r="U64" i="78"/>
  <c r="AF63" i="78"/>
  <c r="U63" i="78"/>
  <c r="AF62" i="78"/>
  <c r="U62" i="78"/>
  <c r="AF61" i="78"/>
  <c r="U61" i="78"/>
  <c r="AF60" i="78"/>
  <c r="U60" i="78"/>
  <c r="AF59" i="78"/>
  <c r="U59" i="78"/>
  <c r="AF58" i="78"/>
  <c r="U58" i="78"/>
  <c r="AF57" i="78"/>
  <c r="U57" i="78"/>
  <c r="O57" i="78"/>
  <c r="AF56" i="78"/>
  <c r="U56" i="78"/>
  <c r="O56" i="78"/>
  <c r="O55" i="78"/>
  <c r="O54" i="78"/>
  <c r="U47" i="78"/>
  <c r="U46" i="78"/>
  <c r="U45" i="78"/>
  <c r="U44" i="78"/>
  <c r="U43" i="78"/>
  <c r="U42" i="78"/>
  <c r="U41" i="78"/>
  <c r="U40" i="78"/>
  <c r="U39" i="78"/>
  <c r="U38" i="78"/>
  <c r="U37" i="78"/>
  <c r="U36" i="78"/>
  <c r="U31" i="78"/>
  <c r="U30" i="78"/>
  <c r="U29" i="78"/>
  <c r="U28" i="78"/>
  <c r="U27" i="78"/>
  <c r="U26" i="78"/>
  <c r="U25" i="78"/>
  <c r="U24" i="78"/>
  <c r="U23" i="78"/>
  <c r="U22" i="78"/>
  <c r="U21" i="78"/>
  <c r="U20" i="78"/>
  <c r="Z279" i="77"/>
  <c r="W274" i="77"/>
  <c r="W273" i="77"/>
  <c r="W272" i="77"/>
  <c r="W271" i="77"/>
  <c r="W270" i="77"/>
  <c r="W269" i="77"/>
  <c r="W268" i="77"/>
  <c r="W267" i="77"/>
  <c r="W266" i="77"/>
  <c r="W265" i="77"/>
  <c r="W264" i="77"/>
  <c r="W263" i="77"/>
  <c r="W262" i="77"/>
  <c r="W261" i="77"/>
  <c r="W260" i="77"/>
  <c r="W259" i="77"/>
  <c r="W258" i="77"/>
  <c r="W257" i="77"/>
  <c r="W256" i="77"/>
  <c r="W255" i="77"/>
  <c r="W254" i="77"/>
  <c r="W253" i="77"/>
  <c r="W252" i="77"/>
  <c r="W251" i="77"/>
  <c r="G247" i="77"/>
  <c r="W246" i="77"/>
  <c r="W245" i="77"/>
  <c r="W244" i="77"/>
  <c r="W243" i="77"/>
  <c r="W242" i="77"/>
  <c r="D242" i="77"/>
  <c r="W241" i="77"/>
  <c r="D241" i="77"/>
  <c r="W240" i="77"/>
  <c r="D240" i="77"/>
  <c r="W239" i="77"/>
  <c r="D239" i="77"/>
  <c r="W238" i="77"/>
  <c r="D238" i="77"/>
  <c r="W237" i="77"/>
  <c r="D237" i="77"/>
  <c r="W236" i="77"/>
  <c r="D236" i="77"/>
  <c r="W235" i="77"/>
  <c r="D235" i="77"/>
  <c r="W230" i="77"/>
  <c r="W229" i="77"/>
  <c r="W228" i="77"/>
  <c r="W227" i="77"/>
  <c r="W226" i="77"/>
  <c r="W225" i="77"/>
  <c r="W224" i="77"/>
  <c r="W223" i="77"/>
  <c r="W222" i="77"/>
  <c r="W221" i="77"/>
  <c r="W220" i="77"/>
  <c r="W219" i="77"/>
  <c r="W200" i="77"/>
  <c r="W199" i="77"/>
  <c r="W198" i="77"/>
  <c r="W197" i="77"/>
  <c r="W196" i="77"/>
  <c r="W195" i="77"/>
  <c r="W194" i="77"/>
  <c r="W193" i="77"/>
  <c r="W192" i="77"/>
  <c r="W191" i="77"/>
  <c r="W190" i="77"/>
  <c r="W189" i="77"/>
  <c r="W188" i="77"/>
  <c r="W187" i="77"/>
  <c r="W186" i="77"/>
  <c r="W185" i="77"/>
  <c r="W184" i="77"/>
  <c r="D184" i="77"/>
  <c r="W183" i="77"/>
  <c r="D183" i="77"/>
  <c r="W182" i="77"/>
  <c r="D182" i="77"/>
  <c r="W181" i="77"/>
  <c r="D181" i="77"/>
  <c r="W180" i="77"/>
  <c r="D180" i="77"/>
  <c r="W179" i="77"/>
  <c r="D179" i="77"/>
  <c r="W178" i="77"/>
  <c r="D178" i="77"/>
  <c r="W177" i="77"/>
  <c r="D177" i="77"/>
  <c r="X172" i="77"/>
  <c r="W172" i="77"/>
  <c r="D172" i="77"/>
  <c r="X171" i="77"/>
  <c r="W171" i="77"/>
  <c r="D171" i="77"/>
  <c r="D166" i="77"/>
  <c r="D165" i="77"/>
  <c r="I158" i="77"/>
  <c r="I155" i="77"/>
  <c r="I110" i="77"/>
  <c r="W87" i="77"/>
  <c r="W86" i="77"/>
  <c r="W85" i="77"/>
  <c r="W84" i="77"/>
  <c r="W83" i="77"/>
  <c r="W82" i="77"/>
  <c r="W81" i="77"/>
  <c r="W80" i="77"/>
  <c r="W79" i="77"/>
  <c r="W78" i="77"/>
  <c r="W77" i="77"/>
  <c r="W76" i="77"/>
  <c r="W71" i="77"/>
  <c r="W70" i="77"/>
  <c r="W69" i="77"/>
  <c r="W68" i="77"/>
  <c r="W67" i="77"/>
  <c r="W66" i="77"/>
  <c r="W65" i="77"/>
  <c r="W64" i="77"/>
  <c r="W63" i="77"/>
  <c r="W62" i="77"/>
  <c r="W61" i="77"/>
  <c r="W60" i="77"/>
  <c r="W55" i="77"/>
  <c r="W54" i="77"/>
  <c r="W53" i="77"/>
  <c r="W52" i="77"/>
  <c r="W51" i="77"/>
  <c r="W50" i="77"/>
  <c r="W49" i="77"/>
  <c r="W48" i="77"/>
  <c r="W47" i="77"/>
  <c r="W46" i="77"/>
  <c r="W45" i="77"/>
  <c r="W44" i="77"/>
  <c r="W39" i="77"/>
  <c r="W38" i="77"/>
  <c r="W37" i="77"/>
  <c r="W36" i="77"/>
  <c r="W35" i="77"/>
  <c r="W34" i="77"/>
  <c r="W33" i="77"/>
  <c r="F33" i="77"/>
  <c r="E33" i="77"/>
  <c r="W32" i="77"/>
  <c r="F32" i="77"/>
  <c r="E32" i="77"/>
  <c r="W31" i="77"/>
  <c r="F31" i="77"/>
  <c r="E31" i="77"/>
  <c r="W30" i="77"/>
  <c r="F30" i="77"/>
  <c r="E30" i="77"/>
  <c r="W29" i="77"/>
  <c r="W28" i="77"/>
  <c r="H25" i="77"/>
  <c r="G25" i="77"/>
  <c r="F25" i="77"/>
  <c r="E25" i="77"/>
  <c r="H24" i="77"/>
  <c r="G24" i="77"/>
  <c r="F24" i="77"/>
  <c r="E24" i="77"/>
  <c r="W23" i="77"/>
  <c r="H23" i="77"/>
  <c r="G23" i="77"/>
  <c r="F23" i="77"/>
  <c r="E23" i="77"/>
  <c r="Z22" i="77"/>
  <c r="Y22" i="77"/>
  <c r="X22" i="77"/>
  <c r="W22" i="77"/>
  <c r="X34" i="77" s="1" a="1"/>
  <c r="X34" i="77" s="1"/>
  <c r="Y34" i="77" s="1" a="1"/>
  <c r="Y34" i="77" s="1"/>
  <c r="H22" i="77"/>
  <c r="G22" i="77"/>
  <c r="F22" i="77"/>
  <c r="E22" i="77"/>
  <c r="J14" i="77" a="1"/>
  <c r="J14" i="77" s="1"/>
  <c r="X164" i="74"/>
  <c r="U144" i="74"/>
  <c r="U143" i="74"/>
  <c r="U142" i="74"/>
  <c r="U141" i="74"/>
  <c r="U140" i="74"/>
  <c r="U139" i="74"/>
  <c r="U138" i="74"/>
  <c r="U137" i="74"/>
  <c r="U136" i="74"/>
  <c r="U135" i="74"/>
  <c r="U134" i="74"/>
  <c r="U133" i="74"/>
  <c r="G131" i="74"/>
  <c r="U128" i="74"/>
  <c r="U127" i="74"/>
  <c r="U126" i="74"/>
  <c r="U125" i="74"/>
  <c r="U124" i="74"/>
  <c r="U123" i="74"/>
  <c r="U122" i="74"/>
  <c r="U121" i="74"/>
  <c r="U120" i="74"/>
  <c r="U119" i="74"/>
  <c r="U118" i="74"/>
  <c r="U117" i="74"/>
  <c r="U108" i="74"/>
  <c r="U107" i="74"/>
  <c r="U106" i="74"/>
  <c r="U105" i="74"/>
  <c r="U104" i="74"/>
  <c r="U103" i="74"/>
  <c r="U102" i="74"/>
  <c r="U101" i="74"/>
  <c r="U100" i="74"/>
  <c r="U99" i="74"/>
  <c r="U98" i="74"/>
  <c r="U97" i="74"/>
  <c r="U87" i="74"/>
  <c r="U86" i="74"/>
  <c r="U85" i="74"/>
  <c r="U84" i="74"/>
  <c r="U83" i="74"/>
  <c r="U82" i="74"/>
  <c r="U81" i="74"/>
  <c r="U80" i="74"/>
  <c r="U79" i="74"/>
  <c r="U78" i="74"/>
  <c r="U77" i="74"/>
  <c r="U76" i="74"/>
  <c r="U71" i="74"/>
  <c r="U70" i="74"/>
  <c r="U69" i="74"/>
  <c r="U68" i="74"/>
  <c r="U67" i="74"/>
  <c r="U66" i="74"/>
  <c r="U65" i="74"/>
  <c r="U64" i="74"/>
  <c r="U63" i="74"/>
  <c r="U62" i="74"/>
  <c r="U61" i="74"/>
  <c r="U60" i="74"/>
  <c r="U55" i="74"/>
  <c r="U54" i="74"/>
  <c r="U53" i="74"/>
  <c r="U52" i="74"/>
  <c r="U51" i="74"/>
  <c r="U50" i="74"/>
  <c r="U49" i="74"/>
  <c r="U48" i="74"/>
  <c r="U47" i="74"/>
  <c r="U46" i="74"/>
  <c r="U45" i="74"/>
  <c r="U44" i="74"/>
  <c r="U39" i="74"/>
  <c r="U38" i="74"/>
  <c r="U37" i="74"/>
  <c r="U36" i="74"/>
  <c r="U35" i="74"/>
  <c r="U34" i="74"/>
  <c r="U33" i="74"/>
  <c r="U32" i="74"/>
  <c r="U31" i="74"/>
  <c r="U30" i="74"/>
  <c r="U29" i="74"/>
  <c r="U28" i="74"/>
  <c r="E26" i="89"/>
  <c r="E25" i="89"/>
  <c r="E12" i="89"/>
  <c r="E18" i="89" s="1"/>
  <c r="J21" i="92" a="1"/>
  <c r="J21" i="92"/>
  <c r="G21" i="92" a="1"/>
  <c r="G21" i="92" s="1"/>
  <c r="I21" i="92" s="1"/>
  <c r="J20" i="92" a="1"/>
  <c r="J20" i="92" s="1"/>
  <c r="G20" i="92" a="1"/>
  <c r="G20" i="92" s="1"/>
  <c r="J19" i="92" a="1"/>
  <c r="J19" i="92" s="1"/>
  <c r="G19" i="92" a="1"/>
  <c r="G19" i="92" s="1"/>
  <c r="J18" i="92" a="1"/>
  <c r="J18" i="92" s="1"/>
  <c r="G18" i="92" a="1"/>
  <c r="G18" i="92" s="1"/>
  <c r="I18" i="92" s="1"/>
  <c r="J17" i="92" a="1"/>
  <c r="J17" i="92" s="1"/>
  <c r="G17" i="92" a="1"/>
  <c r="G17" i="92" s="1"/>
  <c r="P28" i="81"/>
  <c r="P27" i="81"/>
  <c r="P26" i="81"/>
  <c r="X22" i="81"/>
  <c r="W22" i="81"/>
  <c r="V22" i="81"/>
  <c r="U22" i="81" a="1"/>
  <c r="U22" i="81" s="1"/>
  <c r="T22" i="81" a="1"/>
  <c r="T22" i="81" s="1"/>
  <c r="S22" i="81" a="1"/>
  <c r="S22" i="81" s="1"/>
  <c r="R22" i="81" a="1"/>
  <c r="R22" i="81" s="1"/>
  <c r="Q22" i="81" a="1"/>
  <c r="Q22" i="81" s="1"/>
  <c r="P22" i="81" a="1"/>
  <c r="P22" i="81" s="1"/>
  <c r="O22" i="81" a="1"/>
  <c r="O22" i="81" s="1"/>
  <c r="N22" i="81" a="1"/>
  <c r="N22" i="81" s="1"/>
  <c r="M22" i="81" a="1"/>
  <c r="M22" i="81" s="1"/>
  <c r="L22" i="81" a="1"/>
  <c r="L22" i="81" s="1"/>
  <c r="K22" i="81" a="1"/>
  <c r="K22" i="81" s="1"/>
  <c r="J22" i="81" a="1"/>
  <c r="J22" i="81" s="1"/>
  <c r="G22" i="81"/>
  <c r="F22" i="81"/>
  <c r="X21" i="81"/>
  <c r="W21" i="81"/>
  <c r="V21" i="81"/>
  <c r="U21" i="81" a="1"/>
  <c r="U21" i="81" s="1"/>
  <c r="T21" i="81" a="1"/>
  <c r="T21" i="81" s="1"/>
  <c r="S21" i="81" a="1"/>
  <c r="S21" i="81" s="1"/>
  <c r="R21" i="81" a="1"/>
  <c r="R21" i="81" s="1"/>
  <c r="Q21" i="81" a="1"/>
  <c r="Q21" i="81" s="1"/>
  <c r="P21" i="81" a="1"/>
  <c r="P21" i="81" s="1"/>
  <c r="O21" i="81" a="1"/>
  <c r="O21" i="81" s="1"/>
  <c r="N21" i="81" a="1"/>
  <c r="N21" i="81" s="1"/>
  <c r="M21" i="81" a="1"/>
  <c r="M21" i="81" s="1"/>
  <c r="L21" i="81" a="1"/>
  <c r="L21" i="81" s="1"/>
  <c r="K21" i="81" a="1"/>
  <c r="K21" i="81" s="1"/>
  <c r="J21" i="81" a="1"/>
  <c r="J21" i="81" s="1"/>
  <c r="G21" i="81"/>
  <c r="F21" i="81"/>
  <c r="X20" i="81"/>
  <c r="W20" i="81"/>
  <c r="V20" i="81"/>
  <c r="U20" i="81" a="1"/>
  <c r="U20" i="81"/>
  <c r="T20" i="81" a="1"/>
  <c r="T20" i="81" s="1"/>
  <c r="S20" i="81" a="1"/>
  <c r="S20" i="81" s="1"/>
  <c r="R20" i="81" a="1"/>
  <c r="R20" i="81" s="1"/>
  <c r="Q20" i="81" a="1"/>
  <c r="Q20" i="81" s="1"/>
  <c r="P20" i="81" a="1"/>
  <c r="P20" i="81" s="1"/>
  <c r="O20" i="81" a="1"/>
  <c r="O20" i="81" s="1"/>
  <c r="N20" i="81" a="1"/>
  <c r="N20" i="81" s="1"/>
  <c r="M20" i="81" a="1"/>
  <c r="M20" i="81" s="1"/>
  <c r="L20" i="81" a="1"/>
  <c r="L20" i="81" s="1"/>
  <c r="K20" i="81" a="1"/>
  <c r="K20" i="81" s="1"/>
  <c r="J20" i="81" a="1"/>
  <c r="J20" i="81" s="1"/>
  <c r="G20" i="81"/>
  <c r="F20" i="81"/>
  <c r="X19" i="81"/>
  <c r="W19" i="81"/>
  <c r="V19" i="81"/>
  <c r="U19" i="81" a="1"/>
  <c r="U19" i="81" s="1"/>
  <c r="T19" i="81" a="1"/>
  <c r="T19" i="81" s="1"/>
  <c r="S19" i="81" a="1"/>
  <c r="S19" i="81" s="1"/>
  <c r="R19" i="81" a="1"/>
  <c r="R19" i="81" s="1"/>
  <c r="Q19" i="81" a="1"/>
  <c r="Q19" i="81" s="1"/>
  <c r="P19" i="81" a="1"/>
  <c r="P19" i="81" s="1"/>
  <c r="O19" i="81" a="1"/>
  <c r="O19" i="81" s="1"/>
  <c r="N19" i="81" a="1"/>
  <c r="N19" i="81" s="1"/>
  <c r="M19" i="81" a="1"/>
  <c r="M19" i="81" s="1"/>
  <c r="L19" i="81" a="1"/>
  <c r="L19" i="81" s="1"/>
  <c r="K19" i="81" a="1"/>
  <c r="K19" i="81" s="1"/>
  <c r="J19" i="81" a="1"/>
  <c r="J19" i="81" s="1"/>
  <c r="G19" i="81"/>
  <c r="F19" i="81"/>
  <c r="X18" i="81"/>
  <c r="W18" i="81"/>
  <c r="V18" i="81"/>
  <c r="U18" i="81" a="1"/>
  <c r="U18" i="81" s="1"/>
  <c r="T18" i="81" a="1"/>
  <c r="T18" i="81" s="1"/>
  <c r="S18" i="81" a="1"/>
  <c r="S18" i="81" s="1"/>
  <c r="R18" i="81" a="1"/>
  <c r="R18" i="81" s="1"/>
  <c r="Q18" i="81" a="1"/>
  <c r="Q18" i="81" s="1"/>
  <c r="P18" i="81" a="1"/>
  <c r="P18" i="81" s="1"/>
  <c r="O18" i="81" a="1"/>
  <c r="O18" i="81" s="1"/>
  <c r="N18" i="81" a="1"/>
  <c r="N18" i="81" s="1"/>
  <c r="M18" i="81" a="1"/>
  <c r="M18" i="81"/>
  <c r="L18" i="81" a="1"/>
  <c r="L18" i="81" s="1"/>
  <c r="K18" i="81" a="1"/>
  <c r="K18" i="81" s="1"/>
  <c r="J18" i="81" a="1"/>
  <c r="J18" i="81" s="1"/>
  <c r="G18" i="81"/>
  <c r="F18" i="81"/>
  <c r="E19" i="96"/>
  <c r="E20" i="96" s="1"/>
  <c r="E173" i="73"/>
  <c r="D164" i="73"/>
  <c r="D163" i="73"/>
  <c r="D162" i="73"/>
  <c r="D161" i="73"/>
  <c r="E160" i="73"/>
  <c r="D160" i="73"/>
  <c r="D159" i="73"/>
  <c r="M158" i="73"/>
  <c r="D158" i="73"/>
  <c r="D157" i="73"/>
  <c r="D156" i="73"/>
  <c r="D155" i="73"/>
  <c r="N154" i="73"/>
  <c r="D154" i="73"/>
  <c r="D153" i="73"/>
  <c r="D142" i="73"/>
  <c r="D141" i="73"/>
  <c r="N140" i="73"/>
  <c r="D140" i="73"/>
  <c r="L139" i="73"/>
  <c r="D139" i="73"/>
  <c r="D138" i="73"/>
  <c r="D137" i="73"/>
  <c r="D136" i="73"/>
  <c r="D135" i="73"/>
  <c r="D134" i="73"/>
  <c r="D133" i="73"/>
  <c r="E132" i="73"/>
  <c r="D132" i="73"/>
  <c r="D131" i="73"/>
  <c r="M128" i="73"/>
  <c r="J99" i="73"/>
  <c r="D99" i="73"/>
  <c r="H98" i="73"/>
  <c r="D98" i="73"/>
  <c r="D97" i="73"/>
  <c r="D96" i="73"/>
  <c r="N95" i="73"/>
  <c r="M95" i="73"/>
  <c r="D95" i="73"/>
  <c r="M94" i="73"/>
  <c r="D94" i="73"/>
  <c r="F93" i="73"/>
  <c r="D93" i="73"/>
  <c r="E92" i="73"/>
  <c r="D92" i="73"/>
  <c r="D91" i="73"/>
  <c r="D90" i="73"/>
  <c r="K89" i="73"/>
  <c r="J89" i="73"/>
  <c r="D89" i="73"/>
  <c r="D88" i="73"/>
  <c r="M84" i="73"/>
  <c r="L84" i="73"/>
  <c r="J83" i="73"/>
  <c r="D77" i="73"/>
  <c r="N76" i="73"/>
  <c r="M76" i="73"/>
  <c r="L76" i="73"/>
  <c r="D76" i="73"/>
  <c r="L75" i="73"/>
  <c r="D75" i="73"/>
  <c r="F74" i="73"/>
  <c r="E74" i="73"/>
  <c r="D74" i="73"/>
  <c r="D73" i="73"/>
  <c r="D72" i="73"/>
  <c r="D71" i="73"/>
  <c r="K70" i="73"/>
  <c r="J70" i="73"/>
  <c r="G70" i="73"/>
  <c r="D70" i="73"/>
  <c r="D69" i="73"/>
  <c r="D68" i="73"/>
  <c r="N67" i="73"/>
  <c r="M67" i="73"/>
  <c r="L67" i="73"/>
  <c r="D67" i="73"/>
  <c r="L66" i="73"/>
  <c r="D66" i="73"/>
  <c r="F63" i="73"/>
  <c r="F62" i="73"/>
  <c r="E62" i="73"/>
  <c r="L61" i="73"/>
  <c r="D55" i="73"/>
  <c r="D54" i="73"/>
  <c r="D53" i="73"/>
  <c r="D52" i="73"/>
  <c r="D51" i="73"/>
  <c r="D50" i="73"/>
  <c r="D49" i="73"/>
  <c r="D48" i="73"/>
  <c r="D47" i="73"/>
  <c r="D46" i="73"/>
  <c r="D45" i="73"/>
  <c r="D44" i="73"/>
  <c r="D33" i="73"/>
  <c r="D32" i="73"/>
  <c r="D31" i="73"/>
  <c r="D30" i="73"/>
  <c r="D29" i="73"/>
  <c r="D28" i="73"/>
  <c r="D27" i="73"/>
  <c r="D26" i="73"/>
  <c r="D25" i="73"/>
  <c r="D24" i="73"/>
  <c r="D23" i="73"/>
  <c r="D22" i="73"/>
  <c r="D171" i="76"/>
  <c r="D170" i="76"/>
  <c r="D169" i="76"/>
  <c r="D168" i="76"/>
  <c r="D167" i="76"/>
  <c r="D166" i="76"/>
  <c r="D165" i="76"/>
  <c r="D164" i="76"/>
  <c r="D163" i="76"/>
  <c r="D162" i="76"/>
  <c r="D161" i="76"/>
  <c r="D160" i="76"/>
  <c r="D149" i="76"/>
  <c r="D148" i="76"/>
  <c r="D147" i="76"/>
  <c r="D146" i="76"/>
  <c r="D145" i="76"/>
  <c r="D144" i="76"/>
  <c r="D143" i="76"/>
  <c r="D142" i="76"/>
  <c r="D141" i="76"/>
  <c r="D140" i="76"/>
  <c r="D139" i="76"/>
  <c r="D138" i="76"/>
  <c r="D99" i="76"/>
  <c r="D98" i="76"/>
  <c r="D97" i="76"/>
  <c r="D96" i="76"/>
  <c r="D95" i="76"/>
  <c r="D94" i="76"/>
  <c r="D93" i="76"/>
  <c r="K92" i="76"/>
  <c r="J92" i="76"/>
  <c r="I92" i="76"/>
  <c r="H92" i="76"/>
  <c r="D92" i="76"/>
  <c r="H91" i="76"/>
  <c r="G91" i="76"/>
  <c r="F91" i="76"/>
  <c r="E91" i="76"/>
  <c r="D91" i="76"/>
  <c r="E90" i="76"/>
  <c r="D90" i="76"/>
  <c r="N89" i="76"/>
  <c r="M89" i="76"/>
  <c r="D89" i="76"/>
  <c r="M88" i="76"/>
  <c r="L88" i="76"/>
  <c r="K88" i="76"/>
  <c r="J88" i="76"/>
  <c r="D88" i="76"/>
  <c r="J85" i="76"/>
  <c r="I85" i="76"/>
  <c r="H85" i="76"/>
  <c r="G85" i="76"/>
  <c r="F84" i="76"/>
  <c r="E84" i="76"/>
  <c r="N83" i="76"/>
  <c r="M83" i="76"/>
  <c r="M82" i="76"/>
  <c r="L82" i="76"/>
  <c r="K82" i="76"/>
  <c r="J82" i="76"/>
  <c r="I82" i="76"/>
  <c r="I77" i="76"/>
  <c r="H77" i="76"/>
  <c r="G77" i="76"/>
  <c r="F77" i="76"/>
  <c r="E77" i="76"/>
  <c r="D77" i="76"/>
  <c r="F76" i="76"/>
  <c r="E76" i="76"/>
  <c r="D76" i="76"/>
  <c r="N75" i="76"/>
  <c r="M75" i="76"/>
  <c r="D75" i="76"/>
  <c r="N74" i="76"/>
  <c r="M74" i="76"/>
  <c r="L74" i="76"/>
  <c r="K74" i="76"/>
  <c r="J74" i="76"/>
  <c r="D74" i="76"/>
  <c r="K73" i="76"/>
  <c r="J73" i="76"/>
  <c r="I73" i="76"/>
  <c r="H73" i="76"/>
  <c r="G73" i="76"/>
  <c r="D73" i="76"/>
  <c r="H72" i="76"/>
  <c r="G72" i="76"/>
  <c r="F72" i="76"/>
  <c r="E72" i="76"/>
  <c r="D72" i="76"/>
  <c r="E71" i="76"/>
  <c r="D71" i="76"/>
  <c r="N70" i="76"/>
  <c r="M70" i="76"/>
  <c r="L70" i="76"/>
  <c r="H70" i="76"/>
  <c r="D70" i="76"/>
  <c r="M69" i="76"/>
  <c r="L69" i="76"/>
  <c r="K69" i="76"/>
  <c r="J69" i="76"/>
  <c r="I69" i="76"/>
  <c r="E69" i="76"/>
  <c r="D69" i="76"/>
  <c r="J68" i="76"/>
  <c r="I68" i="76"/>
  <c r="H68" i="76"/>
  <c r="G68" i="76"/>
  <c r="F68" i="76"/>
  <c r="D68" i="76"/>
  <c r="M67" i="76"/>
  <c r="G67" i="76"/>
  <c r="F67" i="76"/>
  <c r="E67" i="76"/>
  <c r="D67" i="76"/>
  <c r="N66" i="76"/>
  <c r="J66" i="76"/>
  <c r="D66" i="76"/>
  <c r="N63" i="76"/>
  <c r="M63" i="76"/>
  <c r="L63" i="76"/>
  <c r="K63" i="76"/>
  <c r="G63" i="76"/>
  <c r="K62" i="76"/>
  <c r="J62" i="76"/>
  <c r="I62" i="76"/>
  <c r="H62" i="76"/>
  <c r="G62" i="76"/>
  <c r="M61" i="76"/>
  <c r="G61" i="76"/>
  <c r="F61" i="76"/>
  <c r="E61" i="76"/>
  <c r="N60" i="76"/>
  <c r="M60" i="76"/>
  <c r="I60" i="76"/>
  <c r="D55" i="76"/>
  <c r="D54" i="76"/>
  <c r="D53" i="76"/>
  <c r="D52" i="76"/>
  <c r="D51" i="76"/>
  <c r="D50" i="76"/>
  <c r="D49" i="76"/>
  <c r="D48" i="76"/>
  <c r="D47" i="76"/>
  <c r="D46" i="76"/>
  <c r="D45" i="76"/>
  <c r="D44" i="76"/>
  <c r="D33" i="76"/>
  <c r="D32" i="76"/>
  <c r="D31" i="76"/>
  <c r="D30" i="76"/>
  <c r="D29" i="76"/>
  <c r="D28" i="76"/>
  <c r="D27" i="76"/>
  <c r="D26" i="76"/>
  <c r="D25" i="76"/>
  <c r="D24" i="76"/>
  <c r="D23" i="76"/>
  <c r="D22" i="76"/>
  <c r="E33" i="102"/>
  <c r="E32" i="102"/>
  <c r="E31" i="102"/>
  <c r="E30" i="102"/>
  <c r="E259" i="103" a="1"/>
  <c r="E259" i="103" s="1"/>
  <c r="D259" i="103" a="1"/>
  <c r="D259" i="103" s="1"/>
  <c r="E258" i="103" a="1"/>
  <c r="E258" i="103" s="1"/>
  <c r="D258" i="103" a="1"/>
  <c r="D258" i="103" s="1"/>
  <c r="D256" i="103" a="1"/>
  <c r="D256" i="103" s="1"/>
  <c r="D255" i="103"/>
  <c r="D255" i="103" a="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c r="Q243" i="103" a="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a="1"/>
  <c r="R241" i="103" s="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c r="F198" i="103" a="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c r="H194" i="103" a="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c r="D155" i="103" a="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a="1"/>
  <c r="D140" i="103" s="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c r="M97" i="103" a="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c r="I90" i="103" a="1"/>
  <c r="H90" i="103" a="1"/>
  <c r="H90" i="103" s="1"/>
  <c r="G90" i="103" a="1"/>
  <c r="G90" i="103" s="1"/>
  <c r="F90" i="103" a="1"/>
  <c r="F90" i="103" s="1"/>
  <c r="E90" i="103" a="1"/>
  <c r="E90" i="103" s="1"/>
  <c r="D90" i="103" a="1"/>
  <c r="D90" i="103" s="1"/>
  <c r="D83" i="103" a="1"/>
  <c r="D83" i="103" s="1"/>
  <c r="D82" i="103" a="1"/>
  <c r="D82" i="103" s="1"/>
  <c r="D81" i="103"/>
  <c r="D81" i="103" a="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c r="D72" i="103" a="1"/>
  <c r="E71" i="103" a="1"/>
  <c r="E71" i="103" s="1"/>
  <c r="D71" i="103" a="1"/>
  <c r="D71" i="103" s="1"/>
  <c r="E70" i="103" a="1"/>
  <c r="E70" i="103" s="1"/>
  <c r="D70" i="103" a="1"/>
  <c r="D70" i="103" s="1"/>
  <c r="E69" i="103" a="1"/>
  <c r="E69" i="103" s="1"/>
  <c r="D69" i="103" a="1"/>
  <c r="D69" i="103" s="1"/>
  <c r="E68" i="103"/>
  <c r="E68" i="103" a="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c r="D54" i="103" a="1"/>
  <c r="G53" i="103" a="1"/>
  <c r="G53" i="103" s="1"/>
  <c r="F53" i="103" a="1"/>
  <c r="F53" i="103" s="1"/>
  <c r="E53" i="103" a="1"/>
  <c r="E53" i="103" s="1"/>
  <c r="D53" i="103" a="1"/>
  <c r="D53" i="103" s="1"/>
  <c r="G52" i="103" a="1"/>
  <c r="G52" i="103" s="1"/>
  <c r="F52" i="103"/>
  <c r="F52" i="103" a="1"/>
  <c r="E52" i="103" a="1"/>
  <c r="E52" i="103" s="1"/>
  <c r="D52" i="103" a="1"/>
  <c r="D52" i="103" s="1"/>
  <c r="G51" i="103" a="1"/>
  <c r="G51" i="103" s="1"/>
  <c r="F51" i="103" a="1"/>
  <c r="F51" i="103" s="1"/>
  <c r="H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a="1"/>
  <c r="D45" i="103" s="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c r="E37" i="103" a="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a="1"/>
  <c r="D18"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a="1"/>
  <c r="D5" i="103" s="1"/>
  <c r="E29" i="102"/>
  <c r="E13" i="102"/>
  <c r="F27" i="100" a="1"/>
  <c r="F27" i="100" s="1"/>
  <c r="E27" i="100" a="1"/>
  <c r="E27" i="100" s="1"/>
  <c r="D27" i="100" a="1"/>
  <c r="D27" i="100" s="1"/>
  <c r="F26" i="100" a="1"/>
  <c r="F26" i="100" s="1"/>
  <c r="E26" i="100" a="1"/>
  <c r="E26" i="100" s="1"/>
  <c r="D26" i="100" a="1"/>
  <c r="D26" i="100" s="1"/>
  <c r="F25" i="100" a="1"/>
  <c r="F25" i="100" s="1"/>
  <c r="E25" i="100" a="1"/>
  <c r="E25" i="100" s="1"/>
  <c r="D25" i="100" a="1"/>
  <c r="D25" i="100" s="1"/>
  <c r="F24" i="100" a="1"/>
  <c r="F24" i="100" s="1"/>
  <c r="E24" i="100" a="1"/>
  <c r="E24" i="100" s="1"/>
  <c r="D24" i="100" a="1"/>
  <c r="D24" i="100" s="1"/>
  <c r="F23" i="100" a="1"/>
  <c r="F23" i="100" s="1"/>
  <c r="E23" i="100" a="1"/>
  <c r="E23" i="100" s="1"/>
  <c r="D23" i="100" a="1"/>
  <c r="D23" i="100" s="1"/>
  <c r="F22" i="100" a="1"/>
  <c r="F22" i="100" s="1"/>
  <c r="E22" i="100" a="1"/>
  <c r="E22" i="100" s="1"/>
  <c r="D22" i="100" a="1"/>
  <c r="D22" i="100" s="1"/>
  <c r="F21" i="100" a="1"/>
  <c r="F21" i="100" s="1"/>
  <c r="E21" i="100" a="1"/>
  <c r="E21" i="100" s="1"/>
  <c r="D21" i="100" a="1"/>
  <c r="D21" i="100" s="1"/>
  <c r="F20" i="100" a="1"/>
  <c r="F20" i="100" s="1"/>
  <c r="E20" i="100" a="1"/>
  <c r="E20" i="100" s="1"/>
  <c r="D20" i="100" a="1"/>
  <c r="D20"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F16" i="100" a="1"/>
  <c r="F16" i="100" s="1"/>
  <c r="E16" i="100" a="1"/>
  <c r="E16" i="100" s="1"/>
  <c r="D16" i="100" a="1"/>
  <c r="D16" i="100" s="1"/>
  <c r="F15" i="100" a="1"/>
  <c r="F15" i="100" s="1"/>
  <c r="E15" i="100" a="1"/>
  <c r="E15" i="100" s="1"/>
  <c r="D15" i="100" a="1"/>
  <c r="D15" i="100" s="1"/>
  <c r="F14" i="100" a="1"/>
  <c r="F14" i="100" s="1"/>
  <c r="E14" i="100" a="1"/>
  <c r="E14" i="100" s="1"/>
  <c r="D14" i="100" a="1"/>
  <c r="D14" i="100" s="1"/>
  <c r="F13" i="100" a="1"/>
  <c r="F13" i="100" s="1"/>
  <c r="E13" i="100" a="1"/>
  <c r="E13" i="100" s="1"/>
  <c r="D13" i="100" a="1"/>
  <c r="D13" i="100" s="1"/>
  <c r="F12" i="100" a="1"/>
  <c r="F12" i="100" s="1"/>
  <c r="E12" i="100" a="1"/>
  <c r="E12" i="100" s="1"/>
  <c r="D12" i="100" a="1"/>
  <c r="D12" i="100" s="1"/>
  <c r="F11" i="100" a="1"/>
  <c r="F11" i="100" s="1"/>
  <c r="E11" i="100" a="1"/>
  <c r="E11" i="100" s="1"/>
  <c r="D11" i="100" a="1"/>
  <c r="D11" i="100" s="1"/>
  <c r="F10" i="100" a="1"/>
  <c r="F10" i="100" s="1"/>
  <c r="E10" i="100" a="1"/>
  <c r="E10" i="100" s="1"/>
  <c r="D10" i="100" a="1"/>
  <c r="D10" i="100" s="1"/>
  <c r="D8" i="100" a="1"/>
  <c r="D8" i="100" s="1"/>
  <c r="D7" i="100" a="1"/>
  <c r="D7" i="100" s="1"/>
  <c r="D6" i="100" a="1"/>
  <c r="D6" i="100" s="1"/>
  <c r="F235" i="99" a="1"/>
  <c r="F235" i="99" s="1"/>
  <c r="E235" i="99" a="1"/>
  <c r="E235" i="99" s="1"/>
  <c r="D235" i="99" a="1"/>
  <c r="D235" i="99" s="1"/>
  <c r="F234" i="99" a="1"/>
  <c r="F234" i="99" s="1"/>
  <c r="E234" i="99" a="1"/>
  <c r="E234" i="99" s="1"/>
  <c r="D234" i="99" a="1"/>
  <c r="D234" i="99" s="1"/>
  <c r="F233" i="99" a="1"/>
  <c r="F233" i="99" s="1"/>
  <c r="E233" i="99" a="1"/>
  <c r="E233" i="99" s="1"/>
  <c r="D233" i="99" a="1"/>
  <c r="D233" i="99" s="1"/>
  <c r="F232" i="99" a="1"/>
  <c r="F232" i="99" s="1"/>
  <c r="E232" i="99" a="1"/>
  <c r="E232" i="99" s="1"/>
  <c r="D232" i="99" a="1"/>
  <c r="D232" i="99" s="1"/>
  <c r="F231" i="99" a="1"/>
  <c r="F231" i="99" s="1"/>
  <c r="E231" i="99" a="1"/>
  <c r="E231" i="99" s="1"/>
  <c r="D231" i="99" a="1"/>
  <c r="D231" i="99" s="1"/>
  <c r="F230" i="99" a="1"/>
  <c r="F230" i="99" s="1"/>
  <c r="E230" i="99" a="1"/>
  <c r="E230" i="99" s="1"/>
  <c r="D230" i="99" a="1"/>
  <c r="D230" i="99" s="1"/>
  <c r="F229" i="99" a="1"/>
  <c r="F229" i="99" s="1"/>
  <c r="E229" i="99" a="1"/>
  <c r="E229" i="99" s="1"/>
  <c r="D229" i="99" a="1"/>
  <c r="D229" i="99" s="1"/>
  <c r="F228" i="99" a="1"/>
  <c r="F228" i="99" s="1"/>
  <c r="E228" i="99" a="1"/>
  <c r="E228" i="99" s="1"/>
  <c r="D228" i="99" a="1"/>
  <c r="D228" i="99" s="1"/>
  <c r="F227" i="99" a="1"/>
  <c r="F227" i="99" s="1"/>
  <c r="E227" i="99" a="1"/>
  <c r="E227" i="99" s="1"/>
  <c r="D227" i="99" a="1"/>
  <c r="D227" i="99" s="1"/>
  <c r="F226" i="99" a="1"/>
  <c r="F226" i="99" s="1"/>
  <c r="E226" i="99" a="1"/>
  <c r="E226" i="99" s="1"/>
  <c r="D226" i="99" a="1"/>
  <c r="D226" i="99" s="1"/>
  <c r="F225" i="99" a="1"/>
  <c r="F225" i="99" s="1"/>
  <c r="E225" i="99" a="1"/>
  <c r="E225" i="99" s="1"/>
  <c r="D225" i="99" a="1"/>
  <c r="D225" i="99" s="1"/>
  <c r="F224" i="99" a="1"/>
  <c r="F224" i="99" s="1"/>
  <c r="E224" i="99" a="1"/>
  <c r="E224" i="99" s="1"/>
  <c r="D224" i="99" a="1"/>
  <c r="D224" i="99" s="1"/>
  <c r="F223" i="99" a="1"/>
  <c r="F223" i="99" s="1"/>
  <c r="E223" i="99" a="1"/>
  <c r="E223" i="99" s="1"/>
  <c r="D223" i="99" a="1"/>
  <c r="D223" i="99" s="1"/>
  <c r="F222" i="99" a="1"/>
  <c r="F222" i="99" s="1"/>
  <c r="E222" i="99" a="1"/>
  <c r="E222" i="99" s="1"/>
  <c r="D222" i="99" a="1"/>
  <c r="D222" i="99" s="1"/>
  <c r="F221" i="99" a="1"/>
  <c r="F221" i="99" s="1"/>
  <c r="E221" i="99" a="1"/>
  <c r="E221" i="99" s="1"/>
  <c r="D221" i="99" a="1"/>
  <c r="D221" i="99" s="1"/>
  <c r="F220" i="99" a="1"/>
  <c r="F220" i="99" s="1"/>
  <c r="E220" i="99" a="1"/>
  <c r="E220" i="99" s="1"/>
  <c r="D220" i="99" a="1"/>
  <c r="D220" i="99" s="1"/>
  <c r="F219" i="99" a="1"/>
  <c r="F219" i="99" s="1"/>
  <c r="E219" i="99" a="1"/>
  <c r="E219" i="99" s="1"/>
  <c r="D219" i="99" a="1"/>
  <c r="D219" i="99" s="1"/>
  <c r="F218" i="99" a="1"/>
  <c r="F218" i="99" s="1"/>
  <c r="E218" i="99" a="1"/>
  <c r="E218" i="99" s="1"/>
  <c r="D218" i="99" a="1"/>
  <c r="D218" i="99" s="1"/>
  <c r="F217" i="99" a="1"/>
  <c r="F217" i="99" s="1"/>
  <c r="E217" i="99" a="1"/>
  <c r="E217" i="99" s="1"/>
  <c r="D217" i="99" a="1"/>
  <c r="D217" i="99" s="1"/>
  <c r="F216" i="99" a="1"/>
  <c r="F216" i="99" s="1"/>
  <c r="E216" i="99" a="1"/>
  <c r="E216" i="99" s="1"/>
  <c r="D216" i="99" a="1"/>
  <c r="D216" i="99" s="1"/>
  <c r="F215" i="99" a="1"/>
  <c r="F215" i="99" s="1"/>
  <c r="E215" i="99" a="1"/>
  <c r="E215" i="99" s="1"/>
  <c r="D215" i="99" a="1"/>
  <c r="D215" i="99" s="1"/>
  <c r="F214" i="99" a="1"/>
  <c r="F214" i="99" s="1"/>
  <c r="E214" i="99" a="1"/>
  <c r="E214" i="99" s="1"/>
  <c r="D214" i="99" a="1"/>
  <c r="D214" i="99" s="1"/>
  <c r="F213" i="99" a="1"/>
  <c r="F213" i="99" s="1"/>
  <c r="E213" i="99" a="1"/>
  <c r="E213" i="99" s="1"/>
  <c r="D213" i="99" a="1"/>
  <c r="D213" i="99" s="1"/>
  <c r="F212" i="99" a="1"/>
  <c r="F212" i="99" s="1"/>
  <c r="E212" i="99" a="1"/>
  <c r="E212" i="99" s="1"/>
  <c r="D212" i="99" a="1"/>
  <c r="D212" i="99" s="1"/>
  <c r="F211" i="99" a="1"/>
  <c r="F211" i="99" s="1"/>
  <c r="E211" i="99" a="1"/>
  <c r="E211" i="99" s="1"/>
  <c r="D211" i="99" a="1"/>
  <c r="D211" i="99" s="1"/>
  <c r="F210" i="99" a="1"/>
  <c r="F210" i="99" s="1"/>
  <c r="E210" i="99" a="1"/>
  <c r="E210" i="99" s="1"/>
  <c r="D210" i="99" a="1"/>
  <c r="D210" i="99" s="1"/>
  <c r="F209" i="99" a="1"/>
  <c r="F209" i="99" s="1"/>
  <c r="E209" i="99" a="1"/>
  <c r="E209" i="99" s="1"/>
  <c r="D209" i="99" a="1"/>
  <c r="D209" i="99" s="1"/>
  <c r="F208" i="99" a="1"/>
  <c r="F208" i="99" s="1"/>
  <c r="E208" i="99" a="1"/>
  <c r="E208" i="99" s="1"/>
  <c r="D208" i="99" a="1"/>
  <c r="D208" i="99" s="1"/>
  <c r="F207" i="99" a="1"/>
  <c r="F207" i="99" s="1"/>
  <c r="E207" i="99" a="1"/>
  <c r="E207" i="99" s="1"/>
  <c r="D207" i="99" a="1"/>
  <c r="D207" i="99" s="1"/>
  <c r="F206" i="99" a="1"/>
  <c r="F206" i="99" s="1"/>
  <c r="E206" i="99" a="1"/>
  <c r="E206" i="99" s="1"/>
  <c r="D206" i="99" a="1"/>
  <c r="D206" i="99" s="1"/>
  <c r="F205" i="99" a="1"/>
  <c r="F205" i="99" s="1"/>
  <c r="E205" i="99" a="1"/>
  <c r="E205" i="99" s="1"/>
  <c r="D205" i="99" a="1"/>
  <c r="D205" i="99" s="1"/>
  <c r="F204" i="99" a="1"/>
  <c r="F204" i="99" s="1"/>
  <c r="E204" i="99" a="1"/>
  <c r="E204" i="99" s="1"/>
  <c r="D204" i="99" a="1"/>
  <c r="D204" i="99" s="1"/>
  <c r="F203" i="99" a="1"/>
  <c r="F203" i="99" s="1"/>
  <c r="E203" i="99" a="1"/>
  <c r="E203" i="99" s="1"/>
  <c r="D203" i="99" a="1"/>
  <c r="D203" i="99" s="1"/>
  <c r="F202" i="99" a="1"/>
  <c r="F202" i="99" s="1"/>
  <c r="E202" i="99" a="1"/>
  <c r="E202" i="99" s="1"/>
  <c r="D202" i="99" a="1"/>
  <c r="D202" i="99" s="1"/>
  <c r="F201" i="99" a="1"/>
  <c r="F201" i="99" s="1"/>
  <c r="E201" i="99" a="1"/>
  <c r="E201" i="99" s="1"/>
  <c r="D201" i="99" a="1"/>
  <c r="D201" i="99" s="1"/>
  <c r="F200" i="99" a="1"/>
  <c r="F200" i="99" s="1"/>
  <c r="E200" i="99" a="1"/>
  <c r="E200" i="99" s="1"/>
  <c r="D200" i="99" a="1"/>
  <c r="D200" i="99" s="1"/>
  <c r="F199" i="99" a="1"/>
  <c r="F199" i="99" s="1"/>
  <c r="E199" i="99" a="1"/>
  <c r="E199" i="99" s="1"/>
  <c r="D199" i="99" a="1"/>
  <c r="D199" i="99" s="1"/>
  <c r="F198" i="99" a="1"/>
  <c r="F198" i="99" s="1"/>
  <c r="E198" i="99" a="1"/>
  <c r="E198" i="99" s="1"/>
  <c r="D198" i="99" a="1"/>
  <c r="D198" i="99" s="1"/>
  <c r="F197" i="99" a="1"/>
  <c r="F197" i="99" s="1"/>
  <c r="E197" i="99" a="1"/>
  <c r="E197" i="99" s="1"/>
  <c r="D197" i="99" a="1"/>
  <c r="D197" i="99" s="1"/>
  <c r="F196" i="99" a="1"/>
  <c r="F196" i="99" s="1"/>
  <c r="E196" i="99" a="1"/>
  <c r="E196" i="99" s="1"/>
  <c r="D196" i="99" a="1"/>
  <c r="D196" i="99" s="1"/>
  <c r="F195" i="99" a="1"/>
  <c r="F195" i="99" s="1"/>
  <c r="E195" i="99" a="1"/>
  <c r="E195" i="99" s="1"/>
  <c r="D195" i="99" a="1"/>
  <c r="D195" i="99" s="1"/>
  <c r="F194" i="99" a="1"/>
  <c r="F194" i="99" s="1"/>
  <c r="E194" i="99" a="1"/>
  <c r="E194" i="99" s="1"/>
  <c r="D194" i="99" a="1"/>
  <c r="D194" i="99" s="1"/>
  <c r="F193" i="99" a="1"/>
  <c r="F193" i="99" s="1"/>
  <c r="E193" i="99" a="1"/>
  <c r="E193" i="99" s="1"/>
  <c r="D193" i="99" a="1"/>
  <c r="D193" i="99" s="1"/>
  <c r="F192" i="99" a="1"/>
  <c r="F192" i="99" s="1"/>
  <c r="E192" i="99" a="1"/>
  <c r="E192" i="99" s="1"/>
  <c r="D192" i="99" a="1"/>
  <c r="D192" i="99" s="1"/>
  <c r="F191" i="99" a="1"/>
  <c r="F191" i="99" s="1"/>
  <c r="E191" i="99" a="1"/>
  <c r="E191" i="99" s="1"/>
  <c r="D191" i="99" a="1"/>
  <c r="D191" i="99" s="1"/>
  <c r="F190" i="99" a="1"/>
  <c r="F190" i="99" s="1"/>
  <c r="E190" i="99" a="1"/>
  <c r="E190" i="99" s="1"/>
  <c r="D190" i="99" a="1"/>
  <c r="D190" i="99" s="1"/>
  <c r="F189" i="99" a="1"/>
  <c r="F189" i="99" s="1"/>
  <c r="E189" i="99" a="1"/>
  <c r="E189" i="99" s="1"/>
  <c r="D189" i="99" a="1"/>
  <c r="D189" i="99" s="1"/>
  <c r="F188" i="99" a="1"/>
  <c r="F188" i="99" s="1"/>
  <c r="E188" i="99" a="1"/>
  <c r="E188" i="99" s="1"/>
  <c r="D188" i="99" a="1"/>
  <c r="D188" i="99" s="1"/>
  <c r="F187" i="99" a="1"/>
  <c r="F187" i="99" s="1"/>
  <c r="E187" i="99" a="1"/>
  <c r="E187" i="99" s="1"/>
  <c r="D187" i="99" a="1"/>
  <c r="D187" i="99" s="1"/>
  <c r="F186" i="99" a="1"/>
  <c r="F186" i="99" s="1"/>
  <c r="E186" i="99" a="1"/>
  <c r="E186" i="99" s="1"/>
  <c r="D186" i="99" a="1"/>
  <c r="D186" i="99" s="1"/>
  <c r="F185" i="99" a="1"/>
  <c r="F185" i="99" s="1"/>
  <c r="E185" i="99" a="1"/>
  <c r="E185" i="99" s="1"/>
  <c r="D185" i="99" a="1"/>
  <c r="D185" i="99" s="1"/>
  <c r="F184" i="99" a="1"/>
  <c r="F184" i="99" s="1"/>
  <c r="E184" i="99" a="1"/>
  <c r="E184" i="99" s="1"/>
  <c r="D184" i="99" a="1"/>
  <c r="D184" i="99" s="1"/>
  <c r="F183" i="99" a="1"/>
  <c r="F183" i="99" s="1"/>
  <c r="E183" i="99" a="1"/>
  <c r="E183" i="99" s="1"/>
  <c r="D183" i="99" a="1"/>
  <c r="D183" i="99" s="1"/>
  <c r="F182" i="99" a="1"/>
  <c r="F182" i="99" s="1"/>
  <c r="E182" i="99" a="1"/>
  <c r="E182" i="99" s="1"/>
  <c r="D182" i="99" a="1"/>
  <c r="D182" i="99" s="1"/>
  <c r="F181" i="99" a="1"/>
  <c r="F181" i="99" s="1"/>
  <c r="E181" i="99" a="1"/>
  <c r="E181" i="99" s="1"/>
  <c r="D181" i="99" a="1"/>
  <c r="D181" i="99" s="1"/>
  <c r="F180" i="99" a="1"/>
  <c r="F180" i="99" s="1"/>
  <c r="E180" i="99" a="1"/>
  <c r="E180" i="99" s="1"/>
  <c r="D180" i="99" a="1"/>
  <c r="D180" i="99" s="1"/>
  <c r="F179" i="99" a="1"/>
  <c r="F179" i="99" s="1"/>
  <c r="E179" i="99" a="1"/>
  <c r="E179" i="99" s="1"/>
  <c r="D179" i="99" a="1"/>
  <c r="D179" i="99" s="1"/>
  <c r="F178" i="99" a="1"/>
  <c r="F178" i="99" s="1"/>
  <c r="E178" i="99" a="1"/>
  <c r="E178" i="99" s="1"/>
  <c r="D178" i="99" a="1"/>
  <c r="D178" i="99" s="1"/>
  <c r="F177" i="99" a="1"/>
  <c r="F177" i="99" s="1"/>
  <c r="E177" i="99" a="1"/>
  <c r="E177" i="99" s="1"/>
  <c r="D177" i="99" a="1"/>
  <c r="D177" i="99" s="1"/>
  <c r="F176" i="99" a="1"/>
  <c r="F176" i="99" s="1"/>
  <c r="E176" i="99" a="1"/>
  <c r="E176" i="99" s="1"/>
  <c r="D176" i="99" a="1"/>
  <c r="D176" i="99" s="1"/>
  <c r="F175" i="99" a="1"/>
  <c r="F175" i="99" s="1"/>
  <c r="E175" i="99" a="1"/>
  <c r="E175" i="99" s="1"/>
  <c r="D175" i="99" a="1"/>
  <c r="D175" i="99" s="1"/>
  <c r="F174" i="99" a="1"/>
  <c r="F174" i="99" s="1"/>
  <c r="E174" i="99" a="1"/>
  <c r="E174" i="99" s="1"/>
  <c r="D174" i="99" a="1"/>
  <c r="D174" i="99" s="1"/>
  <c r="F173" i="99" a="1"/>
  <c r="F173" i="99" s="1"/>
  <c r="E173" i="99" a="1"/>
  <c r="E173" i="99" s="1"/>
  <c r="D173" i="99" a="1"/>
  <c r="D173" i="99" s="1"/>
  <c r="F172" i="99" a="1"/>
  <c r="F172" i="99" s="1"/>
  <c r="E172" i="99" a="1"/>
  <c r="E172" i="99" s="1"/>
  <c r="D172" i="99" a="1"/>
  <c r="D172" i="99" s="1"/>
  <c r="F171" i="99" a="1"/>
  <c r="F171" i="99" s="1"/>
  <c r="E171" i="99" a="1"/>
  <c r="E171" i="99" s="1"/>
  <c r="D171" i="99" a="1"/>
  <c r="D171" i="99" s="1"/>
  <c r="F170" i="99" a="1"/>
  <c r="F170" i="99" s="1"/>
  <c r="E170" i="99" a="1"/>
  <c r="E170" i="99" s="1"/>
  <c r="D170" i="99" a="1"/>
  <c r="D170" i="99" s="1"/>
  <c r="F169" i="99" a="1"/>
  <c r="F169" i="99" s="1"/>
  <c r="E169" i="99" a="1"/>
  <c r="E169" i="99" s="1"/>
  <c r="D169" i="99" a="1"/>
  <c r="D169" i="99" s="1"/>
  <c r="F168" i="99" a="1"/>
  <c r="F168" i="99" s="1"/>
  <c r="E168" i="99" a="1"/>
  <c r="E168" i="99" s="1"/>
  <c r="D168" i="99" a="1"/>
  <c r="D168" i="99" s="1"/>
  <c r="F167" i="99" a="1"/>
  <c r="F167" i="99" s="1"/>
  <c r="E167" i="99" a="1"/>
  <c r="E167" i="99" s="1"/>
  <c r="D167" i="99" a="1"/>
  <c r="D167" i="99" s="1"/>
  <c r="F166" i="99" a="1"/>
  <c r="F166" i="99" s="1"/>
  <c r="E166" i="99" a="1"/>
  <c r="E166" i="99" s="1"/>
  <c r="D166" i="99" a="1"/>
  <c r="D166" i="99" s="1"/>
  <c r="F165" i="99" a="1"/>
  <c r="F165" i="99" s="1"/>
  <c r="E165" i="99" a="1"/>
  <c r="E165" i="99" s="1"/>
  <c r="D165" i="99" a="1"/>
  <c r="D165" i="99" s="1"/>
  <c r="F164" i="99" a="1"/>
  <c r="F164" i="99" s="1"/>
  <c r="E164" i="99" a="1"/>
  <c r="E164" i="99" s="1"/>
  <c r="D164" i="99" a="1"/>
  <c r="D164" i="99" s="1"/>
  <c r="F163" i="99" a="1"/>
  <c r="F163" i="99" s="1"/>
  <c r="E163" i="99" a="1"/>
  <c r="E163" i="99" s="1"/>
  <c r="D163" i="99" a="1"/>
  <c r="D163" i="99" s="1"/>
  <c r="F162" i="99" a="1"/>
  <c r="F162" i="99" s="1"/>
  <c r="E162" i="99" a="1"/>
  <c r="E162" i="99" s="1"/>
  <c r="D162" i="99" a="1"/>
  <c r="D162" i="99" s="1"/>
  <c r="F161" i="99" a="1"/>
  <c r="F161" i="99" s="1"/>
  <c r="E161" i="99" a="1"/>
  <c r="E161" i="99" s="1"/>
  <c r="D161" i="99" a="1"/>
  <c r="D161" i="99" s="1"/>
  <c r="F160" i="99" a="1"/>
  <c r="F160" i="99" s="1"/>
  <c r="E160" i="99" a="1"/>
  <c r="E160" i="99" s="1"/>
  <c r="D160" i="99" a="1"/>
  <c r="D160" i="99" s="1"/>
  <c r="F159" i="99" a="1"/>
  <c r="F159" i="99" s="1"/>
  <c r="E159" i="99" a="1"/>
  <c r="E159" i="99" s="1"/>
  <c r="D159" i="99" a="1"/>
  <c r="D159" i="99" s="1"/>
  <c r="F158" i="99" a="1"/>
  <c r="F158" i="99" s="1"/>
  <c r="E158" i="99" a="1"/>
  <c r="E158" i="99" s="1"/>
  <c r="D158" i="99" a="1"/>
  <c r="D158" i="99" s="1"/>
  <c r="F157" i="99" a="1"/>
  <c r="F157" i="99" s="1"/>
  <c r="E157" i="99" a="1"/>
  <c r="E157" i="99" s="1"/>
  <c r="D157" i="99" a="1"/>
  <c r="D157" i="99" s="1"/>
  <c r="F156" i="99" a="1"/>
  <c r="F156" i="99" s="1"/>
  <c r="E156" i="99" a="1"/>
  <c r="E156" i="99" s="1"/>
  <c r="D156" i="99" a="1"/>
  <c r="D156" i="99" s="1"/>
  <c r="F155" i="99" a="1"/>
  <c r="F155" i="99" s="1"/>
  <c r="E155" i="99" a="1"/>
  <c r="E155" i="99" s="1"/>
  <c r="D155" i="99" a="1"/>
  <c r="D155" i="99" s="1"/>
  <c r="F154" i="99" a="1"/>
  <c r="F154" i="99" s="1"/>
  <c r="E154" i="99" a="1"/>
  <c r="E154" i="99" s="1"/>
  <c r="D154" i="99" a="1"/>
  <c r="D154" i="99" s="1"/>
  <c r="F153" i="99" a="1"/>
  <c r="F153" i="99" s="1"/>
  <c r="E153" i="99" a="1"/>
  <c r="E153" i="99" s="1"/>
  <c r="D153" i="99" a="1"/>
  <c r="D153" i="99" s="1"/>
  <c r="F152" i="99" a="1"/>
  <c r="F152" i="99" s="1"/>
  <c r="E152" i="99" a="1"/>
  <c r="E152" i="99" s="1"/>
  <c r="D152" i="99" a="1"/>
  <c r="D152" i="99" s="1"/>
  <c r="F151" i="99" a="1"/>
  <c r="F151" i="99" s="1"/>
  <c r="E151" i="99" a="1"/>
  <c r="E151" i="99" s="1"/>
  <c r="D151" i="99" a="1"/>
  <c r="D151" i="99" s="1"/>
  <c r="F150" i="99" a="1"/>
  <c r="F150" i="99" s="1"/>
  <c r="E150" i="99" a="1"/>
  <c r="E150" i="99" s="1"/>
  <c r="D150" i="99" a="1"/>
  <c r="D150" i="99" s="1"/>
  <c r="F149" i="99" a="1"/>
  <c r="F149" i="99" s="1"/>
  <c r="E149" i="99" a="1"/>
  <c r="E149" i="99" s="1"/>
  <c r="D149" i="99" a="1"/>
  <c r="D149" i="99" s="1"/>
  <c r="F148" i="99" a="1"/>
  <c r="F148" i="99" s="1"/>
  <c r="E148" i="99" a="1"/>
  <c r="E148" i="99" s="1"/>
  <c r="D148" i="99" a="1"/>
  <c r="D148" i="99" s="1"/>
  <c r="F147" i="99" a="1"/>
  <c r="F147" i="99" s="1"/>
  <c r="E147" i="99" a="1"/>
  <c r="E147" i="99" s="1"/>
  <c r="D147" i="99" a="1"/>
  <c r="D147" i="99" s="1"/>
  <c r="F146" i="99" a="1"/>
  <c r="F146" i="99" s="1"/>
  <c r="E146" i="99" a="1"/>
  <c r="E146" i="99" s="1"/>
  <c r="D146" i="99" a="1"/>
  <c r="D146" i="99" s="1"/>
  <c r="F145" i="99" a="1"/>
  <c r="F145" i="99" s="1"/>
  <c r="E145" i="99" a="1"/>
  <c r="E145" i="99" s="1"/>
  <c r="D145" i="99" a="1"/>
  <c r="D145" i="99" s="1"/>
  <c r="F144" i="99" a="1"/>
  <c r="F144" i="99" s="1"/>
  <c r="E144" i="99" a="1"/>
  <c r="E144" i="99" s="1"/>
  <c r="D144" i="99" a="1"/>
  <c r="D144" i="99" s="1"/>
  <c r="F143" i="99" a="1"/>
  <c r="F143" i="99" s="1"/>
  <c r="E143" i="99" a="1"/>
  <c r="E143" i="99" s="1"/>
  <c r="D143" i="99" a="1"/>
  <c r="D143" i="99" s="1"/>
  <c r="F142" i="99" a="1"/>
  <c r="F142" i="99" s="1"/>
  <c r="E142" i="99" a="1"/>
  <c r="E142" i="99" s="1"/>
  <c r="D142" i="99" a="1"/>
  <c r="D142" i="99" s="1"/>
  <c r="F141" i="99" a="1"/>
  <c r="F141" i="99" s="1"/>
  <c r="E141" i="99" a="1"/>
  <c r="E141" i="99" s="1"/>
  <c r="D141" i="99" a="1"/>
  <c r="D141" i="99" s="1"/>
  <c r="F140" i="99" a="1"/>
  <c r="F140" i="99" s="1"/>
  <c r="E140" i="99" a="1"/>
  <c r="E140" i="99" s="1"/>
  <c r="D140" i="99" a="1"/>
  <c r="D140" i="99" s="1"/>
  <c r="F139" i="99" a="1"/>
  <c r="F139" i="99" s="1"/>
  <c r="E139" i="99" a="1"/>
  <c r="E139" i="99" s="1"/>
  <c r="D139" i="99" a="1"/>
  <c r="D139" i="99" s="1"/>
  <c r="F138" i="99" a="1"/>
  <c r="F138" i="99" s="1"/>
  <c r="E138" i="99" a="1"/>
  <c r="E138" i="99" s="1"/>
  <c r="D138" i="99" a="1"/>
  <c r="D138" i="99" s="1"/>
  <c r="F137" i="99" a="1"/>
  <c r="F137" i="99" s="1"/>
  <c r="E137" i="99" a="1"/>
  <c r="E137" i="99" s="1"/>
  <c r="D137" i="99" a="1"/>
  <c r="D137" i="99" s="1"/>
  <c r="F136" i="99" a="1"/>
  <c r="F136" i="99" s="1"/>
  <c r="E136" i="99" a="1"/>
  <c r="E136" i="99" s="1"/>
  <c r="D136" i="99" a="1"/>
  <c r="D136" i="99" s="1"/>
  <c r="F135" i="99" a="1"/>
  <c r="F135" i="99" s="1"/>
  <c r="E135" i="99" a="1"/>
  <c r="E135" i="99" s="1"/>
  <c r="D135" i="99" a="1"/>
  <c r="D135" i="99" s="1"/>
  <c r="F134" i="99" a="1"/>
  <c r="F134" i="99" s="1"/>
  <c r="E134" i="99" a="1"/>
  <c r="E134" i="99" s="1"/>
  <c r="D134" i="99" a="1"/>
  <c r="D134" i="99" s="1"/>
  <c r="F133" i="99" a="1"/>
  <c r="F133" i="99" s="1"/>
  <c r="E133" i="99" a="1"/>
  <c r="E133" i="99" s="1"/>
  <c r="D133" i="99" a="1"/>
  <c r="D133" i="99" s="1"/>
  <c r="F132" i="99" a="1"/>
  <c r="F132" i="99" s="1"/>
  <c r="E132" i="99" a="1"/>
  <c r="E132" i="99" s="1"/>
  <c r="D132" i="99" a="1"/>
  <c r="D132" i="99" s="1"/>
  <c r="F131" i="99" a="1"/>
  <c r="F131" i="99" s="1"/>
  <c r="E131" i="99" a="1"/>
  <c r="E131" i="99" s="1"/>
  <c r="D131" i="99" a="1"/>
  <c r="D131" i="99" s="1"/>
  <c r="F130" i="99" a="1"/>
  <c r="F130" i="99" s="1"/>
  <c r="E130" i="99" a="1"/>
  <c r="E130" i="99" s="1"/>
  <c r="D130" i="99" a="1"/>
  <c r="D130" i="99" s="1"/>
  <c r="F129" i="99" a="1"/>
  <c r="F129" i="99" s="1"/>
  <c r="E129" i="99" a="1"/>
  <c r="E129" i="99" s="1"/>
  <c r="D129" i="99" a="1"/>
  <c r="D129" i="99" s="1"/>
  <c r="F128" i="99" a="1"/>
  <c r="F128" i="99" s="1"/>
  <c r="E128" i="99" a="1"/>
  <c r="E128" i="99" s="1"/>
  <c r="D128" i="99" a="1"/>
  <c r="D128" i="99" s="1"/>
  <c r="F127" i="99" a="1"/>
  <c r="F127" i="99" s="1"/>
  <c r="E127" i="99" a="1"/>
  <c r="E127" i="99" s="1"/>
  <c r="D127" i="99" a="1"/>
  <c r="D127" i="99" s="1"/>
  <c r="F126" i="99" a="1"/>
  <c r="F126" i="99" s="1"/>
  <c r="E126" i="99" a="1"/>
  <c r="E126" i="99" s="1"/>
  <c r="D126" i="99" a="1"/>
  <c r="D126" i="99" s="1"/>
  <c r="F125" i="99" a="1"/>
  <c r="F125" i="99" s="1"/>
  <c r="E125" i="99" a="1"/>
  <c r="E125" i="99" s="1"/>
  <c r="D125" i="99" a="1"/>
  <c r="D125" i="99" s="1"/>
  <c r="F124" i="99" a="1"/>
  <c r="F124" i="99" s="1"/>
  <c r="E124" i="99" a="1"/>
  <c r="E124" i="99" s="1"/>
  <c r="D124" i="99" a="1"/>
  <c r="D124" i="99" s="1"/>
  <c r="F123" i="99" a="1"/>
  <c r="F123" i="99" s="1"/>
  <c r="E123" i="99" a="1"/>
  <c r="E123" i="99" s="1"/>
  <c r="D123" i="99" a="1"/>
  <c r="D123" i="99" s="1"/>
  <c r="F122" i="99" a="1"/>
  <c r="F122" i="99" s="1"/>
  <c r="E122" i="99" a="1"/>
  <c r="E122" i="99" s="1"/>
  <c r="D122" i="99" a="1"/>
  <c r="D122" i="99" s="1"/>
  <c r="F121" i="99" a="1"/>
  <c r="F121" i="99" s="1"/>
  <c r="E121" i="99" a="1"/>
  <c r="E121" i="99" s="1"/>
  <c r="D121" i="99" a="1"/>
  <c r="D121" i="99"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F113" i="99" a="1"/>
  <c r="F113" i="99" s="1"/>
  <c r="E113" i="99" a="1"/>
  <c r="E113" i="99" s="1"/>
  <c r="D113" i="99" a="1"/>
  <c r="D113" i="99" s="1"/>
  <c r="F112" i="99" a="1"/>
  <c r="F112" i="99" s="1"/>
  <c r="E112" i="99" a="1"/>
  <c r="E112" i="99" s="1"/>
  <c r="D112" i="99" a="1"/>
  <c r="D112" i="99" s="1"/>
  <c r="F111" i="99" a="1"/>
  <c r="F111" i="99" s="1"/>
  <c r="E111" i="99" a="1"/>
  <c r="E111" i="99" s="1"/>
  <c r="D111" i="99" a="1"/>
  <c r="D111" i="99" s="1"/>
  <c r="F110" i="99" a="1"/>
  <c r="F110" i="99" s="1"/>
  <c r="E110" i="99" a="1"/>
  <c r="E110" i="99" s="1"/>
  <c r="D110" i="99" a="1"/>
  <c r="D110" i="99" s="1"/>
  <c r="F109" i="99" a="1"/>
  <c r="F109" i="99" s="1"/>
  <c r="E109" i="99" a="1"/>
  <c r="E109" i="99" s="1"/>
  <c r="D109" i="99" a="1"/>
  <c r="D109" i="99" s="1"/>
  <c r="F108" i="99" a="1"/>
  <c r="F108" i="99" s="1"/>
  <c r="E108" i="99" a="1"/>
  <c r="E108" i="99" s="1"/>
  <c r="D108" i="99" a="1"/>
  <c r="D108" i="99" s="1"/>
  <c r="F107" i="99" a="1"/>
  <c r="F107" i="99" s="1"/>
  <c r="E107" i="99" a="1"/>
  <c r="E107" i="99" s="1"/>
  <c r="D107" i="99" a="1"/>
  <c r="D107" i="99" s="1"/>
  <c r="F106" i="99" a="1"/>
  <c r="F106" i="99" s="1"/>
  <c r="E106" i="99" a="1"/>
  <c r="E106" i="99" s="1"/>
  <c r="D106" i="99" a="1"/>
  <c r="D106" i="99" s="1"/>
  <c r="F105" i="99" a="1"/>
  <c r="F105" i="99" s="1"/>
  <c r="E105" i="99" a="1"/>
  <c r="E105" i="99" s="1"/>
  <c r="D105" i="99" a="1"/>
  <c r="D105" i="99" s="1"/>
  <c r="F104" i="99" a="1"/>
  <c r="F104" i="99" s="1"/>
  <c r="E104" i="99" a="1"/>
  <c r="E104" i="99" s="1"/>
  <c r="D104" i="99" a="1"/>
  <c r="D104" i="99" s="1"/>
  <c r="F103" i="99" a="1"/>
  <c r="F103" i="99" s="1"/>
  <c r="E103" i="99" a="1"/>
  <c r="E103" i="99" s="1"/>
  <c r="D103" i="99" a="1"/>
  <c r="D103" i="99" s="1"/>
  <c r="F102" i="99" a="1"/>
  <c r="F102" i="99" s="1"/>
  <c r="E102" i="99" a="1"/>
  <c r="E102" i="99" s="1"/>
  <c r="D102" i="99" a="1"/>
  <c r="D102" i="99" s="1"/>
  <c r="F101" i="99" a="1"/>
  <c r="F101" i="99" s="1"/>
  <c r="E101" i="99" a="1"/>
  <c r="E101" i="99" s="1"/>
  <c r="D101" i="99" a="1"/>
  <c r="D101" i="99" s="1"/>
  <c r="F100" i="99" a="1"/>
  <c r="F100" i="99" s="1"/>
  <c r="E100" i="99" a="1"/>
  <c r="E100" i="99" s="1"/>
  <c r="D100" i="99" a="1"/>
  <c r="D100" i="99" s="1"/>
  <c r="F99" i="99" a="1"/>
  <c r="F99" i="99" s="1"/>
  <c r="E99" i="99" a="1"/>
  <c r="E99" i="99" s="1"/>
  <c r="D99" i="99" a="1"/>
  <c r="D99" i="99" s="1"/>
  <c r="F98" i="99" a="1"/>
  <c r="F98" i="99" s="1"/>
  <c r="E98" i="99" a="1"/>
  <c r="E98" i="99" s="1"/>
  <c r="D98" i="99" a="1"/>
  <c r="D98" i="99" s="1"/>
  <c r="F97" i="99" a="1"/>
  <c r="F97" i="99" s="1"/>
  <c r="E97" i="99" a="1"/>
  <c r="E97" i="99" s="1"/>
  <c r="D97" i="99" a="1"/>
  <c r="D97" i="99" s="1"/>
  <c r="F96" i="99" a="1"/>
  <c r="F96" i="99" s="1"/>
  <c r="E96" i="99" a="1"/>
  <c r="E96" i="99" s="1"/>
  <c r="D96" i="99" a="1"/>
  <c r="D96" i="99" s="1"/>
  <c r="F95" i="99" a="1"/>
  <c r="F95" i="99" s="1"/>
  <c r="E95" i="99" a="1"/>
  <c r="E95" i="99" s="1"/>
  <c r="D95" i="99" a="1"/>
  <c r="D95" i="99" s="1"/>
  <c r="F94" i="99" a="1"/>
  <c r="F94" i="99" s="1"/>
  <c r="E94" i="99" a="1"/>
  <c r="E94" i="99" s="1"/>
  <c r="D94" i="99" a="1"/>
  <c r="D94" i="99" s="1"/>
  <c r="F93" i="99" a="1"/>
  <c r="F93" i="99" s="1"/>
  <c r="E93" i="99" a="1"/>
  <c r="E93" i="99" s="1"/>
  <c r="D93" i="99" a="1"/>
  <c r="D93" i="99" s="1"/>
  <c r="D91" i="99" a="1"/>
  <c r="D91" i="99" s="1"/>
  <c r="F89" i="99" a="1"/>
  <c r="F89" i="99" s="1"/>
  <c r="E89" i="99" a="1"/>
  <c r="E89" i="99" s="1"/>
  <c r="D89" i="99" a="1"/>
  <c r="D89" i="99" s="1"/>
  <c r="F88" i="99" a="1"/>
  <c r="F88" i="99" s="1"/>
  <c r="E88" i="99" a="1"/>
  <c r="E88" i="99" s="1"/>
  <c r="D88" i="99" a="1"/>
  <c r="D88" i="99" s="1"/>
  <c r="F87" i="99" a="1"/>
  <c r="F87" i="99" s="1"/>
  <c r="E87" i="99" a="1"/>
  <c r="E87" i="99" s="1"/>
  <c r="D87" i="99" a="1"/>
  <c r="D87" i="99" s="1"/>
  <c r="F86" i="99" a="1"/>
  <c r="F86" i="99" s="1"/>
  <c r="E86" i="99" a="1"/>
  <c r="E86" i="99" s="1"/>
  <c r="D86" i="99" a="1"/>
  <c r="D86" i="99" s="1"/>
  <c r="F85" i="99" a="1"/>
  <c r="F85" i="99" s="1"/>
  <c r="E85" i="99" a="1"/>
  <c r="E85" i="99" s="1"/>
  <c r="D85" i="99" a="1"/>
  <c r="D85" i="99" s="1"/>
  <c r="F84" i="99" a="1"/>
  <c r="F84" i="99" s="1"/>
  <c r="E84" i="99" a="1"/>
  <c r="E84" i="99" s="1"/>
  <c r="D84" i="99" a="1"/>
  <c r="D84" i="99" s="1"/>
  <c r="F83" i="99" a="1"/>
  <c r="F83" i="99" s="1"/>
  <c r="E83" i="99" a="1"/>
  <c r="E83" i="99" s="1"/>
  <c r="D83" i="99" a="1"/>
  <c r="D83" i="99" s="1"/>
  <c r="F82" i="99" a="1"/>
  <c r="F82" i="99" s="1"/>
  <c r="E82" i="99" a="1"/>
  <c r="E82" i="99" s="1"/>
  <c r="D82" i="99" a="1"/>
  <c r="D82" i="99" s="1"/>
  <c r="F81" i="99" a="1"/>
  <c r="F81" i="99" s="1"/>
  <c r="E81" i="99" a="1"/>
  <c r="E81" i="99" s="1"/>
  <c r="D81" i="99" a="1"/>
  <c r="D81" i="99" s="1"/>
  <c r="F80" i="99" a="1"/>
  <c r="F80" i="99" s="1"/>
  <c r="E80" i="99" a="1"/>
  <c r="E80" i="99" s="1"/>
  <c r="D80" i="99" a="1"/>
  <c r="D80" i="99" s="1"/>
  <c r="F79" i="99" a="1"/>
  <c r="F79" i="99" s="1"/>
  <c r="E79" i="99" a="1"/>
  <c r="E79" i="99" s="1"/>
  <c r="D79" i="99" a="1"/>
  <c r="D79" i="99" s="1"/>
  <c r="F78" i="99" a="1"/>
  <c r="F78" i="99" s="1"/>
  <c r="E78" i="99" a="1"/>
  <c r="E78" i="99" s="1"/>
  <c r="D78" i="99" a="1"/>
  <c r="D78" i="99" s="1"/>
  <c r="F77" i="99" a="1"/>
  <c r="F77" i="99" s="1"/>
  <c r="E77" i="99" a="1"/>
  <c r="E77" i="99" s="1"/>
  <c r="D77" i="99" a="1"/>
  <c r="D77" i="99" s="1"/>
  <c r="F76" i="99" a="1"/>
  <c r="F76" i="99" s="1"/>
  <c r="E76" i="99" a="1"/>
  <c r="E76" i="99" s="1"/>
  <c r="D76" i="99" a="1"/>
  <c r="D76" i="99" s="1"/>
  <c r="F75" i="99" a="1"/>
  <c r="F75" i="99" s="1"/>
  <c r="E75" i="99" a="1"/>
  <c r="E75" i="99" s="1"/>
  <c r="D75" i="99" a="1"/>
  <c r="D75" i="99" s="1"/>
  <c r="F74" i="99" a="1"/>
  <c r="F74" i="99" s="1"/>
  <c r="E74" i="99" a="1"/>
  <c r="E74" i="99" s="1"/>
  <c r="D74" i="99" a="1"/>
  <c r="D74" i="99" s="1"/>
  <c r="D71" i="99" a="1"/>
  <c r="D71" i="99" s="1"/>
  <c r="D70" i="99" a="1"/>
  <c r="D70" i="99" s="1"/>
  <c r="F67" i="99" a="1"/>
  <c r="F67" i="99" s="1"/>
  <c r="E67" i="99" a="1"/>
  <c r="E67" i="99" s="1"/>
  <c r="D67" i="99" a="1"/>
  <c r="D67" i="99" s="1"/>
  <c r="F66" i="99" a="1"/>
  <c r="F66" i="99" s="1"/>
  <c r="E66" i="99" a="1"/>
  <c r="E66" i="99" s="1"/>
  <c r="D66" i="99" a="1"/>
  <c r="D66" i="99" s="1"/>
  <c r="F65" i="99" a="1"/>
  <c r="F65" i="99" s="1"/>
  <c r="E65" i="99" a="1"/>
  <c r="E65" i="99" s="1"/>
  <c r="D65" i="99" a="1"/>
  <c r="D65" i="99" s="1"/>
  <c r="F64" i="99" a="1"/>
  <c r="F64" i="99" s="1"/>
  <c r="E64" i="99" a="1"/>
  <c r="E64" i="99" s="1"/>
  <c r="D64" i="99" a="1"/>
  <c r="D64" i="99" s="1"/>
  <c r="F63" i="99" a="1"/>
  <c r="F63" i="99" s="1"/>
  <c r="E63" i="99" a="1"/>
  <c r="E63" i="99" s="1"/>
  <c r="D63" i="99" a="1"/>
  <c r="D63" i="99" s="1"/>
  <c r="D60" i="99" a="1"/>
  <c r="D60" i="99" s="1"/>
  <c r="D59" i="99" a="1"/>
  <c r="D59" i="99" s="1"/>
  <c r="I56" i="99" a="1"/>
  <c r="I56" i="99" s="1"/>
  <c r="H56" i="99" a="1"/>
  <c r="H56" i="99" s="1"/>
  <c r="G56" i="99" a="1"/>
  <c r="G56" i="99" s="1"/>
  <c r="F56" i="99" a="1"/>
  <c r="F56" i="99" s="1"/>
  <c r="E56" i="99" a="1"/>
  <c r="E56" i="99" s="1"/>
  <c r="D56" i="99" a="1"/>
  <c r="D56" i="99" s="1"/>
  <c r="I55" i="99" a="1"/>
  <c r="I55" i="99" s="1"/>
  <c r="H55" i="99" a="1"/>
  <c r="H55" i="99" s="1"/>
  <c r="G55" i="99" a="1"/>
  <c r="G55" i="99" s="1"/>
  <c r="F55" i="99" a="1"/>
  <c r="F55" i="99" s="1"/>
  <c r="E55" i="99" a="1"/>
  <c r="E55" i="99" s="1"/>
  <c r="D55" i="99" a="1"/>
  <c r="D55" i="99" s="1"/>
  <c r="I54" i="99" a="1"/>
  <c r="I54" i="99" s="1"/>
  <c r="H54" i="99" a="1"/>
  <c r="H54" i="99" s="1"/>
  <c r="G54" i="99" a="1"/>
  <c r="G54" i="99" s="1"/>
  <c r="F54" i="99" a="1"/>
  <c r="F54" i="99" s="1"/>
  <c r="E54" i="99" a="1"/>
  <c r="E54" i="99" s="1"/>
  <c r="D54" i="99" a="1"/>
  <c r="D54" i="99" s="1"/>
  <c r="I53" i="99" a="1"/>
  <c r="I53" i="99" s="1"/>
  <c r="H53" i="99" a="1"/>
  <c r="H53" i="99" s="1"/>
  <c r="G53" i="99" a="1"/>
  <c r="G53" i="99" s="1"/>
  <c r="F53" i="99" a="1"/>
  <c r="F53" i="99" s="1"/>
  <c r="E53" i="99" a="1"/>
  <c r="E53" i="99" s="1"/>
  <c r="D53" i="99" a="1"/>
  <c r="D53" i="99" s="1"/>
  <c r="I52" i="99" a="1"/>
  <c r="I52" i="99" s="1"/>
  <c r="H52" i="99" a="1"/>
  <c r="H52" i="99" s="1"/>
  <c r="G52" i="99" a="1"/>
  <c r="G52" i="99" s="1"/>
  <c r="F52" i="99" a="1"/>
  <c r="F52" i="99" s="1"/>
  <c r="E52" i="99" a="1"/>
  <c r="E52" i="99" s="1"/>
  <c r="D52" i="99" a="1"/>
  <c r="D52" i="99" s="1"/>
  <c r="D49" i="99" a="1"/>
  <c r="D49" i="99" s="1"/>
  <c r="D48" i="99" a="1"/>
  <c r="D48" i="99" s="1"/>
  <c r="E45" i="99" a="1"/>
  <c r="E45" i="99" s="1"/>
  <c r="D45" i="99" a="1"/>
  <c r="D45" i="99" s="1"/>
  <c r="E44" i="99" a="1"/>
  <c r="E44" i="99" s="1"/>
  <c r="D44" i="99" a="1"/>
  <c r="D44" i="99" s="1"/>
  <c r="D41" i="99" a="1"/>
  <c r="D41" i="99" s="1"/>
  <c r="D40" i="99" a="1"/>
  <c r="D40" i="99" s="1"/>
  <c r="L37" i="99" a="1"/>
  <c r="L37" i="99" s="1"/>
  <c r="K37" i="99" a="1"/>
  <c r="K37" i="99" s="1"/>
  <c r="J37" i="99" a="1"/>
  <c r="J37" i="99" s="1"/>
  <c r="I37" i="99" a="1"/>
  <c r="I37" i="99" s="1"/>
  <c r="H37" i="99" a="1"/>
  <c r="H37" i="99" s="1"/>
  <c r="G37" i="99" a="1"/>
  <c r="G37" i="99" s="1"/>
  <c r="F37" i="99" a="1"/>
  <c r="F37" i="99" s="1"/>
  <c r="E37" i="99" a="1"/>
  <c r="E37" i="99" s="1"/>
  <c r="D37" i="99" a="1"/>
  <c r="D37" i="99" s="1"/>
  <c r="L36" i="99" a="1"/>
  <c r="L36" i="99" s="1"/>
  <c r="K36" i="99" a="1"/>
  <c r="K36" i="99" s="1"/>
  <c r="J36" i="99" a="1"/>
  <c r="J36" i="99" s="1"/>
  <c r="I36" i="99" a="1"/>
  <c r="I36" i="99" s="1"/>
  <c r="H36" i="99" a="1"/>
  <c r="H36" i="99" s="1"/>
  <c r="G36" i="99" a="1"/>
  <c r="G36" i="99" s="1"/>
  <c r="F36" i="99" a="1"/>
  <c r="F36" i="99" s="1"/>
  <c r="E36" i="99" a="1"/>
  <c r="E36" i="99" s="1"/>
  <c r="D36" i="99" a="1"/>
  <c r="D36" i="99" s="1"/>
  <c r="L35" i="99" a="1"/>
  <c r="L35" i="99" s="1"/>
  <c r="K35" i="99" a="1"/>
  <c r="K35" i="99" s="1"/>
  <c r="J35" i="99" a="1"/>
  <c r="J35" i="99" s="1"/>
  <c r="I35" i="99" a="1"/>
  <c r="I35" i="99" s="1"/>
  <c r="H35" i="99" a="1"/>
  <c r="H35" i="99" s="1"/>
  <c r="G35" i="99" a="1"/>
  <c r="G35" i="99" s="1"/>
  <c r="F35" i="99" a="1"/>
  <c r="F35" i="99" s="1"/>
  <c r="E35" i="99" a="1"/>
  <c r="E35" i="99" s="1"/>
  <c r="D35" i="99" a="1"/>
  <c r="D35"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D30" i="99" a="1"/>
  <c r="D30" i="99" s="1"/>
  <c r="L29" i="99" a="1"/>
  <c r="L29" i="99" s="1"/>
  <c r="K29" i="99" a="1"/>
  <c r="K29" i="99" s="1"/>
  <c r="J29" i="99" a="1"/>
  <c r="J29" i="99" s="1"/>
  <c r="I29" i="99" a="1"/>
  <c r="I29" i="99" s="1"/>
  <c r="H29" i="99" a="1"/>
  <c r="H29" i="99" s="1"/>
  <c r="G29" i="99" a="1"/>
  <c r="G29" i="99" s="1"/>
  <c r="F29" i="99" a="1"/>
  <c r="F29" i="99" s="1"/>
  <c r="E29" i="99" a="1"/>
  <c r="E29" i="99" s="1"/>
  <c r="D29" i="99" a="1"/>
  <c r="D29" i="99" s="1"/>
  <c r="L28" i="99" a="1"/>
  <c r="L28" i="99" s="1"/>
  <c r="K28" i="99" a="1"/>
  <c r="K28" i="99" s="1"/>
  <c r="J28" i="99" a="1"/>
  <c r="J28" i="99" s="1"/>
  <c r="I28" i="99" a="1"/>
  <c r="I28" i="99" s="1"/>
  <c r="H28" i="99" a="1"/>
  <c r="H28" i="99" s="1"/>
  <c r="G28" i="99" a="1"/>
  <c r="G28" i="99" s="1"/>
  <c r="F28" i="99" a="1"/>
  <c r="F28" i="99" s="1"/>
  <c r="E28" i="99" a="1"/>
  <c r="E28" i="99"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D17" i="99" a="1"/>
  <c r="D17" i="99" s="1"/>
  <c r="D16" i="99" a="1"/>
  <c r="D16" i="99" s="1"/>
  <c r="D15" i="99" a="1"/>
  <c r="D15" i="99" s="1"/>
  <c r="K10" i="99" a="1"/>
  <c r="K10" i="99" s="1"/>
  <c r="J10" i="99" a="1"/>
  <c r="J10" i="99" s="1"/>
  <c r="I10" i="99" a="1"/>
  <c r="I10" i="99" s="1"/>
  <c r="H10" i="99" a="1"/>
  <c r="H10" i="99" s="1"/>
  <c r="G10" i="99" a="1"/>
  <c r="G10" i="99" s="1"/>
  <c r="F10" i="99" a="1"/>
  <c r="F10" i="99" s="1"/>
  <c r="E10" i="99" a="1"/>
  <c r="E10" i="99" s="1"/>
  <c r="D10" i="99" a="1"/>
  <c r="D10" i="99" s="1"/>
  <c r="K9" i="99" a="1"/>
  <c r="K9" i="99" s="1"/>
  <c r="J9" i="99" a="1"/>
  <c r="J9" i="99" s="1"/>
  <c r="I9" i="99" a="1"/>
  <c r="I9" i="99" s="1"/>
  <c r="H9" i="99" a="1"/>
  <c r="H9" i="99" s="1"/>
  <c r="G9" i="99" a="1"/>
  <c r="G9" i="99" s="1"/>
  <c r="F9" i="99" a="1"/>
  <c r="F9" i="99" s="1"/>
  <c r="E9" i="99" a="1"/>
  <c r="E9" i="99" s="1"/>
  <c r="D9" i="99" a="1"/>
  <c r="D9" i="99" s="1"/>
  <c r="K8" i="99" a="1"/>
  <c r="K8" i="99" s="1"/>
  <c r="J8" i="99" a="1"/>
  <c r="J8" i="99" s="1"/>
  <c r="I8" i="99" a="1"/>
  <c r="I8" i="99" s="1"/>
  <c r="H8" i="99" a="1"/>
  <c r="H8" i="99" s="1"/>
  <c r="G8" i="99" a="1"/>
  <c r="G8" i="99" s="1"/>
  <c r="F8" i="99" a="1"/>
  <c r="F8" i="99" s="1"/>
  <c r="E8" i="99" a="1"/>
  <c r="E8" i="99" s="1"/>
  <c r="D8" i="99" a="1"/>
  <c r="D8" i="99" s="1"/>
  <c r="D5" i="99" a="1"/>
  <c r="D5" i="99" s="1"/>
  <c r="P53" i="98" a="1"/>
  <c r="P53" i="98" s="1"/>
  <c r="F53" i="98" a="1"/>
  <c r="F53" i="98" s="1"/>
  <c r="N50" i="98" a="1"/>
  <c r="N50" i="98" s="1"/>
  <c r="D50" i="98" a="1"/>
  <c r="D50" i="98" s="1"/>
  <c r="N45" i="98"/>
  <c r="D45" i="98"/>
  <c r="J40" i="98"/>
  <c r="J36" i="98" a="1"/>
  <c r="J36" i="98" s="1"/>
  <c r="H36" i="98" a="1"/>
  <c r="H36" i="98" s="1"/>
  <c r="D36" i="98" a="1"/>
  <c r="D36" i="98" s="1"/>
  <c r="E34" i="98" a="1"/>
  <c r="E34" i="98" s="1"/>
  <c r="P48" i="98" s="1"/>
  <c r="E33" i="98" a="1"/>
  <c r="E33" i="98" s="1"/>
  <c r="D29" i="98" a="1"/>
  <c r="D29" i="98" s="1"/>
  <c r="D28" i="98" a="1"/>
  <c r="D28" i="98" s="1"/>
  <c r="G25" i="98"/>
  <c r="F25" i="98"/>
  <c r="J19" i="98" a="1"/>
  <c r="J19" i="98" s="1"/>
  <c r="J18" i="98"/>
  <c r="J16" i="98" a="1"/>
  <c r="J16" i="98" s="1"/>
  <c r="J14" i="98" a="1"/>
  <c r="J14" i="98" s="1"/>
  <c r="J13" i="98" a="1"/>
  <c r="J13" i="98" s="1"/>
  <c r="H13" i="98" a="1"/>
  <c r="H13" i="98" s="1"/>
  <c r="D13" i="98" a="1"/>
  <c r="D13" i="98" s="1"/>
  <c r="E11" i="98" a="1"/>
  <c r="E11" i="98" s="1"/>
  <c r="E10" i="98" a="1"/>
  <c r="E10" i="98" s="1"/>
  <c r="D6" i="98" a="1"/>
  <c r="D6" i="98" s="1"/>
  <c r="D5" i="98" a="1"/>
  <c r="D5" i="98" s="1"/>
  <c r="P45" i="97" a="1"/>
  <c r="P45" i="97" s="1"/>
  <c r="F45" i="97" a="1"/>
  <c r="F45" i="97" s="1"/>
  <c r="N42" i="97" a="1"/>
  <c r="N42" i="97" s="1"/>
  <c r="D42" i="97" a="1"/>
  <c r="D42" i="97" s="1"/>
  <c r="P40" i="97" a="1"/>
  <c r="P40" i="97" s="1"/>
  <c r="F40" i="97" a="1"/>
  <c r="F40" i="97" s="1"/>
  <c r="J37" i="97"/>
  <c r="J34" i="97" s="1" a="1"/>
  <c r="J34" i="97" s="1"/>
  <c r="J36" i="97"/>
  <c r="R33" i="97" a="1"/>
  <c r="R33" i="97" s="1"/>
  <c r="N33" i="97" a="1"/>
  <c r="N33" i="97" s="1"/>
  <c r="H33" i="97" a="1"/>
  <c r="H33" i="97" s="1"/>
  <c r="D33" i="97" a="1"/>
  <c r="D33" i="97" s="1"/>
  <c r="O31" i="97" a="1"/>
  <c r="O31" i="97" s="1"/>
  <c r="E31" i="97" a="1"/>
  <c r="E31" i="97" s="1"/>
  <c r="O30" i="97" a="1"/>
  <c r="O30" i="97" s="1"/>
  <c r="E30" i="97" a="1"/>
  <c r="E30" i="97" s="1"/>
  <c r="N26" i="97" a="1"/>
  <c r="N26" i="97" s="1"/>
  <c r="D26" i="97" a="1"/>
  <c r="D26" i="97" s="1"/>
  <c r="N25" i="97" a="1"/>
  <c r="N25" i="97" s="1"/>
  <c r="D25" i="97" a="1"/>
  <c r="D25" i="97" s="1"/>
  <c r="P21" i="97" a="1"/>
  <c r="P21" i="97" s="1"/>
  <c r="F21" i="97" a="1"/>
  <c r="F21" i="97" s="1"/>
  <c r="J19" i="97"/>
  <c r="J17" i="97" s="1" a="1"/>
  <c r="J17" i="97" s="1"/>
  <c r="T14" i="97"/>
  <c r="R13" i="97" a="1"/>
  <c r="R13" i="97" s="1"/>
  <c r="N13" i="97" a="1"/>
  <c r="N13" i="97" s="1"/>
  <c r="J13" i="97"/>
  <c r="H13" i="97" a="1"/>
  <c r="H13" i="97" s="1"/>
  <c r="D13" i="97" a="1"/>
  <c r="D13" i="97" s="1"/>
  <c r="E11" i="97" a="1"/>
  <c r="E11" i="97" s="1"/>
  <c r="E10" i="97" a="1"/>
  <c r="E10" i="97" s="1"/>
  <c r="D6" i="97" a="1"/>
  <c r="D6" i="97" s="1"/>
  <c r="D5" i="97" a="1"/>
  <c r="D5" i="97" s="1"/>
  <c r="E139" i="95"/>
  <c r="G138" i="95"/>
  <c r="E138" i="95"/>
  <c r="G137" i="95"/>
  <c r="E137" i="95"/>
  <c r="D137" i="95"/>
  <c r="G136" i="95"/>
  <c r="E136" i="95"/>
  <c r="D136" i="95"/>
  <c r="G135" i="95"/>
  <c r="E135" i="95"/>
  <c r="D135" i="95"/>
  <c r="G134" i="95"/>
  <c r="E134" i="95"/>
  <c r="D134" i="95"/>
  <c r="G133" i="95"/>
  <c r="F133" i="95"/>
  <c r="E133" i="95"/>
  <c r="D133" i="95"/>
  <c r="I132" i="95"/>
  <c r="G132" i="95"/>
  <c r="F132" i="95"/>
  <c r="E132" i="95"/>
  <c r="D132" i="95"/>
  <c r="I131" i="95"/>
  <c r="H131" i="95"/>
  <c r="G131" i="95"/>
  <c r="F131" i="95"/>
  <c r="E131" i="95"/>
  <c r="D131" i="95"/>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J103" i="95" a="1"/>
  <c r="J103" i="95" s="1"/>
  <c r="I103" i="95" a="1"/>
  <c r="I103" i="95" s="1"/>
  <c r="H103" i="95" a="1"/>
  <c r="H103" i="95" s="1"/>
  <c r="G103" i="95" a="1"/>
  <c r="G103" i="95" s="1"/>
  <c r="F103" i="95" a="1"/>
  <c r="F103" i="95" s="1"/>
  <c r="E103" i="95" a="1"/>
  <c r="E103" i="95" s="1"/>
  <c r="D103" i="95" a="1"/>
  <c r="D103" i="95"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D30" i="95" a="1"/>
  <c r="D30" i="95" s="1"/>
  <c r="L29" i="95" a="1"/>
  <c r="L29" i="95" s="1"/>
  <c r="K29" i="95" a="1"/>
  <c r="K29" i="95" s="1"/>
  <c r="J29" i="95" a="1"/>
  <c r="J29" i="95" s="1"/>
  <c r="I29" i="95" a="1"/>
  <c r="I29" i="95" s="1"/>
  <c r="H29" i="95" a="1"/>
  <c r="H29" i="95" s="1"/>
  <c r="G29" i="95" a="1"/>
  <c r="G29" i="95" s="1"/>
  <c r="F29" i="95" a="1"/>
  <c r="F29" i="95" s="1"/>
  <c r="E29" i="95" a="1"/>
  <c r="E29" i="95" s="1"/>
  <c r="D29" i="95" a="1"/>
  <c r="D29" i="95" s="1"/>
  <c r="L28" i="95" a="1"/>
  <c r="L28" i="95" s="1"/>
  <c r="K28" i="95" a="1"/>
  <c r="K28" i="95" s="1"/>
  <c r="J28" i="95" a="1"/>
  <c r="J28" i="95" s="1"/>
  <c r="I28" i="95" a="1"/>
  <c r="I28" i="95" s="1"/>
  <c r="H28" i="95" a="1"/>
  <c r="H28" i="95" s="1"/>
  <c r="G28" i="95" a="1"/>
  <c r="G28" i="95" s="1"/>
  <c r="F28" i="95" a="1"/>
  <c r="F28" i="95" s="1"/>
  <c r="E28" i="95" a="1"/>
  <c r="E28" i="95"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D17" i="95" a="1"/>
  <c r="D17" i="95" s="1"/>
  <c r="L16" i="95" a="1"/>
  <c r="L16" i="95" s="1"/>
  <c r="K16" i="95" a="1"/>
  <c r="K16" i="95" s="1"/>
  <c r="J16" i="95" a="1"/>
  <c r="J16" i="95" s="1"/>
  <c r="I16" i="95" a="1"/>
  <c r="I16" i="95" s="1"/>
  <c r="H16" i="95" a="1"/>
  <c r="H16" i="95" s="1"/>
  <c r="G16" i="95" a="1"/>
  <c r="G16" i="95" s="1"/>
  <c r="F16" i="95" a="1"/>
  <c r="F16" i="95" s="1"/>
  <c r="E16" i="95" a="1"/>
  <c r="E16" i="95" s="1"/>
  <c r="D16" i="95" a="1"/>
  <c r="D16" i="95" s="1"/>
  <c r="L15" i="95" a="1"/>
  <c r="L15" i="95" s="1"/>
  <c r="K15" i="95" a="1"/>
  <c r="K15" i="95" s="1"/>
  <c r="J15" i="95" a="1"/>
  <c r="J15" i="95" s="1"/>
  <c r="I15" i="95" a="1"/>
  <c r="I15" i="95" s="1"/>
  <c r="H15" i="95" a="1"/>
  <c r="H15" i="95" s="1"/>
  <c r="G15" i="95" a="1"/>
  <c r="G15" i="95" s="1"/>
  <c r="F15" i="95" a="1"/>
  <c r="F15" i="95" s="1"/>
  <c r="E15" i="95" a="1"/>
  <c r="E15" i="95" s="1"/>
  <c r="D15" i="95" a="1"/>
  <c r="D15" i="95" s="1"/>
  <c r="L14" i="95" a="1"/>
  <c r="L14" i="95" s="1"/>
  <c r="K14" i="95" a="1"/>
  <c r="K14" i="95" s="1"/>
  <c r="J14" i="95" a="1"/>
  <c r="J14" i="95" s="1"/>
  <c r="I14" i="95" a="1"/>
  <c r="I14" i="95" s="1"/>
  <c r="H14" i="95" a="1"/>
  <c r="H14" i="95" s="1"/>
  <c r="G14" i="95" a="1"/>
  <c r="G14" i="95" s="1"/>
  <c r="F14" i="95" a="1"/>
  <c r="F14" i="95" s="1"/>
  <c r="E14" i="95" a="1"/>
  <c r="E14" i="95" s="1"/>
  <c r="D14" i="95" a="1"/>
  <c r="D14" i="95" s="1"/>
  <c r="L13" i="95" a="1"/>
  <c r="L13" i="95" s="1"/>
  <c r="K13" i="95" a="1"/>
  <c r="K13" i="95" s="1"/>
  <c r="J13" i="95" a="1"/>
  <c r="J13" i="95" s="1"/>
  <c r="I13" i="95" a="1"/>
  <c r="I13" i="95" s="1"/>
  <c r="H13" i="95" a="1"/>
  <c r="H13" i="95" s="1"/>
  <c r="G13" i="95" a="1"/>
  <c r="G13" i="95" s="1"/>
  <c r="F13" i="95" a="1"/>
  <c r="F13" i="95" s="1"/>
  <c r="E13" i="95" a="1"/>
  <c r="E13" i="95" s="1"/>
  <c r="D13" i="95" a="1"/>
  <c r="D13" i="95" s="1"/>
  <c r="L12" i="95" a="1"/>
  <c r="L12" i="95" s="1"/>
  <c r="K12" i="95" a="1"/>
  <c r="K12" i="95" s="1"/>
  <c r="J12" i="95" a="1"/>
  <c r="J12" i="95" s="1"/>
  <c r="I12" i="95" a="1"/>
  <c r="I12" i="95" s="1"/>
  <c r="H12" i="95" a="1"/>
  <c r="H12" i="95" s="1"/>
  <c r="G12" i="95" a="1"/>
  <c r="G12" i="95" s="1"/>
  <c r="F12" i="95" a="1"/>
  <c r="F12" i="95" s="1"/>
  <c r="E12" i="95" a="1"/>
  <c r="E12" i="95" s="1"/>
  <c r="D12" i="95" a="1"/>
  <c r="D12" i="95" s="1"/>
  <c r="L11" i="95" a="1"/>
  <c r="L11" i="95" s="1"/>
  <c r="K11" i="95" a="1"/>
  <c r="K11" i="95" s="1"/>
  <c r="J11" i="95" a="1"/>
  <c r="J11" i="95" s="1"/>
  <c r="I11" i="95" a="1"/>
  <c r="I11" i="95" s="1"/>
  <c r="H11" i="95" a="1"/>
  <c r="H11" i="95" s="1"/>
  <c r="G11" i="95" a="1"/>
  <c r="G11" i="95" s="1"/>
  <c r="F11" i="95" a="1"/>
  <c r="F11" i="95" s="1"/>
  <c r="E11" i="95" a="1"/>
  <c r="E11" i="95" s="1"/>
  <c r="D11" i="95" a="1"/>
  <c r="D11" i="95" s="1"/>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D7" i="95" a="1"/>
  <c r="D7" i="95" s="1"/>
  <c r="D6" i="95" a="1"/>
  <c r="D6" i="95" s="1"/>
  <c r="D5" i="95" a="1"/>
  <c r="D5" i="95" s="1"/>
  <c r="D34" i="94"/>
  <c r="D27" i="94"/>
  <c r="P18" i="94"/>
  <c r="K39" i="94" s="1" a="1"/>
  <c r="K39" i="94" s="1"/>
  <c r="P17"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F58" i="94" s="1"/>
  <c r="L11" i="94" a="1"/>
  <c r="L11" i="94" s="1"/>
  <c r="E11" i="94" a="1"/>
  <c r="E11" i="94" s="1"/>
  <c r="K7" i="94" a="1"/>
  <c r="K7" i="94" s="1"/>
  <c r="K6" i="94" a="1"/>
  <c r="K6" i="94" s="1"/>
  <c r="D6" i="94" a="1"/>
  <c r="D6" i="94" s="1"/>
  <c r="K5" i="94" a="1"/>
  <c r="K5" i="94" s="1"/>
  <c r="D5" i="94" a="1"/>
  <c r="D5" i="94" s="1"/>
  <c r="D54" i="93"/>
  <c r="D38" i="93"/>
  <c r="D39" i="93"/>
  <c r="D30" i="93"/>
  <c r="D29" i="93"/>
  <c r="D28" i="93"/>
  <c r="D27"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F25" i="91" a="1"/>
  <c r="F25" i="91" s="1"/>
  <c r="E25" i="91" a="1"/>
  <c r="E25" i="91"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5" i="90"/>
  <c r="J34" i="90"/>
  <c r="J32" i="90"/>
  <c r="J31" i="90"/>
  <c r="H31" i="90" a="1"/>
  <c r="H31" i="90" s="1"/>
  <c r="D31" i="90" a="1"/>
  <c r="D31" i="90" s="1"/>
  <c r="E29" i="90" a="1"/>
  <c r="E29" i="90" s="1"/>
  <c r="F39" i="90" s="1"/>
  <c r="E28" i="90" a="1"/>
  <c r="E28" i="90" s="1"/>
  <c r="D24" i="90" a="1"/>
  <c r="D24" i="90" s="1"/>
  <c r="D23" i="90" a="1"/>
  <c r="D23" i="90" s="1"/>
  <c r="D22" i="90" a="1"/>
  <c r="D22" i="90" s="1"/>
  <c r="I16" i="90"/>
  <c r="I15" i="90" s="1" a="1"/>
  <c r="I15" i="90" s="1"/>
  <c r="I14" i="90"/>
  <c r="G14" i="90" a="1"/>
  <c r="G14" i="90" s="1"/>
  <c r="D14" i="90" a="1"/>
  <c r="D14" i="90" s="1"/>
  <c r="E12" i="90" a="1"/>
  <c r="E12" i="90" s="1"/>
  <c r="F18" i="90" s="1"/>
  <c r="E11" i="90" a="1"/>
  <c r="E11" i="90" s="1"/>
  <c r="D7" i="90" a="1"/>
  <c r="D7" i="90" s="1"/>
  <c r="D6" i="90" a="1"/>
  <c r="D6" i="90" s="1"/>
  <c r="D5" i="90" a="1"/>
  <c r="D5" i="90" s="1"/>
  <c r="H44" i="89"/>
  <c r="E44" i="89"/>
  <c r="H43" i="89"/>
  <c r="E43" i="89"/>
  <c r="I42" i="89"/>
  <c r="H42" i="89"/>
  <c r="E42" i="89"/>
  <c r="I35" i="89"/>
  <c r="H35" i="89"/>
  <c r="I34" i="89"/>
  <c r="H34" i="89"/>
  <c r="H33" i="89"/>
  <c r="I33" i="89"/>
  <c r="I44" i="89"/>
  <c r="AE153" i="88" a="1"/>
  <c r="AE153" i="88" s="1"/>
  <c r="AD153" i="88" a="1"/>
  <c r="AD153" i="88" s="1"/>
  <c r="AC153" i="88" a="1"/>
  <c r="AC153" i="88" s="1"/>
  <c r="AB153" i="88" a="1"/>
  <c r="AB153" i="88" s="1"/>
  <c r="AA153" i="88" a="1"/>
  <c r="AA153" i="88" s="1"/>
  <c r="Z153" i="88" a="1"/>
  <c r="Z153" i="88" s="1"/>
  <c r="Y153" i="88" a="1"/>
  <c r="Y153" i="88" s="1"/>
  <c r="X153" i="88" a="1"/>
  <c r="X153" i="88" s="1"/>
  <c r="W153" i="88" a="1"/>
  <c r="W153" i="88" s="1"/>
  <c r="V153" i="88" a="1"/>
  <c r="V153" i="88" s="1"/>
  <c r="U153" i="88" a="1"/>
  <c r="U153" i="88" s="1"/>
  <c r="T153" i="88" a="1"/>
  <c r="T153" i="88" s="1"/>
  <c r="S153" i="88" a="1"/>
  <c r="S153" i="88" s="1"/>
  <c r="R153" i="88" a="1"/>
  <c r="R153" i="88" s="1"/>
  <c r="Q153" i="88" a="1"/>
  <c r="Q153" i="88" s="1"/>
  <c r="P153" i="88" a="1"/>
  <c r="P153" i="88" s="1"/>
  <c r="O153" i="88" a="1"/>
  <c r="O153" i="88" s="1"/>
  <c r="N153" i="88" a="1"/>
  <c r="N153" i="88" s="1"/>
  <c r="M153" i="88" a="1"/>
  <c r="M153" i="88" s="1"/>
  <c r="L153" i="88" a="1"/>
  <c r="L153" i="88" s="1"/>
  <c r="K153" i="88" a="1"/>
  <c r="K153" i="88" s="1"/>
  <c r="J153" i="88" a="1"/>
  <c r="J153" i="88" s="1"/>
  <c r="I153" i="88" a="1"/>
  <c r="I153" i="88" s="1"/>
  <c r="H153" i="88" a="1"/>
  <c r="H153" i="88" s="1"/>
  <c r="G153" i="88" a="1"/>
  <c r="G153" i="88" s="1"/>
  <c r="F153" i="88" a="1"/>
  <c r="F153" i="88" s="1"/>
  <c r="E153" i="88" a="1"/>
  <c r="E153" i="88" s="1"/>
  <c r="D153" i="88" a="1"/>
  <c r="D153" i="88" s="1"/>
  <c r="AE152" i="88" a="1"/>
  <c r="AE152" i="88" s="1"/>
  <c r="AD152" i="88" a="1"/>
  <c r="AD152" i="88" s="1"/>
  <c r="AC152" i="88" a="1"/>
  <c r="AC152" i="88" s="1"/>
  <c r="AB152" i="88" a="1"/>
  <c r="AB152" i="88" s="1"/>
  <c r="AA152" i="88" a="1"/>
  <c r="AA152" i="88" s="1"/>
  <c r="Z152" i="88" a="1"/>
  <c r="Z152" i="88" s="1"/>
  <c r="Y152" i="88" a="1"/>
  <c r="Y152" i="88" s="1"/>
  <c r="X152" i="88" a="1"/>
  <c r="X152" i="88" s="1"/>
  <c r="W152" i="88" a="1"/>
  <c r="W152" i="88" s="1"/>
  <c r="V152" i="88" a="1"/>
  <c r="V152" i="88" s="1"/>
  <c r="U152" i="88" a="1"/>
  <c r="U152" i="88" s="1"/>
  <c r="T152" i="88" a="1"/>
  <c r="T152" i="88" s="1"/>
  <c r="S152" i="88" a="1"/>
  <c r="S152" i="88" s="1"/>
  <c r="R152" i="88" a="1"/>
  <c r="R152" i="88" s="1"/>
  <c r="Q152" i="88" a="1"/>
  <c r="Q152" i="88" s="1"/>
  <c r="P152" i="88" a="1"/>
  <c r="P152" i="88" s="1"/>
  <c r="O152" i="88" a="1"/>
  <c r="O152" i="88" s="1"/>
  <c r="N152" i="88" a="1"/>
  <c r="N152" i="88" s="1"/>
  <c r="M152" i="88" a="1"/>
  <c r="M152" i="88" s="1"/>
  <c r="L152" i="88" a="1"/>
  <c r="L152" i="88" s="1"/>
  <c r="K152" i="88" a="1"/>
  <c r="K152" i="88" s="1"/>
  <c r="J152" i="88" a="1"/>
  <c r="J152" i="88" s="1"/>
  <c r="I152" i="88" a="1"/>
  <c r="I152" i="88" s="1"/>
  <c r="H152" i="88" a="1"/>
  <c r="H152" i="88" s="1"/>
  <c r="G152" i="88" a="1"/>
  <c r="G152" i="88" s="1"/>
  <c r="F152" i="88" a="1"/>
  <c r="F152" i="88" s="1"/>
  <c r="E152" i="88" a="1"/>
  <c r="E152" i="88" s="1"/>
  <c r="D152" i="88" a="1"/>
  <c r="D152" i="88" s="1"/>
  <c r="AE151" i="88" a="1"/>
  <c r="AE151" i="88" s="1"/>
  <c r="AD151" i="88" a="1"/>
  <c r="AD151" i="88" s="1"/>
  <c r="AC151" i="88" a="1"/>
  <c r="AC151" i="88" s="1"/>
  <c r="AB151" i="88" a="1"/>
  <c r="AB151" i="88" s="1"/>
  <c r="AA151" i="88" a="1"/>
  <c r="AA151" i="88" s="1"/>
  <c r="Z151" i="88" a="1"/>
  <c r="Z151" i="88" s="1"/>
  <c r="Y151" i="88" a="1"/>
  <c r="Y151" i="88" s="1"/>
  <c r="X151" i="88" a="1"/>
  <c r="X151" i="88" s="1"/>
  <c r="W151" i="88" a="1"/>
  <c r="W151" i="88" s="1"/>
  <c r="V151" i="88" a="1"/>
  <c r="V151" i="88" s="1"/>
  <c r="U151" i="88" a="1"/>
  <c r="U151" i="88" s="1"/>
  <c r="T151" i="88" a="1"/>
  <c r="T151" i="88" s="1"/>
  <c r="S151" i="88" a="1"/>
  <c r="S151" i="88" s="1"/>
  <c r="R151" i="88" a="1"/>
  <c r="R151" i="88" s="1"/>
  <c r="Q151" i="88" a="1"/>
  <c r="Q151" i="88" s="1"/>
  <c r="P151" i="88" a="1"/>
  <c r="P151" i="88" s="1"/>
  <c r="O151" i="88" a="1"/>
  <c r="O151" i="88" s="1"/>
  <c r="N151" i="88" a="1"/>
  <c r="N151" i="88" s="1"/>
  <c r="M151" i="88" a="1"/>
  <c r="M151" i="88" s="1"/>
  <c r="L151" i="88" a="1"/>
  <c r="L151" i="88" s="1"/>
  <c r="K151" i="88" a="1"/>
  <c r="K151" i="88" s="1"/>
  <c r="J151" i="88" a="1"/>
  <c r="J151" i="88" s="1"/>
  <c r="I151" i="88" a="1"/>
  <c r="I151" i="88" s="1"/>
  <c r="H151" i="88" a="1"/>
  <c r="H151" i="88" s="1"/>
  <c r="G151" i="88" a="1"/>
  <c r="G151" i="88" s="1"/>
  <c r="F151" i="88" a="1"/>
  <c r="F151" i="88" s="1"/>
  <c r="E151" i="88" a="1"/>
  <c r="E151" i="88" s="1"/>
  <c r="D151" i="88" a="1"/>
  <c r="D151" i="88" s="1"/>
  <c r="AE150" i="88" a="1"/>
  <c r="AE150" i="88" s="1"/>
  <c r="AD150" i="88" a="1"/>
  <c r="AD150" i="88" s="1"/>
  <c r="AC150" i="88" a="1"/>
  <c r="AC150" i="88" s="1"/>
  <c r="AB150" i="88" a="1"/>
  <c r="AB150" i="88" s="1"/>
  <c r="AA150" i="88" a="1"/>
  <c r="AA150" i="88" s="1"/>
  <c r="Z150" i="88" a="1"/>
  <c r="Z150" i="88" s="1"/>
  <c r="Y150" i="88" a="1"/>
  <c r="Y150" i="88" s="1"/>
  <c r="X150" i="88" a="1"/>
  <c r="X150" i="88" s="1"/>
  <c r="W150" i="88" a="1"/>
  <c r="W150" i="88" s="1"/>
  <c r="V150" i="88" a="1"/>
  <c r="V150" i="88" s="1"/>
  <c r="U150" i="88" a="1"/>
  <c r="U150" i="88" s="1"/>
  <c r="T150" i="88" a="1"/>
  <c r="T150" i="88" s="1"/>
  <c r="S150" i="88" a="1"/>
  <c r="S150" i="88" s="1"/>
  <c r="R150" i="88" a="1"/>
  <c r="R150" i="88" s="1"/>
  <c r="Q150" i="88" a="1"/>
  <c r="Q150" i="88" s="1"/>
  <c r="P150" i="88" a="1"/>
  <c r="P150" i="88" s="1"/>
  <c r="O150" i="88" a="1"/>
  <c r="O150" i="88" s="1"/>
  <c r="N150" i="88" a="1"/>
  <c r="N150" i="88" s="1"/>
  <c r="M150" i="88" a="1"/>
  <c r="M150" i="88" s="1"/>
  <c r="L150" i="88" a="1"/>
  <c r="L150" i="88" s="1"/>
  <c r="K150" i="88" a="1"/>
  <c r="K150" i="88" s="1"/>
  <c r="J150" i="88" a="1"/>
  <c r="J150" i="88" s="1"/>
  <c r="I150" i="88" a="1"/>
  <c r="I150" i="88" s="1"/>
  <c r="H150" i="88" a="1"/>
  <c r="H150" i="88" s="1"/>
  <c r="G150" i="88" a="1"/>
  <c r="G150" i="88" s="1"/>
  <c r="F150" i="88" a="1"/>
  <c r="F150" i="88" s="1"/>
  <c r="E150" i="88" a="1"/>
  <c r="E150" i="88" s="1"/>
  <c r="D150" i="88" a="1"/>
  <c r="D150" i="88" s="1"/>
  <c r="AE149" i="88" a="1"/>
  <c r="AE149" i="88" s="1"/>
  <c r="AD149" i="88" a="1"/>
  <c r="AD149" i="88" s="1"/>
  <c r="AC149" i="88" a="1"/>
  <c r="AC149" i="88" s="1"/>
  <c r="AB149" i="88" a="1"/>
  <c r="AB149" i="88" s="1"/>
  <c r="AA149" i="88" a="1"/>
  <c r="AA149" i="88" s="1"/>
  <c r="Z149" i="88" a="1"/>
  <c r="Z149" i="88" s="1"/>
  <c r="Y149" i="88" a="1"/>
  <c r="Y149" i="88" s="1"/>
  <c r="X149" i="88" a="1"/>
  <c r="X149" i="88" s="1"/>
  <c r="W149" i="88" a="1"/>
  <c r="W149" i="88" s="1"/>
  <c r="V149" i="88" a="1"/>
  <c r="V149" i="88" s="1"/>
  <c r="U149" i="88" a="1"/>
  <c r="U149" i="88" s="1"/>
  <c r="T149" i="88" a="1"/>
  <c r="T149" i="88" s="1"/>
  <c r="S149" i="88" a="1"/>
  <c r="S149" i="88" s="1"/>
  <c r="R149" i="88" a="1"/>
  <c r="R149" i="88" s="1"/>
  <c r="Q149" i="88" a="1"/>
  <c r="Q149" i="88" s="1"/>
  <c r="P149" i="88" a="1"/>
  <c r="P149" i="88" s="1"/>
  <c r="O149" i="88" a="1"/>
  <c r="O149" i="88" s="1"/>
  <c r="N149" i="88" a="1"/>
  <c r="N149" i="88" s="1"/>
  <c r="M149" i="88" a="1"/>
  <c r="M149" i="88" s="1"/>
  <c r="L149" i="88" a="1"/>
  <c r="L149" i="88" s="1"/>
  <c r="K149" i="88" a="1"/>
  <c r="K149" i="88" s="1"/>
  <c r="J149" i="88" a="1"/>
  <c r="J149" i="88" s="1"/>
  <c r="I149" i="88" a="1"/>
  <c r="I149" i="88" s="1"/>
  <c r="H149" i="88" a="1"/>
  <c r="H149" i="88" s="1"/>
  <c r="G149" i="88" a="1"/>
  <c r="G149" i="88" s="1"/>
  <c r="F149" i="88" a="1"/>
  <c r="F149" i="88" s="1"/>
  <c r="E149" i="88" a="1"/>
  <c r="E149" i="88" s="1"/>
  <c r="D149" i="88" a="1"/>
  <c r="D149" i="88" s="1"/>
  <c r="AE148" i="88" a="1"/>
  <c r="AE148" i="88" s="1"/>
  <c r="AD148" i="88" a="1"/>
  <c r="AD148" i="88" s="1"/>
  <c r="AC148" i="88" a="1"/>
  <c r="AC148" i="88" s="1"/>
  <c r="AB148" i="88" a="1"/>
  <c r="AB148" i="88" s="1"/>
  <c r="AA148" i="88" a="1"/>
  <c r="AA148" i="88" s="1"/>
  <c r="Z148" i="88" a="1"/>
  <c r="Z148" i="88" s="1"/>
  <c r="Y148" i="88" a="1"/>
  <c r="Y148" i="88" s="1"/>
  <c r="X148" i="88" a="1"/>
  <c r="X148" i="88" s="1"/>
  <c r="W148" i="88" a="1"/>
  <c r="W148" i="88" s="1"/>
  <c r="V148" i="88" a="1"/>
  <c r="V148" i="88" s="1"/>
  <c r="U148" i="88" a="1"/>
  <c r="U148" i="88" s="1"/>
  <c r="T148" i="88" a="1"/>
  <c r="T148" i="88" s="1"/>
  <c r="S148" i="88" a="1"/>
  <c r="S148" i="88" s="1"/>
  <c r="R148" i="88" a="1"/>
  <c r="R148" i="88" s="1"/>
  <c r="Q148" i="88" a="1"/>
  <c r="Q148" i="88" s="1"/>
  <c r="P148" i="88" a="1"/>
  <c r="P148" i="88" s="1"/>
  <c r="O148" i="88" a="1"/>
  <c r="O148" i="88" s="1"/>
  <c r="N148" i="88" a="1"/>
  <c r="N148" i="88" s="1"/>
  <c r="M148" i="88" a="1"/>
  <c r="M148" i="88" s="1"/>
  <c r="L148" i="88" a="1"/>
  <c r="L148" i="88" s="1"/>
  <c r="K148" i="88" a="1"/>
  <c r="K148" i="88" s="1"/>
  <c r="J148" i="88" a="1"/>
  <c r="J148" i="88" s="1"/>
  <c r="I148" i="88" a="1"/>
  <c r="I148" i="88" s="1"/>
  <c r="H148" i="88" a="1"/>
  <c r="H148" i="88" s="1"/>
  <c r="G148" i="88" a="1"/>
  <c r="G148" i="88" s="1"/>
  <c r="F148" i="88" a="1"/>
  <c r="F148" i="88" s="1"/>
  <c r="E148" i="88" a="1"/>
  <c r="E148" i="88" s="1"/>
  <c r="D148" i="88" a="1"/>
  <c r="D148" i="88" s="1"/>
  <c r="AE147" i="88" a="1"/>
  <c r="AE147" i="88" s="1"/>
  <c r="AD147" i="88" a="1"/>
  <c r="AD147" i="88" s="1"/>
  <c r="AC147" i="88" a="1"/>
  <c r="AC147" i="88" s="1"/>
  <c r="AB147" i="88" a="1"/>
  <c r="AB147" i="88" s="1"/>
  <c r="AA147" i="88" a="1"/>
  <c r="AA147" i="88" s="1"/>
  <c r="Z147" i="88" a="1"/>
  <c r="Z147" i="88" s="1"/>
  <c r="Y147" i="88" a="1"/>
  <c r="Y147" i="88" s="1"/>
  <c r="X147" i="88" a="1"/>
  <c r="X147" i="88" s="1"/>
  <c r="W147" i="88" a="1"/>
  <c r="W147" i="88" s="1"/>
  <c r="V147" i="88" a="1"/>
  <c r="V147" i="88" s="1"/>
  <c r="U147" i="88" a="1"/>
  <c r="U147" i="88" s="1"/>
  <c r="T147" i="88" a="1"/>
  <c r="T147" i="88" s="1"/>
  <c r="S147" i="88" a="1"/>
  <c r="S147" i="88" s="1"/>
  <c r="R147" i="88" a="1"/>
  <c r="R147" i="88" s="1"/>
  <c r="Q147" i="88" a="1"/>
  <c r="Q147" i="88" s="1"/>
  <c r="P147" i="88" a="1"/>
  <c r="P147" i="88" s="1"/>
  <c r="O147" i="88" a="1"/>
  <c r="O147" i="88" s="1"/>
  <c r="N147" i="88" a="1"/>
  <c r="N147" i="88" s="1"/>
  <c r="M147" i="88" a="1"/>
  <c r="M147" i="88" s="1"/>
  <c r="L147" i="88" a="1"/>
  <c r="L147" i="88" s="1"/>
  <c r="K147" i="88" a="1"/>
  <c r="K147" i="88" s="1"/>
  <c r="J147" i="88" a="1"/>
  <c r="J147" i="88" s="1"/>
  <c r="I147" i="88" a="1"/>
  <c r="I147" i="88" s="1"/>
  <c r="H147" i="88" a="1"/>
  <c r="H147" i="88" s="1"/>
  <c r="G147" i="88" a="1"/>
  <c r="G147" i="88" s="1"/>
  <c r="F147" i="88" a="1"/>
  <c r="F147" i="88" s="1"/>
  <c r="E147" i="88" a="1"/>
  <c r="E147" i="88" s="1"/>
  <c r="D147" i="88" a="1"/>
  <c r="D147" i="88" s="1"/>
  <c r="AE146" i="88" a="1"/>
  <c r="AE146" i="88" s="1"/>
  <c r="AD146" i="88" a="1"/>
  <c r="AD146" i="88" s="1"/>
  <c r="AC146" i="88" a="1"/>
  <c r="AC146" i="88" s="1"/>
  <c r="AB146" i="88" a="1"/>
  <c r="AB146" i="88" s="1"/>
  <c r="AA146" i="88" a="1"/>
  <c r="AA146" i="88" s="1"/>
  <c r="Z146" i="88" a="1"/>
  <c r="Z146" i="88" s="1"/>
  <c r="Y146" i="88" a="1"/>
  <c r="Y146" i="88" s="1"/>
  <c r="X146" i="88" a="1"/>
  <c r="X146" i="88" s="1"/>
  <c r="W146" i="88" a="1"/>
  <c r="W146" i="88" s="1"/>
  <c r="V146" i="88" a="1"/>
  <c r="V146" i="88" s="1"/>
  <c r="U146" i="88" a="1"/>
  <c r="U146" i="88" s="1"/>
  <c r="T146" i="88" a="1"/>
  <c r="T146" i="88" s="1"/>
  <c r="S146" i="88" a="1"/>
  <c r="S146" i="88" s="1"/>
  <c r="R146" i="88" a="1"/>
  <c r="R146" i="88" s="1"/>
  <c r="Q146" i="88" a="1"/>
  <c r="Q146" i="88" s="1"/>
  <c r="P146" i="88" a="1"/>
  <c r="P146" i="88" s="1"/>
  <c r="O146" i="88" a="1"/>
  <c r="O146" i="88" s="1"/>
  <c r="N146" i="88" a="1"/>
  <c r="N146" i="88" s="1"/>
  <c r="M146" i="88" a="1"/>
  <c r="M146" i="88" s="1"/>
  <c r="L146" i="88" a="1"/>
  <c r="L146" i="88" s="1"/>
  <c r="K146" i="88" a="1"/>
  <c r="K146" i="88" s="1"/>
  <c r="J146" i="88" a="1"/>
  <c r="J146" i="88" s="1"/>
  <c r="I146" i="88" a="1"/>
  <c r="I146" i="88" s="1"/>
  <c r="H146" i="88" a="1"/>
  <c r="H146" i="88" s="1"/>
  <c r="G146" i="88" a="1"/>
  <c r="G146" i="88" s="1"/>
  <c r="F146" i="88" a="1"/>
  <c r="F146" i="88" s="1"/>
  <c r="E146" i="88" a="1"/>
  <c r="E146" i="88" s="1"/>
  <c r="D146" i="88" a="1"/>
  <c r="D146" i="88" s="1"/>
  <c r="AE145" i="88" a="1"/>
  <c r="AE145" i="88" s="1"/>
  <c r="AD145" i="88" a="1"/>
  <c r="AD145" i="88" s="1"/>
  <c r="AC145" i="88" a="1"/>
  <c r="AC145" i="88" s="1"/>
  <c r="AB145" i="88" a="1"/>
  <c r="AB145" i="88" s="1"/>
  <c r="AA145" i="88" a="1"/>
  <c r="AA145" i="88" s="1"/>
  <c r="Z145" i="88" a="1"/>
  <c r="Z145" i="88" s="1"/>
  <c r="Y145" i="88" a="1"/>
  <c r="Y145" i="88" s="1"/>
  <c r="X145" i="88" a="1"/>
  <c r="X145" i="88" s="1"/>
  <c r="W145" i="88" a="1"/>
  <c r="W145" i="88" s="1"/>
  <c r="V145" i="88" a="1"/>
  <c r="V145" i="88" s="1"/>
  <c r="U145" i="88" a="1"/>
  <c r="U145" i="88" s="1"/>
  <c r="T145" i="88" a="1"/>
  <c r="T145" i="88" s="1"/>
  <c r="S145" i="88" a="1"/>
  <c r="S145" i="88" s="1"/>
  <c r="R145" i="88" a="1"/>
  <c r="R145" i="88" s="1"/>
  <c r="Q145" i="88" a="1"/>
  <c r="Q145" i="88" s="1"/>
  <c r="P145" i="88" a="1"/>
  <c r="P145" i="88" s="1"/>
  <c r="O145" i="88" a="1"/>
  <c r="O145" i="88" s="1"/>
  <c r="N145" i="88" a="1"/>
  <c r="N145" i="88" s="1"/>
  <c r="M145" i="88" a="1"/>
  <c r="M145" i="88" s="1"/>
  <c r="L145" i="88" a="1"/>
  <c r="L145" i="88" s="1"/>
  <c r="K145" i="88" a="1"/>
  <c r="K145" i="88" s="1"/>
  <c r="J145" i="88" a="1"/>
  <c r="J145" i="88" s="1"/>
  <c r="I145" i="88" a="1"/>
  <c r="I145" i="88" s="1"/>
  <c r="H145" i="88" a="1"/>
  <c r="H145" i="88" s="1"/>
  <c r="G145" i="88" a="1"/>
  <c r="G145" i="88" s="1"/>
  <c r="F145" i="88" a="1"/>
  <c r="F145" i="88" s="1"/>
  <c r="E145" i="88" a="1"/>
  <c r="E145" i="88" s="1"/>
  <c r="D145" i="88" a="1"/>
  <c r="D145" i="88" s="1"/>
  <c r="AE144" i="88" a="1"/>
  <c r="AE144" i="88" s="1"/>
  <c r="AD144" i="88" a="1"/>
  <c r="AD144" i="88" s="1"/>
  <c r="AC144" i="88" a="1"/>
  <c r="AC144" i="88" s="1"/>
  <c r="AB144" i="88" a="1"/>
  <c r="AB144" i="88" s="1"/>
  <c r="AA144" i="88" a="1"/>
  <c r="AA144" i="88" s="1"/>
  <c r="Z144" i="88" a="1"/>
  <c r="Z144" i="88" s="1"/>
  <c r="Y144" i="88" a="1"/>
  <c r="Y144" i="88" s="1"/>
  <c r="X144" i="88" a="1"/>
  <c r="X144" i="88" s="1"/>
  <c r="W144" i="88" a="1"/>
  <c r="W144" i="88" s="1"/>
  <c r="V144" i="88" a="1"/>
  <c r="V144" i="88" s="1"/>
  <c r="U144" i="88" a="1"/>
  <c r="U144" i="88" s="1"/>
  <c r="T144" i="88" a="1"/>
  <c r="T144" i="88" s="1"/>
  <c r="S144" i="88" a="1"/>
  <c r="S144" i="88" s="1"/>
  <c r="R144" i="88" a="1"/>
  <c r="R144" i="88" s="1"/>
  <c r="Q144" i="88" a="1"/>
  <c r="Q144" i="88" s="1"/>
  <c r="P144" i="88" a="1"/>
  <c r="P144" i="88" s="1"/>
  <c r="O144" i="88" a="1"/>
  <c r="O144" i="88" s="1"/>
  <c r="N144" i="88" a="1"/>
  <c r="N144" i="88" s="1"/>
  <c r="M144" i="88" a="1"/>
  <c r="M144" i="88" s="1"/>
  <c r="L144" i="88" a="1"/>
  <c r="L144" i="88" s="1"/>
  <c r="K144" i="88" a="1"/>
  <c r="K144" i="88" s="1"/>
  <c r="J144" i="88" a="1"/>
  <c r="J144" i="88" s="1"/>
  <c r="I144" i="88" a="1"/>
  <c r="I144" i="88" s="1"/>
  <c r="H144" i="88" a="1"/>
  <c r="H144" i="88" s="1"/>
  <c r="G144" i="88" a="1"/>
  <c r="G144" i="88" s="1"/>
  <c r="F144" i="88" a="1"/>
  <c r="F144" i="88" s="1"/>
  <c r="E144" i="88" a="1"/>
  <c r="E144" i="88" s="1"/>
  <c r="D144" i="88" a="1"/>
  <c r="D144" i="88" s="1"/>
  <c r="AE143" i="88" a="1"/>
  <c r="AE143" i="88" s="1"/>
  <c r="AD143" i="88" a="1"/>
  <c r="AD143" i="88" s="1"/>
  <c r="AC143" i="88" a="1"/>
  <c r="AC143" i="88" s="1"/>
  <c r="AB143" i="88" a="1"/>
  <c r="AB143" i="88" s="1"/>
  <c r="AA143" i="88" a="1"/>
  <c r="AA143" i="88" s="1"/>
  <c r="Z143" i="88" a="1"/>
  <c r="Z143" i="88" s="1"/>
  <c r="Y143" i="88" a="1"/>
  <c r="Y143" i="88" s="1"/>
  <c r="X143" i="88" a="1"/>
  <c r="X143" i="88" s="1"/>
  <c r="W143" i="88" a="1"/>
  <c r="W143" i="88" s="1"/>
  <c r="V143" i="88" a="1"/>
  <c r="V143" i="88" s="1"/>
  <c r="U143" i="88" a="1"/>
  <c r="U143" i="88" s="1"/>
  <c r="T143" i="88" a="1"/>
  <c r="T143" i="88" s="1"/>
  <c r="S143" i="88" a="1"/>
  <c r="S143" i="88" s="1"/>
  <c r="R143" i="88" a="1"/>
  <c r="R143" i="88" s="1"/>
  <c r="Q143" i="88" a="1"/>
  <c r="Q143" i="88" s="1"/>
  <c r="P143" i="88" a="1"/>
  <c r="P143" i="88" s="1"/>
  <c r="O143" i="88" a="1"/>
  <c r="O143" i="88" s="1"/>
  <c r="N143" i="88" a="1"/>
  <c r="N143" i="88" s="1"/>
  <c r="M143" i="88" a="1"/>
  <c r="M143" i="88" s="1"/>
  <c r="L143" i="88" a="1"/>
  <c r="L143" i="88" s="1"/>
  <c r="K143" i="88" a="1"/>
  <c r="K143" i="88" s="1"/>
  <c r="J143" i="88" a="1"/>
  <c r="J143" i="88" s="1"/>
  <c r="I143" i="88" a="1"/>
  <c r="I143" i="88" s="1"/>
  <c r="H143" i="88" a="1"/>
  <c r="H143" i="88" s="1"/>
  <c r="G143" i="88" a="1"/>
  <c r="G143" i="88" s="1"/>
  <c r="F143" i="88" a="1"/>
  <c r="F143" i="88" s="1"/>
  <c r="E143" i="88" a="1"/>
  <c r="E143" i="88" s="1"/>
  <c r="D143" i="88" a="1"/>
  <c r="D143" i="88" s="1"/>
  <c r="AE142" i="88" a="1"/>
  <c r="AE142" i="88" s="1"/>
  <c r="AD142" i="88" a="1"/>
  <c r="AD142" i="88" s="1"/>
  <c r="AC142" i="88" a="1"/>
  <c r="AC142" i="88" s="1"/>
  <c r="AB142" i="88" a="1"/>
  <c r="AB142" i="88" s="1"/>
  <c r="AA142" i="88" a="1"/>
  <c r="AA142" i="88" s="1"/>
  <c r="Z142" i="88" a="1"/>
  <c r="Z142" i="88" s="1"/>
  <c r="Y142" i="88" a="1"/>
  <c r="Y142" i="88" s="1"/>
  <c r="X142" i="88" a="1"/>
  <c r="X142" i="88" s="1"/>
  <c r="W142" i="88" a="1"/>
  <c r="W142" i="88" s="1"/>
  <c r="V142" i="88" a="1"/>
  <c r="V142" i="88" s="1"/>
  <c r="U142" i="88" a="1"/>
  <c r="U142" i="88" s="1"/>
  <c r="T142" i="88" a="1"/>
  <c r="T142" i="88" s="1"/>
  <c r="S142" i="88" a="1"/>
  <c r="S142" i="88" s="1"/>
  <c r="R142" i="88" a="1"/>
  <c r="R142" i="88" s="1"/>
  <c r="Q142" i="88" a="1"/>
  <c r="Q142" i="88" s="1"/>
  <c r="P142" i="88" a="1"/>
  <c r="P142" i="88" s="1"/>
  <c r="O142" i="88" a="1"/>
  <c r="O142" i="88" s="1"/>
  <c r="N142" i="88" a="1"/>
  <c r="N142" i="88" s="1"/>
  <c r="M142" i="88" a="1"/>
  <c r="M142" i="88" s="1"/>
  <c r="L142" i="88" a="1"/>
  <c r="L142" i="88" s="1"/>
  <c r="K142" i="88" a="1"/>
  <c r="K142" i="88" s="1"/>
  <c r="J142" i="88" a="1"/>
  <c r="J142" i="88" s="1"/>
  <c r="I142" i="88" a="1"/>
  <c r="I142" i="88" s="1"/>
  <c r="H142" i="88" a="1"/>
  <c r="H142" i="88" s="1"/>
  <c r="G142" i="88" a="1"/>
  <c r="G142" i="88" s="1"/>
  <c r="F142" i="88" a="1"/>
  <c r="F142" i="88" s="1"/>
  <c r="E142" i="88" a="1"/>
  <c r="E142" i="88" s="1"/>
  <c r="D142" i="88" a="1"/>
  <c r="D142" i="88" s="1"/>
  <c r="AE141" i="88" a="1"/>
  <c r="AE141" i="88" s="1"/>
  <c r="AD141" i="88" a="1"/>
  <c r="AD141" i="88" s="1"/>
  <c r="AC141" i="88" a="1"/>
  <c r="AC141" i="88" s="1"/>
  <c r="AB141" i="88" a="1"/>
  <c r="AB141" i="88" s="1"/>
  <c r="AA141" i="88" a="1"/>
  <c r="AA141" i="88" s="1"/>
  <c r="Z141" i="88" a="1"/>
  <c r="Z141" i="88" s="1"/>
  <c r="Y141" i="88" a="1"/>
  <c r="Y141" i="88" s="1"/>
  <c r="X141" i="88" a="1"/>
  <c r="X141" i="88" s="1"/>
  <c r="W141" i="88" a="1"/>
  <c r="W141" i="88" s="1"/>
  <c r="V141" i="88" a="1"/>
  <c r="V141" i="88" s="1"/>
  <c r="U141" i="88" a="1"/>
  <c r="U141" i="88" s="1"/>
  <c r="T141" i="88" a="1"/>
  <c r="T141" i="88" s="1"/>
  <c r="S141" i="88" a="1"/>
  <c r="S141" i="88" s="1"/>
  <c r="R141" i="88" a="1"/>
  <c r="R141" i="88" s="1"/>
  <c r="Q141" i="88" a="1"/>
  <c r="Q141" i="88" s="1"/>
  <c r="P141" i="88" a="1"/>
  <c r="P141" i="88" s="1"/>
  <c r="O141" i="88" a="1"/>
  <c r="O141" i="88" s="1"/>
  <c r="N141" i="88" a="1"/>
  <c r="N141" i="88" s="1"/>
  <c r="M141" i="88" a="1"/>
  <c r="M141" i="88" s="1"/>
  <c r="L141" i="88" a="1"/>
  <c r="L141" i="88" s="1"/>
  <c r="K141" i="88" a="1"/>
  <c r="K141" i="88" s="1"/>
  <c r="J141" i="88" a="1"/>
  <c r="J141" i="88" s="1"/>
  <c r="I141" i="88" a="1"/>
  <c r="I141" i="88" s="1"/>
  <c r="H141" i="88" a="1"/>
  <c r="H141" i="88" s="1"/>
  <c r="G141" i="88" a="1"/>
  <c r="G141" i="88" s="1"/>
  <c r="F141" i="88" a="1"/>
  <c r="F141" i="88" s="1"/>
  <c r="E141" i="88" a="1"/>
  <c r="E141" i="88" s="1"/>
  <c r="D141" i="88" a="1"/>
  <c r="D141" i="88" s="1"/>
  <c r="AE140" i="88" a="1"/>
  <c r="AE140" i="88" s="1"/>
  <c r="AD140" i="88" a="1"/>
  <c r="AD140" i="88" s="1"/>
  <c r="AC140" i="88" a="1"/>
  <c r="AC140" i="88" s="1"/>
  <c r="AB140" i="88" a="1"/>
  <c r="AB140" i="88" s="1"/>
  <c r="AA140" i="88" a="1"/>
  <c r="AA140" i="88" s="1"/>
  <c r="Z140" i="88" a="1"/>
  <c r="Z140" i="88" s="1"/>
  <c r="Y140" i="88" a="1"/>
  <c r="Y140" i="88" s="1"/>
  <c r="X140" i="88" a="1"/>
  <c r="X140" i="88" s="1"/>
  <c r="W140" i="88" a="1"/>
  <c r="W140" i="88" s="1"/>
  <c r="V140" i="88" a="1"/>
  <c r="V140" i="88" s="1"/>
  <c r="U140" i="88" a="1"/>
  <c r="U140" i="88" s="1"/>
  <c r="T140" i="88" a="1"/>
  <c r="T140" i="88" s="1"/>
  <c r="S140" i="88" a="1"/>
  <c r="S140" i="88" s="1"/>
  <c r="R140" i="88" a="1"/>
  <c r="R140" i="88" s="1"/>
  <c r="Q140" i="88" a="1"/>
  <c r="Q140" i="88" s="1"/>
  <c r="P140" i="88" a="1"/>
  <c r="P140" i="88" s="1"/>
  <c r="O140" i="88" a="1"/>
  <c r="O140" i="88" s="1"/>
  <c r="N140" i="88" a="1"/>
  <c r="N140" i="88" s="1"/>
  <c r="M140" i="88" a="1"/>
  <c r="M140" i="88" s="1"/>
  <c r="L140" i="88" a="1"/>
  <c r="L140" i="88" s="1"/>
  <c r="K140" i="88" a="1"/>
  <c r="K140" i="88" s="1"/>
  <c r="J140" i="88" a="1"/>
  <c r="J140" i="88" s="1"/>
  <c r="I140" i="88" a="1"/>
  <c r="I140" i="88" s="1"/>
  <c r="H140" i="88" a="1"/>
  <c r="H140" i="88" s="1"/>
  <c r="G140" i="88" a="1"/>
  <c r="G140" i="88" s="1"/>
  <c r="F140" i="88" a="1"/>
  <c r="F140" i="88" s="1"/>
  <c r="E140" i="88" a="1"/>
  <c r="E140" i="88" s="1"/>
  <c r="D140" i="88" a="1"/>
  <c r="D140" i="88" s="1"/>
  <c r="AE139" i="88" a="1"/>
  <c r="AE139" i="88" s="1"/>
  <c r="AD139" i="88" a="1"/>
  <c r="AD139" i="88" s="1"/>
  <c r="AC139" i="88" a="1"/>
  <c r="AC139" i="88" s="1"/>
  <c r="AB139" i="88" a="1"/>
  <c r="AB139" i="88" s="1"/>
  <c r="AA139" i="88" a="1"/>
  <c r="AA139" i="88" s="1"/>
  <c r="Z139" i="88" a="1"/>
  <c r="Z139" i="88" s="1"/>
  <c r="Y139" i="88" a="1"/>
  <c r="Y139" i="88" s="1"/>
  <c r="X139" i="88" a="1"/>
  <c r="X139" i="88" s="1"/>
  <c r="W139" i="88" a="1"/>
  <c r="W139" i="88" s="1"/>
  <c r="V139" i="88" a="1"/>
  <c r="V139" i="88" s="1"/>
  <c r="U139" i="88" a="1"/>
  <c r="U139" i="88" s="1"/>
  <c r="T139" i="88" a="1"/>
  <c r="T139" i="88" s="1"/>
  <c r="S139" i="88" a="1"/>
  <c r="S139" i="88" s="1"/>
  <c r="R139" i="88" a="1"/>
  <c r="R139" i="88" s="1"/>
  <c r="Q139" i="88" a="1"/>
  <c r="Q139" i="88" s="1"/>
  <c r="P139" i="88" a="1"/>
  <c r="P139" i="88" s="1"/>
  <c r="O139" i="88" a="1"/>
  <c r="O139" i="88" s="1"/>
  <c r="N139" i="88" a="1"/>
  <c r="N139" i="88" s="1"/>
  <c r="M139" i="88" a="1"/>
  <c r="M139" i="88" s="1"/>
  <c r="L139" i="88" a="1"/>
  <c r="L139" i="88" s="1"/>
  <c r="K139" i="88" a="1"/>
  <c r="K139" i="88" s="1"/>
  <c r="J139" i="88" a="1"/>
  <c r="J139" i="88" s="1"/>
  <c r="I139" i="88" a="1"/>
  <c r="I139" i="88" s="1"/>
  <c r="H139" i="88" a="1"/>
  <c r="H139" i="88" s="1"/>
  <c r="G139" i="88" a="1"/>
  <c r="G139" i="88" s="1"/>
  <c r="F139" i="88" a="1"/>
  <c r="F139" i="88" s="1"/>
  <c r="E139" i="88" a="1"/>
  <c r="E139" i="88" s="1"/>
  <c r="D139" i="88" a="1"/>
  <c r="D139" i="88" s="1"/>
  <c r="AE138" i="88" a="1"/>
  <c r="AE138" i="88" s="1"/>
  <c r="AD138" i="88" a="1"/>
  <c r="AD138" i="88" s="1"/>
  <c r="AC138" i="88" a="1"/>
  <c r="AC138" i="88" s="1"/>
  <c r="AB138" i="88" a="1"/>
  <c r="AB138" i="88" s="1"/>
  <c r="AA138" i="88" a="1"/>
  <c r="AA138" i="88" s="1"/>
  <c r="Z138" i="88" a="1"/>
  <c r="Z138" i="88" s="1"/>
  <c r="Y138" i="88" a="1"/>
  <c r="Y138" i="88" s="1"/>
  <c r="X138" i="88" a="1"/>
  <c r="X138" i="88" s="1"/>
  <c r="W138" i="88" a="1"/>
  <c r="W138" i="88" s="1"/>
  <c r="V138" i="88" a="1"/>
  <c r="V138" i="88" s="1"/>
  <c r="U138" i="88" a="1"/>
  <c r="U138" i="88" s="1"/>
  <c r="T138" i="88" a="1"/>
  <c r="T138" i="88" s="1"/>
  <c r="S138" i="88" a="1"/>
  <c r="S138" i="88" s="1"/>
  <c r="R138" i="88" a="1"/>
  <c r="R138" i="88" s="1"/>
  <c r="Q138" i="88" a="1"/>
  <c r="Q138" i="88" s="1"/>
  <c r="P138" i="88" a="1"/>
  <c r="P138" i="88" s="1"/>
  <c r="O138" i="88" a="1"/>
  <c r="O138" i="88" s="1"/>
  <c r="N138" i="88" a="1"/>
  <c r="N138" i="88" s="1"/>
  <c r="M138" i="88" a="1"/>
  <c r="M138" i="88" s="1"/>
  <c r="L138" i="88" a="1"/>
  <c r="L138" i="88" s="1"/>
  <c r="K138" i="88" a="1"/>
  <c r="K138" i="88" s="1"/>
  <c r="J138" i="88" a="1"/>
  <c r="J138" i="88" s="1"/>
  <c r="I138" i="88" a="1"/>
  <c r="I138" i="88" s="1"/>
  <c r="H138" i="88" a="1"/>
  <c r="H138" i="88" s="1"/>
  <c r="G138" i="88" a="1"/>
  <c r="G138" i="88" s="1"/>
  <c r="F138" i="88" a="1"/>
  <c r="F138" i="88" s="1"/>
  <c r="E138" i="88" a="1"/>
  <c r="E138" i="88" s="1"/>
  <c r="D138" i="88" a="1"/>
  <c r="D138" i="88" s="1"/>
  <c r="AE137" i="88" a="1"/>
  <c r="AE137" i="88" s="1"/>
  <c r="AD137" i="88" a="1"/>
  <c r="AD137" i="88" s="1"/>
  <c r="AC137" i="88" a="1"/>
  <c r="AC137" i="88" s="1"/>
  <c r="AB137" i="88" a="1"/>
  <c r="AB137" i="88" s="1"/>
  <c r="AA137" i="88" a="1"/>
  <c r="AA137" i="88" s="1"/>
  <c r="Z137" i="88" a="1"/>
  <c r="Z137" i="88" s="1"/>
  <c r="Y137" i="88" a="1"/>
  <c r="Y137" i="88" s="1"/>
  <c r="X137" i="88" a="1"/>
  <c r="X137" i="88" s="1"/>
  <c r="W137" i="88" a="1"/>
  <c r="W137" i="88" s="1"/>
  <c r="V137" i="88" a="1"/>
  <c r="V137" i="88" s="1"/>
  <c r="U137" i="88" a="1"/>
  <c r="U137" i="88" s="1"/>
  <c r="T137" i="88" a="1"/>
  <c r="T137" i="88" s="1"/>
  <c r="S137" i="88" a="1"/>
  <c r="S137" i="88" s="1"/>
  <c r="R137" i="88" a="1"/>
  <c r="R137" i="88" s="1"/>
  <c r="Q137" i="88" a="1"/>
  <c r="Q137" i="88" s="1"/>
  <c r="P137" i="88" a="1"/>
  <c r="P137" i="88" s="1"/>
  <c r="O137" i="88" a="1"/>
  <c r="O137" i="88" s="1"/>
  <c r="N137" i="88" a="1"/>
  <c r="N137" i="88" s="1"/>
  <c r="M137" i="88" a="1"/>
  <c r="M137" i="88" s="1"/>
  <c r="L137" i="88" a="1"/>
  <c r="L137" i="88" s="1"/>
  <c r="K137" i="88" a="1"/>
  <c r="K137" i="88" s="1"/>
  <c r="J137" i="88" a="1"/>
  <c r="J137" i="88" s="1"/>
  <c r="I137" i="88" a="1"/>
  <c r="I137" i="88" s="1"/>
  <c r="H137" i="88" a="1"/>
  <c r="H137" i="88" s="1"/>
  <c r="G137" i="88" a="1"/>
  <c r="G137" i="88" s="1"/>
  <c r="F137" i="88" a="1"/>
  <c r="F137" i="88" s="1"/>
  <c r="E137" i="88" a="1"/>
  <c r="E137" i="88" s="1"/>
  <c r="D137" i="88" a="1"/>
  <c r="D137" i="88" s="1"/>
  <c r="AE136" i="88" a="1"/>
  <c r="AE136" i="88" s="1"/>
  <c r="AD136" i="88" a="1"/>
  <c r="AD136" i="88" s="1"/>
  <c r="AC136" i="88" a="1"/>
  <c r="AC136" i="88" s="1"/>
  <c r="AB136" i="88" a="1"/>
  <c r="AB136" i="88" s="1"/>
  <c r="AA136" i="88" a="1"/>
  <c r="AA136" i="88" s="1"/>
  <c r="Z136" i="88" a="1"/>
  <c r="Z136" i="88" s="1"/>
  <c r="Y136" i="88" a="1"/>
  <c r="Y136" i="88" s="1"/>
  <c r="X136" i="88" a="1"/>
  <c r="X136" i="88" s="1"/>
  <c r="W136" i="88" a="1"/>
  <c r="W136" i="88" s="1"/>
  <c r="V136" i="88" a="1"/>
  <c r="V136" i="88" s="1"/>
  <c r="U136" i="88" a="1"/>
  <c r="U136" i="88" s="1"/>
  <c r="T136" i="88" a="1"/>
  <c r="T136" i="88" s="1"/>
  <c r="S136" i="88" a="1"/>
  <c r="S136" i="88" s="1"/>
  <c r="R136" i="88" a="1"/>
  <c r="R136" i="88" s="1"/>
  <c r="Q136" i="88" a="1"/>
  <c r="Q136" i="88" s="1"/>
  <c r="P136" i="88" a="1"/>
  <c r="P136" i="88" s="1"/>
  <c r="O136" i="88" a="1"/>
  <c r="O136" i="88" s="1"/>
  <c r="N136" i="88" a="1"/>
  <c r="N136" i="88" s="1"/>
  <c r="M136" i="88" a="1"/>
  <c r="M136" i="88" s="1"/>
  <c r="L136" i="88" a="1"/>
  <c r="L136" i="88" s="1"/>
  <c r="K136" i="88" a="1"/>
  <c r="K136" i="88" s="1"/>
  <c r="J136" i="88" a="1"/>
  <c r="J136" i="88" s="1"/>
  <c r="I136" i="88" a="1"/>
  <c r="I136" i="88" s="1"/>
  <c r="H136" i="88" a="1"/>
  <c r="H136" i="88" s="1"/>
  <c r="G136" i="88" a="1"/>
  <c r="G136" i="88" s="1"/>
  <c r="F136" i="88" a="1"/>
  <c r="F136" i="88" s="1"/>
  <c r="E136" i="88" a="1"/>
  <c r="E136" i="88" s="1"/>
  <c r="D136" i="88" a="1"/>
  <c r="D136" i="88" s="1"/>
  <c r="AE135" i="88" a="1"/>
  <c r="AE135" i="88" s="1"/>
  <c r="AD135" i="88" a="1"/>
  <c r="AD135" i="88" s="1"/>
  <c r="AC135" i="88" a="1"/>
  <c r="AC135" i="88" s="1"/>
  <c r="AB135" i="88" a="1"/>
  <c r="AB135" i="88" s="1"/>
  <c r="AA135" i="88" a="1"/>
  <c r="AA135" i="88" s="1"/>
  <c r="Z135" i="88" a="1"/>
  <c r="Z135" i="88" s="1"/>
  <c r="Y135" i="88" a="1"/>
  <c r="Y135" i="88" s="1"/>
  <c r="X135" i="88" a="1"/>
  <c r="X135" i="88" s="1"/>
  <c r="W135" i="88" a="1"/>
  <c r="W135" i="88" s="1"/>
  <c r="V135" i="88" a="1"/>
  <c r="V135" i="88" s="1"/>
  <c r="U135" i="88" a="1"/>
  <c r="U135" i="88" s="1"/>
  <c r="T135" i="88" a="1"/>
  <c r="T135" i="88" s="1"/>
  <c r="S135" i="88" a="1"/>
  <c r="S135" i="88" s="1"/>
  <c r="R135" i="88" a="1"/>
  <c r="R135" i="88" s="1"/>
  <c r="Q135" i="88" a="1"/>
  <c r="Q135" i="88" s="1"/>
  <c r="P135" i="88" a="1"/>
  <c r="P135" i="88" s="1"/>
  <c r="O135" i="88" a="1"/>
  <c r="O135" i="88" s="1"/>
  <c r="N135" i="88" a="1"/>
  <c r="N135" i="88" s="1"/>
  <c r="M135" i="88" a="1"/>
  <c r="M135" i="88" s="1"/>
  <c r="L135" i="88" a="1"/>
  <c r="L135" i="88" s="1"/>
  <c r="K135" i="88" a="1"/>
  <c r="K135" i="88" s="1"/>
  <c r="J135" i="88" a="1"/>
  <c r="J135" i="88" s="1"/>
  <c r="I135" i="88" a="1"/>
  <c r="I135" i="88" s="1"/>
  <c r="H135" i="88" a="1"/>
  <c r="H135" i="88" s="1"/>
  <c r="G135" i="88" a="1"/>
  <c r="G135" i="88" s="1"/>
  <c r="F135" i="88" a="1"/>
  <c r="F135" i="88" s="1"/>
  <c r="E135" i="88" a="1"/>
  <c r="E135" i="88" s="1"/>
  <c r="D135" i="88" a="1"/>
  <c r="D135" i="88" s="1"/>
  <c r="AE134" i="88" a="1"/>
  <c r="AE134" i="88" s="1"/>
  <c r="AD134" i="88" a="1"/>
  <c r="AD134" i="88" s="1"/>
  <c r="AC134" i="88" a="1"/>
  <c r="AC134" i="88" s="1"/>
  <c r="AB134" i="88" a="1"/>
  <c r="AB134" i="88" s="1"/>
  <c r="AA134" i="88" a="1"/>
  <c r="AA134" i="88" s="1"/>
  <c r="Z134" i="88" a="1"/>
  <c r="Z134" i="88" s="1"/>
  <c r="Y134" i="88" a="1"/>
  <c r="Y134" i="88" s="1"/>
  <c r="X134" i="88" a="1"/>
  <c r="X134" i="88" s="1"/>
  <c r="W134" i="88" a="1"/>
  <c r="W134" i="88" s="1"/>
  <c r="V134" i="88" a="1"/>
  <c r="V134" i="88" s="1"/>
  <c r="U134" i="88" a="1"/>
  <c r="U134" i="88" s="1"/>
  <c r="T134" i="88" a="1"/>
  <c r="T134" i="88" s="1"/>
  <c r="S134" i="88" a="1"/>
  <c r="S134" i="88" s="1"/>
  <c r="R134" i="88" a="1"/>
  <c r="R134" i="88" s="1"/>
  <c r="Q134" i="88" a="1"/>
  <c r="Q134" i="88" s="1"/>
  <c r="P134" i="88" a="1"/>
  <c r="P134" i="88" s="1"/>
  <c r="O134" i="88" a="1"/>
  <c r="O134" i="88" s="1"/>
  <c r="N134" i="88" a="1"/>
  <c r="N134" i="88" s="1"/>
  <c r="M134" i="88" a="1"/>
  <c r="M134" i="88" s="1"/>
  <c r="L134" i="88" a="1"/>
  <c r="L134" i="88" s="1"/>
  <c r="K134" i="88" a="1"/>
  <c r="K134" i="88" s="1"/>
  <c r="J134" i="88" a="1"/>
  <c r="J134" i="88" s="1"/>
  <c r="I134" i="88" a="1"/>
  <c r="I134" i="88" s="1"/>
  <c r="H134" i="88" a="1"/>
  <c r="H134" i="88" s="1"/>
  <c r="G134" i="88" a="1"/>
  <c r="G134" i="88" s="1"/>
  <c r="F134" i="88" a="1"/>
  <c r="F134" i="88" s="1"/>
  <c r="E134" i="88" a="1"/>
  <c r="E134" i="88" s="1"/>
  <c r="D134" i="88" a="1"/>
  <c r="D134" i="88" s="1"/>
  <c r="AE133" i="88" a="1"/>
  <c r="AE133" i="88" s="1"/>
  <c r="AD133" i="88" a="1"/>
  <c r="AD133" i="88" s="1"/>
  <c r="AC133" i="88" a="1"/>
  <c r="AC133" i="88" s="1"/>
  <c r="AB133" i="88" a="1"/>
  <c r="AB133" i="88" s="1"/>
  <c r="AA133" i="88" a="1"/>
  <c r="AA133" i="88" s="1"/>
  <c r="Z133" i="88" a="1"/>
  <c r="Z133" i="88" s="1"/>
  <c r="Y133" i="88" a="1"/>
  <c r="Y133" i="88" s="1"/>
  <c r="X133" i="88" a="1"/>
  <c r="X133" i="88" s="1"/>
  <c r="W133" i="88" a="1"/>
  <c r="W133" i="88" s="1"/>
  <c r="V133" i="88" a="1"/>
  <c r="V133" i="88" s="1"/>
  <c r="U133" i="88" a="1"/>
  <c r="U133" i="88" s="1"/>
  <c r="T133" i="88" a="1"/>
  <c r="T133" i="88" s="1"/>
  <c r="S133" i="88" a="1"/>
  <c r="S133" i="88" s="1"/>
  <c r="R133" i="88" a="1"/>
  <c r="R133" i="88" s="1"/>
  <c r="Q133" i="88" a="1"/>
  <c r="Q133" i="88" s="1"/>
  <c r="P133" i="88" a="1"/>
  <c r="P133" i="88" s="1"/>
  <c r="O133" i="88" a="1"/>
  <c r="O133" i="88" s="1"/>
  <c r="N133" i="88" a="1"/>
  <c r="N133" i="88" s="1"/>
  <c r="M133" i="88" a="1"/>
  <c r="M133" i="88" s="1"/>
  <c r="L133" i="88" a="1"/>
  <c r="L133" i="88" s="1"/>
  <c r="K133" i="88" a="1"/>
  <c r="K133" i="88" s="1"/>
  <c r="J133" i="88" a="1"/>
  <c r="J133" i="88" s="1"/>
  <c r="I133" i="88" a="1"/>
  <c r="I133" i="88" s="1"/>
  <c r="H133" i="88" a="1"/>
  <c r="H133" i="88" s="1"/>
  <c r="G133" i="88" a="1"/>
  <c r="G133" i="88" s="1"/>
  <c r="F133" i="88" a="1"/>
  <c r="F133" i="88" s="1"/>
  <c r="E133" i="88" a="1"/>
  <c r="E133" i="88" s="1"/>
  <c r="D133" i="88" a="1"/>
  <c r="D133" i="88" s="1"/>
  <c r="AE132" i="88" a="1"/>
  <c r="AE132" i="88" s="1"/>
  <c r="AD132" i="88" a="1"/>
  <c r="AD132" i="88" s="1"/>
  <c r="AC132" i="88" a="1"/>
  <c r="AC132" i="88" s="1"/>
  <c r="AB132" i="88" a="1"/>
  <c r="AB132" i="88" s="1"/>
  <c r="AA132" i="88" a="1"/>
  <c r="AA132" i="88" s="1"/>
  <c r="Z132" i="88" a="1"/>
  <c r="Z132" i="88" s="1"/>
  <c r="Y132" i="88" a="1"/>
  <c r="Y132" i="88" s="1"/>
  <c r="X132" i="88" a="1"/>
  <c r="X132" i="88" s="1"/>
  <c r="W132" i="88" a="1"/>
  <c r="W132" i="88" s="1"/>
  <c r="V132" i="88" a="1"/>
  <c r="V132" i="88" s="1"/>
  <c r="U132" i="88" a="1"/>
  <c r="U132" i="88" s="1"/>
  <c r="T132" i="88" a="1"/>
  <c r="T132" i="88" s="1"/>
  <c r="S132" i="88" a="1"/>
  <c r="S132" i="88" s="1"/>
  <c r="R132" i="88" a="1"/>
  <c r="R132" i="88" s="1"/>
  <c r="Q132" i="88" a="1"/>
  <c r="Q132" i="88" s="1"/>
  <c r="P132" i="88" a="1"/>
  <c r="P132" i="88" s="1"/>
  <c r="O132" i="88" a="1"/>
  <c r="O132" i="88" s="1"/>
  <c r="N132" i="88" a="1"/>
  <c r="N132" i="88" s="1"/>
  <c r="M132" i="88" a="1"/>
  <c r="M132" i="88" s="1"/>
  <c r="L132" i="88" a="1"/>
  <c r="L132" i="88" s="1"/>
  <c r="K132" i="88" a="1"/>
  <c r="K132" i="88" s="1"/>
  <c r="J132" i="88" a="1"/>
  <c r="J132" i="88" s="1"/>
  <c r="I132" i="88" a="1"/>
  <c r="I132" i="88" s="1"/>
  <c r="H132" i="88" a="1"/>
  <c r="H132" i="88" s="1"/>
  <c r="G132" i="88" a="1"/>
  <c r="G132" i="88" s="1"/>
  <c r="F132" i="88" a="1"/>
  <c r="F132" i="88" s="1"/>
  <c r="E132" i="88" a="1"/>
  <c r="E132" i="88" s="1"/>
  <c r="D132" i="88" a="1"/>
  <c r="D132" i="88" s="1"/>
  <c r="AE131" i="88" a="1"/>
  <c r="AE131" i="88" s="1"/>
  <c r="AD131" i="88" a="1"/>
  <c r="AD131" i="88" s="1"/>
  <c r="AC131" i="88" a="1"/>
  <c r="AC131" i="88" s="1"/>
  <c r="AB131" i="88" a="1"/>
  <c r="AB131" i="88" s="1"/>
  <c r="AA131" i="88" a="1"/>
  <c r="AA131" i="88" s="1"/>
  <c r="Z131" i="88" a="1"/>
  <c r="Z131" i="88" s="1"/>
  <c r="Y131" i="88" a="1"/>
  <c r="Y131" i="88" s="1"/>
  <c r="X131" i="88" a="1"/>
  <c r="X131" i="88" s="1"/>
  <c r="W131" i="88" a="1"/>
  <c r="W131" i="88" s="1"/>
  <c r="V131" i="88" a="1"/>
  <c r="V131" i="88" s="1"/>
  <c r="U131" i="88" a="1"/>
  <c r="U131" i="88" s="1"/>
  <c r="T131" i="88" a="1"/>
  <c r="T131" i="88" s="1"/>
  <c r="S131" i="88" a="1"/>
  <c r="S131" i="88" s="1"/>
  <c r="R131" i="88" a="1"/>
  <c r="R131" i="88" s="1"/>
  <c r="Q131" i="88" a="1"/>
  <c r="Q131" i="88" s="1"/>
  <c r="P131" i="88" a="1"/>
  <c r="P131" i="88" s="1"/>
  <c r="O131" i="88" a="1"/>
  <c r="O131" i="88" s="1"/>
  <c r="N131" i="88" a="1"/>
  <c r="N131" i="88" s="1"/>
  <c r="M131" i="88" a="1"/>
  <c r="M131" i="88" s="1"/>
  <c r="L131" i="88" a="1"/>
  <c r="L131" i="88" s="1"/>
  <c r="K131" i="88" a="1"/>
  <c r="K131" i="88" s="1"/>
  <c r="J131" i="88" a="1"/>
  <c r="J131" i="88" s="1"/>
  <c r="I131" i="88" a="1"/>
  <c r="I131" i="88" s="1"/>
  <c r="H131" i="88" a="1"/>
  <c r="H131" i="88" s="1"/>
  <c r="G131" i="88" a="1"/>
  <c r="G131" i="88" s="1"/>
  <c r="F131" i="88" a="1"/>
  <c r="F131" i="88" s="1"/>
  <c r="E131" i="88" a="1"/>
  <c r="E131" i="88" s="1"/>
  <c r="D131" i="88" a="1"/>
  <c r="D131" i="88" s="1"/>
  <c r="AE130" i="88" a="1"/>
  <c r="AE130" i="88" s="1"/>
  <c r="AD130" i="88" a="1"/>
  <c r="AD130" i="88" s="1"/>
  <c r="AC130" i="88" a="1"/>
  <c r="AC130" i="88" s="1"/>
  <c r="AB130" i="88" a="1"/>
  <c r="AB130" i="88" s="1"/>
  <c r="AA130" i="88" a="1"/>
  <c r="AA130" i="88" s="1"/>
  <c r="Z130" i="88" a="1"/>
  <c r="Z130" i="88" s="1"/>
  <c r="Y130" i="88" a="1"/>
  <c r="Y130" i="88" s="1"/>
  <c r="X130" i="88" a="1"/>
  <c r="X130" i="88" s="1"/>
  <c r="W130" i="88" a="1"/>
  <c r="W130" i="88" s="1"/>
  <c r="V130" i="88" a="1"/>
  <c r="V130" i="88" s="1"/>
  <c r="U130" i="88" a="1"/>
  <c r="U130" i="88" s="1"/>
  <c r="T130" i="88" a="1"/>
  <c r="T130" i="88" s="1"/>
  <c r="S130" i="88" a="1"/>
  <c r="S130" i="88" s="1"/>
  <c r="R130" i="88" a="1"/>
  <c r="R130" i="88" s="1"/>
  <c r="Q130" i="88" a="1"/>
  <c r="Q130" i="88" s="1"/>
  <c r="P130" i="88" a="1"/>
  <c r="P130" i="88" s="1"/>
  <c r="O130" i="88" a="1"/>
  <c r="O130" i="88" s="1"/>
  <c r="N130" i="88" a="1"/>
  <c r="N130" i="88" s="1"/>
  <c r="M130" i="88" a="1"/>
  <c r="M130" i="88" s="1"/>
  <c r="L130" i="88" a="1"/>
  <c r="L130" i="88" s="1"/>
  <c r="K130" i="88" a="1"/>
  <c r="K130" i="88" s="1"/>
  <c r="J130" i="88" a="1"/>
  <c r="J130" i="88" s="1"/>
  <c r="I130" i="88" a="1"/>
  <c r="I130" i="88" s="1"/>
  <c r="H130" i="88" a="1"/>
  <c r="H130" i="88" s="1"/>
  <c r="G130" i="88" a="1"/>
  <c r="G130" i="88" s="1"/>
  <c r="F130" i="88" a="1"/>
  <c r="F130" i="88" s="1"/>
  <c r="E130" i="88" a="1"/>
  <c r="E130" i="88" s="1"/>
  <c r="D130" i="88" a="1"/>
  <c r="D130" i="88" s="1"/>
  <c r="AE129" i="88" a="1"/>
  <c r="AE129" i="88" s="1"/>
  <c r="AD129" i="88" a="1"/>
  <c r="AD129" i="88" s="1"/>
  <c r="AC129" i="88" a="1"/>
  <c r="AC129" i="88" s="1"/>
  <c r="AB129" i="88" a="1"/>
  <c r="AB129" i="88" s="1"/>
  <c r="AA129" i="88" a="1"/>
  <c r="AA129" i="88" s="1"/>
  <c r="Z129" i="88" a="1"/>
  <c r="Z129" i="88" s="1"/>
  <c r="Y129" i="88" a="1"/>
  <c r="Y129" i="88" s="1"/>
  <c r="X129" i="88" a="1"/>
  <c r="X129" i="88" s="1"/>
  <c r="W129" i="88" a="1"/>
  <c r="W129" i="88" s="1"/>
  <c r="V129" i="88" a="1"/>
  <c r="V129" i="88" s="1"/>
  <c r="U129" i="88" a="1"/>
  <c r="U129" i="88" s="1"/>
  <c r="T129" i="88" a="1"/>
  <c r="T129" i="88" s="1"/>
  <c r="S129" i="88" a="1"/>
  <c r="S129" i="88" s="1"/>
  <c r="R129" i="88" a="1"/>
  <c r="R129" i="88" s="1"/>
  <c r="Q129" i="88" a="1"/>
  <c r="Q129" i="88" s="1"/>
  <c r="P129" i="88" a="1"/>
  <c r="P129" i="88" s="1"/>
  <c r="O129" i="88" a="1"/>
  <c r="O129" i="88" s="1"/>
  <c r="N129" i="88" a="1"/>
  <c r="N129" i="88" s="1"/>
  <c r="M129" i="88" a="1"/>
  <c r="M129" i="88" s="1"/>
  <c r="L129" i="88" a="1"/>
  <c r="L129" i="88" s="1"/>
  <c r="K129" i="88" a="1"/>
  <c r="K129" i="88" s="1"/>
  <c r="J129" i="88" a="1"/>
  <c r="J129" i="88" s="1"/>
  <c r="I129" i="88" a="1"/>
  <c r="I129" i="88" s="1"/>
  <c r="H129" i="88" a="1"/>
  <c r="H129" i="88" s="1"/>
  <c r="G129" i="88" a="1"/>
  <c r="G129" i="88" s="1"/>
  <c r="F129" i="88" a="1"/>
  <c r="F129" i="88" s="1"/>
  <c r="E129" i="88" a="1"/>
  <c r="E129" i="88" s="1"/>
  <c r="D129" i="88" a="1"/>
  <c r="D129" i="88" s="1"/>
  <c r="AE128" i="88" a="1"/>
  <c r="AE128" i="88" s="1"/>
  <c r="AD128" i="88" a="1"/>
  <c r="AD128" i="88" s="1"/>
  <c r="AC128" i="88" a="1"/>
  <c r="AC128" i="88" s="1"/>
  <c r="AB128" i="88" a="1"/>
  <c r="AB128" i="88" s="1"/>
  <c r="AA128" i="88" a="1"/>
  <c r="AA128" i="88" s="1"/>
  <c r="Z128" i="88" a="1"/>
  <c r="Z128" i="88" s="1"/>
  <c r="Y128" i="88" a="1"/>
  <c r="Y128" i="88" s="1"/>
  <c r="X128" i="88" a="1"/>
  <c r="X128" i="88" s="1"/>
  <c r="W128" i="88" a="1"/>
  <c r="W128" i="88" s="1"/>
  <c r="V128" i="88" a="1"/>
  <c r="V128" i="88" s="1"/>
  <c r="U128" i="88" a="1"/>
  <c r="U128" i="88" s="1"/>
  <c r="T128" i="88" a="1"/>
  <c r="T128" i="88" s="1"/>
  <c r="S128" i="88" a="1"/>
  <c r="S128" i="88" s="1"/>
  <c r="R128" i="88" a="1"/>
  <c r="R128" i="88" s="1"/>
  <c r="Q128" i="88" a="1"/>
  <c r="Q128" i="88" s="1"/>
  <c r="P128" i="88" a="1"/>
  <c r="P128" i="88" s="1"/>
  <c r="O128" i="88" a="1"/>
  <c r="O128" i="88" s="1"/>
  <c r="N128" i="88" a="1"/>
  <c r="N128" i="88" s="1"/>
  <c r="M128" i="88" a="1"/>
  <c r="M128" i="88" s="1"/>
  <c r="L128" i="88" a="1"/>
  <c r="L128" i="88" s="1"/>
  <c r="K128" i="88" a="1"/>
  <c r="K128" i="88" s="1"/>
  <c r="J128" i="88" a="1"/>
  <c r="J128" i="88" s="1"/>
  <c r="I128" i="88" a="1"/>
  <c r="I128" i="88" s="1"/>
  <c r="H128" i="88" a="1"/>
  <c r="H128" i="88" s="1"/>
  <c r="G128" i="88" a="1"/>
  <c r="G128" i="88" s="1"/>
  <c r="F128" i="88" a="1"/>
  <c r="F128" i="88" s="1"/>
  <c r="E128" i="88" a="1"/>
  <c r="E128" i="88" s="1"/>
  <c r="D128" i="88" a="1"/>
  <c r="D128" i="88" s="1"/>
  <c r="AE127" i="88" a="1"/>
  <c r="AE127" i="88" s="1"/>
  <c r="AD127" i="88" a="1"/>
  <c r="AD127" i="88" s="1"/>
  <c r="AC127" i="88" a="1"/>
  <c r="AC127" i="88" s="1"/>
  <c r="AB127" i="88" a="1"/>
  <c r="AB127" i="88" s="1"/>
  <c r="AA127" i="88" a="1"/>
  <c r="AA127" i="88" s="1"/>
  <c r="Z127" i="88" a="1"/>
  <c r="Z127" i="88" s="1"/>
  <c r="Y127" i="88" a="1"/>
  <c r="Y127" i="88" s="1"/>
  <c r="X127" i="88" a="1"/>
  <c r="X127" i="88" s="1"/>
  <c r="W127" i="88" a="1"/>
  <c r="W127" i="88" s="1"/>
  <c r="V127" i="88" a="1"/>
  <c r="V127" i="88" s="1"/>
  <c r="U127" i="88" a="1"/>
  <c r="U127" i="88" s="1"/>
  <c r="T127" i="88" a="1"/>
  <c r="T127" i="88" s="1"/>
  <c r="S127" i="88" a="1"/>
  <c r="S127" i="88" s="1"/>
  <c r="R127" i="88" a="1"/>
  <c r="R127" i="88" s="1"/>
  <c r="Q127" i="88" a="1"/>
  <c r="Q127" i="88" s="1"/>
  <c r="P127" i="88" a="1"/>
  <c r="P127" i="88" s="1"/>
  <c r="O127" i="88" a="1"/>
  <c r="O127" i="88" s="1"/>
  <c r="N127" i="88" a="1"/>
  <c r="N127" i="88" s="1"/>
  <c r="M127" i="88" a="1"/>
  <c r="M127" i="88" s="1"/>
  <c r="L127" i="88" a="1"/>
  <c r="L127" i="88" s="1"/>
  <c r="K127" i="88" a="1"/>
  <c r="K127" i="88" s="1"/>
  <c r="J127" i="88" a="1"/>
  <c r="J127" i="88" s="1"/>
  <c r="I127" i="88" a="1"/>
  <c r="I127" i="88" s="1"/>
  <c r="H127" i="88" a="1"/>
  <c r="H127" i="88" s="1"/>
  <c r="G127" i="88" a="1"/>
  <c r="G127" i="88" s="1"/>
  <c r="F127" i="88" a="1"/>
  <c r="F127" i="88" s="1"/>
  <c r="E127" i="88" a="1"/>
  <c r="E127" i="88" s="1"/>
  <c r="D127" i="88" a="1"/>
  <c r="D127" i="88" s="1"/>
  <c r="AE126" i="88" a="1"/>
  <c r="AE126" i="88" s="1"/>
  <c r="AD126" i="88" a="1"/>
  <c r="AD126" i="88" s="1"/>
  <c r="AC126" i="88" a="1"/>
  <c r="AC126" i="88" s="1"/>
  <c r="AB126" i="88" a="1"/>
  <c r="AB126" i="88" s="1"/>
  <c r="AA126" i="88" a="1"/>
  <c r="AA126" i="88" s="1"/>
  <c r="Z126" i="88" a="1"/>
  <c r="Z126" i="88" s="1"/>
  <c r="Y126" i="88" a="1"/>
  <c r="Y126" i="88" s="1"/>
  <c r="X126" i="88" a="1"/>
  <c r="X126" i="88" s="1"/>
  <c r="W126" i="88" a="1"/>
  <c r="W126" i="88" s="1"/>
  <c r="V126" i="88" a="1"/>
  <c r="V126" i="88" s="1"/>
  <c r="U126" i="88" a="1"/>
  <c r="U126" i="88" s="1"/>
  <c r="T126" i="88" a="1"/>
  <c r="T126" i="88" s="1"/>
  <c r="S126" i="88" a="1"/>
  <c r="S126" i="88" s="1"/>
  <c r="R126" i="88" a="1"/>
  <c r="R126" i="88" s="1"/>
  <c r="Q126" i="88" a="1"/>
  <c r="Q126" i="88" s="1"/>
  <c r="P126" i="88" a="1"/>
  <c r="P126" i="88" s="1"/>
  <c r="O126" i="88" a="1"/>
  <c r="O126" i="88" s="1"/>
  <c r="N126" i="88" a="1"/>
  <c r="N126" i="88" s="1"/>
  <c r="M126" i="88" a="1"/>
  <c r="M126" i="88" s="1"/>
  <c r="L126" i="88" a="1"/>
  <c r="L126" i="88" s="1"/>
  <c r="K126" i="88" a="1"/>
  <c r="K126" i="88" s="1"/>
  <c r="J126" i="88" a="1"/>
  <c r="J126" i="88" s="1"/>
  <c r="I126" i="88" a="1"/>
  <c r="I126" i="88" s="1"/>
  <c r="H126" i="88" a="1"/>
  <c r="H126" i="88" s="1"/>
  <c r="G126" i="88" a="1"/>
  <c r="G126" i="88" s="1"/>
  <c r="F126" i="88" a="1"/>
  <c r="F126" i="88" s="1"/>
  <c r="E126" i="88" a="1"/>
  <c r="E126" i="88" s="1"/>
  <c r="D126" i="88" a="1"/>
  <c r="D126" i="88" s="1"/>
  <c r="AE125" i="88" a="1"/>
  <c r="AE125" i="88" s="1"/>
  <c r="AD125" i="88" a="1"/>
  <c r="AD125" i="88" s="1"/>
  <c r="AC125" i="88" a="1"/>
  <c r="AC125" i="88" s="1"/>
  <c r="AB125" i="88" a="1"/>
  <c r="AB125" i="88" s="1"/>
  <c r="AA125" i="88" a="1"/>
  <c r="AA125" i="88" s="1"/>
  <c r="Z125" i="88" a="1"/>
  <c r="Z125" i="88" s="1"/>
  <c r="Y125" i="88" a="1"/>
  <c r="Y125" i="88" s="1"/>
  <c r="X125" i="88" a="1"/>
  <c r="X125" i="88" s="1"/>
  <c r="W125" i="88" a="1"/>
  <c r="W125" i="88" s="1"/>
  <c r="V125" i="88" a="1"/>
  <c r="V125" i="88" s="1"/>
  <c r="U125" i="88" a="1"/>
  <c r="U125" i="88" s="1"/>
  <c r="T125" i="88" a="1"/>
  <c r="T125" i="88" s="1"/>
  <c r="S125" i="88" a="1"/>
  <c r="S125" i="88" s="1"/>
  <c r="R125" i="88" a="1"/>
  <c r="R125" i="88" s="1"/>
  <c r="Q125" i="88" a="1"/>
  <c r="Q125" i="88" s="1"/>
  <c r="P125" i="88" a="1"/>
  <c r="P125" i="88" s="1"/>
  <c r="O125" i="88" a="1"/>
  <c r="O125" i="88" s="1"/>
  <c r="N125" i="88" a="1"/>
  <c r="N125" i="88" s="1"/>
  <c r="M125" i="88" a="1"/>
  <c r="M125" i="88" s="1"/>
  <c r="L125" i="88" a="1"/>
  <c r="L125" i="88" s="1"/>
  <c r="K125" i="88" a="1"/>
  <c r="K125" i="88" s="1"/>
  <c r="J125" i="88" a="1"/>
  <c r="J125" i="88" s="1"/>
  <c r="I125" i="88" a="1"/>
  <c r="I125" i="88" s="1"/>
  <c r="H125" i="88" a="1"/>
  <c r="H125" i="88" s="1"/>
  <c r="G125" i="88" a="1"/>
  <c r="G125" i="88" s="1"/>
  <c r="F125" i="88" a="1"/>
  <c r="F125" i="88" s="1"/>
  <c r="E125" i="88" a="1"/>
  <c r="E125" i="88" s="1"/>
  <c r="D125" i="88" a="1"/>
  <c r="D125" i="88" s="1"/>
  <c r="AE124" i="88" a="1"/>
  <c r="AE124" i="88" s="1"/>
  <c r="AD124" i="88" a="1"/>
  <c r="AD124" i="88" s="1"/>
  <c r="AC124" i="88" a="1"/>
  <c r="AC124" i="88" s="1"/>
  <c r="AB124" i="88" a="1"/>
  <c r="AB124" i="88" s="1"/>
  <c r="AA124" i="88" a="1"/>
  <c r="AA124" i="88" s="1"/>
  <c r="Z124" i="88" a="1"/>
  <c r="Z124" i="88" s="1"/>
  <c r="Y124" i="88" a="1"/>
  <c r="Y124" i="88" s="1"/>
  <c r="X124" i="88" a="1"/>
  <c r="X124" i="88" s="1"/>
  <c r="W124" i="88" a="1"/>
  <c r="W124" i="88" s="1"/>
  <c r="V124" i="88" a="1"/>
  <c r="V124" i="88" s="1"/>
  <c r="U124" i="88" a="1"/>
  <c r="U124" i="88" s="1"/>
  <c r="T124" i="88" a="1"/>
  <c r="T124" i="88" s="1"/>
  <c r="S124" i="88" a="1"/>
  <c r="S124" i="88" s="1"/>
  <c r="R124" i="88" a="1"/>
  <c r="R124" i="88" s="1"/>
  <c r="Q124" i="88" a="1"/>
  <c r="Q124" i="88" s="1"/>
  <c r="P124" i="88" a="1"/>
  <c r="P124" i="88" s="1"/>
  <c r="O124" i="88" a="1"/>
  <c r="O124" i="88" s="1"/>
  <c r="N124" i="88" a="1"/>
  <c r="N124" i="88" s="1"/>
  <c r="M124" i="88" a="1"/>
  <c r="M124" i="88" s="1"/>
  <c r="L124" i="88" a="1"/>
  <c r="L124" i="88" s="1"/>
  <c r="K124" i="88" a="1"/>
  <c r="K124" i="88" s="1"/>
  <c r="J124" i="88" a="1"/>
  <c r="J124" i="88" s="1"/>
  <c r="I124" i="88" a="1"/>
  <c r="I124" i="88" s="1"/>
  <c r="H124" i="88" a="1"/>
  <c r="H124" i="88" s="1"/>
  <c r="G124" i="88" a="1"/>
  <c r="G124" i="88" s="1"/>
  <c r="F124" i="88" a="1"/>
  <c r="F124" i="88" s="1"/>
  <c r="E124" i="88" a="1"/>
  <c r="E124" i="88" s="1"/>
  <c r="D124" i="88" a="1"/>
  <c r="D124" i="88" s="1"/>
  <c r="AE123" i="88" a="1"/>
  <c r="AE123" i="88" s="1"/>
  <c r="AD123" i="88" a="1"/>
  <c r="AD123" i="88" s="1"/>
  <c r="AC123" i="88" a="1"/>
  <c r="AC123" i="88" s="1"/>
  <c r="AB123" i="88" a="1"/>
  <c r="AB123" i="88" s="1"/>
  <c r="AA123" i="88" a="1"/>
  <c r="AA123" i="88" s="1"/>
  <c r="Z123" i="88" a="1"/>
  <c r="Z123" i="88" s="1"/>
  <c r="Y123" i="88" a="1"/>
  <c r="Y123" i="88" s="1"/>
  <c r="X123" i="88" a="1"/>
  <c r="X123" i="88" s="1"/>
  <c r="W123" i="88" a="1"/>
  <c r="W123" i="88" s="1"/>
  <c r="V123" i="88" a="1"/>
  <c r="V123" i="88" s="1"/>
  <c r="U123" i="88" a="1"/>
  <c r="U123" i="88" s="1"/>
  <c r="T123" i="88" a="1"/>
  <c r="T123" i="88" s="1"/>
  <c r="S123" i="88" a="1"/>
  <c r="S123" i="88" s="1"/>
  <c r="R123" i="88" a="1"/>
  <c r="R123" i="88" s="1"/>
  <c r="Q123" i="88" a="1"/>
  <c r="Q123" i="88" s="1"/>
  <c r="P123" i="88" a="1"/>
  <c r="P123" i="88" s="1"/>
  <c r="O123" i="88" a="1"/>
  <c r="O123" i="88" s="1"/>
  <c r="N123" i="88" a="1"/>
  <c r="N123" i="88" s="1"/>
  <c r="M123" i="88" a="1"/>
  <c r="M123" i="88" s="1"/>
  <c r="L123" i="88" a="1"/>
  <c r="L123" i="88" s="1"/>
  <c r="K123" i="88" a="1"/>
  <c r="K123" i="88" s="1"/>
  <c r="J123" i="88" a="1"/>
  <c r="J123" i="88" s="1"/>
  <c r="I123" i="88" a="1"/>
  <c r="I123" i="88" s="1"/>
  <c r="H123" i="88" a="1"/>
  <c r="H123" i="88" s="1"/>
  <c r="G123" i="88" a="1"/>
  <c r="G123" i="88" s="1"/>
  <c r="F123" i="88" a="1"/>
  <c r="F123" i="88" s="1"/>
  <c r="E123" i="88" a="1"/>
  <c r="E123" i="88" s="1"/>
  <c r="D123" i="88" a="1"/>
  <c r="D123" i="88" s="1"/>
  <c r="AE122" i="88" a="1"/>
  <c r="AE122" i="88" s="1"/>
  <c r="AD122" i="88" a="1"/>
  <c r="AD122" i="88" s="1"/>
  <c r="AC122" i="88" a="1"/>
  <c r="AC122" i="88" s="1"/>
  <c r="AB122" i="88" a="1"/>
  <c r="AB122" i="88" s="1"/>
  <c r="AA122" i="88" a="1"/>
  <c r="AA122" i="88" s="1"/>
  <c r="Z122" i="88" a="1"/>
  <c r="Z122" i="88" s="1"/>
  <c r="Y122" i="88" a="1"/>
  <c r="Y122" i="88" s="1"/>
  <c r="X122" i="88" a="1"/>
  <c r="X122" i="88" s="1"/>
  <c r="W122" i="88" a="1"/>
  <c r="W122" i="88" s="1"/>
  <c r="V122" i="88" a="1"/>
  <c r="V122" i="88" s="1"/>
  <c r="U122" i="88" a="1"/>
  <c r="U122" i="88" s="1"/>
  <c r="T122" i="88" a="1"/>
  <c r="T122" i="88" s="1"/>
  <c r="S122" i="88" a="1"/>
  <c r="S122" i="88" s="1"/>
  <c r="R122" i="88" a="1"/>
  <c r="R122" i="88" s="1"/>
  <c r="Q122" i="88" a="1"/>
  <c r="Q122" i="88" s="1"/>
  <c r="P122" i="88" a="1"/>
  <c r="P122" i="88" s="1"/>
  <c r="O122" i="88" a="1"/>
  <c r="O122" i="88" s="1"/>
  <c r="N122" i="88" a="1"/>
  <c r="N122" i="88" s="1"/>
  <c r="M122" i="88" a="1"/>
  <c r="M122" i="88" s="1"/>
  <c r="L122" i="88" a="1"/>
  <c r="L122" i="88" s="1"/>
  <c r="K122" i="88" a="1"/>
  <c r="K122" i="88" s="1"/>
  <c r="J122" i="88" a="1"/>
  <c r="J122" i="88" s="1"/>
  <c r="I122" i="88" a="1"/>
  <c r="I122" i="88" s="1"/>
  <c r="H122" i="88" a="1"/>
  <c r="H122" i="88" s="1"/>
  <c r="G122" i="88" a="1"/>
  <c r="G122" i="88" s="1"/>
  <c r="F122" i="88" a="1"/>
  <c r="F122" i="88" s="1"/>
  <c r="E122" i="88" a="1"/>
  <c r="E122" i="88" s="1"/>
  <c r="D122" i="88" a="1"/>
  <c r="D122" i="88" s="1"/>
  <c r="AE121" i="88" a="1"/>
  <c r="AE121" i="88" s="1"/>
  <c r="AD121" i="88" a="1"/>
  <c r="AD121" i="88" s="1"/>
  <c r="AC121" i="88" a="1"/>
  <c r="AC121" i="88" s="1"/>
  <c r="AB121" i="88" a="1"/>
  <c r="AB121" i="88" s="1"/>
  <c r="AA121" i="88" a="1"/>
  <c r="AA121" i="88" s="1"/>
  <c r="Z121" i="88" a="1"/>
  <c r="Z121" i="88" s="1"/>
  <c r="Y121" i="88" a="1"/>
  <c r="Y121" i="88" s="1"/>
  <c r="X121" i="88" a="1"/>
  <c r="X121" i="88" s="1"/>
  <c r="W121" i="88" a="1"/>
  <c r="W121" i="88" s="1"/>
  <c r="V121" i="88" a="1"/>
  <c r="V121" i="88" s="1"/>
  <c r="U121" i="88" a="1"/>
  <c r="U121" i="88" s="1"/>
  <c r="T121" i="88" a="1"/>
  <c r="T121" i="88" s="1"/>
  <c r="S121" i="88" a="1"/>
  <c r="S121" i="88" s="1"/>
  <c r="R121" i="88" a="1"/>
  <c r="R121" i="88" s="1"/>
  <c r="Q121" i="88" a="1"/>
  <c r="Q121" i="88" s="1"/>
  <c r="P121" i="88" a="1"/>
  <c r="P121" i="88" s="1"/>
  <c r="O121" i="88" a="1"/>
  <c r="O121" i="88" s="1"/>
  <c r="N121" i="88" a="1"/>
  <c r="N121" i="88" s="1"/>
  <c r="M121" i="88" a="1"/>
  <c r="M121" i="88" s="1"/>
  <c r="L121" i="88" a="1"/>
  <c r="L121" i="88" s="1"/>
  <c r="K121" i="88" a="1"/>
  <c r="K121" i="88" s="1"/>
  <c r="J121" i="88" a="1"/>
  <c r="J121" i="88" s="1"/>
  <c r="I121" i="88" a="1"/>
  <c r="I121" i="88" s="1"/>
  <c r="H121" i="88" a="1"/>
  <c r="H121" i="88" s="1"/>
  <c r="G121" i="88" a="1"/>
  <c r="G121" i="88" s="1"/>
  <c r="F121" i="88" a="1"/>
  <c r="F121" i="88" s="1"/>
  <c r="E121" i="88" a="1"/>
  <c r="E121" i="88" s="1"/>
  <c r="D121" i="88" a="1"/>
  <c r="D121" i="88" s="1"/>
  <c r="AE120" i="88" a="1"/>
  <c r="AE120" i="88" s="1"/>
  <c r="AD120" i="88" a="1"/>
  <c r="AD120" i="88" s="1"/>
  <c r="AC120" i="88" a="1"/>
  <c r="AC120" i="88" s="1"/>
  <c r="AB120" i="88" a="1"/>
  <c r="AB120" i="88" s="1"/>
  <c r="AA120" i="88" a="1"/>
  <c r="AA120" i="88" s="1"/>
  <c r="Z120" i="88" a="1"/>
  <c r="Z120" i="88" s="1"/>
  <c r="Y120" i="88" a="1"/>
  <c r="Y120" i="88" s="1"/>
  <c r="X120" i="88" a="1"/>
  <c r="X120" i="88" s="1"/>
  <c r="W120" i="88" a="1"/>
  <c r="W120" i="88" s="1"/>
  <c r="V120" i="88" a="1"/>
  <c r="V120" i="88" s="1"/>
  <c r="U120" i="88" a="1"/>
  <c r="U120" i="88" s="1"/>
  <c r="T120" i="88" a="1"/>
  <c r="T120" i="88" s="1"/>
  <c r="S120" i="88" a="1"/>
  <c r="S120" i="88" s="1"/>
  <c r="R120" i="88" a="1"/>
  <c r="R120" i="88" s="1"/>
  <c r="Q120" i="88" a="1"/>
  <c r="Q120" i="88" s="1"/>
  <c r="P120" i="88" a="1"/>
  <c r="P120" i="88" s="1"/>
  <c r="O120" i="88" a="1"/>
  <c r="O120" i="88" s="1"/>
  <c r="N120" i="88" a="1"/>
  <c r="N120" i="88" s="1"/>
  <c r="M120" i="88" a="1"/>
  <c r="M120" i="88" s="1"/>
  <c r="L120" i="88" a="1"/>
  <c r="L120" i="88" s="1"/>
  <c r="K120" i="88" a="1"/>
  <c r="K120" i="88" s="1"/>
  <c r="J120" i="88" a="1"/>
  <c r="J120" i="88" s="1"/>
  <c r="I120" i="88" a="1"/>
  <c r="I120" i="88" s="1"/>
  <c r="H120" i="88" a="1"/>
  <c r="H120" i="88" s="1"/>
  <c r="G120" i="88" a="1"/>
  <c r="G120" i="88" s="1"/>
  <c r="F120" i="88" a="1"/>
  <c r="F120" i="88" s="1"/>
  <c r="E120" i="88" a="1"/>
  <c r="E120" i="88" s="1"/>
  <c r="D120" i="88" a="1"/>
  <c r="D120" i="88" s="1"/>
  <c r="AE119" i="88" a="1"/>
  <c r="AE119" i="88" s="1"/>
  <c r="AD119" i="88" a="1"/>
  <c r="AD119" i="88" s="1"/>
  <c r="AC119" i="88" a="1"/>
  <c r="AC119" i="88" s="1"/>
  <c r="AB119" i="88" a="1"/>
  <c r="AB119" i="88" s="1"/>
  <c r="AA119" i="88" a="1"/>
  <c r="AA119" i="88" s="1"/>
  <c r="Z119" i="88" a="1"/>
  <c r="Z119" i="88" s="1"/>
  <c r="Y119" i="88" a="1"/>
  <c r="Y119" i="88" s="1"/>
  <c r="X119" i="88" a="1"/>
  <c r="X119" i="88" s="1"/>
  <c r="W119" i="88" a="1"/>
  <c r="W119" i="88" s="1"/>
  <c r="V119" i="88" a="1"/>
  <c r="V119" i="88" s="1"/>
  <c r="U119" i="88" a="1"/>
  <c r="U119" i="88" s="1"/>
  <c r="T119" i="88" a="1"/>
  <c r="T119" i="88" s="1"/>
  <c r="S119" i="88" a="1"/>
  <c r="S119" i="88" s="1"/>
  <c r="R119" i="88" a="1"/>
  <c r="R119" i="88" s="1"/>
  <c r="Q119" i="88" a="1"/>
  <c r="Q119" i="88" s="1"/>
  <c r="P119" i="88" a="1"/>
  <c r="P119" i="88" s="1"/>
  <c r="O119" i="88" a="1"/>
  <c r="O119" i="88" s="1"/>
  <c r="N119" i="88" a="1"/>
  <c r="N119" i="88" s="1"/>
  <c r="M119" i="88" a="1"/>
  <c r="M119" i="88" s="1"/>
  <c r="L119" i="88" a="1"/>
  <c r="L119" i="88" s="1"/>
  <c r="K119" i="88" a="1"/>
  <c r="K119" i="88" s="1"/>
  <c r="J119" i="88" a="1"/>
  <c r="J119" i="88" s="1"/>
  <c r="I119" i="88" a="1"/>
  <c r="I119" i="88" s="1"/>
  <c r="H119" i="88" a="1"/>
  <c r="H119" i="88" s="1"/>
  <c r="G119" i="88" a="1"/>
  <c r="G119" i="88" s="1"/>
  <c r="F119" i="88" a="1"/>
  <c r="F119" i="88" s="1"/>
  <c r="E119" i="88" a="1"/>
  <c r="E119" i="88" s="1"/>
  <c r="D119" i="88" a="1"/>
  <c r="D119" i="88" s="1"/>
  <c r="AE118" i="88" a="1"/>
  <c r="AE118" i="88" s="1"/>
  <c r="AD118" i="88" a="1"/>
  <c r="AD118" i="88" s="1"/>
  <c r="AC118" i="88" a="1"/>
  <c r="AC118" i="88" s="1"/>
  <c r="AB118" i="88" a="1"/>
  <c r="AB118" i="88" s="1"/>
  <c r="AA118" i="88" a="1"/>
  <c r="AA118" i="88" s="1"/>
  <c r="Z118" i="88" a="1"/>
  <c r="Z118" i="88" s="1"/>
  <c r="Y118" i="88" a="1"/>
  <c r="Y118" i="88" s="1"/>
  <c r="X118" i="88" a="1"/>
  <c r="X118" i="88" s="1"/>
  <c r="W118" i="88" a="1"/>
  <c r="W118" i="88" s="1"/>
  <c r="V118" i="88" a="1"/>
  <c r="V118" i="88" s="1"/>
  <c r="U118" i="88" a="1"/>
  <c r="U118" i="88" s="1"/>
  <c r="T118" i="88" a="1"/>
  <c r="T118" i="88" s="1"/>
  <c r="S118" i="88" a="1"/>
  <c r="S118" i="88" s="1"/>
  <c r="R118" i="88" a="1"/>
  <c r="R118" i="88" s="1"/>
  <c r="Q118" i="88" a="1"/>
  <c r="Q118" i="88" s="1"/>
  <c r="P118" i="88" a="1"/>
  <c r="P118" i="88" s="1"/>
  <c r="O118" i="88" a="1"/>
  <c r="O118" i="88" s="1"/>
  <c r="N118" i="88" a="1"/>
  <c r="N118" i="88" s="1"/>
  <c r="M118" i="88" a="1"/>
  <c r="M118" i="88" s="1"/>
  <c r="L118" i="88" a="1"/>
  <c r="L118" i="88" s="1"/>
  <c r="K118" i="88" a="1"/>
  <c r="K118" i="88" s="1"/>
  <c r="J118" i="88" a="1"/>
  <c r="J118" i="88" s="1"/>
  <c r="I118" i="88" a="1"/>
  <c r="I118" i="88" s="1"/>
  <c r="H118" i="88" a="1"/>
  <c r="H118" i="88" s="1"/>
  <c r="G118" i="88" a="1"/>
  <c r="G118" i="88" s="1"/>
  <c r="F118" i="88" a="1"/>
  <c r="F118" i="88" s="1"/>
  <c r="E118" i="88" a="1"/>
  <c r="E118" i="88" s="1"/>
  <c r="D118" i="88" a="1"/>
  <c r="D118" i="88" s="1"/>
  <c r="AE117" i="88" a="1"/>
  <c r="AE117" i="88" s="1"/>
  <c r="AD117" i="88" a="1"/>
  <c r="AD117" i="88" s="1"/>
  <c r="AC117" i="88" a="1"/>
  <c r="AC117" i="88" s="1"/>
  <c r="AB117" i="88" a="1"/>
  <c r="AB117" i="88" s="1"/>
  <c r="AA117" i="88" a="1"/>
  <c r="AA117" i="88" s="1"/>
  <c r="Z117" i="88" a="1"/>
  <c r="Z117" i="88" s="1"/>
  <c r="Y117" i="88" a="1"/>
  <c r="Y117" i="88" s="1"/>
  <c r="X117" i="88" a="1"/>
  <c r="X117" i="88" s="1"/>
  <c r="W117" i="88" a="1"/>
  <c r="W117" i="88" s="1"/>
  <c r="V117" i="88" a="1"/>
  <c r="V117" i="88" s="1"/>
  <c r="U117" i="88" a="1"/>
  <c r="U117" i="88" s="1"/>
  <c r="T117" i="88" a="1"/>
  <c r="T117" i="88" s="1"/>
  <c r="S117" i="88" a="1"/>
  <c r="S117" i="88" s="1"/>
  <c r="R117" i="88" a="1"/>
  <c r="R117" i="88" s="1"/>
  <c r="Q117" i="88" a="1"/>
  <c r="Q117" i="88" s="1"/>
  <c r="P117" i="88" a="1"/>
  <c r="P117" i="88" s="1"/>
  <c r="O117" i="88" a="1"/>
  <c r="O117" i="88" s="1"/>
  <c r="N117" i="88" a="1"/>
  <c r="N117" i="88" s="1"/>
  <c r="M117" i="88" a="1"/>
  <c r="M117" i="88" s="1"/>
  <c r="L117" i="88" a="1"/>
  <c r="L117" i="88" s="1"/>
  <c r="K117" i="88" a="1"/>
  <c r="K117" i="88" s="1"/>
  <c r="J117" i="88" a="1"/>
  <c r="J117" i="88" s="1"/>
  <c r="I117" i="88" a="1"/>
  <c r="I117" i="88" s="1"/>
  <c r="H117" i="88" a="1"/>
  <c r="H117" i="88" s="1"/>
  <c r="G117" i="88" a="1"/>
  <c r="G117" i="88" s="1"/>
  <c r="F117" i="88" a="1"/>
  <c r="F117" i="88" s="1"/>
  <c r="E117" i="88" a="1"/>
  <c r="E117" i="88" s="1"/>
  <c r="D117" i="88" a="1"/>
  <c r="D117" i="88" s="1"/>
  <c r="AE116" i="88" a="1"/>
  <c r="AE116" i="88" s="1"/>
  <c r="AD116" i="88" a="1"/>
  <c r="AD116" i="88" s="1"/>
  <c r="AC116" i="88" a="1"/>
  <c r="AC116" i="88" s="1"/>
  <c r="AB116" i="88" a="1"/>
  <c r="AB116" i="88" s="1"/>
  <c r="AA116" i="88" a="1"/>
  <c r="AA116" i="88" s="1"/>
  <c r="Z116" i="88" a="1"/>
  <c r="Z116" i="88" s="1"/>
  <c r="Y116" i="88" a="1"/>
  <c r="Y116" i="88" s="1"/>
  <c r="X116" i="88" a="1"/>
  <c r="X116" i="88" s="1"/>
  <c r="W116" i="88" a="1"/>
  <c r="W116" i="88" s="1"/>
  <c r="V116" i="88" a="1"/>
  <c r="V116" i="88" s="1"/>
  <c r="U116" i="88" a="1"/>
  <c r="U116" i="88" s="1"/>
  <c r="T116" i="88" a="1"/>
  <c r="T116" i="88" s="1"/>
  <c r="S116" i="88" a="1"/>
  <c r="S116" i="88" s="1"/>
  <c r="R116" i="88" a="1"/>
  <c r="R116" i="88" s="1"/>
  <c r="Q116" i="88" a="1"/>
  <c r="Q116" i="88" s="1"/>
  <c r="P116" i="88" a="1"/>
  <c r="P116" i="88" s="1"/>
  <c r="O116" i="88" a="1"/>
  <c r="O116" i="88" s="1"/>
  <c r="N116" i="88" a="1"/>
  <c r="N116" i="88" s="1"/>
  <c r="M116" i="88" a="1"/>
  <c r="M116" i="88" s="1"/>
  <c r="L116" i="88" a="1"/>
  <c r="L116" i="88" s="1"/>
  <c r="K116" i="88" a="1"/>
  <c r="K116" i="88" s="1"/>
  <c r="J116" i="88" a="1"/>
  <c r="J116" i="88" s="1"/>
  <c r="I116" i="88" a="1"/>
  <c r="I116" i="88" s="1"/>
  <c r="H116" i="88" a="1"/>
  <c r="H116" i="88" s="1"/>
  <c r="G116" i="88" a="1"/>
  <c r="G116" i="88" s="1"/>
  <c r="F116" i="88" a="1"/>
  <c r="F116" i="88" s="1"/>
  <c r="E116" i="88" a="1"/>
  <c r="E116" i="88" s="1"/>
  <c r="D116" i="88" a="1"/>
  <c r="D116" i="88" s="1"/>
  <c r="AE115" i="88" a="1"/>
  <c r="AE115" i="88" s="1"/>
  <c r="AD115" i="88" a="1"/>
  <c r="AD115" i="88" s="1"/>
  <c r="AC115" i="88" a="1"/>
  <c r="AC115" i="88" s="1"/>
  <c r="AB115" i="88" a="1"/>
  <c r="AB115" i="88" s="1"/>
  <c r="AA115" i="88" a="1"/>
  <c r="AA115" i="88" s="1"/>
  <c r="Z115" i="88" a="1"/>
  <c r="Z115" i="88" s="1"/>
  <c r="Y115" i="88" a="1"/>
  <c r="Y115" i="88" s="1"/>
  <c r="X115" i="88" a="1"/>
  <c r="X115" i="88" s="1"/>
  <c r="W115" i="88" a="1"/>
  <c r="W115" i="88" s="1"/>
  <c r="V115" i="88" a="1"/>
  <c r="V115" i="88" s="1"/>
  <c r="U115" i="88" a="1"/>
  <c r="U115" i="88" s="1"/>
  <c r="T115" i="88" a="1"/>
  <c r="T115" i="88" s="1"/>
  <c r="S115" i="88" a="1"/>
  <c r="S115" i="88" s="1"/>
  <c r="R115" i="88" a="1"/>
  <c r="R115" i="88" s="1"/>
  <c r="Q115" i="88" a="1"/>
  <c r="Q115" i="88" s="1"/>
  <c r="P115" i="88" a="1"/>
  <c r="P115" i="88" s="1"/>
  <c r="O115" i="88" a="1"/>
  <c r="O115" i="88" s="1"/>
  <c r="N115" i="88" a="1"/>
  <c r="N115" i="88" s="1"/>
  <c r="M115" i="88" a="1"/>
  <c r="M115" i="88" s="1"/>
  <c r="L115" i="88" a="1"/>
  <c r="L115" i="88" s="1"/>
  <c r="K115" i="88" a="1"/>
  <c r="K115" i="88" s="1"/>
  <c r="J115" i="88" a="1"/>
  <c r="J115" i="88" s="1"/>
  <c r="I115" i="88" a="1"/>
  <c r="I115" i="88" s="1"/>
  <c r="H115" i="88" a="1"/>
  <c r="H115" i="88" s="1"/>
  <c r="G115" i="88" a="1"/>
  <c r="G115" i="88" s="1"/>
  <c r="F115" i="88" a="1"/>
  <c r="F115" i="88" s="1"/>
  <c r="E115" i="88" a="1"/>
  <c r="E115" i="88" s="1"/>
  <c r="D115" i="88" a="1"/>
  <c r="D115" i="88" s="1"/>
  <c r="AE114" i="88" a="1"/>
  <c r="AE114" i="88" s="1"/>
  <c r="AD114" i="88" a="1"/>
  <c r="AD114" i="88" s="1"/>
  <c r="AC114" i="88" a="1"/>
  <c r="AC114" i="88" s="1"/>
  <c r="AB114" i="88" a="1"/>
  <c r="AB114" i="88" s="1"/>
  <c r="AA114" i="88" a="1"/>
  <c r="AA114" i="88" s="1"/>
  <c r="Z114" i="88" a="1"/>
  <c r="Z114" i="88" s="1"/>
  <c r="Y114" i="88" a="1"/>
  <c r="Y114" i="88" s="1"/>
  <c r="X114" i="88" a="1"/>
  <c r="X114" i="88" s="1"/>
  <c r="W114" i="88" a="1"/>
  <c r="W114" i="88" s="1"/>
  <c r="V114" i="88" a="1"/>
  <c r="V114" i="88" s="1"/>
  <c r="U114" i="88" a="1"/>
  <c r="U114" i="88" s="1"/>
  <c r="T114" i="88" a="1"/>
  <c r="T114" i="88" s="1"/>
  <c r="S114" i="88" a="1"/>
  <c r="S114" i="88" s="1"/>
  <c r="R114" i="88" a="1"/>
  <c r="R114" i="88" s="1"/>
  <c r="Q114" i="88" a="1"/>
  <c r="Q114" i="88" s="1"/>
  <c r="P114" i="88" a="1"/>
  <c r="P114" i="88" s="1"/>
  <c r="O114" i="88" a="1"/>
  <c r="O114" i="88" s="1"/>
  <c r="N114" i="88" a="1"/>
  <c r="N114" i="88" s="1"/>
  <c r="M114" i="88" a="1"/>
  <c r="M114" i="88" s="1"/>
  <c r="L114" i="88" a="1"/>
  <c r="L114" i="88" s="1"/>
  <c r="K114" i="88" a="1"/>
  <c r="K114" i="88" s="1"/>
  <c r="J114" i="88" a="1"/>
  <c r="J114" i="88" s="1"/>
  <c r="I114" i="88" a="1"/>
  <c r="I114" i="88" s="1"/>
  <c r="H114" i="88" a="1"/>
  <c r="H114" i="88" s="1"/>
  <c r="G114" i="88" a="1"/>
  <c r="G114" i="88" s="1"/>
  <c r="F114" i="88" a="1"/>
  <c r="F114" i="88" s="1"/>
  <c r="E114" i="88" a="1"/>
  <c r="E114" i="88" s="1"/>
  <c r="D114" i="88" a="1"/>
  <c r="D114" i="88" s="1"/>
  <c r="AE113" i="88" a="1"/>
  <c r="AE113" i="88" s="1"/>
  <c r="AD113" i="88" a="1"/>
  <c r="AD113" i="88" s="1"/>
  <c r="AC113" i="88" a="1"/>
  <c r="AC113" i="88" s="1"/>
  <c r="AB113" i="88" a="1"/>
  <c r="AB113" i="88" s="1"/>
  <c r="AA113" i="88" a="1"/>
  <c r="AA113" i="88" s="1"/>
  <c r="Z113" i="88" a="1"/>
  <c r="Z113" i="88" s="1"/>
  <c r="Y113" i="88" a="1"/>
  <c r="Y113" i="88" s="1"/>
  <c r="X113" i="88" a="1"/>
  <c r="X113" i="88" s="1"/>
  <c r="W113" i="88" a="1"/>
  <c r="W113" i="88" s="1"/>
  <c r="V113" i="88" a="1"/>
  <c r="V113" i="88" s="1"/>
  <c r="U113" i="88" a="1"/>
  <c r="U113" i="88" s="1"/>
  <c r="T113" i="88" a="1"/>
  <c r="T113" i="88" s="1"/>
  <c r="S113" i="88" a="1"/>
  <c r="S113" i="88" s="1"/>
  <c r="R113" i="88" a="1"/>
  <c r="R113" i="88" s="1"/>
  <c r="Q113" i="88" a="1"/>
  <c r="Q113" i="88" s="1"/>
  <c r="P113" i="88" a="1"/>
  <c r="P113" i="88" s="1"/>
  <c r="O113" i="88" a="1"/>
  <c r="O113" i="88" s="1"/>
  <c r="N113" i="88" a="1"/>
  <c r="N113" i="88" s="1"/>
  <c r="M113" i="88" a="1"/>
  <c r="M113" i="88" s="1"/>
  <c r="L113" i="88" a="1"/>
  <c r="L113" i="88" s="1"/>
  <c r="K113" i="88" a="1"/>
  <c r="K113" i="88" s="1"/>
  <c r="J113" i="88" a="1"/>
  <c r="J113" i="88" s="1"/>
  <c r="I113" i="88" a="1"/>
  <c r="I113" i="88" s="1"/>
  <c r="H113" i="88" a="1"/>
  <c r="H113" i="88" s="1"/>
  <c r="G113" i="88" a="1"/>
  <c r="G113" i="88" s="1"/>
  <c r="F113" i="88" a="1"/>
  <c r="F113" i="88" s="1"/>
  <c r="E113" i="88" a="1"/>
  <c r="E113" i="88" s="1"/>
  <c r="D113" i="88" a="1"/>
  <c r="D113" i="88" s="1"/>
  <c r="AE112" i="88" a="1"/>
  <c r="AE112" i="88" s="1"/>
  <c r="AD112" i="88" a="1"/>
  <c r="AD112" i="88" s="1"/>
  <c r="AC112" i="88" a="1"/>
  <c r="AC112" i="88" s="1"/>
  <c r="AB112" i="88" a="1"/>
  <c r="AB112" i="88" s="1"/>
  <c r="AA112" i="88" a="1"/>
  <c r="AA112" i="88" s="1"/>
  <c r="Z112" i="88" a="1"/>
  <c r="Z112" i="88" s="1"/>
  <c r="Y112" i="88" a="1"/>
  <c r="Y112" i="88" s="1"/>
  <c r="X112" i="88" a="1"/>
  <c r="X112" i="88" s="1"/>
  <c r="W112" i="88" a="1"/>
  <c r="W112" i="88" s="1"/>
  <c r="V112" i="88" a="1"/>
  <c r="V112" i="88" s="1"/>
  <c r="U112" i="88" a="1"/>
  <c r="U112" i="88" s="1"/>
  <c r="T112" i="88" a="1"/>
  <c r="T112" i="88" s="1"/>
  <c r="S112" i="88" a="1"/>
  <c r="S112" i="88" s="1"/>
  <c r="R112" i="88" a="1"/>
  <c r="R112" i="88" s="1"/>
  <c r="Q112" i="88" a="1"/>
  <c r="Q112" i="88" s="1"/>
  <c r="P112" i="88" a="1"/>
  <c r="P112" i="88" s="1"/>
  <c r="O112" i="88" a="1"/>
  <c r="O112" i="88" s="1"/>
  <c r="N112" i="88" a="1"/>
  <c r="N112" i="88" s="1"/>
  <c r="M112" i="88" a="1"/>
  <c r="M112" i="88" s="1"/>
  <c r="L112" i="88" a="1"/>
  <c r="L112" i="88" s="1"/>
  <c r="K112" i="88" a="1"/>
  <c r="K112" i="88" s="1"/>
  <c r="J112" i="88" a="1"/>
  <c r="J112" i="88" s="1"/>
  <c r="I112" i="88" a="1"/>
  <c r="I112" i="88" s="1"/>
  <c r="H112" i="88" a="1"/>
  <c r="H112" i="88" s="1"/>
  <c r="G112" i="88" a="1"/>
  <c r="G112" i="88" s="1"/>
  <c r="F112" i="88" a="1"/>
  <c r="F112" i="88" s="1"/>
  <c r="E112" i="88" a="1"/>
  <c r="E112" i="88" s="1"/>
  <c r="D112" i="88" a="1"/>
  <c r="D112" i="88" s="1"/>
  <c r="AE111" i="88" a="1"/>
  <c r="AE111" i="88" s="1"/>
  <c r="AD111" i="88" a="1"/>
  <c r="AD111" i="88" s="1"/>
  <c r="AC111" i="88" a="1"/>
  <c r="AC111" i="88" s="1"/>
  <c r="AB111" i="88" a="1"/>
  <c r="AB111" i="88" s="1"/>
  <c r="AA111" i="88" a="1"/>
  <c r="AA111" i="88" s="1"/>
  <c r="Z111" i="88" a="1"/>
  <c r="Z111" i="88" s="1"/>
  <c r="Y111" i="88" a="1"/>
  <c r="Y111" i="88" s="1"/>
  <c r="X111" i="88" a="1"/>
  <c r="X111" i="88" s="1"/>
  <c r="W111" i="88" a="1"/>
  <c r="W111" i="88" s="1"/>
  <c r="V111" i="88" a="1"/>
  <c r="V111" i="88" s="1"/>
  <c r="U111" i="88" a="1"/>
  <c r="U111" i="88" s="1"/>
  <c r="T111" i="88" a="1"/>
  <c r="T111" i="88" s="1"/>
  <c r="S111" i="88" a="1"/>
  <c r="S111" i="88" s="1"/>
  <c r="R111" i="88" a="1"/>
  <c r="R111" i="88" s="1"/>
  <c r="Q111" i="88" a="1"/>
  <c r="Q111" i="88" s="1"/>
  <c r="P111" i="88" a="1"/>
  <c r="P111" i="88" s="1"/>
  <c r="O111" i="88" a="1"/>
  <c r="O111" i="88" s="1"/>
  <c r="N111" i="88" a="1"/>
  <c r="N111" i="88" s="1"/>
  <c r="M111" i="88" a="1"/>
  <c r="M111" i="88" s="1"/>
  <c r="L111" i="88" a="1"/>
  <c r="L111" i="88" s="1"/>
  <c r="K111" i="88" a="1"/>
  <c r="K111" i="88" s="1"/>
  <c r="J111" i="88" a="1"/>
  <c r="J111" i="88" s="1"/>
  <c r="I111" i="88" a="1"/>
  <c r="I111" i="88" s="1"/>
  <c r="H111" i="88" a="1"/>
  <c r="H111" i="88" s="1"/>
  <c r="G111" i="88" a="1"/>
  <c r="G111" i="88" s="1"/>
  <c r="F111" i="88" a="1"/>
  <c r="F111" i="88" s="1"/>
  <c r="E111" i="88" a="1"/>
  <c r="E111" i="88" s="1"/>
  <c r="D111" i="88" a="1"/>
  <c r="D111" i="88" s="1"/>
  <c r="AE110" i="88" a="1"/>
  <c r="AE110" i="88" s="1"/>
  <c r="AD110" i="88" a="1"/>
  <c r="AD110" i="88" s="1"/>
  <c r="AC110" i="88" a="1"/>
  <c r="AC110" i="88" s="1"/>
  <c r="AB110" i="88" a="1"/>
  <c r="AB110" i="88" s="1"/>
  <c r="AA110" i="88" a="1"/>
  <c r="AA110" i="88" s="1"/>
  <c r="Z110" i="88" a="1"/>
  <c r="Z110" i="88" s="1"/>
  <c r="Y110" i="88" a="1"/>
  <c r="Y110" i="88" s="1"/>
  <c r="X110" i="88" a="1"/>
  <c r="X110" i="88" s="1"/>
  <c r="W110" i="88" a="1"/>
  <c r="W110" i="88" s="1"/>
  <c r="V110" i="88" a="1"/>
  <c r="V110" i="88" s="1"/>
  <c r="U110" i="88" a="1"/>
  <c r="U110" i="88" s="1"/>
  <c r="T110" i="88" a="1"/>
  <c r="T110" i="88" s="1"/>
  <c r="S110" i="88" a="1"/>
  <c r="S110" i="88" s="1"/>
  <c r="R110" i="88" a="1"/>
  <c r="R110" i="88" s="1"/>
  <c r="Q110" i="88" a="1"/>
  <c r="Q110" i="88" s="1"/>
  <c r="P110" i="88" a="1"/>
  <c r="P110" i="88" s="1"/>
  <c r="O110" i="88" a="1"/>
  <c r="O110" i="88" s="1"/>
  <c r="N110" i="88" a="1"/>
  <c r="N110" i="88" s="1"/>
  <c r="M110" i="88" a="1"/>
  <c r="M110" i="88" s="1"/>
  <c r="L110" i="88" a="1"/>
  <c r="L110" i="88" s="1"/>
  <c r="K110" i="88" a="1"/>
  <c r="K110" i="88" s="1"/>
  <c r="J110" i="88" a="1"/>
  <c r="J110" i="88" s="1"/>
  <c r="I110" i="88" a="1"/>
  <c r="I110" i="88" s="1"/>
  <c r="H110" i="88" a="1"/>
  <c r="H110" i="88" s="1"/>
  <c r="G110" i="88" a="1"/>
  <c r="G110" i="88" s="1"/>
  <c r="F110" i="88" a="1"/>
  <c r="F110" i="88" s="1"/>
  <c r="E110" i="88" a="1"/>
  <c r="E110" i="88" s="1"/>
  <c r="D110" i="88" a="1"/>
  <c r="D110" i="88" s="1"/>
  <c r="AE109" i="88" a="1"/>
  <c r="AE109" i="88" s="1"/>
  <c r="AD109" i="88" a="1"/>
  <c r="AD109" i="88" s="1"/>
  <c r="AC109" i="88" a="1"/>
  <c r="AC109" i="88" s="1"/>
  <c r="AB109" i="88" a="1"/>
  <c r="AB109" i="88" s="1"/>
  <c r="AA109" i="88" a="1"/>
  <c r="AA109" i="88" s="1"/>
  <c r="Z109" i="88" a="1"/>
  <c r="Z109" i="88" s="1"/>
  <c r="Y109" i="88" a="1"/>
  <c r="Y109" i="88" s="1"/>
  <c r="X109" i="88" a="1"/>
  <c r="X109" i="88" s="1"/>
  <c r="W109" i="88" a="1"/>
  <c r="W109" i="88" s="1"/>
  <c r="V109" i="88" a="1"/>
  <c r="V109" i="88" s="1"/>
  <c r="U109" i="88" a="1"/>
  <c r="U109" i="88" s="1"/>
  <c r="T109" i="88" a="1"/>
  <c r="T109" i="88" s="1"/>
  <c r="S109" i="88" a="1"/>
  <c r="S109" i="88" s="1"/>
  <c r="R109" i="88" a="1"/>
  <c r="R109" i="88" s="1"/>
  <c r="Q109" i="88" a="1"/>
  <c r="Q109" i="88" s="1"/>
  <c r="P109" i="88" a="1"/>
  <c r="P109" i="88" s="1"/>
  <c r="O109" i="88" a="1"/>
  <c r="O109" i="88" s="1"/>
  <c r="N109" i="88" a="1"/>
  <c r="N109" i="88" s="1"/>
  <c r="M109" i="88" a="1"/>
  <c r="M109" i="88" s="1"/>
  <c r="L109" i="88" a="1"/>
  <c r="L109" i="88" s="1"/>
  <c r="K109" i="88" a="1"/>
  <c r="K109" i="88" s="1"/>
  <c r="J109" i="88" a="1"/>
  <c r="J109" i="88" s="1"/>
  <c r="I109" i="88" a="1"/>
  <c r="I109" i="88" s="1"/>
  <c r="H109" i="88" a="1"/>
  <c r="H109" i="88" s="1"/>
  <c r="G109" i="88" a="1"/>
  <c r="G109" i="88" s="1"/>
  <c r="F109" i="88" a="1"/>
  <c r="F109" i="88" s="1"/>
  <c r="E109" i="88" a="1"/>
  <c r="E109" i="88" s="1"/>
  <c r="D109" i="88" a="1"/>
  <c r="D109" i="88" s="1"/>
  <c r="AE108" i="88" a="1"/>
  <c r="AE108" i="88" s="1"/>
  <c r="AD108" i="88" a="1"/>
  <c r="AD108" i="88" s="1"/>
  <c r="AC108" i="88" a="1"/>
  <c r="AC108" i="88" s="1"/>
  <c r="AB108" i="88" a="1"/>
  <c r="AB108" i="88" s="1"/>
  <c r="AA108" i="88" a="1"/>
  <c r="AA108" i="88" s="1"/>
  <c r="Z108" i="88" a="1"/>
  <c r="Z108" i="88" s="1"/>
  <c r="Y108" i="88" a="1"/>
  <c r="Y108" i="88" s="1"/>
  <c r="X108" i="88" a="1"/>
  <c r="X108" i="88" s="1"/>
  <c r="W108" i="88" a="1"/>
  <c r="W108" i="88" s="1"/>
  <c r="V108" i="88" a="1"/>
  <c r="V108" i="88" s="1"/>
  <c r="U108" i="88" a="1"/>
  <c r="U108" i="88" s="1"/>
  <c r="T108" i="88" a="1"/>
  <c r="T108" i="88" s="1"/>
  <c r="S108" i="88" a="1"/>
  <c r="S108" i="88" s="1"/>
  <c r="R108" i="88" a="1"/>
  <c r="R108" i="88" s="1"/>
  <c r="Q108" i="88" a="1"/>
  <c r="Q108" i="88" s="1"/>
  <c r="P108" i="88" a="1"/>
  <c r="P108" i="88" s="1"/>
  <c r="O108" i="88" a="1"/>
  <c r="O108" i="88" s="1"/>
  <c r="N108" i="88" a="1"/>
  <c r="N108" i="88" s="1"/>
  <c r="M108" i="88" a="1"/>
  <c r="M108" i="88" s="1"/>
  <c r="L108" i="88" a="1"/>
  <c r="L108" i="88" s="1"/>
  <c r="K108" i="88" a="1"/>
  <c r="K108" i="88" s="1"/>
  <c r="J108" i="88" a="1"/>
  <c r="J108" i="88" s="1"/>
  <c r="I108" i="88" a="1"/>
  <c r="I108" i="88" s="1"/>
  <c r="H108" i="88" a="1"/>
  <c r="H108" i="88" s="1"/>
  <c r="G108" i="88" a="1"/>
  <c r="G108" i="88" s="1"/>
  <c r="F108" i="88" a="1"/>
  <c r="F108" i="88" s="1"/>
  <c r="E108" i="88" a="1"/>
  <c r="E108" i="88" s="1"/>
  <c r="D108" i="88" a="1"/>
  <c r="D108" i="88" s="1"/>
  <c r="AE107" i="88" a="1"/>
  <c r="AE107" i="88" s="1"/>
  <c r="AD107" i="88" a="1"/>
  <c r="AD107" i="88" s="1"/>
  <c r="AC107" i="88" a="1"/>
  <c r="AC107" i="88" s="1"/>
  <c r="AB107" i="88" a="1"/>
  <c r="AB107" i="88" s="1"/>
  <c r="AA107" i="88" a="1"/>
  <c r="AA107" i="88" s="1"/>
  <c r="Z107" i="88" a="1"/>
  <c r="Z107" i="88" s="1"/>
  <c r="Y107" i="88" a="1"/>
  <c r="Y107" i="88" s="1"/>
  <c r="X107" i="88" a="1"/>
  <c r="X107" i="88" s="1"/>
  <c r="W107" i="88" a="1"/>
  <c r="W107" i="88" s="1"/>
  <c r="V107" i="88" a="1"/>
  <c r="V107" i="88" s="1"/>
  <c r="U107" i="88" a="1"/>
  <c r="U107" i="88" s="1"/>
  <c r="T107" i="88" a="1"/>
  <c r="T107" i="88" s="1"/>
  <c r="S107" i="88" a="1"/>
  <c r="S107" i="88" s="1"/>
  <c r="R107" i="88" a="1"/>
  <c r="R107" i="88" s="1"/>
  <c r="Q107" i="88" a="1"/>
  <c r="Q107" i="88" s="1"/>
  <c r="P107" i="88" a="1"/>
  <c r="P107" i="88" s="1"/>
  <c r="O107" i="88" a="1"/>
  <c r="O107" i="88" s="1"/>
  <c r="N107" i="88" a="1"/>
  <c r="N107" i="88" s="1"/>
  <c r="M107" i="88" a="1"/>
  <c r="M107" i="88" s="1"/>
  <c r="L107" i="88" a="1"/>
  <c r="L107" i="88" s="1"/>
  <c r="K107" i="88" a="1"/>
  <c r="K107" i="88" s="1"/>
  <c r="J107" i="88" a="1"/>
  <c r="J107" i="88" s="1"/>
  <c r="I107" i="88" a="1"/>
  <c r="I107" i="88" s="1"/>
  <c r="H107" i="88" a="1"/>
  <c r="H107" i="88" s="1"/>
  <c r="G107" i="88" a="1"/>
  <c r="G107" i="88" s="1"/>
  <c r="F107" i="88" a="1"/>
  <c r="F107" i="88" s="1"/>
  <c r="E107" i="88" a="1"/>
  <c r="E107" i="88" s="1"/>
  <c r="D107" i="88" a="1"/>
  <c r="D107" i="88" s="1"/>
  <c r="AE106" i="88" a="1"/>
  <c r="AE106" i="88" s="1"/>
  <c r="AD106" i="88" a="1"/>
  <c r="AD106" i="88" s="1"/>
  <c r="AC106" i="88" a="1"/>
  <c r="AC106" i="88" s="1"/>
  <c r="AB106" i="88" a="1"/>
  <c r="AB106" i="88" s="1"/>
  <c r="AA106" i="88" a="1"/>
  <c r="AA106" i="88" s="1"/>
  <c r="Z106" i="88" a="1"/>
  <c r="Z106" i="88" s="1"/>
  <c r="Y106" i="88" a="1"/>
  <c r="Y106" i="88" s="1"/>
  <c r="X106" i="88" a="1"/>
  <c r="X106" i="88" s="1"/>
  <c r="W106" i="88" a="1"/>
  <c r="W106" i="88" s="1"/>
  <c r="V106" i="88" a="1"/>
  <c r="V106" i="88" s="1"/>
  <c r="U106" i="88" a="1"/>
  <c r="U106" i="88" s="1"/>
  <c r="T106" i="88" a="1"/>
  <c r="T106" i="88" s="1"/>
  <c r="S106" i="88" a="1"/>
  <c r="S106" i="88" s="1"/>
  <c r="R106" i="88" a="1"/>
  <c r="R106" i="88" s="1"/>
  <c r="Q106" i="88" a="1"/>
  <c r="Q106" i="88" s="1"/>
  <c r="P106" i="88" a="1"/>
  <c r="P106" i="88" s="1"/>
  <c r="O106" i="88" a="1"/>
  <c r="O106" i="88" s="1"/>
  <c r="N106" i="88" a="1"/>
  <c r="N106" i="88" s="1"/>
  <c r="M106" i="88" a="1"/>
  <c r="M106" i="88" s="1"/>
  <c r="L106" i="88" a="1"/>
  <c r="L106" i="88" s="1"/>
  <c r="K106" i="88" a="1"/>
  <c r="K106" i="88" s="1"/>
  <c r="J106" i="88" a="1"/>
  <c r="J106" i="88" s="1"/>
  <c r="I106" i="88" a="1"/>
  <c r="I106" i="88" s="1"/>
  <c r="H106" i="88" a="1"/>
  <c r="H106" i="88" s="1"/>
  <c r="G106" i="88" a="1"/>
  <c r="G106" i="88" s="1"/>
  <c r="F106" i="88" a="1"/>
  <c r="F106" i="88" s="1"/>
  <c r="E106" i="88" a="1"/>
  <c r="E106" i="88" s="1"/>
  <c r="D106" i="88" a="1"/>
  <c r="D106" i="88" s="1"/>
  <c r="AE105" i="88" a="1"/>
  <c r="AE105" i="88" s="1"/>
  <c r="AD105" i="88" a="1"/>
  <c r="AD105" i="88" s="1"/>
  <c r="AC105" i="88" a="1"/>
  <c r="AC105" i="88" s="1"/>
  <c r="AB105" i="88" a="1"/>
  <c r="AB105" i="88" s="1"/>
  <c r="AA105" i="88" a="1"/>
  <c r="AA105" i="88" s="1"/>
  <c r="Z105" i="88" a="1"/>
  <c r="Z105" i="88" s="1"/>
  <c r="Y105" i="88" a="1"/>
  <c r="Y105" i="88" s="1"/>
  <c r="X105" i="88" a="1"/>
  <c r="X105" i="88" s="1"/>
  <c r="W105" i="88" a="1"/>
  <c r="W105" i="88" s="1"/>
  <c r="V105" i="88" a="1"/>
  <c r="V105" i="88" s="1"/>
  <c r="U105" i="88" a="1"/>
  <c r="U105" i="88" s="1"/>
  <c r="T105" i="88" a="1"/>
  <c r="T105" i="88" s="1"/>
  <c r="S105" i="88" a="1"/>
  <c r="S105" i="88" s="1"/>
  <c r="R105" i="88" a="1"/>
  <c r="R105" i="88" s="1"/>
  <c r="Q105" i="88" a="1"/>
  <c r="Q105" i="88" s="1"/>
  <c r="P105" i="88" a="1"/>
  <c r="P105" i="88" s="1"/>
  <c r="O105" i="88" a="1"/>
  <c r="O105" i="88" s="1"/>
  <c r="N105" i="88" a="1"/>
  <c r="N105" i="88" s="1"/>
  <c r="M105" i="88" a="1"/>
  <c r="M105" i="88" s="1"/>
  <c r="L105" i="88" a="1"/>
  <c r="L105" i="88" s="1"/>
  <c r="K105" i="88" a="1"/>
  <c r="K105" i="88" s="1"/>
  <c r="J105" i="88" a="1"/>
  <c r="J105" i="88" s="1"/>
  <c r="I105" i="88" a="1"/>
  <c r="I105" i="88" s="1"/>
  <c r="H105" i="88" a="1"/>
  <c r="H105" i="88" s="1"/>
  <c r="G105" i="88" a="1"/>
  <c r="G105" i="88" s="1"/>
  <c r="F105" i="88" a="1"/>
  <c r="F105" i="88" s="1"/>
  <c r="E105" i="88" a="1"/>
  <c r="E105" i="88" s="1"/>
  <c r="D105" i="88" a="1"/>
  <c r="D105" i="88" s="1"/>
  <c r="AE104" i="88" a="1"/>
  <c r="AE104" i="88" s="1"/>
  <c r="AD104" i="88" a="1"/>
  <c r="AD104" i="88" s="1"/>
  <c r="AC104" i="88" a="1"/>
  <c r="AC104" i="88" s="1"/>
  <c r="AB104" i="88" a="1"/>
  <c r="AB104" i="88" s="1"/>
  <c r="AA104" i="88" a="1"/>
  <c r="AA104" i="88" s="1"/>
  <c r="Z104" i="88" a="1"/>
  <c r="Z104" i="88" s="1"/>
  <c r="Y104" i="88" a="1"/>
  <c r="Y104" i="88" s="1"/>
  <c r="X104" i="88" a="1"/>
  <c r="X104" i="88" s="1"/>
  <c r="W104" i="88" a="1"/>
  <c r="W104" i="88" s="1"/>
  <c r="V104" i="88" a="1"/>
  <c r="V104" i="88" s="1"/>
  <c r="U104" i="88" a="1"/>
  <c r="U104" i="88" s="1"/>
  <c r="T104" i="88" a="1"/>
  <c r="T104" i="88" s="1"/>
  <c r="S104" i="88" a="1"/>
  <c r="S104" i="88" s="1"/>
  <c r="R104" i="88" a="1"/>
  <c r="R104" i="88" s="1"/>
  <c r="Q104" i="88" a="1"/>
  <c r="Q104" i="88" s="1"/>
  <c r="P104" i="88" a="1"/>
  <c r="P104" i="88" s="1"/>
  <c r="O104" i="88" a="1"/>
  <c r="O104" i="88" s="1"/>
  <c r="N104" i="88" a="1"/>
  <c r="N104" i="88" s="1"/>
  <c r="M104" i="88" a="1"/>
  <c r="M104" i="88" s="1"/>
  <c r="L104" i="88" a="1"/>
  <c r="L104" i="88" s="1"/>
  <c r="K104" i="88" a="1"/>
  <c r="K104" i="88" s="1"/>
  <c r="J104" i="88" a="1"/>
  <c r="J104" i="88" s="1"/>
  <c r="I104" i="88" a="1"/>
  <c r="I104" i="88" s="1"/>
  <c r="H104" i="88" a="1"/>
  <c r="H104" i="88" s="1"/>
  <c r="G104" i="88" a="1"/>
  <c r="G104" i="88" s="1"/>
  <c r="F104" i="88" a="1"/>
  <c r="F104" i="88" s="1"/>
  <c r="E104" i="88" a="1"/>
  <c r="E104" i="88" s="1"/>
  <c r="D104" i="88" a="1"/>
  <c r="D104" i="88" s="1"/>
  <c r="AE103" i="88" a="1"/>
  <c r="AE103" i="88" s="1"/>
  <c r="AD103" i="88" a="1"/>
  <c r="AD103" i="88" s="1"/>
  <c r="AC103" i="88" a="1"/>
  <c r="AC103" i="88" s="1"/>
  <c r="AB103" i="88" a="1"/>
  <c r="AB103" i="88" s="1"/>
  <c r="AA103" i="88" a="1"/>
  <c r="AA103" i="88" s="1"/>
  <c r="Z103" i="88" a="1"/>
  <c r="Z103" i="88" s="1"/>
  <c r="Y103" i="88" a="1"/>
  <c r="Y103" i="88" s="1"/>
  <c r="X103" i="88" a="1"/>
  <c r="X103" i="88" s="1"/>
  <c r="W103" i="88" a="1"/>
  <c r="W103" i="88" s="1"/>
  <c r="V103" i="88" a="1"/>
  <c r="V103" i="88" s="1"/>
  <c r="U103" i="88" a="1"/>
  <c r="U103" i="88" s="1"/>
  <c r="T103" i="88" a="1"/>
  <c r="T103" i="88" s="1"/>
  <c r="S103" i="88" a="1"/>
  <c r="S103" i="88" s="1"/>
  <c r="R103" i="88" a="1"/>
  <c r="R103" i="88" s="1"/>
  <c r="Q103" i="88" a="1"/>
  <c r="Q103" i="88" s="1"/>
  <c r="P103" i="88" a="1"/>
  <c r="P103" i="88" s="1"/>
  <c r="O103" i="88" a="1"/>
  <c r="O103" i="88" s="1"/>
  <c r="N103" i="88" a="1"/>
  <c r="N103" i="88" s="1"/>
  <c r="M103" i="88" a="1"/>
  <c r="M103" i="88" s="1"/>
  <c r="L103" i="88" a="1"/>
  <c r="L103" i="88" s="1"/>
  <c r="K103" i="88" a="1"/>
  <c r="K103" i="88" s="1"/>
  <c r="J103" i="88" a="1"/>
  <c r="J103" i="88" s="1"/>
  <c r="I103" i="88" a="1"/>
  <c r="I103" i="88" s="1"/>
  <c r="H103" i="88" a="1"/>
  <c r="H103" i="88" s="1"/>
  <c r="G103" i="88" a="1"/>
  <c r="G103" i="88" s="1"/>
  <c r="F103" i="88" a="1"/>
  <c r="F103" i="88" s="1"/>
  <c r="E103" i="88" a="1"/>
  <c r="E103" i="88" s="1"/>
  <c r="D103" i="88" a="1"/>
  <c r="D103" i="88" s="1"/>
  <c r="AE102" i="88" a="1"/>
  <c r="AE102" i="88" s="1"/>
  <c r="AD102" i="88" a="1"/>
  <c r="AD102" i="88" s="1"/>
  <c r="AC102" i="88" a="1"/>
  <c r="AC102" i="88" s="1"/>
  <c r="AB102" i="88" a="1"/>
  <c r="AB102" i="88" s="1"/>
  <c r="AA102" i="88" a="1"/>
  <c r="AA102" i="88" s="1"/>
  <c r="Z102" i="88" a="1"/>
  <c r="Z102" i="88" s="1"/>
  <c r="Y102" i="88" a="1"/>
  <c r="Y102" i="88" s="1"/>
  <c r="X102" i="88" a="1"/>
  <c r="X102" i="88" s="1"/>
  <c r="W102" i="88" a="1"/>
  <c r="W102" i="88" s="1"/>
  <c r="V102" i="88" a="1"/>
  <c r="V102" i="88" s="1"/>
  <c r="U102" i="88" a="1"/>
  <c r="U102" i="88" s="1"/>
  <c r="T102" i="88" a="1"/>
  <c r="T102" i="88" s="1"/>
  <c r="S102" i="88" a="1"/>
  <c r="S102" i="88" s="1"/>
  <c r="R102" i="88" a="1"/>
  <c r="R102" i="88" s="1"/>
  <c r="Q102" i="88" a="1"/>
  <c r="Q102" i="88" s="1"/>
  <c r="P102" i="88" a="1"/>
  <c r="P102" i="88" s="1"/>
  <c r="O102" i="88" a="1"/>
  <c r="O102" i="88" s="1"/>
  <c r="N102" i="88" a="1"/>
  <c r="N102" i="88" s="1"/>
  <c r="M102" i="88" a="1"/>
  <c r="M102" i="88" s="1"/>
  <c r="L102" i="88" a="1"/>
  <c r="L102" i="88" s="1"/>
  <c r="K102" i="88" a="1"/>
  <c r="K102" i="88" s="1"/>
  <c r="J102" i="88" a="1"/>
  <c r="J102" i="88" s="1"/>
  <c r="I102" i="88" a="1"/>
  <c r="I102" i="88" s="1"/>
  <c r="H102" i="88" a="1"/>
  <c r="H102" i="88" s="1"/>
  <c r="G102" i="88" a="1"/>
  <c r="G102" i="88" s="1"/>
  <c r="F102" i="88" a="1"/>
  <c r="F102" i="88" s="1"/>
  <c r="E102" i="88" a="1"/>
  <c r="E102" i="88" s="1"/>
  <c r="D102" i="88" a="1"/>
  <c r="D102" i="88" s="1"/>
  <c r="AE101" i="88" a="1"/>
  <c r="AE101" i="88" s="1"/>
  <c r="AD101" i="88" a="1"/>
  <c r="AD101" i="88" s="1"/>
  <c r="AC101" i="88" a="1"/>
  <c r="AC101" i="88" s="1"/>
  <c r="AB101" i="88" a="1"/>
  <c r="AB101" i="88" s="1"/>
  <c r="AA101" i="88" a="1"/>
  <c r="AA101" i="88" s="1"/>
  <c r="Z101" i="88" a="1"/>
  <c r="Z101" i="88" s="1"/>
  <c r="Y101" i="88" a="1"/>
  <c r="Y101" i="88" s="1"/>
  <c r="X101" i="88" a="1"/>
  <c r="X101" i="88" s="1"/>
  <c r="W101" i="88" a="1"/>
  <c r="W101" i="88" s="1"/>
  <c r="V101" i="88" a="1"/>
  <c r="V101" i="88" s="1"/>
  <c r="U101" i="88" a="1"/>
  <c r="U101" i="88" s="1"/>
  <c r="T101" i="88" a="1"/>
  <c r="T101" i="88" s="1"/>
  <c r="S101" i="88" a="1"/>
  <c r="S101" i="88" s="1"/>
  <c r="R101" i="88" a="1"/>
  <c r="R101" i="88" s="1"/>
  <c r="Q101" i="88" a="1"/>
  <c r="Q101" i="88" s="1"/>
  <c r="P101" i="88" a="1"/>
  <c r="P101" i="88" s="1"/>
  <c r="O101" i="88" a="1"/>
  <c r="O101" i="88" s="1"/>
  <c r="N101" i="88" a="1"/>
  <c r="N101" i="88" s="1"/>
  <c r="M101" i="88" a="1"/>
  <c r="M101" i="88" s="1"/>
  <c r="L101" i="88" a="1"/>
  <c r="L101" i="88" s="1"/>
  <c r="K101" i="88" a="1"/>
  <c r="K101" i="88" s="1"/>
  <c r="J101" i="88" a="1"/>
  <c r="J101" i="88" s="1"/>
  <c r="I101" i="88" a="1"/>
  <c r="I101" i="88" s="1"/>
  <c r="H101" i="88" a="1"/>
  <c r="H101" i="88" s="1"/>
  <c r="G101" i="88" a="1"/>
  <c r="G101" i="88" s="1"/>
  <c r="F101" i="88" a="1"/>
  <c r="F101" i="88" s="1"/>
  <c r="E101" i="88" a="1"/>
  <c r="E101" i="88" s="1"/>
  <c r="D101" i="88" a="1"/>
  <c r="D101" i="88" s="1"/>
  <c r="AE100" i="88" a="1"/>
  <c r="AE100" i="88" s="1"/>
  <c r="AD100" i="88" a="1"/>
  <c r="AD100" i="88" s="1"/>
  <c r="AC100" i="88" a="1"/>
  <c r="AC100" i="88" s="1"/>
  <c r="AB100" i="88" a="1"/>
  <c r="AB100" i="88" s="1"/>
  <c r="AA100" i="88" a="1"/>
  <c r="AA100" i="88" s="1"/>
  <c r="Z100" i="88" a="1"/>
  <c r="Z100" i="88" s="1"/>
  <c r="Y100" i="88" a="1"/>
  <c r="Y100" i="88" s="1"/>
  <c r="X100" i="88" a="1"/>
  <c r="X100" i="88" s="1"/>
  <c r="W100" i="88" a="1"/>
  <c r="W100" i="88" s="1"/>
  <c r="V100" i="88" a="1"/>
  <c r="V100" i="88" s="1"/>
  <c r="U100" i="88" a="1"/>
  <c r="U100" i="88" s="1"/>
  <c r="T100" i="88" a="1"/>
  <c r="T100" i="88" s="1"/>
  <c r="S100" i="88" a="1"/>
  <c r="S100" i="88" s="1"/>
  <c r="R100" i="88" a="1"/>
  <c r="R100" i="88" s="1"/>
  <c r="Q100" i="88" a="1"/>
  <c r="Q100" i="88" s="1"/>
  <c r="P100" i="88" a="1"/>
  <c r="P100" i="88" s="1"/>
  <c r="O100" i="88" a="1"/>
  <c r="O100" i="88" s="1"/>
  <c r="N100" i="88" a="1"/>
  <c r="N100" i="88" s="1"/>
  <c r="M100" i="88" a="1"/>
  <c r="M100" i="88" s="1"/>
  <c r="L100" i="88" a="1"/>
  <c r="L100" i="88" s="1"/>
  <c r="K100" i="88" a="1"/>
  <c r="K100" i="88" s="1"/>
  <c r="J100" i="88" a="1"/>
  <c r="J100" i="88" s="1"/>
  <c r="I100" i="88" a="1"/>
  <c r="I100" i="88" s="1"/>
  <c r="H100" i="88" a="1"/>
  <c r="H100" i="88" s="1"/>
  <c r="G100" i="88" a="1"/>
  <c r="G100" i="88" s="1"/>
  <c r="F100" i="88" a="1"/>
  <c r="F100" i="88" s="1"/>
  <c r="E100" i="88" a="1"/>
  <c r="E100" i="88" s="1"/>
  <c r="D100" i="88" a="1"/>
  <c r="D100" i="88" s="1"/>
  <c r="AE99" i="88" a="1"/>
  <c r="AE99" i="88" s="1"/>
  <c r="AD99" i="88" a="1"/>
  <c r="AD99" i="88" s="1"/>
  <c r="AC99" i="88" a="1"/>
  <c r="AC99" i="88" s="1"/>
  <c r="AB99" i="88" a="1"/>
  <c r="AB99" i="88" s="1"/>
  <c r="AA99" i="88" a="1"/>
  <c r="AA99" i="88" s="1"/>
  <c r="Z99" i="88" a="1"/>
  <c r="Z99" i="88" s="1"/>
  <c r="Y99" i="88" a="1"/>
  <c r="Y99" i="88" s="1"/>
  <c r="X99" i="88" a="1"/>
  <c r="X99" i="88" s="1"/>
  <c r="W99" i="88" a="1"/>
  <c r="W99" i="88" s="1"/>
  <c r="V99" i="88" a="1"/>
  <c r="V99" i="88" s="1"/>
  <c r="U99" i="88" a="1"/>
  <c r="U99" i="88" s="1"/>
  <c r="T99" i="88" a="1"/>
  <c r="T99" i="88" s="1"/>
  <c r="S99" i="88" a="1"/>
  <c r="S99" i="88" s="1"/>
  <c r="R99" i="88" a="1"/>
  <c r="R99" i="88" s="1"/>
  <c r="Q99" i="88" a="1"/>
  <c r="Q99" i="88" s="1"/>
  <c r="P99" i="88" a="1"/>
  <c r="P99" i="88" s="1"/>
  <c r="O99" i="88" a="1"/>
  <c r="O99" i="88" s="1"/>
  <c r="N99" i="88" a="1"/>
  <c r="N99" i="88" s="1"/>
  <c r="M99" i="88" a="1"/>
  <c r="M99" i="88" s="1"/>
  <c r="L99" i="88" a="1"/>
  <c r="L99" i="88" s="1"/>
  <c r="K99" i="88" a="1"/>
  <c r="K99" i="88" s="1"/>
  <c r="J99" i="88" a="1"/>
  <c r="J99" i="88" s="1"/>
  <c r="I99" i="88" a="1"/>
  <c r="I99" i="88" s="1"/>
  <c r="H99" i="88" a="1"/>
  <c r="H99" i="88" s="1"/>
  <c r="G99" i="88" a="1"/>
  <c r="G99" i="88" s="1"/>
  <c r="F99" i="88" a="1"/>
  <c r="F99" i="88" s="1"/>
  <c r="E99" i="88" a="1"/>
  <c r="E99" i="88" s="1"/>
  <c r="D99" i="88" a="1"/>
  <c r="D99" i="88" s="1"/>
  <c r="AE98" i="88" a="1"/>
  <c r="AE98" i="88" s="1"/>
  <c r="AD98" i="88" a="1"/>
  <c r="AD98" i="88" s="1"/>
  <c r="AC98" i="88" a="1"/>
  <c r="AC98" i="88" s="1"/>
  <c r="AB98" i="88" a="1"/>
  <c r="AB98" i="88" s="1"/>
  <c r="AA98" i="88" a="1"/>
  <c r="AA98" i="88" s="1"/>
  <c r="Z98" i="88" a="1"/>
  <c r="Z98" i="88" s="1"/>
  <c r="Y98" i="88" a="1"/>
  <c r="Y98" i="88" s="1"/>
  <c r="X98" i="88" a="1"/>
  <c r="X98" i="88" s="1"/>
  <c r="W98" i="88" a="1"/>
  <c r="W98" i="88" s="1"/>
  <c r="V98" i="88" a="1"/>
  <c r="V98" i="88" s="1"/>
  <c r="U98" i="88" a="1"/>
  <c r="U98" i="88" s="1"/>
  <c r="T98" i="88" a="1"/>
  <c r="T98" i="88" s="1"/>
  <c r="S98" i="88" a="1"/>
  <c r="S98" i="88" s="1"/>
  <c r="R98" i="88" a="1"/>
  <c r="R98" i="88" s="1"/>
  <c r="Q98" i="88" a="1"/>
  <c r="Q98" i="88" s="1"/>
  <c r="P98" i="88" a="1"/>
  <c r="P98" i="88" s="1"/>
  <c r="O98" i="88" a="1"/>
  <c r="O98" i="88" s="1"/>
  <c r="N98" i="88" a="1"/>
  <c r="N98" i="88" s="1"/>
  <c r="M98" i="88" a="1"/>
  <c r="M98" i="88" s="1"/>
  <c r="L98" i="88" a="1"/>
  <c r="L98" i="88" s="1"/>
  <c r="K98" i="88" a="1"/>
  <c r="K98" i="88" s="1"/>
  <c r="J98" i="88" a="1"/>
  <c r="J98" i="88" s="1"/>
  <c r="I98" i="88" a="1"/>
  <c r="I98" i="88" s="1"/>
  <c r="H98" i="88" a="1"/>
  <c r="H98" i="88" s="1"/>
  <c r="G98" i="88" a="1"/>
  <c r="G98" i="88" s="1"/>
  <c r="F98" i="88" a="1"/>
  <c r="F98" i="88" s="1"/>
  <c r="E98" i="88" a="1"/>
  <c r="E98" i="88" s="1"/>
  <c r="D98" i="88" a="1"/>
  <c r="D98" i="88" s="1"/>
  <c r="AE97" i="88" a="1"/>
  <c r="AE97" i="88" s="1"/>
  <c r="AD97" i="88" a="1"/>
  <c r="AD97" i="88" s="1"/>
  <c r="AC97" i="88" a="1"/>
  <c r="AC97" i="88" s="1"/>
  <c r="AB97" i="88" a="1"/>
  <c r="AB97" i="88" s="1"/>
  <c r="AA97" i="88" a="1"/>
  <c r="AA97" i="88" s="1"/>
  <c r="Z97" i="88" a="1"/>
  <c r="Z97" i="88" s="1"/>
  <c r="Y97" i="88" a="1"/>
  <c r="Y97" i="88" s="1"/>
  <c r="X97" i="88" a="1"/>
  <c r="X97" i="88" s="1"/>
  <c r="W97" i="88" a="1"/>
  <c r="W97" i="88" s="1"/>
  <c r="V97" i="88" a="1"/>
  <c r="V97" i="88" s="1"/>
  <c r="U97" i="88" a="1"/>
  <c r="U97" i="88" s="1"/>
  <c r="T97" i="88" a="1"/>
  <c r="T97" i="88" s="1"/>
  <c r="S97" i="88" a="1"/>
  <c r="S97" i="88" s="1"/>
  <c r="R97" i="88" a="1"/>
  <c r="R97" i="88" s="1"/>
  <c r="Q97" i="88" a="1"/>
  <c r="Q97" i="88" s="1"/>
  <c r="P97" i="88" a="1"/>
  <c r="P97" i="88" s="1"/>
  <c r="O97" i="88" a="1"/>
  <c r="O97" i="88" s="1"/>
  <c r="N97" i="88" a="1"/>
  <c r="N97" i="88" s="1"/>
  <c r="M97" i="88" a="1"/>
  <c r="M97" i="88" s="1"/>
  <c r="L97" i="88" a="1"/>
  <c r="L97" i="88" s="1"/>
  <c r="K97" i="88" a="1"/>
  <c r="K97" i="88" s="1"/>
  <c r="J97" i="88" a="1"/>
  <c r="J97" i="88" s="1"/>
  <c r="I97" i="88" a="1"/>
  <c r="I97" i="88" s="1"/>
  <c r="H97" i="88" a="1"/>
  <c r="H97" i="88" s="1"/>
  <c r="G97" i="88" a="1"/>
  <c r="G97" i="88" s="1"/>
  <c r="F97" i="88" a="1"/>
  <c r="F97" i="88" s="1"/>
  <c r="E97" i="88" a="1"/>
  <c r="E97" i="88" s="1"/>
  <c r="D97" i="88" a="1"/>
  <c r="D97" i="88" s="1"/>
  <c r="AE96" i="88" a="1"/>
  <c r="AE96" i="88" s="1"/>
  <c r="AD96" i="88" a="1"/>
  <c r="AD96" i="88" s="1"/>
  <c r="AC96" i="88" a="1"/>
  <c r="AC96" i="88" s="1"/>
  <c r="AB96" i="88" a="1"/>
  <c r="AB96" i="88" s="1"/>
  <c r="AA96" i="88" a="1"/>
  <c r="AA96" i="88" s="1"/>
  <c r="Z96" i="88" a="1"/>
  <c r="Z96" i="88" s="1"/>
  <c r="Y96" i="88" a="1"/>
  <c r="Y96" i="88" s="1"/>
  <c r="X96" i="88" a="1"/>
  <c r="X96" i="88" s="1"/>
  <c r="W96" i="88" a="1"/>
  <c r="W96" i="88" s="1"/>
  <c r="V96" i="88" a="1"/>
  <c r="V96" i="88" s="1"/>
  <c r="U96" i="88" a="1"/>
  <c r="U96" i="88" s="1"/>
  <c r="T96" i="88" a="1"/>
  <c r="T96" i="88" s="1"/>
  <c r="S96" i="88" a="1"/>
  <c r="S96" i="88" s="1"/>
  <c r="R96" i="88" a="1"/>
  <c r="R96" i="88" s="1"/>
  <c r="Q96" i="88" a="1"/>
  <c r="Q96" i="88" s="1"/>
  <c r="P96" i="88" a="1"/>
  <c r="P96" i="88" s="1"/>
  <c r="O96" i="88" a="1"/>
  <c r="O96" i="88" s="1"/>
  <c r="N96" i="88" a="1"/>
  <c r="N96" i="88" s="1"/>
  <c r="M96" i="88" a="1"/>
  <c r="M96" i="88" s="1"/>
  <c r="L96" i="88" a="1"/>
  <c r="L96" i="88" s="1"/>
  <c r="K96" i="88" a="1"/>
  <c r="K96" i="88" s="1"/>
  <c r="J96" i="88" a="1"/>
  <c r="J96" i="88" s="1"/>
  <c r="I96" i="88" a="1"/>
  <c r="I96" i="88" s="1"/>
  <c r="H96" i="88" a="1"/>
  <c r="H96" i="88" s="1"/>
  <c r="G96" i="88" a="1"/>
  <c r="G96" i="88" s="1"/>
  <c r="F96" i="88" a="1"/>
  <c r="F96" i="88" s="1"/>
  <c r="E96" i="88" a="1"/>
  <c r="E96" i="88" s="1"/>
  <c r="D96" i="88" a="1"/>
  <c r="D96" i="88" s="1"/>
  <c r="AE95" i="88" a="1"/>
  <c r="AE95" i="88" s="1"/>
  <c r="AD95" i="88" a="1"/>
  <c r="AD95" i="88" s="1"/>
  <c r="AC95" i="88" a="1"/>
  <c r="AC95" i="88" s="1"/>
  <c r="AB95" i="88" a="1"/>
  <c r="AB95" i="88" s="1"/>
  <c r="AA95" i="88" a="1"/>
  <c r="AA95" i="88" s="1"/>
  <c r="Z95" i="88" a="1"/>
  <c r="Z95" i="88" s="1"/>
  <c r="Y95" i="88" a="1"/>
  <c r="Y95" i="88" s="1"/>
  <c r="X95" i="88" a="1"/>
  <c r="X95" i="88" s="1"/>
  <c r="W95" i="88" a="1"/>
  <c r="W95" i="88" s="1"/>
  <c r="V95" i="88" a="1"/>
  <c r="V95" i="88" s="1"/>
  <c r="U95" i="88" a="1"/>
  <c r="U95" i="88" s="1"/>
  <c r="T95" i="88" a="1"/>
  <c r="T95" i="88" s="1"/>
  <c r="S95" i="88" a="1"/>
  <c r="S95" i="88" s="1"/>
  <c r="R95" i="88" a="1"/>
  <c r="R95" i="88" s="1"/>
  <c r="Q95" i="88" a="1"/>
  <c r="Q95" i="88" s="1"/>
  <c r="P95" i="88" a="1"/>
  <c r="P95" i="88" s="1"/>
  <c r="O95" i="88" a="1"/>
  <c r="O95" i="88" s="1"/>
  <c r="N95" i="88" a="1"/>
  <c r="N95" i="88" s="1"/>
  <c r="M95" i="88" a="1"/>
  <c r="M95" i="88" s="1"/>
  <c r="L95" i="88" a="1"/>
  <c r="L95" i="88" s="1"/>
  <c r="K95" i="88" a="1"/>
  <c r="K95" i="88" s="1"/>
  <c r="J95" i="88" a="1"/>
  <c r="J95" i="88" s="1"/>
  <c r="I95" i="88" a="1"/>
  <c r="I95" i="88" s="1"/>
  <c r="H95" i="88" a="1"/>
  <c r="H95" i="88" s="1"/>
  <c r="G95" i="88" a="1"/>
  <c r="G95" i="88" s="1"/>
  <c r="F95" i="88" a="1"/>
  <c r="F95" i="88" s="1"/>
  <c r="E95" i="88" a="1"/>
  <c r="E95" i="88" s="1"/>
  <c r="D95" i="88" a="1"/>
  <c r="D95" i="88" s="1"/>
  <c r="AE94" i="88" a="1"/>
  <c r="AE94" i="88" s="1"/>
  <c r="AD94" i="88" a="1"/>
  <c r="AD94" i="88" s="1"/>
  <c r="AC94" i="88" a="1"/>
  <c r="AC94" i="88" s="1"/>
  <c r="AB94" i="88" a="1"/>
  <c r="AB94" i="88" s="1"/>
  <c r="AA94" i="88" a="1"/>
  <c r="AA94" i="88" s="1"/>
  <c r="Z94" i="88" a="1"/>
  <c r="Z94" i="88" s="1"/>
  <c r="Y94" i="88" a="1"/>
  <c r="Y94" i="88" s="1"/>
  <c r="X94" i="88" a="1"/>
  <c r="X94" i="88" s="1"/>
  <c r="W94" i="88" a="1"/>
  <c r="W94" i="88" s="1"/>
  <c r="V94" i="88" a="1"/>
  <c r="V94" i="88" s="1"/>
  <c r="U94" i="88" a="1"/>
  <c r="U94" i="88" s="1"/>
  <c r="T94" i="88" a="1"/>
  <c r="T94" i="88" s="1"/>
  <c r="S94" i="88" a="1"/>
  <c r="S94" i="88" s="1"/>
  <c r="R94" i="88" a="1"/>
  <c r="R94" i="88" s="1"/>
  <c r="Q94" i="88" a="1"/>
  <c r="Q94" i="88" s="1"/>
  <c r="P94" i="88" a="1"/>
  <c r="P94" i="88" s="1"/>
  <c r="O94" i="88" a="1"/>
  <c r="O94" i="88" s="1"/>
  <c r="N94" i="88" a="1"/>
  <c r="N94" i="88" s="1"/>
  <c r="M94" i="88" a="1"/>
  <c r="M94" i="88" s="1"/>
  <c r="L94" i="88" a="1"/>
  <c r="L94" i="88" s="1"/>
  <c r="K94" i="88" a="1"/>
  <c r="K94" i="88" s="1"/>
  <c r="J94" i="88" a="1"/>
  <c r="J94" i="88" s="1"/>
  <c r="I94" i="88" a="1"/>
  <c r="I94" i="88" s="1"/>
  <c r="H94" i="88" a="1"/>
  <c r="H94" i="88" s="1"/>
  <c r="G94" i="88" a="1"/>
  <c r="G94" i="88" s="1"/>
  <c r="F94" i="88" a="1"/>
  <c r="F94" i="88" s="1"/>
  <c r="E94" i="88" a="1"/>
  <c r="E94" i="88" s="1"/>
  <c r="D94" i="88" a="1"/>
  <c r="D94" i="88" s="1"/>
  <c r="AE93" i="88" a="1"/>
  <c r="AE93" i="88" s="1"/>
  <c r="AD93" i="88" a="1"/>
  <c r="AD93" i="88" s="1"/>
  <c r="AC93" i="88" a="1"/>
  <c r="AC93" i="88" s="1"/>
  <c r="AB93" i="88" a="1"/>
  <c r="AB93" i="88" s="1"/>
  <c r="AA93" i="88" a="1"/>
  <c r="AA93" i="88" s="1"/>
  <c r="Z93" i="88" a="1"/>
  <c r="Z93" i="88" s="1"/>
  <c r="Y93" i="88" a="1"/>
  <c r="Y93" i="88" s="1"/>
  <c r="X93" i="88" a="1"/>
  <c r="X93" i="88" s="1"/>
  <c r="W93" i="88" a="1"/>
  <c r="W93" i="88" s="1"/>
  <c r="V93" i="88" a="1"/>
  <c r="V93" i="88" s="1"/>
  <c r="U93" i="88" a="1"/>
  <c r="U93" i="88" s="1"/>
  <c r="T93" i="88" a="1"/>
  <c r="T93" i="88" s="1"/>
  <c r="S93" i="88" a="1"/>
  <c r="S93" i="88" s="1"/>
  <c r="R93" i="88" a="1"/>
  <c r="R93" i="88" s="1"/>
  <c r="Q93" i="88" a="1"/>
  <c r="Q93" i="88" s="1"/>
  <c r="P93" i="88" a="1"/>
  <c r="P93" i="88" s="1"/>
  <c r="O93" i="88" a="1"/>
  <c r="O93" i="88" s="1"/>
  <c r="N93" i="88" a="1"/>
  <c r="N93" i="88" s="1"/>
  <c r="M93" i="88" a="1"/>
  <c r="M93" i="88" s="1"/>
  <c r="L93" i="88" a="1"/>
  <c r="L93" i="88" s="1"/>
  <c r="K93" i="88" a="1"/>
  <c r="K93" i="88" s="1"/>
  <c r="J93" i="88" a="1"/>
  <c r="J93" i="88" s="1"/>
  <c r="I93" i="88" a="1"/>
  <c r="I93" i="88" s="1"/>
  <c r="H93" i="88" a="1"/>
  <c r="H93" i="88" s="1"/>
  <c r="G93" i="88" a="1"/>
  <c r="G93" i="88" s="1"/>
  <c r="F93" i="88" a="1"/>
  <c r="F93" i="88" s="1"/>
  <c r="E93" i="88" a="1"/>
  <c r="E93" i="88" s="1"/>
  <c r="D93" i="88" a="1"/>
  <c r="D93" i="88" s="1"/>
  <c r="AE92" i="88" a="1"/>
  <c r="AE92" i="88" s="1"/>
  <c r="AD92" i="88" a="1"/>
  <c r="AD92" i="88" s="1"/>
  <c r="AC92" i="88" a="1"/>
  <c r="AC92" i="88" s="1"/>
  <c r="AB92" i="88" a="1"/>
  <c r="AB92" i="88" s="1"/>
  <c r="AA92" i="88" a="1"/>
  <c r="AA92" i="88" s="1"/>
  <c r="Z92" i="88" a="1"/>
  <c r="Z92" i="88" s="1"/>
  <c r="Y92" i="88" a="1"/>
  <c r="Y92" i="88" s="1"/>
  <c r="X92" i="88" a="1"/>
  <c r="X92" i="88" s="1"/>
  <c r="W92" i="88" a="1"/>
  <c r="W92" i="88" s="1"/>
  <c r="V92" i="88" a="1"/>
  <c r="V92" i="88" s="1"/>
  <c r="U92" i="88" a="1"/>
  <c r="U92" i="88" s="1"/>
  <c r="T92" i="88" a="1"/>
  <c r="T92" i="88" s="1"/>
  <c r="S92" i="88" a="1"/>
  <c r="S92" i="88" s="1"/>
  <c r="R92" i="88" a="1"/>
  <c r="R92" i="88" s="1"/>
  <c r="Q92" i="88" a="1"/>
  <c r="Q92" i="88" s="1"/>
  <c r="P92" i="88" a="1"/>
  <c r="P92" i="88" s="1"/>
  <c r="O92" i="88" a="1"/>
  <c r="O92" i="88" s="1"/>
  <c r="N92" i="88" a="1"/>
  <c r="N92" i="88" s="1"/>
  <c r="M92" i="88" a="1"/>
  <c r="M92" i="88" s="1"/>
  <c r="L92" i="88" a="1"/>
  <c r="L92" i="88" s="1"/>
  <c r="K92" i="88" a="1"/>
  <c r="K92" i="88" s="1"/>
  <c r="J92" i="88" a="1"/>
  <c r="J92" i="88" s="1"/>
  <c r="I92" i="88" a="1"/>
  <c r="I92" i="88" s="1"/>
  <c r="H92" i="88" a="1"/>
  <c r="H92" i="88" s="1"/>
  <c r="G92" i="88" a="1"/>
  <c r="G92" i="88" s="1"/>
  <c r="F92" i="88" a="1"/>
  <c r="F92" i="88" s="1"/>
  <c r="E92" i="88" a="1"/>
  <c r="E92" i="88" s="1"/>
  <c r="D92" i="88" a="1"/>
  <c r="D92" i="88" s="1"/>
  <c r="AE91" i="88" a="1"/>
  <c r="AE91" i="88" s="1"/>
  <c r="AD91" i="88" a="1"/>
  <c r="AD91" i="88" s="1"/>
  <c r="AC91" i="88" a="1"/>
  <c r="AC91" i="88" s="1"/>
  <c r="AB91" i="88" a="1"/>
  <c r="AB91" i="88" s="1"/>
  <c r="AA91" i="88" a="1"/>
  <c r="AA91" i="88" s="1"/>
  <c r="Z91" i="88" a="1"/>
  <c r="Z91" i="88" s="1"/>
  <c r="Y91" i="88" a="1"/>
  <c r="Y91" i="88" s="1"/>
  <c r="X91" i="88" a="1"/>
  <c r="X91" i="88" s="1"/>
  <c r="W91" i="88" a="1"/>
  <c r="W91" i="88" s="1"/>
  <c r="V91" i="88" a="1"/>
  <c r="V91" i="88" s="1"/>
  <c r="U91" i="88" a="1"/>
  <c r="U91" i="88" s="1"/>
  <c r="T91" i="88" a="1"/>
  <c r="T91" i="88" s="1"/>
  <c r="S91" i="88" a="1"/>
  <c r="S91" i="88" s="1"/>
  <c r="R91" i="88" a="1"/>
  <c r="R91" i="88" s="1"/>
  <c r="Q91" i="88" a="1"/>
  <c r="Q91" i="88" s="1"/>
  <c r="P91" i="88" a="1"/>
  <c r="P91" i="88" s="1"/>
  <c r="O91" i="88" a="1"/>
  <c r="O91" i="88" s="1"/>
  <c r="N91" i="88" a="1"/>
  <c r="N91" i="88" s="1"/>
  <c r="M91" i="88" a="1"/>
  <c r="M91" i="88" s="1"/>
  <c r="L91" i="88" a="1"/>
  <c r="L91" i="88" s="1"/>
  <c r="K91" i="88" a="1"/>
  <c r="K91" i="88" s="1"/>
  <c r="J91" i="88" a="1"/>
  <c r="J91" i="88" s="1"/>
  <c r="I91" i="88" a="1"/>
  <c r="I91" i="88" s="1"/>
  <c r="H91" i="88" a="1"/>
  <c r="H91" i="88" s="1"/>
  <c r="G91" i="88" a="1"/>
  <c r="G91" i="88" s="1"/>
  <c r="F91" i="88" a="1"/>
  <c r="F91" i="88" s="1"/>
  <c r="E91" i="88" a="1"/>
  <c r="E91" i="88" s="1"/>
  <c r="D91" i="88" a="1"/>
  <c r="D91" i="88" s="1"/>
  <c r="AE90" i="88" a="1"/>
  <c r="AE90" i="88" s="1"/>
  <c r="AD90" i="88" a="1"/>
  <c r="AD90" i="88" s="1"/>
  <c r="AC90" i="88" a="1"/>
  <c r="AC90" i="88" s="1"/>
  <c r="AB90" i="88" a="1"/>
  <c r="AB90" i="88" s="1"/>
  <c r="AA90" i="88" a="1"/>
  <c r="AA90" i="88" s="1"/>
  <c r="Z90" i="88" a="1"/>
  <c r="Z90" i="88" s="1"/>
  <c r="Y90" i="88" a="1"/>
  <c r="Y90" i="88" s="1"/>
  <c r="X90" i="88" a="1"/>
  <c r="X90" i="88" s="1"/>
  <c r="W90" i="88" a="1"/>
  <c r="W90" i="88" s="1"/>
  <c r="V90" i="88" a="1"/>
  <c r="V90" i="88" s="1"/>
  <c r="U90" i="88" a="1"/>
  <c r="U90" i="88" s="1"/>
  <c r="T90" i="88" a="1"/>
  <c r="T90" i="88" s="1"/>
  <c r="S90" i="88" a="1"/>
  <c r="S90" i="88" s="1"/>
  <c r="R90" i="88" a="1"/>
  <c r="R90" i="88" s="1"/>
  <c r="Q90" i="88" a="1"/>
  <c r="Q90" i="88" s="1"/>
  <c r="P90" i="88" a="1"/>
  <c r="P90" i="88" s="1"/>
  <c r="O90" i="88" a="1"/>
  <c r="O90" i="88" s="1"/>
  <c r="N90" i="88" a="1"/>
  <c r="N90" i="88" s="1"/>
  <c r="M90" i="88" a="1"/>
  <c r="M90" i="88" s="1"/>
  <c r="L90" i="88" a="1"/>
  <c r="L90" i="88" s="1"/>
  <c r="K90" i="88" a="1"/>
  <c r="K90" i="88" s="1"/>
  <c r="J90" i="88" a="1"/>
  <c r="J90" i="88" s="1"/>
  <c r="I90" i="88" a="1"/>
  <c r="I90" i="88" s="1"/>
  <c r="H90" i="88" a="1"/>
  <c r="H90" i="88" s="1"/>
  <c r="G90" i="88" a="1"/>
  <c r="G90" i="88" s="1"/>
  <c r="F90" i="88" a="1"/>
  <c r="F90" i="88" s="1"/>
  <c r="E90" i="88" a="1"/>
  <c r="E90" i="88" s="1"/>
  <c r="D90" i="88" a="1"/>
  <c r="D90" i="88" s="1"/>
  <c r="F83" i="88" a="1"/>
  <c r="F83" i="88" s="1"/>
  <c r="E83" i="88" a="1"/>
  <c r="E83" i="88" s="1"/>
  <c r="D83" i="88" a="1"/>
  <c r="D83" i="88" s="1"/>
  <c r="D82" i="88" a="1"/>
  <c r="D82" i="88" s="1"/>
  <c r="D81" i="88" a="1"/>
  <c r="D81" i="88" s="1"/>
  <c r="F78" i="88" a="1"/>
  <c r="F78" i="88" s="1"/>
  <c r="E78" i="88" a="1"/>
  <c r="E78" i="88" s="1"/>
  <c r="D78" i="88" a="1"/>
  <c r="D78" i="88" s="1"/>
  <c r="D77" i="88" a="1"/>
  <c r="D77" i="88" s="1"/>
  <c r="D76" i="88" a="1"/>
  <c r="D76" i="88" s="1"/>
  <c r="F73" i="88" a="1"/>
  <c r="F73" i="88" s="1"/>
  <c r="E73" i="88" a="1"/>
  <c r="E73" i="88" s="1"/>
  <c r="D73" i="88" a="1"/>
  <c r="D73" i="88" s="1"/>
  <c r="D72" i="88" a="1"/>
  <c r="D72" i="88" s="1"/>
  <c r="D71" i="88" a="1"/>
  <c r="D71" i="88" s="1"/>
  <c r="F68" i="88" a="1"/>
  <c r="F68" i="88" s="1"/>
  <c r="E68" i="88" a="1"/>
  <c r="E68" i="88" s="1"/>
  <c r="D68" i="88" a="1"/>
  <c r="D68" i="88" s="1"/>
  <c r="F67" i="88" a="1"/>
  <c r="F67" i="88" s="1"/>
  <c r="E67" i="88" a="1"/>
  <c r="E67" i="88" s="1"/>
  <c r="D67" i="88" a="1"/>
  <c r="D67" i="88" s="1"/>
  <c r="F66" i="88" a="1"/>
  <c r="F66" i="88" s="1"/>
  <c r="E66" i="88" a="1"/>
  <c r="E66" i="88" s="1"/>
  <c r="D66" i="88" a="1"/>
  <c r="D66" i="88" s="1"/>
  <c r="D64" i="88" a="1"/>
  <c r="D64" i="88" s="1"/>
  <c r="D63" i="88" a="1"/>
  <c r="D63" i="88" s="1"/>
  <c r="F60" i="88" a="1"/>
  <c r="F60" i="88" s="1"/>
  <c r="E60" i="88" a="1"/>
  <c r="E60" i="88" s="1"/>
  <c r="D60" i="88" a="1"/>
  <c r="D60" i="88" s="1"/>
  <c r="D59" i="88" a="1"/>
  <c r="D59" i="88" s="1"/>
  <c r="D58" i="88" a="1"/>
  <c r="D58" i="88" s="1"/>
  <c r="E55" i="88" a="1"/>
  <c r="E55" i="88" s="1"/>
  <c r="D55" i="88" a="1"/>
  <c r="D55" i="88" s="1"/>
  <c r="E54" i="88" a="1"/>
  <c r="E54" i="88" s="1"/>
  <c r="D54" i="88" a="1"/>
  <c r="D54" i="88" s="1"/>
  <c r="E53" i="88" a="1"/>
  <c r="E53" i="88" s="1"/>
  <c r="D53" i="88" a="1"/>
  <c r="D53" i="88" s="1"/>
  <c r="E52" i="88" a="1"/>
  <c r="E52" i="88" s="1"/>
  <c r="D52" i="88" a="1"/>
  <c r="D52" i="88" s="1"/>
  <c r="E51" i="88" a="1"/>
  <c r="E51" i="88" s="1"/>
  <c r="D51" i="88" a="1"/>
  <c r="D51" i="88" s="1"/>
  <c r="D49" i="88" a="1"/>
  <c r="D49" i="88" s="1"/>
  <c r="D48" i="88" a="1"/>
  <c r="D48" i="88" s="1"/>
  <c r="I38" i="88" a="1"/>
  <c r="I38" i="88" s="1"/>
  <c r="H38" i="88" a="1"/>
  <c r="H38" i="88" s="1"/>
  <c r="G38" i="88" a="1"/>
  <c r="G38" i="88" s="1"/>
  <c r="F38" i="88" a="1"/>
  <c r="F38" i="88" s="1"/>
  <c r="E38" i="88" a="1"/>
  <c r="E38" i="88" s="1"/>
  <c r="D38" i="88" a="1"/>
  <c r="D38" i="88" s="1"/>
  <c r="I37" i="88" a="1"/>
  <c r="I37" i="88" s="1"/>
  <c r="H37" i="88" a="1"/>
  <c r="H37" i="88" s="1"/>
  <c r="G37" i="88" a="1"/>
  <c r="G37" i="88" s="1"/>
  <c r="F37" i="88" a="1"/>
  <c r="F37" i="88" s="1"/>
  <c r="E37" i="88" a="1"/>
  <c r="E37" i="88" s="1"/>
  <c r="D37" i="88" a="1"/>
  <c r="D37" i="88" s="1"/>
  <c r="I36" i="88" a="1"/>
  <c r="I36" i="88" s="1"/>
  <c r="H36" i="88" a="1"/>
  <c r="H36" i="88" s="1"/>
  <c r="G36" i="88" a="1"/>
  <c r="G36" i="88" s="1"/>
  <c r="F36" i="88" a="1"/>
  <c r="F36" i="88" s="1"/>
  <c r="E36" i="88" a="1"/>
  <c r="E36" i="88" s="1"/>
  <c r="D36" i="88" a="1"/>
  <c r="D36" i="88" s="1"/>
  <c r="I35" i="88" a="1"/>
  <c r="I35" i="88" s="1"/>
  <c r="H35" i="88" a="1"/>
  <c r="H35" i="88" s="1"/>
  <c r="G35" i="88" a="1"/>
  <c r="G35" i="88" s="1"/>
  <c r="F35" i="88" a="1"/>
  <c r="F35" i="88" s="1"/>
  <c r="E35" i="88" a="1"/>
  <c r="E35" i="88" s="1"/>
  <c r="D35" i="88" a="1"/>
  <c r="D35" i="88" s="1"/>
  <c r="I34" i="88" a="1"/>
  <c r="I34" i="88" s="1"/>
  <c r="H34" i="88" a="1"/>
  <c r="H34" i="88" s="1"/>
  <c r="G34" i="88" a="1"/>
  <c r="G34" i="88" s="1"/>
  <c r="F34" i="88" a="1"/>
  <c r="F34" i="88" s="1"/>
  <c r="E34" i="88" a="1"/>
  <c r="E34" i="88" s="1"/>
  <c r="D34" i="88" a="1"/>
  <c r="D34" i="88" s="1"/>
  <c r="I33" i="88" a="1"/>
  <c r="I33" i="88" s="1"/>
  <c r="H33" i="88" a="1"/>
  <c r="H33" i="88" s="1"/>
  <c r="G33" i="88" a="1"/>
  <c r="G33" i="88" s="1"/>
  <c r="F33" i="88" a="1"/>
  <c r="F33" i="88" s="1"/>
  <c r="E33" i="88" a="1"/>
  <c r="E33" i="88" s="1"/>
  <c r="D33" i="88" a="1"/>
  <c r="D33" i="88" s="1"/>
  <c r="I32" i="88" a="1"/>
  <c r="I32" i="88" s="1"/>
  <c r="H32" i="88" a="1"/>
  <c r="H32" i="88" s="1"/>
  <c r="G32" i="88" a="1"/>
  <c r="G32" i="88" s="1"/>
  <c r="F32" i="88" a="1"/>
  <c r="F32" i="88" s="1"/>
  <c r="E32" i="88" a="1"/>
  <c r="E32" i="88" s="1"/>
  <c r="D32" i="88" a="1"/>
  <c r="D32" i="88" s="1"/>
  <c r="I31" i="88" a="1"/>
  <c r="I31" i="88" s="1"/>
  <c r="H31" i="88" a="1"/>
  <c r="H31" i="88" s="1"/>
  <c r="G31" i="88" a="1"/>
  <c r="G31" i="88" s="1"/>
  <c r="F31" i="88" a="1"/>
  <c r="F31" i="88" s="1"/>
  <c r="E31" i="88" a="1"/>
  <c r="E31" i="88" s="1"/>
  <c r="D31" i="88" a="1"/>
  <c r="D31" i="88" s="1"/>
  <c r="I30" i="88" a="1"/>
  <c r="I30" i="88" s="1"/>
  <c r="H30" i="88" a="1"/>
  <c r="H30" i="88" s="1"/>
  <c r="G30" i="88" a="1"/>
  <c r="G30" i="88" s="1"/>
  <c r="F30" i="88" a="1"/>
  <c r="F30" i="88" s="1"/>
  <c r="E30" i="88" a="1"/>
  <c r="E30" i="88" s="1"/>
  <c r="D30" i="88" a="1"/>
  <c r="D30" i="88" s="1"/>
  <c r="I29" i="88" a="1"/>
  <c r="I29" i="88" s="1"/>
  <c r="H29" i="88" a="1"/>
  <c r="H29" i="88" s="1"/>
  <c r="G29" i="88" a="1"/>
  <c r="G29" i="88" s="1"/>
  <c r="F29" i="88" a="1"/>
  <c r="F29" i="88" s="1"/>
  <c r="E29" i="88" a="1"/>
  <c r="E29" i="88" s="1"/>
  <c r="D29" i="88" a="1"/>
  <c r="D29" i="88" s="1"/>
  <c r="R28" i="88" a="1"/>
  <c r="R28" i="88" s="1"/>
  <c r="Q28" i="88" a="1"/>
  <c r="Q28" i="88" s="1"/>
  <c r="L28" i="88" a="1"/>
  <c r="L28" i="88" s="1"/>
  <c r="K28" i="88" a="1"/>
  <c r="K28" i="88" s="1"/>
  <c r="I28" i="88" a="1"/>
  <c r="I28" i="88" s="1"/>
  <c r="H28" i="88" a="1"/>
  <c r="H28" i="88" s="1"/>
  <c r="G28" i="88" a="1"/>
  <c r="G28" i="88" s="1"/>
  <c r="F28" i="88" a="1"/>
  <c r="F28" i="88" s="1"/>
  <c r="E28" i="88" a="1"/>
  <c r="E28" i="88" s="1"/>
  <c r="D28" i="88" a="1"/>
  <c r="D28" i="88" s="1"/>
  <c r="R27" i="88" a="1"/>
  <c r="R27" i="88" s="1"/>
  <c r="Q27" i="88" a="1"/>
  <c r="Q27" i="88" s="1"/>
  <c r="L27" i="88" a="1"/>
  <c r="L27" i="88" s="1"/>
  <c r="K27" i="88" a="1"/>
  <c r="K27" i="88" s="1"/>
  <c r="I27" i="88" a="1"/>
  <c r="I27" i="88" s="1"/>
  <c r="H27" i="88" a="1"/>
  <c r="H27" i="88" s="1"/>
  <c r="G27" i="88" a="1"/>
  <c r="G27" i="88" s="1"/>
  <c r="F27" i="88" a="1"/>
  <c r="F27" i="88" s="1"/>
  <c r="E27" i="88" a="1"/>
  <c r="E27" i="88" s="1"/>
  <c r="D27" i="88" a="1"/>
  <c r="D27" i="88" s="1"/>
  <c r="R26" i="88" a="1"/>
  <c r="R26" i="88" s="1"/>
  <c r="Q26" i="88" a="1"/>
  <c r="Q26" i="88" s="1"/>
  <c r="L26" i="88" a="1"/>
  <c r="L26" i="88" s="1"/>
  <c r="K26" i="88" a="1"/>
  <c r="K26" i="88" s="1"/>
  <c r="I26" i="88" a="1"/>
  <c r="I26" i="88" s="1"/>
  <c r="H26" i="88" a="1"/>
  <c r="H26" i="88" s="1"/>
  <c r="G26" i="88" a="1"/>
  <c r="G26" i="88" s="1"/>
  <c r="F26" i="88" a="1"/>
  <c r="F26" i="88" s="1"/>
  <c r="E26" i="88" a="1"/>
  <c r="E26" i="88" s="1"/>
  <c r="D26" i="88" a="1"/>
  <c r="D26" i="88" s="1"/>
  <c r="R25" i="88" a="1"/>
  <c r="R25" i="88" s="1"/>
  <c r="Q25" i="88" a="1"/>
  <c r="Q25" i="88" s="1"/>
  <c r="L25" i="88" a="1"/>
  <c r="L25" i="88" s="1"/>
  <c r="K25" i="88" a="1"/>
  <c r="K25" i="88" s="1"/>
  <c r="I25" i="88" a="1"/>
  <c r="I25" i="88" s="1"/>
  <c r="H25" i="88" a="1"/>
  <c r="H25" i="88" s="1"/>
  <c r="G25" i="88" a="1"/>
  <c r="G25" i="88" s="1"/>
  <c r="F25" i="88" a="1"/>
  <c r="F25" i="88" s="1"/>
  <c r="E25" i="88" a="1"/>
  <c r="E25" i="88" s="1"/>
  <c r="D25" i="88" a="1"/>
  <c r="D25" i="88" s="1"/>
  <c r="R24" i="88" a="1"/>
  <c r="R24" i="88" s="1"/>
  <c r="Q24" i="88" a="1"/>
  <c r="Q24" i="88" s="1"/>
  <c r="L24" i="88" a="1"/>
  <c r="L24" i="88" s="1"/>
  <c r="K24" i="88" a="1"/>
  <c r="K24" i="88" s="1"/>
  <c r="I24" i="88" a="1"/>
  <c r="I24" i="88" s="1"/>
  <c r="H24" i="88" a="1"/>
  <c r="H24" i="88" s="1"/>
  <c r="G24" i="88" a="1"/>
  <c r="G24" i="88" s="1"/>
  <c r="F24" i="88" a="1"/>
  <c r="F24" i="88" s="1"/>
  <c r="E24" i="88" a="1"/>
  <c r="E24" i="88" s="1"/>
  <c r="D24" i="88" a="1"/>
  <c r="D24" i="88" s="1"/>
  <c r="V23" i="88" a="1"/>
  <c r="V23" i="88" s="1"/>
  <c r="R23" i="88" a="1"/>
  <c r="R23" i="88" s="1"/>
  <c r="Q23" i="88" a="1"/>
  <c r="Q23" i="88" s="1"/>
  <c r="L23" i="88" a="1"/>
  <c r="L23" i="88" s="1"/>
  <c r="K23" i="88" a="1"/>
  <c r="K23" i="88" s="1"/>
  <c r="I23" i="88" a="1"/>
  <c r="I23" i="88" s="1"/>
  <c r="H23" i="88" a="1"/>
  <c r="H23" i="88" s="1"/>
  <c r="G23" i="88" a="1"/>
  <c r="G23" i="88" s="1"/>
  <c r="F23" i="88" a="1"/>
  <c r="F23" i="88" s="1"/>
  <c r="E23" i="88" a="1"/>
  <c r="E23" i="88" s="1"/>
  <c r="D23" i="88" a="1"/>
  <c r="D23" i="88" s="1"/>
  <c r="V22" i="88" a="1"/>
  <c r="V22" i="88" s="1"/>
  <c r="R22" i="88" a="1"/>
  <c r="R22" i="88" s="1"/>
  <c r="Q22" i="88" a="1"/>
  <c r="Q22" i="88" s="1"/>
  <c r="L22" i="88" a="1"/>
  <c r="L22" i="88" s="1"/>
  <c r="K22" i="88" a="1"/>
  <c r="K22" i="88" s="1"/>
  <c r="I22" i="88" a="1"/>
  <c r="I22" i="88" s="1"/>
  <c r="H22" i="88" a="1"/>
  <c r="H22" i="88" s="1"/>
  <c r="G22" i="88" a="1"/>
  <c r="G22" i="88" s="1"/>
  <c r="F22" i="88" a="1"/>
  <c r="F22" i="88" s="1"/>
  <c r="E22" i="88" a="1"/>
  <c r="E22" i="88" s="1"/>
  <c r="D22" i="88" a="1"/>
  <c r="D22" i="88" s="1"/>
  <c r="V21" i="88" a="1"/>
  <c r="V21" i="88" s="1"/>
  <c r="R21" i="88" a="1"/>
  <c r="R21" i="88" s="1"/>
  <c r="Q21" i="88" a="1"/>
  <c r="Q21" i="88" s="1"/>
  <c r="L21" i="88" a="1"/>
  <c r="L21" i="88" s="1"/>
  <c r="K21" i="88" a="1"/>
  <c r="K21" i="88" s="1"/>
  <c r="I21" i="88" a="1"/>
  <c r="I21" i="88" s="1"/>
  <c r="H21" i="88" a="1"/>
  <c r="H21" i="88" s="1"/>
  <c r="G21" i="88" a="1"/>
  <c r="G21" i="88" s="1"/>
  <c r="F21" i="88" a="1"/>
  <c r="F21" i="88" s="1"/>
  <c r="E21" i="88" a="1"/>
  <c r="E21" i="88" s="1"/>
  <c r="D21" i="88" a="1"/>
  <c r="D21" i="88" s="1"/>
  <c r="V20" i="88" a="1"/>
  <c r="V20" i="88" s="1"/>
  <c r="R20" i="88" a="1"/>
  <c r="R20" i="88" s="1"/>
  <c r="Q20" i="88" a="1"/>
  <c r="Q20" i="88" s="1"/>
  <c r="L20" i="88" a="1"/>
  <c r="L20" i="88" s="1"/>
  <c r="K20" i="88" a="1"/>
  <c r="K20" i="88" s="1"/>
  <c r="I20" i="88" a="1"/>
  <c r="I20" i="88" s="1"/>
  <c r="H20" i="88" a="1"/>
  <c r="H20" i="88" s="1"/>
  <c r="G20" i="88" a="1"/>
  <c r="G20" i="88" s="1"/>
  <c r="F20" i="88" a="1"/>
  <c r="F20" i="88" s="1"/>
  <c r="E20" i="88" a="1"/>
  <c r="E20" i="88" s="1"/>
  <c r="D20" i="88" a="1"/>
  <c r="D20" i="88" s="1"/>
  <c r="V18" i="88" a="1"/>
  <c r="V18" i="88" s="1"/>
  <c r="Q18" i="88" a="1"/>
  <c r="Q18" i="88" s="1"/>
  <c r="K18" i="88" a="1"/>
  <c r="K18" i="88" s="1"/>
  <c r="V17" i="88" a="1"/>
  <c r="V17" i="88" s="1"/>
  <c r="Q17" i="88" a="1"/>
  <c r="Q17" i="88" s="1"/>
  <c r="K17" i="88" a="1"/>
  <c r="K17" i="88" s="1"/>
  <c r="D7" i="88" a="1"/>
  <c r="D7" i="88" s="1"/>
  <c r="D6" i="88" a="1"/>
  <c r="D6" i="88" s="1"/>
  <c r="D5" i="88" a="1"/>
  <c r="D5" i="88" s="1"/>
  <c r="F99" i="87" a="1"/>
  <c r="F99" i="87" s="1"/>
  <c r="D96" i="87" a="1"/>
  <c r="D96" i="87" s="1"/>
  <c r="H89" i="87" a="1"/>
  <c r="H89" i="87" s="1"/>
  <c r="D89" i="87" a="1"/>
  <c r="D89" i="87" s="1"/>
  <c r="E87" i="87" a="1"/>
  <c r="E87" i="87" s="1"/>
  <c r="F94" i="87" s="1"/>
  <c r="E86" i="87" a="1"/>
  <c r="E86" i="87" s="1"/>
  <c r="D82" i="87" a="1"/>
  <c r="D82" i="87" s="1"/>
  <c r="D81" i="87" a="1"/>
  <c r="D81" i="87" s="1"/>
  <c r="E67" i="87"/>
  <c r="D67" i="87"/>
  <c r="E66" i="87"/>
  <c r="D66" i="87"/>
  <c r="E65" i="87"/>
  <c r="D65" i="87"/>
  <c r="I60" i="87"/>
  <c r="I59" i="87"/>
  <c r="I58" i="87"/>
  <c r="I55" i="87" a="1"/>
  <c r="I55" i="87" s="1"/>
  <c r="G55" i="87" a="1"/>
  <c r="G55" i="87" s="1"/>
  <c r="D55" i="87" a="1"/>
  <c r="D55" i="87" s="1"/>
  <c r="E53" i="87" a="1"/>
  <c r="E53" i="87" s="1"/>
  <c r="F77" i="87" s="1"/>
  <c r="E52" i="87" a="1"/>
  <c r="E52" i="87" s="1"/>
  <c r="D48" i="87" a="1"/>
  <c r="D48" i="87" s="1"/>
  <c r="D47" i="87" a="1"/>
  <c r="D47" i="87" s="1"/>
  <c r="E41" i="87"/>
  <c r="E40" i="87"/>
  <c r="E39" i="87"/>
  <c r="E38" i="87"/>
  <c r="E37" i="87"/>
  <c r="E36" i="87"/>
  <c r="E35" i="87"/>
  <c r="E34" i="87"/>
  <c r="E33" i="87"/>
  <c r="E32" i="87"/>
  <c r="E31" i="87"/>
  <c r="E30" i="87"/>
  <c r="E29" i="87"/>
  <c r="E28" i="87"/>
  <c r="E27" i="87"/>
  <c r="E26" i="87"/>
  <c r="E25" i="87"/>
  <c r="E24" i="87"/>
  <c r="E23" i="87"/>
  <c r="I18" i="87"/>
  <c r="I14" i="87" s="1"/>
  <c r="I17" i="87"/>
  <c r="I16" i="87"/>
  <c r="I13" i="87" a="1"/>
  <c r="I13" i="87" s="1"/>
  <c r="G13" i="87" a="1"/>
  <c r="G13" i="87" s="1"/>
  <c r="D13" i="87" a="1"/>
  <c r="D13" i="87" s="1"/>
  <c r="E11" i="87" a="1"/>
  <c r="E11" i="87" s="1"/>
  <c r="F43" i="87" s="1"/>
  <c r="E10" i="87" a="1"/>
  <c r="E10" i="87" s="1"/>
  <c r="D6" i="87" a="1"/>
  <c r="D6" i="87" s="1"/>
  <c r="D5" i="87" a="1"/>
  <c r="D5" i="87" s="1"/>
  <c r="F151" i="86" a="1"/>
  <c r="F151" i="86" s="1"/>
  <c r="D148" i="86" a="1"/>
  <c r="D148" i="86" s="1"/>
  <c r="I129" i="86"/>
  <c r="I128" i="86"/>
  <c r="I127" i="86"/>
  <c r="I124" i="86" a="1"/>
  <c r="I124" i="86" s="1"/>
  <c r="G124" i="86" a="1"/>
  <c r="G124" i="86" s="1"/>
  <c r="D124" i="86" a="1"/>
  <c r="D124" i="86" s="1"/>
  <c r="E122" i="86" a="1"/>
  <c r="E122" i="86" s="1"/>
  <c r="F146" i="86" s="1"/>
  <c r="E121" i="86" a="1"/>
  <c r="E121" i="86" s="1"/>
  <c r="D117" i="86" a="1"/>
  <c r="D117" i="86" s="1"/>
  <c r="D116" i="86" a="1"/>
  <c r="D116" i="86" s="1"/>
  <c r="F112" i="86" a="1"/>
  <c r="F112" i="86" s="1"/>
  <c r="E144" i="86" s="1"/>
  <c r="F111" i="86" a="1"/>
  <c r="F111" i="86" s="1"/>
  <c r="E143" i="86" s="1"/>
  <c r="F110" i="86" a="1"/>
  <c r="F110" i="86" s="1"/>
  <c r="E142" i="86" s="1"/>
  <c r="F109" i="86" a="1"/>
  <c r="F109" i="86" s="1"/>
  <c r="E141" i="86" s="1"/>
  <c r="F108" i="86" a="1"/>
  <c r="F108" i="86" s="1"/>
  <c r="E140" i="86" s="1"/>
  <c r="F107" i="86" a="1"/>
  <c r="F107" i="86" s="1"/>
  <c r="E139" i="86" s="1"/>
  <c r="F106" i="86" a="1"/>
  <c r="F106" i="86" s="1"/>
  <c r="E138" i="86" s="1"/>
  <c r="E104" i="86"/>
  <c r="F104" i="86" s="1" a="1"/>
  <c r="F104" i="86" s="1"/>
  <c r="E136" i="86" s="1"/>
  <c r="E103" i="86"/>
  <c r="F103" i="86" s="1" a="1"/>
  <c r="F103" i="86" s="1"/>
  <c r="E135" i="86" s="1"/>
  <c r="E102" i="86"/>
  <c r="F102" i="86" s="1" a="1"/>
  <c r="F102" i="86" s="1"/>
  <c r="E134" i="86" s="1"/>
  <c r="F105" i="86" a="1"/>
  <c r="F105" i="86" s="1"/>
  <c r="E137" i="86" s="1"/>
  <c r="I96" i="86" a="1"/>
  <c r="I96" i="86" s="1"/>
  <c r="G96" i="86" a="1"/>
  <c r="G96" i="86" s="1"/>
  <c r="D96" i="86" a="1"/>
  <c r="D96" i="86" s="1"/>
  <c r="E94" i="86" a="1"/>
  <c r="E94" i="86" s="1"/>
  <c r="G102" i="86" s="1"/>
  <c r="E93" i="86" a="1"/>
  <c r="E93" i="86" s="1"/>
  <c r="D89" i="86" a="1"/>
  <c r="D89" i="86" s="1"/>
  <c r="D88" i="86" a="1"/>
  <c r="D88" i="86" s="1"/>
  <c r="F84" i="86" a="1"/>
  <c r="F84" i="86" s="1"/>
  <c r="D81" i="86" a="1"/>
  <c r="D81" i="86" s="1"/>
  <c r="J54" i="86"/>
  <c r="J53" i="86"/>
  <c r="J52" i="86"/>
  <c r="J50" i="86" s="1"/>
  <c r="J49" i="86" a="1"/>
  <c r="J49" i="86" s="1"/>
  <c r="H49" i="86" a="1"/>
  <c r="H49" i="86" s="1"/>
  <c r="D49" i="86" a="1"/>
  <c r="D49" i="86" s="1"/>
  <c r="E47" i="86" a="1"/>
  <c r="E47" i="86" s="1"/>
  <c r="E46" i="86" a="1"/>
  <c r="E46" i="86" s="1"/>
  <c r="D42" i="86" a="1"/>
  <c r="D42" i="86" s="1"/>
  <c r="D41" i="86" a="1"/>
  <c r="D41" i="86" s="1"/>
  <c r="E37" i="86"/>
  <c r="E36" i="86"/>
  <c r="E35" i="86"/>
  <c r="E34" i="86"/>
  <c r="E33" i="86"/>
  <c r="E32" i="86"/>
  <c r="E31" i="86"/>
  <c r="E30" i="86"/>
  <c r="E29" i="86"/>
  <c r="E28" i="86"/>
  <c r="E27" i="86"/>
  <c r="E26" i="86"/>
  <c r="E25" i="86"/>
  <c r="E24" i="86"/>
  <c r="E23" i="86"/>
  <c r="E22" i="86"/>
  <c r="E21" i="86"/>
  <c r="E20" i="86"/>
  <c r="E19" i="86"/>
  <c r="I14" i="86" a="1"/>
  <c r="I14" i="86" s="1"/>
  <c r="I13" i="86" a="1"/>
  <c r="I13" i="86" s="1"/>
  <c r="G13" i="86" a="1"/>
  <c r="G13" i="86" s="1"/>
  <c r="D13" i="86" a="1"/>
  <c r="D13" i="86" s="1"/>
  <c r="E11" i="86" a="1"/>
  <c r="E11" i="86" s="1"/>
  <c r="E10" i="86" a="1"/>
  <c r="E10" i="86" s="1"/>
  <c r="D6" i="86" a="1"/>
  <c r="D6" i="86" s="1"/>
  <c r="D5" i="86" a="1"/>
  <c r="D5" i="86" s="1"/>
  <c r="I17" i="85" a="1"/>
  <c r="I17" i="85" s="1"/>
  <c r="I14" i="85" a="1"/>
  <c r="I14" i="85" s="1"/>
  <c r="I13" i="85" a="1"/>
  <c r="I13" i="85" s="1"/>
  <c r="G13" i="85" a="1"/>
  <c r="G13" i="85" s="1"/>
  <c r="D13" i="85" a="1"/>
  <c r="D13" i="85" s="1"/>
  <c r="E11" i="85" a="1"/>
  <c r="E11" i="85" s="1"/>
  <c r="E10" i="85" a="1"/>
  <c r="E10" i="85" s="1"/>
  <c r="D6" i="85" a="1"/>
  <c r="D6" i="85" s="1"/>
  <c r="D5" i="85" a="1"/>
  <c r="D5" i="85" s="1"/>
  <c r="F55" i="84" a="1"/>
  <c r="F55" i="84" s="1"/>
  <c r="D52" i="84" a="1"/>
  <c r="D52" i="84" s="1"/>
  <c r="K48" i="84"/>
  <c r="K45" i="84" s="1"/>
  <c r="K47" i="84"/>
  <c r="I44" i="84" a="1"/>
  <c r="I44" i="84" s="1"/>
  <c r="D44" i="84" a="1"/>
  <c r="D44" i="84" s="1"/>
  <c r="E42" i="84" a="1"/>
  <c r="E42" i="84" s="1"/>
  <c r="F50" i="84" s="1"/>
  <c r="E41" i="84" a="1"/>
  <c r="E41" i="84" s="1"/>
  <c r="D37" i="84" a="1"/>
  <c r="D37" i="84" s="1"/>
  <c r="D36" i="84" a="1"/>
  <c r="D36" i="84" s="1"/>
  <c r="I30" i="84" a="1"/>
  <c r="I30" i="84" s="1"/>
  <c r="I29" i="84" a="1"/>
  <c r="I29" i="84" s="1"/>
  <c r="I28" i="84" a="1"/>
  <c r="I28" i="84" s="1"/>
  <c r="I27" i="84" a="1"/>
  <c r="I27" i="84" s="1"/>
  <c r="I26" i="84" a="1"/>
  <c r="I26" i="84" s="1"/>
  <c r="I25" i="84" a="1"/>
  <c r="I25" i="84" s="1"/>
  <c r="I24" i="84" a="1"/>
  <c r="I24" i="84" s="1"/>
  <c r="I23" i="84" a="1"/>
  <c r="I23" i="84" s="1"/>
  <c r="I22" i="84" a="1"/>
  <c r="I22" i="84" s="1"/>
  <c r="I21" i="84" a="1"/>
  <c r="I21" i="84" s="1"/>
  <c r="I15" i="84" a="1"/>
  <c r="I15" i="84" s="1"/>
  <c r="I14" i="84" a="1"/>
  <c r="I14" i="84" s="1"/>
  <c r="I13" i="84" a="1"/>
  <c r="I13" i="84" s="1"/>
  <c r="G13" i="84" a="1"/>
  <c r="G13" i="84" s="1"/>
  <c r="D13" i="84" a="1"/>
  <c r="D13" i="84" s="1"/>
  <c r="E11" i="84" a="1"/>
  <c r="E11" i="84" s="1"/>
  <c r="F32" i="84" s="1"/>
  <c r="E10" i="84" a="1"/>
  <c r="E10" i="84" s="1"/>
  <c r="D6" i="84" a="1"/>
  <c r="D6" i="84" s="1"/>
  <c r="D5" i="84" a="1"/>
  <c r="D5" i="84" s="1"/>
  <c r="I53" i="83" a="1"/>
  <c r="I53" i="83" s="1"/>
  <c r="I52" i="83"/>
  <c r="I49" i="83" a="1"/>
  <c r="I49" i="83" s="1"/>
  <c r="G49" i="83" a="1"/>
  <c r="G49" i="83" s="1"/>
  <c r="D49" i="83" a="1"/>
  <c r="D49" i="83" s="1"/>
  <c r="E47" i="83" a="1"/>
  <c r="E47" i="83" s="1"/>
  <c r="F78" i="83" s="1"/>
  <c r="E46" i="83" a="1"/>
  <c r="E46" i="83" s="1"/>
  <c r="D42" i="83" a="1"/>
  <c r="D42" i="83" s="1"/>
  <c r="D41" i="83" a="1"/>
  <c r="D41" i="83" s="1"/>
  <c r="I14" i="83" a="1"/>
  <c r="I14" i="83" s="1"/>
  <c r="I13" i="83" a="1"/>
  <c r="I13" i="83" s="1"/>
  <c r="G13" i="83" a="1"/>
  <c r="G13" i="83" s="1"/>
  <c r="D13" i="83" a="1"/>
  <c r="D13" i="83" s="1"/>
  <c r="E11" i="83" a="1"/>
  <c r="E11" i="83" s="1"/>
  <c r="E10" i="83" a="1"/>
  <c r="E10" i="83" s="1"/>
  <c r="D6" i="83" a="1"/>
  <c r="D6" i="83" s="1"/>
  <c r="D5" i="83" a="1"/>
  <c r="D5" i="83" s="1"/>
  <c r="O93" i="82" a="1"/>
  <c r="O93" i="82" s="1"/>
  <c r="M90" i="82" a="1"/>
  <c r="M90" i="82" s="1"/>
  <c r="F85" i="82" a="1"/>
  <c r="F85" i="82" s="1"/>
  <c r="D82" i="82" a="1"/>
  <c r="D82" i="82" s="1"/>
  <c r="S74" i="82"/>
  <c r="S73" i="82"/>
  <c r="W49" i="82" s="1"/>
  <c r="S71" i="82"/>
  <c r="S70" i="82"/>
  <c r="W52" i="82" s="1"/>
  <c r="S67" i="82" a="1"/>
  <c r="S67" i="82" s="1"/>
  <c r="Q67" i="82" a="1"/>
  <c r="Q67" i="82" s="1"/>
  <c r="M67" i="82" a="1"/>
  <c r="M67" i="82" s="1"/>
  <c r="N65" i="82" a="1"/>
  <c r="N65" i="82" s="1"/>
  <c r="N64" i="82" a="1"/>
  <c r="N64" i="82" s="1"/>
  <c r="M59" i="82" a="1"/>
  <c r="M59" i="82" s="1"/>
  <c r="M58" i="82" a="1"/>
  <c r="M58" i="82" s="1"/>
  <c r="I55" i="82"/>
  <c r="V54" i="82" a="1"/>
  <c r="V54" i="82" s="1"/>
  <c r="T54" i="82"/>
  <c r="U54" i="82" s="1"/>
  <c r="S54" i="82" a="1"/>
  <c r="S54" i="82" s="1"/>
  <c r="R54" i="82" a="1"/>
  <c r="R54" i="82" s="1"/>
  <c r="Q54" i="82"/>
  <c r="I54" i="82"/>
  <c r="I50" i="82" s="1"/>
  <c r="V53" i="82" a="1"/>
  <c r="V53" i="82" s="1"/>
  <c r="T53" i="82"/>
  <c r="U53" i="82" s="1"/>
  <c r="S53" i="82" a="1"/>
  <c r="S53" i="82" s="1"/>
  <c r="R53" i="82" a="1"/>
  <c r="R53" i="82" s="1"/>
  <c r="Q53" i="82"/>
  <c r="I53" i="82"/>
  <c r="I52" i="82"/>
  <c r="V51" i="82" a="1"/>
  <c r="V51" i="82" s="1"/>
  <c r="T51" i="82"/>
  <c r="U51" i="82" s="1"/>
  <c r="V49" i="82" a="1"/>
  <c r="V49" i="82" s="1"/>
  <c r="T49" i="82"/>
  <c r="U49" i="82" s="1"/>
  <c r="S49" i="82" a="1"/>
  <c r="S49" i="82" s="1"/>
  <c r="R49" i="82" a="1"/>
  <c r="R49" i="82" s="1"/>
  <c r="Q49" i="82"/>
  <c r="I49" i="82" a="1"/>
  <c r="I49" i="82" s="1"/>
  <c r="G49" i="82" a="1"/>
  <c r="G49" i="82" s="1"/>
  <c r="D49" i="82" a="1"/>
  <c r="D49" i="82" s="1"/>
  <c r="V48" i="82" a="1"/>
  <c r="V48" i="82" s="1"/>
  <c r="T48" i="82"/>
  <c r="S48" i="82" a="1"/>
  <c r="S48" i="82" s="1"/>
  <c r="R48" i="82" a="1"/>
  <c r="R48" i="82" s="1"/>
  <c r="Q48" i="82"/>
  <c r="V47" i="82" a="1"/>
  <c r="V47" i="82" s="1"/>
  <c r="T47" i="82"/>
  <c r="U47" i="82" s="1"/>
  <c r="S47" i="82" a="1"/>
  <c r="S47" i="82" s="1"/>
  <c r="R47" i="82" a="1"/>
  <c r="R47" i="82" s="1"/>
  <c r="E47" i="82" a="1"/>
  <c r="E47" i="82" s="1"/>
  <c r="V46" i="82" a="1"/>
  <c r="V46" i="82" s="1"/>
  <c r="T46" i="82"/>
  <c r="U46" i="82" s="1"/>
  <c r="S46" i="82" a="1"/>
  <c r="S46" i="82" s="1"/>
  <c r="R46" i="82" a="1"/>
  <c r="R46" i="82" s="1"/>
  <c r="E46" i="82" a="1"/>
  <c r="E46" i="82" s="1"/>
  <c r="Q46" i="82"/>
  <c r="D41" i="82" a="1"/>
  <c r="D41" i="82" s="1"/>
  <c r="D40" i="82" a="1"/>
  <c r="D40" i="82" s="1"/>
  <c r="R35" i="82" a="1"/>
  <c r="R35" i="82" s="1"/>
  <c r="P35" i="82" a="1"/>
  <c r="P35" i="82" s="1"/>
  <c r="M35" i="82" a="1"/>
  <c r="M35" i="82" s="1"/>
  <c r="N33" i="82" a="1"/>
  <c r="N33" i="82" s="1"/>
  <c r="V43" i="82" s="1"/>
  <c r="N32" i="82" a="1"/>
  <c r="N32" i="82" s="1"/>
  <c r="V44" i="82" s="1"/>
  <c r="M28" i="82" a="1"/>
  <c r="M28" i="82" s="1"/>
  <c r="M27" i="82" a="1"/>
  <c r="M27" i="82" s="1"/>
  <c r="R23" i="82" a="1"/>
  <c r="R23" i="82" s="1"/>
  <c r="P23" i="82" a="1"/>
  <c r="P23" i="82" s="1"/>
  <c r="M23" i="82" a="1"/>
  <c r="M23" i="82" s="1"/>
  <c r="N21" i="82" a="1"/>
  <c r="N21" i="82" s="1"/>
  <c r="S43" i="82" s="1"/>
  <c r="N20" i="82" a="1"/>
  <c r="N20" i="82" s="1"/>
  <c r="S44" i="82" s="1"/>
  <c r="M17" i="82" a="1"/>
  <c r="M17" i="82" s="1"/>
  <c r="M16" i="82" a="1"/>
  <c r="M16" i="82" s="1"/>
  <c r="I14" i="82" a="1"/>
  <c r="I14" i="82" s="1"/>
  <c r="I13" i="82" a="1"/>
  <c r="I13" i="82" s="1"/>
  <c r="G13" i="82" a="1"/>
  <c r="G13" i="82" s="1"/>
  <c r="D13" i="82" a="1"/>
  <c r="D13" i="82" s="1"/>
  <c r="R12" i="82" a="1"/>
  <c r="R12" i="82" s="1"/>
  <c r="P12" i="82" a="1"/>
  <c r="P12" i="82" s="1"/>
  <c r="M12" i="82" a="1"/>
  <c r="M12" i="82" s="1"/>
  <c r="E11" i="82" a="1"/>
  <c r="E11" i="82" s="1"/>
  <c r="N10" i="82" a="1"/>
  <c r="N10" i="82" s="1"/>
  <c r="R43" i="82" s="1"/>
  <c r="E10" i="82" a="1"/>
  <c r="E10" i="82" s="1"/>
  <c r="N9" i="82" a="1"/>
  <c r="N9" i="82" s="1"/>
  <c r="R44" i="82" s="1"/>
  <c r="M6" i="82" a="1"/>
  <c r="M6" i="82" s="1"/>
  <c r="D6" i="82" a="1"/>
  <c r="D6" i="82" s="1"/>
  <c r="M5" i="82" a="1"/>
  <c r="M5" i="82" s="1"/>
  <c r="D5" i="82" a="1"/>
  <c r="D5" i="82" s="1"/>
  <c r="H50" i="81"/>
  <c r="I50" i="81" s="1"/>
  <c r="G50" i="81"/>
  <c r="J50" i="81" s="1"/>
  <c r="J49" i="81"/>
  <c r="I49" i="81"/>
  <c r="H49" i="81"/>
  <c r="G49" i="81"/>
  <c r="J48" i="81"/>
  <c r="H48" i="81"/>
  <c r="I48" i="81" s="1"/>
  <c r="G48" i="81"/>
  <c r="K39" i="81"/>
  <c r="D35" i="81" s="1"/>
  <c r="F39" i="81"/>
  <c r="G39" i="81" s="1"/>
  <c r="K38" i="81"/>
  <c r="F38" i="81"/>
  <c r="G38" i="81" s="1"/>
  <c r="K37" i="81"/>
  <c r="F37" i="81"/>
  <c r="G37" i="81" s="1"/>
  <c r="G28" i="81"/>
  <c r="F28" i="81"/>
  <c r="G27" i="81"/>
  <c r="F27" i="81"/>
  <c r="G26" i="81"/>
  <c r="F26" i="81"/>
  <c r="H22" i="81"/>
  <c r="I22" i="81"/>
  <c r="H21" i="81"/>
  <c r="I21" i="81"/>
  <c r="H20" i="81"/>
  <c r="I20" i="81" s="1"/>
  <c r="H19" i="81"/>
  <c r="I19" i="81" s="1"/>
  <c r="H18" i="81"/>
  <c r="I18" i="81"/>
  <c r="O41" i="80" a="1"/>
  <c r="O41" i="80" s="1"/>
  <c r="F41" i="80" a="1"/>
  <c r="F41" i="80" s="1"/>
  <c r="M38" i="80" a="1"/>
  <c r="M38" i="80" s="1"/>
  <c r="D38" i="80" a="1"/>
  <c r="D38" i="80" s="1"/>
  <c r="P32" i="80" a="1"/>
  <c r="P32" i="80" s="1"/>
  <c r="M32" i="80" a="1"/>
  <c r="M32" i="80" s="1"/>
  <c r="G32" i="80" a="1"/>
  <c r="G32" i="80" s="1"/>
  <c r="D32" i="80" a="1"/>
  <c r="D32" i="80" s="1"/>
  <c r="E30" i="80" a="1"/>
  <c r="E30" i="80" s="1"/>
  <c r="O36" i="80" s="1"/>
  <c r="E29" i="80" a="1"/>
  <c r="E29" i="80" s="1"/>
  <c r="D25" i="80" a="1"/>
  <c r="D25" i="80" s="1"/>
  <c r="D24" i="80" a="1"/>
  <c r="D24" i="80" s="1"/>
  <c r="I18" i="80"/>
  <c r="I14" i="80" s="1"/>
  <c r="I17" i="80"/>
  <c r="I16" i="80"/>
  <c r="P13" i="80" a="1"/>
  <c r="P13" i="80" s="1"/>
  <c r="M13" i="80" a="1"/>
  <c r="M13" i="80" s="1"/>
  <c r="G13" i="80" a="1"/>
  <c r="G13" i="80" s="1"/>
  <c r="D13" i="80" a="1"/>
  <c r="D13" i="80" s="1"/>
  <c r="E11" i="80" a="1"/>
  <c r="E11" i="80" s="1"/>
  <c r="E10" i="80" a="1"/>
  <c r="E10" i="80" s="1"/>
  <c r="D6" i="80" a="1"/>
  <c r="D6" i="80" s="1"/>
  <c r="D5" i="80" a="1"/>
  <c r="D5" i="80" s="1"/>
  <c r="P40" i="79" a="1"/>
  <c r="P40" i="79" s="1"/>
  <c r="F40" i="79" a="1"/>
  <c r="F40" i="79" s="1"/>
  <c r="N37" i="79" a="1"/>
  <c r="N37" i="79" s="1"/>
  <c r="D37" i="79" a="1"/>
  <c r="D37" i="79" s="1"/>
  <c r="I33" i="79"/>
  <c r="I32" i="79"/>
  <c r="I31" i="79"/>
  <c r="I29" i="79" s="1"/>
  <c r="Q28" i="79" a="1"/>
  <c r="Q28" i="79" s="1"/>
  <c r="N28" i="79" a="1"/>
  <c r="N28" i="79" s="1"/>
  <c r="G28" i="79" a="1"/>
  <c r="G28" i="79" s="1"/>
  <c r="D28" i="79" a="1"/>
  <c r="D28" i="79" s="1"/>
  <c r="E26" i="79" a="1"/>
  <c r="E26" i="79" s="1"/>
  <c r="E25" i="79" a="1"/>
  <c r="E25" i="79" s="1"/>
  <c r="D21" i="79" a="1"/>
  <c r="D21" i="79" s="1"/>
  <c r="D20" i="79" a="1"/>
  <c r="D20" i="79" s="1"/>
  <c r="P16" i="79"/>
  <c r="R13" i="79" a="1"/>
  <c r="R13" i="79" s="1"/>
  <c r="N13" i="79" a="1"/>
  <c r="N13" i="79" s="1"/>
  <c r="H13" i="79" a="1"/>
  <c r="H13" i="79" s="1"/>
  <c r="D13" i="79" a="1"/>
  <c r="D13" i="79" s="1"/>
  <c r="E11" i="79" a="1"/>
  <c r="E11" i="79" s="1"/>
  <c r="F16" i="79" s="1"/>
  <c r="E10" i="79" a="1"/>
  <c r="E10" i="79" s="1"/>
  <c r="D6" i="79" a="1"/>
  <c r="D6" i="79" s="1"/>
  <c r="D5" i="79" a="1"/>
  <c r="D5" i="79" s="1"/>
  <c r="W272" i="78" a="1"/>
  <c r="W272" i="78" s="1"/>
  <c r="U269" i="78" a="1"/>
  <c r="U269" i="78" s="1"/>
  <c r="U265" i="78" a="1"/>
  <c r="U265" i="78" s="1"/>
  <c r="F234" i="78" a="1"/>
  <c r="F234" i="78" s="1"/>
  <c r="V232" i="78" a="1"/>
  <c r="V232" i="78" s="1"/>
  <c r="D231" i="78" a="1"/>
  <c r="D231" i="78" s="1"/>
  <c r="H227" i="78"/>
  <c r="H224" i="78"/>
  <c r="D224" i="78" a="1"/>
  <c r="D224" i="78" s="1"/>
  <c r="E222" i="78" a="1"/>
  <c r="E222" i="78" s="1"/>
  <c r="W267" i="78" s="1"/>
  <c r="E221" i="78" a="1"/>
  <c r="E221" i="78" s="1"/>
  <c r="D217" i="78" a="1"/>
  <c r="D217" i="78" s="1"/>
  <c r="V216" i="78" a="1"/>
  <c r="V216" i="78" s="1"/>
  <c r="D216" i="78" a="1"/>
  <c r="D216" i="78" s="1"/>
  <c r="U211" i="78" a="1"/>
  <c r="U211" i="78" s="1"/>
  <c r="E199" i="78" a="1"/>
  <c r="E199" i="78" s="1"/>
  <c r="E191" i="78" a="1"/>
  <c r="E191" i="78" s="1"/>
  <c r="V187" i="78" a="1"/>
  <c r="V187" i="78" s="1"/>
  <c r="I186" i="78" a="1"/>
  <c r="I186" i="78" s="1"/>
  <c r="I185" i="78" a="1"/>
  <c r="I185" i="78" s="1"/>
  <c r="I184" i="78" a="1"/>
  <c r="I184" i="78" s="1"/>
  <c r="G184" i="78" a="1"/>
  <c r="G184" i="78" s="1"/>
  <c r="D184" i="78" a="1"/>
  <c r="D184" i="78" s="1"/>
  <c r="E182" i="78" a="1"/>
  <c r="E182" i="78" s="1"/>
  <c r="AF251" i="78" s="1"/>
  <c r="E181" i="78" a="1"/>
  <c r="E181" i="78" s="1"/>
  <c r="D177" i="78" a="1"/>
  <c r="D177" i="78" s="1"/>
  <c r="D176" i="78" a="1"/>
  <c r="D176" i="78" s="1"/>
  <c r="V164" i="78" a="1"/>
  <c r="V164" i="78" s="1"/>
  <c r="E164" i="78"/>
  <c r="E164" i="78" a="1"/>
  <c r="E163" i="78" a="1"/>
  <c r="E163" i="78" s="1"/>
  <c r="E161" i="78" a="1"/>
  <c r="E161" i="78" s="1"/>
  <c r="E153" i="78" a="1"/>
  <c r="E153" i="78" s="1"/>
  <c r="U151" i="78" a="1"/>
  <c r="U151" i="78" s="1"/>
  <c r="E162" i="78" a="1"/>
  <c r="E162" i="78" s="1"/>
  <c r="I147" i="78"/>
  <c r="H164" i="78" s="1" a="1"/>
  <c r="H164" i="78" s="1"/>
  <c r="I146" i="78" a="1"/>
  <c r="I146" i="78" s="1"/>
  <c r="I145" i="78" a="1"/>
  <c r="I145" i="78" s="1"/>
  <c r="I144" i="78" a="1"/>
  <c r="I144" i="78" s="1"/>
  <c r="I143" i="78" a="1"/>
  <c r="I143" i="78" s="1"/>
  <c r="I142" i="78" a="1"/>
  <c r="I142" i="78" s="1"/>
  <c r="G142" i="78" a="1"/>
  <c r="G142" i="78" s="1"/>
  <c r="D142" i="78" a="1"/>
  <c r="D142" i="78" s="1"/>
  <c r="E140" i="78" a="1"/>
  <c r="E140" i="78" s="1"/>
  <c r="O171" i="78" s="1"/>
  <c r="E139" i="78" a="1"/>
  <c r="E139" i="78" s="1"/>
  <c r="D135" i="78" a="1"/>
  <c r="D135" i="78" s="1"/>
  <c r="D134" i="78" a="1"/>
  <c r="D134" i="78" s="1"/>
  <c r="D122" i="78"/>
  <c r="D121" i="78"/>
  <c r="V120" i="78" a="1"/>
  <c r="V120" i="78" s="1"/>
  <c r="D120" i="78"/>
  <c r="E119" i="78" a="1"/>
  <c r="E119" i="78" s="1"/>
  <c r="D119" i="78"/>
  <c r="U115" i="78" a="1"/>
  <c r="U115" i="78" s="1"/>
  <c r="I114" i="78" a="1"/>
  <c r="I114" i="78" s="1"/>
  <c r="I113" i="78" a="1"/>
  <c r="I113" i="78" s="1"/>
  <c r="I112" i="78" a="1"/>
  <c r="I112" i="78" s="1"/>
  <c r="I111" i="78" a="1"/>
  <c r="I111" i="78" s="1"/>
  <c r="G111" i="78" a="1"/>
  <c r="G111" i="78" s="1"/>
  <c r="D111" i="78" a="1"/>
  <c r="D111" i="78" s="1"/>
  <c r="V109" i="78" a="1"/>
  <c r="V109" i="78" s="1"/>
  <c r="E109" i="78" a="1"/>
  <c r="E109" i="78" s="1"/>
  <c r="AF139" i="78" s="1"/>
  <c r="E108" i="78" a="1"/>
  <c r="E108" i="78" s="1"/>
  <c r="V107" i="78" a="1"/>
  <c r="V107" i="78" s="1"/>
  <c r="V105" i="78" a="1"/>
  <c r="V105" i="78" s="1"/>
  <c r="W105" i="78" s="1" a="1"/>
  <c r="W105" i="78" s="1"/>
  <c r="D103" i="78" a="1"/>
  <c r="D103" i="78" s="1"/>
  <c r="D102" i="78" a="1"/>
  <c r="D102" i="78" s="1"/>
  <c r="D98" i="78"/>
  <c r="D97" i="78"/>
  <c r="D96" i="78"/>
  <c r="D95" i="78"/>
  <c r="V191" i="78" a="1"/>
  <c r="V191" i="78" s="1"/>
  <c r="U87" i="78" a="1"/>
  <c r="U87" i="78" s="1"/>
  <c r="I82" i="78"/>
  <c r="I81" i="78" s="1" a="1"/>
  <c r="I81" i="78" s="1"/>
  <c r="I79" i="78" a="1"/>
  <c r="I79" i="78" s="1"/>
  <c r="I78" i="78" a="1"/>
  <c r="I78" i="78" s="1"/>
  <c r="G78" i="78" a="1"/>
  <c r="G78" i="78" s="1"/>
  <c r="D78" i="78" a="1"/>
  <c r="D78" i="78" s="1"/>
  <c r="E76" i="78" a="1"/>
  <c r="E76" i="78" s="1"/>
  <c r="E75" i="78" a="1"/>
  <c r="E75" i="78" s="1"/>
  <c r="D70" i="78" a="1"/>
  <c r="D70" i="78" s="1"/>
  <c r="D69" i="78" a="1"/>
  <c r="D69" i="78" s="1"/>
  <c r="U51" i="78" a="1"/>
  <c r="U51" i="78" s="1"/>
  <c r="I49" i="78" a="1"/>
  <c r="I49" i="78" s="1"/>
  <c r="I48" i="78" a="1"/>
  <c r="I48" i="78" s="1"/>
  <c r="G48" i="78" a="1"/>
  <c r="G48" i="78" s="1"/>
  <c r="D48" i="78" a="1"/>
  <c r="D48" i="78" s="1"/>
  <c r="E46" i="78" a="1"/>
  <c r="E46" i="78" s="1"/>
  <c r="E45" i="78" a="1"/>
  <c r="E45" i="78" s="1"/>
  <c r="D41" i="78" a="1"/>
  <c r="D41" i="78" s="1"/>
  <c r="D40" i="78" a="1"/>
  <c r="D40" i="78" s="1"/>
  <c r="D36" i="78"/>
  <c r="D35" i="78"/>
  <c r="D34" i="78"/>
  <c r="D33" i="78"/>
  <c r="D23" i="78"/>
  <c r="D22" i="78"/>
  <c r="D21" i="78"/>
  <c r="V20" i="78" a="1"/>
  <c r="E20" i="78" a="1"/>
  <c r="D20" i="78"/>
  <c r="H14" i="78" a="1"/>
  <c r="H14" i="78" s="1"/>
  <c r="H13" i="78" a="1"/>
  <c r="H13" i="78" s="1"/>
  <c r="F13" i="78" a="1"/>
  <c r="F13" i="78" s="1"/>
  <c r="D13" i="78" a="1"/>
  <c r="D13" i="78" s="1"/>
  <c r="E11" i="78" a="1"/>
  <c r="E11" i="78" s="1"/>
  <c r="E10" i="78" a="1"/>
  <c r="E10" i="78" s="1"/>
  <c r="D6" i="78" a="1"/>
  <c r="D6" i="78" s="1"/>
  <c r="D5" i="78" a="1"/>
  <c r="D5" i="78" s="1"/>
  <c r="Y281" i="77" a="1"/>
  <c r="Y281" i="77" s="1"/>
  <c r="W278" i="77" a="1"/>
  <c r="W278" i="77" s="1"/>
  <c r="X272" i="77"/>
  <c r="X270" i="77"/>
  <c r="X268" i="77"/>
  <c r="X266" i="77"/>
  <c r="X259" i="77"/>
  <c r="X258" i="77"/>
  <c r="X256" i="77"/>
  <c r="X254" i="77"/>
  <c r="X252" i="77"/>
  <c r="X251" i="77"/>
  <c r="F249" i="77" a="1"/>
  <c r="F249" i="77" s="1"/>
  <c r="X274" i="77"/>
  <c r="D246" i="77" a="1"/>
  <c r="D246" i="77" s="1"/>
  <c r="X260" i="77"/>
  <c r="X271" i="77"/>
  <c r="X264" i="77"/>
  <c r="X235" i="77" a="1"/>
  <c r="Y276" i="77" s="1"/>
  <c r="X263" i="77"/>
  <c r="E227" i="77" a="1"/>
  <c r="E227" i="77" s="1"/>
  <c r="X219" i="77" a="1"/>
  <c r="X219" i="77" s="1"/>
  <c r="E219" i="77" a="1"/>
  <c r="I214" i="77" a="1"/>
  <c r="I214" i="77" s="1"/>
  <c r="I213" i="77" a="1"/>
  <c r="I213" i="77" s="1"/>
  <c r="I212" i="77" a="1"/>
  <c r="I212" i="77" s="1"/>
  <c r="G212" i="77" a="1"/>
  <c r="G212" i="77" s="1"/>
  <c r="D212" i="77" a="1"/>
  <c r="D212" i="77" s="1"/>
  <c r="E210" i="77" a="1"/>
  <c r="E210" i="77" s="1"/>
  <c r="AI251" i="77" s="1"/>
  <c r="E209" i="77" a="1"/>
  <c r="E209" i="77" s="1"/>
  <c r="D205" i="77" a="1"/>
  <c r="D205" i="77" s="1"/>
  <c r="D204" i="77" a="1"/>
  <c r="D204" i="77" s="1"/>
  <c r="I160" i="77"/>
  <c r="AB159" i="77"/>
  <c r="I159" i="77"/>
  <c r="I157" i="77" a="1"/>
  <c r="I157" i="77" s="1"/>
  <c r="I156" i="77" a="1"/>
  <c r="I156" i="77" s="1"/>
  <c r="Z154" i="77" a="1"/>
  <c r="Z154" i="77" s="1"/>
  <c r="W154" i="77" a="1"/>
  <c r="W154" i="77" s="1"/>
  <c r="I154" i="77" a="1"/>
  <c r="I154" i="77" s="1"/>
  <c r="G154" i="77" a="1"/>
  <c r="G154" i="77" s="1"/>
  <c r="D154" i="77" a="1"/>
  <c r="D154" i="77" s="1"/>
  <c r="E152" i="77" a="1"/>
  <c r="E152" i="77" s="1"/>
  <c r="E151" i="77" a="1"/>
  <c r="E151" i="77" s="1"/>
  <c r="D147" i="77" a="1"/>
  <c r="D147" i="77" s="1"/>
  <c r="D146" i="77" a="1"/>
  <c r="D146" i="77" s="1"/>
  <c r="W126" i="77"/>
  <c r="W142" i="77" s="1"/>
  <c r="W125" i="77"/>
  <c r="W141" i="77" s="1"/>
  <c r="W124" i="77"/>
  <c r="W140" i="77" s="1"/>
  <c r="W123" i="77"/>
  <c r="W139" i="77" s="1"/>
  <c r="W122" i="77"/>
  <c r="W138" i="77" s="1"/>
  <c r="W121" i="77"/>
  <c r="W137" i="77" s="1"/>
  <c r="W120" i="77"/>
  <c r="W136" i="77" s="1"/>
  <c r="W119" i="77"/>
  <c r="W135" i="77" s="1"/>
  <c r="X193" i="77" s="1"/>
  <c r="W118" i="77"/>
  <c r="W134" i="77" s="1"/>
  <c r="W117" i="77"/>
  <c r="W133" i="77" s="1"/>
  <c r="X179" i="77" s="1"/>
  <c r="W116" i="77"/>
  <c r="W132" i="77" s="1"/>
  <c r="X115" i="77" a="1"/>
  <c r="X115" i="77" s="1"/>
  <c r="W115" i="77"/>
  <c r="W131" i="77" s="1"/>
  <c r="E115" i="77" a="1"/>
  <c r="E115" i="77" s="1"/>
  <c r="I109" i="77" a="1"/>
  <c r="I109" i="77" s="1"/>
  <c r="I108" i="77" a="1"/>
  <c r="I108" i="77" s="1"/>
  <c r="G108" i="77" a="1"/>
  <c r="G108" i="77" s="1"/>
  <c r="D108" i="77" a="1"/>
  <c r="D108" i="77" s="1"/>
  <c r="E106" i="77" a="1"/>
  <c r="E106" i="77" s="1"/>
  <c r="E105" i="77" a="1"/>
  <c r="E105" i="77" s="1"/>
  <c r="D100" i="77" a="1"/>
  <c r="D100" i="77" s="1"/>
  <c r="D99" i="77" a="1"/>
  <c r="D99" i="77" s="1"/>
  <c r="D71" i="77"/>
  <c r="D70" i="77"/>
  <c r="D69" i="77"/>
  <c r="E68" i="77" a="1"/>
  <c r="E68" i="77" s="1"/>
  <c r="D68" i="77"/>
  <c r="X60" i="77" a="1"/>
  <c r="D55" i="77"/>
  <c r="D54" i="77"/>
  <c r="D53" i="77"/>
  <c r="E52" i="77" a="1"/>
  <c r="D52" i="77"/>
  <c r="I47" i="77" a="1"/>
  <c r="I47" i="77" s="1"/>
  <c r="I46" i="77" a="1"/>
  <c r="I46" i="77" s="1"/>
  <c r="I45" i="77" a="1"/>
  <c r="I45" i="77" s="1"/>
  <c r="G45" i="77" a="1"/>
  <c r="G45" i="77" s="1"/>
  <c r="D45" i="77" a="1"/>
  <c r="D45" i="77" s="1"/>
  <c r="X44" i="77" a="1"/>
  <c r="E43" i="77" a="1"/>
  <c r="E43" i="77" s="1"/>
  <c r="E42" i="77" a="1"/>
  <c r="E42" i="77" s="1"/>
  <c r="D38" i="77" a="1"/>
  <c r="D38" i="77" s="1"/>
  <c r="D37" i="77" a="1"/>
  <c r="D37" i="77" s="1"/>
  <c r="H33" i="77"/>
  <c r="G32" i="77"/>
  <c r="J16" i="77"/>
  <c r="J15" i="77" s="1" a="1"/>
  <c r="J15" i="77" s="1"/>
  <c r="J13" i="77" a="1"/>
  <c r="J13" i="77" s="1"/>
  <c r="H13" i="77" a="1"/>
  <c r="H13" i="77" s="1"/>
  <c r="D13" i="77" a="1"/>
  <c r="D13" i="77" s="1"/>
  <c r="E11" i="77" a="1"/>
  <c r="E11" i="77" s="1"/>
  <c r="E10" i="77" a="1"/>
  <c r="E10" i="77" s="1"/>
  <c r="D6" i="77" a="1"/>
  <c r="D6" i="77" s="1"/>
  <c r="D5" i="77" a="1"/>
  <c r="D5" i="77" s="1"/>
  <c r="G127" i="76"/>
  <c r="F127" i="76"/>
  <c r="E127" i="76"/>
  <c r="D125" i="76"/>
  <c r="D124" i="76"/>
  <c r="K123" i="76"/>
  <c r="L123" i="76" s="1"/>
  <c r="J123" i="76"/>
  <c r="K122" i="76"/>
  <c r="M123" i="76" s="1"/>
  <c r="J122" i="76"/>
  <c r="K121" i="76"/>
  <c r="L121" i="76" s="1"/>
  <c r="J121" i="76"/>
  <c r="K120" i="76"/>
  <c r="M121" i="76" s="1"/>
  <c r="J120" i="76"/>
  <c r="E120" i="76"/>
  <c r="D126" i="76" s="1"/>
  <c r="D127" i="76" s="1"/>
  <c r="E119" i="76"/>
  <c r="M113" i="76"/>
  <c r="L113" i="76"/>
  <c r="M112" i="76"/>
  <c r="L112" i="76"/>
  <c r="M111" i="76"/>
  <c r="L111" i="76"/>
  <c r="M110" i="76"/>
  <c r="L110" i="76"/>
  <c r="D110" i="76"/>
  <c r="N33" i="76"/>
  <c r="M33" i="76"/>
  <c r="L33" i="76"/>
  <c r="K33" i="76"/>
  <c r="J33" i="76"/>
  <c r="I33" i="76"/>
  <c r="H33" i="76"/>
  <c r="E33" i="76"/>
  <c r="G33" i="76"/>
  <c r="N32" i="76"/>
  <c r="L32" i="76"/>
  <c r="K32" i="76"/>
  <c r="J32" i="76"/>
  <c r="I32" i="76"/>
  <c r="H32" i="76"/>
  <c r="G32" i="76"/>
  <c r="F32" i="76"/>
  <c r="E32" i="76"/>
  <c r="M32" i="76"/>
  <c r="I31" i="76"/>
  <c r="E31" i="76"/>
  <c r="J31" i="76"/>
  <c r="N30" i="76"/>
  <c r="M30" i="76"/>
  <c r="H30" i="76"/>
  <c r="F30" i="76"/>
  <c r="E30" i="76"/>
  <c r="G30" i="76"/>
  <c r="N29" i="76"/>
  <c r="M29" i="76"/>
  <c r="L29" i="76"/>
  <c r="K29" i="76"/>
  <c r="J29" i="76"/>
  <c r="I29" i="76"/>
  <c r="H29" i="76"/>
  <c r="G29" i="76"/>
  <c r="F29" i="76"/>
  <c r="E29" i="76"/>
  <c r="N28" i="76"/>
  <c r="M28" i="76"/>
  <c r="K28" i="76"/>
  <c r="J28" i="76"/>
  <c r="I28" i="76"/>
  <c r="H28" i="76"/>
  <c r="G28" i="76"/>
  <c r="L28" i="76"/>
  <c r="K27" i="76"/>
  <c r="G27" i="76"/>
  <c r="F27" i="76"/>
  <c r="E27" i="76"/>
  <c r="L27" i="76"/>
  <c r="H26" i="76"/>
  <c r="I26" i="76"/>
  <c r="N25" i="76"/>
  <c r="M25" i="76"/>
  <c r="L25" i="76"/>
  <c r="E25" i="76"/>
  <c r="F25" i="76"/>
  <c r="L24" i="76"/>
  <c r="K24" i="76"/>
  <c r="J24" i="76"/>
  <c r="I24" i="76"/>
  <c r="N24" i="76"/>
  <c r="M23" i="76"/>
  <c r="L23" i="76"/>
  <c r="K23" i="76"/>
  <c r="J23" i="76"/>
  <c r="I23" i="76"/>
  <c r="H23" i="76"/>
  <c r="G23" i="76"/>
  <c r="F23" i="76"/>
  <c r="N23" i="76"/>
  <c r="K22" i="76"/>
  <c r="E7" i="76"/>
  <c r="N171" i="76" s="1"/>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a="1"/>
  <c r="E404" i="75" s="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a="1"/>
  <c r="L357" i="75" s="1"/>
  <c r="O368" i="75" s="1"/>
  <c r="K357" i="75" a="1"/>
  <c r="K357" i="75" s="1"/>
  <c r="M368" i="75" s="1"/>
  <c r="J357" i="75" a="1"/>
  <c r="J357" i="75" s="1"/>
  <c r="K368" i="75" s="1"/>
  <c r="I357" i="75" a="1"/>
  <c r="I357" i="75" s="1"/>
  <c r="I368"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M367" i="75" s="1"/>
  <c r="J356" i="75" a="1"/>
  <c r="J356" i="75" s="1"/>
  <c r="K367" i="75" s="1"/>
  <c r="I356" i="75" a="1"/>
  <c r="I356"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I366"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M364"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I363"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M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a="1"/>
  <c r="H315" i="75" s="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a="1"/>
  <c r="D80" i="75" s="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O115" i="75" s="1"/>
  <c r="L44" i="75" a="1"/>
  <c r="L44" i="75" s="1"/>
  <c r="M115" i="75" s="1"/>
  <c r="K44" i="75" a="1"/>
  <c r="K44" i="75" s="1"/>
  <c r="K115"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L114"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O112" i="75" s="1"/>
  <c r="L41" i="75" a="1"/>
  <c r="L41" i="75" s="1"/>
  <c r="M112" i="75" s="1"/>
  <c r="K41" i="75" a="1"/>
  <c r="K41" i="75" s="1"/>
  <c r="L112"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O111" i="75" s="1"/>
  <c r="L40" i="75" a="1"/>
  <c r="L40" i="75" s="1"/>
  <c r="M111" i="75" s="1"/>
  <c r="K40" i="75" a="1"/>
  <c r="K40" i="75" s="1"/>
  <c r="K111"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L107"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L34" i="75" a="1"/>
  <c r="L34" i="75" s="1"/>
  <c r="M105" i="75" s="1"/>
  <c r="K34" i="75" a="1"/>
  <c r="K34" i="75" s="1"/>
  <c r="L105"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O104" i="75" s="1"/>
  <c r="L33" i="75" a="1"/>
  <c r="L33" i="75" s="1"/>
  <c r="M104" i="75" s="1"/>
  <c r="K33" i="75" a="1"/>
  <c r="K33"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O102"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L30" i="75" a="1"/>
  <c r="L30" i="75" s="1"/>
  <c r="M101" i="75" s="1"/>
  <c r="K30" i="75" a="1"/>
  <c r="K30" i="75" s="1"/>
  <c r="L101"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O98" i="75" s="1"/>
  <c r="L27" i="75" a="1"/>
  <c r="L27" i="75" s="1"/>
  <c r="M98" i="75" s="1"/>
  <c r="K27" i="75" a="1"/>
  <c r="K27" i="75" s="1"/>
  <c r="L98"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P97" i="75" s="1"/>
  <c r="L26" i="75" a="1"/>
  <c r="L26" i="75" s="1"/>
  <c r="M97" i="75" s="1"/>
  <c r="K26" i="75" a="1"/>
  <c r="K26"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O94"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I93" i="75" s="1"/>
  <c r="H22" i="75" a="1"/>
  <c r="H22" i="75" s="1"/>
  <c r="G22" i="75" a="1"/>
  <c r="G22" i="75" s="1"/>
  <c r="F22" i="75" a="1"/>
  <c r="F22" i="75" s="1"/>
  <c r="E22" i="75" a="1"/>
  <c r="E22" i="75" s="1"/>
  <c r="D22" i="75" a="1"/>
  <c r="D22" i="75" s="1"/>
  <c r="M21" i="75" a="1"/>
  <c r="M21" i="75" s="1"/>
  <c r="L21" i="75" a="1"/>
  <c r="L21" i="75" s="1"/>
  <c r="K21" i="75" a="1"/>
  <c r="K21" i="75" s="1"/>
  <c r="J21" i="75" a="1"/>
  <c r="J21" i="75" s="1"/>
  <c r="I21" i="75" a="1"/>
  <c r="I21" i="75" s="1"/>
  <c r="H21" i="75" a="1"/>
  <c r="H21" i="75" s="1"/>
  <c r="H88" i="75" s="1"/>
  <c r="G21" i="75" a="1"/>
  <c r="G21" i="75" s="1"/>
  <c r="F21" i="75" a="1"/>
  <c r="F21" i="75" s="1"/>
  <c r="E21" i="75" a="1"/>
  <c r="E21" i="75" s="1"/>
  <c r="D21" i="75" a="1"/>
  <c r="D21" i="75" s="1"/>
  <c r="M20" i="75" a="1"/>
  <c r="M20" i="75" s="1"/>
  <c r="P87" i="75" s="1"/>
  <c r="L20" i="75" a="1"/>
  <c r="L20" i="75" s="1"/>
  <c r="K20" i="75" a="1"/>
  <c r="K20" i="75" s="1"/>
  <c r="L91" i="75" s="1"/>
  <c r="J20" i="75" a="1"/>
  <c r="J20"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I19" i="75" a="1"/>
  <c r="I19" i="75" s="1"/>
  <c r="I90" i="75" s="1"/>
  <c r="H19" i="75" a="1"/>
  <c r="H19" i="75" s="1"/>
  <c r="G19" i="75" a="1"/>
  <c r="G19" i="75" s="1"/>
  <c r="G90" i="75" s="1"/>
  <c r="F19" i="75" a="1"/>
  <c r="F19" i="75" s="1"/>
  <c r="F86" i="75" s="1"/>
  <c r="E19" i="75" a="1"/>
  <c r="E19" i="75" s="1"/>
  <c r="D19" i="75" a="1"/>
  <c r="D19" i="75" s="1"/>
  <c r="D17" i="75" a="1"/>
  <c r="D17" i="75" s="1"/>
  <c r="D16" i="75" a="1"/>
  <c r="D16" i="75" s="1"/>
  <c r="D15" i="75" a="1"/>
  <c r="D15" i="75" s="1"/>
  <c r="D14" i="75" a="1"/>
  <c r="D14" i="75" s="1"/>
  <c r="W166" i="74" a="1"/>
  <c r="W166" i="74" s="1"/>
  <c r="U163" i="74" a="1"/>
  <c r="U163" i="74" s="1"/>
  <c r="U152" i="74"/>
  <c r="U151" i="74"/>
  <c r="U160" i="74"/>
  <c r="U159" i="74"/>
  <c r="U158" i="74"/>
  <c r="U157" i="74"/>
  <c r="U156" i="74"/>
  <c r="U155" i="74"/>
  <c r="U154" i="74"/>
  <c r="U153" i="74"/>
  <c r="U150" i="74"/>
  <c r="V133" i="74" a="1"/>
  <c r="V133" i="74" s="1"/>
  <c r="U149" i="74"/>
  <c r="F133" i="74" a="1"/>
  <c r="F133" i="74" s="1"/>
  <c r="D130" i="74" a="1"/>
  <c r="D130" i="74" s="1"/>
  <c r="V117" i="74" a="1"/>
  <c r="V117" i="74" s="1"/>
  <c r="E115" i="74" a="1"/>
  <c r="E115" i="74" s="1"/>
  <c r="U112" i="74" a="1"/>
  <c r="U112" i="74" s="1"/>
  <c r="E107" i="74" a="1"/>
  <c r="E107" i="74" s="1"/>
  <c r="I102" i="74" a="1"/>
  <c r="I102" i="74" s="1"/>
  <c r="I101" i="74" a="1"/>
  <c r="I101" i="74" s="1"/>
  <c r="I100" i="74" a="1"/>
  <c r="I100" i="74" s="1"/>
  <c r="G100" i="74" a="1"/>
  <c r="AF117" i="74" s="1"/>
  <c r="D100" i="74" a="1"/>
  <c r="D100" i="74" s="1"/>
  <c r="E98" i="74" a="1"/>
  <c r="E98" i="74" s="1"/>
  <c r="E97" i="74" a="1"/>
  <c r="E97" i="74" s="1"/>
  <c r="D93" i="74" a="1"/>
  <c r="D93" i="74" s="1"/>
  <c r="U92" i="74" a="1"/>
  <c r="U92" i="74" s="1"/>
  <c r="D92" i="74" a="1"/>
  <c r="D92" i="74" s="1"/>
  <c r="I80" i="74" a="1"/>
  <c r="I80" i="74" s="1"/>
  <c r="G80" i="74" a="1"/>
  <c r="G80" i="74" s="1"/>
  <c r="D80" i="74" a="1"/>
  <c r="D80" i="74" s="1"/>
  <c r="E78" i="74" a="1"/>
  <c r="E78" i="74" s="1"/>
  <c r="E77" i="74" a="1"/>
  <c r="E77" i="74" s="1"/>
  <c r="D72" i="74" a="1"/>
  <c r="D72" i="74" s="1"/>
  <c r="D71" i="74" a="1"/>
  <c r="D71" i="74" s="1"/>
  <c r="V60" i="74" a="1"/>
  <c r="D59" i="74"/>
  <c r="D58" i="74"/>
  <c r="D57" i="74"/>
  <c r="E56" i="74" a="1"/>
  <c r="E56" i="74" s="1"/>
  <c r="D56" i="74"/>
  <c r="D51" i="74"/>
  <c r="D50" i="74"/>
  <c r="D49" i="74"/>
  <c r="E48" i="74" a="1"/>
  <c r="D48" i="74"/>
  <c r="V44" i="74" a="1"/>
  <c r="I43" i="74" a="1"/>
  <c r="I43" i="74" s="1"/>
  <c r="I42" i="74" a="1"/>
  <c r="I42" i="74" s="1"/>
  <c r="I41" i="74" a="1"/>
  <c r="I41" i="74" s="1"/>
  <c r="G41" i="74" a="1"/>
  <c r="G41" i="74" s="1"/>
  <c r="D41" i="74" a="1"/>
  <c r="D41" i="74" s="1"/>
  <c r="E39" i="74" a="1"/>
  <c r="E39" i="74" s="1"/>
  <c r="E38" i="74" a="1"/>
  <c r="E38" i="74" s="1"/>
  <c r="G37" i="74" a="1"/>
  <c r="G37" i="74" s="1"/>
  <c r="D34" i="74" a="1"/>
  <c r="D34" i="74" s="1"/>
  <c r="D33" i="74" a="1"/>
  <c r="D33" i="74" s="1"/>
  <c r="E29" i="74" a="1"/>
  <c r="E29" i="74" s="1"/>
  <c r="E26" i="74" a="1"/>
  <c r="E26" i="74" s="1"/>
  <c r="E28" i="74" a="1"/>
  <c r="E28" i="74" s="1"/>
  <c r="F28" i="74" s="1" a="1"/>
  <c r="F28" i="74" s="1"/>
  <c r="J16" i="74"/>
  <c r="J15" i="74" s="1" a="1"/>
  <c r="J15" i="74" s="1"/>
  <c r="J13" i="74" a="1"/>
  <c r="J13" i="74" s="1"/>
  <c r="H13" i="74" a="1"/>
  <c r="H13" i="74" s="1"/>
  <c r="D13" i="74" a="1"/>
  <c r="D13" i="74" s="1"/>
  <c r="E11" i="74" a="1"/>
  <c r="E11" i="74" s="1"/>
  <c r="E10" i="74" a="1"/>
  <c r="E10" i="74" s="1"/>
  <c r="D6" i="74" a="1"/>
  <c r="D6" i="74" s="1"/>
  <c r="D5" i="74" a="1"/>
  <c r="D5" i="74" s="1"/>
  <c r="G120" i="73"/>
  <c r="F120" i="73"/>
  <c r="E120" i="73"/>
  <c r="D118" i="73"/>
  <c r="D117" i="73"/>
  <c r="E113" i="73"/>
  <c r="D119" i="73" s="1"/>
  <c r="E112" i="73"/>
  <c r="D107" i="73"/>
  <c r="M33" i="73"/>
  <c r="K33" i="73"/>
  <c r="J33" i="73"/>
  <c r="I33" i="73"/>
  <c r="F33" i="73"/>
  <c r="L33" i="73"/>
  <c r="N32" i="73"/>
  <c r="M32" i="73"/>
  <c r="K32" i="73"/>
  <c r="J32" i="73"/>
  <c r="H32" i="73"/>
  <c r="G32" i="73"/>
  <c r="F32" i="73"/>
  <c r="I32" i="73"/>
  <c r="N31" i="73"/>
  <c r="G31" i="73"/>
  <c r="E31" i="73"/>
  <c r="N30" i="73"/>
  <c r="K30" i="73"/>
  <c r="M29" i="73"/>
  <c r="L29" i="73"/>
  <c r="K29" i="73"/>
  <c r="H29" i="73"/>
  <c r="N29" i="73"/>
  <c r="N28" i="73"/>
  <c r="M28" i="73"/>
  <c r="L28" i="73"/>
  <c r="K28" i="73"/>
  <c r="J28" i="73"/>
  <c r="I28" i="73"/>
  <c r="H28" i="73"/>
  <c r="G28" i="73"/>
  <c r="F28" i="73"/>
  <c r="E28" i="73"/>
  <c r="E27" i="73"/>
  <c r="N26" i="73"/>
  <c r="M26" i="73"/>
  <c r="G26" i="73"/>
  <c r="F26" i="73"/>
  <c r="N25" i="73"/>
  <c r="N24" i="73"/>
  <c r="M24" i="73"/>
  <c r="L24" i="73"/>
  <c r="K24" i="73"/>
  <c r="J24" i="73"/>
  <c r="I24" i="73"/>
  <c r="H24" i="73"/>
  <c r="G24" i="73"/>
  <c r="F24" i="73"/>
  <c r="L23" i="73"/>
  <c r="K23" i="73"/>
  <c r="J23" i="73"/>
  <c r="H23" i="73"/>
  <c r="G23" i="73"/>
  <c r="F23" i="73"/>
  <c r="E23" i="73"/>
  <c r="I23" i="73"/>
  <c r="E22" i="73"/>
  <c r="E7" i="73"/>
  <c r="N163" i="73" s="1"/>
  <c r="E30" i="98" a="1"/>
  <c r="E7" i="98" a="1"/>
  <c r="E7" i="97" a="1"/>
  <c r="O27" i="97" a="1"/>
  <c r="E27" i="97" a="1"/>
  <c r="L8" i="94" a="1"/>
  <c r="E7" i="94" a="1"/>
  <c r="L7" i="93" a="1"/>
  <c r="E7" i="93" a="1"/>
  <c r="E8" i="90" a="1"/>
  <c r="E25" i="90" a="1"/>
  <c r="E7" i="87" a="1"/>
  <c r="E49" i="87" a="1"/>
  <c r="E83" i="87" a="1"/>
  <c r="E90" i="86" a="1"/>
  <c r="E118" i="86" a="1"/>
  <c r="E7" i="86" a="1"/>
  <c r="E43" i="86" a="1"/>
  <c r="E7" i="85" a="1"/>
  <c r="E7" i="84" a="1"/>
  <c r="E38" i="84" a="1"/>
  <c r="E43" i="83" a="1"/>
  <c r="E7" i="83" a="1"/>
  <c r="N60" i="82" a="1"/>
  <c r="E42" i="82" a="1"/>
  <c r="E7" i="82" a="1"/>
  <c r="E7" i="80" a="1"/>
  <c r="E26" i="80" a="1"/>
  <c r="E22" i="79" a="1"/>
  <c r="E7" i="79" a="1"/>
  <c r="E178" i="78" a="1"/>
  <c r="E218" i="78" a="1"/>
  <c r="E104" i="78" a="1"/>
  <c r="E7" i="78" a="1"/>
  <c r="E42" i="78" a="1"/>
  <c r="E136" i="78" a="1"/>
  <c r="E148" i="77" a="1"/>
  <c r="E39" i="77" a="1"/>
  <c r="E206" i="77" a="1"/>
  <c r="E101" i="77" a="1"/>
  <c r="E73" i="74" a="1"/>
  <c r="E94" i="74" a="1"/>
  <c r="E35" i="74" a="1"/>
  <c r="M61" i="73" l="1"/>
  <c r="M66" i="73"/>
  <c r="H70" i="73"/>
  <c r="E73" i="73"/>
  <c r="K83" i="73"/>
  <c r="H89" i="73"/>
  <c r="F92" i="73"/>
  <c r="I98" i="73"/>
  <c r="N128" i="73"/>
  <c r="M135" i="73"/>
  <c r="M139" i="73"/>
  <c r="K153" i="73"/>
  <c r="N61" i="73"/>
  <c r="I70" i="73"/>
  <c r="F73" i="73"/>
  <c r="K76" i="73"/>
  <c r="L83" i="73"/>
  <c r="I89" i="73"/>
  <c r="G92" i="73"/>
  <c r="L95" i="73"/>
  <c r="J98" i="73"/>
  <c r="N135" i="73"/>
  <c r="L153" i="73"/>
  <c r="G63" i="73"/>
  <c r="J71" i="73"/>
  <c r="G74" i="73"/>
  <c r="E85" i="73"/>
  <c r="H93" i="73"/>
  <c r="E96" i="73"/>
  <c r="L99" i="73"/>
  <c r="F137" i="73"/>
  <c r="F142" i="73"/>
  <c r="H161" i="73"/>
  <c r="H63" i="73"/>
  <c r="E68" i="73"/>
  <c r="K71" i="73"/>
  <c r="H74" i="73"/>
  <c r="N77" i="73"/>
  <c r="F85" i="73"/>
  <c r="K90" i="73"/>
  <c r="I93" i="73"/>
  <c r="N125" i="73"/>
  <c r="G133" i="73"/>
  <c r="G137" i="73"/>
  <c r="G142" i="73"/>
  <c r="F156" i="73"/>
  <c r="N84" i="73"/>
  <c r="G93" i="73"/>
  <c r="K99" i="73"/>
  <c r="E137" i="73"/>
  <c r="G161" i="73"/>
  <c r="I63" i="73"/>
  <c r="L71" i="73"/>
  <c r="I74" i="73"/>
  <c r="E82" i="73"/>
  <c r="L90" i="73"/>
  <c r="J93" i="73"/>
  <c r="E97" i="73"/>
  <c r="E126" i="73"/>
  <c r="H133" i="73"/>
  <c r="J147" i="73"/>
  <c r="G156" i="73"/>
  <c r="J162" i="73"/>
  <c r="H60" i="73"/>
  <c r="J63" i="73"/>
  <c r="E69" i="73"/>
  <c r="M71" i="73"/>
  <c r="F82" i="73"/>
  <c r="E88" i="73"/>
  <c r="M90" i="73"/>
  <c r="F97" i="73"/>
  <c r="F126" i="73"/>
  <c r="I133" i="73"/>
  <c r="H138" i="73"/>
  <c r="K147" i="73"/>
  <c r="K162" i="73"/>
  <c r="I60" i="73"/>
  <c r="F69" i="73"/>
  <c r="N71" i="73"/>
  <c r="H75" i="73"/>
  <c r="G82" i="73"/>
  <c r="F88" i="73"/>
  <c r="N90" i="73"/>
  <c r="I94" i="73"/>
  <c r="G97" i="73"/>
  <c r="H127" i="73"/>
  <c r="I138" i="73"/>
  <c r="N148" i="73"/>
  <c r="I157" i="73"/>
  <c r="L89" i="73"/>
  <c r="F132" i="73"/>
  <c r="J60" i="73"/>
  <c r="I66" i="73"/>
  <c r="G69" i="73"/>
  <c r="I75" i="73"/>
  <c r="H82" i="73"/>
  <c r="G88" i="73"/>
  <c r="J94" i="73"/>
  <c r="H97" i="73"/>
  <c r="I127" i="73"/>
  <c r="J134" i="73"/>
  <c r="J138" i="73"/>
  <c r="E149" i="73"/>
  <c r="J157" i="73"/>
  <c r="M163" i="73"/>
  <c r="K60" i="73"/>
  <c r="J66" i="73"/>
  <c r="H69" i="73"/>
  <c r="M72" i="73"/>
  <c r="J75" i="73"/>
  <c r="H83" i="73"/>
  <c r="H88" i="73"/>
  <c r="N91" i="73"/>
  <c r="K94" i="73"/>
  <c r="J127" i="73"/>
  <c r="K134" i="73"/>
  <c r="H150" i="73"/>
  <c r="E172" i="73"/>
  <c r="L163" i="73"/>
  <c r="I162" i="73"/>
  <c r="F161" i="73"/>
  <c r="N159" i="73"/>
  <c r="K158" i="73"/>
  <c r="H157" i="73"/>
  <c r="E156" i="73"/>
  <c r="M154" i="73"/>
  <c r="J153" i="73"/>
  <c r="G150" i="73"/>
  <c r="M148" i="73"/>
  <c r="I147" i="73"/>
  <c r="E142" i="73"/>
  <c r="M140" i="73"/>
  <c r="J139" i="73"/>
  <c r="G138" i="73"/>
  <c r="L135" i="73"/>
  <c r="I134" i="73"/>
  <c r="F133" i="73"/>
  <c r="N131" i="73"/>
  <c r="K128" i="73"/>
  <c r="G127" i="73"/>
  <c r="M125" i="73"/>
  <c r="I99" i="73"/>
  <c r="F98" i="73"/>
  <c r="N96" i="73"/>
  <c r="K95" i="73"/>
  <c r="H94" i="73"/>
  <c r="E93" i="73"/>
  <c r="M91" i="73"/>
  <c r="J90" i="73"/>
  <c r="G89" i="73"/>
  <c r="K84" i="73"/>
  <c r="G83" i="73"/>
  <c r="M77" i="73"/>
  <c r="J76" i="73"/>
  <c r="G75" i="73"/>
  <c r="L72" i="73"/>
  <c r="I71" i="73"/>
  <c r="F70" i="73"/>
  <c r="N68" i="73"/>
  <c r="K67" i="73"/>
  <c r="H66" i="73"/>
  <c r="E63" i="73"/>
  <c r="K61" i="73"/>
  <c r="G60" i="73"/>
  <c r="M97" i="73"/>
  <c r="F90" i="73"/>
  <c r="M82" i="73"/>
  <c r="H72" i="73"/>
  <c r="K62" i="73"/>
  <c r="G68" i="73"/>
  <c r="M138" i="73"/>
  <c r="H126" i="73"/>
  <c r="N164" i="73"/>
  <c r="K163" i="73"/>
  <c r="H162" i="73"/>
  <c r="E161" i="73"/>
  <c r="M159" i="73"/>
  <c r="J158" i="73"/>
  <c r="G157" i="73"/>
  <c r="L154" i="73"/>
  <c r="I153" i="73"/>
  <c r="F150" i="73"/>
  <c r="L148" i="73"/>
  <c r="H147" i="73"/>
  <c r="L140" i="73"/>
  <c r="I139" i="73"/>
  <c r="F138" i="73"/>
  <c r="N136" i="73"/>
  <c r="K135" i="73"/>
  <c r="H134" i="73"/>
  <c r="E133" i="73"/>
  <c r="M131" i="73"/>
  <c r="J128" i="73"/>
  <c r="F127" i="73"/>
  <c r="L125" i="73"/>
  <c r="H99" i="73"/>
  <c r="E98" i="73"/>
  <c r="M96" i="73"/>
  <c r="J95" i="73"/>
  <c r="G94" i="73"/>
  <c r="L91" i="73"/>
  <c r="I90" i="73"/>
  <c r="F89" i="73"/>
  <c r="N85" i="73"/>
  <c r="J84" i="73"/>
  <c r="F83" i="73"/>
  <c r="L77" i="73"/>
  <c r="I76" i="73"/>
  <c r="F75" i="73"/>
  <c r="N73" i="73"/>
  <c r="K72" i="73"/>
  <c r="H71" i="73"/>
  <c r="E70" i="73"/>
  <c r="M68" i="73"/>
  <c r="J67" i="73"/>
  <c r="G66" i="73"/>
  <c r="N62" i="73"/>
  <c r="J61" i="73"/>
  <c r="F60" i="73"/>
  <c r="I77" i="73"/>
  <c r="F76" i="73"/>
  <c r="N74" i="73"/>
  <c r="M69" i="73"/>
  <c r="G67" i="73"/>
  <c r="M164" i="73"/>
  <c r="J163" i="73"/>
  <c r="G162" i="73"/>
  <c r="L159" i="73"/>
  <c r="I158" i="73"/>
  <c r="F157" i="73"/>
  <c r="N155" i="73"/>
  <c r="K154" i="73"/>
  <c r="H153" i="73"/>
  <c r="E150" i="73"/>
  <c r="K148" i="73"/>
  <c r="G147" i="73"/>
  <c r="N141" i="73"/>
  <c r="K140" i="73"/>
  <c r="H139" i="73"/>
  <c r="E138" i="73"/>
  <c r="M136" i="73"/>
  <c r="J135" i="73"/>
  <c r="G134" i="73"/>
  <c r="L131" i="73"/>
  <c r="I128" i="73"/>
  <c r="E127" i="73"/>
  <c r="K125" i="73"/>
  <c r="G99" i="73"/>
  <c r="L96" i="73"/>
  <c r="I95" i="73"/>
  <c r="F94" i="73"/>
  <c r="N92" i="73"/>
  <c r="K91" i="73"/>
  <c r="H90" i="73"/>
  <c r="E89" i="73"/>
  <c r="M85" i="73"/>
  <c r="I84" i="73"/>
  <c r="E83" i="73"/>
  <c r="K77" i="73"/>
  <c r="H76" i="73"/>
  <c r="E75" i="73"/>
  <c r="M73" i="73"/>
  <c r="J72" i="73"/>
  <c r="G71" i="73"/>
  <c r="L68" i="73"/>
  <c r="I67" i="73"/>
  <c r="F66" i="73"/>
  <c r="M62" i="73"/>
  <c r="I61" i="73"/>
  <c r="E60" i="73"/>
  <c r="G95" i="73"/>
  <c r="L92" i="73"/>
  <c r="N88" i="73"/>
  <c r="G84" i="73"/>
  <c r="E71" i="73"/>
  <c r="G61" i="73"/>
  <c r="H73" i="73"/>
  <c r="G136" i="73"/>
  <c r="M127" i="73"/>
  <c r="E125" i="73"/>
  <c r="F96" i="73"/>
  <c r="N94" i="73"/>
  <c r="E91" i="73"/>
  <c r="J88" i="73"/>
  <c r="I82" i="73"/>
  <c r="L70" i="73"/>
  <c r="F68" i="73"/>
  <c r="K63" i="73"/>
  <c r="M60" i="73"/>
  <c r="L164" i="73"/>
  <c r="I163" i="73"/>
  <c r="F162" i="73"/>
  <c r="N160" i="73"/>
  <c r="K159" i="73"/>
  <c r="H158" i="73"/>
  <c r="E157" i="73"/>
  <c r="M155" i="73"/>
  <c r="J154" i="73"/>
  <c r="G153" i="73"/>
  <c r="N149" i="73"/>
  <c r="J148" i="73"/>
  <c r="F147" i="73"/>
  <c r="M141" i="73"/>
  <c r="J140" i="73"/>
  <c r="G139" i="73"/>
  <c r="L136" i="73"/>
  <c r="I135" i="73"/>
  <c r="F134" i="73"/>
  <c r="N132" i="73"/>
  <c r="K131" i="73"/>
  <c r="H128" i="73"/>
  <c r="N126" i="73"/>
  <c r="J125" i="73"/>
  <c r="F99" i="73"/>
  <c r="N97" i="73"/>
  <c r="K96" i="73"/>
  <c r="H95" i="73"/>
  <c r="E94" i="73"/>
  <c r="M92" i="73"/>
  <c r="J91" i="73"/>
  <c r="G90" i="73"/>
  <c r="L85" i="73"/>
  <c r="H84" i="73"/>
  <c r="N82" i="73"/>
  <c r="J77" i="73"/>
  <c r="G76" i="73"/>
  <c r="L73" i="73"/>
  <c r="I72" i="73"/>
  <c r="F71" i="73"/>
  <c r="N69" i="73"/>
  <c r="K68" i="73"/>
  <c r="H67" i="73"/>
  <c r="E66" i="73"/>
  <c r="L62" i="73"/>
  <c r="H61" i="73"/>
  <c r="J96" i="73"/>
  <c r="I91" i="73"/>
  <c r="K85" i="73"/>
  <c r="K73" i="73"/>
  <c r="J68" i="73"/>
  <c r="E72" i="73"/>
  <c r="K164" i="73"/>
  <c r="H163" i="73"/>
  <c r="E162" i="73"/>
  <c r="M160" i="73"/>
  <c r="J159" i="73"/>
  <c r="G158" i="73"/>
  <c r="L155" i="73"/>
  <c r="I154" i="73"/>
  <c r="F153" i="73"/>
  <c r="M149" i="73"/>
  <c r="I148" i="73"/>
  <c r="E147" i="73"/>
  <c r="L141" i="73"/>
  <c r="I140" i="73"/>
  <c r="F139" i="73"/>
  <c r="N137" i="73"/>
  <c r="K136" i="73"/>
  <c r="H135" i="73"/>
  <c r="E134" i="73"/>
  <c r="M132" i="73"/>
  <c r="J131" i="73"/>
  <c r="G128" i="73"/>
  <c r="M126" i="73"/>
  <c r="I125" i="73"/>
  <c r="E99" i="73"/>
  <c r="J164" i="73"/>
  <c r="G163" i="73"/>
  <c r="L160" i="73"/>
  <c r="I159" i="73"/>
  <c r="F158" i="73"/>
  <c r="N156" i="73"/>
  <c r="K155" i="73"/>
  <c r="H154" i="73"/>
  <c r="E153" i="73"/>
  <c r="L149" i="73"/>
  <c r="H148" i="73"/>
  <c r="N142" i="73"/>
  <c r="K141" i="73"/>
  <c r="H140" i="73"/>
  <c r="E139" i="73"/>
  <c r="M137" i="73"/>
  <c r="J136" i="73"/>
  <c r="G135" i="73"/>
  <c r="L132" i="73"/>
  <c r="I131" i="73"/>
  <c r="F128" i="73"/>
  <c r="L126" i="73"/>
  <c r="H125" i="73"/>
  <c r="L97" i="73"/>
  <c r="I96" i="73"/>
  <c r="F95" i="73"/>
  <c r="N93" i="73"/>
  <c r="K92" i="73"/>
  <c r="H91" i="73"/>
  <c r="E90" i="73"/>
  <c r="M88" i="73"/>
  <c r="J85" i="73"/>
  <c r="F84" i="73"/>
  <c r="L82" i="73"/>
  <c r="H77" i="73"/>
  <c r="E76" i="73"/>
  <c r="M74" i="73"/>
  <c r="J73" i="73"/>
  <c r="G72" i="73"/>
  <c r="L69" i="73"/>
  <c r="I68" i="73"/>
  <c r="F67" i="73"/>
  <c r="N63" i="73"/>
  <c r="J62" i="73"/>
  <c r="F61" i="73"/>
  <c r="H164" i="73"/>
  <c r="E163" i="73"/>
  <c r="M161" i="73"/>
  <c r="G159" i="73"/>
  <c r="L156" i="73"/>
  <c r="I155" i="73"/>
  <c r="F154" i="73"/>
  <c r="J149" i="73"/>
  <c r="F148" i="73"/>
  <c r="I141" i="73"/>
  <c r="F140" i="73"/>
  <c r="K137" i="73"/>
  <c r="E135" i="73"/>
  <c r="M133" i="73"/>
  <c r="G131" i="73"/>
  <c r="J126" i="73"/>
  <c r="F125" i="73"/>
  <c r="J97" i="73"/>
  <c r="G96" i="73"/>
  <c r="I92" i="73"/>
  <c r="N89" i="73"/>
  <c r="H85" i="73"/>
  <c r="J82" i="73"/>
  <c r="F77" i="73"/>
  <c r="N75" i="73"/>
  <c r="K74" i="73"/>
  <c r="M70" i="73"/>
  <c r="L63" i="73"/>
  <c r="H62" i="73"/>
  <c r="N60" i="73"/>
  <c r="I132" i="73"/>
  <c r="I97" i="73"/>
  <c r="K93" i="73"/>
  <c r="M89" i="73"/>
  <c r="G85" i="73"/>
  <c r="G73" i="73"/>
  <c r="I69" i="73"/>
  <c r="N66" i="73"/>
  <c r="G62" i="73"/>
  <c r="E131" i="73"/>
  <c r="I164" i="73"/>
  <c r="F163" i="73"/>
  <c r="N161" i="73"/>
  <c r="K160" i="73"/>
  <c r="H159" i="73"/>
  <c r="E158" i="73"/>
  <c r="M156" i="73"/>
  <c r="J155" i="73"/>
  <c r="G154" i="73"/>
  <c r="K149" i="73"/>
  <c r="G148" i="73"/>
  <c r="M142" i="73"/>
  <c r="J141" i="73"/>
  <c r="G140" i="73"/>
  <c r="L137" i="73"/>
  <c r="I136" i="73"/>
  <c r="F135" i="73"/>
  <c r="N133" i="73"/>
  <c r="K132" i="73"/>
  <c r="H131" i="73"/>
  <c r="E128" i="73"/>
  <c r="K126" i="73"/>
  <c r="G125" i="73"/>
  <c r="N98" i="73"/>
  <c r="K97" i="73"/>
  <c r="H96" i="73"/>
  <c r="E95" i="73"/>
  <c r="M93" i="73"/>
  <c r="J92" i="73"/>
  <c r="G91" i="73"/>
  <c r="L88" i="73"/>
  <c r="I85" i="73"/>
  <c r="E84" i="73"/>
  <c r="K82" i="73"/>
  <c r="G77" i="73"/>
  <c r="L74" i="73"/>
  <c r="I73" i="73"/>
  <c r="F72" i="73"/>
  <c r="N70" i="73"/>
  <c r="K69" i="73"/>
  <c r="H68" i="73"/>
  <c r="E67" i="73"/>
  <c r="M63" i="73"/>
  <c r="I62" i="73"/>
  <c r="E61" i="73"/>
  <c r="J160" i="73"/>
  <c r="N150" i="73"/>
  <c r="L142" i="73"/>
  <c r="N138" i="73"/>
  <c r="H136" i="73"/>
  <c r="J132" i="73"/>
  <c r="N127" i="73"/>
  <c r="M98" i="73"/>
  <c r="L93" i="73"/>
  <c r="F91" i="73"/>
  <c r="K88" i="73"/>
  <c r="N83" i="73"/>
  <c r="J69" i="73"/>
  <c r="L127" i="73"/>
  <c r="K98" i="73"/>
  <c r="G164" i="73"/>
  <c r="L161" i="73"/>
  <c r="I160" i="73"/>
  <c r="F159" i="73"/>
  <c r="N157" i="73"/>
  <c r="K156" i="73"/>
  <c r="H155" i="73"/>
  <c r="E154" i="73"/>
  <c r="M150" i="73"/>
  <c r="I149" i="73"/>
  <c r="E148" i="73"/>
  <c r="K142" i="73"/>
  <c r="H141" i="73"/>
  <c r="E140" i="73"/>
  <c r="J137" i="73"/>
  <c r="L133" i="73"/>
  <c r="F131" i="73"/>
  <c r="I126" i="73"/>
  <c r="L98" i="73"/>
  <c r="H92" i="73"/>
  <c r="M83" i="73"/>
  <c r="E77" i="73"/>
  <c r="M75" i="73"/>
  <c r="J74" i="73"/>
  <c r="H132" i="73"/>
  <c r="N99" i="73"/>
  <c r="F164" i="73"/>
  <c r="N162" i="73"/>
  <c r="K161" i="73"/>
  <c r="H160" i="73"/>
  <c r="E159" i="73"/>
  <c r="M157" i="73"/>
  <c r="J156" i="73"/>
  <c r="G155" i="73"/>
  <c r="L150" i="73"/>
  <c r="H149" i="73"/>
  <c r="N147" i="73"/>
  <c r="J142" i="73"/>
  <c r="G141" i="73"/>
  <c r="L138" i="73"/>
  <c r="I137" i="73"/>
  <c r="F136" i="73"/>
  <c r="N134" i="73"/>
  <c r="K133" i="73"/>
  <c r="E164" i="73"/>
  <c r="M162" i="73"/>
  <c r="J161" i="73"/>
  <c r="G160" i="73"/>
  <c r="L157" i="73"/>
  <c r="I156" i="73"/>
  <c r="F155" i="73"/>
  <c r="N153" i="73"/>
  <c r="K150" i="73"/>
  <c r="G149" i="73"/>
  <c r="M147" i="73"/>
  <c r="I142" i="73"/>
  <c r="F141" i="73"/>
  <c r="N139" i="73"/>
  <c r="K138" i="73"/>
  <c r="H137" i="73"/>
  <c r="E136" i="73"/>
  <c r="M134" i="73"/>
  <c r="J133" i="73"/>
  <c r="G132" i="73"/>
  <c r="K127" i="73"/>
  <c r="G126" i="73"/>
  <c r="M99" i="73"/>
  <c r="L162" i="73"/>
  <c r="I161" i="73"/>
  <c r="F160" i="73"/>
  <c r="N158" i="73"/>
  <c r="K157" i="73"/>
  <c r="H156" i="73"/>
  <c r="E155" i="73"/>
  <c r="M153" i="73"/>
  <c r="J150" i="73"/>
  <c r="F149" i="73"/>
  <c r="L147" i="73"/>
  <c r="H142" i="73"/>
  <c r="E141" i="73"/>
  <c r="L60" i="73"/>
  <c r="K66" i="73"/>
  <c r="N72" i="73"/>
  <c r="K75" i="73"/>
  <c r="I83" i="73"/>
  <c r="I88" i="73"/>
  <c r="L94" i="73"/>
  <c r="G98" i="73"/>
  <c r="L128" i="73"/>
  <c r="L134" i="73"/>
  <c r="K139" i="73"/>
  <c r="I150" i="73"/>
  <c r="L158" i="73"/>
  <c r="G60" i="76"/>
  <c r="K61" i="76"/>
  <c r="E63" i="76"/>
  <c r="H66" i="76"/>
  <c r="K67" i="76"/>
  <c r="N68" i="76"/>
  <c r="F70" i="76"/>
  <c r="I71" i="76"/>
  <c r="L72" i="76"/>
  <c r="G75" i="76"/>
  <c r="J76" i="76"/>
  <c r="M77" i="76"/>
  <c r="G83" i="76"/>
  <c r="K84" i="76"/>
  <c r="G89" i="76"/>
  <c r="J90" i="76"/>
  <c r="M91" i="76"/>
  <c r="E93" i="76"/>
  <c r="H94" i="76"/>
  <c r="K95" i="76"/>
  <c r="N96" i="76"/>
  <c r="F98" i="76"/>
  <c r="I99" i="76"/>
  <c r="M132" i="76"/>
  <c r="G134" i="76"/>
  <c r="K135" i="76"/>
  <c r="N138" i="76"/>
  <c r="F140" i="76"/>
  <c r="I141" i="76"/>
  <c r="L142" i="76"/>
  <c r="G145" i="76"/>
  <c r="J146" i="76"/>
  <c r="M147" i="76"/>
  <c r="E149" i="76"/>
  <c r="I154" i="76"/>
  <c r="M155" i="76"/>
  <c r="G157" i="76"/>
  <c r="J160" i="76"/>
  <c r="M161" i="76"/>
  <c r="E163" i="76"/>
  <c r="H164" i="76"/>
  <c r="K165" i="76"/>
  <c r="N166" i="76"/>
  <c r="F168" i="76"/>
  <c r="I169" i="76"/>
  <c r="L170" i="76"/>
  <c r="E179" i="76"/>
  <c r="E165" i="77" s="1"/>
  <c r="H60" i="76"/>
  <c r="L61" i="76"/>
  <c r="F63" i="76"/>
  <c r="I66" i="76"/>
  <c r="L67" i="76"/>
  <c r="G70" i="76"/>
  <c r="J71" i="76"/>
  <c r="M72" i="76"/>
  <c r="E74" i="76"/>
  <c r="H75" i="76"/>
  <c r="K76" i="76"/>
  <c r="N77" i="76"/>
  <c r="H83" i="76"/>
  <c r="L84" i="76"/>
  <c r="E88" i="76"/>
  <c r="H89" i="76"/>
  <c r="K90" i="76"/>
  <c r="N91" i="76"/>
  <c r="F93" i="76"/>
  <c r="I94" i="76"/>
  <c r="L95" i="76"/>
  <c r="G98" i="76"/>
  <c r="J99" i="76"/>
  <c r="N132" i="76"/>
  <c r="H134" i="76"/>
  <c r="L135" i="76"/>
  <c r="G140" i="76"/>
  <c r="J141" i="76"/>
  <c r="M142" i="76"/>
  <c r="E144" i="76"/>
  <c r="H145" i="76"/>
  <c r="K146" i="76"/>
  <c r="N147" i="76"/>
  <c r="F149" i="76"/>
  <c r="J154" i="76"/>
  <c r="N155" i="76"/>
  <c r="H157" i="76"/>
  <c r="K160" i="76"/>
  <c r="N161" i="76"/>
  <c r="F163" i="76"/>
  <c r="I164" i="76"/>
  <c r="L165" i="76"/>
  <c r="G168" i="76"/>
  <c r="J169" i="76"/>
  <c r="M170" i="76"/>
  <c r="E180" i="76"/>
  <c r="E166" i="77" s="1"/>
  <c r="K71" i="76"/>
  <c r="N72" i="76"/>
  <c r="F74" i="76"/>
  <c r="I75" i="76"/>
  <c r="L76" i="76"/>
  <c r="E82" i="76"/>
  <c r="I83" i="76"/>
  <c r="M84" i="76"/>
  <c r="F88" i="76"/>
  <c r="I89" i="76"/>
  <c r="L90" i="76"/>
  <c r="G93" i="76"/>
  <c r="J94" i="76"/>
  <c r="M95" i="76"/>
  <c r="E97" i="76"/>
  <c r="H98" i="76"/>
  <c r="K99" i="76"/>
  <c r="E133" i="76"/>
  <c r="I134" i="76"/>
  <c r="M135" i="76"/>
  <c r="E139" i="76"/>
  <c r="H140" i="76"/>
  <c r="K141" i="76"/>
  <c r="N142" i="76"/>
  <c r="F144" i="76"/>
  <c r="I145" i="76"/>
  <c r="L146" i="76"/>
  <c r="G149" i="76"/>
  <c r="K154" i="76"/>
  <c r="E156" i="76"/>
  <c r="I157" i="76"/>
  <c r="L160" i="76"/>
  <c r="G163" i="76"/>
  <c r="J164" i="76"/>
  <c r="M165" i="76"/>
  <c r="E167" i="76"/>
  <c r="H168" i="76"/>
  <c r="K169" i="76"/>
  <c r="N170" i="76"/>
  <c r="J60" i="76"/>
  <c r="N61" i="76"/>
  <c r="H63" i="76"/>
  <c r="K66" i="76"/>
  <c r="N67" i="76"/>
  <c r="F69" i="76"/>
  <c r="I70" i="76"/>
  <c r="L71" i="76"/>
  <c r="G74" i="76"/>
  <c r="J75" i="76"/>
  <c r="M76" i="76"/>
  <c r="F82" i="76"/>
  <c r="J83" i="76"/>
  <c r="N84" i="76"/>
  <c r="G88" i="76"/>
  <c r="J89" i="76"/>
  <c r="M90" i="76"/>
  <c r="E92" i="76"/>
  <c r="H93" i="76"/>
  <c r="K94" i="76"/>
  <c r="N95" i="76"/>
  <c r="F97" i="76"/>
  <c r="I98" i="76"/>
  <c r="L99" i="76"/>
  <c r="F133" i="76"/>
  <c r="J134" i="76"/>
  <c r="N135" i="76"/>
  <c r="F139" i="76"/>
  <c r="I140" i="76"/>
  <c r="L141" i="76"/>
  <c r="G144" i="76"/>
  <c r="J145" i="76"/>
  <c r="M146" i="76"/>
  <c r="E148" i="76"/>
  <c r="H149" i="76"/>
  <c r="L154" i="76"/>
  <c r="F156" i="76"/>
  <c r="J157" i="76"/>
  <c r="M160" i="76"/>
  <c r="E162" i="76"/>
  <c r="H163" i="76"/>
  <c r="K164" i="76"/>
  <c r="N165" i="76"/>
  <c r="F167" i="76"/>
  <c r="I168" i="76"/>
  <c r="L169" i="76"/>
  <c r="K60" i="76"/>
  <c r="E62" i="76"/>
  <c r="I63" i="76"/>
  <c r="L66" i="76"/>
  <c r="G69" i="76"/>
  <c r="J70" i="76"/>
  <c r="M71" i="76"/>
  <c r="E73" i="76"/>
  <c r="H74" i="76"/>
  <c r="K75" i="76"/>
  <c r="N76" i="76"/>
  <c r="G82" i="76"/>
  <c r="K83" i="76"/>
  <c r="E85" i="76"/>
  <c r="H88" i="76"/>
  <c r="K89" i="76"/>
  <c r="N90" i="76"/>
  <c r="F92" i="76"/>
  <c r="I93" i="76"/>
  <c r="L94" i="76"/>
  <c r="G97" i="76"/>
  <c r="J98" i="76"/>
  <c r="M99" i="76"/>
  <c r="G133" i="76"/>
  <c r="K134" i="76"/>
  <c r="G139" i="76"/>
  <c r="J140" i="76"/>
  <c r="M141" i="76"/>
  <c r="E143" i="76"/>
  <c r="H144" i="76"/>
  <c r="K145" i="76"/>
  <c r="N146" i="76"/>
  <c r="F148" i="76"/>
  <c r="I149" i="76"/>
  <c r="M154" i="76"/>
  <c r="G156" i="76"/>
  <c r="K157" i="76"/>
  <c r="N160" i="76"/>
  <c r="F162" i="76"/>
  <c r="I163" i="76"/>
  <c r="L164" i="76"/>
  <c r="G167" i="76"/>
  <c r="J168" i="76"/>
  <c r="M169" i="76"/>
  <c r="E171" i="76"/>
  <c r="L60" i="76"/>
  <c r="F62" i="76"/>
  <c r="J63" i="76"/>
  <c r="M66" i="76"/>
  <c r="E68" i="76"/>
  <c r="H69" i="76"/>
  <c r="K70" i="76"/>
  <c r="N71" i="76"/>
  <c r="F73" i="76"/>
  <c r="I74" i="76"/>
  <c r="L75" i="76"/>
  <c r="H82" i="76"/>
  <c r="L83" i="76"/>
  <c r="F85" i="76"/>
  <c r="I88" i="76"/>
  <c r="L89" i="76"/>
  <c r="G92" i="76"/>
  <c r="J93" i="76"/>
  <c r="M94" i="76"/>
  <c r="E96" i="76"/>
  <c r="H97" i="76"/>
  <c r="K98" i="76"/>
  <c r="N99" i="76"/>
  <c r="H133" i="76"/>
  <c r="L134" i="76"/>
  <c r="E138" i="76"/>
  <c r="H139" i="76"/>
  <c r="K140" i="76"/>
  <c r="N141" i="76"/>
  <c r="F143" i="76"/>
  <c r="I144" i="76"/>
  <c r="L145" i="76"/>
  <c r="G148" i="76"/>
  <c r="J149" i="76"/>
  <c r="N154" i="76"/>
  <c r="H156" i="76"/>
  <c r="L157" i="76"/>
  <c r="G162" i="76"/>
  <c r="J163" i="76"/>
  <c r="M164" i="76"/>
  <c r="E166" i="76"/>
  <c r="H167" i="76"/>
  <c r="K168" i="76"/>
  <c r="N169" i="76"/>
  <c r="F171" i="76"/>
  <c r="H15" i="78"/>
  <c r="K93" i="76"/>
  <c r="N94" i="76"/>
  <c r="F96" i="76"/>
  <c r="I97" i="76"/>
  <c r="L98" i="76"/>
  <c r="E132" i="76"/>
  <c r="I133" i="76"/>
  <c r="M134" i="76"/>
  <c r="F138" i="76"/>
  <c r="I139" i="76"/>
  <c r="L140" i="76"/>
  <c r="G143" i="76"/>
  <c r="J144" i="76"/>
  <c r="M145" i="76"/>
  <c r="E147" i="76"/>
  <c r="H148" i="76"/>
  <c r="K149" i="76"/>
  <c r="E155" i="76"/>
  <c r="I156" i="76"/>
  <c r="M157" i="76"/>
  <c r="E161" i="76"/>
  <c r="H162" i="76"/>
  <c r="K163" i="76"/>
  <c r="N164" i="76"/>
  <c r="F166" i="76"/>
  <c r="I167" i="76"/>
  <c r="L168" i="76"/>
  <c r="G171" i="76"/>
  <c r="L93" i="76"/>
  <c r="G96" i="76"/>
  <c r="J97" i="76"/>
  <c r="M98" i="76"/>
  <c r="F132" i="76"/>
  <c r="J133" i="76"/>
  <c r="N134" i="76"/>
  <c r="G138" i="76"/>
  <c r="J139" i="76"/>
  <c r="M140" i="76"/>
  <c r="E142" i="76"/>
  <c r="H143" i="76"/>
  <c r="K144" i="76"/>
  <c r="N145" i="76"/>
  <c r="F147" i="76"/>
  <c r="I148" i="76"/>
  <c r="L149" i="76"/>
  <c r="F155" i="76"/>
  <c r="J156" i="76"/>
  <c r="N157" i="76"/>
  <c r="F161" i="76"/>
  <c r="I162" i="76"/>
  <c r="L163" i="76"/>
  <c r="G166" i="76"/>
  <c r="J167" i="76"/>
  <c r="M168" i="76"/>
  <c r="E170" i="76"/>
  <c r="H171" i="76"/>
  <c r="M93" i="76"/>
  <c r="E95" i="76"/>
  <c r="H96" i="76"/>
  <c r="K97" i="76"/>
  <c r="N98" i="76"/>
  <c r="G132" i="76"/>
  <c r="K133" i="76"/>
  <c r="E135" i="76"/>
  <c r="H138" i="76"/>
  <c r="K139" i="76"/>
  <c r="N140" i="76"/>
  <c r="F142" i="76"/>
  <c r="I143" i="76"/>
  <c r="L144" i="76"/>
  <c r="G147" i="76"/>
  <c r="J148" i="76"/>
  <c r="M149" i="76"/>
  <c r="G155" i="76"/>
  <c r="K156" i="76"/>
  <c r="G161" i="76"/>
  <c r="J162" i="76"/>
  <c r="M163" i="76"/>
  <c r="E165" i="76"/>
  <c r="H166" i="76"/>
  <c r="K167" i="76"/>
  <c r="N168" i="76"/>
  <c r="F170" i="76"/>
  <c r="I171" i="76"/>
  <c r="N93" i="76"/>
  <c r="F95" i="76"/>
  <c r="I96" i="76"/>
  <c r="L97" i="76"/>
  <c r="H132" i="76"/>
  <c r="L133" i="76"/>
  <c r="F135" i="76"/>
  <c r="I138" i="76"/>
  <c r="L139" i="76"/>
  <c r="G142" i="76"/>
  <c r="J143" i="76"/>
  <c r="M144" i="76"/>
  <c r="E146" i="76"/>
  <c r="H147" i="76"/>
  <c r="K148" i="76"/>
  <c r="N149" i="76"/>
  <c r="H155" i="76"/>
  <c r="L156" i="76"/>
  <c r="E160" i="76"/>
  <c r="H161" i="76"/>
  <c r="K162" i="76"/>
  <c r="N163" i="76"/>
  <c r="F165" i="76"/>
  <c r="I166" i="76"/>
  <c r="L167" i="76"/>
  <c r="G170" i="76"/>
  <c r="J171" i="76"/>
  <c r="G84" i="76"/>
  <c r="K85" i="76"/>
  <c r="N88" i="76"/>
  <c r="F90" i="76"/>
  <c r="I91" i="76"/>
  <c r="L92" i="76"/>
  <c r="G95" i="76"/>
  <c r="J96" i="76"/>
  <c r="M97" i="76"/>
  <c r="E99" i="76"/>
  <c r="I132" i="76"/>
  <c r="M133" i="76"/>
  <c r="G135" i="76"/>
  <c r="J138" i="76"/>
  <c r="M139" i="76"/>
  <c r="E141" i="76"/>
  <c r="H142" i="76"/>
  <c r="K143" i="76"/>
  <c r="N144" i="76"/>
  <c r="F146" i="76"/>
  <c r="I147" i="76"/>
  <c r="L148" i="76"/>
  <c r="E154" i="76"/>
  <c r="I155" i="76"/>
  <c r="M156" i="76"/>
  <c r="F160" i="76"/>
  <c r="I161" i="76"/>
  <c r="L162" i="76"/>
  <c r="G165" i="76"/>
  <c r="J166" i="76"/>
  <c r="M167" i="76"/>
  <c r="E169" i="76"/>
  <c r="H170" i="76"/>
  <c r="K171" i="76"/>
  <c r="H61" i="76"/>
  <c r="L62" i="76"/>
  <c r="E66" i="76"/>
  <c r="H67" i="76"/>
  <c r="K68" i="76"/>
  <c r="N69" i="76"/>
  <c r="F71" i="76"/>
  <c r="I72" i="76"/>
  <c r="L73" i="76"/>
  <c r="G76" i="76"/>
  <c r="J77" i="76"/>
  <c r="N82" i="76"/>
  <c r="H84" i="76"/>
  <c r="L85" i="76"/>
  <c r="G90" i="76"/>
  <c r="J91" i="76"/>
  <c r="M92" i="76"/>
  <c r="E94" i="76"/>
  <c r="H95" i="76"/>
  <c r="K96" i="76"/>
  <c r="N97" i="76"/>
  <c r="F99" i="76"/>
  <c r="J132" i="76"/>
  <c r="N133" i="76"/>
  <c r="H135" i="76"/>
  <c r="K138" i="76"/>
  <c r="N139" i="76"/>
  <c r="F141" i="76"/>
  <c r="I142" i="76"/>
  <c r="L143" i="76"/>
  <c r="G146" i="76"/>
  <c r="J147" i="76"/>
  <c r="M148" i="76"/>
  <c r="F154" i="76"/>
  <c r="J155" i="76"/>
  <c r="N156" i="76"/>
  <c r="G160" i="76"/>
  <c r="J161" i="76"/>
  <c r="M162" i="76"/>
  <c r="E164" i="76"/>
  <c r="H165" i="76"/>
  <c r="K166" i="76"/>
  <c r="N167" i="76"/>
  <c r="F169" i="76"/>
  <c r="I170" i="76"/>
  <c r="L171" i="76"/>
  <c r="E60" i="76"/>
  <c r="I61" i="76"/>
  <c r="M62" i="76"/>
  <c r="F66" i="76"/>
  <c r="I67" i="76"/>
  <c r="L68" i="76"/>
  <c r="G71" i="76"/>
  <c r="J72" i="76"/>
  <c r="M73" i="76"/>
  <c r="E75" i="76"/>
  <c r="H76" i="76"/>
  <c r="K77" i="76"/>
  <c r="E83" i="76"/>
  <c r="I84" i="76"/>
  <c r="M85" i="76"/>
  <c r="E89" i="76"/>
  <c r="H90" i="76"/>
  <c r="K91" i="76"/>
  <c r="N92" i="76"/>
  <c r="F94" i="76"/>
  <c r="I95" i="76"/>
  <c r="L96" i="76"/>
  <c r="G99" i="76"/>
  <c r="K132" i="76"/>
  <c r="E134" i="76"/>
  <c r="I135" i="76"/>
  <c r="L138" i="76"/>
  <c r="G141" i="76"/>
  <c r="J142" i="76"/>
  <c r="M143" i="76"/>
  <c r="E145" i="76"/>
  <c r="H146" i="76"/>
  <c r="K147" i="76"/>
  <c r="N148" i="76"/>
  <c r="G154" i="76"/>
  <c r="K155" i="76"/>
  <c r="E157" i="76"/>
  <c r="H160" i="76"/>
  <c r="K161" i="76"/>
  <c r="N162" i="76"/>
  <c r="F164" i="76"/>
  <c r="I165" i="76"/>
  <c r="L166" i="76"/>
  <c r="G169" i="76"/>
  <c r="J170" i="76"/>
  <c r="M171" i="76"/>
  <c r="F60" i="76"/>
  <c r="J61" i="76"/>
  <c r="N62" i="76"/>
  <c r="G66" i="76"/>
  <c r="J67" i="76"/>
  <c r="M68" i="76"/>
  <c r="E70" i="76"/>
  <c r="H71" i="76"/>
  <c r="K72" i="76"/>
  <c r="N73" i="76"/>
  <c r="F75" i="76"/>
  <c r="I76" i="76"/>
  <c r="L77" i="76"/>
  <c r="F83" i="76"/>
  <c r="J84" i="76"/>
  <c r="N85" i="76"/>
  <c r="F89" i="76"/>
  <c r="I90" i="76"/>
  <c r="L91" i="76"/>
  <c r="G94" i="76"/>
  <c r="J95" i="76"/>
  <c r="M96" i="76"/>
  <c r="E98" i="76"/>
  <c r="H99" i="76"/>
  <c r="L132" i="76"/>
  <c r="F134" i="76"/>
  <c r="J135" i="76"/>
  <c r="M138" i="76"/>
  <c r="E140" i="76"/>
  <c r="H141" i="76"/>
  <c r="K142" i="76"/>
  <c r="N143" i="76"/>
  <c r="F145" i="76"/>
  <c r="I146" i="76"/>
  <c r="L147" i="76"/>
  <c r="H154" i="76"/>
  <c r="L155" i="76"/>
  <c r="F157" i="76"/>
  <c r="I160" i="76"/>
  <c r="L161" i="76"/>
  <c r="G164" i="76"/>
  <c r="J165" i="76"/>
  <c r="M166" i="76"/>
  <c r="E168" i="76"/>
  <c r="H169" i="76"/>
  <c r="K170" i="76"/>
  <c r="E172" i="77"/>
  <c r="I56" i="87"/>
  <c r="E171" i="77"/>
  <c r="H161" i="78" a="1"/>
  <c r="H161" i="78" s="1"/>
  <c r="L161" i="78" a="1"/>
  <c r="L161" i="78" s="1"/>
  <c r="I80" i="78" a="1"/>
  <c r="I80" i="78" s="1"/>
  <c r="H162" i="78" a="1"/>
  <c r="H162" i="78" s="1"/>
  <c r="L162" i="78" a="1"/>
  <c r="L162" i="78" s="1"/>
  <c r="F163" i="78" a="1"/>
  <c r="F163" i="78" s="1"/>
  <c r="H163" i="78" a="1"/>
  <c r="H163" i="78" s="1"/>
  <c r="L163" i="78" a="1"/>
  <c r="L163" i="78" s="1"/>
  <c r="F164" i="78" a="1"/>
  <c r="F164" i="78" s="1"/>
  <c r="J14" i="74" a="1"/>
  <c r="J14" i="74" s="1"/>
  <c r="J14" i="97" a="1"/>
  <c r="J14" i="97" s="1"/>
  <c r="J18" i="97" a="1"/>
  <c r="J18" i="97" s="1"/>
  <c r="K40" i="94" a="1"/>
  <c r="K40" i="94" s="1"/>
  <c r="W51" i="82"/>
  <c r="W50" i="82"/>
  <c r="W45" i="82"/>
  <c r="W48" i="82"/>
  <c r="I20" i="84" a="1"/>
  <c r="I20" i="84" s="1"/>
  <c r="R45" i="82" a="1"/>
  <c r="R45" i="82" s="1"/>
  <c r="S45" i="82" a="1"/>
  <c r="S45" i="82" s="1"/>
  <c r="U48" i="82"/>
  <c r="X33" i="77" a="1"/>
  <c r="X33" i="77" s="1"/>
  <c r="Y33" i="77" s="1" a="1"/>
  <c r="Y33" i="77" s="1"/>
  <c r="AE33" i="77" s="1" a="1"/>
  <c r="AE33" i="77" s="1"/>
  <c r="AC81" i="77" s="1" a="1"/>
  <c r="AC81" i="77" s="1"/>
  <c r="AC136" i="77" s="1" a="1"/>
  <c r="AC136" i="77" s="1"/>
  <c r="X30" i="77" a="1"/>
  <c r="X30" i="77" s="1"/>
  <c r="Y30" i="77" s="1" a="1"/>
  <c r="Y30" i="77" s="1"/>
  <c r="AE30" i="77" s="1" a="1"/>
  <c r="AE30" i="77" s="1"/>
  <c r="AC78" i="77" s="1" a="1"/>
  <c r="AC78" i="77" s="1"/>
  <c r="AC133" i="77" s="1" a="1"/>
  <c r="AC133" i="77" s="1"/>
  <c r="H32" i="77"/>
  <c r="N32" i="77" s="1" a="1"/>
  <c r="N32" i="77" s="1"/>
  <c r="J86" i="77" s="1" a="1"/>
  <c r="J86" i="77" s="1"/>
  <c r="J133" i="77" s="1" a="1"/>
  <c r="J133" i="77" s="1"/>
  <c r="V31" i="74" a="1"/>
  <c r="V31" i="74" s="1"/>
  <c r="W31" i="74" s="1" a="1"/>
  <c r="W31" i="74" s="1"/>
  <c r="AC31" i="74" s="1" a="1"/>
  <c r="AC31" i="74" s="1"/>
  <c r="AA79" i="74" s="1" a="1"/>
  <c r="AA79" i="74" s="1"/>
  <c r="AA100" i="74" s="1" a="1"/>
  <c r="AA100" i="74" s="1"/>
  <c r="AA152" i="74" s="1" a="1"/>
  <c r="AA152" i="74" s="1"/>
  <c r="E37" i="89"/>
  <c r="H49" i="103"/>
  <c r="H52" i="103"/>
  <c r="H53" i="103"/>
  <c r="H54" i="103"/>
  <c r="H50" i="103"/>
  <c r="H48" i="103"/>
  <c r="E7" i="98"/>
  <c r="E30" i="98"/>
  <c r="F48" i="98"/>
  <c r="E27" i="97"/>
  <c r="O27" i="97"/>
  <c r="E7" i="97"/>
  <c r="E7" i="94"/>
  <c r="L8" i="94"/>
  <c r="F62" i="93"/>
  <c r="F57" i="93"/>
  <c r="F55" i="93"/>
  <c r="F45" i="93"/>
  <c r="F63" i="93"/>
  <c r="F50" i="94"/>
  <c r="D39" i="94"/>
  <c r="D42" i="94"/>
  <c r="D30" i="94"/>
  <c r="D37" i="94"/>
  <c r="F51" i="94"/>
  <c r="F43" i="94"/>
  <c r="D28" i="94"/>
  <c r="D35" i="94"/>
  <c r="F52" i="94"/>
  <c r="F44" i="94"/>
  <c r="D26" i="94"/>
  <c r="Q26" i="94" s="1" a="1"/>
  <c r="Q26" i="94" s="1"/>
  <c r="D33" i="94"/>
  <c r="F55" i="94"/>
  <c r="F45" i="94"/>
  <c r="D31" i="94"/>
  <c r="D40" i="94"/>
  <c r="F56" i="94"/>
  <c r="D38" i="94"/>
  <c r="F46" i="94"/>
  <c r="D29" i="94"/>
  <c r="D36" i="94"/>
  <c r="D48" i="94"/>
  <c r="F57" i="94"/>
  <c r="F49" i="94"/>
  <c r="E7" i="93"/>
  <c r="L7" i="93"/>
  <c r="Q39" i="93" a="1"/>
  <c r="Q39" i="93" s="1"/>
  <c r="P39" i="93" a="1"/>
  <c r="P39" i="93" s="1"/>
  <c r="O39" i="93" a="1"/>
  <c r="O39" i="93" s="1"/>
  <c r="Q28" i="93" a="1"/>
  <c r="Q28" i="93" s="1"/>
  <c r="O28" i="93" a="1"/>
  <c r="O28" i="93" s="1"/>
  <c r="P27" i="93" a="1"/>
  <c r="P27" i="93" s="1"/>
  <c r="N27" i="93" a="1"/>
  <c r="N27" i="93" s="1"/>
  <c r="Q27" i="93" a="1"/>
  <c r="Q27" i="93" s="1"/>
  <c r="Q30" i="93" a="1"/>
  <c r="Q30" i="93" s="1"/>
  <c r="Q25" i="93" a="1"/>
  <c r="Q25" i="93" s="1"/>
  <c r="P25" i="93" a="1"/>
  <c r="P25" i="93" s="1"/>
  <c r="N25" i="93" a="1"/>
  <c r="N25" i="93" s="1"/>
  <c r="P30" i="93" a="1"/>
  <c r="P30" i="93" s="1"/>
  <c r="O30" i="93" a="1"/>
  <c r="O30" i="93" s="1"/>
  <c r="N30" i="93" a="1"/>
  <c r="N30" i="93" s="1"/>
  <c r="Q34" i="93" a="1"/>
  <c r="Q34" i="93" s="1"/>
  <c r="O34" i="93" a="1"/>
  <c r="O34" i="93" s="1"/>
  <c r="F44" i="93"/>
  <c r="Q29" i="93" a="1"/>
  <c r="Q29" i="93" s="1"/>
  <c r="F64" i="93"/>
  <c r="N34" i="93" a="1"/>
  <c r="N34" i="93" s="1"/>
  <c r="N39" i="93" a="1"/>
  <c r="N39" i="93" s="1"/>
  <c r="F46" i="93"/>
  <c r="F56" i="93"/>
  <c r="I17" i="92"/>
  <c r="O25" i="93" a="1"/>
  <c r="O25" i="93" s="1"/>
  <c r="D32" i="93"/>
  <c r="Q38" i="93" a="1"/>
  <c r="Q38" i="93" s="1"/>
  <c r="D48" i="93"/>
  <c r="F67" i="93"/>
  <c r="D36" i="93"/>
  <c r="N38" i="93" a="1"/>
  <c r="N38" i="93" s="1"/>
  <c r="F49" i="93"/>
  <c r="F68" i="93"/>
  <c r="N28" i="93" a="1"/>
  <c r="N28" i="93" s="1"/>
  <c r="D31" i="93"/>
  <c r="Q31" i="93" s="1" a="1"/>
  <c r="Q31" i="93" s="1"/>
  <c r="P34" i="93" a="1"/>
  <c r="P34" i="93" s="1"/>
  <c r="F58" i="93"/>
  <c r="D26" i="93"/>
  <c r="F50" i="93"/>
  <c r="D60" i="93"/>
  <c r="D35" i="93"/>
  <c r="D42" i="93"/>
  <c r="F69" i="93"/>
  <c r="F51" i="93"/>
  <c r="F61" i="93"/>
  <c r="P28" i="93" a="1"/>
  <c r="P28" i="93" s="1"/>
  <c r="F43" i="93"/>
  <c r="F70" i="93"/>
  <c r="O27" i="93" a="1"/>
  <c r="O27" i="93" s="1"/>
  <c r="F52" i="93"/>
  <c r="I19" i="92"/>
  <c r="I20" i="92"/>
  <c r="E18" i="90" a="1"/>
  <c r="E18" i="90" s="1"/>
  <c r="E39" i="90" a="1"/>
  <c r="E39" i="90" s="1"/>
  <c r="H32" i="86" a="1"/>
  <c r="H32" i="86" s="1"/>
  <c r="E72" i="86" s="1"/>
  <c r="E25" i="90"/>
  <c r="E8" i="90"/>
  <c r="F73" i="87" a="1"/>
  <c r="F73" i="87" s="1"/>
  <c r="F32" i="87" a="1"/>
  <c r="F32" i="87" s="1"/>
  <c r="I43" i="89"/>
  <c r="E46" i="89" s="1"/>
  <c r="F140" i="86" a="1"/>
  <c r="F140" i="86" s="1"/>
  <c r="E83" i="87"/>
  <c r="E49" i="87"/>
  <c r="E7" i="87"/>
  <c r="H36" i="86" a="1"/>
  <c r="H36" i="86" s="1"/>
  <c r="E76" i="86" s="1"/>
  <c r="H29" i="85" a="1"/>
  <c r="H29" i="85" s="1"/>
  <c r="G35" i="82" a="1"/>
  <c r="G35" i="82" s="1"/>
  <c r="H34" i="86" a="1"/>
  <c r="H34" i="86" s="1"/>
  <c r="E74" i="86" s="1"/>
  <c r="E43" i="86"/>
  <c r="E7" i="86"/>
  <c r="E118" i="86"/>
  <c r="E90" i="86"/>
  <c r="F79" i="86"/>
  <c r="G59" i="86"/>
  <c r="H19" i="86" a="1"/>
  <c r="H19" i="86" s="1"/>
  <c r="E59" i="86" s="1"/>
  <c r="G26" i="83" a="1"/>
  <c r="G26" i="83" s="1"/>
  <c r="E65" i="83" s="1" a="1"/>
  <c r="E65" i="83" s="1"/>
  <c r="H21" i="86" a="1"/>
  <c r="H21" i="86" s="1"/>
  <c r="E61" i="86" s="1"/>
  <c r="H23" i="86" a="1"/>
  <c r="H23" i="86" s="1"/>
  <c r="E63" i="86" s="1"/>
  <c r="H25" i="86" a="1"/>
  <c r="H25" i="86" s="1"/>
  <c r="E65" i="86" s="1"/>
  <c r="H27" i="86" a="1"/>
  <c r="H27" i="86" s="1"/>
  <c r="E67" i="86" s="1"/>
  <c r="H29" i="86" a="1"/>
  <c r="H29" i="86" s="1"/>
  <c r="E69" i="86" s="1"/>
  <c r="H31" i="86" a="1"/>
  <c r="H31" i="86" s="1"/>
  <c r="E71" i="86" s="1"/>
  <c r="H33" i="86" a="1"/>
  <c r="H33" i="86" s="1"/>
  <c r="E73" i="86" s="1"/>
  <c r="H35" i="86" a="1"/>
  <c r="H35" i="86" s="1"/>
  <c r="E75" i="86" s="1"/>
  <c r="H37" i="86" a="1"/>
  <c r="H37" i="86" s="1"/>
  <c r="E77" i="86" s="1"/>
  <c r="G29" i="83" a="1"/>
  <c r="G29" i="83" s="1"/>
  <c r="E68" i="83" s="1" a="1"/>
  <c r="E68" i="83" s="1"/>
  <c r="H25" i="85" a="1"/>
  <c r="H25" i="85" s="1"/>
  <c r="H20" i="86" a="1"/>
  <c r="H20" i="86" s="1"/>
  <c r="E60" i="86" s="1"/>
  <c r="H22" i="86" a="1"/>
  <c r="H22" i="86" s="1"/>
  <c r="E62" i="86" s="1"/>
  <c r="H24" i="86" a="1"/>
  <c r="H24" i="86" s="1"/>
  <c r="E64" i="86" s="1"/>
  <c r="H26" i="86" a="1"/>
  <c r="H26" i="86" s="1"/>
  <c r="E66" i="86" s="1"/>
  <c r="H28" i="86" a="1"/>
  <c r="H28" i="86" s="1"/>
  <c r="E68" i="86" s="1"/>
  <c r="H30" i="86" a="1"/>
  <c r="H30" i="86" s="1"/>
  <c r="E70" i="86" s="1"/>
  <c r="E7" i="85"/>
  <c r="H26" i="85" a="1"/>
  <c r="H26" i="85" s="1"/>
  <c r="H27" i="85" a="1"/>
  <c r="H27" i="85" s="1"/>
  <c r="G22" i="83" a="1"/>
  <c r="G22" i="83" s="1"/>
  <c r="E61" i="83" s="1" a="1"/>
  <c r="E61" i="83" s="1"/>
  <c r="H28" i="85" a="1"/>
  <c r="H28" i="85" s="1"/>
  <c r="E38" i="84"/>
  <c r="E7" i="84"/>
  <c r="E32" i="84"/>
  <c r="K44" i="84" s="1"/>
  <c r="E50" i="84" s="1" a="1"/>
  <c r="E50" i="84" s="1"/>
  <c r="G52" i="84" s="1"/>
  <c r="E55" i="84" s="1" a="1"/>
  <c r="E55" i="84" s="1"/>
  <c r="G35" i="83" a="1"/>
  <c r="G35" i="83" s="1"/>
  <c r="E74" i="83" s="1" a="1"/>
  <c r="E74" i="83" s="1"/>
  <c r="G36" i="83" a="1"/>
  <c r="G36" i="83" s="1"/>
  <c r="E75" i="83" s="1" a="1"/>
  <c r="E75" i="83" s="1"/>
  <c r="G28" i="83" a="1"/>
  <c r="G28" i="83" s="1"/>
  <c r="E67" i="83" s="1" a="1"/>
  <c r="E67" i="83" s="1"/>
  <c r="G21" i="83" a="1"/>
  <c r="G21" i="83" s="1"/>
  <c r="E60" i="83" s="1" a="1"/>
  <c r="E60" i="83" s="1"/>
  <c r="G36" i="82" a="1"/>
  <c r="G36" i="82" s="1"/>
  <c r="E7" i="83"/>
  <c r="E43" i="83"/>
  <c r="G31" i="83" a="1"/>
  <c r="G31" i="83" s="1"/>
  <c r="E70" i="83" s="1" a="1"/>
  <c r="E70" i="83" s="1"/>
  <c r="G24" i="83" a="1"/>
  <c r="G24" i="83" s="1"/>
  <c r="E63" i="83" s="1" a="1"/>
  <c r="E63" i="83" s="1"/>
  <c r="G33" i="83" a="1"/>
  <c r="G33" i="83" s="1"/>
  <c r="E72" i="83" s="1" a="1"/>
  <c r="E72" i="83" s="1"/>
  <c r="G33" i="82" a="1"/>
  <c r="G33" i="82" s="1"/>
  <c r="F58" i="83"/>
  <c r="G27" i="82" a="1"/>
  <c r="G27" i="82" s="1"/>
  <c r="G20" i="83" a="1"/>
  <c r="G20" i="83" s="1"/>
  <c r="E59" i="83" s="1" a="1"/>
  <c r="E59" i="83" s="1"/>
  <c r="G27" i="83" a="1"/>
  <c r="G27" i="83" s="1"/>
  <c r="E66" i="83" s="1" a="1"/>
  <c r="E66" i="83" s="1"/>
  <c r="G34" i="83" a="1"/>
  <c r="G34" i="83" s="1"/>
  <c r="E73" i="83" s="1" a="1"/>
  <c r="E73" i="83" s="1"/>
  <c r="S68" i="82" a="1"/>
  <c r="S68" i="82" s="1"/>
  <c r="G23" i="83" a="1"/>
  <c r="G23" i="83" s="1"/>
  <c r="E62" i="83" s="1" a="1"/>
  <c r="E62" i="83" s="1"/>
  <c r="G30" i="83" a="1"/>
  <c r="G30" i="83" s="1"/>
  <c r="E69" i="83" s="1" a="1"/>
  <c r="E69" i="83" s="1"/>
  <c r="G37" i="83" a="1"/>
  <c r="G37" i="83" s="1"/>
  <c r="E76" i="83" s="1" a="1"/>
  <c r="E76" i="83" s="1"/>
  <c r="E7" i="82"/>
  <c r="E42" i="82"/>
  <c r="N60" i="82"/>
  <c r="G31" i="82" a="1"/>
  <c r="G31" i="82" s="1"/>
  <c r="F80" i="82"/>
  <c r="O88" i="82"/>
  <c r="F60" i="82"/>
  <c r="Q45" i="82"/>
  <c r="G25" i="82" a="1"/>
  <c r="G25" i="82" s="1"/>
  <c r="G29" i="82" a="1"/>
  <c r="G29" i="82" s="1"/>
  <c r="T45" i="82"/>
  <c r="V45" i="82" s="1" a="1"/>
  <c r="V45" i="82" s="1"/>
  <c r="Q52" i="82"/>
  <c r="R52" i="82" a="1"/>
  <c r="R52" i="82" s="1"/>
  <c r="G26" i="82" a="1"/>
  <c r="G26" i="82" s="1"/>
  <c r="G28" i="82" a="1"/>
  <c r="G28" i="82" s="1"/>
  <c r="G30" i="82" a="1"/>
  <c r="G30" i="82" s="1"/>
  <c r="G34" i="82" a="1"/>
  <c r="G34" i="82" s="1"/>
  <c r="Q51" i="82"/>
  <c r="S52" i="82" a="1"/>
  <c r="S52" i="82" s="1"/>
  <c r="R51" i="82" a="1"/>
  <c r="R51" i="82" s="1"/>
  <c r="Q47" i="82"/>
  <c r="T52" i="82"/>
  <c r="U52" i="82" s="1"/>
  <c r="F229" i="78"/>
  <c r="G21" i="82" a="1"/>
  <c r="G21" i="82" s="1"/>
  <c r="G23" i="82" a="1"/>
  <c r="G23" i="82" s="1"/>
  <c r="G24" i="82" a="1"/>
  <c r="G24" i="82" s="1"/>
  <c r="S51" i="82" a="1"/>
  <c r="S51" i="82" s="1"/>
  <c r="F26" i="74" a="1"/>
  <c r="F26" i="74" s="1"/>
  <c r="W107" i="78" a="1"/>
  <c r="W107" i="78" s="1"/>
  <c r="E26" i="80"/>
  <c r="E7" i="80"/>
  <c r="O20" i="80"/>
  <c r="F20" i="80"/>
  <c r="O33" i="78"/>
  <c r="O36" i="78"/>
  <c r="AF40" i="78"/>
  <c r="AF39" i="78"/>
  <c r="AF38" i="78"/>
  <c r="AF43" i="78"/>
  <c r="AF42" i="78"/>
  <c r="AF36" i="78"/>
  <c r="E97" i="78" a="1"/>
  <c r="E97" i="78" s="1"/>
  <c r="F97" i="78" s="1" a="1"/>
  <c r="F97" i="78" s="1"/>
  <c r="L97" i="78" s="1" a="1"/>
  <c r="L97" i="78" s="1"/>
  <c r="F36" i="80"/>
  <c r="AG78" i="77" a="1"/>
  <c r="AG78" i="77" s="1"/>
  <c r="AG133" i="77" s="1" a="1"/>
  <c r="AG133" i="77" s="1"/>
  <c r="E7" i="79"/>
  <c r="E22" i="79"/>
  <c r="P35" i="79"/>
  <c r="F35" i="79"/>
  <c r="L87" i="77" a="1"/>
  <c r="L87" i="77" s="1"/>
  <c r="L134" i="77" s="1" a="1"/>
  <c r="L134" i="77" s="1"/>
  <c r="H30" i="77"/>
  <c r="H31" i="77"/>
  <c r="O34" i="78"/>
  <c r="M32" i="77" a="1"/>
  <c r="M32" i="77" s="1"/>
  <c r="I86" i="77" s="1" a="1"/>
  <c r="I86" i="77" s="1"/>
  <c r="I133" i="77" s="1" a="1"/>
  <c r="I133" i="77" s="1"/>
  <c r="AF45" i="78"/>
  <c r="O209" i="78"/>
  <c r="V20" i="78"/>
  <c r="AF46" i="78"/>
  <c r="AG79" i="77" a="1"/>
  <c r="AG79" i="77" s="1"/>
  <c r="AG134" i="77" s="1" a="1"/>
  <c r="AG134" i="77" s="1"/>
  <c r="E136" i="78"/>
  <c r="E42" i="78"/>
  <c r="E7" i="78"/>
  <c r="E104" i="78"/>
  <c r="E218" i="78"/>
  <c r="E178" i="78"/>
  <c r="AH141" i="77"/>
  <c r="AH135" i="77"/>
  <c r="AH134" i="77"/>
  <c r="O132" i="77"/>
  <c r="AH142" i="77"/>
  <c r="AC105" i="78" a="1"/>
  <c r="AC105" i="78" s="1"/>
  <c r="AA105" i="78" a="1"/>
  <c r="AA105" i="78" s="1"/>
  <c r="P182" i="77"/>
  <c r="AI179" i="77"/>
  <c r="P179" i="77"/>
  <c r="AI183" i="77"/>
  <c r="AI182" i="77"/>
  <c r="AJ34" i="77"/>
  <c r="AJ28" i="77"/>
  <c r="AJ37" i="77"/>
  <c r="S32" i="77"/>
  <c r="AJ36" i="77"/>
  <c r="S30" i="77"/>
  <c r="AJ39" i="77"/>
  <c r="S33" i="77"/>
  <c r="AJ38" i="77"/>
  <c r="AJ29" i="77"/>
  <c r="AJ32" i="77"/>
  <c r="AH104" i="78"/>
  <c r="AH103" i="78"/>
  <c r="AH102" i="78"/>
  <c r="AH101" i="78"/>
  <c r="AH109" i="78"/>
  <c r="AH105" i="78"/>
  <c r="Q95" i="78"/>
  <c r="AH106" i="78"/>
  <c r="Q96" i="78"/>
  <c r="Q98" i="78"/>
  <c r="AH111" i="78"/>
  <c r="AH107" i="78"/>
  <c r="Q97" i="78"/>
  <c r="AH100" i="78"/>
  <c r="AH108" i="78"/>
  <c r="AH110" i="78"/>
  <c r="O87" i="77"/>
  <c r="AH84" i="77"/>
  <c r="AH77" i="77"/>
  <c r="AH83" i="77"/>
  <c r="AH87" i="77"/>
  <c r="AH81" i="77"/>
  <c r="AH86" i="77"/>
  <c r="O86" i="77"/>
  <c r="AH79" i="77"/>
  <c r="O85" i="77"/>
  <c r="AF76" i="78"/>
  <c r="AF75" i="78"/>
  <c r="AF82" i="78"/>
  <c r="AF78" i="78"/>
  <c r="AF73" i="78"/>
  <c r="AF80" i="78"/>
  <c r="AF77" i="78"/>
  <c r="AF72" i="78"/>
  <c r="O62" i="78"/>
  <c r="O63" i="78"/>
  <c r="O64" i="78"/>
  <c r="AF81" i="78"/>
  <c r="O65" i="78"/>
  <c r="AF79" i="78"/>
  <c r="AF74" i="78"/>
  <c r="AF83" i="78"/>
  <c r="AF47" i="78"/>
  <c r="V100" i="78" a="1"/>
  <c r="V100" i="78" s="1"/>
  <c r="W100" i="78" s="1" a="1"/>
  <c r="W100" i="78" s="1"/>
  <c r="AA100" i="78" s="1" a="1"/>
  <c r="AA100" i="78" s="1"/>
  <c r="O35" i="78"/>
  <c r="AF41" i="78"/>
  <c r="V102" i="78" a="1"/>
  <c r="V102" i="78" s="1"/>
  <c r="W102" i="78" s="1" a="1"/>
  <c r="W102" i="78" s="1"/>
  <c r="AA102" i="78" s="1" a="1"/>
  <c r="AA102" i="78" s="1"/>
  <c r="V104" i="78" a="1"/>
  <c r="V104" i="78" s="1"/>
  <c r="W104" i="78" s="1" a="1"/>
  <c r="W104" i="78" s="1"/>
  <c r="AA104" i="78" s="1" a="1"/>
  <c r="AA104" i="78" s="1"/>
  <c r="O129" i="78"/>
  <c r="AF202" i="78"/>
  <c r="AF197" i="78"/>
  <c r="AF200" i="78"/>
  <c r="AF205" i="78"/>
  <c r="AF201" i="78"/>
  <c r="AF196" i="78"/>
  <c r="AF206" i="78"/>
  <c r="AF199" i="78"/>
  <c r="O172" i="78"/>
  <c r="AF204" i="78"/>
  <c r="AF207" i="78"/>
  <c r="AF198" i="78"/>
  <c r="O170" i="78"/>
  <c r="AF203" i="78"/>
  <c r="AG86" i="77" a="1"/>
  <c r="AG86" i="77" s="1"/>
  <c r="AG141" i="77" s="1" a="1"/>
  <c r="AG141" i="77" s="1"/>
  <c r="E95" i="78" a="1"/>
  <c r="E95" i="78" s="1"/>
  <c r="F95" i="78" s="1" a="1"/>
  <c r="F95" i="78" s="1"/>
  <c r="L95" i="78" s="1" a="1"/>
  <c r="L95" i="78" s="1"/>
  <c r="E96" i="78" a="1"/>
  <c r="E96" i="78" s="1"/>
  <c r="F96" i="78" s="1" a="1"/>
  <c r="F96" i="78" s="1"/>
  <c r="L96" i="78" s="1" a="1"/>
  <c r="L96" i="78" s="1"/>
  <c r="Z81" i="77" a="1"/>
  <c r="Z81" i="77" s="1"/>
  <c r="Z136" i="77" s="1" a="1"/>
  <c r="Z136" i="77" s="1"/>
  <c r="AF147" i="78"/>
  <c r="AF144" i="78"/>
  <c r="AF140" i="78"/>
  <c r="AF146" i="78"/>
  <c r="O127" i="78"/>
  <c r="AF142" i="78"/>
  <c r="O128" i="78"/>
  <c r="AF143" i="78"/>
  <c r="AF145" i="78"/>
  <c r="AF137" i="78"/>
  <c r="AF136" i="78"/>
  <c r="E20" i="78"/>
  <c r="Y83" i="77" a="1"/>
  <c r="Y83" i="77" s="1"/>
  <c r="Y138" i="77" s="1" a="1"/>
  <c r="Y138" i="77" s="1"/>
  <c r="AF44" i="78"/>
  <c r="E98" i="78" a="1"/>
  <c r="E98" i="78" s="1"/>
  <c r="O130" i="78"/>
  <c r="AF138" i="78"/>
  <c r="AE76" i="77" a="1"/>
  <c r="AE76" i="77" s="1"/>
  <c r="AE131" i="77" s="1" a="1"/>
  <c r="AE131" i="77" s="1"/>
  <c r="V186" i="78" a="1"/>
  <c r="V186" i="78" s="1"/>
  <c r="V189" i="78" a="1"/>
  <c r="V189" i="78" s="1"/>
  <c r="V181" i="78" a="1"/>
  <c r="V181" i="78" s="1"/>
  <c r="V184" i="78" a="1"/>
  <c r="V184" i="78" s="1"/>
  <c r="V188" i="78" a="1"/>
  <c r="V188" i="78" s="1"/>
  <c r="V182" i="78" a="1"/>
  <c r="V182" i="78" s="1"/>
  <c r="V180" i="78" a="1"/>
  <c r="V180" i="78" s="1"/>
  <c r="V190" i="78" a="1"/>
  <c r="V190" i="78" s="1"/>
  <c r="V183" i="78" a="1"/>
  <c r="V183" i="78" s="1"/>
  <c r="V106" i="78" a="1"/>
  <c r="V106" i="78" s="1"/>
  <c r="W106" i="78" s="1" a="1"/>
  <c r="W106" i="78" s="1"/>
  <c r="V185" i="78" a="1"/>
  <c r="V185" i="78" s="1"/>
  <c r="V101" i="78" a="1"/>
  <c r="V101" i="78" s="1"/>
  <c r="W101" i="78" s="1" a="1"/>
  <c r="W101" i="78" s="1"/>
  <c r="V108" i="78" a="1"/>
  <c r="V108" i="78" s="1"/>
  <c r="V103" i="78" a="1"/>
  <c r="V103" i="78" s="1"/>
  <c r="W103" i="78" s="1" a="1"/>
  <c r="W103" i="78" s="1"/>
  <c r="AC103" i="78" s="1" a="1"/>
  <c r="AC103" i="78" s="1"/>
  <c r="V110" i="78" a="1"/>
  <c r="V110" i="78" s="1"/>
  <c r="W110" i="78" s="1" a="1"/>
  <c r="W110" i="78" s="1"/>
  <c r="AB110" i="78" s="1" a="1"/>
  <c r="AB110" i="78" s="1"/>
  <c r="V111" i="78" a="1"/>
  <c r="V111" i="78" s="1"/>
  <c r="W111" i="78" s="1" a="1"/>
  <c r="W111" i="78" s="1"/>
  <c r="AA111" i="78" s="1" a="1"/>
  <c r="AA111" i="78" s="1"/>
  <c r="AF37" i="78"/>
  <c r="G33" i="77"/>
  <c r="F85" i="77" a="1"/>
  <c r="F85" i="77" s="1"/>
  <c r="F132" i="77" s="1" a="1"/>
  <c r="F132" i="77" s="1"/>
  <c r="AF141" i="78"/>
  <c r="O169" i="78"/>
  <c r="AB105" i="78" a="1"/>
  <c r="AB105" i="78" s="1"/>
  <c r="AF259" i="78"/>
  <c r="AF252" i="78"/>
  <c r="O210" i="78"/>
  <c r="O208" i="78"/>
  <c r="AF257" i="78"/>
  <c r="AF250" i="78"/>
  <c r="O207" i="78"/>
  <c r="AF256" i="78"/>
  <c r="AF249" i="78"/>
  <c r="F212" i="78"/>
  <c r="AF255" i="78"/>
  <c r="AF258" i="78"/>
  <c r="AF253" i="78"/>
  <c r="AF248" i="78"/>
  <c r="W261" i="78"/>
  <c r="AF254" i="78"/>
  <c r="AF87" i="77" a="1"/>
  <c r="AF87" i="77" s="1"/>
  <c r="AF142" i="77" s="1" a="1"/>
  <c r="AF142" i="77" s="1"/>
  <c r="AE85" i="77" a="1"/>
  <c r="AE85" i="77" s="1"/>
  <c r="AE140" i="77" s="1" a="1"/>
  <c r="AE140" i="77" s="1"/>
  <c r="AF81" i="77" a="1"/>
  <c r="AF81" i="77" s="1"/>
  <c r="AF136" i="77" s="1" a="1"/>
  <c r="AF136" i="77" s="1"/>
  <c r="Y79" i="77" a="1"/>
  <c r="Y79" i="77" s="1"/>
  <c r="Y134" i="77" s="1" a="1"/>
  <c r="Y134" i="77" s="1"/>
  <c r="AE82" i="77" a="1"/>
  <c r="AE82" i="77" s="1"/>
  <c r="AE137" i="77" s="1" a="1"/>
  <c r="AE137" i="77" s="1"/>
  <c r="AD78" i="77" a="1"/>
  <c r="AD78" i="77" s="1"/>
  <c r="AD133" i="77" s="1" a="1"/>
  <c r="AD133" i="77" s="1"/>
  <c r="AE79" i="77" a="1"/>
  <c r="AE79" i="77" s="1"/>
  <c r="AE134" i="77" s="1" a="1"/>
  <c r="AE134" i="77" s="1"/>
  <c r="AD76" i="77" a="1"/>
  <c r="AD76" i="77" s="1"/>
  <c r="AD131" i="77" s="1" a="1"/>
  <c r="AD131" i="77" s="1"/>
  <c r="AF79" i="77" a="1"/>
  <c r="AF79" i="77" s="1"/>
  <c r="AF134" i="77" s="1" a="1"/>
  <c r="AF134" i="77" s="1"/>
  <c r="X83" i="77" a="1"/>
  <c r="X83" i="77" s="1"/>
  <c r="X138" i="77" s="1" a="1"/>
  <c r="X138" i="77" s="1"/>
  <c r="Z86" i="77" a="1"/>
  <c r="Z86" i="77" s="1"/>
  <c r="Z141" i="77" s="1" a="1"/>
  <c r="Z141" i="77" s="1"/>
  <c r="AF83" i="77" a="1"/>
  <c r="AF83" i="77" s="1"/>
  <c r="AF138" i="77" s="1" a="1"/>
  <c r="AF138" i="77" s="1"/>
  <c r="Y77" i="77" a="1"/>
  <c r="Y77" i="77" s="1"/>
  <c r="Y132" i="77" s="1" a="1"/>
  <c r="Y132" i="77" s="1"/>
  <c r="AG83" i="77" a="1"/>
  <c r="AG83" i="77" s="1"/>
  <c r="AG138" i="77" s="1" a="1"/>
  <c r="AG138" i="77" s="1"/>
  <c r="AD80" i="77" a="1"/>
  <c r="AD80" i="77" s="1"/>
  <c r="AD135" i="77" s="1" a="1"/>
  <c r="AD135" i="77" s="1"/>
  <c r="Z87" i="77" a="1"/>
  <c r="Z87" i="77" s="1"/>
  <c r="Z142" i="77" s="1" a="1"/>
  <c r="Z142" i="77" s="1"/>
  <c r="Z77" i="77" a="1"/>
  <c r="Z77" i="77" s="1"/>
  <c r="Z132" i="77" s="1" a="1"/>
  <c r="Z132" i="77" s="1"/>
  <c r="AE77" i="77" a="1"/>
  <c r="AE77" i="77" s="1"/>
  <c r="AE132" i="77" s="1" a="1"/>
  <c r="AE132" i="77" s="1"/>
  <c r="X81" i="77" a="1"/>
  <c r="X81" i="77" s="1"/>
  <c r="X136" i="77" s="1" a="1"/>
  <c r="X136" i="77" s="1"/>
  <c r="Z84" i="77" a="1"/>
  <c r="Z84" i="77" s="1"/>
  <c r="Z139" i="77" s="1" a="1"/>
  <c r="Z139" i="77" s="1"/>
  <c r="AG77" i="77" a="1"/>
  <c r="AG77" i="77" s="1"/>
  <c r="AG132" i="77" s="1" a="1"/>
  <c r="AG132" i="77" s="1"/>
  <c r="Y81" i="77" a="1"/>
  <c r="Y81" i="77" s="1"/>
  <c r="Y136" i="77" s="1" a="1"/>
  <c r="Y136" i="77" s="1"/>
  <c r="E101" i="77"/>
  <c r="E206" i="77"/>
  <c r="E39" i="77"/>
  <c r="E148" i="77"/>
  <c r="AE34" i="77" a="1"/>
  <c r="AE34" i="77" s="1"/>
  <c r="AC82" i="77" s="1" a="1"/>
  <c r="AC82" i="77" s="1"/>
  <c r="AC137" i="77" s="1" a="1"/>
  <c r="AC137" i="77" s="1"/>
  <c r="AD34" i="77" a="1"/>
  <c r="AD34" i="77" s="1"/>
  <c r="AB82" i="77" s="1" a="1"/>
  <c r="AB82" i="77" s="1"/>
  <c r="AB137" i="77" s="1" a="1"/>
  <c r="AB137" i="77" s="1"/>
  <c r="AC34" i="77" a="1"/>
  <c r="AC34" i="77" s="1"/>
  <c r="AA82" i="77" s="1" a="1"/>
  <c r="AA82" i="77" s="1"/>
  <c r="AA137" i="77" s="1" a="1"/>
  <c r="AA137" i="77" s="1"/>
  <c r="X199" i="77"/>
  <c r="X187" i="77"/>
  <c r="X60" i="77"/>
  <c r="X77" i="77" a="1"/>
  <c r="X77" i="77" s="1"/>
  <c r="X132" i="77" s="1" a="1"/>
  <c r="X132" i="77" s="1"/>
  <c r="L84" i="77" a="1"/>
  <c r="L84" i="77" s="1"/>
  <c r="L131" i="77" s="1" a="1"/>
  <c r="L131" i="77" s="1"/>
  <c r="K87" i="77" a="1"/>
  <c r="K87" i="77" s="1"/>
  <c r="K134" i="77" s="1" a="1"/>
  <c r="K134" i="77" s="1"/>
  <c r="X183" i="77"/>
  <c r="X195" i="77"/>
  <c r="X191" i="77"/>
  <c r="X196" i="77"/>
  <c r="X184" i="77"/>
  <c r="X178" i="77"/>
  <c r="X190" i="77"/>
  <c r="X200" i="77"/>
  <c r="X188" i="77"/>
  <c r="M84" i="77" a="1"/>
  <c r="M84" i="77" s="1"/>
  <c r="M131" i="77" s="1" a="1"/>
  <c r="M131" i="77" s="1"/>
  <c r="AD85" i="77" a="1"/>
  <c r="AD85" i="77" s="1"/>
  <c r="AD140" i="77" s="1" a="1"/>
  <c r="AD140" i="77" s="1"/>
  <c r="X197" i="77"/>
  <c r="X185" i="77"/>
  <c r="X192" i="77"/>
  <c r="X180" i="77"/>
  <c r="M369" i="75"/>
  <c r="N369" i="75"/>
  <c r="L369" i="75"/>
  <c r="G87" i="77" a="1"/>
  <c r="G87" i="77" s="1"/>
  <c r="G134" i="77" s="1" a="1"/>
  <c r="G134" i="77" s="1"/>
  <c r="L86" i="77" a="1"/>
  <c r="L86" i="77" s="1"/>
  <c r="L133" i="77" s="1" a="1"/>
  <c r="L133" i="77" s="1"/>
  <c r="G84" i="77" a="1"/>
  <c r="G84" i="77" s="1"/>
  <c r="G131" i="77" s="1" a="1"/>
  <c r="G131" i="77" s="1"/>
  <c r="N87" i="77" a="1"/>
  <c r="N87" i="77" s="1"/>
  <c r="N134" i="77" s="1" a="1"/>
  <c r="N134" i="77" s="1"/>
  <c r="F87" i="77" a="1"/>
  <c r="F87" i="77" s="1"/>
  <c r="F134" i="77" s="1" a="1"/>
  <c r="F134" i="77" s="1"/>
  <c r="N84" i="77" a="1"/>
  <c r="N84" i="77" s="1"/>
  <c r="N131" i="77" s="1" a="1"/>
  <c r="N131" i="77" s="1"/>
  <c r="K86" i="77" a="1"/>
  <c r="K86" i="77" s="1"/>
  <c r="K133" i="77" s="1" a="1"/>
  <c r="K133" i="77" s="1"/>
  <c r="F84" i="77" a="1"/>
  <c r="F84" i="77" s="1"/>
  <c r="F131" i="77" s="1" a="1"/>
  <c r="F131" i="77" s="1"/>
  <c r="N86" i="77" a="1"/>
  <c r="N86" i="77" s="1"/>
  <c r="N133" i="77" s="1" a="1"/>
  <c r="N133" i="77" s="1"/>
  <c r="F86" i="77" a="1"/>
  <c r="F86" i="77" s="1"/>
  <c r="F133" i="77" s="1" a="1"/>
  <c r="F133" i="77" s="1"/>
  <c r="K85" i="77" a="1"/>
  <c r="K85" i="77" s="1"/>
  <c r="K132" i="77" s="1" a="1"/>
  <c r="K132" i="77" s="1"/>
  <c r="M86" i="77" a="1"/>
  <c r="M86" i="77" s="1"/>
  <c r="M133" i="77" s="1" a="1"/>
  <c r="M133" i="77" s="1"/>
  <c r="E86" i="77" a="1"/>
  <c r="E86" i="77" s="1"/>
  <c r="E133" i="77" s="1" a="1"/>
  <c r="E133" i="77" s="1"/>
  <c r="G85" i="77" a="1"/>
  <c r="G85" i="77" s="1"/>
  <c r="G132" i="77" s="1" a="1"/>
  <c r="G132" i="77" s="1"/>
  <c r="X198" i="77"/>
  <c r="X186" i="77"/>
  <c r="E52" i="77"/>
  <c r="E84" i="77" s="1" a="1"/>
  <c r="E84" i="77" s="1"/>
  <c r="E131" i="77" s="1" a="1"/>
  <c r="E131" i="77" s="1"/>
  <c r="L85" i="77" a="1"/>
  <c r="L85" i="77" s="1"/>
  <c r="L132" i="77" s="1" a="1"/>
  <c r="L132" i="77" s="1"/>
  <c r="M87" i="77" a="1"/>
  <c r="M87" i="77" s="1"/>
  <c r="M134" i="77" s="1" a="1"/>
  <c r="M134" i="77" s="1"/>
  <c r="X194" i="77"/>
  <c r="X182" i="77"/>
  <c r="X39" i="77" a="1"/>
  <c r="X39" i="77" s="1"/>
  <c r="Y39" i="77" s="1" a="1"/>
  <c r="Y39" i="77" s="1"/>
  <c r="X38" i="77" a="1"/>
  <c r="X38" i="77" s="1"/>
  <c r="Y38" i="77" s="1" a="1"/>
  <c r="Y38" i="77" s="1"/>
  <c r="X37" i="77" a="1"/>
  <c r="X37" i="77" s="1"/>
  <c r="X36" i="77" a="1"/>
  <c r="X36" i="77" s="1"/>
  <c r="X28" i="77" a="1"/>
  <c r="X28" i="77" s="1"/>
  <c r="Y28" i="77" s="1" a="1"/>
  <c r="Y28" i="77" s="1"/>
  <c r="X29" i="77" a="1"/>
  <c r="X29" i="77" s="1"/>
  <c r="Y29" i="77" s="1" a="1"/>
  <c r="Y29" i="77" s="1"/>
  <c r="AC29" i="77" s="1" a="1"/>
  <c r="AC29" i="77" s="1"/>
  <c r="AA77" i="77" s="1" a="1"/>
  <c r="AA77" i="77" s="1"/>
  <c r="AA132" i="77" s="1" a="1"/>
  <c r="AA132" i="77" s="1"/>
  <c r="X32" i="77" a="1"/>
  <c r="X32" i="77" s="1"/>
  <c r="Y32" i="77" s="1" a="1"/>
  <c r="Y32" i="77" s="1"/>
  <c r="AE32" i="77" s="1" a="1"/>
  <c r="AE32" i="77" s="1"/>
  <c r="AC80" i="77" s="1" a="1"/>
  <c r="AC80" i="77" s="1"/>
  <c r="AC135" i="77" s="1" a="1"/>
  <c r="AC135" i="77" s="1"/>
  <c r="X35" i="77" a="1"/>
  <c r="X35" i="77" s="1"/>
  <c r="X31" i="77" a="1"/>
  <c r="X31" i="77" s="1"/>
  <c r="Y31" i="77" s="1" a="1"/>
  <c r="Y31" i="77" s="1"/>
  <c r="AD82" i="77" a="1"/>
  <c r="AD82" i="77" s="1"/>
  <c r="AD137" i="77" s="1" a="1"/>
  <c r="AD137" i="77" s="1"/>
  <c r="M85" i="77" a="1"/>
  <c r="M85" i="77" s="1"/>
  <c r="M132" i="77" s="1" a="1"/>
  <c r="M132" i="77" s="1"/>
  <c r="G86" i="77" a="1"/>
  <c r="G86" i="77" s="1"/>
  <c r="G133" i="77" s="1" a="1"/>
  <c r="G133" i="77" s="1"/>
  <c r="X189" i="77"/>
  <c r="X177" i="77"/>
  <c r="X265" i="77"/>
  <c r="X253" i="77"/>
  <c r="AD30" i="77" a="1"/>
  <c r="AD30" i="77" s="1"/>
  <c r="AB78" i="77" s="1" a="1"/>
  <c r="AB78" i="77" s="1"/>
  <c r="AB133" i="77" s="1" a="1"/>
  <c r="AB133" i="77" s="1"/>
  <c r="N85" i="77" a="1"/>
  <c r="N85" i="77" s="1"/>
  <c r="N132" i="77" s="1" a="1"/>
  <c r="N132" i="77" s="1"/>
  <c r="AF77" i="77" a="1"/>
  <c r="AF77" i="77" s="1"/>
  <c r="AF132" i="77" s="1" a="1"/>
  <c r="AF132" i="77" s="1"/>
  <c r="X79" i="77" a="1"/>
  <c r="X79" i="77" s="1"/>
  <c r="X134" i="77" s="1" a="1"/>
  <c r="X134" i="77" s="1"/>
  <c r="AE81" i="77" a="1"/>
  <c r="AE81" i="77" s="1"/>
  <c r="AE136" i="77" s="1" a="1"/>
  <c r="AE136" i="77" s="1"/>
  <c r="I367" i="75"/>
  <c r="J367" i="75"/>
  <c r="E87" i="77" a="1"/>
  <c r="E87" i="77" s="1"/>
  <c r="E134" i="77" s="1" a="1"/>
  <c r="E134" i="77" s="1"/>
  <c r="K84" i="77" a="1"/>
  <c r="K84" i="77" s="1"/>
  <c r="K131" i="77" s="1" a="1"/>
  <c r="K131" i="77" s="1"/>
  <c r="Z79" i="77" a="1"/>
  <c r="Z79" i="77" s="1"/>
  <c r="Z134" i="77" s="1" a="1"/>
  <c r="Z134" i="77" s="1"/>
  <c r="AG81" i="77" a="1"/>
  <c r="AG81" i="77" s="1"/>
  <c r="AG136" i="77" s="1" a="1"/>
  <c r="AG136" i="77" s="1"/>
  <c r="Z83" i="77" a="1"/>
  <c r="Z83" i="77" s="1"/>
  <c r="Z138" i="77" s="1" a="1"/>
  <c r="Z138" i="77" s="1"/>
  <c r="E85" i="77" a="1"/>
  <c r="E85" i="77" s="1"/>
  <c r="E132" i="77" s="1" a="1"/>
  <c r="E132" i="77" s="1"/>
  <c r="X181" i="77"/>
  <c r="AG80" i="77" a="1"/>
  <c r="AG80" i="77" s="1"/>
  <c r="AG135" i="77" s="1" a="1"/>
  <c r="AG135" i="77" s="1"/>
  <c r="Z82" i="77" a="1"/>
  <c r="Z82" i="77" s="1"/>
  <c r="Z137" i="77" s="1" a="1"/>
  <c r="Z137" i="77" s="1"/>
  <c r="AD83" i="77" a="1"/>
  <c r="AD83" i="77" s="1"/>
  <c r="AD138" i="77" s="1" a="1"/>
  <c r="AD138" i="77" s="1"/>
  <c r="AE84" i="77" a="1"/>
  <c r="AE84" i="77" s="1"/>
  <c r="AE139" i="77" s="1" a="1"/>
  <c r="AE139" i="77" s="1"/>
  <c r="AH136" i="77"/>
  <c r="AH132" i="77"/>
  <c r="AH140" i="77"/>
  <c r="AI200" i="77"/>
  <c r="AI186" i="77"/>
  <c r="AI190" i="77"/>
  <c r="AI193" i="77"/>
  <c r="AI196" i="77"/>
  <c r="AI195" i="77"/>
  <c r="AI194" i="77"/>
  <c r="AI187" i="77"/>
  <c r="P181" i="77"/>
  <c r="AI178" i="77"/>
  <c r="AI199" i="77"/>
  <c r="AI198" i="77"/>
  <c r="AI191" i="77"/>
  <c r="AI197" i="77"/>
  <c r="AI180" i="77"/>
  <c r="AI189" i="77"/>
  <c r="AI181" i="77"/>
  <c r="AI177" i="77"/>
  <c r="AI185" i="77"/>
  <c r="AI192" i="77"/>
  <c r="P180" i="77"/>
  <c r="AI184" i="77"/>
  <c r="P184" i="77"/>
  <c r="P177" i="77"/>
  <c r="X267" i="77"/>
  <c r="X255" i="77"/>
  <c r="AJ33" i="77"/>
  <c r="AF86" i="77" a="1"/>
  <c r="AF86" i="77" s="1"/>
  <c r="AF141" i="77" s="1" a="1"/>
  <c r="AF141" i="77" s="1"/>
  <c r="Y86" i="77" a="1"/>
  <c r="Y86" i="77" s="1"/>
  <c r="Y141" i="77" s="1" a="1"/>
  <c r="Y141" i="77" s="1"/>
  <c r="AG84" i="77" a="1"/>
  <c r="AG84" i="77" s="1"/>
  <c r="AG139" i="77" s="1" a="1"/>
  <c r="AG139" i="77" s="1"/>
  <c r="AE86" i="77" a="1"/>
  <c r="AE86" i="77" s="1"/>
  <c r="AE141" i="77" s="1" a="1"/>
  <c r="AE141" i="77" s="1"/>
  <c r="X86" i="77" a="1"/>
  <c r="X86" i="77" s="1"/>
  <c r="X141" i="77" s="1" a="1"/>
  <c r="X141" i="77" s="1"/>
  <c r="AF84" i="77" a="1"/>
  <c r="AF84" i="77" s="1"/>
  <c r="AF139" i="77" s="1" a="1"/>
  <c r="AF139" i="77" s="1"/>
  <c r="Y84" i="77" a="1"/>
  <c r="Y84" i="77" s="1"/>
  <c r="Y139" i="77" s="1" a="1"/>
  <c r="Y139" i="77" s="1"/>
  <c r="AH76" i="77"/>
  <c r="AD77" i="77" a="1"/>
  <c r="AD77" i="77" s="1"/>
  <c r="AD132" i="77" s="1" a="1"/>
  <c r="AD132" i="77" s="1"/>
  <c r="Z78" i="77" a="1"/>
  <c r="Z78" i="77" s="1"/>
  <c r="Z133" i="77" s="1" a="1"/>
  <c r="Z133" i="77" s="1"/>
  <c r="AD79" i="77" a="1"/>
  <c r="AD79" i="77" s="1"/>
  <c r="AD134" i="77" s="1" a="1"/>
  <c r="AD134" i="77" s="1"/>
  <c r="Z80" i="77" a="1"/>
  <c r="Z80" i="77" s="1"/>
  <c r="Z135" i="77" s="1" a="1"/>
  <c r="Z135" i="77" s="1"/>
  <c r="AD81" i="77" a="1"/>
  <c r="AD81" i="77" s="1"/>
  <c r="AD136" i="77" s="1" a="1"/>
  <c r="AD136" i="77" s="1"/>
  <c r="AH82" i="77"/>
  <c r="X84" i="77" a="1"/>
  <c r="X84" i="77" s="1"/>
  <c r="X139" i="77" s="1" a="1"/>
  <c r="X139" i="77" s="1"/>
  <c r="X87" i="77" a="1"/>
  <c r="X87" i="77" s="1"/>
  <c r="X142" i="77" s="1" a="1"/>
  <c r="X142" i="77" s="1"/>
  <c r="AH139" i="77"/>
  <c r="AJ30" i="77"/>
  <c r="X44" i="77"/>
  <c r="AH78" i="77"/>
  <c r="AH80" i="77"/>
  <c r="AE83" i="77" a="1"/>
  <c r="AE83" i="77" s="1"/>
  <c r="AE138" i="77" s="1" a="1"/>
  <c r="AE138" i="77" s="1"/>
  <c r="AD86" i="77" a="1"/>
  <c r="AD86" i="77" s="1"/>
  <c r="AD141" i="77" s="1" a="1"/>
  <c r="AD141" i="77" s="1"/>
  <c r="Y87" i="77" a="1"/>
  <c r="Y87" i="77" s="1"/>
  <c r="Y142" i="77" s="1" a="1"/>
  <c r="Y142" i="77" s="1"/>
  <c r="AG87" i="77" a="1"/>
  <c r="AG87" i="77" s="1"/>
  <c r="AG142" i="77" s="1" a="1"/>
  <c r="AG142" i="77" s="1"/>
  <c r="AH131" i="77"/>
  <c r="O134" i="77"/>
  <c r="AI188" i="77"/>
  <c r="X257" i="77"/>
  <c r="X269" i="77"/>
  <c r="AI272" i="77"/>
  <c r="AI264" i="77"/>
  <c r="P239" i="77"/>
  <c r="AI267" i="77"/>
  <c r="AI253" i="77"/>
  <c r="P242" i="77"/>
  <c r="AI270" i="77"/>
  <c r="AI268" i="77"/>
  <c r="AI254" i="77"/>
  <c r="AI271" i="77"/>
  <c r="AI257" i="77"/>
  <c r="AI274" i="77"/>
  <c r="AI260" i="77"/>
  <c r="AI266" i="77"/>
  <c r="P237" i="77"/>
  <c r="AI273" i="77"/>
  <c r="AI265" i="77"/>
  <c r="AI261" i="77"/>
  <c r="AI256" i="77"/>
  <c r="P236" i="77"/>
  <c r="AI269" i="77"/>
  <c r="AI255" i="77"/>
  <c r="AI262" i="77"/>
  <c r="F244" i="77"/>
  <c r="P241" i="77"/>
  <c r="AI259" i="77"/>
  <c r="AI258" i="77"/>
  <c r="AI252" i="77"/>
  <c r="P235" i="77"/>
  <c r="AI263" i="77"/>
  <c r="P240" i="77"/>
  <c r="P238" i="77"/>
  <c r="AE80" i="77" a="1"/>
  <c r="AE80" i="77" s="1"/>
  <c r="AE135" i="77" s="1" a="1"/>
  <c r="AE135" i="77" s="1"/>
  <c r="X82" i="77" a="1"/>
  <c r="X82" i="77" s="1"/>
  <c r="X137" i="77" s="1" a="1"/>
  <c r="X137" i="77" s="1"/>
  <c r="AF85" i="77" a="1"/>
  <c r="AF85" i="77" s="1"/>
  <c r="AF140" i="77" s="1" a="1"/>
  <c r="AF140" i="77" s="1"/>
  <c r="O133" i="77"/>
  <c r="P178" i="77"/>
  <c r="AJ31" i="77"/>
  <c r="AJ35" i="77"/>
  <c r="Y76" i="77" a="1"/>
  <c r="Y76" i="77" s="1"/>
  <c r="Y131" i="77" s="1" a="1"/>
  <c r="Y131" i="77" s="1"/>
  <c r="AF76" i="77" a="1"/>
  <c r="AF76" i="77" s="1"/>
  <c r="AF131" i="77" s="1" a="1"/>
  <c r="AF131" i="77" s="1"/>
  <c r="X78" i="77" a="1"/>
  <c r="X78" i="77" s="1"/>
  <c r="X133" i="77" s="1" a="1"/>
  <c r="X133" i="77" s="1"/>
  <c r="AE78" i="77" a="1"/>
  <c r="AE78" i="77" s="1"/>
  <c r="AE133" i="77" s="1" a="1"/>
  <c r="AE133" i="77" s="1"/>
  <c r="X80" i="77" a="1"/>
  <c r="X80" i="77" s="1"/>
  <c r="X135" i="77" s="1" a="1"/>
  <c r="X135" i="77" s="1"/>
  <c r="AF82" i="77" a="1"/>
  <c r="AF82" i="77" s="1"/>
  <c r="AF137" i="77" s="1" a="1"/>
  <c r="AF137" i="77" s="1"/>
  <c r="X85" i="77" a="1"/>
  <c r="X85" i="77" s="1"/>
  <c r="X140" i="77" s="1" a="1"/>
  <c r="X140" i="77" s="1"/>
  <c r="AG85" i="77" a="1"/>
  <c r="AG85" i="77" s="1"/>
  <c r="AG140" i="77" s="1" a="1"/>
  <c r="AG140" i="77" s="1"/>
  <c r="AH137" i="77"/>
  <c r="AF78" i="77" a="1"/>
  <c r="AF78" i="77" s="1"/>
  <c r="AF133" i="77" s="1" a="1"/>
  <c r="AF133" i="77" s="1"/>
  <c r="AF80" i="77" a="1"/>
  <c r="AF80" i="77" s="1"/>
  <c r="AF135" i="77" s="1" a="1"/>
  <c r="AF135" i="77" s="1"/>
  <c r="Y82" i="77" a="1"/>
  <c r="Y82" i="77" s="1"/>
  <c r="Y137" i="77" s="1" a="1"/>
  <c r="Y137" i="77" s="1"/>
  <c r="AD84" i="77" a="1"/>
  <c r="AD84" i="77" s="1"/>
  <c r="AD139" i="77" s="1" a="1"/>
  <c r="AD139" i="77" s="1"/>
  <c r="Y85" i="77" a="1"/>
  <c r="Y85" i="77" s="1"/>
  <c r="Y140" i="77" s="1" a="1"/>
  <c r="Y140" i="77" s="1"/>
  <c r="AD87" i="77" a="1"/>
  <c r="AD87" i="77" s="1"/>
  <c r="AD142" i="77" s="1" a="1"/>
  <c r="AD142" i="77" s="1"/>
  <c r="O131" i="77"/>
  <c r="S31" i="77"/>
  <c r="Z76" i="77" a="1"/>
  <c r="Z76" i="77" s="1"/>
  <c r="Z131" i="77" s="1" a="1"/>
  <c r="Z131" i="77" s="1"/>
  <c r="AG76" i="77" a="1"/>
  <c r="AG76" i="77" s="1"/>
  <c r="AG131" i="77" s="1" a="1"/>
  <c r="AG131" i="77" s="1"/>
  <c r="Y78" i="77" a="1"/>
  <c r="Y78" i="77" s="1"/>
  <c r="Y133" i="77" s="1" a="1"/>
  <c r="Y133" i="77" s="1"/>
  <c r="Y80" i="77" a="1"/>
  <c r="Y80" i="77" s="1"/>
  <c r="Y135" i="77" s="1" a="1"/>
  <c r="Y135" i="77" s="1"/>
  <c r="AG82" i="77" a="1"/>
  <c r="AG82" i="77" s="1"/>
  <c r="AG137" i="77" s="1" a="1"/>
  <c r="AG137" i="77" s="1"/>
  <c r="O84" i="77"/>
  <c r="Z85" i="77" a="1"/>
  <c r="Z85" i="77" s="1"/>
  <c r="Z140" i="77" s="1" a="1"/>
  <c r="Z140" i="77" s="1"/>
  <c r="AH85" i="77"/>
  <c r="AE87" i="77" a="1"/>
  <c r="AE87" i="77" s="1"/>
  <c r="AE142" i="77" s="1" a="1"/>
  <c r="AE142" i="77" s="1"/>
  <c r="AH133" i="77"/>
  <c r="AH138" i="77"/>
  <c r="P183" i="77"/>
  <c r="X262" i="77"/>
  <c r="X261" i="77"/>
  <c r="X273" i="77"/>
  <c r="X235" i="77"/>
  <c r="E219" i="77"/>
  <c r="N121" i="76"/>
  <c r="O121" i="76" s="1"/>
  <c r="N123" i="76"/>
  <c r="O123" i="76" s="1"/>
  <c r="L22" i="76"/>
  <c r="G25" i="76"/>
  <c r="J26" i="76"/>
  <c r="M27" i="76"/>
  <c r="K31" i="76"/>
  <c r="M22" i="76"/>
  <c r="E24" i="76"/>
  <c r="H25" i="76"/>
  <c r="K26" i="76"/>
  <c r="N27" i="76"/>
  <c r="I30" i="76"/>
  <c r="L31" i="76"/>
  <c r="L122" i="76"/>
  <c r="N22" i="76"/>
  <c r="F24" i="76"/>
  <c r="I25" i="76"/>
  <c r="L26" i="76"/>
  <c r="J30" i="76"/>
  <c r="M31" i="76"/>
  <c r="M122" i="76"/>
  <c r="J365" i="75"/>
  <c r="G24" i="76"/>
  <c r="J25" i="76"/>
  <c r="M26" i="76"/>
  <c r="E28" i="76"/>
  <c r="K30" i="76"/>
  <c r="N31" i="76"/>
  <c r="F33" i="76"/>
  <c r="L120" i="76"/>
  <c r="L366" i="75"/>
  <c r="E23" i="76"/>
  <c r="H24" i="76"/>
  <c r="K25" i="76"/>
  <c r="N26" i="76"/>
  <c r="F28" i="76"/>
  <c r="L30" i="76"/>
  <c r="M120" i="76"/>
  <c r="E22" i="76"/>
  <c r="F22" i="76"/>
  <c r="G22" i="76"/>
  <c r="M24" i="76"/>
  <c r="E26" i="76"/>
  <c r="H27" i="76"/>
  <c r="F31" i="76"/>
  <c r="H22" i="76"/>
  <c r="F26" i="76"/>
  <c r="I27" i="76"/>
  <c r="G31" i="76"/>
  <c r="I22" i="76"/>
  <c r="G26" i="76"/>
  <c r="J27" i="76"/>
  <c r="H31" i="76"/>
  <c r="J22" i="76"/>
  <c r="E65" i="74" a="1"/>
  <c r="E65" i="74" s="1"/>
  <c r="E86" i="74" s="1" a="1"/>
  <c r="E86" i="74" s="1"/>
  <c r="E124" i="74" s="1" a="1"/>
  <c r="E124" i="74" s="1"/>
  <c r="AF79" i="74"/>
  <c r="AF78" i="74"/>
  <c r="O65" i="74"/>
  <c r="J369" i="75"/>
  <c r="AC85" i="74" a="1"/>
  <c r="AC85" i="74" s="1"/>
  <c r="AC106" i="74" s="1" a="1"/>
  <c r="AC106" i="74" s="1"/>
  <c r="AC158" i="74" s="1" a="1"/>
  <c r="AC158" i="74" s="1"/>
  <c r="F29" i="74" a="1"/>
  <c r="F29" i="74" s="1"/>
  <c r="K29" i="74" s="1" a="1"/>
  <c r="K29" i="74" s="1"/>
  <c r="I67" i="74" s="1" a="1"/>
  <c r="I67" i="74" s="1"/>
  <c r="I88" i="74" s="1" a="1"/>
  <c r="I88" i="74" s="1"/>
  <c r="I126" i="74" s="1" a="1"/>
  <c r="I126" i="74" s="1"/>
  <c r="N366" i="75"/>
  <c r="M92" i="75"/>
  <c r="M88" i="75"/>
  <c r="P113" i="75"/>
  <c r="O113" i="75"/>
  <c r="N113" i="75"/>
  <c r="N100" i="75"/>
  <c r="P100" i="75"/>
  <c r="O100" i="75"/>
  <c r="L96" i="75"/>
  <c r="K96" i="75"/>
  <c r="M91" i="75"/>
  <c r="M87" i="75"/>
  <c r="P88" i="75"/>
  <c r="O88" i="75"/>
  <c r="N88" i="75"/>
  <c r="P92" i="75"/>
  <c r="O92" i="75"/>
  <c r="N92" i="75"/>
  <c r="P89" i="75"/>
  <c r="O89" i="75"/>
  <c r="O93" i="75"/>
  <c r="P93" i="75"/>
  <c r="N89" i="75"/>
  <c r="N93" i="75"/>
  <c r="L102" i="75"/>
  <c r="K102" i="75"/>
  <c r="K106" i="75"/>
  <c r="L106" i="75"/>
  <c r="L109" i="75"/>
  <c r="K109" i="75"/>
  <c r="O106" i="75"/>
  <c r="P106" i="75"/>
  <c r="N106" i="75"/>
  <c r="L110" i="75"/>
  <c r="K110" i="75"/>
  <c r="L113" i="75"/>
  <c r="K113" i="75"/>
  <c r="L116" i="75"/>
  <c r="K116" i="75"/>
  <c r="L86" i="75"/>
  <c r="L90" i="75"/>
  <c r="K86" i="75"/>
  <c r="K90" i="75"/>
  <c r="O99" i="75"/>
  <c r="P99" i="75"/>
  <c r="N99" i="75"/>
  <c r="O103" i="75"/>
  <c r="P103" i="75"/>
  <c r="N103" i="75"/>
  <c r="M86" i="75"/>
  <c r="M90" i="75"/>
  <c r="N107" i="75"/>
  <c r="P107" i="75"/>
  <c r="O107" i="75"/>
  <c r="O90" i="75"/>
  <c r="N86" i="75"/>
  <c r="P86" i="75"/>
  <c r="O86" i="75"/>
  <c r="N90" i="75"/>
  <c r="P90" i="75"/>
  <c r="P114" i="75"/>
  <c r="O114" i="75"/>
  <c r="N114" i="75"/>
  <c r="K95" i="75"/>
  <c r="L95" i="75"/>
  <c r="I87" i="75"/>
  <c r="I91" i="75"/>
  <c r="J88" i="75"/>
  <c r="J92" i="75"/>
  <c r="K99" i="75"/>
  <c r="L99" i="75"/>
  <c r="L103" i="75"/>
  <c r="K103" i="75"/>
  <c r="O110" i="75"/>
  <c r="P110" i="75"/>
  <c r="N110" i="75"/>
  <c r="G93" i="75"/>
  <c r="G89" i="75"/>
  <c r="O117" i="75"/>
  <c r="N117" i="75"/>
  <c r="P117" i="75"/>
  <c r="G88" i="75"/>
  <c r="G92" i="75"/>
  <c r="L94" i="75"/>
  <c r="K94" i="75"/>
  <c r="P96" i="75"/>
  <c r="N96" i="75"/>
  <c r="O96" i="75"/>
  <c r="G87" i="75"/>
  <c r="G91" i="75"/>
  <c r="L97" i="75"/>
  <c r="K97" i="75"/>
  <c r="H91" i="75"/>
  <c r="H87" i="75"/>
  <c r="I92" i="75"/>
  <c r="I88" i="75"/>
  <c r="L117" i="75"/>
  <c r="K117" i="75"/>
  <c r="J87" i="75"/>
  <c r="J91" i="75"/>
  <c r="L88" i="75"/>
  <c r="K88" i="75"/>
  <c r="L92" i="75"/>
  <c r="K92" i="75"/>
  <c r="G86" i="75"/>
  <c r="G146" i="75" s="1"/>
  <c r="F225" i="75"/>
  <c r="F229" i="75"/>
  <c r="I86" i="75"/>
  <c r="I146" i="75" s="1"/>
  <c r="K98" i="75"/>
  <c r="G223" i="75"/>
  <c r="G227" i="75"/>
  <c r="H224" i="75"/>
  <c r="H228" i="75"/>
  <c r="G225" i="75"/>
  <c r="G229" i="75"/>
  <c r="F230" i="75"/>
  <c r="F226" i="75"/>
  <c r="P245" i="75"/>
  <c r="O245" i="75"/>
  <c r="N245" i="75"/>
  <c r="P248" i="75"/>
  <c r="O248" i="75"/>
  <c r="N248" i="75"/>
  <c r="P250" i="75"/>
  <c r="O250" i="75"/>
  <c r="N250" i="75"/>
  <c r="J93" i="75"/>
  <c r="J89" i="75"/>
  <c r="H225" i="75"/>
  <c r="H229" i="75"/>
  <c r="L108" i="75"/>
  <c r="K108" i="75"/>
  <c r="H223" i="75"/>
  <c r="H227" i="75"/>
  <c r="I225" i="75"/>
  <c r="I229" i="75"/>
  <c r="G226" i="75"/>
  <c r="G230" i="75"/>
  <c r="L89" i="75"/>
  <c r="L93" i="75"/>
  <c r="K107" i="75"/>
  <c r="K114" i="75"/>
  <c r="J229" i="75"/>
  <c r="J225" i="75"/>
  <c r="O95" i="75"/>
  <c r="N95" i="75"/>
  <c r="L87" i="75"/>
  <c r="J224" i="75"/>
  <c r="J228" i="75"/>
  <c r="L225" i="75"/>
  <c r="L229" i="75"/>
  <c r="K225" i="75"/>
  <c r="K229" i="75"/>
  <c r="I226" i="75"/>
  <c r="I230" i="75"/>
  <c r="J90" i="75"/>
  <c r="J86" i="75"/>
  <c r="M93" i="75"/>
  <c r="M89" i="75"/>
  <c r="P108" i="75"/>
  <c r="O108" i="75"/>
  <c r="N87" i="75"/>
  <c r="P91" i="75"/>
  <c r="P95" i="75"/>
  <c r="L111" i="75"/>
  <c r="J226" i="75"/>
  <c r="J230" i="75"/>
  <c r="H92" i="75"/>
  <c r="H148" i="75" s="1"/>
  <c r="K227" i="75"/>
  <c r="L223" i="75"/>
  <c r="K223" i="75"/>
  <c r="L227" i="75"/>
  <c r="L224" i="75"/>
  <c r="L228" i="75"/>
  <c r="K224" i="75"/>
  <c r="K228" i="75"/>
  <c r="L226" i="75"/>
  <c r="L230" i="75"/>
  <c r="K226" i="75"/>
  <c r="K230" i="75"/>
  <c r="K233" i="75"/>
  <c r="L233" i="75"/>
  <c r="O101" i="75"/>
  <c r="N101" i="75"/>
  <c r="K87" i="75"/>
  <c r="K91" i="75"/>
  <c r="L115" i="75"/>
  <c r="M223" i="75"/>
  <c r="M227" i="75"/>
  <c r="M226" i="75"/>
  <c r="M230" i="75"/>
  <c r="N108" i="75"/>
  <c r="N115" i="75"/>
  <c r="P223" i="75"/>
  <c r="P227" i="75"/>
  <c r="O223" i="75"/>
  <c r="O227" i="75"/>
  <c r="N223" i="75"/>
  <c r="N227" i="75"/>
  <c r="M224" i="75"/>
  <c r="M228" i="75"/>
  <c r="P225" i="75"/>
  <c r="P229" i="75"/>
  <c r="O225" i="75"/>
  <c r="O229" i="75"/>
  <c r="N225" i="75"/>
  <c r="N229" i="75"/>
  <c r="N230" i="75"/>
  <c r="P226" i="75"/>
  <c r="P230" i="75"/>
  <c r="O226" i="75"/>
  <c r="O230" i="75"/>
  <c r="N226" i="75"/>
  <c r="L231" i="75"/>
  <c r="K231" i="75"/>
  <c r="O233" i="75"/>
  <c r="P233" i="75"/>
  <c r="N233" i="75"/>
  <c r="L234" i="75"/>
  <c r="K234" i="75"/>
  <c r="L237" i="75"/>
  <c r="K237" i="75"/>
  <c r="L240" i="75"/>
  <c r="K240" i="75"/>
  <c r="L253" i="75"/>
  <c r="K253" i="75"/>
  <c r="K105" i="75"/>
  <c r="K112" i="75"/>
  <c r="P115" i="75"/>
  <c r="P105" i="75"/>
  <c r="N105" i="75"/>
  <c r="N111" i="75"/>
  <c r="P111" i="75"/>
  <c r="K100" i="75"/>
  <c r="L100" i="75"/>
  <c r="K66" i="74" a="1"/>
  <c r="K66" i="74" s="1"/>
  <c r="K87" i="74" s="1" a="1"/>
  <c r="K87" i="74" s="1"/>
  <c r="K125" i="74" s="1" a="1"/>
  <c r="K125" i="74" s="1"/>
  <c r="I89" i="75"/>
  <c r="I149" i="75" s="1"/>
  <c r="K93" i="75"/>
  <c r="K101" i="75"/>
  <c r="N228" i="75"/>
  <c r="P224" i="75"/>
  <c r="O224" i="75"/>
  <c r="P228" i="75"/>
  <c r="N224" i="75"/>
  <c r="O228" i="75"/>
  <c r="P231" i="75"/>
  <c r="O231" i="75"/>
  <c r="N231" i="75"/>
  <c r="O234" i="75"/>
  <c r="N234" i="75"/>
  <c r="P234" i="75"/>
  <c r="P237" i="75"/>
  <c r="O237" i="75"/>
  <c r="N237" i="75"/>
  <c r="K241" i="75"/>
  <c r="L241" i="75"/>
  <c r="L244" i="75"/>
  <c r="K244" i="75"/>
  <c r="L247" i="75"/>
  <c r="K247" i="75"/>
  <c r="L251" i="75"/>
  <c r="K251" i="75"/>
  <c r="P104" i="75"/>
  <c r="N104" i="75"/>
  <c r="P102" i="75"/>
  <c r="N102" i="75"/>
  <c r="P109" i="75"/>
  <c r="O109" i="75"/>
  <c r="N109" i="75"/>
  <c r="O91" i="75"/>
  <c r="N91" i="75"/>
  <c r="O87" i="75"/>
  <c r="H93" i="75"/>
  <c r="H89" i="75"/>
  <c r="F102" i="75"/>
  <c r="F106" i="75"/>
  <c r="K89" i="75"/>
  <c r="P101" i="75"/>
  <c r="O105" i="75"/>
  <c r="F228" i="75"/>
  <c r="F224" i="75"/>
  <c r="P116" i="75"/>
  <c r="N116" i="75"/>
  <c r="P98" i="75"/>
  <c r="N98" i="75"/>
  <c r="P112" i="75"/>
  <c r="N112" i="75"/>
  <c r="H90" i="75"/>
  <c r="H86" i="75"/>
  <c r="P94" i="75"/>
  <c r="N94" i="75"/>
  <c r="N97" i="75"/>
  <c r="O97" i="75"/>
  <c r="L104" i="75"/>
  <c r="K104" i="75"/>
  <c r="O116" i="75"/>
  <c r="F223" i="75"/>
  <c r="F227" i="75"/>
  <c r="P238" i="75"/>
  <c r="O238" i="75"/>
  <c r="N238" i="75"/>
  <c r="N241" i="75"/>
  <c r="P241" i="75"/>
  <c r="O241" i="75"/>
  <c r="P244" i="75"/>
  <c r="O244" i="75"/>
  <c r="N244" i="75"/>
  <c r="L248" i="75"/>
  <c r="K248" i="75"/>
  <c r="P252" i="75"/>
  <c r="O252" i="75"/>
  <c r="N252" i="75"/>
  <c r="P236" i="75"/>
  <c r="O236" i="75"/>
  <c r="N236" i="75"/>
  <c r="P239" i="75"/>
  <c r="O239" i="75"/>
  <c r="N239" i="75"/>
  <c r="N242" i="75"/>
  <c r="P242" i="75"/>
  <c r="O242" i="75"/>
  <c r="L243" i="75"/>
  <c r="K243" i="75"/>
  <c r="L246" i="75"/>
  <c r="K246" i="75"/>
  <c r="L249" i="75"/>
  <c r="K249" i="75"/>
  <c r="P253" i="75"/>
  <c r="O253" i="75"/>
  <c r="N253" i="75"/>
  <c r="L254" i="75"/>
  <c r="K254" i="75"/>
  <c r="L250" i="75"/>
  <c r="K250" i="75"/>
  <c r="P240" i="75"/>
  <c r="O240" i="75"/>
  <c r="N240" i="75"/>
  <c r="P243" i="75"/>
  <c r="O243" i="75"/>
  <c r="N243" i="75"/>
  <c r="O246" i="75"/>
  <c r="N246" i="75"/>
  <c r="P246" i="75"/>
  <c r="N249" i="75"/>
  <c r="P249" i="75"/>
  <c r="O249" i="75"/>
  <c r="H226" i="75"/>
  <c r="H230" i="75"/>
  <c r="P254" i="75"/>
  <c r="O254" i="75"/>
  <c r="N254" i="75"/>
  <c r="L232" i="75"/>
  <c r="K232" i="75"/>
  <c r="L235" i="75"/>
  <c r="K235" i="75"/>
  <c r="L238" i="75"/>
  <c r="K238" i="75"/>
  <c r="I223" i="75"/>
  <c r="I227" i="75"/>
  <c r="G224" i="75"/>
  <c r="G228" i="75"/>
  <c r="M225" i="75"/>
  <c r="M229" i="75"/>
  <c r="P247" i="75"/>
  <c r="O247" i="75"/>
  <c r="N247" i="75"/>
  <c r="J223" i="75"/>
  <c r="J227" i="75"/>
  <c r="P232" i="75"/>
  <c r="O232" i="75"/>
  <c r="N232" i="75"/>
  <c r="P235" i="75"/>
  <c r="O235" i="75"/>
  <c r="N235" i="75"/>
  <c r="L236" i="75"/>
  <c r="K236" i="75"/>
  <c r="L239" i="75"/>
  <c r="K239" i="75"/>
  <c r="L242" i="75"/>
  <c r="K242" i="75"/>
  <c r="L245" i="75"/>
  <c r="K245" i="75"/>
  <c r="O251" i="75"/>
  <c r="N251" i="75"/>
  <c r="P251" i="75"/>
  <c r="L252" i="75"/>
  <c r="K252" i="75"/>
  <c r="I224" i="75"/>
  <c r="I228" i="75"/>
  <c r="J364" i="75"/>
  <c r="L364" i="75"/>
  <c r="J362" i="75"/>
  <c r="N364" i="75"/>
  <c r="L362" i="75"/>
  <c r="N362" i="75"/>
  <c r="L367" i="75"/>
  <c r="N367" i="75"/>
  <c r="L365" i="75"/>
  <c r="J363" i="75"/>
  <c r="N365" i="75"/>
  <c r="L363" i="75"/>
  <c r="N363" i="75"/>
  <c r="J368" i="75"/>
  <c r="L368" i="75"/>
  <c r="J366" i="75"/>
  <c r="N368" i="75"/>
  <c r="V77" i="74" a="1"/>
  <c r="V77" i="74" s="1"/>
  <c r="V98" i="74" s="1" a="1"/>
  <c r="V98" i="74" s="1"/>
  <c r="V150" i="74" s="1" a="1"/>
  <c r="V150" i="74" s="1"/>
  <c r="AC86" i="74" a="1"/>
  <c r="AC86" i="74" s="1"/>
  <c r="AC107" i="74" s="1" a="1"/>
  <c r="AC107" i="74" s="1"/>
  <c r="AC159" i="74" s="1" a="1"/>
  <c r="AC159" i="74" s="1"/>
  <c r="F65" i="74" a="1"/>
  <c r="F65" i="74" s="1"/>
  <c r="F86" i="74" s="1" a="1"/>
  <c r="F86" i="74" s="1"/>
  <c r="F124" i="74" s="1" a="1"/>
  <c r="F124" i="74" s="1"/>
  <c r="M65" i="74" a="1"/>
  <c r="M65" i="74" s="1"/>
  <c r="M86" i="74" s="1" a="1"/>
  <c r="M86" i="74" s="1"/>
  <c r="M124" i="74" s="1" a="1"/>
  <c r="M124" i="74" s="1"/>
  <c r="AC81" i="74" a="1"/>
  <c r="AC81" i="74" s="1"/>
  <c r="AC102" i="74" s="1" a="1"/>
  <c r="AC102" i="74" s="1"/>
  <c r="AC154" i="74" s="1" a="1"/>
  <c r="AC154" i="74" s="1"/>
  <c r="AD81" i="74" a="1"/>
  <c r="AD81" i="74" s="1"/>
  <c r="AD102" i="74" s="1" a="1"/>
  <c r="AD102" i="74" s="1"/>
  <c r="AD154" i="74" s="1" a="1"/>
  <c r="AD154" i="74" s="1"/>
  <c r="AC83" i="74" a="1"/>
  <c r="AC83" i="74" s="1"/>
  <c r="AC104" i="74" s="1" a="1"/>
  <c r="AC104" i="74" s="1"/>
  <c r="AC156" i="74" s="1" a="1"/>
  <c r="AC156" i="74" s="1"/>
  <c r="AC87" i="74" a="1"/>
  <c r="AC87" i="74" s="1"/>
  <c r="AC108" i="74" s="1" a="1"/>
  <c r="AC108" i="74" s="1"/>
  <c r="AC160" i="74" s="1" a="1"/>
  <c r="AC160" i="74" s="1"/>
  <c r="E35" i="74"/>
  <c r="E94" i="74"/>
  <c r="E73" i="74"/>
  <c r="AH37" i="74"/>
  <c r="Q26" i="74"/>
  <c r="AH39" i="74"/>
  <c r="Q27" i="74"/>
  <c r="AH31" i="74"/>
  <c r="Q28" i="74"/>
  <c r="Q29" i="74"/>
  <c r="AH34" i="74"/>
  <c r="AH30" i="74"/>
  <c r="AH36" i="74"/>
  <c r="AH28" i="74"/>
  <c r="AH32" i="74"/>
  <c r="AH38" i="74"/>
  <c r="AH33" i="74"/>
  <c r="AH35" i="74"/>
  <c r="AH29" i="74"/>
  <c r="AF149" i="74"/>
  <c r="O123" i="74"/>
  <c r="F128" i="74"/>
  <c r="O85" i="74"/>
  <c r="AF97" i="74"/>
  <c r="K28" i="74" a="1"/>
  <c r="K28" i="74" s="1"/>
  <c r="I66" i="74" s="1" a="1"/>
  <c r="I66" i="74" s="1"/>
  <c r="I87" i="74" s="1" a="1"/>
  <c r="I87" i="74" s="1"/>
  <c r="I125" i="74" s="1" a="1"/>
  <c r="I125" i="74" s="1"/>
  <c r="L28" i="74" a="1"/>
  <c r="L28" i="74" s="1"/>
  <c r="J66" i="74" s="1" a="1"/>
  <c r="J66" i="74" s="1"/>
  <c r="J87" i="74" s="1" a="1"/>
  <c r="J87" i="74" s="1"/>
  <c r="J125" i="74" s="1" a="1"/>
  <c r="J125" i="74" s="1"/>
  <c r="AD79" i="74" a="1"/>
  <c r="AD79" i="74" s="1"/>
  <c r="AD100" i="74" s="1" a="1"/>
  <c r="AD100" i="74" s="1"/>
  <c r="AD152" i="74" s="1" a="1"/>
  <c r="AD152" i="74" s="1"/>
  <c r="W81" i="74" a="1"/>
  <c r="W81" i="74" s="1"/>
  <c r="W102" i="74" s="1" a="1"/>
  <c r="W102" i="74" s="1"/>
  <c r="W154" i="74" s="1" a="1"/>
  <c r="W154" i="74" s="1"/>
  <c r="AE84" i="74" a="1"/>
  <c r="AE84" i="74" s="1"/>
  <c r="AE105" i="74" s="1" a="1"/>
  <c r="AE105" i="74" s="1"/>
  <c r="AE157" i="74" s="1" a="1"/>
  <c r="AE157" i="74" s="1"/>
  <c r="V81" i="74" a="1"/>
  <c r="V81" i="74" s="1"/>
  <c r="V102" i="74" s="1" a="1"/>
  <c r="V102" i="74" s="1"/>
  <c r="V154" i="74" s="1" a="1"/>
  <c r="V154" i="74" s="1"/>
  <c r="W80" i="74" a="1"/>
  <c r="W80" i="74" s="1"/>
  <c r="W101" i="74" s="1" a="1"/>
  <c r="W101" i="74" s="1"/>
  <c r="W153" i="74" s="1" a="1"/>
  <c r="W153" i="74" s="1"/>
  <c r="V78" i="74" a="1"/>
  <c r="V78" i="74" s="1"/>
  <c r="V99" i="74" s="1" a="1"/>
  <c r="V99" i="74" s="1"/>
  <c r="V151" i="74" s="1" a="1"/>
  <c r="V151" i="74" s="1"/>
  <c r="V60" i="74"/>
  <c r="W87" i="74" a="1"/>
  <c r="W87" i="74" s="1"/>
  <c r="W108" i="74" s="1" a="1"/>
  <c r="W108" i="74" s="1"/>
  <c r="W160" i="74" s="1" a="1"/>
  <c r="W160" i="74" s="1"/>
  <c r="W86" i="74" a="1"/>
  <c r="W86" i="74" s="1"/>
  <c r="W107" i="74" s="1" a="1"/>
  <c r="W107" i="74" s="1"/>
  <c r="W159" i="74" s="1" a="1"/>
  <c r="W159" i="74" s="1"/>
  <c r="W85" i="74" a="1"/>
  <c r="W85" i="74" s="1"/>
  <c r="W106" i="74" s="1" a="1"/>
  <c r="W106" i="74" s="1"/>
  <c r="W158" i="74" s="1" a="1"/>
  <c r="W158" i="74" s="1"/>
  <c r="W83" i="74" a="1"/>
  <c r="W83" i="74" s="1"/>
  <c r="W104" i="74" s="1" a="1"/>
  <c r="W104" i="74" s="1"/>
  <c r="W156" i="74" s="1" a="1"/>
  <c r="W156" i="74" s="1"/>
  <c r="V79" i="74" a="1"/>
  <c r="V79" i="74" s="1"/>
  <c r="V100" i="74" s="1" a="1"/>
  <c r="V100" i="74" s="1"/>
  <c r="V152" i="74" s="1" a="1"/>
  <c r="V152" i="74" s="1"/>
  <c r="X78" i="74" a="1"/>
  <c r="X78" i="74" s="1"/>
  <c r="X99" i="74" s="1" a="1"/>
  <c r="X99" i="74" s="1"/>
  <c r="X151" i="74" s="1" a="1"/>
  <c r="X151" i="74" s="1"/>
  <c r="AE76" i="74" a="1"/>
  <c r="AE76" i="74" s="1"/>
  <c r="AE97" i="74" s="1" a="1"/>
  <c r="AE97" i="74" s="1"/>
  <c r="AE149" i="74" s="1" a="1"/>
  <c r="AE149" i="74" s="1"/>
  <c r="W76" i="74" a="1"/>
  <c r="W76" i="74" s="1"/>
  <c r="W97" i="74" s="1" a="1"/>
  <c r="W97" i="74" s="1"/>
  <c r="W149" i="74" s="1" a="1"/>
  <c r="W149" i="74" s="1"/>
  <c r="E27" i="74" a="1"/>
  <c r="E27" i="74" s="1"/>
  <c r="F27" i="74" s="1" a="1"/>
  <c r="F27" i="74" s="1"/>
  <c r="W78" i="74" a="1"/>
  <c r="W78" i="74" s="1"/>
  <c r="W99" i="74" s="1" a="1"/>
  <c r="W99" i="74" s="1"/>
  <c r="W151" i="74" s="1" a="1"/>
  <c r="W151" i="74" s="1"/>
  <c r="V36" i="74" a="1"/>
  <c r="V36" i="74" s="1"/>
  <c r="W36" i="74" s="1" a="1"/>
  <c r="W36" i="74" s="1"/>
  <c r="AC36" i="74" s="1" a="1"/>
  <c r="AC36" i="74" s="1"/>
  <c r="AA84" i="74" s="1" a="1"/>
  <c r="AA84" i="74" s="1"/>
  <c r="AA105" i="74" s="1" a="1"/>
  <c r="AA105" i="74" s="1"/>
  <c r="AA157" i="74" s="1" a="1"/>
  <c r="AA157" i="74" s="1"/>
  <c r="V37" i="74" a="1"/>
  <c r="V37" i="74" s="1"/>
  <c r="W37" i="74" s="1" a="1"/>
  <c r="W37" i="74" s="1"/>
  <c r="AD76" i="74" a="1"/>
  <c r="AD76" i="74" s="1"/>
  <c r="AD97" i="74" s="1" a="1"/>
  <c r="AD97" i="74" s="1"/>
  <c r="AD149" i="74" s="1" a="1"/>
  <c r="AD149" i="74" s="1"/>
  <c r="AB83" i="74" a="1"/>
  <c r="AB83" i="74" s="1"/>
  <c r="AB104" i="74" s="1" a="1"/>
  <c r="AB104" i="74" s="1"/>
  <c r="AB156" i="74" s="1" a="1"/>
  <c r="AB156" i="74" s="1"/>
  <c r="AC77" i="74" a="1"/>
  <c r="AC77" i="74" s="1"/>
  <c r="AC98" i="74" s="1" a="1"/>
  <c r="AC98" i="74" s="1"/>
  <c r="AC150" i="74" s="1" a="1"/>
  <c r="AC150" i="74" s="1"/>
  <c r="AB80" i="74" a="1"/>
  <c r="AB80" i="74" s="1"/>
  <c r="AB101" i="74" s="1" a="1"/>
  <c r="AB101" i="74" s="1"/>
  <c r="AB153" i="74" s="1" a="1"/>
  <c r="AB153" i="74" s="1"/>
  <c r="V29" i="74" a="1"/>
  <c r="V29" i="74" s="1"/>
  <c r="W29" i="74" s="1" a="1"/>
  <c r="W29" i="74" s="1"/>
  <c r="AB29" i="74" s="1" a="1"/>
  <c r="AB29" i="74" s="1"/>
  <c r="Z77" i="74" s="1" a="1"/>
  <c r="Z77" i="74" s="1"/>
  <c r="Z98" i="74" s="1" a="1"/>
  <c r="Z98" i="74" s="1"/>
  <c r="Z150" i="74" s="1" a="1"/>
  <c r="Z150" i="74" s="1"/>
  <c r="AD77" i="74" a="1"/>
  <c r="AD77" i="74" s="1"/>
  <c r="AD98" i="74" s="1" a="1"/>
  <c r="AD98" i="74" s="1"/>
  <c r="AD150" i="74" s="1" a="1"/>
  <c r="AD150" i="74" s="1"/>
  <c r="V32" i="74" a="1"/>
  <c r="V32" i="74" s="1"/>
  <c r="W32" i="74" s="1" a="1"/>
  <c r="W32" i="74" s="1"/>
  <c r="V33" i="74" a="1"/>
  <c r="V33" i="74" s="1"/>
  <c r="W33" i="74" s="1" a="1"/>
  <c r="W33" i="74" s="1"/>
  <c r="V34" i="74" a="1"/>
  <c r="V34" i="74" s="1"/>
  <c r="W34" i="74" s="1" a="1"/>
  <c r="W34" i="74" s="1"/>
  <c r="AC34" i="74" s="1" a="1"/>
  <c r="AC34" i="74" s="1"/>
  <c r="AA82" i="74" s="1" a="1"/>
  <c r="AA82" i="74" s="1"/>
  <c r="AA103" i="74" s="1" a="1"/>
  <c r="AA103" i="74" s="1"/>
  <c r="AA155" i="74" s="1" a="1"/>
  <c r="AA155" i="74" s="1"/>
  <c r="V28" i="74" a="1"/>
  <c r="V28" i="74" s="1"/>
  <c r="V39" i="74" a="1"/>
  <c r="V39" i="74" s="1"/>
  <c r="V30" i="74" a="1"/>
  <c r="V30" i="74" s="1"/>
  <c r="W30" i="74" s="1" a="1"/>
  <c r="W30" i="74" s="1"/>
  <c r="AB30" i="74" s="1" a="1"/>
  <c r="AB30" i="74" s="1"/>
  <c r="Z78" i="74" s="1" a="1"/>
  <c r="Z78" i="74" s="1"/>
  <c r="Z99" i="74" s="1" a="1"/>
  <c r="Z99" i="74" s="1"/>
  <c r="Z151" i="74" s="1" a="1"/>
  <c r="Z151" i="74" s="1"/>
  <c r="V35" i="74" a="1"/>
  <c r="V35" i="74" s="1"/>
  <c r="W35" i="74" s="1" a="1"/>
  <c r="W35" i="74" s="1"/>
  <c r="AA35" i="74" s="1" a="1"/>
  <c r="AA35" i="74" s="1"/>
  <c r="Y83" i="74" s="1" a="1"/>
  <c r="Y83" i="74" s="1"/>
  <c r="Y104" i="74" s="1" a="1"/>
  <c r="Y104" i="74" s="1"/>
  <c r="Y156" i="74" s="1" a="1"/>
  <c r="Y156" i="74" s="1"/>
  <c r="AB87" i="74" a="1"/>
  <c r="AB87" i="74" s="1"/>
  <c r="AB108" i="74" s="1" a="1"/>
  <c r="AB108" i="74" s="1"/>
  <c r="AB160" i="74" s="1" a="1"/>
  <c r="AB160" i="74" s="1"/>
  <c r="AE77" i="74" a="1"/>
  <c r="AE77" i="74" s="1"/>
  <c r="AE98" i="74" s="1" a="1"/>
  <c r="AE98" i="74" s="1"/>
  <c r="AE150" i="74" s="1" a="1"/>
  <c r="AE150" i="74" s="1"/>
  <c r="AD80" i="74" a="1"/>
  <c r="AD80" i="74" s="1"/>
  <c r="AD101" i="74" s="1" a="1"/>
  <c r="AD101" i="74" s="1"/>
  <c r="AD153" i="74" s="1" a="1"/>
  <c r="AD153" i="74" s="1"/>
  <c r="V38" i="74" a="1"/>
  <c r="V38" i="74" s="1"/>
  <c r="AC80" i="74" a="1"/>
  <c r="AC80" i="74" s="1"/>
  <c r="AC101" i="74" s="1" a="1"/>
  <c r="AC101" i="74" s="1"/>
  <c r="AC153" i="74" s="1" a="1"/>
  <c r="AC153" i="74" s="1"/>
  <c r="M67" i="74" a="1"/>
  <c r="M67" i="74" s="1"/>
  <c r="M88" i="74" s="1" a="1"/>
  <c r="M88" i="74" s="1"/>
  <c r="M126" i="74" s="1" a="1"/>
  <c r="M126" i="74" s="1"/>
  <c r="F67" i="74" a="1"/>
  <c r="F67" i="74" s="1"/>
  <c r="F88" i="74" s="1" a="1"/>
  <c r="F88" i="74" s="1"/>
  <c r="F126" i="74" s="1" a="1"/>
  <c r="F126" i="74" s="1"/>
  <c r="N65" i="74" a="1"/>
  <c r="N65" i="74" s="1"/>
  <c r="N86" i="74" s="1" a="1"/>
  <c r="N86" i="74" s="1"/>
  <c r="N124" i="74" s="1" a="1"/>
  <c r="N124" i="74" s="1"/>
  <c r="G65" i="74" a="1"/>
  <c r="G65" i="74" s="1"/>
  <c r="G86" i="74" s="1" a="1"/>
  <c r="G86" i="74" s="1"/>
  <c r="G124" i="74" s="1" a="1"/>
  <c r="G124" i="74" s="1"/>
  <c r="K64" i="74" a="1"/>
  <c r="K64" i="74" s="1"/>
  <c r="K85" i="74" s="1" a="1"/>
  <c r="K85" i="74" s="1"/>
  <c r="K123" i="74" s="1" a="1"/>
  <c r="K123" i="74" s="1"/>
  <c r="L66" i="74" a="1"/>
  <c r="L66" i="74" s="1"/>
  <c r="L87" i="74" s="1" a="1"/>
  <c r="L87" i="74" s="1"/>
  <c r="L125" i="74" s="1" a="1"/>
  <c r="L125" i="74" s="1"/>
  <c r="E66" i="74" a="1"/>
  <c r="E66" i="74" s="1"/>
  <c r="E87" i="74" s="1" a="1"/>
  <c r="E87" i="74" s="1"/>
  <c r="E125" i="74" s="1" a="1"/>
  <c r="E125" i="74" s="1"/>
  <c r="M64" i="74" a="1"/>
  <c r="M64" i="74" s="1"/>
  <c r="M85" i="74" s="1" a="1"/>
  <c r="M85" i="74" s="1"/>
  <c r="M123" i="74" s="1" a="1"/>
  <c r="M123" i="74" s="1"/>
  <c r="N67" i="74" a="1"/>
  <c r="N67" i="74" s="1"/>
  <c r="N88" i="74" s="1" a="1"/>
  <c r="N88" i="74" s="1"/>
  <c r="N126" i="74" s="1" a="1"/>
  <c r="N126" i="74" s="1"/>
  <c r="J28" i="74" a="1"/>
  <c r="J28" i="74" s="1"/>
  <c r="H66" i="74" s="1" a="1"/>
  <c r="H66" i="74" s="1"/>
  <c r="H87" i="74" s="1" a="1"/>
  <c r="H87" i="74" s="1"/>
  <c r="H125" i="74" s="1" a="1"/>
  <c r="H125" i="74" s="1"/>
  <c r="E48" i="74"/>
  <c r="E64" i="74" s="1" a="1"/>
  <c r="E64" i="74" s="1"/>
  <c r="E85" i="74" s="1" a="1"/>
  <c r="E85" i="74" s="1"/>
  <c r="E123" i="74" s="1" a="1"/>
  <c r="E123" i="74" s="1"/>
  <c r="G64" i="74" a="1"/>
  <c r="G64" i="74" s="1"/>
  <c r="G85" i="74" s="1" a="1"/>
  <c r="G85" i="74" s="1"/>
  <c r="G123" i="74" s="1" a="1"/>
  <c r="G123" i="74" s="1"/>
  <c r="O64" i="74"/>
  <c r="L65" i="74" a="1"/>
  <c r="L65" i="74" s="1"/>
  <c r="L86" i="74" s="1" a="1"/>
  <c r="L86" i="74" s="1"/>
  <c r="L124" i="74" s="1" a="1"/>
  <c r="L124" i="74" s="1"/>
  <c r="AB77" i="74" a="1"/>
  <c r="AB77" i="74" s="1"/>
  <c r="AB98" i="74" s="1" a="1"/>
  <c r="AB98" i="74" s="1"/>
  <c r="AB150" i="74" s="1" a="1"/>
  <c r="AB150" i="74" s="1"/>
  <c r="W79" i="74" a="1"/>
  <c r="W79" i="74" s="1"/>
  <c r="W100" i="74" s="1" a="1"/>
  <c r="W100" i="74" s="1"/>
  <c r="W152" i="74" s="1" a="1"/>
  <c r="W152" i="74" s="1"/>
  <c r="X84" i="74" a="1"/>
  <c r="X84" i="74" s="1"/>
  <c r="X105" i="74" s="1" a="1"/>
  <c r="X105" i="74" s="1"/>
  <c r="X157" i="74" s="1" a="1"/>
  <c r="X157" i="74" s="1"/>
  <c r="AF87" i="74"/>
  <c r="AF86" i="74"/>
  <c r="AF85" i="74"/>
  <c r="AF80" i="74"/>
  <c r="AF83" i="74"/>
  <c r="O67" i="74"/>
  <c r="G67" i="74" a="1"/>
  <c r="G67" i="74" s="1"/>
  <c r="G88" i="74" s="1" a="1"/>
  <c r="G88" i="74" s="1"/>
  <c r="G126" i="74" s="1" a="1"/>
  <c r="G126" i="74" s="1"/>
  <c r="X76" i="74" a="1"/>
  <c r="X76" i="74" s="1"/>
  <c r="X97" i="74" s="1" a="1"/>
  <c r="X97" i="74" s="1"/>
  <c r="X149" i="74" s="1" a="1"/>
  <c r="X149" i="74" s="1"/>
  <c r="AF76" i="74"/>
  <c r="X83" i="74" a="1"/>
  <c r="X83" i="74" s="1"/>
  <c r="X104" i="74" s="1" a="1"/>
  <c r="X104" i="74" s="1"/>
  <c r="X156" i="74" s="1" a="1"/>
  <c r="X156" i="74" s="1"/>
  <c r="X85" i="74" a="1"/>
  <c r="X85" i="74" s="1"/>
  <c r="X106" i="74" s="1" a="1"/>
  <c r="X106" i="74" s="1"/>
  <c r="X158" i="74" s="1" a="1"/>
  <c r="X158" i="74" s="1"/>
  <c r="X86" i="74" a="1"/>
  <c r="X86" i="74" s="1"/>
  <c r="X107" i="74" s="1" a="1"/>
  <c r="X107" i="74" s="1"/>
  <c r="X159" i="74" s="1" a="1"/>
  <c r="X159" i="74" s="1"/>
  <c r="X87" i="74" a="1"/>
  <c r="X87" i="74" s="1"/>
  <c r="X108" i="74" s="1" a="1"/>
  <c r="X108" i="74" s="1"/>
  <c r="X160" i="74" s="1" a="1"/>
  <c r="X160" i="74" s="1"/>
  <c r="M66" i="74" a="1"/>
  <c r="M66" i="74" s="1"/>
  <c r="M87" i="74" s="1" a="1"/>
  <c r="M87" i="74" s="1"/>
  <c r="M125" i="74" s="1" a="1"/>
  <c r="M125" i="74" s="1"/>
  <c r="W77" i="74" a="1"/>
  <c r="W77" i="74" s="1"/>
  <c r="W98" i="74" s="1" a="1"/>
  <c r="W98" i="74" s="1"/>
  <c r="W150" i="74" s="1" a="1"/>
  <c r="W150" i="74" s="1"/>
  <c r="AF77" i="74"/>
  <c r="AC78" i="74" a="1"/>
  <c r="AC78" i="74" s="1"/>
  <c r="AC99" i="74" s="1" a="1"/>
  <c r="AC99" i="74" s="1"/>
  <c r="AC151" i="74" s="1" a="1"/>
  <c r="AC151" i="74" s="1"/>
  <c r="AB82" i="74" a="1"/>
  <c r="AB82" i="74" s="1"/>
  <c r="AB103" i="74" s="1" a="1"/>
  <c r="AB103" i="74" s="1"/>
  <c r="AB155" i="74" s="1" a="1"/>
  <c r="AB155" i="74" s="1"/>
  <c r="AB85" i="74" a="1"/>
  <c r="AB85" i="74" s="1"/>
  <c r="AB106" i="74" s="1" a="1"/>
  <c r="AB106" i="74" s="1"/>
  <c r="AB158" i="74" s="1" a="1"/>
  <c r="AB158" i="74" s="1"/>
  <c r="AB86" i="74" a="1"/>
  <c r="AB86" i="74" s="1"/>
  <c r="AB107" i="74" s="1" a="1"/>
  <c r="AB107" i="74" s="1"/>
  <c r="AB159" i="74" s="1" a="1"/>
  <c r="AB159" i="74" s="1"/>
  <c r="V44" i="74"/>
  <c r="AD84" i="74" a="1"/>
  <c r="AD84" i="74" s="1"/>
  <c r="AD105" i="74" s="1" a="1"/>
  <c r="AD105" i="74" s="1"/>
  <c r="AD157" i="74" s="1" a="1"/>
  <c r="AD157" i="74" s="1"/>
  <c r="W84" i="74" a="1"/>
  <c r="W84" i="74" s="1"/>
  <c r="W105" i="74" s="1" a="1"/>
  <c r="W105" i="74" s="1"/>
  <c r="W157" i="74" s="1" a="1"/>
  <c r="W157" i="74" s="1"/>
  <c r="AE82" i="74" a="1"/>
  <c r="AE82" i="74" s="1"/>
  <c r="AE103" i="74" s="1" a="1"/>
  <c r="AE103" i="74" s="1"/>
  <c r="AE155" i="74" s="1" a="1"/>
  <c r="AE155" i="74" s="1"/>
  <c r="X82" i="74" a="1"/>
  <c r="X82" i="74" s="1"/>
  <c r="X103" i="74" s="1" a="1"/>
  <c r="X103" i="74" s="1"/>
  <c r="X155" i="74" s="1" a="1"/>
  <c r="X155" i="74" s="1"/>
  <c r="AB81" i="74" a="1"/>
  <c r="AB81" i="74" s="1"/>
  <c r="AB102" i="74" s="1" a="1"/>
  <c r="AB102" i="74" s="1"/>
  <c r="AB154" i="74" s="1" a="1"/>
  <c r="AB154" i="74" s="1"/>
  <c r="AC84" i="74" a="1"/>
  <c r="AC84" i="74" s="1"/>
  <c r="AC105" i="74" s="1" a="1"/>
  <c r="AC105" i="74" s="1"/>
  <c r="AC157" i="74" s="1" a="1"/>
  <c r="AC157" i="74" s="1"/>
  <c r="V84" i="74" a="1"/>
  <c r="V84" i="74" s="1"/>
  <c r="V105" i="74" s="1" a="1"/>
  <c r="V105" i="74" s="1"/>
  <c r="V157" i="74" s="1" a="1"/>
  <c r="V157" i="74" s="1"/>
  <c r="AD82" i="74" a="1"/>
  <c r="AD82" i="74" s="1"/>
  <c r="AD103" i="74" s="1" a="1"/>
  <c r="AD103" i="74" s="1"/>
  <c r="AD155" i="74" s="1" a="1"/>
  <c r="AD155" i="74" s="1"/>
  <c r="W82" i="74" a="1"/>
  <c r="W82" i="74" s="1"/>
  <c r="W103" i="74" s="1" a="1"/>
  <c r="W103" i="74" s="1"/>
  <c r="W155" i="74" s="1" a="1"/>
  <c r="W155" i="74" s="1"/>
  <c r="AE80" i="74" a="1"/>
  <c r="AE80" i="74" s="1"/>
  <c r="AE101" i="74" s="1" a="1"/>
  <c r="AE101" i="74" s="1"/>
  <c r="AE153" i="74" s="1" a="1"/>
  <c r="AE153" i="74" s="1"/>
  <c r="X80" i="74" a="1"/>
  <c r="X80" i="74" s="1"/>
  <c r="X101" i="74" s="1" a="1"/>
  <c r="X101" i="74" s="1"/>
  <c r="X153" i="74" s="1" a="1"/>
  <c r="X153" i="74" s="1"/>
  <c r="AE79" i="74" a="1"/>
  <c r="AE79" i="74" s="1"/>
  <c r="AE100" i="74" s="1" a="1"/>
  <c r="AE100" i="74" s="1"/>
  <c r="AE152" i="74" s="1" a="1"/>
  <c r="AE152" i="74" s="1"/>
  <c r="X79" i="74" a="1"/>
  <c r="X79" i="74" s="1"/>
  <c r="X100" i="74" s="1" a="1"/>
  <c r="X100" i="74" s="1"/>
  <c r="X152" i="74" s="1" a="1"/>
  <c r="X152" i="74" s="1"/>
  <c r="AB78" i="74" a="1"/>
  <c r="AB78" i="74" s="1"/>
  <c r="AB99" i="74" s="1" a="1"/>
  <c r="AB99" i="74" s="1"/>
  <c r="AB151" i="74" s="1" a="1"/>
  <c r="AB151" i="74" s="1"/>
  <c r="AB84" i="74" a="1"/>
  <c r="AB84" i="74" s="1"/>
  <c r="AB105" i="74" s="1" a="1"/>
  <c r="AB105" i="74" s="1"/>
  <c r="AB157" i="74" s="1" a="1"/>
  <c r="AB157" i="74" s="1"/>
  <c r="AC82" i="74" a="1"/>
  <c r="AC82" i="74" s="1"/>
  <c r="AC103" i="74" s="1" a="1"/>
  <c r="AC103" i="74" s="1"/>
  <c r="AC155" i="74" s="1" a="1"/>
  <c r="AC155" i="74" s="1"/>
  <c r="V82" i="74" a="1"/>
  <c r="V82" i="74" s="1"/>
  <c r="V103" i="74" s="1" a="1"/>
  <c r="V103" i="74" s="1"/>
  <c r="V155" i="74" s="1" a="1"/>
  <c r="V155" i="74" s="1"/>
  <c r="F66" i="74" a="1"/>
  <c r="F66" i="74" s="1"/>
  <c r="F87" i="74" s="1" a="1"/>
  <c r="F87" i="74" s="1"/>
  <c r="F125" i="74" s="1" a="1"/>
  <c r="F125" i="74" s="1"/>
  <c r="N66" i="74" a="1"/>
  <c r="N66" i="74" s="1"/>
  <c r="N87" i="74" s="1" a="1"/>
  <c r="N87" i="74" s="1"/>
  <c r="N125" i="74" s="1" a="1"/>
  <c r="N125" i="74" s="1"/>
  <c r="K67" i="74" a="1"/>
  <c r="K67" i="74" s="1"/>
  <c r="K88" i="74" s="1" a="1"/>
  <c r="K88" i="74" s="1"/>
  <c r="K126" i="74" s="1" a="1"/>
  <c r="K126" i="74" s="1"/>
  <c r="AB76" i="74" a="1"/>
  <c r="AB76" i="74" s="1"/>
  <c r="AB97" i="74" s="1" a="1"/>
  <c r="AB97" i="74" s="1"/>
  <c r="AB149" i="74" s="1" a="1"/>
  <c r="AB149" i="74" s="1"/>
  <c r="X77" i="74" a="1"/>
  <c r="X77" i="74" s="1"/>
  <c r="X98" i="74" s="1" a="1"/>
  <c r="X98" i="74" s="1"/>
  <c r="X150" i="74" s="1" a="1"/>
  <c r="X150" i="74" s="1"/>
  <c r="AD78" i="74" a="1"/>
  <c r="AD78" i="74" s="1"/>
  <c r="AD99" i="74" s="1" a="1"/>
  <c r="AD99" i="74" s="1"/>
  <c r="AD151" i="74" s="1" a="1"/>
  <c r="AD151" i="74" s="1"/>
  <c r="AB79" i="74" a="1"/>
  <c r="AB79" i="74" s="1"/>
  <c r="AB100" i="74" s="1" a="1"/>
  <c r="AB100" i="74" s="1"/>
  <c r="AB152" i="74" s="1" a="1"/>
  <c r="AB152" i="74" s="1"/>
  <c r="V80" i="74" a="1"/>
  <c r="V80" i="74" s="1"/>
  <c r="V101" i="74" s="1" a="1"/>
  <c r="V101" i="74" s="1"/>
  <c r="V153" i="74" s="1" a="1"/>
  <c r="V153" i="74" s="1"/>
  <c r="AE81" i="74" a="1"/>
  <c r="AE81" i="74" s="1"/>
  <c r="AE102" i="74" s="1" a="1"/>
  <c r="AE102" i="74" s="1"/>
  <c r="AE154" i="74" s="1" a="1"/>
  <c r="AE154" i="74" s="1"/>
  <c r="AD83" i="74" a="1"/>
  <c r="AD83" i="74" s="1"/>
  <c r="AD104" i="74" s="1" a="1"/>
  <c r="AD104" i="74" s="1"/>
  <c r="AD156" i="74" s="1" a="1"/>
  <c r="AD156" i="74" s="1"/>
  <c r="AD85" i="74" a="1"/>
  <c r="AD85" i="74" s="1"/>
  <c r="AD106" i="74" s="1" a="1"/>
  <c r="AD106" i="74" s="1"/>
  <c r="AD158" i="74" s="1" a="1"/>
  <c r="AD158" i="74" s="1"/>
  <c r="AD86" i="74" a="1"/>
  <c r="AD86" i="74" s="1"/>
  <c r="AD107" i="74" s="1" a="1"/>
  <c r="AD107" i="74" s="1"/>
  <c r="AD159" i="74" s="1" a="1"/>
  <c r="AD159" i="74" s="1"/>
  <c r="AD87" i="74" a="1"/>
  <c r="AD87" i="74" s="1"/>
  <c r="AD108" i="74" s="1" a="1"/>
  <c r="AD108" i="74" s="1"/>
  <c r="AD160" i="74" s="1" a="1"/>
  <c r="AD160" i="74" s="1"/>
  <c r="L64" i="74" a="1"/>
  <c r="L64" i="74" s="1"/>
  <c r="L85" i="74" s="1" a="1"/>
  <c r="L85" i="74" s="1"/>
  <c r="L123" i="74" s="1" a="1"/>
  <c r="L123" i="74" s="1"/>
  <c r="G66" i="74" a="1"/>
  <c r="G66" i="74" s="1"/>
  <c r="G87" i="74" s="1" a="1"/>
  <c r="G87" i="74" s="1"/>
  <c r="G125" i="74" s="1" a="1"/>
  <c r="G125" i="74" s="1"/>
  <c r="O66" i="74"/>
  <c r="L67" i="74" a="1"/>
  <c r="L67" i="74" s="1"/>
  <c r="L88" i="74" s="1" a="1"/>
  <c r="L88" i="74" s="1"/>
  <c r="L126" i="74" s="1" a="1"/>
  <c r="L126" i="74" s="1"/>
  <c r="AC76" i="74" a="1"/>
  <c r="AC76" i="74" s="1"/>
  <c r="AC97" i="74" s="1" a="1"/>
  <c r="AC97" i="74" s="1"/>
  <c r="AC149" i="74" s="1" a="1"/>
  <c r="AC149" i="74" s="1"/>
  <c r="AE78" i="74" a="1"/>
  <c r="AE78" i="74" s="1"/>
  <c r="AE99" i="74" s="1" a="1"/>
  <c r="AE99" i="74" s="1"/>
  <c r="AE151" i="74" s="1" a="1"/>
  <c r="AE151" i="74" s="1"/>
  <c r="AC79" i="74" a="1"/>
  <c r="AC79" i="74" s="1"/>
  <c r="AC100" i="74" s="1" a="1"/>
  <c r="AC100" i="74" s="1"/>
  <c r="AC152" i="74" s="1" a="1"/>
  <c r="AC152" i="74" s="1"/>
  <c r="AF81" i="74"/>
  <c r="AF82" i="74"/>
  <c r="AE83" i="74" a="1"/>
  <c r="AE83" i="74" s="1"/>
  <c r="AE104" i="74" s="1" a="1"/>
  <c r="AE104" i="74" s="1"/>
  <c r="AE156" i="74" s="1" a="1"/>
  <c r="AE156" i="74" s="1"/>
  <c r="AE85" i="74" a="1"/>
  <c r="AE85" i="74" s="1"/>
  <c r="AE106" i="74" s="1" a="1"/>
  <c r="AE106" i="74" s="1"/>
  <c r="AE158" i="74" s="1" a="1"/>
  <c r="AE158" i="74" s="1"/>
  <c r="AE86" i="74" a="1"/>
  <c r="AE86" i="74" s="1"/>
  <c r="AE107" i="74" s="1" a="1"/>
  <c r="AE107" i="74" s="1"/>
  <c r="AE159" i="74" s="1" a="1"/>
  <c r="AE159" i="74" s="1"/>
  <c r="AE87" i="74" a="1"/>
  <c r="AE87" i="74" s="1"/>
  <c r="AE108" i="74" s="1" a="1"/>
  <c r="AE108" i="74" s="1"/>
  <c r="AE160" i="74" s="1" a="1"/>
  <c r="AE160" i="74" s="1"/>
  <c r="AF84" i="74"/>
  <c r="F64" i="74" a="1"/>
  <c r="F64" i="74" s="1"/>
  <c r="F85" i="74" s="1" a="1"/>
  <c r="F85" i="74" s="1"/>
  <c r="F123" i="74" s="1" a="1"/>
  <c r="F123" i="74" s="1"/>
  <c r="N64" i="74" a="1"/>
  <c r="N64" i="74" s="1"/>
  <c r="N85" i="74" s="1" a="1"/>
  <c r="N85" i="74" s="1"/>
  <c r="N123" i="74" s="1" a="1"/>
  <c r="N123" i="74" s="1"/>
  <c r="K65" i="74" a="1"/>
  <c r="K65" i="74" s="1"/>
  <c r="K86" i="74" s="1" a="1"/>
  <c r="K86" i="74" s="1"/>
  <c r="K124" i="74" s="1" a="1"/>
  <c r="K124" i="74" s="1"/>
  <c r="E67" i="74" a="1"/>
  <c r="E67" i="74" s="1"/>
  <c r="E88" i="74" s="1" a="1"/>
  <c r="E88" i="74" s="1"/>
  <c r="E126" i="74" s="1" a="1"/>
  <c r="E126" i="74" s="1"/>
  <c r="X81" i="74" a="1"/>
  <c r="X81" i="74" s="1"/>
  <c r="X102" i="74" s="1" a="1"/>
  <c r="X102" i="74" s="1"/>
  <c r="X154" i="74" s="1" a="1"/>
  <c r="X154" i="74" s="1"/>
  <c r="V83" i="74" a="1"/>
  <c r="V83" i="74" s="1"/>
  <c r="V104" i="74" s="1" a="1"/>
  <c r="V104" i="74" s="1"/>
  <c r="V156" i="74" s="1" a="1"/>
  <c r="V156" i="74" s="1"/>
  <c r="V85" i="74" a="1"/>
  <c r="V85" i="74" s="1"/>
  <c r="V106" i="74" s="1" a="1"/>
  <c r="V106" i="74" s="1"/>
  <c r="V158" i="74" s="1" a="1"/>
  <c r="V158" i="74" s="1"/>
  <c r="V86" i="74" a="1"/>
  <c r="V86" i="74" s="1"/>
  <c r="V107" i="74" s="1" a="1"/>
  <c r="V107" i="74" s="1"/>
  <c r="V159" i="74" s="1" a="1"/>
  <c r="V159" i="74" s="1"/>
  <c r="V87" i="74" a="1"/>
  <c r="V87" i="74" s="1"/>
  <c r="V108" i="74" s="1" a="1"/>
  <c r="V108" i="74" s="1"/>
  <c r="V160" i="74" s="1" a="1"/>
  <c r="V160" i="74" s="1"/>
  <c r="G100" i="74"/>
  <c r="O107" i="74"/>
  <c r="W161" i="74"/>
  <c r="J25" i="73"/>
  <c r="G27" i="73"/>
  <c r="K25" i="73"/>
  <c r="H27" i="73"/>
  <c r="M25" i="73"/>
  <c r="J27" i="73"/>
  <c r="L26" i="73"/>
  <c r="H26" i="73"/>
  <c r="K26" i="73"/>
  <c r="J26" i="73"/>
  <c r="I26" i="73"/>
  <c r="F22" i="73"/>
  <c r="G22" i="73"/>
  <c r="E26" i="73"/>
  <c r="M30" i="73"/>
  <c r="L30" i="73"/>
  <c r="J30" i="73"/>
  <c r="G30" i="73"/>
  <c r="E30" i="73"/>
  <c r="I30" i="73"/>
  <c r="H30" i="73"/>
  <c r="F30" i="73"/>
  <c r="N27" i="73"/>
  <c r="M27" i="73"/>
  <c r="L27" i="73"/>
  <c r="K27" i="73"/>
  <c r="I25" i="73"/>
  <c r="H25" i="73"/>
  <c r="G25" i="73"/>
  <c r="F25" i="73"/>
  <c r="E25" i="73"/>
  <c r="F27" i="73"/>
  <c r="N22" i="73"/>
  <c r="L22" i="73"/>
  <c r="M22" i="73"/>
  <c r="K22" i="73"/>
  <c r="J22" i="73"/>
  <c r="D120" i="73"/>
  <c r="L25" i="73"/>
  <c r="I27" i="73"/>
  <c r="H22" i="73"/>
  <c r="I22" i="73"/>
  <c r="M23" i="73"/>
  <c r="N23" i="73"/>
  <c r="F31" i="73"/>
  <c r="M31" i="73"/>
  <c r="J31" i="73"/>
  <c r="L31" i="73"/>
  <c r="K31" i="73"/>
  <c r="H31" i="73"/>
  <c r="I31" i="73"/>
  <c r="N33" i="73"/>
  <c r="L32" i="73"/>
  <c r="E29" i="73"/>
  <c r="E24" i="73"/>
  <c r="F29" i="73"/>
  <c r="G29" i="73"/>
  <c r="E33" i="73"/>
  <c r="I29" i="73"/>
  <c r="G33" i="73"/>
  <c r="J29" i="73"/>
  <c r="E32" i="73"/>
  <c r="H33" i="73"/>
  <c r="H11" i="13"/>
  <c r="AA31" i="74" l="1" a="1"/>
  <c r="AA31" i="74" s="1"/>
  <c r="Y79" i="74" s="1" a="1"/>
  <c r="Y79" i="74" s="1"/>
  <c r="Y100" i="74" s="1" a="1"/>
  <c r="Y100" i="74" s="1"/>
  <c r="Y152" i="74" s="1" a="1"/>
  <c r="Y152" i="74" s="1"/>
  <c r="AB31" i="74" a="1"/>
  <c r="AB31" i="74" s="1"/>
  <c r="Z79" i="74" s="1" a="1"/>
  <c r="Z79" i="74" s="1"/>
  <c r="Z100" i="74" s="1" a="1"/>
  <c r="Z100" i="74" s="1"/>
  <c r="Z152" i="74" s="1" a="1"/>
  <c r="Z152" i="74" s="1"/>
  <c r="M28" i="78"/>
  <c r="AE43" i="78" s="1" a="1"/>
  <c r="AE43" i="78" s="1"/>
  <c r="L28" i="78"/>
  <c r="AD44" i="78" s="1" a="1"/>
  <c r="AD44" i="78" s="1"/>
  <c r="K28" i="78"/>
  <c r="J28" i="78"/>
  <c r="I28" i="78"/>
  <c r="AA41" i="78" s="1" a="1"/>
  <c r="AA41" i="78" s="1"/>
  <c r="H28" i="78"/>
  <c r="G28" i="78"/>
  <c r="F28" i="78"/>
  <c r="E28" i="78"/>
  <c r="D28" i="78"/>
  <c r="AC33" i="77" a="1"/>
  <c r="AC33" i="77" s="1"/>
  <c r="AA81" i="77" s="1" a="1"/>
  <c r="AA81" i="77" s="1"/>
  <c r="AA136" i="77" s="1" a="1"/>
  <c r="AA136" i="77" s="1"/>
  <c r="AB194" i="77" s="1" a="1"/>
  <c r="AB194" i="77" s="1"/>
  <c r="AB268" i="77" s="1" a="1"/>
  <c r="AB268" i="77" s="1"/>
  <c r="AD33" i="77" a="1"/>
  <c r="AD33" i="77" s="1"/>
  <c r="AB81" i="77" s="1" a="1"/>
  <c r="AB81" i="77" s="1"/>
  <c r="AB136" i="77" s="1" a="1"/>
  <c r="AB136" i="77" s="1"/>
  <c r="AC182" i="77" s="1" a="1"/>
  <c r="AC182" i="77" s="1"/>
  <c r="AC256" i="77" s="1" a="1"/>
  <c r="AC256" i="77" s="1"/>
  <c r="Q38" i="94" a="1"/>
  <c r="Q38" i="94" s="1"/>
  <c r="P37" i="93" a="1"/>
  <c r="P37" i="93" s="1"/>
  <c r="AC30" i="77" a="1"/>
  <c r="AC30" i="77" s="1"/>
  <c r="AA78" i="77" s="1" a="1"/>
  <c r="AA78" i="77" s="1"/>
  <c r="AA133" i="77" s="1" a="1"/>
  <c r="AA133" i="77" s="1"/>
  <c r="AB191" i="77" s="1" a="1"/>
  <c r="AB191" i="77" s="1"/>
  <c r="AB265" i="77" s="1" a="1"/>
  <c r="AB265" i="77" s="1"/>
  <c r="L32" i="77" a="1"/>
  <c r="L32" i="77" s="1"/>
  <c r="H86" i="77" s="1" a="1"/>
  <c r="H86" i="77" s="1"/>
  <c r="H133" i="77" s="1" a="1"/>
  <c r="H133" i="77" s="1"/>
  <c r="I183" i="77" s="1" a="1"/>
  <c r="I183" i="77" s="1"/>
  <c r="I241" i="77" s="1" a="1"/>
  <c r="I241" i="77" s="1"/>
  <c r="E21" i="97" a="1"/>
  <c r="E21" i="97" s="1"/>
  <c r="O21" i="97" a="1"/>
  <c r="O21" i="97" s="1"/>
  <c r="F136" i="86" a="1"/>
  <c r="F136" i="86" s="1"/>
  <c r="F137" i="86" a="1"/>
  <c r="F137" i="86" s="1"/>
  <c r="Q25" i="94" a="1"/>
  <c r="Q25" i="94" s="1"/>
  <c r="P35" i="94" a="1"/>
  <c r="P35" i="94" s="1"/>
  <c r="O35" i="94" a="1"/>
  <c r="O35" i="94" s="1"/>
  <c r="N35" i="94" a="1"/>
  <c r="N35" i="94" s="1"/>
  <c r="Q35" i="94" a="1"/>
  <c r="Q35" i="94" s="1"/>
  <c r="P28" i="94" a="1"/>
  <c r="P28" i="94" s="1"/>
  <c r="O28" i="94" a="1"/>
  <c r="O28" i="94" s="1"/>
  <c r="N28" i="94" a="1"/>
  <c r="N28" i="94" s="1"/>
  <c r="Q28" i="94" a="1"/>
  <c r="Q28" i="94" s="1"/>
  <c r="P39" i="94" a="1"/>
  <c r="P39" i="94" s="1"/>
  <c r="O39" i="94" a="1"/>
  <c r="O39" i="94" s="1"/>
  <c r="N39" i="94" a="1"/>
  <c r="N39" i="94" s="1"/>
  <c r="P37" i="94" a="1"/>
  <c r="P37" i="94" s="1"/>
  <c r="O37" i="94" a="1"/>
  <c r="O37" i="94" s="1"/>
  <c r="N37" i="94" a="1"/>
  <c r="N37" i="94" s="1"/>
  <c r="P36" i="94" a="1"/>
  <c r="P36" i="94" s="1"/>
  <c r="O36" i="94" a="1"/>
  <c r="O36" i="94" s="1"/>
  <c r="N36" i="94" a="1"/>
  <c r="N36" i="94" s="1"/>
  <c r="Q36" i="94" a="1"/>
  <c r="Q36" i="94" s="1"/>
  <c r="P40" i="94" a="1"/>
  <c r="P40" i="94" s="1"/>
  <c r="O40" i="94" a="1"/>
  <c r="O40" i="94" s="1"/>
  <c r="N40" i="94" a="1"/>
  <c r="N40" i="94" s="1"/>
  <c r="O34" i="94" a="1"/>
  <c r="O34" i="94" s="1"/>
  <c r="N34" i="94" a="1"/>
  <c r="N34" i="94" s="1"/>
  <c r="Q34" i="94" a="1"/>
  <c r="Q34" i="94" s="1"/>
  <c r="P34" i="94" a="1"/>
  <c r="P34" i="94" s="1"/>
  <c r="Q37" i="94" a="1"/>
  <c r="Q37" i="94" s="1"/>
  <c r="P30" i="94" a="1"/>
  <c r="P30" i="94" s="1"/>
  <c r="O30" i="94" a="1"/>
  <c r="O30" i="94" s="1"/>
  <c r="N30" i="94" a="1"/>
  <c r="N30" i="94" s="1"/>
  <c r="N32" i="94" a="1"/>
  <c r="N32" i="94" s="1"/>
  <c r="P32" i="94" a="1"/>
  <c r="P32" i="94" s="1"/>
  <c r="O32" i="94" a="1"/>
  <c r="O32" i="94" s="1"/>
  <c r="P33" i="94" a="1"/>
  <c r="P33" i="94" s="1"/>
  <c r="O33" i="94" a="1"/>
  <c r="O33" i="94" s="1"/>
  <c r="N33" i="94" a="1"/>
  <c r="N33" i="94" s="1"/>
  <c r="P29" i="94" a="1"/>
  <c r="P29" i="94" s="1"/>
  <c r="O29" i="94" a="1"/>
  <c r="O29" i="94" s="1"/>
  <c r="N29" i="94" a="1"/>
  <c r="N29" i="94" s="1"/>
  <c r="Q29" i="94" a="1"/>
  <c r="Q29" i="94" s="1"/>
  <c r="P31" i="94" a="1"/>
  <c r="P31" i="94" s="1"/>
  <c r="O31" i="94" a="1"/>
  <c r="O31" i="94" s="1"/>
  <c r="N31" i="94" a="1"/>
  <c r="N31" i="94" s="1"/>
  <c r="Q30" i="94" a="1"/>
  <c r="Q30" i="94" s="1"/>
  <c r="Q31" i="94" a="1"/>
  <c r="Q31" i="94" s="1"/>
  <c r="O27" i="94" a="1"/>
  <c r="O27" i="94" s="1"/>
  <c r="N27" i="94" a="1"/>
  <c r="N27" i="94" s="1"/>
  <c r="Q27" i="94" a="1"/>
  <c r="Q27" i="94" s="1"/>
  <c r="P27" i="94" a="1"/>
  <c r="P27" i="94" s="1"/>
  <c r="Q39" i="94" a="1"/>
  <c r="Q39" i="94" s="1"/>
  <c r="Q32" i="94" a="1"/>
  <c r="Q32" i="94" s="1"/>
  <c r="N25" i="94" a="1"/>
  <c r="N25" i="94" s="1"/>
  <c r="P25" i="94" a="1"/>
  <c r="P25" i="94" s="1"/>
  <c r="O25" i="94" a="1"/>
  <c r="O25" i="94" s="1"/>
  <c r="P26" i="94" a="1"/>
  <c r="P26" i="94" s="1"/>
  <c r="O26" i="94" a="1"/>
  <c r="O26" i="94" s="1"/>
  <c r="N26" i="94" a="1"/>
  <c r="N26" i="94" s="1"/>
  <c r="Q33" i="94" a="1"/>
  <c r="Q33" i="94" s="1"/>
  <c r="G19" i="83" a="1"/>
  <c r="G19" i="83" s="1"/>
  <c r="E58" i="83" s="1" a="1"/>
  <c r="E58" i="83" s="1"/>
  <c r="P38" i="94" a="1"/>
  <c r="P38" i="94" s="1"/>
  <c r="O38" i="94" a="1"/>
  <c r="O38" i="94" s="1"/>
  <c r="N38" i="94" a="1"/>
  <c r="N38" i="94" s="1"/>
  <c r="Q40" i="94" a="1"/>
  <c r="Q40" i="94" s="1"/>
  <c r="P32" i="93" a="1"/>
  <c r="P32" i="93" s="1"/>
  <c r="O32" i="93" a="1"/>
  <c r="O32" i="93" s="1"/>
  <c r="N32" i="93" a="1"/>
  <c r="N32" i="93" s="1"/>
  <c r="Q32" i="93" a="1"/>
  <c r="Q32" i="93" s="1"/>
  <c r="Q37" i="93" a="1"/>
  <c r="Q37" i="93" s="1"/>
  <c r="E64" i="93" s="1"/>
  <c r="F138" i="86" a="1"/>
  <c r="F138" i="86" s="1"/>
  <c r="N37" i="93" a="1"/>
  <c r="N37" i="93" s="1"/>
  <c r="E61" i="93" s="1"/>
  <c r="O37" i="93" a="1"/>
  <c r="O37" i="93" s="1"/>
  <c r="N35" i="93" a="1"/>
  <c r="N35" i="93" s="1"/>
  <c r="Q35" i="93" a="1"/>
  <c r="Q35" i="93" s="1"/>
  <c r="P35" i="93" a="1"/>
  <c r="P35" i="93" s="1"/>
  <c r="O35" i="93" a="1"/>
  <c r="O35" i="93" s="1"/>
  <c r="O38" i="93" a="1"/>
  <c r="O38" i="93" s="1"/>
  <c r="O31" i="93" a="1"/>
  <c r="O31" i="93" s="1"/>
  <c r="N31" i="93" a="1"/>
  <c r="N31" i="93" s="1"/>
  <c r="P31" i="93" a="1"/>
  <c r="P31" i="93" s="1"/>
  <c r="N29" i="93" a="1"/>
  <c r="N29" i="93" s="1"/>
  <c r="P38" i="93" a="1"/>
  <c r="P38" i="93" s="1"/>
  <c r="F144" i="86" a="1"/>
  <c r="F144" i="86" s="1"/>
  <c r="Q33" i="93" a="1"/>
  <c r="Q33" i="93" s="1"/>
  <c r="E52" i="93" s="1"/>
  <c r="P33" i="93" a="1"/>
  <c r="P33" i="93" s="1"/>
  <c r="E51" i="93" s="1"/>
  <c r="O33" i="93" a="1"/>
  <c r="O33" i="93" s="1"/>
  <c r="E50" i="93" s="1"/>
  <c r="N33" i="93" a="1"/>
  <c r="N33" i="93" s="1"/>
  <c r="E49" i="93" s="1"/>
  <c r="O29" i="93" a="1"/>
  <c r="O29" i="93" s="1"/>
  <c r="N26" i="93" a="1"/>
  <c r="N26" i="93" s="1"/>
  <c r="Q26" i="93" a="1"/>
  <c r="Q26" i="93" s="1"/>
  <c r="P26" i="93" a="1"/>
  <c r="P26" i="93" s="1"/>
  <c r="O26" i="93" a="1"/>
  <c r="O26" i="93" s="1"/>
  <c r="P29" i="93" a="1"/>
  <c r="P29" i="93" s="1"/>
  <c r="F143" i="86" a="1"/>
  <c r="F143" i="86" s="1"/>
  <c r="O36" i="93" a="1"/>
  <c r="O36" i="93" s="1"/>
  <c r="N36" i="93" a="1"/>
  <c r="N36" i="93" s="1"/>
  <c r="Q36" i="93" a="1"/>
  <c r="Q36" i="93" s="1"/>
  <c r="P36" i="93" a="1"/>
  <c r="P36" i="93" s="1"/>
  <c r="F142" i="86" a="1"/>
  <c r="F142" i="86" s="1"/>
  <c r="F67" i="87" a="1"/>
  <c r="F67" i="87" s="1"/>
  <c r="F135" i="86" a="1"/>
  <c r="F135" i="86" s="1"/>
  <c r="F74" i="87" a="1"/>
  <c r="F74" i="87" s="1"/>
  <c r="F24" i="87" a="1"/>
  <c r="F24" i="87" s="1"/>
  <c r="F37" i="87" a="1"/>
  <c r="F37" i="87" s="1"/>
  <c r="F23" i="87" a="1"/>
  <c r="F23" i="87" s="1"/>
  <c r="F75" i="87" a="1"/>
  <c r="F75" i="87" s="1"/>
  <c r="F72" i="86" a="1"/>
  <c r="F72" i="86" s="1"/>
  <c r="F31" i="87" a="1"/>
  <c r="F31" i="87" s="1"/>
  <c r="F72" i="87" a="1"/>
  <c r="F72" i="87" s="1"/>
  <c r="F35" i="87" a="1"/>
  <c r="F35" i="87" s="1"/>
  <c r="F65" i="87" a="1"/>
  <c r="F65" i="87" s="1"/>
  <c r="F41" i="87" a="1"/>
  <c r="F41" i="87" s="1"/>
  <c r="F70" i="87" a="1"/>
  <c r="F70" i="87" s="1"/>
  <c r="F134" i="86" a="1"/>
  <c r="F134" i="86" s="1"/>
  <c r="F40" i="87" a="1"/>
  <c r="F40" i="87" s="1"/>
  <c r="F68" i="87" a="1"/>
  <c r="F68" i="87" s="1"/>
  <c r="F34" i="87" a="1"/>
  <c r="F34" i="87" s="1"/>
  <c r="F28" i="87" a="1"/>
  <c r="F28" i="87" s="1"/>
  <c r="F38" i="87" a="1"/>
  <c r="F38" i="87" s="1"/>
  <c r="F71" i="87" a="1"/>
  <c r="F71" i="87" s="1"/>
  <c r="F66" i="87" a="1"/>
  <c r="F66" i="87" s="1"/>
  <c r="F30" i="87" a="1"/>
  <c r="F30" i="87" s="1"/>
  <c r="F39" i="87" a="1"/>
  <c r="F39" i="87" s="1"/>
  <c r="F141" i="86" a="1"/>
  <c r="F141" i="86" s="1"/>
  <c r="F25" i="87" a="1"/>
  <c r="F25" i="87" s="1"/>
  <c r="F69" i="87" a="1"/>
  <c r="F69" i="87" s="1"/>
  <c r="F71" i="86" a="1"/>
  <c r="F71" i="86" s="1"/>
  <c r="F76" i="86" a="1"/>
  <c r="F76" i="86" s="1"/>
  <c r="F67" i="86" a="1"/>
  <c r="F67" i="86" s="1"/>
  <c r="F70" i="86" a="1"/>
  <c r="F70" i="86" s="1"/>
  <c r="F65" i="86" a="1"/>
  <c r="F65" i="86" s="1"/>
  <c r="W38" i="74" a="1"/>
  <c r="W38" i="74" s="1"/>
  <c r="AC38" i="74" s="1" a="1"/>
  <c r="AC38" i="74" s="1"/>
  <c r="AA86" i="74" s="1" a="1"/>
  <c r="AA86" i="74" s="1"/>
  <c r="AA107" i="74" s="1" a="1"/>
  <c r="AA107" i="74" s="1"/>
  <c r="AA159" i="74" s="1" a="1"/>
  <c r="AA159" i="74" s="1"/>
  <c r="G25" i="83" a="1"/>
  <c r="G25" i="83" s="1"/>
  <c r="E64" i="83" s="1" a="1"/>
  <c r="E64" i="83" s="1"/>
  <c r="F139" i="86" a="1"/>
  <c r="F139" i="86" s="1"/>
  <c r="F33" i="87" a="1"/>
  <c r="F33" i="87" s="1"/>
  <c r="F26" i="87" a="1"/>
  <c r="F26" i="87" s="1"/>
  <c r="F27" i="87" a="1"/>
  <c r="F27" i="87" s="1"/>
  <c r="F36" i="87" a="1"/>
  <c r="F36" i="87" s="1"/>
  <c r="F29" i="87" a="1"/>
  <c r="F29" i="87" s="1"/>
  <c r="F59" i="86" a="1"/>
  <c r="F59" i="86" s="1"/>
  <c r="F77" i="86" a="1"/>
  <c r="F77" i="86" s="1"/>
  <c r="F75" i="86" a="1"/>
  <c r="F75" i="86" s="1"/>
  <c r="W28" i="74" a="1"/>
  <c r="W28" i="74" s="1"/>
  <c r="AC28" i="74" s="1" a="1"/>
  <c r="AC28" i="74" s="1"/>
  <c r="AA76" i="74" s="1" a="1"/>
  <c r="AA76" i="74" s="1"/>
  <c r="AA97" i="74" s="1" a="1"/>
  <c r="AA97" i="74" s="1"/>
  <c r="AA149" i="74" s="1" a="1"/>
  <c r="AA149" i="74" s="1"/>
  <c r="F73" i="86" a="1"/>
  <c r="F73" i="86" s="1"/>
  <c r="O81" i="82" a="1"/>
  <c r="O81" i="82" s="1"/>
  <c r="P81" i="82" s="1" a="1"/>
  <c r="P81" i="82" s="1"/>
  <c r="F69" i="86" a="1"/>
  <c r="F69" i="86" s="1"/>
  <c r="F66" i="86" a="1"/>
  <c r="F66" i="86" s="1"/>
  <c r="F61" i="86" a="1"/>
  <c r="F61" i="86" s="1"/>
  <c r="F74" i="86" a="1"/>
  <c r="F74" i="86" s="1"/>
  <c r="F68" i="86" a="1"/>
  <c r="F68" i="86" s="1"/>
  <c r="F63" i="86" a="1"/>
  <c r="F63" i="86" s="1"/>
  <c r="F64" i="86" a="1"/>
  <c r="F64" i="86" s="1"/>
  <c r="F62" i="86" a="1"/>
  <c r="F62" i="86" s="1"/>
  <c r="F60" i="86" a="1"/>
  <c r="F60" i="86" s="1"/>
  <c r="E31" i="85"/>
  <c r="AD46" i="78" a="1"/>
  <c r="AD46" i="78" s="1"/>
  <c r="E77" i="82" a="1"/>
  <c r="E77" i="82" s="1"/>
  <c r="E76" i="82" a="1"/>
  <c r="E76" i="82" s="1"/>
  <c r="G32" i="82" a="1"/>
  <c r="G32" i="82" s="1"/>
  <c r="E73" i="82" s="1" a="1"/>
  <c r="E73" i="82" s="1"/>
  <c r="G22" i="82" a="1"/>
  <c r="G22" i="82" s="1"/>
  <c r="E63" i="82" s="1" a="1"/>
  <c r="E63" i="82" s="1"/>
  <c r="J26" i="74" a="1"/>
  <c r="J26" i="74" s="1"/>
  <c r="H64" i="74" s="1" a="1"/>
  <c r="H64" i="74" s="1"/>
  <c r="H85" i="74" s="1" a="1"/>
  <c r="H85" i="74" s="1"/>
  <c r="H123" i="74" s="1" a="1"/>
  <c r="H123" i="74" s="1"/>
  <c r="K26" i="74" a="1"/>
  <c r="K26" i="74" s="1"/>
  <c r="I64" i="74" s="1" a="1"/>
  <c r="I64" i="74" s="1"/>
  <c r="I85" i="74" s="1" a="1"/>
  <c r="I85" i="74" s="1"/>
  <c r="I123" i="74" s="1" a="1"/>
  <c r="I123" i="74" s="1"/>
  <c r="L26" i="74" a="1"/>
  <c r="L26" i="74" s="1"/>
  <c r="J64" i="74" s="1" a="1"/>
  <c r="J64" i="74" s="1"/>
  <c r="J85" i="74" s="1" a="1"/>
  <c r="J85" i="74" s="1"/>
  <c r="J123" i="74" s="1" a="1"/>
  <c r="J123" i="74" s="1"/>
  <c r="G37" i="82" a="1"/>
  <c r="G37" i="82" s="1"/>
  <c r="E78" i="82" s="1" a="1"/>
  <c r="E78" i="82" s="1"/>
  <c r="E69" i="82" a="1"/>
  <c r="E69" i="82" s="1"/>
  <c r="O78" i="82" a="1"/>
  <c r="O78" i="82" s="1"/>
  <c r="P78" i="82" s="1" a="1"/>
  <c r="P78" i="82" s="1"/>
  <c r="O80" i="82" a="1"/>
  <c r="O80" i="82" s="1"/>
  <c r="P80" i="82" s="1" a="1"/>
  <c r="P80" i="82" s="1"/>
  <c r="O83" i="82" a="1"/>
  <c r="O83" i="82" s="1"/>
  <c r="P83" i="82" s="1" a="1"/>
  <c r="P83" i="82" s="1"/>
  <c r="E70" i="82" a="1"/>
  <c r="E70" i="82" s="1"/>
  <c r="E72" i="82" a="1"/>
  <c r="E72" i="82" s="1"/>
  <c r="N34" i="78" a="1"/>
  <c r="N34" i="78" s="1"/>
  <c r="E66" i="82" a="1"/>
  <c r="E66" i="82" s="1"/>
  <c r="O86" i="82" a="1"/>
  <c r="O86" i="82" s="1"/>
  <c r="P86" i="82" s="1" a="1"/>
  <c r="P86" i="82" s="1"/>
  <c r="G20" i="82" a="1"/>
  <c r="G20" i="82" s="1"/>
  <c r="E61" i="82" s="1" a="1"/>
  <c r="E61" i="82" s="1"/>
  <c r="O79" i="82" a="1"/>
  <c r="O79" i="82" s="1"/>
  <c r="P79" i="82" s="1" a="1"/>
  <c r="P79" i="82" s="1"/>
  <c r="G32" i="83" a="1"/>
  <c r="G32" i="83" s="1"/>
  <c r="E71" i="83" s="1" a="1"/>
  <c r="E71" i="83" s="1"/>
  <c r="W109" i="78" a="1"/>
  <c r="W109" i="78" s="1"/>
  <c r="AC109" i="78" s="1" a="1"/>
  <c r="AC109" i="78" s="1"/>
  <c r="O84" i="82" a="1"/>
  <c r="O84" i="82" s="1"/>
  <c r="P84" i="82" s="1" a="1"/>
  <c r="P84" i="82" s="1"/>
  <c r="O85" i="82" a="1"/>
  <c r="O85" i="82" s="1"/>
  <c r="P85" i="82" s="1" a="1"/>
  <c r="P85" i="82" s="1"/>
  <c r="E65" i="82" a="1"/>
  <c r="E65" i="82" s="1"/>
  <c r="E75" i="82" a="1"/>
  <c r="E75" i="82" s="1"/>
  <c r="E68" i="82" a="1"/>
  <c r="E68" i="82" s="1"/>
  <c r="E64" i="82" a="1"/>
  <c r="E64" i="82" s="1"/>
  <c r="E62" i="82" a="1"/>
  <c r="E62" i="82" s="1"/>
  <c r="E71" i="82" a="1"/>
  <c r="E71" i="82" s="1"/>
  <c r="E74" i="82" a="1"/>
  <c r="E74" i="82" s="1"/>
  <c r="E67" i="82" a="1"/>
  <c r="E67" i="82" s="1"/>
  <c r="O77" i="82" a="1"/>
  <c r="O77" i="82" s="1"/>
  <c r="P77" i="82" s="1" a="1"/>
  <c r="P77" i="82" s="1"/>
  <c r="AB107" i="78" a="1"/>
  <c r="AB107" i="78" s="1"/>
  <c r="AA107" i="78" a="1"/>
  <c r="AA107" i="78" s="1"/>
  <c r="AD43" i="78" a="1"/>
  <c r="AD43" i="78" s="1"/>
  <c r="AB104" i="78" a="1"/>
  <c r="AB104" i="78" s="1"/>
  <c r="M33" i="78" a="1"/>
  <c r="M33" i="78" s="1"/>
  <c r="W39" i="74" a="1"/>
  <c r="W39" i="74" s="1"/>
  <c r="AA39" i="74" s="1" a="1"/>
  <c r="AA39" i="74" s="1"/>
  <c r="Y87" i="74" s="1" a="1"/>
  <c r="Y87" i="74" s="1"/>
  <c r="Y108" i="74" s="1" a="1"/>
  <c r="Y108" i="74" s="1"/>
  <c r="Y160" i="74" s="1" a="1"/>
  <c r="Y160" i="74" s="1"/>
  <c r="AD36" i="78" a="1"/>
  <c r="AD36" i="78" s="1"/>
  <c r="K96" i="78" a="1"/>
  <c r="K96" i="78" s="1"/>
  <c r="AD47" i="78" a="1"/>
  <c r="AD47" i="78" s="1"/>
  <c r="AD45" i="78" a="1"/>
  <c r="AD45" i="78" s="1"/>
  <c r="U45" i="82"/>
  <c r="AC107" i="78" a="1"/>
  <c r="AC107" i="78" s="1"/>
  <c r="W108" i="78" a="1"/>
  <c r="W108" i="78" s="1"/>
  <c r="AA108" i="78" s="1" a="1"/>
  <c r="AA108" i="78" s="1"/>
  <c r="M35" i="78" a="1"/>
  <c r="M35" i="78" s="1"/>
  <c r="F98" i="78" a="1"/>
  <c r="F98" i="78" s="1"/>
  <c r="J98" i="78" s="1" a="1"/>
  <c r="J98" i="78" s="1"/>
  <c r="V52" i="82" a="1"/>
  <c r="V52" i="82" s="1"/>
  <c r="R50" i="82" a="1"/>
  <c r="R50" i="82" s="1"/>
  <c r="Q50" i="82"/>
  <c r="O82" i="82" a="1"/>
  <c r="O82" i="82" s="1"/>
  <c r="T50" i="82"/>
  <c r="U50" i="82" s="1"/>
  <c r="S50" i="82" a="1"/>
  <c r="S50" i="82" s="1"/>
  <c r="J29" i="74" a="1"/>
  <c r="J29" i="74" s="1"/>
  <c r="H67" i="74" s="1" a="1"/>
  <c r="H67" i="74" s="1"/>
  <c r="H88" i="74" s="1" a="1"/>
  <c r="H88" i="74" s="1"/>
  <c r="H126" i="74" s="1" a="1"/>
  <c r="H126" i="74" s="1"/>
  <c r="AD42" i="78" a="1"/>
  <c r="AD42" i="78" s="1"/>
  <c r="J95" i="78" a="1"/>
  <c r="J95" i="78" s="1"/>
  <c r="J97" i="78" a="1"/>
  <c r="J97" i="78" s="1"/>
  <c r="Y36" i="77" a="1"/>
  <c r="Y36" i="77" s="1"/>
  <c r="AE36" i="77" s="1" a="1"/>
  <c r="AE36" i="77" s="1"/>
  <c r="AC84" i="77" s="1" a="1"/>
  <c r="AC84" i="77" s="1"/>
  <c r="AC139" i="77" s="1" a="1"/>
  <c r="AC139" i="77" s="1"/>
  <c r="AD37" i="78" a="1"/>
  <c r="AD37" i="78" s="1"/>
  <c r="Y37" i="77" a="1"/>
  <c r="Y37" i="77" s="1"/>
  <c r="AD37" i="77" s="1" a="1"/>
  <c r="AD37" i="77" s="1"/>
  <c r="AB85" i="77" s="1" a="1"/>
  <c r="AB85" i="77" s="1"/>
  <c r="AB140" i="77" s="1" a="1"/>
  <c r="AB140" i="77" s="1"/>
  <c r="AD39" i="78" a="1"/>
  <c r="AD39" i="78" s="1"/>
  <c r="M34" i="78" a="1"/>
  <c r="M34" i="78" s="1"/>
  <c r="AD38" i="78" a="1"/>
  <c r="AD38" i="78" s="1"/>
  <c r="K97" i="78" a="1"/>
  <c r="K97" i="78" s="1"/>
  <c r="AC100" i="78" a="1"/>
  <c r="AC100" i="78" s="1"/>
  <c r="AA103" i="78" a="1"/>
  <c r="AA103" i="78" s="1"/>
  <c r="AB100" i="78" a="1"/>
  <c r="AB100" i="78" s="1"/>
  <c r="M184" i="77" a="1"/>
  <c r="M184" i="77" s="1"/>
  <c r="M242" i="77" s="1" a="1"/>
  <c r="M242" i="77" s="1"/>
  <c r="AC104" i="78" a="1"/>
  <c r="AC104" i="78" s="1"/>
  <c r="M180" i="77" a="1"/>
  <c r="M180" i="77" s="1"/>
  <c r="M238" i="77" s="1" a="1"/>
  <c r="M238" i="77" s="1"/>
  <c r="AB103" i="78" a="1"/>
  <c r="AB103" i="78" s="1"/>
  <c r="N36" i="78" a="1"/>
  <c r="N36" i="78" s="1"/>
  <c r="M36" i="78" a="1"/>
  <c r="M36" i="78" s="1"/>
  <c r="AE45" i="78" a="1"/>
  <c r="AE45" i="78" s="1"/>
  <c r="N35" i="78" a="1"/>
  <c r="N35" i="78" s="1"/>
  <c r="N33" i="78" a="1"/>
  <c r="N33" i="78" s="1"/>
  <c r="AE47" i="78" a="1"/>
  <c r="AE47" i="78" s="1"/>
  <c r="K95" i="78" a="1"/>
  <c r="K95" i="78" s="1"/>
  <c r="G178" i="77" a="1"/>
  <c r="G178" i="77" s="1"/>
  <c r="G236" i="77" s="1" a="1"/>
  <c r="G236" i="77" s="1"/>
  <c r="AE46" i="78" a="1"/>
  <c r="AE46" i="78" s="1"/>
  <c r="AE36" i="78" a="1"/>
  <c r="AE36" i="78" s="1"/>
  <c r="AE41" i="78" a="1"/>
  <c r="AE41" i="78" s="1"/>
  <c r="AE44" i="78" a="1"/>
  <c r="AE44" i="78" s="1"/>
  <c r="AE37" i="78" a="1"/>
  <c r="AE37" i="78" s="1"/>
  <c r="AE42" i="78" a="1"/>
  <c r="AE42" i="78" s="1"/>
  <c r="J96" i="78" a="1"/>
  <c r="J96" i="78" s="1"/>
  <c r="G182" i="77" a="1"/>
  <c r="G182" i="77" s="1"/>
  <c r="G240" i="77" s="1" a="1"/>
  <c r="G240" i="77" s="1"/>
  <c r="N33" i="77" a="1"/>
  <c r="N33" i="77" s="1"/>
  <c r="J87" i="77" s="1" a="1"/>
  <c r="J87" i="77" s="1"/>
  <c r="J134" i="77" s="1" a="1"/>
  <c r="J134" i="77" s="1"/>
  <c r="K180" i="77" s="1" a="1"/>
  <c r="K180" i="77" s="1"/>
  <c r="K238" i="77" s="1" a="1"/>
  <c r="K238" i="77" s="1"/>
  <c r="L33" i="77" a="1"/>
  <c r="L33" i="77" s="1"/>
  <c r="H87" i="77" s="1" a="1"/>
  <c r="H87" i="77" s="1"/>
  <c r="H134" i="77" s="1" a="1"/>
  <c r="H134" i="77" s="1"/>
  <c r="I184" i="77" s="1" a="1"/>
  <c r="I184" i="77" s="1"/>
  <c r="I242" i="77" s="1" a="1"/>
  <c r="I242" i="77" s="1"/>
  <c r="M33" i="77" a="1"/>
  <c r="M33" i="77" s="1"/>
  <c r="I87" i="77" s="1" a="1"/>
  <c r="I87" i="77" s="1"/>
  <c r="I134" i="77" s="1" a="1"/>
  <c r="I134" i="77" s="1"/>
  <c r="J184" i="77" s="1" a="1"/>
  <c r="J184" i="77" s="1"/>
  <c r="J242" i="77" s="1" a="1"/>
  <c r="J242" i="77" s="1"/>
  <c r="M148" i="75"/>
  <c r="AC101" i="78" a="1"/>
  <c r="AC101" i="78" s="1"/>
  <c r="AB101" i="78" a="1"/>
  <c r="AB101" i="78" s="1"/>
  <c r="AA101" i="78" a="1"/>
  <c r="AA101" i="78" s="1"/>
  <c r="J33" i="78" a="1"/>
  <c r="J33" i="78" s="1"/>
  <c r="AD41" i="78" a="1"/>
  <c r="AD41" i="78" s="1"/>
  <c r="AD40" i="78" a="1"/>
  <c r="AD40" i="78" s="1"/>
  <c r="AC106" i="78" a="1"/>
  <c r="AC106" i="78" s="1"/>
  <c r="AB106" i="78" a="1"/>
  <c r="AB106" i="78" s="1"/>
  <c r="AA106" i="78" a="1"/>
  <c r="AA106" i="78" s="1"/>
  <c r="AA40" i="78" a="1"/>
  <c r="AA40" i="78" s="1"/>
  <c r="AA39" i="78" a="1"/>
  <c r="AA39" i="78" s="1"/>
  <c r="G31" i="77"/>
  <c r="AC102" i="78" a="1"/>
  <c r="AC102" i="78" s="1"/>
  <c r="AB102" i="78" a="1"/>
  <c r="AB102" i="78" s="1"/>
  <c r="AA38" i="78" a="1"/>
  <c r="AA38" i="78" s="1"/>
  <c r="AA45" i="78" a="1"/>
  <c r="AA45" i="78" s="1"/>
  <c r="AA43" i="78" a="1"/>
  <c r="AA43" i="78" s="1"/>
  <c r="AA47" i="78" a="1"/>
  <c r="AA47" i="78" s="1"/>
  <c r="AA46" i="78" a="1"/>
  <c r="AA46" i="78" s="1"/>
  <c r="AC111" i="78" a="1"/>
  <c r="AC111" i="78" s="1"/>
  <c r="AB111" i="78" a="1"/>
  <c r="AB111" i="78" s="1"/>
  <c r="AA110" i="78" a="1"/>
  <c r="AA110" i="78" s="1"/>
  <c r="AC110" i="78" a="1"/>
  <c r="AC110" i="78" s="1"/>
  <c r="G30" i="77"/>
  <c r="AG182" i="77" a="1"/>
  <c r="AG182" i="77" s="1"/>
  <c r="AG256" i="77" s="1" a="1"/>
  <c r="AG256" i="77" s="1"/>
  <c r="AE39" i="78" a="1"/>
  <c r="AE39" i="78" s="1"/>
  <c r="AE40" i="78" a="1"/>
  <c r="AE40" i="78" s="1"/>
  <c r="AE38" i="78" a="1"/>
  <c r="AE38" i="78" s="1"/>
  <c r="Y35" i="77" a="1"/>
  <c r="Y35" i="77" s="1"/>
  <c r="AC35" i="77" s="1" a="1"/>
  <c r="AC35" i="77" s="1"/>
  <c r="AA83" i="77" s="1" a="1"/>
  <c r="AA83" i="77" s="1"/>
  <c r="AA138" i="77" s="1" a="1"/>
  <c r="AA138" i="77" s="1"/>
  <c r="AA36" i="78" a="1"/>
  <c r="AA36" i="78" s="1"/>
  <c r="Y196" i="77" a="1"/>
  <c r="Y196" i="77" s="1"/>
  <c r="Y270" i="77" s="1" a="1"/>
  <c r="Y270" i="77" s="1"/>
  <c r="AD181" i="77" a="1"/>
  <c r="AD181" i="77" s="1"/>
  <c r="AD255" i="77" s="1" a="1"/>
  <c r="AD255" i="77" s="1"/>
  <c r="AD193" i="77" a="1"/>
  <c r="AD193" i="77" s="1"/>
  <c r="AD267" i="77" s="1" a="1"/>
  <c r="AD267" i="77" s="1"/>
  <c r="AB190" i="77" a="1"/>
  <c r="AB190" i="77" s="1"/>
  <c r="AB264" i="77" s="1" a="1"/>
  <c r="AB264" i="77" s="1"/>
  <c r="AB178" i="77" a="1"/>
  <c r="AB178" i="77" s="1"/>
  <c r="AB252" i="77" s="1" a="1"/>
  <c r="AB252" i="77" s="1"/>
  <c r="Z181" i="77" a="1"/>
  <c r="Z181" i="77" s="1"/>
  <c r="Z255" i="77" s="1" a="1"/>
  <c r="Z255" i="77" s="1"/>
  <c r="Z193" i="77" a="1"/>
  <c r="Z193" i="77" s="1"/>
  <c r="Z267" i="77" s="1" a="1"/>
  <c r="Z267" i="77" s="1"/>
  <c r="AH200" i="77" a="1"/>
  <c r="AH200" i="77" s="1"/>
  <c r="AH274" i="77" s="1" a="1"/>
  <c r="AH274" i="77" s="1"/>
  <c r="AH188" i="77" a="1"/>
  <c r="AH188" i="77" s="1"/>
  <c r="AH262" i="77" s="1" a="1"/>
  <c r="AH262" i="77" s="1"/>
  <c r="Z184" i="77" a="1"/>
  <c r="Z184" i="77" s="1"/>
  <c r="Z258" i="77" s="1" a="1"/>
  <c r="Z258" i="77" s="1"/>
  <c r="Z196" i="77" a="1"/>
  <c r="Z196" i="77" s="1"/>
  <c r="Z270" i="77" s="1" a="1"/>
  <c r="Z270" i="77" s="1"/>
  <c r="L179" i="77" a="1"/>
  <c r="L179" i="77" s="1"/>
  <c r="L237" i="77" s="1" a="1"/>
  <c r="L237" i="77" s="1"/>
  <c r="L183" i="77" a="1"/>
  <c r="L183" i="77" s="1"/>
  <c r="L241" i="77" s="1" a="1"/>
  <c r="L241" i="77" s="1"/>
  <c r="AH178" i="77" a="1"/>
  <c r="AH178" i="77" s="1"/>
  <c r="AH252" i="77" s="1" a="1"/>
  <c r="AH252" i="77" s="1"/>
  <c r="Z180" i="77" a="1"/>
  <c r="Z180" i="77" s="1"/>
  <c r="Z254" i="77" s="1" a="1"/>
  <c r="Z254" i="77" s="1"/>
  <c r="AG180" i="77" a="1"/>
  <c r="AG180" i="77" s="1"/>
  <c r="AG254" i="77" s="1" a="1"/>
  <c r="AG254" i="77" s="1"/>
  <c r="AG194" i="77" a="1"/>
  <c r="AG194" i="77" s="1"/>
  <c r="AG268" i="77" s="1" a="1"/>
  <c r="AG268" i="77" s="1"/>
  <c r="L29" i="74" a="1"/>
  <c r="L29" i="74" s="1"/>
  <c r="J67" i="74" s="1" a="1"/>
  <c r="J67" i="74" s="1"/>
  <c r="J88" i="74" s="1" a="1"/>
  <c r="J88" i="74" s="1"/>
  <c r="J126" i="74" s="1" a="1"/>
  <c r="J126" i="74" s="1"/>
  <c r="AE200" i="77" a="1"/>
  <c r="AE200" i="77" s="1"/>
  <c r="AE274" i="77" s="1" a="1"/>
  <c r="AE274" i="77" s="1"/>
  <c r="AE188" i="77" a="1"/>
  <c r="AE188" i="77" s="1"/>
  <c r="AE262" i="77" s="1" a="1"/>
  <c r="AE262" i="77" s="1"/>
  <c r="Y195" i="77" a="1"/>
  <c r="Y195" i="77" s="1"/>
  <c r="Y269" i="77" s="1" a="1"/>
  <c r="Y269" i="77" s="1"/>
  <c r="Y183" i="77" a="1"/>
  <c r="Y183" i="77" s="1"/>
  <c r="Y257" i="77" s="1" a="1"/>
  <c r="Y257" i="77" s="1"/>
  <c r="Z188" i="77" a="1"/>
  <c r="Z188" i="77" s="1"/>
  <c r="Z262" i="77" s="1" a="1"/>
  <c r="Z262" i="77" s="1"/>
  <c r="Z200" i="77" a="1"/>
  <c r="Z200" i="77" s="1"/>
  <c r="Z274" i="77" s="1" a="1"/>
  <c r="Z274" i="77" s="1"/>
  <c r="AF189" i="77" a="1"/>
  <c r="AF189" i="77" s="1"/>
  <c r="AF263" i="77" s="1" a="1"/>
  <c r="AF263" i="77" s="1"/>
  <c r="AF177" i="77" a="1"/>
  <c r="AF177" i="77" s="1"/>
  <c r="AF251" i="77" s="1" a="1"/>
  <c r="AF251" i="77" s="1"/>
  <c r="O177" i="77" a="1"/>
  <c r="O177" i="77" s="1"/>
  <c r="O235" i="77" s="1" a="1"/>
  <c r="O235" i="77" s="1"/>
  <c r="O181" i="77" a="1"/>
  <c r="O181" i="77" s="1"/>
  <c r="O239" i="77" s="1" a="1"/>
  <c r="O239" i="77" s="1"/>
  <c r="AH190" i="77" a="1"/>
  <c r="AH190" i="77" s="1"/>
  <c r="AH264" i="77" s="1" a="1"/>
  <c r="AH264" i="77" s="1"/>
  <c r="Z192" i="77" a="1"/>
  <c r="Z192" i="77" s="1"/>
  <c r="Z266" i="77" s="1" a="1"/>
  <c r="Z266" i="77" s="1"/>
  <c r="AG192" i="77" a="1"/>
  <c r="AG192" i="77" s="1"/>
  <c r="AG266" i="77" s="1" a="1"/>
  <c r="AG266" i="77" s="1"/>
  <c r="Z179" i="77" a="1"/>
  <c r="Z179" i="77" s="1"/>
  <c r="Z253" i="77" s="1" a="1"/>
  <c r="Z253" i="77" s="1"/>
  <c r="Z191" i="77" a="1"/>
  <c r="Z191" i="77" s="1"/>
  <c r="Z265" i="77" s="1" a="1"/>
  <c r="Z265" i="77" s="1"/>
  <c r="AH198" i="77" a="1"/>
  <c r="AH198" i="77" s="1"/>
  <c r="AH272" i="77" s="1" a="1"/>
  <c r="AH272" i="77" s="1"/>
  <c r="AH186" i="77" a="1"/>
  <c r="AH186" i="77" s="1"/>
  <c r="AH260" i="77" s="1" a="1"/>
  <c r="AH260" i="77" s="1"/>
  <c r="AF193" i="77" a="1"/>
  <c r="AF193" i="77" s="1"/>
  <c r="AF267" i="77" s="1" a="1"/>
  <c r="AF267" i="77" s="1"/>
  <c r="AF181" i="77" a="1"/>
  <c r="AF181" i="77" s="1"/>
  <c r="AF255" i="77" s="1" a="1"/>
  <c r="AF255" i="77" s="1"/>
  <c r="AE199" i="77" a="1"/>
  <c r="AE199" i="77" s="1"/>
  <c r="AE273" i="77" s="1" a="1"/>
  <c r="AE273" i="77" s="1"/>
  <c r="AE187" i="77" a="1"/>
  <c r="AE187" i="77" s="1"/>
  <c r="AE261" i="77" s="1" a="1"/>
  <c r="AE261" i="77" s="1"/>
  <c r="Z185" i="77" a="1"/>
  <c r="Z185" i="77" s="1"/>
  <c r="Z259" i="77" s="1" a="1"/>
  <c r="Z259" i="77" s="1"/>
  <c r="Z197" i="77" a="1"/>
  <c r="Z197" i="77" s="1"/>
  <c r="Z271" i="77" s="1" a="1"/>
  <c r="Z271" i="77" s="1"/>
  <c r="O182" i="77" a="1"/>
  <c r="O182" i="77" s="1"/>
  <c r="O240" i="77" s="1" a="1"/>
  <c r="O240" i="77" s="1"/>
  <c r="O178" i="77" a="1"/>
  <c r="O178" i="77" s="1"/>
  <c r="O236" i="77" s="1" a="1"/>
  <c r="O236" i="77" s="1"/>
  <c r="H178" i="77" a="1"/>
  <c r="H178" i="77" s="1"/>
  <c r="H236" i="77" s="1" a="1"/>
  <c r="H236" i="77" s="1"/>
  <c r="H182" i="77" a="1"/>
  <c r="H182" i="77" s="1"/>
  <c r="H240" i="77" s="1" a="1"/>
  <c r="H240" i="77" s="1"/>
  <c r="AA200" i="77" a="1"/>
  <c r="AA200" i="77" s="1"/>
  <c r="AA274" i="77" s="1" a="1"/>
  <c r="AA274" i="77" s="1"/>
  <c r="AE177" i="77" a="1"/>
  <c r="AE177" i="77" s="1"/>
  <c r="AE251" i="77" s="1" a="1"/>
  <c r="AE251" i="77" s="1"/>
  <c r="Z198" i="77" a="1"/>
  <c r="Z198" i="77" s="1"/>
  <c r="Z272" i="77" s="1" a="1"/>
  <c r="Z272" i="77" s="1"/>
  <c r="Z186" i="77" a="1"/>
  <c r="Z186" i="77" s="1"/>
  <c r="Z260" i="77" s="1" a="1"/>
  <c r="Z260" i="77" s="1"/>
  <c r="Y198" i="77" a="1"/>
  <c r="Y198" i="77" s="1"/>
  <c r="Y272" i="77" s="1" a="1"/>
  <c r="Y272" i="77" s="1"/>
  <c r="Y186" i="77" a="1"/>
  <c r="Y186" i="77" s="1"/>
  <c r="Y260" i="77" s="1" a="1"/>
  <c r="Y260" i="77" s="1"/>
  <c r="AF196" i="77" a="1"/>
  <c r="AF196" i="77" s="1"/>
  <c r="AF270" i="77" s="1" a="1"/>
  <c r="AF270" i="77" s="1"/>
  <c r="AF184" i="77" a="1"/>
  <c r="AF184" i="77" s="1"/>
  <c r="AF258" i="77" s="1" a="1"/>
  <c r="AF258" i="77" s="1"/>
  <c r="AG197" i="77" a="1"/>
  <c r="AG197" i="77" s="1"/>
  <c r="AG271" i="77" s="1" a="1"/>
  <c r="AG271" i="77" s="1"/>
  <c r="AG185" i="77" a="1"/>
  <c r="AG185" i="77" s="1"/>
  <c r="AG259" i="77" s="1" a="1"/>
  <c r="AG259" i="77" s="1"/>
  <c r="F178" i="77" a="1"/>
  <c r="F178" i="77" s="1"/>
  <c r="F236" i="77" s="1" a="1"/>
  <c r="F236" i="77" s="1"/>
  <c r="F182" i="77" a="1"/>
  <c r="F182" i="77" s="1"/>
  <c r="F240" i="77" s="1" a="1"/>
  <c r="F240" i="77" s="1"/>
  <c r="AC191" i="77" a="1"/>
  <c r="AC191" i="77" s="1"/>
  <c r="AC265" i="77" s="1" a="1"/>
  <c r="AC265" i="77" s="1"/>
  <c r="AC179" i="77" a="1"/>
  <c r="AC179" i="77" s="1"/>
  <c r="AC253" i="77" s="1" a="1"/>
  <c r="AC253" i="77" s="1"/>
  <c r="AE31" i="77" a="1"/>
  <c r="AE31" i="77" s="1"/>
  <c r="AC79" i="77" s="1" a="1"/>
  <c r="AC79" i="77" s="1"/>
  <c r="AC134" i="77" s="1" a="1"/>
  <c r="AC134" i="77" s="1"/>
  <c r="AD31" i="77" a="1"/>
  <c r="AD31" i="77" s="1"/>
  <c r="AB79" i="77" s="1" a="1"/>
  <c r="AB79" i="77" s="1"/>
  <c r="AB134" i="77" s="1" a="1"/>
  <c r="AB134" i="77" s="1"/>
  <c r="AC31" i="77" a="1"/>
  <c r="AC31" i="77" s="1"/>
  <c r="AA79" i="77" s="1" a="1"/>
  <c r="AA79" i="77" s="1"/>
  <c r="AA134" i="77" s="1" a="1"/>
  <c r="AA134" i="77" s="1"/>
  <c r="AE181" i="77" a="1"/>
  <c r="AE181" i="77" s="1"/>
  <c r="AE255" i="77" s="1" a="1"/>
  <c r="AE255" i="77" s="1"/>
  <c r="G184" i="77" a="1"/>
  <c r="G184" i="77" s="1"/>
  <c r="G242" i="77" s="1" a="1"/>
  <c r="G242" i="77" s="1"/>
  <c r="G180" i="77" a="1"/>
  <c r="G180" i="77" s="1"/>
  <c r="G238" i="77" s="1" a="1"/>
  <c r="G238" i="77" s="1"/>
  <c r="AE193" i="77" a="1"/>
  <c r="AE193" i="77" s="1"/>
  <c r="AE267" i="77" s="1" a="1"/>
  <c r="AE267" i="77" s="1"/>
  <c r="AA188" i="77" a="1"/>
  <c r="AA188" i="77" s="1"/>
  <c r="AA262" i="77" s="1" a="1"/>
  <c r="AA262" i="77" s="1"/>
  <c r="AE189" i="77" a="1"/>
  <c r="AE189" i="77" s="1"/>
  <c r="AE263" i="77" s="1" a="1"/>
  <c r="AE263" i="77" s="1"/>
  <c r="AH189" i="77" a="1"/>
  <c r="AH189" i="77" s="1"/>
  <c r="AH263" i="77" s="1" a="1"/>
  <c r="AH263" i="77" s="1"/>
  <c r="AH177" i="77" a="1"/>
  <c r="AH177" i="77" s="1"/>
  <c r="AH251" i="77" s="1" a="1"/>
  <c r="AH251" i="77" s="1"/>
  <c r="AE197" i="77" a="1"/>
  <c r="AE197" i="77" s="1"/>
  <c r="AE271" i="77" s="1" a="1"/>
  <c r="AE271" i="77" s="1"/>
  <c r="AE185" i="77" a="1"/>
  <c r="AE185" i="77" s="1"/>
  <c r="AE259" i="77" s="1" a="1"/>
  <c r="AE259" i="77" s="1"/>
  <c r="AG195" i="77" a="1"/>
  <c r="AG195" i="77" s="1"/>
  <c r="AG269" i="77" s="1" a="1"/>
  <c r="AG269" i="77" s="1"/>
  <c r="AG183" i="77" a="1"/>
  <c r="AG183" i="77" s="1"/>
  <c r="AG257" i="77" s="1" a="1"/>
  <c r="AG257" i="77" s="1"/>
  <c r="AB195" i="77" a="1"/>
  <c r="AB195" i="77" s="1"/>
  <c r="AB269" i="77" s="1" a="1"/>
  <c r="AB269" i="77" s="1"/>
  <c r="AB183" i="77" a="1"/>
  <c r="AB183" i="77" s="1"/>
  <c r="AB257" i="77" s="1" a="1"/>
  <c r="AB257" i="77" s="1"/>
  <c r="Y199" i="77" a="1"/>
  <c r="Y199" i="77" s="1"/>
  <c r="Y273" i="77" s="1" a="1"/>
  <c r="Y273" i="77" s="1"/>
  <c r="Y187" i="77" a="1"/>
  <c r="Y187" i="77" s="1"/>
  <c r="Y261" i="77" s="1" a="1"/>
  <c r="Y261" i="77" s="1"/>
  <c r="AA196" i="77" a="1"/>
  <c r="AA196" i="77" s="1"/>
  <c r="AA270" i="77" s="1" a="1"/>
  <c r="AA270" i="77" s="1"/>
  <c r="AA184" i="77" a="1"/>
  <c r="AA184" i="77" s="1"/>
  <c r="AA258" i="77" s="1" a="1"/>
  <c r="AA258" i="77" s="1"/>
  <c r="F184" i="77" a="1"/>
  <c r="F184" i="77" s="1"/>
  <c r="F242" i="77" s="1" a="1"/>
  <c r="F242" i="77" s="1"/>
  <c r="F180" i="77" a="1"/>
  <c r="F180" i="77" s="1"/>
  <c r="F238" i="77" s="1" a="1"/>
  <c r="F238" i="77" s="1"/>
  <c r="AA194" i="77" a="1"/>
  <c r="AA194" i="77" s="1"/>
  <c r="AA268" i="77" s="1" a="1"/>
  <c r="AA268" i="77" s="1"/>
  <c r="AA182" i="77" a="1"/>
  <c r="AA182" i="77" s="1"/>
  <c r="AA256" i="77" s="1" a="1"/>
  <c r="AA256" i="77" s="1"/>
  <c r="O180" i="77" a="1"/>
  <c r="O180" i="77" s="1"/>
  <c r="O238" i="77" s="1" a="1"/>
  <c r="O238" i="77" s="1"/>
  <c r="O184" i="77" a="1"/>
  <c r="O184" i="77" s="1"/>
  <c r="O242" i="77" s="1" a="1"/>
  <c r="O242" i="77" s="1"/>
  <c r="AF180" i="77" a="1"/>
  <c r="AF180" i="77" s="1"/>
  <c r="AF254" i="77" s="1" a="1"/>
  <c r="AF254" i="77" s="1"/>
  <c r="Z178" i="77" a="1"/>
  <c r="Z178" i="77" s="1"/>
  <c r="Z252" i="77" s="1" a="1"/>
  <c r="Z252" i="77" s="1"/>
  <c r="AA189" i="77" a="1"/>
  <c r="AA189" i="77" s="1"/>
  <c r="AA263" i="77" s="1" a="1"/>
  <c r="AA263" i="77" s="1"/>
  <c r="AA177" i="77" a="1"/>
  <c r="AA177" i="77" s="1"/>
  <c r="AA251" i="77" s="1" a="1"/>
  <c r="AA251" i="77" s="1"/>
  <c r="Y200" i="77" a="1"/>
  <c r="Y200" i="77" s="1"/>
  <c r="Y274" i="77" s="1" a="1"/>
  <c r="Y274" i="77" s="1"/>
  <c r="Y188" i="77" a="1"/>
  <c r="Y188" i="77" s="1"/>
  <c r="Y262" i="77" s="1" a="1"/>
  <c r="Y262" i="77" s="1"/>
  <c r="AF199" i="77" a="1"/>
  <c r="AF199" i="77" s="1"/>
  <c r="AF273" i="77" s="1" a="1"/>
  <c r="AF273" i="77" s="1"/>
  <c r="AF187" i="77" a="1"/>
  <c r="AF187" i="77" s="1"/>
  <c r="AF261" i="77" s="1" a="1"/>
  <c r="AF261" i="77" s="1"/>
  <c r="AH194" i="77" a="1"/>
  <c r="AH194" i="77" s="1"/>
  <c r="AH268" i="77" s="1" a="1"/>
  <c r="AH268" i="77" s="1"/>
  <c r="AH182" i="77" a="1"/>
  <c r="AH182" i="77" s="1"/>
  <c r="AH256" i="77" s="1" a="1"/>
  <c r="AH256" i="77" s="1"/>
  <c r="F183" i="77" a="1"/>
  <c r="F183" i="77" s="1"/>
  <c r="F241" i="77" s="1" a="1"/>
  <c r="F241" i="77" s="1"/>
  <c r="F179" i="77" a="1"/>
  <c r="F179" i="77" s="1"/>
  <c r="F237" i="77" s="1" a="1"/>
  <c r="F237" i="77" s="1"/>
  <c r="H177" i="77" a="1"/>
  <c r="H177" i="77" s="1"/>
  <c r="H235" i="77" s="1" a="1"/>
  <c r="H235" i="77" s="1"/>
  <c r="H181" i="77" a="1"/>
  <c r="H181" i="77" s="1"/>
  <c r="H239" i="77" s="1" a="1"/>
  <c r="H239" i="77" s="1"/>
  <c r="AF192" i="77" a="1"/>
  <c r="AF192" i="77" s="1"/>
  <c r="AF266" i="77" s="1" a="1"/>
  <c r="AF266" i="77" s="1"/>
  <c r="Z190" i="77" a="1"/>
  <c r="Z190" i="77" s="1"/>
  <c r="Z264" i="77" s="1" a="1"/>
  <c r="Z264" i="77" s="1"/>
  <c r="Z195" i="77" a="1"/>
  <c r="Z195" i="77" s="1"/>
  <c r="Z269" i="77" s="1" a="1"/>
  <c r="Z269" i="77" s="1"/>
  <c r="Z183" i="77" a="1"/>
  <c r="Z183" i="77" s="1"/>
  <c r="Z257" i="77" s="1" a="1"/>
  <c r="Z257" i="77" s="1"/>
  <c r="Y193" i="77" a="1"/>
  <c r="Y193" i="77" s="1"/>
  <c r="Y267" i="77" s="1" a="1"/>
  <c r="Y267" i="77" s="1"/>
  <c r="Y181" i="77" a="1"/>
  <c r="Y181" i="77" s="1"/>
  <c r="Y255" i="77" s="1" a="1"/>
  <c r="Y255" i="77" s="1"/>
  <c r="AH197" i="77" a="1"/>
  <c r="AH197" i="77" s="1"/>
  <c r="AH271" i="77" s="1" a="1"/>
  <c r="AH271" i="77" s="1"/>
  <c r="AH185" i="77" a="1"/>
  <c r="AH185" i="77" s="1"/>
  <c r="AH259" i="77" s="1" a="1"/>
  <c r="AH259" i="77" s="1"/>
  <c r="AF197" i="77" a="1"/>
  <c r="AF197" i="77" s="1"/>
  <c r="AF271" i="77" s="1" a="1"/>
  <c r="AF271" i="77" s="1"/>
  <c r="AF185" i="77" a="1"/>
  <c r="AF185" i="77" s="1"/>
  <c r="AF259" i="77" s="1" a="1"/>
  <c r="AF259" i="77" s="1"/>
  <c r="AE29" i="77" a="1"/>
  <c r="AE29" i="77" s="1"/>
  <c r="AC77" i="77" s="1" a="1"/>
  <c r="AC77" i="77" s="1"/>
  <c r="AC132" i="77" s="1" a="1"/>
  <c r="AC132" i="77" s="1"/>
  <c r="AD29" i="77" a="1"/>
  <c r="AD29" i="77" s="1"/>
  <c r="AB77" i="77" s="1" a="1"/>
  <c r="AB77" i="77" s="1"/>
  <c r="AB132" i="77" s="1" a="1"/>
  <c r="AB132" i="77" s="1"/>
  <c r="N184" i="77" a="1"/>
  <c r="N184" i="77" s="1"/>
  <c r="N242" i="77" s="1" a="1"/>
  <c r="N242" i="77" s="1"/>
  <c r="N180" i="77" a="1"/>
  <c r="N180" i="77" s="1"/>
  <c r="N238" i="77" s="1" a="1"/>
  <c r="N238" i="77" s="1"/>
  <c r="N179" i="77" a="1"/>
  <c r="N179" i="77" s="1"/>
  <c r="N237" i="77" s="1" a="1"/>
  <c r="N237" i="77" s="1"/>
  <c r="N183" i="77" a="1"/>
  <c r="N183" i="77" s="1"/>
  <c r="N241" i="77" s="1" a="1"/>
  <c r="N241" i="77" s="1"/>
  <c r="M183" i="77" a="1"/>
  <c r="M183" i="77" s="1"/>
  <c r="M241" i="77" s="1" a="1"/>
  <c r="M241" i="77" s="1"/>
  <c r="M179" i="77" a="1"/>
  <c r="M179" i="77" s="1"/>
  <c r="M237" i="77" s="1" a="1"/>
  <c r="M237" i="77" s="1"/>
  <c r="AE186" i="77" a="1"/>
  <c r="AE186" i="77" s="1"/>
  <c r="AE260" i="77" s="1" a="1"/>
  <c r="AE260" i="77" s="1"/>
  <c r="AE198" i="77" a="1"/>
  <c r="AE198" i="77" s="1"/>
  <c r="AE272" i="77" s="1" a="1"/>
  <c r="AE272" i="77" s="1"/>
  <c r="AA185" i="77" a="1"/>
  <c r="AA185" i="77" s="1"/>
  <c r="AA259" i="77" s="1" a="1"/>
  <c r="AA259" i="77" s="1"/>
  <c r="AH187" i="77" a="1"/>
  <c r="AH187" i="77" s="1"/>
  <c r="AH261" i="77" s="1" a="1"/>
  <c r="AH261" i="77" s="1"/>
  <c r="AE179" i="77" a="1"/>
  <c r="AE179" i="77" s="1"/>
  <c r="AE253" i="77" s="1" a="1"/>
  <c r="AE253" i="77" s="1"/>
  <c r="AG193" i="77" a="1"/>
  <c r="AG193" i="77" s="1"/>
  <c r="AG267" i="77" s="1" a="1"/>
  <c r="AG267" i="77" s="1"/>
  <c r="AG181" i="77" a="1"/>
  <c r="AG181" i="77" s="1"/>
  <c r="AG255" i="77" s="1" a="1"/>
  <c r="AG255" i="77" s="1"/>
  <c r="X76" i="77" a="1"/>
  <c r="X76" i="77" s="1"/>
  <c r="X131" i="77" s="1" a="1"/>
  <c r="X131" i="77" s="1"/>
  <c r="Y197" i="77" a="1"/>
  <c r="Y197" i="77" s="1"/>
  <c r="Y271" i="77" s="1" a="1"/>
  <c r="Y271" i="77" s="1"/>
  <c r="Y185" i="77" a="1"/>
  <c r="Y185" i="77" s="1"/>
  <c r="Y259" i="77" s="1" a="1"/>
  <c r="Y259" i="77" s="1"/>
  <c r="Z199" i="77" a="1"/>
  <c r="Z199" i="77" s="1"/>
  <c r="Z273" i="77" s="1" a="1"/>
  <c r="Z273" i="77" s="1"/>
  <c r="Z187" i="77" a="1"/>
  <c r="Z187" i="77" s="1"/>
  <c r="Z261" i="77" s="1" a="1"/>
  <c r="Z261" i="77" s="1"/>
  <c r="AE196" i="77" a="1"/>
  <c r="AE196" i="77" s="1"/>
  <c r="AE270" i="77" s="1" a="1"/>
  <c r="AE270" i="77" s="1"/>
  <c r="AE184" i="77" a="1"/>
  <c r="AE184" i="77" s="1"/>
  <c r="AE258" i="77" s="1" a="1"/>
  <c r="AE258" i="77" s="1"/>
  <c r="AA192" i="77" a="1"/>
  <c r="AA192" i="77" s="1"/>
  <c r="AA266" i="77" s="1" a="1"/>
  <c r="AA266" i="77" s="1"/>
  <c r="AA180" i="77" a="1"/>
  <c r="AA180" i="77" s="1"/>
  <c r="AA254" i="77" s="1" a="1"/>
  <c r="AA254" i="77" s="1"/>
  <c r="AD28" i="77" a="1"/>
  <c r="AD28" i="77" s="1"/>
  <c r="AB76" i="77" s="1" a="1"/>
  <c r="AB76" i="77" s="1"/>
  <c r="AB131" i="77" s="1" a="1"/>
  <c r="AB131" i="77" s="1"/>
  <c r="AC28" i="77" a="1"/>
  <c r="AC28" i="77" s="1"/>
  <c r="AA76" i="77" s="1" a="1"/>
  <c r="AA76" i="77" s="1"/>
  <c r="AA131" i="77" s="1" a="1"/>
  <c r="AA131" i="77" s="1"/>
  <c r="AE28" i="77" a="1"/>
  <c r="AE28" i="77" s="1"/>
  <c r="AC76" i="77" s="1" a="1"/>
  <c r="AC76" i="77" s="1"/>
  <c r="AC131" i="77" s="1" a="1"/>
  <c r="AC131" i="77" s="1"/>
  <c r="AF186" i="77" a="1"/>
  <c r="AF186" i="77" s="1"/>
  <c r="AF260" i="77" s="1" a="1"/>
  <c r="AF260" i="77" s="1"/>
  <c r="L178" i="77" a="1"/>
  <c r="L178" i="77" s="1"/>
  <c r="L236" i="77" s="1" a="1"/>
  <c r="L236" i="77" s="1"/>
  <c r="L182" i="77" a="1"/>
  <c r="L182" i="77" s="1"/>
  <c r="L240" i="77" s="1" a="1"/>
  <c r="L240" i="77" s="1"/>
  <c r="N181" i="77" a="1"/>
  <c r="N181" i="77" s="1"/>
  <c r="N239" i="77" s="1" a="1"/>
  <c r="N239" i="77" s="1"/>
  <c r="N177" i="77" a="1"/>
  <c r="N177" i="77" s="1"/>
  <c r="N235" i="77" s="1" a="1"/>
  <c r="N235" i="77" s="1"/>
  <c r="L184" i="77" a="1"/>
  <c r="L184" i="77" s="1"/>
  <c r="L242" i="77" s="1" a="1"/>
  <c r="L242" i="77" s="1"/>
  <c r="L180" i="77" a="1"/>
  <c r="L180" i="77" s="1"/>
  <c r="L238" i="77" s="1" a="1"/>
  <c r="L238" i="77" s="1"/>
  <c r="AA197" i="77" a="1"/>
  <c r="AA197" i="77" s="1"/>
  <c r="AA271" i="77" s="1" a="1"/>
  <c r="AA271" i="77" s="1"/>
  <c r="AH199" i="77" a="1"/>
  <c r="AH199" i="77" s="1"/>
  <c r="AH273" i="77" s="1" a="1"/>
  <c r="AH273" i="77" s="1"/>
  <c r="AE191" i="77" a="1"/>
  <c r="AE191" i="77" s="1"/>
  <c r="AE265" i="77" s="1" a="1"/>
  <c r="AE265" i="77" s="1"/>
  <c r="AF200" i="77" a="1"/>
  <c r="AF200" i="77" s="1"/>
  <c r="AF274" i="77" s="1" a="1"/>
  <c r="AF274" i="77" s="1"/>
  <c r="AF188" i="77" a="1"/>
  <c r="AF188" i="77" s="1"/>
  <c r="AF262" i="77" s="1" a="1"/>
  <c r="AF262" i="77" s="1"/>
  <c r="AG179" i="77" a="1"/>
  <c r="AG179" i="77" s="1"/>
  <c r="AG253" i="77" s="1" a="1"/>
  <c r="AG253" i="77" s="1"/>
  <c r="AG191" i="77" a="1"/>
  <c r="AG191" i="77" s="1"/>
  <c r="AG265" i="77" s="1" a="1"/>
  <c r="AG265" i="77" s="1"/>
  <c r="AF191" i="77" a="1"/>
  <c r="AF191" i="77" s="1"/>
  <c r="AF265" i="77" s="1" a="1"/>
  <c r="AF265" i="77" s="1"/>
  <c r="AF179" i="77" a="1"/>
  <c r="AF179" i="77" s="1"/>
  <c r="AF253" i="77" s="1" a="1"/>
  <c r="AF253" i="77" s="1"/>
  <c r="AD32" i="77" a="1"/>
  <c r="AD32" i="77" s="1"/>
  <c r="AB80" i="77" s="1" a="1"/>
  <c r="AB80" i="77" s="1"/>
  <c r="AB135" i="77" s="1" a="1"/>
  <c r="AB135" i="77" s="1"/>
  <c r="AG199" i="77" a="1"/>
  <c r="AG199" i="77" s="1"/>
  <c r="AG273" i="77" s="1" a="1"/>
  <c r="AG273" i="77" s="1"/>
  <c r="AG187" i="77" a="1"/>
  <c r="AG187" i="77" s="1"/>
  <c r="AG261" i="77" s="1" a="1"/>
  <c r="AG261" i="77" s="1"/>
  <c r="AA183" i="77" a="1"/>
  <c r="AA183" i="77" s="1"/>
  <c r="AA257" i="77" s="1" a="1"/>
  <c r="AA257" i="77" s="1"/>
  <c r="AA195" i="77" a="1"/>
  <c r="AA195" i="77" s="1"/>
  <c r="AA269" i="77" s="1" a="1"/>
  <c r="AA269" i="77" s="1"/>
  <c r="AH191" i="77" a="1"/>
  <c r="AH191" i="77" s="1"/>
  <c r="AH265" i="77" s="1" a="1"/>
  <c r="AH265" i="77" s="1"/>
  <c r="AH179" i="77" a="1"/>
  <c r="AH179" i="77" s="1"/>
  <c r="AH253" i="77" s="1" a="1"/>
  <c r="AH253" i="77" s="1"/>
  <c r="AF198" i="77" a="1"/>
  <c r="AF198" i="77" s="1"/>
  <c r="AF272" i="77" s="1" a="1"/>
  <c r="AF272" i="77" s="1"/>
  <c r="H184" i="77" a="1"/>
  <c r="H184" i="77" s="1"/>
  <c r="H242" i="77" s="1" a="1"/>
  <c r="H242" i="77" s="1"/>
  <c r="H180" i="77" a="1"/>
  <c r="H180" i="77" s="1"/>
  <c r="H238" i="77" s="1" a="1"/>
  <c r="H238" i="77" s="1"/>
  <c r="Y182" i="77" a="1"/>
  <c r="Y182" i="77" s="1"/>
  <c r="Y256" i="77" s="1" a="1"/>
  <c r="Y256" i="77" s="1"/>
  <c r="AH180" i="77" a="1"/>
  <c r="AH180" i="77" s="1"/>
  <c r="AH254" i="77" s="1" a="1"/>
  <c r="AH254" i="77" s="1"/>
  <c r="AA178" i="77" a="1"/>
  <c r="AA178" i="77" s="1"/>
  <c r="AA252" i="77" s="1" a="1"/>
  <c r="AA252" i="77" s="1"/>
  <c r="AH184" i="77" a="1"/>
  <c r="AH184" i="77" s="1"/>
  <c r="AH258" i="77" s="1" a="1"/>
  <c r="AH258" i="77" s="1"/>
  <c r="Y191" i="77" a="1"/>
  <c r="Y191" i="77" s="1"/>
  <c r="Y265" i="77" s="1" a="1"/>
  <c r="Y265" i="77" s="1"/>
  <c r="Y179" i="77" a="1"/>
  <c r="Y179" i="77" s="1"/>
  <c r="Y253" i="77" s="1" a="1"/>
  <c r="Y253" i="77" s="1"/>
  <c r="AE194" i="77" a="1"/>
  <c r="AE194" i="77" s="1"/>
  <c r="AE268" i="77" s="1" a="1"/>
  <c r="AE268" i="77" s="1"/>
  <c r="AE182" i="77" a="1"/>
  <c r="AE182" i="77" s="1"/>
  <c r="AE256" i="77" s="1" a="1"/>
  <c r="AE256" i="77" s="1"/>
  <c r="AH193" i="77" a="1"/>
  <c r="AH193" i="77" s="1"/>
  <c r="AH267" i="77" s="1" a="1"/>
  <c r="AH267" i="77" s="1"/>
  <c r="AH181" i="77" a="1"/>
  <c r="AH181" i="77" s="1"/>
  <c r="AH255" i="77" s="1" a="1"/>
  <c r="AH255" i="77" s="1"/>
  <c r="AG188" i="77" a="1"/>
  <c r="AG188" i="77" s="1"/>
  <c r="AG262" i="77" s="1" a="1"/>
  <c r="AG262" i="77" s="1"/>
  <c r="AG200" i="77" a="1"/>
  <c r="AG200" i="77" s="1"/>
  <c r="AG274" i="77" s="1" a="1"/>
  <c r="AG274" i="77" s="1"/>
  <c r="M178" i="77" a="1"/>
  <c r="M178" i="77" s="1"/>
  <c r="M236" i="77" s="1" a="1"/>
  <c r="M236" i="77" s="1"/>
  <c r="M182" i="77" a="1"/>
  <c r="M182" i="77" s="1"/>
  <c r="M240" i="77" s="1" a="1"/>
  <c r="M240" i="77" s="1"/>
  <c r="M181" i="77" a="1"/>
  <c r="M181" i="77" s="1"/>
  <c r="M239" i="77" s="1" a="1"/>
  <c r="M239" i="77" s="1"/>
  <c r="M177" i="77" a="1"/>
  <c r="M177" i="77" s="1"/>
  <c r="M235" i="77" s="1" a="1"/>
  <c r="M235" i="77" s="1"/>
  <c r="Y194" i="77" a="1"/>
  <c r="Y194" i="77" s="1"/>
  <c r="Y268" i="77" s="1" a="1"/>
  <c r="Y268" i="77" s="1"/>
  <c r="AH192" i="77" a="1"/>
  <c r="AH192" i="77" s="1"/>
  <c r="AH266" i="77" s="1" a="1"/>
  <c r="AH266" i="77" s="1"/>
  <c r="AA190" i="77" a="1"/>
  <c r="AA190" i="77" s="1"/>
  <c r="AA264" i="77" s="1" a="1"/>
  <c r="AA264" i="77" s="1"/>
  <c r="AH196" i="77" a="1"/>
  <c r="AH196" i="77" s="1"/>
  <c r="AH270" i="77" s="1" a="1"/>
  <c r="AH270" i="77" s="1"/>
  <c r="AA198" i="77" a="1"/>
  <c r="AA198" i="77" s="1"/>
  <c r="AA272" i="77" s="1" a="1"/>
  <c r="AA272" i="77" s="1"/>
  <c r="AA186" i="77" a="1"/>
  <c r="AA186" i="77" s="1"/>
  <c r="AA260" i="77" s="1" a="1"/>
  <c r="AA260" i="77" s="1"/>
  <c r="AA193" i="77" a="1"/>
  <c r="AA193" i="77" s="1"/>
  <c r="AA267" i="77" s="1" a="1"/>
  <c r="AA267" i="77" s="1"/>
  <c r="AA181" i="77" a="1"/>
  <c r="AA181" i="77" s="1"/>
  <c r="AA255" i="77" s="1" a="1"/>
  <c r="AA255" i="77" s="1"/>
  <c r="AC32" i="77" a="1"/>
  <c r="AC32" i="77" s="1"/>
  <c r="AA80" i="77" s="1" a="1"/>
  <c r="AA80" i="77" s="1"/>
  <c r="AA135" i="77" s="1" a="1"/>
  <c r="AA135" i="77" s="1"/>
  <c r="AF194" i="77" a="1"/>
  <c r="AF194" i="77" s="1"/>
  <c r="AF268" i="77" s="1" a="1"/>
  <c r="AF268" i="77" s="1"/>
  <c r="AF182" i="77" a="1"/>
  <c r="AF182" i="77" s="1"/>
  <c r="AF256" i="77" s="1" a="1"/>
  <c r="AF256" i="77" s="1"/>
  <c r="AE38" i="77" a="1"/>
  <c r="AE38" i="77" s="1"/>
  <c r="AC86" i="77" s="1" a="1"/>
  <c r="AC86" i="77" s="1"/>
  <c r="AC141" i="77" s="1" a="1"/>
  <c r="AC141" i="77" s="1"/>
  <c r="AD38" i="77" a="1"/>
  <c r="AD38" i="77" s="1"/>
  <c r="AB86" i="77" s="1" a="1"/>
  <c r="AB86" i="77" s="1"/>
  <c r="AB141" i="77" s="1" a="1"/>
  <c r="AB141" i="77" s="1"/>
  <c r="AC38" i="77" a="1"/>
  <c r="AC38" i="77" s="1"/>
  <c r="AA86" i="77" s="1" a="1"/>
  <c r="AA86" i="77" s="1"/>
  <c r="AA141" i="77" s="1" a="1"/>
  <c r="AA141" i="77" s="1"/>
  <c r="AG196" i="77" a="1"/>
  <c r="AG196" i="77" s="1"/>
  <c r="AG270" i="77" s="1" a="1"/>
  <c r="AG270" i="77" s="1"/>
  <c r="G183" i="77" a="1"/>
  <c r="G183" i="77" s="1"/>
  <c r="G241" i="77" s="1" a="1"/>
  <c r="G241" i="77" s="1"/>
  <c r="G179" i="77" a="1"/>
  <c r="G179" i="77" s="1"/>
  <c r="G237" i="77" s="1" a="1"/>
  <c r="G237" i="77" s="1"/>
  <c r="J183" i="77" a="1"/>
  <c r="J183" i="77" s="1"/>
  <c r="J241" i="77" s="1" a="1"/>
  <c r="J241" i="77" s="1"/>
  <c r="J179" i="77" a="1"/>
  <c r="J179" i="77" s="1"/>
  <c r="J237" i="77" s="1" a="1"/>
  <c r="J237" i="77" s="1"/>
  <c r="Y190" i="77" a="1"/>
  <c r="Y190" i="77" s="1"/>
  <c r="Y264" i="77" s="1" a="1"/>
  <c r="Y264" i="77" s="1"/>
  <c r="Y178" i="77" a="1"/>
  <c r="Y178" i="77" s="1"/>
  <c r="Y252" i="77" s="1" a="1"/>
  <c r="Y252" i="77" s="1"/>
  <c r="AF178" i="77" a="1"/>
  <c r="AF178" i="77" s="1"/>
  <c r="AF252" i="77" s="1" a="1"/>
  <c r="AF252" i="77" s="1"/>
  <c r="AA199" i="77" a="1"/>
  <c r="AA199" i="77" s="1"/>
  <c r="AA273" i="77" s="1" a="1"/>
  <c r="AA273" i="77" s="1"/>
  <c r="AG189" i="77" a="1"/>
  <c r="AG189" i="77" s="1"/>
  <c r="AG263" i="77" s="1" a="1"/>
  <c r="AG263" i="77" s="1"/>
  <c r="AG177" i="77" a="1"/>
  <c r="AG177" i="77" s="1"/>
  <c r="AG251" i="77" s="1" a="1"/>
  <c r="AG251" i="77" s="1"/>
  <c r="AE192" i="77" a="1"/>
  <c r="AE192" i="77" s="1"/>
  <c r="AE266" i="77" s="1" a="1"/>
  <c r="AE266" i="77" s="1"/>
  <c r="AE180" i="77" a="1"/>
  <c r="AE180" i="77" s="1"/>
  <c r="AE254" i="77" s="1" a="1"/>
  <c r="AE254" i="77" s="1"/>
  <c r="H179" i="77" a="1"/>
  <c r="H179" i="77" s="1"/>
  <c r="H237" i="77" s="1" a="1"/>
  <c r="H237" i="77" s="1"/>
  <c r="H183" i="77" a="1"/>
  <c r="H183" i="77" s="1"/>
  <c r="H241" i="77" s="1" a="1"/>
  <c r="H241" i="77" s="1"/>
  <c r="AE39" i="77" a="1"/>
  <c r="AE39" i="77" s="1"/>
  <c r="AC87" i="77" s="1" a="1"/>
  <c r="AC87" i="77" s="1"/>
  <c r="AC142" i="77" s="1" a="1"/>
  <c r="AC142" i="77" s="1"/>
  <c r="AD39" i="77" a="1"/>
  <c r="AD39" i="77" s="1"/>
  <c r="AB87" i="77" s="1" a="1"/>
  <c r="AB87" i="77" s="1"/>
  <c r="AB142" i="77" s="1" a="1"/>
  <c r="AB142" i="77" s="1"/>
  <c r="AC39" i="77" a="1"/>
  <c r="AC39" i="77" s="1"/>
  <c r="AA87" i="77" s="1" a="1"/>
  <c r="AA87" i="77" s="1"/>
  <c r="AA142" i="77" s="1" a="1"/>
  <c r="AA142" i="77" s="1"/>
  <c r="AG184" i="77" a="1"/>
  <c r="AG184" i="77" s="1"/>
  <c r="AG258" i="77" s="1" a="1"/>
  <c r="AG258" i="77" s="1"/>
  <c r="O183" i="77" a="1"/>
  <c r="O183" i="77" s="1"/>
  <c r="O241" i="77" s="1" a="1"/>
  <c r="O241" i="77" s="1"/>
  <c r="O179" i="77" a="1"/>
  <c r="O179" i="77" s="1"/>
  <c r="O237" i="77" s="1" a="1"/>
  <c r="O237" i="77" s="1"/>
  <c r="K183" i="77" a="1"/>
  <c r="K183" i="77" s="1"/>
  <c r="K241" i="77" s="1" a="1"/>
  <c r="K241" i="77" s="1"/>
  <c r="K179" i="77" a="1"/>
  <c r="K179" i="77" s="1"/>
  <c r="K237" i="77" s="1" a="1"/>
  <c r="K237" i="77" s="1"/>
  <c r="AF195" i="77" a="1"/>
  <c r="AF195" i="77" s="1"/>
  <c r="AF269" i="77" s="1" a="1"/>
  <c r="AF269" i="77" s="1"/>
  <c r="AF190" i="77" a="1"/>
  <c r="AF190" i="77" s="1"/>
  <c r="AF264" i="77" s="1" a="1"/>
  <c r="AF264" i="77" s="1"/>
  <c r="AA187" i="77" a="1"/>
  <c r="AA187" i="77" s="1"/>
  <c r="AA261" i="77" s="1" a="1"/>
  <c r="AA261" i="77" s="1"/>
  <c r="AC195" i="77" a="1"/>
  <c r="AC195" i="77" s="1"/>
  <c r="AC269" i="77" s="1" a="1"/>
  <c r="AC269" i="77" s="1"/>
  <c r="AC183" i="77" a="1"/>
  <c r="AC183" i="77" s="1"/>
  <c r="AC257" i="77" s="1" a="1"/>
  <c r="AC257" i="77" s="1"/>
  <c r="AH195" i="77" a="1"/>
  <c r="AH195" i="77" s="1"/>
  <c r="AH269" i="77" s="1" a="1"/>
  <c r="AH269" i="77" s="1"/>
  <c r="AH183" i="77" a="1"/>
  <c r="AH183" i="77" s="1"/>
  <c r="AH257" i="77" s="1" a="1"/>
  <c r="AH257" i="77" s="1"/>
  <c r="Z189" i="77" a="1"/>
  <c r="Z189" i="77" s="1"/>
  <c r="Z263" i="77" s="1" a="1"/>
  <c r="Z263" i="77" s="1"/>
  <c r="Z177" i="77" a="1"/>
  <c r="Z177" i="77" s="1"/>
  <c r="Z251" i="77" s="1" a="1"/>
  <c r="Z251" i="77" s="1"/>
  <c r="AG198" i="77" a="1"/>
  <c r="AG198" i="77" s="1"/>
  <c r="AG272" i="77" s="1" a="1"/>
  <c r="AG272" i="77" s="1"/>
  <c r="AG186" i="77" a="1"/>
  <c r="AG186" i="77" s="1"/>
  <c r="AG260" i="77" s="1" a="1"/>
  <c r="AG260" i="77" s="1"/>
  <c r="AA191" i="77" a="1"/>
  <c r="AA191" i="77" s="1"/>
  <c r="AA265" i="77" s="1" a="1"/>
  <c r="AA265" i="77" s="1"/>
  <c r="AA179" i="77" a="1"/>
  <c r="AA179" i="77" s="1"/>
  <c r="AA253" i="77" s="1" a="1"/>
  <c r="AA253" i="77" s="1"/>
  <c r="Y192" i="77" a="1"/>
  <c r="Y192" i="77" s="1"/>
  <c r="Y266" i="77" s="1" a="1"/>
  <c r="Y266" i="77" s="1"/>
  <c r="Y180" i="77" a="1"/>
  <c r="Y180" i="77" s="1"/>
  <c r="Y254" i="77" s="1" a="1"/>
  <c r="Y254" i="77" s="1"/>
  <c r="N182" i="77" a="1"/>
  <c r="N182" i="77" s="1"/>
  <c r="N240" i="77" s="1" a="1"/>
  <c r="N240" i="77" s="1"/>
  <c r="N178" i="77" a="1"/>
  <c r="N178" i="77" s="1"/>
  <c r="N236" i="77" s="1" a="1"/>
  <c r="N236" i="77" s="1"/>
  <c r="F181" i="77" a="1"/>
  <c r="F181" i="77" s="1"/>
  <c r="F239" i="77" s="1" a="1"/>
  <c r="F239" i="77" s="1"/>
  <c r="F177" i="77" a="1"/>
  <c r="F177" i="77" s="1"/>
  <c r="F235" i="77" s="1" a="1"/>
  <c r="F235" i="77" s="1"/>
  <c r="AF183" i="77" a="1"/>
  <c r="AF183" i="77" s="1"/>
  <c r="AF257" i="77" s="1" a="1"/>
  <c r="AF257" i="77" s="1"/>
  <c r="Z182" i="77" a="1"/>
  <c r="Z182" i="77" s="1"/>
  <c r="Z256" i="77" s="1" a="1"/>
  <c r="Z256" i="77" s="1"/>
  <c r="AD191" i="77" a="1"/>
  <c r="AD191" i="77" s="1"/>
  <c r="AD265" i="77" s="1" a="1"/>
  <c r="AD265" i="77" s="1"/>
  <c r="Y184" i="77" a="1"/>
  <c r="Y184" i="77" s="1"/>
  <c r="Y258" i="77" s="1" a="1"/>
  <c r="Y258" i="77" s="1"/>
  <c r="AD195" i="77" a="1"/>
  <c r="AD195" i="77" s="1"/>
  <c r="AD269" i="77" s="1" a="1"/>
  <c r="AD269" i="77" s="1"/>
  <c r="AD183" i="77" a="1"/>
  <c r="AD183" i="77" s="1"/>
  <c r="AD257" i="77" s="1" a="1"/>
  <c r="AD257" i="77" s="1"/>
  <c r="AD194" i="77" a="1"/>
  <c r="AD194" i="77" s="1"/>
  <c r="AD268" i="77" s="1" a="1"/>
  <c r="AD268" i="77" s="1"/>
  <c r="AD182" i="77" a="1"/>
  <c r="AD182" i="77" s="1"/>
  <c r="AD256" i="77" s="1" a="1"/>
  <c r="AD256" i="77" s="1"/>
  <c r="AE190" i="77" a="1"/>
  <c r="AE190" i="77" s="1"/>
  <c r="AE264" i="77" s="1" a="1"/>
  <c r="AE264" i="77" s="1"/>
  <c r="AE178" i="77" a="1"/>
  <c r="AE178" i="77" s="1"/>
  <c r="AE252" i="77" s="1" a="1"/>
  <c r="AE252" i="77" s="1"/>
  <c r="L181" i="77" a="1"/>
  <c r="L181" i="77" s="1"/>
  <c r="L239" i="77" s="1" a="1"/>
  <c r="L239" i="77" s="1"/>
  <c r="L177" i="77" a="1"/>
  <c r="L177" i="77" s="1"/>
  <c r="L235" i="77" s="1" a="1"/>
  <c r="L235" i="77" s="1"/>
  <c r="AG190" i="77" a="1"/>
  <c r="AG190" i="77" s="1"/>
  <c r="AG264" i="77" s="1" a="1"/>
  <c r="AG264" i="77" s="1"/>
  <c r="AG178" i="77" a="1"/>
  <c r="AG178" i="77" s="1"/>
  <c r="AG252" i="77" s="1" a="1"/>
  <c r="AG252" i="77" s="1"/>
  <c r="AE183" i="77" a="1"/>
  <c r="AE183" i="77" s="1"/>
  <c r="AE257" i="77" s="1" a="1"/>
  <c r="AE257" i="77" s="1"/>
  <c r="AE195" i="77" a="1"/>
  <c r="AE195" i="77" s="1"/>
  <c r="AE269" i="77" s="1" a="1"/>
  <c r="AE269" i="77" s="1"/>
  <c r="G181" i="77" a="1"/>
  <c r="G181" i="77" s="1"/>
  <c r="G239" i="77" s="1" a="1"/>
  <c r="G239" i="77" s="1"/>
  <c r="G177" i="77" a="1"/>
  <c r="G177" i="77" s="1"/>
  <c r="G235" i="77" s="1" a="1"/>
  <c r="G235" i="77" s="1"/>
  <c r="Z194" i="77" a="1"/>
  <c r="Z194" i="77" s="1"/>
  <c r="Z268" i="77" s="1" a="1"/>
  <c r="Z268" i="77" s="1"/>
  <c r="AD179" i="77" a="1"/>
  <c r="AD179" i="77" s="1"/>
  <c r="AD253" i="77" s="1" a="1"/>
  <c r="AD253" i="77" s="1"/>
  <c r="V76" i="74" a="1"/>
  <c r="V76" i="74" s="1"/>
  <c r="V97" i="74" s="1" a="1"/>
  <c r="V97" i="74" s="1"/>
  <c r="V149" i="74" s="1" a="1"/>
  <c r="V149" i="74" s="1"/>
  <c r="N120" i="76"/>
  <c r="O120" i="76" s="1"/>
  <c r="J146" i="75"/>
  <c r="I148" i="75"/>
  <c r="M147" i="75"/>
  <c r="N122" i="76"/>
  <c r="O122" i="76" s="1"/>
  <c r="H146" i="75"/>
  <c r="H147" i="75"/>
  <c r="P147" i="75"/>
  <c r="H149" i="75"/>
  <c r="G149" i="75"/>
  <c r="J147" i="75"/>
  <c r="P148" i="75"/>
  <c r="G148" i="75"/>
  <c r="K149" i="75"/>
  <c r="J148" i="75"/>
  <c r="P149" i="75"/>
  <c r="L149" i="75"/>
  <c r="N146" i="75"/>
  <c r="K146" i="75"/>
  <c r="O148" i="75"/>
  <c r="L147" i="75"/>
  <c r="M146" i="75"/>
  <c r="O147" i="75"/>
  <c r="M149" i="75"/>
  <c r="G147" i="75"/>
  <c r="O149" i="75"/>
  <c r="N149" i="75"/>
  <c r="K147" i="75"/>
  <c r="L148" i="75"/>
  <c r="J149" i="75"/>
  <c r="I147" i="75"/>
  <c r="L146" i="75"/>
  <c r="N147" i="75"/>
  <c r="K148" i="75"/>
  <c r="O146" i="75"/>
  <c r="P146" i="75"/>
  <c r="N148" i="75"/>
  <c r="AC37" i="74" a="1"/>
  <c r="AC37" i="74" s="1"/>
  <c r="AA85" i="74" s="1" a="1"/>
  <c r="AA85" i="74" s="1"/>
  <c r="AA106" i="74" s="1" a="1"/>
  <c r="AA106" i="74" s="1"/>
  <c r="AA158" i="74" s="1" a="1"/>
  <c r="AA158" i="74" s="1"/>
  <c r="AA37" i="74" a="1"/>
  <c r="AA37" i="74" s="1"/>
  <c r="Y85" i="74" s="1" a="1"/>
  <c r="Y85" i="74" s="1"/>
  <c r="Y106" i="74" s="1" a="1"/>
  <c r="Y106" i="74" s="1"/>
  <c r="Y158" i="74" s="1" a="1"/>
  <c r="Y158" i="74" s="1"/>
  <c r="AB34" i="74" a="1"/>
  <c r="AB34" i="74" s="1"/>
  <c r="Z82" i="74" s="1" a="1"/>
  <c r="Z82" i="74" s="1"/>
  <c r="Z103" i="74" s="1" a="1"/>
  <c r="Z103" i="74" s="1"/>
  <c r="Z155" i="74" s="1" a="1"/>
  <c r="Z155" i="74" s="1"/>
  <c r="AA33" i="74" a="1"/>
  <c r="AA33" i="74" s="1"/>
  <c r="Y81" i="74" s="1" a="1"/>
  <c r="Y81" i="74" s="1"/>
  <c r="Y102" i="74" s="1" a="1"/>
  <c r="Y102" i="74" s="1"/>
  <c r="Y154" i="74" s="1" a="1"/>
  <c r="Y154" i="74" s="1"/>
  <c r="AC33" i="74" a="1"/>
  <c r="AC33" i="74" s="1"/>
  <c r="AA81" i="74" s="1" a="1"/>
  <c r="AA81" i="74" s="1"/>
  <c r="AA102" i="74" s="1" a="1"/>
  <c r="AA102" i="74" s="1"/>
  <c r="AA154" i="74" s="1" a="1"/>
  <c r="AA154" i="74" s="1"/>
  <c r="AB33" i="74" a="1"/>
  <c r="AB33" i="74" s="1"/>
  <c r="Z81" i="74" s="1" a="1"/>
  <c r="Z81" i="74" s="1"/>
  <c r="Z102" i="74" s="1" a="1"/>
  <c r="Z102" i="74" s="1"/>
  <c r="Z154" i="74" s="1" a="1"/>
  <c r="Z154" i="74" s="1"/>
  <c r="AB32" i="74" a="1"/>
  <c r="AB32" i="74" s="1"/>
  <c r="Z80" i="74" s="1" a="1"/>
  <c r="Z80" i="74" s="1"/>
  <c r="Z101" i="74" s="1" a="1"/>
  <c r="Z101" i="74" s="1"/>
  <c r="Z153" i="74" s="1" a="1"/>
  <c r="Z153" i="74" s="1"/>
  <c r="AC32" i="74" a="1"/>
  <c r="AC32" i="74" s="1"/>
  <c r="AA80" i="74" s="1" a="1"/>
  <c r="AA80" i="74" s="1"/>
  <c r="AA101" i="74" s="1" a="1"/>
  <c r="AA101" i="74" s="1"/>
  <c r="AA153" i="74" s="1" a="1"/>
  <c r="AA153" i="74" s="1"/>
  <c r="AA34" i="74" a="1"/>
  <c r="AA34" i="74" s="1"/>
  <c r="Y82" i="74" s="1" a="1"/>
  <c r="Y82" i="74" s="1"/>
  <c r="Y103" i="74" s="1" a="1"/>
  <c r="Y103" i="74" s="1"/>
  <c r="Y155" i="74" s="1" a="1"/>
  <c r="Y155" i="74" s="1"/>
  <c r="AB37" i="74" a="1"/>
  <c r="AB37" i="74" s="1"/>
  <c r="Z85" i="74" s="1" a="1"/>
  <c r="Z85" i="74" s="1"/>
  <c r="Z106" i="74" s="1" a="1"/>
  <c r="Z106" i="74" s="1"/>
  <c r="Z158" i="74" s="1" a="1"/>
  <c r="Z158" i="74" s="1"/>
  <c r="O115" i="74"/>
  <c r="AF133" i="74"/>
  <c r="L27" i="74" a="1"/>
  <c r="L27" i="74" s="1"/>
  <c r="J65" i="74" s="1" a="1"/>
  <c r="J65" i="74" s="1"/>
  <c r="J86" i="74" s="1" a="1"/>
  <c r="J86" i="74" s="1"/>
  <c r="J124" i="74" s="1" a="1"/>
  <c r="J124" i="74" s="1"/>
  <c r="J27" i="74" a="1"/>
  <c r="J27" i="74" s="1"/>
  <c r="H65" i="74" s="1" a="1"/>
  <c r="H65" i="74" s="1"/>
  <c r="H86" i="74" s="1" a="1"/>
  <c r="H86" i="74" s="1"/>
  <c r="H124" i="74" s="1" a="1"/>
  <c r="H124" i="74" s="1"/>
  <c r="K27" i="74" a="1"/>
  <c r="K27" i="74" s="1"/>
  <c r="I65" i="74" s="1" a="1"/>
  <c r="I65" i="74" s="1"/>
  <c r="I86" i="74" s="1" a="1"/>
  <c r="I86" i="74" s="1"/>
  <c r="I124" i="74" s="1" a="1"/>
  <c r="I124" i="74" s="1"/>
  <c r="AB36" i="74" a="1"/>
  <c r="AB36" i="74" s="1"/>
  <c r="Z84" i="74" s="1" a="1"/>
  <c r="Z84" i="74" s="1"/>
  <c r="Z105" i="74" s="1" a="1"/>
  <c r="Z105" i="74" s="1"/>
  <c r="Z157" i="74" s="1" a="1"/>
  <c r="Z157" i="74" s="1"/>
  <c r="AA29" i="74" a="1"/>
  <c r="AA29" i="74" s="1"/>
  <c r="Y77" i="74" s="1" a="1"/>
  <c r="Y77" i="74" s="1"/>
  <c r="Y98" i="74" s="1" a="1"/>
  <c r="Y98" i="74" s="1"/>
  <c r="Y150" i="74" s="1" a="1"/>
  <c r="Y150" i="74" s="1"/>
  <c r="AC29" i="74" a="1"/>
  <c r="AC29" i="74" s="1"/>
  <c r="AA77" i="74" s="1" a="1"/>
  <c r="AA77" i="74" s="1"/>
  <c r="AA98" i="74" s="1" a="1"/>
  <c r="AA98" i="74" s="1"/>
  <c r="AA150" i="74" s="1" a="1"/>
  <c r="AA150" i="74" s="1"/>
  <c r="AA36" i="74" a="1"/>
  <c r="AA36" i="74" s="1"/>
  <c r="Y84" i="74" s="1" a="1"/>
  <c r="Y84" i="74" s="1"/>
  <c r="Y105" i="74" s="1" a="1"/>
  <c r="Y105" i="74" s="1"/>
  <c r="Y157" i="74" s="1" a="1"/>
  <c r="Y157" i="74" s="1"/>
  <c r="AA32" i="74" a="1"/>
  <c r="AA32" i="74" s="1"/>
  <c r="Y80" i="74" s="1" a="1"/>
  <c r="Y80" i="74" s="1"/>
  <c r="Y101" i="74" s="1" a="1"/>
  <c r="Y101" i="74" s="1"/>
  <c r="Y153" i="74" s="1" a="1"/>
  <c r="Y153" i="74" s="1"/>
  <c r="AB35" i="74" a="1"/>
  <c r="AB35" i="74" s="1"/>
  <c r="Z83" i="74" s="1" a="1"/>
  <c r="Z83" i="74" s="1"/>
  <c r="Z104" i="74" s="1" a="1"/>
  <c r="Z104" i="74" s="1"/>
  <c r="Z156" i="74" s="1" a="1"/>
  <c r="Z156" i="74" s="1"/>
  <c r="AC30" i="74" a="1"/>
  <c r="AC30" i="74" s="1"/>
  <c r="AA78" i="74" s="1" a="1"/>
  <c r="AA78" i="74" s="1"/>
  <c r="AA99" i="74" s="1" a="1"/>
  <c r="AA99" i="74" s="1"/>
  <c r="AA151" i="74" s="1" a="1"/>
  <c r="AA151" i="74" s="1"/>
  <c r="AA30" i="74" a="1"/>
  <c r="AA30" i="74" s="1"/>
  <c r="Y78" i="74" s="1" a="1"/>
  <c r="Y78" i="74" s="1"/>
  <c r="Y99" i="74" s="1" a="1"/>
  <c r="Y99" i="74" s="1"/>
  <c r="Y151" i="74" s="1" a="1"/>
  <c r="Y151" i="74" s="1"/>
  <c r="AC35" i="74" a="1"/>
  <c r="AC35" i="74" s="1"/>
  <c r="AA83" i="74" s="1" a="1"/>
  <c r="AA83" i="74" s="1"/>
  <c r="AA104" i="74" s="1" a="1"/>
  <c r="AA104" i="74" s="1"/>
  <c r="AA156" i="74" s="1" a="1"/>
  <c r="AA156" i="74" s="1"/>
  <c r="I11" i="13"/>
  <c r="AA44" i="78" l="1" a="1"/>
  <c r="AA44" i="78" s="1"/>
  <c r="V41" i="78" a="1"/>
  <c r="V41" i="78" s="1"/>
  <c r="V45" i="78" a="1"/>
  <c r="V45" i="78" s="1"/>
  <c r="V39" i="78" a="1"/>
  <c r="V39" i="78" s="1"/>
  <c r="E35" i="78" a="1"/>
  <c r="E35" i="78" s="1"/>
  <c r="V37" i="78" a="1"/>
  <c r="V37" i="78" s="1"/>
  <c r="V43" i="78" a="1"/>
  <c r="V43" i="78" s="1"/>
  <c r="E36" i="78" a="1"/>
  <c r="E36" i="78" s="1"/>
  <c r="V40" i="78" a="1"/>
  <c r="V40" i="78" s="1"/>
  <c r="V47" i="78" a="1"/>
  <c r="V47" i="78" s="1"/>
  <c r="V42" i="78" a="1"/>
  <c r="V42" i="78" s="1"/>
  <c r="V44" i="78" a="1"/>
  <c r="V44" i="78" s="1"/>
  <c r="V46" i="78" a="1"/>
  <c r="V46" i="78" s="1"/>
  <c r="V38" i="78" a="1"/>
  <c r="V38" i="78" s="1"/>
  <c r="E34" i="78" a="1"/>
  <c r="E34" i="78" s="1"/>
  <c r="H35" i="78" a="1"/>
  <c r="H35" i="78" s="1"/>
  <c r="Y45" i="78" a="1"/>
  <c r="Y45" i="78" s="1"/>
  <c r="Y42" i="78" a="1"/>
  <c r="Y42" i="78" s="1"/>
  <c r="Y47" i="78" a="1"/>
  <c r="Y47" i="78" s="1"/>
  <c r="Y44" i="78" a="1"/>
  <c r="Y44" i="78" s="1"/>
  <c r="H36" i="78" a="1"/>
  <c r="H36" i="78" s="1"/>
  <c r="H33" i="78" a="1"/>
  <c r="H33" i="78" s="1"/>
  <c r="Y36" i="78" a="1"/>
  <c r="Y36" i="78" s="1"/>
  <c r="Y37" i="78" a="1"/>
  <c r="Y37" i="78" s="1"/>
  <c r="Y40" i="78" a="1"/>
  <c r="Y40" i="78" s="1"/>
  <c r="H34" i="78" a="1"/>
  <c r="H34" i="78" s="1"/>
  <c r="Y38" i="78" a="1"/>
  <c r="Y38" i="78" s="1"/>
  <c r="Y46" i="78" a="1"/>
  <c r="Y46" i="78" s="1"/>
  <c r="Y43" i="78" a="1"/>
  <c r="Y43" i="78" s="1"/>
  <c r="Y39" i="78" a="1"/>
  <c r="Y39" i="78" s="1"/>
  <c r="Y41" i="78" a="1"/>
  <c r="Y41" i="78" s="1"/>
  <c r="W37" i="78" a="1"/>
  <c r="W37" i="78" s="1"/>
  <c r="F33" i="78" a="1"/>
  <c r="F33" i="78" s="1"/>
  <c r="W41" i="78" a="1"/>
  <c r="W41" i="78" s="1"/>
  <c r="W47" i="78" a="1"/>
  <c r="W47" i="78" s="1"/>
  <c r="F34" i="78" a="1"/>
  <c r="F34" i="78" s="1"/>
  <c r="W42" i="78" a="1"/>
  <c r="W42" i="78" s="1"/>
  <c r="W38" i="78" a="1"/>
  <c r="W38" i="78" s="1"/>
  <c r="W44" i="78" a="1"/>
  <c r="W44" i="78" s="1"/>
  <c r="W43" i="78" a="1"/>
  <c r="W43" i="78" s="1"/>
  <c r="F36" i="78" a="1"/>
  <c r="F36" i="78" s="1"/>
  <c r="F35" i="78" a="1"/>
  <c r="F35" i="78" s="1"/>
  <c r="W39" i="78" a="1"/>
  <c r="W39" i="78" s="1"/>
  <c r="W40" i="78" a="1"/>
  <c r="W40" i="78" s="1"/>
  <c r="W45" i="78" a="1"/>
  <c r="W45" i="78" s="1"/>
  <c r="W36" i="78" a="1"/>
  <c r="W36" i="78" s="1"/>
  <c r="W46" i="78" a="1"/>
  <c r="W46" i="78" s="1"/>
  <c r="AB42" i="78" a="1"/>
  <c r="AB42" i="78" s="1"/>
  <c r="AB44" i="78" a="1"/>
  <c r="AB44" i="78" s="1"/>
  <c r="AB43" i="78" a="1"/>
  <c r="AB43" i="78" s="1"/>
  <c r="K36" i="78" a="1"/>
  <c r="K36" i="78" s="1"/>
  <c r="AB40" i="78" a="1"/>
  <c r="AB40" i="78" s="1"/>
  <c r="K33" i="78" a="1"/>
  <c r="K33" i="78" s="1"/>
  <c r="AB36" i="78" a="1"/>
  <c r="AB36" i="78" s="1"/>
  <c r="K34" i="78" a="1"/>
  <c r="K34" i="78" s="1"/>
  <c r="AB41" i="78" a="1"/>
  <c r="AB41" i="78" s="1"/>
  <c r="AB37" i="78" a="1"/>
  <c r="AB37" i="78" s="1"/>
  <c r="AB46" i="78" a="1"/>
  <c r="AB46" i="78" s="1"/>
  <c r="AB39" i="78" a="1"/>
  <c r="AB39" i="78" s="1"/>
  <c r="AB45" i="78" a="1"/>
  <c r="AB45" i="78" s="1"/>
  <c r="K35" i="78" a="1"/>
  <c r="K35" i="78" s="1"/>
  <c r="AB47" i="78" a="1"/>
  <c r="AB47" i="78" s="1"/>
  <c r="AB38" i="78" a="1"/>
  <c r="AB38" i="78" s="1"/>
  <c r="AC37" i="78" a="1"/>
  <c r="AC37" i="78" s="1"/>
  <c r="L33" i="78" a="1"/>
  <c r="L33" i="78" s="1"/>
  <c r="AC46" i="78" a="1"/>
  <c r="AC46" i="78" s="1"/>
  <c r="AC44" i="78" a="1"/>
  <c r="AC44" i="78" s="1"/>
  <c r="AC43" i="78" a="1"/>
  <c r="AC43" i="78" s="1"/>
  <c r="AC42" i="78" a="1"/>
  <c r="AC42" i="78" s="1"/>
  <c r="L35" i="78" a="1"/>
  <c r="L35" i="78" s="1"/>
  <c r="AC45" i="78" a="1"/>
  <c r="AC45" i="78" s="1"/>
  <c r="AC47" i="78" a="1"/>
  <c r="AC47" i="78" s="1"/>
  <c r="AC40" i="78" a="1"/>
  <c r="AC40" i="78" s="1"/>
  <c r="L36" i="78" a="1"/>
  <c r="L36" i="78" s="1"/>
  <c r="AC36" i="78" a="1"/>
  <c r="AC36" i="78" s="1"/>
  <c r="AC41" i="78" a="1"/>
  <c r="AC41" i="78" s="1"/>
  <c r="AC38" i="78" a="1"/>
  <c r="AC38" i="78" s="1"/>
  <c r="L34" i="78" a="1"/>
  <c r="L34" i="78" s="1"/>
  <c r="AC39" i="78" a="1"/>
  <c r="AC39" i="78" s="1"/>
  <c r="J35" i="78" a="1"/>
  <c r="J35" i="78" s="1"/>
  <c r="AA42" i="78" a="1"/>
  <c r="AA42" i="78" s="1"/>
  <c r="J36" i="78" a="1"/>
  <c r="J36" i="78" s="1"/>
  <c r="J34" i="78" a="1"/>
  <c r="J34" i="78" s="1"/>
  <c r="X36" i="78" a="1"/>
  <c r="X36" i="78" s="1"/>
  <c r="X43" i="78" a="1"/>
  <c r="X43" i="78" s="1"/>
  <c r="X41" i="78" a="1"/>
  <c r="X41" i="78" s="1"/>
  <c r="G34" i="78" a="1"/>
  <c r="G34" i="78" s="1"/>
  <c r="X40" i="78" a="1"/>
  <c r="X40" i="78" s="1"/>
  <c r="X37" i="78" a="1"/>
  <c r="X37" i="78" s="1"/>
  <c r="G33" i="78" a="1"/>
  <c r="G33" i="78" s="1"/>
  <c r="X38" i="78" a="1"/>
  <c r="X38" i="78" s="1"/>
  <c r="X45" i="78" a="1"/>
  <c r="X45" i="78" s="1"/>
  <c r="X42" i="78" a="1"/>
  <c r="X42" i="78" s="1"/>
  <c r="G35" i="78" a="1"/>
  <c r="G35" i="78" s="1"/>
  <c r="X47" i="78" a="1"/>
  <c r="X47" i="78" s="1"/>
  <c r="X44" i="78" a="1"/>
  <c r="X44" i="78" s="1"/>
  <c r="X46" i="78" a="1"/>
  <c r="X46" i="78" s="1"/>
  <c r="G36" i="78" a="1"/>
  <c r="G36" i="78" s="1"/>
  <c r="X39" i="78" a="1"/>
  <c r="X39" i="78" s="1"/>
  <c r="Z36" i="78" a="1"/>
  <c r="Z36" i="78" s="1"/>
  <c r="Z46" i="78" a="1"/>
  <c r="Z46" i="78" s="1"/>
  <c r="Z47" i="78" a="1"/>
  <c r="Z47" i="78" s="1"/>
  <c r="Z38" i="78" a="1"/>
  <c r="Z38" i="78" s="1"/>
  <c r="I34" i="78" a="1"/>
  <c r="I34" i="78" s="1"/>
  <c r="Z44" i="78" a="1"/>
  <c r="Z44" i="78" s="1"/>
  <c r="Z37" i="78" a="1"/>
  <c r="Z37" i="78" s="1"/>
  <c r="I35" i="78" a="1"/>
  <c r="I35" i="78" s="1"/>
  <c r="Z39" i="78" a="1"/>
  <c r="Z39" i="78" s="1"/>
  <c r="Z42" i="78" a="1"/>
  <c r="Z42" i="78" s="1"/>
  <c r="Z43" i="78" a="1"/>
  <c r="Z43" i="78" s="1"/>
  <c r="Z40" i="78" a="1"/>
  <c r="Z40" i="78" s="1"/>
  <c r="Z45" i="78" a="1"/>
  <c r="Z45" i="78" s="1"/>
  <c r="I36" i="78" a="1"/>
  <c r="I36" i="78" s="1"/>
  <c r="I33" i="78" a="1"/>
  <c r="I33" i="78" s="1"/>
  <c r="Z41" i="78" a="1"/>
  <c r="Z41" i="78" s="1"/>
  <c r="E33" i="78" a="1"/>
  <c r="E33" i="78" s="1"/>
  <c r="AA37" i="78" a="1"/>
  <c r="AA37" i="78" s="1"/>
  <c r="V36" i="78" a="1"/>
  <c r="V36" i="78" s="1"/>
  <c r="AB182" i="77" a="1"/>
  <c r="AB182" i="77" s="1"/>
  <c r="AB256" i="77" s="1" a="1"/>
  <c r="AB256" i="77" s="1"/>
  <c r="AC194" i="77" a="1"/>
  <c r="AC194" i="77" s="1"/>
  <c r="AC268" i="77" s="1" a="1"/>
  <c r="AC268" i="77" s="1"/>
  <c r="T33" i="97"/>
  <c r="O40" i="97" s="1" a="1"/>
  <c r="O40" i="97" s="1"/>
  <c r="Q42" i="97" s="1"/>
  <c r="O45" i="97" s="1" a="1"/>
  <c r="O45" i="97" s="1"/>
  <c r="O25" i="98"/>
  <c r="S25" i="98" s="1" a="1"/>
  <c r="S25" i="98" s="1"/>
  <c r="N46" i="98" s="1"/>
  <c r="O46" i="98" s="1" a="1"/>
  <c r="O46" i="98" s="1"/>
  <c r="O48" i="98" s="1"/>
  <c r="Q50" i="98" s="1"/>
  <c r="O53" i="98" s="1" a="1"/>
  <c r="O53" i="98" s="1"/>
  <c r="J33" i="97"/>
  <c r="E40" i="97" s="1" a="1"/>
  <c r="E40" i="97" s="1"/>
  <c r="G42" i="97" s="1"/>
  <c r="E45" i="97" s="1" a="1"/>
  <c r="E45" i="97" s="1"/>
  <c r="E25" i="98"/>
  <c r="I25" i="98" s="1" a="1"/>
  <c r="I25" i="98" s="1"/>
  <c r="D46" i="98" s="1"/>
  <c r="E46" i="98" s="1" a="1"/>
  <c r="E46" i="98" s="1"/>
  <c r="E48" i="98" s="1"/>
  <c r="G50" i="98" s="1"/>
  <c r="E53" i="98" s="1" a="1"/>
  <c r="E53" i="98" s="1"/>
  <c r="E63" i="93"/>
  <c r="AB179" i="77" a="1"/>
  <c r="AB179" i="77" s="1"/>
  <c r="AB253" i="77" s="1" a="1"/>
  <c r="AB253" i="77" s="1"/>
  <c r="I179" i="77" a="1"/>
  <c r="I179" i="77" s="1"/>
  <c r="I237" i="77" s="1" a="1"/>
  <c r="I237" i="77" s="1"/>
  <c r="AA28" i="74" a="1"/>
  <c r="AA28" i="74" s="1"/>
  <c r="Y76" i="74" s="1" a="1"/>
  <c r="Y76" i="74" s="1"/>
  <c r="Y97" i="74" s="1" a="1"/>
  <c r="Y97" i="74" s="1"/>
  <c r="Y149" i="74" s="1" a="1"/>
  <c r="Y149" i="74" s="1"/>
  <c r="AB38" i="74" a="1"/>
  <c r="AB38" i="74" s="1"/>
  <c r="Z86" i="74" s="1" a="1"/>
  <c r="Z86" i="74" s="1"/>
  <c r="Z107" i="74" s="1" a="1"/>
  <c r="Z107" i="74" s="1"/>
  <c r="Z159" i="74" s="1" a="1"/>
  <c r="Z159" i="74" s="1"/>
  <c r="AC39" i="74" a="1"/>
  <c r="AC39" i="74" s="1"/>
  <c r="AA87" i="74" s="1" a="1"/>
  <c r="AA87" i="74" s="1"/>
  <c r="AA108" i="74" s="1" a="1"/>
  <c r="AA108" i="74" s="1"/>
  <c r="AA160" i="74" s="1" a="1"/>
  <c r="AA160" i="74" s="1"/>
  <c r="E46" i="93"/>
  <c r="E57" i="93"/>
  <c r="E46" i="94"/>
  <c r="E43" i="93"/>
  <c r="E45" i="93"/>
  <c r="E45" i="94"/>
  <c r="E43" i="94"/>
  <c r="E56" i="93"/>
  <c r="E44" i="94"/>
  <c r="E52" i="94"/>
  <c r="E44" i="93"/>
  <c r="E58" i="93"/>
  <c r="E51" i="94"/>
  <c r="E78" i="83"/>
  <c r="E55" i="93"/>
  <c r="E49" i="94"/>
  <c r="E50" i="94"/>
  <c r="E62" i="93"/>
  <c r="AA38" i="74" a="1"/>
  <c r="AA38" i="74" s="1"/>
  <c r="Y86" i="74" s="1" a="1"/>
  <c r="Y86" i="74" s="1"/>
  <c r="Y107" i="74" s="1" a="1"/>
  <c r="Y107" i="74" s="1"/>
  <c r="Y159" i="74" s="1" a="1"/>
  <c r="Y159" i="74" s="1"/>
  <c r="E146" i="86"/>
  <c r="G148" i="86" s="1"/>
  <c r="E151" i="86" s="1" a="1"/>
  <c r="E151" i="86" s="1"/>
  <c r="AB28" i="74" a="1"/>
  <c r="AB28" i="74" s="1"/>
  <c r="Z76" i="74" s="1" a="1"/>
  <c r="Z76" i="74" s="1"/>
  <c r="Z97" i="74" s="1" a="1"/>
  <c r="Z97" i="74" s="1"/>
  <c r="Z149" i="74" s="1" a="1"/>
  <c r="Z149" i="74" s="1"/>
  <c r="E43" i="87"/>
  <c r="J89" i="87" s="1"/>
  <c r="E77" i="87"/>
  <c r="J90" i="87" s="1"/>
  <c r="AB39" i="74" a="1"/>
  <c r="AB39" i="74" s="1"/>
  <c r="Z87" i="74" s="1" a="1"/>
  <c r="Z87" i="74" s="1"/>
  <c r="Z108" i="74" s="1" a="1"/>
  <c r="Z108" i="74" s="1"/>
  <c r="Z160" i="74" s="1" a="1"/>
  <c r="Z160" i="74" s="1"/>
  <c r="E79" i="86"/>
  <c r="G81" i="86" s="1"/>
  <c r="E84" i="86" s="1" a="1"/>
  <c r="E84" i="86" s="1"/>
  <c r="AB109" i="78" a="1"/>
  <c r="AB109" i="78" s="1"/>
  <c r="AC108" i="78" a="1"/>
  <c r="AC108" i="78" s="1"/>
  <c r="G19" i="82" a="1"/>
  <c r="G19" i="82" s="1"/>
  <c r="E60" i="82" s="1" a="1"/>
  <c r="E60" i="82" s="1"/>
  <c r="E80" i="82" s="1"/>
  <c r="G82" i="82" s="1"/>
  <c r="E85" i="82" s="1" a="1"/>
  <c r="E85" i="82" s="1"/>
  <c r="AA109" i="78" a="1"/>
  <c r="AA109" i="78" s="1"/>
  <c r="K184" i="77" a="1"/>
  <c r="K184" i="77" s="1"/>
  <c r="K242" i="77" s="1" a="1"/>
  <c r="K242" i="77" s="1"/>
  <c r="AE37" i="77" a="1"/>
  <c r="AE37" i="77" s="1"/>
  <c r="AC85" i="77" s="1" a="1"/>
  <c r="AC85" i="77" s="1"/>
  <c r="AC140" i="77" s="1" a="1"/>
  <c r="AC140" i="77" s="1"/>
  <c r="AD198" i="77" s="1" a="1"/>
  <c r="AD198" i="77" s="1"/>
  <c r="AD272" i="77" s="1" a="1"/>
  <c r="AD272" i="77" s="1"/>
  <c r="P82" i="82" a="1"/>
  <c r="P82" i="82" s="1"/>
  <c r="N88" i="82" s="1"/>
  <c r="P90" i="82" s="1"/>
  <c r="N93" i="82" s="1" a="1"/>
  <c r="N93" i="82" s="1"/>
  <c r="AB108" i="78" a="1"/>
  <c r="AB108" i="78" s="1"/>
  <c r="AC37" i="77" a="1"/>
  <c r="AC37" i="77" s="1"/>
  <c r="AA85" i="77" s="1" a="1"/>
  <c r="AA85" i="77" s="1"/>
  <c r="AA140" i="77" s="1" a="1"/>
  <c r="AA140" i="77" s="1"/>
  <c r="AB198" i="77" s="1" a="1"/>
  <c r="AB198" i="77" s="1"/>
  <c r="AB272" i="77" s="1" a="1"/>
  <c r="AB272" i="77" s="1"/>
  <c r="AC36" i="77" a="1"/>
  <c r="AC36" i="77" s="1"/>
  <c r="AA84" i="77" s="1" a="1"/>
  <c r="AA84" i="77" s="1"/>
  <c r="AA139" i="77" s="1" a="1"/>
  <c r="AA139" i="77" s="1"/>
  <c r="AB197" i="77" s="1" a="1"/>
  <c r="AB197" i="77" s="1"/>
  <c r="AB271" i="77" s="1" a="1"/>
  <c r="AB271" i="77" s="1"/>
  <c r="L98" i="78" a="1"/>
  <c r="L98" i="78" s="1"/>
  <c r="AD36" i="77" a="1"/>
  <c r="AD36" i="77" s="1"/>
  <c r="AB84" i="77" s="1" a="1"/>
  <c r="AB84" i="77" s="1"/>
  <c r="AB139" i="77" s="1" a="1"/>
  <c r="AB139" i="77" s="1"/>
  <c r="AC197" i="77" s="1" a="1"/>
  <c r="AC197" i="77" s="1"/>
  <c r="AC271" i="77" s="1" a="1"/>
  <c r="AC271" i="77" s="1"/>
  <c r="K98" i="78" a="1"/>
  <c r="K98" i="78" s="1"/>
  <c r="V50" i="82" a="1"/>
  <c r="V50" i="82" s="1"/>
  <c r="AD35" i="77" a="1"/>
  <c r="AD35" i="77" s="1"/>
  <c r="AB83" i="77" s="1" a="1"/>
  <c r="AB83" i="77" s="1"/>
  <c r="AB138" i="77" s="1" a="1"/>
  <c r="AB138" i="77" s="1"/>
  <c r="AC196" i="77" s="1" a="1"/>
  <c r="AC196" i="77" s="1"/>
  <c r="AC270" i="77" s="1" a="1"/>
  <c r="AC270" i="77" s="1"/>
  <c r="AE35" i="77" a="1"/>
  <c r="AE35" i="77" s="1"/>
  <c r="AC83" i="77" s="1" a="1"/>
  <c r="AC83" i="77" s="1"/>
  <c r="AC138" i="77" s="1" a="1"/>
  <c r="AC138" i="77" s="1"/>
  <c r="AD184" i="77" s="1" a="1"/>
  <c r="AD184" i="77" s="1"/>
  <c r="AD258" i="77" s="1" a="1"/>
  <c r="AD258" i="77" s="1"/>
  <c r="I180" i="77" a="1"/>
  <c r="I180" i="77" s="1"/>
  <c r="I238" i="77" s="1" a="1"/>
  <c r="I238" i="77" s="1"/>
  <c r="J180" i="77" a="1"/>
  <c r="J180" i="77" s="1"/>
  <c r="J238" i="77" s="1" a="1"/>
  <c r="J238" i="77" s="1"/>
  <c r="M31" i="77" a="1"/>
  <c r="M31" i="77" s="1"/>
  <c r="I85" i="77" s="1" a="1"/>
  <c r="I85" i="77" s="1"/>
  <c r="I132" i="77" s="1" a="1"/>
  <c r="I132" i="77" s="1"/>
  <c r="L31" i="77" a="1"/>
  <c r="L31" i="77" s="1"/>
  <c r="H85" i="77" s="1" a="1"/>
  <c r="H85" i="77" s="1"/>
  <c r="H132" i="77" s="1" a="1"/>
  <c r="H132" i="77" s="1"/>
  <c r="N31" i="77" a="1"/>
  <c r="N31" i="77" s="1"/>
  <c r="J85" i="77" s="1" a="1"/>
  <c r="J85" i="77" s="1"/>
  <c r="J132" i="77" s="1" a="1"/>
  <c r="J132" i="77" s="1"/>
  <c r="L30" i="77" a="1"/>
  <c r="L30" i="77" s="1"/>
  <c r="H84" i="77" s="1" a="1"/>
  <c r="H84" i="77" s="1"/>
  <c r="H131" i="77" s="1" a="1"/>
  <c r="H131" i="77" s="1"/>
  <c r="N30" i="77" a="1"/>
  <c r="N30" i="77" s="1"/>
  <c r="J84" i="77" s="1" a="1"/>
  <c r="J84" i="77" s="1"/>
  <c r="J131" i="77" s="1" a="1"/>
  <c r="J131" i="77" s="1"/>
  <c r="M30" i="77" a="1"/>
  <c r="M30" i="77" s="1"/>
  <c r="I84" i="77" s="1" a="1"/>
  <c r="I84" i="77" s="1"/>
  <c r="I131" i="77" s="1" a="1"/>
  <c r="I131" i="77" s="1"/>
  <c r="AC193" i="77" a="1"/>
  <c r="AC193" i="77" s="1"/>
  <c r="AC267" i="77" s="1" a="1"/>
  <c r="AC267" i="77" s="1"/>
  <c r="AC181" i="77" a="1"/>
  <c r="AC181" i="77" s="1"/>
  <c r="AC255" i="77" s="1" a="1"/>
  <c r="AC255" i="77" s="1"/>
  <c r="AC186" i="77" a="1"/>
  <c r="AC186" i="77" s="1"/>
  <c r="AC260" i="77" s="1" a="1"/>
  <c r="AC260" i="77" s="1"/>
  <c r="AC198" i="77" a="1"/>
  <c r="AC198" i="77" s="1"/>
  <c r="AC272" i="77" s="1" a="1"/>
  <c r="AC272" i="77" s="1"/>
  <c r="AB193" i="77" a="1"/>
  <c r="AB193" i="77" s="1"/>
  <c r="AB267" i="77" s="1" a="1"/>
  <c r="AB267" i="77" s="1"/>
  <c r="AB181" i="77" a="1"/>
  <c r="AB181" i="77" s="1"/>
  <c r="AB255" i="77" s="1" a="1"/>
  <c r="AB255" i="77" s="1"/>
  <c r="Y189" i="77" a="1"/>
  <c r="Y189" i="77" s="1"/>
  <c r="Y263" i="77" s="1" a="1"/>
  <c r="Y263" i="77" s="1"/>
  <c r="Y177" i="77" a="1"/>
  <c r="Y177" i="77" s="1"/>
  <c r="Y251" i="77" s="1" a="1"/>
  <c r="Y251" i="77" s="1"/>
  <c r="AC188" i="77" a="1"/>
  <c r="AC188" i="77" s="1"/>
  <c r="AC262" i="77" s="1" a="1"/>
  <c r="AC262" i="77" s="1"/>
  <c r="AC200" i="77" a="1"/>
  <c r="AC200" i="77" s="1"/>
  <c r="AC274" i="77" s="1" a="1"/>
  <c r="AC274" i="77" s="1"/>
  <c r="AC199" i="77" a="1"/>
  <c r="AC199" i="77" s="1"/>
  <c r="AC273" i="77" s="1" a="1"/>
  <c r="AC273" i="77" s="1"/>
  <c r="AC187" i="77" a="1"/>
  <c r="AC187" i="77" s="1"/>
  <c r="AC261" i="77" s="1" a="1"/>
  <c r="AC261" i="77" s="1"/>
  <c r="AC190" i="77" a="1"/>
  <c r="AC190" i="77" s="1"/>
  <c r="AC264" i="77" s="1" a="1"/>
  <c r="AC264" i="77" s="1"/>
  <c r="AC178" i="77" a="1"/>
  <c r="AC178" i="77" s="1"/>
  <c r="AC252" i="77" s="1" a="1"/>
  <c r="AC252" i="77" s="1"/>
  <c r="AD189" i="77" a="1"/>
  <c r="AD189" i="77" s="1"/>
  <c r="AD263" i="77" s="1" a="1"/>
  <c r="AD263" i="77" s="1"/>
  <c r="AD177" i="77" a="1"/>
  <c r="AD177" i="77" s="1"/>
  <c r="AD251" i="77" s="1" a="1"/>
  <c r="AD251" i="77" s="1"/>
  <c r="AD190" i="77" a="1"/>
  <c r="AD190" i="77" s="1"/>
  <c r="AD264" i="77" s="1" a="1"/>
  <c r="AD264" i="77" s="1"/>
  <c r="AD178" i="77" a="1"/>
  <c r="AD178" i="77" s="1"/>
  <c r="AD252" i="77" s="1" a="1"/>
  <c r="AD252" i="77" s="1"/>
  <c r="AB177" i="77" a="1"/>
  <c r="AB177" i="77" s="1"/>
  <c r="AB251" i="77" s="1" a="1"/>
  <c r="AB251" i="77" s="1"/>
  <c r="AB189" i="77" a="1"/>
  <c r="AB189" i="77" s="1"/>
  <c r="AB263" i="77" s="1" a="1"/>
  <c r="AB263" i="77" s="1"/>
  <c r="AB200" i="77" a="1"/>
  <c r="AB200" i="77" s="1"/>
  <c r="AB274" i="77" s="1" a="1"/>
  <c r="AB274" i="77" s="1"/>
  <c r="AB188" i="77" a="1"/>
  <c r="AB188" i="77" s="1"/>
  <c r="AB262" i="77" s="1" a="1"/>
  <c r="AB262" i="77" s="1"/>
  <c r="AD185" i="77" a="1"/>
  <c r="AD185" i="77" s="1"/>
  <c r="AD259" i="77" s="1" a="1"/>
  <c r="AD259" i="77" s="1"/>
  <c r="AD197" i="77" a="1"/>
  <c r="AD197" i="77" s="1"/>
  <c r="AD271" i="77" s="1" a="1"/>
  <c r="AD271" i="77" s="1"/>
  <c r="AC177" i="77" a="1"/>
  <c r="AC177" i="77" s="1"/>
  <c r="AC251" i="77" s="1" a="1"/>
  <c r="AC251" i="77" s="1"/>
  <c r="AC189" i="77" a="1"/>
  <c r="AC189" i="77" s="1"/>
  <c r="AC263" i="77" s="1" a="1"/>
  <c r="AC263" i="77" s="1"/>
  <c r="AB192" i="77" a="1"/>
  <c r="AB192" i="77" s="1"/>
  <c r="AB266" i="77" s="1" a="1"/>
  <c r="AB266" i="77" s="1"/>
  <c r="AB180" i="77" a="1"/>
  <c r="AB180" i="77" s="1"/>
  <c r="AB254" i="77" s="1" a="1"/>
  <c r="AB254" i="77" s="1"/>
  <c r="AC192" i="77" a="1"/>
  <c r="AC192" i="77" s="1"/>
  <c r="AC266" i="77" s="1" a="1"/>
  <c r="AC266" i="77" s="1"/>
  <c r="AC180" i="77" a="1"/>
  <c r="AC180" i="77" s="1"/>
  <c r="AC254" i="77" s="1" a="1"/>
  <c r="AC254" i="77" s="1"/>
  <c r="AD192" i="77" a="1"/>
  <c r="AD192" i="77" s="1"/>
  <c r="AD266" i="77" s="1" a="1"/>
  <c r="AD266" i="77" s="1"/>
  <c r="AD180" i="77" a="1"/>
  <c r="AD180" i="77" s="1"/>
  <c r="AD254" i="77" s="1" a="1"/>
  <c r="AD254" i="77" s="1"/>
  <c r="AB199" i="77" a="1"/>
  <c r="AB199" i="77" s="1"/>
  <c r="AB273" i="77" s="1" a="1"/>
  <c r="AB273" i="77" s="1"/>
  <c r="AB187" i="77" a="1"/>
  <c r="AB187" i="77" s="1"/>
  <c r="AB261" i="77" s="1" a="1"/>
  <c r="AB261" i="77" s="1"/>
  <c r="AD188" i="77" a="1"/>
  <c r="AD188" i="77" s="1"/>
  <c r="AD262" i="77" s="1" a="1"/>
  <c r="AD262" i="77" s="1"/>
  <c r="AD200" i="77" a="1"/>
  <c r="AD200" i="77" s="1"/>
  <c r="AD274" i="77" s="1" a="1"/>
  <c r="AD274" i="77" s="1"/>
  <c r="AB196" i="77" a="1"/>
  <c r="AB196" i="77" s="1"/>
  <c r="AB270" i="77" s="1" a="1"/>
  <c r="AB270" i="77" s="1"/>
  <c r="AB184" i="77" a="1"/>
  <c r="AB184" i="77" s="1"/>
  <c r="AB258" i="77" s="1" a="1"/>
  <c r="AB258" i="77" s="1"/>
  <c r="AD187" i="77" a="1"/>
  <c r="AD187" i="77" s="1"/>
  <c r="AD261" i="77" s="1" a="1"/>
  <c r="AD261" i="77" s="1"/>
  <c r="AD199" i="77" a="1"/>
  <c r="AD199" i="77" s="1"/>
  <c r="AD273" i="77" s="1" a="1"/>
  <c r="AD273" i="77" s="1"/>
  <c r="E128" i="74"/>
  <c r="G130" i="74" s="1"/>
  <c r="E133" i="74" s="1" a="1"/>
  <c r="E133" i="74" s="1"/>
  <c r="E70" i="93" l="1"/>
  <c r="E58" i="94"/>
  <c r="E69" i="93"/>
  <c r="E57" i="94"/>
  <c r="E67" i="93"/>
  <c r="E68" i="93"/>
  <c r="V161" i="74"/>
  <c r="X163" i="74" s="1"/>
  <c r="V166" i="74" s="1" a="1"/>
  <c r="V166" i="74" s="1"/>
  <c r="E56" i="94"/>
  <c r="E55" i="94"/>
  <c r="E94" i="87" a="1"/>
  <c r="E94" i="87" s="1"/>
  <c r="G96" i="87" s="1"/>
  <c r="E99" i="87" s="1" a="1"/>
  <c r="E99" i="87" s="1"/>
  <c r="AD186" i="77" a="1"/>
  <c r="AD186" i="77" s="1"/>
  <c r="AD260" i="77" s="1" a="1"/>
  <c r="AD260" i="77" s="1"/>
  <c r="AB186" i="77" a="1"/>
  <c r="AB186" i="77" s="1"/>
  <c r="AB260" i="77" s="1" a="1"/>
  <c r="AB260" i="77" s="1"/>
  <c r="AD196" i="77" a="1"/>
  <c r="AD196" i="77" s="1"/>
  <c r="AD270" i="77" s="1" a="1"/>
  <c r="AD270" i="77" s="1"/>
  <c r="AC185" i="77" a="1"/>
  <c r="AC185" i="77" s="1"/>
  <c r="AC259" i="77" s="1" a="1"/>
  <c r="AC259" i="77" s="1"/>
  <c r="AB185" i="77" a="1"/>
  <c r="AB185" i="77" s="1"/>
  <c r="AB259" i="77" s="1" a="1"/>
  <c r="AB259" i="77" s="1"/>
  <c r="AC184" i="77" a="1"/>
  <c r="AC184" i="77" s="1"/>
  <c r="AC258" i="77" s="1" a="1"/>
  <c r="AC258" i="77" s="1"/>
  <c r="J181" i="77" a="1"/>
  <c r="J181" i="77" s="1"/>
  <c r="J239" i="77" s="1" a="1"/>
  <c r="J239" i="77" s="1"/>
  <c r="J177" i="77" a="1"/>
  <c r="J177" i="77" s="1"/>
  <c r="J235" i="77" s="1" a="1"/>
  <c r="J235" i="77" s="1"/>
  <c r="K181" i="77" a="1"/>
  <c r="K181" i="77" s="1"/>
  <c r="K239" i="77" s="1" a="1"/>
  <c r="K239" i="77" s="1"/>
  <c r="K177" i="77" a="1"/>
  <c r="K177" i="77" s="1"/>
  <c r="K235" i="77" s="1" a="1"/>
  <c r="K235" i="77" s="1"/>
  <c r="I181" i="77" a="1"/>
  <c r="I181" i="77" s="1"/>
  <c r="I239" i="77" s="1" a="1"/>
  <c r="I239" i="77" s="1"/>
  <c r="I177" i="77" a="1"/>
  <c r="I177" i="77" s="1"/>
  <c r="I235" i="77" s="1" a="1"/>
  <c r="I235" i="77" s="1"/>
  <c r="K182" i="77" a="1"/>
  <c r="K182" i="77" s="1"/>
  <c r="K240" i="77" s="1" a="1"/>
  <c r="K240" i="77" s="1"/>
  <c r="K178" i="77" a="1"/>
  <c r="K178" i="77" s="1"/>
  <c r="K236" i="77" s="1" a="1"/>
  <c r="K236" i="77" s="1"/>
  <c r="I182" i="77" a="1"/>
  <c r="I182" i="77" s="1"/>
  <c r="I240" i="77" s="1" a="1"/>
  <c r="I240" i="77" s="1"/>
  <c r="I178" i="77" a="1"/>
  <c r="I178" i="77" s="1"/>
  <c r="I236" i="77" s="1" a="1"/>
  <c r="I236" i="77" s="1"/>
  <c r="J182" i="77" a="1"/>
  <c r="J182" i="77" s="1"/>
  <c r="J240" i="77" s="1" a="1"/>
  <c r="J240" i="77" s="1"/>
  <c r="J178" i="77" a="1"/>
  <c r="J178" i="77" s="1"/>
  <c r="J236" i="77" s="1" a="1"/>
  <c r="J236" i="77" s="1"/>
  <c r="X276" i="77" l="1"/>
  <c r="Z278" i="77" s="1"/>
  <c r="X281" i="77" s="1" a="1"/>
  <c r="X281" i="77" s="1"/>
  <c r="E244" i="77"/>
  <c r="G246" i="77" s="1"/>
  <c r="E249" i="77" s="1" a="1"/>
  <c r="E249" i="77" s="1"/>
  <c r="V63" i="78" l="1"/>
  <c r="V57" i="78"/>
  <c r="X67" i="78"/>
  <c r="AC64" i="78"/>
  <c r="AC59" i="78"/>
  <c r="Z63" i="78"/>
  <c r="Y60" i="78"/>
  <c r="AE65" i="78"/>
  <c r="Y58" i="78"/>
  <c r="AC58" i="78"/>
  <c r="Z57" i="78"/>
  <c r="Z58" i="78"/>
  <c r="AB58" i="78"/>
  <c r="AA66" i="78"/>
  <c r="AE59" i="78"/>
  <c r="Y56" i="78"/>
  <c r="Z66" i="78"/>
  <c r="AE60" i="78"/>
  <c r="AC67" i="78"/>
  <c r="W58" i="78"/>
  <c r="AB66" i="78"/>
  <c r="AA63" i="78"/>
  <c r="X66" i="78"/>
  <c r="AE63" i="78"/>
  <c r="Z65" i="78"/>
  <c r="AD66" i="78"/>
  <c r="AD64" i="78"/>
  <c r="W56" i="78"/>
  <c r="X63" i="78"/>
  <c r="AB67" i="78"/>
  <c r="AD60" i="78"/>
  <c r="V58" i="78"/>
  <c r="Y61" i="78"/>
  <c r="X62" i="78"/>
  <c r="AA56" i="78"/>
  <c r="Y67" i="78"/>
  <c r="AB64" i="78"/>
  <c r="W61" i="78"/>
  <c r="V66" i="78"/>
  <c r="AE58" i="78"/>
  <c r="X59" i="78"/>
  <c r="AE67" i="78"/>
  <c r="AA61" i="78"/>
  <c r="AC60" i="78"/>
  <c r="AB57" i="78"/>
  <c r="X58" i="78"/>
  <c r="X65" i="78"/>
  <c r="Y66" i="78"/>
  <c r="AE62" i="78"/>
  <c r="AC57" i="78"/>
  <c r="W62" i="78"/>
  <c r="AE64" i="78"/>
  <c r="AB65" i="78"/>
  <c r="V65" i="78"/>
  <c r="X61" i="78"/>
  <c r="X57" i="78"/>
  <c r="V67" i="78"/>
  <c r="AE61" i="78"/>
  <c r="AB63" i="78"/>
  <c r="W60" i="78"/>
  <c r="W64" i="78"/>
  <c r="AD56" i="78"/>
  <c r="AC62" i="78"/>
  <c r="X64" i="78"/>
  <c r="Y65" i="78"/>
  <c r="W65" i="78"/>
  <c r="AA64" i="78"/>
  <c r="AC66" i="78"/>
  <c r="V62" i="78"/>
  <c r="AD61" i="78"/>
  <c r="Z59" i="78"/>
  <c r="Z61" i="78"/>
  <c r="AA62" i="78"/>
  <c r="X56" i="78"/>
  <c r="V60" i="78"/>
  <c r="W63" i="78"/>
  <c r="AC56" i="78"/>
  <c r="H54" i="78"/>
  <c r="G54" i="78"/>
  <c r="J57" i="78"/>
  <c r="N54" i="78"/>
  <c r="I56" i="78"/>
  <c r="I55" i="78"/>
  <c r="L57" i="78"/>
  <c r="E55" i="78"/>
  <c r="E56" i="78"/>
  <c r="E57" i="78"/>
  <c r="M55" i="78"/>
  <c r="F55" i="78"/>
  <c r="H56" i="78"/>
  <c r="M54" i="78"/>
  <c r="N57" i="78"/>
  <c r="N55" i="78"/>
  <c r="L54" i="78"/>
  <c r="I54" i="78"/>
  <c r="M56" i="78"/>
  <c r="H57" i="78"/>
  <c r="F54" i="78"/>
  <c r="L55" i="78"/>
  <c r="J54" i="78"/>
  <c r="J55" i="78"/>
  <c r="G55" i="78"/>
  <c r="L56" i="78"/>
  <c r="N56" i="78"/>
  <c r="I57" i="78"/>
  <c r="F57" i="78"/>
  <c r="H55" i="78"/>
  <c r="M57" i="78"/>
  <c r="K54" i="78"/>
  <c r="K56" i="78"/>
  <c r="F56" i="78"/>
  <c r="I65" i="78" l="1" a="1"/>
  <c r="I65" i="78" s="1"/>
  <c r="I130" i="78" s="1" a="1"/>
  <c r="I130" i="78" s="1"/>
  <c r="I172" i="78" s="1" a="1"/>
  <c r="I172" i="78" s="1"/>
  <c r="I210" i="78" s="1" a="1"/>
  <c r="I210" i="78" s="1"/>
  <c r="L62" i="78" a="1"/>
  <c r="L62" i="78" s="1"/>
  <c r="L127" i="78" s="1" a="1"/>
  <c r="L127" i="78" s="1"/>
  <c r="L169" i="78" s="1" a="1"/>
  <c r="L169" i="78" s="1"/>
  <c r="L207" i="78" s="1" a="1"/>
  <c r="L207" i="78" s="1"/>
  <c r="I64" i="78" a="1"/>
  <c r="I64" i="78" s="1"/>
  <c r="I129" i="78" s="1" a="1"/>
  <c r="I129" i="78" s="1"/>
  <c r="I171" i="78" s="1" a="1"/>
  <c r="I171" i="78" s="1"/>
  <c r="I209" i="78" s="1" a="1"/>
  <c r="I209" i="78" s="1"/>
  <c r="AB59" i="78"/>
  <c r="AC82" i="78" a="1"/>
  <c r="AC82" i="78" s="1"/>
  <c r="AC146" i="78" s="1" a="1"/>
  <c r="AC146" i="78" s="1"/>
  <c r="AC206" i="78" s="1" a="1"/>
  <c r="AC206" i="78" s="1"/>
  <c r="AC258" i="78" s="1" a="1"/>
  <c r="AC258" i="78" s="1"/>
  <c r="X60" i="78"/>
  <c r="Z67" i="78"/>
  <c r="AC76" i="78" a="1"/>
  <c r="AC76" i="78" s="1"/>
  <c r="AC140" i="78" s="1" a="1"/>
  <c r="AC140" i="78" s="1"/>
  <c r="AC200" i="78" s="1" a="1"/>
  <c r="AC200" i="78" s="1"/>
  <c r="AC252" i="78" s="1" a="1"/>
  <c r="AC252" i="78" s="1"/>
  <c r="AA72" i="78" a="1"/>
  <c r="AA72" i="78" s="1"/>
  <c r="AA136" i="78" s="1" a="1"/>
  <c r="AA136" i="78" s="1"/>
  <c r="AA196" i="78" s="1" a="1"/>
  <c r="AA196" i="78" s="1"/>
  <c r="AA248" i="78" s="1" a="1"/>
  <c r="AA248" i="78" s="1"/>
  <c r="Z81" i="78" a="1"/>
  <c r="Z81" i="78" s="1"/>
  <c r="Z145" i="78" s="1" a="1"/>
  <c r="Z145" i="78" s="1"/>
  <c r="Z205" i="78" s="1" a="1"/>
  <c r="Z205" i="78" s="1"/>
  <c r="Z257" i="78" s="1" a="1"/>
  <c r="Z257" i="78" s="1"/>
  <c r="AE75" i="78" a="1"/>
  <c r="AE75" i="78" s="1"/>
  <c r="AE139" i="78" s="1" a="1"/>
  <c r="AE139" i="78" s="1"/>
  <c r="AE199" i="78" s="1" a="1"/>
  <c r="AE199" i="78" s="1"/>
  <c r="AE251" i="78" s="1" a="1"/>
  <c r="AE251" i="78" s="1"/>
  <c r="Y76" i="78" a="1"/>
  <c r="Y76" i="78" s="1"/>
  <c r="Y140" i="78" s="1" a="1"/>
  <c r="Y140" i="78" s="1"/>
  <c r="Y200" i="78" s="1" a="1"/>
  <c r="Y200" i="78" s="1"/>
  <c r="Y252" i="78" s="1" a="1"/>
  <c r="Y252" i="78" s="1"/>
  <c r="N63" i="78" a="1"/>
  <c r="N63" i="78" s="1"/>
  <c r="N128" i="78" s="1" a="1"/>
  <c r="N128" i="78" s="1"/>
  <c r="N170" i="78" s="1" a="1"/>
  <c r="N170" i="78" s="1"/>
  <c r="N208" i="78" s="1" a="1"/>
  <c r="N208" i="78" s="1"/>
  <c r="W57" i="78"/>
  <c r="V61" i="78"/>
  <c r="AA57" i="78"/>
  <c r="X78" i="78" a="1"/>
  <c r="X78" i="78" s="1"/>
  <c r="X142" i="78" s="1" a="1"/>
  <c r="X142" i="78" s="1"/>
  <c r="X202" i="78" s="1" a="1"/>
  <c r="X202" i="78" s="1"/>
  <c r="X254" i="78" s="1" a="1"/>
  <c r="X254" i="78" s="1"/>
  <c r="Y62" i="78"/>
  <c r="AA82" i="78" a="1"/>
  <c r="AA82" i="78" s="1"/>
  <c r="AA146" i="78" s="1" a="1"/>
  <c r="AA146" i="78" s="1"/>
  <c r="AA206" i="78" s="1" a="1"/>
  <c r="AA206" i="78" s="1"/>
  <c r="AA258" i="78" s="1" a="1"/>
  <c r="AA258" i="78" s="1"/>
  <c r="N64" i="78" a="1"/>
  <c r="N64" i="78" s="1"/>
  <c r="N129" i="78" s="1" a="1"/>
  <c r="N129" i="78" s="1"/>
  <c r="N171" i="78" s="1" a="1"/>
  <c r="N171" i="78" s="1"/>
  <c r="N209" i="78" s="1" a="1"/>
  <c r="N209" i="78" s="1"/>
  <c r="N62" i="78" a="1"/>
  <c r="N62" i="78" s="1"/>
  <c r="N127" i="78" s="1" a="1"/>
  <c r="N127" i="78" s="1"/>
  <c r="N169" i="78" s="1" a="1"/>
  <c r="N169" i="78" s="1"/>
  <c r="N207" i="78" s="1" a="1"/>
  <c r="N207" i="78" s="1"/>
  <c r="AA80" i="78" a="1"/>
  <c r="AA80" i="78" s="1"/>
  <c r="AA144" i="78" s="1" a="1"/>
  <c r="AA144" i="78" s="1"/>
  <c r="AA204" i="78" s="1" a="1"/>
  <c r="AA204" i="78" s="1"/>
  <c r="AA256" i="78" s="1" a="1"/>
  <c r="AA256" i="78" s="1"/>
  <c r="AD63" i="78"/>
  <c r="L64" i="78" a="1"/>
  <c r="L64" i="78" s="1"/>
  <c r="L129" i="78" s="1" a="1"/>
  <c r="L129" i="78" s="1"/>
  <c r="L171" i="78" s="1" a="1"/>
  <c r="L171" i="78" s="1"/>
  <c r="L209" i="78" s="1" a="1"/>
  <c r="L209" i="78" s="1"/>
  <c r="N65" i="78" a="1"/>
  <c r="N65" i="78" s="1"/>
  <c r="N130" i="78" s="1" a="1"/>
  <c r="N130" i="78" s="1"/>
  <c r="N172" i="78" s="1" a="1"/>
  <c r="N172" i="78" s="1"/>
  <c r="N210" i="78" s="1" a="1"/>
  <c r="N210" i="78" s="1"/>
  <c r="W66" i="78"/>
  <c r="W81" i="78" a="1"/>
  <c r="W81" i="78" s="1"/>
  <c r="W145" i="78" s="1" a="1"/>
  <c r="W145" i="78" s="1"/>
  <c r="W205" i="78" s="1" a="1"/>
  <c r="W205" i="78" s="1"/>
  <c r="W257" i="78" s="1" a="1"/>
  <c r="W257" i="78" s="1"/>
  <c r="W80" i="78" a="1"/>
  <c r="W80" i="78" s="1"/>
  <c r="W144" i="78" s="1" a="1"/>
  <c r="W144" i="78" s="1"/>
  <c r="W204" i="78" s="1" a="1"/>
  <c r="W204" i="78" s="1"/>
  <c r="W256" i="78" s="1" a="1"/>
  <c r="W256" i="78" s="1"/>
  <c r="AE80" i="78" a="1"/>
  <c r="AE80" i="78" s="1"/>
  <c r="AE144" i="78" s="1" a="1"/>
  <c r="AE144" i="78" s="1"/>
  <c r="AE204" i="78" s="1" a="1"/>
  <c r="AE204" i="78" s="1"/>
  <c r="AE256" i="78" s="1" a="1"/>
  <c r="AE256" i="78" s="1"/>
  <c r="AB61" i="78"/>
  <c r="AD57" i="78"/>
  <c r="AE79" i="78" a="1"/>
  <c r="AE79" i="78" s="1"/>
  <c r="AE143" i="78" s="1" a="1"/>
  <c r="AE143" i="78" s="1"/>
  <c r="AE203" i="78" s="1" a="1"/>
  <c r="AE203" i="78" s="1"/>
  <c r="AE255" i="78" s="1" a="1"/>
  <c r="AE255" i="78" s="1"/>
  <c r="AA58" i="78"/>
  <c r="Z79" i="78" a="1"/>
  <c r="Z79" i="78" s="1"/>
  <c r="Z143" i="78" s="1" a="1"/>
  <c r="Z143" i="78" s="1"/>
  <c r="Z203" i="78" s="1" a="1"/>
  <c r="Z203" i="78" s="1"/>
  <c r="Z255" i="78" s="1" a="1"/>
  <c r="Z255" i="78" s="1"/>
  <c r="J63" i="78" a="1"/>
  <c r="J63" i="78" s="1"/>
  <c r="J128" i="78" s="1" a="1"/>
  <c r="J128" i="78" s="1"/>
  <c r="J170" i="78" s="1" a="1"/>
  <c r="J170" i="78" s="1"/>
  <c r="J208" i="78" s="1" a="1"/>
  <c r="J208" i="78" s="1"/>
  <c r="J56" i="78"/>
  <c r="G63" i="78" a="1"/>
  <c r="G63" i="78" s="1"/>
  <c r="G128" i="78" s="1" a="1"/>
  <c r="G128" i="78" s="1"/>
  <c r="G170" i="78" s="1" a="1"/>
  <c r="G170" i="78" s="1"/>
  <c r="G208" i="78" s="1" a="1"/>
  <c r="G208" i="78" s="1"/>
  <c r="M62" i="78" a="1"/>
  <c r="M62" i="78" s="1"/>
  <c r="M127" i="78" s="1" a="1"/>
  <c r="M127" i="78" s="1"/>
  <c r="M169" i="78" s="1" a="1"/>
  <c r="M169" i="78" s="1"/>
  <c r="M207" i="78" s="1" a="1"/>
  <c r="M207" i="78" s="1"/>
  <c r="V76" i="78" a="1"/>
  <c r="V76" i="78" s="1"/>
  <c r="V140" i="78" s="1" a="1"/>
  <c r="V140" i="78" s="1"/>
  <c r="V200" i="78" s="1" a="1"/>
  <c r="V200" i="78" s="1"/>
  <c r="V252" i="78" s="1" a="1"/>
  <c r="V252" i="78" s="1"/>
  <c r="AC61" i="78"/>
  <c r="W76" i="78" a="1"/>
  <c r="W76" i="78" s="1"/>
  <c r="W140" i="78" s="1" a="1"/>
  <c r="W140" i="78" s="1"/>
  <c r="W200" i="78" s="1" a="1"/>
  <c r="W200" i="78" s="1"/>
  <c r="W252" i="78" s="1" a="1"/>
  <c r="W252" i="78" s="1"/>
  <c r="AE56" i="78"/>
  <c r="AA77" i="78" a="1"/>
  <c r="AA77" i="78" s="1"/>
  <c r="AA141" i="78" s="1" a="1"/>
  <c r="AA141" i="78" s="1"/>
  <c r="AA201" i="78" s="1" a="1"/>
  <c r="AA201" i="78" s="1"/>
  <c r="AA253" i="78" s="1" a="1"/>
  <c r="AA253" i="78" s="1"/>
  <c r="Y77" i="78" a="1"/>
  <c r="Y77" i="78" s="1"/>
  <c r="Y141" i="78" s="1" a="1"/>
  <c r="Y141" i="78" s="1"/>
  <c r="Y201" i="78" s="1" a="1"/>
  <c r="Y201" i="78" s="1"/>
  <c r="Y253" i="78" s="1" a="1"/>
  <c r="Y253" i="78" s="1"/>
  <c r="AA60" i="78"/>
  <c r="AB74" i="78" a="1"/>
  <c r="AB74" i="78" s="1"/>
  <c r="AB138" i="78" s="1" a="1"/>
  <c r="AB138" i="78" s="1"/>
  <c r="AB198" i="78" s="1" a="1"/>
  <c r="AB198" i="78" s="1"/>
  <c r="AB250" i="78" s="1" a="1"/>
  <c r="AB250" i="78" s="1"/>
  <c r="W78" i="78" a="1"/>
  <c r="W78" i="78" s="1"/>
  <c r="W142" i="78" s="1" a="1"/>
  <c r="W142" i="78" s="1"/>
  <c r="W202" i="78" s="1" a="1"/>
  <c r="W202" i="78" s="1"/>
  <c r="W254" i="78" s="1" a="1"/>
  <c r="W254" i="78" s="1"/>
  <c r="AB62" i="78"/>
  <c r="V74" i="78" a="1"/>
  <c r="V74" i="78" s="1"/>
  <c r="V138" i="78" s="1" a="1"/>
  <c r="V138" i="78" s="1"/>
  <c r="V198" i="78" s="1" a="1"/>
  <c r="V198" i="78" s="1"/>
  <c r="V250" i="78" s="1" a="1"/>
  <c r="V250" i="78" s="1"/>
  <c r="X82" i="78" a="1"/>
  <c r="X82" i="78" s="1"/>
  <c r="X146" i="78" s="1" a="1"/>
  <c r="X146" i="78" s="1"/>
  <c r="X206" i="78" s="1" a="1"/>
  <c r="X206" i="78" s="1"/>
  <c r="X258" i="78" s="1" a="1"/>
  <c r="X258" i="78" s="1"/>
  <c r="Z74" i="78" a="1"/>
  <c r="Z74" i="78" s="1"/>
  <c r="Z138" i="78" s="1" a="1"/>
  <c r="Z138" i="78" s="1"/>
  <c r="Z198" i="78" s="1" a="1"/>
  <c r="Z198" i="78" s="1"/>
  <c r="Z250" i="78" s="1" a="1"/>
  <c r="Z250" i="78" s="1"/>
  <c r="AC75" i="78" a="1"/>
  <c r="AC75" i="78" s="1"/>
  <c r="AC139" i="78" s="1" a="1"/>
  <c r="AC139" i="78" s="1"/>
  <c r="AC199" i="78" s="1" a="1"/>
  <c r="AC199" i="78" s="1"/>
  <c r="AC251" i="78" s="1" a="1"/>
  <c r="AC251" i="78" s="1"/>
  <c r="AA79" i="78" a="1"/>
  <c r="AA79" i="78" s="1"/>
  <c r="AA143" i="78" s="1" a="1"/>
  <c r="AA143" i="78" s="1"/>
  <c r="AA203" i="78" s="1" a="1"/>
  <c r="AA203" i="78" s="1"/>
  <c r="AA255" i="78" s="1" a="1"/>
  <c r="AA255" i="78" s="1"/>
  <c r="X72" i="78" a="1"/>
  <c r="X72" i="78" s="1"/>
  <c r="X136" i="78" s="1" a="1"/>
  <c r="X136" i="78" s="1"/>
  <c r="X196" i="78" s="1" a="1"/>
  <c r="X196" i="78" s="1"/>
  <c r="X248" i="78" s="1" a="1"/>
  <c r="X248" i="78" s="1"/>
  <c r="E54" i="78"/>
  <c r="G62" i="78" a="1"/>
  <c r="G62" i="78" s="1"/>
  <c r="G127" i="78" s="1" a="1"/>
  <c r="G127" i="78" s="1"/>
  <c r="G169" i="78" s="1" a="1"/>
  <c r="G169" i="78" s="1"/>
  <c r="G207" i="78" s="1" a="1"/>
  <c r="G207" i="78" s="1"/>
  <c r="AA78" i="78" a="1"/>
  <c r="AA78" i="78" s="1"/>
  <c r="AA142" i="78" s="1" a="1"/>
  <c r="AA142" i="78" s="1"/>
  <c r="AA202" i="78" s="1" a="1"/>
  <c r="AA202" i="78" s="1"/>
  <c r="AA254" i="78" s="1" a="1"/>
  <c r="AA254" i="78" s="1"/>
  <c r="X80" i="78" a="1"/>
  <c r="X80" i="78" s="1"/>
  <c r="X144" i="78" s="1" a="1"/>
  <c r="X144" i="78" s="1"/>
  <c r="X204" i="78" s="1" a="1"/>
  <c r="X204" i="78" s="1"/>
  <c r="X256" i="78" s="1" a="1"/>
  <c r="X256" i="78" s="1"/>
  <c r="AE77" i="78" a="1"/>
  <c r="AE77" i="78" s="1"/>
  <c r="AE141" i="78" s="1" a="1"/>
  <c r="AE141" i="78" s="1"/>
  <c r="AE201" i="78" s="1" a="1"/>
  <c r="AE201" i="78" s="1"/>
  <c r="AE253" i="78" s="1" a="1"/>
  <c r="AE253" i="78" s="1"/>
  <c r="AE78" i="78" a="1"/>
  <c r="AE78" i="78" s="1"/>
  <c r="AE142" i="78" s="1" a="1"/>
  <c r="AE142" i="78" s="1"/>
  <c r="AE202" i="78" s="1" a="1"/>
  <c r="AE202" i="78" s="1"/>
  <c r="AE254" i="78" s="1" a="1"/>
  <c r="AE254" i="78" s="1"/>
  <c r="X75" i="78" a="1"/>
  <c r="X75" i="78" s="1"/>
  <c r="X139" i="78" s="1" a="1"/>
  <c r="X139" i="78" s="1"/>
  <c r="X199" i="78" s="1" a="1"/>
  <c r="X199" i="78" s="1"/>
  <c r="X251" i="78" s="1" a="1"/>
  <c r="X251" i="78" s="1"/>
  <c r="AD58" i="78"/>
  <c r="Y57" i="78"/>
  <c r="Z73" i="78" a="1"/>
  <c r="Z73" i="78" s="1"/>
  <c r="Z137" i="78" s="1" a="1"/>
  <c r="Z137" i="78" s="1"/>
  <c r="Z197" i="78" s="1" a="1"/>
  <c r="Z197" i="78" s="1"/>
  <c r="Z249" i="78" s="1" a="1"/>
  <c r="Z249" i="78" s="1"/>
  <c r="AC80" i="78" a="1"/>
  <c r="AC80" i="78" s="1"/>
  <c r="AC144" i="78" s="1" a="1"/>
  <c r="AC144" i="78" s="1"/>
  <c r="AC204" i="78" s="1" a="1"/>
  <c r="AC204" i="78" s="1"/>
  <c r="AC256" i="78" s="1" a="1"/>
  <c r="AC256" i="78" s="1"/>
  <c r="M63" i="78" a="1"/>
  <c r="M63" i="78" s="1"/>
  <c r="M128" i="78" s="1" a="1"/>
  <c r="M128" i="78" s="1"/>
  <c r="M170" i="78" s="1" a="1"/>
  <c r="M170" i="78" s="1"/>
  <c r="M208" i="78" s="1" a="1"/>
  <c r="M208" i="78" s="1"/>
  <c r="G56" i="78"/>
  <c r="L63" i="78" a="1"/>
  <c r="L63" i="78" s="1"/>
  <c r="L128" i="78" s="1" a="1"/>
  <c r="L128" i="78" s="1"/>
  <c r="L170" i="78" s="1" a="1"/>
  <c r="L170" i="78" s="1"/>
  <c r="L208" i="78" s="1" a="1"/>
  <c r="L208" i="78" s="1"/>
  <c r="K57" i="78"/>
  <c r="H62" i="78" a="1"/>
  <c r="H62" i="78" s="1"/>
  <c r="H127" i="78" s="1" a="1"/>
  <c r="H127" i="78" s="1"/>
  <c r="H169" i="78" s="1" a="1"/>
  <c r="H169" i="78" s="1"/>
  <c r="H207" i="78" s="1" a="1"/>
  <c r="H207" i="78" s="1"/>
  <c r="Z77" i="78" a="1"/>
  <c r="Z77" i="78" s="1"/>
  <c r="Z141" i="78" s="1" a="1"/>
  <c r="Z141" i="78" s="1"/>
  <c r="Z201" i="78" s="1" a="1"/>
  <c r="Z201" i="78" s="1"/>
  <c r="Z253" i="78" s="1" a="1"/>
  <c r="Z253" i="78" s="1"/>
  <c r="AB56" i="78"/>
  <c r="V83" i="78" a="1"/>
  <c r="V83" i="78" s="1"/>
  <c r="V147" i="78" s="1" a="1"/>
  <c r="V147" i="78" s="1"/>
  <c r="V207" i="78" s="1" a="1"/>
  <c r="V207" i="78" s="1"/>
  <c r="V259" i="78" s="1" a="1"/>
  <c r="V259" i="78" s="1"/>
  <c r="Y82" i="78" a="1"/>
  <c r="Y82" i="78" s="1"/>
  <c r="Y146" i="78" s="1" a="1"/>
  <c r="Y146" i="78" s="1"/>
  <c r="Y206" i="78" s="1" a="1"/>
  <c r="Y206" i="78" s="1"/>
  <c r="Y258" i="78" s="1" a="1"/>
  <c r="Y258" i="78" s="1"/>
  <c r="AE74" i="78" a="1"/>
  <c r="AE74" i="78" s="1"/>
  <c r="AE138" i="78" s="1" a="1"/>
  <c r="AE138" i="78" s="1"/>
  <c r="AE198" i="78" s="1" a="1"/>
  <c r="AE198" i="78" s="1"/>
  <c r="AE250" i="78" s="1" a="1"/>
  <c r="AE250" i="78" s="1"/>
  <c r="AB83" i="78" a="1"/>
  <c r="AB83" i="78" s="1"/>
  <c r="AB147" i="78" s="1" a="1"/>
  <c r="AB147" i="78" s="1"/>
  <c r="AB207" i="78" s="1" a="1"/>
  <c r="AB207" i="78" s="1"/>
  <c r="AB259" i="78" s="1" a="1"/>
  <c r="AB259" i="78" s="1"/>
  <c r="AB82" i="78" a="1"/>
  <c r="AB82" i="78" s="1"/>
  <c r="AB146" i="78" s="1" a="1"/>
  <c r="AB146" i="78" s="1"/>
  <c r="AB206" i="78" s="1" a="1"/>
  <c r="AB206" i="78" s="1"/>
  <c r="AB258" i="78" s="1" a="1"/>
  <c r="AB258" i="78" s="1"/>
  <c r="AD59" i="78"/>
  <c r="X73" i="78" a="1"/>
  <c r="X73" i="78" s="1"/>
  <c r="X137" i="78" s="1" a="1"/>
  <c r="X137" i="78" s="1"/>
  <c r="X197" i="78" s="1" a="1"/>
  <c r="X197" i="78" s="1"/>
  <c r="X249" i="78" s="1" a="1"/>
  <c r="X249" i="78" s="1"/>
  <c r="X81" i="78" a="1"/>
  <c r="X81" i="78" s="1"/>
  <c r="X145" i="78" s="1" a="1"/>
  <c r="X145" i="78" s="1"/>
  <c r="X205" i="78" s="1" a="1"/>
  <c r="X205" i="78" s="1"/>
  <c r="X257" i="78" s="1" a="1"/>
  <c r="X257" i="78" s="1"/>
  <c r="Y64" i="78"/>
  <c r="Y59" i="78"/>
  <c r="W74" i="78" a="1"/>
  <c r="W74" i="78" s="1"/>
  <c r="W138" i="78" s="1" a="1"/>
  <c r="W138" i="78" s="1"/>
  <c r="W198" i="78" s="1" a="1"/>
  <c r="W198" i="78" s="1"/>
  <c r="W250" i="78" s="1" a="1"/>
  <c r="W250" i="78" s="1"/>
  <c r="AC74" i="78" a="1"/>
  <c r="AC74" i="78" s="1"/>
  <c r="AC138" i="78" s="1" a="1"/>
  <c r="AC138" i="78" s="1"/>
  <c r="AC198" i="78" s="1" a="1"/>
  <c r="AC198" i="78" s="1"/>
  <c r="AC250" i="78" s="1" a="1"/>
  <c r="AC250" i="78" s="1"/>
  <c r="X83" i="78" a="1"/>
  <c r="X83" i="78" s="1"/>
  <c r="X147" i="78" s="1" a="1"/>
  <c r="X147" i="78" s="1"/>
  <c r="X207" i="78" s="1" a="1"/>
  <c r="X207" i="78" s="1"/>
  <c r="X259" i="78" s="1" a="1"/>
  <c r="X259" i="78" s="1"/>
  <c r="J65" i="78" a="1"/>
  <c r="J65" i="78" s="1"/>
  <c r="J130" i="78" s="1" a="1"/>
  <c r="J130" i="78" s="1"/>
  <c r="J172" i="78" s="1" a="1"/>
  <c r="J172" i="78" s="1"/>
  <c r="J210" i="78" s="1" a="1"/>
  <c r="J210" i="78" s="1"/>
  <c r="AE83" i="78" a="1"/>
  <c r="AE83" i="78" s="1"/>
  <c r="AE147" i="78" s="1" a="1"/>
  <c r="AE147" i="78" s="1"/>
  <c r="AE207" i="78" s="1" a="1"/>
  <c r="AE207" i="78" s="1"/>
  <c r="AE259" i="78" s="1" a="1"/>
  <c r="AE259" i="78" s="1"/>
  <c r="X74" i="78" a="1"/>
  <c r="X74" i="78" s="1"/>
  <c r="X138" i="78" s="1" a="1"/>
  <c r="X138" i="78" s="1"/>
  <c r="X198" i="78" s="1" a="1"/>
  <c r="X198" i="78" s="1"/>
  <c r="X250" i="78" s="1" a="1"/>
  <c r="X250" i="78" s="1"/>
  <c r="V82" i="78" a="1"/>
  <c r="V82" i="78" s="1"/>
  <c r="V146" i="78" s="1" a="1"/>
  <c r="V146" i="78" s="1"/>
  <c r="V206" i="78" s="1" a="1"/>
  <c r="V206" i="78" s="1"/>
  <c r="V258" i="78" s="1" a="1"/>
  <c r="V258" i="78" s="1"/>
  <c r="X79" i="78" a="1"/>
  <c r="X79" i="78" s="1"/>
  <c r="X143" i="78" s="1" a="1"/>
  <c r="X143" i="78" s="1"/>
  <c r="X203" i="78" s="1" a="1"/>
  <c r="X203" i="78" s="1"/>
  <c r="X255" i="78" s="1" a="1"/>
  <c r="X255" i="78" s="1"/>
  <c r="W59" i="78"/>
  <c r="H64" i="78" a="1"/>
  <c r="H64" i="78" s="1"/>
  <c r="H129" i="78" s="1" a="1"/>
  <c r="H129" i="78" s="1"/>
  <c r="H171" i="78" s="1" a="1"/>
  <c r="H171" i="78" s="1"/>
  <c r="H209" i="78" s="1" a="1"/>
  <c r="H209" i="78" s="1"/>
  <c r="V64" i="78"/>
  <c r="K55" i="78"/>
  <c r="AB60" i="78"/>
  <c r="F64" i="78" a="1"/>
  <c r="F64" i="78" s="1"/>
  <c r="F129" i="78" s="1" a="1"/>
  <c r="F129" i="78" s="1"/>
  <c r="F171" i="78" s="1" a="1"/>
  <c r="F171" i="78" s="1"/>
  <c r="F209" i="78" s="1" a="1"/>
  <c r="F209" i="78" s="1"/>
  <c r="K64" i="78" a="1"/>
  <c r="K64" i="78" s="1"/>
  <c r="K129" i="78" s="1" a="1"/>
  <c r="K129" i="78" s="1"/>
  <c r="K171" i="78" s="1" a="1"/>
  <c r="K171" i="78" s="1"/>
  <c r="K209" i="78" s="1" a="1"/>
  <c r="K209" i="78" s="1"/>
  <c r="Z75" i="78" a="1"/>
  <c r="Z75" i="78" s="1"/>
  <c r="Z139" i="78" s="1" a="1"/>
  <c r="Z139" i="78" s="1"/>
  <c r="Z199" i="78" s="1" a="1"/>
  <c r="Z199" i="78" s="1"/>
  <c r="Z251" i="78" s="1" a="1"/>
  <c r="Z251" i="78" s="1"/>
  <c r="AC78" i="78" a="1"/>
  <c r="AC78" i="78" s="1"/>
  <c r="AC142" i="78" s="1" a="1"/>
  <c r="AC142" i="78" s="1"/>
  <c r="AC202" i="78" s="1" a="1"/>
  <c r="AC202" i="78" s="1"/>
  <c r="AC254" i="78" s="1" a="1"/>
  <c r="AC254" i="78" s="1"/>
  <c r="X77" i="78" a="1"/>
  <c r="X77" i="78" s="1"/>
  <c r="X141" i="78" s="1" a="1"/>
  <c r="X141" i="78" s="1"/>
  <c r="X201" i="78" s="1" a="1"/>
  <c r="X201" i="78" s="1"/>
  <c r="X253" i="78" s="1" a="1"/>
  <c r="X253" i="78" s="1"/>
  <c r="K62" i="78" a="1"/>
  <c r="K62" i="78" s="1"/>
  <c r="K127" i="78" s="1" a="1"/>
  <c r="K127" i="78" s="1"/>
  <c r="K169" i="78" s="1" a="1"/>
  <c r="K169" i="78" s="1"/>
  <c r="K207" i="78" s="1" a="1"/>
  <c r="K207" i="78" s="1"/>
  <c r="M64" i="78" a="1"/>
  <c r="M64" i="78" s="1"/>
  <c r="M129" i="78" s="1" a="1"/>
  <c r="M129" i="78" s="1"/>
  <c r="M171" i="78" s="1" a="1"/>
  <c r="M171" i="78" s="1"/>
  <c r="M209" i="78" s="1" a="1"/>
  <c r="M209" i="78" s="1"/>
  <c r="G57" i="78"/>
  <c r="AD62" i="78"/>
  <c r="AA67" i="78"/>
  <c r="AD65" i="78"/>
  <c r="Y63" i="78"/>
  <c r="Z64" i="78"/>
  <c r="W77" i="78" a="1"/>
  <c r="W77" i="78" s="1"/>
  <c r="W141" i="78" s="1" a="1"/>
  <c r="W141" i="78" s="1"/>
  <c r="W201" i="78" s="1" a="1"/>
  <c r="W201" i="78" s="1"/>
  <c r="W253" i="78" s="1" a="1"/>
  <c r="W253" i="78" s="1"/>
  <c r="W72" i="78" a="1"/>
  <c r="W72" i="78" s="1"/>
  <c r="W136" i="78" s="1" a="1"/>
  <c r="W136" i="78" s="1"/>
  <c r="W196" i="78" s="1" a="1"/>
  <c r="W196" i="78" s="1"/>
  <c r="W248" i="78" s="1" a="1"/>
  <c r="W248" i="78" s="1"/>
  <c r="AC83" i="78" a="1"/>
  <c r="AC83" i="78" s="1"/>
  <c r="AC147" i="78" s="1" a="1"/>
  <c r="AC147" i="78" s="1"/>
  <c r="AC207" i="78" s="1" a="1"/>
  <c r="AC207" i="78" s="1"/>
  <c r="AC259" i="78" s="1" a="1"/>
  <c r="AC259" i="78" s="1"/>
  <c r="Y74" i="78" a="1"/>
  <c r="Y74" i="78" s="1"/>
  <c r="Y138" i="78" s="1" a="1"/>
  <c r="Y138" i="78" s="1"/>
  <c r="Y198" i="78" s="1" a="1"/>
  <c r="Y198" i="78" s="1"/>
  <c r="Y250" i="78" s="1" a="1"/>
  <c r="Y250" i="78" s="1"/>
  <c r="V73" i="78" a="1"/>
  <c r="V73" i="78" s="1"/>
  <c r="V137" i="78" s="1" a="1"/>
  <c r="V137" i="78" s="1"/>
  <c r="V197" i="78" s="1" a="1"/>
  <c r="V197" i="78" s="1"/>
  <c r="V249" i="78" s="1" a="1"/>
  <c r="V249" i="78" s="1"/>
  <c r="Y81" i="78" a="1"/>
  <c r="Y81" i="78" s="1"/>
  <c r="Y145" i="78" s="1" a="1"/>
  <c r="Y145" i="78" s="1"/>
  <c r="Y205" i="78" s="1" a="1"/>
  <c r="Y205" i="78" s="1"/>
  <c r="Y257" i="78" s="1" a="1"/>
  <c r="Y257" i="78" s="1"/>
  <c r="AE57" i="78"/>
  <c r="AD76" i="78" a="1"/>
  <c r="AD76" i="78" s="1"/>
  <c r="AD140" i="78" s="1" a="1"/>
  <c r="AD140" i="78" s="1"/>
  <c r="AD200" i="78" s="1" a="1"/>
  <c r="AD200" i="78" s="1"/>
  <c r="AD252" i="78" s="1" a="1"/>
  <c r="AD252" i="78" s="1"/>
  <c r="J62" i="78" a="1"/>
  <c r="J62" i="78" s="1"/>
  <c r="J127" i="78" s="1" a="1"/>
  <c r="J127" i="78" s="1"/>
  <c r="J169" i="78" s="1" a="1"/>
  <c r="J169" i="78" s="1"/>
  <c r="J207" i="78" s="1" a="1"/>
  <c r="J207" i="78" s="1"/>
  <c r="AC63" i="78"/>
  <c r="E64" i="78" a="1"/>
  <c r="E64" i="78" s="1"/>
  <c r="E129" i="78" s="1" a="1"/>
  <c r="E129" i="78" s="1"/>
  <c r="E171" i="78" s="1" a="1"/>
  <c r="E171" i="78" s="1"/>
  <c r="E209" i="78" s="1" a="1"/>
  <c r="E209" i="78" s="1"/>
  <c r="M65" i="78" a="1"/>
  <c r="M65" i="78" s="1"/>
  <c r="M130" i="78" s="1" a="1"/>
  <c r="M130" i="78" s="1"/>
  <c r="M172" i="78" s="1" a="1"/>
  <c r="M172" i="78" s="1"/>
  <c r="M210" i="78" s="1" a="1"/>
  <c r="M210" i="78" s="1"/>
  <c r="E63" i="78" a="1"/>
  <c r="E63" i="78" s="1"/>
  <c r="E128" i="78" s="1" a="1"/>
  <c r="E128" i="78" s="1"/>
  <c r="E170" i="78" s="1" a="1"/>
  <c r="E170" i="78" s="1"/>
  <c r="E208" i="78" s="1" a="1"/>
  <c r="E208" i="78" s="1"/>
  <c r="AE66" i="78"/>
  <c r="Z60" i="78"/>
  <c r="AD72" i="78" a="1"/>
  <c r="AD72" i="78" s="1"/>
  <c r="AD136" i="78" s="1" a="1"/>
  <c r="AD136" i="78" s="1"/>
  <c r="AD196" i="78" s="1" a="1"/>
  <c r="AD196" i="78" s="1"/>
  <c r="AD248" i="78" s="1" a="1"/>
  <c r="AD248" i="78" s="1"/>
  <c r="AD67" i="78"/>
  <c r="AA59" i="78"/>
  <c r="AB80" i="78" a="1"/>
  <c r="AB80" i="78" s="1"/>
  <c r="AB144" i="78" s="1" a="1"/>
  <c r="AB144" i="78" s="1"/>
  <c r="AB204" i="78" s="1" a="1"/>
  <c r="AB204" i="78" s="1"/>
  <c r="AB256" i="78" s="1" a="1"/>
  <c r="AB256" i="78" s="1"/>
  <c r="AD80" i="78" a="1"/>
  <c r="AD80" i="78" s="1"/>
  <c r="AD144" i="78" s="1" a="1"/>
  <c r="AD144" i="78" s="1"/>
  <c r="AD204" i="78" s="1" a="1"/>
  <c r="AD204" i="78" s="1"/>
  <c r="AD256" i="78" s="1" a="1"/>
  <c r="AD256" i="78" s="1"/>
  <c r="AE76" i="78" a="1"/>
  <c r="AE76" i="78" s="1"/>
  <c r="AE140" i="78" s="1" a="1"/>
  <c r="AE140" i="78" s="1"/>
  <c r="AE200" i="78" s="1" a="1"/>
  <c r="AE200" i="78" s="1"/>
  <c r="AE252" i="78" s="1" a="1"/>
  <c r="AE252" i="78" s="1"/>
  <c r="F63" i="78" a="1"/>
  <c r="F63" i="78" s="1"/>
  <c r="F128" i="78" s="1" a="1"/>
  <c r="F128" i="78" s="1"/>
  <c r="F170" i="78" s="1" a="1"/>
  <c r="F170" i="78" s="1"/>
  <c r="F208" i="78" s="1" a="1"/>
  <c r="F208" i="78" s="1"/>
  <c r="AB79" i="78" a="1"/>
  <c r="AB79" i="78" s="1"/>
  <c r="AB143" i="78" s="1" a="1"/>
  <c r="AB143" i="78" s="1"/>
  <c r="AB203" i="78" s="1" a="1"/>
  <c r="AB203" i="78" s="1"/>
  <c r="AB255" i="78" s="1" a="1"/>
  <c r="AB255" i="78" s="1"/>
  <c r="E65" i="78" a="1"/>
  <c r="E65" i="78" s="1"/>
  <c r="E130" i="78" s="1" a="1"/>
  <c r="E130" i="78" s="1"/>
  <c r="E172" i="78" s="1" a="1"/>
  <c r="E172" i="78" s="1"/>
  <c r="E210" i="78" s="1" a="1"/>
  <c r="E210" i="78" s="1"/>
  <c r="AC65" i="78"/>
  <c r="V59" i="78"/>
  <c r="L65" i="78" a="1"/>
  <c r="L65" i="78" s="1"/>
  <c r="L130" i="78" s="1" a="1"/>
  <c r="L130" i="78" s="1"/>
  <c r="L172" i="78" s="1" a="1"/>
  <c r="L172" i="78" s="1"/>
  <c r="L210" i="78" s="1" a="1"/>
  <c r="L210" i="78" s="1"/>
  <c r="AC72" i="78" a="1"/>
  <c r="AC72" i="78" s="1"/>
  <c r="AC136" i="78" s="1" a="1"/>
  <c r="AC136" i="78" s="1"/>
  <c r="AC196" i="78" s="1" a="1"/>
  <c r="AC196" i="78" s="1"/>
  <c r="AC248" i="78" s="1" a="1"/>
  <c r="AC248" i="78" s="1"/>
  <c r="AD77" i="78" a="1"/>
  <c r="AD77" i="78" s="1"/>
  <c r="AD141" i="78" s="1" a="1"/>
  <c r="AD141" i="78" s="1"/>
  <c r="AD201" i="78" s="1" a="1"/>
  <c r="AD201" i="78" s="1"/>
  <c r="AD253" i="78" s="1" a="1"/>
  <c r="AD253" i="78" s="1"/>
  <c r="V56" i="78"/>
  <c r="V81" i="78" a="1"/>
  <c r="V81" i="78" s="1"/>
  <c r="V145" i="78" s="1" a="1"/>
  <c r="V145" i="78" s="1"/>
  <c r="V205" i="78" s="1" a="1"/>
  <c r="V205" i="78" s="1"/>
  <c r="V257" i="78" s="1" a="1"/>
  <c r="V257" i="78" s="1"/>
  <c r="AB73" i="78" a="1"/>
  <c r="AB73" i="78" s="1"/>
  <c r="AB137" i="78" s="1" a="1"/>
  <c r="AB137" i="78" s="1"/>
  <c r="AB197" i="78" s="1" a="1"/>
  <c r="AB197" i="78" s="1"/>
  <c r="AB249" i="78" s="1" a="1"/>
  <c r="AB249" i="78" s="1"/>
  <c r="Y83" i="78" a="1"/>
  <c r="Y83" i="78" s="1"/>
  <c r="Y147" i="78" s="1" a="1"/>
  <c r="Y147" i="78" s="1"/>
  <c r="Y207" i="78" s="1" a="1"/>
  <c r="Y207" i="78" s="1"/>
  <c r="Y259" i="78" s="1" a="1"/>
  <c r="Y259" i="78" s="1"/>
  <c r="AD82" i="78" a="1"/>
  <c r="AD82" i="78" s="1"/>
  <c r="AD146" i="78" s="1" a="1"/>
  <c r="AD146" i="78" s="1"/>
  <c r="AD206" i="78" s="1" a="1"/>
  <c r="AD206" i="78" s="1"/>
  <c r="AD258" i="78" s="1" a="1"/>
  <c r="AD258" i="78" s="1"/>
  <c r="Z82" i="78" a="1"/>
  <c r="Z82" i="78" s="1"/>
  <c r="Z146" i="78" s="1" a="1"/>
  <c r="Z146" i="78" s="1"/>
  <c r="Z206" i="78" s="1" a="1"/>
  <c r="Z206" i="78" s="1"/>
  <c r="Z258" i="78" s="1" a="1"/>
  <c r="Z258" i="78" s="1"/>
  <c r="AE81" i="78" a="1"/>
  <c r="AE81" i="78" s="1"/>
  <c r="AE145" i="78" s="1" a="1"/>
  <c r="AE145" i="78" s="1"/>
  <c r="AE205" i="78" s="1" a="1"/>
  <c r="AE205" i="78" s="1"/>
  <c r="AE257" i="78" s="1" a="1"/>
  <c r="AE257" i="78" s="1"/>
  <c r="V79" i="78" a="1"/>
  <c r="V79" i="78" s="1"/>
  <c r="V143" i="78" s="1" a="1"/>
  <c r="V143" i="78" s="1"/>
  <c r="V203" i="78" s="1" a="1"/>
  <c r="V203" i="78" s="1"/>
  <c r="V255" i="78" s="1" a="1"/>
  <c r="V255" i="78" s="1"/>
  <c r="AC73" i="78" a="1"/>
  <c r="AC73" i="78" s="1"/>
  <c r="AC137" i="78" s="1" a="1"/>
  <c r="AC137" i="78" s="1"/>
  <c r="AC197" i="78" s="1" a="1"/>
  <c r="AC197" i="78" s="1"/>
  <c r="AC249" i="78" s="1" a="1"/>
  <c r="AC249" i="78" s="1"/>
  <c r="F62" i="78" a="1"/>
  <c r="F62" i="78" s="1"/>
  <c r="F127" i="78" s="1" a="1"/>
  <c r="F127" i="78" s="1"/>
  <c r="F169" i="78" s="1" a="1"/>
  <c r="F169" i="78" s="1"/>
  <c r="F207" i="78" s="1" a="1"/>
  <c r="F207" i="78" s="1"/>
  <c r="H65" i="78" a="1"/>
  <c r="H65" i="78" s="1"/>
  <c r="H130" i="78" s="1" a="1"/>
  <c r="H130" i="78" s="1"/>
  <c r="H172" i="78" s="1" a="1"/>
  <c r="H172" i="78" s="1"/>
  <c r="H210" i="78" s="1" a="1"/>
  <c r="H210" i="78" s="1"/>
  <c r="H63" i="78" a="1"/>
  <c r="H63" i="78" s="1"/>
  <c r="H128" i="78" s="1" a="1"/>
  <c r="H128" i="78" s="1"/>
  <c r="H170" i="78" s="1" a="1"/>
  <c r="H170" i="78" s="1"/>
  <c r="H208" i="78" s="1" a="1"/>
  <c r="H208" i="78" s="1"/>
  <c r="F65" i="78" a="1"/>
  <c r="F65" i="78" s="1"/>
  <c r="F130" i="78" s="1" a="1"/>
  <c r="F130" i="78" s="1"/>
  <c r="F172" i="78" s="1" a="1"/>
  <c r="F172" i="78" s="1"/>
  <c r="F210" i="78" s="1" a="1"/>
  <c r="F210" i="78" s="1"/>
  <c r="I62" i="78" a="1"/>
  <c r="I62" i="78" s="1"/>
  <c r="I127" i="78" s="1" a="1"/>
  <c r="I127" i="78" s="1"/>
  <c r="I169" i="78" s="1" a="1"/>
  <c r="I169" i="78" s="1"/>
  <c r="I207" i="78" s="1" a="1"/>
  <c r="I207" i="78" s="1"/>
  <c r="I63" i="78" a="1"/>
  <c r="I63" i="78" s="1"/>
  <c r="I128" i="78" s="1" a="1"/>
  <c r="I128" i="78" s="1"/>
  <c r="I170" i="78" s="1" a="1"/>
  <c r="I170" i="78" s="1"/>
  <c r="I208" i="78" s="1" a="1"/>
  <c r="I208" i="78" s="1"/>
  <c r="W79" i="78" a="1"/>
  <c r="W79" i="78" s="1"/>
  <c r="W143" i="78" s="1" a="1"/>
  <c r="W143" i="78" s="1"/>
  <c r="W203" i="78" s="1" a="1"/>
  <c r="W203" i="78" s="1"/>
  <c r="W255" i="78" s="1" a="1"/>
  <c r="W255" i="78" s="1"/>
  <c r="V78" i="78" a="1"/>
  <c r="V78" i="78" s="1"/>
  <c r="V142" i="78" s="1" a="1"/>
  <c r="V142" i="78" s="1"/>
  <c r="V202" i="78" s="1" a="1"/>
  <c r="V202" i="78" s="1"/>
  <c r="V254" i="78" s="1" a="1"/>
  <c r="V254" i="78" s="1"/>
  <c r="Z56" i="78"/>
  <c r="AB81" i="78" a="1"/>
  <c r="AB81" i="78" s="1"/>
  <c r="AB145" i="78" s="1" a="1"/>
  <c r="AB145" i="78" s="1"/>
  <c r="AB205" i="78" s="1" a="1"/>
  <c r="AB205" i="78" s="1"/>
  <c r="AB257" i="78" s="1" a="1"/>
  <c r="AB257" i="78" s="1"/>
  <c r="AA65" i="78"/>
  <c r="Z62" i="78"/>
  <c r="W67" i="78"/>
  <c r="Y72" i="78" a="1"/>
  <c r="Y72" i="78" s="1"/>
  <c r="Y136" i="78" s="1" a="1"/>
  <c r="Y136" i="78" s="1"/>
  <c r="Y196" i="78" s="1" a="1"/>
  <c r="Y196" i="78" s="1"/>
  <c r="Y248" i="78" s="1" a="1"/>
  <c r="Y248" i="78" s="1"/>
  <c r="AC81" i="78" l="1" a="1"/>
  <c r="AC81" i="78" s="1"/>
  <c r="AC145" i="78" s="1" a="1"/>
  <c r="AC145" i="78" s="1"/>
  <c r="AC205" i="78" s="1" a="1"/>
  <c r="AC205" i="78" s="1"/>
  <c r="AC257" i="78" s="1" a="1"/>
  <c r="AC257" i="78" s="1"/>
  <c r="AA75" i="78" a="1"/>
  <c r="AA75" i="78" s="1"/>
  <c r="AA139" i="78" s="1" a="1"/>
  <c r="AA139" i="78" s="1"/>
  <c r="AA199" i="78" s="1" a="1"/>
  <c r="AA199" i="78" s="1"/>
  <c r="AA251" i="78" s="1" a="1"/>
  <c r="AA251" i="78" s="1"/>
  <c r="AA83" i="78" a="1"/>
  <c r="AA83" i="78" s="1"/>
  <c r="AA147" i="78" s="1" a="1"/>
  <c r="AA147" i="78" s="1"/>
  <c r="AA207" i="78" s="1" a="1"/>
  <c r="AA207" i="78" s="1"/>
  <c r="AA259" i="78" s="1" a="1"/>
  <c r="AA259" i="78" s="1"/>
  <c r="W75" i="78" a="1"/>
  <c r="W75" i="78" s="1"/>
  <c r="W139" i="78" s="1" a="1"/>
  <c r="W139" i="78" s="1"/>
  <c r="W199" i="78" s="1" a="1"/>
  <c r="W199" i="78" s="1"/>
  <c r="W251" i="78" s="1" a="1"/>
  <c r="W251" i="78" s="1"/>
  <c r="Y73" i="78" a="1"/>
  <c r="Y73" i="78" s="1"/>
  <c r="Y137" i="78" s="1" a="1"/>
  <c r="Y137" i="78" s="1"/>
  <c r="Y197" i="78" s="1" a="1"/>
  <c r="Y197" i="78" s="1"/>
  <c r="Y249" i="78" s="1" a="1"/>
  <c r="Y249" i="78" s="1"/>
  <c r="AE72" i="78" a="1"/>
  <c r="AE72" i="78" s="1"/>
  <c r="AE136" i="78" s="1" a="1"/>
  <c r="AE136" i="78" s="1"/>
  <c r="AE196" i="78" s="1" a="1"/>
  <c r="AE196" i="78" s="1"/>
  <c r="AE248" i="78" s="1" a="1"/>
  <c r="AE248" i="78" s="1"/>
  <c r="W73" i="78" a="1"/>
  <c r="W73" i="78" s="1"/>
  <c r="W137" i="78" s="1" a="1"/>
  <c r="W137" i="78" s="1"/>
  <c r="W197" i="78" s="1" a="1"/>
  <c r="W197" i="78" s="1"/>
  <c r="W249" i="78" s="1" a="1"/>
  <c r="W249" i="78" s="1"/>
  <c r="Z83" i="78" a="1"/>
  <c r="Z83" i="78" s="1"/>
  <c r="Z147" i="78" s="1" a="1"/>
  <c r="Z147" i="78" s="1"/>
  <c r="Z207" i="78" s="1" a="1"/>
  <c r="Z207" i="78" s="1"/>
  <c r="Z259" i="78" s="1" a="1"/>
  <c r="Z259" i="78" s="1"/>
  <c r="AD83" i="78" a="1"/>
  <c r="AD83" i="78" s="1"/>
  <c r="AD147" i="78" s="1" a="1"/>
  <c r="AD147" i="78" s="1"/>
  <c r="AD207" i="78" s="1" a="1"/>
  <c r="AD207" i="78" s="1"/>
  <c r="AD259" i="78" s="1" a="1"/>
  <c r="AD259" i="78" s="1"/>
  <c r="AC79" i="78" a="1"/>
  <c r="AC79" i="78" s="1"/>
  <c r="AC143" i="78" s="1" a="1"/>
  <c r="AC143" i="78" s="1"/>
  <c r="AC203" i="78" s="1" a="1"/>
  <c r="AC203" i="78" s="1"/>
  <c r="AC255" i="78" s="1" a="1"/>
  <c r="AC255" i="78" s="1"/>
  <c r="AD78" i="78" a="1"/>
  <c r="AD78" i="78" s="1"/>
  <c r="AD142" i="78" s="1" a="1"/>
  <c r="AD142" i="78" s="1"/>
  <c r="AD202" i="78" s="1" a="1"/>
  <c r="AD202" i="78" s="1"/>
  <c r="AD254" i="78" s="1" a="1"/>
  <c r="AD254" i="78" s="1"/>
  <c r="K65" i="78" a="1"/>
  <c r="K65" i="78" s="1"/>
  <c r="K130" i="78" s="1" a="1"/>
  <c r="K130" i="78" s="1"/>
  <c r="K172" i="78" s="1" a="1"/>
  <c r="K172" i="78" s="1"/>
  <c r="K210" i="78" s="1" a="1"/>
  <c r="K210" i="78" s="1"/>
  <c r="AD74" i="78" a="1"/>
  <c r="AD74" i="78" s="1"/>
  <c r="AD138" i="78" s="1" a="1"/>
  <c r="AD138" i="78" s="1"/>
  <c r="AD198" i="78" s="1" a="1"/>
  <c r="AD198" i="78" s="1"/>
  <c r="AD250" i="78" s="1" a="1"/>
  <c r="AD250" i="78" s="1"/>
  <c r="E62" i="78" a="1"/>
  <c r="E62" i="78" s="1"/>
  <c r="E127" i="78" s="1" a="1"/>
  <c r="E127" i="78" s="1"/>
  <c r="E169" i="78" s="1" a="1"/>
  <c r="E169" i="78" s="1"/>
  <c r="E207" i="78" s="1" a="1"/>
  <c r="E207" i="78" s="1"/>
  <c r="AB78" i="78" a="1"/>
  <c r="AB78" i="78" s="1"/>
  <c r="AB142" i="78" s="1" a="1"/>
  <c r="AB142" i="78" s="1"/>
  <c r="AB202" i="78" s="1" a="1"/>
  <c r="AB202" i="78" s="1"/>
  <c r="AB254" i="78" s="1" a="1"/>
  <c r="AB254" i="78" s="1"/>
  <c r="X76" i="78" a="1"/>
  <c r="X76" i="78" s="1"/>
  <c r="X140" i="78" s="1" a="1"/>
  <c r="X140" i="78" s="1"/>
  <c r="X200" i="78" s="1" a="1"/>
  <c r="X200" i="78" s="1"/>
  <c r="X252" i="78" s="1" a="1"/>
  <c r="X252" i="78" s="1"/>
  <c r="W83" i="78" a="1"/>
  <c r="W83" i="78" s="1"/>
  <c r="W147" i="78" s="1" a="1"/>
  <c r="W147" i="78" s="1"/>
  <c r="W207" i="78" s="1" a="1"/>
  <c r="W207" i="78" s="1"/>
  <c r="W259" i="78" s="1" a="1"/>
  <c r="W259" i="78" s="1"/>
  <c r="V72" i="78" a="1"/>
  <c r="V72" i="78" s="1"/>
  <c r="V136" i="78" s="1" a="1"/>
  <c r="V136" i="78" s="1"/>
  <c r="V196" i="78" s="1" a="1"/>
  <c r="V196" i="78" s="1"/>
  <c r="V248" i="78" s="1" a="1"/>
  <c r="V248" i="78" s="1"/>
  <c r="G65" i="78" a="1"/>
  <c r="G65" i="78" s="1"/>
  <c r="G130" i="78" s="1" a="1"/>
  <c r="G130" i="78" s="1"/>
  <c r="G172" i="78" s="1" a="1"/>
  <c r="G172" i="78" s="1"/>
  <c r="G210" i="78" s="1" a="1"/>
  <c r="G210" i="78" s="1"/>
  <c r="Y75" i="78" a="1"/>
  <c r="Y75" i="78" s="1"/>
  <c r="Y139" i="78" s="1" a="1"/>
  <c r="Y139" i="78" s="1"/>
  <c r="Y199" i="78" s="1" a="1"/>
  <c r="Y199" i="78" s="1"/>
  <c r="Y251" i="78" s="1" a="1"/>
  <c r="Y251" i="78" s="1"/>
  <c r="AC77" i="78" a="1"/>
  <c r="AC77" i="78" s="1"/>
  <c r="AC141" i="78" s="1" a="1"/>
  <c r="AC141" i="78" s="1"/>
  <c r="AC201" i="78" s="1" a="1"/>
  <c r="AC201" i="78" s="1"/>
  <c r="AC253" i="78" s="1" a="1"/>
  <c r="AC253" i="78" s="1"/>
  <c r="AA74" i="78" a="1"/>
  <c r="AA74" i="78" s="1"/>
  <c r="AA138" i="78" s="1" a="1"/>
  <c r="AA138" i="78" s="1"/>
  <c r="AA198" i="78" s="1" a="1"/>
  <c r="AA198" i="78" s="1"/>
  <c r="AA250" i="78" s="1" a="1"/>
  <c r="AA250" i="78" s="1"/>
  <c r="W82" i="78" a="1"/>
  <c r="W82" i="78" s="1"/>
  <c r="W146" i="78" s="1" a="1"/>
  <c r="W146" i="78" s="1"/>
  <c r="W206" i="78" s="1" a="1"/>
  <c r="W206" i="78" s="1"/>
  <c r="W258" i="78" s="1" a="1"/>
  <c r="W258" i="78" s="1"/>
  <c r="Y80" i="78" a="1"/>
  <c r="Y80" i="78" s="1"/>
  <c r="Y144" i="78" s="1" a="1"/>
  <c r="Y144" i="78" s="1"/>
  <c r="Y204" i="78" s="1" a="1"/>
  <c r="Y204" i="78" s="1"/>
  <c r="Y256" i="78" s="1" a="1"/>
  <c r="Y256" i="78" s="1"/>
  <c r="G64" i="78" a="1"/>
  <c r="G64" i="78" s="1"/>
  <c r="G129" i="78" s="1" a="1"/>
  <c r="G129" i="78" s="1"/>
  <c r="G171" i="78" s="1" a="1"/>
  <c r="G171" i="78" s="1"/>
  <c r="G209" i="78" s="1" a="1"/>
  <c r="G209" i="78" s="1"/>
  <c r="Y78" i="78" a="1"/>
  <c r="Y78" i="78" s="1"/>
  <c r="Y142" i="78" s="1" a="1"/>
  <c r="Y142" i="78" s="1"/>
  <c r="Y202" i="78" s="1" a="1"/>
  <c r="Y202" i="78" s="1"/>
  <c r="Y254" i="78" s="1" a="1"/>
  <c r="Y254" i="78" s="1"/>
  <c r="AB75" i="78" a="1"/>
  <c r="AB75" i="78" s="1"/>
  <c r="AB139" i="78" s="1" a="1"/>
  <c r="AB139" i="78" s="1"/>
  <c r="AB199" i="78" s="1" a="1"/>
  <c r="AB199" i="78" s="1"/>
  <c r="AB251" i="78" s="1" a="1"/>
  <c r="AB251" i="78" s="1"/>
  <c r="AE82" i="78" a="1"/>
  <c r="AE82" i="78" s="1"/>
  <c r="AE146" i="78" s="1" a="1"/>
  <c r="AE146" i="78" s="1"/>
  <c r="AE206" i="78" s="1" a="1"/>
  <c r="AE206" i="78" s="1"/>
  <c r="AE258" i="78" s="1" a="1"/>
  <c r="AE258" i="78" s="1"/>
  <c r="AE73" i="78" a="1"/>
  <c r="AE73" i="78" s="1"/>
  <c r="AE137" i="78" s="1" a="1"/>
  <c r="AE137" i="78" s="1"/>
  <c r="AE197" i="78" s="1" a="1"/>
  <c r="AE197" i="78" s="1"/>
  <c r="AE249" i="78" s="1" a="1"/>
  <c r="AE249" i="78" s="1"/>
  <c r="Z80" i="78" a="1"/>
  <c r="Z80" i="78" s="1"/>
  <c r="Z144" i="78" s="1" a="1"/>
  <c r="Z144" i="78" s="1"/>
  <c r="Z204" i="78" s="1" a="1"/>
  <c r="Z204" i="78" s="1"/>
  <c r="Z256" i="78" s="1" a="1"/>
  <c r="Z256" i="78" s="1"/>
  <c r="AA76" i="78" a="1"/>
  <c r="AA76" i="78" s="1"/>
  <c r="AA140" i="78" s="1" a="1"/>
  <c r="AA140" i="78" s="1"/>
  <c r="AA200" i="78" s="1" a="1"/>
  <c r="AA200" i="78" s="1"/>
  <c r="AA252" i="78" s="1" a="1"/>
  <c r="AA252" i="78" s="1"/>
  <c r="Z78" i="78" a="1"/>
  <c r="Z78" i="78" s="1"/>
  <c r="Z142" i="78" s="1" a="1"/>
  <c r="Z142" i="78" s="1"/>
  <c r="Z202" i="78" s="1" a="1"/>
  <c r="Z202" i="78" s="1"/>
  <c r="Z254" i="78" s="1" a="1"/>
  <c r="Z254" i="78" s="1"/>
  <c r="K63" i="78" a="1"/>
  <c r="K63" i="78" s="1"/>
  <c r="K128" i="78" s="1" a="1"/>
  <c r="K128" i="78" s="1"/>
  <c r="K170" i="78" s="1" a="1"/>
  <c r="K170" i="78" s="1"/>
  <c r="K208" i="78" s="1" a="1"/>
  <c r="K208" i="78" s="1"/>
  <c r="AD73" i="78" a="1"/>
  <c r="AD73" i="78" s="1"/>
  <c r="AD137" i="78" s="1" a="1"/>
  <c r="AD137" i="78" s="1"/>
  <c r="AD197" i="78" s="1" a="1"/>
  <c r="AD197" i="78" s="1"/>
  <c r="AD249" i="78" s="1" a="1"/>
  <c r="AD249" i="78" s="1"/>
  <c r="AB72" i="78" a="1"/>
  <c r="AB72" i="78" s="1"/>
  <c r="AB136" i="78" s="1" a="1"/>
  <c r="AB136" i="78" s="1"/>
  <c r="AB196" i="78" s="1" a="1"/>
  <c r="AB196" i="78" s="1"/>
  <c r="AB248" i="78" s="1" a="1"/>
  <c r="AB248" i="78" s="1"/>
  <c r="AB77" i="78" a="1"/>
  <c r="AB77" i="78" s="1"/>
  <c r="AB141" i="78" s="1" a="1"/>
  <c r="AB141" i="78" s="1"/>
  <c r="AB201" i="78" s="1" a="1"/>
  <c r="AB201" i="78" s="1"/>
  <c r="AB253" i="78" s="1" a="1"/>
  <c r="AB253" i="78" s="1"/>
  <c r="AD79" i="78" a="1"/>
  <c r="AD79" i="78" s="1"/>
  <c r="AD143" i="78" s="1" a="1"/>
  <c r="AD143" i="78" s="1"/>
  <c r="AD203" i="78" s="1" a="1"/>
  <c r="AD203" i="78" s="1"/>
  <c r="AD255" i="78" s="1" a="1"/>
  <c r="AD255" i="78" s="1"/>
  <c r="AA73" i="78" a="1"/>
  <c r="AA73" i="78" s="1"/>
  <c r="AA137" i="78" s="1" a="1"/>
  <c r="AA137" i="78" s="1"/>
  <c r="AA197" i="78" s="1" a="1"/>
  <c r="AA197" i="78" s="1"/>
  <c r="AA249" i="78" s="1" a="1"/>
  <c r="AA249" i="78" s="1"/>
  <c r="AA81" i="78" a="1"/>
  <c r="AA81" i="78" s="1"/>
  <c r="AA145" i="78" s="1" a="1"/>
  <c r="AA145" i="78" s="1"/>
  <c r="AA205" i="78" s="1" a="1"/>
  <c r="AA205" i="78" s="1"/>
  <c r="AA257" i="78" s="1" a="1"/>
  <c r="AA257" i="78" s="1"/>
  <c r="Z76" i="78" a="1"/>
  <c r="Z76" i="78" s="1"/>
  <c r="Z140" i="78" s="1" a="1"/>
  <c r="Z140" i="78" s="1"/>
  <c r="Z200" i="78" s="1" a="1"/>
  <c r="Z200" i="78" s="1"/>
  <c r="Z252" i="78" s="1" a="1"/>
  <c r="Z252" i="78" s="1"/>
  <c r="AB76" i="78" a="1"/>
  <c r="AB76" i="78" s="1"/>
  <c r="AB140" i="78" s="1" a="1"/>
  <c r="AB140" i="78" s="1"/>
  <c r="AB200" i="78" s="1" a="1"/>
  <c r="AB200" i="78" s="1"/>
  <c r="AB252" i="78" s="1" a="1"/>
  <c r="AB252" i="78" s="1"/>
  <c r="Y79" i="78" a="1"/>
  <c r="Y79" i="78" s="1"/>
  <c r="Y143" i="78" s="1" a="1"/>
  <c r="Y143" i="78" s="1"/>
  <c r="Y203" i="78" s="1" a="1"/>
  <c r="Y203" i="78" s="1"/>
  <c r="Y255" i="78" s="1" a="1"/>
  <c r="Y255" i="78" s="1"/>
  <c r="V80" i="78" a="1"/>
  <c r="V80" i="78" s="1"/>
  <c r="V144" i="78" s="1" a="1"/>
  <c r="V144" i="78" s="1"/>
  <c r="V204" i="78" s="1" a="1"/>
  <c r="V204" i="78" s="1"/>
  <c r="V256" i="78" s="1" a="1"/>
  <c r="V256" i="78" s="1"/>
  <c r="Z72" i="78" a="1"/>
  <c r="Z72" i="78" s="1"/>
  <c r="Z136" i="78" s="1" a="1"/>
  <c r="Z136" i="78" s="1"/>
  <c r="Z196" i="78" s="1" a="1"/>
  <c r="Z196" i="78" s="1"/>
  <c r="Z248" i="78" s="1" a="1"/>
  <c r="Z248" i="78" s="1"/>
  <c r="V75" i="78" a="1"/>
  <c r="V75" i="78" s="1"/>
  <c r="V139" i="78" s="1" a="1"/>
  <c r="V139" i="78" s="1"/>
  <c r="V199" i="78" s="1" a="1"/>
  <c r="V199" i="78" s="1"/>
  <c r="V251" i="78" s="1" a="1"/>
  <c r="V251" i="78" s="1"/>
  <c r="AD81" i="78" a="1"/>
  <c r="AD81" i="78" s="1"/>
  <c r="AD145" i="78" s="1" a="1"/>
  <c r="AD145" i="78" s="1"/>
  <c r="AD205" i="78" s="1" a="1"/>
  <c r="AD205" i="78" s="1"/>
  <c r="AD257" i="78" s="1" a="1"/>
  <c r="AD257" i="78" s="1"/>
  <c r="AD75" i="78" a="1"/>
  <c r="AD75" i="78" s="1"/>
  <c r="AD139" i="78" s="1" a="1"/>
  <c r="AD139" i="78" s="1"/>
  <c r="AD199" i="78" s="1" a="1"/>
  <c r="AD199" i="78" s="1"/>
  <c r="AD251" i="78" s="1" a="1"/>
  <c r="AD251" i="78" s="1"/>
  <c r="J64" i="78" a="1"/>
  <c r="J64" i="78" s="1"/>
  <c r="J129" i="78" s="1" a="1"/>
  <c r="J129" i="78" s="1"/>
  <c r="J171" i="78" s="1" a="1"/>
  <c r="J171" i="78" s="1"/>
  <c r="J209" i="78" s="1" a="1"/>
  <c r="J209" i="78" s="1"/>
  <c r="V77" i="78" a="1"/>
  <c r="V77" i="78" s="1"/>
  <c r="V141" i="78" s="1" a="1"/>
  <c r="V141" i="78" s="1"/>
  <c r="V201" i="78" s="1" a="1"/>
  <c r="V201" i="78" s="1"/>
  <c r="V253" i="78" s="1" a="1"/>
  <c r="V253" i="78" s="1"/>
  <c r="V261" i="78" l="1"/>
  <c r="R13" i="80" s="1"/>
  <c r="E212" i="78"/>
  <c r="I13" i="80" s="1"/>
  <c r="E20" i="80" s="1" a="1"/>
  <c r="E20" i="80" s="1"/>
  <c r="I32" i="80" s="1"/>
  <c r="E36" i="80" s="1" a="1"/>
  <c r="E36" i="80" s="1"/>
  <c r="G38" i="80" s="1"/>
  <c r="E41" i="80" s="1" a="1"/>
  <c r="E41" i="80" s="1"/>
  <c r="V267" i="78" l="1" a="1"/>
  <c r="V267" i="78" s="1"/>
  <c r="X269" i="78" s="1"/>
  <c r="V272" i="78" s="1" a="1"/>
  <c r="V272" i="78" s="1"/>
  <c r="T13" i="79"/>
  <c r="E229" i="78" a="1"/>
  <c r="E229" i="78" s="1"/>
  <c r="G231" i="78" s="1"/>
  <c r="E234" i="78" s="1" a="1"/>
  <c r="E234" i="78" s="1"/>
  <c r="J13" i="79"/>
  <c r="E16" i="79" s="1" a="1"/>
  <c r="E16" i="79" s="1"/>
  <c r="I28" i="79" s="1"/>
  <c r="E35" i="79" s="1" a="1"/>
  <c r="E35" i="79" s="1"/>
  <c r="G37" i="79" s="1"/>
  <c r="E40" i="79" s="1" a="1"/>
  <c r="E40" i="79" s="1"/>
  <c r="O16" i="79" l="1" a="1"/>
  <c r="O16" i="79" s="1"/>
  <c r="S28" i="79" s="1"/>
  <c r="O35" i="79" s="1" a="1"/>
  <c r="O35" i="79" s="1"/>
  <c r="Q37" i="79" s="1"/>
  <c r="O40" i="79" s="1" a="1"/>
  <c r="O40" i="79" s="1"/>
  <c r="N20" i="80" a="1"/>
  <c r="N20" i="80" s="1"/>
  <c r="R32" i="80" s="1"/>
  <c r="N36" i="80" s="1" a="1"/>
  <c r="N36" i="80" s="1"/>
  <c r="P38" i="80" s="1"/>
  <c r="N41" i="80" s="1" a="1"/>
  <c r="N41" i="80"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<sst xmlns="http://schemas.openxmlformats.org/spreadsheetml/2006/main" count="3331" uniqueCount="772">
  <si>
    <t>INPUTS</t>
  </si>
  <si>
    <t>APPENDICES</t>
  </si>
  <si>
    <t>Emissions breakdown</t>
  </si>
  <si>
    <t>CALCULATIONS</t>
  </si>
  <si>
    <t>Scope 1 source</t>
  </si>
  <si>
    <t>Total</t>
  </si>
  <si>
    <t>GHG Unit</t>
  </si>
  <si>
    <t>CO2-e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</si>
  <si>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</si>
  <si>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</si>
  <si>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</si>
  <si>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</si>
  <si>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</si>
  <si>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</si>
  <si>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</si>
  <si>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</si>
  <si>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</si>
  <si>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</si>
  <si>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</si>
  <si>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</si>
  <si>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Input -Pasture Beef</t>
  </si>
  <si>
    <t>Herd movement</t>
  </si>
  <si>
    <t>State</t>
  </si>
  <si>
    <t>Livestock production region</t>
  </si>
  <si>
    <t>South West</t>
  </si>
  <si>
    <r>
      <rPr>
        <sz val="12"/>
        <color theme="1" tint="0.34998626667073579"/>
        <rFont val="Times New Roman"/>
        <family val="1"/>
      </rPr>
      <t xml:space="preserve">← </t>
    </r>
    <r>
      <rPr>
        <i/>
        <sz val="12"/>
        <color theme="1" tint="0.34998626667073579"/>
        <rFont val="Times New Roman"/>
        <family val="1"/>
      </rPr>
      <t>Please select</t>
    </r>
  </si>
  <si>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</si>
  <si>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</si>
  <si>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</si>
  <si>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</si>
  <si>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</si>
  <si>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</si>
  <si>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</si>
  <si>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</si>
  <si>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</si>
  <si>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</si>
  <si>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</si>
  <si>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</si>
  <si>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</si>
  <si>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</si>
  <si>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</si>
  <si>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</si>
  <si>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Days</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</si>
  <si>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</si>
  <si>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</si>
  <si>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</si>
  <si>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</si>
  <si>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</si>
  <si>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</si>
  <si>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</si>
  <si>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</si>
  <si>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</si>
  <si>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</si>
  <si>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</si>
  <si>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</si>
  <si>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</si>
  <si>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Percent</t>
  </si>
  <si>
    <t>First calving month</t>
  </si>
  <si>
    <t>August 2024</t>
  </si>
  <si>
    <t>Calving month 2</t>
  </si>
  <si>
    <t>Calving month 3</t>
  </si>
  <si>
    <t>Dry matter digestibility</t>
  </si>
  <si>
    <t>fraction</t>
  </si>
  <si>
    <t>Crude protein</t>
  </si>
  <si>
    <t>Manure management</t>
  </si>
  <si>
    <t>Are all dams and natural water sources fenced off so cattle cannot access them?</t>
  </si>
  <si>
    <t>No</t>
  </si>
  <si>
    <t>Manure management system</t>
  </si>
  <si>
    <t>Percent in MMS</t>
  </si>
  <si>
    <t>Pasture range and paddock</t>
  </si>
  <si>
    <t>Anaerobic lagoon</t>
  </si>
  <si>
    <t>Where did the livestock spend most of their time grazing?</t>
  </si>
  <si>
    <t>Pasture</t>
  </si>
  <si>
    <t>Not irrigated</t>
  </si>
  <si>
    <t>3.2.1.1-2 Enteric Beef Grazing</t>
  </si>
  <si>
    <t>Method 1</t>
  </si>
  <si>
    <t>Method 2</t>
  </si>
  <si>
    <t>Function name</t>
  </si>
  <si>
    <t>EntericMethane_PastureBeef_Equations.VEERG_3_2_1_1__4_AdditionalIntakeForMilkProduction</t>
  </si>
  <si>
    <t>Variable</t>
  </si>
  <si>
    <t>Unit</t>
  </si>
  <si>
    <t>M1_Table_LC_j_k-4-5</t>
  </si>
  <si>
    <t>Proportion of cows in calf during season (Method 1)</t>
  </si>
  <si>
    <t>M2_Table_LC_j_k-4-5</t>
  </si>
  <si>
    <t>Season</t>
  </si>
  <si>
    <t>Proportion of cows in calf during season (Method 2)</t>
  </si>
  <si>
    <t>Fraction</t>
  </si>
  <si>
    <t>Month</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</si>
  <si>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</si>
  <si>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</si>
  <si>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</si>
  <si>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</si>
  <si>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</si>
  <si>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</si>
  <si>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</si>
  <si>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</si>
  <si>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</si>
  <si>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</si>
  <si>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</si>
  <si>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</si>
  <si>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</si>
  <si>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</si>
  <si>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</si>
  <si>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</si>
  <si>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</si>
  <si>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</si>
  <si>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</si>
  <si>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</si>
  <si>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</si>
  <si>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</si>
  <si>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</si>
  <si>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</si>
  <si>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</si>
  <si>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</si>
  <si>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</si>
  <si>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</si>
  <si>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</si>
  <si>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</si>
  <si>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</si>
  <si>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</si>
  <si>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</si>
  <si>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</si>
  <si>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</si>
  <si>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</si>
  <si>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</si>
  <si>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</si>
  <si>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</si>
  <si>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</si>
  <si>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</si>
  <si>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</si>
  <si>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</si>
  <si>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Irrigation method</t>
  </si>
  <si>
    <t>Region</t>
  </si>
  <si>
    <t>Alice Springs</t>
  </si>
  <si>
    <t>High</t>
  </si>
  <si>
    <t>n/a</t>
  </si>
  <si>
    <t>Drip irrigation</t>
  </si>
  <si>
    <t>Pilbara</t>
  </si>
  <si>
    <t>Barkly</t>
  </si>
  <si>
    <t>Moderate/High</t>
  </si>
  <si>
    <t>Sprinkler irrigation</t>
  </si>
  <si>
    <t>Kimberley</t>
  </si>
  <si>
    <t>Northern</t>
  </si>
  <si>
    <t>Moderate/Low</t>
  </si>
  <si>
    <t>Table_SourceData_PastureBeef_Region_NewSouthWales</t>
  </si>
  <si>
    <t>Surface irrigation</t>
  </si>
  <si>
    <t>Low</t>
  </si>
  <si>
    <t>Other irrigation</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</si>
  <si>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</si>
  <si>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</si>
  <si>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</si>
  <si>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</si>
  <si>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</si>
  <si>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</si>
  <si>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</si>
  <si>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</si>
  <si>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</si>
  <si>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</si>
  <si>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</si>
  <si>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</si>
  <si>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</si>
  <si>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</si>
  <si>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</si>
  <si>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</si>
  <si>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</si>
  <si>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</si>
  <si>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</si>
  <si>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</si>
  <si>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</si>
  <si>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ACT</t>
  </si>
  <si>
    <t>NSW</t>
  </si>
  <si>
    <t>SA</t>
  </si>
  <si>
    <t>TAS</t>
  </si>
  <si>
    <t>VIC</t>
  </si>
  <si>
    <t>WA</t>
  </si>
  <si>
    <t>NT</t>
  </si>
  <si>
    <t>QLD</t>
  </si>
  <si>
    <t>Australia</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</si>
  <si>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</si>
  <si>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</si>
  <si>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</si>
  <si>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</si>
  <si>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</si>
  <si>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</si>
  <si>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</si>
  <si>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</si>
  <si>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</si>
  <si>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</si>
  <si>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</si>
  <si>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</si>
  <si>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</si>
  <si>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</si>
  <si>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</si>
  <si>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</si>
  <si>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</si>
  <si>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</si>
  <si>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</si>
  <si>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</si>
  <si>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</si>
  <si>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</si>
  <si>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</si>
  <si>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</si>
  <si>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</si>
  <si>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</si>
  <si>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</si>
  <si>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</si>
  <si>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</si>
  <si>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</si>
  <si>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</si>
  <si>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</si>
  <si>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</si>
  <si>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</si>
  <si>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</si>
  <si>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</si>
  <si>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</si>
  <si>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</si>
  <si>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</si>
  <si>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</si>
  <si>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</si>
  <si>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</si>
  <si>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</si>
  <si>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</si>
  <si>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</si>
  <si>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</si>
  <si>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</si>
  <si>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</si>
  <si>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</si>
  <si>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</si>
  <si>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</si>
  <si>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</si>
  <si>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</si>
  <si>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</si>
  <si>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</si>
  <si>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</si>
  <si>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</si>
  <si>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</si>
  <si>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</si>
  <si>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</si>
  <si>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</si>
  <si>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</si>
  <si>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</si>
  <si>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</si>
  <si>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</si>
  <si>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</si>
  <si>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</si>
  <si>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</si>
  <si>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</si>
  <si>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</si>
  <si>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</si>
  <si>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</si>
  <si>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</si>
  <si>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</si>
  <si>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</si>
  <si>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</si>
  <si>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</si>
  <si>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</si>
  <si>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</si>
  <si>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</si>
  <si>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</si>
  <si>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</si>
  <si>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</si>
  <si>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</si>
  <si>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</si>
  <si>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</si>
  <si>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</si>
  <si>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</si>
  <si>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</si>
  <si>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</si>
  <si>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</si>
  <si>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</si>
  <si>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</si>
  <si>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</si>
  <si>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</si>
  <si>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</si>
  <si>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</si>
  <si>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</si>
  <si>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</si>
  <si>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</si>
  <si>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</si>
  <si>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</si>
  <si>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</si>
  <si>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</si>
  <si>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</si>
  <si>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</si>
  <si>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</si>
  <si>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</si>
  <si>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</si>
  <si>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</si>
  <si>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</si>
  <si>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</si>
  <si>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</si>
  <si>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</si>
  <si>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</si>
  <si>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</si>
  <si>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</si>
  <si>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</si>
  <si>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</si>
  <si>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</si>
  <si>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</si>
  <si>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</si>
  <si>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</si>
  <si>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</si>
  <si>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</si>
  <si>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</si>
  <si>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</si>
  <si>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</si>
  <si>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</si>
  <si>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</si>
  <si>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</si>
  <si>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</si>
  <si>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</si>
  <si>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</si>
  <si>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</si>
  <si>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</si>
  <si>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</si>
  <si>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</si>
  <si>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</si>
  <si>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</si>
  <si>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</si>
  <si>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</si>
  <si>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</si>
  <si>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</si>
  <si>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</si>
  <si>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</si>
  <si>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</si>
  <si>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</si>
  <si>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</si>
  <si>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</si>
  <si>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</si>
  <si>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</si>
  <si>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</si>
  <si>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</si>
  <si>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</si>
  <si>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</si>
  <si>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</si>
  <si>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</si>
  <si>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</si>
  <si>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</si>
  <si>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</si>
  <si>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</si>
  <si>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</si>
  <si>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</si>
  <si>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</si>
  <si>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</si>
  <si>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</si>
  <si>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</si>
  <si>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</si>
  <si>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</si>
  <si>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</si>
  <si>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</si>
  <si>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</si>
  <si>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</si>
  <si>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</si>
  <si>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</si>
  <si>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</si>
  <si>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</si>
  <si>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</si>
  <si>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</si>
  <si>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</si>
  <si>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</si>
  <si>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</si>
  <si>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</si>
  <si>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</si>
  <si>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</si>
  <si>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</si>
  <si>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</si>
  <si>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</si>
  <si>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</si>
  <si>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</si>
  <si>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</si>
  <si>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</si>
  <si>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</si>
  <si>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</si>
  <si>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</si>
  <si>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</si>
  <si>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</si>
  <si>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</si>
  <si>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</si>
  <si>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</si>
  <si>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</si>
  <si>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</si>
  <si>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</si>
  <si>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</si>
  <si>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</si>
  <si>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</si>
  <si>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</si>
  <si>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</si>
  <si>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</si>
  <si>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</si>
  <si>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</si>
  <si>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</si>
  <si>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</si>
  <si>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</si>
  <si>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</si>
  <si>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</si>
  <si>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</si>
  <si>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</si>
  <si>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</si>
  <si>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</si>
  <si>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</si>
  <si>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</si>
  <si>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</si>
  <si>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</si>
  <si>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</si>
  <si>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</si>
  <si>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</si>
  <si>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</si>
  <si>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</si>
  <si>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</si>
  <si>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</si>
  <si>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</si>
  <si>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</si>
  <si>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</si>
  <si>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</si>
  <si>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</si>
  <si>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</si>
  <si>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</si>
  <si>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</si>
  <si>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</si>
  <si>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</si>
  <si>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</si>
  <si>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</si>
  <si>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</si>
  <si>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</si>
  <si>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</si>
  <si>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</si>
  <si>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</si>
  <si>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</si>
  <si>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</si>
  <si>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</si>
  <si>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</si>
  <si>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</si>
  <si>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</si>
  <si>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</si>
  <si>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</si>
  <si>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</si>
  <si>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</si>
  <si>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</si>
  <si>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</si>
  <si>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</si>
  <si>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</si>
  <si>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</si>
  <si>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</si>
  <si>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</si>
  <si>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</si>
  <si>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</si>
  <si>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</si>
  <si>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</si>
  <si>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</si>
  <si>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</si>
  <si>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</si>
  <si>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</si>
  <si>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</si>
  <si>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</si>
  <si>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</si>
  <si>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</si>
  <si>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</si>
  <si>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</si>
  <si>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</si>
  <si>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</si>
  <si>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</si>
  <si>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</si>
  <si>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</si>
  <si>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</si>
  <si>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</si>
  <si>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</si>
  <si>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</si>
  <si>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</si>
  <si>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</si>
  <si>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</si>
  <si>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</si>
  <si>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</si>
  <si>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</si>
  <si>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</si>
  <si>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</si>
  <si>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</si>
  <si>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</si>
  <si>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</si>
  <si>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</si>
  <si>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</si>
  <si>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</si>
  <si>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</si>
  <si>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</si>
  <si>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</si>
  <si>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</si>
  <si>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</si>
  <si>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</si>
  <si>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</si>
  <si>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</si>
  <si>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</si>
  <si>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</si>
  <si>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</si>
  <si>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</si>
  <si>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</si>
  <si>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</si>
  <si>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</si>
  <si>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</si>
  <si>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</si>
  <si>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</si>
  <si>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</si>
  <si>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</si>
  <si>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</si>
  <si>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</si>
  <si>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</si>
  <si>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</si>
  <si>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</si>
  <si>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</si>
  <si>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</si>
  <si>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</si>
  <si>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</si>
  <si>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</si>
  <si>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</si>
  <si>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</si>
  <si>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</si>
  <si>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</si>
  <si>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</si>
  <si>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</si>
  <si>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</si>
  <si>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</si>
  <si>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</si>
  <si>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</si>
  <si>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</si>
  <si>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</si>
  <si>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</si>
  <si>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</si>
  <si>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</si>
  <si>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</si>
  <si>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</si>
  <si>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</si>
  <si>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</si>
  <si>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</si>
  <si>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</si>
  <si>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</si>
  <si>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</si>
  <si>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</si>
  <si>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</si>
  <si>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</si>
  <si>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</si>
  <si>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</si>
  <si>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</si>
  <si>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</si>
  <si>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</si>
  <si>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</si>
  <si>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</si>
  <si>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</si>
  <si>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</si>
  <si>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</si>
  <si>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</si>
  <si>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</si>
  <si>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</si>
  <si>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</si>
  <si>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</si>
  <si>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</si>
  <si>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</si>
  <si>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</si>
  <si>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</si>
  <si>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</si>
  <si>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</si>
  <si>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</si>
  <si>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</si>
  <si>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</si>
  <si>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</si>
  <si>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</si>
  <si>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</si>
  <si>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</si>
  <si>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</si>
  <si>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</si>
  <si>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</si>
  <si>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</si>
  <si>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</si>
  <si>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</si>
  <si>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</si>
  <si>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</si>
  <si>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</si>
  <si>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</si>
  <si>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</si>
  <si>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</si>
  <si>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</si>
  <si>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</si>
  <si>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</si>
  <si>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</si>
  <si>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</si>
  <si>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</si>
  <si>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</si>
  <si>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</si>
  <si>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</si>
  <si>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</si>
  <si>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</si>
  <si>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</si>
  <si>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</si>
  <si>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</si>
  <si>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</si>
  <si>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</si>
  <si>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</si>
  <si>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</si>
  <si>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</si>
  <si>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</si>
  <si>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</si>
  <si>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</si>
  <si>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</si>
  <si>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</si>
  <si>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</si>
  <si>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</si>
  <si>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</si>
  <si>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</si>
  <si>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</si>
  <si>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</si>
  <si>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</si>
  <si>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</si>
  <si>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</si>
  <si>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</si>
  <si>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</si>
  <si>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</si>
  <si>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</si>
  <si>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</si>
  <si>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</si>
  <si>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</si>
  <si>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</si>
  <si>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</si>
  <si>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</si>
  <si>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</si>
  <si>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</si>
  <si>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</si>
  <si>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</si>
  <si>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</si>
  <si>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</si>
  <si>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</si>
  <si>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</si>
  <si>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</si>
  <si>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</si>
  <si>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</si>
  <si>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</si>
  <si>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</si>
  <si>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N/A</t>
  </si>
  <si>
    <t>M1_Table_M_leach_cp</t>
  </si>
  <si>
    <t>M2_Table_M_leach_cp</t>
  </si>
  <si>
    <t>Mass of nitrogen lost through leaching and runoff (Method 1)</t>
  </si>
  <si>
    <t>Mass of nitrogen lost through leaching and runoff (Method 2)</t>
  </si>
  <si>
    <t>Crop or pasture</t>
  </si>
  <si>
    <t>M_cp</t>
  </si>
  <si>
    <t>Irrigation</t>
  </si>
  <si>
    <t>Leaching zone</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</si>
  <si>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</si>
  <si>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</si>
  <si>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</si>
  <si>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</si>
  <si>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</si>
  <si>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</si>
  <si>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</si>
  <si>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</si>
  <si>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</si>
  <si>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</si>
  <si>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</si>
  <si>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</si>
  <si>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</si>
  <si>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</si>
  <si>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</si>
  <si>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</si>
  <si>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</si>
  <si>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</si>
  <si>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</si>
  <si>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</si>
  <si>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</si>
  <si>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</si>
  <si>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</si>
  <si>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</si>
  <si>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</si>
  <si>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</si>
  <si>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</si>
  <si>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</si>
  <si>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</si>
  <si>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</si>
  <si>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</si>
  <si>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</si>
  <si>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</si>
  <si>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</si>
  <si>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</si>
  <si>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</si>
  <si>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</si>
  <si>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</si>
  <si>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</si>
  <si>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</si>
  <si>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</si>
  <si>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</si>
  <si>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</si>
  <si>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</si>
  <si>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</si>
  <si>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</si>
  <si>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</si>
  <si>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</si>
  <si>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</si>
  <si>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</si>
  <si>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</si>
  <si>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</si>
  <si>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</si>
  <si>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</si>
  <si>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</si>
  <si>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</si>
  <si>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Western Australia</t>
  </si>
  <si>
    <t>Region (ABS Statistical area level 4) if state is WA</t>
  </si>
  <si>
    <t>Western Australia - Outback (South)</t>
  </si>
  <si>
    <t>NO - Not in leaching zone</t>
  </si>
  <si>
    <t>Elevation</t>
  </si>
  <si>
    <t>Meters</t>
  </si>
  <si>
    <t>Average temperature for reporting period</t>
  </si>
  <si>
    <t>Degrees celsius</t>
  </si>
  <si>
    <t>Total rainfall for reporting period</t>
  </si>
  <si>
    <t>Millimetres</t>
  </si>
  <si>
    <t>Potential evapotranspiration for reporting period</t>
  </si>
  <si>
    <t>Number of frost days for reporting period</t>
  </si>
  <si>
    <t>MAP:PET ratio</t>
  </si>
  <si>
    <t>Rainfall zone</t>
  </si>
  <si>
    <t>Climate zone</t>
  </si>
  <si>
    <t>Wet or dry climate zone</t>
  </si>
  <si>
    <t>Temperature zone</t>
  </si>
  <si>
    <t>Constants - Common</t>
  </si>
  <si>
    <t>State/Territory</t>
  </si>
  <si>
    <t>Common Name</t>
  </si>
  <si>
    <t>Abbreviation</t>
  </si>
  <si>
    <t>SA 4 Name</t>
  </si>
  <si>
    <t>Gas</t>
  </si>
  <si>
    <t>CO2-e factor</t>
  </si>
  <si>
    <t>Conversion factor</t>
  </si>
  <si>
    <t>Conversion factor 1</t>
  </si>
  <si>
    <t>Conversion factor 2</t>
  </si>
  <si>
    <t>Conversion factor combined</t>
  </si>
  <si>
    <t>Wet or Dry Zone</t>
  </si>
  <si>
    <t>MAT</t>
  </si>
  <si>
    <t>MAP</t>
  </si>
  <si>
    <t>Frost days per year</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</si>
  <si>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</si>
  <si>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</si>
  <si>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</si>
  <si>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</si>
  <si>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</si>
  <si>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</si>
  <si>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</si>
  <si>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</si>
  <si>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</si>
  <si>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</si>
  <si>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</si>
  <si>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</si>
  <si>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</si>
  <si>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</si>
  <si>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</si>
  <si>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</si>
  <si>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</si>
  <si>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</si>
  <si>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</si>
  <si>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</si>
  <si>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</si>
  <si>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</si>
  <si>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</si>
  <si>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</si>
  <si>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</si>
  <si>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</si>
  <si>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EFPRP</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</si>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</sst>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C09]dd\-mmmm\-yyyy;@"/>
    <numFmt numFmtId="168" formatCode="#,##0.000000"/>
    <numFmt numFmtId="169" formatCode="0.000%"/>
    <numFmt numFmtId="170" formatCode="[$-C09]d\ mmmm\ yyyy;@"/>
    <numFmt numFmtId="171" formatCode="0.00000"/>
    <numFmt numFmtId="172" formatCode="_-* #,##0_-;\-* #,##0_-;_-* &quot;-&quot;??_-;_-@_-"/>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sz val="11"/>
      <color theme="1"/>
      <name val="Times New Roman"/>
      <family val="2"/>
    </font>
    <font>
      <b/>
      <sz val="12"/>
      <color rgb="FF0070C0"/>
      <name val="Times New Roman"/>
      <family val="1"/>
    </font>
    <font>
      <sz val="9"/>
      <name val="Times New Roman"/>
      <family val="1"/>
    </font>
    <font>
      <b/>
      <sz val="12"/>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i/>
      <sz val="10"/>
      <color theme="1" tint="0.34998626667073579"/>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right/>
      <top style="thin">
        <color theme="3" tint="0.749961851863155"/>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1" fillId="0" borderId="0"/>
  </cellStyleXfs>
  <cellXfs count="244">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6" fillId="4" borderId="0" xfId="12" applyAlignment="1">
      <alignment horizontal="left" indent="1"/>
    </xf>
    <xf numFmtId="0" fontId="23" fillId="4" borderId="1" xfId="0" applyFont="1" applyFill="1" applyBorder="1"/>
    <xf numFmtId="0" fontId="29" fillId="4" borderId="0" xfId="8" applyAlignment="1">
      <alignment horizontal="right" vertical="center"/>
    </xf>
    <xf numFmtId="0" fontId="6" fillId="4" borderId="0" xfId="53">
      <alignment horizontal="left" vertical="center"/>
    </xf>
    <xf numFmtId="0" fontId="10" fillId="0" borderId="0" xfId="32"/>
    <xf numFmtId="0" fontId="6" fillId="4" borderId="1" xfId="53" applyBorder="1">
      <alignment horizontal="left" vertical="center"/>
    </xf>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9" fillId="0" borderId="0" xfId="55"/>
    <xf numFmtId="0" fontId="16" fillId="7" borderId="0" xfId="31">
      <alignment vertical="center"/>
    </xf>
    <xf numFmtId="0" fontId="3" fillId="4" borderId="0" xfId="7">
      <alignment horizontal="left" vertical="center"/>
    </xf>
    <xf numFmtId="0" fontId="3" fillId="0" borderId="0" xfId="7" applyFill="1">
      <alignment horizontal="left" vertical="center"/>
    </xf>
    <xf numFmtId="0" fontId="25" fillId="4" borderId="2" xfId="52">
      <alignment horizontal="center" vertical="center"/>
    </xf>
    <xf numFmtId="0" fontId="20" fillId="5" borderId="0" xfId="36">
      <alignment horizontal="left" vertical="center" indent="1"/>
    </xf>
    <xf numFmtId="0" fontId="3" fillId="12" borderId="2" xfId="15">
      <alignment horizontal="center" vertical="center"/>
    </xf>
    <xf numFmtId="0" fontId="6" fillId="4" borderId="0" xfId="12">
      <alignment horizontal="left" vertical="center" indent="1"/>
    </xf>
    <xf numFmtId="0" fontId="32" fillId="13" borderId="6" xfId="39" applyBorder="1">
      <alignment horizontal="left" vertical="center"/>
    </xf>
    <xf numFmtId="0" fontId="32" fillId="13" borderId="7" xfId="39" applyBorder="1">
      <alignment horizontal="left" vertical="center"/>
    </xf>
    <xf numFmtId="0" fontId="32" fillId="13" borderId="8" xfId="39" applyBorder="1">
      <alignment horizontal="left" vertical="center"/>
    </xf>
    <xf numFmtId="0" fontId="2" fillId="0" borderId="0" xfId="7" applyFont="1" applyFill="1">
      <alignment horizontal="left" vertical="center"/>
    </xf>
    <xf numFmtId="0" fontId="36" fillId="4" borderId="0" xfId="47">
      <alignment horizontal="left" vertical="center"/>
    </xf>
    <xf numFmtId="0" fontId="12" fillId="6" borderId="0" xfId="28">
      <alignment horizontal="left" vertical="center" indent="1"/>
    </xf>
    <xf numFmtId="0" fontId="2" fillId="0" borderId="2" xfId="56">
      <alignment horizontal="center" vertical="center"/>
    </xf>
    <xf numFmtId="9" fontId="2" fillId="0" borderId="2" xfId="16">
      <alignment horizontal="center" vertical="center"/>
    </xf>
    <xf numFmtId="9" fontId="25" fillId="4" borderId="2" xfId="68" applyFont="1" applyFill="1" applyBorder="1" applyAlignment="1">
      <alignment horizontal="center" vertical="center"/>
    </xf>
    <xf numFmtId="169" fontId="25" fillId="4" borderId="2" xfId="68" applyNumberFormat="1" applyFont="1" applyFill="1" applyBorder="1" applyAlignment="1">
      <alignment horizontal="center" vertical="center"/>
    </xf>
    <xf numFmtId="0" fontId="37" fillId="4" borderId="0" xfId="59">
      <alignment horizontal="left" vertical="center"/>
    </xf>
    <xf numFmtId="0" fontId="4" fillId="0" borderId="0" xfId="2"/>
    <xf numFmtId="0" fontId="16" fillId="3" borderId="0" xfId="4">
      <alignment vertical="center"/>
    </xf>
    <xf numFmtId="0" fontId="31" fillId="4" borderId="0" xfId="6">
      <alignment vertical="center"/>
    </xf>
    <xf numFmtId="0" fontId="15" fillId="4" borderId="0" xfId="24">
      <alignment horizontal="left" vertical="center"/>
    </xf>
    <xf numFmtId="0" fontId="46" fillId="4" borderId="0" xfId="8" applyFont="1">
      <alignment horizontal="left" vertical="center"/>
    </xf>
    <xf numFmtId="0" fontId="20" fillId="8" borderId="0" xfId="37">
      <alignment horizontal="left" vertical="center" indent="1"/>
    </xf>
    <xf numFmtId="0" fontId="25" fillId="4" borderId="2" xfId="63">
      <alignment horizontal="left" vertical="center"/>
    </xf>
    <xf numFmtId="0" fontId="25" fillId="4" borderId="9" xfId="63" applyBorder="1">
      <alignment horizontal="left" vertical="center"/>
    </xf>
    <xf numFmtId="0" fontId="25" fillId="4" borderId="10" xfId="63" applyBorder="1">
      <alignment horizontal="left" vertical="center"/>
    </xf>
    <xf numFmtId="0" fontId="25" fillId="4" borderId="11"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48" fillId="4" borderId="1" xfId="8" applyFont="1" applyBorder="1">
      <alignment horizontal="left" vertical="center"/>
    </xf>
    <xf numFmtId="0" fontId="50" fillId="4" borderId="1" xfId="8" applyFont="1" applyBorder="1">
      <alignment horizontal="left" vertical="center"/>
    </xf>
    <xf numFmtId="0" fontId="51" fillId="4" borderId="1" xfId="53" applyFont="1" applyBorder="1">
      <alignment horizontal="left" vertical="center"/>
    </xf>
    <xf numFmtId="0" fontId="25" fillId="4" borderId="2" xfId="52" applyAlignment="1">
      <alignment horizontal="left" vertical="center"/>
    </xf>
    <xf numFmtId="0" fontId="25" fillId="4" borderId="9" xfId="52" applyBorder="1" applyAlignment="1">
      <alignment horizontal="left" vertical="center"/>
    </xf>
    <xf numFmtId="0" fontId="25" fillId="4" borderId="10" xfId="52" applyBorder="1">
      <alignment horizontal="center" vertical="center"/>
    </xf>
    <xf numFmtId="0" fontId="0" fillId="0" borderId="0" xfId="8" applyFont="1" applyFill="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30" fillId="4" borderId="0" xfId="54">
      <alignment horizontal="left" vertical="center"/>
    </xf>
    <xf numFmtId="0" fontId="29" fillId="16" borderId="0" xfId="8" applyFill="1">
      <alignment horizontal="left" vertical="center"/>
    </xf>
    <xf numFmtId="0" fontId="53" fillId="4" borderId="0" xfId="8" applyFont="1">
      <alignment horizontal="left" vertical="center"/>
    </xf>
    <xf numFmtId="0" fontId="25" fillId="16" borderId="2" xfId="52" applyFill="1">
      <alignment horizontal="center" vertical="center"/>
    </xf>
    <xf numFmtId="0" fontId="46" fillId="4" borderId="1" xfId="8" applyFont="1" applyBorder="1">
      <alignment horizontal="left" vertical="center"/>
    </xf>
    <xf numFmtId="0" fontId="25" fillId="4" borderId="2" xfId="52" applyAlignment="1">
      <alignment vertical="center"/>
    </xf>
    <xf numFmtId="0" fontId="25" fillId="4" borderId="9" xfId="52" applyBorder="1" applyAlignment="1">
      <alignment vertical="center"/>
    </xf>
    <xf numFmtId="0" fontId="25" fillId="4" borderId="10" xfId="52" applyBorder="1" applyAlignment="1">
      <alignment vertical="center"/>
    </xf>
    <xf numFmtId="0" fontId="25" fillId="4" borderId="11" xfId="52" applyBorder="1" applyAlignment="1">
      <alignmen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56" fillId="4" borderId="0" xfId="0" applyFont="1" applyFill="1" applyAlignment="1">
      <alignment horizontal="center" vertical="center"/>
    </xf>
    <xf numFmtId="0" fontId="56" fillId="4" borderId="0" xfId="0" applyFont="1" applyFill="1"/>
    <xf numFmtId="0" fontId="57" fillId="4" borderId="0" xfId="0" applyFont="1" applyFill="1"/>
    <xf numFmtId="0" fontId="32" fillId="13" borderId="15" xfId="39" applyBorder="1">
      <alignment horizontal="left" vertical="center"/>
    </xf>
    <xf numFmtId="0" fontId="32" fillId="13" borderId="16" xfId="39" applyBorder="1">
      <alignment horizontal="left" vertical="center"/>
    </xf>
    <xf numFmtId="0" fontId="32" fillId="13" borderId="17" xfId="39" applyBorder="1">
      <alignment horizontal="left" vertical="center"/>
    </xf>
    <xf numFmtId="0" fontId="32" fillId="13" borderId="18"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58" fillId="4" borderId="0" xfId="43" applyFont="1" applyFill="1" applyAlignment="1">
      <alignment horizontal="left" vertical="center" wrapText="1"/>
    </xf>
    <xf numFmtId="2" fontId="56" fillId="4" borderId="0" xfId="67" applyNumberFormat="1" applyFont="1" applyFill="1" applyBorder="1" applyAlignment="1" applyProtection="1">
      <alignment horizontal="center" wrapText="1"/>
      <protection locked="0"/>
    </xf>
    <xf numFmtId="1" fontId="56" fillId="4" borderId="0" xfId="67" applyNumberFormat="1" applyFont="1" applyFill="1" applyBorder="1" applyAlignment="1" applyProtection="1">
      <alignment horizontal="center" wrapText="1"/>
      <protection locked="0"/>
    </xf>
    <xf numFmtId="0" fontId="56" fillId="4" borderId="0" xfId="0" applyFont="1" applyFill="1" applyAlignment="1">
      <alignment horizontal="left" wrapText="1"/>
    </xf>
    <xf numFmtId="0" fontId="57"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2" fillId="0" borderId="2" xfId="14">
      <alignment horizontal="center" vertical="center"/>
    </xf>
    <xf numFmtId="0" fontId="5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9" fillId="12" borderId="2" xfId="15" applyFont="1">
      <alignment horizontal="center" vertical="center"/>
    </xf>
    <xf numFmtId="4" fontId="43" fillId="0" borderId="2" xfId="17" applyFont="1" applyAlignment="1">
      <alignment horizontal="center" vertical="center" wrapText="1"/>
    </xf>
    <xf numFmtId="9" fontId="0" fillId="0" borderId="19" xfId="68" applyFont="1" applyFill="1" applyBorder="1" applyAlignment="1">
      <alignment horizontal="center" vertical="center" wrapText="1"/>
    </xf>
    <xf numFmtId="0" fontId="32" fillId="13" borderId="20" xfId="39" applyBorder="1">
      <alignment horizontal="left" vertical="center"/>
    </xf>
    <xf numFmtId="0" fontId="32" fillId="13" borderId="0" xfId="39" applyBorder="1">
      <alignment horizontal="left" vertical="center"/>
    </xf>
    <xf numFmtId="0" fontId="32" fillId="13" borderId="21"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0" xfId="52" applyBorder="1" applyAlignment="1">
      <alignment horizontal="left" vertical="center"/>
    </xf>
    <xf numFmtId="0" fontId="39" fillId="4" borderId="9" xfId="62" applyBorder="1">
      <alignment horizontal="left" vertical="center"/>
    </xf>
    <xf numFmtId="0" fontId="25" fillId="4" borderId="11" xfId="52" applyBorder="1">
      <alignment horizontal="center" vertical="center"/>
    </xf>
    <xf numFmtId="0" fontId="25" fillId="4" borderId="11"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45" fillId="4" borderId="0" xfId="0" applyFont="1" applyFill="1"/>
    <xf numFmtId="0" fontId="6" fillId="4" borderId="1" xfId="12" applyBorder="1">
      <alignment horizontal="left" vertical="center" indent="1"/>
    </xf>
    <xf numFmtId="0" fontId="29" fillId="4" borderId="22"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51" fillId="4" borderId="1" xfId="12" applyFont="1" applyBorder="1">
      <alignment horizontal="left" vertical="center" indent="1"/>
    </xf>
    <xf numFmtId="0" fontId="5" fillId="2" borderId="0" xfId="9" applyAlignment="1">
      <alignment horizontal="center" vertical="center" wrapText="1"/>
    </xf>
    <xf numFmtId="0" fontId="29" fillId="4" borderId="23"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0"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6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3" fillId="12" borderId="24" xfId="15" applyBorder="1">
      <alignment horizontal="center" vertical="center"/>
    </xf>
    <xf numFmtId="0" fontId="25" fillId="4" borderId="24" xfId="52" applyBorder="1">
      <alignment horizontal="center" vertical="center"/>
    </xf>
    <xf numFmtId="9" fontId="0" fillId="0" borderId="24" xfId="16" applyFont="1" applyBorder="1">
      <alignment horizontal="center" vertical="center"/>
    </xf>
    <xf numFmtId="0" fontId="28" fillId="4" borderId="0" xfId="48" applyAlignment="1">
      <alignment horizontal="left" vertical="center"/>
    </xf>
    <xf numFmtId="171" fontId="64" fillId="4" borderId="2" xfId="52" applyNumberFormat="1" applyFont="1">
      <alignment horizontal="center" vertical="center"/>
    </xf>
    <xf numFmtId="0" fontId="24" fillId="4" borderId="0" xfId="50">
      <alignment horizontal="left" vertical="center"/>
    </xf>
    <xf numFmtId="4" fontId="25" fillId="4" borderId="24" xfId="46" applyBorder="1">
      <alignment horizontal="center" vertical="center"/>
    </xf>
    <xf numFmtId="171" fontId="64" fillId="4" borderId="24"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5" xfId="52" applyBorder="1">
      <alignment horizontal="center" vertical="center"/>
    </xf>
    <xf numFmtId="0" fontId="25" fillId="4" borderId="26" xfId="52" applyBorder="1">
      <alignment horizontal="center" vertical="center"/>
    </xf>
    <xf numFmtId="4" fontId="25" fillId="4" borderId="25" xfId="46" applyBorder="1">
      <alignment horizontal="center" vertical="center"/>
    </xf>
    <xf numFmtId="4" fontId="25" fillId="4" borderId="27" xfId="46" applyBorder="1">
      <alignment horizontal="center" vertical="center"/>
    </xf>
    <xf numFmtId="171" fontId="64" fillId="4" borderId="27" xfId="52" applyNumberFormat="1" applyFont="1" applyBorder="1">
      <alignment horizontal="center" vertical="center"/>
    </xf>
    <xf numFmtId="171" fontId="64" fillId="4" borderId="25" xfId="52" applyNumberFormat="1" applyFont="1" applyBorder="1">
      <alignment horizontal="center" vertical="center"/>
    </xf>
    <xf numFmtId="0" fontId="25" fillId="4" borderId="27" xfId="52" applyBorder="1">
      <alignment horizontal="center" vertical="center"/>
    </xf>
    <xf numFmtId="0" fontId="64" fillId="4" borderId="27" xfId="52" applyFont="1" applyBorder="1">
      <alignment horizontal="center" vertical="center"/>
    </xf>
    <xf numFmtId="0" fontId="3" fillId="4" borderId="23" xfId="7" applyBorder="1">
      <alignment horizontal="left" vertical="center"/>
    </xf>
    <xf numFmtId="165" fontId="45" fillId="4" borderId="23" xfId="0" applyNumberFormat="1" applyFont="1" applyFill="1" applyBorder="1"/>
    <xf numFmtId="0" fontId="6" fillId="4" borderId="23" xfId="12" applyBorder="1">
      <alignment horizontal="left" vertical="center" indent="1"/>
    </xf>
    <xf numFmtId="168" fontId="45" fillId="4" borderId="0" xfId="0" applyNumberFormat="1" applyFont="1" applyFill="1" applyAlignment="1">
      <alignment vertical="center"/>
    </xf>
    <xf numFmtId="165" fontId="45" fillId="4" borderId="23" xfId="0" applyNumberFormat="1" applyFont="1" applyFill="1" applyBorder="1" applyAlignment="1">
      <alignment vertical="center"/>
    </xf>
    <xf numFmtId="0" fontId="45" fillId="4" borderId="0" xfId="0" applyFont="1" applyFill="1" applyAlignment="1">
      <alignment vertical="center"/>
    </xf>
    <xf numFmtId="165" fontId="65" fillId="4" borderId="23" xfId="0" applyNumberFormat="1" applyFont="1" applyFill="1" applyBorder="1" applyAlignment="1">
      <alignment vertical="center"/>
    </xf>
    <xf numFmtId="168" fontId="64" fillId="4" borderId="2" xfId="46" applyNumberFormat="1" applyFont="1">
      <alignment horizontal="center" vertical="center"/>
    </xf>
    <xf numFmtId="168" fontId="64" fillId="4" borderId="24" xfId="46" applyNumberFormat="1" applyFont="1" applyBorder="1">
      <alignment horizontal="center" vertical="center"/>
    </xf>
    <xf numFmtId="168" fontId="64" fillId="4" borderId="27" xfId="46" applyNumberFormat="1" applyFont="1" applyBorder="1">
      <alignment horizontal="center" vertical="center"/>
    </xf>
    <xf numFmtId="0" fontId="63" fillId="0" borderId="0" xfId="0" applyFont="1" applyAlignment="1">
      <alignment vertical="center" wrapText="1"/>
    </xf>
    <xf numFmtId="0" fontId="66" fillId="0" borderId="0" xfId="0" applyFont="1" applyAlignment="1">
      <alignment horizontal="left" vertical="center"/>
    </xf>
    <xf numFmtId="0" fontId="66" fillId="0" borderId="0" xfId="8" applyFont="1" applyFill="1">
      <alignment horizontal="left" vertical="center"/>
    </xf>
    <xf numFmtId="0" fontId="63" fillId="0" borderId="0" xfId="0" applyFont="1" applyAlignment="1">
      <alignment horizontal="left" vertical="center"/>
    </xf>
    <xf numFmtId="0" fontId="0" fillId="0" borderId="0" xfId="0" applyAlignment="1">
      <alignment horizontal="left" vertical="center"/>
    </xf>
    <xf numFmtId="0" fontId="63" fillId="4" borderId="0" xfId="0" applyFont="1" applyFill="1" applyAlignment="1">
      <alignment horizontal="left" vertical="center"/>
    </xf>
    <xf numFmtId="0" fontId="46" fillId="4" borderId="0" xfId="8" applyFont="1" applyAlignment="1">
      <alignment horizontal="right" vertical="center"/>
    </xf>
    <xf numFmtId="0" fontId="67" fillId="4" borderId="0" xfId="0" applyFont="1" applyFill="1"/>
    <xf numFmtId="0" fontId="63" fillId="0" borderId="0" xfId="0" applyFont="1"/>
    <xf numFmtId="0" fontId="63" fillId="0" borderId="0" xfId="7" applyFont="1" applyFill="1">
      <alignment horizontal="left" vertical="center"/>
    </xf>
    <xf numFmtId="0" fontId="63" fillId="4" borderId="0" xfId="0" applyFont="1" applyFill="1"/>
    <xf numFmtId="0" fontId="63" fillId="4" borderId="0" xfId="7" applyFont="1">
      <alignment horizontal="left" vertical="center"/>
    </xf>
    <xf numFmtId="0" fontId="32" fillId="13" borderId="5" xfId="39">
      <alignment horizontal="left" vertical="center"/>
    </xf>
    <xf numFmtId="0" fontId="32" fillId="13" borderId="12" xfId="39" quotePrefix="1" applyBorder="1">
      <alignment horizontal="left" vertical="center"/>
    </xf>
    <xf numFmtId="0" fontId="0" fillId="4" borderId="1" xfId="0" applyFill="1" applyBorder="1"/>
    <xf numFmtId="0" fontId="0" fillId="4" borderId="0" xfId="0" quotePrefix="1" applyFill="1"/>
    <xf numFmtId="0" fontId="68" fillId="4" borderId="1" xfId="0" applyFont="1" applyFill="1" applyBorder="1"/>
    <xf numFmtId="0" fontId="70" fillId="4" borderId="1" xfId="0" applyFont="1" applyFill="1" applyBorder="1"/>
    <xf numFmtId="0" fontId="22" fillId="0" borderId="0" xfId="0" applyFont="1"/>
    <xf numFmtId="0" fontId="0" fillId="0" borderId="0" xfId="7" applyFont="1" applyFill="1">
      <alignment horizontal="left" vertical="center"/>
    </xf>
    <xf numFmtId="0" fontId="71"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4" fillId="13" borderId="15" xfId="39" applyFont="1" applyBorder="1">
      <alignment horizontal="left" vertical="center"/>
    </xf>
    <xf numFmtId="0" fontId="10" fillId="0" borderId="0" xfId="2" applyFont="1"/>
    <xf numFmtId="0" fontId="16" fillId="0" borderId="0" xfId="4" applyFill="1">
      <alignment vertical="center"/>
    </xf>
    <xf numFmtId="0" fontId="3" fillId="4" borderId="28"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4" borderId="0" xfId="7" applyFont="1">
      <alignment horizontal="left" vertical="center"/>
    </xf>
    <xf numFmtId="0" fontId="29" fillId="0" borderId="0" xfId="8" applyFill="1">
      <alignment horizontal="left" vertical="center"/>
    </xf>
    <xf numFmtId="0" fontId="32" fillId="13" borderId="29" xfId="39" applyBorder="1">
      <alignment horizontal="left" vertical="center"/>
    </xf>
    <xf numFmtId="0" fontId="72" fillId="0" borderId="0" xfId="12" applyFont="1" applyFill="1" applyAlignment="1">
      <alignment horizontal="left" vertical="center"/>
    </xf>
    <xf numFmtId="167" fontId="2" fillId="0" borderId="2" xfId="41">
      <alignment horizontal="center" vertical="center"/>
    </xf>
    <xf numFmtId="166" fontId="25" fillId="4" borderId="2" xfId="40" applyNumberFormat="1">
      <alignment horizontal="center" vertical="center"/>
    </xf>
    <xf numFmtId="0" fontId="44" fillId="13" borderId="12"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8" fillId="0" borderId="0" xfId="0" applyFont="1" applyAlignment="1" applyProtection="1">
      <alignment horizontal="center" vertical="center"/>
      <protection locked="0"/>
    </xf>
    <xf numFmtId="4" fontId="73" fillId="0" borderId="0" xfId="17" applyFont="1" applyBorder="1">
      <alignment horizontal="center" vertical="center"/>
    </xf>
    <xf numFmtId="164" fontId="8" fillId="4" borderId="0" xfId="26" applyBorder="1">
      <alignment horizontal="center" vertical="center"/>
    </xf>
    <xf numFmtId="4" fontId="73" fillId="4" borderId="0" xfId="17" applyFont="1" applyFill="1" applyBorder="1">
      <alignment horizontal="center" vertical="center"/>
    </xf>
    <xf numFmtId="0" fontId="73" fillId="4" borderId="0" xfId="12" applyFont="1" applyAlignment="1">
      <alignment horizontal="center" vertical="center"/>
    </xf>
    <xf numFmtId="0" fontId="73" fillId="4" borderId="0" xfId="8" applyFont="1" applyAlignment="1">
      <alignment horizontal="center" vertical="center"/>
    </xf>
    <xf numFmtId="166" fontId="73" fillId="4" borderId="0" xfId="8" applyNumberFormat="1" applyFont="1" applyAlignment="1">
      <alignment horizontal="center" vertical="center"/>
    </xf>
    <xf numFmtId="9" fontId="73" fillId="4" borderId="0" xfId="68" applyFont="1" applyFill="1" applyBorder="1" applyAlignment="1">
      <alignment horizontal="center" vertical="center"/>
    </xf>
    <xf numFmtId="0" fontId="74" fillId="4" borderId="0" xfId="0" applyFont="1" applyFill="1" applyAlignment="1">
      <alignment horizontal="center" vertical="center"/>
    </xf>
    <xf numFmtId="0" fontId="74" fillId="4" borderId="0" xfId="0" applyFont="1" applyFill="1"/>
    <xf numFmtId="0" fontId="73" fillId="4" borderId="0" xfId="0" applyFont="1" applyFill="1"/>
    <xf numFmtId="0" fontId="73" fillId="0" borderId="0" xfId="0" applyFont="1"/>
    <xf numFmtId="0" fontId="75" fillId="4" borderId="0" xfId="7" applyFont="1" applyAlignment="1">
      <alignment horizontal="center" vertical="center"/>
    </xf>
    <xf numFmtId="0" fontId="76" fillId="4" borderId="0" xfId="7" applyFont="1" applyAlignment="1">
      <alignment horizontal="center" vertical="center"/>
    </xf>
    <xf numFmtId="166" fontId="76" fillId="4" borderId="0" xfId="7" applyNumberFormat="1" applyFont="1" applyAlignment="1">
      <alignment horizontal="center" vertical="center"/>
    </xf>
    <xf numFmtId="0" fontId="76" fillId="4" borderId="0" xfId="0" applyFont="1" applyFill="1" applyAlignment="1">
      <alignment horizontal="center" vertical="center"/>
    </xf>
    <xf numFmtId="0" fontId="77" fillId="4" borderId="0" xfId="0" applyFont="1" applyFill="1" applyAlignment="1">
      <alignment horizontal="center" vertical="center"/>
    </xf>
    <xf numFmtId="0" fontId="77" fillId="4" borderId="0" xfId="0" applyFont="1" applyFill="1" applyAlignment="1">
      <alignment horizontal="left" vertical="center"/>
    </xf>
    <xf numFmtId="14" fontId="3" fillId="4" borderId="0" xfId="7" applyNumberFormat="1">
      <alignment horizontal="left" vertical="center"/>
    </xf>
    <xf numFmtId="0" fontId="42" fillId="4" borderId="0" xfId="66" applyFill="1" applyBorder="1"/>
    <xf numFmtId="166" fontId="2" fillId="4" borderId="0" xfId="18" applyNumberFormat="1" applyFill="1" applyBorder="1">
      <alignment horizontal="center" vertical="center"/>
    </xf>
    <xf numFmtId="172" fontId="3" fillId="4" borderId="0" xfId="67" applyNumberFormat="1" applyFont="1" applyFill="1" applyBorder="1" applyAlignment="1">
      <alignment horizontal="center" vertical="center"/>
    </xf>
    <xf numFmtId="0" fontId="0" fillId="4" borderId="0" xfId="7" applyFont="1">
      <alignment horizontal="left" vertical="center"/>
    </xf>
    <xf numFmtId="0" fontId="78" fillId="4" borderId="0" xfId="0" applyFont="1" applyFill="1"/>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8FFA8B0F-D457-4036-9DFC-2044D70C8962}"/>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3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0" formatCode="[$-C09]d\ mmmm\ yyyy;@"/>
    </dxf>
    <dxf>
      <numFmt numFmtId="170"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9"/>
      <tableStyleElement type="headerRow" dxfId="428"/>
      <tableStyleElement type="totalRow" dxfId="427"/>
      <tableStyleElement type="firstColumn" dxfId="426"/>
      <tableStyleElement type="firstRowStripe" dxfId="425"/>
      <tableStyleElement type="secondRowStripe" dxfId="424"/>
    </tableStyle>
    <tableStyle name="Equation table" pivot="0" count="6" xr9:uid="{B247698E-E41D-4CCD-AA0A-C14817E9DE65}">
      <tableStyleElement type="wholeTable" dxfId="423"/>
      <tableStyleElement type="headerRow" dxfId="422"/>
      <tableStyleElement type="totalRow" dxfId="421"/>
      <tableStyleElement type="firstColumn" dxfId="420"/>
      <tableStyleElement type="firstRowStripe" dxfId="419"/>
      <tableStyleElement type="secondRowStripe" dxfId="41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A08E78D-4BD0-4DF4-B772-533E37802C5D}"/>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2A08E78D-4BD0-4DF4-B772-533E37802C5D}"/>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A4C18EB-B793-45FA-866D-3C5717691342}"/>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8A4C18EB-B793-45FA-866D-3C5717691342}"/>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C94900BB-1505-4E19-869D-53FF1E95E999}"/>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C94900BB-1505-4E19-869D-53FF1E95E999}"/>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0451FC89-B1D4-4BD1-AAF2-313BB348547C}"/>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0451FC89-B1D4-4BD1-AAF2-313BB348547C}"/>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3C46F2B-8B2C-4D47-8B35-86A63297372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03C46F2B-8B2C-4D47-8B35-86A63297372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EA1F2DF-FFF1-4EEB-9434-D8396D1C995A}"/>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EEA1F2DF-FFF1-4EEB-9434-D8396D1C995A}"/>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B2F412EA-3727-4FF0-9A43-C2384CCE14A5}"/>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B2F412EA-3727-4FF0-9A43-C2384CCE14A5}"/>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9E44B16-05D7-43C9-91D2-AB70C90C7CBE}"/>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49E44B16-05D7-43C9-91D2-AB70C90C7CBE}"/>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BCAD2764-0EC2-4B31-95C7-03089304581A}"/>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BCAD2764-0EC2-4B31-95C7-03089304581A}"/>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2A463356-733D-4CCD-AE28-7CCB3919696A}"/>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2A463356-733D-4CCD-AE28-7CCB3919696A}"/>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C94F937-D5BA-456C-937B-B9F95227E2F4}"/>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5C94F937-D5BA-456C-937B-B9F95227E2F4}"/>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1AE4B4E-482A-4D03-BD73-A4BC7FB7C6E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11AE4B4E-482A-4D03-BD73-A4BC7FB7C6E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33971296-0060-457C-A4AC-9D156FF0245B}"/>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33971296-0060-457C-A4AC-9D156FF0245B}"/>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AAAC4CA8-F067-435E-9D44-5030207CCA0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AAAC4CA8-F067-435E-9D44-5030207CCA0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61E3E2F4-B3D4-46AE-B469-16252F66686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61E3E2F4-B3D4-46AE-B469-16252F66686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60158266-DFC4-4E94-84F1-8C962C453B71}"/>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60158266-DFC4-4E94-84F1-8C962C453B71}"/>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A2768E92-8D58-47E9-B460-CF26BAF2AB4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A2768E92-8D58-47E9-B460-CF26BAF2AB4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BFD228C-9EAD-4A9F-8DE9-C144809702AE}"/>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8BFD228C-9EAD-4A9F-8DE9-C144809702AE}"/>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DFFF7EA-E029-4FDA-95AC-9E1F3AE3A07C}"/>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4DFFF7EA-E029-4FDA-95AC-9E1F3AE3A07C}"/>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71A724B-C632-472F-BD29-B13396FB6A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E71A724B-C632-472F-BD29-B13396FB6A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6B0D9BC-E262-4C9E-AF39-036857582DC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6B0D9BC-E262-4C9E-AF39-036857582DC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4E2E69A-D4BE-4467-A6BD-554C6037199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A4E2E69A-D4BE-4467-A6BD-554C6037199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22341D1-5287-4D49-ABF1-0BF00F7BA9E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222341D1-5287-4D49-ABF1-0BF00F7BA9E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549F9D1-8241-4373-B335-32AE953C503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9549F9D1-8241-4373-B335-32AE953C503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52AF48CC-A747-451B-853D-45F6A82C13D5}"/>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52AF48CC-A747-451B-853D-45F6A82C13D5}"/>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AE63D64-6036-4B56-ACC1-BA1249935E8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AAE63D64-6036-4B56-ACC1-BA1249935E8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F6140635-C27D-43CB-B170-C1BB65256877}"/>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F6140635-C27D-43CB-B170-C1BB65256877}"/>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8D11BBCF-F0F1-43CF-B56F-D8EF94ADC92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8D11BBCF-F0F1-43CF-B56F-D8EF94ADC92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1CF0F14-D11A-4818-BACE-487E6D6D30B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A1CF0F14-D11A-4818-BACE-487E6D6D30B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E428111-0768-4F1C-8254-D6F31E8DC53D}"/>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E428111-0768-4F1C-8254-D6F31E8DC53D}"/>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E24CD96-8845-4E42-B30E-8C1B8F491D9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2E24CD96-8845-4E42-B30E-8C1B8F491D9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F4FF735-FFEE-47FE-98C2-DC480B1EEFF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F4FF735-FFEE-47FE-98C2-DC480B1EEFF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D58F9B2-B0E8-4F0E-8501-33D402C27B4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1D58F9B2-B0E8-4F0E-8501-33D402C27B4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C19F839-9F7C-4FB2-8892-7EA0C569D1EF}"/>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0C19F839-9F7C-4FB2-8892-7EA0C569D1EF}"/>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F6E9DF7-1162-407E-AC15-992B7E64975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DF6E9DF7-1162-407E-AC15-992B7E64975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36E6441-11FB-49E8-8CDE-C35B08AE2CF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536E6441-11FB-49E8-8CDE-C35B08AE2CF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19ED2C70-C977-4FA3-BCA7-B0E6A7705A7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19ED2C70-C977-4FA3-BCA7-B0E6A7705A7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C3C862D-06C6-48EC-9F6C-24AB8FBE80F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7C3C862D-06C6-48EC-9F6C-24AB8FBE80F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2B7DDA2-C2E1-4158-9A1F-B16633BC6A9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D2B7DDA2-C2E1-4158-9A1F-B16633BC6A9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BAA4B726-56DF-4ADF-9CC5-028AA070B35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BAA4B726-56DF-4ADF-9CC5-028AA070B35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FA1575F-BEA0-4851-98E7-F288F7C7D38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FA1575F-BEA0-4851-98E7-F288F7C7D38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A567A67-7EEA-4444-913E-3A3C4FCCC8D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9A567A67-7EEA-4444-913E-3A3C4FCCC8D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84834B8-0C73-459F-805C-F527B644C82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F84834B8-0C73-459F-805C-F527B644C82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C1D46E0-BDCC-422A-820B-D89C1D7A0D9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9C1D46E0-BDCC-422A-820B-D89C1D7A0D9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678CE64-AAC4-4F9C-BCB8-6C77BC4D30C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B678CE64-AAC4-4F9C-BCB8-6C77BC4D30C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852D8A6-9A55-4F7E-BB83-519B9DE187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2852D8A6-9A55-4F7E-BB83-519B9DE187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518275D-CACF-4013-82DE-4FFD9D686E2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9518275D-CACF-4013-82DE-4FFD9D686E21}"/>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E8A47947-3FB3-489F-9FAE-A283711350B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E8A47947-3FB3-489F-9FAE-A283711350B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DDB243F-FC3B-4CED-AF87-42A3E1053ED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CDDB243F-FC3B-4CED-AF87-42A3E1053ED9}"/>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3CD67B4C-4561-4085-892E-00521BD6C6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3CD67B4C-4561-4085-892E-00521BD6C64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B00EAE5-1696-487C-8436-9B1F3295E0A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1B00EAE5-1696-487C-8436-9B1F3295E0A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CA8B020-FE0A-4A20-A200-D8DE52990B1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ECA8B020-FE0A-4A20-A200-D8DE52990B1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441E8BE-1C9C-4CCC-A2E2-731B583CA8D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F441E8BE-1C9C-4CCC-A2E2-731B583CA8D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681D510A-9549-4B96-A3DC-97631E10F751}"/>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681D510A-9549-4B96-A3DC-97631E10F751}"/>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150C4F3-186C-44AF-8580-6A37F058ED2C}"/>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D54F923A-9924-4E1F-A3C7-46CEFD1FD87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A38A62EE-7D6B-488F-9F0C-0659308101D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96A813BF-349A-4EB6-A7B0-70F7EE609403}"/>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5D56C78B-BCBB-4D2C-9D7D-2FFFEB31716D}"/>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D5197415-EA75-43F3-83ED-5C0C497D4F16}"/>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67864CA5-C5E9-4923-95FC-047024B81BD6}"/>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D649D974-478D-442B-89E6-E2CD414F339A}"/>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4FD857C0-D9C3-4880-8F3A-455552918092}"/>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6B7FA283-9B2D-4731-BBAB-907C16D515D5}"/>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B0E11AB6-8C82-4D4C-9768-CDC9C6C744D1}"/>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97BC908-28BA-42B6-8087-F86623206E5C}"/>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EF318760-4A20-4F6F-B6FF-4CFC495CD60E}"/>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FCD77259-7AFF-4894-BA4B-136C572E5B86}"/>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6F54F1E0-18AD-4C07-BDC5-9A34012544C3}"/>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FDF178C5-7BAB-4041-8DE1-495F9C4C10B3}"/>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D69B9808-3924-4620-A2D2-B1F49CC964BE}"/>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E3C7211B-E0F6-4299-B091-85EEE56BE17D}"/>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14062DCC-AC53-44EC-8004-E9E829700004}"/>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2F43A762-1A76-4F52-BF29-BCE5B9B198EE}"/>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DB6024E-235A-4A8D-BD02-B1836DDF9978}"/>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FB0320F5-3A0D-4244-9B36-311A11414ABA}"/>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F81CD642-17C4-48DB-BB26-DDED37CA280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5C8491F9-7329-4277-B568-860292DF5D4F}"/>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9472BA9D-317C-4816-84CA-EBAD7C283C89}"/>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AB4DD07E-10B3-4600-B96D-72989263564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B91E9E3F-CE2F-40F6-AE78-F49EEDAF6E93}"/>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9EA916B5-D4A9-4608-B481-77F601A9A07A}"/>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0C2B3168-A9E8-4D37-80F6-65C8CF8FE28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7C107CE1-6352-479A-B1B1-7211F89E7665}"/>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DB735ED4-0BEA-435A-959A-304EACEDCE5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C4FFCCE3-C155-438E-8102-34FC2796B330}"/>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D4599D46-63D1-4812-B782-104AADCA51AE}"/>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39F94EB4-CD5C-4A34-9075-B53C7985D207}"/>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0158AA26-2207-4B52-A2AA-B8654920A170}"/>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9D0B4EF3-1C93-46AE-AB79-BC2488CBCE95}"/>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6D020FC9-A32C-4BCA-8A27-48EF7FDCC7CF}"/>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3.xlsx" TargetMode="External"/><Relationship Id="rId2" Type="http://schemas.openxmlformats.org/officeDocument/2006/relationships/externalLinkPath" Target="file:///C:\htdocs\zneagcrc\GAF-VEERG-Functions\Excel\3_2_Enteric_BeefPasture_WIP_v03.xlsx" TargetMode="External"/><Relationship Id="rId1" Type="http://schemas.openxmlformats.org/officeDocument/2006/relationships/externalLinkPath" Target="/htdocs/zneagcrc/GAF-VEERG-Functions/Excel/3_2_Enteric_BeefPasture_WIP_v03.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7.xlsx" TargetMode="External"/><Relationship Id="rId2" Type="http://schemas.openxmlformats.org/officeDocument/2006/relationships/externalLinkPath" Target="file:///C:\htdocs\zneagcrc\GAF-VEERG-Functions\Excel\4_2_ManureManagement_BeefPasture_WIP_v07.xlsx" TargetMode="External"/><Relationship Id="rId1" Type="http://schemas.openxmlformats.org/officeDocument/2006/relationships/externalLinkPath" Target="/htdocs/zneagcrc/GAF-VEERG-Functions/Excel/4_2_ManureManagement_BeefPasture_WIP_v07.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1.xlsx" TargetMode="External"/><Relationship Id="rId2" Type="http://schemas.openxmlformats.org/officeDocument/2006/relationships/externalLinkPath" Target="file:///C:\htdocs\zneagcrc\GAF-VEERG-Functions\Excel\14_Electricity_Scope2_WIP_v01.xlsx" TargetMode="External"/><Relationship Id="rId1" Type="http://schemas.openxmlformats.org/officeDocument/2006/relationships/externalLinkPath" Target="/htdocs/zneagcrc/GAF-VEERG-Functions/Excel/14_Electricity_Scope2_WIP_v01.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ADE2D20-CF21-497F-9070-28CA453F7C1A}" name="Table_Input_InorganicFertiliser_Brands" displayName="Table_Input_InorganicFertiliser_Brands" ref="D17:X22" headerRowDxfId="276" dataDxfId="275" totalsRowDxfId="274">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D98044A-D0EB-4E6C-AD06-54E9EA746131}" name="Product (select)" dataDxfId="272" totalsRowDxfId="273" dataCellStyle="Input select"/>
    <tableColumn id="23" xr3:uid="{F90F925B-4084-4557-84A9-F7DD45C09EFD}" name="Amount applied per hectare" totalsRowFunction="custom" dataDxfId="270" totalsRowDxfId="271">
      <totalsRowFormula>SUM(Table_Input_InorganicFertiliser_Brands[[#Headers],[#Data],[Amount applied per hectare]])</totalsRowFormula>
    </tableColumn>
    <tableColumn id="12" xr3:uid="{5458336A-6729-4D75-918D-84C804D318ED}" name="Application unit" dataDxfId="268" totalsRowDxfId="269" dataCellStyle="Input number 2 decimal places"/>
    <tableColumn id="9" xr3:uid="{1483B6CB-7218-4D25-9CFD-095B21F8A799}" name="Density" dataDxfId="266" totalsRowDxfId="267" dataCellStyle="Input number 2 decimal places"/>
    <tableColumn id="6" xr3:uid="{CD079A40-360D-41B0-B423-46AE66D274F9}" name="Application area (ha)" dataDxfId="264" totalsRowDxfId="265">
      <calculatedColumnFormula>$E$9</calculatedColumnFormula>
    </tableColumn>
    <tableColumn id="1" xr3:uid="{E50D7171-2FAD-4AC5-9B6F-6A7547D7614F}" name="Total applied (kg)" dataDxfId="262" totalsRowDxfId="26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8F04254-E2C4-4B62-BA82-AFF17BC14702}" name="Ingredient 1" dataDxfId="260" totalsRowDxfId="261" dataCellStyle="Input number general calculated"/>
    <tableColumn id="4" xr3:uid="{1A4CF74B-633E-48C2-9A60-2934C1D44CD3}" name="Ingredient 1 percent" dataDxfId="258" totalsRowDxfId="259" dataCellStyle="Input number general calculated"/>
    <tableColumn id="7" xr3:uid="{3DB08B3D-5664-4F5C-BA86-0AE11A356E92}" name="Ingredient 2" dataDxfId="257" dataCellStyle="Input number general calculated"/>
    <tableColumn id="8" xr3:uid="{CFD0DCE2-9026-4CD4-8741-0C4F6FA5B619}" name="Ingredient 2 percent" dataDxfId="255" totalsRowDxfId="256" dataCellStyle="Input number general calculated"/>
    <tableColumn id="10" xr3:uid="{EA9B0D9E-5FDF-42FD-A1B9-FCCDB4C32083}" name="Ingredient 3" dataDxfId="253" totalsRowDxfId="254" dataCellStyle="Input number general calculated"/>
    <tableColumn id="11" xr3:uid="{6AA2C3CF-4B6C-47BB-A8F3-E4E6F8EB2A13}" name="Ingredient 3 percent" dataDxfId="251" totalsRowDxfId="252" dataCellStyle="Input number general calculated"/>
    <tableColumn id="13" xr3:uid="{6E9E389F-B10C-4D9F-99E7-FC705FD91D6E}" name="Ingredient 4" dataDxfId="249" totalsRowDxfId="250" dataCellStyle="Input number general calculated"/>
    <tableColumn id="14" xr3:uid="{51B457FF-5635-47FF-B467-950925A9E012}" name="Ingredient 4 percent" dataDxfId="248" dataCellStyle="Input number general calculated"/>
    <tableColumn id="16" xr3:uid="{90B09864-B926-406F-B9CE-82DE8B98280A}" name="Ingredient 5" dataDxfId="247" dataCellStyle="Input number general calculated"/>
    <tableColumn id="17" xr3:uid="{573B6545-C629-44BF-9F0F-9BDC565CC44C}" name="Ingredient 5 percent" dataDxfId="246" dataCellStyle="Input number general calculated"/>
    <tableColumn id="19" xr3:uid="{3C2FAC48-96B2-462D-88B8-399C5E662B63}" name="Ingredient 6" dataDxfId="245" dataCellStyle="Input number general calculated"/>
    <tableColumn id="20" xr3:uid="{ED497166-D2F4-47A8-B8CE-FCF0C6E0C916}" name="Ingredient 6 percent" dataDxfId="244" dataCellStyle="Input number general calculated"/>
    <tableColumn id="5" xr3:uid="{E2744CE3-339D-447A-BE59-949792D20E18}" name="N application rate (kg/ha)" dataDxfId="242" totalsRowDxfId="243" dataCellStyle="Input number general calculated"/>
    <tableColumn id="15" xr3:uid="{AEF383ED-1FAA-44BA-BCB8-C6F8AA729CA5}" name="Urea source" dataDxfId="240" totalsRowDxfId="241" dataCellStyle="Input number general calculated"/>
    <tableColumn id="18" xr3:uid="{E1722001-8325-4053-B1D8-433154C33173}" name="Ammonia source" dataDxfId="238" totalsRowDxfId="239"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C266F22-F486-4CFA-AEFE-BEC8E256C3F6}" name="Table_Input_InorganicFertiliser_Custom" displayName="Table_Input_InorganicFertiliser_Custom" ref="D25:R28" totalsRowShown="0" headerRowDxfId="237" dataDxfId="236">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EBE73386-87A5-4F31-9A8B-297EF89BDF68}" name="Custom blend name" dataCellStyle="Input text"/>
    <tableColumn id="2" xr3:uid="{4705751F-AA9C-4E37-8151-2BCC3721E135}" name="Amount applied (kg / ha)" dataDxfId="235"/>
    <tableColumn id="3" xr3:uid="{A2039076-D64A-462B-96CC-7F272E626C8C}" name="Application area (ha)" dataDxfId="234" dataCellStyle="Input number 2 decimal places">
      <calculatedColumnFormula>$E$9</calculatedColumnFormula>
    </tableColumn>
    <tableColumn id="4" xr3:uid="{929E3F7F-3362-48BA-B9F1-A0F9771424D4}" name="Total applied (kg)" dataDxfId="233" dataCellStyle="Input number general calculated">
      <calculatedColumnFormula>Table_Input_InorganicFertiliser_Custom[[#This Row],[Amount applied (kg / ha)]]*Table_Input_InorganicFertiliser_Custom[[#This Row],[Application area (ha)]]</calculatedColumnFormula>
    </tableColumn>
    <tableColumn id="5" xr3:uid="{142C0186-4242-45B7-95D8-12BE7A536E2D}" name="Ingredient 1 (select)" dataDxfId="232" dataCellStyle="Input select"/>
    <tableColumn id="6" xr3:uid="{7DCFC910-D496-4A1C-A56D-97A25C03CF6A}" name="Ingredient 1 percent" dataDxfId="231"/>
    <tableColumn id="8" xr3:uid="{13789A61-8D97-4EE3-AD93-8861054737F6}" name="Ingredient 2" dataDxfId="230" dataCellStyle="Input select"/>
    <tableColumn id="9" xr3:uid="{3CAF999D-BC30-4978-9FFC-A851228F43D3}" name="Ingredient 2 percent" dataDxfId="229"/>
    <tableColumn id="11" xr3:uid="{94F359B7-04AA-4233-8A93-22DB1073E07A}" name="Ingredient 3" dataDxfId="228" dataCellStyle="Input select"/>
    <tableColumn id="12" xr3:uid="{147AFB5B-3F5C-444A-8542-101D16E1E6D5}" name="Ingredient 3 percent" dataDxfId="227"/>
    <tableColumn id="14" xr3:uid="{9AFA9D2B-8A9F-4668-90CB-FD4A8488EC0F}" name="Ingredient 4" dataDxfId="226" dataCellStyle="Input select"/>
    <tableColumn id="15" xr3:uid="{762888C7-4D90-4739-B65B-E34156D780C2}" name="Ingredient 4 percent" dataCellStyle="Input percent"/>
    <tableColumn id="7" xr3:uid="{51E7EEDB-AF03-463C-9BF9-DAA200BCD4A5}" name="N application rate (kg/ha)" dataDxfId="225" dataCellStyle="Input number general calculated"/>
    <tableColumn id="10" xr3:uid="{27C090EB-CB20-46A9-9340-401F8C189364}" name="Urea source (Select)" dataCellStyle="Input select"/>
    <tableColumn id="13" xr3:uid="{B773506A-27B2-419D-97D3-01444C1FE2B9}"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89193F-F88A-439D-877F-7F67AB1E4737}" name="Table_Input_Lime" displayName="Table_Input_Lime" ref="D36:K39" totalsRowShown="0" headerRowDxfId="224" dataDxfId="223"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3C461C5-1B6C-412F-882B-1CE0136B7165}" name="Product" dataDxfId="222"/>
    <tableColumn id="2" xr3:uid="{16CC4FCD-AE7B-4DFD-A2DB-63275917C42C}" name="Amount applied (t/hectare)" dataDxfId="221"/>
    <tableColumn id="4" xr3:uid="{F2840989-6019-4F56-BF71-F21CA67D2B6D}" name="Application area (ha)" dataDxfId="220">
      <calculatedColumnFormula>$E$9</calculatedColumnFormula>
    </tableColumn>
    <tableColumn id="3" xr3:uid="{5883D1FA-1376-41C3-AEAA-1930D57B6AA2}" name="Total amount applied (t)" dataDxfId="219" dataCellStyle="Input number general calculated">
      <calculatedColumnFormula>IFERROR(Table_Input_Lime[[#This Row],[Amount applied (t/hectare)]]*Table_Input_Lime[[#This Row],[Application area (ha)]], 0)</calculatedColumnFormula>
    </tableColumn>
    <tableColumn id="6" xr3:uid="{B15F9DA3-6F0C-4688-A87D-0B5507B114F1}" name="Percent Lime CaCO3" dataDxfId="218"/>
    <tableColumn id="8" xr3:uid="{E8645AD3-D7B2-4146-83DE-3B5D184E8BF2}" name="Percent Dolomite CaMg(CO3)2" dataDxfId="217"/>
    <tableColumn id="7" xr3:uid="{D34D9A4B-B1E6-44EA-8754-B73A32C5DCEB}" name="Percent Gypsum" dataDxfId="216"/>
    <tableColumn id="10" xr3:uid="{6B37FA9B-0A9C-435F-A342-E2DC8B275BB0}" name="Total" dataDxfId="215"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5EC6BE0-F2DF-4B08-8594-168E3A30A818}" name="Table_Input_OrganicFertiliser" displayName="Table_Input_OrganicFertiliser" ref="D47:J50" totalsRowShown="0" headerRowDxfId="214" dataDxfId="213"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0179E5D-FBBD-4AB4-8770-C0054238F0D8}" name="Organic fertiliser type (select)" dataDxfId="212" dataCellStyle="Input select"/>
    <tableColumn id="5" xr3:uid="{A1D2B217-B109-425E-AA2F-FF3A50D9766B}" name="Percentage of N in fertiliser" dataDxfId="211"/>
    <tableColumn id="2" xr3:uid="{2BDC36AF-D361-47B5-ADC8-195532FD79B5}" name="Amount applied (kg/hectare)" dataDxfId="210"/>
    <tableColumn id="11" xr3:uid="{1CD5720C-E439-48AC-9C76-630E0CAF43BB}" name="Amount N applied (kg/hectare)" dataDxfId="209" dataCellStyle="Input number general calculated">
      <calculatedColumnFormula>Table_Input_OrganicFertiliser[[#This Row],[Amount applied (kg/hectare)]]*Table_Input_OrganicFertiliser[[#This Row],[Percentage of N in fertiliser]]</calculatedColumnFormula>
    </tableColumn>
    <tableColumn id="4" xr3:uid="{2920A4DD-DD70-4DAA-87D7-6D8B6D9B7945}" name="Application area (ha)" dataDxfId="208">
      <calculatedColumnFormula>$E$9</calculatedColumnFormula>
    </tableColumn>
    <tableColumn id="7" xr3:uid="{21ADAE33-1825-44CD-812C-C9FA4B567A69}" name="Total organic fertliser applied" dataDxfId="207" dataCellStyle="Input number general calculated">
      <calculatedColumnFormula>Table_Input_OrganicFertiliser[[#This Row],[Amount applied (kg/hectare)]]*Table_Input_OrganicFertiliser[[#This Row],[Application area (ha)]]</calculatedColumnFormula>
    </tableColumn>
    <tableColumn id="3" xr3:uid="{C9B341B4-25ED-4E0A-9800-7DB72DB777B7}" name="Total nitrogen applied (kg)" dataDxfId="20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5E0FBBE-DEE5-4E05-99E0-6DAA6BEFF047}" name="Table_Input_Fuel" displayName="Table_Input_Fuel" ref="D16:J21" totalsRowDxfId="11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5791FD3-C15F-452C-96DA-66C37AAF59CC}" name="Fuel use (select)" totalsRowFunction="average" totalsRowDxfId="110" dataCellStyle="Input select" totalsRowCellStyle="Input select"/>
    <tableColumn id="3" xr3:uid="{8271A5F7-C4C4-4E75-8FFF-C59F29314E00}" name="Fuel type (select)" totalsRowDxfId="109" dataCellStyle="Input select" totalsRowCellStyle="Input select"/>
    <tableColumn id="4" xr3:uid="{0B92284D-C225-4C25-A77D-F0A20005EDC6}" name="Amount purchased" totalsRowDxfId="108" totalsRowCellStyle="Content bold"/>
    <tableColumn id="6" xr3:uid="{C671768D-6E1E-4768-A175-0C575266C51F}" name="Amount unit" totalsRowDxfId="107" dataCellStyle="Input number general calculated" totalsRowCellStyle="Input text calculated"/>
    <tableColumn id="5" xr3:uid="{0B67503F-C455-433F-A37A-F95BBDFA8BEA}" name="Percent consumed" totalsRowDxfId="106" totalsRowCellStyle="Input percent">
      <calculatedColumnFormula>1</calculatedColumnFormula>
    </tableColumn>
    <tableColumn id="1" xr3:uid="{D29AA606-3F43-4467-BCC1-F7916030A11F}" name="Amount consumed" totalsRowFunction="custom" totalsRowDxfId="10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B214872-A1CD-46FE-9638-51D40576B6A4}" name="Amount consumed unit" totalsRowDxfId="104"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EE1B02A-DB4B-4395-910A-B72DD8F90551}"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A4B878C-924F-481A-90FA-02C739D2CD1E}" name="Description"/>
    <tableColumn id="5" xr3:uid="{17976FB2-F0AD-4AA9-AF57-2238B3E09E28}" name="Source (select)" dataCellStyle="Input select"/>
    <tableColumn id="2" xr3:uid="{D8DC7A82-8CE6-4D30-9632-FF4265550651}" name="Generation date" dataDxfId="131"/>
    <tableColumn id="3" xr3:uid="{6F7190DC-91EB-49F5-AAAD-6ABB5CC05299}" name="Number of certificates"/>
    <tableColumn id="4" xr3:uid="{3A4AFE22-A62D-453E-B2BF-F395E6C9BEB1}" name="MWh" dataCellStyle="Input number general calculated">
      <calculatedColumnFormula>Table_Input_RECSurrendered[[#This Row],[Number of certificates]]</calculatedColumnFormula>
    </tableColumn>
    <tableColumn id="7" xr3:uid="{35AAAD48-AFB3-4BF8-8A62-69CFB1067E31}"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8DC0858-F529-451A-8CC4-5F91ED7811EC}"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0C1E1D3-A484-43EA-945A-7DB2F6215B67}" name="Description"/>
    <tableColumn id="5" xr3:uid="{7B243128-80B9-4638-921B-5829B5BB8547}" name="Source" dataCellStyle="Input text calculated">
      <calculatedColumnFormula>"Issued for generated electricity"</calculatedColumnFormula>
    </tableColumn>
    <tableColumn id="2" xr3:uid="{A6723B74-6A68-40B4-8CC8-1FB60BA3E593}" name="Generation date" dataDxfId="130"/>
    <tableColumn id="3" xr3:uid="{8C22C409-D77D-4F73-ACC7-5C3D24A24109}" name="Number of certificates"/>
    <tableColumn id="4" xr3:uid="{47FFBBEE-33A1-45D8-BE6B-ABA2DFEFDEC8}" name="MWh" dataCellStyle="Input number general calculated">
      <calculatedColumnFormula>Table_Input_RECConsumedByEntity[[#This Row],[Number of certificates]]</calculatedColumnFormula>
    </tableColumn>
    <tableColumn id="7" xr3:uid="{64B45487-C439-4F3C-BBFA-7FCBF4F0E50F}"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3E1FB1-A5A6-46E7-B696-7EB559CD717E}" name="Table_SourceData_PastureBeef_CropProdSystems" displayName="Table_SourceData_PastureBeef_CropProdSystems" ref="D7:D9" totalsRowShown="0">
  <autoFilter ref="D7:D9" xr:uid="{B6F3FE3A-A0B5-47E7-85B2-8426FB75A7C8}">
    <filterColumn colId="0" hiddenButton="1"/>
  </autoFilter>
  <tableColumns count="1">
    <tableColumn id="1" xr3:uid="{AF979F61-4E43-4232-BC13-CDD1DD23270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FC24570-F014-429C-BCDC-70F2CE8B6065}"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0A0AF2BF-F4DC-4CFB-98FD-E2CE3B5C3B7A}"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37AC464-FC1E-46DD-83EA-EF6A8EC0E65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8B5DF99-2CE6-4B73-AC36-E5ABE44EA364}" name="State">
      <calculatedColumnFormula array="1">Common_InputFunctions.Utility_DisplayArrayInTable(SourceData_PastureBeef.SourceData_PastureBeef_Liveweight_Data(), Table_SourceData_PastureBeef_Liveweight[[#Headers],[State]], 0)</calculatedColumnFormula>
    </tableColumn>
    <tableColumn id="2" xr3:uid="{00B25129-5EF4-4813-9FF2-FEA90C2E2AB4}" name="Region" dataDxfId="40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CD7BBBA-9493-4F98-AB72-735D959742E7}" name="Season" dataDxfId="40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5BF282A2-01E1-423E-B47E-932971CABDB5}" name="Bull &lt; 1" dataDxfId="40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6C3D4ED9-BB97-4FC3-825E-FC6C965D160B}" name="Bull &gt; 1" dataDxfId="40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E5948128-8EA6-4F63-AF5D-E0CE0E9BDEFD}" name="Cow &lt; 1" dataDxfId="40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D58A4079-B074-408E-9C97-9BF14377CDAE}" name="Cow 1-2" dataDxfId="40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8334264-D8B3-4246-86C9-FBE339028AC4}" name="Cow &gt; 2" dataDxfId="39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F47D837D-5125-4BB0-B068-A37807E15DF9}" name="Steer &lt; 1" dataDxfId="39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90EBE465-4BE8-40BE-AAA1-A4D308CF2294}" name="Steer &gt; 1" dataDxfId="39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57E066-9B56-49FD-B549-CFD405A8FF6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F56CEAC-2D55-4247-A859-9261F7A93E18}" name="State">
      <calculatedColumnFormula array="1">Common_InputFunctions.Utility_DisplayArrayInTable(SourceData_PastureBeef.SourceData_PastureBeef_LiveweightNTQLD_Data(),Table_SourceData_PastureBeef_LiveweightNTQD[[#Headers],[State]], 0)</calculatedColumnFormula>
    </tableColumn>
    <tableColumn id="2" xr3:uid="{E89082CB-D0C9-4CCA-98DE-2B2F45284100}" name="Region" dataDxfId="39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8EF5570F-5FD1-4155-BAFC-BC0F104FB8CA}" name="Season" dataDxfId="39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738DED5-862F-4AC7-AF79-A02E6316C6B2}" name="Bull &lt;1" dataDxfId="39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64748166-2B04-4872-9A95-86D31C1B45F6}" name="Bull &gt;1" dataDxfId="39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E5FF8094-FA61-468D-9E18-371E36212A00}" name="Cows &lt;1" dataDxfId="39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7AA23C40-07DC-4EFB-8720-1B202CDD8AD2}" name="Cows 1-2" dataDxfId="3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93A9B07A-8DFA-4D74-B755-F1CB29994CF3}" name="Cows 2-3" dataDxfId="39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E61482DB-17CA-4060-9A66-DEEF6E034789}" name="Cows &gt;3" dataDxfId="38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C4D8D936-FE8A-49F8-BDD8-549059E90AFC}" name="Steer &lt;1" dataDxfId="38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AE5DCAB2-7E22-4749-A49A-832024E25AE8}" name="Steer 1-2" dataDxfId="38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AF184EC9-9BD1-4037-B192-15D43E4B6A5B}" name="Steer 2-3" dataDxfId="38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83DCA4D3-7AB7-4915-B498-BE9E17E9B1DE}" name="Steer &gt;3" dataDxfId="38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06E792-858A-4009-B6C2-0AC786250B3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66E4A0A-0F3D-4CED-BCFB-D778E6EC457D}" name="State"/>
    <tableColumn id="2" xr3:uid="{CAD96540-33A9-4F95-8EC1-303D42E11C95}" name="Region">
      <calculatedColumnFormula>E22</calculatedColumnFormula>
    </tableColumn>
    <tableColumn id="3" xr3:uid="{3A9A8427-8CBE-4085-A75D-E688A5CD0281}" name="Season">
      <calculatedColumnFormula>F22</calculatedColumnFormula>
    </tableColumn>
    <tableColumn id="4" xr3:uid="{9234CDD5-2096-4683-B186-49D4D39A7AC3}" name="Bulls &lt; 1 year">
      <calculatedColumnFormula>G22</calculatedColumnFormula>
    </tableColumn>
    <tableColumn id="5" xr3:uid="{55DE4431-F374-4AC3-BBED-14A87D3EA005}" name="Bulls &gt; 1 year">
      <calculatedColumnFormula>H22</calculatedColumnFormula>
    </tableColumn>
    <tableColumn id="6" xr3:uid="{8D924236-BE27-4C66-BBBC-8CAA86E249D2}" name="Cows &lt; 1 year">
      <calculatedColumnFormula>I22</calculatedColumnFormula>
    </tableColumn>
    <tableColumn id="7" xr3:uid="{B3000954-08C1-4BA0-8F23-098C37E1E800}" name="Cows 1-2 years">
      <calculatedColumnFormula>J22</calculatedColumnFormula>
    </tableColumn>
    <tableColumn id="8" xr3:uid="{8C2005F2-6C14-4DF9-BCDE-DDBA67816B99}" name="Cows 2-3 years">
      <calculatedColumnFormula>K22</calculatedColumnFormula>
    </tableColumn>
    <tableColumn id="9" xr3:uid="{B073513D-765B-4A4E-A9FD-E7A57A38FCC6}" name="Cows &gt; 3 years">
      <calculatedColumnFormula>L22</calculatedColumnFormula>
    </tableColumn>
    <tableColumn id="10" xr3:uid="{166796D9-C130-4C62-86D7-0690AB4C2339}" name="Steers &lt; 1 year">
      <calculatedColumnFormula>M22</calculatedColumnFormula>
    </tableColumn>
    <tableColumn id="11" xr3:uid="{EA0E70A9-AD2B-45C6-BD84-A4AA49C070F4}" name="Steers 1-2 years">
      <calculatedColumnFormula>N22</calculatedColumnFormula>
    </tableColumn>
    <tableColumn id="12" xr3:uid="{10F72BB6-8957-4CED-8686-E2CEFDA5CC4D}" name="Steers 2-3 years">
      <calculatedColumnFormula>O22</calculatedColumnFormula>
    </tableColumn>
    <tableColumn id="13" xr3:uid="{E7374B57-FBDD-4030-AC3F-770B120AF639}" name="Steers &gt;3 years">
      <calculatedColumnFormula>P22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59FB05-AEE6-46A4-B674-BA4937CD2813}"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5EE8F78D-5694-43A2-957F-3B18CE08F6D9}"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5AF5C3-0800-452C-8B95-640E6AD5D06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AE129B94-BCC9-4FD0-B5EA-B63CAAD6B0F5}"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84C8D03-7C95-4FA6-80DD-0C2521DC7B4A}"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BEA67CE5-4D47-4197-A22C-428EF0D5FEE2}"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8509813-C26D-40E2-9C1B-0B98DFB7C8D9}" name="Table_SourceData_PastureBeef_Region_Victoria" displayName="Table_SourceData_PastureBeef_Region_Victoria" ref="S7:S8" totalsRowShown="0">
  <autoFilter ref="S7:S8" xr:uid="{7D474D93-C1E0-4898-A434-69585070D0B9}">
    <filterColumn colId="0" hiddenButton="1"/>
  </autoFilter>
  <tableColumns count="1">
    <tableColumn id="1" xr3:uid="{8F85FD61-BDB9-4E0E-922E-6F1B1814314E}" name="Regio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8BB49EA-7A8E-4A78-94BE-DD3340316C2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44A55AAA-43D1-4C4F-9553-85850D1936CE}"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479DF41-CBE9-430B-ABFE-DABDD619B262}"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E902B952-73E3-452E-ACBA-54E8DB5DB7D2}"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242C5FF-1BCA-4048-B9CB-6E76BC92CDA3}" name="Table_SourceData_PastureBeef_Region_Tasmania" displayName="Table_SourceData_PastureBeef_Region_Tasmania" ref="S22:S23" totalsRowShown="0">
  <autoFilter ref="S22:S23" xr:uid="{4E5A7E40-F6AE-4323-873A-9AB20571A18A}">
    <filterColumn colId="0" hiddenButton="1"/>
  </autoFilter>
  <tableColumns count="1">
    <tableColumn id="1" xr3:uid="{BA90214D-D70D-421B-9F16-A68ECCA1CD44}"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6254F8D-70E7-41DA-8C7C-69F9986BB964}" name="Table_SourceData_PastureBeef_Region_ACT" displayName="Table_SourceData_PastureBeef_Region_ACT" ref="S27:S28" totalsRowShown="0">
  <autoFilter ref="S27:S28" xr:uid="{3655B7FD-A2CC-4B05-9668-16F7A54ED6C1}">
    <filterColumn colId="0" hiddenButton="1"/>
  </autoFilter>
  <tableColumns count="1">
    <tableColumn id="1" xr3:uid="{56D10671-9CB0-43AB-AA59-914AFC433152}"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E438898-ABF7-4FBB-977F-48EE7FDABFAE}"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E11F649-4D2D-42FB-BEC3-26568FDD5B98}" name="State">
      <calculatedColumnFormula array="1">Common_InputFunctions.Utility_DisplayArrayInTable(SourceData_PastureBeef.SourceData_PastureBeef_LiveweightGain_Data(), Table_SourceData_PastureBeef_LiveweightGain[[#Headers],[State]],0)</calculatedColumnFormula>
    </tableColumn>
    <tableColumn id="2" xr3:uid="{349B34F9-5D65-4078-9B17-69E7B453641F}" name="Region" dataDxfId="38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6B206003-879E-4883-899C-5D7B1B2C7AC3}" name="Season" dataDxfId="38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F52E31B0-EC78-41E6-ACA1-C46AB3945CB0}" name="Bull &lt;1" dataDxfId="38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750353DF-19D7-42FB-B149-24824EFABFA0}" name="Bull &gt;1" dataDxfId="38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1278180B-BB23-4DEB-BB26-6DDCAF999F4F}" name="Cow &lt;1" dataDxfId="38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28108EB2-0A85-4E0A-AFBE-616BA75654D2}" name="Cow 1-2" dataDxfId="37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0D4B9F1A-3398-42CA-9196-0D463BAA6F36}" name="Cow &gt;2" dataDxfId="37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E7815F06-A712-4165-BCB0-8ED4D98DD360}" name="Steer &lt;1" dataDxfId="37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C1784D5F-562D-44E4-9447-C927B9AE7579}" name="Steer &gt;1" dataDxfId="37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C7428C6-DCED-4566-8EED-48788581F603}"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1EBB2B9-15A5-46D3-A692-4BA102A5E7D9}" name="State">
      <calculatedColumnFormula array="1">Common_InputFunctions.Utility_DisplayArrayInTable(SourceData_PastureBeef.SourceData_PastureBeef_LiveweightGainNTQLD_Data(),Table_SourceData_PastureBeef_LiveweightGainNTQLD[[#Headers],[State]],0)</calculatedColumnFormula>
    </tableColumn>
    <tableColumn id="2" xr3:uid="{07A072C0-2F17-4DDE-B72A-19A2EB71AF79}" name="Region" dataDxfId="37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9D2C22CA-1611-4BBC-B09F-AE2D8C9AE65C}" name="Season" dataDxfId="37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CD689D7F-1742-4F57-AA2D-BA48F1F28901}" name="Bull &lt;1" dataDxfId="37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36FCCA4B-0AB3-4BFD-9585-2BD2523E5733}" name="Bull &gt;1" dataDxfId="37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DA9D4757-4406-4D3D-BF68-10032700A860}" name="Cow &lt;1" dataDxfId="37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42CDEBEA-26E8-4AE0-89A4-6476B16FC16A}" name="Cow 1-2" dataDxfId="3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E7227DE0-55B5-49DE-856D-CB62D0FBED18}" name="Cow 2-3" dataDxfId="3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E893C817-66EA-4906-BBC4-4D1B652346B2}" name="Cow &gt;3" dataDxfId="36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C3AF2298-C7CA-4678-ACCC-D23C09603279}" name="Steer &lt;1" dataDxfId="36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4124D583-E51E-44C4-B05E-C9E39E0E00C1}" name="Steer 1-2" dataDxfId="36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132343B1-E61D-407B-AED3-27129CAA0A68}" name="Steer 2-3" dataDxfId="3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B5E6EB4A-8390-4A02-9DE9-46C292C009BF}" name="Steer &gt;3" dataDxfId="36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319426-6558-4214-B024-A2355B85D9B4}"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E922DF-18A2-462C-9CDC-D68BD1F211A6}" name="State"/>
    <tableColumn id="2" xr3:uid="{F1AB3F83-F69D-4E18-B07D-62EBB817F706}" name="Region">
      <calculatedColumnFormula>E159</calculatedColumnFormula>
    </tableColumn>
    <tableColumn id="3" xr3:uid="{90DCAB7E-4DB4-46ED-BA2F-1277DB6A2A9C}" name="Season">
      <calculatedColumnFormula>F159</calculatedColumnFormula>
    </tableColumn>
    <tableColumn id="4" xr3:uid="{20B9D5AC-9283-491C-AB84-55DA465BEF57}" name="Bulls &lt; 1 year">
      <calculatedColumnFormula>G159</calculatedColumnFormula>
    </tableColumn>
    <tableColumn id="5" xr3:uid="{5ACAF98A-44A7-47EF-ABDE-DC4AED44D904}" name="Bulls &gt; 1 year">
      <calculatedColumnFormula>H159</calculatedColumnFormula>
    </tableColumn>
    <tableColumn id="6" xr3:uid="{E9E4CC8B-6B3B-4AEA-8C39-C2597E490992}" name="Cows &lt; 1 year">
      <calculatedColumnFormula>I159</calculatedColumnFormula>
    </tableColumn>
    <tableColumn id="7" xr3:uid="{1C5A6998-6E17-4502-AA32-660759990C64}" name="Cows 1-2 years">
      <calculatedColumnFormula>J159</calculatedColumnFormula>
    </tableColumn>
    <tableColumn id="8" xr3:uid="{283BE7B7-8962-4210-BD54-19F339B7DFF5}" name="Cows 2-3 years">
      <calculatedColumnFormula>K159</calculatedColumnFormula>
    </tableColumn>
    <tableColumn id="9" xr3:uid="{7DECF5E2-8031-4C25-802C-DB66AAC74E4B}" name="Cows &gt; 3 years">
      <calculatedColumnFormula>L159</calculatedColumnFormula>
    </tableColumn>
    <tableColumn id="10" xr3:uid="{4BC4CB1B-C58D-484B-BA02-BAF882025E4D}" name="Steers &lt; 1 year">
      <calculatedColumnFormula>M159</calculatedColumnFormula>
    </tableColumn>
    <tableColumn id="11" xr3:uid="{95C31552-80CC-448D-8954-B114CD388186}" name="Steers 1-2 years">
      <calculatedColumnFormula>N159</calculatedColumnFormula>
    </tableColumn>
    <tableColumn id="12" xr3:uid="{4938BC43-30C8-4CA9-B8A4-AC160403BD16}" name="Steers 2-3 years">
      <calculatedColumnFormula>O159</calculatedColumnFormula>
    </tableColumn>
    <tableColumn id="13" xr3:uid="{3465BDCF-F8D7-4B72-B46B-59CC861E3966}" name="Steers &gt;3 years">
      <calculatedColumnFormula>P159</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22CF337-AAB3-4236-A275-F83CFE38ACFC}"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ADE5324B-CFE4-42BA-962D-F283B9662B4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6DBA31F2-CE32-46DB-92D4-7D92B5B4B683}" name="Region" dataDxfId="36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E65BE38-9151-4A05-8574-A9EF622191B9}" name="Spring" dataDxfId="36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8648437B-3E5B-401A-B8E7-D5D8C4C073E7}" name="Summer" dataDxfId="36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BDB26AC9-8AD3-422C-942A-2739B85AE56E}" name="Autumn" dataDxfId="36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6F2D81E0-C2E3-4673-8A9A-0B620CB21C24}" name="Winter" dataDxfId="35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D627A6C-7B12-4B8C-8910-71FBDAABA51B}" name="Table_SourceData_PastureBeef_CrudeProtein" displayName="Table_SourceData_PastureBeef_CrudeProtein" ref="D313:I328" totalsRowShown="0" dataDxfId="35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267D2433-FA42-466A-9864-C6C0D273EC83}" name="State" dataDxfId="35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70DA5095-9A6E-42C7-AD3A-CD34B8DD7D1D}" name="Region" dataDxfId="35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A1CAD4BE-0AF9-4374-8E40-7A217F498716}" name="Spring" dataDxfId="35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744CC70-A2CE-460C-858B-EB05BF549C18}" name="Summer" dataDxfId="35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7C1BD39F-7B2B-479D-88FA-3B4371DDF7D6}" name="Autumn" dataDxfId="35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0D4D1350-8808-4B76-A350-67B67ACE3A77}" name="Winter" dataDxfId="35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0722BB9-D883-4F30-A230-157B23CE50F1}"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7A0D0DE8-67BD-46E2-A356-5AA0F0633A1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8082AA85-43F8-4ECB-BF50-02A5C0485A18}" name="Season" dataDxfId="35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3BF029D4-FEB3-47C2-829C-C25E9EA94EB1}" name="Feed adjustment" dataDxfId="35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861D146B-00E7-4CC4-A2C0-3AE69A45D3E9}" name="Milk intake/production" dataDxfId="34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102FBE0-5854-4F0B-9BD5-06AC94E6AF07}"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08EDE80-A4BA-4121-906E-36A59D2BD8E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A0CC9E56-AFCE-4575-AC81-D5513565CA81}" name="Bulls &lt;1" dataDxfId="34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0C5A5AC-745F-40F3-8CDC-7C5C94CAC9F5}" name="Bulls &gt;1" dataDxfId="34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72711E9F-7FC1-4873-A1B2-B71997C5F0D7}" name="Cows &lt;1" dataDxfId="34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DFF9975-D008-4688-B59B-D831BB6FD320}" name="Cows 1-2" dataDxfId="34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A4F81EE0-7481-4C83-91AA-02E7A099857F}" name="Cows &gt;2" dataDxfId="34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27A5571-AC5B-4F09-AA7D-76440E92F959}" name="Steer &lt;1" dataDxfId="34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59F489F-F6A7-4EAB-8B4C-3DD07D7F4387}" name="Steer &gt;1" dataDxfId="34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AA8BAED8-E46F-486E-A402-410EB6602EA9}" name="State abbreviation" dataDxfId="34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CD3C29D-A18D-47F7-8E6C-06DC915536FC}"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36DB31E-0F76-4CAE-B32E-F539D53240E4}" name="State" dataDxfId="340" dataCellStyle="Content normal">
      <calculatedColumnFormula>D351</calculatedColumnFormula>
    </tableColumn>
    <tableColumn id="2" xr3:uid="{EF070030-D39A-4EE1-B61B-B16BC30A40EC}" name="Bulls &lt; 1 year" dataDxfId="339" dataCellStyle="Content normal">
      <calculatedColumnFormula>E351</calculatedColumnFormula>
    </tableColumn>
    <tableColumn id="3" xr3:uid="{5A00935B-EE3A-44B4-8788-F24C951CEF52}" name="Bulls &gt; 1 year" dataDxfId="338" dataCellStyle="Content normal">
      <calculatedColumnFormula>F351</calculatedColumnFormula>
    </tableColumn>
    <tableColumn id="4" xr3:uid="{044A892B-29E1-4EF6-A80E-E28FB1CBE780}" name="Cows &lt; 1 year" dataDxfId="337" dataCellStyle="Content normal">
      <calculatedColumnFormula>G351</calculatedColumnFormula>
    </tableColumn>
    <tableColumn id="5" xr3:uid="{F65532BE-3E64-4933-AD86-2C2133A78460}" name="Cows 1-2 years" dataDxfId="336" dataCellStyle="Content normal">
      <calculatedColumnFormula>H351</calculatedColumnFormula>
    </tableColumn>
    <tableColumn id="6" xr3:uid="{F3EBE3FA-49EB-4919-9997-281FD0419155}" name="Cows 2-3 years" dataDxfId="335" dataCellStyle="Content normal">
      <calculatedColumnFormula>I351</calculatedColumnFormula>
    </tableColumn>
    <tableColumn id="7" xr3:uid="{637F4032-B79E-4B24-9B85-505DAE2D5EC4}" name="Cows &gt; 3 years" dataDxfId="334" dataCellStyle="Content normal">
      <calculatedColumnFormula>I351</calculatedColumnFormula>
    </tableColumn>
    <tableColumn id="8" xr3:uid="{12147141-7C9E-4C58-8C78-80D0388797EF}" name="Steers &lt; 1 year" dataDxfId="333" dataCellStyle="Content normal">
      <calculatedColumnFormula>J351</calculatedColumnFormula>
    </tableColumn>
    <tableColumn id="9" xr3:uid="{019A2AF2-A8EB-4EB6-B1CB-C9B152D12F27}" name="Steers 1-2 years" dataDxfId="332" dataCellStyle="Content normal">
      <calculatedColumnFormula>K351</calculatedColumnFormula>
    </tableColumn>
    <tableColumn id="10" xr3:uid="{8A1E62DC-6244-4A0D-A834-3D5028597EFC}" name="Steers 2-3 years" dataDxfId="331" dataCellStyle="Content normal">
      <calculatedColumnFormula>K351</calculatedColumnFormula>
    </tableColumn>
    <tableColumn id="11" xr3:uid="{75B5B814-651B-446C-B24D-60541FCC8C83}" name="Steers &gt;3 years" dataDxfId="330" dataCellStyle="Content normal">
      <calculatedColumnFormula>K351</calculatedColumnFormula>
    </tableColumn>
    <tableColumn id="12" xr3:uid="{9EB20D52-C32C-4339-84A7-6652A38F7F14}" name="State abbreviation" dataDxfId="329" dataCellStyle="Content normal">
      <calculatedColumnFormula>L351</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5E9F9AE-0D5E-46B3-B57D-1247699418AB}"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25118FC-B827-4383-87E7-F6313240E289}"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8AF0AFE8-71A0-45DB-85A0-B4EFE4A2EC1E}" name="Region" dataDxfId="32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E773EC5-49F5-4037-A12A-E54C62D7E190}" name="Pasture range and paddock" dataDxfId="32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87D4FCB3-65D4-4C59-A63D-E85889AEFE78}" name="Uncovered Anaerobic lagoon" dataDxfId="32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8D51E9A-9E74-4090-9932-484B80443AB1}" name="Table_SourceData_PastureBeef_MethaneConversionFactor" displayName="Table_SourceData_PastureBeef_MethaneConversionFactor" ref="D400:G415" totalsRowShown="0" dataDxfId="32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4F6F0918-6436-46A9-9C1D-7B3B50FBB655}" name="State" dataDxfId="32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5D24CFD-405E-4C56-8F8E-394D499948CE}" name="Region" dataDxfId="32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144C1CDC-177F-41F4-B446-B12DFB752C14}" name="Pasture range and paddock" dataDxfId="32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A8818B8-D25B-4C62-9EAD-4CC4E2622652}" name="Uncovered Anaerobic lagoon" dataDxfId="32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CCA816-670E-4C84-B0EC-11080A0ED641}"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D133A321-33F4-451F-8608-C0825E636A87}"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51F23A70-E90A-444D-8249-62F20E5EFE26}" name="Season" dataDxfId="32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3E725434-7F1A-41FF-9C28-1ED8B7C8BB15}" name="Feed adjustment" dataDxfId="31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8E361CCF-A6DD-4859-A627-1668246CD5FD}" name="Milk intake/production" dataDxfId="31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C02BB7F-5D09-48B8-8D8E-D2262B7D3DDF}"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8952975-9A56-4AB1-BAF4-7099F59D15AB}" name="Crop type">
      <calculatedColumnFormula array="1">Common_InputFunctions.Utility_DisplayArrayInTable(Agresidue_SourceData.CropAttributes_Data(),Table_SourceData_CropAttributes[[#Headers],[Crop type]], -1)</calculatedColumnFormula>
    </tableColumn>
    <tableColumn id="2" xr3:uid="{25EA7E80-6AC4-4C0D-A718-EE994F2C17A6}" name="Residue: Crop ratio">
      <calculatedColumnFormula array="1">Common_InputFunctions.Utility_DisplayArrayInTable(Agresidue_SourceData.CropAttributes_Data(),Table_SourceData_CropAttributes[[#Headers],[Crop type]], -1)</calculatedColumnFormula>
    </tableColumn>
    <tableColumn id="3" xr3:uid="{87501679-D30D-47FE-96D2-668C9992D597}" name="Below-ground: above-ground residue ratio">
      <calculatedColumnFormula array="1">Common_InputFunctions.Utility_DisplayArrayInTable(Agresidue_SourceData.CropAttributes_Data(),Table_SourceData_CropAttributes[[#Headers],[Crop type]], -1)</calculatedColumnFormula>
    </tableColumn>
    <tableColumn id="4" xr3:uid="{1E0E6653-5693-4BD7-B901-4B6132F51B7D}" name="Dry matter content">
      <calculatedColumnFormula array="1">Common_InputFunctions.Utility_DisplayArrayInTable(Agresidue_SourceData.CropAttributes_Data(),Table_SourceData_CropAttributes[[#Headers],[Crop type]], -1)</calculatedColumnFormula>
    </tableColumn>
    <tableColumn id="5" xr3:uid="{BA44399C-231B-48A3-BA39-642951EC4855}" name="Carbon fraction in dry matter">
      <calculatedColumnFormula array="1">Common_InputFunctions.Utility_DisplayArrayInTable(Agresidue_SourceData.CropAttributes_Data(),Table_SourceData_CropAttributes[[#Headers],[Crop type]], -1)</calculatedColumnFormula>
    </tableColumn>
    <tableColumn id="6" xr3:uid="{403989DC-EF76-427A-B074-3047278B3068}" name="N content above-ground">
      <calculatedColumnFormula array="1">Common_InputFunctions.Utility_DisplayArrayInTable(Agresidue_SourceData.CropAttributes_Data(),Table_SourceData_CropAttributes[[#Headers],[Crop type]], -1)</calculatedColumnFormula>
    </tableColumn>
    <tableColumn id="7" xr3:uid="{760C0AAF-3C2B-41EB-97BF-E1986F02DE4F}" name="N content below-ground">
      <calculatedColumnFormula array="1">Common_InputFunctions.Utility_DisplayArrayInTable(Agresidue_SourceData.CropAttributes_Data(),Table_SourceData_CropAttributes[[#Headers],[Crop type]], -1)</calculatedColumnFormula>
    </tableColumn>
    <tableColumn id="8" xr3:uid="{B5937CE3-F9F7-485F-BE42-EC3BB7A96263}"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B74CB00A-B180-49B2-A2C5-D1B43F412C6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86A3E35F-EE05-4235-984E-12292E3F4425}" name="Table76" displayName="Table76" ref="D73:F89" totalsRowShown="0">
  <autoFilter ref="D73:F89" xr:uid="{7CD0B032-9881-4EF1-81E3-483C7C16D9D0}">
    <filterColumn colId="0" hiddenButton="1"/>
    <filterColumn colId="1" hiddenButton="1"/>
    <filterColumn colId="2" hiddenButton="1"/>
  </autoFilter>
  <tableColumns count="3">
    <tableColumn id="1" xr3:uid="{1CD21733-73F7-431B-AB6D-EC71E941F189}" name="Crop type c">
      <calculatedColumnFormula array="1">Common_InputFunctions.Utility_DisplayArrayInTable(Agresidue_SourceData.CropFractionRemoved_Data(), Table76[[#Headers],[Crop type c]], 0)</calculatedColumnFormula>
    </tableColumn>
    <tableColumn id="2" xr3:uid="{476F510E-B67E-4B54-871B-36CC1C9A95F1}" name="State" dataDxfId="52">
      <calculatedColumnFormula array="1">Common_InputFunctions.Utility_DisplayArrayInTable(Agresidue_SourceData.CropFractionRemoved_Data(), Table76[[#Headers],[Crop type c]], 0)</calculatedColumnFormula>
    </tableColumn>
    <tableColumn id="3" xr3:uid="{DC152BA7-08A6-4CD3-B6A4-B5D15785BDC2}" name="Fraction removed" dataDxfId="5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184BCEB-412D-4A77-95C3-674A6B42CBBD}" name="Table77" displayName="Table77" ref="D92:F235" totalsRowShown="0">
  <autoFilter ref="D92:F235" xr:uid="{1FA7CC86-1C1E-41FA-9AA1-AAD48AA2EEF0}">
    <filterColumn colId="0" hiddenButton="1"/>
    <filterColumn colId="1" hiddenButton="1"/>
    <filterColumn colId="2" hiddenButton="1"/>
  </autoFilter>
  <tableColumns count="3">
    <tableColumn id="1" xr3:uid="{2FFB7A03-5856-4B04-AE4E-CD1C5BEFE92C}" name="Crop type c">
      <calculatedColumnFormula array="1">Common_InputFunctions.Utility_DisplayArrayInTable(Agresidue_SourceData.CropFractionRemoved_CustomisedData(), Table77[[#Headers],[Crop type c]], 0)</calculatedColumnFormula>
    </tableColumn>
    <tableColumn id="2" xr3:uid="{5CF74CE1-DA83-46D4-B7F3-BEFEA89D7D59}" name="State" dataDxfId="50">
      <calculatedColumnFormula array="1">Common_InputFunctions.Utility_DisplayArrayInTable(Agresidue_SourceData.CropFractionRemoved_CustomisedData(), Table77[[#Headers],[Crop type c]], 0)</calculatedColumnFormula>
    </tableColumn>
    <tableColumn id="3" xr3:uid="{1CD46D09-FD35-4355-9F16-948DD96A6E9C}" name="Fraction removed" dataDxfId="4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609FE4D2-316C-4762-BE29-CC527D7E8A38}" name="Table_SourceData_N2OEFOrganicFert" displayName="Table_SourceData_N2OEFOrganicFert" ref="D43:E45" totalsRowShown="0" dataDxfId="48" dataCellStyle="Content bold">
  <autoFilter ref="D43:E45" xr:uid="{2270AB6D-D03A-4D71-95C0-00BA6BB02732}">
    <filterColumn colId="0" hiddenButton="1"/>
    <filterColumn colId="1" hiddenButton="1"/>
  </autoFilter>
  <tableColumns count="2">
    <tableColumn id="1" xr3:uid="{D9F616A8-C9B8-483F-B7BB-01ACD08B2848}" name="Climate zone type i" dataDxfId="47" dataCellStyle="Content bold">
      <calculatedColumnFormula array="1">Common_InputFunctions.Utility_DisplayArrayInTable(Agresidue_SourceData.N2OEFOrganicFertiliser_Data(), Table_SourceData_N2OEFOrganicFert[[#Headers],[Climate zone type i]], 0)</calculatedColumnFormula>
    </tableColumn>
    <tableColumn id="2" xr3:uid="{46D24ABC-21AA-44BF-B81B-E7A5CE750E9B}" name="EF i N2O" dataDxfId="4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C09E9E2-86A9-4877-91DE-5184FEC0F805}" name="Table_SourceData_PastureAttributes" displayName="Table_SourceData_PastureAttributes" ref="D51:I56" totalsRowShown="0" dataDxfId="4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55BB6500-E8D2-4661-9725-BD924BF4ED9D}" name="Pasture type" dataDxfId="44" dataCellStyle="Content normal">
      <calculatedColumnFormula array="1">Common_InputFunctions.Utility_DisplayArrayInTable(Agresidue_SourceData.PastureAttributes_Data(), Table_SourceData_PastureAttributes[[#Headers],[Pasture type]], 0)</calculatedColumnFormula>
    </tableColumn>
    <tableColumn id="2" xr3:uid="{4B887CA3-6F99-4C58-8D2D-FFD91DDF53E3}" name="Average Yield (t DM ha) Yp" dataDxfId="43" dataCellStyle="Content normal">
      <calculatedColumnFormula array="1">Common_InputFunctions.Utility_DisplayArrayInTable(Agresidue_SourceData.PastureAttributes_Data(), Table_SourceData_PastureAttributes[[#Headers],[Pasture type]], 0)</calculatedColumnFormula>
    </tableColumn>
    <tableColumn id="3" xr3:uid="{22DAF456-BD6C-4C1A-B20C-B1B638A79FFC}" name="Below-ground: above-ground residue ratio RBGp" dataDxfId="42" dataCellStyle="Content normal">
      <calculatedColumnFormula array="1">Common_InputFunctions.Utility_DisplayArrayInTable(Agresidue_SourceData.PastureAttributes_Data(), Table_SourceData_PastureAttributes[[#Headers],[Pasture type]], 0)</calculatedColumnFormula>
    </tableColumn>
    <tableColumn id="4" xr3:uid="{E4DAC684-AE3A-4346-BEC4-AC573FDBF932}" name="N content Above-ground NCAGp" dataDxfId="41" dataCellStyle="Content normal">
      <calculatedColumnFormula array="1">Common_InputFunctions.Utility_DisplayArrayInTable(Agresidue_SourceData.PastureAttributes_Data(), Table_SourceData_PastureAttributes[[#Headers],[Pasture type]], 0)</calculatedColumnFormula>
    </tableColumn>
    <tableColumn id="5" xr3:uid="{A529F1F5-7742-43ED-9F4E-ABFFBEE07859}" name="N content Below-ground NCBGp" dataDxfId="40" dataCellStyle="Content normal">
      <calculatedColumnFormula array="1">Common_InputFunctions.Utility_DisplayArrayInTable(Agresidue_SourceData.PastureAttributes_Data(), Table_SourceData_PastureAttributes[[#Headers],[Pasture type]], 0)</calculatedColumnFormula>
    </tableColumn>
    <tableColumn id="6" xr3:uid="{20162009-D45F-4B0D-BFBD-E791B00188AB}" name="Fraction of pasture yield that is removed FFODp" dataDxfId="3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C8F7D39-B352-4FEF-96BE-939D59C4A033}"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4FCD6CF8-5EBA-4185-A327-720A54D1EC26}" name="Gas species">
      <calculatedColumnFormula array="1">Common_InputFunctions.Utility_DisplayArrayInTable(AgResidues_SourceData.BurningOfAgriculturalResiduesEFs_Data(), Table_SourceData_BurningResidueEFs[[#Headers],[Gas species]], 0)</calculatedColumnFormula>
    </tableColumn>
    <tableColumn id="2" xr3:uid="{8A6E3FC4-4480-4778-9F2C-635190BB63EC}" name="Emission factor EFg (Gg element in species/ Gg element in fuel burnt)" dataDxfId="38" dataCellStyle="Content normal">
      <calculatedColumnFormula array="1">Common_InputFunctions.Utility_DisplayArrayInTable(AgResidues_SourceData.BurningOfAgriculturalResiduesEFs_Data(), Table_SourceData_BurningResidueEFs[[#Headers],[Gas species]], 0)</calculatedColumnFormula>
    </tableColumn>
    <tableColumn id="3" xr3:uid="{C947C9BC-944E-48E1-8BFB-670C0C887F6E}" name="Elemental to molecular mass conversion factor (Cg)" dataDxfId="3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3507B4-D124-48B2-B15B-A8ED312DDD6F}" name="Table_SourceData_CropPurposeAndYields" displayName="Table_SourceData_CropPurposeAndYields" ref="D7:K10" totalsRowShown="0" headerRowDxfId="3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D86CA0B-E94F-4E7C-9487-C13596A1A823}" name="Purpose">
      <calculatedColumnFormula array="1">Common_InputFunctions.Utility_DisplayArrayInTable(Agresidue_SourceData.CropPurposeAndYield_Data(), Table_SourceData_CropPurposeAndYields[[#Headers],[Purpose]], 0)</calculatedColumnFormula>
    </tableColumn>
    <tableColumn id="2" xr3:uid="{60FFE5C6-C04A-4F36-9E91-AAB0B42422D3}" name="Per hectare unit">
      <calculatedColumnFormula array="1">Common_InputFunctions.Utility_DisplayArrayInTable(Agresidue_SourceData.CropPurposeAndYield_Data(), Table_SourceData_CropPurposeAndYields[[#Headers],[Purpose]], 0)</calculatedColumnFormula>
    </tableColumn>
    <tableColumn id="3" xr3:uid="{106B0BCE-E235-48A6-B33A-12131013390A}" name="harvest term">
      <calculatedColumnFormula array="1">Common_InputFunctions.Utility_DisplayArrayInTable(Agresidue_SourceData.CropPurposeAndYield_Data(), Table_SourceData_CropPurposeAndYields[[#Headers],[Purpose]], 0)</calculatedColumnFormula>
    </tableColumn>
    <tableColumn id="4" xr3:uid="{219A45D8-BCCD-4D14-826F-941F346EF89D}" name="harvest endpoint">
      <calculatedColumnFormula array="1">Common_InputFunctions.Utility_DisplayArrayInTable(Agresidue_SourceData.CropPurposeAndYield_Data(), Table_SourceData_CropPurposeAndYields[[#Headers],[Purpose]], 0)</calculatedColumnFormula>
    </tableColumn>
    <tableColumn id="5" xr3:uid="{AE5DF0AB-FF36-428E-95B8-C97BE657521B}" name="Harvest uit">
      <calculatedColumnFormula array="1">Common_InputFunctions.Utility_DisplayArrayInTable(Agresidue_SourceData.CropPurposeAndYield_Data(), Table_SourceData_CropPurposeAndYields[[#Headers],[Purpose]], 0)</calculatedColumnFormula>
    </tableColumn>
    <tableColumn id="6" xr3:uid="{63D6CDFD-97B8-4937-AEE8-D8D55FFE3A8D}" name="Yield note">
      <calculatedColumnFormula array="1">Common_InputFunctions.Utility_DisplayArrayInTable(Agresidue_SourceData.CropPurposeAndYield_Data(), Table_SourceData_CropPurposeAndYields[[#Headers],[Purpose]], 0)</calculatedColumnFormula>
    </tableColumn>
    <tableColumn id="8" xr3:uid="{E2B0E33C-B2FB-4C9E-9F6A-27D3BD899DAB}" name="Residue crop ratio note">
      <calculatedColumnFormula array="1">Common_InputFunctions.Utility_DisplayArrayInTable(Agresidue_SourceData.CropPurposeAndYield_Data(), Table_SourceData_CropPurposeAndYields[[#Headers],[Purpose]], 0)</calculatedColumnFormula>
    </tableColumn>
    <tableColumn id="9" xr3:uid="{A5E87A06-2109-4EE5-80C0-EF9B639E0AED}"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A8C18D4E-21DE-4747-8CD6-E4B9AD6FB9A5}" name="Table_SourceData_Fertiliser_IrrigationMethods60" displayName="Table_SourceData_Fertiliser_IrrigationMethods60" ref="N21:N26" totalsRowShown="0">
  <autoFilter ref="N21:N26" xr:uid="{1AC5909E-E06C-4A79-81E9-C25A0B6D9E90}">
    <filterColumn colId="0" hiddenButton="1"/>
  </autoFilter>
  <tableColumns count="1">
    <tableColumn id="1" xr3:uid="{A9A17A04-C1B5-4A6E-96E7-46D6A23A7B5E}" name="Irrigation metho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BFC3335D-D2AD-4E91-B7EA-63D0E08ED27C}"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E3880BF-BF85-4007-A328-DACF99CFF630}" name="Symbol">
      <calculatedColumnFormula array="1">Common_InputFunctions.Utility_DisplayArrayInTable(CommonLivestock_SourceData.SourceData_Livestock_Common_SymbolsMMS_Data(), Table_Data_MMSSymbols[[#Headers],[Symbol]], 0)</calculatedColumnFormula>
    </tableColumn>
    <tableColumn id="2" xr3:uid="{3800876C-99E0-4575-B1FF-81615D6F6333}" name="Manure management system">
      <calculatedColumnFormula array="1">Common_InputFunctions.Utility_DisplayArrayInTable(CommonLivestock_SourceData.SourceData_Livestock_Common_SymbolsMMS_Data(), Table_Data_MMSSymbols[[#Headers],[Symbol]], 0)</calculatedColumnFormula>
    </tableColumn>
    <tableColumn id="3" xr3:uid="{C882C60F-B867-43A3-BC37-80332AC49AE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76850BC-6430-4D07-9D2C-88469037E648}" name="Table_SourceData_ElectricityEFs" displayName="Table_SourceData_ElectricityEFs" ref="D9:F19" totalsRowShown="0" headerRowDxfId="129">
  <autoFilter ref="D9:F19" xr:uid="{3144A982-7A4D-4CF2-8790-1A30DAE3E0A4}">
    <filterColumn colId="0" hiddenButton="1"/>
    <filterColumn colId="1" hiddenButton="1"/>
    <filterColumn colId="2" hiddenButton="1"/>
  </autoFilter>
  <tableColumns count="3">
    <tableColumn id="1" xr3:uid="{12FB15AE-EFC8-49DA-B355-9D039F2CC2EF}"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5D211B63-719F-4D07-BFE8-DA602BECB7D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8EC8B36A-A8B8-4B60-85AC-D7EDF4A2410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C8C875-0D21-431F-8AC1-3E2C5EDB0F3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EF47ABA2-C9A3-4F09-8DDC-3AEFAF13ED54}"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CF415611-6B04-4A7E-8F6E-D0EB4F6BFE71}"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4B07114-1436-471E-B4EB-315F7F299F8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8031D155-9FA1-4380-97E8-D753197E895D}"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E359945-21EF-459D-A2CB-8B5F325ECA1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36C9958-14FC-47F5-8439-4EEC4044FC5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3954CC8E-1F93-42EE-BE6B-BB5147F0A16F}"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BA600D9-4DAF-42B6-AD11-789A7F6E93F0}" name="FNinorganic f">
      <calculatedColumnFormula array="1">Common_InputFunctions.Utility_DisplayArrayInTable(Fertiliser_SourceData.Fertiliser_ChemicalCompoundElements_Data(),Table_Fertiliser_ChemicalCompounds[[#Headers],[Fertiliser type f]], 0)</calculatedColumnFormula>
    </tableColumn>
    <tableColumn id="3" xr3:uid="{801E4D7A-0051-41CB-A2F4-3689119C6C7D}" name="FU f">
      <calculatedColumnFormula array="1">Common_InputFunctions.Utility_DisplayArrayInTable(Fertiliser_SourceData.Fertiliser_ChemicalCompoundElements_Data(),Table_Fertiliser_ChemicalCompounds[[#Headers],[Fertiliser type f]], 0)</calculatedColumnFormula>
    </tableColumn>
    <tableColumn id="4" xr3:uid="{BC5E395D-CEC4-4361-9F02-F12268739880}" name="Basis">
      <calculatedColumnFormula array="1">Common_InputFunctions.Utility_DisplayArrayInTable(Fertiliser_SourceData.Fertiliser_ChemicalCompoundElements_Data(),Table_Fertiliser_ChemicalCompounds[[#Headers],[Fertiliser type f]], 0)</calculatedColumnFormula>
    </tableColumn>
    <tableColumn id="5" xr3:uid="{BBD38005-C815-4F2E-BC7C-0AF5EDE98D9D}"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7DADFD34-1D90-4A4C-BB8A-C67B811A8363}"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E44181B-6825-462F-811E-E43A34B77A71}"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39D3214-C01D-4315-9D99-2A8AC0C120D9}" name="Include or Exclude" dataDxfId="204" totalsRowDxfId="205">
      <calculatedColumnFormula array="1">Common_InputFunctions.Utility_DisplayArrayInTable(Fertiliser_SourceData.Fertiliser_Products_Data1(),FertiliserProducts[[#Headers],[Include or Exclude]], -1)</calculatedColumnFormula>
    </tableColumn>
    <tableColumn id="2" xr3:uid="{136D1F2C-93C4-47FE-8E09-F01EB9ADC0E5}" name="Notes" dataDxfId="202" totalsRowDxfId="203">
      <calculatedColumnFormula array="1">Common_InputFunctions.Utility_DisplayArrayInTable(Fertiliser_SourceData.Fertiliser_Products_Data1(),FertiliserProducts[[#Headers],[Include or Exclude]], 0)</calculatedColumnFormula>
    </tableColumn>
    <tableColumn id="3" xr3:uid="{98C45765-3257-4254-B07B-2C07F42073FF}" name="Company" dataDxfId="200" totalsRowDxfId="201">
      <calculatedColumnFormula array="1">Common_InputFunctions.Utility_DisplayArrayInTable(Fertiliser_SourceData.Fertiliser_Products_Data1(),FertiliserProducts[[#Headers],[Include or Exclude]], 0)</calculatedColumnFormula>
    </tableColumn>
    <tableColumn id="4" xr3:uid="{4A559C6E-823A-43F0-99D2-FE9B94E4FC97}" name="Product name" dataDxfId="198" totalsRowDxfId="199">
      <calculatedColumnFormula array="1">Common_InputFunctions.Utility_DisplayArrayInTable(Fertiliser_SourceData.Fertiliser_Products_Data1(),FertiliserProducts[[#Headers],[Include or Exclude]], 0)</calculatedColumnFormula>
    </tableColumn>
    <tableColumn id="5" xr3:uid="{9EE33A48-9CA3-4B66-8727-D439ED8CD966}" name="Unit" dataDxfId="196" totalsRowDxfId="197">
      <calculatedColumnFormula array="1">Common_InputFunctions.Utility_DisplayArrayInTable(Fertiliser_SourceData.Fertiliser_Products_Data1(),FertiliserProducts[[#Headers],[Include or Exclude]], 0,4)</calculatedColumnFormula>
    </tableColumn>
    <tableColumn id="6" xr3:uid="{507E9808-A17B-4907-BA90-6B34886CA4AB}" name="Density / gravity" dataDxfId="194" totalsRowDxfId="195">
      <calculatedColumnFormula array="1">Common_InputFunctions.Utility_DisplayArrayInTable(Fertiliser_SourceData.Fertiliser_Products_Data1(),FertiliserProducts[[#Headers],[Include or Exclude]], 0,4)</calculatedColumnFormula>
    </tableColumn>
    <tableColumn id="7" xr3:uid="{339E4810-52A2-4A50-8B00-BCA185374D7D}" name="Urea source" dataDxfId="192" totalsRowDxfId="193">
      <calculatedColumnFormula array="1">Common_InputFunctions.Utility_DisplayArrayInTable(Fertiliser_SourceData.Fertiliser_Products_Data1(),FertiliserProducts[[#Headers],[Include or Exclude]], 0,4)</calculatedColumnFormula>
    </tableColumn>
    <tableColumn id="8" xr3:uid="{C8AA65B6-60D5-4D5C-B029-112B4CF07A98}" name="Ammonia source" dataDxfId="190" totalsRowDxfId="191">
      <calculatedColumnFormula array="1">Common_InputFunctions.Utility_DisplayArrayInTable(Fertiliser_SourceData.Fertiliser_Products_Data1(),FertiliserProducts[[#Headers],[Include or Exclude]], 0,4)</calculatedColumnFormula>
    </tableColumn>
    <tableColumn id="9" xr3:uid="{59CAF8A2-23E6-43D2-9D8D-55C64CD174E9}" name="Ingredient 1" dataDxfId="188" totalsRowDxfId="189">
      <calculatedColumnFormula array="1">Common_InputFunctions.Utility_DisplayArrayInTable(Fertiliser_SourceData.Fertiliser_Products_Data1(),FertiliserProducts[[#Headers],[Include or Exclude]], 0,4)</calculatedColumnFormula>
    </tableColumn>
    <tableColumn id="10" xr3:uid="{C03C6CD5-64F4-4FCF-9BE9-98F279835D24}" name="Ingredient 1 percent" dataDxfId="186" totalsRowDxfId="187">
      <calculatedColumnFormula array="1">Common_InputFunctions.Utility_DisplayArrayInTable(Fertiliser_SourceData.Fertiliser_Products_Data1(),FertiliserProducts[[#Headers],[Include or Exclude]], 0,4)</calculatedColumnFormula>
    </tableColumn>
    <tableColumn id="11" xr3:uid="{47A42A52-9A31-4252-8E59-9453A66ABDB9}" name="Ingredient 2" dataDxfId="184" totalsRowDxfId="185">
      <calculatedColumnFormula array="1">Common_InputFunctions.Utility_DisplayArrayInTable(Fertiliser_SourceData.Fertiliser_Products_Data1(),FertiliserProducts[[#Headers],[Include or Exclude]], 0,4)</calculatedColumnFormula>
    </tableColumn>
    <tableColumn id="12" xr3:uid="{ED41006F-5307-4E86-9E4A-04F1095BF589}" name="Ingredient 2 percent" dataDxfId="182" totalsRowDxfId="183">
      <calculatedColumnFormula array="1">Common_InputFunctions.Utility_DisplayArrayInTable(Fertiliser_SourceData.Fertiliser_Products_Data1(),FertiliserProducts[[#Headers],[Include or Exclude]], 0,4)</calculatedColumnFormula>
    </tableColumn>
    <tableColumn id="13" xr3:uid="{B794968E-2CB2-4F19-8FC5-6CD131230B25}" name="Ingredient 3" dataDxfId="180" totalsRowDxfId="181">
      <calculatedColumnFormula array="1">Common_InputFunctions.Utility_DisplayArrayInTable(Fertiliser_SourceData.Fertiliser_Products_Data1(),FertiliserProducts[[#Headers],[Include or Exclude]], 0,4)</calculatedColumnFormula>
    </tableColumn>
    <tableColumn id="14" xr3:uid="{8A65EC4B-FD03-4CED-AF41-AD72FD48B601}" name="Ingredient 3 percent" dataDxfId="178" totalsRowDxfId="179">
      <calculatedColumnFormula array="1">Common_InputFunctions.Utility_DisplayArrayInTable(Fertiliser_SourceData.Fertiliser_Products_Data1(),FertiliserProducts[[#Headers],[Include or Exclude]], 0,4)</calculatedColumnFormula>
    </tableColumn>
    <tableColumn id="15" xr3:uid="{E2FE2441-E5D9-409C-B530-1E95724D9F33}" name="Ingredient 4" dataDxfId="176" totalsRowDxfId="177">
      <calculatedColumnFormula array="1">Common_InputFunctions.Utility_DisplayArrayInTable(Fertiliser_SourceData.Fertiliser_Products_Data1(),FertiliserProducts[[#Headers],[Include or Exclude]], 0,4)</calculatedColumnFormula>
    </tableColumn>
    <tableColumn id="16" xr3:uid="{6E99B0F8-ED74-4876-B94D-9C20DC151B59}" name="Ingredient 4 percent" dataDxfId="174" totalsRowDxfId="175">
      <calculatedColumnFormula array="1">Common_InputFunctions.Utility_DisplayArrayInTable(Fertiliser_SourceData.Fertiliser_Products_Data1(),FertiliserProducts[[#Headers],[Include or Exclude]], 0,4)</calculatedColumnFormula>
    </tableColumn>
    <tableColumn id="17" xr3:uid="{C0C39732-76DE-4FC1-A392-E5EE4A40839A}" name="Ingredient 5" dataDxfId="172" totalsRowDxfId="173">
      <calculatedColumnFormula array="1">Common_InputFunctions.Utility_DisplayArrayInTable(Fertiliser_SourceData.Fertiliser_Products_Data1(),FertiliserProducts[[#Headers],[Include or Exclude]], 0,4)</calculatedColumnFormula>
    </tableColumn>
    <tableColumn id="18" xr3:uid="{1EF803AC-C99F-42F9-8822-32B81834CD02}" name="Ingredient 5 percent" dataDxfId="170" totalsRowDxfId="171">
      <calculatedColumnFormula array="1">Common_InputFunctions.Utility_DisplayArrayInTable(Fertiliser_SourceData.Fertiliser_Products_Data1(),FertiliserProducts[[#Headers],[Include or Exclude]], 0,4)</calculatedColumnFormula>
    </tableColumn>
    <tableColumn id="19" xr3:uid="{3E97E2B6-9F9D-46A0-9179-161876DABA5B}" name="Ingredient 6" dataDxfId="168" totalsRowDxfId="169">
      <calculatedColumnFormula array="1">Common_InputFunctions.Utility_DisplayArrayInTable(Fertiliser_SourceData.Fertiliser_Products_Data1(),FertiliserProducts[[#Headers],[Include or Exclude]], 0,4)</calculatedColumnFormula>
    </tableColumn>
    <tableColumn id="37" xr3:uid="{A5B6F070-1560-4548-81D2-279390CC9F10}" name="Ingredient 6 percent" dataDxfId="166" totalsRowDxfId="167">
      <calculatedColumnFormula array="1">Common_InputFunctions.Utility_DisplayArrayInTable(Fertiliser_SourceData.Fertiliser_Products_Data1(),FertiliserProducts[[#Headers],[Include or Exclude]], 0,4)</calculatedColumnFormula>
    </tableColumn>
    <tableColumn id="20" xr3:uid="{A0E86E5B-26A8-4201-BCE8-B5B857DAD420}" name="Ingredient 7" dataDxfId="165">
      <calculatedColumnFormula array="1">Common_InputFunctions.Utility_DisplayArrayInTable(Fertiliser_SourceData.Fertiliser_Products_Data1(),FertiliserProducts[[#Headers],[Include or Exclude]], 0,4)</calculatedColumnFormula>
    </tableColumn>
    <tableColumn id="24" xr3:uid="{88A76032-2D7F-4467-AA37-BE422FC673EF}" name="Ingredient 7 percent" dataDxfId="164">
      <calculatedColumnFormula array="1">Common_InputFunctions.Utility_DisplayArrayInTable(Fertiliser_SourceData.Fertiliser_Products_Data1(),FertiliserProducts[[#Headers],[Include or Exclude]], 0,4)</calculatedColumnFormula>
    </tableColumn>
    <tableColumn id="23" xr3:uid="{5310752E-C33D-40E5-8644-6122D83CE777}" name="Ingredient 8" dataDxfId="163">
      <calculatedColumnFormula array="1">Common_InputFunctions.Utility_DisplayArrayInTable(Fertiliser_SourceData.Fertiliser_Products_Data1(),FertiliserProducts[[#Headers],[Include or Exclude]], 0,4)</calculatedColumnFormula>
    </tableColumn>
    <tableColumn id="26" xr3:uid="{C7FA8F8A-577F-4FF2-B59E-FE7B2D4A0BCA}" name="Ingredient 8 percent" dataDxfId="162">
      <calculatedColumnFormula array="1">Common_InputFunctions.Utility_DisplayArrayInTable(Fertiliser_SourceData.Fertiliser_Products_Data1(),FertiliserProducts[[#Headers],[Include or Exclude]], 0,4)</calculatedColumnFormula>
    </tableColumn>
    <tableColumn id="25" xr3:uid="{4A4BB57F-FF45-45A2-8293-A77A32DC894B}" name="Ingredient 9" dataDxfId="161">
      <calculatedColumnFormula array="1">Common_InputFunctions.Utility_DisplayArrayInTable(Fertiliser_SourceData.Fertiliser_Products_Data1(),FertiliserProducts[[#Headers],[Include or Exclude]], 0,4)</calculatedColumnFormula>
    </tableColumn>
    <tableColumn id="30" xr3:uid="{B4BCB53D-0EA0-41F1-809E-EEAF378501AA}" name="Ingredient 9 percent" dataDxfId="160">
      <calculatedColumnFormula array="1">Common_InputFunctions.Utility_DisplayArrayInTable(Fertiliser_SourceData.Fertiliser_Products_Data1(),FertiliserProducts[[#Headers],[Include or Exclude]], 0,4)</calculatedColumnFormula>
    </tableColumn>
    <tableColumn id="29" xr3:uid="{82A63057-E5FB-48F8-A181-20A314C029BC}" name="Imngredient 10" dataDxfId="159">
      <calculatedColumnFormula array="1">Common_InputFunctions.Utility_DisplayArrayInTable(Fertiliser_SourceData.Fertiliser_Products_Data1(),FertiliserProducts[[#Headers],[Include or Exclude]], 0,4)</calculatedColumnFormula>
    </tableColumn>
    <tableColumn id="28" xr3:uid="{716A3248-F18F-4E32-8E3B-737117C94C63}" name="Ingredient 10 percent" dataDxfId="158">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4919DA1-9CFC-4BCF-A743-32CE806161B9}"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F17FD74F-B091-41AA-8CD4-6CD82AEA0D7E}" name="Fertiliser type f">
      <calculatedColumnFormula array="1">Common_InputFunctions.Utility_DisplayArrayInTable(Fertiliser_SourceData.Fertiliser_FracGASF_Data(), Table_SourceData_Fertiliser_FracGASF[[#Headers],[Fertiliser type f]], 0)</calculatedColumnFormula>
    </tableColumn>
    <tableColumn id="2" xr3:uid="{967418E2-D8ED-4AF6-A734-0FBEC5946BBE}" name="FracGASF f" dataDxfId="15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2A9E75B-36D1-41FC-B522-0BA38CDB5F7E}" name="Table_SourceData_Fertiliser_CropProdSystems" displayName="Table_SourceData_Fertiliser_CropProdSystems" ref="D41:D43" totalsRowShown="0">
  <autoFilter ref="D41:D43" xr:uid="{24F3A11E-40F5-4BB9-BFF4-A71FA2ADA0EF}">
    <filterColumn colId="0" hiddenButton="1"/>
  </autoFilter>
  <tableColumns count="1">
    <tableColumn id="1" xr3:uid="{D12E0ABA-FA96-4D8E-B041-8D988EB53C41}" name="Production system">
      <calculatedColumnFormula>#REF!</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B595A55-E4B7-4397-8C31-B9E014AF2599}"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4F2AC290-0F31-4ADA-93A3-08CB907EC3A0}" name="Irrigation method"/>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D8CFEFB-7F8E-4EA4-88BB-0D673D457741}" name="Table_SourceData_Fertiliser_CropTypes" displayName="Table_SourceData_Fertiliser_CropTypes" ref="F41:F45" totalsRowShown="0">
  <autoFilter ref="F41:F45" xr:uid="{CB5044B5-FA3C-4AA2-B1AB-72F7E61D072F}">
    <filterColumn colId="0" hiddenButton="1"/>
  </autoFilter>
  <tableColumns count="1">
    <tableColumn id="1" xr3:uid="{5609F97A-AA73-4C9B-AB63-A7D2C71A364A}" name="Production system"/>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9B74C54-67E3-4639-834B-CFDFA4D0253B}" name="Table_SourceData_OrganicFertiliserTypes" displayName="Table_SourceData_OrganicFertiliserTypes" ref="J41:J46" totalsRowShown="0">
  <autoFilter ref="J41:J46" xr:uid="{B44627B1-537E-4ABC-92C3-57282CEE5B40}">
    <filterColumn colId="0" hiddenButton="1"/>
  </autoFilter>
  <tableColumns count="1">
    <tableColumn id="1" xr3:uid="{87293423-1C23-4E47-BB09-609274FD971E}" name="Organic fertiliser type"/>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AECE06-A6DB-49B4-8E69-015CFB14DA1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0117C30E-FE19-45D7-89F1-3FD456D09EE8}" name="Element">
      <calculatedColumnFormula array="1">Common_InputFunctions.Utility_DisplayArrayInTable(Fertiliser_SourceData.Fertiliser_LimeDolomiteGypsumConstants_Data(), Table_SourceData_Fertiliser_LimeDolomiteConstants[[#Headers],[Element]], 0)</calculatedColumnFormula>
    </tableColumn>
    <tableColumn id="2" xr3:uid="{FEF73695-D86B-4797-B70B-8CFA31101417}" name="P" dataDxfId="15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EAC2A7EB-9217-43EF-A58A-2E424D15C600}" name="EF" dataDxfId="15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82118B1-F4CD-424B-B22E-FE28FC13B1E0}" name="Table2" displayName="Table2" ref="K19:L28" totalsRowShown="0" dataDxfId="154" dataCellStyle="Content normal">
  <autoFilter ref="K19:L28" xr:uid="{27B93029-EB1F-4C4A-A946-CD673A8A6C46}">
    <filterColumn colId="0" hiddenButton="1"/>
    <filterColumn colId="1" hiddenButton="1"/>
  </autoFilter>
  <tableColumns count="2">
    <tableColumn id="1" xr3:uid="{56EB8881-8B5A-470D-AA2F-A1B1F44D295E}" name="Fertiliser type f" dataDxfId="153" dataCellStyle="Content normal">
      <calculatedColumnFormula array="1">Common_InputFunctions.Utility_DisplayArrayInTable(Fertiliser_SourceData.Fertiliser_FractionNCommonFertilisers_Data(), Table2[[#Headers],[Fertiliser type f]], 0)</calculatedColumnFormula>
    </tableColumn>
    <tableColumn id="2" xr3:uid="{23972269-EE51-4E27-AA45-34DC8467BBC6}" name="FNinorganic f" dataDxfId="15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FF560C8-1375-4848-9F9D-B5DCFC66EDD2}" name="Table28" displayName="Table28" ref="Q19:R28" totalsRowShown="0" dataDxfId="151" dataCellStyle="Content normal">
  <autoFilter ref="Q19:R28" xr:uid="{791CEA59-796C-47AB-86BC-41E8F699030C}">
    <filterColumn colId="0" hiddenButton="1"/>
    <filterColumn colId="1" hiddenButton="1"/>
  </autoFilter>
  <tableColumns count="2">
    <tableColumn id="1" xr3:uid="{90BF23CC-C231-43E3-AD65-86F921593C36}" name="Fertiliser type f" dataDxfId="150" dataCellStyle="Content normal">
      <calculatedColumnFormula array="1">Common_InputFunctions.Utility_DisplayArrayInTable(Fertiliser_SourceData.Fertiliser_FractionUreaCommonFertilisers_Data(), Table28[[#Headers],[Fertiliser type f]], 0)</calculatedColumnFormula>
    </tableColumn>
    <tableColumn id="2" xr3:uid="{78748844-1349-48EC-90BC-0661418BD8B3}" name="FNinorganic f" dataDxfId="14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2DCE3F-0DE5-4B87-8BC5-F3D4B33966BE}"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7F02539C-D741-48B9-A6DE-57D0C9DFA65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80E71CE7-F8E6-4E07-8914-8E3955B4C152}" name="Table_Fuel_EFs_StationaryLiquid" displayName="Table_Fuel_EFs_StationaryLiquid" ref="D53:K77" totalsRowShown="0" headerRowDxfId="103" dataDxfId="10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C384387-AECC-40E0-93A9-A097868EC49C}" name="Fuel combusted" dataDxfId="101">
      <calculatedColumnFormula array="1">Common_InputFunctions.Utility_DisplayArrayInTable(Fuel_SourceData.Fuel_Scope1Scope3EmissionFactorsStationaryLiquid_Data(), Table_Fuel_EFs_StationaryLiquid[[#Headers],[Fuel combusted]],0)</calculatedColumnFormula>
    </tableColumn>
    <tableColumn id="2" xr3:uid="{B52EBD5C-D6FC-4C5D-BD46-30E04B439B9D}" name="Energy Content Factor (GJ per unit of fuel)" dataDxfId="100">
      <calculatedColumnFormula array="1">Common_InputFunctions.Utility_DisplayArrayInTable(Fuel_SourceData.Fuel_Scope1Scope3EmissionFactorsStationaryLiquid_Data(), Table_Fuel_EFs_StationaryLiquid[[#Headers],[Fuel combusted]],0)</calculatedColumnFormula>
    </tableColumn>
    <tableColumn id="3" xr3:uid="{8894EB2B-124D-497B-AEC6-10A81DF18D4E}" name="Fuel unit" dataDxfId="99">
      <calculatedColumnFormula array="1">Common_InputFunctions.Utility_DisplayArrayInTable(Fuel_SourceData.Fuel_Scope1Scope3EmissionFactorsStationaryLiquid_Data(), Table_Fuel_EFs_StationaryLiquid[[#Headers],[Fuel combusted]],0)</calculatedColumnFormula>
    </tableColumn>
    <tableColumn id="4" xr3:uid="{E6626C91-909E-4644-97ED-159E3CD00C9E}" name="Scope 1 Emission Factor (kg CO2 - e / GJ) CO2" dataDxfId="98">
      <calculatedColumnFormula array="1">Common_InputFunctions.Utility_DisplayArrayInTable(Fuel_SourceData.Fuel_Scope1Scope3EmissionFactorsStationaryLiquid_Data(), Table_Fuel_EFs_StationaryLiquid[[#Headers],[Fuel combusted]],0)</calculatedColumnFormula>
    </tableColumn>
    <tableColumn id="5" xr3:uid="{96CE3060-7591-49F5-9E32-1700562F61C0}" name="Scope 1 Emission Factor (kg CO2 - e / GJ) CH4" dataDxfId="97">
      <calculatedColumnFormula array="1">Common_InputFunctions.Utility_DisplayArrayInTable(Fuel_SourceData.Fuel_Scope1Scope3EmissionFactorsStationaryLiquid_Data(), Table_Fuel_EFs_StationaryLiquid[[#Headers],[Fuel combusted]],0)</calculatedColumnFormula>
    </tableColumn>
    <tableColumn id="6" xr3:uid="{4266BFE2-81DC-4E52-B72A-595D5422DC21}" name="Scope 1 Emission Factor (kg CO2 - e / GJ) N2O" dataDxfId="96">
      <calculatedColumnFormula array="1">Common_InputFunctions.Utility_DisplayArrayInTable(Fuel_SourceData.Fuel_Scope1Scope3EmissionFactorsStationaryLiquid_Data(), Table_Fuel_EFs_StationaryLiquid[[#Headers],[Fuel combusted]],0)</calculatedColumnFormula>
    </tableColumn>
    <tableColumn id="7" xr3:uid="{2D86C459-0BA0-437F-AD05-C23DF258165A}" name="Scope 1 Emission Factor (kg CO2 - e / GJ) Combined gases" dataDxfId="95">
      <calculatedColumnFormula array="1">Common_InputFunctions.Utility_DisplayArrayInTable(Fuel_SourceData.Fuel_Scope1Scope3EmissionFactorsStationaryLiquid_Data(), Table_Fuel_EFs_StationaryLiquid[[#Headers],[Fuel combusted]],0)</calculatedColumnFormula>
    </tableColumn>
    <tableColumn id="8" xr3:uid="{C49C17B1-63EB-4AC2-B051-37052104D4EB}" name="Scope 3 Emission Factor (kg CO2 - e / GJ)" dataDxfId="9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EEFFCAC-F5F1-489E-8986-1FD250B414B1}" name="Table_Fuel_EFs_Transport" displayName="Table_Fuel_EFs_Transport" ref="D9:L34" totalsRowShown="0" headerRowDxfId="93" dataDxfId="9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5EF8DA9-62A2-4C1F-8122-7A5DE9DE06E6}" name="Transport type" dataDxfId="91">
      <calculatedColumnFormula array="1">Common_InputFunctions.Utility_DisplayArrayInTable(Fuel_SourceData.Fuel_Scope1Scope3EmissionFactorsTransport_Data(), Table_Fuel_EFs_Transport[[#Headers],[Transport type]], 0)</calculatedColumnFormula>
    </tableColumn>
    <tableColumn id="2" xr3:uid="{AD24DC12-BD12-4487-B43A-50977A3FC451}" name="Fuel combusted" dataDxfId="90">
      <calculatedColumnFormula array="1">Common_InputFunctions.Utility_DisplayArrayInTable(Fuel_SourceData.Fuel_Scope1Scope3EmissionFactorsTransport_Data(), Table_Fuel_EFs_Transport[[#Headers],[Transport type]], 0)</calculatedColumnFormula>
    </tableColumn>
    <tableColumn id="3" xr3:uid="{C8F12B4D-F491-4B4A-B692-E58B8A7C0BC0}" name="Energy Content Factor (GJ per unit of fuel)" dataDxfId="89">
      <calculatedColumnFormula array="1">Common_InputFunctions.Utility_DisplayArrayInTable(Fuel_SourceData.Fuel_Scope1Scope3EmissionFactorsTransport_Data(), Table_Fuel_EFs_Transport[[#Headers],[Transport type]], 0)</calculatedColumnFormula>
    </tableColumn>
    <tableColumn id="4" xr3:uid="{F68055D4-9740-48DA-B4A5-76E77D1CDD3A}" name="Fuel unit" dataDxfId="88">
      <calculatedColumnFormula array="1">Common_InputFunctions.Utility_DisplayArrayInTable(Fuel_SourceData.Fuel_Scope1Scope3EmissionFactorsTransport_Data(), Table_Fuel_EFs_Transport[[#Headers],[Transport type]], 0)</calculatedColumnFormula>
    </tableColumn>
    <tableColumn id="8" xr3:uid="{EEED5F04-C50A-4409-9058-5B83F0394469}" name="Scope 1 Emission Factor (kg CO2 - e / GJ) CO2" dataDxfId="87">
      <calculatedColumnFormula array="1">Common_InputFunctions.Utility_DisplayArrayInTable(Fuel_SourceData.Fuel_Scope1Scope3EmissionFactorsTransport_Data(), Table_Fuel_EFs_Transport[[#Headers],[Transport type]], 0)</calculatedColumnFormula>
    </tableColumn>
    <tableColumn id="9" xr3:uid="{C13FB327-6572-4AEE-B9B4-EABA3C091240}" name="Scope 1 Emission Factor (kg CO2 - e / GJ) CH4" dataDxfId="86">
      <calculatedColumnFormula array="1">Common_InputFunctions.Utility_DisplayArrayInTable(Fuel_SourceData.Fuel_Scope1Scope3EmissionFactorsTransport_Data(), Table_Fuel_EFs_Transport[[#Headers],[Transport type]], 0)</calculatedColumnFormula>
    </tableColumn>
    <tableColumn id="10" xr3:uid="{7BFE371F-7F6B-4B13-8A0E-BFF37C2B4556}" name="Scope 1 Emission Factor (kg CO2 - e / GJ) N2O" dataDxfId="85">
      <calculatedColumnFormula array="1">Common_InputFunctions.Utility_DisplayArrayInTable(Fuel_SourceData.Fuel_Scope1Scope3EmissionFactorsTransport_Data(), Table_Fuel_EFs_Transport[[#Headers],[Transport type]], 0)</calculatedColumnFormula>
    </tableColumn>
    <tableColumn id="11" xr3:uid="{1F42D03F-8D49-428D-9686-9FA87F0A13C0}" name="Scope 1 Emission Factor (kg CO2 - e / GJ) Combined gases" dataDxfId="84">
      <calculatedColumnFormula array="1">Common_InputFunctions.Utility_DisplayArrayInTable(Fuel_SourceData.Fuel_Scope1Scope3EmissionFactorsTransport_Data(), Table_Fuel_EFs_Transport[[#Headers],[Transport type]], 0)</calculatedColumnFormula>
    </tableColumn>
    <tableColumn id="12" xr3:uid="{9C52DA26-7D09-4CA7-A093-4EE63C462A06}" name="Scope 3 Emission Factor (kg CO2 - e / GJ)" dataDxfId="8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C269851-104A-4855-A75B-47E555013721}" name="Table_FuelTypesPerUse" displayName="Table_FuelTypesPerUse" ref="D130:I139" totalsRowShown="0" headerRowDxfId="82" dataDxfId="8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65468B6-1520-410A-AAC7-CFEE95D1EE89}" name="Generators" dataDxfId="80"/>
    <tableColumn id="2" xr3:uid="{B8BA6DEA-4D50-4599-B97D-800535D0544E}" name="Power standalone machinery or heating" dataDxfId="79"/>
    <tableColumn id="3" xr3:uid="{EABFD414-E5E7-43BE-8924-4534F600C871}" name="Aviation" dataDxfId="78"/>
    <tableColumn id="5" xr3:uid="{BA4BF5F1-5444-4621-ACA9-E6E4F94A519B}" name="Cars and light commercial vehicles" dataDxfId="77"/>
    <tableColumn id="7" xr3:uid="{811A430A-FCC7-4FD9-88FA-BD618C260995}" name="Off-road Agriculture and forestry equipment" dataDxfId="76" dataCellStyle="Content bold"/>
    <tableColumn id="8" xr3:uid="{12937762-A785-4A08-911C-618E711DC6BF}" name="Vessels" dataDxfId="75" dataCellStyle="Content bold"/>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35CA4C6-02E6-4D3F-9BB7-6FC0B52FC6C6}" name="Table_Fuel_EFs_StationaryGaseous" displayName="Table_Fuel_EFs_StationaryGaseous" ref="D86:J104" totalsRowShown="0" headerRowDxfId="74" dataDxfId="7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9A46B4A-97CE-4859-BFDB-D8445FAB3F07}" name="Fuel combusted" dataDxfId="72">
      <calculatedColumnFormula array="1">Common_InputFunctions.Utility_DisplayArrayInTable(Fuel_SourceData.Fuel_Scope1EmissionFactorsStationaryGaseous_Data(), Table_Fuel_EFs_StationaryGaseous[[#Headers],[Fuel combusted]],0)</calculatedColumnFormula>
    </tableColumn>
    <tableColumn id="2" xr3:uid="{44566C35-132F-4776-9DBF-D37D9D0032D0}" name="Energy Content Factor (GJ per unit of fuel)" dataDxfId="71">
      <calculatedColumnFormula array="1">Common_InputFunctions.Utility_DisplayArrayInTable(Fuel_SourceData.Fuel_Scope1EmissionFactorsStationaryGaseous_Data(), Table_Fuel_EFs_StationaryGaseous[[#Headers],[Fuel combusted]],0)</calculatedColumnFormula>
    </tableColumn>
    <tableColumn id="3" xr3:uid="{98497396-37B6-4781-B2A6-2AB660FE923C}" name="Fuel unit" dataDxfId="70">
      <calculatedColumnFormula array="1">Common_InputFunctions.Utility_DisplayArrayInTable(Fuel_SourceData.Fuel_Scope1EmissionFactorsStationaryGaseous_Data(), Table_Fuel_EFs_StationaryGaseous[[#Headers],[Fuel combusted]],0)</calculatedColumnFormula>
    </tableColumn>
    <tableColumn id="4" xr3:uid="{7CE1B5A3-C9A2-4578-B9A1-D69F18A00302}" name="Scope 1 Emission Factor (kg CO2 - e / GJ) CO2" dataDxfId="69">
      <calculatedColumnFormula array="1">Common_InputFunctions.Utility_DisplayArrayInTable(Fuel_SourceData.Fuel_Scope1EmissionFactorsStationaryGaseous_Data(), Table_Fuel_EFs_StationaryGaseous[[#Headers],[Fuel combusted]],0)</calculatedColumnFormula>
    </tableColumn>
    <tableColumn id="5" xr3:uid="{FDD6EA50-6B1B-4B1E-BEBF-A387E1023527}" name="Scope 1 Emission Factor (kg CO2 - e / GJ) CH4" dataDxfId="68">
      <calculatedColumnFormula array="1">Common_InputFunctions.Utility_DisplayArrayInTable(Fuel_SourceData.Fuel_Scope1EmissionFactorsStationaryGaseous_Data(), Table_Fuel_EFs_StationaryGaseous[[#Headers],[Fuel combusted]],0)</calculatedColumnFormula>
    </tableColumn>
    <tableColumn id="6" xr3:uid="{739209D0-1A27-4521-BB6A-CA777F975AA4}" name="Scope 1 Emission Factor (kg CO2 - e / GJ) N2O" dataDxfId="67">
      <calculatedColumnFormula array="1">Common_InputFunctions.Utility_DisplayArrayInTable(Fuel_SourceData.Fuel_Scope1EmissionFactorsStationaryGaseous_Data(), Table_Fuel_EFs_StationaryGaseous[[#Headers],[Fuel combusted]],0)</calculatedColumnFormula>
    </tableColumn>
    <tableColumn id="7" xr3:uid="{7F46FDDF-2FD8-403F-9E04-0A3B759FAE54}" name="Scope 1 Emission Factor (kg CO2 - e / GJ) Combined gases" dataDxfId="6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951D6A1-9773-46EE-AA5A-5E467B299986}" name="Table_Fuel_EFs_StationaryGaseous34" displayName="Table_Fuel_EFs_StationaryGaseous34" ref="D112:F120" headerRowDxfId="65" totalsRowDxfId="64">
  <autoFilter ref="D112:F120" xr:uid="{7D6CE29D-2354-4FAC-9965-9A66FFA42416}">
    <filterColumn colId="0" hiddenButton="1"/>
    <filterColumn colId="1" hiddenButton="1"/>
    <filterColumn colId="2" hiddenButton="1"/>
  </autoFilter>
  <tableColumns count="3">
    <tableColumn id="1" xr3:uid="{3A092DA0-8AC1-41D6-A56A-DC775C963EE7}" name="State or territory" totalsRowDxfId="63">
      <calculatedColumnFormula array="1">Common_InputFunctions.Utility_DisplayArrayInTable(Fuel_SourceData.Fuel_Scope3EmissionFactorsStationaryGaseous_Data(), Table_Fuel_EFs_StationaryGaseous34[[#Headers],[State or territory]],0)</calculatedColumnFormula>
    </tableColumn>
    <tableColumn id="2" xr3:uid="{F0A2CB4A-E2C3-4A2E-A4C8-C82729B35345}" name="Metro" totalsRowDxfId="62">
      <calculatedColumnFormula array="1">Common_InputFunctions.Utility_DisplayArrayInTable(Fuel_SourceData.Fuel_Scope3EmissionFactorsStationaryGaseous_Data(), Table_Fuel_EFs_StationaryGaseous34[[#Headers],[State or territory]],0)</calculatedColumnFormula>
    </tableColumn>
    <tableColumn id="3" xr3:uid="{C953FBE7-07AC-4A15-9E17-E679EEFCD7FE}" name="Non-metro" totalsRowDxfId="6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0293CBF-7216-4B1C-A1EC-81EBB8D37968}"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0B63AA0-C120-4564-B13E-7619266A2ED7}" name="Fuel type"/>
    <tableColumn id="2" xr3:uid="{20834B10-B4F0-42D0-B944-C627A566FCB6}" name="Unit"/>
    <tableColumn id="3" xr3:uid="{DF9810D6-18CC-4C28-AC71-5E04240657E9}" name="Input Unit" dataDxfId="60"/>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3835E2-2E10-4BF8-9BEF-87882287F987}"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1633814-9523-4DA6-B5DC-7AC609E32714}"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D44F106-0E15-4CD1-810D-676F16DDE59A}" name="Fuel type q" dataDxfId="5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5A1E66F-151E-4338-951F-108EBF3C4EEE}" name="ECTrans,q (GJ/kL)"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626471F-AC31-4BDC-9B07-6845E0B4B0CC}" name="Scope 1 CO2 EFTran,1,tqg (kg CO2-e/GJ)"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E43622-59CD-4BFE-8616-7DC1773CD940}" name="Scope 1 CH4 EFTran,1,tg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8817F2CE-DD76-4631-99FB-863BF99F153B}" name="Scope 1 N2O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55B4D8C6-8CFD-4BB4-9F44-0A107259802D}" name="Scope 3 EFTrans,3,q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845ACAF-12BD-4897-9814-45B6D7469EA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44B675DA-48DA-4B5E-AFF2-F958BF57AD55}" name="State/Territory">
      <calculatedColumnFormula array="1">Common_InputFunctions.Utility_DisplayArrayInTable(Common_SourceData.Common_SourceData_AustralianStatesTerritories_Data(),Table_AustralianStates[[#Headers],[State/Territory]],0)</calculatedColumnFormula>
    </tableColumn>
    <tableColumn id="2" xr3:uid="{C4B829DD-C8D9-4C74-B59B-8AC63E4849A8}" name="Common Name">
      <calculatedColumnFormula array="1">Common_InputFunctions.Utility_DisplayArrayInTable(Common_SourceData.Common_SourceData_AustralianStatesTerritories_Data(),Table_AustralianStates[[#Headers],[State/Territory]],0)</calculatedColumnFormula>
    </tableColumn>
    <tableColumn id="3" xr3:uid="{DD2155F3-6B8B-4BAC-9CFA-2A36E0E9258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F9615BAD-432E-48A0-9C5E-7749FA624818}" name="Table_WASA4Areas" displayName="Table_WASA4Areas" ref="D20:D30" totalsRowShown="0">
  <autoFilter ref="D20:D30" xr:uid="{5FA81339-C6C8-4D36-BEEA-6C4AEDD9E676}">
    <filterColumn colId="0" hiddenButton="1"/>
  </autoFilter>
  <tableColumns count="1">
    <tableColumn id="1" xr3:uid="{20502227-F2F1-450B-A3A0-B98DCEB77B9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FAF08298-5A4F-4097-9514-63FD8EB0F442}" name="Table_GWPData" displayName="Table_GWPData" ref="D36:E43" totalsRowShown="0">
  <autoFilter ref="D36:E43" xr:uid="{B8E87A66-3E41-4AD3-925D-01EE21B43D7A}">
    <filterColumn colId="0" hiddenButton="1"/>
    <filterColumn colId="1" hiddenButton="1"/>
  </autoFilter>
  <tableColumns count="2">
    <tableColumn id="1" xr3:uid="{6AC1983F-789D-42E0-AE18-BCFB87ABB96F}" name="Gas">
      <calculatedColumnFormula array="1">Common_InputFunctions.Utility_DisplayArrayInTable(Common_SourceData.Common_SourceData_GWP_Data(), Table_GWPData[[#Headers],[Gas]], 0)</calculatedColumnFormula>
    </tableColumn>
    <tableColumn id="2" xr3:uid="{BC3FF66B-AC87-41E8-86C4-82595C7B53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41E87F9-A450-484E-8443-5EE76B23D4C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7FA1C73-8785-4CDD-8982-7D8A755A715E}" name="Gas">
      <calculatedColumnFormula array="1">Common_InputFunctions.Utility_DisplayArrayInTable(Common_SourceData.Common_SourceData_ConvertGasElementalToMolecular_Data(),Table_GasToMolecularConversionFactor[[#Headers],[Gas]], 0)</calculatedColumnFormula>
    </tableColumn>
    <tableColumn id="5" xr3:uid="{B6AD23B7-C7F3-4A61-BE47-F5D86CE51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52E5C018-3FE8-42C8-807C-5182987C8AE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77AA2F-C3D4-45BC-AA0E-22600C13B9C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7AA3467-55C5-4563-A69B-664B4FB8A75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B18DBA-98E1-4B2F-BC27-6C527FCDA5C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B1C01DE-93B0-4C86-AA99-C943A731CD3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B8EF9BC-2BDF-47B6-9F4E-C452887B6DFC}"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7A6D59AB-26F6-4E34-A65D-7C790013AB6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13AD61D-42AC-4244-B85E-5942E3365236}"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FAB029E7-9BFE-4510-B20B-0D5850A4E064}"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3C7371B-13F1-4E65-9228-8719B85EFAF4}"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A5AD4562-D5AC-42BB-907F-B5C9B4E740BB}"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E8E07578-4D6B-46CD-AAF7-129199BC6DB2}"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4927F09-F209-4868-892F-4DF0F02D9E6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25B7AB03-9C67-451F-BAD9-07F6FDFCFDAA}"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C36C30C-DA02-4AE7-BEA5-53557161B658}"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0163DA2A-C4C8-4817-B255-3BF1342F1588}"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9537E6E-25DC-475F-9007-FA71B4CB925A}"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0F6D745-225B-4145-B209-A16D4FE9804D}"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D60877CD-336F-4EB0-BC6D-BFFC6F180C61}"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C7D6E491-29A7-4CCC-89CE-E261FA9CF351}"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1EFE00AF-730F-4035-BD18-7329406F7A3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F5A2C84-6A01-4DB4-9425-397BB9DB1E6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A56F8A3-9779-4ED1-99E0-F234FB9A7C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D242591-F3BF-4CFB-8452-095B22D2971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43BF077-D3D6-4585-8537-58DFFCF1D7FB}" name="Temperature Zone">
      <calculatedColumnFormula array="1">Common_InputFunctions.Utility_DisplayArrayInTable(Common_SourceData.Common_SourceData_TemperatureZones_Data(),Table_SourceData_TemperatureZones[[#Headers],[Temperature Zone]],0)</calculatedColumnFormula>
    </tableColumn>
    <tableColumn id="2" xr3:uid="{396BCFE3-9F6C-48AC-AC44-1F6A55F801A3}" name="MAT">
      <calculatedColumnFormula array="1">Common_InputFunctions.Utility_DisplayArrayInTable(Common_SourceData.Common_SourceData_TemperatureZones_Data(),Table_SourceData_TemperatureZones[[#Headers],[Temperature Zone]],0)</calculatedColumnFormula>
    </tableColumn>
    <tableColumn id="3" xr3:uid="{E6F53CEB-C726-44DB-A109-8DCE78F2273F}" name="Min MAT">
      <calculatedColumnFormula array="1">Common_InputFunctions.Utility_DisplayArrayInTable(Common_SourceData.Common_SourceData_TemperatureZones_Data(),Table_SourceData_TemperatureZones[[#Headers],[Temperature Zone]],0)</calculatedColumnFormula>
    </tableColumn>
    <tableColumn id="4" xr3:uid="{A0E7CCF7-086C-4DCE-BDA2-F3A69892B6B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320DDB0-BFA6-47D3-8FD3-6143641169E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61019C7-3208-4EFE-9A4A-7C9A383C2884}" name="Rainfall Zone">
      <calculatedColumnFormula array="1">Common_InputFunctions.Utility_DisplayArrayInTable(Common_SourceData.Common_SourceData_RainfallZones_Data(),Table_SourceData_RainfallZones[[#Headers],[Rainfall Zone]],0)</calculatedColumnFormula>
    </tableColumn>
    <tableColumn id="2" xr3:uid="{928FC472-9697-490F-8825-BD5F9B4C37DB}" name="Annual rainfall">
      <calculatedColumnFormula array="1">Common_InputFunctions.Utility_DisplayArrayInTable(Common_SourceData.Common_SourceData_RainfallZones_Data(),Table_SourceData_RainfallZones[[#Headers],[Rainfall Zone]],0)</calculatedColumnFormula>
    </tableColumn>
    <tableColumn id="3" xr3:uid="{BEC95BE1-6460-4511-A0E4-15638E909E68}" name="Min rainfall">
      <calculatedColumnFormula array="1">Common_InputFunctions.Utility_DisplayArrayInTable(Common_SourceData.Common_SourceData_RainfallZones_Data(),Table_SourceData_RainfallZones[[#Headers],[Rainfall Zone]],0)</calculatedColumnFormula>
    </tableColumn>
    <tableColumn id="4" xr3:uid="{1C1F2B21-7EE2-4708-953F-A5D52F7E564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7006AD9A-038A-42D8-99E4-184C12BE328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C3D3335-4BC2-413B-9452-B6E211FB2ADA}" name="Leaching Zone">
      <calculatedColumnFormula array="1">Common_InputFunctions.Utility_DisplayArrayInTable(Common_SourceData.Common_SourceData_LeachingZones_Data(), Table_SourceData_LeachingZones[[#Headers],[Leaching Zone]], 0)</calculatedColumnFormula>
    </tableColumn>
    <tableColumn id="2" xr3:uid="{9774E338-02B2-4F16-A496-7C7A4E015BD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99C536B8-3666-432C-A931-BFB6DEF63E4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F63AC27-CD40-437E-BBD6-A00F110DFB7A}" name="Data source">
      <calculatedColumnFormula array="1">Common_InputFunctions.Utility_DisplayArrayInTable(Common_SourceData.Common_SourceData_DataScores_Scope3_Data(), Table_SourceData_DataScores_Scope3[[#Headers],[Data source]], 0)</calculatedColumnFormula>
    </tableColumn>
    <tableColumn id="2" xr3:uid="{5DF42F2C-3288-4A83-8BCB-DFD4F2DD747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B92E387-40B0-4753-AE6C-4BA3EF0E2168}" name="Table_SourceData_FracWET" displayName="Table_SourceData_FracWET" ref="D134:E136" totalsRowShown="0">
  <autoFilter ref="D134:E136" xr:uid="{308E99BE-FE1F-47A4-B2CA-97217277C4E9}">
    <filterColumn colId="0" hiddenButton="1"/>
    <filterColumn colId="1" hiddenButton="1"/>
  </autoFilter>
  <tableColumns count="2">
    <tableColumn id="1" xr3:uid="{743558AF-EC4D-4428-A461-EC0DE8DA50FF}" name="Is in leaching zone">
      <calculatedColumnFormula array="1">Common_InputFunctions.Utility_DisplayArrayInTable(Common_SourceData.Common_SourceData_FracWET_Data(),Table_SourceData_FracWET[[#Headers],[Is in leaching zone]],0)</calculatedColumnFormula>
    </tableColumn>
    <tableColumn id="2" xr3:uid="{CC585559-E0A7-4CAB-B2FF-072CD61A0E2A}"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8864E42-F68D-40C0-92EF-0232BACB945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137C7EB-2932-441E-9A96-9FD70433D0E8}" name="Production system j">
      <calculatedColumnFormula array="1">Common_InputFunctions.Utility_DisplayArrayInTable(Common_SourceData.Common_SourceData_EFN2O_Data(), Table_SourceData_Common_EFN2O[[#Headers],[Production system j]], 0)</calculatedColumnFormula>
    </tableColumn>
    <tableColumn id="2" xr3:uid="{445641D2-515D-4FDC-8578-D3233B3B8108}" name="EFN2O">
      <calculatedColumnFormula array="1">Common_InputFunctions.Utility_DisplayArrayInTable(Common_SourceData.Common_SourceData_EFN2O_Data(), Table_SourceData_Common_EFN2O[[#Headers],[Production system j]], 0)</calculatedColumnFormula>
    </tableColumn>
    <tableColumn id="3" xr3:uid="{771F944B-19CE-4093-8B72-294BB2A7723A}" name="Production system only">
      <calculatedColumnFormula array="1">Common_InputFunctions.Utility_DisplayArrayInTable(Common_SourceData.Common_SourceData_EFN2O_Data(), Table_SourceData_Common_EFN2O[[#Headers],[Production system j]], 0)</calculatedColumnFormula>
    </tableColumn>
    <tableColumn id="4" xr3:uid="{79368E02-97AD-46CF-87D5-76A3BC7028BC}" name="Irrigation method">
      <calculatedColumnFormula array="1">Common_InputFunctions.Utility_DisplayArrayInTable(Common_SourceData.Common_SourceData_EFN2O_Data(), Table_SourceData_Common_EFN2O[[#Headers],[Production system j]], 0)</calculatedColumnFormula>
    </tableColumn>
    <tableColumn id="5" xr3:uid="{1E55C03E-725B-40C0-9F06-84E7A3DD7CC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66F3D864-8D80-446A-BFDA-42E150E43D1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D52510-E94E-4AAD-B662-1170EE026494}" name="Irrigation type i">
      <calculatedColumnFormula array="1">Common_InputFunctions.Utility_DisplayArrayInTable(Common_SourceData.Common_SourceData_FracWETIrrigation_Data(), Table_SourceData_FracWETIrrigation[[#Headers],[Irrigation type i]], 0)</calculatedColumnFormula>
    </tableColumn>
    <tableColumn id="2" xr3:uid="{3946C3DA-3284-4BED-9F2A-1503B44F6138}"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8A3A2DE-2F23-4FB4-9ECA-EFE1621834D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A28635A-B4BC-4762-8C5D-45CF30ADD1D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C495281-6F82-4DAA-948C-5FF9BC295CB3}"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C8B360B7-6558-43D0-A2D2-EE802CD74D9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43C8F68-6D11-4DC3-AB45-552439B267CC}" name="Month">
      <calculatedColumnFormula array="1">Common_InputFunctions.Utility_DisplayArrayInTable(Common_SourceData.Common_SourceData_MonthsToSeasons_Data(), Table_SourceData_Common_MonthToSeason[[#Headers],[Month]], 0)</calculatedColumnFormula>
    </tableColumn>
    <tableColumn id="2" xr3:uid="{5515AB88-24DC-4FAF-A169-273D946E8E92}"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2340D7CC-52DA-4DBC-8117-36D927D9E5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088312E-A8B5-4394-A512-DD5BA782B6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26B18-B569-4683-951A-347B4F875DA6}"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69A46E8E-8F78-4A1C-9437-2C995FA7BEF9}"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8233D84-DC14-4D9C-B156-AAE8E58C9A77}"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9E1DA86-6222-4E9A-8A5C-92A63CAF6ADA}"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45DB542-11D9-4221-9DC8-3226EE94530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2A41588-D55C-4836-8969-EFB33AD76359}"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6FA4B3-5D65-469B-A660-F72EC4F03A24}"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8F5365F-9926-41F1-A366-6DD9BE7613C0}"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688197A-D9FB-442D-9D0C-6638AB047C7C}"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A0125C4-DDFA-496E-ABBE-D8C85AF02AE7}"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EE39671-B353-49CE-94BA-8F6C7BBE1E9A}"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AADB0EE-487C-46EC-8268-5C181AEF4360}"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BFB86AC-0F62-4F12-B11C-34BFEEE50DF9}"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E98C1-6137-4A73-A603-F09668CB4B23}"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F4DF674-058A-418A-94D5-6598D4574B6A}"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FBFE0F67-6FD0-4AA1-996E-766973584DC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A39A95A-A0ED-4FCD-B67A-1F4E2857E46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018E162-3345-4F93-9950-261DF8881B2B}"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5" Type="http://schemas.openxmlformats.org/officeDocument/2006/relationships/table" Target="../tables/table31.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12.xml"/><Relationship Id="rId11" Type="http://schemas.openxmlformats.org/officeDocument/2006/relationships/table" Target="../tables/table17.xml"/><Relationship Id="rId24" Type="http://schemas.openxmlformats.org/officeDocument/2006/relationships/table" Target="../tables/table30.xml"/><Relationship Id="rId5" Type="http://schemas.openxmlformats.org/officeDocument/2006/relationships/table" Target="../tables/table11.xml"/><Relationship Id="rId15" Type="http://schemas.openxmlformats.org/officeDocument/2006/relationships/table" Target="../tables/table21.xml"/><Relationship Id="rId23" Type="http://schemas.openxmlformats.org/officeDocument/2006/relationships/table" Target="../tables/table29.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38.xml"/><Relationship Id="rId3" Type="http://schemas.openxmlformats.org/officeDocument/2006/relationships/table" Target="../tables/table33.xml"/><Relationship Id="rId7" Type="http://schemas.openxmlformats.org/officeDocument/2006/relationships/table" Target="../tables/table37.xml"/><Relationship Id="rId2" Type="http://schemas.openxmlformats.org/officeDocument/2006/relationships/table" Target="../tables/table32.xml"/><Relationship Id="rId1" Type="http://schemas.openxmlformats.org/officeDocument/2006/relationships/printerSettings" Target="../printerSettings/printerSettings23.bin"/><Relationship Id="rId6" Type="http://schemas.openxmlformats.org/officeDocument/2006/relationships/table" Target="../tables/table36.xml"/><Relationship Id="rId5" Type="http://schemas.openxmlformats.org/officeDocument/2006/relationships/table" Target="../tables/table35.xml"/><Relationship Id="rId4" Type="http://schemas.openxmlformats.org/officeDocument/2006/relationships/table" Target="../tables/table34.xml"/><Relationship Id="rId9" Type="http://schemas.openxmlformats.org/officeDocument/2006/relationships/table" Target="../tables/table39.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9.xml"/><Relationship Id="rId3" Type="http://schemas.openxmlformats.org/officeDocument/2006/relationships/table" Target="../tables/table44.xml"/><Relationship Id="rId7" Type="http://schemas.openxmlformats.org/officeDocument/2006/relationships/table" Target="../tables/table48.xml"/><Relationship Id="rId12" Type="http://schemas.openxmlformats.org/officeDocument/2006/relationships/table" Target="../tables/table53.xml"/><Relationship Id="rId2" Type="http://schemas.openxmlformats.org/officeDocument/2006/relationships/table" Target="../tables/table43.xml"/><Relationship Id="rId1" Type="http://schemas.openxmlformats.org/officeDocument/2006/relationships/printerSettings" Target="../printerSettings/printerSettings25.bin"/><Relationship Id="rId6" Type="http://schemas.openxmlformats.org/officeDocument/2006/relationships/table" Target="../tables/table47.xml"/><Relationship Id="rId11" Type="http://schemas.openxmlformats.org/officeDocument/2006/relationships/table" Target="../tables/table52.xml"/><Relationship Id="rId5" Type="http://schemas.openxmlformats.org/officeDocument/2006/relationships/table" Target="../tables/table46.xml"/><Relationship Id="rId10" Type="http://schemas.openxmlformats.org/officeDocument/2006/relationships/table" Target="../tables/table51.xml"/><Relationship Id="rId4" Type="http://schemas.openxmlformats.org/officeDocument/2006/relationships/table" Target="../tables/table45.xml"/><Relationship Id="rId9" Type="http://schemas.openxmlformats.org/officeDocument/2006/relationships/table" Target="../tables/table50.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table" Target="../tables/table54.xml"/><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67.xml"/><Relationship Id="rId13" Type="http://schemas.openxmlformats.org/officeDocument/2006/relationships/table" Target="../tables/table72.xml"/><Relationship Id="rId18" Type="http://schemas.openxmlformats.org/officeDocument/2006/relationships/table" Target="../tables/table77.xml"/><Relationship Id="rId3" Type="http://schemas.openxmlformats.org/officeDocument/2006/relationships/table" Target="../tables/table62.xml"/><Relationship Id="rId7" Type="http://schemas.openxmlformats.org/officeDocument/2006/relationships/table" Target="../tables/table66.xml"/><Relationship Id="rId12" Type="http://schemas.openxmlformats.org/officeDocument/2006/relationships/table" Target="../tables/table71.xml"/><Relationship Id="rId17" Type="http://schemas.openxmlformats.org/officeDocument/2006/relationships/table" Target="../tables/table76.xml"/><Relationship Id="rId2" Type="http://schemas.openxmlformats.org/officeDocument/2006/relationships/table" Target="../tables/table61.xml"/><Relationship Id="rId16" Type="http://schemas.openxmlformats.org/officeDocument/2006/relationships/table" Target="../tables/table75.xml"/><Relationship Id="rId1" Type="http://schemas.openxmlformats.org/officeDocument/2006/relationships/printerSettings" Target="../printerSettings/printerSettings26.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5" Type="http://schemas.openxmlformats.org/officeDocument/2006/relationships/table" Target="../tables/table7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 Id="rId14" Type="http://schemas.openxmlformats.org/officeDocument/2006/relationships/table" Target="../tables/table73.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8" t="e" vm="1">
        <v>#VALUE!</v>
      </c>
    </row>
    <row r="3" spans="1:1" ht="15.75" x14ac:dyDescent="0.25">
      <c r="A3" s="202"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3</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43"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B1"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8" t="e" vm="1">
        <v>#VALUE!</v>
      </c>
      <c r="C1" s="24" t="s">
        <v>14</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02" t="str">
        <f>HYPERLINK("#'Results'!A1", "Results")</f>
        <v>Results</v>
      </c>
      <c r="C4" s="8"/>
      <c r="D4" s="2" t="s">
        <v>2</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3" t="s">
        <v>4</v>
      </c>
      <c r="E6" s="23" t="s">
        <v>10</v>
      </c>
      <c r="F6" s="23" t="s">
        <v>11</v>
      </c>
      <c r="G6" s="23" t="s">
        <v>6</v>
      </c>
      <c r="H6" s="23" t="s">
        <v>12</v>
      </c>
      <c r="I6" s="23" t="s">
        <v>13</v>
      </c>
      <c r="J6" s="23" t="s">
        <v>7</v>
      </c>
      <c r="K6" s="8"/>
    </row>
    <row r="7" spans="1:11" ht="20.100000000000001" customHeight="1" x14ac:dyDescent="0.25">
      <c r="A7" s="7" t="s">
        <v>0</v>
      </c>
      <c r="C7" s="8"/>
      <c r="D7" s="1" t="s">
        <v>15</v>
      </c>
      <c r="E7" s="21"/>
      <c r="F7" s="21"/>
      <c r="G7" s="17" t="s">
        <v>8</v>
      </c>
      <c r="H7" s="21"/>
      <c r="I7" s="21"/>
      <c r="J7" s="17" t="s">
        <v>9</v>
      </c>
      <c r="K7" s="8"/>
    </row>
    <row r="8" spans="1:11" ht="20.100000000000001" customHeight="1" x14ac:dyDescent="0.25">
      <c r="A8" s="5" t="str">
        <f>HYPERLINK("#'Input - Enterprise'!A1", "Enterprise")</f>
        <v>Enterprise</v>
      </c>
      <c r="C8" s="8"/>
      <c r="D8" s="1" t="s">
        <v>17</v>
      </c>
      <c r="E8" s="21"/>
      <c r="F8" s="21"/>
      <c r="G8" s="17" t="s">
        <v>16</v>
      </c>
      <c r="H8" s="21"/>
      <c r="I8" s="21"/>
      <c r="J8" s="17" t="s">
        <v>9</v>
      </c>
      <c r="K8" s="8"/>
    </row>
    <row r="9" spans="1:11" ht="20.100000000000001" customHeight="1" x14ac:dyDescent="0.25">
      <c r="A9" s="5" t="str">
        <f>HYPERLINK("#'Input - Site'!A1", "Site")</f>
        <v>Site</v>
      </c>
      <c r="C9" s="8"/>
      <c r="D9" s="1" t="s">
        <v>18</v>
      </c>
      <c r="E9" s="21"/>
      <c r="F9" s="21"/>
      <c r="G9" s="17" t="s">
        <v>16</v>
      </c>
      <c r="H9" s="21"/>
      <c r="I9" s="21"/>
      <c r="J9" s="17" t="s">
        <v>9</v>
      </c>
      <c r="K9" s="8"/>
    </row>
    <row r="10" spans="1:11" ht="20.100000000000001" customHeight="1" x14ac:dyDescent="0.25">
      <c r="A10" s="5" t="str">
        <f>HYPERLINK("#'Input - Pasture Beef'!A1", "Pasture Beef")</f>
        <v>Pasture Beef</v>
      </c>
      <c r="C10" s="8"/>
      <c r="D10" s="1" t="s">
        <v>19</v>
      </c>
      <c r="E10" s="21"/>
      <c r="F10" s="21"/>
      <c r="G10" s="17" t="s">
        <v>16</v>
      </c>
      <c r="H10" s="21"/>
      <c r="I10" s="21"/>
      <c r="J10" s="17" t="s">
        <v>9</v>
      </c>
      <c r="K10" s="8"/>
    </row>
    <row r="11" spans="1:11" ht="20.100000000000001" customHeight="1" x14ac:dyDescent="0.3">
      <c r="A11" s="5" t="str">
        <f>HYPERLINK("#'Input - Pasture Beef (Enteric)'!A1", "Pasture Beef (Enteric)")</f>
        <v>Pasture Beef (Enteric)</v>
      </c>
      <c r="C11" s="8"/>
      <c r="D11" s="15" t="s">
        <v>5</v>
      </c>
      <c r="E11" s="9"/>
      <c r="F11" s="9"/>
      <c r="G11" s="15"/>
      <c r="H11" s="22">
        <f>SUM(H7:H10)</f>
        <v>0</v>
      </c>
      <c r="I11" s="22">
        <f>SUM(I7:I10)</f>
        <v>0</v>
      </c>
      <c r="J11" s="19" t="s">
        <v>9</v>
      </c>
      <c r="K11" s="8"/>
    </row>
    <row r="12" spans="1:11" ht="20.100000000000001" customHeight="1" x14ac:dyDescent="0.25">
      <c r="A12" s="5" t="str">
        <f>HYPERLINK("#'Input - Pasture'!A1", "Pasture")</f>
        <v>Pasture</v>
      </c>
      <c r="C12" s="8"/>
      <c r="D12" s="1"/>
      <c r="E12" s="1"/>
      <c r="F12" s="1"/>
      <c r="G12" s="10"/>
      <c r="H12" s="8"/>
      <c r="I12" s="1"/>
      <c r="J12" s="1"/>
      <c r="K12" s="8"/>
    </row>
    <row r="13" spans="1:11" ht="20.100000000000001" customHeight="1" x14ac:dyDescent="0.25">
      <c r="A13" s="5" t="str">
        <f>HYPERLINK("#'Input - Fertiliser'!A1", "Fertiliser")</f>
        <v>Fertiliser</v>
      </c>
      <c r="C13" s="8"/>
      <c r="D13" s="1"/>
      <c r="E13" s="1"/>
      <c r="F13" s="1"/>
      <c r="G13" s="1"/>
      <c r="H13" s="10"/>
      <c r="I13" s="8"/>
      <c r="J13" s="8"/>
      <c r="K13" s="8"/>
    </row>
    <row r="14" spans="1:11" ht="20.100000000000001" customHeight="1" x14ac:dyDescent="0.3">
      <c r="A14" s="5" t="str">
        <f>HYPERLINK("#'Input - Fuel'!A1", "Fuel")</f>
        <v>Fuel</v>
      </c>
      <c r="C14" s="8"/>
      <c r="D14" s="1"/>
      <c r="E14" s="1"/>
      <c r="F14" s="1"/>
      <c r="G14" s="1"/>
      <c r="H14" s="13"/>
      <c r="I14" s="8"/>
      <c r="J14" s="8"/>
      <c r="K14" s="8"/>
    </row>
    <row r="15" spans="1:11" ht="20.100000000000001" customHeight="1" x14ac:dyDescent="0.3">
      <c r="A15" s="5" t="str">
        <f>HYPERLINK("#'Input - Electricity'!A1", "Electricity")</f>
        <v>Electricity</v>
      </c>
      <c r="C15" s="8"/>
      <c r="D15" s="1"/>
      <c r="E15" s="1"/>
      <c r="F15" s="1"/>
      <c r="G15" s="1"/>
      <c r="H15" s="13"/>
      <c r="I15" s="8"/>
      <c r="J15" s="8"/>
      <c r="K15" s="8"/>
    </row>
    <row r="16" spans="1:11" ht="20.100000000000001" customHeight="1" x14ac:dyDescent="0.3">
      <c r="C16" s="8"/>
      <c r="D16" s="1"/>
      <c r="E16" s="1"/>
      <c r="F16" s="1"/>
      <c r="G16" s="1"/>
      <c r="H16" s="13"/>
      <c r="I16" s="8"/>
      <c r="J16" s="8"/>
      <c r="K16" s="8"/>
    </row>
    <row r="17" spans="1:11" ht="20.100000000000001" customHeight="1" x14ac:dyDescent="0.3">
      <c r="C17" s="8"/>
      <c r="D17" s="1"/>
      <c r="E17" s="1"/>
      <c r="F17" s="1"/>
      <c r="G17" s="1"/>
      <c r="H17" s="13"/>
      <c r="I17" s="8"/>
      <c r="J17" s="8"/>
      <c r="K17" s="8"/>
    </row>
    <row r="18" spans="1:11" ht="20.100000000000001" customHeight="1" x14ac:dyDescent="0.3">
      <c r="A18" s="6" t="s">
        <v>3</v>
      </c>
      <c r="C18" s="8"/>
      <c r="D18" s="1"/>
      <c r="E18" s="1"/>
      <c r="F18" s="1"/>
      <c r="G18" s="1"/>
      <c r="H18" s="13"/>
      <c r="I18" s="8"/>
      <c r="J18" s="8"/>
      <c r="K18" s="8"/>
    </row>
    <row r="19" spans="1:11" ht="20.100000000000001" customHeight="1" x14ac:dyDescent="0.3">
      <c r="A19" s="5" t="str">
        <f>HYPERLINK("#'3.2.1.1-2 Enteric Methane'!A1", "3.2.1.1-2 Enteric methane")</f>
        <v>3.2.1.1-2 Enteric methane</v>
      </c>
      <c r="C19" s="8"/>
      <c r="D19" s="1"/>
      <c r="E19" s="1"/>
      <c r="F19" s="1"/>
      <c r="G19" s="1"/>
      <c r="H19" s="13"/>
      <c r="I19" s="8"/>
      <c r="J19" s="8"/>
      <c r="K19" s="8"/>
    </row>
    <row r="20" spans="1:11" ht="20.100000000000001" customHeight="1" x14ac:dyDescent="0.3">
      <c r="A20" s="5" t="str">
        <f>HYPERLINK("#'4.2.1.1-2 Methane'!A1", "4.2.1.1-2 Manure methane")</f>
        <v>4.2.1.1-2 Manure methane</v>
      </c>
      <c r="C20" s="8"/>
      <c r="D20" s="1"/>
      <c r="E20" s="1"/>
      <c r="F20" s="1"/>
      <c r="G20" s="1"/>
      <c r="H20" s="13"/>
      <c r="I20" s="8"/>
      <c r="J20" s="8"/>
      <c r="K20" s="8"/>
    </row>
    <row r="21" spans="1:11" ht="20.100000000000001" customHeight="1" x14ac:dyDescent="0.3">
      <c r="A21" s="5" t="str">
        <f>HYPERLINK("#'4.2.1.3-4 Soil direct N20'!A1", "4.2.1.3-4 Soil direct N2O")</f>
        <v>4.2.1.3-4 Soil direct N2O</v>
      </c>
      <c r="C21" s="8"/>
      <c r="D21" s="1"/>
      <c r="E21" s="1"/>
      <c r="F21" s="1"/>
      <c r="G21" s="1"/>
      <c r="H21" s="13"/>
      <c r="I21" s="8"/>
      <c r="J21" s="8"/>
      <c r="K21" s="8"/>
    </row>
    <row r="22" spans="1:11" ht="20.100000000000001" customHeight="1" x14ac:dyDescent="0.3">
      <c r="A22" s="5" t="str">
        <f>HYPERLINK("#'4.2.1.5-6 Soil Atmos Dep'!A1", "4.2.1.5-6 Soil atm. deposition")</f>
        <v>4.2.1.5-6 Soil atm. deposition</v>
      </c>
      <c r="C22" s="8"/>
      <c r="D22" s="1"/>
      <c r="E22" s="1"/>
      <c r="F22" s="1"/>
      <c r="G22" s="1"/>
      <c r="H22" s="13"/>
      <c r="I22" s="8"/>
      <c r="J22" s="8"/>
      <c r="K22" s="8"/>
    </row>
    <row r="23" spans="1:11" ht="20.100000000000001" customHeight="1" x14ac:dyDescent="0.3">
      <c r="A23" s="5" t="str">
        <f>HYPERLINK("#'4.2.1.7-8 Soil leach runoff'!A1", "4.2.1.7-8 Soil leach &amp; runoff")</f>
        <v>4.2.1.7-8 Soil leach &amp; runoff</v>
      </c>
      <c r="C23" s="8"/>
      <c r="D23" s="1"/>
      <c r="E23" s="1"/>
      <c r="F23" s="1"/>
      <c r="G23" s="1"/>
      <c r="H23" s="13"/>
      <c r="I23" s="8"/>
      <c r="J23" s="8"/>
      <c r="K23" s="8"/>
    </row>
    <row r="24" spans="1:11" ht="20.100000000000001" customHeight="1" x14ac:dyDescent="0.3">
      <c r="A24" s="5" t="str">
        <f>HYPERLINK("#'5.1.1.1-2 Inorganic fert N2O'!A1", "5.1.1.1-2 Inorganic fert N2O")</f>
        <v>5.1.1.1-2 Inorganic fert N2O</v>
      </c>
      <c r="C24" s="8"/>
      <c r="D24" s="1"/>
      <c r="E24" s="1"/>
      <c r="F24" s="1"/>
      <c r="G24" s="1"/>
      <c r="H24" s="13"/>
      <c r="I24" s="8"/>
      <c r="J24" s="8"/>
      <c r="K24" s="8"/>
    </row>
    <row r="25" spans="1:11" ht="20.100000000000001" customHeight="1" x14ac:dyDescent="0.3">
      <c r="A25" s="5" t="str">
        <f>HYPERLINK("#'5.1.1.3-4 Inorganic fert CO2'!A1", "5.1.1.3-4 Inorganic fert CO2")</f>
        <v>5.1.1.3-4 Inorganic fert CO2</v>
      </c>
      <c r="C25" s="8"/>
      <c r="D25" s="1"/>
      <c r="E25" s="1"/>
      <c r="F25" s="1"/>
      <c r="G25" s="1"/>
      <c r="H25" s="13"/>
      <c r="I25" s="8"/>
      <c r="J25" s="8"/>
      <c r="K25" s="8"/>
    </row>
    <row r="26" spans="1:11" ht="20.100000000000001" customHeight="1" x14ac:dyDescent="0.3">
      <c r="A26" s="5" t="str">
        <f>HYPERLINK("#'5.2.1.1-2 Organic Fert N2O'!A1", "5.2.1.1-2 Organic fert N2O")</f>
        <v>5.2.1.1-2 Organic fert N2O</v>
      </c>
      <c r="C26" s="8"/>
      <c r="D26" s="1"/>
      <c r="E26" s="1"/>
      <c r="F26" s="1"/>
      <c r="G26" s="1"/>
      <c r="H26" s="13"/>
      <c r="I26" s="8"/>
      <c r="J26" s="8"/>
      <c r="K26" s="8"/>
    </row>
    <row r="27" spans="1:11" ht="20.100000000000001" customHeight="1" x14ac:dyDescent="0.25">
      <c r="A27" s="5" t="str">
        <f>HYPERLINK("#'5.3.1.1-2 Lime CO2'!A1", "5.3.1.1-2 Lime CO2")</f>
        <v>5.3.1.1-2 Lime CO2</v>
      </c>
      <c r="C27" s="8"/>
      <c r="D27" s="1"/>
      <c r="E27" s="1"/>
      <c r="F27" s="1"/>
      <c r="G27" s="1"/>
      <c r="H27" s="1"/>
      <c r="I27" s="1"/>
      <c r="J27" s="8"/>
      <c r="K27" s="8"/>
    </row>
    <row r="28" spans="1:11" ht="20.100000000000001" customHeight="1" x14ac:dyDescent="0.25">
      <c r="A28" s="5" t="str">
        <f>HYPERLINK("#'5.4.1.1-4 Atmos deposition'!A1", "5.4.1.1-4 Atmos. deposition")</f>
        <v>5.4.1.1-4 Atmos. deposition</v>
      </c>
      <c r="C28" s="8"/>
      <c r="D28" s="1"/>
      <c r="E28" s="1"/>
      <c r="F28" s="1"/>
      <c r="G28" s="1"/>
      <c r="H28" s="1"/>
      <c r="I28" s="1"/>
      <c r="J28" s="8"/>
      <c r="K28" s="8"/>
    </row>
    <row r="29" spans="1:11" ht="20.100000000000001" customHeight="1" x14ac:dyDescent="0.25">
      <c r="A29" s="5" t="str">
        <f>HYPERLINK("#'5.5.1.1-2 Leaching and runoff'!A1", "5.5.1.1-2 Leaching &amp; runoff")</f>
        <v>5.5.1.1-2 Leaching &amp; runoff</v>
      </c>
      <c r="C29" s="8"/>
      <c r="D29" s="1"/>
      <c r="E29" s="1"/>
      <c r="F29" s="1"/>
      <c r="G29" s="1"/>
      <c r="H29" s="1"/>
      <c r="I29" s="1"/>
      <c r="J29" s="8"/>
      <c r="K29" s="8"/>
    </row>
    <row r="30" spans="1:11" ht="20.100000000000001" customHeight="1" x14ac:dyDescent="0.25">
      <c r="A30" s="5" t="str">
        <f>HYPERLINK("#'6.2.1.1-2 Pasture residue N2O'!A1", "6.2.1.1-2 Pasture residue N2O")</f>
        <v>6.2.1.1-2 Pasture residue N2O</v>
      </c>
      <c r="C30" s="8"/>
      <c r="D30" s="1"/>
      <c r="E30" s="1"/>
      <c r="F30" s="1"/>
      <c r="G30" s="1"/>
      <c r="H30" s="1"/>
      <c r="I30" s="1"/>
      <c r="J30" s="8"/>
      <c r="K30" s="8"/>
    </row>
    <row r="31" spans="1:11" ht="20.100000000000001" customHeight="1" x14ac:dyDescent="0.25">
      <c r="A31" s="5" t="str">
        <f>HYPERLINK("#'6.3.1.1-2 Leach runoff pasture'!A1", "6.3.1.1-2 Leach &amp; runoff (pasture)")</f>
        <v>6.3.1.1-2 Leach &amp; runoff (pasture)</v>
      </c>
      <c r="C31" s="8"/>
      <c r="D31" s="1"/>
      <c r="E31" s="1"/>
      <c r="F31" s="1"/>
      <c r="G31" s="1"/>
      <c r="H31" s="1"/>
      <c r="I31" s="1"/>
      <c r="J31" s="8"/>
      <c r="K31" s="8"/>
    </row>
    <row r="32" spans="1:11" ht="20.100000000000001" customHeight="1" x14ac:dyDescent="0.25">
      <c r="A32" s="5" t="str">
        <f>HYPERLINK("#'8.1.1.1-2 Transport fuel'!A1", "8.1.1.1-2 Transport fuel")</f>
        <v>8.1.1.1-2 Transport fuel</v>
      </c>
      <c r="C32" s="8"/>
      <c r="D32" s="1"/>
      <c r="E32" s="1"/>
      <c r="F32" s="1"/>
      <c r="G32" s="1"/>
      <c r="H32" s="1"/>
      <c r="I32" s="1"/>
      <c r="J32" s="8"/>
      <c r="K32" s="8"/>
    </row>
    <row r="33" spans="1:11" ht="20.100000000000001" customHeight="1" x14ac:dyDescent="0.25">
      <c r="A33" s="5" t="str">
        <f>HYPERLINK("#'8.2.1.1-2 Stationary fuel'!A1", "8.2.1.1-2 Stationary fuel")</f>
        <v>8.2.1.1-2 Stationary fuel</v>
      </c>
      <c r="C33" s="8"/>
      <c r="D33" s="1"/>
      <c r="E33" s="1"/>
      <c r="F33" s="1"/>
      <c r="G33" s="1"/>
      <c r="H33" s="1"/>
      <c r="I33" s="1"/>
      <c r="J33" s="8"/>
      <c r="K33" s="8"/>
    </row>
    <row r="34" spans="1:11" ht="20.100000000000001" customHeight="1" x14ac:dyDescent="0.25">
      <c r="A34" s="5" t="str">
        <f>HYPERLINK("#'14.1.1-2 Purchased electricity'!A1", "14.1.1-2 Purchased electricity")</f>
        <v>14.1.1-2 Purchased electricity</v>
      </c>
      <c r="C34" s="8"/>
      <c r="D34" s="1"/>
      <c r="E34" s="1"/>
      <c r="F34" s="1"/>
      <c r="G34" s="1"/>
      <c r="H34" s="1"/>
      <c r="I34" s="8"/>
      <c r="J34" s="8"/>
      <c r="K34" s="8"/>
    </row>
    <row r="35" spans="1:11" ht="20.100000000000001" customHeight="1" x14ac:dyDescent="0.25">
      <c r="C35" s="8"/>
      <c r="D35" s="1"/>
      <c r="E35" s="1"/>
      <c r="F35" s="1"/>
      <c r="G35" s="1"/>
      <c r="H35" s="1"/>
      <c r="I35" s="8"/>
      <c r="J35" s="8"/>
      <c r="K35" s="8"/>
    </row>
    <row r="36" spans="1:11" ht="20.100000000000001" customHeight="1" x14ac:dyDescent="0.25">
      <c r="C36" s="8"/>
      <c r="D36" s="1"/>
      <c r="E36" s="1"/>
      <c r="F36" s="1"/>
      <c r="G36" s="1"/>
      <c r="H36" s="1"/>
      <c r="I36" s="8"/>
      <c r="J36" s="8"/>
      <c r="K36" s="8"/>
    </row>
    <row r="37" spans="1:11" ht="20.100000000000001" customHeight="1" x14ac:dyDescent="0.25">
      <c r="A37" s="243" t="s">
        <v>1</v>
      </c>
      <c r="C37" s="8"/>
      <c r="D37" s="1"/>
      <c r="E37" s="1"/>
      <c r="F37" s="1"/>
      <c r="G37" s="1"/>
      <c r="H37" s="1"/>
      <c r="I37" s="8"/>
      <c r="J37" s="8"/>
      <c r="K37" s="8"/>
    </row>
    <row r="38" spans="1:11" ht="20.100000000000001" customHeight="1" x14ac:dyDescent="0.25">
      <c r="A38" s="5" t="str">
        <f>HYPERLINK("#'Constants - Pasture Beef'!A1", "Constants - Pasture Beef")</f>
        <v>Constants - Pasture Beef</v>
      </c>
      <c r="C38" s="8"/>
      <c r="D38" s="1"/>
      <c r="E38" s="1"/>
      <c r="F38" s="1"/>
      <c r="G38" s="1"/>
      <c r="H38" s="1"/>
      <c r="I38" s="20"/>
      <c r="J38" s="20"/>
      <c r="K38" s="8"/>
    </row>
    <row r="39" spans="1:11" ht="20.100000000000001" customHeight="1" x14ac:dyDescent="0.25">
      <c r="A39" s="5" t="str">
        <f>HYPERLINK("#'Constants - Ag Residue'!A1", "Constants - Ag residue")</f>
        <v>Constants - Ag residue</v>
      </c>
      <c r="C39" s="8"/>
      <c r="D39" s="1"/>
      <c r="E39" s="1"/>
      <c r="F39" s="1"/>
      <c r="G39" s="1"/>
      <c r="H39" s="1"/>
      <c r="I39" s="20"/>
      <c r="J39" s="20"/>
      <c r="K39" s="8"/>
    </row>
    <row r="40" spans="1:11" ht="20.100000000000001" customHeight="1" x14ac:dyDescent="0.25">
      <c r="A40" s="5" t="str">
        <f>HYPERLINK("#'Constants - Livestock'!A1", "Constants - Livestock")</f>
        <v>Constants - Livestock</v>
      </c>
      <c r="C40" s="8"/>
      <c r="D40" s="1"/>
      <c r="E40" s="1"/>
      <c r="F40" s="1"/>
      <c r="G40" s="1"/>
      <c r="H40" s="1"/>
      <c r="I40" s="20"/>
      <c r="J40" s="20"/>
      <c r="K40" s="8"/>
    </row>
    <row r="41" spans="1:11" ht="20.100000000000001" customHeight="1" x14ac:dyDescent="0.25">
      <c r="A41" s="5" t="str">
        <f>HYPERLINK("#'Constants - Electricity'!A1", "Constants - Electricity")</f>
        <v>Constants - Electricity</v>
      </c>
      <c r="C41" s="8"/>
      <c r="D41" s="1"/>
      <c r="E41" s="1"/>
      <c r="F41" s="1"/>
      <c r="G41" s="1"/>
      <c r="H41" s="1"/>
      <c r="I41" s="20"/>
      <c r="J41" s="20"/>
      <c r="K41" s="8"/>
    </row>
    <row r="42" spans="1:11" ht="20.100000000000001" customHeight="1" x14ac:dyDescent="0.25">
      <c r="A42" s="5" t="str">
        <f>HYPERLINK("#'Constants - Fertiliser'!A1", "Constants - Fertiliser")</f>
        <v>Constants - Fertiliser</v>
      </c>
      <c r="C42" s="8"/>
      <c r="D42" s="1"/>
      <c r="E42" s="1"/>
      <c r="F42" s="1"/>
      <c r="G42" s="1"/>
      <c r="H42" s="1"/>
      <c r="I42" s="20"/>
      <c r="J42" s="20"/>
      <c r="K42" s="8"/>
    </row>
    <row r="43" spans="1:11" ht="20.100000000000001" customHeight="1" x14ac:dyDescent="0.25">
      <c r="A43" s="5" t="str">
        <f>HYPERLINK("#'Constants - Fuel'!A1", "Constants - Fuel")</f>
        <v>Constants - Fuel</v>
      </c>
      <c r="C43" s="8"/>
      <c r="D43" s="1"/>
      <c r="E43" s="1"/>
      <c r="F43" s="1"/>
      <c r="G43" s="1"/>
      <c r="H43" s="1"/>
      <c r="I43" s="20"/>
      <c r="J43" s="20"/>
      <c r="K43" s="8"/>
    </row>
    <row r="44" spans="1:11" ht="20.100000000000001" customHeight="1" x14ac:dyDescent="0.25">
      <c r="A44" s="5" t="str">
        <f>HYPERLINK("#'Constants - Common'!A1", "Constants - Common")</f>
        <v>Constants - Common</v>
      </c>
      <c r="C44" s="8"/>
      <c r="D44" s="1"/>
      <c r="E44" s="1"/>
      <c r="F44" s="1"/>
      <c r="G44" s="1"/>
      <c r="H44" s="1"/>
      <c r="I44" s="20"/>
      <c r="J44" s="20"/>
      <c r="K44" s="8"/>
    </row>
    <row r="45" spans="1:11" ht="20.100000000000001" customHeight="1" x14ac:dyDescent="0.25">
      <c r="A45" s="5" t="str">
        <f>HYPERLINK("#'Acknowledgements'!A1", "Acknowledgements")</f>
        <v>Acknowledgements</v>
      </c>
      <c r="C45" s="8"/>
      <c r="D45" s="1"/>
      <c r="E45" s="1"/>
      <c r="F45" s="1"/>
      <c r="G45" s="1"/>
      <c r="H45" s="1"/>
      <c r="I45" s="20"/>
      <c r="J45" s="20"/>
      <c r="K45" s="8"/>
    </row>
    <row r="46" spans="1:11" ht="20.100000000000001" customHeight="1" x14ac:dyDescent="0.25">
      <c r="A46" s="5" t="str">
        <f>HYPERLINK("#'Overview'!A1", "Overview")</f>
        <v>Overview</v>
      </c>
      <c r="C46" s="8"/>
      <c r="D46" s="1"/>
      <c r="E46" s="1"/>
      <c r="F46" s="1"/>
      <c r="G46" s="1"/>
      <c r="H46" s="1"/>
      <c r="I46" s="20"/>
      <c r="J46" s="20"/>
      <c r="K46" s="8"/>
    </row>
    <row r="47" spans="1:11" ht="20.100000000000001" customHeight="1" x14ac:dyDescent="0.25">
      <c r="C47" s="8"/>
      <c r="D47" s="1"/>
      <c r="E47" s="1"/>
      <c r="F47" s="1"/>
      <c r="G47" s="1"/>
      <c r="H47" s="1"/>
      <c r="I47" s="20"/>
      <c r="J47" s="20"/>
      <c r="K47" s="8"/>
    </row>
    <row r="48" spans="1:11" ht="20.100000000000001" customHeight="1" x14ac:dyDescent="0.25">
      <c r="C48" s="8"/>
      <c r="D48" s="1"/>
      <c r="E48" s="1"/>
      <c r="F48" s="1"/>
      <c r="G48" s="1"/>
      <c r="H48" s="1"/>
      <c r="I48" s="20"/>
      <c r="J48" s="20"/>
      <c r="K48" s="8"/>
    </row>
    <row r="49" spans="3:11" ht="20.100000000000001" customHeight="1" x14ac:dyDescent="0.25">
      <c r="C49" s="8"/>
      <c r="D49" s="1"/>
      <c r="E49" s="1"/>
      <c r="F49" s="1"/>
      <c r="G49" s="1"/>
      <c r="H49" s="20"/>
      <c r="I49" s="20"/>
      <c r="J49" s="20"/>
      <c r="K49" s="8"/>
    </row>
    <row r="50" spans="3:11" ht="20.100000000000001" customHeight="1" x14ac:dyDescent="0.25">
      <c r="C50" s="8"/>
      <c r="D50" s="1"/>
      <c r="E50" s="1"/>
      <c r="F50" s="1"/>
      <c r="G50" s="1"/>
      <c r="H50" s="20"/>
      <c r="I50" s="20"/>
      <c r="J50" s="20"/>
      <c r="K50" s="8"/>
    </row>
    <row r="51" spans="3:11" ht="20.100000000000001" customHeight="1" x14ac:dyDescent="0.25">
      <c r="C51" s="8"/>
      <c r="D51" s="1"/>
      <c r="E51" s="1"/>
      <c r="F51" s="1"/>
      <c r="G51" s="1"/>
      <c r="H51" s="20"/>
      <c r="I51" s="20"/>
      <c r="J51" s="20"/>
      <c r="K51" s="8"/>
    </row>
    <row r="52" spans="3:11" ht="20.100000000000001" customHeight="1" x14ac:dyDescent="0.25">
      <c r="C52" s="8"/>
      <c r="D52" s="1"/>
      <c r="E52" s="1"/>
      <c r="F52" s="1"/>
      <c r="G52" s="1"/>
      <c r="H52" s="20"/>
      <c r="I52" s="20"/>
      <c r="J52" s="20"/>
      <c r="K52" s="8"/>
    </row>
    <row r="53" spans="3:11" ht="20.100000000000001" customHeight="1" x14ac:dyDescent="0.25">
      <c r="C53" s="8"/>
      <c r="D53" s="1"/>
      <c r="E53" s="1"/>
      <c r="F53" s="1"/>
      <c r="G53" s="1"/>
      <c r="H53" s="20"/>
      <c r="I53" s="20"/>
      <c r="J53" s="20"/>
      <c r="K53" s="8"/>
    </row>
    <row r="54" spans="3:11" ht="20.100000000000001" customHeight="1" x14ac:dyDescent="0.25">
      <c r="C54" s="8"/>
      <c r="D54" s="1"/>
      <c r="E54" s="1"/>
      <c r="F54" s="1"/>
      <c r="G54" s="1"/>
      <c r="H54" s="8"/>
      <c r="I54" s="8"/>
      <c r="J54" s="8"/>
      <c r="K54" s="8"/>
    </row>
    <row r="55" spans="3:11" ht="20.100000000000001" customHeight="1" x14ac:dyDescent="0.25">
      <c r="C55" s="8"/>
      <c r="D55" s="1"/>
      <c r="E55" s="1"/>
      <c r="F55" s="1"/>
      <c r="G55" s="1"/>
      <c r="H55" s="8"/>
      <c r="I55" s="8"/>
      <c r="J55" s="8"/>
      <c r="K55" s="8"/>
    </row>
    <row r="56" spans="3:11" ht="20.100000000000001" customHeight="1" x14ac:dyDescent="0.25">
      <c r="C56" s="8"/>
      <c r="D56" s="1"/>
      <c r="E56" s="1"/>
      <c r="F56" s="1"/>
      <c r="G56" s="1"/>
      <c r="H56" s="8"/>
      <c r="I56" s="8"/>
      <c r="J56" s="8"/>
      <c r="K56" s="8"/>
    </row>
    <row r="57" spans="3:11" ht="20.100000000000001" customHeight="1" x14ac:dyDescent="0.25">
      <c r="C57" s="8"/>
      <c r="D57" s="1"/>
      <c r="E57" s="1"/>
      <c r="F57" s="1"/>
      <c r="G57" s="1"/>
      <c r="H57" s="8"/>
      <c r="I57" s="8"/>
      <c r="J57" s="8"/>
      <c r="K57" s="8"/>
    </row>
    <row r="58" spans="3:11" ht="20.100000000000001" customHeight="1" x14ac:dyDescent="0.25">
      <c r="C58" s="8"/>
      <c r="D58" s="1"/>
      <c r="E58" s="16"/>
      <c r="F58" s="14"/>
      <c r="G58" s="8"/>
      <c r="H58" s="8"/>
      <c r="I58" s="8"/>
      <c r="J58" s="8"/>
      <c r="K58" s="8"/>
    </row>
    <row r="59" spans="3:11" ht="20.100000000000001" customHeight="1" x14ac:dyDescent="0.25">
      <c r="C59" s="8"/>
      <c r="D59" s="1"/>
      <c r="E59" s="1"/>
      <c r="F59" s="1"/>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1"/>
      <c r="E61" s="1"/>
      <c r="F61" s="1"/>
      <c r="G61" s="1"/>
      <c r="H61" s="1"/>
      <c r="I61" s="1"/>
      <c r="J61" s="1"/>
      <c r="K61" s="8"/>
    </row>
    <row r="62" spans="3:11" ht="20.100000000000001" customHeight="1" x14ac:dyDescent="0.25">
      <c r="C62" s="8"/>
      <c r="D62" s="1"/>
      <c r="E62" s="1"/>
      <c r="F62" s="1"/>
      <c r="G62" s="1"/>
      <c r="H62" s="1"/>
      <c r="I62" s="1"/>
      <c r="J62" s="1"/>
      <c r="K62" s="8"/>
    </row>
    <row r="63" spans="3:11" ht="20.100000000000001" customHeight="1" x14ac:dyDescent="0.25">
      <c r="C63" s="8"/>
      <c r="D63" s="1"/>
      <c r="E63" s="1"/>
      <c r="F63" s="1"/>
      <c r="G63" s="1"/>
      <c r="H63" s="1"/>
      <c r="I63" s="1"/>
      <c r="J63" s="1"/>
      <c r="K63" s="8"/>
    </row>
    <row r="64" spans="3:11" ht="20.100000000000001" customHeight="1" x14ac:dyDescent="0.25">
      <c r="C64" s="8"/>
      <c r="D64" s="1"/>
      <c r="E64" s="1"/>
      <c r="F64" s="1"/>
      <c r="G64" s="1"/>
      <c r="H64" s="1"/>
      <c r="I64" s="1"/>
      <c r="J64" s="1"/>
      <c r="K64" s="8"/>
    </row>
    <row r="65" spans="3:11" ht="20.100000000000001" customHeight="1" x14ac:dyDescent="0.25">
      <c r="C65" s="8"/>
      <c r="D65" s="1"/>
      <c r="E65" s="1"/>
      <c r="F65" s="1"/>
      <c r="G65" s="1"/>
      <c r="H65" s="1"/>
      <c r="I65" s="1"/>
      <c r="J65" s="1"/>
      <c r="K65" s="8"/>
    </row>
    <row r="66" spans="3:11" ht="20.100000000000001" customHeight="1" x14ac:dyDescent="0.25">
      <c r="C66" s="8"/>
      <c r="D66" s="1"/>
      <c r="E66" s="1"/>
      <c r="F66" s="1"/>
      <c r="G66" s="1"/>
      <c r="H66" s="1"/>
      <c r="I66" s="1"/>
      <c r="J66" s="1"/>
      <c r="K66" s="8"/>
    </row>
    <row r="67" spans="3:11" ht="20.100000000000001" customHeight="1" x14ac:dyDescent="0.25">
      <c r="C67" s="8"/>
      <c r="D67" s="1"/>
      <c r="E67" s="1"/>
      <c r="F67" s="1"/>
      <c r="G67" s="1"/>
      <c r="H67" s="1"/>
      <c r="I67" s="1"/>
      <c r="J67" s="1"/>
      <c r="K67" s="8"/>
    </row>
    <row r="68" spans="3:11" ht="20.100000000000001" customHeight="1" x14ac:dyDescent="0.25">
      <c r="C68" s="8"/>
      <c r="D68" s="1"/>
      <c r="E68" s="1"/>
      <c r="F68" s="1"/>
      <c r="G68" s="1"/>
      <c r="H68" s="1"/>
      <c r="I68" s="1"/>
      <c r="J68" s="1"/>
      <c r="K68" s="8"/>
    </row>
    <row r="69" spans="3:11" ht="20.100000000000001" customHeight="1" x14ac:dyDescent="0.25">
      <c r="C69" s="8"/>
      <c r="D69" s="1"/>
      <c r="E69" s="1"/>
      <c r="F69" s="1"/>
      <c r="G69" s="1"/>
      <c r="H69" s="1"/>
      <c r="I69" s="1"/>
      <c r="J69" s="1"/>
      <c r="K69" s="8"/>
    </row>
    <row r="70" spans="3:11" ht="20.100000000000001" customHeight="1" x14ac:dyDescent="0.25">
      <c r="C70" s="8"/>
      <c r="D70" s="1"/>
      <c r="E70" s="1"/>
      <c r="F70" s="1"/>
      <c r="G70" s="1"/>
      <c r="H70" s="1"/>
      <c r="I70" s="1"/>
      <c r="J70" s="1"/>
      <c r="K70" s="8"/>
    </row>
    <row r="71" spans="3:11" ht="20.100000000000001" customHeight="1" x14ac:dyDescent="0.25">
      <c r="C71" s="8"/>
      <c r="D71" s="1"/>
      <c r="E71" s="1"/>
      <c r="F71" s="1"/>
      <c r="G71" s="1"/>
      <c r="H71" s="1"/>
      <c r="I71" s="1"/>
      <c r="J71" s="1"/>
      <c r="K71" s="8"/>
    </row>
    <row r="72" spans="3:11" ht="20.100000000000001" customHeight="1" x14ac:dyDescent="0.25">
      <c r="C72" s="8"/>
      <c r="D72" s="1"/>
      <c r="E72" s="1"/>
      <c r="F72" s="1"/>
      <c r="G72" s="1"/>
      <c r="H72" s="1"/>
      <c r="I72" s="1"/>
      <c r="J72" s="1"/>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56631-EC84-4B1C-BEF2-1A9575F8D732}">
  <dimension ref="A1:A46"/>
  <sheetViews>
    <sheetView workbookViewId="0">
      <selection activeCell="A46" sqref="A46"/>
    </sheetView>
  </sheetViews>
  <sheetFormatPr defaultRowHeight="15" x14ac:dyDescent="0.25"/>
  <sheetData>
    <row r="1" spans="1:1" ht="25.5" x14ac:dyDescent="0.35">
      <c r="A1" s="18"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30"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3</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43"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682F3-BBE6-4EB8-86EC-E813ED9B219B}">
  <sheetPr>
    <pageSetUpPr autoPageBreaks="0"/>
  </sheetPr>
  <dimension ref="A1:AA160"/>
  <sheetViews>
    <sheetView showGridLines="0" topLeftCell="A6" zoomScaleNormal="100" workbookViewId="0">
      <selection activeCell="A46" sqref="A46"/>
    </sheetView>
  </sheetViews>
  <sheetFormatPr defaultColWidth="9.140625" defaultRowHeight="15.75" x14ac:dyDescent="0.25"/>
  <cols>
    <col min="1" max="1" width="30.7109375" style="4" customWidth="1"/>
    <col min="2" max="2" width="4.7109375" style="28" customWidth="1"/>
    <col min="3" max="3" width="4.7109375" style="27" customWidth="1"/>
    <col min="4" max="4" width="60.7109375" style="27" customWidth="1"/>
    <col min="5" max="5" width="50.7109375" style="27" customWidth="1"/>
    <col min="6" max="11" width="28.7109375" style="27" customWidth="1"/>
    <col min="12" max="25" width="28.7109375" style="28" customWidth="1"/>
    <col min="26" max="27" width="9.140625" style="28"/>
    <col min="28" max="16384" width="9.140625" style="27"/>
  </cols>
  <sheetData>
    <row r="1" spans="1:24" s="28" customFormat="1" ht="30" customHeight="1" x14ac:dyDescent="0.35">
      <c r="A1" s="18" t="e" vm="1">
        <v>#VALUE!</v>
      </c>
      <c r="C1" s="204" t="s">
        <v>684</v>
      </c>
    </row>
    <row r="2" spans="1:24" s="28" customFormat="1" ht="20.100000000000001" customHeight="1" x14ac:dyDescent="0.25">
      <c r="A2"/>
      <c r="C2" s="3"/>
      <c r="D2" s="3"/>
      <c r="E2" s="3"/>
      <c r="F2" s="3"/>
      <c r="G2" s="3"/>
      <c r="H2" s="3"/>
      <c r="I2" s="3"/>
      <c r="J2" s="3"/>
    </row>
    <row r="3" spans="1:24" ht="20.100000000000001" customHeight="1" x14ac:dyDescent="0.25">
      <c r="A3" s="5" t="str">
        <f>HYPERLINK("#'Home'!A1", "Home")</f>
        <v>Home</v>
      </c>
      <c r="C3" s="26"/>
      <c r="D3" s="26"/>
      <c r="E3" s="26"/>
      <c r="F3" s="26"/>
      <c r="G3" s="26"/>
      <c r="H3" s="26"/>
      <c r="I3" s="26"/>
      <c r="J3" s="26"/>
      <c r="K3" s="26"/>
      <c r="M3" s="205"/>
      <c r="N3" s="205"/>
      <c r="O3" s="205"/>
      <c r="P3" s="205"/>
      <c r="Q3" s="205"/>
      <c r="R3" s="205"/>
      <c r="S3" s="205"/>
      <c r="T3" s="205"/>
      <c r="U3" s="205"/>
      <c r="V3" s="205"/>
      <c r="W3" s="205"/>
      <c r="X3" s="205"/>
    </row>
    <row r="4" spans="1:24" ht="20.100000000000001" customHeight="1" x14ac:dyDescent="0.25">
      <c r="A4" s="5" t="str">
        <f>HYPERLINK("#'Results'!A1", "Results")</f>
        <v>Results</v>
      </c>
      <c r="C4" s="206"/>
      <c r="D4" s="206"/>
      <c r="E4" s="206"/>
      <c r="F4" s="206"/>
      <c r="G4" s="206"/>
      <c r="H4" s="206"/>
      <c r="I4" s="206"/>
      <c r="J4" s="206"/>
      <c r="K4" s="206"/>
    </row>
    <row r="5" spans="1:24" ht="20.100000000000001" customHeight="1" x14ac:dyDescent="0.25">
      <c r="A5"/>
      <c r="D5" s="2" t="s">
        <v>685</v>
      </c>
      <c r="N5" s="207"/>
    </row>
    <row r="6" spans="1:24" ht="20.100000000000001" customHeight="1" x14ac:dyDescent="0.25">
      <c r="A6"/>
      <c r="D6" s="208"/>
      <c r="N6" s="209"/>
    </row>
    <row r="7" spans="1:24" ht="20.100000000000001" customHeight="1" x14ac:dyDescent="0.25">
      <c r="A7" s="7" t="s">
        <v>0</v>
      </c>
      <c r="D7" s="1" t="s">
        <v>686</v>
      </c>
      <c r="E7" s="105" t="s">
        <v>687</v>
      </c>
      <c r="F7" s="32"/>
    </row>
    <row r="8" spans="1:24" ht="20.100000000000001" customHeight="1" x14ac:dyDescent="0.25">
      <c r="A8" s="5" t="str">
        <f>HYPERLINK("#'Input - Enterprise'!A1", "Enterprise")</f>
        <v>Enterprise</v>
      </c>
      <c r="D8" s="210" t="s">
        <v>688</v>
      </c>
      <c r="E8" s="105" t="s">
        <v>689</v>
      </c>
    </row>
    <row r="9" spans="1:24" ht="20.100000000000001" customHeight="1" x14ac:dyDescent="0.25">
      <c r="A9" s="30" t="str">
        <f>HYPERLINK("#'Input - Site'!A1", "Site")</f>
        <v>Site</v>
      </c>
      <c r="N9" s="211"/>
    </row>
    <row r="10" spans="1:24" ht="20.100000000000001" customHeight="1" x14ac:dyDescent="0.25">
      <c r="A10" s="5" t="str">
        <f>HYPERLINK("#'Input - Pasture Beef'!A1", "Pasture Beef")</f>
        <v>Pasture Beef</v>
      </c>
      <c r="D10" s="33" t="s">
        <v>690</v>
      </c>
      <c r="E10" s="212"/>
      <c r="F10" s="34"/>
      <c r="G10" s="35"/>
      <c r="N10" s="211"/>
    </row>
    <row r="11" spans="1:24" ht="20.100000000000001" customHeight="1" x14ac:dyDescent="0.25">
      <c r="A11" s="5" t="str">
        <f>HYPERLINK("#'Input - Pasture Beef (Enteric)'!A1", "Pasture Beef (Enteric)")</f>
        <v>Pasture Beef (Enteric)</v>
      </c>
      <c r="N11" s="213"/>
    </row>
    <row r="12" spans="1:24" ht="20.100000000000001" customHeight="1" x14ac:dyDescent="0.25">
      <c r="A12" s="5" t="str">
        <f>HYPERLINK("#'Input - Pasture'!A1", "Pasture")</f>
        <v>Pasture</v>
      </c>
      <c r="D12" s="210" t="s">
        <v>691</v>
      </c>
      <c r="E12" s="214">
        <v>45292</v>
      </c>
      <c r="F12" s="32" t="s">
        <v>692</v>
      </c>
    </row>
    <row r="13" spans="1:24" ht="20.100000000000001" customHeight="1" x14ac:dyDescent="0.25">
      <c r="A13" s="5" t="str">
        <f>HYPERLINK("#'Input - Fertiliser'!A1", "Fertiliser")</f>
        <v>Fertiliser</v>
      </c>
      <c r="D13" s="210" t="s">
        <v>693</v>
      </c>
      <c r="E13" s="215">
        <f>DATE(YEAR(E12)+1,MONTH(E12),DAY(E12))-1</f>
        <v>45657</v>
      </c>
      <c r="F13" s="32" t="s">
        <v>694</v>
      </c>
      <c r="N13" s="36"/>
      <c r="O13" s="36"/>
    </row>
    <row r="14" spans="1:24" ht="20.100000000000001" customHeight="1" x14ac:dyDescent="0.25">
      <c r="A14" s="5" t="str">
        <f>HYPERLINK("#'Input - Fuel'!A1", "Fuel")</f>
        <v>Fuel</v>
      </c>
      <c r="N14" s="36"/>
      <c r="O14" s="36"/>
    </row>
    <row r="15" spans="1:24" ht="20.100000000000001" customHeight="1" x14ac:dyDescent="0.25">
      <c r="A15" s="5" t="str">
        <f>HYPERLINK("#'Input - Electricity'!A1", "Electricity")</f>
        <v>Electricity</v>
      </c>
      <c r="N15" s="36"/>
      <c r="O15" s="36"/>
    </row>
    <row r="16" spans="1:24" ht="20.100000000000001" customHeight="1" x14ac:dyDescent="0.25">
      <c r="A16"/>
      <c r="D16" s="2" t="s">
        <v>695</v>
      </c>
      <c r="N16" s="36"/>
      <c r="O16" s="36"/>
    </row>
    <row r="17" spans="1:25" ht="20.100000000000001" customHeight="1" x14ac:dyDescent="0.25">
      <c r="A17"/>
    </row>
    <row r="18" spans="1:25" ht="20.100000000000001" customHeight="1" x14ac:dyDescent="0.25">
      <c r="A18" s="6" t="s">
        <v>3</v>
      </c>
      <c r="D18" s="216" t="s">
        <v>696</v>
      </c>
      <c r="E18" s="81"/>
      <c r="F18" s="81"/>
      <c r="G18" s="82"/>
    </row>
    <row r="19" spans="1:25" ht="20.100000000000001" customHeight="1" x14ac:dyDescent="0.25">
      <c r="A19" s="5" t="str">
        <f>HYPERLINK("#'3.2.1.1-2 Enteric Methane'!A1", "3.2.1.1-2 Enteric methane")</f>
        <v>3.2.1.1-2 Enteric methane</v>
      </c>
      <c r="D19" s="86" t="s">
        <v>697</v>
      </c>
      <c r="E19" s="87"/>
      <c r="F19" s="87"/>
      <c r="G19" s="88"/>
      <c r="N19" s="207"/>
    </row>
    <row r="20" spans="1:25" ht="20.100000000000001" customHeight="1" x14ac:dyDescent="0.25">
      <c r="A20" s="5" t="str">
        <f>HYPERLINK("#'4.2.1.1-2 Methane'!A1", "4.2.1.1-2 Manure methane")</f>
        <v>4.2.1.1-2 Manure methane</v>
      </c>
      <c r="D20" s="1"/>
      <c r="E20" s="217"/>
      <c r="F20" s="32"/>
      <c r="N20" s="209"/>
    </row>
    <row r="21" spans="1:25" ht="20.100000000000001" customHeight="1" x14ac:dyDescent="0.25">
      <c r="A21" s="5" t="str">
        <f>HYPERLINK("#'4.2.1.3-4 Soil direct N20'!A1", "4.2.1.3-4 Soil direct N2O")</f>
        <v>4.2.1.3-4 Soil direct N2O</v>
      </c>
      <c r="D21" s="1" t="s">
        <v>22</v>
      </c>
      <c r="E21" s="31" t="s">
        <v>698</v>
      </c>
      <c r="F21" s="32" t="s">
        <v>25</v>
      </c>
    </row>
    <row r="22" spans="1:25" ht="20.100000000000001" customHeight="1" x14ac:dyDescent="0.25">
      <c r="A22" s="5" t="str">
        <f>HYPERLINK("#'4.2.1.5-6 Soil Atmos Dep'!A1", "4.2.1.5-6 Soil atm. deposition")</f>
        <v>4.2.1.5-6 Soil atm. deposition</v>
      </c>
      <c r="D22" s="1" t="s">
        <v>699</v>
      </c>
      <c r="E22" s="31" t="s">
        <v>700</v>
      </c>
      <c r="F22" s="32" t="s">
        <v>25</v>
      </c>
      <c r="G22" s="1"/>
    </row>
    <row r="23" spans="1:25" ht="20.100000000000001" customHeight="1" x14ac:dyDescent="0.25">
      <c r="A23" s="5" t="str">
        <f>HYPERLINK("#'4.2.1.7-8 Soil leach runoff'!A1", "4.2.1.7-8 Soil leach &amp; runoff")</f>
        <v>4.2.1.7-8 Soil leach &amp; runoff</v>
      </c>
      <c r="D23" s="1" t="s">
        <v>641</v>
      </c>
      <c r="E23" s="31" t="s">
        <v>701</v>
      </c>
      <c r="F23" s="32" t="s">
        <v>25</v>
      </c>
    </row>
    <row r="24" spans="1:25" ht="20.100000000000001" customHeight="1" x14ac:dyDescent="0.25">
      <c r="A24" s="5" t="str">
        <f>HYPERLINK("#'5.1.1.1-2 Inorganic fert N2O'!A1", "5.1.1.1-2 Inorganic fert N2O")</f>
        <v>5.1.1.1-2 Inorganic fert N2O</v>
      </c>
      <c r="D24" s="1" t="s">
        <v>702</v>
      </c>
      <c r="E24" s="105">
        <v>307.7</v>
      </c>
      <c r="F24" s="32" t="s">
        <v>703</v>
      </c>
    </row>
    <row r="25" spans="1:25" ht="20.100000000000001" customHeight="1" x14ac:dyDescent="0.25">
      <c r="A25" s="5" t="str">
        <f>HYPERLINK("#'5.1.1.3-4 Inorganic fert CO2'!A1", "5.1.1.3-4 Inorganic fert CO2")</f>
        <v>5.1.1.3-4 Inorganic fert CO2</v>
      </c>
      <c r="D25" s="1" t="s">
        <v>704</v>
      </c>
      <c r="E25" s="105">
        <v>18</v>
      </c>
      <c r="F25" s="32" t="s">
        <v>705</v>
      </c>
      <c r="N25" s="209"/>
    </row>
    <row r="26" spans="1:25" ht="20.100000000000001" customHeight="1" x14ac:dyDescent="0.25">
      <c r="A26" s="5" t="str">
        <f>HYPERLINK("#'5.2.1.1-2 Organic Fert N2O'!A1", "5.2.1.1-2 Organic fert N2O")</f>
        <v>5.2.1.1-2 Organic fert N2O</v>
      </c>
      <c r="D26" s="1" t="s">
        <v>706</v>
      </c>
      <c r="E26" s="105">
        <v>601</v>
      </c>
      <c r="F26" s="32" t="s">
        <v>707</v>
      </c>
    </row>
    <row r="27" spans="1:25" ht="20.100000000000001" customHeight="1" x14ac:dyDescent="0.25">
      <c r="A27" s="5" t="str">
        <f>HYPERLINK("#'5.3.1.1-2 Lime CO2'!A1", "5.3.1.1-2 Lime CO2")</f>
        <v>5.3.1.1-2 Lime CO2</v>
      </c>
      <c r="D27" s="210" t="s">
        <v>708</v>
      </c>
      <c r="E27" s="105">
        <v>1326</v>
      </c>
      <c r="F27" s="32" t="s">
        <v>707</v>
      </c>
    </row>
    <row r="28" spans="1:25" ht="20.100000000000001" customHeight="1" x14ac:dyDescent="0.25">
      <c r="A28" s="5" t="str">
        <f>HYPERLINK("#'5.4.1.1-4 Atmos deposition'!A1", "5.4.1.1-4 Atmos. deposition")</f>
        <v>5.4.1.1-4 Atmos. deposition</v>
      </c>
      <c r="D28" s="1" t="s">
        <v>709</v>
      </c>
      <c r="E28" s="105">
        <v>7</v>
      </c>
      <c r="F28" s="32" t="s">
        <v>42</v>
      </c>
    </row>
    <row r="29" spans="1:25" ht="20.100000000000001" customHeight="1" x14ac:dyDescent="0.25">
      <c r="A29" s="5" t="str">
        <f>HYPERLINK("#'5.5.1.1-2 Leaching and runoff'!A1", "5.5.1.1-2 Leaching &amp; runoff")</f>
        <v>5.5.1.1-2 Leaching &amp; runoff</v>
      </c>
      <c r="D29" s="210" t="s">
        <v>710</v>
      </c>
      <c r="E29" s="29">
        <f>E26/E27</f>
        <v>0.45324283559577677</v>
      </c>
      <c r="F29" s="32"/>
    </row>
    <row r="30" spans="1:25" ht="20.100000000000001" customHeight="1" x14ac:dyDescent="0.25">
      <c r="A30" s="5" t="str">
        <f>HYPERLINK("#'6.2.1.1-2 Pasture residue N2O'!A1", "6.2.1.1-2 Pasture residue N2O")</f>
        <v>6.2.1.1-2 Pasture residue N2O</v>
      </c>
      <c r="D30" s="210" t="s">
        <v>711</v>
      </c>
      <c r="E30" s="29" t="str">
        <f>Common_InputFunctions.Utility_LookupItemFromMinMax(E26,Table_SourceData_RainfallZones[Min rainfall],Table_SourceData_RainfallZones[Max rainfall],Table_SourceData_RainfallZones[Rainfall Zone])</f>
        <v>High rainfall</v>
      </c>
      <c r="G30" s="218"/>
      <c r="L30" s="219"/>
      <c r="M30" s="219"/>
      <c r="N30" s="219"/>
      <c r="O30" s="219"/>
      <c r="P30" s="219"/>
      <c r="Q30" s="219"/>
      <c r="R30" s="219"/>
      <c r="S30" s="219"/>
      <c r="T30" s="219"/>
      <c r="U30" s="219"/>
      <c r="V30" s="219"/>
      <c r="W30" s="219"/>
      <c r="X30" s="219"/>
      <c r="Y30" s="219"/>
    </row>
    <row r="31" spans="1:25" ht="20.100000000000001" customHeight="1" x14ac:dyDescent="0.25">
      <c r="A31" s="5" t="str">
        <f>HYPERLINK("#'6.3.1.1-2 Leach runoff pasture'!A1", "6.3.1.1-2 Leach &amp; runoff (pasture)")</f>
        <v>6.3.1.1-2 Leach &amp; runoff (pasture)</v>
      </c>
      <c r="D31" s="1" t="s">
        <v>712</v>
      </c>
      <c r="E31" s="2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217"/>
      <c r="L31" s="220"/>
      <c r="M31" s="220"/>
      <c r="N31" s="220"/>
      <c r="O31" s="220"/>
      <c r="P31" s="220"/>
      <c r="Q31" s="220"/>
      <c r="R31" s="220"/>
      <c r="S31" s="220"/>
      <c r="T31" s="220"/>
      <c r="U31" s="220"/>
      <c r="V31" s="220"/>
      <c r="W31" s="220"/>
      <c r="X31" s="220"/>
      <c r="Y31" s="220"/>
    </row>
    <row r="32" spans="1:25" ht="20.100000000000001" customHeight="1" x14ac:dyDescent="0.25">
      <c r="A32" s="5" t="str">
        <f>HYPERLINK("#'8.1.1.1-2 Transport fuel'!A1", "8.1.1.1-2 Transport fuel")</f>
        <v>8.1.1.1-2 Transport fuel</v>
      </c>
      <c r="D32" s="1" t="s">
        <v>713</v>
      </c>
      <c r="E32" s="29" t="str">
        <f>Common_InputFunctions.Utility_LookupValueInTable($E$31,Table_SourceData_WetDryZones[Climate zone],Table_SourceData_WetDryZones[Wet or Dry Zone])</f>
        <v>Dry climate zone</v>
      </c>
      <c r="F32" s="1"/>
      <c r="G32" s="217"/>
      <c r="L32" s="220"/>
      <c r="M32" s="220"/>
      <c r="N32" s="220"/>
      <c r="O32" s="220"/>
      <c r="P32" s="220"/>
      <c r="Q32" s="220"/>
      <c r="R32" s="220"/>
      <c r="S32" s="220"/>
      <c r="T32" s="220"/>
      <c r="U32" s="220"/>
      <c r="V32" s="220"/>
      <c r="W32" s="220"/>
      <c r="X32" s="220"/>
      <c r="Y32" s="220"/>
    </row>
    <row r="33" spans="1:25" ht="20.100000000000001" customHeight="1" x14ac:dyDescent="0.25">
      <c r="A33" s="5" t="str">
        <f>HYPERLINK("#'8.2.1.1-2 Stationary fuel'!A1", "8.2.1.1-2 Stationary fuel")</f>
        <v>8.2.1.1-2 Stationary fuel</v>
      </c>
      <c r="D33" s="1" t="s">
        <v>714</v>
      </c>
      <c r="E33" s="29" t="str">
        <f>Common_InputFunctions.Utility_LookupItemFromMinMax(E25,Table_SourceData_TemperatureZones[Min MAT],Table_SourceData_TemperatureZones[Max MAT],Table_SourceData_TemperatureZones[Temperature Zone])</f>
        <v>Temperate</v>
      </c>
      <c r="G33" s="221"/>
      <c r="L33" s="220"/>
      <c r="M33" s="220"/>
      <c r="N33" s="220"/>
      <c r="O33" s="220"/>
      <c r="P33" s="220"/>
      <c r="Q33" s="220"/>
      <c r="R33" s="220"/>
      <c r="S33" s="220"/>
      <c r="T33" s="220"/>
      <c r="U33" s="220"/>
      <c r="V33" s="220"/>
      <c r="W33" s="220"/>
      <c r="X33" s="220"/>
      <c r="Y33" s="220"/>
    </row>
    <row r="34" spans="1:25" ht="20.100000000000001" customHeight="1" x14ac:dyDescent="0.25">
      <c r="A34" s="5" t="str">
        <f>HYPERLINK("#'14.1.1-2 Purchased electricity'!A1", "14.1.1-2 Purchased electricity")</f>
        <v>14.1.1-2 Purchased electricity</v>
      </c>
      <c r="J34" s="222"/>
      <c r="K34" s="223"/>
      <c r="L34" s="220"/>
      <c r="M34" s="220"/>
      <c r="N34" s="220"/>
      <c r="O34" s="220"/>
      <c r="P34" s="220"/>
      <c r="Q34" s="220"/>
      <c r="R34" s="220"/>
      <c r="S34" s="220"/>
      <c r="T34" s="220"/>
      <c r="U34" s="220"/>
      <c r="V34" s="220"/>
      <c r="W34" s="220"/>
      <c r="X34" s="220"/>
      <c r="Y34" s="220"/>
    </row>
    <row r="35" spans="1:25" ht="20.100000000000001" customHeight="1" x14ac:dyDescent="0.25">
      <c r="A35"/>
      <c r="J35" s="222"/>
      <c r="K35" s="223"/>
      <c r="L35" s="220"/>
      <c r="M35" s="220"/>
      <c r="N35" s="220"/>
      <c r="O35" s="220"/>
      <c r="P35" s="220"/>
      <c r="Q35" s="220"/>
      <c r="R35" s="220"/>
      <c r="S35" s="220"/>
      <c r="T35" s="220"/>
      <c r="U35" s="220"/>
      <c r="V35" s="220"/>
      <c r="W35" s="220"/>
      <c r="X35" s="220"/>
      <c r="Y35" s="220"/>
    </row>
    <row r="36" spans="1:25" ht="20.100000000000001" customHeight="1" x14ac:dyDescent="0.25">
      <c r="A36"/>
      <c r="D36" s="224"/>
      <c r="E36" s="224"/>
      <c r="F36" s="225"/>
      <c r="G36" s="222"/>
      <c r="H36" s="222"/>
      <c r="I36" s="226"/>
      <c r="J36" s="222"/>
      <c r="K36" s="223"/>
      <c r="L36" s="220"/>
      <c r="M36" s="220"/>
      <c r="N36" s="220"/>
      <c r="O36" s="220"/>
      <c r="P36" s="220"/>
      <c r="Q36" s="220"/>
      <c r="R36" s="220"/>
      <c r="S36" s="220"/>
      <c r="T36" s="220"/>
      <c r="U36" s="220"/>
      <c r="V36" s="220"/>
      <c r="W36" s="220"/>
      <c r="X36" s="220"/>
      <c r="Y36" s="220"/>
    </row>
    <row r="37" spans="1:25" ht="20.100000000000001" customHeight="1" x14ac:dyDescent="0.25">
      <c r="A37" s="243" t="s">
        <v>1</v>
      </c>
      <c r="D37" s="224"/>
      <c r="E37" s="224"/>
      <c r="F37" s="225"/>
      <c r="G37" s="222"/>
      <c r="H37" s="222"/>
      <c r="I37" s="226"/>
      <c r="J37" s="222"/>
      <c r="K37" s="223"/>
      <c r="L37" s="220"/>
      <c r="M37" s="220"/>
      <c r="N37" s="220"/>
      <c r="O37" s="220"/>
      <c r="P37" s="220"/>
      <c r="Q37" s="220"/>
      <c r="R37" s="220"/>
      <c r="S37" s="220"/>
      <c r="T37" s="220"/>
      <c r="U37" s="220"/>
      <c r="V37" s="220"/>
      <c r="W37" s="220"/>
      <c r="X37" s="220"/>
      <c r="Y37" s="220"/>
    </row>
    <row r="38" spans="1:25" ht="20.100000000000001" customHeight="1" x14ac:dyDescent="0.25">
      <c r="A38" s="5" t="str">
        <f>HYPERLINK("#'Constants - Pasture Beef'!A1", "Constants - Pasture Beef")</f>
        <v>Constants - Pasture Beef</v>
      </c>
      <c r="D38" s="224"/>
      <c r="E38" s="224"/>
      <c r="F38" s="225"/>
      <c r="G38" s="222"/>
      <c r="H38" s="222"/>
      <c r="I38" s="226"/>
      <c r="J38" s="222"/>
      <c r="K38" s="223"/>
      <c r="L38" s="220"/>
      <c r="M38" s="220"/>
      <c r="N38" s="220"/>
      <c r="O38" s="220"/>
      <c r="P38" s="220"/>
      <c r="Q38" s="220"/>
      <c r="R38" s="220"/>
      <c r="S38" s="220"/>
      <c r="T38" s="220"/>
      <c r="U38" s="220"/>
      <c r="V38" s="220"/>
      <c r="W38" s="220"/>
      <c r="X38" s="220"/>
      <c r="Y38" s="220"/>
    </row>
    <row r="39" spans="1:25" ht="20.100000000000001" customHeight="1" x14ac:dyDescent="0.25">
      <c r="A39" s="5" t="str">
        <f>HYPERLINK("#'Constants - Ag Residue'!A1", "Constants - Ag residue")</f>
        <v>Constants - Ag residue</v>
      </c>
      <c r="D39" s="224"/>
      <c r="E39" s="224"/>
      <c r="F39" s="225"/>
      <c r="G39" s="222"/>
      <c r="H39" s="222"/>
      <c r="I39" s="226"/>
      <c r="J39" s="222"/>
      <c r="K39" s="223"/>
      <c r="L39" s="220"/>
      <c r="M39" s="220"/>
      <c r="N39" s="220"/>
      <c r="O39" s="220"/>
      <c r="P39" s="220"/>
      <c r="Q39" s="220"/>
      <c r="R39" s="220"/>
      <c r="S39" s="220"/>
      <c r="T39" s="220"/>
      <c r="U39" s="220"/>
      <c r="V39" s="220"/>
      <c r="W39" s="220"/>
      <c r="X39" s="220"/>
      <c r="Y39" s="220"/>
    </row>
    <row r="40" spans="1:25" ht="20.100000000000001" customHeight="1" x14ac:dyDescent="0.25">
      <c r="A40" s="5" t="str">
        <f>HYPERLINK("#'Constants - Livestock'!A1", "Constants - Livestock")</f>
        <v>Constants - Livestock</v>
      </c>
      <c r="D40" s="227"/>
      <c r="E40" s="227"/>
      <c r="F40" s="227"/>
      <c r="G40" s="228"/>
      <c r="H40" s="229"/>
      <c r="I40" s="229"/>
      <c r="J40" s="229"/>
      <c r="K40" s="229"/>
      <c r="L40" s="230"/>
      <c r="M40" s="230"/>
      <c r="N40" s="230"/>
      <c r="O40" s="230"/>
      <c r="P40" s="230"/>
      <c r="Q40" s="230"/>
      <c r="R40" s="230"/>
      <c r="S40" s="230"/>
      <c r="T40" s="230"/>
      <c r="U40" s="230"/>
      <c r="V40" s="230"/>
      <c r="W40" s="230"/>
      <c r="X40" s="230"/>
      <c r="Y40" s="230"/>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231"/>
      <c r="E47" s="231"/>
      <c r="F47" s="231"/>
      <c r="G47" s="231"/>
      <c r="H47" s="231"/>
    </row>
    <row r="48" spans="1:25" ht="20.100000000000001" customHeight="1" x14ac:dyDescent="0.25">
      <c r="A48"/>
      <c r="D48" s="232"/>
      <c r="E48" s="232"/>
      <c r="F48" s="233"/>
      <c r="G48" s="233"/>
      <c r="H48" s="232"/>
    </row>
    <row r="49" spans="1:8" ht="20.100000000000001" customHeight="1" x14ac:dyDescent="0.25">
      <c r="A49"/>
      <c r="D49" s="232"/>
      <c r="E49" s="232"/>
      <c r="F49" s="233"/>
      <c r="G49" s="233"/>
      <c r="H49" s="232"/>
    </row>
    <row r="50" spans="1:8" ht="20.100000000000001" customHeight="1" x14ac:dyDescent="0.25">
      <c r="A50"/>
      <c r="D50" s="232"/>
      <c r="E50" s="232"/>
      <c r="F50" s="233"/>
      <c r="G50" s="233"/>
      <c r="H50" s="232"/>
    </row>
    <row r="51" spans="1:8" ht="20.100000000000001" customHeight="1" x14ac:dyDescent="0.25">
      <c r="A51"/>
      <c r="D51" s="234"/>
      <c r="E51" s="235"/>
      <c r="F51" s="235"/>
      <c r="G51" s="235"/>
      <c r="H51" s="236"/>
    </row>
    <row r="52" spans="1:8" ht="20.100000000000001" customHeight="1" x14ac:dyDescent="0.25">
      <c r="A52"/>
    </row>
    <row r="53" spans="1:8" ht="20.100000000000001" customHeight="1" x14ac:dyDescent="0.25">
      <c r="A53"/>
    </row>
    <row r="54" spans="1:8" ht="20.100000000000001" customHeight="1" x14ac:dyDescent="0.25">
      <c r="A54"/>
      <c r="G54" s="237"/>
    </row>
    <row r="55" spans="1:8" ht="20.100000000000001" customHeight="1" x14ac:dyDescent="0.25">
      <c r="A55"/>
      <c r="D55" s="2"/>
    </row>
    <row r="56" spans="1:8" ht="20.100000000000001" customHeight="1" x14ac:dyDescent="0.25">
      <c r="A56"/>
    </row>
    <row r="57" spans="1:8" ht="20.100000000000001" customHeight="1" x14ac:dyDescent="0.25">
      <c r="A57"/>
      <c r="D57" s="190"/>
      <c r="F57" s="238"/>
    </row>
    <row r="58" spans="1:8" ht="20.100000000000001" customHeight="1" x14ac:dyDescent="0.25">
      <c r="A58"/>
      <c r="D58" s="1"/>
      <c r="E58" s="239"/>
    </row>
    <row r="59" spans="1:8" ht="20.100000000000001" customHeight="1" x14ac:dyDescent="0.25">
      <c r="A59"/>
      <c r="D59" s="1"/>
      <c r="E59" s="239"/>
    </row>
    <row r="60" spans="1:8" ht="20.100000000000001" customHeight="1" x14ac:dyDescent="0.25">
      <c r="A60"/>
      <c r="D60" s="1"/>
      <c r="E60" s="240"/>
    </row>
    <row r="61" spans="1:8" ht="20.100000000000001" customHeight="1" x14ac:dyDescent="0.25">
      <c r="A61"/>
      <c r="D61" s="1"/>
    </row>
    <row r="62" spans="1:8" ht="20.100000000000001" customHeight="1" x14ac:dyDescent="0.25">
      <c r="A62"/>
    </row>
    <row r="63" spans="1:8" ht="20.100000000000001" customHeight="1" x14ac:dyDescent="0.25">
      <c r="A63"/>
      <c r="D63" s="190"/>
    </row>
    <row r="64" spans="1:8" ht="20.100000000000001" customHeight="1" x14ac:dyDescent="0.25">
      <c r="A64"/>
      <c r="D64" s="1"/>
      <c r="E64" s="239"/>
    </row>
    <row r="65" spans="1:9" ht="20.100000000000001" customHeight="1" x14ac:dyDescent="0.25">
      <c r="A65"/>
      <c r="D65" s="1"/>
      <c r="E65" s="239"/>
    </row>
    <row r="66" spans="1:9" ht="20.100000000000001" customHeight="1" x14ac:dyDescent="0.25">
      <c r="A66"/>
      <c r="D66" s="1"/>
      <c r="E66" s="240"/>
    </row>
    <row r="67" spans="1:9" ht="20.100000000000001" customHeight="1" x14ac:dyDescent="0.25">
      <c r="A67"/>
    </row>
    <row r="68" spans="1:9" ht="20.100000000000001" customHeight="1" x14ac:dyDescent="0.25">
      <c r="A68"/>
    </row>
    <row r="69" spans="1:9" ht="20.100000000000001" customHeight="1" x14ac:dyDescent="0.25">
      <c r="A69"/>
      <c r="D69" s="241"/>
      <c r="E69" s="241"/>
      <c r="F69" s="241"/>
      <c r="G69" s="241"/>
      <c r="H69" s="241"/>
      <c r="I69" s="241"/>
    </row>
    <row r="70" spans="1:9" ht="20.100000000000001" customHeight="1" x14ac:dyDescent="0.25">
      <c r="A70"/>
      <c r="D70" s="241"/>
      <c r="E70" s="241"/>
      <c r="F70" s="241"/>
      <c r="G70" s="241"/>
      <c r="H70" s="241"/>
      <c r="I70" s="241"/>
    </row>
    <row r="71" spans="1:9" ht="20.100000000000001" customHeight="1" x14ac:dyDescent="0.25">
      <c r="A71"/>
      <c r="D71" s="241"/>
      <c r="E71" s="241"/>
      <c r="F71" s="241"/>
      <c r="G71" s="241"/>
      <c r="H71" s="241"/>
      <c r="I71" s="241"/>
    </row>
    <row r="72" spans="1:9" ht="20.100000000000001" customHeight="1" x14ac:dyDescent="0.25">
      <c r="A72"/>
      <c r="D72" s="241"/>
      <c r="E72" s="241"/>
      <c r="F72" s="241"/>
      <c r="G72" s="241"/>
      <c r="H72" s="241"/>
      <c r="I72" s="2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42"/>
    </row>
    <row r="79" spans="1:9" ht="20.100000000000001" customHeight="1" x14ac:dyDescent="0.25">
      <c r="A79"/>
      <c r="D79" s="242"/>
    </row>
    <row r="80" spans="1:9" ht="20.100000000000001" customHeight="1" x14ac:dyDescent="0.25">
      <c r="A80"/>
      <c r="D80" s="242"/>
    </row>
    <row r="81" spans="1:4" ht="20.100000000000001" customHeight="1" x14ac:dyDescent="0.25">
      <c r="A81"/>
      <c r="D81" s="242"/>
    </row>
    <row r="82" spans="1:4" ht="20.100000000000001" customHeight="1" x14ac:dyDescent="0.25">
      <c r="A82"/>
      <c r="D82" s="2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B4C7C6C1-CD72-4E2C-9CD9-4F311F35236A}">
      <formula1>"YES - In leaching zone, NO - Not in leaching zone"</formula1>
    </dataValidation>
    <dataValidation type="list" allowBlank="1" showInputMessage="1" showErrorMessage="1" sqref="G36:G39" xr:uid="{21BBEBDD-B80A-4960-B0FA-825CF06FD9DD}">
      <formula1>$D$41:$D$43</formula1>
    </dataValidation>
    <dataValidation type="list" allowBlank="1" showInputMessage="1" showErrorMessage="1" sqref="E22" xr:uid="{DC0F38E0-C9CC-4213-9F11-785EFE1C7BAD}">
      <formula1>INDIRECT("Table_WASA4Areas[SA 4 Name]")</formula1>
    </dataValidation>
    <dataValidation type="list" allowBlank="1" showInputMessage="1" showErrorMessage="1" sqref="E21" xr:uid="{46DD71A5-E599-4A88-972E-DD208E7E1EB0}">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87460-8409-46FD-84CB-CE6723ABE3F8}">
  <dimension ref="A1:Y356"/>
  <sheetViews>
    <sheetView showGridLines="0" topLeftCell="A17"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5" customWidth="1"/>
    <col min="19" max="24" width="30.7109375" style="25" customWidth="1"/>
    <col min="25" max="25" width="4.7109375" style="25" customWidth="1"/>
  </cols>
  <sheetData>
    <row r="1" spans="1:25" s="18" customFormat="1" ht="30" customHeight="1" x14ac:dyDescent="0.35">
      <c r="A1" s="18" t="e" vm="1">
        <v>#VALUE!</v>
      </c>
      <c r="C1" s="18" t="s">
        <v>20</v>
      </c>
      <c r="Q1" s="25"/>
      <c r="R1" s="25"/>
      <c r="S1" s="25"/>
      <c r="T1" s="25"/>
      <c r="U1" s="25"/>
      <c r="V1" s="25"/>
      <c r="W1" s="25"/>
      <c r="X1" s="25"/>
      <c r="Y1" s="25"/>
    </row>
    <row r="2" spans="1:25" s="3" customFormat="1" ht="20.100000000000001" customHeight="1" x14ac:dyDescent="0.25">
      <c r="A2"/>
      <c r="Q2" s="25"/>
      <c r="R2" s="25"/>
      <c r="S2" s="25"/>
      <c r="T2" s="25"/>
      <c r="U2" s="25"/>
      <c r="V2" s="25"/>
      <c r="W2" s="25"/>
      <c r="X2" s="25"/>
      <c r="Y2" s="25"/>
    </row>
    <row r="3" spans="1:25" ht="20.100000000000001" customHeight="1" x14ac:dyDescent="0.25">
      <c r="A3" s="5" t="str">
        <f>HYPERLINK("#'Home'!A1", "Home")</f>
        <v>Home</v>
      </c>
      <c r="C3" s="26"/>
      <c r="D3" s="26"/>
      <c r="E3" s="26"/>
      <c r="F3" s="26"/>
      <c r="G3" s="26"/>
      <c r="H3" s="26"/>
      <c r="I3" s="26"/>
      <c r="J3" s="26"/>
      <c r="K3" s="26"/>
      <c r="L3" s="26"/>
      <c r="M3" s="26"/>
      <c r="N3" s="26"/>
      <c r="O3" s="26"/>
      <c r="P3" s="26"/>
    </row>
    <row r="4" spans="1:25" ht="20.100000000000001" customHeight="1" x14ac:dyDescent="0.25">
      <c r="A4" s="5" t="str">
        <f>HYPERLINK("#'Results'!A1", "Results")</f>
        <v>Results</v>
      </c>
    </row>
    <row r="5" spans="1:25" ht="20.100000000000001" customHeight="1" x14ac:dyDescent="0.25">
      <c r="D5" s="2" t="s">
        <v>21</v>
      </c>
      <c r="P5" s="27"/>
      <c r="T5" s="28"/>
    </row>
    <row r="6" spans="1:25" ht="20.100000000000001" customHeight="1" x14ac:dyDescent="0.25">
      <c r="P6" s="27"/>
      <c r="T6" s="28"/>
    </row>
    <row r="7" spans="1:25" ht="20.100000000000001" customHeight="1" x14ac:dyDescent="0.25">
      <c r="A7" s="7" t="s">
        <v>0</v>
      </c>
      <c r="D7" s="1" t="s">
        <v>22</v>
      </c>
      <c r="E7" s="29" t="str">
        <f>X_Cell_Site_State</f>
        <v>Western Australia</v>
      </c>
      <c r="P7" s="27"/>
      <c r="T7" s="28"/>
    </row>
    <row r="8" spans="1:25" ht="20.100000000000001" customHeight="1" x14ac:dyDescent="0.25">
      <c r="A8" s="5" t="str">
        <f>HYPERLINK("#'Input - Enterprise'!A1", "Enterprise")</f>
        <v>Enterprise</v>
      </c>
      <c r="D8" s="1" t="s">
        <v>23</v>
      </c>
      <c r="E8" s="31" t="s">
        <v>24</v>
      </c>
      <c r="F8" s="32" t="s">
        <v>25</v>
      </c>
      <c r="P8" s="27"/>
      <c r="T8" s="28"/>
    </row>
    <row r="9" spans="1:25" ht="20.100000000000001" customHeight="1" x14ac:dyDescent="0.25">
      <c r="A9" s="5" t="str">
        <f>HYPERLINK("#'Input - Site'!A1", "Site")</f>
        <v>Site</v>
      </c>
      <c r="D9" s="1" t="s">
        <v>26</v>
      </c>
      <c r="E9" s="31" t="s">
        <v>27</v>
      </c>
      <c r="F9" s="32" t="s">
        <v>25</v>
      </c>
      <c r="T9" s="28"/>
    </row>
    <row r="10" spans="1:25" ht="20.100000000000001" customHeight="1" x14ac:dyDescent="0.25">
      <c r="A10" s="30" t="str">
        <f>HYPERLINK("#'Input - Pasture Beef'!A1", "Pasture Beef")</f>
        <v>Pasture Beef</v>
      </c>
      <c r="T10" s="28"/>
    </row>
    <row r="11" spans="1:25" ht="20.100000000000001" customHeight="1" x14ac:dyDescent="0.25">
      <c r="A11" s="5" t="str">
        <f>HYPERLINK("#'Input - Pasture Beef (Enteric)'!A1", "Pasture Beef (Enteric)")</f>
        <v>Pasture Beef (Enteric)</v>
      </c>
      <c r="T11" s="28"/>
    </row>
    <row r="12" spans="1:25" ht="20.100000000000001" customHeight="1" x14ac:dyDescent="0.25">
      <c r="A12" s="5" t="str">
        <f>HYPERLINK("#'Input - Pasture'!A1", "Pasture")</f>
        <v>Pasture</v>
      </c>
      <c r="D12" s="33" t="s">
        <v>28</v>
      </c>
      <c r="E12" s="34"/>
      <c r="F12" s="34"/>
      <c r="G12" s="35"/>
      <c r="T12" s="28"/>
    </row>
    <row r="13" spans="1:25" ht="20.100000000000001" customHeight="1" x14ac:dyDescent="0.25">
      <c r="A13" s="5" t="str">
        <f>HYPERLINK("#'Input - Fertiliser'!A1", "Fertiliser")</f>
        <v>Fertiliser</v>
      </c>
      <c r="T13" s="36"/>
    </row>
    <row r="14" spans="1:25" ht="20.100000000000001" customHeight="1" x14ac:dyDescent="0.25">
      <c r="A14" s="5" t="str">
        <f>HYPERLINK("#'Input - Fuel'!A1", "Fuel")</f>
        <v>Fuel</v>
      </c>
      <c r="D14" s="37" t="s">
        <v>29</v>
      </c>
      <c r="T14" s="36"/>
    </row>
    <row r="15" spans="1:25" ht="20.100000000000001" customHeight="1" x14ac:dyDescent="0.25">
      <c r="A15" s="5" t="str">
        <f>HYPERLINK("#'Input - Electricity'!A1", "Electricity")</f>
        <v>Electricity</v>
      </c>
      <c r="D15" s="38" t="s">
        <v>30</v>
      </c>
      <c r="E15" s="38" t="s">
        <v>31</v>
      </c>
      <c r="F15" s="38" t="s">
        <v>32</v>
      </c>
      <c r="G15" s="38" t="s">
        <v>33</v>
      </c>
      <c r="H15" s="38" t="s">
        <v>34</v>
      </c>
      <c r="I15" s="38" t="s">
        <v>35</v>
      </c>
      <c r="J15" s="38" t="s">
        <v>36</v>
      </c>
      <c r="K15" s="38" t="s">
        <v>37</v>
      </c>
      <c r="L15" s="38" t="s">
        <v>38</v>
      </c>
      <c r="M15" s="38" t="s">
        <v>39</v>
      </c>
      <c r="N15" s="38" t="s">
        <v>40</v>
      </c>
      <c r="T15" s="36"/>
    </row>
    <row r="16" spans="1:25" ht="20.100000000000001" customHeight="1" x14ac:dyDescent="0.25">
      <c r="D16" s="1" t="s">
        <v>41</v>
      </c>
      <c r="E16" s="29">
        <v>91.25</v>
      </c>
      <c r="F16" s="29">
        <v>91.25</v>
      </c>
      <c r="G16" s="29">
        <v>91.25</v>
      </c>
      <c r="H16" s="29">
        <v>91.25</v>
      </c>
      <c r="I16" s="29">
        <v>91.25</v>
      </c>
      <c r="J16" s="29">
        <v>91.25</v>
      </c>
      <c r="K16" s="29">
        <v>91.25</v>
      </c>
      <c r="L16" s="29">
        <v>91.25</v>
      </c>
      <c r="M16" s="29">
        <v>91.25</v>
      </c>
      <c r="N16" s="29">
        <v>91.25</v>
      </c>
      <c r="O16" s="32" t="s">
        <v>42</v>
      </c>
      <c r="T16" s="36"/>
    </row>
    <row r="17" spans="1:20" ht="20.100000000000001" customHeight="1" x14ac:dyDescent="0.25">
      <c r="D17" s="1" t="s">
        <v>43</v>
      </c>
      <c r="E17" s="29">
        <v>91.25</v>
      </c>
      <c r="F17" s="29">
        <v>91.25</v>
      </c>
      <c r="G17" s="29">
        <v>91.25</v>
      </c>
      <c r="H17" s="29">
        <v>91.25</v>
      </c>
      <c r="I17" s="29">
        <v>91.25</v>
      </c>
      <c r="J17" s="29">
        <v>91.25</v>
      </c>
      <c r="K17" s="29">
        <v>91.25</v>
      </c>
      <c r="L17" s="29">
        <v>91.25</v>
      </c>
      <c r="M17" s="29">
        <v>91.25</v>
      </c>
      <c r="N17" s="29">
        <v>91.25</v>
      </c>
      <c r="O17" s="32" t="s">
        <v>42</v>
      </c>
      <c r="T17" s="28"/>
    </row>
    <row r="18" spans="1:20" ht="20.100000000000001" customHeight="1" x14ac:dyDescent="0.25">
      <c r="A18" s="6" t="s">
        <v>3</v>
      </c>
      <c r="D18" s="1" t="s">
        <v>44</v>
      </c>
      <c r="E18" s="29">
        <v>91.25</v>
      </c>
      <c r="F18" s="29">
        <v>91.25</v>
      </c>
      <c r="G18" s="29">
        <v>91.25</v>
      </c>
      <c r="H18" s="29">
        <v>91.25</v>
      </c>
      <c r="I18" s="29">
        <v>91.25</v>
      </c>
      <c r="J18" s="29">
        <v>91.25</v>
      </c>
      <c r="K18" s="29">
        <v>91.25</v>
      </c>
      <c r="L18" s="29">
        <v>91.25</v>
      </c>
      <c r="M18" s="29">
        <v>91.25</v>
      </c>
      <c r="N18" s="29">
        <v>91.25</v>
      </c>
      <c r="O18" s="32" t="s">
        <v>42</v>
      </c>
      <c r="T18" s="28"/>
    </row>
    <row r="19" spans="1:20" ht="20.100000000000001" customHeight="1" x14ac:dyDescent="0.25">
      <c r="A19" s="5" t="str">
        <f>HYPERLINK("#'3.2.1.1-2 Enteric Methane'!A1", "3.2.1.1-2 Enteric methane")</f>
        <v>3.2.1.1-2 Enteric methane</v>
      </c>
      <c r="D19" s="1" t="s">
        <v>45</v>
      </c>
      <c r="E19" s="29">
        <v>91.25</v>
      </c>
      <c r="F19" s="29">
        <v>91.25</v>
      </c>
      <c r="G19" s="29">
        <v>91.25</v>
      </c>
      <c r="H19" s="29">
        <v>91.25</v>
      </c>
      <c r="I19" s="29">
        <v>91.25</v>
      </c>
      <c r="J19" s="29">
        <v>91.25</v>
      </c>
      <c r="K19" s="29">
        <v>91.25</v>
      </c>
      <c r="L19" s="29">
        <v>91.25</v>
      </c>
      <c r="M19" s="29">
        <v>91.25</v>
      </c>
      <c r="N19" s="29">
        <v>91.25</v>
      </c>
      <c r="O19" s="32" t="s">
        <v>42</v>
      </c>
      <c r="T19" s="28"/>
    </row>
    <row r="20" spans="1:20" ht="20.100000000000001" customHeight="1" x14ac:dyDescent="0.25">
      <c r="A20" s="5" t="str">
        <f>HYPERLINK("#'4.2.1.1-2 Methane'!A1", "4.2.1.1-2 Manure methane")</f>
        <v>4.2.1.1-2 Manure methane</v>
      </c>
      <c r="T20" s="28"/>
    </row>
    <row r="21" spans="1:20" ht="20.100000000000001" customHeight="1" x14ac:dyDescent="0.25">
      <c r="A21" s="5" t="str">
        <f>HYPERLINK("#'4.2.1.3-4 Soil direct N20'!A1", "4.2.1.3-4 Soil direct N2O")</f>
        <v>4.2.1.3-4 Soil direct N2O</v>
      </c>
      <c r="D21" s="38" t="s">
        <v>46</v>
      </c>
      <c r="E21" s="38" t="s">
        <v>31</v>
      </c>
      <c r="F21" s="38" t="s">
        <v>32</v>
      </c>
      <c r="G21" s="38" t="s">
        <v>33</v>
      </c>
      <c r="H21" s="38" t="s">
        <v>34</v>
      </c>
      <c r="I21" s="38" t="s">
        <v>35</v>
      </c>
      <c r="J21" s="38" t="s">
        <v>36</v>
      </c>
      <c r="K21" s="38" t="s">
        <v>37</v>
      </c>
      <c r="L21" s="38" t="s">
        <v>38</v>
      </c>
      <c r="M21" s="38" t="s">
        <v>39</v>
      </c>
      <c r="N21" s="38" t="s">
        <v>40</v>
      </c>
      <c r="T21" s="28"/>
    </row>
    <row r="22" spans="1:20" ht="20.100000000000001" customHeight="1" x14ac:dyDescent="0.25">
      <c r="A22" s="5" t="str">
        <f>HYPERLINK("#'4.2.1.5-6 Soil Atmos Dep'!A1", "4.2.1.5-6 Soil atm. deposition")</f>
        <v>4.2.1.5-6 Soil atm. deposition</v>
      </c>
      <c r="D22" s="1" t="str">
        <f>TEXT('Input - Site'!$E$12, "mmmm yyyy")</f>
        <v>January 2024</v>
      </c>
      <c r="E22" s="39">
        <f t="shared" ref="E22:N33" si="0">DAY(EOMONTH($D22,0))</f>
        <v>31</v>
      </c>
      <c r="F22" s="39">
        <f t="shared" si="0"/>
        <v>31</v>
      </c>
      <c r="G22" s="39">
        <f t="shared" si="0"/>
        <v>31</v>
      </c>
      <c r="H22" s="39">
        <f t="shared" si="0"/>
        <v>31</v>
      </c>
      <c r="I22" s="39">
        <f t="shared" si="0"/>
        <v>31</v>
      </c>
      <c r="J22" s="39">
        <f t="shared" si="0"/>
        <v>31</v>
      </c>
      <c r="K22" s="39">
        <f t="shared" si="0"/>
        <v>31</v>
      </c>
      <c r="L22" s="39">
        <f t="shared" si="0"/>
        <v>31</v>
      </c>
      <c r="M22" s="39">
        <f t="shared" si="0"/>
        <v>31</v>
      </c>
      <c r="N22" s="39">
        <f t="shared" si="0"/>
        <v>31</v>
      </c>
      <c r="O22" s="32" t="s">
        <v>42</v>
      </c>
      <c r="T22" s="28"/>
    </row>
    <row r="23" spans="1:20" ht="20.100000000000001" customHeight="1" x14ac:dyDescent="0.25">
      <c r="A23" s="5" t="str">
        <f>HYPERLINK("#'4.2.1.7-8 Soil leach runoff'!A1", "4.2.1.7-8 Soil leach &amp; runoff")</f>
        <v>4.2.1.7-8 Soil leach &amp; runoff</v>
      </c>
      <c r="D23" s="1" t="str">
        <f>TEXT(EDATE('Input - Site'!$E$12,1), "mmmm yyyy")</f>
        <v>February 2024</v>
      </c>
      <c r="E23" s="39">
        <f t="shared" si="0"/>
        <v>29</v>
      </c>
      <c r="F23" s="39">
        <f t="shared" si="0"/>
        <v>29</v>
      </c>
      <c r="G23" s="39">
        <f t="shared" si="0"/>
        <v>29</v>
      </c>
      <c r="H23" s="39">
        <f t="shared" si="0"/>
        <v>29</v>
      </c>
      <c r="I23" s="39">
        <f t="shared" si="0"/>
        <v>29</v>
      </c>
      <c r="J23" s="39">
        <f t="shared" si="0"/>
        <v>29</v>
      </c>
      <c r="K23" s="39">
        <f t="shared" si="0"/>
        <v>29</v>
      </c>
      <c r="L23" s="39">
        <f t="shared" si="0"/>
        <v>29</v>
      </c>
      <c r="M23" s="39">
        <f t="shared" si="0"/>
        <v>29</v>
      </c>
      <c r="N23" s="39">
        <f t="shared" si="0"/>
        <v>29</v>
      </c>
      <c r="O23" s="32" t="s">
        <v>42</v>
      </c>
      <c r="T23" s="28"/>
    </row>
    <row r="24" spans="1:20" ht="20.100000000000001" customHeight="1" x14ac:dyDescent="0.25">
      <c r="A24" s="5" t="str">
        <f>HYPERLINK("#'5.1.1.1-2 Inorganic fert N2O'!A1", "5.1.1.1-2 Inorganic fert N2O")</f>
        <v>5.1.1.1-2 Inorganic fert N2O</v>
      </c>
      <c r="D24" s="1" t="str">
        <f>TEXT(EDATE('Input - Site'!$E$12,2), "mmmm yyyy")</f>
        <v>March 2024</v>
      </c>
      <c r="E24" s="39">
        <f t="shared" si="0"/>
        <v>31</v>
      </c>
      <c r="F24" s="39">
        <f t="shared" si="0"/>
        <v>31</v>
      </c>
      <c r="G24" s="39">
        <f t="shared" si="0"/>
        <v>31</v>
      </c>
      <c r="H24" s="39">
        <f t="shared" si="0"/>
        <v>31</v>
      </c>
      <c r="I24" s="39">
        <f t="shared" si="0"/>
        <v>31</v>
      </c>
      <c r="J24" s="39">
        <f t="shared" si="0"/>
        <v>31</v>
      </c>
      <c r="K24" s="39">
        <f t="shared" si="0"/>
        <v>31</v>
      </c>
      <c r="L24" s="39">
        <f t="shared" si="0"/>
        <v>31</v>
      </c>
      <c r="M24" s="39">
        <f t="shared" si="0"/>
        <v>31</v>
      </c>
      <c r="N24" s="39">
        <f t="shared" si="0"/>
        <v>31</v>
      </c>
      <c r="O24" s="32" t="s">
        <v>42</v>
      </c>
      <c r="T24" s="28"/>
    </row>
    <row r="25" spans="1:20" ht="20.100000000000001" customHeight="1" x14ac:dyDescent="0.25">
      <c r="A25" s="5" t="str">
        <f>HYPERLINK("#'5.1.1.3-4 Inorganic fert CO2'!A1", "5.1.1.3-4 Inorganic fert CO2")</f>
        <v>5.1.1.3-4 Inorganic fert CO2</v>
      </c>
      <c r="D25" s="1" t="str">
        <f>TEXT(EDATE('Input - Site'!$E$12,3), "mmmm yyyy")</f>
        <v>April 2024</v>
      </c>
      <c r="E25" s="39">
        <f t="shared" si="0"/>
        <v>30</v>
      </c>
      <c r="F25" s="39">
        <f t="shared" si="0"/>
        <v>30</v>
      </c>
      <c r="G25" s="39">
        <f t="shared" si="0"/>
        <v>30</v>
      </c>
      <c r="H25" s="39">
        <f t="shared" si="0"/>
        <v>30</v>
      </c>
      <c r="I25" s="39">
        <f t="shared" si="0"/>
        <v>30</v>
      </c>
      <c r="J25" s="39">
        <f t="shared" si="0"/>
        <v>30</v>
      </c>
      <c r="K25" s="39">
        <f t="shared" si="0"/>
        <v>30</v>
      </c>
      <c r="L25" s="39">
        <f t="shared" si="0"/>
        <v>30</v>
      </c>
      <c r="M25" s="39">
        <f t="shared" si="0"/>
        <v>30</v>
      </c>
      <c r="N25" s="39">
        <f t="shared" si="0"/>
        <v>30</v>
      </c>
      <c r="O25" s="32" t="s">
        <v>42</v>
      </c>
      <c r="T25" s="28"/>
    </row>
    <row r="26" spans="1:20" ht="20.100000000000001" customHeight="1" x14ac:dyDescent="0.25">
      <c r="A26" s="5" t="str">
        <f>HYPERLINK("#'5.2.1.1-2 Organic Fert N2O'!A1", "5.2.1.1-2 Organic fert N2O")</f>
        <v>5.2.1.1-2 Organic fert N2O</v>
      </c>
      <c r="D26" s="1" t="str">
        <f>TEXT(EDATE('Input - Site'!$E$12,4), "mmmm yyyy")</f>
        <v>May 2024</v>
      </c>
      <c r="E26" s="39">
        <f t="shared" si="0"/>
        <v>31</v>
      </c>
      <c r="F26" s="39">
        <f t="shared" si="0"/>
        <v>31</v>
      </c>
      <c r="G26" s="39">
        <f t="shared" si="0"/>
        <v>31</v>
      </c>
      <c r="H26" s="39">
        <f t="shared" si="0"/>
        <v>31</v>
      </c>
      <c r="I26" s="39">
        <f t="shared" si="0"/>
        <v>31</v>
      </c>
      <c r="J26" s="39">
        <f t="shared" si="0"/>
        <v>31</v>
      </c>
      <c r="K26" s="39">
        <f t="shared" si="0"/>
        <v>31</v>
      </c>
      <c r="L26" s="39">
        <f t="shared" si="0"/>
        <v>31</v>
      </c>
      <c r="M26" s="39">
        <f t="shared" si="0"/>
        <v>31</v>
      </c>
      <c r="N26" s="39">
        <f t="shared" si="0"/>
        <v>31</v>
      </c>
      <c r="O26" s="32" t="s">
        <v>42</v>
      </c>
      <c r="T26" s="28"/>
    </row>
    <row r="27" spans="1:20" ht="20.100000000000001" customHeight="1" x14ac:dyDescent="0.25">
      <c r="A27" s="5" t="str">
        <f>HYPERLINK("#'5.3.1.1-2 Lime CO2'!A1", "5.3.1.1-2 Lime CO2")</f>
        <v>5.3.1.1-2 Lime CO2</v>
      </c>
      <c r="D27" s="1" t="str">
        <f>TEXT(EDATE('Input - Site'!$E$12,5), "mmmm yyyy")</f>
        <v>June 2024</v>
      </c>
      <c r="E27" s="39">
        <f t="shared" si="0"/>
        <v>30</v>
      </c>
      <c r="F27" s="39">
        <f t="shared" si="0"/>
        <v>30</v>
      </c>
      <c r="G27" s="39">
        <f t="shared" si="0"/>
        <v>30</v>
      </c>
      <c r="H27" s="39">
        <f t="shared" si="0"/>
        <v>30</v>
      </c>
      <c r="I27" s="39">
        <f t="shared" si="0"/>
        <v>30</v>
      </c>
      <c r="J27" s="39">
        <f t="shared" si="0"/>
        <v>30</v>
      </c>
      <c r="K27" s="39">
        <f t="shared" si="0"/>
        <v>30</v>
      </c>
      <c r="L27" s="39">
        <f t="shared" si="0"/>
        <v>30</v>
      </c>
      <c r="M27" s="39">
        <f t="shared" si="0"/>
        <v>30</v>
      </c>
      <c r="N27" s="39">
        <f t="shared" si="0"/>
        <v>30</v>
      </c>
      <c r="O27" s="32" t="s">
        <v>42</v>
      </c>
      <c r="T27" s="28"/>
    </row>
    <row r="28" spans="1:20" ht="20.100000000000001" customHeight="1" x14ac:dyDescent="0.25">
      <c r="A28" s="5" t="str">
        <f>HYPERLINK("#'5.4.1.1-4 Atmos deposition'!A1", "5.4.1.1-4 Atmos. deposition")</f>
        <v>5.4.1.1-4 Atmos. deposition</v>
      </c>
      <c r="D28" s="1" t="str">
        <f>TEXT(EDATE('Input - Site'!$E$12,6), "mmmm yyyy")</f>
        <v>July 2024</v>
      </c>
      <c r="E28" s="39">
        <f t="shared" si="0"/>
        <v>31</v>
      </c>
      <c r="F28" s="39">
        <f t="shared" si="0"/>
        <v>31</v>
      </c>
      <c r="G28" s="39">
        <f t="shared" si="0"/>
        <v>31</v>
      </c>
      <c r="H28" s="39">
        <f t="shared" si="0"/>
        <v>31</v>
      </c>
      <c r="I28" s="39">
        <f t="shared" si="0"/>
        <v>31</v>
      </c>
      <c r="J28" s="39">
        <f t="shared" si="0"/>
        <v>31</v>
      </c>
      <c r="K28" s="39">
        <f t="shared" si="0"/>
        <v>31</v>
      </c>
      <c r="L28" s="39">
        <f t="shared" si="0"/>
        <v>31</v>
      </c>
      <c r="M28" s="39">
        <f t="shared" si="0"/>
        <v>31</v>
      </c>
      <c r="N28" s="39">
        <f t="shared" si="0"/>
        <v>31</v>
      </c>
      <c r="O28" s="32" t="s">
        <v>42</v>
      </c>
      <c r="T28" s="28"/>
    </row>
    <row r="29" spans="1:20" ht="20.100000000000001" customHeight="1" x14ac:dyDescent="0.25">
      <c r="A29" s="5" t="str">
        <f>HYPERLINK("#'5.5.1.1-2 Leaching and runoff'!A1", "5.5.1.1-2 Leaching &amp; runoff")</f>
        <v>5.5.1.1-2 Leaching &amp; runoff</v>
      </c>
      <c r="D29" s="1" t="str">
        <f>TEXT(EDATE('Input - Site'!$E$12,7), "mmmm yyyy")</f>
        <v>August 2024</v>
      </c>
      <c r="E29" s="39">
        <f t="shared" si="0"/>
        <v>31</v>
      </c>
      <c r="F29" s="39">
        <f t="shared" si="0"/>
        <v>31</v>
      </c>
      <c r="G29" s="39">
        <f t="shared" si="0"/>
        <v>31</v>
      </c>
      <c r="H29" s="39">
        <f t="shared" si="0"/>
        <v>31</v>
      </c>
      <c r="I29" s="39">
        <f t="shared" si="0"/>
        <v>31</v>
      </c>
      <c r="J29" s="39">
        <f t="shared" si="0"/>
        <v>31</v>
      </c>
      <c r="K29" s="39">
        <f t="shared" si="0"/>
        <v>31</v>
      </c>
      <c r="L29" s="39">
        <f t="shared" si="0"/>
        <v>31</v>
      </c>
      <c r="M29" s="39">
        <f t="shared" si="0"/>
        <v>31</v>
      </c>
      <c r="N29" s="39">
        <f t="shared" si="0"/>
        <v>31</v>
      </c>
      <c r="O29" s="32" t="s">
        <v>42</v>
      </c>
      <c r="T29" s="28"/>
    </row>
    <row r="30" spans="1:20" ht="20.100000000000001" customHeight="1" x14ac:dyDescent="0.25">
      <c r="A30" s="5" t="str">
        <f>HYPERLINK("#'6.2.1.1-2 Pasture residue N2O'!A1", "6.2.1.1-2 Pasture residue N2O")</f>
        <v>6.2.1.1-2 Pasture residue N2O</v>
      </c>
      <c r="D30" s="1" t="str">
        <f>TEXT(EDATE('Input - Site'!$E$12,8), "mmmm yyyy")</f>
        <v>September 2024</v>
      </c>
      <c r="E30" s="39">
        <f t="shared" si="0"/>
        <v>30</v>
      </c>
      <c r="F30" s="39">
        <f t="shared" si="0"/>
        <v>30</v>
      </c>
      <c r="G30" s="39">
        <f t="shared" si="0"/>
        <v>30</v>
      </c>
      <c r="H30" s="39">
        <f t="shared" si="0"/>
        <v>30</v>
      </c>
      <c r="I30" s="39">
        <f t="shared" si="0"/>
        <v>30</v>
      </c>
      <c r="J30" s="39">
        <f t="shared" si="0"/>
        <v>30</v>
      </c>
      <c r="K30" s="39">
        <f t="shared" si="0"/>
        <v>30</v>
      </c>
      <c r="L30" s="39">
        <f t="shared" si="0"/>
        <v>30</v>
      </c>
      <c r="M30" s="39">
        <f t="shared" si="0"/>
        <v>30</v>
      </c>
      <c r="N30" s="39">
        <f t="shared" si="0"/>
        <v>30</v>
      </c>
      <c r="O30" s="32" t="s">
        <v>42</v>
      </c>
      <c r="T30" s="28"/>
    </row>
    <row r="31" spans="1:20" ht="20.100000000000001" customHeight="1" x14ac:dyDescent="0.25">
      <c r="A31" s="5" t="str">
        <f>HYPERLINK("#'6.3.1.1-2 Leach runoff pasture'!A1", "6.3.1.1-2 Leach &amp; runoff (pasture)")</f>
        <v>6.3.1.1-2 Leach &amp; runoff (pasture)</v>
      </c>
      <c r="D31" s="1" t="str">
        <f>TEXT(EDATE('Input - Site'!$E$12,9), "mmmm yyyy")</f>
        <v>October 2024</v>
      </c>
      <c r="E31" s="39">
        <f t="shared" si="0"/>
        <v>31</v>
      </c>
      <c r="F31" s="39">
        <f t="shared" si="0"/>
        <v>31</v>
      </c>
      <c r="G31" s="39">
        <f t="shared" si="0"/>
        <v>31</v>
      </c>
      <c r="H31" s="39">
        <f t="shared" si="0"/>
        <v>31</v>
      </c>
      <c r="I31" s="39">
        <f t="shared" si="0"/>
        <v>31</v>
      </c>
      <c r="J31" s="39">
        <f t="shared" si="0"/>
        <v>31</v>
      </c>
      <c r="K31" s="39">
        <f t="shared" si="0"/>
        <v>31</v>
      </c>
      <c r="L31" s="39">
        <f t="shared" si="0"/>
        <v>31</v>
      </c>
      <c r="M31" s="39">
        <f t="shared" si="0"/>
        <v>31</v>
      </c>
      <c r="N31" s="39">
        <f t="shared" si="0"/>
        <v>31</v>
      </c>
      <c r="O31" s="32" t="s">
        <v>42</v>
      </c>
      <c r="T31" s="28"/>
    </row>
    <row r="32" spans="1:20" ht="20.100000000000001" customHeight="1" x14ac:dyDescent="0.25">
      <c r="A32" s="5" t="str">
        <f>HYPERLINK("#'8.1.1.1-2 Transport fuel'!A1", "8.1.1.1-2 Transport fuel")</f>
        <v>8.1.1.1-2 Transport fuel</v>
      </c>
      <c r="D32" s="1" t="str">
        <f>TEXT(EDATE('Input - Site'!$E$12,10), "mmmm yyyy")</f>
        <v>November 2024</v>
      </c>
      <c r="E32" s="39">
        <f t="shared" si="0"/>
        <v>30</v>
      </c>
      <c r="F32" s="39">
        <f t="shared" si="0"/>
        <v>30</v>
      </c>
      <c r="G32" s="39">
        <f t="shared" si="0"/>
        <v>30</v>
      </c>
      <c r="H32" s="39">
        <f t="shared" si="0"/>
        <v>30</v>
      </c>
      <c r="I32" s="39">
        <f t="shared" si="0"/>
        <v>30</v>
      </c>
      <c r="J32" s="39">
        <f t="shared" si="0"/>
        <v>30</v>
      </c>
      <c r="K32" s="39">
        <f t="shared" si="0"/>
        <v>30</v>
      </c>
      <c r="L32" s="39">
        <f t="shared" si="0"/>
        <v>30</v>
      </c>
      <c r="M32" s="39">
        <f t="shared" si="0"/>
        <v>30</v>
      </c>
      <c r="N32" s="39">
        <f t="shared" si="0"/>
        <v>30</v>
      </c>
      <c r="O32" s="32" t="s">
        <v>42</v>
      </c>
      <c r="T32" s="28"/>
    </row>
    <row r="33" spans="1:20" ht="20.100000000000001" customHeight="1" x14ac:dyDescent="0.25">
      <c r="A33" s="5" t="str">
        <f>HYPERLINK("#'8.2.1.1-2 Stationary fuel'!A1", "8.2.1.1-2 Stationary fuel")</f>
        <v>8.2.1.1-2 Stationary fuel</v>
      </c>
      <c r="D33" s="1" t="str">
        <f>TEXT(EDATE('Input - Site'!$E$12,11), "mmmm yyyy")</f>
        <v>December 2024</v>
      </c>
      <c r="E33" s="39">
        <f t="shared" si="0"/>
        <v>31</v>
      </c>
      <c r="F33" s="39">
        <f t="shared" si="0"/>
        <v>31</v>
      </c>
      <c r="G33" s="39">
        <f t="shared" si="0"/>
        <v>31</v>
      </c>
      <c r="H33" s="39">
        <f t="shared" si="0"/>
        <v>31</v>
      </c>
      <c r="I33" s="39">
        <f t="shared" si="0"/>
        <v>31</v>
      </c>
      <c r="J33" s="39">
        <f t="shared" si="0"/>
        <v>31</v>
      </c>
      <c r="K33" s="39">
        <f t="shared" si="0"/>
        <v>31</v>
      </c>
      <c r="L33" s="39">
        <f t="shared" si="0"/>
        <v>31</v>
      </c>
      <c r="M33" s="39">
        <f t="shared" si="0"/>
        <v>31</v>
      </c>
      <c r="N33" s="39">
        <f t="shared" si="0"/>
        <v>31</v>
      </c>
      <c r="O33" s="32" t="s">
        <v>42</v>
      </c>
      <c r="T33" s="28"/>
    </row>
    <row r="34" spans="1:20" ht="20.100000000000001" customHeight="1" x14ac:dyDescent="0.25">
      <c r="A34" s="5" t="str">
        <f>HYPERLINK("#'14.1.1-2 Purchased electricity'!A1", "14.1.1-2 Purchased electricity")</f>
        <v>14.1.1-2 Purchased electricity</v>
      </c>
      <c r="T34" s="28"/>
    </row>
    <row r="35" spans="1:20" ht="20.100000000000001" customHeight="1" x14ac:dyDescent="0.25">
      <c r="T35" s="28"/>
    </row>
    <row r="36" spans="1:20" ht="20.100000000000001" customHeight="1" x14ac:dyDescent="0.25">
      <c r="D36" s="37" t="s">
        <v>47</v>
      </c>
      <c r="T36" s="28"/>
    </row>
    <row r="37" spans="1:20" ht="20.100000000000001" customHeight="1" x14ac:dyDescent="0.25">
      <c r="A37" s="243" t="s">
        <v>1</v>
      </c>
      <c r="D37" s="38" t="s">
        <v>48</v>
      </c>
      <c r="E37" s="38" t="s">
        <v>31</v>
      </c>
      <c r="F37" s="38" t="s">
        <v>32</v>
      </c>
      <c r="G37" s="38" t="s">
        <v>33</v>
      </c>
      <c r="H37" s="38" t="s">
        <v>34</v>
      </c>
      <c r="I37" s="38" t="s">
        <v>35</v>
      </c>
      <c r="J37" s="38" t="s">
        <v>36</v>
      </c>
      <c r="K37" s="38" t="s">
        <v>37</v>
      </c>
      <c r="L37" s="38" t="s">
        <v>38</v>
      </c>
      <c r="M37" s="38" t="s">
        <v>39</v>
      </c>
      <c r="N37" s="38" t="s">
        <v>40</v>
      </c>
      <c r="T37" s="28"/>
    </row>
    <row r="38" spans="1:20" ht="20.100000000000001" customHeight="1" x14ac:dyDescent="0.25">
      <c r="A38" s="5" t="str">
        <f>HYPERLINK("#'Constants - Pasture Beef'!A1", "Constants - Pasture Beef")</f>
        <v>Constants - Pasture Beef</v>
      </c>
      <c r="D38" s="1" t="s">
        <v>41</v>
      </c>
      <c r="E38" s="39">
        <v>100</v>
      </c>
      <c r="F38" s="39">
        <v>100</v>
      </c>
      <c r="G38" s="39">
        <v>100</v>
      </c>
      <c r="H38" s="39">
        <v>100</v>
      </c>
      <c r="I38" s="39">
        <v>100</v>
      </c>
      <c r="J38" s="39">
        <v>100</v>
      </c>
      <c r="K38" s="39">
        <v>100</v>
      </c>
      <c r="L38" s="39">
        <v>100</v>
      </c>
      <c r="M38" s="39">
        <v>100</v>
      </c>
      <c r="N38" s="39">
        <v>100</v>
      </c>
      <c r="O38" s="32" t="s">
        <v>47</v>
      </c>
      <c r="T38" s="28"/>
    </row>
    <row r="39" spans="1:20" ht="20.100000000000001" customHeight="1" x14ac:dyDescent="0.25">
      <c r="A39" s="5" t="str">
        <f>HYPERLINK("#'Constants - Ag Residue'!A1", "Constants - Ag residue")</f>
        <v>Constants - Ag residue</v>
      </c>
      <c r="D39" s="1" t="s">
        <v>43</v>
      </c>
      <c r="E39" s="39">
        <v>100</v>
      </c>
      <c r="F39" s="39">
        <v>100</v>
      </c>
      <c r="G39" s="39">
        <v>100</v>
      </c>
      <c r="H39" s="39">
        <v>100</v>
      </c>
      <c r="I39" s="39">
        <v>100</v>
      </c>
      <c r="J39" s="39">
        <v>100</v>
      </c>
      <c r="K39" s="39">
        <v>100</v>
      </c>
      <c r="L39" s="39">
        <v>100</v>
      </c>
      <c r="M39" s="39">
        <v>100</v>
      </c>
      <c r="N39" s="39">
        <v>100</v>
      </c>
      <c r="O39" s="32" t="s">
        <v>47</v>
      </c>
      <c r="T39" s="28"/>
    </row>
    <row r="40" spans="1:20" ht="20.100000000000001" customHeight="1" x14ac:dyDescent="0.25">
      <c r="A40" s="5" t="str">
        <f>HYPERLINK("#'Constants - Livestock'!A1", "Constants - Livestock")</f>
        <v>Constants - Livestock</v>
      </c>
      <c r="D40" s="1" t="s">
        <v>44</v>
      </c>
      <c r="E40" s="39">
        <v>100</v>
      </c>
      <c r="F40" s="39">
        <v>100</v>
      </c>
      <c r="G40" s="39">
        <v>100</v>
      </c>
      <c r="H40" s="39">
        <v>100</v>
      </c>
      <c r="I40" s="39">
        <v>100</v>
      </c>
      <c r="J40" s="39">
        <v>100</v>
      </c>
      <c r="K40" s="39">
        <v>100</v>
      </c>
      <c r="L40" s="39">
        <v>100</v>
      </c>
      <c r="M40" s="39">
        <v>100</v>
      </c>
      <c r="N40" s="39">
        <v>100</v>
      </c>
      <c r="O40" s="32" t="s">
        <v>47</v>
      </c>
      <c r="T40" s="28"/>
    </row>
    <row r="41" spans="1:20" ht="20.100000000000001" customHeight="1" x14ac:dyDescent="0.25">
      <c r="A41" s="5" t="str">
        <f>HYPERLINK("#'Constants - Electricity'!A1", "Constants - Electricity")</f>
        <v>Constants - Electricity</v>
      </c>
      <c r="D41" s="1" t="s">
        <v>45</v>
      </c>
      <c r="E41" s="39">
        <v>100</v>
      </c>
      <c r="F41" s="39">
        <v>100</v>
      </c>
      <c r="G41" s="39">
        <v>100</v>
      </c>
      <c r="H41" s="39">
        <v>100</v>
      </c>
      <c r="I41" s="39">
        <v>100</v>
      </c>
      <c r="J41" s="39">
        <v>100</v>
      </c>
      <c r="K41" s="39">
        <v>100</v>
      </c>
      <c r="L41" s="39">
        <v>100</v>
      </c>
      <c r="M41" s="39">
        <v>100</v>
      </c>
      <c r="N41" s="39">
        <v>100</v>
      </c>
      <c r="O41" s="32" t="s">
        <v>47</v>
      </c>
      <c r="T41" s="28"/>
    </row>
    <row r="42" spans="1:20" ht="20.100000000000001" customHeight="1" x14ac:dyDescent="0.25">
      <c r="A42" s="5" t="str">
        <f>HYPERLINK("#'Constants - Fertiliser'!A1", "Constants - Fertiliser")</f>
        <v>Constants - Fertiliser</v>
      </c>
      <c r="O42" s="32"/>
      <c r="T42" s="28"/>
    </row>
    <row r="43" spans="1:20" ht="20.100000000000001" customHeight="1" x14ac:dyDescent="0.25">
      <c r="A43" s="5" t="str">
        <f>HYPERLINK("#'Constants - Fuel'!A1", "Constants - Fuel")</f>
        <v>Constants - Fuel</v>
      </c>
      <c r="D43" s="38" t="s">
        <v>49</v>
      </c>
      <c r="E43" s="38" t="s">
        <v>31</v>
      </c>
      <c r="F43" s="38" t="s">
        <v>32</v>
      </c>
      <c r="G43" s="38" t="s">
        <v>33</v>
      </c>
      <c r="H43" s="38" t="s">
        <v>34</v>
      </c>
      <c r="I43" s="38" t="s">
        <v>35</v>
      </c>
      <c r="J43" s="38" t="s">
        <v>36</v>
      </c>
      <c r="K43" s="38" t="s">
        <v>37</v>
      </c>
      <c r="L43" s="38" t="s">
        <v>38</v>
      </c>
      <c r="M43" s="38" t="s">
        <v>39</v>
      </c>
      <c r="N43" s="38" t="s">
        <v>40</v>
      </c>
      <c r="O43" s="32"/>
      <c r="T43" s="28"/>
    </row>
    <row r="44" spans="1:20" ht="20.100000000000001" customHeight="1" x14ac:dyDescent="0.25">
      <c r="A44" s="5" t="str">
        <f>HYPERLINK("#'Constants - Common'!A1", "Constants - Common")</f>
        <v>Constants - Common</v>
      </c>
      <c r="D44" s="1" t="str">
        <f>TEXT('Input - Site'!$E$12, "mmmm yyyy")</f>
        <v>January 2024</v>
      </c>
      <c r="E44" s="39">
        <v>100</v>
      </c>
      <c r="F44" s="39">
        <v>100</v>
      </c>
      <c r="G44" s="39">
        <v>100</v>
      </c>
      <c r="H44" s="39">
        <v>100</v>
      </c>
      <c r="I44" s="39">
        <v>100</v>
      </c>
      <c r="J44" s="39">
        <v>100</v>
      </c>
      <c r="K44" s="39">
        <v>100</v>
      </c>
      <c r="L44" s="39">
        <v>100</v>
      </c>
      <c r="M44" s="39">
        <v>100</v>
      </c>
      <c r="N44" s="39">
        <v>100</v>
      </c>
      <c r="O44" s="32" t="s">
        <v>47</v>
      </c>
      <c r="T44" s="28"/>
    </row>
    <row r="45" spans="1:20" ht="20.100000000000001" customHeight="1" x14ac:dyDescent="0.25">
      <c r="A45" s="5" t="str">
        <f>HYPERLINK("#'Acknowledgements'!A1", "Acknowledgements")</f>
        <v>Acknowledgements</v>
      </c>
      <c r="D45" s="1" t="str">
        <f>TEXT(EDATE('Input - Site'!$E$12,1), "mmmm yyyy")</f>
        <v>February 2024</v>
      </c>
      <c r="E45" s="39">
        <v>100</v>
      </c>
      <c r="F45" s="39">
        <v>100</v>
      </c>
      <c r="G45" s="39">
        <v>100</v>
      </c>
      <c r="H45" s="39">
        <v>100</v>
      </c>
      <c r="I45" s="39">
        <v>100</v>
      </c>
      <c r="J45" s="39">
        <v>100</v>
      </c>
      <c r="K45" s="39">
        <v>100</v>
      </c>
      <c r="L45" s="39">
        <v>100</v>
      </c>
      <c r="M45" s="39">
        <v>100</v>
      </c>
      <c r="N45" s="39">
        <v>100</v>
      </c>
      <c r="O45" s="32" t="s">
        <v>47</v>
      </c>
      <c r="T45" s="28"/>
    </row>
    <row r="46" spans="1:20" ht="20.100000000000001" customHeight="1" x14ac:dyDescent="0.25">
      <c r="A46" s="5" t="str">
        <f>HYPERLINK("#'Overview'!A1", "Overview")</f>
        <v>Overview</v>
      </c>
      <c r="D46" s="1" t="str">
        <f>TEXT(EDATE('Input - Site'!$E$12,2), "mmmm yyyy")</f>
        <v>March 2024</v>
      </c>
      <c r="E46" s="39">
        <v>100</v>
      </c>
      <c r="F46" s="39">
        <v>100</v>
      </c>
      <c r="G46" s="39">
        <v>100</v>
      </c>
      <c r="H46" s="39">
        <v>100</v>
      </c>
      <c r="I46" s="39">
        <v>100</v>
      </c>
      <c r="J46" s="39">
        <v>100</v>
      </c>
      <c r="K46" s="39">
        <v>100</v>
      </c>
      <c r="L46" s="39">
        <v>100</v>
      </c>
      <c r="M46" s="39">
        <v>100</v>
      </c>
      <c r="N46" s="39">
        <v>100</v>
      </c>
      <c r="O46" s="32" t="s">
        <v>47</v>
      </c>
      <c r="T46" s="28"/>
    </row>
    <row r="47" spans="1:20" ht="20.100000000000001" customHeight="1" x14ac:dyDescent="0.25">
      <c r="D47" s="1" t="str">
        <f>TEXT(EDATE('Input - Site'!$E$12,3), "mmmm yyyy")</f>
        <v>April 2024</v>
      </c>
      <c r="E47" s="39">
        <v>100</v>
      </c>
      <c r="F47" s="39">
        <v>100</v>
      </c>
      <c r="G47" s="39">
        <v>100</v>
      </c>
      <c r="H47" s="39">
        <v>100</v>
      </c>
      <c r="I47" s="39">
        <v>100</v>
      </c>
      <c r="J47" s="39">
        <v>100</v>
      </c>
      <c r="K47" s="39">
        <v>100</v>
      </c>
      <c r="L47" s="39">
        <v>100</v>
      </c>
      <c r="M47" s="39">
        <v>100</v>
      </c>
      <c r="N47" s="39">
        <v>100</v>
      </c>
      <c r="O47" s="32" t="s">
        <v>47</v>
      </c>
      <c r="T47" s="28"/>
    </row>
    <row r="48" spans="1:20" ht="20.100000000000001" customHeight="1" x14ac:dyDescent="0.25">
      <c r="D48" s="1" t="str">
        <f>TEXT(EDATE('Input - Site'!$E$12,4), "mmmm yyyy")</f>
        <v>May 2024</v>
      </c>
      <c r="E48" s="39">
        <v>100</v>
      </c>
      <c r="F48" s="39">
        <v>100</v>
      </c>
      <c r="G48" s="39">
        <v>100</v>
      </c>
      <c r="H48" s="39">
        <v>100</v>
      </c>
      <c r="I48" s="39">
        <v>100</v>
      </c>
      <c r="J48" s="39">
        <v>100</v>
      </c>
      <c r="K48" s="39">
        <v>100</v>
      </c>
      <c r="L48" s="39">
        <v>100</v>
      </c>
      <c r="M48" s="39">
        <v>100</v>
      </c>
      <c r="N48" s="39">
        <v>100</v>
      </c>
      <c r="O48" s="32" t="s">
        <v>47</v>
      </c>
      <c r="T48" s="28"/>
    </row>
    <row r="49" spans="4:20" ht="20.100000000000001" customHeight="1" x14ac:dyDescent="0.25">
      <c r="D49" s="1" t="str">
        <f>TEXT(EDATE('Input - Site'!$E$12,5), "mmmm yyyy")</f>
        <v>June 2024</v>
      </c>
      <c r="E49" s="39">
        <v>100</v>
      </c>
      <c r="F49" s="39">
        <v>100</v>
      </c>
      <c r="G49" s="39">
        <v>100</v>
      </c>
      <c r="H49" s="39">
        <v>100</v>
      </c>
      <c r="I49" s="39">
        <v>100</v>
      </c>
      <c r="J49" s="39">
        <v>100</v>
      </c>
      <c r="K49" s="39">
        <v>100</v>
      </c>
      <c r="L49" s="39">
        <v>100</v>
      </c>
      <c r="M49" s="39">
        <v>100</v>
      </c>
      <c r="N49" s="39">
        <v>100</v>
      </c>
      <c r="O49" s="32" t="s">
        <v>47</v>
      </c>
      <c r="T49" s="28"/>
    </row>
    <row r="50" spans="4:20" ht="20.100000000000001" customHeight="1" x14ac:dyDescent="0.25">
      <c r="D50" s="1" t="str">
        <f>TEXT(EDATE('Input - Site'!$E$12,6), "mmmm yyyy")</f>
        <v>July 2024</v>
      </c>
      <c r="E50" s="39">
        <v>100</v>
      </c>
      <c r="F50" s="39">
        <v>100</v>
      </c>
      <c r="G50" s="39">
        <v>100</v>
      </c>
      <c r="H50" s="39">
        <v>100</v>
      </c>
      <c r="I50" s="39">
        <v>100</v>
      </c>
      <c r="J50" s="39">
        <v>100</v>
      </c>
      <c r="K50" s="39">
        <v>100</v>
      </c>
      <c r="L50" s="39">
        <v>100</v>
      </c>
      <c r="M50" s="39">
        <v>100</v>
      </c>
      <c r="N50" s="39">
        <v>100</v>
      </c>
      <c r="O50" s="32" t="s">
        <v>47</v>
      </c>
      <c r="P50" s="27"/>
      <c r="T50" s="28"/>
    </row>
    <row r="51" spans="4:20" ht="20.100000000000001" customHeight="1" x14ac:dyDescent="0.25">
      <c r="D51" s="1" t="str">
        <f>TEXT(EDATE('Input - Site'!$E$12,7), "mmmm yyyy")</f>
        <v>August 2024</v>
      </c>
      <c r="E51" s="39">
        <v>100</v>
      </c>
      <c r="F51" s="39">
        <v>100</v>
      </c>
      <c r="G51" s="39">
        <v>100</v>
      </c>
      <c r="H51" s="39">
        <v>100</v>
      </c>
      <c r="I51" s="39">
        <v>100</v>
      </c>
      <c r="J51" s="39">
        <v>100</v>
      </c>
      <c r="K51" s="39">
        <v>100</v>
      </c>
      <c r="L51" s="39">
        <v>100</v>
      </c>
      <c r="M51" s="39">
        <v>100</v>
      </c>
      <c r="N51" s="39">
        <v>100</v>
      </c>
      <c r="O51" s="32" t="s">
        <v>47</v>
      </c>
      <c r="P51" s="27"/>
      <c r="T51" s="28"/>
    </row>
    <row r="52" spans="4:20" ht="20.100000000000001" customHeight="1" x14ac:dyDescent="0.25">
      <c r="D52" s="1" t="str">
        <f>TEXT(EDATE('Input - Site'!$E$12,8), "mmmm yyyy")</f>
        <v>September 2024</v>
      </c>
      <c r="E52" s="39">
        <v>100</v>
      </c>
      <c r="F52" s="39">
        <v>100</v>
      </c>
      <c r="G52" s="39">
        <v>100</v>
      </c>
      <c r="H52" s="39">
        <v>100</v>
      </c>
      <c r="I52" s="39">
        <v>100</v>
      </c>
      <c r="J52" s="39">
        <v>100</v>
      </c>
      <c r="K52" s="39">
        <v>100</v>
      </c>
      <c r="L52" s="39">
        <v>100</v>
      </c>
      <c r="M52" s="39">
        <v>100</v>
      </c>
      <c r="N52" s="39">
        <v>100</v>
      </c>
      <c r="O52" s="32" t="s">
        <v>47</v>
      </c>
      <c r="P52" s="27"/>
      <c r="T52" s="28"/>
    </row>
    <row r="53" spans="4:20" ht="20.100000000000001" customHeight="1" x14ac:dyDescent="0.25">
      <c r="D53" s="1" t="str">
        <f>TEXT(EDATE('Input - Site'!$E$12,9), "mmmm yyyy")</f>
        <v>October 2024</v>
      </c>
      <c r="E53" s="39">
        <v>100</v>
      </c>
      <c r="F53" s="39">
        <v>100</v>
      </c>
      <c r="G53" s="39">
        <v>100</v>
      </c>
      <c r="H53" s="39">
        <v>100</v>
      </c>
      <c r="I53" s="39">
        <v>100</v>
      </c>
      <c r="J53" s="39">
        <v>100</v>
      </c>
      <c r="K53" s="39">
        <v>100</v>
      </c>
      <c r="L53" s="39">
        <v>100</v>
      </c>
      <c r="M53" s="39">
        <v>100</v>
      </c>
      <c r="N53" s="39">
        <v>100</v>
      </c>
      <c r="O53" s="32" t="s">
        <v>47</v>
      </c>
      <c r="P53" s="27"/>
      <c r="T53" s="28"/>
    </row>
    <row r="54" spans="4:20" ht="20.100000000000001" customHeight="1" x14ac:dyDescent="0.25">
      <c r="D54" s="1" t="str">
        <f>TEXT(EDATE('Input - Site'!$E$12,10), "mmmm yyyy")</f>
        <v>November 2024</v>
      </c>
      <c r="E54" s="39">
        <v>100</v>
      </c>
      <c r="F54" s="39">
        <v>100</v>
      </c>
      <c r="G54" s="39">
        <v>100</v>
      </c>
      <c r="H54" s="39">
        <v>100</v>
      </c>
      <c r="I54" s="39">
        <v>100</v>
      </c>
      <c r="J54" s="39">
        <v>100</v>
      </c>
      <c r="K54" s="39">
        <v>100</v>
      </c>
      <c r="L54" s="39">
        <v>100</v>
      </c>
      <c r="M54" s="39">
        <v>100</v>
      </c>
      <c r="N54" s="39">
        <v>100</v>
      </c>
      <c r="O54" s="32" t="s">
        <v>47</v>
      </c>
      <c r="P54" s="27"/>
      <c r="T54" s="28"/>
    </row>
    <row r="55" spans="4:20" ht="20.100000000000001" customHeight="1" x14ac:dyDescent="0.25">
      <c r="D55" s="1" t="str">
        <f>TEXT(EDATE('Input - Site'!$E$12,11), "mmmm yyyy")</f>
        <v>December 2024</v>
      </c>
      <c r="E55" s="39">
        <v>100</v>
      </c>
      <c r="F55" s="39">
        <v>100</v>
      </c>
      <c r="G55" s="39">
        <v>100</v>
      </c>
      <c r="H55" s="39">
        <v>100</v>
      </c>
      <c r="I55" s="39">
        <v>100</v>
      </c>
      <c r="J55" s="39">
        <v>100</v>
      </c>
      <c r="K55" s="39">
        <v>100</v>
      </c>
      <c r="L55" s="39">
        <v>100</v>
      </c>
      <c r="M55" s="39">
        <v>100</v>
      </c>
      <c r="N55" s="39">
        <v>100</v>
      </c>
      <c r="O55" s="32" t="s">
        <v>47</v>
      </c>
      <c r="P55" s="27"/>
      <c r="T55" s="28"/>
    </row>
    <row r="56" spans="4:20" ht="20.100000000000001" customHeight="1" x14ac:dyDescent="0.25">
      <c r="P56" s="27"/>
      <c r="T56" s="28"/>
    </row>
    <row r="57" spans="4:20" ht="20.100000000000001" customHeight="1" x14ac:dyDescent="0.25">
      <c r="P57" s="27"/>
      <c r="T57" s="28"/>
    </row>
    <row r="58" spans="4:20" ht="20.100000000000001" customHeight="1" x14ac:dyDescent="0.25">
      <c r="D58" s="37" t="s">
        <v>50</v>
      </c>
      <c r="P58" s="27"/>
      <c r="T58" s="28"/>
    </row>
    <row r="59" spans="4:20" ht="20.100000000000001" customHeight="1" x14ac:dyDescent="0.25">
      <c r="D59" s="38" t="s">
        <v>30</v>
      </c>
      <c r="E59" s="38" t="s">
        <v>31</v>
      </c>
      <c r="F59" s="38" t="s">
        <v>32</v>
      </c>
      <c r="G59" s="38" t="s">
        <v>33</v>
      </c>
      <c r="H59" s="38" t="s">
        <v>34</v>
      </c>
      <c r="I59" s="38" t="s">
        <v>35</v>
      </c>
      <c r="J59" s="38" t="s">
        <v>36</v>
      </c>
      <c r="K59" s="38" t="s">
        <v>37</v>
      </c>
      <c r="L59" s="38" t="s">
        <v>38</v>
      </c>
      <c r="M59" s="38" t="s">
        <v>39</v>
      </c>
      <c r="N59" s="38" t="s">
        <v>40</v>
      </c>
      <c r="P59" s="27"/>
      <c r="T59" s="28"/>
    </row>
    <row r="60" spans="4:20" ht="20.100000000000001" customHeight="1" x14ac:dyDescent="0.25">
      <c r="D60" s="1" t="s">
        <v>41</v>
      </c>
      <c r="E60" s="29">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29">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29">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29">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29">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29">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29">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29">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29">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29">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2" t="s">
        <v>51</v>
      </c>
      <c r="P60" s="27"/>
      <c r="T60" s="28"/>
    </row>
    <row r="61" spans="4:20" ht="20.100000000000001" customHeight="1" x14ac:dyDescent="0.25">
      <c r="D61" s="1" t="s">
        <v>43</v>
      </c>
      <c r="E61" s="29">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29">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29">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29">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29">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29">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29">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29">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29">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29">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2" t="s">
        <v>51</v>
      </c>
      <c r="P61" s="27"/>
      <c r="T61" s="28"/>
    </row>
    <row r="62" spans="4:20" ht="20.100000000000001" customHeight="1" x14ac:dyDescent="0.25">
      <c r="D62" s="1" t="s">
        <v>44</v>
      </c>
      <c r="E62" s="29">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29">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29">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29">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29">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29">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29">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29">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29">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29">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2" t="s">
        <v>51</v>
      </c>
      <c r="P62" s="27"/>
      <c r="T62" s="28"/>
    </row>
    <row r="63" spans="4:20" ht="20.100000000000001" customHeight="1" x14ac:dyDescent="0.25">
      <c r="D63" s="1" t="s">
        <v>45</v>
      </c>
      <c r="E63" s="29">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29">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29">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29">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29">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29">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29">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29">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29">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29">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2" t="s">
        <v>51</v>
      </c>
      <c r="P63" s="27"/>
      <c r="T63" s="28"/>
    </row>
    <row r="64" spans="4:20" ht="20.100000000000001" customHeight="1" x14ac:dyDescent="0.25">
      <c r="O64" s="32"/>
      <c r="P64" s="27"/>
      <c r="T64" s="28"/>
    </row>
    <row r="65" spans="4:20" ht="20.100000000000001" customHeight="1" x14ac:dyDescent="0.25">
      <c r="D65" s="38" t="s">
        <v>46</v>
      </c>
      <c r="E65" s="38" t="s">
        <v>31</v>
      </c>
      <c r="F65" s="38" t="s">
        <v>32</v>
      </c>
      <c r="G65" s="38" t="s">
        <v>33</v>
      </c>
      <c r="H65" s="38" t="s">
        <v>34</v>
      </c>
      <c r="I65" s="38" t="s">
        <v>35</v>
      </c>
      <c r="J65" s="38" t="s">
        <v>36</v>
      </c>
      <c r="K65" s="38" t="s">
        <v>37</v>
      </c>
      <c r="L65" s="38" t="s">
        <v>38</v>
      </c>
      <c r="M65" s="38" t="s">
        <v>39</v>
      </c>
      <c r="N65" s="38" t="s">
        <v>40</v>
      </c>
      <c r="O65" s="32"/>
      <c r="P65" s="27"/>
      <c r="T65" s="28"/>
    </row>
    <row r="66" spans="4:20" ht="20.100000000000001" customHeight="1" x14ac:dyDescent="0.25">
      <c r="D66" s="1" t="str">
        <f>TEXT('Input - Site'!$E$12, "mmmm yyyy")</f>
        <v>January 2024</v>
      </c>
      <c r="E66" s="39">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39">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39">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39">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39">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39">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39">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39">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39">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39">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2" t="s">
        <v>51</v>
      </c>
      <c r="P66" s="27"/>
      <c r="T66" s="28"/>
    </row>
    <row r="67" spans="4:20" ht="20.100000000000001" customHeight="1" x14ac:dyDescent="0.25">
      <c r="D67" s="1" t="str">
        <f>TEXT(EDATE('Input - Site'!$E$12,1), "mmmm yyyy")</f>
        <v>February 2024</v>
      </c>
      <c r="E67" s="39">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39">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39">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39">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39">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39">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39">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39">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39">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39">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2" t="s">
        <v>51</v>
      </c>
      <c r="P67" s="27"/>
      <c r="T67" s="28"/>
    </row>
    <row r="68" spans="4:20" ht="20.100000000000001" customHeight="1" x14ac:dyDescent="0.25">
      <c r="D68" s="1" t="str">
        <f>TEXT(EDATE('Input - Site'!$E$12,2), "mmmm yyyy")</f>
        <v>March 2024</v>
      </c>
      <c r="E68" s="39">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39">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39">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39">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39">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39">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39">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39">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39">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39">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2" t="s">
        <v>51</v>
      </c>
      <c r="P68" s="27"/>
      <c r="T68" s="28"/>
    </row>
    <row r="69" spans="4:20" ht="20.100000000000001" customHeight="1" x14ac:dyDescent="0.25">
      <c r="D69" s="1" t="str">
        <f>TEXT(EDATE('Input - Site'!$E$12,3), "mmmm yyyy")</f>
        <v>April 2024</v>
      </c>
      <c r="E69" s="39">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39">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39">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39">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39">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39">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39">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39">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39">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39">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2" t="s">
        <v>51</v>
      </c>
      <c r="P69" s="27"/>
      <c r="T69" s="28"/>
    </row>
    <row r="70" spans="4:20" ht="20.100000000000001" customHeight="1" x14ac:dyDescent="0.25">
      <c r="D70" s="1" t="str">
        <f>TEXT(EDATE('Input - Site'!$E$12,4), "mmmm yyyy")</f>
        <v>May 2024</v>
      </c>
      <c r="E70" s="39">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39">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39">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39">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39">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39">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39">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39">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39">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39">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2" t="s">
        <v>51</v>
      </c>
      <c r="P70" s="27"/>
      <c r="T70" s="28"/>
    </row>
    <row r="71" spans="4:20" ht="20.100000000000001" customHeight="1" x14ac:dyDescent="0.25">
      <c r="D71" s="1" t="str">
        <f>TEXT(EDATE('Input - Site'!$E$12,5), "mmmm yyyy")</f>
        <v>June 2024</v>
      </c>
      <c r="E71" s="39">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39">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39">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39">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39">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39">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39">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39">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39">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39">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2" t="s">
        <v>51</v>
      </c>
      <c r="P71" s="27"/>
      <c r="T71" s="28"/>
    </row>
    <row r="72" spans="4:20" ht="20.100000000000001" customHeight="1" x14ac:dyDescent="0.25">
      <c r="D72" s="1" t="str">
        <f>TEXT(EDATE('Input - Site'!$E$12,6), "mmmm yyyy")</f>
        <v>July 2024</v>
      </c>
      <c r="E72" s="39">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39">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39">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39">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39">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39">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39">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39">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39">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39">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2" t="s">
        <v>51</v>
      </c>
      <c r="T72" s="28"/>
    </row>
    <row r="73" spans="4:20" ht="20.100000000000001" customHeight="1" x14ac:dyDescent="0.25">
      <c r="D73" s="1" t="str">
        <f>TEXT(EDATE('Input - Site'!$E$12,7), "mmmm yyyy")</f>
        <v>August 2024</v>
      </c>
      <c r="E73" s="39">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39">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39">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39">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39">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39">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39">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39">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39">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39">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2" t="s">
        <v>51</v>
      </c>
      <c r="T73" s="28"/>
    </row>
    <row r="74" spans="4:20" ht="20.100000000000001" customHeight="1" x14ac:dyDescent="0.25">
      <c r="D74" s="1" t="str">
        <f>TEXT(EDATE('Input - Site'!$E$12,8), "mmmm yyyy")</f>
        <v>September 2024</v>
      </c>
      <c r="E74" s="39">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39">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39">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39">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39">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39">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39">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39">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39">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39">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2" t="s">
        <v>51</v>
      </c>
      <c r="T74" s="28"/>
    </row>
    <row r="75" spans="4:20" ht="20.100000000000001" customHeight="1" x14ac:dyDescent="0.25">
      <c r="D75" s="1" t="str">
        <f>TEXT(EDATE('Input - Site'!$E$12,9), "mmmm yyyy")</f>
        <v>October 2024</v>
      </c>
      <c r="E75" s="39">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39">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39">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39">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39">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39">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39">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39">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39">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39">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2" t="s">
        <v>51</v>
      </c>
      <c r="T75" s="28"/>
    </row>
    <row r="76" spans="4:20" ht="20.100000000000001" customHeight="1" x14ac:dyDescent="0.25">
      <c r="D76" s="1" t="str">
        <f>TEXT(EDATE('Input - Site'!$E$12,10), "mmmm yyyy")</f>
        <v>November 2024</v>
      </c>
      <c r="E76" s="39">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39">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39">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39">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39">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39">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39">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39">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39">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39">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2" t="s">
        <v>51</v>
      </c>
      <c r="T76" s="28"/>
    </row>
    <row r="77" spans="4:20" ht="20.100000000000001" customHeight="1" x14ac:dyDescent="0.25">
      <c r="D77" s="1" t="str">
        <f>TEXT(EDATE('Input - Site'!$E$12,11), "mmmm yyyy")</f>
        <v>December 2024</v>
      </c>
      <c r="E77" s="39">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39">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39">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39">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39">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39">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39">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39">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39">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39">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2" t="s">
        <v>51</v>
      </c>
      <c r="T77" s="28"/>
    </row>
    <row r="78" spans="4:20" ht="20.100000000000001" customHeight="1" x14ac:dyDescent="0.25">
      <c r="T78" s="28"/>
    </row>
    <row r="79" spans="4:20" ht="20.100000000000001" customHeight="1" x14ac:dyDescent="0.25">
      <c r="T79" s="28"/>
    </row>
    <row r="80" spans="4:20" ht="20.100000000000001" customHeight="1" x14ac:dyDescent="0.25">
      <c r="D80" s="37" t="s">
        <v>52</v>
      </c>
      <c r="T80" s="28"/>
    </row>
    <row r="81" spans="4:20" ht="20.100000000000001" customHeight="1" x14ac:dyDescent="0.25">
      <c r="D81" s="38" t="s">
        <v>30</v>
      </c>
      <c r="E81" s="38" t="s">
        <v>31</v>
      </c>
      <c r="F81" s="38" t="s">
        <v>32</v>
      </c>
      <c r="G81" s="38" t="s">
        <v>33</v>
      </c>
      <c r="H81" s="38" t="s">
        <v>34</v>
      </c>
      <c r="I81" s="38" t="s">
        <v>35</v>
      </c>
      <c r="J81" s="38" t="s">
        <v>36</v>
      </c>
      <c r="K81" s="38" t="s">
        <v>37</v>
      </c>
      <c r="L81" s="38" t="s">
        <v>38</v>
      </c>
      <c r="M81" s="38" t="s">
        <v>39</v>
      </c>
      <c r="N81" s="38" t="s">
        <v>40</v>
      </c>
      <c r="T81" s="28"/>
    </row>
    <row r="82" spans="4:20" ht="20.100000000000001" customHeight="1" x14ac:dyDescent="0.25">
      <c r="D82" s="1" t="s">
        <v>41</v>
      </c>
      <c r="E82" s="29">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29">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29">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29">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29">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29">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29">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29">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29">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29">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2" t="s">
        <v>53</v>
      </c>
      <c r="T82" s="28"/>
    </row>
    <row r="83" spans="4:20" ht="20.100000000000001" customHeight="1" x14ac:dyDescent="0.25">
      <c r="D83" s="1" t="s">
        <v>43</v>
      </c>
      <c r="E83" s="29">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29">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29">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29">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29">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29">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29">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29">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29">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29">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2" t="s">
        <v>53</v>
      </c>
      <c r="T83" s="28"/>
    </row>
    <row r="84" spans="4:20" ht="20.100000000000001" customHeight="1" x14ac:dyDescent="0.25">
      <c r="D84" s="1" t="s">
        <v>44</v>
      </c>
      <c r="E84" s="29">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29">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29">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29">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29">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29">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29">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29">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29">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29">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2" t="s">
        <v>53</v>
      </c>
      <c r="T84" s="28"/>
    </row>
    <row r="85" spans="4:20" ht="20.100000000000001" customHeight="1" x14ac:dyDescent="0.25">
      <c r="D85" s="1" t="s">
        <v>45</v>
      </c>
      <c r="E85" s="29">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29">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29">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29">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29">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29">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29">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29">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29">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29">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2" t="s">
        <v>53</v>
      </c>
      <c r="T85" s="28"/>
    </row>
    <row r="86" spans="4:20" ht="20.100000000000001" customHeight="1" x14ac:dyDescent="0.25">
      <c r="O86" s="32"/>
      <c r="T86" s="28"/>
    </row>
    <row r="87" spans="4:20" ht="20.100000000000001" customHeight="1" x14ac:dyDescent="0.25">
      <c r="D87" s="38" t="s">
        <v>46</v>
      </c>
      <c r="E87" s="38" t="s">
        <v>31</v>
      </c>
      <c r="F87" s="38" t="s">
        <v>32</v>
      </c>
      <c r="G87" s="38" t="s">
        <v>33</v>
      </c>
      <c r="H87" s="38" t="s">
        <v>34</v>
      </c>
      <c r="I87" s="38" t="s">
        <v>35</v>
      </c>
      <c r="J87" s="38" t="s">
        <v>36</v>
      </c>
      <c r="K87" s="38" t="s">
        <v>37</v>
      </c>
      <c r="L87" s="38" t="s">
        <v>38</v>
      </c>
      <c r="M87" s="38" t="s">
        <v>39</v>
      </c>
      <c r="N87" s="38" t="s">
        <v>40</v>
      </c>
      <c r="O87" s="32"/>
      <c r="T87" s="28"/>
    </row>
    <row r="88" spans="4:20" ht="20.100000000000001" customHeight="1" x14ac:dyDescent="0.25">
      <c r="D88" s="1" t="str">
        <f>TEXT('Input - Site'!$E$12, "mmmm yyyy")</f>
        <v>January 2024</v>
      </c>
      <c r="E88" s="39">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39">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39">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39">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39">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39">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39">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39">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39">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39">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2" t="s">
        <v>53</v>
      </c>
      <c r="T88" s="28"/>
    </row>
    <row r="89" spans="4:20" ht="20.100000000000001" customHeight="1" x14ac:dyDescent="0.25">
      <c r="D89" s="1" t="str">
        <f>TEXT(EDATE('Input - Site'!$E$12,1), "mmmm yyyy")</f>
        <v>February 2024</v>
      </c>
      <c r="E89" s="39">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39">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39">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39">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39">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39">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39">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39">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39">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39">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2" t="s">
        <v>53</v>
      </c>
      <c r="T89" s="28"/>
    </row>
    <row r="90" spans="4:20" ht="20.100000000000001" customHeight="1" x14ac:dyDescent="0.25">
      <c r="D90" s="1" t="str">
        <f>TEXT(EDATE('Input - Site'!$E$12,2), "mmmm yyyy")</f>
        <v>March 2024</v>
      </c>
      <c r="E90" s="39">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39">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39">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39">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39">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39">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39">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39">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39">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39">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2" t="s">
        <v>53</v>
      </c>
      <c r="T90" s="28"/>
    </row>
    <row r="91" spans="4:20" ht="20.100000000000001" customHeight="1" x14ac:dyDescent="0.25">
      <c r="D91" s="1" t="str">
        <f>TEXT(EDATE('Input - Site'!$E$12,3), "mmmm yyyy")</f>
        <v>April 2024</v>
      </c>
      <c r="E91" s="39">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39">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39">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39">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39">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39">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39">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39">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39">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39">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2" t="s">
        <v>53</v>
      </c>
      <c r="T91" s="28"/>
    </row>
    <row r="92" spans="4:20" ht="20.100000000000001" customHeight="1" x14ac:dyDescent="0.25">
      <c r="D92" s="1" t="str">
        <f>TEXT(EDATE('Input - Site'!$E$12,4), "mmmm yyyy")</f>
        <v>May 2024</v>
      </c>
      <c r="E92" s="39">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39">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39">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39">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39">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39">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39">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39">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39">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39">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2" t="s">
        <v>53</v>
      </c>
      <c r="T92" s="28"/>
    </row>
    <row r="93" spans="4:20" ht="20.100000000000001" customHeight="1" x14ac:dyDescent="0.25">
      <c r="D93" s="1" t="str">
        <f>TEXT(EDATE('Input - Site'!$E$12,5), "mmmm yyyy")</f>
        <v>June 2024</v>
      </c>
      <c r="E93" s="39">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39">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39">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39">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39">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39">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39">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39">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39">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39">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2" t="s">
        <v>53</v>
      </c>
      <c r="T93" s="28"/>
    </row>
    <row r="94" spans="4:20" ht="20.100000000000001" customHeight="1" x14ac:dyDescent="0.25">
      <c r="D94" s="1" t="str">
        <f>TEXT(EDATE('Input - Site'!$E$12,6), "mmmm yyyy")</f>
        <v>July 2024</v>
      </c>
      <c r="E94" s="39">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39">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39">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39">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39">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39">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39">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39">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39">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39">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2" t="s">
        <v>53</v>
      </c>
      <c r="T94" s="28"/>
    </row>
    <row r="95" spans="4:20" ht="20.100000000000001" customHeight="1" x14ac:dyDescent="0.25">
      <c r="D95" s="1" t="str">
        <f>TEXT(EDATE('Input - Site'!$E$12,7), "mmmm yyyy")</f>
        <v>August 2024</v>
      </c>
      <c r="E95" s="39">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39">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39">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39">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39">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39">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39">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39">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39">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39">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2" t="s">
        <v>53</v>
      </c>
      <c r="T95" s="28"/>
    </row>
    <row r="96" spans="4:20" ht="20.100000000000001" customHeight="1" x14ac:dyDescent="0.25">
      <c r="D96" s="1" t="str">
        <f>TEXT(EDATE('Input - Site'!$E$12,8), "mmmm yyyy")</f>
        <v>September 2024</v>
      </c>
      <c r="E96" s="39">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39">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39">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39">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39">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39">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39">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39">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39">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39">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2" t="s">
        <v>53</v>
      </c>
      <c r="T96" s="28"/>
    </row>
    <row r="97" spans="4:20" ht="20.100000000000001" customHeight="1" x14ac:dyDescent="0.25">
      <c r="D97" s="1" t="str">
        <f>TEXT(EDATE('Input - Site'!$E$12,9), "mmmm yyyy")</f>
        <v>October 2024</v>
      </c>
      <c r="E97" s="39">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39">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39">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39">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39">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39">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39">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39">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39">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39">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2" t="s">
        <v>53</v>
      </c>
      <c r="T97" s="28"/>
    </row>
    <row r="98" spans="4:20" ht="20.100000000000001" customHeight="1" x14ac:dyDescent="0.25">
      <c r="D98" s="1" t="str">
        <f>TEXT(EDATE('Input - Site'!$E$12,10), "mmmm yyyy")</f>
        <v>November 2024</v>
      </c>
      <c r="E98" s="39">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39">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39">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39">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39">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39">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39">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39">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39">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39">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2" t="s">
        <v>53</v>
      </c>
      <c r="T98" s="28"/>
    </row>
    <row r="99" spans="4:20" ht="20.100000000000001" customHeight="1" x14ac:dyDescent="0.25">
      <c r="D99" s="1" t="str">
        <f>TEXT(EDATE('Input - Site'!$E$12,11), "mmmm yyyy")</f>
        <v>December 2024</v>
      </c>
      <c r="E99" s="39">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39">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39">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39">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39">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39">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39">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39">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39">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39">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2" t="s">
        <v>53</v>
      </c>
      <c r="T99" s="28"/>
    </row>
    <row r="100" spans="4:20" ht="20.100000000000001" customHeight="1" x14ac:dyDescent="0.25">
      <c r="T100" s="28"/>
    </row>
    <row r="101" spans="4:20" ht="20.100000000000001" customHeight="1" x14ac:dyDescent="0.25">
      <c r="T101" s="28"/>
    </row>
    <row r="102" spans="4:20" ht="20.100000000000001" customHeight="1" x14ac:dyDescent="0.25">
      <c r="D102" s="37" t="s">
        <v>54</v>
      </c>
      <c r="K102" s="32"/>
      <c r="L102" s="32"/>
      <c r="M102" s="32"/>
      <c r="N102" s="32"/>
      <c r="O102" s="32"/>
      <c r="T102" s="28"/>
    </row>
    <row r="103" spans="4:20" ht="20.100000000000001" customHeight="1" x14ac:dyDescent="0.25">
      <c r="D103" s="38" t="s">
        <v>48</v>
      </c>
      <c r="E103" s="38"/>
      <c r="F103" s="38"/>
      <c r="G103" s="38"/>
      <c r="T103" s="28"/>
    </row>
    <row r="104" spans="4:20" ht="20.100000000000001" customHeight="1" x14ac:dyDescent="0.25">
      <c r="D104" s="1" t="s">
        <v>55</v>
      </c>
      <c r="E104" s="31" t="s">
        <v>45</v>
      </c>
      <c r="F104" s="32" t="s">
        <v>25</v>
      </c>
      <c r="T104" s="28"/>
    </row>
    <row r="105" spans="4:20" ht="20.100000000000001" customHeight="1" x14ac:dyDescent="0.25">
      <c r="T105" s="28"/>
    </row>
    <row r="106" spans="4:20" ht="20.100000000000001" customHeight="1" x14ac:dyDescent="0.25">
      <c r="T106" s="28"/>
    </row>
    <row r="107" spans="4:20" ht="20.100000000000001" customHeight="1" x14ac:dyDescent="0.25">
      <c r="K107" s="1" t="s">
        <v>194</v>
      </c>
    </row>
    <row r="108" spans="4:20" ht="20.100000000000001" customHeight="1" x14ac:dyDescent="0.25"/>
    <row r="109" spans="4:20" ht="20.100000000000001" customHeight="1" x14ac:dyDescent="0.25">
      <c r="E109" s="38" t="s">
        <v>195</v>
      </c>
      <c r="F109" s="38" t="s">
        <v>34</v>
      </c>
      <c r="G109" s="38" t="s">
        <v>35</v>
      </c>
      <c r="H109" s="38" t="s">
        <v>36</v>
      </c>
      <c r="L109" s="1" t="s">
        <v>33</v>
      </c>
      <c r="M109" s="1" t="s">
        <v>37</v>
      </c>
      <c r="N109" s="32"/>
      <c r="O109" s="32"/>
    </row>
    <row r="110" spans="4:20" ht="20.100000000000001" customHeight="1" x14ac:dyDescent="0.25">
      <c r="D110" s="1" t="str">
        <f>"Proportion of cows &gt; 1 years in calf in " &amp; E104</f>
        <v>Proportion of cows &gt; 1 years in calf in Winter</v>
      </c>
      <c r="E110" s="31" t="s">
        <v>196</v>
      </c>
      <c r="F110" s="40">
        <v>0.7</v>
      </c>
      <c r="G110" s="40">
        <v>0.5</v>
      </c>
      <c r="H110" s="40">
        <v>0.5</v>
      </c>
      <c r="I110" s="32" t="s">
        <v>56</v>
      </c>
      <c r="L110" s="29">
        <f>MAX(0, G41-G40)</f>
        <v>0</v>
      </c>
      <c r="M110" s="29">
        <f>MAX(0,K41-K40)</f>
        <v>0</v>
      </c>
      <c r="N110" s="32"/>
      <c r="O110" s="32"/>
    </row>
    <row r="111" spans="4:20" ht="20.100000000000001" customHeight="1" x14ac:dyDescent="0.25">
      <c r="D111" s="1" t="s">
        <v>41</v>
      </c>
      <c r="E111" s="31" t="s">
        <v>196</v>
      </c>
      <c r="F111" s="40">
        <v>0.1</v>
      </c>
      <c r="G111" s="40">
        <v>0.4</v>
      </c>
      <c r="H111" s="40">
        <v>0.4</v>
      </c>
      <c r="I111" s="32" t="s">
        <v>56</v>
      </c>
      <c r="L111" s="29">
        <f>MAX(0, G38-G41)</f>
        <v>0</v>
      </c>
      <c r="M111" s="29">
        <f>MAX(0,K38-K41)</f>
        <v>0</v>
      </c>
    </row>
    <row r="112" spans="4:20" ht="20.100000000000001" customHeight="1" x14ac:dyDescent="0.25">
      <c r="D112" s="1" t="s">
        <v>43</v>
      </c>
      <c r="E112" s="31" t="s">
        <v>196</v>
      </c>
      <c r="F112" s="40">
        <v>0.1</v>
      </c>
      <c r="G112" s="40">
        <v>0</v>
      </c>
      <c r="H112" s="40">
        <v>0</v>
      </c>
      <c r="I112" s="32" t="s">
        <v>56</v>
      </c>
      <c r="L112" s="29">
        <f>MAX(0, G39-G38)</f>
        <v>0</v>
      </c>
      <c r="M112" s="29">
        <f>MAX(0,K39-K38)</f>
        <v>0</v>
      </c>
    </row>
    <row r="113" spans="4:15" ht="20.100000000000001" customHeight="1" x14ac:dyDescent="0.25">
      <c r="D113" s="1" t="s">
        <v>44</v>
      </c>
      <c r="E113" s="31" t="s">
        <v>66</v>
      </c>
      <c r="F113" s="40">
        <v>0</v>
      </c>
      <c r="G113" s="40">
        <v>0</v>
      </c>
      <c r="H113" s="40">
        <v>0</v>
      </c>
      <c r="I113" s="32" t="s">
        <v>56</v>
      </c>
      <c r="L113" s="29">
        <f>MAX(0,G40-G39)</f>
        <v>0</v>
      </c>
      <c r="M113" s="29">
        <f>MAX(0,K40-K39)</f>
        <v>0</v>
      </c>
    </row>
    <row r="114" spans="4:15" ht="20.100000000000001" customHeight="1" x14ac:dyDescent="0.25">
      <c r="J114" s="1" t="s">
        <v>197</v>
      </c>
    </row>
    <row r="115" spans="4:15" ht="20.100000000000001" customHeight="1" x14ac:dyDescent="0.25"/>
    <row r="116" spans="4:15" ht="20.100000000000001" customHeight="1" x14ac:dyDescent="0.25"/>
    <row r="117" spans="4:15" ht="20.100000000000001" customHeight="1" x14ac:dyDescent="0.25">
      <c r="D117" s="38" t="s">
        <v>49</v>
      </c>
      <c r="E117" s="38"/>
      <c r="F117" s="38"/>
      <c r="G117" s="38"/>
      <c r="L117" s="73" t="s">
        <v>198</v>
      </c>
    </row>
    <row r="118" spans="4:15" ht="20.100000000000001" customHeight="1" x14ac:dyDescent="0.25">
      <c r="D118" s="1" t="s">
        <v>57</v>
      </c>
      <c r="E118" s="31" t="s">
        <v>58</v>
      </c>
      <c r="F118" s="32" t="s">
        <v>25</v>
      </c>
      <c r="J118" s="48" t="s">
        <v>31</v>
      </c>
    </row>
    <row r="119" spans="4:15" ht="20.100000000000001" customHeight="1" x14ac:dyDescent="0.25">
      <c r="D119" s="1" t="s">
        <v>59</v>
      </c>
      <c r="E119" s="29" t="str">
        <f>TEXT(EDATE(E118,1), "mmmm yyyy")</f>
        <v>September 2024</v>
      </c>
      <c r="J119" s="1" t="s">
        <v>47</v>
      </c>
      <c r="K119" s="1" t="s">
        <v>199</v>
      </c>
      <c r="L119" s="1" t="s">
        <v>197</v>
      </c>
      <c r="M119" s="1" t="s">
        <v>200</v>
      </c>
      <c r="N119" s="1" t="s">
        <v>201</v>
      </c>
      <c r="O119" s="1" t="s">
        <v>202</v>
      </c>
    </row>
    <row r="120" spans="4:15" ht="20.100000000000001" customHeight="1" x14ac:dyDescent="0.25">
      <c r="D120" s="1" t="s">
        <v>60</v>
      </c>
      <c r="E120" s="29" t="str">
        <f>TEXT(EDATE(E118,2), "mmmm yyyy")</f>
        <v>October 2024</v>
      </c>
      <c r="J120" s="29">
        <f>E38</f>
        <v>100</v>
      </c>
      <c r="K120" s="29">
        <f>MAX(0, E38-E41)</f>
        <v>0</v>
      </c>
      <c r="L120" s="1">
        <f>K120/J120</f>
        <v>0</v>
      </c>
      <c r="M120" s="1">
        <f>K123/J120</f>
        <v>0</v>
      </c>
      <c r="N120" s="32">
        <f>1-(L120+M120)</f>
        <v>1</v>
      </c>
      <c r="O120" s="48">
        <f>(L120*6)+(M120*4)+(N120*0)</f>
        <v>0</v>
      </c>
    </row>
    <row r="121" spans="4:15" ht="20.100000000000001" customHeight="1" x14ac:dyDescent="0.25">
      <c r="J121" s="29">
        <f>E39</f>
        <v>100</v>
      </c>
      <c r="K121" s="29">
        <f>MAX(0, E39-E38)</f>
        <v>0</v>
      </c>
      <c r="L121" s="1">
        <f>K121/J121</f>
        <v>0</v>
      </c>
      <c r="M121" s="1">
        <f>K120/J121</f>
        <v>0</v>
      </c>
      <c r="N121" s="32">
        <f>1-(L121+M121)</f>
        <v>1</v>
      </c>
      <c r="O121" s="48">
        <f t="shared" ref="O121:O123" si="1">(L121*6)+(M121*4)+(N121*0)</f>
        <v>0</v>
      </c>
    </row>
    <row r="122" spans="4:15" ht="20.100000000000001" customHeight="1" x14ac:dyDescent="0.25">
      <c r="J122" s="29">
        <f>E40</f>
        <v>100</v>
      </c>
      <c r="K122" s="29">
        <f>MAX(0,E40-E39)</f>
        <v>0</v>
      </c>
      <c r="L122" s="1">
        <f>K122/J122</f>
        <v>0</v>
      </c>
      <c r="M122" s="1">
        <f>K121/J122</f>
        <v>0</v>
      </c>
      <c r="N122" s="32">
        <f>1-(L122+M122)</f>
        <v>1</v>
      </c>
      <c r="O122" s="48">
        <f t="shared" si="1"/>
        <v>0</v>
      </c>
    </row>
    <row r="123" spans="4:15" ht="20.100000000000001" customHeight="1" x14ac:dyDescent="0.25">
      <c r="E123" s="38" t="s">
        <v>34</v>
      </c>
      <c r="F123" s="38" t="s">
        <v>35</v>
      </c>
      <c r="G123" s="38" t="s">
        <v>36</v>
      </c>
      <c r="J123" s="29">
        <f>E41</f>
        <v>100</v>
      </c>
      <c r="K123" s="29">
        <f>MAX(0, E41-E40)</f>
        <v>0</v>
      </c>
      <c r="L123" s="1">
        <f>K123/J123</f>
        <v>0</v>
      </c>
      <c r="M123" s="32">
        <f>K122/J123</f>
        <v>0</v>
      </c>
      <c r="N123" s="32">
        <f>1-(L123+M123)</f>
        <v>1</v>
      </c>
      <c r="O123" s="48">
        <f t="shared" si="1"/>
        <v>0</v>
      </c>
    </row>
    <row r="124" spans="4:15" ht="20.100000000000001" customHeight="1" x14ac:dyDescent="0.25">
      <c r="D124" s="1" t="str">
        <f>E118</f>
        <v>August 2024</v>
      </c>
      <c r="E124" s="40">
        <v>0.25</v>
      </c>
      <c r="F124" s="40">
        <v>0.25</v>
      </c>
      <c r="G124" s="40">
        <v>0.25</v>
      </c>
      <c r="H124" s="32" t="s">
        <v>56</v>
      </c>
      <c r="L124" s="32"/>
      <c r="M124" s="32"/>
      <c r="N124" s="32"/>
      <c r="O124" s="32"/>
    </row>
    <row r="125" spans="4:15" ht="20.100000000000001" customHeight="1" x14ac:dyDescent="0.25">
      <c r="D125" s="1" t="str">
        <f>E119</f>
        <v>September 2024</v>
      </c>
      <c r="E125" s="40">
        <v>0.25</v>
      </c>
      <c r="F125" s="40">
        <v>0.25</v>
      </c>
      <c r="G125" s="40">
        <v>0.25</v>
      </c>
      <c r="H125" s="32" t="s">
        <v>56</v>
      </c>
    </row>
    <row r="126" spans="4:15" ht="20.100000000000001" customHeight="1" x14ac:dyDescent="0.25">
      <c r="D126" s="1" t="str">
        <f>E120</f>
        <v>October 2024</v>
      </c>
      <c r="E126" s="40">
        <v>0.25</v>
      </c>
      <c r="F126" s="40">
        <v>0.25</v>
      </c>
      <c r="G126" s="40">
        <v>0.25</v>
      </c>
      <c r="H126" s="32" t="s">
        <v>56</v>
      </c>
    </row>
    <row r="127" spans="4:15" ht="20.100000000000001" customHeight="1" x14ac:dyDescent="0.25">
      <c r="D127" s="1" t="str">
        <f>"Proportion of cows &gt; 1 years in calf in " &amp; D124 &amp; " to " &amp; D126</f>
        <v>Proportion of cows &gt; 1 years in calf in August 2024 to October 2024</v>
      </c>
      <c r="E127" s="41">
        <f>SUM(E124:E126)</f>
        <v>0.75</v>
      </c>
      <c r="F127" s="41">
        <f>SUM(F124:F126)</f>
        <v>0.75</v>
      </c>
      <c r="G127" s="41">
        <f>SUM(G124:G126)</f>
        <v>0.75</v>
      </c>
      <c r="H127" s="32" t="s">
        <v>56</v>
      </c>
    </row>
    <row r="128" spans="4:15" ht="20.100000000000001" customHeight="1" x14ac:dyDescent="0.25"/>
    <row r="129" spans="4:15" ht="20.100000000000001" customHeight="1" x14ac:dyDescent="0.25">
      <c r="K129" s="32"/>
      <c r="L129" s="32"/>
      <c r="M129" s="32"/>
      <c r="N129" s="32"/>
      <c r="O129" s="32"/>
    </row>
    <row r="130" spans="4:15" ht="20.100000000000001" customHeight="1" x14ac:dyDescent="0.25">
      <c r="D130" s="37" t="s">
        <v>61</v>
      </c>
      <c r="K130" s="32"/>
      <c r="L130" s="32"/>
      <c r="M130" s="32"/>
      <c r="N130" s="32"/>
      <c r="O130" s="32"/>
    </row>
    <row r="131" spans="4:15" ht="20.100000000000001" customHeight="1" x14ac:dyDescent="0.25">
      <c r="D131" s="38" t="s">
        <v>30</v>
      </c>
      <c r="E131" s="38" t="s">
        <v>31</v>
      </c>
      <c r="F131" s="38" t="s">
        <v>32</v>
      </c>
      <c r="G131" s="38" t="s">
        <v>33</v>
      </c>
      <c r="H131" s="38" t="s">
        <v>34</v>
      </c>
      <c r="I131" s="38" t="s">
        <v>35</v>
      </c>
      <c r="J131" s="38" t="s">
        <v>36</v>
      </c>
      <c r="K131" s="38" t="s">
        <v>37</v>
      </c>
      <c r="L131" s="38" t="s">
        <v>38</v>
      </c>
      <c r="M131" s="38" t="s">
        <v>39</v>
      </c>
      <c r="N131" s="38" t="s">
        <v>40</v>
      </c>
    </row>
    <row r="132" spans="4:15" ht="20.100000000000001" customHeight="1" x14ac:dyDescent="0.25">
      <c r="D132" s="1" t="s">
        <v>41</v>
      </c>
      <c r="E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2" s="29">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2" s="32" t="s">
        <v>62</v>
      </c>
    </row>
    <row r="133" spans="4:15" ht="20.100000000000001" customHeight="1" x14ac:dyDescent="0.25">
      <c r="D133" s="1" t="s">
        <v>43</v>
      </c>
      <c r="E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3" s="29">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3" s="32" t="s">
        <v>62</v>
      </c>
    </row>
    <row r="134" spans="4:15" ht="20.100000000000001" customHeight="1" x14ac:dyDescent="0.25">
      <c r="D134" s="1" t="s">
        <v>44</v>
      </c>
      <c r="E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4" s="29">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4" s="32" t="s">
        <v>62</v>
      </c>
    </row>
    <row r="135" spans="4:15" ht="20.100000000000001" customHeight="1" x14ac:dyDescent="0.25">
      <c r="D135" s="1" t="s">
        <v>45</v>
      </c>
      <c r="E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5" s="29">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5" s="32" t="s">
        <v>62</v>
      </c>
    </row>
    <row r="136" spans="4:15" ht="20.100000000000001" customHeight="1" x14ac:dyDescent="0.25"/>
    <row r="137" spans="4:15" ht="20.100000000000001" customHeight="1" x14ac:dyDescent="0.25">
      <c r="D137" s="38" t="s">
        <v>46</v>
      </c>
      <c r="E137" s="38" t="s">
        <v>31</v>
      </c>
      <c r="F137" s="38" t="s">
        <v>32</v>
      </c>
      <c r="G137" s="38" t="s">
        <v>33</v>
      </c>
      <c r="H137" s="38" t="s">
        <v>34</v>
      </c>
      <c r="I137" s="38" t="s">
        <v>35</v>
      </c>
      <c r="J137" s="38" t="s">
        <v>36</v>
      </c>
      <c r="K137" s="38" t="s">
        <v>37</v>
      </c>
      <c r="L137" s="38" t="s">
        <v>38</v>
      </c>
      <c r="M137" s="38" t="s">
        <v>39</v>
      </c>
      <c r="N137" s="38" t="s">
        <v>40</v>
      </c>
    </row>
    <row r="138" spans="4:15" ht="20.100000000000001" customHeight="1" x14ac:dyDescent="0.25">
      <c r="D138" s="1" t="str">
        <f>TEXT('Input - Site'!$E$12, "mmmm yyyy")</f>
        <v>January 2024</v>
      </c>
      <c r="E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8" s="32" t="s">
        <v>62</v>
      </c>
    </row>
    <row r="139" spans="4:15" ht="20.100000000000001" customHeight="1" x14ac:dyDescent="0.25">
      <c r="D139" s="1" t="str">
        <f>TEXT(EDATE('Input - Site'!$E$12,1), "mmmm yyyy")</f>
        <v>February 2024</v>
      </c>
      <c r="E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32" t="s">
        <v>62</v>
      </c>
    </row>
    <row r="140" spans="4:15" ht="20.100000000000001" customHeight="1" x14ac:dyDescent="0.25">
      <c r="D140" s="1" t="str">
        <f>TEXT(EDATE('Input - Site'!$E$12,2), "mmmm yyyy")</f>
        <v>March 2024</v>
      </c>
      <c r="E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0" s="32" t="s">
        <v>62</v>
      </c>
    </row>
    <row r="141" spans="4:15" ht="20.100000000000001" customHeight="1" x14ac:dyDescent="0.25">
      <c r="D141" s="1" t="str">
        <f>TEXT(EDATE('Input - Site'!$E$12,3), "mmmm yyyy")</f>
        <v>April 2024</v>
      </c>
      <c r="E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32" t="s">
        <v>62</v>
      </c>
    </row>
    <row r="142" spans="4:15" ht="20.100000000000001" customHeight="1" x14ac:dyDescent="0.25">
      <c r="D142" s="1" t="str">
        <f>TEXT(EDATE('Input - Site'!$E$12,4), "mmmm yyyy")</f>
        <v>May 2024</v>
      </c>
      <c r="E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32" t="s">
        <v>62</v>
      </c>
    </row>
    <row r="143" spans="4:15" ht="20.100000000000001" customHeight="1" x14ac:dyDescent="0.25">
      <c r="D143" s="1" t="str">
        <f>TEXT(EDATE('Input - Site'!$E$12,5), "mmmm yyyy")</f>
        <v>June 2024</v>
      </c>
      <c r="E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3" s="39">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3" s="32" t="s">
        <v>62</v>
      </c>
    </row>
    <row r="144" spans="4:15" ht="20.100000000000001" customHeight="1" x14ac:dyDescent="0.25">
      <c r="D144" s="1" t="str">
        <f>TEXT(EDATE('Input - Site'!$E$12,6), "mmmm yyyy")</f>
        <v>July 2024</v>
      </c>
      <c r="E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39">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32" t="s">
        <v>62</v>
      </c>
    </row>
    <row r="145" spans="4:15" ht="20.100000000000001" customHeight="1" x14ac:dyDescent="0.25">
      <c r="D145" s="1" t="str">
        <f>TEXT(EDATE('Input - Site'!$E$12,7), "mmmm yyyy")</f>
        <v>August 2024</v>
      </c>
      <c r="E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39">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32" t="s">
        <v>62</v>
      </c>
    </row>
    <row r="146" spans="4:15" ht="20.100000000000001" customHeight="1" x14ac:dyDescent="0.25">
      <c r="D146" s="1" t="str">
        <f>TEXT(EDATE('Input - Site'!$E$12,8), "mmmm yyyy")</f>
        <v>September 2024</v>
      </c>
      <c r="E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6" s="39">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6" s="32" t="s">
        <v>62</v>
      </c>
    </row>
    <row r="147" spans="4:15" ht="20.100000000000001" customHeight="1" x14ac:dyDescent="0.25">
      <c r="D147" s="1" t="str">
        <f>TEXT(EDATE('Input - Site'!$E$12,9), "mmmm yyyy")</f>
        <v>October 2024</v>
      </c>
      <c r="E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39">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32" t="s">
        <v>62</v>
      </c>
    </row>
    <row r="148" spans="4:15" ht="20.100000000000001" customHeight="1" x14ac:dyDescent="0.25">
      <c r="D148" s="1" t="str">
        <f>TEXT(EDATE('Input - Site'!$E$12,10), "mmmm yyyy")</f>
        <v>November 2024</v>
      </c>
      <c r="E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39">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32" t="s">
        <v>62</v>
      </c>
    </row>
    <row r="149" spans="4:15" ht="20.100000000000001" customHeight="1" x14ac:dyDescent="0.25">
      <c r="D149" s="1" t="str">
        <f>TEXT(EDATE('Input - Site'!$E$12,11), "mmmm yyyy")</f>
        <v>December 2024</v>
      </c>
      <c r="E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9" s="39">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9" s="32" t="s">
        <v>62</v>
      </c>
    </row>
    <row r="150" spans="4:15" ht="20.100000000000001" customHeight="1" x14ac:dyDescent="0.25"/>
    <row r="151" spans="4:15" ht="20.100000000000001" customHeight="1" x14ac:dyDescent="0.25"/>
    <row r="152" spans="4:15" ht="20.100000000000001" customHeight="1" x14ac:dyDescent="0.25">
      <c r="D152" s="37" t="s">
        <v>63</v>
      </c>
      <c r="K152" s="32"/>
      <c r="L152" s="32"/>
      <c r="M152" s="32"/>
      <c r="N152" s="32"/>
      <c r="O152" s="32"/>
    </row>
    <row r="153" spans="4:15" ht="20.100000000000001" customHeight="1" x14ac:dyDescent="0.25">
      <c r="D153" s="38" t="s">
        <v>30</v>
      </c>
      <c r="E153" s="38" t="s">
        <v>31</v>
      </c>
      <c r="F153" s="38" t="s">
        <v>32</v>
      </c>
      <c r="G153" s="38" t="s">
        <v>33</v>
      </c>
      <c r="H153" s="38" t="s">
        <v>34</v>
      </c>
      <c r="I153" s="38" t="s">
        <v>35</v>
      </c>
      <c r="J153" s="38" t="s">
        <v>36</v>
      </c>
      <c r="K153" s="38" t="s">
        <v>37</v>
      </c>
      <c r="L153" s="38" t="s">
        <v>38</v>
      </c>
      <c r="M153" s="38" t="s">
        <v>39</v>
      </c>
      <c r="N153" s="38" t="s">
        <v>40</v>
      </c>
    </row>
    <row r="154" spans="4:15" ht="20.100000000000001" customHeight="1" x14ac:dyDescent="0.25">
      <c r="D154" s="1" t="s">
        <v>41</v>
      </c>
      <c r="E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F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G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H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I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J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K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L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M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N154" s="29">
        <f>InputFunctions_PastureBeef.LookupValueFromStateRegionSeason($E$7,$E$8,$D154, Table_SourceData_PastureBeef_CrudeProtein[State],Table_SourceData_PastureBeef_CrudeProtein[Region],Table_SourceData_PastureBeef_CrudeProtein[#Headers],Table_SourceData_PastureBeef_CrudeProtein[#Data],Table_AustralianStates[Common Name],Table_AustralianStates[Abbreviation])</f>
        <v>0.2</v>
      </c>
      <c r="O154" s="32" t="s">
        <v>62</v>
      </c>
    </row>
    <row r="155" spans="4:15" ht="20.100000000000001" customHeight="1" x14ac:dyDescent="0.25">
      <c r="D155" s="1" t="s">
        <v>43</v>
      </c>
      <c r="E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F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G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H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I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J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K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L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M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N155" s="29">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0.09</v>
      </c>
      <c r="O155" s="32" t="s">
        <v>62</v>
      </c>
    </row>
    <row r="156" spans="4:15" ht="20.100000000000001" customHeight="1" x14ac:dyDescent="0.25">
      <c r="D156" s="1" t="s">
        <v>44</v>
      </c>
      <c r="E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F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G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H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I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J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K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L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M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N156" s="29">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0.06</v>
      </c>
      <c r="O156" s="32" t="s">
        <v>62</v>
      </c>
    </row>
    <row r="157" spans="4:15" ht="20.100000000000001" customHeight="1" x14ac:dyDescent="0.25">
      <c r="D157" s="1" t="s">
        <v>45</v>
      </c>
      <c r="E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F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G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H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I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J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K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L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M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N157" s="29">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0.2</v>
      </c>
      <c r="O157" s="32" t="s">
        <v>62</v>
      </c>
    </row>
    <row r="158" spans="4:15" ht="20.100000000000001" customHeight="1" x14ac:dyDescent="0.25"/>
    <row r="159" spans="4:15" ht="20.100000000000001" customHeight="1" x14ac:dyDescent="0.25">
      <c r="D159" s="38" t="s">
        <v>46</v>
      </c>
      <c r="E159" s="38" t="s">
        <v>31</v>
      </c>
      <c r="F159" s="38" t="s">
        <v>32</v>
      </c>
      <c r="G159" s="38" t="s">
        <v>33</v>
      </c>
      <c r="H159" s="38" t="s">
        <v>34</v>
      </c>
      <c r="I159" s="38" t="s">
        <v>35</v>
      </c>
      <c r="J159" s="38" t="s">
        <v>36</v>
      </c>
      <c r="K159" s="38" t="s">
        <v>37</v>
      </c>
      <c r="L159" s="38" t="s">
        <v>38</v>
      </c>
      <c r="M159" s="38" t="s">
        <v>39</v>
      </c>
      <c r="N159" s="38" t="s">
        <v>40</v>
      </c>
    </row>
    <row r="160" spans="4:15" ht="20.100000000000001" customHeight="1" x14ac:dyDescent="0.25">
      <c r="D160" s="1" t="str">
        <f>TEXT('Input - Site'!$E$12, "mmmm yyyy")</f>
        <v>January 2024</v>
      </c>
      <c r="E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0" s="32" t="s">
        <v>62</v>
      </c>
    </row>
    <row r="161" spans="4:15" ht="20.100000000000001" customHeight="1" x14ac:dyDescent="0.25">
      <c r="D161" s="1" t="str">
        <f>TEXT(EDATE('Input - Site'!$E$12,1), "mmmm yyyy")</f>
        <v>February 2024</v>
      </c>
      <c r="E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32" t="s">
        <v>62</v>
      </c>
    </row>
    <row r="162" spans="4:15" ht="20.100000000000001" customHeight="1" x14ac:dyDescent="0.25">
      <c r="D162" s="1" t="str">
        <f>TEXT(EDATE('Input - Site'!$E$12,2), "mmmm yyyy")</f>
        <v>March 2024</v>
      </c>
      <c r="E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2" s="32" t="s">
        <v>62</v>
      </c>
    </row>
    <row r="163" spans="4:15" ht="20.100000000000001" customHeight="1" x14ac:dyDescent="0.25">
      <c r="D163" s="1" t="str">
        <f>TEXT(EDATE('Input - Site'!$E$12,3), "mmmm yyyy")</f>
        <v>April 2024</v>
      </c>
      <c r="E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32" t="s">
        <v>62</v>
      </c>
    </row>
    <row r="164" spans="4:15" ht="20.100000000000001" customHeight="1" x14ac:dyDescent="0.25">
      <c r="D164" s="1" t="str">
        <f>TEXT(EDATE('Input - Site'!$E$12,4), "mmmm yyyy")</f>
        <v>May 2024</v>
      </c>
      <c r="E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32" t="s">
        <v>62</v>
      </c>
    </row>
    <row r="165" spans="4:15" ht="20.100000000000001" customHeight="1" x14ac:dyDescent="0.25">
      <c r="D165" s="1" t="str">
        <f>TEXT(EDATE('Input - Site'!$E$12,5), "mmmm yyyy")</f>
        <v>June 2024</v>
      </c>
      <c r="E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5" s="39">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5" s="32" t="s">
        <v>62</v>
      </c>
    </row>
    <row r="166" spans="4:15" x14ac:dyDescent="0.25">
      <c r="D166" s="1" t="str">
        <f>TEXT(EDATE('Input - Site'!$E$12,6), "mmmm yyyy")</f>
        <v>July 2024</v>
      </c>
      <c r="E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39">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32" t="s">
        <v>62</v>
      </c>
    </row>
    <row r="167" spans="4:15" x14ac:dyDescent="0.25">
      <c r="D167" s="1" t="str">
        <f>TEXT(EDATE('Input - Site'!$E$12,7), "mmmm yyyy")</f>
        <v>August 2024</v>
      </c>
      <c r="E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39">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32" t="s">
        <v>62</v>
      </c>
    </row>
    <row r="168" spans="4:15" x14ac:dyDescent="0.25">
      <c r="D168" s="1" t="str">
        <f>TEXT(EDATE('Input - Site'!$E$12,8), "mmmm yyyy")</f>
        <v>September 2024</v>
      </c>
      <c r="E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39">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32" t="s">
        <v>62</v>
      </c>
    </row>
    <row r="169" spans="4:15" x14ac:dyDescent="0.25">
      <c r="D169" s="1" t="str">
        <f>TEXT(EDATE('Input - Site'!$E$12,9), "mmmm yyyy")</f>
        <v>October 2024</v>
      </c>
      <c r="E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39">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32" t="s">
        <v>62</v>
      </c>
    </row>
    <row r="170" spans="4:15" x14ac:dyDescent="0.25">
      <c r="D170" s="1" t="str">
        <f>TEXT(EDATE('Input - Site'!$E$12,10), "mmmm yyyy")</f>
        <v>November 2024</v>
      </c>
      <c r="E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39">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32" t="s">
        <v>62</v>
      </c>
    </row>
    <row r="171" spans="4:15" x14ac:dyDescent="0.25">
      <c r="D171" s="1" t="str">
        <f>TEXT(EDATE('Input - Site'!$E$12,11), "mmmm yyyy")</f>
        <v>December 2024</v>
      </c>
      <c r="E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1" s="39">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1" s="32" t="s">
        <v>62</v>
      </c>
    </row>
    <row r="172" spans="4:15" x14ac:dyDescent="0.25">
      <c r="L172" s="32"/>
      <c r="M172" s="32"/>
      <c r="N172" s="32"/>
      <c r="O172" s="32"/>
    </row>
    <row r="173" spans="4:15" x14ac:dyDescent="0.25">
      <c r="L173" s="32"/>
      <c r="M173" s="32"/>
      <c r="N173" s="32"/>
      <c r="O173" s="32"/>
    </row>
    <row r="174" spans="4:15" ht="18.75" x14ac:dyDescent="0.25">
      <c r="D174" s="37" t="s">
        <v>64</v>
      </c>
      <c r="L174" s="32"/>
      <c r="M174" s="32"/>
      <c r="N174" s="32"/>
      <c r="O174" s="32"/>
    </row>
    <row r="176" spans="4:15" x14ac:dyDescent="0.25">
      <c r="D176" s="1" t="s">
        <v>65</v>
      </c>
      <c r="E176" s="31" t="s">
        <v>66</v>
      </c>
      <c r="F176" s="32" t="s">
        <v>25</v>
      </c>
      <c r="L176" s="32"/>
      <c r="M176" s="32"/>
      <c r="N176" s="32"/>
      <c r="O176" s="32"/>
    </row>
    <row r="178" spans="4:15" x14ac:dyDescent="0.25">
      <c r="D178" s="38" t="s">
        <v>67</v>
      </c>
      <c r="E178" s="38" t="s">
        <v>68</v>
      </c>
      <c r="L178" s="32"/>
      <c r="M178" s="32"/>
      <c r="N178" s="32"/>
      <c r="O178" s="32"/>
    </row>
    <row r="179" spans="4:15" x14ac:dyDescent="0.25">
      <c r="D179" s="1" t="s">
        <v>69</v>
      </c>
      <c r="E179" s="42">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32" t="s">
        <v>56</v>
      </c>
      <c r="L179" s="32"/>
      <c r="M179" s="32"/>
      <c r="N179" s="32"/>
      <c r="O179" s="32"/>
    </row>
    <row r="180" spans="4:15" x14ac:dyDescent="0.25">
      <c r="D180" s="1" t="s">
        <v>70</v>
      </c>
      <c r="E180" s="42">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32" t="s">
        <v>56</v>
      </c>
      <c r="L180" s="32"/>
      <c r="M180" s="32"/>
      <c r="N180" s="32"/>
      <c r="O180" s="32"/>
    </row>
    <row r="181" spans="4:15" x14ac:dyDescent="0.25">
      <c r="L181" s="32"/>
      <c r="M181" s="32"/>
      <c r="N181" s="32"/>
      <c r="O181" s="32"/>
    </row>
    <row r="183" spans="4:15" x14ac:dyDescent="0.25">
      <c r="D183" s="1" t="s">
        <v>71</v>
      </c>
      <c r="E183" s="31" t="s">
        <v>72</v>
      </c>
      <c r="F183" s="32" t="s">
        <v>25</v>
      </c>
      <c r="L183" s="32"/>
      <c r="M183" s="32"/>
      <c r="N183" s="32"/>
      <c r="O183" s="32"/>
    </row>
    <row r="184" spans="4:15" x14ac:dyDescent="0.25">
      <c r="E184" s="31" t="s">
        <v>140</v>
      </c>
      <c r="F184" s="32" t="s">
        <v>25</v>
      </c>
    </row>
    <row r="199" spans="12:15" x14ac:dyDescent="0.25">
      <c r="L199" s="32"/>
      <c r="M199" s="32"/>
      <c r="N199" s="32"/>
      <c r="O199" s="32"/>
    </row>
    <row r="202" spans="12:15" x14ac:dyDescent="0.25">
      <c r="L202" s="32"/>
      <c r="M202" s="32"/>
      <c r="N202" s="32"/>
      <c r="O202" s="32"/>
    </row>
    <row r="207" spans="12:15" x14ac:dyDescent="0.25">
      <c r="L207" s="32"/>
      <c r="M207" s="32"/>
      <c r="N207" s="32"/>
      <c r="O207" s="32"/>
    </row>
    <row r="208" spans="12:15" x14ac:dyDescent="0.25">
      <c r="L208" s="32"/>
      <c r="M208" s="32"/>
      <c r="N208" s="32"/>
      <c r="O208" s="32"/>
    </row>
    <row r="209" spans="12:15" x14ac:dyDescent="0.25">
      <c r="L209" s="32"/>
      <c r="M209" s="32"/>
      <c r="N209" s="32"/>
      <c r="O209" s="32"/>
    </row>
    <row r="210" spans="12:15" x14ac:dyDescent="0.25">
      <c r="L210" s="32"/>
      <c r="M210" s="32"/>
      <c r="N210" s="32"/>
      <c r="O210" s="32"/>
    </row>
    <row r="212" spans="12:15" x14ac:dyDescent="0.25">
      <c r="L212" s="32"/>
      <c r="M212" s="32"/>
      <c r="N212" s="32"/>
      <c r="O212" s="32"/>
    </row>
    <row r="214" spans="12:15" x14ac:dyDescent="0.25">
      <c r="L214" s="32"/>
      <c r="M214" s="32"/>
      <c r="N214" s="32"/>
      <c r="O214" s="32"/>
    </row>
    <row r="215" spans="12:15" x14ac:dyDescent="0.25">
      <c r="L215" s="32"/>
      <c r="M215" s="32"/>
      <c r="N215" s="32"/>
      <c r="O215" s="32"/>
    </row>
    <row r="216" spans="12:15" x14ac:dyDescent="0.25">
      <c r="L216" s="32"/>
      <c r="M216" s="32"/>
      <c r="N216" s="32"/>
      <c r="O216" s="32"/>
    </row>
    <row r="217" spans="12:15" x14ac:dyDescent="0.25">
      <c r="L217" s="32"/>
      <c r="M217" s="32"/>
      <c r="N217" s="32"/>
      <c r="O217" s="32"/>
    </row>
    <row r="219" spans="12:15" x14ac:dyDescent="0.25">
      <c r="L219" s="32"/>
      <c r="M219" s="32"/>
      <c r="N219" s="32"/>
      <c r="O219" s="32"/>
    </row>
    <row r="227" spans="12:15" x14ac:dyDescent="0.25">
      <c r="L227" s="32"/>
      <c r="M227" s="32"/>
      <c r="N227" s="32"/>
      <c r="O227" s="32"/>
    </row>
    <row r="228" spans="12:15" x14ac:dyDescent="0.25">
      <c r="L228" s="32"/>
      <c r="M228" s="32"/>
      <c r="N228" s="32"/>
      <c r="O228" s="32"/>
    </row>
    <row r="229" spans="12:15" x14ac:dyDescent="0.25">
      <c r="L229" s="32"/>
      <c r="M229" s="32"/>
      <c r="N229" s="32"/>
      <c r="O229" s="32"/>
    </row>
    <row r="232" spans="12:15" x14ac:dyDescent="0.25">
      <c r="L232" s="32"/>
      <c r="M232" s="32"/>
      <c r="N232" s="32"/>
      <c r="O232" s="32"/>
    </row>
    <row r="233" spans="12:15" x14ac:dyDescent="0.25">
      <c r="L233" s="32"/>
      <c r="M233" s="32"/>
      <c r="N233" s="32"/>
      <c r="O233" s="32"/>
    </row>
    <row r="234" spans="12:15" x14ac:dyDescent="0.25">
      <c r="L234" s="32"/>
      <c r="M234" s="32"/>
      <c r="N234" s="32"/>
      <c r="O234" s="32"/>
    </row>
    <row r="237" spans="12:15" x14ac:dyDescent="0.25">
      <c r="L237" s="32"/>
      <c r="M237" s="32"/>
      <c r="N237" s="32"/>
      <c r="O237" s="32"/>
    </row>
    <row r="238" spans="12:15" x14ac:dyDescent="0.25">
      <c r="L238" s="32"/>
      <c r="M238" s="32"/>
      <c r="N238" s="32"/>
      <c r="O238" s="32"/>
    </row>
    <row r="239" spans="12:15" x14ac:dyDescent="0.25">
      <c r="L239" s="32"/>
      <c r="M239" s="32"/>
      <c r="N239" s="32"/>
      <c r="O239" s="32"/>
    </row>
    <row r="242" spans="11:15" x14ac:dyDescent="0.25">
      <c r="L242" s="32"/>
      <c r="M242" s="32"/>
      <c r="N242" s="32"/>
      <c r="O242" s="32"/>
    </row>
    <row r="243" spans="11:15" x14ac:dyDescent="0.25">
      <c r="K243" s="32"/>
      <c r="L243" s="32"/>
      <c r="M243" s="32"/>
      <c r="N243" s="32"/>
      <c r="O243" s="32"/>
    </row>
    <row r="244" spans="11:15" x14ac:dyDescent="0.25">
      <c r="L244" s="32"/>
      <c r="M244" s="32"/>
      <c r="N244" s="32"/>
      <c r="O244" s="32"/>
    </row>
    <row r="248" spans="11:15" x14ac:dyDescent="0.25">
      <c r="K248" s="32"/>
    </row>
    <row r="251" spans="11:15" x14ac:dyDescent="0.25">
      <c r="L251" s="32"/>
      <c r="M251" s="32"/>
      <c r="N251" s="32"/>
      <c r="O251" s="32"/>
    </row>
    <row r="252" spans="11:15" x14ac:dyDescent="0.25">
      <c r="L252" s="32"/>
      <c r="M252" s="32"/>
      <c r="N252" s="32"/>
      <c r="O252" s="32"/>
    </row>
    <row r="253" spans="11:15" x14ac:dyDescent="0.25">
      <c r="K253" s="32"/>
      <c r="L253" s="32"/>
      <c r="M253" s="32"/>
      <c r="N253" s="32"/>
      <c r="O253" s="32"/>
    </row>
    <row r="256" spans="11:15" x14ac:dyDescent="0.25">
      <c r="L256" s="32"/>
      <c r="M256" s="32"/>
      <c r="N256" s="32"/>
      <c r="O256" s="32"/>
    </row>
    <row r="257" spans="11:15" x14ac:dyDescent="0.25">
      <c r="L257" s="32"/>
      <c r="M257" s="32"/>
      <c r="N257" s="32"/>
      <c r="O257" s="32"/>
    </row>
    <row r="258" spans="11:15" x14ac:dyDescent="0.25">
      <c r="K258" s="32"/>
      <c r="L258" s="32"/>
      <c r="M258" s="32"/>
      <c r="N258" s="32"/>
      <c r="O258" s="32"/>
    </row>
    <row r="259" spans="11:15" x14ac:dyDescent="0.25">
      <c r="K259" s="32"/>
    </row>
    <row r="260" spans="11:15" x14ac:dyDescent="0.25">
      <c r="K260" s="32"/>
    </row>
    <row r="261" spans="11:15" x14ac:dyDescent="0.25">
      <c r="K261" s="32"/>
      <c r="L261" s="32"/>
      <c r="M261" s="32"/>
      <c r="N261" s="32"/>
      <c r="O261" s="32"/>
    </row>
    <row r="262" spans="11:15" x14ac:dyDescent="0.25">
      <c r="K262" s="32"/>
      <c r="L262" s="32"/>
      <c r="M262" s="32"/>
      <c r="N262" s="32"/>
      <c r="O262" s="32"/>
    </row>
    <row r="263" spans="11:15" x14ac:dyDescent="0.25">
      <c r="L263" s="32"/>
      <c r="M263" s="32"/>
      <c r="N263" s="32"/>
      <c r="O263" s="32"/>
    </row>
    <row r="264" spans="11:15" x14ac:dyDescent="0.25">
      <c r="K264" s="32"/>
    </row>
    <row r="266" spans="11:15" x14ac:dyDescent="0.25">
      <c r="K266" s="32"/>
      <c r="L266" s="32"/>
      <c r="M266" s="32"/>
      <c r="N266" s="32"/>
      <c r="O266" s="32"/>
    </row>
    <row r="267" spans="11:15" x14ac:dyDescent="0.25">
      <c r="K267" s="32"/>
      <c r="L267" s="32"/>
      <c r="M267" s="32"/>
      <c r="N267" s="32"/>
      <c r="O267" s="32"/>
    </row>
    <row r="268" spans="11:15" x14ac:dyDescent="0.25">
      <c r="K268" s="32"/>
      <c r="L268" s="32"/>
      <c r="M268" s="32"/>
      <c r="N268" s="32"/>
      <c r="O268" s="32"/>
    </row>
    <row r="269" spans="11:15" x14ac:dyDescent="0.25">
      <c r="K269" s="32"/>
    </row>
    <row r="271" spans="11:15" x14ac:dyDescent="0.25">
      <c r="K271" s="32"/>
    </row>
    <row r="277" spans="11:11" x14ac:dyDescent="0.25">
      <c r="K277" s="32"/>
    </row>
    <row r="282" spans="11:11" x14ac:dyDescent="0.25">
      <c r="K282" s="32"/>
    </row>
    <row r="287" spans="11:11" x14ac:dyDescent="0.25">
      <c r="K287" s="32"/>
    </row>
    <row r="292" spans="11:11" x14ac:dyDescent="0.25">
      <c r="K292" s="32"/>
    </row>
    <row r="293" spans="11:11" x14ac:dyDescent="0.25">
      <c r="K293" s="32"/>
    </row>
    <row r="294" spans="11:11" x14ac:dyDescent="0.25">
      <c r="K294" s="32"/>
    </row>
    <row r="295" spans="11:11" x14ac:dyDescent="0.25">
      <c r="K295" s="32"/>
    </row>
    <row r="296" spans="11:11" x14ac:dyDescent="0.25">
      <c r="K296" s="32"/>
    </row>
    <row r="298" spans="11:11" x14ac:dyDescent="0.25">
      <c r="K298" s="32"/>
    </row>
    <row r="300" spans="11:11" x14ac:dyDescent="0.25">
      <c r="K300" s="32"/>
    </row>
    <row r="301" spans="11:11" x14ac:dyDescent="0.25">
      <c r="K301" s="32"/>
    </row>
    <row r="302" spans="11:11" x14ac:dyDescent="0.25">
      <c r="K302" s="32"/>
    </row>
    <row r="303" spans="11:11" x14ac:dyDescent="0.25">
      <c r="K303" s="32"/>
    </row>
    <row r="305" spans="11:11" x14ac:dyDescent="0.25">
      <c r="K305" s="32"/>
    </row>
    <row r="313" spans="11:11" x14ac:dyDescent="0.25">
      <c r="K313" s="32"/>
    </row>
    <row r="314" spans="11:11" x14ac:dyDescent="0.25">
      <c r="K314" s="32"/>
    </row>
    <row r="315" spans="11:11" x14ac:dyDescent="0.25">
      <c r="K315" s="32"/>
    </row>
    <row r="318" spans="11:11" x14ac:dyDescent="0.25">
      <c r="K318" s="32"/>
    </row>
    <row r="319" spans="11:11" x14ac:dyDescent="0.25">
      <c r="K319" s="32"/>
    </row>
    <row r="320" spans="11:11" x14ac:dyDescent="0.25">
      <c r="K320" s="32"/>
    </row>
    <row r="323" spans="11:11" x14ac:dyDescent="0.25">
      <c r="K323" s="32"/>
    </row>
    <row r="324" spans="11:11" x14ac:dyDescent="0.25">
      <c r="K324" s="32"/>
    </row>
    <row r="325" spans="11:11" x14ac:dyDescent="0.25">
      <c r="K325" s="32"/>
    </row>
    <row r="328" spans="11:11" x14ac:dyDescent="0.25">
      <c r="K328" s="32"/>
    </row>
    <row r="329" spans="11:11" x14ac:dyDescent="0.25">
      <c r="K329" s="32"/>
    </row>
    <row r="330" spans="11:11" x14ac:dyDescent="0.25">
      <c r="K330" s="32"/>
    </row>
    <row r="337" spans="11:11" x14ac:dyDescent="0.25">
      <c r="K337" s="32"/>
    </row>
    <row r="338" spans="11:11" x14ac:dyDescent="0.25">
      <c r="K338" s="32"/>
    </row>
    <row r="339" spans="11:11" x14ac:dyDescent="0.25">
      <c r="K339" s="32"/>
    </row>
    <row r="342" spans="11:11" x14ac:dyDescent="0.25">
      <c r="K342" s="32"/>
    </row>
    <row r="343" spans="11:11" x14ac:dyDescent="0.25">
      <c r="K343" s="32"/>
    </row>
    <row r="344" spans="11:11" x14ac:dyDescent="0.25">
      <c r="K344" s="32"/>
    </row>
    <row r="347" spans="11:11" x14ac:dyDescent="0.25">
      <c r="K347" s="32"/>
    </row>
    <row r="348" spans="11:11" x14ac:dyDescent="0.25">
      <c r="K348" s="32"/>
    </row>
    <row r="349" spans="11:11" x14ac:dyDescent="0.25">
      <c r="K349" s="32"/>
    </row>
    <row r="352" spans="11:11" x14ac:dyDescent="0.25">
      <c r="K352" s="32"/>
    </row>
    <row r="353" spans="4:11" x14ac:dyDescent="0.25">
      <c r="K353" s="32"/>
    </row>
    <row r="354" spans="4:11" x14ac:dyDescent="0.25">
      <c r="K354" s="32"/>
    </row>
    <row r="356" spans="4:11" x14ac:dyDescent="0.25">
      <c r="D356" s="43"/>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317" priority="12" operator="lessThan">
      <formula>0</formula>
    </cfRule>
  </conditionalFormatting>
  <conditionalFormatting sqref="F245:F246">
    <cfRule type="cellIs" dxfId="316" priority="11" operator="lessThan">
      <formula>0</formula>
    </cfRule>
  </conditionalFormatting>
  <conditionalFormatting sqref="F250:F251">
    <cfRule type="cellIs" dxfId="315" priority="10" operator="lessThan">
      <formula>0</formula>
    </cfRule>
  </conditionalFormatting>
  <conditionalFormatting sqref="F255:F256">
    <cfRule type="cellIs" dxfId="314" priority="9" operator="lessThan">
      <formula>0</formula>
    </cfRule>
  </conditionalFormatting>
  <conditionalFormatting sqref="F279:F280">
    <cfRule type="cellIs" dxfId="313" priority="8" operator="lessThan">
      <formula>0</formula>
    </cfRule>
  </conditionalFormatting>
  <conditionalFormatting sqref="F284:F285">
    <cfRule type="cellIs" dxfId="312" priority="7" operator="lessThan">
      <formula>0</formula>
    </cfRule>
  </conditionalFormatting>
  <conditionalFormatting sqref="F289:F290">
    <cfRule type="cellIs" dxfId="311" priority="6" operator="lessThan">
      <formula>0</formula>
    </cfRule>
  </conditionalFormatting>
  <conditionalFormatting sqref="H123:K123">
    <cfRule type="cellIs" dxfId="310" priority="4" operator="lessThan">
      <formula>0</formula>
    </cfRule>
  </conditionalFormatting>
  <conditionalFormatting sqref="I129:O130">
    <cfRule type="cellIs" dxfId="309" priority="5" operator="lessThan">
      <formula>0</formula>
    </cfRule>
  </conditionalFormatting>
  <conditionalFormatting sqref="I152:O152">
    <cfRule type="cellIs" dxfId="308" priority="3" operator="lessThan">
      <formula>0</formula>
    </cfRule>
  </conditionalFormatting>
  <conditionalFormatting sqref="K122:K123">
    <cfRule type="cellIs" dxfId="307" priority="2" operator="lessThan">
      <formula>0</formula>
    </cfRule>
  </conditionalFormatting>
  <conditionalFormatting sqref="N120:N122">
    <cfRule type="cellIs" dxfId="306" priority="1" operator="lessThan">
      <formula>0</formula>
    </cfRule>
  </conditionalFormatting>
  <conditionalFormatting sqref="P43:R43">
    <cfRule type="cellIs" dxfId="305" priority="13" operator="lessThan">
      <formula>0</formula>
    </cfRule>
  </conditionalFormatting>
  <dataValidations count="10">
    <dataValidation type="list" allowBlank="1" showInputMessage="1" showErrorMessage="1" sqref="E118" xr:uid="{237E9491-6785-4D8C-95FD-1ADDDBFE8198}">
      <formula1>$D$22:$D$33</formula1>
    </dataValidation>
    <dataValidation type="list" allowBlank="1" showInputMessage="1" showErrorMessage="1" sqref="E104" xr:uid="{3ADA56E5-D573-42E0-9C7A-74F58C4DCA83}">
      <formula1>"Spring, Summer, Autumn, Winter"</formula1>
    </dataValidation>
    <dataValidation type="list" allowBlank="1" showInputMessage="1" showErrorMessage="1" sqref="E183" xr:uid="{07476C6E-EA18-4EEB-BDE0-87E0E20BF052}">
      <formula1>INDIRECT("Table_SourceData_PastureBeef_CropProdSystems[Production system]")</formula1>
    </dataValidation>
    <dataValidation type="list" allowBlank="1" showInputMessage="1" showErrorMessage="1" sqref="E184" xr:uid="{F5FA42BE-8A77-47F9-9076-DE91CD9F82A1}">
      <formula1>INDIRECT("Table_SourceData_PastureBeef_IrrigationMethods[Irrigation method]")</formula1>
    </dataValidation>
    <dataValidation type="list" allowBlank="1" showInputMessage="1" showErrorMessage="1" sqref="E9" xr:uid="{4DD9A0CE-4640-4E6A-8B87-01C9C3BDA41D}">
      <formula1>INDIRECT("Table_SourceData_PastureBeef_FeedIntakeAdjustment[Breed]")</formula1>
    </dataValidation>
    <dataValidation type="list" allowBlank="1" showInputMessage="1" showErrorMessage="1" sqref="E8" xr:uid="{D695C1FE-3AC5-42BE-A44D-947EE84128C7}">
      <formula1>INDIRECT("Table_SourceData_PastureBeef_Region_" &amp; SUBSTITUTE($E$7, " ", "") &amp; "[Region]")</formula1>
    </dataValidation>
    <dataValidation type="list" allowBlank="1" showInputMessage="1" showErrorMessage="1" sqref="E14 E36 E58 E80" xr:uid="{B07D2D1E-B7B9-49CA-81F8-A6CED39008EC}">
      <formula1>INDIRECT("Table_SourceData_Dairy_WjCowsHeifers[Breed]")</formula1>
    </dataValidation>
    <dataValidation type="list" allowBlank="1" showInputMessage="1" showErrorMessage="1" sqref="E244 E249 E254 E288 E283 E278 E176" xr:uid="{C7530B3C-42FF-4D0B-A43E-20584CEEEA2D}">
      <formula1>"Yes, No"</formula1>
    </dataValidation>
    <dataValidation type="list" allowBlank="1" showInputMessage="1" showErrorMessage="1" sqref="E220" xr:uid="{11124886-BAA7-4E12-A561-F7961A1A5392}">
      <formula1>INDIRECT("Table_SourceData_Dairy_ProductionSystemTemplates[Area]")</formula1>
    </dataValidation>
    <dataValidation type="list" allowBlank="1" showInputMessage="1" showErrorMessage="1" sqref="D272" xr:uid="{CA3B0673-371A-4B2E-9670-4341A6B3D53A}">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58DF3-5525-420D-9BCB-98988D86D1FB}">
  <dimension ref="A1:Y356"/>
  <sheetViews>
    <sheetView showGridLines="0" topLeftCell="E44"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25" customWidth="1"/>
    <col min="19" max="24" width="30.7109375" style="25" customWidth="1"/>
    <col min="25" max="25" width="4.7109375" style="25" customWidth="1"/>
  </cols>
  <sheetData>
    <row r="1" spans="1:25" s="18" customFormat="1" ht="30" customHeight="1" x14ac:dyDescent="0.35">
      <c r="A1" s="18" t="e" vm="1">
        <v>#VALUE!</v>
      </c>
      <c r="C1" s="18" t="s">
        <v>20</v>
      </c>
      <c r="Q1" s="25"/>
      <c r="R1" s="25"/>
      <c r="S1" s="25"/>
      <c r="T1" s="25"/>
      <c r="U1" s="25"/>
      <c r="V1" s="25"/>
      <c r="W1" s="25"/>
      <c r="X1" s="25"/>
      <c r="Y1" s="25"/>
    </row>
    <row r="2" spans="1:25" s="3" customFormat="1" ht="20.100000000000001" customHeight="1" x14ac:dyDescent="0.25">
      <c r="A2"/>
      <c r="Q2" s="25"/>
      <c r="R2" s="25"/>
      <c r="S2" s="25"/>
      <c r="T2" s="25"/>
      <c r="U2" s="25"/>
      <c r="V2" s="25"/>
      <c r="W2" s="25"/>
      <c r="X2" s="25"/>
      <c r="Y2" s="25"/>
    </row>
    <row r="3" spans="1:25" ht="20.100000000000001" customHeight="1" x14ac:dyDescent="0.25">
      <c r="A3" s="5" t="str">
        <f>HYPERLINK("#'Home'!A1", "Home")</f>
        <v>Home</v>
      </c>
      <c r="C3" s="26"/>
      <c r="D3" s="26"/>
      <c r="E3" s="26"/>
      <c r="F3" s="26"/>
      <c r="G3" s="26"/>
      <c r="H3" s="26"/>
      <c r="I3" s="26"/>
      <c r="J3" s="26"/>
      <c r="K3" s="26"/>
      <c r="L3" s="26"/>
      <c r="M3" s="26"/>
      <c r="N3" s="26"/>
      <c r="O3" s="26"/>
      <c r="P3" s="26"/>
    </row>
    <row r="4" spans="1:25" ht="20.100000000000001" customHeight="1" x14ac:dyDescent="0.25">
      <c r="A4" s="5" t="str">
        <f>HYPERLINK("#'Results'!A1", "Results")</f>
        <v>Results</v>
      </c>
    </row>
    <row r="5" spans="1:25" ht="20.100000000000001" customHeight="1" x14ac:dyDescent="0.25">
      <c r="D5" s="2" t="s">
        <v>21</v>
      </c>
      <c r="P5" s="27"/>
      <c r="T5" s="28"/>
    </row>
    <row r="6" spans="1:25" ht="20.100000000000001" customHeight="1" x14ac:dyDescent="0.25">
      <c r="P6" s="27"/>
      <c r="T6" s="28"/>
    </row>
    <row r="7" spans="1:25" ht="20.100000000000001" customHeight="1" x14ac:dyDescent="0.25">
      <c r="A7" s="7" t="s">
        <v>0</v>
      </c>
      <c r="D7" s="1" t="s">
        <v>22</v>
      </c>
      <c r="E7" s="29" t="str">
        <f>X_Cell_Site_State</f>
        <v>Western Australia</v>
      </c>
      <c r="P7" s="27"/>
      <c r="T7" s="28"/>
    </row>
    <row r="8" spans="1:25" ht="20.100000000000001" customHeight="1" x14ac:dyDescent="0.25">
      <c r="A8" s="5" t="str">
        <f>HYPERLINK("#'Input - Enterprise'!A1", "Enterprise")</f>
        <v>Enterprise</v>
      </c>
      <c r="D8" s="1" t="s">
        <v>23</v>
      </c>
      <c r="E8" s="31" t="s">
        <v>24</v>
      </c>
      <c r="F8" s="32" t="s">
        <v>25</v>
      </c>
      <c r="P8" s="27"/>
      <c r="T8" s="28"/>
    </row>
    <row r="9" spans="1:25" ht="20.100000000000001" customHeight="1" x14ac:dyDescent="0.25">
      <c r="A9" s="5" t="str">
        <f>HYPERLINK("#'Input - Site'!A1", "Site")</f>
        <v>Site</v>
      </c>
      <c r="D9" s="1" t="s">
        <v>26</v>
      </c>
      <c r="E9" s="31" t="s">
        <v>27</v>
      </c>
      <c r="F9" s="32" t="s">
        <v>25</v>
      </c>
      <c r="T9" s="28"/>
    </row>
    <row r="10" spans="1:25" ht="20.100000000000001" customHeight="1" x14ac:dyDescent="0.25">
      <c r="A10" s="5" t="str">
        <f>HYPERLINK("#'Input - Pasture Beef'!A1", "Pasture Beef")</f>
        <v>Pasture Beef</v>
      </c>
      <c r="T10" s="28"/>
    </row>
    <row r="11" spans="1:25" ht="20.100000000000001" customHeight="1" x14ac:dyDescent="0.25">
      <c r="A11" s="30" t="str">
        <f>HYPERLINK("#'Input - Pasture Beef (Enteric)'!A1", "Pasture Beef (Enteric)")</f>
        <v>Pasture Beef (Enteric)</v>
      </c>
      <c r="T11" s="28"/>
    </row>
    <row r="12" spans="1:25" ht="20.100000000000001" customHeight="1" x14ac:dyDescent="0.25">
      <c r="A12" s="5" t="str">
        <f>HYPERLINK("#'Input - Pasture'!A1", "Pasture")</f>
        <v>Pasture</v>
      </c>
      <c r="D12" s="33" t="s">
        <v>28</v>
      </c>
      <c r="E12" s="34"/>
      <c r="F12" s="34"/>
      <c r="G12" s="35"/>
      <c r="T12" s="28"/>
    </row>
    <row r="13" spans="1:25" ht="20.100000000000001" customHeight="1" x14ac:dyDescent="0.25">
      <c r="A13" s="5" t="str">
        <f>HYPERLINK("#'Input - Fertiliser'!A1", "Fertiliser")</f>
        <v>Fertiliser</v>
      </c>
      <c r="T13" s="36"/>
    </row>
    <row r="14" spans="1:25" ht="20.100000000000001" customHeight="1" x14ac:dyDescent="0.25">
      <c r="A14" s="5" t="str">
        <f>HYPERLINK("#'Input - Fuel'!A1", "Fuel")</f>
        <v>Fuel</v>
      </c>
      <c r="D14" s="37" t="s">
        <v>29</v>
      </c>
      <c r="T14" s="36"/>
    </row>
    <row r="15" spans="1:25" ht="20.100000000000001" customHeight="1" x14ac:dyDescent="0.25">
      <c r="A15" s="5" t="str">
        <f>HYPERLINK("#'Input - Electricity'!A1", "Electricity")</f>
        <v>Electricity</v>
      </c>
      <c r="D15" s="38" t="s">
        <v>30</v>
      </c>
      <c r="E15" s="38" t="s">
        <v>31</v>
      </c>
      <c r="F15" s="38" t="s">
        <v>32</v>
      </c>
      <c r="G15" s="38" t="s">
        <v>33</v>
      </c>
      <c r="H15" s="38" t="s">
        <v>34</v>
      </c>
      <c r="I15" s="38" t="s">
        <v>35</v>
      </c>
      <c r="J15" s="38" t="s">
        <v>36</v>
      </c>
      <c r="K15" s="38" t="s">
        <v>37</v>
      </c>
      <c r="L15" s="38" t="s">
        <v>38</v>
      </c>
      <c r="M15" s="38" t="s">
        <v>39</v>
      </c>
      <c r="N15" s="38" t="s">
        <v>40</v>
      </c>
      <c r="T15" s="36"/>
    </row>
    <row r="16" spans="1:25" ht="20.100000000000001" customHeight="1" x14ac:dyDescent="0.25">
      <c r="D16" s="1" t="s">
        <v>41</v>
      </c>
      <c r="E16" s="29">
        <v>91.25</v>
      </c>
      <c r="F16" s="29">
        <v>91.25</v>
      </c>
      <c r="G16" s="29">
        <v>91.25</v>
      </c>
      <c r="H16" s="29">
        <v>91.25</v>
      </c>
      <c r="I16" s="29">
        <v>91.25</v>
      </c>
      <c r="J16" s="29">
        <v>91.25</v>
      </c>
      <c r="K16" s="29">
        <v>91.25</v>
      </c>
      <c r="L16" s="29">
        <v>91.25</v>
      </c>
      <c r="M16" s="29">
        <v>91.25</v>
      </c>
      <c r="N16" s="29">
        <v>91.25</v>
      </c>
      <c r="O16" s="32" t="s">
        <v>42</v>
      </c>
      <c r="T16" s="36"/>
    </row>
    <row r="17" spans="1:20" ht="20.100000000000001" customHeight="1" x14ac:dyDescent="0.25">
      <c r="D17" s="1" t="s">
        <v>43</v>
      </c>
      <c r="E17" s="29">
        <v>91.25</v>
      </c>
      <c r="F17" s="29">
        <v>91.25</v>
      </c>
      <c r="G17" s="29">
        <v>91.25</v>
      </c>
      <c r="H17" s="29">
        <v>91.25</v>
      </c>
      <c r="I17" s="29">
        <v>91.25</v>
      </c>
      <c r="J17" s="29">
        <v>91.25</v>
      </c>
      <c r="K17" s="29">
        <v>91.25</v>
      </c>
      <c r="L17" s="29">
        <v>91.25</v>
      </c>
      <c r="M17" s="29">
        <v>91.25</v>
      </c>
      <c r="N17" s="29">
        <v>91.25</v>
      </c>
      <c r="O17" s="32" t="s">
        <v>42</v>
      </c>
      <c r="T17" s="28"/>
    </row>
    <row r="18" spans="1:20" ht="20.100000000000001" customHeight="1" x14ac:dyDescent="0.25">
      <c r="A18" s="6" t="s">
        <v>3</v>
      </c>
      <c r="D18" s="1" t="s">
        <v>44</v>
      </c>
      <c r="E18" s="29">
        <v>91.25</v>
      </c>
      <c r="F18" s="29">
        <v>91.25</v>
      </c>
      <c r="G18" s="29">
        <v>91.25</v>
      </c>
      <c r="H18" s="29">
        <v>91.25</v>
      </c>
      <c r="I18" s="29">
        <v>91.25</v>
      </c>
      <c r="J18" s="29">
        <v>91.25</v>
      </c>
      <c r="K18" s="29">
        <v>91.25</v>
      </c>
      <c r="L18" s="29">
        <v>91.25</v>
      </c>
      <c r="M18" s="29">
        <v>91.25</v>
      </c>
      <c r="N18" s="29">
        <v>91.25</v>
      </c>
      <c r="O18" s="32" t="s">
        <v>42</v>
      </c>
      <c r="T18" s="28"/>
    </row>
    <row r="19" spans="1:20" ht="20.100000000000001" customHeight="1" x14ac:dyDescent="0.25">
      <c r="A19" s="5" t="str">
        <f>HYPERLINK("#'3.2.1.1-2 Enteric Methane'!A1", "3.2.1.1-2 Enteric methane")</f>
        <v>3.2.1.1-2 Enteric methane</v>
      </c>
      <c r="D19" s="1" t="s">
        <v>45</v>
      </c>
      <c r="E19" s="29">
        <v>91.25</v>
      </c>
      <c r="F19" s="29">
        <v>91.25</v>
      </c>
      <c r="G19" s="29">
        <v>91.25</v>
      </c>
      <c r="H19" s="29">
        <v>91.25</v>
      </c>
      <c r="I19" s="29">
        <v>91.25</v>
      </c>
      <c r="J19" s="29">
        <v>91.25</v>
      </c>
      <c r="K19" s="29">
        <v>91.25</v>
      </c>
      <c r="L19" s="29">
        <v>91.25</v>
      </c>
      <c r="M19" s="29">
        <v>91.25</v>
      </c>
      <c r="N19" s="29">
        <v>91.25</v>
      </c>
      <c r="O19" s="32" t="s">
        <v>42</v>
      </c>
      <c r="T19" s="28"/>
    </row>
    <row r="20" spans="1:20" ht="20.100000000000001" customHeight="1" x14ac:dyDescent="0.25">
      <c r="A20" s="5" t="str">
        <f>HYPERLINK("#'4.2.1.1-2 Methane'!A1", "4.2.1.1-2 Manure methane")</f>
        <v>4.2.1.1-2 Manure methane</v>
      </c>
      <c r="T20" s="28"/>
    </row>
    <row r="21" spans="1:20" ht="20.100000000000001" customHeight="1" x14ac:dyDescent="0.25">
      <c r="A21" s="5" t="str">
        <f>HYPERLINK("#'4.2.1.3-4 Soil direct N20'!A1", "4.2.1.3-4 Soil direct N2O")</f>
        <v>4.2.1.3-4 Soil direct N2O</v>
      </c>
      <c r="D21" s="38" t="s">
        <v>46</v>
      </c>
      <c r="E21" s="38" t="s">
        <v>31</v>
      </c>
      <c r="F21" s="38" t="s">
        <v>32</v>
      </c>
      <c r="G21" s="38" t="s">
        <v>33</v>
      </c>
      <c r="H21" s="38" t="s">
        <v>34</v>
      </c>
      <c r="I21" s="38" t="s">
        <v>35</v>
      </c>
      <c r="J21" s="38" t="s">
        <v>36</v>
      </c>
      <c r="K21" s="38" t="s">
        <v>37</v>
      </c>
      <c r="L21" s="38" t="s">
        <v>38</v>
      </c>
      <c r="M21" s="38" t="s">
        <v>39</v>
      </c>
      <c r="N21" s="38" t="s">
        <v>40</v>
      </c>
      <c r="T21" s="28"/>
    </row>
    <row r="22" spans="1:20" ht="20.100000000000001" customHeight="1" x14ac:dyDescent="0.25">
      <c r="A22" s="5" t="str">
        <f>HYPERLINK("#'4.2.1.5-6 Soil Atmos Dep'!A1", "4.2.1.5-6 Soil atm. deposition")</f>
        <v>4.2.1.5-6 Soil atm. deposition</v>
      </c>
      <c r="D22" s="1" t="str">
        <f>TEXT('Input - Site'!$E$12, "mmmm yyyy")</f>
        <v>January 2024</v>
      </c>
      <c r="E22" s="39">
        <f t="shared" ref="E22:N33" si="0">DAY(EOMONTH($D22,0))</f>
        <v>31</v>
      </c>
      <c r="F22" s="39">
        <f t="shared" si="0"/>
        <v>31</v>
      </c>
      <c r="G22" s="39">
        <f t="shared" si="0"/>
        <v>31</v>
      </c>
      <c r="H22" s="39">
        <f t="shared" si="0"/>
        <v>31</v>
      </c>
      <c r="I22" s="39">
        <f t="shared" si="0"/>
        <v>31</v>
      </c>
      <c r="J22" s="39">
        <f t="shared" si="0"/>
        <v>31</v>
      </c>
      <c r="K22" s="39">
        <f t="shared" si="0"/>
        <v>31</v>
      </c>
      <c r="L22" s="39">
        <f t="shared" si="0"/>
        <v>31</v>
      </c>
      <c r="M22" s="39">
        <f t="shared" si="0"/>
        <v>31</v>
      </c>
      <c r="N22" s="39">
        <f t="shared" si="0"/>
        <v>31</v>
      </c>
      <c r="O22" s="32" t="s">
        <v>42</v>
      </c>
      <c r="T22" s="28"/>
    </row>
    <row r="23" spans="1:20" ht="20.100000000000001" customHeight="1" x14ac:dyDescent="0.25">
      <c r="A23" s="5" t="str">
        <f>HYPERLINK("#'4.2.1.7-8 Soil leach runoff'!A1", "4.2.1.7-8 Soil leach &amp; runoff")</f>
        <v>4.2.1.7-8 Soil leach &amp; runoff</v>
      </c>
      <c r="D23" s="1" t="str">
        <f>TEXT(EDATE('Input - Site'!$E$12,1), "mmmm yyyy")</f>
        <v>February 2024</v>
      </c>
      <c r="E23" s="39">
        <f t="shared" si="0"/>
        <v>29</v>
      </c>
      <c r="F23" s="39">
        <f t="shared" si="0"/>
        <v>29</v>
      </c>
      <c r="G23" s="39">
        <f t="shared" si="0"/>
        <v>29</v>
      </c>
      <c r="H23" s="39">
        <f t="shared" si="0"/>
        <v>29</v>
      </c>
      <c r="I23" s="39">
        <f t="shared" si="0"/>
        <v>29</v>
      </c>
      <c r="J23" s="39">
        <f t="shared" si="0"/>
        <v>29</v>
      </c>
      <c r="K23" s="39">
        <f t="shared" si="0"/>
        <v>29</v>
      </c>
      <c r="L23" s="39">
        <f t="shared" si="0"/>
        <v>29</v>
      </c>
      <c r="M23" s="39">
        <f t="shared" si="0"/>
        <v>29</v>
      </c>
      <c r="N23" s="39">
        <f t="shared" si="0"/>
        <v>29</v>
      </c>
      <c r="O23" s="32" t="s">
        <v>42</v>
      </c>
      <c r="T23" s="28"/>
    </row>
    <row r="24" spans="1:20" ht="20.100000000000001" customHeight="1" x14ac:dyDescent="0.25">
      <c r="A24" s="5" t="str">
        <f>HYPERLINK("#'5.1.1.1-2 Inorganic fert N2O'!A1", "5.1.1.1-2 Inorganic fert N2O")</f>
        <v>5.1.1.1-2 Inorganic fert N2O</v>
      </c>
      <c r="D24" s="1" t="str">
        <f>TEXT(EDATE('Input - Site'!$E$12,2), "mmmm yyyy")</f>
        <v>March 2024</v>
      </c>
      <c r="E24" s="39">
        <f t="shared" si="0"/>
        <v>31</v>
      </c>
      <c r="F24" s="39">
        <f t="shared" si="0"/>
        <v>31</v>
      </c>
      <c r="G24" s="39">
        <f t="shared" si="0"/>
        <v>31</v>
      </c>
      <c r="H24" s="39">
        <f t="shared" si="0"/>
        <v>31</v>
      </c>
      <c r="I24" s="39">
        <f t="shared" si="0"/>
        <v>31</v>
      </c>
      <c r="J24" s="39">
        <f t="shared" si="0"/>
        <v>31</v>
      </c>
      <c r="K24" s="39">
        <f t="shared" si="0"/>
        <v>31</v>
      </c>
      <c r="L24" s="39">
        <f t="shared" si="0"/>
        <v>31</v>
      </c>
      <c r="M24" s="39">
        <f t="shared" si="0"/>
        <v>31</v>
      </c>
      <c r="N24" s="39">
        <f t="shared" si="0"/>
        <v>31</v>
      </c>
      <c r="O24" s="32" t="s">
        <v>42</v>
      </c>
      <c r="T24" s="28"/>
    </row>
    <row r="25" spans="1:20" ht="20.100000000000001" customHeight="1" x14ac:dyDescent="0.25">
      <c r="A25" s="5" t="str">
        <f>HYPERLINK("#'5.1.1.3-4 Inorganic fert CO2'!A1", "5.1.1.3-4 Inorganic fert CO2")</f>
        <v>5.1.1.3-4 Inorganic fert CO2</v>
      </c>
      <c r="D25" s="1" t="str">
        <f>TEXT(EDATE('Input - Site'!$E$12,3), "mmmm yyyy")</f>
        <v>April 2024</v>
      </c>
      <c r="E25" s="39">
        <f t="shared" si="0"/>
        <v>30</v>
      </c>
      <c r="F25" s="39">
        <f t="shared" si="0"/>
        <v>30</v>
      </c>
      <c r="G25" s="39">
        <f t="shared" si="0"/>
        <v>30</v>
      </c>
      <c r="H25" s="39">
        <f t="shared" si="0"/>
        <v>30</v>
      </c>
      <c r="I25" s="39">
        <f t="shared" si="0"/>
        <v>30</v>
      </c>
      <c r="J25" s="39">
        <f t="shared" si="0"/>
        <v>30</v>
      </c>
      <c r="K25" s="39">
        <f t="shared" si="0"/>
        <v>30</v>
      </c>
      <c r="L25" s="39">
        <f t="shared" si="0"/>
        <v>30</v>
      </c>
      <c r="M25" s="39">
        <f t="shared" si="0"/>
        <v>30</v>
      </c>
      <c r="N25" s="39">
        <f t="shared" si="0"/>
        <v>30</v>
      </c>
      <c r="O25" s="32" t="s">
        <v>42</v>
      </c>
      <c r="T25" s="28"/>
    </row>
    <row r="26" spans="1:20" ht="20.100000000000001" customHeight="1" x14ac:dyDescent="0.25">
      <c r="A26" s="5" t="str">
        <f>HYPERLINK("#'5.2.1.1-2 Organic Fert N2O'!A1", "5.2.1.1-2 Organic fert N2O")</f>
        <v>5.2.1.1-2 Organic fert N2O</v>
      </c>
      <c r="D26" s="1" t="str">
        <f>TEXT(EDATE('Input - Site'!$E$12,4), "mmmm yyyy")</f>
        <v>May 2024</v>
      </c>
      <c r="E26" s="39">
        <f t="shared" si="0"/>
        <v>31</v>
      </c>
      <c r="F26" s="39">
        <f t="shared" si="0"/>
        <v>31</v>
      </c>
      <c r="G26" s="39">
        <f t="shared" si="0"/>
        <v>31</v>
      </c>
      <c r="H26" s="39">
        <f t="shared" si="0"/>
        <v>31</v>
      </c>
      <c r="I26" s="39">
        <f t="shared" si="0"/>
        <v>31</v>
      </c>
      <c r="J26" s="39">
        <f t="shared" si="0"/>
        <v>31</v>
      </c>
      <c r="K26" s="39">
        <f t="shared" si="0"/>
        <v>31</v>
      </c>
      <c r="L26" s="39">
        <f t="shared" si="0"/>
        <v>31</v>
      </c>
      <c r="M26" s="39">
        <f t="shared" si="0"/>
        <v>31</v>
      </c>
      <c r="N26" s="39">
        <f t="shared" si="0"/>
        <v>31</v>
      </c>
      <c r="O26" s="32" t="s">
        <v>42</v>
      </c>
      <c r="T26" s="28"/>
    </row>
    <row r="27" spans="1:20" ht="20.100000000000001" customHeight="1" x14ac:dyDescent="0.25">
      <c r="A27" s="5" t="str">
        <f>HYPERLINK("#'5.3.1.1-2 Lime CO2'!A1", "5.3.1.1-2 Lime CO2")</f>
        <v>5.3.1.1-2 Lime CO2</v>
      </c>
      <c r="D27" s="1" t="str">
        <f>TEXT(EDATE('Input - Site'!$E$12,5), "mmmm yyyy")</f>
        <v>June 2024</v>
      </c>
      <c r="E27" s="39">
        <f t="shared" si="0"/>
        <v>30</v>
      </c>
      <c r="F27" s="39">
        <f t="shared" si="0"/>
        <v>30</v>
      </c>
      <c r="G27" s="39">
        <f t="shared" si="0"/>
        <v>30</v>
      </c>
      <c r="H27" s="39">
        <f t="shared" si="0"/>
        <v>30</v>
      </c>
      <c r="I27" s="39">
        <f t="shared" si="0"/>
        <v>30</v>
      </c>
      <c r="J27" s="39">
        <f t="shared" si="0"/>
        <v>30</v>
      </c>
      <c r="K27" s="39">
        <f t="shared" si="0"/>
        <v>30</v>
      </c>
      <c r="L27" s="39">
        <f t="shared" si="0"/>
        <v>30</v>
      </c>
      <c r="M27" s="39">
        <f t="shared" si="0"/>
        <v>30</v>
      </c>
      <c r="N27" s="39">
        <f t="shared" si="0"/>
        <v>30</v>
      </c>
      <c r="O27" s="32" t="s">
        <v>42</v>
      </c>
      <c r="T27" s="28"/>
    </row>
    <row r="28" spans="1:20" ht="20.100000000000001" customHeight="1" x14ac:dyDescent="0.25">
      <c r="A28" s="5" t="str">
        <f>HYPERLINK("#'5.4.1.1-4 Atmos deposition'!A1", "5.4.1.1-4 Atmos. deposition")</f>
        <v>5.4.1.1-4 Atmos. deposition</v>
      </c>
      <c r="D28" s="1" t="str">
        <f>TEXT(EDATE('Input - Site'!$E$12,6), "mmmm yyyy")</f>
        <v>July 2024</v>
      </c>
      <c r="E28" s="39">
        <f t="shared" si="0"/>
        <v>31</v>
      </c>
      <c r="F28" s="39">
        <f t="shared" si="0"/>
        <v>31</v>
      </c>
      <c r="G28" s="39">
        <f t="shared" si="0"/>
        <v>31</v>
      </c>
      <c r="H28" s="39">
        <f t="shared" si="0"/>
        <v>31</v>
      </c>
      <c r="I28" s="39">
        <f t="shared" si="0"/>
        <v>31</v>
      </c>
      <c r="J28" s="39">
        <f t="shared" si="0"/>
        <v>31</v>
      </c>
      <c r="K28" s="39">
        <f t="shared" si="0"/>
        <v>31</v>
      </c>
      <c r="L28" s="39">
        <f t="shared" si="0"/>
        <v>31</v>
      </c>
      <c r="M28" s="39">
        <f t="shared" si="0"/>
        <v>31</v>
      </c>
      <c r="N28" s="39">
        <f t="shared" si="0"/>
        <v>31</v>
      </c>
      <c r="O28" s="32" t="s">
        <v>42</v>
      </c>
      <c r="T28" s="28"/>
    </row>
    <row r="29" spans="1:20" ht="20.100000000000001" customHeight="1" x14ac:dyDescent="0.25">
      <c r="A29" s="5" t="str">
        <f>HYPERLINK("#'5.5.1.1-2 Leaching and runoff'!A1", "5.5.1.1-2 Leaching &amp; runoff")</f>
        <v>5.5.1.1-2 Leaching &amp; runoff</v>
      </c>
      <c r="D29" s="1" t="str">
        <f>TEXT(EDATE('Input - Site'!$E$12,7), "mmmm yyyy")</f>
        <v>August 2024</v>
      </c>
      <c r="E29" s="39">
        <f t="shared" si="0"/>
        <v>31</v>
      </c>
      <c r="F29" s="39">
        <f t="shared" si="0"/>
        <v>31</v>
      </c>
      <c r="G29" s="39">
        <f t="shared" si="0"/>
        <v>31</v>
      </c>
      <c r="H29" s="39">
        <f t="shared" si="0"/>
        <v>31</v>
      </c>
      <c r="I29" s="39">
        <f t="shared" si="0"/>
        <v>31</v>
      </c>
      <c r="J29" s="39">
        <f t="shared" si="0"/>
        <v>31</v>
      </c>
      <c r="K29" s="39">
        <f t="shared" si="0"/>
        <v>31</v>
      </c>
      <c r="L29" s="39">
        <f t="shared" si="0"/>
        <v>31</v>
      </c>
      <c r="M29" s="39">
        <f t="shared" si="0"/>
        <v>31</v>
      </c>
      <c r="N29" s="39">
        <f t="shared" si="0"/>
        <v>31</v>
      </c>
      <c r="O29" s="32" t="s">
        <v>42</v>
      </c>
      <c r="T29" s="28"/>
    </row>
    <row r="30" spans="1:20" ht="20.100000000000001" customHeight="1" x14ac:dyDescent="0.25">
      <c r="A30" s="5" t="str">
        <f>HYPERLINK("#'6.2.1.1-2 Pasture residue N2O'!A1", "6.2.1.1-2 Pasture residue N2O")</f>
        <v>6.2.1.1-2 Pasture residue N2O</v>
      </c>
      <c r="D30" s="1" t="str">
        <f>TEXT(EDATE('Input - Site'!$E$12,8), "mmmm yyyy")</f>
        <v>September 2024</v>
      </c>
      <c r="E30" s="39">
        <f t="shared" si="0"/>
        <v>30</v>
      </c>
      <c r="F30" s="39">
        <f t="shared" si="0"/>
        <v>30</v>
      </c>
      <c r="G30" s="39">
        <f t="shared" si="0"/>
        <v>30</v>
      </c>
      <c r="H30" s="39">
        <f t="shared" si="0"/>
        <v>30</v>
      </c>
      <c r="I30" s="39">
        <f t="shared" si="0"/>
        <v>30</v>
      </c>
      <c r="J30" s="39">
        <f t="shared" si="0"/>
        <v>30</v>
      </c>
      <c r="K30" s="39">
        <f t="shared" si="0"/>
        <v>30</v>
      </c>
      <c r="L30" s="39">
        <f t="shared" si="0"/>
        <v>30</v>
      </c>
      <c r="M30" s="39">
        <f t="shared" si="0"/>
        <v>30</v>
      </c>
      <c r="N30" s="39">
        <f t="shared" si="0"/>
        <v>30</v>
      </c>
      <c r="O30" s="32" t="s">
        <v>42</v>
      </c>
      <c r="T30" s="28"/>
    </row>
    <row r="31" spans="1:20" ht="20.100000000000001" customHeight="1" x14ac:dyDescent="0.25">
      <c r="A31" s="5" t="str">
        <f>HYPERLINK("#'6.3.1.1-2 Leach runoff pasture'!A1", "6.3.1.1-2 Leach &amp; runoff (pasture)")</f>
        <v>6.3.1.1-2 Leach &amp; runoff (pasture)</v>
      </c>
      <c r="D31" s="1" t="str">
        <f>TEXT(EDATE('Input - Site'!$E$12,9), "mmmm yyyy")</f>
        <v>October 2024</v>
      </c>
      <c r="E31" s="39">
        <f t="shared" si="0"/>
        <v>31</v>
      </c>
      <c r="F31" s="39">
        <f t="shared" si="0"/>
        <v>31</v>
      </c>
      <c r="G31" s="39">
        <f t="shared" si="0"/>
        <v>31</v>
      </c>
      <c r="H31" s="39">
        <f t="shared" si="0"/>
        <v>31</v>
      </c>
      <c r="I31" s="39">
        <f t="shared" si="0"/>
        <v>31</v>
      </c>
      <c r="J31" s="39">
        <f t="shared" si="0"/>
        <v>31</v>
      </c>
      <c r="K31" s="39">
        <f t="shared" si="0"/>
        <v>31</v>
      </c>
      <c r="L31" s="39">
        <f t="shared" si="0"/>
        <v>31</v>
      </c>
      <c r="M31" s="39">
        <f t="shared" si="0"/>
        <v>31</v>
      </c>
      <c r="N31" s="39">
        <f t="shared" si="0"/>
        <v>31</v>
      </c>
      <c r="O31" s="32" t="s">
        <v>42</v>
      </c>
      <c r="T31" s="28"/>
    </row>
    <row r="32" spans="1:20" ht="20.100000000000001" customHeight="1" x14ac:dyDescent="0.25">
      <c r="A32" s="5" t="str">
        <f>HYPERLINK("#'8.1.1.1-2 Transport fuel'!A1", "8.1.1.1-2 Transport fuel")</f>
        <v>8.1.1.1-2 Transport fuel</v>
      </c>
      <c r="D32" s="1" t="str">
        <f>TEXT(EDATE('Input - Site'!$E$12,10), "mmmm yyyy")</f>
        <v>November 2024</v>
      </c>
      <c r="E32" s="39">
        <f t="shared" si="0"/>
        <v>30</v>
      </c>
      <c r="F32" s="39">
        <f t="shared" si="0"/>
        <v>30</v>
      </c>
      <c r="G32" s="39">
        <f t="shared" si="0"/>
        <v>30</v>
      </c>
      <c r="H32" s="39">
        <f t="shared" si="0"/>
        <v>30</v>
      </c>
      <c r="I32" s="39">
        <f t="shared" si="0"/>
        <v>30</v>
      </c>
      <c r="J32" s="39">
        <f t="shared" si="0"/>
        <v>30</v>
      </c>
      <c r="K32" s="39">
        <f t="shared" si="0"/>
        <v>30</v>
      </c>
      <c r="L32" s="39">
        <f t="shared" si="0"/>
        <v>30</v>
      </c>
      <c r="M32" s="39">
        <f t="shared" si="0"/>
        <v>30</v>
      </c>
      <c r="N32" s="39">
        <f t="shared" si="0"/>
        <v>30</v>
      </c>
      <c r="O32" s="32" t="s">
        <v>42</v>
      </c>
      <c r="T32" s="28"/>
    </row>
    <row r="33" spans="1:20" ht="20.100000000000001" customHeight="1" x14ac:dyDescent="0.25">
      <c r="A33" s="5" t="str">
        <f>HYPERLINK("#'8.2.1.1-2 Stationary fuel'!A1", "8.2.1.1-2 Stationary fuel")</f>
        <v>8.2.1.1-2 Stationary fuel</v>
      </c>
      <c r="D33" s="1" t="str">
        <f>TEXT(EDATE('Input - Site'!$E$12,11), "mmmm yyyy")</f>
        <v>December 2024</v>
      </c>
      <c r="E33" s="39">
        <f t="shared" si="0"/>
        <v>31</v>
      </c>
      <c r="F33" s="39">
        <f t="shared" si="0"/>
        <v>31</v>
      </c>
      <c r="G33" s="39">
        <f t="shared" si="0"/>
        <v>31</v>
      </c>
      <c r="H33" s="39">
        <f t="shared" si="0"/>
        <v>31</v>
      </c>
      <c r="I33" s="39">
        <f t="shared" si="0"/>
        <v>31</v>
      </c>
      <c r="J33" s="39">
        <f t="shared" si="0"/>
        <v>31</v>
      </c>
      <c r="K33" s="39">
        <f t="shared" si="0"/>
        <v>31</v>
      </c>
      <c r="L33" s="39">
        <f t="shared" si="0"/>
        <v>31</v>
      </c>
      <c r="M33" s="39">
        <f t="shared" si="0"/>
        <v>31</v>
      </c>
      <c r="N33" s="39">
        <f t="shared" si="0"/>
        <v>31</v>
      </c>
      <c r="O33" s="32" t="s">
        <v>42</v>
      </c>
      <c r="T33" s="28"/>
    </row>
    <row r="34" spans="1:20" ht="20.100000000000001" customHeight="1" x14ac:dyDescent="0.25">
      <c r="A34" s="5" t="str">
        <f>HYPERLINK("#'14.1.1-2 Purchased electricity'!A1", "14.1.1-2 Purchased electricity")</f>
        <v>14.1.1-2 Purchased electricity</v>
      </c>
      <c r="T34" s="28"/>
    </row>
    <row r="35" spans="1:20" ht="20.100000000000001" customHeight="1" x14ac:dyDescent="0.25">
      <c r="T35" s="28"/>
    </row>
    <row r="36" spans="1:20" ht="20.100000000000001" customHeight="1" x14ac:dyDescent="0.25">
      <c r="D36" s="37" t="s">
        <v>47</v>
      </c>
      <c r="T36" s="28"/>
    </row>
    <row r="37" spans="1:20" ht="20.100000000000001" customHeight="1" x14ac:dyDescent="0.25">
      <c r="A37" s="243" t="s">
        <v>1</v>
      </c>
      <c r="D37" s="38" t="s">
        <v>48</v>
      </c>
      <c r="E37" s="38" t="s">
        <v>31</v>
      </c>
      <c r="F37" s="38" t="s">
        <v>32</v>
      </c>
      <c r="G37" s="38" t="s">
        <v>33</v>
      </c>
      <c r="H37" s="38" t="s">
        <v>34</v>
      </c>
      <c r="I37" s="38" t="s">
        <v>35</v>
      </c>
      <c r="J37" s="38" t="s">
        <v>36</v>
      </c>
      <c r="K37" s="38" t="s">
        <v>37</v>
      </c>
      <c r="L37" s="38" t="s">
        <v>38</v>
      </c>
      <c r="M37" s="38" t="s">
        <v>39</v>
      </c>
      <c r="N37" s="38" t="s">
        <v>40</v>
      </c>
      <c r="T37" s="28"/>
    </row>
    <row r="38" spans="1:20" ht="20.100000000000001" customHeight="1" x14ac:dyDescent="0.25">
      <c r="A38" s="5" t="str">
        <f>HYPERLINK("#'Constants - Pasture Beef'!A1", "Constants - Pasture Beef")</f>
        <v>Constants - Pasture Beef</v>
      </c>
      <c r="D38" s="1" t="s">
        <v>41</v>
      </c>
      <c r="E38" s="39">
        <v>100</v>
      </c>
      <c r="F38" s="39">
        <v>100</v>
      </c>
      <c r="G38" s="39">
        <v>100</v>
      </c>
      <c r="H38" s="39">
        <v>100</v>
      </c>
      <c r="I38" s="39">
        <v>100</v>
      </c>
      <c r="J38" s="39">
        <v>100</v>
      </c>
      <c r="K38" s="39">
        <v>100</v>
      </c>
      <c r="L38" s="39">
        <v>100</v>
      </c>
      <c r="M38" s="39">
        <v>100</v>
      </c>
      <c r="N38" s="39">
        <v>100</v>
      </c>
      <c r="O38" s="32" t="s">
        <v>47</v>
      </c>
      <c r="T38" s="28"/>
    </row>
    <row r="39" spans="1:20" ht="20.100000000000001" customHeight="1" x14ac:dyDescent="0.25">
      <c r="A39" s="5" t="str">
        <f>HYPERLINK("#'Constants - Ag Residue'!A1", "Constants - Ag residue")</f>
        <v>Constants - Ag residue</v>
      </c>
      <c r="D39" s="1" t="s">
        <v>43</v>
      </c>
      <c r="E39" s="39">
        <v>100</v>
      </c>
      <c r="F39" s="39">
        <v>100</v>
      </c>
      <c r="G39" s="39">
        <v>100</v>
      </c>
      <c r="H39" s="39">
        <v>100</v>
      </c>
      <c r="I39" s="39">
        <v>100</v>
      </c>
      <c r="J39" s="39">
        <v>100</v>
      </c>
      <c r="K39" s="39">
        <v>100</v>
      </c>
      <c r="L39" s="39">
        <v>100</v>
      </c>
      <c r="M39" s="39">
        <v>100</v>
      </c>
      <c r="N39" s="39">
        <v>100</v>
      </c>
      <c r="O39" s="32" t="s">
        <v>47</v>
      </c>
      <c r="T39" s="28"/>
    </row>
    <row r="40" spans="1:20" ht="20.100000000000001" customHeight="1" x14ac:dyDescent="0.25">
      <c r="A40" s="5" t="str">
        <f>HYPERLINK("#'Constants - Livestock'!A1", "Constants - Livestock")</f>
        <v>Constants - Livestock</v>
      </c>
      <c r="D40" s="1" t="s">
        <v>44</v>
      </c>
      <c r="E40" s="39">
        <v>100</v>
      </c>
      <c r="F40" s="39">
        <v>100</v>
      </c>
      <c r="G40" s="39">
        <v>100</v>
      </c>
      <c r="H40" s="39">
        <v>100</v>
      </c>
      <c r="I40" s="39">
        <v>100</v>
      </c>
      <c r="J40" s="39">
        <v>100</v>
      </c>
      <c r="K40" s="39">
        <v>100</v>
      </c>
      <c r="L40" s="39">
        <v>100</v>
      </c>
      <c r="M40" s="39">
        <v>100</v>
      </c>
      <c r="N40" s="39">
        <v>100</v>
      </c>
      <c r="O40" s="32" t="s">
        <v>47</v>
      </c>
      <c r="T40" s="28"/>
    </row>
    <row r="41" spans="1:20" ht="20.100000000000001" customHeight="1" x14ac:dyDescent="0.25">
      <c r="A41" s="5" t="str">
        <f>HYPERLINK("#'Constants - Electricity'!A1", "Constants - Electricity")</f>
        <v>Constants - Electricity</v>
      </c>
      <c r="D41" s="1" t="s">
        <v>45</v>
      </c>
      <c r="E41" s="39">
        <v>100</v>
      </c>
      <c r="F41" s="39">
        <v>100</v>
      </c>
      <c r="G41" s="39">
        <v>100</v>
      </c>
      <c r="H41" s="39">
        <v>100</v>
      </c>
      <c r="I41" s="39">
        <v>100</v>
      </c>
      <c r="J41" s="39">
        <v>100</v>
      </c>
      <c r="K41" s="39">
        <v>100</v>
      </c>
      <c r="L41" s="39">
        <v>100</v>
      </c>
      <c r="M41" s="39">
        <v>100</v>
      </c>
      <c r="N41" s="39">
        <v>100</v>
      </c>
      <c r="O41" s="32" t="s">
        <v>47</v>
      </c>
      <c r="T41" s="28"/>
    </row>
    <row r="42" spans="1:20" ht="20.100000000000001" customHeight="1" x14ac:dyDescent="0.25">
      <c r="A42" s="5" t="str">
        <f>HYPERLINK("#'Constants - Fertiliser'!A1", "Constants - Fertiliser")</f>
        <v>Constants - Fertiliser</v>
      </c>
      <c r="O42" s="32"/>
      <c r="T42" s="28"/>
    </row>
    <row r="43" spans="1:20" ht="20.100000000000001" customHeight="1" x14ac:dyDescent="0.25">
      <c r="A43" s="5" t="str">
        <f>HYPERLINK("#'Constants - Fuel'!A1", "Constants - Fuel")</f>
        <v>Constants - Fuel</v>
      </c>
      <c r="D43" s="38" t="s">
        <v>49</v>
      </c>
      <c r="E43" s="38" t="s">
        <v>31</v>
      </c>
      <c r="F43" s="38" t="s">
        <v>32</v>
      </c>
      <c r="G43" s="38" t="s">
        <v>33</v>
      </c>
      <c r="H43" s="38" t="s">
        <v>34</v>
      </c>
      <c r="I43" s="38" t="s">
        <v>35</v>
      </c>
      <c r="J43" s="38" t="s">
        <v>36</v>
      </c>
      <c r="K43" s="38" t="s">
        <v>37</v>
      </c>
      <c r="L43" s="38" t="s">
        <v>38</v>
      </c>
      <c r="M43" s="38" t="s">
        <v>39</v>
      </c>
      <c r="N43" s="38" t="s">
        <v>40</v>
      </c>
      <c r="O43" s="32"/>
      <c r="T43" s="28"/>
    </row>
    <row r="44" spans="1:20" ht="20.100000000000001" customHeight="1" x14ac:dyDescent="0.25">
      <c r="A44" s="5" t="str">
        <f>HYPERLINK("#'Constants - Common'!A1", "Constants - Common")</f>
        <v>Constants - Common</v>
      </c>
      <c r="D44" s="1" t="str">
        <f>TEXT('Input - Site'!$E$12, "mmmm yyyy")</f>
        <v>January 2024</v>
      </c>
      <c r="E44" s="39">
        <v>100</v>
      </c>
      <c r="F44" s="39">
        <v>100</v>
      </c>
      <c r="G44" s="39">
        <v>100</v>
      </c>
      <c r="H44" s="39">
        <v>100</v>
      </c>
      <c r="I44" s="39">
        <v>100</v>
      </c>
      <c r="J44" s="39">
        <v>100</v>
      </c>
      <c r="K44" s="39">
        <v>100</v>
      </c>
      <c r="L44" s="39">
        <v>100</v>
      </c>
      <c r="M44" s="39">
        <v>100</v>
      </c>
      <c r="N44" s="39">
        <v>100</v>
      </c>
      <c r="O44" s="32" t="s">
        <v>47</v>
      </c>
      <c r="T44" s="28"/>
    </row>
    <row r="45" spans="1:20" ht="20.100000000000001" customHeight="1" x14ac:dyDescent="0.25">
      <c r="A45" s="5" t="str">
        <f>HYPERLINK("#'Acknowledgements'!A1", "Acknowledgements")</f>
        <v>Acknowledgements</v>
      </c>
      <c r="D45" s="1" t="str">
        <f>TEXT(EDATE('Input - Site'!$E$12,1), "mmmm yyyy")</f>
        <v>February 2024</v>
      </c>
      <c r="E45" s="39">
        <v>100</v>
      </c>
      <c r="F45" s="39">
        <v>100</v>
      </c>
      <c r="G45" s="39">
        <v>100</v>
      </c>
      <c r="H45" s="39">
        <v>100</v>
      </c>
      <c r="I45" s="39">
        <v>100</v>
      </c>
      <c r="J45" s="39">
        <v>100</v>
      </c>
      <c r="K45" s="39">
        <v>100</v>
      </c>
      <c r="L45" s="39">
        <v>100</v>
      </c>
      <c r="M45" s="39">
        <v>100</v>
      </c>
      <c r="N45" s="39">
        <v>100</v>
      </c>
      <c r="O45" s="32" t="s">
        <v>47</v>
      </c>
      <c r="T45" s="28"/>
    </row>
    <row r="46" spans="1:20" ht="20.100000000000001" customHeight="1" x14ac:dyDescent="0.25">
      <c r="A46" s="5" t="str">
        <f>HYPERLINK("#'Overview'!A1", "Overview")</f>
        <v>Overview</v>
      </c>
      <c r="D46" s="1" t="str">
        <f>TEXT(EDATE('Input - Site'!$E$12,2), "mmmm yyyy")</f>
        <v>March 2024</v>
      </c>
      <c r="E46" s="39">
        <v>100</v>
      </c>
      <c r="F46" s="39">
        <v>100</v>
      </c>
      <c r="G46" s="39">
        <v>100</v>
      </c>
      <c r="H46" s="39">
        <v>100</v>
      </c>
      <c r="I46" s="39">
        <v>100</v>
      </c>
      <c r="J46" s="39">
        <v>100</v>
      </c>
      <c r="K46" s="39">
        <v>100</v>
      </c>
      <c r="L46" s="39">
        <v>100</v>
      </c>
      <c r="M46" s="39">
        <v>100</v>
      </c>
      <c r="N46" s="39">
        <v>100</v>
      </c>
      <c r="O46" s="32" t="s">
        <v>47</v>
      </c>
      <c r="T46" s="28"/>
    </row>
    <row r="47" spans="1:20" ht="20.100000000000001" customHeight="1" x14ac:dyDescent="0.25">
      <c r="D47" s="1" t="str">
        <f>TEXT(EDATE('Input - Site'!$E$12,3), "mmmm yyyy")</f>
        <v>April 2024</v>
      </c>
      <c r="E47" s="39">
        <v>100</v>
      </c>
      <c r="F47" s="39">
        <v>100</v>
      </c>
      <c r="G47" s="39">
        <v>100</v>
      </c>
      <c r="H47" s="39">
        <v>100</v>
      </c>
      <c r="I47" s="39">
        <v>100</v>
      </c>
      <c r="J47" s="39">
        <v>100</v>
      </c>
      <c r="K47" s="39">
        <v>100</v>
      </c>
      <c r="L47" s="39">
        <v>100</v>
      </c>
      <c r="M47" s="39">
        <v>100</v>
      </c>
      <c r="N47" s="39">
        <v>100</v>
      </c>
      <c r="O47" s="32" t="s">
        <v>47</v>
      </c>
      <c r="T47" s="28"/>
    </row>
    <row r="48" spans="1:20" ht="20.100000000000001" customHeight="1" x14ac:dyDescent="0.25">
      <c r="D48" s="1" t="str">
        <f>TEXT(EDATE('Input - Site'!$E$12,4), "mmmm yyyy")</f>
        <v>May 2024</v>
      </c>
      <c r="E48" s="39">
        <v>100</v>
      </c>
      <c r="F48" s="39">
        <v>100</v>
      </c>
      <c r="G48" s="39">
        <v>100</v>
      </c>
      <c r="H48" s="39">
        <v>100</v>
      </c>
      <c r="I48" s="39">
        <v>100</v>
      </c>
      <c r="J48" s="39">
        <v>100</v>
      </c>
      <c r="K48" s="39">
        <v>100</v>
      </c>
      <c r="L48" s="39">
        <v>100</v>
      </c>
      <c r="M48" s="39">
        <v>100</v>
      </c>
      <c r="N48" s="39">
        <v>100</v>
      </c>
      <c r="O48" s="32" t="s">
        <v>47</v>
      </c>
      <c r="T48" s="28"/>
    </row>
    <row r="49" spans="4:20" ht="20.100000000000001" customHeight="1" x14ac:dyDescent="0.25">
      <c r="D49" s="1" t="str">
        <f>TEXT(EDATE('Input - Site'!$E$12,5), "mmmm yyyy")</f>
        <v>June 2024</v>
      </c>
      <c r="E49" s="39">
        <v>100</v>
      </c>
      <c r="F49" s="39">
        <v>100</v>
      </c>
      <c r="G49" s="39">
        <v>100</v>
      </c>
      <c r="H49" s="39">
        <v>100</v>
      </c>
      <c r="I49" s="39">
        <v>100</v>
      </c>
      <c r="J49" s="39">
        <v>100</v>
      </c>
      <c r="K49" s="39">
        <v>100</v>
      </c>
      <c r="L49" s="39">
        <v>100</v>
      </c>
      <c r="M49" s="39">
        <v>100</v>
      </c>
      <c r="N49" s="39">
        <v>100</v>
      </c>
      <c r="O49" s="32" t="s">
        <v>47</v>
      </c>
      <c r="T49" s="28"/>
    </row>
    <row r="50" spans="4:20" ht="20.100000000000001" customHeight="1" x14ac:dyDescent="0.25">
      <c r="D50" s="1" t="str">
        <f>TEXT(EDATE('Input - Site'!$E$12,6), "mmmm yyyy")</f>
        <v>July 2024</v>
      </c>
      <c r="E50" s="39">
        <v>100</v>
      </c>
      <c r="F50" s="39">
        <v>100</v>
      </c>
      <c r="G50" s="39">
        <v>100</v>
      </c>
      <c r="H50" s="39">
        <v>100</v>
      </c>
      <c r="I50" s="39">
        <v>100</v>
      </c>
      <c r="J50" s="39">
        <v>100</v>
      </c>
      <c r="K50" s="39">
        <v>100</v>
      </c>
      <c r="L50" s="39">
        <v>100</v>
      </c>
      <c r="M50" s="39">
        <v>100</v>
      </c>
      <c r="N50" s="39">
        <v>100</v>
      </c>
      <c r="O50" s="32" t="s">
        <v>47</v>
      </c>
      <c r="P50" s="27"/>
      <c r="T50" s="28"/>
    </row>
    <row r="51" spans="4:20" ht="20.100000000000001" customHeight="1" x14ac:dyDescent="0.25">
      <c r="D51" s="1" t="str">
        <f>TEXT(EDATE('Input - Site'!$E$12,7), "mmmm yyyy")</f>
        <v>August 2024</v>
      </c>
      <c r="E51" s="39">
        <v>100</v>
      </c>
      <c r="F51" s="39">
        <v>100</v>
      </c>
      <c r="G51" s="39">
        <v>100</v>
      </c>
      <c r="H51" s="39">
        <v>100</v>
      </c>
      <c r="I51" s="39">
        <v>100</v>
      </c>
      <c r="J51" s="39">
        <v>100</v>
      </c>
      <c r="K51" s="39">
        <v>100</v>
      </c>
      <c r="L51" s="39">
        <v>100</v>
      </c>
      <c r="M51" s="39">
        <v>100</v>
      </c>
      <c r="N51" s="39">
        <v>100</v>
      </c>
      <c r="O51" s="32" t="s">
        <v>47</v>
      </c>
      <c r="P51" s="27"/>
      <c r="T51" s="28"/>
    </row>
    <row r="52" spans="4:20" ht="20.100000000000001" customHeight="1" x14ac:dyDescent="0.25">
      <c r="D52" s="1" t="str">
        <f>TEXT(EDATE('Input - Site'!$E$12,8), "mmmm yyyy")</f>
        <v>September 2024</v>
      </c>
      <c r="E52" s="39">
        <v>100</v>
      </c>
      <c r="F52" s="39">
        <v>100</v>
      </c>
      <c r="G52" s="39">
        <v>100</v>
      </c>
      <c r="H52" s="39">
        <v>100</v>
      </c>
      <c r="I52" s="39">
        <v>100</v>
      </c>
      <c r="J52" s="39">
        <v>100</v>
      </c>
      <c r="K52" s="39">
        <v>100</v>
      </c>
      <c r="L52" s="39">
        <v>100</v>
      </c>
      <c r="M52" s="39">
        <v>100</v>
      </c>
      <c r="N52" s="39">
        <v>100</v>
      </c>
      <c r="O52" s="32" t="s">
        <v>47</v>
      </c>
      <c r="P52" s="27"/>
      <c r="T52" s="28"/>
    </row>
    <row r="53" spans="4:20" ht="20.100000000000001" customHeight="1" x14ac:dyDescent="0.25">
      <c r="D53" s="1" t="str">
        <f>TEXT(EDATE('Input - Site'!$E$12,9), "mmmm yyyy")</f>
        <v>October 2024</v>
      </c>
      <c r="E53" s="39">
        <v>100</v>
      </c>
      <c r="F53" s="39">
        <v>100</v>
      </c>
      <c r="G53" s="39">
        <v>100</v>
      </c>
      <c r="H53" s="39">
        <v>100</v>
      </c>
      <c r="I53" s="39">
        <v>100</v>
      </c>
      <c r="J53" s="39">
        <v>100</v>
      </c>
      <c r="K53" s="39">
        <v>100</v>
      </c>
      <c r="L53" s="39">
        <v>100</v>
      </c>
      <c r="M53" s="39">
        <v>100</v>
      </c>
      <c r="N53" s="39">
        <v>100</v>
      </c>
      <c r="O53" s="32" t="s">
        <v>47</v>
      </c>
      <c r="P53" s="27"/>
      <c r="T53" s="28"/>
    </row>
    <row r="54" spans="4:20" ht="20.100000000000001" customHeight="1" x14ac:dyDescent="0.25">
      <c r="D54" s="1" t="str">
        <f>TEXT(EDATE('Input - Site'!$E$12,10), "mmmm yyyy")</f>
        <v>November 2024</v>
      </c>
      <c r="E54" s="39">
        <v>100</v>
      </c>
      <c r="F54" s="39">
        <v>100</v>
      </c>
      <c r="G54" s="39">
        <v>100</v>
      </c>
      <c r="H54" s="39">
        <v>100</v>
      </c>
      <c r="I54" s="39">
        <v>100</v>
      </c>
      <c r="J54" s="39">
        <v>100</v>
      </c>
      <c r="K54" s="39">
        <v>100</v>
      </c>
      <c r="L54" s="39">
        <v>100</v>
      </c>
      <c r="M54" s="39">
        <v>100</v>
      </c>
      <c r="N54" s="39">
        <v>100</v>
      </c>
      <c r="O54" s="32" t="s">
        <v>47</v>
      </c>
      <c r="P54" s="27"/>
      <c r="T54" s="28"/>
    </row>
    <row r="55" spans="4:20" ht="20.100000000000001" customHeight="1" x14ac:dyDescent="0.25">
      <c r="D55" s="1" t="str">
        <f>TEXT(EDATE('Input - Site'!$E$12,11), "mmmm yyyy")</f>
        <v>December 2024</v>
      </c>
      <c r="E55" s="39">
        <v>100</v>
      </c>
      <c r="F55" s="39">
        <v>100</v>
      </c>
      <c r="G55" s="39">
        <v>100</v>
      </c>
      <c r="H55" s="39">
        <v>100</v>
      </c>
      <c r="I55" s="39">
        <v>100</v>
      </c>
      <c r="J55" s="39">
        <v>100</v>
      </c>
      <c r="K55" s="39">
        <v>100</v>
      </c>
      <c r="L55" s="39">
        <v>100</v>
      </c>
      <c r="M55" s="39">
        <v>100</v>
      </c>
      <c r="N55" s="39">
        <v>100</v>
      </c>
      <c r="O55" s="32" t="s">
        <v>47</v>
      </c>
      <c r="P55" s="27"/>
      <c r="T55" s="28"/>
    </row>
    <row r="56" spans="4:20" ht="20.100000000000001" customHeight="1" x14ac:dyDescent="0.25">
      <c r="P56" s="27"/>
      <c r="T56" s="28"/>
    </row>
    <row r="57" spans="4:20" ht="20.100000000000001" customHeight="1" x14ac:dyDescent="0.25">
      <c r="P57" s="27"/>
      <c r="T57" s="28"/>
    </row>
    <row r="58" spans="4:20" ht="20.100000000000001" customHeight="1" x14ac:dyDescent="0.25">
      <c r="D58" s="37" t="s">
        <v>50</v>
      </c>
      <c r="P58" s="27"/>
      <c r="T58" s="28"/>
    </row>
    <row r="59" spans="4:20" ht="20.100000000000001" customHeight="1" x14ac:dyDescent="0.25">
      <c r="D59" s="38" t="s">
        <v>30</v>
      </c>
      <c r="E59" s="38" t="s">
        <v>31</v>
      </c>
      <c r="F59" s="38" t="s">
        <v>32</v>
      </c>
      <c r="G59" s="38" t="s">
        <v>33</v>
      </c>
      <c r="H59" s="38" t="s">
        <v>34</v>
      </c>
      <c r="I59" s="38" t="s">
        <v>35</v>
      </c>
      <c r="J59" s="38" t="s">
        <v>36</v>
      </c>
      <c r="K59" s="38" t="s">
        <v>37</v>
      </c>
      <c r="L59" s="38" t="s">
        <v>38</v>
      </c>
      <c r="M59" s="38" t="s">
        <v>39</v>
      </c>
      <c r="N59" s="38" t="s">
        <v>40</v>
      </c>
      <c r="P59" s="27"/>
      <c r="T59" s="28"/>
    </row>
    <row r="60" spans="4:20" ht="20.100000000000001" customHeight="1" x14ac:dyDescent="0.25">
      <c r="D60" s="1" t="s">
        <v>41</v>
      </c>
      <c r="E60" s="29">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0" s="29">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0" s="29">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0" s="29">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0" s="29">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0" s="29">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0" s="29">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0" s="29">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0" s="29">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0" s="29">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0" s="32" t="s">
        <v>51</v>
      </c>
      <c r="P60" s="27"/>
      <c r="T60" s="28"/>
    </row>
    <row r="61" spans="4:20" ht="20.100000000000001" customHeight="1" x14ac:dyDescent="0.25">
      <c r="D61" s="1" t="s">
        <v>43</v>
      </c>
      <c r="E61" s="29">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1" s="29">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1" s="29">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1" s="29">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1" s="29">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1" s="29">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1" s="29">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1" s="29">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1" s="29">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1" s="29">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1" s="32" t="s">
        <v>51</v>
      </c>
      <c r="P61" s="27"/>
      <c r="T61" s="28"/>
    </row>
    <row r="62" spans="4:20" ht="20.100000000000001" customHeight="1" x14ac:dyDescent="0.25">
      <c r="D62" s="1" t="s">
        <v>44</v>
      </c>
      <c r="E62" s="29">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2" s="29">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2" s="29">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2" s="29">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2" s="29">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2" s="29">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2" s="29">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2" s="29">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2" s="29">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2" s="29">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2" s="32" t="s">
        <v>51</v>
      </c>
      <c r="P62" s="27"/>
      <c r="T62" s="28"/>
    </row>
    <row r="63" spans="4:20" ht="20.100000000000001" customHeight="1" x14ac:dyDescent="0.25">
      <c r="D63" s="1" t="s">
        <v>45</v>
      </c>
      <c r="E63" s="29">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3" s="29">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3" s="29">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3" s="29">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3" s="29">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3" s="29">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3" s="29">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3" s="29">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3" s="29">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3" s="29">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3" s="32" t="s">
        <v>51</v>
      </c>
      <c r="P63" s="27"/>
      <c r="T63" s="28"/>
    </row>
    <row r="64" spans="4:20" ht="20.100000000000001" customHeight="1" x14ac:dyDescent="0.25">
      <c r="O64" s="32"/>
      <c r="P64" s="27"/>
      <c r="T64" s="28"/>
    </row>
    <row r="65" spans="4:20" ht="20.100000000000001" customHeight="1" x14ac:dyDescent="0.25">
      <c r="D65" s="38" t="s">
        <v>46</v>
      </c>
      <c r="E65" s="38" t="s">
        <v>31</v>
      </c>
      <c r="F65" s="38" t="s">
        <v>32</v>
      </c>
      <c r="G65" s="38" t="s">
        <v>33</v>
      </c>
      <c r="H65" s="38" t="s">
        <v>34</v>
      </c>
      <c r="I65" s="38" t="s">
        <v>35</v>
      </c>
      <c r="J65" s="38" t="s">
        <v>36</v>
      </c>
      <c r="K65" s="38" t="s">
        <v>37</v>
      </c>
      <c r="L65" s="38" t="s">
        <v>38</v>
      </c>
      <c r="M65" s="38" t="s">
        <v>39</v>
      </c>
      <c r="N65" s="38" t="s">
        <v>40</v>
      </c>
      <c r="O65" s="32"/>
      <c r="P65" s="27"/>
      <c r="T65" s="28"/>
    </row>
    <row r="66" spans="4:20" ht="20.100000000000001" customHeight="1" x14ac:dyDescent="0.25">
      <c r="D66" s="1" t="str">
        <f>TEXT('Input - Site'!$E$12, "mmmm yyyy")</f>
        <v>January 2024</v>
      </c>
      <c r="E66" s="39">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6" s="39">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6" s="39">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6" s="39">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6" s="39">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6" s="39">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6" s="39">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6" s="39">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6" s="39">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6" s="39">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6" s="32" t="s">
        <v>51</v>
      </c>
      <c r="P66" s="27"/>
      <c r="T66" s="28"/>
    </row>
    <row r="67" spans="4:20" ht="20.100000000000001" customHeight="1" x14ac:dyDescent="0.25">
      <c r="D67" s="1" t="str">
        <f>TEXT(EDATE('Input - Site'!$E$12,1), "mmmm yyyy")</f>
        <v>February 2024</v>
      </c>
      <c r="E67" s="39">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39">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39">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39">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39">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39">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39">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39">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39">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39">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32" t="s">
        <v>51</v>
      </c>
      <c r="P67" s="27"/>
      <c r="T67" s="28"/>
    </row>
    <row r="68" spans="4:20" ht="20.100000000000001" customHeight="1" x14ac:dyDescent="0.25">
      <c r="D68" s="1" t="str">
        <f>TEXT(EDATE('Input - Site'!$E$12,2), "mmmm yyyy")</f>
        <v>March 2024</v>
      </c>
      <c r="E68" s="39">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8" s="39">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8" s="39">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8" s="39">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8" s="39">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8" s="39">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8" s="39">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8" s="39">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8" s="39">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8" s="39">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8" s="32" t="s">
        <v>51</v>
      </c>
      <c r="P68" s="27"/>
      <c r="T68" s="28"/>
    </row>
    <row r="69" spans="4:20" ht="20.100000000000001" customHeight="1" x14ac:dyDescent="0.25">
      <c r="D69" s="1" t="str">
        <f>TEXT(EDATE('Input - Site'!$E$12,3), "mmmm yyyy")</f>
        <v>April 2024</v>
      </c>
      <c r="E69" s="39">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39">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39">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39">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39">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39">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39">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39">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39">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39">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32" t="s">
        <v>51</v>
      </c>
      <c r="P69" s="27"/>
      <c r="T69" s="28"/>
    </row>
    <row r="70" spans="4:20" ht="20.100000000000001" customHeight="1" x14ac:dyDescent="0.25">
      <c r="D70" s="1" t="str">
        <f>TEXT(EDATE('Input - Site'!$E$12,4), "mmmm yyyy")</f>
        <v>May 2024</v>
      </c>
      <c r="E70" s="39">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39">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39">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39">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39">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39">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39">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39">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39">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39">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32" t="s">
        <v>51</v>
      </c>
      <c r="P70" s="27"/>
      <c r="T70" s="28"/>
    </row>
    <row r="71" spans="4:20" ht="20.100000000000001" customHeight="1" x14ac:dyDescent="0.25">
      <c r="D71" s="1" t="str">
        <f>TEXT(EDATE('Input - Site'!$E$12,5), "mmmm yyyy")</f>
        <v>June 2024</v>
      </c>
      <c r="E71" s="39">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1" s="39">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1" s="39">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1" s="39">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1" s="39">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1" s="39">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1" s="39">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1" s="39">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1" s="39">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1" s="39">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1" s="32" t="s">
        <v>51</v>
      </c>
      <c r="P71" s="27"/>
      <c r="T71" s="28"/>
    </row>
    <row r="72" spans="4:20" ht="20.100000000000001" customHeight="1" x14ac:dyDescent="0.25">
      <c r="D72" s="1" t="str">
        <f>TEXT(EDATE('Input - Site'!$E$12,6), "mmmm yyyy")</f>
        <v>July 2024</v>
      </c>
      <c r="E72" s="39">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39">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39">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39">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39">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39">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39">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39">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39">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39">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32" t="s">
        <v>51</v>
      </c>
      <c r="T72" s="28"/>
    </row>
    <row r="73" spans="4:20" ht="20.100000000000001" customHeight="1" x14ac:dyDescent="0.25">
      <c r="D73" s="1" t="str">
        <f>TEXT(EDATE('Input - Site'!$E$12,7), "mmmm yyyy")</f>
        <v>August 2024</v>
      </c>
      <c r="E73" s="39">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39">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39">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39">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39">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39">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39">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39">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39">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39">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32" t="s">
        <v>51</v>
      </c>
      <c r="T73" s="28"/>
    </row>
    <row r="74" spans="4:20" ht="20.100000000000001" customHeight="1" x14ac:dyDescent="0.25">
      <c r="D74" s="1" t="str">
        <f>TEXT(EDATE('Input - Site'!$E$12,8), "mmmm yyyy")</f>
        <v>September 2024</v>
      </c>
      <c r="E74" s="39">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4" s="39">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4" s="39">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4" s="39">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4" s="39">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4" s="39">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4" s="39">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4" s="39">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4" s="39">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4" s="39">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4" s="32" t="s">
        <v>51</v>
      </c>
      <c r="T74" s="28"/>
    </row>
    <row r="75" spans="4:20" ht="20.100000000000001" customHeight="1" x14ac:dyDescent="0.25">
      <c r="D75" s="1" t="str">
        <f>TEXT(EDATE('Input - Site'!$E$12,9), "mmmm yyyy")</f>
        <v>October 2024</v>
      </c>
      <c r="E75" s="39">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39">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39">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39">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39">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39">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39">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39">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39">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39">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32" t="s">
        <v>51</v>
      </c>
      <c r="T75" s="28"/>
    </row>
    <row r="76" spans="4:20" ht="20.100000000000001" customHeight="1" x14ac:dyDescent="0.25">
      <c r="D76" s="1" t="str">
        <f>TEXT(EDATE('Input - Site'!$E$12,10), "mmmm yyyy")</f>
        <v>November 2024</v>
      </c>
      <c r="E76" s="39">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39">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39">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39">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39">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39">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39">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39">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39">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39">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32" t="s">
        <v>51</v>
      </c>
      <c r="T76" s="28"/>
    </row>
    <row r="77" spans="4:20" ht="20.100000000000001" customHeight="1" x14ac:dyDescent="0.25">
      <c r="D77" s="1" t="str">
        <f>TEXT(EDATE('Input - Site'!$E$12,11), "mmmm yyyy")</f>
        <v>December 2024</v>
      </c>
      <c r="E77" s="39">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7" s="39">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7" s="39">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7" s="39">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7" s="39">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7" s="39">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7" s="39">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7" s="39">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7" s="39">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7" s="39">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7" s="32" t="s">
        <v>51</v>
      </c>
      <c r="T77" s="28"/>
    </row>
    <row r="78" spans="4:20" ht="20.100000000000001" customHeight="1" x14ac:dyDescent="0.25">
      <c r="T78" s="28"/>
    </row>
    <row r="79" spans="4:20" ht="20.100000000000001" customHeight="1" x14ac:dyDescent="0.25">
      <c r="T79" s="28"/>
    </row>
    <row r="80" spans="4:20" ht="20.100000000000001" customHeight="1" x14ac:dyDescent="0.25">
      <c r="D80" s="37" t="s">
        <v>52</v>
      </c>
      <c r="T80" s="28"/>
    </row>
    <row r="81" spans="4:20" ht="20.100000000000001" customHeight="1" x14ac:dyDescent="0.25">
      <c r="D81" s="38" t="s">
        <v>30</v>
      </c>
      <c r="E81" s="38" t="s">
        <v>31</v>
      </c>
      <c r="F81" s="38" t="s">
        <v>32</v>
      </c>
      <c r="G81" s="38" t="s">
        <v>33</v>
      </c>
      <c r="H81" s="38" t="s">
        <v>34</v>
      </c>
      <c r="I81" s="38" t="s">
        <v>35</v>
      </c>
      <c r="J81" s="38" t="s">
        <v>36</v>
      </c>
      <c r="K81" s="38" t="s">
        <v>37</v>
      </c>
      <c r="L81" s="38" t="s">
        <v>38</v>
      </c>
      <c r="M81" s="38" t="s">
        <v>39</v>
      </c>
      <c r="N81" s="38" t="s">
        <v>40</v>
      </c>
      <c r="T81" s="28"/>
    </row>
    <row r="82" spans="4:20" ht="20.100000000000001" customHeight="1" x14ac:dyDescent="0.25">
      <c r="D82" s="1" t="s">
        <v>41</v>
      </c>
      <c r="E82" s="29">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2" s="29">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2" s="29">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2" s="29">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2" s="29">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2" s="29">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2" s="29">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2" s="29">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2" s="29">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2" s="29">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2" s="32" t="s">
        <v>53</v>
      </c>
      <c r="T82" s="28"/>
    </row>
    <row r="83" spans="4:20" ht="20.100000000000001" customHeight="1" x14ac:dyDescent="0.25">
      <c r="D83" s="1" t="s">
        <v>43</v>
      </c>
      <c r="E83" s="29">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3" s="29">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3" s="29">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3" s="29">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3" s="29">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3" s="29">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3" s="29">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3" s="29">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3" s="29">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3" s="29">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3" s="32" t="s">
        <v>53</v>
      </c>
      <c r="T83" s="28"/>
    </row>
    <row r="84" spans="4:20" ht="20.100000000000001" customHeight="1" x14ac:dyDescent="0.25">
      <c r="D84" s="1" t="s">
        <v>44</v>
      </c>
      <c r="E84" s="29">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4" s="29">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4" s="29">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4" s="29">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4" s="29">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4" s="29">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4" s="29">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4" s="29">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4" s="29">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4" s="29">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4" s="32" t="s">
        <v>53</v>
      </c>
      <c r="T84" s="28"/>
    </row>
    <row r="85" spans="4:20" ht="20.100000000000001" customHeight="1" x14ac:dyDescent="0.25">
      <c r="D85" s="1" t="s">
        <v>45</v>
      </c>
      <c r="E85" s="29">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5" s="29">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5" s="29">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5" s="29">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5" s="29">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5" s="29">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5" s="29">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5" s="29">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5" s="29">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5" s="29">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5" s="32" t="s">
        <v>53</v>
      </c>
      <c r="T85" s="28"/>
    </row>
    <row r="86" spans="4:20" ht="20.100000000000001" customHeight="1" x14ac:dyDescent="0.25">
      <c r="O86" s="32"/>
      <c r="T86" s="28"/>
    </row>
    <row r="87" spans="4:20" ht="20.100000000000001" customHeight="1" x14ac:dyDescent="0.25">
      <c r="D87" s="38" t="s">
        <v>46</v>
      </c>
      <c r="E87" s="38" t="s">
        <v>31</v>
      </c>
      <c r="F87" s="38" t="s">
        <v>32</v>
      </c>
      <c r="G87" s="38" t="s">
        <v>33</v>
      </c>
      <c r="H87" s="38" t="s">
        <v>34</v>
      </c>
      <c r="I87" s="38" t="s">
        <v>35</v>
      </c>
      <c r="J87" s="38" t="s">
        <v>36</v>
      </c>
      <c r="K87" s="38" t="s">
        <v>37</v>
      </c>
      <c r="L87" s="38" t="s">
        <v>38</v>
      </c>
      <c r="M87" s="38" t="s">
        <v>39</v>
      </c>
      <c r="N87" s="38" t="s">
        <v>40</v>
      </c>
      <c r="O87" s="32"/>
      <c r="T87" s="28"/>
    </row>
    <row r="88" spans="4:20" ht="20.100000000000001" customHeight="1" x14ac:dyDescent="0.25">
      <c r="D88" s="1" t="str">
        <f>TEXT('Input - Site'!$E$12, "mmmm yyyy")</f>
        <v>January 2024</v>
      </c>
      <c r="E88" s="39">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8" s="39">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8" s="39">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8" s="39">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8" s="39">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8" s="39">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8" s="39">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8" s="39">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8" s="39">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8" s="39">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8" s="32" t="s">
        <v>53</v>
      </c>
      <c r="T88" s="28"/>
    </row>
    <row r="89" spans="4:20" ht="20.100000000000001" customHeight="1" x14ac:dyDescent="0.25">
      <c r="D89" s="1" t="str">
        <f>TEXT(EDATE('Input - Site'!$E$12,1), "mmmm yyyy")</f>
        <v>February 2024</v>
      </c>
      <c r="E89" s="39">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39">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39">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39">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39">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39">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39">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39">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39">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39">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32" t="s">
        <v>53</v>
      </c>
      <c r="T89" s="28"/>
    </row>
    <row r="90" spans="4:20" ht="20.100000000000001" customHeight="1" x14ac:dyDescent="0.25">
      <c r="D90" s="1" t="str">
        <f>TEXT(EDATE('Input - Site'!$E$12,2), "mmmm yyyy")</f>
        <v>March 2024</v>
      </c>
      <c r="E90" s="39">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0" s="39">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0" s="39">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0" s="39">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0" s="39">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0" s="39">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0" s="39">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0" s="39">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0" s="39">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0" s="39">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0" s="32" t="s">
        <v>53</v>
      </c>
      <c r="T90" s="28"/>
    </row>
    <row r="91" spans="4:20" ht="20.100000000000001" customHeight="1" x14ac:dyDescent="0.25">
      <c r="D91" s="1" t="str">
        <f>TEXT(EDATE('Input - Site'!$E$12,3), "mmmm yyyy")</f>
        <v>April 2024</v>
      </c>
      <c r="E91" s="39">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39">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39">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39">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39">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39">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39">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39">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39">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39">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32" t="s">
        <v>53</v>
      </c>
      <c r="T91" s="28"/>
    </row>
    <row r="92" spans="4:20" ht="20.100000000000001" customHeight="1" x14ac:dyDescent="0.25">
      <c r="D92" s="1" t="str">
        <f>TEXT(EDATE('Input - Site'!$E$12,4), "mmmm yyyy")</f>
        <v>May 2024</v>
      </c>
      <c r="E92" s="39">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39">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39">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39">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39">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39">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39">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39">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39">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39">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32" t="s">
        <v>53</v>
      </c>
      <c r="T92" s="28"/>
    </row>
    <row r="93" spans="4:20" ht="20.100000000000001" customHeight="1" x14ac:dyDescent="0.25">
      <c r="D93" s="1" t="str">
        <f>TEXT(EDATE('Input - Site'!$E$12,5), "mmmm yyyy")</f>
        <v>June 2024</v>
      </c>
      <c r="E93" s="39">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3" s="39">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3" s="39">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3" s="39">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3" s="39">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3" s="39">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3" s="39">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3" s="39">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3" s="39">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3" s="39">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3" s="32" t="s">
        <v>53</v>
      </c>
      <c r="T93" s="28"/>
    </row>
    <row r="94" spans="4:20" ht="20.100000000000001" customHeight="1" x14ac:dyDescent="0.25">
      <c r="D94" s="1" t="str">
        <f>TEXT(EDATE('Input - Site'!$E$12,6), "mmmm yyyy")</f>
        <v>July 2024</v>
      </c>
      <c r="E94" s="39">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39">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39">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39">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39">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39">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39">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39">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39">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39">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32" t="s">
        <v>53</v>
      </c>
      <c r="T94" s="28"/>
    </row>
    <row r="95" spans="4:20" ht="20.100000000000001" customHeight="1" x14ac:dyDescent="0.25">
      <c r="D95" s="1" t="str">
        <f>TEXT(EDATE('Input - Site'!$E$12,7), "mmmm yyyy")</f>
        <v>August 2024</v>
      </c>
      <c r="E95" s="39">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39">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39">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39">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39">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39">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39">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39">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39">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39">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32" t="s">
        <v>53</v>
      </c>
      <c r="T95" s="28"/>
    </row>
    <row r="96" spans="4:20" ht="20.100000000000001" customHeight="1" x14ac:dyDescent="0.25">
      <c r="D96" s="1" t="str">
        <f>TEXT(EDATE('Input - Site'!$E$12,8), "mmmm yyyy")</f>
        <v>September 2024</v>
      </c>
      <c r="E96" s="39">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6" s="39">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6" s="39">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6" s="39">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6" s="39">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6" s="39">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6" s="39">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6" s="39">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6" s="39">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6" s="39">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6" s="32" t="s">
        <v>53</v>
      </c>
      <c r="T96" s="28"/>
    </row>
    <row r="97" spans="4:20" ht="20.100000000000001" customHeight="1" x14ac:dyDescent="0.25">
      <c r="D97" s="1" t="str">
        <f>TEXT(EDATE('Input - Site'!$E$12,9), "mmmm yyyy")</f>
        <v>October 2024</v>
      </c>
      <c r="E97" s="39">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39">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39">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39">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39">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39">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39">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39">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39">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39">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32" t="s">
        <v>53</v>
      </c>
      <c r="T97" s="28"/>
    </row>
    <row r="98" spans="4:20" ht="20.100000000000001" customHeight="1" x14ac:dyDescent="0.25">
      <c r="D98" s="1" t="str">
        <f>TEXT(EDATE('Input - Site'!$E$12,10), "mmmm yyyy")</f>
        <v>November 2024</v>
      </c>
      <c r="E98" s="39">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39">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39">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39">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39">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39">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39">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39">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39">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39">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32" t="s">
        <v>53</v>
      </c>
      <c r="T98" s="28"/>
    </row>
    <row r="99" spans="4:20" ht="20.100000000000001" customHeight="1" x14ac:dyDescent="0.25">
      <c r="D99" s="1" t="str">
        <f>TEXT(EDATE('Input - Site'!$E$12,11), "mmmm yyyy")</f>
        <v>December 2024</v>
      </c>
      <c r="E99" s="39">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9" s="39">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9" s="39">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9" s="39">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9" s="39">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9" s="39">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9" s="39">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9" s="39">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9" s="39">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9" s="39">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9" s="32" t="s">
        <v>53</v>
      </c>
      <c r="T99" s="28"/>
    </row>
    <row r="100" spans="4:20" ht="20.100000000000001" customHeight="1" x14ac:dyDescent="0.25">
      <c r="T100" s="28"/>
    </row>
    <row r="101" spans="4:20" ht="20.100000000000001" customHeight="1" x14ac:dyDescent="0.25">
      <c r="T101" s="28"/>
    </row>
    <row r="102" spans="4:20" ht="20.100000000000001" customHeight="1" x14ac:dyDescent="0.25">
      <c r="D102" s="37" t="s">
        <v>54</v>
      </c>
      <c r="K102" s="32"/>
      <c r="L102" s="32"/>
      <c r="M102" s="32"/>
      <c r="N102" s="32"/>
      <c r="O102" s="32"/>
      <c r="T102" s="28"/>
    </row>
    <row r="103" spans="4:20" ht="20.100000000000001" customHeight="1" x14ac:dyDescent="0.25">
      <c r="D103" s="38" t="s">
        <v>48</v>
      </c>
      <c r="E103" s="38"/>
      <c r="F103" s="38"/>
      <c r="G103" s="38"/>
      <c r="T103" s="28"/>
    </row>
    <row r="104" spans="4:20" ht="20.100000000000001" customHeight="1" x14ac:dyDescent="0.25">
      <c r="D104" s="1" t="s">
        <v>55</v>
      </c>
      <c r="E104" s="31" t="s">
        <v>45</v>
      </c>
      <c r="F104" s="32" t="s">
        <v>25</v>
      </c>
      <c r="T104" s="28"/>
    </row>
    <row r="105" spans="4:20" ht="20.100000000000001" customHeight="1" x14ac:dyDescent="0.25">
      <c r="T105" s="28"/>
    </row>
    <row r="106" spans="4:20" ht="20.100000000000001" customHeight="1" x14ac:dyDescent="0.25">
      <c r="E106" s="38" t="s">
        <v>34</v>
      </c>
      <c r="F106" s="38" t="s">
        <v>35</v>
      </c>
      <c r="G106" s="38" t="s">
        <v>36</v>
      </c>
      <c r="L106" s="32"/>
      <c r="M106" s="32"/>
      <c r="N106" s="32"/>
      <c r="O106" s="32"/>
      <c r="T106" s="28"/>
    </row>
    <row r="107" spans="4:20" ht="20.100000000000001" customHeight="1" x14ac:dyDescent="0.25">
      <c r="D107" s="1" t="str">
        <f>"Proportion of cows &gt; 1 years in calf in " &amp; E104</f>
        <v>Proportion of cows &gt; 1 years in calf in Winter</v>
      </c>
      <c r="E107" s="40">
        <v>0.9</v>
      </c>
      <c r="F107" s="40">
        <v>0.5</v>
      </c>
      <c r="G107" s="40">
        <v>0.5</v>
      </c>
      <c r="H107" s="32" t="s">
        <v>56</v>
      </c>
      <c r="L107" s="32"/>
      <c r="M107" s="32"/>
      <c r="N107" s="32"/>
      <c r="O107" s="32"/>
    </row>
    <row r="108" spans="4:20" ht="20.100000000000001" customHeight="1" x14ac:dyDescent="0.25"/>
    <row r="109" spans="4:20" ht="20.100000000000001" customHeight="1" x14ac:dyDescent="0.25"/>
    <row r="110" spans="4:20" ht="20.100000000000001" customHeight="1" x14ac:dyDescent="0.25">
      <c r="D110" s="38" t="s">
        <v>49</v>
      </c>
      <c r="E110" s="38"/>
      <c r="F110" s="38"/>
      <c r="G110" s="38"/>
    </row>
    <row r="111" spans="4:20" ht="20.100000000000001" customHeight="1" x14ac:dyDescent="0.25">
      <c r="D111" s="1" t="s">
        <v>57</v>
      </c>
      <c r="E111" s="31" t="s">
        <v>58</v>
      </c>
      <c r="F111" s="32" t="s">
        <v>25</v>
      </c>
    </row>
    <row r="112" spans="4:20" ht="20.100000000000001" customHeight="1" x14ac:dyDescent="0.25">
      <c r="D112" s="1" t="s">
        <v>59</v>
      </c>
      <c r="E112" s="29" t="str">
        <f>TEXT(EDATE(E111,1), "mmmm yyyy")</f>
        <v>September 2024</v>
      </c>
    </row>
    <row r="113" spans="4:15" ht="20.100000000000001" customHeight="1" x14ac:dyDescent="0.25">
      <c r="D113" s="1" t="s">
        <v>60</v>
      </c>
      <c r="E113" s="29" t="str">
        <f>TEXT(EDATE(E111,2), "mmmm yyyy")</f>
        <v>October 2024</v>
      </c>
    </row>
    <row r="114" spans="4:15" ht="20.100000000000001" customHeight="1" x14ac:dyDescent="0.25"/>
    <row r="115" spans="4:15" ht="20.100000000000001" customHeight="1" x14ac:dyDescent="0.25"/>
    <row r="116" spans="4:15" ht="20.100000000000001" customHeight="1" x14ac:dyDescent="0.25">
      <c r="E116" s="38" t="s">
        <v>34</v>
      </c>
      <c r="F116" s="38" t="s">
        <v>35</v>
      </c>
      <c r="G116" s="38" t="s">
        <v>36</v>
      </c>
      <c r="L116" s="32"/>
      <c r="M116" s="32"/>
      <c r="N116" s="32"/>
      <c r="O116" s="32"/>
    </row>
    <row r="117" spans="4:15" ht="20.100000000000001" customHeight="1" x14ac:dyDescent="0.25">
      <c r="D117" s="1" t="str">
        <f>E111</f>
        <v>August 2024</v>
      </c>
      <c r="E117" s="40">
        <v>0.25</v>
      </c>
      <c r="F117" s="40">
        <v>0.25</v>
      </c>
      <c r="G117" s="40">
        <v>0.25</v>
      </c>
      <c r="H117" s="32" t="s">
        <v>56</v>
      </c>
      <c r="L117" s="32"/>
      <c r="M117" s="32"/>
      <c r="N117" s="32"/>
      <c r="O117" s="32"/>
    </row>
    <row r="118" spans="4:15" ht="20.100000000000001" customHeight="1" x14ac:dyDescent="0.25">
      <c r="D118" s="1" t="str">
        <f>E112</f>
        <v>September 2024</v>
      </c>
      <c r="E118" s="40">
        <v>0.25</v>
      </c>
      <c r="F118" s="40">
        <v>0.25</v>
      </c>
      <c r="G118" s="40">
        <v>0.25</v>
      </c>
      <c r="H118" s="32" t="s">
        <v>56</v>
      </c>
    </row>
    <row r="119" spans="4:15" ht="20.100000000000001" customHeight="1" x14ac:dyDescent="0.25">
      <c r="D119" s="1" t="str">
        <f>E113</f>
        <v>October 2024</v>
      </c>
      <c r="E119" s="40">
        <v>0.25</v>
      </c>
      <c r="F119" s="40">
        <v>0.25</v>
      </c>
      <c r="G119" s="40">
        <v>0.25</v>
      </c>
      <c r="H119" s="32" t="s">
        <v>56</v>
      </c>
    </row>
    <row r="120" spans="4:15" ht="20.100000000000001" customHeight="1" x14ac:dyDescent="0.25">
      <c r="D120" s="1" t="str">
        <f>"Proportion of cows &gt; 1 years in calf in " &amp; D117 &amp; " to " &amp; D119</f>
        <v>Proportion of cows &gt; 1 years in calf in August 2024 to October 2024</v>
      </c>
      <c r="E120" s="41">
        <f>SUM(E117:E119)</f>
        <v>0.75</v>
      </c>
      <c r="F120" s="41">
        <f>SUM(F117:F119)</f>
        <v>0.75</v>
      </c>
      <c r="G120" s="41">
        <f>SUM(G117:G119)</f>
        <v>0.75</v>
      </c>
      <c r="H120" s="32" t="s">
        <v>56</v>
      </c>
    </row>
    <row r="121" spans="4:15" ht="20.100000000000001" customHeight="1" x14ac:dyDescent="0.25"/>
    <row r="122" spans="4:15" ht="20.100000000000001" customHeight="1" x14ac:dyDescent="0.25">
      <c r="K122" s="32"/>
      <c r="L122" s="32"/>
      <c r="M122" s="32"/>
      <c r="N122" s="32"/>
      <c r="O122" s="32"/>
    </row>
    <row r="123" spans="4:15" ht="20.100000000000001" customHeight="1" x14ac:dyDescent="0.25">
      <c r="D123" s="37" t="s">
        <v>61</v>
      </c>
      <c r="K123" s="32"/>
      <c r="L123" s="32"/>
      <c r="M123" s="32"/>
      <c r="N123" s="32"/>
      <c r="O123" s="32"/>
    </row>
    <row r="124" spans="4:15" ht="20.100000000000001" customHeight="1" x14ac:dyDescent="0.25">
      <c r="D124" s="38" t="s">
        <v>30</v>
      </c>
      <c r="E124" s="38" t="s">
        <v>31</v>
      </c>
      <c r="F124" s="38" t="s">
        <v>32</v>
      </c>
      <c r="G124" s="38" t="s">
        <v>33</v>
      </c>
      <c r="H124" s="38" t="s">
        <v>34</v>
      </c>
      <c r="I124" s="38" t="s">
        <v>35</v>
      </c>
      <c r="J124" s="38" t="s">
        <v>36</v>
      </c>
      <c r="K124" s="38" t="s">
        <v>37</v>
      </c>
      <c r="L124" s="38" t="s">
        <v>38</v>
      </c>
      <c r="M124" s="38" t="s">
        <v>39</v>
      </c>
      <c r="N124" s="38" t="s">
        <v>40</v>
      </c>
    </row>
    <row r="125" spans="4:15" ht="20.100000000000001" customHeight="1" x14ac:dyDescent="0.25">
      <c r="D125" s="1" t="s">
        <v>41</v>
      </c>
      <c r="E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25" s="29">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25" s="32" t="s">
        <v>62</v>
      </c>
    </row>
    <row r="126" spans="4:15" ht="20.100000000000001" customHeight="1" x14ac:dyDescent="0.25">
      <c r="D126" s="1" t="s">
        <v>43</v>
      </c>
      <c r="E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26" s="29">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26" s="32" t="s">
        <v>62</v>
      </c>
    </row>
    <row r="127" spans="4:15" ht="20.100000000000001" customHeight="1" x14ac:dyDescent="0.25">
      <c r="D127" s="1" t="s">
        <v>44</v>
      </c>
      <c r="E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27" s="29">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27" s="32" t="s">
        <v>62</v>
      </c>
    </row>
    <row r="128" spans="4:15" ht="20.100000000000001" customHeight="1" x14ac:dyDescent="0.25">
      <c r="D128" s="1" t="s">
        <v>45</v>
      </c>
      <c r="E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28" s="29">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28" s="32" t="s">
        <v>62</v>
      </c>
    </row>
    <row r="129" spans="4:15" ht="20.100000000000001" customHeight="1" x14ac:dyDescent="0.25"/>
    <row r="130" spans="4:15" ht="20.100000000000001" customHeight="1" x14ac:dyDescent="0.25">
      <c r="D130" s="38" t="s">
        <v>46</v>
      </c>
      <c r="E130" s="38" t="s">
        <v>31</v>
      </c>
      <c r="F130" s="38" t="s">
        <v>32</v>
      </c>
      <c r="G130" s="38" t="s">
        <v>33</v>
      </c>
      <c r="H130" s="38" t="s">
        <v>34</v>
      </c>
      <c r="I130" s="38" t="s">
        <v>35</v>
      </c>
      <c r="J130" s="38" t="s">
        <v>36</v>
      </c>
      <c r="K130" s="38" t="s">
        <v>37</v>
      </c>
      <c r="L130" s="38" t="s">
        <v>38</v>
      </c>
      <c r="M130" s="38" t="s">
        <v>39</v>
      </c>
      <c r="N130" s="38" t="s">
        <v>40</v>
      </c>
    </row>
    <row r="131" spans="4:15" ht="20.100000000000001" customHeight="1" x14ac:dyDescent="0.25">
      <c r="D131" s="1" t="str">
        <f>TEXT('Input - Site'!$E$12, "mmmm yyyy")</f>
        <v>January 2024</v>
      </c>
      <c r="E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1" s="39">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1" s="32" t="s">
        <v>62</v>
      </c>
    </row>
    <row r="132" spans="4:15" ht="20.100000000000001" customHeight="1" x14ac:dyDescent="0.25">
      <c r="D132" s="1" t="str">
        <f>TEXT(EDATE('Input - Site'!$E$12,1), "mmmm yyyy")</f>
        <v>February 2024</v>
      </c>
      <c r="E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2" s="39">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2" s="32" t="s">
        <v>62</v>
      </c>
    </row>
    <row r="133" spans="4:15" ht="20.100000000000001" customHeight="1" x14ac:dyDescent="0.25">
      <c r="D133" s="1" t="str">
        <f>TEXT(EDATE('Input - Site'!$E$12,2), "mmmm yyyy")</f>
        <v>March 2024</v>
      </c>
      <c r="E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3" s="39">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3" s="32" t="s">
        <v>62</v>
      </c>
    </row>
    <row r="134" spans="4:15" ht="20.100000000000001" customHeight="1" x14ac:dyDescent="0.25">
      <c r="D134" s="1" t="str">
        <f>TEXT(EDATE('Input - Site'!$E$12,3), "mmmm yyyy")</f>
        <v>April 2024</v>
      </c>
      <c r="E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4" s="39">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4" s="32" t="s">
        <v>62</v>
      </c>
    </row>
    <row r="135" spans="4:15" ht="20.100000000000001" customHeight="1" x14ac:dyDescent="0.25">
      <c r="D135" s="1" t="str">
        <f>TEXT(EDATE('Input - Site'!$E$12,4), "mmmm yyyy")</f>
        <v>May 2024</v>
      </c>
      <c r="E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35" s="39">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35" s="32" t="s">
        <v>62</v>
      </c>
    </row>
    <row r="136" spans="4:15" ht="20.100000000000001" customHeight="1" x14ac:dyDescent="0.25">
      <c r="D136" s="1" t="str">
        <f>TEXT(EDATE('Input - Site'!$E$12,5), "mmmm yyyy")</f>
        <v>June 2024</v>
      </c>
      <c r="E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6" s="39">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6" s="32" t="s">
        <v>62</v>
      </c>
    </row>
    <row r="137" spans="4:15" ht="20.100000000000001" customHeight="1" x14ac:dyDescent="0.25">
      <c r="D137" s="1" t="str">
        <f>TEXT(EDATE('Input - Site'!$E$12,6), "mmmm yyyy")</f>
        <v>July 2024</v>
      </c>
      <c r="E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7" s="39">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7" s="32" t="s">
        <v>62</v>
      </c>
    </row>
    <row r="138" spans="4:15" ht="20.100000000000001" customHeight="1" x14ac:dyDescent="0.25">
      <c r="D138" s="1" t="str">
        <f>TEXT(EDATE('Input - Site'!$E$12,7), "mmmm yyyy")</f>
        <v>August 2024</v>
      </c>
      <c r="E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38" s="39">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38" s="32" t="s">
        <v>62</v>
      </c>
    </row>
    <row r="139" spans="4:15" ht="20.100000000000001" customHeight="1" x14ac:dyDescent="0.25">
      <c r="D139" s="1" t="str">
        <f>TEXT(EDATE('Input - Site'!$E$12,8), "mmmm yyyy")</f>
        <v>September 2024</v>
      </c>
      <c r="E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39" s="39">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39" s="32" t="s">
        <v>62</v>
      </c>
    </row>
    <row r="140" spans="4:15" ht="20.100000000000001" customHeight="1" x14ac:dyDescent="0.25">
      <c r="D140" s="1" t="str">
        <f>TEXT(EDATE('Input - Site'!$E$12,9), "mmmm yyyy")</f>
        <v>October 2024</v>
      </c>
      <c r="E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0" s="39">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0" s="32" t="s">
        <v>62</v>
      </c>
    </row>
    <row r="141" spans="4:15" ht="20.100000000000001" customHeight="1" x14ac:dyDescent="0.25">
      <c r="D141" s="1" t="str">
        <f>TEXT(EDATE('Input - Site'!$E$12,10), "mmmm yyyy")</f>
        <v>November 2024</v>
      </c>
      <c r="E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1" s="39">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1" s="32" t="s">
        <v>62</v>
      </c>
    </row>
    <row r="142" spans="4:15" ht="20.100000000000001" customHeight="1" x14ac:dyDescent="0.25">
      <c r="D142" s="1" t="str">
        <f>TEXT(EDATE('Input - Site'!$E$12,11), "mmmm yyyy")</f>
        <v>December 2024</v>
      </c>
      <c r="E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2" s="39">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2" s="32" t="s">
        <v>62</v>
      </c>
    </row>
    <row r="143" spans="4:15" ht="20.100000000000001" customHeight="1" x14ac:dyDescent="0.25"/>
    <row r="144" spans="4:15" ht="20.100000000000001" customHeight="1" x14ac:dyDescent="0.25"/>
    <row r="145" spans="4:15" ht="20.100000000000001" customHeight="1" x14ac:dyDescent="0.25">
      <c r="D145" s="37" t="s">
        <v>63</v>
      </c>
      <c r="K145" s="32"/>
      <c r="L145" s="32"/>
      <c r="M145" s="32"/>
      <c r="N145" s="32"/>
      <c r="O145" s="32"/>
    </row>
    <row r="146" spans="4:15" ht="20.100000000000001" customHeight="1" x14ac:dyDescent="0.25">
      <c r="D146" s="38" t="s">
        <v>30</v>
      </c>
      <c r="E146" s="38" t="s">
        <v>31</v>
      </c>
      <c r="F146" s="38" t="s">
        <v>32</v>
      </c>
      <c r="G146" s="38" t="s">
        <v>33</v>
      </c>
      <c r="H146" s="38" t="s">
        <v>34</v>
      </c>
      <c r="I146" s="38" t="s">
        <v>35</v>
      </c>
      <c r="J146" s="38" t="s">
        <v>36</v>
      </c>
      <c r="K146" s="38" t="s">
        <v>37</v>
      </c>
      <c r="L146" s="38" t="s">
        <v>38</v>
      </c>
      <c r="M146" s="38" t="s">
        <v>39</v>
      </c>
      <c r="N146" s="38" t="s">
        <v>40</v>
      </c>
    </row>
    <row r="147" spans="4:15" ht="20.100000000000001" customHeight="1" x14ac:dyDescent="0.25">
      <c r="D147" s="1" t="s">
        <v>41</v>
      </c>
      <c r="E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F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G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H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I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J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K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L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M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N147" s="29">
        <f>InputFunctions_PastureBeef.LookupValueFromStateRegionSeason($E$7,$E$8,$D147, Table_SourceData_PastureBeef_CrudeProtein[State],Table_SourceData_PastureBeef_CrudeProtein[Region],Table_SourceData_PastureBeef_CrudeProtein[#Headers],Table_SourceData_PastureBeef_CrudeProtein[#Data],Table_AustralianStates[Common Name],Table_AustralianStates[Abbreviation])</f>
        <v>0.2</v>
      </c>
      <c r="O147" s="32" t="s">
        <v>62</v>
      </c>
    </row>
    <row r="148" spans="4:15" ht="20.100000000000001" customHeight="1" x14ac:dyDescent="0.25">
      <c r="D148" s="1" t="s">
        <v>43</v>
      </c>
      <c r="E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F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G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H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I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J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K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L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M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N148" s="29">
        <f>InputFunctions_PastureBeef.LookupValueFromStateRegionSeason($E$7,$E$8,$D148, Table_SourceData_PastureBeef_CrudeProtein[State],Table_SourceData_PastureBeef_CrudeProtein[Region],Table_SourceData_PastureBeef_CrudeProtein[#Headers],Table_SourceData_PastureBeef_CrudeProtein[#Data],Table_AustralianStates[Common Name],Table_AustralianStates[Abbreviation])</f>
        <v>0.09</v>
      </c>
      <c r="O148" s="32" t="s">
        <v>62</v>
      </c>
    </row>
    <row r="149" spans="4:15" ht="20.100000000000001" customHeight="1" x14ac:dyDescent="0.25">
      <c r="D149" s="1" t="s">
        <v>44</v>
      </c>
      <c r="E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F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G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H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I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J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K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L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M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N149" s="29">
        <f>InputFunctions_PastureBeef.LookupValueFromStateRegionSeason($E$7,$E$8,$D149, Table_SourceData_PastureBeef_CrudeProtein[State],Table_SourceData_PastureBeef_CrudeProtein[Region],Table_SourceData_PastureBeef_CrudeProtein[#Headers],Table_SourceData_PastureBeef_CrudeProtein[#Data],Table_AustralianStates[Common Name],Table_AustralianStates[Abbreviation])</f>
        <v>0.06</v>
      </c>
      <c r="O149" s="32" t="s">
        <v>62</v>
      </c>
    </row>
    <row r="150" spans="4:15" ht="20.100000000000001" customHeight="1" x14ac:dyDescent="0.25">
      <c r="D150" s="1" t="s">
        <v>45</v>
      </c>
      <c r="E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F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G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H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I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J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K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L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M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N150" s="29">
        <f>InputFunctions_PastureBeef.LookupValueFromStateRegionSeason($E$7,$E$8,$D150, Table_SourceData_PastureBeef_CrudeProtein[State],Table_SourceData_PastureBeef_CrudeProtein[Region],Table_SourceData_PastureBeef_CrudeProtein[#Headers],Table_SourceData_PastureBeef_CrudeProtein[#Data],Table_AustralianStates[Common Name],Table_AustralianStates[Abbreviation])</f>
        <v>0.2</v>
      </c>
      <c r="O150" s="32" t="s">
        <v>62</v>
      </c>
    </row>
    <row r="151" spans="4:15" ht="20.100000000000001" customHeight="1" x14ac:dyDescent="0.25"/>
    <row r="152" spans="4:15" ht="20.100000000000001" customHeight="1" x14ac:dyDescent="0.25">
      <c r="D152" s="38" t="s">
        <v>46</v>
      </c>
      <c r="E152" s="38" t="s">
        <v>31</v>
      </c>
      <c r="F152" s="38" t="s">
        <v>32</v>
      </c>
      <c r="G152" s="38" t="s">
        <v>33</v>
      </c>
      <c r="H152" s="38" t="s">
        <v>34</v>
      </c>
      <c r="I152" s="38" t="s">
        <v>35</v>
      </c>
      <c r="J152" s="38" t="s">
        <v>36</v>
      </c>
      <c r="K152" s="38" t="s">
        <v>37</v>
      </c>
      <c r="L152" s="38" t="s">
        <v>38</v>
      </c>
      <c r="M152" s="38" t="s">
        <v>39</v>
      </c>
      <c r="N152" s="38" t="s">
        <v>40</v>
      </c>
    </row>
    <row r="153" spans="4:15" ht="20.100000000000001" customHeight="1" x14ac:dyDescent="0.25">
      <c r="D153" s="1" t="str">
        <f>TEXT('Input - Site'!$E$12, "mmmm yyyy")</f>
        <v>January 2024</v>
      </c>
      <c r="E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3" s="39">
        <f>InputFunctions_PastureBeef.LookupValueFromStateRegionMonth($E$7,$E$8,$D153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3" s="32" t="s">
        <v>62</v>
      </c>
    </row>
    <row r="154" spans="4:15" ht="20.100000000000001" customHeight="1" x14ac:dyDescent="0.25">
      <c r="D154" s="1" t="str">
        <f>TEXT(EDATE('Input - Site'!$E$12,1), "mmmm yyyy")</f>
        <v>February 2024</v>
      </c>
      <c r="E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54" s="39">
        <f>InputFunctions_PastureBeef.LookupValueFromStateRegionMonth($E$7,$E$8,$D154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54" s="32" t="s">
        <v>62</v>
      </c>
    </row>
    <row r="155" spans="4:15" ht="20.100000000000001" customHeight="1" x14ac:dyDescent="0.25">
      <c r="D155" s="1" t="str">
        <f>TEXT(EDATE('Input - Site'!$E$12,2), "mmmm yyyy")</f>
        <v>March 2024</v>
      </c>
      <c r="E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5" s="39">
        <f>InputFunctions_PastureBeef.LookupValueFromStateRegionMonth($E$7,$E$8,$D155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5" s="32" t="s">
        <v>62</v>
      </c>
    </row>
    <row r="156" spans="4:15" ht="20.100000000000001" customHeight="1" x14ac:dyDescent="0.25">
      <c r="D156" s="1" t="str">
        <f>TEXT(EDATE('Input - Site'!$E$12,3), "mmmm yyyy")</f>
        <v>April 2024</v>
      </c>
      <c r="E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6" s="39">
        <f>InputFunctions_PastureBeef.LookupValueFromStateRegionMonth($E$7,$E$8,$D156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6" s="32" t="s">
        <v>62</v>
      </c>
    </row>
    <row r="157" spans="4:15" ht="20.100000000000001" customHeight="1" x14ac:dyDescent="0.25">
      <c r="D157" s="1" t="str">
        <f>TEXT(EDATE('Input - Site'!$E$12,4), "mmmm yyyy")</f>
        <v>May 2024</v>
      </c>
      <c r="E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57" s="39">
        <f>InputFunctions_PastureBeef.LookupValueFromStateRegionMonth($E$7,$E$8,$D157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57" s="32" t="s">
        <v>62</v>
      </c>
    </row>
    <row r="158" spans="4:15" ht="20.100000000000001" customHeight="1" x14ac:dyDescent="0.25">
      <c r="D158" s="1" t="str">
        <f>TEXT(EDATE('Input - Site'!$E$12,5), "mmmm yyyy")</f>
        <v>June 2024</v>
      </c>
      <c r="E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8" s="39">
        <f>InputFunctions_PastureBeef.LookupValueFromStateRegionMonth($E$7,$E$8,$D158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8" s="32" t="s">
        <v>62</v>
      </c>
    </row>
    <row r="159" spans="4:15" ht="20.100000000000001" customHeight="1" x14ac:dyDescent="0.25">
      <c r="D159" s="1" t="str">
        <f>TEXT(EDATE('Input - Site'!$E$12,6), "mmmm yyyy")</f>
        <v>July 2024</v>
      </c>
      <c r="E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59" s="39">
        <f>InputFunctions_PastureBeef.LookupValueFromStateRegionMonth($E$7,$E$8,$D159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59" s="32" t="s">
        <v>62</v>
      </c>
    </row>
    <row r="160" spans="4:15" ht="20.100000000000001" customHeight="1" x14ac:dyDescent="0.25">
      <c r="D160" s="1" t="str">
        <f>TEXT(EDATE('Input - Site'!$E$12,7), "mmmm yyyy")</f>
        <v>August 2024</v>
      </c>
      <c r="E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0" s="39">
        <f>InputFunctions_PastureBeef.LookupValueFromStateRegionMonth($E$7,$E$8,$D160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0" s="32" t="s">
        <v>62</v>
      </c>
    </row>
    <row r="161" spans="4:15" ht="20.100000000000001" customHeight="1" x14ac:dyDescent="0.25">
      <c r="D161" s="1" t="str">
        <f>TEXT(EDATE('Input - Site'!$E$12,8), "mmmm yyyy")</f>
        <v>September 2024</v>
      </c>
      <c r="E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1" s="39">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1" s="32" t="s">
        <v>62</v>
      </c>
    </row>
    <row r="162" spans="4:15" ht="20.100000000000001" customHeight="1" x14ac:dyDescent="0.25">
      <c r="D162" s="1" t="str">
        <f>TEXT(EDATE('Input - Site'!$E$12,9), "mmmm yyyy")</f>
        <v>October 2024</v>
      </c>
      <c r="E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2" s="39">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2" s="32" t="s">
        <v>62</v>
      </c>
    </row>
    <row r="163" spans="4:15" ht="20.100000000000001" customHeight="1" x14ac:dyDescent="0.25">
      <c r="D163" s="1" t="str">
        <f>TEXT(EDATE('Input - Site'!$E$12,10), "mmmm yyyy")</f>
        <v>November 2024</v>
      </c>
      <c r="E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3" s="39">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3" s="32" t="s">
        <v>62</v>
      </c>
    </row>
    <row r="164" spans="4:15" ht="20.100000000000001" customHeight="1" x14ac:dyDescent="0.25">
      <c r="D164" s="1" t="str">
        <f>TEXT(EDATE('Input - Site'!$E$12,11), "mmmm yyyy")</f>
        <v>December 2024</v>
      </c>
      <c r="E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4" s="39">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4" s="32" t="s">
        <v>62</v>
      </c>
    </row>
    <row r="165" spans="4:15" ht="20.100000000000001" customHeight="1" x14ac:dyDescent="0.25">
      <c r="L165" s="32"/>
      <c r="M165" s="32"/>
      <c r="N165" s="32"/>
      <c r="O165" s="32"/>
    </row>
    <row r="166" spans="4:15" x14ac:dyDescent="0.25">
      <c r="L166" s="32"/>
      <c r="M166" s="32"/>
      <c r="N166" s="32"/>
      <c r="O166" s="32"/>
    </row>
    <row r="167" spans="4:15" ht="18.75" x14ac:dyDescent="0.25">
      <c r="D167" s="37" t="s">
        <v>64</v>
      </c>
      <c r="L167" s="32"/>
      <c r="M167" s="32"/>
      <c r="N167" s="32"/>
      <c r="O167" s="32"/>
    </row>
    <row r="169" spans="4:15" x14ac:dyDescent="0.25">
      <c r="D169" s="1" t="s">
        <v>65</v>
      </c>
      <c r="E169" s="31" t="s">
        <v>66</v>
      </c>
      <c r="F169" s="32" t="s">
        <v>25</v>
      </c>
      <c r="L169" s="32"/>
      <c r="M169" s="32"/>
      <c r="N169" s="32"/>
      <c r="O169" s="32"/>
    </row>
    <row r="171" spans="4:15" x14ac:dyDescent="0.25">
      <c r="D171" s="38" t="s">
        <v>67</v>
      </c>
      <c r="E171" s="38" t="s">
        <v>68</v>
      </c>
      <c r="L171" s="32"/>
      <c r="M171" s="32"/>
      <c r="N171" s="32"/>
      <c r="O171" s="32"/>
    </row>
    <row r="172" spans="4:15" x14ac:dyDescent="0.25">
      <c r="D172" s="1" t="s">
        <v>69</v>
      </c>
      <c r="E172" s="42">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32" t="s">
        <v>56</v>
      </c>
      <c r="L172" s="32"/>
      <c r="M172" s="32"/>
      <c r="N172" s="32"/>
      <c r="O172" s="32"/>
    </row>
    <row r="173" spans="4:15" x14ac:dyDescent="0.25">
      <c r="D173" s="1" t="s">
        <v>70</v>
      </c>
      <c r="E173" s="42">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32" t="s">
        <v>56</v>
      </c>
      <c r="L173" s="32"/>
      <c r="M173" s="32"/>
      <c r="N173" s="32"/>
      <c r="O173" s="32"/>
    </row>
    <row r="174" spans="4:15" x14ac:dyDescent="0.25">
      <c r="L174" s="32"/>
      <c r="M174" s="32"/>
      <c r="N174" s="32"/>
      <c r="O174" s="32"/>
    </row>
    <row r="176" spans="4:15" x14ac:dyDescent="0.25">
      <c r="D176" s="1" t="s">
        <v>71</v>
      </c>
      <c r="E176" s="31" t="s">
        <v>72</v>
      </c>
      <c r="F176" s="32" t="s">
        <v>25</v>
      </c>
      <c r="L176" s="32"/>
      <c r="M176" s="32"/>
      <c r="N176" s="32"/>
      <c r="O176" s="32"/>
    </row>
    <row r="177" spans="5:6" x14ac:dyDescent="0.25">
      <c r="E177" s="31" t="s">
        <v>73</v>
      </c>
      <c r="F177" s="32" t="s">
        <v>25</v>
      </c>
    </row>
    <row r="199" spans="12:15" x14ac:dyDescent="0.25">
      <c r="L199" s="32"/>
      <c r="M199" s="32"/>
      <c r="N199" s="32"/>
      <c r="O199" s="32"/>
    </row>
    <row r="202" spans="12:15" x14ac:dyDescent="0.25">
      <c r="L202" s="32"/>
      <c r="M202" s="32"/>
      <c r="N202" s="32"/>
      <c r="O202" s="32"/>
    </row>
    <row r="207" spans="12:15" x14ac:dyDescent="0.25">
      <c r="L207" s="32"/>
      <c r="M207" s="32"/>
      <c r="N207" s="32"/>
      <c r="O207" s="32"/>
    </row>
    <row r="208" spans="12:15" x14ac:dyDescent="0.25">
      <c r="L208" s="32"/>
      <c r="M208" s="32"/>
      <c r="N208" s="32"/>
      <c r="O208" s="32"/>
    </row>
    <row r="209" spans="12:15" x14ac:dyDescent="0.25">
      <c r="L209" s="32"/>
      <c r="M209" s="32"/>
      <c r="N209" s="32"/>
      <c r="O209" s="32"/>
    </row>
    <row r="210" spans="12:15" x14ac:dyDescent="0.25">
      <c r="L210" s="32"/>
      <c r="M210" s="32"/>
      <c r="N210" s="32"/>
      <c r="O210" s="32"/>
    </row>
    <row r="212" spans="12:15" x14ac:dyDescent="0.25">
      <c r="L212" s="32"/>
      <c r="M212" s="32"/>
      <c r="N212" s="32"/>
      <c r="O212" s="32"/>
    </row>
    <row r="214" spans="12:15" x14ac:dyDescent="0.25">
      <c r="L214" s="32"/>
      <c r="M214" s="32"/>
      <c r="N214" s="32"/>
      <c r="O214" s="32"/>
    </row>
    <row r="215" spans="12:15" x14ac:dyDescent="0.25">
      <c r="L215" s="32"/>
      <c r="M215" s="32"/>
      <c r="N215" s="32"/>
      <c r="O215" s="32"/>
    </row>
    <row r="216" spans="12:15" x14ac:dyDescent="0.25">
      <c r="L216" s="32"/>
      <c r="M216" s="32"/>
      <c r="N216" s="32"/>
      <c r="O216" s="32"/>
    </row>
    <row r="217" spans="12:15" x14ac:dyDescent="0.25">
      <c r="L217" s="32"/>
      <c r="M217" s="32"/>
      <c r="N217" s="32"/>
      <c r="O217" s="32"/>
    </row>
    <row r="219" spans="12:15" x14ac:dyDescent="0.25">
      <c r="L219" s="32"/>
      <c r="M219" s="32"/>
      <c r="N219" s="32"/>
      <c r="O219" s="32"/>
    </row>
    <row r="227" spans="12:15" x14ac:dyDescent="0.25">
      <c r="L227" s="32"/>
      <c r="M227" s="32"/>
      <c r="N227" s="32"/>
      <c r="O227" s="32"/>
    </row>
    <row r="228" spans="12:15" x14ac:dyDescent="0.25">
      <c r="L228" s="32"/>
      <c r="M228" s="32"/>
      <c r="N228" s="32"/>
      <c r="O228" s="32"/>
    </row>
    <row r="229" spans="12:15" x14ac:dyDescent="0.25">
      <c r="L229" s="32"/>
      <c r="M229" s="32"/>
      <c r="N229" s="32"/>
      <c r="O229" s="32"/>
    </row>
    <row r="232" spans="12:15" x14ac:dyDescent="0.25">
      <c r="L232" s="32"/>
      <c r="M232" s="32"/>
      <c r="N232" s="32"/>
      <c r="O232" s="32"/>
    </row>
    <row r="233" spans="12:15" x14ac:dyDescent="0.25">
      <c r="L233" s="32"/>
      <c r="M233" s="32"/>
      <c r="N233" s="32"/>
      <c r="O233" s="32"/>
    </row>
    <row r="234" spans="12:15" x14ac:dyDescent="0.25">
      <c r="L234" s="32"/>
      <c r="M234" s="32"/>
      <c r="N234" s="32"/>
      <c r="O234" s="32"/>
    </row>
    <row r="237" spans="12:15" x14ac:dyDescent="0.25">
      <c r="L237" s="32"/>
      <c r="M237" s="32"/>
      <c r="N237" s="32"/>
      <c r="O237" s="32"/>
    </row>
    <row r="238" spans="12:15" x14ac:dyDescent="0.25">
      <c r="L238" s="32"/>
      <c r="M238" s="32"/>
      <c r="N238" s="32"/>
      <c r="O238" s="32"/>
    </row>
    <row r="239" spans="12:15" x14ac:dyDescent="0.25">
      <c r="L239" s="32"/>
      <c r="M239" s="32"/>
      <c r="N239" s="32"/>
      <c r="O239" s="32"/>
    </row>
    <row r="242" spans="11:15" x14ac:dyDescent="0.25">
      <c r="L242" s="32"/>
      <c r="M242" s="32"/>
      <c r="N242" s="32"/>
      <c r="O242" s="32"/>
    </row>
    <row r="243" spans="11:15" x14ac:dyDescent="0.25">
      <c r="K243" s="32"/>
      <c r="L243" s="32"/>
      <c r="M243" s="32"/>
      <c r="N243" s="32"/>
      <c r="O243" s="32"/>
    </row>
    <row r="244" spans="11:15" x14ac:dyDescent="0.25">
      <c r="L244" s="32"/>
      <c r="M244" s="32"/>
      <c r="N244" s="32"/>
      <c r="O244" s="32"/>
    </row>
    <row r="248" spans="11:15" x14ac:dyDescent="0.25">
      <c r="K248" s="32"/>
    </row>
    <row r="251" spans="11:15" x14ac:dyDescent="0.25">
      <c r="L251" s="32"/>
      <c r="M251" s="32"/>
      <c r="N251" s="32"/>
      <c r="O251" s="32"/>
    </row>
    <row r="252" spans="11:15" x14ac:dyDescent="0.25">
      <c r="L252" s="32"/>
      <c r="M252" s="32"/>
      <c r="N252" s="32"/>
      <c r="O252" s="32"/>
    </row>
    <row r="253" spans="11:15" x14ac:dyDescent="0.25">
      <c r="K253" s="32"/>
      <c r="L253" s="32"/>
      <c r="M253" s="32"/>
      <c r="N253" s="32"/>
      <c r="O253" s="32"/>
    </row>
    <row r="256" spans="11:15" x14ac:dyDescent="0.25">
      <c r="L256" s="32"/>
      <c r="M256" s="32"/>
      <c r="N256" s="32"/>
      <c r="O256" s="32"/>
    </row>
    <row r="257" spans="11:15" x14ac:dyDescent="0.25">
      <c r="L257" s="32"/>
      <c r="M257" s="32"/>
      <c r="N257" s="32"/>
      <c r="O257" s="32"/>
    </row>
    <row r="258" spans="11:15" x14ac:dyDescent="0.25">
      <c r="K258" s="32"/>
      <c r="L258" s="32"/>
      <c r="M258" s="32"/>
      <c r="N258" s="32"/>
      <c r="O258" s="32"/>
    </row>
    <row r="259" spans="11:15" x14ac:dyDescent="0.25">
      <c r="K259" s="32"/>
    </row>
    <row r="260" spans="11:15" x14ac:dyDescent="0.25">
      <c r="K260" s="32"/>
    </row>
    <row r="261" spans="11:15" x14ac:dyDescent="0.25">
      <c r="K261" s="32"/>
      <c r="L261" s="32"/>
      <c r="M261" s="32"/>
      <c r="N261" s="32"/>
      <c r="O261" s="32"/>
    </row>
    <row r="262" spans="11:15" x14ac:dyDescent="0.25">
      <c r="K262" s="32"/>
      <c r="L262" s="32"/>
      <c r="M262" s="32"/>
      <c r="N262" s="32"/>
      <c r="O262" s="32"/>
    </row>
    <row r="263" spans="11:15" x14ac:dyDescent="0.25">
      <c r="L263" s="32"/>
      <c r="M263" s="32"/>
      <c r="N263" s="32"/>
      <c r="O263" s="32"/>
    </row>
    <row r="264" spans="11:15" x14ac:dyDescent="0.25">
      <c r="K264" s="32"/>
    </row>
    <row r="266" spans="11:15" x14ac:dyDescent="0.25">
      <c r="K266" s="32"/>
      <c r="L266" s="32"/>
      <c r="M266" s="32"/>
      <c r="N266" s="32"/>
      <c r="O266" s="32"/>
    </row>
    <row r="267" spans="11:15" x14ac:dyDescent="0.25">
      <c r="K267" s="32"/>
      <c r="L267" s="32"/>
      <c r="M267" s="32"/>
      <c r="N267" s="32"/>
      <c r="O267" s="32"/>
    </row>
    <row r="268" spans="11:15" x14ac:dyDescent="0.25">
      <c r="K268" s="32"/>
      <c r="L268" s="32"/>
      <c r="M268" s="32"/>
      <c r="N268" s="32"/>
      <c r="O268" s="32"/>
    </row>
    <row r="269" spans="11:15" x14ac:dyDescent="0.25">
      <c r="K269" s="32"/>
    </row>
    <row r="271" spans="11:15" x14ac:dyDescent="0.25">
      <c r="K271" s="32"/>
    </row>
    <row r="277" spans="11:11" x14ac:dyDescent="0.25">
      <c r="K277" s="32"/>
    </row>
    <row r="282" spans="11:11" x14ac:dyDescent="0.25">
      <c r="K282" s="32"/>
    </row>
    <row r="287" spans="11:11" x14ac:dyDescent="0.25">
      <c r="K287" s="32"/>
    </row>
    <row r="292" spans="11:11" x14ac:dyDescent="0.25">
      <c r="K292" s="32"/>
    </row>
    <row r="293" spans="11:11" x14ac:dyDescent="0.25">
      <c r="K293" s="32"/>
    </row>
    <row r="294" spans="11:11" x14ac:dyDescent="0.25">
      <c r="K294" s="32"/>
    </row>
    <row r="295" spans="11:11" x14ac:dyDescent="0.25">
      <c r="K295" s="32"/>
    </row>
    <row r="296" spans="11:11" x14ac:dyDescent="0.25">
      <c r="K296" s="32"/>
    </row>
    <row r="298" spans="11:11" x14ac:dyDescent="0.25">
      <c r="K298" s="32"/>
    </row>
    <row r="300" spans="11:11" x14ac:dyDescent="0.25">
      <c r="K300" s="32"/>
    </row>
    <row r="301" spans="11:11" x14ac:dyDescent="0.25">
      <c r="K301" s="32"/>
    </row>
    <row r="302" spans="11:11" x14ac:dyDescent="0.25">
      <c r="K302" s="32"/>
    </row>
    <row r="303" spans="11:11" x14ac:dyDescent="0.25">
      <c r="K303" s="32"/>
    </row>
    <row r="305" spans="11:11" x14ac:dyDescent="0.25">
      <c r="K305" s="32"/>
    </row>
    <row r="313" spans="11:11" x14ac:dyDescent="0.25">
      <c r="K313" s="32"/>
    </row>
    <row r="314" spans="11:11" x14ac:dyDescent="0.25">
      <c r="K314" s="32"/>
    </row>
    <row r="315" spans="11:11" x14ac:dyDescent="0.25">
      <c r="K315" s="32"/>
    </row>
    <row r="318" spans="11:11" x14ac:dyDescent="0.25">
      <c r="K318" s="32"/>
    </row>
    <row r="319" spans="11:11" x14ac:dyDescent="0.25">
      <c r="K319" s="32"/>
    </row>
    <row r="320" spans="11:11" x14ac:dyDescent="0.25">
      <c r="K320" s="32"/>
    </row>
    <row r="323" spans="11:11" x14ac:dyDescent="0.25">
      <c r="K323" s="32"/>
    </row>
    <row r="324" spans="11:11" x14ac:dyDescent="0.25">
      <c r="K324" s="32"/>
    </row>
    <row r="325" spans="11:11" x14ac:dyDescent="0.25">
      <c r="K325" s="32"/>
    </row>
    <row r="328" spans="11:11" x14ac:dyDescent="0.25">
      <c r="K328" s="32"/>
    </row>
    <row r="329" spans="11:11" x14ac:dyDescent="0.25">
      <c r="K329" s="32"/>
    </row>
    <row r="330" spans="11:11" x14ac:dyDescent="0.25">
      <c r="K330" s="32"/>
    </row>
    <row r="337" spans="11:11" x14ac:dyDescent="0.25">
      <c r="K337" s="32"/>
    </row>
    <row r="338" spans="11:11" x14ac:dyDescent="0.25">
      <c r="K338" s="32"/>
    </row>
    <row r="339" spans="11:11" x14ac:dyDescent="0.25">
      <c r="K339" s="32"/>
    </row>
    <row r="342" spans="11:11" x14ac:dyDescent="0.25">
      <c r="K342" s="32"/>
    </row>
    <row r="343" spans="11:11" x14ac:dyDescent="0.25">
      <c r="K343" s="32"/>
    </row>
    <row r="344" spans="11:11" x14ac:dyDescent="0.25">
      <c r="K344" s="32"/>
    </row>
    <row r="347" spans="11:11" x14ac:dyDescent="0.25">
      <c r="K347" s="32"/>
    </row>
    <row r="348" spans="11:11" x14ac:dyDescent="0.25">
      <c r="K348" s="32"/>
    </row>
    <row r="349" spans="11:11" x14ac:dyDescent="0.25">
      <c r="K349" s="32"/>
    </row>
    <row r="352" spans="11:11" x14ac:dyDescent="0.25">
      <c r="K352" s="32"/>
    </row>
    <row r="353" spans="4:11" x14ac:dyDescent="0.25">
      <c r="K353" s="32"/>
    </row>
    <row r="354" spans="4:11" x14ac:dyDescent="0.25">
      <c r="K354" s="32"/>
    </row>
    <row r="356" spans="4:11" x14ac:dyDescent="0.25">
      <c r="D356" s="43"/>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417" priority="11" operator="lessThan">
      <formula>0</formula>
    </cfRule>
  </conditionalFormatting>
  <conditionalFormatting sqref="F245:F246">
    <cfRule type="cellIs" dxfId="416" priority="10" operator="lessThan">
      <formula>0</formula>
    </cfRule>
  </conditionalFormatting>
  <conditionalFormatting sqref="F250:F251">
    <cfRule type="cellIs" dxfId="415" priority="9" operator="lessThan">
      <formula>0</formula>
    </cfRule>
  </conditionalFormatting>
  <conditionalFormatting sqref="F255:F256">
    <cfRule type="cellIs" dxfId="414" priority="8" operator="lessThan">
      <formula>0</formula>
    </cfRule>
  </conditionalFormatting>
  <conditionalFormatting sqref="F279:F280">
    <cfRule type="cellIs" dxfId="413" priority="7" operator="lessThan">
      <formula>0</formula>
    </cfRule>
  </conditionalFormatting>
  <conditionalFormatting sqref="F284:F285">
    <cfRule type="cellIs" dxfId="412" priority="6" operator="lessThan">
      <formula>0</formula>
    </cfRule>
  </conditionalFormatting>
  <conditionalFormatting sqref="F289:F290">
    <cfRule type="cellIs" dxfId="411" priority="5" operator="lessThan">
      <formula>0</formula>
    </cfRule>
  </conditionalFormatting>
  <conditionalFormatting sqref="H116:O116 I117:O117">
    <cfRule type="cellIs" dxfId="410" priority="2" operator="lessThan">
      <formula>0</formula>
    </cfRule>
  </conditionalFormatting>
  <conditionalFormatting sqref="I106:O107">
    <cfRule type="cellIs" dxfId="409" priority="3" operator="lessThan">
      <formula>0</formula>
    </cfRule>
  </conditionalFormatting>
  <conditionalFormatting sqref="I122:O123">
    <cfRule type="cellIs" dxfId="408" priority="4" operator="lessThan">
      <formula>0</formula>
    </cfRule>
  </conditionalFormatting>
  <conditionalFormatting sqref="I145:O145">
    <cfRule type="cellIs" dxfId="407" priority="1" operator="lessThan">
      <formula>0</formula>
    </cfRule>
  </conditionalFormatting>
  <conditionalFormatting sqref="P43:R43">
    <cfRule type="cellIs" dxfId="406" priority="12" operator="lessThan">
      <formula>0</formula>
    </cfRule>
  </conditionalFormatting>
  <dataValidations count="10">
    <dataValidation type="list" allowBlank="1" showInputMessage="1" showErrorMessage="1" sqref="E111" xr:uid="{8895B75E-018D-49F8-8B5E-A098F42D03CF}">
      <formula1>$D$22:$D$33</formula1>
    </dataValidation>
    <dataValidation type="list" allowBlank="1" showInputMessage="1" showErrorMessage="1" sqref="E104" xr:uid="{48CB3851-31F6-420E-8CAB-4F377192D841}">
      <formula1>"Spring, Summer, Autumn, Winter"</formula1>
    </dataValidation>
    <dataValidation type="list" allowBlank="1" showInputMessage="1" showErrorMessage="1" sqref="E176" xr:uid="{AF91067C-70AE-4F57-A560-A71131308561}">
      <formula1>INDIRECT("Table_SourceData_PastureBeef_CropProdSystems[Production system]")</formula1>
    </dataValidation>
    <dataValidation type="list" allowBlank="1" showInputMessage="1" showErrorMessage="1" sqref="E177" xr:uid="{FE62D056-3BFF-439E-9044-BE1D4ACD84B7}">
      <formula1>INDIRECT("Table_SourceData_PastureBeef_IrrigationMethods[Irrigation method]")</formula1>
    </dataValidation>
    <dataValidation type="list" allowBlank="1" showInputMessage="1" showErrorMessage="1" sqref="E9" xr:uid="{2F7A2396-8A1F-4A62-A8B6-1BF8682AA23F}">
      <formula1>INDIRECT("Table_SourceData_PastureBeef_FeedIntakeAdjustment[Breed]")</formula1>
    </dataValidation>
    <dataValidation type="list" allowBlank="1" showInputMessage="1" showErrorMessage="1" sqref="E8" xr:uid="{E8D5FA86-96D6-4A9D-BFE8-747760AA9DAC}">
      <formula1>INDIRECT("Table_SourceData_PastureBeef_Region_" &amp; SUBSTITUTE($E$7, " ", "") &amp; "[Region]")</formula1>
    </dataValidation>
    <dataValidation type="list" allowBlank="1" showInputMessage="1" showErrorMessage="1" sqref="E14 E36 E58 E80" xr:uid="{1C3510D1-5CF2-44EC-886A-537D1FEDBA9A}">
      <formula1>INDIRECT("Table_SourceData_Dairy_WjCowsHeifers[Breed]")</formula1>
    </dataValidation>
    <dataValidation type="list" allowBlank="1" showInputMessage="1" showErrorMessage="1" sqref="E244 E249 E254 E288 E283 E278 E169" xr:uid="{8DAEE15A-D453-46E5-9647-9DEA14160F93}">
      <formula1>"Yes, No"</formula1>
    </dataValidation>
    <dataValidation type="list" allowBlank="1" showInputMessage="1" showErrorMessage="1" sqref="E220" xr:uid="{B05ADAF8-E0F0-4C62-BF12-7BDBD4D5DECF}">
      <formula1>INDIRECT("Table_SourceData_Dairy_ProductionSystemTemplates[Area]")</formula1>
    </dataValidation>
    <dataValidation type="list" allowBlank="1" showInputMessage="1" showErrorMessage="1" sqref="D272" xr:uid="{9DC93CCB-ECA3-413C-8929-CF242BE9C876}">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75BE2-C95A-461D-8B76-EB424E8D505D}">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8" t="e" vm="1">
        <v>#VALUE!</v>
      </c>
      <c r="C1" s="18" t="s">
        <v>612</v>
      </c>
      <c r="D1" s="18"/>
      <c r="E1" s="18"/>
      <c r="F1" s="18"/>
      <c r="G1" s="18"/>
    </row>
    <row r="2" spans="1:7" ht="20.100000000000001" customHeight="1" x14ac:dyDescent="0.25">
      <c r="C2" s="3"/>
      <c r="D2" s="3"/>
      <c r="E2" s="3"/>
      <c r="F2" s="3"/>
      <c r="G2" s="3"/>
    </row>
    <row r="3" spans="1:7" ht="20.100000000000001" customHeight="1" x14ac:dyDescent="0.25">
      <c r="A3" s="5" t="str">
        <f>HYPERLINK("#'Home'!A1", "Home")</f>
        <v>Home</v>
      </c>
      <c r="C3" s="26"/>
      <c r="D3" s="26"/>
      <c r="E3" s="26"/>
      <c r="F3" s="26"/>
      <c r="G3" s="26"/>
    </row>
    <row r="4" spans="1:7" ht="20.100000000000001" customHeight="1" x14ac:dyDescent="0.25">
      <c r="A4" s="5" t="str">
        <f>HYPERLINK("#'Results'!A1", "Results")</f>
        <v>Results</v>
      </c>
    </row>
    <row r="5" spans="1:7" ht="20.100000000000001" customHeight="1" x14ac:dyDescent="0.25">
      <c r="D5" s="2" t="s">
        <v>613</v>
      </c>
    </row>
    <row r="6" spans="1:7" ht="20.100000000000001" customHeight="1" x14ac:dyDescent="0.25"/>
    <row r="7" spans="1:7" ht="20.100000000000001" customHeight="1" x14ac:dyDescent="0.25">
      <c r="A7" s="7" t="s">
        <v>0</v>
      </c>
      <c r="D7" s="190" t="s">
        <v>614</v>
      </c>
      <c r="E7" s="190"/>
      <c r="F7" s="19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615</v>
      </c>
      <c r="E9" s="31" t="s">
        <v>616</v>
      </c>
      <c r="F9" s="32" t="s">
        <v>617</v>
      </c>
    </row>
    <row r="10" spans="1:7" ht="20.100000000000001" customHeight="1" x14ac:dyDescent="0.25">
      <c r="A10" s="5" t="str">
        <f>HYPERLINK("#'Input - Pasture Beef'!A1", "Pasture Beef")</f>
        <v>Pasture Beef</v>
      </c>
      <c r="D10" s="1" t="s">
        <v>131</v>
      </c>
      <c r="E10" s="31" t="s">
        <v>145</v>
      </c>
      <c r="F10" s="32" t="s">
        <v>617</v>
      </c>
    </row>
    <row r="11" spans="1:7" ht="20.100000000000001" customHeight="1" x14ac:dyDescent="0.25">
      <c r="A11" s="5" t="str">
        <f>HYPERLINK("#'Input - Pasture Beef (Enteric)'!A1", "Pasture Beef (Enteric)")</f>
        <v>Pasture Beef (Enteric)</v>
      </c>
    </row>
    <row r="12" spans="1:7" ht="20.100000000000001" customHeight="1" x14ac:dyDescent="0.25">
      <c r="A12" s="30" t="str">
        <f>HYPERLINK("#'Input - Pasture'!A1", "Pasture")</f>
        <v>Pasture</v>
      </c>
      <c r="D12" s="1" t="s">
        <v>618</v>
      </c>
      <c r="E12" s="39">
        <v>1000</v>
      </c>
      <c r="F12" s="32" t="s">
        <v>619</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620</v>
      </c>
    </row>
    <row r="15" spans="1:7" ht="20.100000000000001" customHeight="1" x14ac:dyDescent="0.25">
      <c r="A15" s="5" t="str">
        <f>HYPERLINK("#'Input - Electricity'!A1", "Electricity")</f>
        <v>Electricity</v>
      </c>
    </row>
    <row r="16" spans="1:7" ht="20.100000000000001" customHeight="1" x14ac:dyDescent="0.25">
      <c r="D16" s="191" t="s">
        <v>621</v>
      </c>
      <c r="E16" s="81"/>
      <c r="F16" s="82"/>
    </row>
    <row r="17" spans="1:6" ht="20.100000000000001" customHeight="1" x14ac:dyDescent="0.25">
      <c r="D17" s="86" t="s">
        <v>622</v>
      </c>
      <c r="E17" s="87"/>
      <c r="F17" s="88"/>
    </row>
    <row r="18" spans="1:6" ht="20.100000000000001" customHeight="1" x14ac:dyDescent="0.25">
      <c r="A18" s="6" t="s">
        <v>3</v>
      </c>
    </row>
    <row r="19" spans="1:6" ht="20.100000000000001" customHeight="1" x14ac:dyDescent="0.25">
      <c r="A19" s="5" t="str">
        <f>HYPERLINK("#'3.2.1.1-2 Enteric Methane'!A1", "3.2.1.1-2 Enteric methane")</f>
        <v>3.2.1.1-2 Enteric methane</v>
      </c>
      <c r="D19" s="1" t="s">
        <v>623</v>
      </c>
      <c r="E19" s="39">
        <f>_xlfn.XLOOKUP(E9, Table_SourceData_PastureAttributes[Pasture type],Table_SourceData_PastureAttributes[Average Yield (t DM ha) Yp])</f>
        <v>8.34</v>
      </c>
      <c r="F19" s="32" t="s">
        <v>624</v>
      </c>
    </row>
    <row r="20" spans="1:6" ht="20.100000000000001" customHeight="1" x14ac:dyDescent="0.25">
      <c r="A20" s="5" t="str">
        <f>HYPERLINK("#'4.2.1.1-2 Methane'!A1", "4.2.1.1-2 Manure methane")</f>
        <v>4.2.1.1-2 Manure methane</v>
      </c>
      <c r="D20" s="1" t="s">
        <v>625</v>
      </c>
      <c r="E20" s="29">
        <f>E12*E19</f>
        <v>8340</v>
      </c>
      <c r="F20" s="32" t="s">
        <v>626</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627</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628</v>
      </c>
      <c r="E25" s="39">
        <v>500</v>
      </c>
      <c r="F25" s="32" t="s">
        <v>619</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Livestock'!A1", "Constants - Livestock")</f>
        <v>Constants -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53" priority="1">
      <formula>$D$24&gt;$D$11</formula>
    </cfRule>
  </conditionalFormatting>
  <dataValidations count="2">
    <dataValidation type="list" allowBlank="1" showInputMessage="1" showErrorMessage="1" sqref="E10" xr:uid="{27BD0BD5-2647-4FD3-A251-50309A6337B8}">
      <formula1>INDIRECT("Table_SourceData_Fertiliser_IrrigationMethods[Irrigation method]")</formula1>
    </dataValidation>
    <dataValidation type="list" allowBlank="1" showInputMessage="1" showErrorMessage="1" sqref="E9" xr:uid="{0FEF29E9-00F3-4C24-BCEF-421AAE2C1EB0}">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33599-BA8A-40F9-BE32-DD3031DFE592}">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8" customFormat="1" ht="30" customHeight="1" x14ac:dyDescent="0.35">
      <c r="A1" s="18" t="e" vm="1">
        <v>#VALUE!</v>
      </c>
      <c r="C1" s="18" t="s">
        <v>279</v>
      </c>
    </row>
    <row r="2" spans="1:25" s="3" customFormat="1" ht="20.100000000000001" customHeight="1" x14ac:dyDescent="0.25">
      <c r="A2"/>
    </row>
    <row r="3" spans="1:25" ht="20.100000000000001" customHeight="1" x14ac:dyDescent="0.25">
      <c r="A3" s="5" t="str">
        <f>HYPERLINK("#'Home'!A1", "Home")</f>
        <v>Home</v>
      </c>
      <c r="C3" s="26"/>
      <c r="D3" s="26"/>
      <c r="E3" s="26"/>
      <c r="F3" s="26"/>
      <c r="G3" s="26"/>
      <c r="H3" s="26"/>
      <c r="I3" s="26"/>
      <c r="J3" s="26"/>
      <c r="K3" s="26"/>
      <c r="L3" s="26"/>
      <c r="M3" s="26"/>
      <c r="N3" s="26"/>
      <c r="O3" s="26"/>
      <c r="P3" s="26"/>
      <c r="Q3" s="26"/>
      <c r="R3" s="26"/>
      <c r="S3" s="26"/>
      <c r="T3" s="26"/>
      <c r="U3" s="26"/>
      <c r="V3" s="26"/>
      <c r="W3" s="26"/>
      <c r="X3" s="26"/>
      <c r="Y3" s="26"/>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130</v>
      </c>
      <c r="E6" s="31" t="s">
        <v>280</v>
      </c>
      <c r="F6" s="32" t="s">
        <v>25</v>
      </c>
    </row>
    <row r="7" spans="1:25" ht="20.100000000000001" customHeight="1" x14ac:dyDescent="0.25">
      <c r="A7" s="7" t="s">
        <v>0</v>
      </c>
      <c r="D7" s="1" t="s">
        <v>281</v>
      </c>
      <c r="E7" s="31" t="s">
        <v>282</v>
      </c>
      <c r="F7" s="32" t="s">
        <v>25</v>
      </c>
    </row>
    <row r="8" spans="1:25" ht="20.100000000000001" customHeight="1" x14ac:dyDescent="0.25">
      <c r="A8" s="5" t="str">
        <f>HYPERLINK("#'Input - Enterprise'!A1", "Enterprise")</f>
        <v>Enterprise</v>
      </c>
      <c r="D8" s="1" t="s">
        <v>131</v>
      </c>
      <c r="E8" s="31" t="s">
        <v>140</v>
      </c>
      <c r="F8" s="32" t="s">
        <v>25</v>
      </c>
    </row>
    <row r="9" spans="1:25" ht="20.100000000000001" customHeight="1" x14ac:dyDescent="0.25">
      <c r="A9" s="5" t="str">
        <f>HYPERLINK("#'Input - Site'!A1", "Site")</f>
        <v>Site</v>
      </c>
      <c r="D9" s="1" t="s">
        <v>283</v>
      </c>
      <c r="E9" s="39">
        <v>100</v>
      </c>
      <c r="F9" s="32" t="s">
        <v>284</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285</v>
      </c>
      <c r="E11" s="27"/>
      <c r="F11" s="27"/>
      <c r="G11" s="27"/>
      <c r="H11" s="27"/>
      <c r="I11" s="27"/>
      <c r="J11" s="27"/>
      <c r="K11" s="27"/>
      <c r="L11" s="27"/>
      <c r="M11" s="27"/>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30" t="str">
        <f>HYPERLINK("#'Input - Fertiliser'!A1", "Fertiliser")</f>
        <v>Fertiliser</v>
      </c>
      <c r="D13" s="80" t="s">
        <v>286</v>
      </c>
      <c r="E13" s="81"/>
      <c r="F13" s="81"/>
      <c r="G13" s="81"/>
      <c r="H13" s="82"/>
      <c r="I13" s="83"/>
      <c r="J13" s="84"/>
      <c r="K13" s="85"/>
      <c r="L13" s="85"/>
      <c r="M13" s="85"/>
    </row>
    <row r="14" spans="1:25" ht="20.100000000000001" customHeight="1" x14ac:dyDescent="0.25">
      <c r="A14" s="5" t="str">
        <f>HYPERLINK("#'Input - Fuel'!A1", "Fuel")</f>
        <v>Fuel</v>
      </c>
      <c r="D14" s="86" t="s">
        <v>287</v>
      </c>
      <c r="E14" s="87"/>
      <c r="F14" s="87"/>
      <c r="G14" s="88"/>
      <c r="H14" s="89"/>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37" t="s">
        <v>288</v>
      </c>
      <c r="E16" s="8"/>
      <c r="F16" s="8"/>
      <c r="G16" s="8"/>
      <c r="H16" s="8"/>
      <c r="I16" s="8"/>
      <c r="J16" s="8"/>
      <c r="K16" s="8"/>
      <c r="L16" s="8"/>
      <c r="M16" s="8"/>
    </row>
    <row r="17" spans="1:24" ht="36" customHeight="1" x14ac:dyDescent="0.25">
      <c r="D17" s="90" t="s">
        <v>289</v>
      </c>
      <c r="E17" s="91" t="s">
        <v>290</v>
      </c>
      <c r="F17" s="92" t="s">
        <v>291</v>
      </c>
      <c r="G17" s="92" t="s">
        <v>292</v>
      </c>
      <c r="H17" s="91" t="s">
        <v>293</v>
      </c>
      <c r="I17" s="91" t="s">
        <v>294</v>
      </c>
      <c r="J17" s="90" t="s">
        <v>295</v>
      </c>
      <c r="K17" s="90" t="s">
        <v>296</v>
      </c>
      <c r="L17" s="90" t="s">
        <v>297</v>
      </c>
      <c r="M17" s="90" t="s">
        <v>298</v>
      </c>
      <c r="N17" s="90" t="s">
        <v>299</v>
      </c>
      <c r="O17" s="90" t="s">
        <v>300</v>
      </c>
      <c r="P17" s="90" t="s">
        <v>301</v>
      </c>
      <c r="Q17" s="90" t="s">
        <v>302</v>
      </c>
      <c r="R17" s="90" t="s">
        <v>303</v>
      </c>
      <c r="S17" s="90" t="s">
        <v>304</v>
      </c>
      <c r="T17" s="90" t="s">
        <v>305</v>
      </c>
      <c r="U17" s="90" t="s">
        <v>306</v>
      </c>
      <c r="V17" s="90" t="s">
        <v>307</v>
      </c>
      <c r="W17" s="93" t="s">
        <v>308</v>
      </c>
      <c r="X17" s="93" t="s">
        <v>309</v>
      </c>
    </row>
    <row r="18" spans="1:24" ht="36" customHeight="1" x14ac:dyDescent="0.25">
      <c r="A18" s="6" t="s">
        <v>3</v>
      </c>
      <c r="D18" s="94" t="s">
        <v>310</v>
      </c>
      <c r="E18" s="95">
        <v>100</v>
      </c>
      <c r="F18" s="29" t="str">
        <f>_xlfn.XLOOKUP(Table_Input_InorganicFertiliser_Brands[[#This Row],[Product (select)]],FertiliserProducts[Product name],FertiliserProducts[Unit])</f>
        <v>L</v>
      </c>
      <c r="G18" s="29">
        <f>_xlfn.XLOOKUP(Table_Input_InorganicFertiliser_Brands[[#This Row],[Product (select)]],FertiliserProducts[Product name],FertiliserProducts[Density / gravity])</f>
        <v>1.26</v>
      </c>
      <c r="H18" s="95">
        <f>$E$9</f>
        <v>100</v>
      </c>
      <c r="I18" s="96">
        <f>(Table_Input_InorganicFertiliser_Brands[[#This Row],[Amount applied per hectare]]*Table_Input_InorganicFertiliser_Brands[[#This Row],[Density]])*Table_Input_InorganicFertiliser_Brands[[#This Row],[Application area (ha)]]</f>
        <v>12600</v>
      </c>
      <c r="J18" s="9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9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9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9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9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9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9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9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9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9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9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9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9" t="str">
        <f>_xlfn.XLOOKUP(Table_Input_InorganicFertiliser_Brands[[#This Row],[Product (select)]],FertiliserProducts[Product name],FertiliserProducts[Urea source])</f>
        <v/>
      </c>
      <c r="X18" s="29"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4" t="s">
        <v>311</v>
      </c>
      <c r="E19" s="95">
        <v>100</v>
      </c>
      <c r="F19" s="29" t="str">
        <f>_xlfn.XLOOKUP(Table_Input_InorganicFertiliser_Brands[[#This Row],[Product (select)]],FertiliserProducts[Product name],FertiliserProducts[Unit])</f>
        <v>L</v>
      </c>
      <c r="G19" s="29">
        <f>_xlfn.XLOOKUP(Table_Input_InorganicFertiliser_Brands[[#This Row],[Product (select)]],FertiliserProducts[Product name],FertiliserProducts[Density / gravity])</f>
        <v>1.2849999999999999</v>
      </c>
      <c r="H19" s="95">
        <f>$E$9</f>
        <v>100</v>
      </c>
      <c r="I19" s="96">
        <f>(Table_Input_InorganicFertiliser_Brands[[#This Row],[Amount applied per hectare]]*Table_Input_InorganicFertiliser_Brands[[#This Row],[Density]])*Table_Input_InorganicFertiliser_Brands[[#This Row],[Application area (ha)]]</f>
        <v>12850</v>
      </c>
      <c r="J19" s="9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9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9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9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9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9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9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9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9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9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9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9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96" t="str">
        <f>_xlfn.XLOOKUP(Table_Input_InorganicFertiliser_Brands[[#This Row],[Product (select)]],FertiliserProducts[Product name],FertiliserProducts[Urea source])</f>
        <v/>
      </c>
      <c r="X19" s="9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4" t="s">
        <v>311</v>
      </c>
      <c r="E20" s="95">
        <v>100</v>
      </c>
      <c r="F20" s="29" t="str">
        <f>_xlfn.XLOOKUP(Table_Input_InorganicFertiliser_Brands[[#This Row],[Product (select)]],FertiliserProducts[Product name],FertiliserProducts[Unit])</f>
        <v>L</v>
      </c>
      <c r="G20" s="29">
        <f>_xlfn.XLOOKUP(Table_Input_InorganicFertiliser_Brands[[#This Row],[Product (select)]],FertiliserProducts[Product name],FertiliserProducts[Density / gravity])</f>
        <v>1.2849999999999999</v>
      </c>
      <c r="H20" s="95">
        <f>$E$9</f>
        <v>100</v>
      </c>
      <c r="I20" s="96">
        <f>(Table_Input_InorganicFertiliser_Brands[[#This Row],[Amount applied per hectare]]*Table_Input_InorganicFertiliser_Brands[[#This Row],[Density]])*Table_Input_InorganicFertiliser_Brands[[#This Row],[Application area (ha)]]</f>
        <v>12850</v>
      </c>
      <c r="J20" s="9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9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9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9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9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9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9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9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9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9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9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9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96" t="str">
        <f>_xlfn.XLOOKUP(Table_Input_InorganicFertiliser_Brands[[#This Row],[Product (select)]],FertiliserProducts[Product name],FertiliserProducts[Urea source])</f>
        <v/>
      </c>
      <c r="X20" s="9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4" t="s">
        <v>312</v>
      </c>
      <c r="E21" s="95">
        <v>100</v>
      </c>
      <c r="F21" s="29" t="str">
        <f>_xlfn.XLOOKUP(Table_Input_InorganicFertiliser_Brands[[#This Row],[Product (select)]],FertiliserProducts[Product name],FertiliserProducts[Unit])</f>
        <v>L</v>
      </c>
      <c r="G21" s="29">
        <f>_xlfn.XLOOKUP(Table_Input_InorganicFertiliser_Brands[[#This Row],[Product (select)]],FertiliserProducts[Product name],FertiliserProducts[Density / gravity])</f>
        <v>1.26</v>
      </c>
      <c r="H21" s="95">
        <f>$E$9</f>
        <v>100</v>
      </c>
      <c r="I21" s="96">
        <f>(Table_Input_InorganicFertiliser_Brands[[#This Row],[Amount applied per hectare]]*Table_Input_InorganicFertiliser_Brands[[#This Row],[Density]])*Table_Input_InorganicFertiliser_Brands[[#This Row],[Application area (ha)]]</f>
        <v>12600</v>
      </c>
      <c r="J21" s="9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9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9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9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9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9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9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9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9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9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9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9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96" t="str">
        <f>_xlfn.XLOOKUP(Table_Input_InorganicFertiliser_Brands[[#This Row],[Product (select)]],FertiliserProducts[Product name],FertiliserProducts[Urea source])</f>
        <v/>
      </c>
      <c r="X21" s="9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4" t="s">
        <v>313</v>
      </c>
      <c r="E22" s="95">
        <v>100</v>
      </c>
      <c r="F22" s="29" t="str">
        <f>_xlfn.XLOOKUP(Table_Input_InorganicFertiliser_Brands[[#This Row],[Product (select)]],FertiliserProducts[Product name],FertiliserProducts[Unit])</f>
        <v>L</v>
      </c>
      <c r="G22" s="29">
        <f>_xlfn.XLOOKUP(Table_Input_InorganicFertiliser_Brands[[#This Row],[Product (select)]],FertiliserProducts[Product name],FertiliserProducts[Density / gravity])</f>
        <v>1.5</v>
      </c>
      <c r="H22" s="95">
        <f>$E$9</f>
        <v>100</v>
      </c>
      <c r="I22" s="96">
        <f>(Table_Input_InorganicFertiliser_Brands[[#This Row],[Amount applied per hectare]]*Table_Input_InorganicFertiliser_Brands[[#This Row],[Density]])*Table_Input_InorganicFertiliser_Brands[[#This Row],[Application area (ha)]]</f>
        <v>15000</v>
      </c>
      <c r="J22" s="9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9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9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9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9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9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9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9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9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9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9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9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9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96" t="str">
        <f>_xlfn.XLOOKUP(Table_Input_InorganicFertiliser_Brands[[#This Row],[Product (select)]],FertiliserProducts[Product name],FertiliserProducts[Urea source])</f>
        <v/>
      </c>
      <c r="X22" s="9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97"/>
      <c r="E23" s="98"/>
      <c r="F23" s="99"/>
      <c r="G23" s="99"/>
      <c r="H23" s="99"/>
      <c r="I23" s="99"/>
      <c r="J23" s="100"/>
      <c r="K23" s="100"/>
      <c r="L23" s="101"/>
      <c r="M23" s="101"/>
      <c r="N23" s="102"/>
      <c r="O23" s="102"/>
      <c r="P23" s="102"/>
      <c r="Q23" s="102"/>
      <c r="R23" s="102"/>
      <c r="S23" s="102"/>
      <c r="T23" s="102"/>
      <c r="U23" s="102"/>
      <c r="V23" s="102"/>
      <c r="W23" s="102"/>
      <c r="X23" s="102"/>
    </row>
    <row r="24" spans="1:24" ht="36" customHeight="1" x14ac:dyDescent="0.25">
      <c r="A24" s="5" t="str">
        <f>HYPERLINK("#'5.1.1.1-2 Inorganic fert N2O'!A1", "5.1.1.1-2 Inorganic fert N2O")</f>
        <v>5.1.1.1-2 Inorganic fert N2O</v>
      </c>
      <c r="D24" s="103" t="s">
        <v>314</v>
      </c>
      <c r="E24" s="104"/>
      <c r="F24" s="104"/>
      <c r="G24" s="104"/>
      <c r="H24" s="104"/>
      <c r="I24" s="104"/>
      <c r="J24" s="104"/>
      <c r="K24" s="104"/>
      <c r="L24" s="104"/>
      <c r="M24" s="104"/>
      <c r="N24" s="102"/>
      <c r="O24" s="102"/>
      <c r="P24" s="102"/>
      <c r="Q24" s="102"/>
      <c r="R24" s="102"/>
      <c r="S24" s="102"/>
      <c r="T24" s="102"/>
      <c r="V24" s="102"/>
      <c r="W24" s="102"/>
      <c r="X24" s="102"/>
    </row>
    <row r="25" spans="1:24" ht="36" customHeight="1" x14ac:dyDescent="0.25">
      <c r="A25" s="5" t="str">
        <f>HYPERLINK("#'5.1.1.3-4 Inorganic fert CO2'!A1", "5.1.1.3-4 Inorganic fert CO2")</f>
        <v>5.1.1.3-4 Inorganic fert CO2</v>
      </c>
      <c r="D25" s="91" t="s">
        <v>315</v>
      </c>
      <c r="E25" s="91" t="s">
        <v>316</v>
      </c>
      <c r="F25" s="91" t="s">
        <v>293</v>
      </c>
      <c r="G25" s="91" t="s">
        <v>294</v>
      </c>
      <c r="H25" s="91" t="s">
        <v>317</v>
      </c>
      <c r="I25" s="91" t="s">
        <v>296</v>
      </c>
      <c r="J25" s="91" t="s">
        <v>297</v>
      </c>
      <c r="K25" s="91" t="s">
        <v>298</v>
      </c>
      <c r="L25" s="91" t="s">
        <v>299</v>
      </c>
      <c r="M25" s="91" t="s">
        <v>300</v>
      </c>
      <c r="N25" s="91" t="s">
        <v>301</v>
      </c>
      <c r="O25" s="91" t="s">
        <v>302</v>
      </c>
      <c r="P25" s="91" t="s">
        <v>307</v>
      </c>
      <c r="Q25" s="93" t="s">
        <v>318</v>
      </c>
      <c r="R25" s="93" t="s">
        <v>319</v>
      </c>
      <c r="S25" s="102"/>
      <c r="T25" s="102"/>
      <c r="V25" s="102"/>
      <c r="W25" s="102"/>
      <c r="X25" s="102"/>
    </row>
    <row r="26" spans="1:24" ht="36" customHeight="1" x14ac:dyDescent="0.25">
      <c r="A26" s="5" t="str">
        <f>HYPERLINK("#'5.2.1.1-2 Organic Fert N2O'!A1", "5.2.1.1-2 Organic fert N2O")</f>
        <v>5.2.1.1-2 Organic fert N2O</v>
      </c>
      <c r="D26" s="105" t="s">
        <v>320</v>
      </c>
      <c r="E26" s="91">
        <v>100</v>
      </c>
      <c r="F26" s="95">
        <f>$E$9</f>
        <v>100</v>
      </c>
      <c r="G26" s="96">
        <f>Table_Input_InorganicFertiliser_Custom[[#This Row],[Amount applied (kg / ha)]]*Table_Input_InorganicFertiliser_Custom[[#This Row],[Application area (ha)]]</f>
        <v>10000</v>
      </c>
      <c r="H26" s="106" t="s">
        <v>321</v>
      </c>
      <c r="I26" s="107">
        <v>0.5</v>
      </c>
      <c r="J26" s="106" t="s">
        <v>322</v>
      </c>
      <c r="K26" s="107">
        <v>0.2</v>
      </c>
      <c r="L26" s="106" t="s">
        <v>323</v>
      </c>
      <c r="M26" s="107">
        <v>0.2</v>
      </c>
      <c r="N26" s="108" t="s">
        <v>324</v>
      </c>
      <c r="O26" s="40">
        <v>0.1</v>
      </c>
      <c r="P26" s="9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1"/>
      <c r="R26" s="31"/>
      <c r="T26" s="48"/>
    </row>
    <row r="27" spans="1:24" ht="20.100000000000001" customHeight="1" x14ac:dyDescent="0.25">
      <c r="A27" s="5" t="str">
        <f>HYPERLINK("#'5.3.1.1-2 Lime CO2'!A1", "5.3.1.1-2 Lime CO2")</f>
        <v>5.3.1.1-2 Lime CO2</v>
      </c>
      <c r="D27" s="105" t="s">
        <v>325</v>
      </c>
      <c r="E27" s="91">
        <v>100</v>
      </c>
      <c r="F27" s="109">
        <f>$E$9</f>
        <v>100</v>
      </c>
      <c r="G27" s="96">
        <f>Table_Input_InorganicFertiliser_Custom[[#This Row],[Amount applied (kg / ha)]]*Table_Input_InorganicFertiliser_Custom[[#This Row],[Application area (ha)]]</f>
        <v>10000</v>
      </c>
      <c r="H27" s="106" t="s">
        <v>326</v>
      </c>
      <c r="I27" s="110">
        <v>1</v>
      </c>
      <c r="J27" s="106"/>
      <c r="K27" s="110"/>
      <c r="L27" s="106"/>
      <c r="M27" s="110"/>
      <c r="N27" s="108"/>
      <c r="O27" s="40"/>
      <c r="P27" s="9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1"/>
      <c r="R27" s="31"/>
      <c r="W27" s="48"/>
    </row>
    <row r="28" spans="1:24" ht="20.100000000000001" customHeight="1" x14ac:dyDescent="0.25">
      <c r="A28" s="5" t="str">
        <f>HYPERLINK("#'5.4.1.1-4 Atmos deposition'!A1", "5.4.1.1-4 Atmos. deposition")</f>
        <v>5.4.1.1-4 Atmos. deposition</v>
      </c>
      <c r="D28" s="105" t="s">
        <v>327</v>
      </c>
      <c r="E28" s="91">
        <v>100</v>
      </c>
      <c r="F28" s="109">
        <f>$E$9</f>
        <v>100</v>
      </c>
      <c r="G28" s="96">
        <f>Table_Input_InorganicFertiliser_Custom[[#This Row],[Amount applied (kg / ha)]]*Table_Input_InorganicFertiliser_Custom[[#This Row],[Application area (ha)]]</f>
        <v>10000</v>
      </c>
      <c r="H28" s="106" t="s">
        <v>328</v>
      </c>
      <c r="I28" s="110">
        <v>0.5</v>
      </c>
      <c r="J28" s="106"/>
      <c r="K28" s="110"/>
      <c r="L28" s="106"/>
      <c r="M28" s="110"/>
      <c r="N28" s="108"/>
      <c r="O28" s="40"/>
      <c r="P28" s="9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1"/>
      <c r="R28" s="31"/>
    </row>
    <row r="29" spans="1:24" ht="20.100000000000001" customHeight="1" x14ac:dyDescent="0.25">
      <c r="A29" s="5" t="str">
        <f>HYPERLINK("#'5.5.1.1-2 Leaching and runoff'!A1", "5.5.1.1-2 Leaching &amp; runoff")</f>
        <v>5.5.1.1-2 Leaching &amp; runoff</v>
      </c>
      <c r="V29" s="48"/>
    </row>
    <row r="30" spans="1:24" ht="20.100000000000001" customHeight="1" x14ac:dyDescent="0.25">
      <c r="A30" s="5" t="str">
        <f>HYPERLINK("#'6.2.1.1-2 Pasture residue N2O'!A1", "6.2.1.1-2 Pasture residue N2O")</f>
        <v>6.2.1.1-2 Pasture residue N2O</v>
      </c>
      <c r="D30" s="2" t="s">
        <v>329</v>
      </c>
      <c r="E30" s="27"/>
      <c r="F30" s="27"/>
      <c r="G30" s="27"/>
      <c r="H30" s="27"/>
      <c r="I30" s="27"/>
      <c r="J30" s="27"/>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27"/>
    </row>
    <row r="32" spans="1:24" ht="30" customHeight="1" x14ac:dyDescent="0.25">
      <c r="A32" s="5" t="str">
        <f>HYPERLINK("#'8.1.1.1-2 Transport fuel'!A1", "8.1.1.1-2 Transport fuel")</f>
        <v>8.1.1.1-2 Transport fuel</v>
      </c>
      <c r="D32" s="80" t="s">
        <v>330</v>
      </c>
      <c r="E32" s="81"/>
      <c r="F32" s="82"/>
      <c r="G32" s="80"/>
      <c r="H32" s="82"/>
      <c r="I32" s="27"/>
      <c r="J32" s="27"/>
      <c r="K32" s="8"/>
      <c r="L32" s="8"/>
      <c r="M32" s="8"/>
    </row>
    <row r="33" spans="1:25" ht="36" customHeight="1" x14ac:dyDescent="0.25">
      <c r="A33" s="5" t="str">
        <f>HYPERLINK("#'8.2.1.1-2 Stationary fuel'!A1", "8.2.1.1-2 Stationary fuel")</f>
        <v>8.2.1.1-2 Stationary fuel</v>
      </c>
      <c r="D33" s="111" t="s">
        <v>331</v>
      </c>
      <c r="E33" s="112"/>
      <c r="F33" s="113"/>
      <c r="G33" s="111"/>
      <c r="H33" s="113"/>
      <c r="I33" s="8"/>
      <c r="J33" s="8"/>
      <c r="K33" s="8"/>
      <c r="L33" s="8"/>
      <c r="M33" s="27"/>
    </row>
    <row r="34" spans="1:25" ht="36" customHeight="1" x14ac:dyDescent="0.25">
      <c r="A34" s="5" t="str">
        <f>HYPERLINK("#'14.1.1-2 Purchased electricity'!A1", "14.1.1-2 Purchased electricity")</f>
        <v>14.1.1-2 Purchased electricity</v>
      </c>
      <c r="D34" s="86" t="s">
        <v>287</v>
      </c>
      <c r="E34" s="87"/>
      <c r="F34" s="87"/>
      <c r="G34" s="87"/>
      <c r="H34" s="88"/>
      <c r="I34" s="8"/>
      <c r="J34" s="8"/>
      <c r="K34" s="8"/>
      <c r="L34" s="8"/>
      <c r="M34" s="27"/>
    </row>
    <row r="35" spans="1:25" ht="36" customHeight="1" x14ac:dyDescent="0.25">
      <c r="D35" s="43" t="str">
        <f>IF(MAX(Table_Input_Lime[Total]) &gt; 1, "There can not be more than 100% ingredients in a product. Check the table below.", "")</f>
        <v/>
      </c>
    </row>
    <row r="36" spans="1:25" ht="36" customHeight="1" x14ac:dyDescent="0.25">
      <c r="D36" s="114" t="s">
        <v>332</v>
      </c>
      <c r="E36" s="114" t="s">
        <v>333</v>
      </c>
      <c r="F36" s="114" t="s">
        <v>293</v>
      </c>
      <c r="G36" s="114" t="s">
        <v>334</v>
      </c>
      <c r="H36" s="114" t="s">
        <v>335</v>
      </c>
      <c r="I36" s="114" t="s">
        <v>336</v>
      </c>
      <c r="J36" s="114" t="s">
        <v>337</v>
      </c>
      <c r="K36" s="114" t="s">
        <v>5</v>
      </c>
    </row>
    <row r="37" spans="1:25" ht="20.100000000000001" customHeight="1" x14ac:dyDescent="0.25">
      <c r="A37" s="243" t="s">
        <v>1</v>
      </c>
      <c r="D37" s="115" t="s">
        <v>338</v>
      </c>
      <c r="E37" s="95">
        <v>1</v>
      </c>
      <c r="F37" s="95">
        <f>$E$9</f>
        <v>100</v>
      </c>
      <c r="G37" s="96">
        <f>IFERROR(Table_Input_Lime[[#This Row],[Amount applied (t/hectare)]]*Table_Input_Lime[[#This Row],[Application area (ha)]], 0)</f>
        <v>100</v>
      </c>
      <c r="H37" s="116">
        <v>0.8</v>
      </c>
      <c r="I37" s="116">
        <v>0.1</v>
      </c>
      <c r="J37" s="116">
        <v>0.1</v>
      </c>
      <c r="K37" s="117">
        <f>SUM(Table_Input_Lime[[#This Row],[Percent Lime CaCO3]:[Percent Gypsum]])</f>
        <v>1</v>
      </c>
    </row>
    <row r="38" spans="1:25" ht="20.100000000000001" customHeight="1" x14ac:dyDescent="0.25">
      <c r="A38" s="5" t="str">
        <f>HYPERLINK("#'Constants - Pasture Beef'!A1", "Constants - Pasture Beef")</f>
        <v>Constants - Pasture Beef</v>
      </c>
      <c r="C38" s="102"/>
      <c r="D38" s="115" t="s">
        <v>339</v>
      </c>
      <c r="E38" s="95">
        <v>1</v>
      </c>
      <c r="F38" s="95">
        <f>$E$9</f>
        <v>100</v>
      </c>
      <c r="G38" s="96">
        <f>IFERROR(Table_Input_Lime[[#This Row],[Amount applied (t/hectare)]]*Table_Input_Lime[[#This Row],[Application area (ha)]], 0)</f>
        <v>100</v>
      </c>
      <c r="H38" s="116">
        <v>1</v>
      </c>
      <c r="I38" s="116"/>
      <c r="J38" s="116"/>
      <c r="K38" s="117">
        <f>SUM(Table_Input_Lime[[#This Row],[Percent Lime CaCO3]:[Percent Gypsum]])</f>
        <v>1</v>
      </c>
      <c r="L38" s="27"/>
    </row>
    <row r="39" spans="1:25" ht="20.100000000000001" customHeight="1" x14ac:dyDescent="0.25">
      <c r="A39" s="5" t="str">
        <f>HYPERLINK("#'Constants - Ag Residue'!A1", "Constants - Ag residue")</f>
        <v>Constants - Ag residue</v>
      </c>
      <c r="C39" s="102"/>
      <c r="D39" s="115" t="s">
        <v>340</v>
      </c>
      <c r="E39" s="95">
        <v>1</v>
      </c>
      <c r="F39" s="95">
        <f>$E$9</f>
        <v>100</v>
      </c>
      <c r="G39" s="96">
        <f>IFERROR(Table_Input_Lime[[#This Row],[Amount applied (t/hectare)]]*Table_Input_Lime[[#This Row],[Application area (ha)]], 0)</f>
        <v>100</v>
      </c>
      <c r="H39" s="116">
        <v>0</v>
      </c>
      <c r="I39" s="116"/>
      <c r="J39" s="116">
        <v>1</v>
      </c>
      <c r="K39" s="117">
        <f>SUM(Table_Input_Lime[[#This Row],[Percent Lime CaCO3]:[Percent Gypsum]])</f>
        <v>1</v>
      </c>
      <c r="L39" s="27"/>
      <c r="M39" s="27"/>
    </row>
    <row r="40" spans="1:25" s="118" customFormat="1" ht="20.100000000000001" customHeight="1" x14ac:dyDescent="0.25">
      <c r="A40" s="5" t="str">
        <f>HYPERLINK("#'Constants - Livestock'!A1", "Constants - Livestock")</f>
        <v>Constants - Livestock</v>
      </c>
      <c r="C40" s="1"/>
      <c r="D40" s="8"/>
      <c r="E40" s="8"/>
      <c r="F40" s="8"/>
      <c r="G40" s="8"/>
      <c r="H40" s="8"/>
      <c r="I40" s="8"/>
      <c r="J40" s="8"/>
      <c r="K40" s="1"/>
      <c r="L40" s="8"/>
      <c r="M40" s="27"/>
      <c r="N40" s="1"/>
      <c r="O40" s="1"/>
      <c r="P40" s="1"/>
      <c r="Q40" s="1"/>
      <c r="R40" s="1"/>
      <c r="S40" s="1"/>
      <c r="T40" s="1"/>
      <c r="U40" s="1"/>
      <c r="V40" s="1"/>
      <c r="W40" s="1"/>
      <c r="X40" s="1"/>
      <c r="Y40" s="1"/>
    </row>
    <row r="41" spans="1:25" s="118" customFormat="1" ht="20.100000000000001" customHeight="1" x14ac:dyDescent="0.25">
      <c r="A41" s="5" t="str">
        <f>HYPERLINK("#'Constants - Electricity'!A1", "Constants - Electricity")</f>
        <v>Constants - Electricity</v>
      </c>
      <c r="C41" s="1"/>
      <c r="D41" s="8"/>
      <c r="E41" s="8"/>
      <c r="F41" s="8"/>
      <c r="G41" s="8"/>
      <c r="H41" s="8"/>
      <c r="I41" s="8"/>
      <c r="J41" s="119"/>
      <c r="K41" s="27"/>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341</v>
      </c>
      <c r="E42" s="27"/>
      <c r="F42" s="27"/>
      <c r="G42" s="27"/>
      <c r="H42" s="8"/>
      <c r="I42" s="8"/>
      <c r="J42" s="8"/>
      <c r="K42" s="8"/>
      <c r="L42" s="8"/>
      <c r="M42" s="8"/>
      <c r="S42" s="102"/>
    </row>
    <row r="43" spans="1:25" ht="36" customHeight="1" x14ac:dyDescent="0.25">
      <c r="A43" s="5" t="str">
        <f>HYPERLINK("#'Constants - Fuel'!A1", "Constants - Fuel")</f>
        <v>Constants - Fuel</v>
      </c>
      <c r="D43" s="8"/>
      <c r="E43" s="8"/>
      <c r="F43" s="8"/>
      <c r="G43" s="8"/>
      <c r="H43" s="8"/>
      <c r="I43" s="8"/>
      <c r="J43" s="8"/>
      <c r="K43" s="8"/>
      <c r="L43" s="8"/>
      <c r="M43" s="8"/>
      <c r="Q43" s="102"/>
      <c r="R43" s="102"/>
      <c r="S43" s="102"/>
    </row>
    <row r="44" spans="1:25" ht="36" customHeight="1" x14ac:dyDescent="0.25">
      <c r="A44" s="5" t="str">
        <f>HYPERLINK("#'Constants - Common'!A1", "Constants - Common")</f>
        <v>Constants - Common</v>
      </c>
      <c r="D44" s="80" t="s">
        <v>330</v>
      </c>
      <c r="E44" s="81"/>
      <c r="F44" s="81"/>
      <c r="G44" s="81"/>
      <c r="H44" s="82"/>
      <c r="I44" s="8"/>
      <c r="J44" s="8"/>
      <c r="K44" s="8"/>
      <c r="L44" s="8"/>
      <c r="M44" s="8"/>
      <c r="O44" s="102"/>
      <c r="P44" s="102"/>
      <c r="Q44" s="102"/>
      <c r="R44" s="102"/>
    </row>
    <row r="45" spans="1:25" ht="36" customHeight="1" x14ac:dyDescent="0.25">
      <c r="A45" s="5" t="str">
        <f>HYPERLINK("#'Acknowledgements'!A1", "Acknowledgements")</f>
        <v>Acknowledgements</v>
      </c>
      <c r="D45" s="86" t="s">
        <v>287</v>
      </c>
      <c r="E45" s="87"/>
      <c r="F45" s="87"/>
      <c r="G45" s="87"/>
      <c r="H45" s="88"/>
      <c r="I45" s="8"/>
      <c r="J45" s="8"/>
      <c r="K45" s="8"/>
      <c r="L45" s="104"/>
      <c r="M45" s="102"/>
      <c r="N45" s="102"/>
      <c r="O45" s="102"/>
      <c r="P45" s="102"/>
    </row>
    <row r="46" spans="1:25" ht="36" customHeight="1" x14ac:dyDescent="0.25">
      <c r="A46" s="5" t="str">
        <f>HYPERLINK("#'Overview'!A1", "Overview")</f>
        <v>Overview</v>
      </c>
      <c r="D46" s="8"/>
      <c r="E46" s="8"/>
      <c r="F46" s="8"/>
      <c r="G46" s="8"/>
      <c r="H46" s="8"/>
      <c r="I46" s="8"/>
      <c r="J46" s="8"/>
      <c r="K46" s="8"/>
      <c r="L46" s="104"/>
      <c r="M46" s="102"/>
      <c r="N46" s="102"/>
    </row>
    <row r="47" spans="1:25" ht="20.100000000000001" customHeight="1" x14ac:dyDescent="0.25">
      <c r="D47" s="114" t="s">
        <v>342</v>
      </c>
      <c r="E47" s="114" t="s">
        <v>343</v>
      </c>
      <c r="F47" s="114" t="s">
        <v>344</v>
      </c>
      <c r="G47" s="114" t="s">
        <v>345</v>
      </c>
      <c r="H47" s="114" t="s">
        <v>293</v>
      </c>
      <c r="I47" s="114" t="s">
        <v>346</v>
      </c>
      <c r="J47" s="114" t="s">
        <v>347</v>
      </c>
      <c r="K47" s="104"/>
    </row>
    <row r="48" spans="1:25" ht="20.100000000000001" customHeight="1" x14ac:dyDescent="0.25">
      <c r="D48" s="94" t="s">
        <v>348</v>
      </c>
      <c r="E48" s="116">
        <v>0.3</v>
      </c>
      <c r="F48" s="95">
        <v>10</v>
      </c>
      <c r="G48" s="96">
        <f>Table_Input_OrganicFertiliser[[#This Row],[Amount applied (kg/hectare)]]*Table_Input_OrganicFertiliser[[#This Row],[Percentage of N in fertiliser]]</f>
        <v>3</v>
      </c>
      <c r="H48" s="95">
        <f>$E$9</f>
        <v>100</v>
      </c>
      <c r="I48" s="96">
        <f>Table_Input_OrganicFertiliser[[#This Row],[Amount applied (kg/hectare)]]*Table_Input_OrganicFertiliser[[#This Row],[Application area (ha)]]</f>
        <v>1000</v>
      </c>
      <c r="J48" s="96">
        <f>IFERROR(Table_Input_OrganicFertiliser[[#This Row],[Amount N applied (kg/hectare)]]*Table_Input_OrganicFertiliser[[#This Row],[Application area (ha)]], 0)</f>
        <v>300</v>
      </c>
      <c r="K48" s="104"/>
    </row>
    <row r="49" spans="4:10" ht="20.100000000000001" customHeight="1" x14ac:dyDescent="0.25">
      <c r="D49" s="94" t="s">
        <v>349</v>
      </c>
      <c r="E49" s="116">
        <v>0.25</v>
      </c>
      <c r="F49" s="95">
        <v>10</v>
      </c>
      <c r="G49" s="96">
        <f>Table_Input_OrganicFertiliser[[#This Row],[Amount applied (kg/hectare)]]*Table_Input_OrganicFertiliser[[#This Row],[Percentage of N in fertiliser]]</f>
        <v>2.5</v>
      </c>
      <c r="H49" s="95">
        <f>$E$9</f>
        <v>100</v>
      </c>
      <c r="I49" s="96">
        <f>Table_Input_OrganicFertiliser[[#This Row],[Amount applied (kg/hectare)]]*Table_Input_OrganicFertiliser[[#This Row],[Application area (ha)]]</f>
        <v>1000</v>
      </c>
      <c r="J49" s="96">
        <f>IFERROR(Table_Input_OrganicFertiliser[[#This Row],[Amount N applied (kg/hectare)]]*Table_Input_OrganicFertiliser[[#This Row],[Application area (ha)]], 0)</f>
        <v>250</v>
      </c>
    </row>
    <row r="50" spans="4:10" ht="20.100000000000001" customHeight="1" x14ac:dyDescent="0.25">
      <c r="D50" s="94" t="s">
        <v>350</v>
      </c>
      <c r="E50" s="116">
        <v>0.16</v>
      </c>
      <c r="F50" s="95">
        <v>10</v>
      </c>
      <c r="G50" s="96">
        <f>Table_Input_OrganicFertiliser[[#This Row],[Amount applied (kg/hectare)]]*Table_Input_OrganicFertiliser[[#This Row],[Percentage of N in fertiliser]]</f>
        <v>1.6</v>
      </c>
      <c r="H50" s="95">
        <f>$E$9</f>
        <v>100</v>
      </c>
      <c r="I50" s="96">
        <f>Table_Input_OrganicFertiliser[[#This Row],[Amount applied (kg/hectare)]]*Table_Input_OrganicFertiliser[[#This Row],[Application area (ha)]]</f>
        <v>1000</v>
      </c>
      <c r="J50" s="9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27"/>
    </row>
    <row r="115" spans="13:13" ht="20.100000000000001" customHeight="1" x14ac:dyDescent="0.25">
      <c r="M115" s="27"/>
    </row>
    <row r="116" spans="13:13" ht="20.100000000000001" customHeight="1" x14ac:dyDescent="0.25">
      <c r="M116" s="27"/>
    </row>
    <row r="117" spans="13:13" ht="20.100000000000001" customHeight="1" x14ac:dyDescent="0.25">
      <c r="M117" s="27"/>
    </row>
    <row r="118" spans="13:13" ht="20.100000000000001" customHeight="1" x14ac:dyDescent="0.25">
      <c r="M118" s="27"/>
    </row>
    <row r="119" spans="13:13" ht="20.100000000000001" customHeight="1" x14ac:dyDescent="0.25">
      <c r="M119" s="27"/>
    </row>
    <row r="120" spans="13:13" ht="20.100000000000001" customHeight="1" x14ac:dyDescent="0.25">
      <c r="M120" s="27"/>
    </row>
    <row r="121" spans="13:13" ht="20.100000000000001" customHeight="1" x14ac:dyDescent="0.25">
      <c r="M121" s="27"/>
    </row>
    <row r="122" spans="13:13" ht="20.100000000000001" customHeight="1" x14ac:dyDescent="0.25">
      <c r="M122" s="27"/>
    </row>
    <row r="123" spans="13:13" ht="20.100000000000001" customHeight="1" x14ac:dyDescent="0.25">
      <c r="M123" s="27"/>
    </row>
    <row r="124" spans="13:13" ht="20.100000000000001" customHeight="1" x14ac:dyDescent="0.25">
      <c r="M124" s="27"/>
    </row>
    <row r="125" spans="13:13" ht="20.100000000000001" customHeight="1" x14ac:dyDescent="0.25">
      <c r="M125" s="27"/>
    </row>
    <row r="126" spans="13:13" ht="20.100000000000001" customHeight="1" x14ac:dyDescent="0.25">
      <c r="M126" s="27"/>
    </row>
    <row r="127" spans="13:13" ht="20.100000000000001" customHeight="1" x14ac:dyDescent="0.25">
      <c r="M127" s="27"/>
    </row>
    <row r="128" spans="13:13" ht="20.100000000000001" customHeight="1" x14ac:dyDescent="0.25">
      <c r="M128" s="27"/>
    </row>
    <row r="129" spans="13:13" ht="20.100000000000001" customHeight="1" x14ac:dyDescent="0.25">
      <c r="M129" s="27"/>
    </row>
    <row r="130" spans="13:13" ht="20.100000000000001" customHeight="1" x14ac:dyDescent="0.25">
      <c r="M130" s="27"/>
    </row>
    <row r="131" spans="13:13" ht="20.100000000000001" customHeight="1" x14ac:dyDescent="0.25">
      <c r="M131" s="27"/>
    </row>
    <row r="132" spans="13:13" ht="20.100000000000001" customHeight="1" x14ac:dyDescent="0.25">
      <c r="M132" s="27"/>
    </row>
    <row r="133" spans="13:13" ht="20.100000000000001" customHeight="1" x14ac:dyDescent="0.25">
      <c r="M133" s="27"/>
    </row>
    <row r="134" spans="13:13" ht="20.100000000000001" customHeight="1" x14ac:dyDescent="0.25">
      <c r="M134" s="27"/>
    </row>
    <row r="135" spans="13:13" ht="20.100000000000001" customHeight="1" x14ac:dyDescent="0.25">
      <c r="M135" s="27"/>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32"/>
    </row>
    <row r="213" spans="12:12" x14ac:dyDescent="0.25">
      <c r="L213" s="32"/>
    </row>
    <row r="214" spans="12:12" x14ac:dyDescent="0.25">
      <c r="L214" s="32"/>
    </row>
    <row r="215" spans="12:12" x14ac:dyDescent="0.25">
      <c r="L215" s="32"/>
    </row>
    <row r="216" spans="12:12" x14ac:dyDescent="0.25">
      <c r="L216" s="32"/>
    </row>
    <row r="218" spans="12:12" x14ac:dyDescent="0.25">
      <c r="L218" s="32"/>
    </row>
    <row r="220" spans="12:12" x14ac:dyDescent="0.25">
      <c r="L220" s="32"/>
    </row>
    <row r="221" spans="12:12" x14ac:dyDescent="0.25">
      <c r="L221" s="32"/>
    </row>
    <row r="222" spans="12:12" x14ac:dyDescent="0.25">
      <c r="L222" s="32"/>
    </row>
    <row r="223" spans="12:12" x14ac:dyDescent="0.25">
      <c r="L223" s="32"/>
    </row>
    <row r="225" spans="12:12" x14ac:dyDescent="0.25">
      <c r="L225" s="32"/>
    </row>
    <row r="233" spans="12:12" x14ac:dyDescent="0.25">
      <c r="L233" s="32"/>
    </row>
    <row r="234" spans="12:12" x14ac:dyDescent="0.25">
      <c r="L234" s="32"/>
    </row>
    <row r="235" spans="12:12" x14ac:dyDescent="0.25">
      <c r="L235" s="32"/>
    </row>
    <row r="238" spans="12:12" x14ac:dyDescent="0.25">
      <c r="L238" s="32"/>
    </row>
    <row r="239" spans="12:12" x14ac:dyDescent="0.25">
      <c r="L239" s="32"/>
    </row>
    <row r="240" spans="12:12" x14ac:dyDescent="0.25">
      <c r="L240" s="32"/>
    </row>
    <row r="243" spans="11:12" x14ac:dyDescent="0.25">
      <c r="L243" s="32"/>
    </row>
    <row r="244" spans="11:12" x14ac:dyDescent="0.25">
      <c r="L244" s="32"/>
    </row>
    <row r="245" spans="11:12" x14ac:dyDescent="0.25">
      <c r="L245" s="32"/>
    </row>
    <row r="248" spans="11:12" x14ac:dyDescent="0.25">
      <c r="L248" s="32"/>
    </row>
    <row r="249" spans="11:12" x14ac:dyDescent="0.25">
      <c r="L249" s="32"/>
    </row>
    <row r="250" spans="11:12" x14ac:dyDescent="0.25">
      <c r="L250" s="32"/>
    </row>
    <row r="251" spans="11:12" x14ac:dyDescent="0.25">
      <c r="K251" s="32"/>
    </row>
    <row r="256" spans="11:12" x14ac:dyDescent="0.25">
      <c r="K256" s="32"/>
    </row>
    <row r="257" spans="11:12" x14ac:dyDescent="0.25">
      <c r="L257" s="32"/>
    </row>
    <row r="258" spans="11:12" x14ac:dyDescent="0.25">
      <c r="L258" s="32"/>
    </row>
    <row r="259" spans="11:12" x14ac:dyDescent="0.25">
      <c r="L259" s="32"/>
    </row>
    <row r="261" spans="11:12" x14ac:dyDescent="0.25">
      <c r="K261" s="32"/>
    </row>
    <row r="262" spans="11:12" x14ac:dyDescent="0.25">
      <c r="L262" s="32"/>
    </row>
    <row r="263" spans="11:12" x14ac:dyDescent="0.25">
      <c r="L263" s="32"/>
    </row>
    <row r="264" spans="11:12" x14ac:dyDescent="0.25">
      <c r="L264" s="32"/>
    </row>
    <row r="266" spans="11:12" x14ac:dyDescent="0.25">
      <c r="K266" s="32"/>
    </row>
    <row r="267" spans="11:12" x14ac:dyDescent="0.25">
      <c r="K267" s="32"/>
      <c r="L267" s="32"/>
    </row>
    <row r="268" spans="11:12" x14ac:dyDescent="0.25">
      <c r="K268" s="32"/>
      <c r="L268" s="32"/>
    </row>
    <row r="269" spans="11:12" x14ac:dyDescent="0.25">
      <c r="K269" s="32"/>
      <c r="L269" s="32"/>
    </row>
    <row r="270" spans="11:12" x14ac:dyDescent="0.25">
      <c r="K270" s="32"/>
    </row>
    <row r="272" spans="11:12" x14ac:dyDescent="0.25">
      <c r="K272" s="32"/>
      <c r="L272" s="32"/>
    </row>
    <row r="273" spans="11:12" x14ac:dyDescent="0.25">
      <c r="L273" s="32"/>
    </row>
    <row r="274" spans="11:12" x14ac:dyDescent="0.25">
      <c r="K274" s="32"/>
      <c r="L274" s="32"/>
    </row>
    <row r="275" spans="11:12" x14ac:dyDescent="0.25">
      <c r="K275" s="32"/>
    </row>
    <row r="276" spans="11:12" x14ac:dyDescent="0.25">
      <c r="K276" s="32"/>
    </row>
    <row r="277" spans="11:12" x14ac:dyDescent="0.25">
      <c r="K277" s="32"/>
    </row>
    <row r="279" spans="11:12" x14ac:dyDescent="0.25">
      <c r="K279" s="32"/>
    </row>
    <row r="285" spans="11:12" x14ac:dyDescent="0.25">
      <c r="K285" s="32"/>
    </row>
    <row r="290" spans="11:11" x14ac:dyDescent="0.25">
      <c r="K290" s="32"/>
    </row>
    <row r="295" spans="11:11" x14ac:dyDescent="0.25">
      <c r="K295" s="32"/>
    </row>
    <row r="300" spans="11:11" x14ac:dyDescent="0.25">
      <c r="K300" s="32"/>
    </row>
    <row r="301" spans="11:11" x14ac:dyDescent="0.25">
      <c r="K301" s="32"/>
    </row>
    <row r="302" spans="11:11" x14ac:dyDescent="0.25">
      <c r="K302" s="32"/>
    </row>
    <row r="303" spans="11:11" x14ac:dyDescent="0.25">
      <c r="K303" s="32"/>
    </row>
    <row r="304" spans="11:11" x14ac:dyDescent="0.25">
      <c r="K304" s="32"/>
    </row>
    <row r="306" spans="11:11" x14ac:dyDescent="0.25">
      <c r="K306" s="32"/>
    </row>
    <row r="308" spans="11:11" x14ac:dyDescent="0.25">
      <c r="K308" s="32"/>
    </row>
    <row r="309" spans="11:11" x14ac:dyDescent="0.25">
      <c r="K309" s="32"/>
    </row>
    <row r="310" spans="11:11" x14ac:dyDescent="0.25">
      <c r="K310" s="32"/>
    </row>
    <row r="311" spans="11:11" x14ac:dyDescent="0.25">
      <c r="K311" s="32"/>
    </row>
    <row r="313" spans="11:11" x14ac:dyDescent="0.25">
      <c r="K313" s="32"/>
    </row>
    <row r="321" spans="11:11" x14ac:dyDescent="0.25">
      <c r="K321" s="32"/>
    </row>
    <row r="322" spans="11:11" x14ac:dyDescent="0.25">
      <c r="K322" s="32"/>
    </row>
    <row r="323" spans="11:11" x14ac:dyDescent="0.25">
      <c r="K323" s="32"/>
    </row>
    <row r="326" spans="11:11" x14ac:dyDescent="0.25">
      <c r="K326" s="32"/>
    </row>
    <row r="327" spans="11:11" x14ac:dyDescent="0.25">
      <c r="K327" s="32"/>
    </row>
    <row r="328" spans="11:11" x14ac:dyDescent="0.25">
      <c r="K328" s="32"/>
    </row>
    <row r="331" spans="11:11" x14ac:dyDescent="0.25">
      <c r="K331" s="32"/>
    </row>
    <row r="332" spans="11:11" x14ac:dyDescent="0.25">
      <c r="K332" s="32"/>
    </row>
    <row r="333" spans="11:11" x14ac:dyDescent="0.25">
      <c r="K333" s="32"/>
    </row>
    <row r="336" spans="11:11" x14ac:dyDescent="0.25">
      <c r="K336" s="32"/>
    </row>
    <row r="337" spans="11:11" x14ac:dyDescent="0.25">
      <c r="K337" s="32"/>
    </row>
    <row r="338" spans="11:11" x14ac:dyDescent="0.25">
      <c r="K338" s="32"/>
    </row>
    <row r="345" spans="11:11" x14ac:dyDescent="0.25">
      <c r="K345" s="32"/>
    </row>
    <row r="346" spans="11:11" x14ac:dyDescent="0.25">
      <c r="K346" s="32"/>
    </row>
    <row r="347" spans="11:11" x14ac:dyDescent="0.25">
      <c r="K347" s="32"/>
    </row>
    <row r="350" spans="11:11" x14ac:dyDescent="0.25">
      <c r="K350" s="32"/>
    </row>
    <row r="351" spans="11:11" x14ac:dyDescent="0.25">
      <c r="K351" s="32"/>
    </row>
    <row r="352" spans="11:11" x14ac:dyDescent="0.25">
      <c r="K352" s="32"/>
    </row>
    <row r="355" spans="4:11" x14ac:dyDescent="0.25">
      <c r="K355" s="32"/>
    </row>
    <row r="356" spans="4:11" x14ac:dyDescent="0.25">
      <c r="K356" s="32"/>
    </row>
    <row r="357" spans="4:11" x14ac:dyDescent="0.25">
      <c r="K357" s="32"/>
    </row>
    <row r="360" spans="4:11" x14ac:dyDescent="0.25">
      <c r="K360" s="32"/>
    </row>
    <row r="361" spans="4:11" x14ac:dyDescent="0.25">
      <c r="K361" s="32"/>
    </row>
    <row r="362" spans="4:11" x14ac:dyDescent="0.25">
      <c r="K362" s="32"/>
    </row>
    <row r="366" spans="4:11" x14ac:dyDescent="0.25">
      <c r="D366" s="43"/>
    </row>
  </sheetData>
  <conditionalFormatting sqref="F52 L186 K188 L190:L191 K192:K193 L194:L195 K196:K197 L200:L201 K202:K203 L204:L205 K206:K207 L211:L216 K213">
    <cfRule type="cellIs" dxfId="304" priority="19" operator="lessThan">
      <formula>0</formula>
    </cfRule>
  </conditionalFormatting>
  <conditionalFormatting sqref="F155:F156">
    <cfRule type="cellIs" dxfId="303" priority="15" operator="lessThan">
      <formula>0</formula>
    </cfRule>
  </conditionalFormatting>
  <conditionalFormatting sqref="F167:F168">
    <cfRule type="cellIs" dxfId="302" priority="14" operator="lessThan">
      <formula>0</formula>
    </cfRule>
  </conditionalFormatting>
  <conditionalFormatting sqref="F255:F256">
    <cfRule type="cellIs" dxfId="301" priority="27" operator="lessThan">
      <formula>0</formula>
    </cfRule>
  </conditionalFormatting>
  <conditionalFormatting sqref="F260:F261">
    <cfRule type="cellIs" dxfId="300" priority="26" operator="lessThan">
      <formula>0</formula>
    </cfRule>
  </conditionalFormatting>
  <conditionalFormatting sqref="F265:F266">
    <cfRule type="cellIs" dxfId="299" priority="25" operator="lessThan">
      <formula>0</formula>
    </cfRule>
  </conditionalFormatting>
  <conditionalFormatting sqref="F289:F290">
    <cfRule type="cellIs" dxfId="298" priority="24" operator="lessThan">
      <formula>0</formula>
    </cfRule>
  </conditionalFormatting>
  <conditionalFormatting sqref="F294:F295">
    <cfRule type="cellIs" dxfId="297" priority="23" operator="lessThan">
      <formula>0</formula>
    </cfRule>
  </conditionalFormatting>
  <conditionalFormatting sqref="F299:F300">
    <cfRule type="cellIs" dxfId="296" priority="22" operator="lessThan">
      <formula>0</formula>
    </cfRule>
  </conditionalFormatting>
  <conditionalFormatting sqref="H47:H50 F131:F132">
    <cfRule type="cellIs" dxfId="295"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94" priority="21" operator="lessThan">
      <formula>0</formula>
    </cfRule>
  </conditionalFormatting>
  <conditionalFormatting sqref="I36:I41 F143:F144">
    <cfRule type="cellIs" dxfId="293" priority="16" operator="lessThan">
      <formula>0</formula>
    </cfRule>
  </conditionalFormatting>
  <conditionalFormatting sqref="I62:I66">
    <cfRule type="cellIs" dxfId="292" priority="4" operator="lessThan">
      <formula>0</formula>
    </cfRule>
  </conditionalFormatting>
  <conditionalFormatting sqref="I70 M107 I129:J129">
    <cfRule type="cellIs" dxfId="291" priority="20" operator="lessThan">
      <formula>0</formula>
    </cfRule>
  </conditionalFormatting>
  <conditionalFormatting sqref="I81:I83">
    <cfRule type="cellIs" dxfId="290" priority="3" operator="lessThan">
      <formula>0</formula>
    </cfRule>
  </conditionalFormatting>
  <conditionalFormatting sqref="I87:I90">
    <cfRule type="cellIs" dxfId="289" priority="2" operator="lessThan">
      <formula>0</formula>
    </cfRule>
  </conditionalFormatting>
  <conditionalFormatting sqref="I94:I98">
    <cfRule type="cellIs" dxfId="288" priority="1" operator="lessThan">
      <formula>0</formula>
    </cfRule>
  </conditionalFormatting>
  <conditionalFormatting sqref="J157">
    <cfRule type="cellIs" dxfId="287" priority="18" operator="lessThan">
      <formula>0</formula>
    </cfRule>
  </conditionalFormatting>
  <conditionalFormatting sqref="L119:L122">
    <cfRule type="cellIs" dxfId="286" priority="8" operator="lessThan">
      <formula>0</formula>
    </cfRule>
  </conditionalFormatting>
  <conditionalFormatting sqref="L125">
    <cfRule type="cellIs" dxfId="285" priority="13" operator="lessThan">
      <formula>0</formula>
    </cfRule>
  </conditionalFormatting>
  <conditionalFormatting sqref="L131:L134">
    <cfRule type="cellIs" dxfId="284" priority="7" operator="lessThan">
      <formula>0</formula>
    </cfRule>
  </conditionalFormatting>
  <conditionalFormatting sqref="L137">
    <cfRule type="cellIs" dxfId="283" priority="12" operator="lessThan">
      <formula>0</formula>
    </cfRule>
  </conditionalFormatting>
  <conditionalFormatting sqref="L143:L146">
    <cfRule type="cellIs" dxfId="282" priority="6" operator="lessThan">
      <formula>0</formula>
    </cfRule>
  </conditionalFormatting>
  <conditionalFormatting sqref="L149">
    <cfRule type="cellIs" dxfId="281" priority="11" operator="lessThan">
      <formula>0</formula>
    </cfRule>
  </conditionalFormatting>
  <conditionalFormatting sqref="L155:L158">
    <cfRule type="cellIs" dxfId="280" priority="5" operator="lessThan">
      <formula>0</formula>
    </cfRule>
  </conditionalFormatting>
  <conditionalFormatting sqref="L161">
    <cfRule type="cellIs" dxfId="279" priority="10" operator="lessThan">
      <formula>0</formula>
    </cfRule>
  </conditionalFormatting>
  <conditionalFormatting sqref="L165:L166">
    <cfRule type="cellIs" dxfId="278" priority="9" operator="lessThan">
      <formula>0</formula>
    </cfRule>
  </conditionalFormatting>
  <conditionalFormatting sqref="L218 L220:L223 L225 J233:J235 J238:J240">
    <cfRule type="cellIs" dxfId="277" priority="28" operator="lessThan">
      <formula>0</formula>
    </cfRule>
  </conditionalFormatting>
  <dataValidations count="12">
    <dataValidation type="list" allowBlank="1" showInputMessage="1" showErrorMessage="1" sqref="Q26:R28" xr:uid="{DC75327A-A3D4-41F4-94AE-CB7EF3C18D82}">
      <formula1>INDIRECT("Table_SourceData_Fertiliser_UreaAmmoniaSources[Source]")</formula1>
    </dataValidation>
    <dataValidation type="list" allowBlank="1" showInputMessage="1" showErrorMessage="1" sqref="D18:D22" xr:uid="{9A3FB86B-AEC5-4461-9421-0278DE92E04A}">
      <formula1>INDIRECT("FertiliserProducts[Product Name]")</formula1>
    </dataValidation>
    <dataValidation type="list" allowBlank="1" showInputMessage="1" showErrorMessage="1" sqref="D48:D50" xr:uid="{CDEE0358-1477-49D8-BEF2-5707689B9382}">
      <formula1>INDIRECT("Table_SourceData_OrganicFertiliserTypes[Organic fertiliser type]")</formula1>
    </dataValidation>
    <dataValidation type="list" allowBlank="1" showInputMessage="1" showErrorMessage="1" sqref="H26:H28 J26:J28 L26:L28 N26:N28" xr:uid="{1B24FE48-DBCC-4E03-B0C3-017A99795794}">
      <formula1>INDIRECT("Table_Fertiliser_ChemicalCompounds[Fertiliser type f]")</formula1>
    </dataValidation>
    <dataValidation type="list" allowBlank="1" showInputMessage="1" showErrorMessage="1" sqref="E7" xr:uid="{86DAE5B5-8084-47BE-BFF9-38D7D54307E9}">
      <formula1>INDIRECT("Table_SourceData_Fertiliser_CropTypes[Production system]")</formula1>
    </dataValidation>
    <dataValidation type="list" allowBlank="1" showInputMessage="1" showErrorMessage="1" sqref="E8" xr:uid="{C7E80DBB-9924-485F-B977-0D8636B7A414}">
      <formula1>INDIRECT("Table_SourceData_Fertiliser_IrrigationMethods[Irrigation method]")</formula1>
    </dataValidation>
    <dataValidation type="list" allowBlank="1" showInputMessage="1" showErrorMessage="1" sqref="E6" xr:uid="{C40EDB19-57F5-4FBE-9AD3-C98FCD82AFB6}">
      <formula1>INDIRECT("Table_SourceData_Fertiliser_CropProdSystems[Production system]")</formula1>
    </dataValidation>
    <dataValidation type="list" allowBlank="1" showInputMessage="1" showErrorMessage="1" sqref="E69" xr:uid="{DF587211-2583-4652-A582-676E9BA5AACB}">
      <formula1>INDIRECT("Table_SourceData_Swine_CropProdSystems[Production system]")</formula1>
    </dataValidation>
    <dataValidation type="list" allowBlank="1" showInputMessage="1" showErrorMessage="1" sqref="E70" xr:uid="{0F4345CB-2997-4AAC-8A14-5882C446D7F6}">
      <formula1>INDIRECT("Table_SourceData_Swine_IrrigationMethods[Irrigation method]")</formula1>
    </dataValidation>
    <dataValidation type="list" allowBlank="1" showInputMessage="1" showErrorMessage="1" sqref="E254 E259 E264 E298 E293 E288 E166 E154 E130 E142" xr:uid="{57A1B1F4-DB33-4E22-A7CF-4F95B7DB9EC9}">
      <formula1>"Yes, No"</formula1>
    </dataValidation>
    <dataValidation type="list" allowBlank="1" showInputMessage="1" showErrorMessage="1" sqref="E230" xr:uid="{EC5D7C42-708E-4EBA-9AF3-F707F4E3105A}">
      <formula1>INDIRECT("Table_SourceData_Dairy_ProductionSystemTemplates[Area]")</formula1>
    </dataValidation>
    <dataValidation type="list" allowBlank="1" showInputMessage="1" showErrorMessage="1" sqref="D282" xr:uid="{F733F7C6-0101-4284-95B6-F567F35CC00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6DCF-A4C4-49FF-9491-F615CF4D61B1}">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8" customFormat="1" ht="30" customHeight="1" x14ac:dyDescent="0.35">
      <c r="A1" s="18" t="e" vm="1">
        <v>#VALUE!</v>
      </c>
      <c r="C1" s="18" t="s">
        <v>514</v>
      </c>
    </row>
    <row r="2" spans="1:11" s="3" customFormat="1" ht="20.100000000000001" customHeight="1" x14ac:dyDescent="0.25">
      <c r="A2"/>
    </row>
    <row r="3" spans="1:11" ht="20.100000000000001" customHeight="1" x14ac:dyDescent="0.25">
      <c r="A3" s="5" t="str">
        <f>HYPERLINK("#'Home'!A1", "Home")</f>
        <v>Home</v>
      </c>
      <c r="C3" s="26"/>
      <c r="D3" s="26"/>
      <c r="E3" s="26"/>
      <c r="F3" s="26"/>
      <c r="G3" s="26"/>
      <c r="H3" s="26"/>
      <c r="I3" s="26"/>
      <c r="J3" s="26"/>
      <c r="K3" s="26"/>
    </row>
    <row r="4" spans="1:11" ht="20.100000000000001" customHeight="1" x14ac:dyDescent="0.25">
      <c r="A4" s="5" t="str">
        <f>HYPERLINK("#'Results'!A1", "Results")</f>
        <v>Results</v>
      </c>
    </row>
    <row r="5" spans="1:11" ht="20.100000000000001" customHeight="1" x14ac:dyDescent="0.25">
      <c r="D5" s="2" t="s">
        <v>515</v>
      </c>
      <c r="E5" s="27"/>
      <c r="F5" s="27"/>
      <c r="G5" s="27"/>
      <c r="H5" s="27"/>
    </row>
    <row r="6" spans="1:11" ht="20.100000000000001" customHeight="1" x14ac:dyDescent="0.25">
      <c r="D6" s="8"/>
      <c r="E6" s="8"/>
      <c r="F6" s="8"/>
      <c r="G6" s="8"/>
      <c r="H6" s="8"/>
      <c r="I6" s="8"/>
      <c r="J6" s="8"/>
    </row>
    <row r="7" spans="1:11" ht="20.100000000000001" customHeight="1" x14ac:dyDescent="0.25">
      <c r="A7" s="7" t="s">
        <v>0</v>
      </c>
      <c r="D7" s="1" t="s">
        <v>516</v>
      </c>
    </row>
    <row r="8" spans="1:11" ht="20.100000000000001" customHeight="1" x14ac:dyDescent="0.25">
      <c r="A8" s="5" t="str">
        <f>HYPERLINK("#'Input - Enterprise'!A1", "Enterprise")</f>
        <v>Enterprise</v>
      </c>
      <c r="D8" s="1" t="s">
        <v>517</v>
      </c>
    </row>
    <row r="9" spans="1:11" ht="20.100000000000001" customHeight="1" x14ac:dyDescent="0.25">
      <c r="A9" s="5" t="str">
        <f>HYPERLINK("#'Input - Site'!A1", "Site")</f>
        <v>Site</v>
      </c>
      <c r="D9" s="1" t="s">
        <v>518</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519</v>
      </c>
      <c r="E11" s="31" t="s">
        <v>520</v>
      </c>
      <c r="F11" s="32" t="s">
        <v>25</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80" t="s">
        <v>486</v>
      </c>
      <c r="E13" s="81"/>
      <c r="F13" s="81"/>
      <c r="G13" s="81"/>
      <c r="H13" s="82"/>
    </row>
    <row r="14" spans="1:11" ht="20.100000000000001" customHeight="1" x14ac:dyDescent="0.25">
      <c r="A14" s="30" t="str">
        <f>HYPERLINK("#'Input - Fuel'!A1", "Fuel")</f>
        <v>Fuel</v>
      </c>
      <c r="D14" s="86" t="s">
        <v>521</v>
      </c>
      <c r="E14" s="87"/>
      <c r="F14" s="87"/>
      <c r="G14" s="87"/>
      <c r="H14" s="8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60" t="s">
        <v>522</v>
      </c>
      <c r="E16" s="60" t="s">
        <v>523</v>
      </c>
      <c r="F16" s="60" t="s">
        <v>524</v>
      </c>
      <c r="G16" s="60" t="s">
        <v>525</v>
      </c>
      <c r="H16" s="60" t="s">
        <v>526</v>
      </c>
      <c r="I16" s="60" t="s">
        <v>527</v>
      </c>
      <c r="J16" s="60" t="s">
        <v>528</v>
      </c>
    </row>
    <row r="17" spans="1:10" ht="20.100000000000001" customHeight="1" x14ac:dyDescent="0.25">
      <c r="D17" s="31" t="s">
        <v>529</v>
      </c>
      <c r="E17" s="31" t="s">
        <v>530</v>
      </c>
      <c r="F17" s="147">
        <v>100</v>
      </c>
      <c r="G17" s="29" t="str" cm="1">
        <f t="array" ref="G17">Common_InputFunctions.Utility_LookupValueInTable(Table_Input_Fuel[[#This Row],[Fuel type (select)]],Table_FuelTypes_Units[Fuel type], Table_FuelTypes_Units[Input Unit])</f>
        <v>GJ</v>
      </c>
      <c r="H17" s="148">
        <f>1</f>
        <v>1</v>
      </c>
      <c r="I17" s="29">
        <f>Table_Input_Fuel[[#This Row],[Amount purchased]]*Table_Input_Fuel[[#This Row],[Percent consumed]]*IF(Table_Input_Fuel[[#This Row],[Amount unit]]="L", 10^-3, 1)</f>
        <v>100</v>
      </c>
      <c r="J17" s="29" t="str" cm="1">
        <f t="array" ref="J17">Common_InputFunctions.Utility_LookupValueInTable(Table_Input_Fuel[[#This Row],[Fuel type (select)]],Table_FuelTypes_Units[Fuel type], Table_FuelTypes_Units[Unit])</f>
        <v>GJ</v>
      </c>
    </row>
    <row r="18" spans="1:10" ht="20.100000000000001" customHeight="1" x14ac:dyDescent="0.25">
      <c r="A18" s="6" t="s">
        <v>3</v>
      </c>
      <c r="D18" s="31" t="s">
        <v>529</v>
      </c>
      <c r="E18" s="31" t="s">
        <v>531</v>
      </c>
      <c r="F18" s="147">
        <v>10000</v>
      </c>
      <c r="G18" s="29" t="str" cm="1">
        <f t="array" ref="G18">Common_InputFunctions.Utility_LookupValueInTable(Table_Input_Fuel[[#This Row],[Fuel type (select)]],Table_FuelTypes_Units[Fuel type], Table_FuelTypes_Units[Input Unit])</f>
        <v>L</v>
      </c>
      <c r="H18" s="149">
        <f>1</f>
        <v>1</v>
      </c>
      <c r="I18" s="29">
        <f>Table_Input_Fuel[[#This Row],[Amount purchased]]*Table_Input_Fuel[[#This Row],[Percent consumed]]*IF(Table_Input_Fuel[[#This Row],[Amount unit]]="L", 10^-3, 1)</f>
        <v>10</v>
      </c>
      <c r="J18" s="29"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31" t="s">
        <v>532</v>
      </c>
      <c r="E19" s="31" t="s">
        <v>533</v>
      </c>
      <c r="F19" s="147">
        <v>10000</v>
      </c>
      <c r="G19" s="29" t="str" cm="1">
        <f t="array" ref="G19">Common_InputFunctions.Utility_LookupValueInTable(Table_Input_Fuel[[#This Row],[Fuel type (select)]],Table_FuelTypes_Units[Fuel type], Table_FuelTypes_Units[Input Unit])</f>
        <v>L</v>
      </c>
      <c r="H19" s="149">
        <f>1</f>
        <v>1</v>
      </c>
      <c r="I19" s="29">
        <f>Table_Input_Fuel[[#This Row],[Amount purchased]]*Table_Input_Fuel[[#This Row],[Percent consumed]]*IF(Table_Input_Fuel[[#This Row],[Amount unit]]="L", 10^-3, 1)</f>
        <v>10</v>
      </c>
      <c r="J19" s="29"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31" t="s">
        <v>534</v>
      </c>
      <c r="E20" s="31" t="s">
        <v>533</v>
      </c>
      <c r="F20" s="147">
        <v>10000</v>
      </c>
      <c r="G20" s="29" t="str" cm="1">
        <f t="array" ref="G20">Common_InputFunctions.Utility_LookupValueInTable(Table_Input_Fuel[[#This Row],[Fuel type (select)]],Table_FuelTypes_Units[Fuel type], Table_FuelTypes_Units[Input Unit])</f>
        <v>L</v>
      </c>
      <c r="H20" s="149">
        <f>1</f>
        <v>1</v>
      </c>
      <c r="I20" s="29">
        <f>Table_Input_Fuel[[#This Row],[Amount purchased]]*Table_Input_Fuel[[#This Row],[Percent consumed]]*IF(Table_Input_Fuel[[#This Row],[Amount unit]]="L", 10^-3, 1)</f>
        <v>10</v>
      </c>
      <c r="J20" s="29"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50" t="s">
        <v>535</v>
      </c>
      <c r="E21" s="150" t="s">
        <v>536</v>
      </c>
      <c r="F21" s="147">
        <v>10000</v>
      </c>
      <c r="G21" s="151" t="str" cm="1">
        <f t="array" ref="G21">Common_InputFunctions.Utility_LookupValueInTable(Table_Input_Fuel[[#This Row],[Fuel type (select)]],Table_FuelTypes_Units[Fuel type], Table_FuelTypes_Units[Input Unit])</f>
        <v>L</v>
      </c>
      <c r="H21" s="152">
        <f>1</f>
        <v>1</v>
      </c>
      <c r="I21" s="151">
        <f>Table_Input_Fuel[[#This Row],[Amount purchased]]*Table_Input_Fuel[[#This Row],[Percent consumed]]*IF(Table_Input_Fuel[[#This Row],[Amount unit]]="L", 10^-3, 1)</f>
        <v>10</v>
      </c>
      <c r="J21" s="29"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43" t="s">
        <v>1</v>
      </c>
    </row>
    <row r="38" spans="1:11" ht="20.100000000000001" customHeight="1" x14ac:dyDescent="0.25">
      <c r="A38" s="5" t="str">
        <f>HYPERLINK("#'Constants - Pasture Beef'!A1", "Constants - Pasture Beef")</f>
        <v>Constants - Pasture Beef</v>
      </c>
      <c r="C38" s="102"/>
      <c r="K38" s="102"/>
    </row>
    <row r="39" spans="1:11" ht="20.100000000000001" customHeight="1" x14ac:dyDescent="0.25">
      <c r="A39" s="5" t="str">
        <f>HYPERLINK("#'Constants - Ag Residue'!A1", "Constants - Ag residue")</f>
        <v>Constants - Ag residue</v>
      </c>
      <c r="C39" s="102"/>
      <c r="K39" s="102"/>
    </row>
    <row r="40" spans="1:11" s="118" customFormat="1" ht="20.100000000000001" customHeight="1" x14ac:dyDescent="0.25">
      <c r="A40" s="5" t="str">
        <f>HYPERLINK("#'Constants - Livestock'!A1", "Constants - Livestock")</f>
        <v>Constants - Livestock</v>
      </c>
      <c r="C40" s="1"/>
      <c r="D40" s="1"/>
      <c r="E40" s="1"/>
      <c r="F40" s="1"/>
      <c r="G40" s="1"/>
      <c r="H40" s="1"/>
      <c r="I40" s="1"/>
      <c r="J40" s="1"/>
      <c r="K40" s="1"/>
    </row>
    <row r="41" spans="1:11" s="118"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128" priority="9" operator="lessThan">
      <formula>0</formula>
    </cfRule>
  </conditionalFormatting>
  <conditionalFormatting sqref="F111:F112">
    <cfRule type="cellIs" dxfId="127" priority="8" operator="lessThan">
      <formula>0</formula>
    </cfRule>
  </conditionalFormatting>
  <conditionalFormatting sqref="F123:F124">
    <cfRule type="cellIs" dxfId="126" priority="7" operator="lessThan">
      <formula>0</formula>
    </cfRule>
  </conditionalFormatting>
  <conditionalFormatting sqref="F135:F136">
    <cfRule type="cellIs" dxfId="125" priority="6" operator="lessThan">
      <formula>0</formula>
    </cfRule>
  </conditionalFormatting>
  <conditionalFormatting sqref="F147:F148">
    <cfRule type="cellIs" dxfId="124" priority="5" operator="lessThan">
      <formula>0</formula>
    </cfRule>
  </conditionalFormatting>
  <conditionalFormatting sqref="F235:F236">
    <cfRule type="cellIs" dxfId="123" priority="17" operator="lessThan">
      <formula>0</formula>
    </cfRule>
  </conditionalFormatting>
  <conditionalFormatting sqref="F240:F241">
    <cfRule type="cellIs" dxfId="122" priority="16" operator="lessThan">
      <formula>0</formula>
    </cfRule>
  </conditionalFormatting>
  <conditionalFormatting sqref="F245:F246">
    <cfRule type="cellIs" dxfId="121" priority="15" operator="lessThan">
      <formula>0</formula>
    </cfRule>
  </conditionalFormatting>
  <conditionalFormatting sqref="F269:F270">
    <cfRule type="cellIs" dxfId="120" priority="14" operator="lessThan">
      <formula>0</formula>
    </cfRule>
  </conditionalFormatting>
  <conditionalFormatting sqref="F274:F275">
    <cfRule type="cellIs" dxfId="119" priority="13" operator="lessThan">
      <formula>0</formula>
    </cfRule>
  </conditionalFormatting>
  <conditionalFormatting sqref="F279:F280">
    <cfRule type="cellIs" dxfId="118" priority="12" operator="lessThan">
      <formula>0</formula>
    </cfRule>
  </conditionalFormatting>
  <conditionalFormatting sqref="I26:J27 H28:H30 I31:J31 I33:J35 I37:J38 I189:J189 E195:G195 I195:J195">
    <cfRule type="cellIs" dxfId="117" priority="11" operator="lessThan">
      <formula>0</formula>
    </cfRule>
  </conditionalFormatting>
  <conditionalFormatting sqref="I42:J46">
    <cfRule type="cellIs" dxfId="116" priority="4" operator="lessThan">
      <formula>0</formula>
    </cfRule>
  </conditionalFormatting>
  <conditionalFormatting sqref="I50:J50 I109:J109">
    <cfRule type="cellIs" dxfId="115" priority="10" operator="lessThan">
      <formula>0</formula>
    </cfRule>
  </conditionalFormatting>
  <conditionalFormatting sqref="I61:J63">
    <cfRule type="cellIs" dxfId="114" priority="3" operator="lessThan">
      <formula>0</formula>
    </cfRule>
  </conditionalFormatting>
  <conditionalFormatting sqref="I67:J70">
    <cfRule type="cellIs" dxfId="113" priority="2" operator="lessThan">
      <formula>0</formula>
    </cfRule>
  </conditionalFormatting>
  <conditionalFormatting sqref="I74:J78">
    <cfRule type="cellIs" dxfId="112" priority="1" operator="lessThan">
      <formula>0</formula>
    </cfRule>
  </conditionalFormatting>
  <dataValidations count="9">
    <dataValidation type="list" allowBlank="1" showInputMessage="1" showErrorMessage="1" sqref="E17:E21" xr:uid="{A9CFE7CA-F3DA-49F3-9333-F01FD0140A49}">
      <formula1>_xlfn.TRIMRANGE(INDIRECT("Table_FuelTypesPerUse["&amp;D17&amp;"]"))</formula1>
    </dataValidation>
    <dataValidation type="list" allowBlank="1" showInputMessage="1" showErrorMessage="1" sqref="D17:D21" xr:uid="{31DC52A3-4006-45D9-A7B7-CF993B5E54CB}">
      <formula1>INDIRECT("Table_FuelTypesPerUse[#Headers]")</formula1>
    </dataValidation>
    <dataValidation type="list" allowBlank="1" showInputMessage="1" showErrorMessage="1" sqref="E11" xr:uid="{4D85D220-934F-495E-B834-537E7D765682}">
      <formula1>"Metro, Non-metro"</formula1>
    </dataValidation>
    <dataValidation type="list" allowBlank="1" showInputMessage="1" showErrorMessage="1" sqref="D29:D30" xr:uid="{91F35023-7FD3-4990-9E70-F6CC5852C7B6}">
      <formula1>INDIRECT("Table_SourceData_OrganicFertiliserTypes[Organic fertiliser type]")</formula1>
    </dataValidation>
    <dataValidation type="list" allowBlank="1" showInputMessage="1" showErrorMessage="1" sqref="E49" xr:uid="{5B4D331B-3256-46E1-AE10-61A4AC6FD9AA}">
      <formula1>INDIRECT("Table_SourceData_Swine_CropProdSystems[Production system]")</formula1>
    </dataValidation>
    <dataValidation type="list" allowBlank="1" showInputMessage="1" showErrorMessage="1" sqref="E50" xr:uid="{9C8E5DE6-FDDA-4824-AAC9-8839A2C51BDD}">
      <formula1>INDIRECT("Table_SourceData_Swine_IrrigationMethods[Irrigation method]")</formula1>
    </dataValidation>
    <dataValidation type="list" allowBlank="1" showInputMessage="1" showErrorMessage="1" sqref="E234 E239 E244 E278 E273 E268 E146 E134 E110 E122" xr:uid="{F9C6B078-B159-46E8-A68D-A85D18FA5E45}">
      <formula1>"Yes, No"</formula1>
    </dataValidation>
    <dataValidation type="list" allowBlank="1" showInputMessage="1" showErrorMessage="1" sqref="E210" xr:uid="{25849EA0-3B50-40D3-9CB7-F3715B927477}">
      <formula1>INDIRECT("Table_SourceData_Dairy_ProductionSystemTemplates[Area]")</formula1>
    </dataValidation>
    <dataValidation type="list" allowBlank="1" showInputMessage="1" showErrorMessage="1" sqref="D262" xr:uid="{1E05241C-5B32-4982-817F-E99FBE24381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EC47-54D5-4338-A991-35B5B0902A4D}">
  <dimension ref="A1:L365"/>
  <sheetViews>
    <sheetView showGridLines="0" topLeftCell="A19"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8" customFormat="1" ht="30" customHeight="1" x14ac:dyDescent="0.35">
      <c r="A1" s="18" t="e" vm="1">
        <v>#VALUE!</v>
      </c>
      <c r="C1" s="18" t="s">
        <v>468</v>
      </c>
    </row>
    <row r="2" spans="1:10" s="3" customFormat="1" ht="20.100000000000001" customHeight="1" x14ac:dyDescent="0.25">
      <c r="A2"/>
    </row>
    <row r="3" spans="1:10" ht="20.100000000000001" customHeight="1" x14ac:dyDescent="0.25">
      <c r="A3" s="5" t="str">
        <f>HYPERLINK("#'Home'!A1", "Home")</f>
        <v>Home</v>
      </c>
      <c r="C3" s="26"/>
      <c r="D3" s="26"/>
      <c r="E3" s="26"/>
      <c r="F3" s="26"/>
      <c r="G3" s="26"/>
      <c r="H3" s="26"/>
      <c r="I3" s="26"/>
      <c r="J3" s="26"/>
    </row>
    <row r="4" spans="1:10" ht="20.100000000000001" customHeight="1" x14ac:dyDescent="0.25">
      <c r="A4" s="5" t="str">
        <f>HYPERLINK("#'Results'!A1", "Results")</f>
        <v>Results</v>
      </c>
    </row>
    <row r="5" spans="1:10" ht="20.100000000000001" customHeight="1" x14ac:dyDescent="0.25">
      <c r="D5" s="2" t="s">
        <v>469</v>
      </c>
    </row>
    <row r="6" spans="1:10" ht="20.100000000000001" customHeight="1" x14ac:dyDescent="0.25"/>
    <row r="7" spans="1:10" ht="20.100000000000001" customHeight="1" x14ac:dyDescent="0.25">
      <c r="A7" s="7" t="s">
        <v>0</v>
      </c>
      <c r="D7" s="37" t="s">
        <v>470</v>
      </c>
    </row>
    <row r="8" spans="1:10" ht="20.100000000000001" customHeight="1" x14ac:dyDescent="0.25">
      <c r="A8" s="5" t="str">
        <f>HYPERLINK("#'Input - Enterprise'!A1", "Enterprise")</f>
        <v>Enterprise</v>
      </c>
    </row>
    <row r="9" spans="1:10" ht="20.100000000000001" customHeight="1" x14ac:dyDescent="0.25">
      <c r="A9" s="5" t="str">
        <f>HYPERLINK("#'Input - Site'!A1", "Site")</f>
        <v>Site</v>
      </c>
      <c r="D9" s="33" t="s">
        <v>471</v>
      </c>
      <c r="E9" s="35"/>
      <c r="F9" s="8"/>
    </row>
    <row r="10" spans="1:10" ht="20.100000000000001" customHeight="1" x14ac:dyDescent="0.25">
      <c r="A10" s="5" t="str">
        <f>HYPERLINK("#'Input - Pasture Beef'!A1", "Pasture Beef")</f>
        <v>Pasture Beef</v>
      </c>
      <c r="D10" s="8"/>
      <c r="E10" s="8"/>
      <c r="F10" s="8"/>
    </row>
    <row r="11" spans="1:10" ht="20.100000000000001" customHeight="1" x14ac:dyDescent="0.25">
      <c r="A11" s="5" t="str">
        <f>HYPERLINK("#'Input - Pasture Beef (Enteric)'!A1", "Pasture Beef (Enteric)")</f>
        <v>Pasture Beef (Enteric)</v>
      </c>
      <c r="D11" s="1" t="s">
        <v>472</v>
      </c>
      <c r="E11" s="139">
        <v>30000</v>
      </c>
      <c r="F11" s="32" t="s">
        <v>473</v>
      </c>
    </row>
    <row r="12" spans="1:10" ht="20.100000000000001" customHeight="1" x14ac:dyDescent="0.25">
      <c r="A12" s="5" t="str">
        <f>HYPERLINK("#'Input - Pasture'!A1", "Pasture")</f>
        <v>Pasture</v>
      </c>
      <c r="D12" s="1" t="s">
        <v>474</v>
      </c>
      <c r="E12" s="29" t="str">
        <f>IF('Input - Site'!E21="Western Australia", 'Input - Site'!E22, 'Input - Site'!E21)</f>
        <v>Western Australia - Outback (South)</v>
      </c>
      <c r="F12" s="8"/>
    </row>
    <row r="13" spans="1:10" ht="20.100000000000001" customHeight="1" x14ac:dyDescent="0.25">
      <c r="A13" s="5" t="str">
        <f>HYPERLINK("#'Input - Fertiliser'!A1", "Fertiliser")</f>
        <v>Fertiliser</v>
      </c>
      <c r="D13" s="1" t="s">
        <v>475</v>
      </c>
      <c r="E13" s="31" t="s">
        <v>476</v>
      </c>
      <c r="F13" s="32" t="s">
        <v>25</v>
      </c>
    </row>
    <row r="14" spans="1:10" ht="20.100000000000001" customHeight="1" x14ac:dyDescent="0.25">
      <c r="A14" s="5" t="str">
        <f>HYPERLINK("#'Input - Fuel'!A1", "Fuel")</f>
        <v>Fuel</v>
      </c>
    </row>
    <row r="15" spans="1:10" ht="20.100000000000001" customHeight="1" x14ac:dyDescent="0.25">
      <c r="A15" s="30" t="str">
        <f>HYPERLINK("#'Input - Electricity'!A1", "Electricity")</f>
        <v>Electricity</v>
      </c>
    </row>
    <row r="16" spans="1:10" ht="20.100000000000001" customHeight="1" x14ac:dyDescent="0.25">
      <c r="C16" s="61"/>
      <c r="D16" s="61"/>
      <c r="E16" s="61"/>
      <c r="F16" s="61"/>
      <c r="G16" s="61"/>
      <c r="H16" s="61"/>
      <c r="I16" s="61"/>
      <c r="J16" s="61"/>
    </row>
    <row r="17" spans="1:11" ht="20.100000000000001" customHeight="1" x14ac:dyDescent="0.25">
      <c r="D17" s="2" t="s">
        <v>477</v>
      </c>
    </row>
    <row r="18" spans="1:11" ht="20.100000000000001" customHeight="1" x14ac:dyDescent="0.25">
      <c r="A18" s="6" t="s">
        <v>3</v>
      </c>
      <c r="E18" s="43" t="str">
        <f>IF(E12="ACT", "", "ALERT: Your farm is not in the ACT, so the JRPP is not applicable")</f>
        <v>ALERT: Your farm is not in the ACT, so the JRPP is not applicable</v>
      </c>
    </row>
    <row r="19" spans="1:11" ht="20.100000000000001" customHeight="1" x14ac:dyDescent="0.25">
      <c r="A19" s="5" t="str">
        <f>HYPERLINK("#'3.2.1.1-2 Enteric Methane'!A1", "3.2.1.1-2 Enteric methane")</f>
        <v>3.2.1.1-2 Enteric methane</v>
      </c>
      <c r="D19" s="1" t="s">
        <v>478</v>
      </c>
      <c r="E19" s="139">
        <v>30000</v>
      </c>
      <c r="F19" s="32" t="s">
        <v>473</v>
      </c>
    </row>
    <row r="20" spans="1:11" ht="20.100000000000001" customHeight="1" x14ac:dyDescent="0.25">
      <c r="A20" s="5" t="str">
        <f>HYPERLINK("#'4.2.1.1-2 Methane'!A1", "4.2.1.1-2 Manure methane")</f>
        <v>4.2.1.1-2 Manure methane</v>
      </c>
      <c r="D20" s="1" t="s">
        <v>479</v>
      </c>
      <c r="E20" s="40">
        <v>0.1</v>
      </c>
      <c r="F20" s="32" t="s">
        <v>480</v>
      </c>
    </row>
    <row r="21" spans="1:11" ht="20.100000000000001" customHeight="1" x14ac:dyDescent="0.25">
      <c r="A21" s="5" t="str">
        <f>HYPERLINK("#'4.2.1.3-4 Soil direct N20'!A1", "4.2.1.3-4 Soil direct N2O")</f>
        <v>4.2.1.3-4 Soil direct N2O</v>
      </c>
      <c r="D21" s="1" t="s">
        <v>481</v>
      </c>
      <c r="E21" s="40">
        <v>0.1</v>
      </c>
      <c r="F21" s="32" t="s">
        <v>480</v>
      </c>
    </row>
    <row r="22" spans="1:11" ht="20.100000000000001" customHeight="1" x14ac:dyDescent="0.25">
      <c r="A22" s="5" t="str">
        <f>HYPERLINK("#'4.2.1.5-6 Soil Atmos Dep'!A1", "4.2.1.5-6 Soil atm. deposition")</f>
        <v>4.2.1.5-6 Soil atm. deposition</v>
      </c>
    </row>
    <row r="23" spans="1:11" ht="20.100000000000001" customHeight="1" x14ac:dyDescent="0.25">
      <c r="A23" s="5" t="str">
        <f>HYPERLINK("#'4.2.1.7-8 Soil leach runoff'!A1", "4.2.1.7-8 Soil leach &amp; runoff")</f>
        <v>4.2.1.7-8 Soil leach &amp; runoff</v>
      </c>
      <c r="D23" s="1" t="s">
        <v>482</v>
      </c>
      <c r="E23" s="139">
        <v>10000</v>
      </c>
      <c r="F23" s="32" t="s">
        <v>473</v>
      </c>
    </row>
    <row r="24" spans="1:11" ht="20.100000000000001" customHeight="1" x14ac:dyDescent="0.25">
      <c r="A24" s="5" t="str">
        <f>HYPERLINK("#'5.1.1.1-2 Inorganic fert N2O'!A1", "5.1.1.1-2 Inorganic fert N2O")</f>
        <v>5.1.1.1-2 Inorganic fert N2O</v>
      </c>
    </row>
    <row r="25" spans="1:11" ht="20.100000000000001" customHeight="1" x14ac:dyDescent="0.25">
      <c r="A25" s="5" t="str">
        <f>HYPERLINK("#'5.1.1.3-4 Inorganic fert CO2'!A1", "5.1.1.3-4 Inorganic fert CO2")</f>
        <v>5.1.1.3-4 Inorganic fert CO2</v>
      </c>
      <c r="D25" s="1" t="s">
        <v>483</v>
      </c>
      <c r="E25" s="140" t="str">
        <f>TEXT('Input - Site'!$E$12, "dd mmm yyyy")</f>
        <v>01 Jan 2024</v>
      </c>
    </row>
    <row r="26" spans="1:11" ht="20.100000000000001" customHeight="1" x14ac:dyDescent="0.25">
      <c r="A26" s="5" t="str">
        <f>HYPERLINK("#'5.2.1.1-2 Organic Fert N2O'!A1", "5.2.1.1-2 Organic fert N2O")</f>
        <v>5.2.1.1-2 Organic fert N2O</v>
      </c>
      <c r="D26" s="1" t="s">
        <v>484</v>
      </c>
      <c r="E26" s="140" t="str">
        <f>TEXT('Input - Site'!$E$13, "dd mmm yyyy")</f>
        <v>31 Dec 2024</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37" t="s">
        <v>485</v>
      </c>
    </row>
    <row r="29" spans="1:11" ht="20.100000000000001" customHeight="1" x14ac:dyDescent="0.25">
      <c r="A29" s="5" t="str">
        <f>HYPERLINK("#'5.5.1.1-2 Leaching and runoff'!A1", "5.5.1.1-2 Leaching &amp; runoff")</f>
        <v>5.5.1.1-2 Leaching &amp; runoff</v>
      </c>
      <c r="K29" s="118"/>
    </row>
    <row r="30" spans="1:11" ht="20.100000000000001" customHeight="1" x14ac:dyDescent="0.25">
      <c r="A30" s="5" t="str">
        <f>HYPERLINK("#'6.2.1.1-2 Pasture residue N2O'!A1", "6.2.1.1-2 Pasture residue N2O")</f>
        <v>6.2.1.1-2 Pasture residue N2O</v>
      </c>
      <c r="D30" s="33" t="s">
        <v>486</v>
      </c>
      <c r="E30" s="35"/>
      <c r="K30" s="118"/>
    </row>
    <row r="31" spans="1:11" ht="20.100000000000001" customHeight="1" x14ac:dyDescent="0.25">
      <c r="A31" s="5" t="str">
        <f>HYPERLINK("#'6.3.1.1-2 Leach runoff pasture'!A1", "6.3.1.1-2 Leach &amp; runoff (pasture)")</f>
        <v>6.3.1.1-2 Leach &amp; runoff (pasture)</v>
      </c>
      <c r="K31" s="118"/>
    </row>
    <row r="32" spans="1:11" ht="20.100000000000001" customHeight="1" x14ac:dyDescent="0.25">
      <c r="A32" s="5" t="str">
        <f>HYPERLINK("#'8.1.1.1-2 Transport fuel'!A1", "8.1.1.1-2 Transport fuel")</f>
        <v>8.1.1.1-2 Transport fuel</v>
      </c>
      <c r="D32" s="60" t="s">
        <v>487</v>
      </c>
      <c r="E32" s="60" t="s">
        <v>488</v>
      </c>
      <c r="F32" s="60" t="s">
        <v>489</v>
      </c>
      <c r="G32" s="60" t="s">
        <v>490</v>
      </c>
      <c r="H32" s="60" t="s">
        <v>491</v>
      </c>
      <c r="I32" s="60" t="s">
        <v>492</v>
      </c>
      <c r="K32" s="118"/>
    </row>
    <row r="33" spans="1:12" ht="20.100000000000001" customHeight="1" x14ac:dyDescent="0.25">
      <c r="A33" s="5" t="str">
        <f>HYPERLINK("#'8.2.1.1-2 Stationary fuel'!A1", "8.2.1.1-2 Stationary fuel")</f>
        <v>8.2.1.1-2 Stationary fuel</v>
      </c>
      <c r="D33" s="68" t="s">
        <v>493</v>
      </c>
      <c r="E33" s="31" t="s">
        <v>494</v>
      </c>
      <c r="F33" s="141">
        <v>44185</v>
      </c>
      <c r="G33" s="68">
        <v>12</v>
      </c>
      <c r="H33" s="29">
        <f>Table_Input_RECSurrendered[[#This Row],[Number of certificates]]</f>
        <v>12</v>
      </c>
      <c r="I33" s="29" t="str">
        <f>IF(DATEDIF(Table_Input_RECSurrendered[[#This Row],[Generation date]],DATEVALUE($E$26),"M")&gt;36,"Ineligible - older than 36 months","Elegible")</f>
        <v>Ineligible - older than 36 months</v>
      </c>
      <c r="K33" s="118"/>
    </row>
    <row r="34" spans="1:12" ht="20.100000000000001" customHeight="1" x14ac:dyDescent="0.25">
      <c r="A34" s="5" t="str">
        <f>HYPERLINK("#'14.1.1-2 Purchased electricity'!A1", "14.1.1-2 Purchased electricity")</f>
        <v>14.1.1-2 Purchased electricity</v>
      </c>
      <c r="D34" s="68" t="s">
        <v>495</v>
      </c>
      <c r="E34" s="31" t="s">
        <v>496</v>
      </c>
      <c r="F34" s="141">
        <v>44575</v>
      </c>
      <c r="G34" s="68">
        <v>5</v>
      </c>
      <c r="H34" s="29">
        <f>Table_Input_RECSurrendered[[#This Row],[Number of certificates]]</f>
        <v>5</v>
      </c>
      <c r="I34" s="29" t="str">
        <f>IF(DATEDIF(Table_Input_RECSurrendered[[#This Row],[Generation date]],DATEVALUE($E$26),"M")&gt;36,"Ineligible - older than 36 months","Elegible")</f>
        <v>Elegible</v>
      </c>
      <c r="K34" s="118"/>
    </row>
    <row r="35" spans="1:12" ht="20.100000000000001" customHeight="1" x14ac:dyDescent="0.25">
      <c r="D35" s="68" t="s">
        <v>497</v>
      </c>
      <c r="E35" s="31" t="s">
        <v>494</v>
      </c>
      <c r="F35" s="141">
        <v>45438</v>
      </c>
      <c r="G35" s="68">
        <v>5</v>
      </c>
      <c r="H35" s="29">
        <f>Table_Input_RECSurrendered[[#This Row],[Number of certificates]]</f>
        <v>5</v>
      </c>
      <c r="I35" s="29" t="str">
        <f>IF(DATEDIF(Table_Input_RECSurrendered[[#This Row],[Generation date]],DATEVALUE($E$26),"M")&gt;36,"Ineligible - older than 36 months","Elegible")</f>
        <v>Elegible</v>
      </c>
    </row>
    <row r="36" spans="1:12" ht="20.100000000000001" customHeight="1" x14ac:dyDescent="0.25">
      <c r="L36" s="118"/>
    </row>
    <row r="37" spans="1:12" ht="20.100000000000001" customHeight="1" x14ac:dyDescent="0.25">
      <c r="A37" s="243" t="s">
        <v>1</v>
      </c>
      <c r="D37" s="1" t="s">
        <v>498</v>
      </c>
      <c r="E37" s="29">
        <f>SUMIF(Table_Input_RECSurrendered[Elegibility], "Elegible", Table_Input_RECSurrendered[MWh])</f>
        <v>10</v>
      </c>
      <c r="F37" s="32" t="s">
        <v>491</v>
      </c>
      <c r="L37" s="118"/>
    </row>
    <row r="38" spans="1:12" ht="20.100000000000001" customHeight="1" x14ac:dyDescent="0.25">
      <c r="A38" s="5" t="str">
        <f>HYPERLINK("#'Constants - Pasture Beef'!A1", "Constants - Pasture Beef")</f>
        <v>Constants - Pasture Beef</v>
      </c>
      <c r="C38" s="102"/>
    </row>
    <row r="39" spans="1:12" ht="20.100000000000001" customHeight="1" x14ac:dyDescent="0.25">
      <c r="A39" s="5" t="str">
        <f>HYPERLINK("#'Constants - Ag Residue'!A1", "Constants - Ag residue")</f>
        <v>Constants - Ag residue</v>
      </c>
      <c r="C39" s="102"/>
      <c r="D39" s="37" t="s">
        <v>499</v>
      </c>
      <c r="J39" s="102"/>
    </row>
    <row r="40" spans="1:12" s="118" customFormat="1" ht="20.100000000000001" customHeight="1" x14ac:dyDescent="0.25">
      <c r="A40" s="5" t="str">
        <f>HYPERLINK("#'Constants - Livestock'!A1", "Constants - Livestock")</f>
        <v>Constants - Livestock</v>
      </c>
      <c r="C40" s="1"/>
      <c r="D40" s="1"/>
      <c r="E40" s="1"/>
      <c r="F40" s="1"/>
      <c r="G40" s="1"/>
      <c r="H40" s="1"/>
      <c r="I40" s="1"/>
      <c r="J40" s="1"/>
    </row>
    <row r="41" spans="1:12" s="118" customFormat="1" ht="20.100000000000001" customHeight="1" x14ac:dyDescent="0.25">
      <c r="A41" s="5" t="str">
        <f>HYPERLINK("#'Constants - Electricity'!A1", "Constants - Electricity")</f>
        <v>Constants - Electricity</v>
      </c>
      <c r="C41" s="1"/>
      <c r="D41" s="60" t="s">
        <v>487</v>
      </c>
      <c r="E41" s="60" t="s">
        <v>441</v>
      </c>
      <c r="F41" s="60" t="s">
        <v>489</v>
      </c>
      <c r="G41" s="60" t="s">
        <v>490</v>
      </c>
      <c r="H41" s="60" t="s">
        <v>491</v>
      </c>
      <c r="I41" s="60" t="s">
        <v>492</v>
      </c>
      <c r="J41" s="1"/>
      <c r="L41" s="118" t="s">
        <v>500</v>
      </c>
    </row>
    <row r="42" spans="1:12" ht="20.100000000000001" customHeight="1" x14ac:dyDescent="0.25">
      <c r="A42" s="5" t="str">
        <f>HYPERLINK("#'Constants - Fertiliser'!A1", "Constants - Fertiliser")</f>
        <v>Constants - Fertiliser</v>
      </c>
      <c r="D42" s="68" t="s">
        <v>501</v>
      </c>
      <c r="E42" s="142" t="str">
        <f>"Issued for generated electricity"</f>
        <v>Issued for generated electricity</v>
      </c>
      <c r="F42" s="141">
        <v>44697</v>
      </c>
      <c r="G42" s="68">
        <v>10</v>
      </c>
      <c r="H42" s="29">
        <f>Table_Input_RECConsumedByEntity[[#This Row],[Number of certificates]]</f>
        <v>10</v>
      </c>
      <c r="I42" s="29"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A43" s="5" t="str">
        <f>HYPERLINK("#'Constants - Fuel'!A1", "Constants - Fuel")</f>
        <v>Constants - Fuel</v>
      </c>
      <c r="D43" s="68" t="s">
        <v>502</v>
      </c>
      <c r="E43" s="142" t="str">
        <f>"Issued for generated electricity"</f>
        <v>Issued for generated electricity</v>
      </c>
      <c r="F43" s="141">
        <v>45483</v>
      </c>
      <c r="G43" s="68">
        <v>4</v>
      </c>
      <c r="H43" s="29">
        <f>Table_Input_RECConsumedByEntity[[#This Row],[Number of certificates]]</f>
        <v>4</v>
      </c>
      <c r="I43" s="29"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 t="str">
        <f>HYPERLINK("#'Constants - Common'!A1", "Constants - Common")</f>
        <v>Constants - Common</v>
      </c>
      <c r="D44" s="143">
        <v>45597</v>
      </c>
      <c r="E44" s="142" t="str">
        <f>"Issued for generated electricity"</f>
        <v>Issued for generated electricity</v>
      </c>
      <c r="F44" s="141">
        <v>45607</v>
      </c>
      <c r="G44" s="68">
        <v>7</v>
      </c>
      <c r="H44" s="29">
        <f>Table_Input_RECConsumedByEntity[[#This Row],[Number of certificates]]</f>
        <v>7</v>
      </c>
      <c r="I44" s="29"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1" t="s">
        <v>503</v>
      </c>
      <c r="E46" s="29">
        <f>SUMIF(Table_Input_RECConsumedByEntity[Elegibility], "Elegible", Table_Input_RECConsumedByEntity[Number of certificates])</f>
        <v>11</v>
      </c>
      <c r="F46" s="32" t="s">
        <v>491</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44"/>
    </row>
    <row r="54" spans="4:4" ht="20.100000000000001" customHeight="1" x14ac:dyDescent="0.25"/>
    <row r="55" spans="4:4" ht="20.100000000000001" customHeight="1" x14ac:dyDescent="0.25">
      <c r="D55" s="144"/>
    </row>
    <row r="56" spans="4:4" ht="20.100000000000001" customHeight="1" x14ac:dyDescent="0.25">
      <c r="D56" s="144"/>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3"/>
    </row>
  </sheetData>
  <conditionalFormatting sqref="F130:F131">
    <cfRule type="cellIs" dxfId="148" priority="8" operator="lessThan">
      <formula>0</formula>
    </cfRule>
  </conditionalFormatting>
  <conditionalFormatting sqref="F142:F143">
    <cfRule type="cellIs" dxfId="147" priority="7" operator="lessThan">
      <formula>0</formula>
    </cfRule>
  </conditionalFormatting>
  <conditionalFormatting sqref="F154:F155">
    <cfRule type="cellIs" dxfId="146" priority="6" operator="lessThan">
      <formula>0</formula>
    </cfRule>
  </conditionalFormatting>
  <conditionalFormatting sqref="F166:F167">
    <cfRule type="cellIs" dxfId="145" priority="5" operator="lessThan">
      <formula>0</formula>
    </cfRule>
  </conditionalFormatting>
  <conditionalFormatting sqref="F254:F255">
    <cfRule type="cellIs" dxfId="144" priority="17" operator="lessThan">
      <formula>0</formula>
    </cfRule>
  </conditionalFormatting>
  <conditionalFormatting sqref="F259:F260">
    <cfRule type="cellIs" dxfId="143" priority="16" operator="lessThan">
      <formula>0</formula>
    </cfRule>
  </conditionalFormatting>
  <conditionalFormatting sqref="F264:F265">
    <cfRule type="cellIs" dxfId="142" priority="15" operator="lessThan">
      <formula>0</formula>
    </cfRule>
  </conditionalFormatting>
  <conditionalFormatting sqref="F288:F289">
    <cfRule type="cellIs" dxfId="141" priority="14" operator="lessThan">
      <formula>0</formula>
    </cfRule>
  </conditionalFormatting>
  <conditionalFormatting sqref="F293:F294">
    <cfRule type="cellIs" dxfId="140" priority="13" operator="lessThan">
      <formula>0</formula>
    </cfRule>
  </conditionalFormatting>
  <conditionalFormatting sqref="F298:F299">
    <cfRule type="cellIs" dxfId="139" priority="12" operator="lessThan">
      <formula>0</formula>
    </cfRule>
  </conditionalFormatting>
  <conditionalFormatting sqref="I59:I63">
    <cfRule type="cellIs" dxfId="138" priority="4" operator="lessThan">
      <formula>0</formula>
    </cfRule>
  </conditionalFormatting>
  <conditionalFormatting sqref="I67 I126">
    <cfRule type="cellIs" dxfId="137" priority="10" operator="lessThan">
      <formula>0</formula>
    </cfRule>
  </conditionalFormatting>
  <conditionalFormatting sqref="I78:I80">
    <cfRule type="cellIs" dxfId="136" priority="3" operator="lessThan">
      <formula>0</formula>
    </cfRule>
  </conditionalFormatting>
  <conditionalFormatting sqref="I84:I87">
    <cfRule type="cellIs" dxfId="135" priority="2" operator="lessThan">
      <formula>0</formula>
    </cfRule>
  </conditionalFormatting>
  <conditionalFormatting sqref="I91:I95">
    <cfRule type="cellIs" dxfId="134" priority="1" operator="lessThan">
      <formula>0</formula>
    </cfRule>
  </conditionalFormatting>
  <conditionalFormatting sqref="J31 I45:I46 H47:H49 I48 I50:I52 I54:I55 I206 I212 E214:G214">
    <cfRule type="cellIs" dxfId="133" priority="11" operator="lessThan">
      <formula>0</formula>
    </cfRule>
  </conditionalFormatting>
  <conditionalFormatting sqref="J35 I36 J37 I39 F51">
    <cfRule type="cellIs" dxfId="132" priority="9" operator="lessThan">
      <formula>0</formula>
    </cfRule>
  </conditionalFormatting>
  <dataValidations count="6">
    <dataValidation type="list" allowBlank="1" showInputMessage="1" showErrorMessage="1" sqref="E33:E35" xr:uid="{685AAFEC-C693-4ED9-8BA7-69B2D1ADAB4B}">
      <formula1>"Purchased certificate, Issued for generated electricity"</formula1>
    </dataValidation>
    <dataValidation type="list" allowBlank="1" showInputMessage="1" showErrorMessage="1" sqref="E13" xr:uid="{5CFC447F-01CB-4001-88B9-07E7C925A291}">
      <formula1>INDIRECT("Table_SourceData_ElectricityEFs[State, Territory or grid description]")</formula1>
    </dataValidation>
    <dataValidation type="list" allowBlank="1" showInputMessage="1" showErrorMessage="1" sqref="E69" xr:uid="{52369438-0CD5-4B9E-9850-2A14A246DCE8}">
      <formula1>INDIRECT("Table_SourceData_Swine_IrrigationMethods[Irrigation method]")</formula1>
    </dataValidation>
    <dataValidation type="list" allowBlank="1" showInputMessage="1" showErrorMessage="1" sqref="E253 E258 E263 E297 E292 E287 E165 E153 E129 E141" xr:uid="{987618FA-0F4B-4033-92FA-11158632A67A}">
      <formula1>"Yes, No"</formula1>
    </dataValidation>
    <dataValidation type="list" allowBlank="1" showInputMessage="1" showErrorMessage="1" sqref="E229" xr:uid="{781B80F6-15EF-4DF7-8FC9-58FEF5107353}">
      <formula1>INDIRECT("Table_SourceData_Dairy_ProductionSystemTemplates[Area]")</formula1>
    </dataValidation>
    <dataValidation type="list" allowBlank="1" showInputMessage="1" showErrorMessage="1" sqref="D281" xr:uid="{CF41C307-AC72-49A6-9E1E-751778389D9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55663-D849-446E-9AF4-1C91CF1707B6}">
  <dimension ref="A1:AI274"/>
  <sheetViews>
    <sheetView showGridLines="0" topLeftCell="A103"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4" customFormat="1" ht="30" customHeight="1" x14ac:dyDescent="0.35">
      <c r="A1" s="18" t="e" vm="1">
        <v>#VALUE!</v>
      </c>
      <c r="C1" s="44" t="s">
        <v>74</v>
      </c>
    </row>
    <row r="2" spans="1:35" s="3" customFormat="1" ht="20.100000000000001" customHeight="1" x14ac:dyDescent="0.25">
      <c r="A2"/>
    </row>
    <row r="3" spans="1:35" ht="20.100000000000001" customHeight="1" x14ac:dyDescent="0.25">
      <c r="A3" s="5" t="str">
        <f>HYPERLINK("#'Home'!A1", "Home")</f>
        <v>Home</v>
      </c>
      <c r="C3" s="45"/>
      <c r="D3" s="45" t="s">
        <v>75</v>
      </c>
      <c r="E3" s="45"/>
      <c r="F3" s="45"/>
      <c r="G3" s="45"/>
      <c r="H3" s="45"/>
      <c r="I3" s="45"/>
      <c r="J3" s="45"/>
      <c r="K3" s="45"/>
      <c r="L3" s="45"/>
      <c r="M3" s="45"/>
      <c r="N3" s="45"/>
      <c r="O3" s="45"/>
      <c r="P3" s="45"/>
      <c r="Q3" s="45"/>
      <c r="R3" s="45"/>
      <c r="T3" s="45"/>
      <c r="U3" s="45" t="s">
        <v>76</v>
      </c>
      <c r="V3" s="45"/>
      <c r="W3" s="45"/>
      <c r="X3" s="45"/>
      <c r="Y3" s="45"/>
      <c r="Z3" s="45"/>
      <c r="AA3" s="45"/>
      <c r="AB3" s="45"/>
      <c r="AC3" s="45"/>
      <c r="AD3" s="45"/>
      <c r="AE3" s="45"/>
      <c r="AF3" s="45"/>
      <c r="AG3" s="45"/>
      <c r="AH3" s="45"/>
      <c r="AI3" s="45"/>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46" t="str" cm="1">
        <f t="array" ref="D6">EntericMethane_PastureBeef_Equations.VEERG_3_2_1_1__4_AdditionalIntakeForMilkProduction_Source()</f>
        <v>VEERG 2026: 3.2.1.1, Equation (4)</v>
      </c>
    </row>
    <row r="7" spans="1:35" ht="20.100000000000001" customHeight="1" x14ac:dyDescent="0.25">
      <c r="A7" s="7" t="s">
        <v>0</v>
      </c>
      <c r="D7" s="47" t="s">
        <v>77</v>
      </c>
      <c r="E7" s="47" t="s">
        <v>78</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48" t="s">
        <v>79</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48" t="s">
        <v>80</v>
      </c>
      <c r="E11" s="17"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50" t="str" cm="1">
        <f t="array" ref="D13:E16">_xlfn.CHOOSECOLS(EntericMethane_PastureBeef_Equations.VEERG_3_2_1_1__4_AdditionalIntakeForMilkProduction_ArgumentsVariation(), 1, 2)</f>
        <v>LC_jk45</v>
      </c>
      <c r="E13" s="51" t="str">
        <v>proportion of cows greater than 1 year in calf in the season of calving expressed as a fraction</v>
      </c>
      <c r="F13" s="52"/>
      <c r="G13" s="53"/>
      <c r="H13" s="50" t="str" cm="1">
        <f t="array" ref="H13:I16">_xlfn.CHOOSECOLS(EntericMethane_PastureBeef_Equations.VEERG_3_2_1_1__4_AdditionalIntakeForMilkProduction_ArgumentsVariation(), 3,4)</f>
        <v>fraction</v>
      </c>
      <c r="I13" s="54" t="str">
        <v>Input</v>
      </c>
      <c r="J13" s="56" t="str" cm="1">
        <f t="array" aca="1" ref="J13" ca="1">HYPERLINK(Common_InputFunctions.Utility_SourceHyperlink($D$18), $D$18)</f>
        <v>M1_Table_LC_j_k-4-5</v>
      </c>
    </row>
    <row r="14" spans="1:35" ht="20.100000000000001" customHeight="1" x14ac:dyDescent="0.25">
      <c r="A14" s="5" t="str">
        <f>HYPERLINK("#'Input - Fuel'!A1", "Fuel")</f>
        <v>Fuel</v>
      </c>
      <c r="D14" s="50" t="str">
        <v>FA_jk45calv</v>
      </c>
      <c r="E14" s="51" t="str">
        <v>feed adjustment value for lactating cows in the season of calving expressed as a fraction</v>
      </c>
      <c r="F14" s="52"/>
      <c r="G14" s="53"/>
      <c r="H14" s="50" t="str">
        <v>fraction</v>
      </c>
      <c r="I14" s="55" t="str">
        <v>Constant</v>
      </c>
      <c r="J14" s="50"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50" t="str">
        <v>FA_jk45after</v>
      </c>
      <c r="E15" s="51" t="str">
        <v>feed adjustment value for lactating cows in the season immediately after calving expressed as a fraction</v>
      </c>
      <c r="F15" s="52"/>
      <c r="G15" s="53"/>
      <c r="H15" s="50" t="str">
        <v>fraction</v>
      </c>
      <c r="I15" s="55" t="str">
        <v>Constant</v>
      </c>
      <c r="J15" s="50"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50" t="str">
        <v>b</v>
      </c>
      <c r="E16" s="51" t="str">
        <v>breed of cattle</v>
      </c>
      <c r="F16" s="52"/>
      <c r="G16" s="53"/>
      <c r="H16" s="50" t="str">
        <v/>
      </c>
      <c r="I16" s="54" t="str">
        <v>Input</v>
      </c>
      <c r="J16" s="50" t="str">
        <f>X_Cell_PastureBeef_Breed</f>
        <v>Hereford or Shorthorn breeds</v>
      </c>
    </row>
    <row r="17" spans="1:34" ht="20.100000000000001" customHeight="1" x14ac:dyDescent="0.25"/>
    <row r="18" spans="1:34" ht="20.100000000000001" customHeight="1" x14ac:dyDescent="0.25">
      <c r="A18" s="6" t="s">
        <v>3</v>
      </c>
      <c r="D18" s="57" t="s">
        <v>81</v>
      </c>
    </row>
    <row r="19" spans="1:34" ht="20.100000000000001" customHeight="1" x14ac:dyDescent="0.25">
      <c r="A19" s="49" t="str">
        <f>HYPERLINK("#'3.2.1.1-2 Enteric Methane'!A1", "3.2.1.1-2 Enteric methane")</f>
        <v>3.2.1.1-2 Enteric methane</v>
      </c>
      <c r="D19" s="58" t="s">
        <v>82</v>
      </c>
      <c r="U19" s="57" t="s">
        <v>83</v>
      </c>
    </row>
    <row r="20" spans="1:34" ht="20.100000000000001" customHeight="1" x14ac:dyDescent="0.25">
      <c r="A20" s="5" t="str">
        <f>HYPERLINK("#'4.2.1.1-2 Methane'!A1", "4.2.1.1-2 Manure methane")</f>
        <v>4.2.1.1-2 Manure methane</v>
      </c>
      <c r="D20" s="59" t="s">
        <v>84</v>
      </c>
      <c r="E20" s="60" t="s">
        <v>34</v>
      </c>
      <c r="F20" s="60" t="s">
        <v>35</v>
      </c>
      <c r="G20" s="60" t="s">
        <v>36</v>
      </c>
      <c r="U20" s="58" t="s">
        <v>85</v>
      </c>
    </row>
    <row r="21" spans="1:34" ht="20.100000000000001" customHeight="1" x14ac:dyDescent="0.25">
      <c r="A21" s="5" t="str">
        <f>HYPERLINK("#'4.2.1.3-4 Soil direct N20'!A1", "4.2.1.3-4 Soil direct N2O")</f>
        <v>4.2.1.3-4 Soil direct N2O</v>
      </c>
      <c r="D21" s="29" t="str">
        <f>'Input - Pasture Beef (Enteric)'!$E$104</f>
        <v>Winter</v>
      </c>
      <c r="E21" s="127">
        <f>'Input - Pasture Beef (Enteric)'!$E$107</f>
        <v>0.9</v>
      </c>
      <c r="F21" s="127">
        <f>'Input - Pasture Beef (Enteric)'!$F$107</f>
        <v>0.5</v>
      </c>
      <c r="G21" s="127">
        <f>'Input - Pasture Beef (Enteric)'!$G$107</f>
        <v>0.5</v>
      </c>
      <c r="H21" s="32" t="s">
        <v>86</v>
      </c>
      <c r="U21" s="59" t="s">
        <v>87</v>
      </c>
      <c r="V21" s="60" t="s">
        <v>34</v>
      </c>
      <c r="W21" s="60" t="s">
        <v>35</v>
      </c>
      <c r="X21" s="60" t="s">
        <v>36</v>
      </c>
    </row>
    <row r="22" spans="1:34" ht="20.100000000000001" customHeight="1" x14ac:dyDescent="0.25">
      <c r="A22" s="5" t="str">
        <f>HYPERLINK("#'4.2.1.5-6 Soil Atmos Dep'!A1", "4.2.1.5-6 Soil atm. deposition")</f>
        <v>4.2.1.5-6 Soil atm. deposition</v>
      </c>
      <c r="U22" s="29" t="str">
        <f>TEXT(EDATE('Input - Pasture Beef (Enteric)'!$D$117,0), "mmmm") &amp; ", " &amp; TEXT(EDATE('Input - Pasture Beef (Enteric)'!$D$118,0), "mmmm") &amp; ", " &amp; TEXT(EDATE('Input - Pasture Beef (Enteric)'!$D$119,0), "mmmm")</f>
        <v>August, September, October</v>
      </c>
      <c r="V22" s="127">
        <f>'Input - Pasture Beef (Enteric)'!$E$120</f>
        <v>0.75</v>
      </c>
      <c r="W22" s="127">
        <f>'Input - Pasture Beef (Enteric)'!$F$120</f>
        <v>0.75</v>
      </c>
      <c r="X22" s="127">
        <f>'Input - Pasture Beef (Enteric)'!$G$120</f>
        <v>0.75</v>
      </c>
      <c r="Y22" s="32" t="s">
        <v>86</v>
      </c>
    </row>
    <row r="23" spans="1:34" ht="20.100000000000001" customHeight="1" x14ac:dyDescent="0.25">
      <c r="A23" s="5" t="str">
        <f>HYPERLINK("#'4.2.1.7-8 Soil leach runoff'!A1", "4.2.1.7-8 Soil leach &amp; runoff")</f>
        <v>4.2.1.7-8 Soil leach &amp; runoff</v>
      </c>
      <c r="D23" s="57" t="s">
        <v>88</v>
      </c>
      <c r="U23" s="29" t="str">
        <f>TEXT(EDATE('Input - Pasture Beef (Enteric)'!$D$119,1), "mmmm") &amp; ", " &amp; TEXT(EDATE('Input - Pasture Beef (Enteric)'!$D$119,2), "mmmm") &amp; ", " &amp; TEXT(EDATE('Input - Pasture Beef (Enteric)'!$D$119,3), "mmmm")</f>
        <v>November, December, January</v>
      </c>
      <c r="Y23" s="32"/>
    </row>
    <row r="24" spans="1:34" ht="20.100000000000001" customHeight="1" x14ac:dyDescent="0.25">
      <c r="A24" s="5" t="str">
        <f>HYPERLINK("#'5.1.1.1-2 Inorganic fert N2O'!A1", "5.1.1.1-2 Inorganic fert N2O")</f>
        <v>5.1.1.1-2 Inorganic fert N2O</v>
      </c>
      <c r="D24" s="58" t="s">
        <v>89</v>
      </c>
      <c r="Y24" s="32"/>
    </row>
    <row r="25" spans="1:34" ht="20.100000000000001" customHeight="1" x14ac:dyDescent="0.25">
      <c r="A25" s="5" t="str">
        <f>HYPERLINK("#'5.1.1.3-4 Inorganic fert CO2'!A1", "5.1.1.3-4 Inorganic fert CO2")</f>
        <v>5.1.1.3-4 Inorganic fert CO2</v>
      </c>
      <c r="D25" s="59" t="s">
        <v>84</v>
      </c>
      <c r="E25" s="59" t="s">
        <v>55</v>
      </c>
      <c r="F25" s="59" t="s">
        <v>90</v>
      </c>
      <c r="G25" s="59" t="s">
        <v>31</v>
      </c>
      <c r="H25" s="59" t="s">
        <v>32</v>
      </c>
      <c r="I25" s="59" t="s">
        <v>33</v>
      </c>
      <c r="J25" s="59" t="s">
        <v>34</v>
      </c>
      <c r="K25" s="59" t="s">
        <v>35</v>
      </c>
      <c r="L25" s="59" t="s">
        <v>36</v>
      </c>
      <c r="M25" s="59" t="s">
        <v>37</v>
      </c>
      <c r="N25" s="59" t="s">
        <v>38</v>
      </c>
      <c r="O25" s="59" t="s">
        <v>39</v>
      </c>
      <c r="P25" s="59" t="s">
        <v>40</v>
      </c>
      <c r="U25" s="57" t="s">
        <v>91</v>
      </c>
    </row>
    <row r="26" spans="1:34" ht="20.100000000000001" customHeight="1" x14ac:dyDescent="0.25">
      <c r="A26" s="5" t="str">
        <f>HYPERLINK("#'5.2.1.1-2 Organic Fert N2O'!A1", "5.2.1.1-2 Organic fert N2O")</f>
        <v>5.2.1.1-2 Organic fert N2O</v>
      </c>
      <c r="D26" s="29" t="s">
        <v>41</v>
      </c>
      <c r="E26" s="29" t="str" cm="1">
        <f t="array" ref="E26">_xlfn.IFS(D21=D26, "Calving season", D21=D29, "Season after calving", D21=D27, "", D21=D28, "")</f>
        <v>Season after calving</v>
      </c>
      <c r="F26" s="29" cm="1">
        <f t="array" ref="F26">_xlfn.IFS(E26="Calving season", $J$14, E26="Season after calving", $J$15, E26="", "")</f>
        <v>1.1000000000000001</v>
      </c>
      <c r="G26" s="29">
        <v>1</v>
      </c>
      <c r="H26" s="29">
        <v>1</v>
      </c>
      <c r="I26" s="29">
        <v>1</v>
      </c>
      <c r="J26" s="29" cm="1">
        <f t="array" ref="J26">IFERROR(EntericMethane_PastureBeef_Equations.VEERG_3_2_1_1__4_AdditionalIntakeForMilkProduction(E$21,$F26), 1)</f>
        <v>1.0900000000000001</v>
      </c>
      <c r="K26" s="29" cm="1">
        <f t="array" ref="K26">IFERROR(EntericMethane_PastureBeef_Equations.VEERG_3_2_1_1__4_AdditionalIntakeForMilkProduction(F$21,$F26), 1)</f>
        <v>1.05</v>
      </c>
      <c r="L26" s="29" cm="1">
        <f t="array" ref="L26">IFERROR(EntericMethane_PastureBeef_Equations.VEERG_3_2_1_1__4_AdditionalIntakeForMilkProduction(G$21,$F26), 1)</f>
        <v>1.05</v>
      </c>
      <c r="M26" s="29">
        <v>1</v>
      </c>
      <c r="N26" s="29">
        <v>1</v>
      </c>
      <c r="O26" s="29">
        <v>1</v>
      </c>
      <c r="P26" s="29">
        <v>1</v>
      </c>
      <c r="Q26" s="32" t="str">
        <f>$E$11</f>
        <v>fraction</v>
      </c>
      <c r="U26" s="58" t="s">
        <v>92</v>
      </c>
    </row>
    <row r="27" spans="1:34" ht="20.100000000000001" customHeight="1" x14ac:dyDescent="0.25">
      <c r="A27" s="5" t="str">
        <f>HYPERLINK("#'5.3.1.1-2 Lime CO2'!A1", "5.3.1.1-2 Lime CO2")</f>
        <v>5.3.1.1-2 Lime CO2</v>
      </c>
      <c r="D27" s="29" t="s">
        <v>43</v>
      </c>
      <c r="E27" s="29" t="str" cm="1">
        <f t="array" ref="E27">_xlfn.IFS(D21=D27, "Calving season", D21=D26, "Season after calving", D21=D28, "", D21=D29, "")</f>
        <v/>
      </c>
      <c r="F27" s="29" t="str" cm="1">
        <f t="array" ref="F27">_xlfn.IFS(E27="Calving season", $J$14, E27="Season after calving", $J$15, E27="", "")</f>
        <v/>
      </c>
      <c r="G27" s="29">
        <v>1</v>
      </c>
      <c r="H27" s="29">
        <v>1</v>
      </c>
      <c r="I27" s="29">
        <v>1</v>
      </c>
      <c r="J27" s="29" cm="1">
        <f t="array" ref="J27">IFERROR(EntericMethane_PastureBeef_Equations.VEERG_3_2_1_1__4_AdditionalIntakeForMilkProduction(E$21,$F27), 1)</f>
        <v>1</v>
      </c>
      <c r="K27" s="29" cm="1">
        <f t="array" ref="K27">IFERROR(EntericMethane_PastureBeef_Equations.VEERG_3_2_1_1__4_AdditionalIntakeForMilkProduction(F$21,$F27), 1)</f>
        <v>1</v>
      </c>
      <c r="L27" s="29" cm="1">
        <f t="array" ref="L27">IFERROR(EntericMethane_PastureBeef_Equations.VEERG_3_2_1_1__4_AdditionalIntakeForMilkProduction(G$21,$F27), 1)</f>
        <v>1</v>
      </c>
      <c r="M27" s="29">
        <v>1</v>
      </c>
      <c r="N27" s="29">
        <v>1</v>
      </c>
      <c r="O27" s="29">
        <v>1</v>
      </c>
      <c r="P27" s="29">
        <v>1</v>
      </c>
      <c r="Q27" s="32" t="str">
        <f t="shared" ref="Q27:Q29" si="0">$E$11</f>
        <v>fraction</v>
      </c>
      <c r="U27" s="59" t="s">
        <v>87</v>
      </c>
      <c r="V27" s="59" t="s">
        <v>55</v>
      </c>
      <c r="W27" s="59" t="s">
        <v>90</v>
      </c>
      <c r="X27" s="59" t="s">
        <v>31</v>
      </c>
      <c r="Y27" s="59" t="s">
        <v>32</v>
      </c>
      <c r="Z27" s="59" t="s">
        <v>33</v>
      </c>
      <c r="AA27" s="59" t="s">
        <v>34</v>
      </c>
      <c r="AB27" s="59" t="s">
        <v>35</v>
      </c>
      <c r="AC27" s="59" t="s">
        <v>36</v>
      </c>
      <c r="AD27" s="59" t="s">
        <v>37</v>
      </c>
      <c r="AE27" s="59" t="s">
        <v>38</v>
      </c>
      <c r="AF27" s="59" t="s">
        <v>39</v>
      </c>
      <c r="AG27" s="59" t="s">
        <v>40</v>
      </c>
    </row>
    <row r="28" spans="1:34" ht="20.100000000000001" customHeight="1" x14ac:dyDescent="0.25">
      <c r="A28" s="5" t="str">
        <f>HYPERLINK("#'5.4.1.1-4 Atmos deposition'!A1", "5.4.1.1-4 Atmos. deposition")</f>
        <v>5.4.1.1-4 Atmos. deposition</v>
      </c>
      <c r="D28" s="29" t="s">
        <v>44</v>
      </c>
      <c r="E28" s="29" t="str" cm="1">
        <f t="array" ref="E28">_xlfn.IFS(D21=D28, "Calving season", D21=D27, "Season after calving", D21=D29, "", D21=D26, "")</f>
        <v/>
      </c>
      <c r="F28" s="29" t="str" cm="1">
        <f t="array" ref="F28">_xlfn.IFS(E28="Calving season", $J$14, E28="Season after calving", $J$15, E28="", "")</f>
        <v/>
      </c>
      <c r="G28" s="29">
        <v>1</v>
      </c>
      <c r="H28" s="29">
        <v>1</v>
      </c>
      <c r="I28" s="29">
        <v>1</v>
      </c>
      <c r="J28" s="29" cm="1">
        <f t="array" ref="J28">IFERROR(EntericMethane_PastureBeef_Equations.VEERG_3_2_1_1__4_AdditionalIntakeForMilkProduction(E$21,$F28), 1)</f>
        <v>1</v>
      </c>
      <c r="K28" s="29" cm="1">
        <f t="array" ref="K28">IFERROR(EntericMethane_PastureBeef_Equations.VEERG_3_2_1_1__4_AdditionalIntakeForMilkProduction(F$21,$F28), 1)</f>
        <v>1</v>
      </c>
      <c r="L28" s="29" cm="1">
        <f t="array" ref="L28">IFERROR(EntericMethane_PastureBeef_Equations.VEERG_3_2_1_1__4_AdditionalIntakeForMilkProduction(G$21,$F28), 1)</f>
        <v>1</v>
      </c>
      <c r="M28" s="29">
        <v>1</v>
      </c>
      <c r="N28" s="29">
        <v>1</v>
      </c>
      <c r="O28" s="29">
        <v>1</v>
      </c>
      <c r="P28" s="29">
        <v>1</v>
      </c>
      <c r="Q28" s="32" t="str">
        <f t="shared" si="0"/>
        <v>fraction</v>
      </c>
      <c r="U28" s="29" t="str">
        <f>TEXT('Input - Site'!$E$12,"mmmm")</f>
        <v>January</v>
      </c>
      <c r="V28" s="29" t="str" cm="1">
        <f t="array" ref="V28">IFERROR(_xlfn.IFS(SUMPRODUCT(ISNUMBER(SEARCH(TRIM(_xlfn.TEXTSPLIT($U$22,",")),U28))*1)&gt;0,"Calving season",SUMPRODUCT(ISNUMBER(SEARCH(TRIM(_xlfn.TEXTSPLIT($U$23,",")),U28))*1)&gt;0,"Season after calving"), "")</f>
        <v>Season after calving</v>
      </c>
      <c r="W28" s="29" cm="1">
        <f t="array" ref="W28">_xlfn.IFS(V28="Calving season", $J$14, V28="Season after calving", $J$15, V28="", "")</f>
        <v>1.1000000000000001</v>
      </c>
      <c r="X28" s="29">
        <v>1</v>
      </c>
      <c r="Y28" s="29">
        <v>1</v>
      </c>
      <c r="Z28" s="29">
        <v>1</v>
      </c>
      <c r="AA28" s="29" cm="1">
        <f t="array" ref="AA28">IFERROR(EntericMethane_PastureBeef_Equations.VEERG_3_2_1_1__4_AdditionalIntakeForMilkProduction(V$22,$W28), 1)</f>
        <v>1.0750000000000002</v>
      </c>
      <c r="AB28" s="29" cm="1">
        <f t="array" ref="AB28">IFERROR(EntericMethane_PastureBeef_Equations.VEERG_3_2_1_1__4_AdditionalIntakeForMilkProduction(W$22,$W28), 1)</f>
        <v>1.0750000000000002</v>
      </c>
      <c r="AC28" s="29" cm="1">
        <f t="array" ref="AC28">IFERROR(EntericMethane_PastureBeef_Equations.VEERG_3_2_1_1__4_AdditionalIntakeForMilkProduction(X$22,$W28), 1)</f>
        <v>1.0750000000000002</v>
      </c>
      <c r="AD28" s="29">
        <v>1</v>
      </c>
      <c r="AE28" s="29">
        <v>1</v>
      </c>
      <c r="AF28" s="29">
        <v>1</v>
      </c>
      <c r="AG28" s="29">
        <v>1</v>
      </c>
      <c r="AH28" s="32" t="str">
        <f>$E$11</f>
        <v>fraction</v>
      </c>
    </row>
    <row r="29" spans="1:34" ht="20.100000000000001" customHeight="1" x14ac:dyDescent="0.25">
      <c r="A29" s="5" t="str">
        <f>HYPERLINK("#'5.5.1.1-2 Leaching and runoff'!A1", "5.5.1.1-2 Leaching &amp; runoff")</f>
        <v>5.5.1.1-2 Leaching &amp; runoff</v>
      </c>
      <c r="D29" s="29" t="s">
        <v>45</v>
      </c>
      <c r="E29" s="29" t="str" cm="1">
        <f t="array" ref="E29">_xlfn.IFS(D21=D29, "Calving season", D21=D28, "Season after calving", D21=D26, "", D21=D27, "")</f>
        <v>Calving season</v>
      </c>
      <c r="F29" s="29" cm="1">
        <f t="array" ref="F29">_xlfn.IFS(E29="Calving season", $J$14, E29="Season after calving", $J$15, E29="", "")</f>
        <v>1.3</v>
      </c>
      <c r="G29" s="29">
        <v>1</v>
      </c>
      <c r="H29" s="29">
        <v>1</v>
      </c>
      <c r="I29" s="29">
        <v>1</v>
      </c>
      <c r="J29" s="29" cm="1">
        <f t="array" ref="J29">IFERROR(EntericMethane_PastureBeef_Equations.VEERG_3_2_1_1__4_AdditionalIntakeForMilkProduction(E$21,$F29), 1)</f>
        <v>1.27</v>
      </c>
      <c r="K29" s="29" cm="1">
        <f t="array" ref="K29">IFERROR(EntericMethane_PastureBeef_Equations.VEERG_3_2_1_1__4_AdditionalIntakeForMilkProduction(F$21,$F29), 1)</f>
        <v>1.1499999999999999</v>
      </c>
      <c r="L29" s="29" cm="1">
        <f t="array" ref="L29">IFERROR(EntericMethane_PastureBeef_Equations.VEERG_3_2_1_1__4_AdditionalIntakeForMilkProduction(G$21,$F29), 1)</f>
        <v>1.1499999999999999</v>
      </c>
      <c r="M29" s="29">
        <v>1</v>
      </c>
      <c r="N29" s="29">
        <v>1</v>
      </c>
      <c r="O29" s="29">
        <v>1</v>
      </c>
      <c r="P29" s="29">
        <v>1</v>
      </c>
      <c r="Q29" s="32" t="str">
        <f t="shared" si="0"/>
        <v>fraction</v>
      </c>
      <c r="U29" s="29" t="str">
        <f>TEXT(EDATE('Input - Site'!$E$12,1), "mmmm")</f>
        <v>February</v>
      </c>
      <c r="V29" s="29" t="str" cm="1">
        <f t="array" ref="V29">IFERROR(_xlfn.IFS(SUMPRODUCT(ISNUMBER(SEARCH(TRIM(_xlfn.TEXTSPLIT($U$22,",")),U29))*1)&gt;0,"Calving season",SUMPRODUCT(ISNUMBER(SEARCH(TRIM(_xlfn.TEXTSPLIT($U$23,",")),U29))*1)&gt;0,"Season after calving"), "")</f>
        <v/>
      </c>
      <c r="W29" s="29" t="str" cm="1">
        <f t="array" ref="W29">_xlfn.IFS(V29="Calving season", $J$14, V29="Season after calving", $J$15, V29="", "")</f>
        <v/>
      </c>
      <c r="X29" s="29">
        <v>1</v>
      </c>
      <c r="Y29" s="29">
        <v>1</v>
      </c>
      <c r="Z29" s="29">
        <v>1</v>
      </c>
      <c r="AA29" s="29" cm="1">
        <f t="array" ref="AA29">IFERROR(EntericMethane_PastureBeef_Equations.VEERG_3_2_1_1__4_AdditionalIntakeForMilkProduction(V$22,$W29), 1)</f>
        <v>1</v>
      </c>
      <c r="AB29" s="29" cm="1">
        <f t="array" ref="AB29">IFERROR(EntericMethane_PastureBeef_Equations.VEERG_3_2_1_1__4_AdditionalIntakeForMilkProduction(W$22,$W29), 1)</f>
        <v>1</v>
      </c>
      <c r="AC29" s="29" cm="1">
        <f t="array" ref="AC29">IFERROR(EntericMethane_PastureBeef_Equations.VEERG_3_2_1_1__4_AdditionalIntakeForMilkProduction(X$22,$W29), 1)</f>
        <v>1</v>
      </c>
      <c r="AD29" s="29">
        <v>1</v>
      </c>
      <c r="AE29" s="29">
        <v>1</v>
      </c>
      <c r="AF29" s="29">
        <v>1</v>
      </c>
      <c r="AG29" s="29">
        <v>1</v>
      </c>
      <c r="AH29" s="32" t="str">
        <f t="shared" ref="AH29:AH39" si="1">$E$11</f>
        <v>fraction</v>
      </c>
    </row>
    <row r="30" spans="1:34" ht="20.100000000000001" customHeight="1" x14ac:dyDescent="0.25">
      <c r="A30" s="5" t="str">
        <f>HYPERLINK("#'6.2.1.1-2 Pasture residue N2O'!A1", "6.2.1.1-2 Pasture residue N2O")</f>
        <v>6.2.1.1-2 Pasture residue N2O</v>
      </c>
      <c r="U30" s="29" t="str">
        <f>TEXT(EDATE('Input - Site'!$E$12,2), "mmmm")</f>
        <v>March</v>
      </c>
      <c r="V30" s="29" t="str" cm="1">
        <f t="array" ref="V30">IFERROR(_xlfn.IFS(SUMPRODUCT(ISNUMBER(SEARCH(TRIM(_xlfn.TEXTSPLIT($U$22,",")),U30))*1)&gt;0,"Calving season",SUMPRODUCT(ISNUMBER(SEARCH(TRIM(_xlfn.TEXTSPLIT($U$23,",")),U30))*1)&gt;0,"Season after calving"), "")</f>
        <v/>
      </c>
      <c r="W30" s="29" t="str" cm="1">
        <f t="array" ref="W30">_xlfn.IFS(V30="Calving season", $J$14, V30="Season after calving", $J$15, V30="", "")</f>
        <v/>
      </c>
      <c r="X30" s="29">
        <v>1</v>
      </c>
      <c r="Y30" s="29">
        <v>1</v>
      </c>
      <c r="Z30" s="29">
        <v>1</v>
      </c>
      <c r="AA30" s="29" cm="1">
        <f t="array" ref="AA30">IFERROR(EntericMethane_PastureBeef_Equations.VEERG_3_2_1_1__4_AdditionalIntakeForMilkProduction(V$22,$W30), 1)</f>
        <v>1</v>
      </c>
      <c r="AB30" s="29" cm="1">
        <f t="array" ref="AB30">IFERROR(EntericMethane_PastureBeef_Equations.VEERG_3_2_1_1__4_AdditionalIntakeForMilkProduction(W$22,$W30), 1)</f>
        <v>1</v>
      </c>
      <c r="AC30" s="29" cm="1">
        <f t="array" ref="AC30">IFERROR(EntericMethane_PastureBeef_Equations.VEERG_3_2_1_1__4_AdditionalIntakeForMilkProduction(X$22,$W30), 1)</f>
        <v>1</v>
      </c>
      <c r="AD30" s="29">
        <v>1</v>
      </c>
      <c r="AE30" s="29">
        <v>1</v>
      </c>
      <c r="AF30" s="29">
        <v>1</v>
      </c>
      <c r="AG30" s="29">
        <v>1</v>
      </c>
      <c r="AH30" s="32" t="str">
        <f t="shared" si="1"/>
        <v>fraction</v>
      </c>
    </row>
    <row r="31" spans="1:34" ht="20.100000000000001" customHeight="1" x14ac:dyDescent="0.25">
      <c r="A31" s="5" t="str">
        <f>HYPERLINK("#'6.3.1.1-2 Leach runoff pasture'!A1", "6.3.1.1-2 Leach &amp; runoff (pasture)")</f>
        <v>6.3.1.1-2 Leach &amp; runoff (pasture)</v>
      </c>
      <c r="U31" s="29" t="str">
        <f>TEXT(EDATE('Input - Site'!$E$12,3), "mmmm")</f>
        <v>April</v>
      </c>
      <c r="V31" s="29" t="str" cm="1">
        <f t="array" ref="V31">IFERROR(_xlfn.IFS(SUMPRODUCT(ISNUMBER(SEARCH(TRIM(_xlfn.TEXTSPLIT($U$22,",")),U31))*1)&gt;0,"Calving season",SUMPRODUCT(ISNUMBER(SEARCH(TRIM(_xlfn.TEXTSPLIT($U$23,",")),U31))*1)&gt;0,"Season after calving"), "")</f>
        <v/>
      </c>
      <c r="W31" s="29" t="str" cm="1">
        <f t="array" ref="W31">_xlfn.IFS(V31="Calving season", $J$14, V31="Season after calving", $J$15, V31="", "")</f>
        <v/>
      </c>
      <c r="X31" s="29">
        <v>1</v>
      </c>
      <c r="Y31" s="29">
        <v>1</v>
      </c>
      <c r="Z31" s="29">
        <v>1</v>
      </c>
      <c r="AA31" s="29" cm="1">
        <f t="array" ref="AA31">IFERROR(EntericMethane_PastureBeef_Equations.VEERG_3_2_1_1__4_AdditionalIntakeForMilkProduction(V$22,$W31), 1)</f>
        <v>1</v>
      </c>
      <c r="AB31" s="29" cm="1">
        <f t="array" ref="AB31">IFERROR(EntericMethane_PastureBeef_Equations.VEERG_3_2_1_1__4_AdditionalIntakeForMilkProduction(W$22,$W31), 1)</f>
        <v>1</v>
      </c>
      <c r="AC31" s="29" cm="1">
        <f t="array" ref="AC31">IFERROR(EntericMethane_PastureBeef_Equations.VEERG_3_2_1_1__4_AdditionalIntakeForMilkProduction(X$22,$W31), 1)</f>
        <v>1</v>
      </c>
      <c r="AD31" s="29">
        <v>1</v>
      </c>
      <c r="AE31" s="29">
        <v>1</v>
      </c>
      <c r="AF31" s="29">
        <v>1</v>
      </c>
      <c r="AG31" s="29">
        <v>1</v>
      </c>
      <c r="AH31" s="32" t="str">
        <f t="shared" si="1"/>
        <v>fraction</v>
      </c>
    </row>
    <row r="32" spans="1:34" ht="20.100000000000001" customHeight="1" x14ac:dyDescent="0.25">
      <c r="A32" s="5" t="str">
        <f>HYPERLINK("#'8.1.1.1-2 Transport fuel'!A1", "8.1.1.1-2 Transport fuel")</f>
        <v>8.1.1.1-2 Transport fuel</v>
      </c>
      <c r="C32" s="61"/>
      <c r="D32" s="61"/>
      <c r="E32" s="61"/>
      <c r="F32" s="61"/>
      <c r="G32" s="61"/>
      <c r="H32" s="61"/>
      <c r="I32" s="61"/>
      <c r="J32" s="61"/>
      <c r="K32" s="61"/>
      <c r="L32" s="61"/>
      <c r="M32" s="61"/>
      <c r="N32" s="61"/>
      <c r="O32" s="61"/>
      <c r="P32" s="61"/>
      <c r="Q32" s="61"/>
      <c r="R32" s="61"/>
      <c r="U32" s="29" t="str">
        <f>TEXT(EDATE('Input - Site'!$E$12,4), "mmmm")</f>
        <v>May</v>
      </c>
      <c r="V32" s="29" t="str" cm="1">
        <f t="array" ref="V32">IFERROR(_xlfn.IFS(SUMPRODUCT(ISNUMBER(SEARCH(TRIM(_xlfn.TEXTSPLIT($U$22,",")),U32))*1)&gt;0,"Calving season",SUMPRODUCT(ISNUMBER(SEARCH(TRIM(_xlfn.TEXTSPLIT($U$23,",")),U32))*1)&gt;0,"Season after calving"), "")</f>
        <v/>
      </c>
      <c r="W32" s="29" t="str" cm="1">
        <f t="array" ref="W32">_xlfn.IFS(V32="Calving season", $J$14, V32="Season after calving", $J$15, V32="", "")</f>
        <v/>
      </c>
      <c r="X32" s="29">
        <v>1</v>
      </c>
      <c r="Y32" s="29">
        <v>1</v>
      </c>
      <c r="Z32" s="29">
        <v>1</v>
      </c>
      <c r="AA32" s="29" cm="1">
        <f t="array" ref="AA32">IFERROR(EntericMethane_PastureBeef_Equations.VEERG_3_2_1_1__4_AdditionalIntakeForMilkProduction(V$22,$W32), 1)</f>
        <v>1</v>
      </c>
      <c r="AB32" s="29" cm="1">
        <f t="array" ref="AB32">IFERROR(EntericMethane_PastureBeef_Equations.VEERG_3_2_1_1__4_AdditionalIntakeForMilkProduction(W$22,$W32), 1)</f>
        <v>1</v>
      </c>
      <c r="AC32" s="29" cm="1">
        <f t="array" ref="AC32">IFERROR(EntericMethane_PastureBeef_Equations.VEERG_3_2_1_1__4_AdditionalIntakeForMilkProduction(X$22,$W32), 1)</f>
        <v>1</v>
      </c>
      <c r="AD32" s="29">
        <v>1</v>
      </c>
      <c r="AE32" s="29">
        <v>1</v>
      </c>
      <c r="AF32" s="29">
        <v>1</v>
      </c>
      <c r="AG32" s="29">
        <v>1</v>
      </c>
      <c r="AH32" s="32"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9" t="str">
        <f>TEXT(EDATE('Input - Site'!$E$12,5), "mmmm")</f>
        <v>June</v>
      </c>
      <c r="V33" s="29" t="str" cm="1">
        <f t="array" ref="V33">IFERROR(_xlfn.IFS(SUMPRODUCT(ISNUMBER(SEARCH(TRIM(_xlfn.TEXTSPLIT($U$22,",")),U33))*1)&gt;0,"Calving season",SUMPRODUCT(ISNUMBER(SEARCH(TRIM(_xlfn.TEXTSPLIT($U$23,",")),U33))*1)&gt;0,"Season after calving"), "")</f>
        <v/>
      </c>
      <c r="W33" s="29" t="str" cm="1">
        <f t="array" ref="W33">_xlfn.IFS(V33="Calving season", $J$14, V33="Season after calving", $J$15, V33="", "")</f>
        <v/>
      </c>
      <c r="X33" s="29">
        <v>1</v>
      </c>
      <c r="Y33" s="29">
        <v>1</v>
      </c>
      <c r="Z33" s="29">
        <v>1</v>
      </c>
      <c r="AA33" s="29" cm="1">
        <f t="array" ref="AA33">IFERROR(EntericMethane_PastureBeef_Equations.VEERG_3_2_1_1__4_AdditionalIntakeForMilkProduction(V$22,$W33), 1)</f>
        <v>1</v>
      </c>
      <c r="AB33" s="29" cm="1">
        <f t="array" ref="AB33">IFERROR(EntericMethane_PastureBeef_Equations.VEERG_3_2_1_1__4_AdditionalIntakeForMilkProduction(W$22,$W33), 1)</f>
        <v>1</v>
      </c>
      <c r="AC33" s="29" cm="1">
        <f t="array" ref="AC33">IFERROR(EntericMethane_PastureBeef_Equations.VEERG_3_2_1_1__4_AdditionalIntakeForMilkProduction(X$22,$W33), 1)</f>
        <v>1</v>
      </c>
      <c r="AD33" s="29">
        <v>1</v>
      </c>
      <c r="AE33" s="29">
        <v>1</v>
      </c>
      <c r="AF33" s="29">
        <v>1</v>
      </c>
      <c r="AG33" s="29">
        <v>1</v>
      </c>
      <c r="AH33" s="32" t="str">
        <f t="shared" si="1"/>
        <v>fraction</v>
      </c>
    </row>
    <row r="34" spans="1:34" ht="20.100000000000001" customHeight="1" x14ac:dyDescent="0.25">
      <c r="A34" s="5" t="str">
        <f>HYPERLINK("#'14.1.1-2 Purchased electricity'!A1", "14.1.1-2 Purchased electricity")</f>
        <v>14.1.1-2 Purchased electricity</v>
      </c>
      <c r="D34" s="46" t="str" cm="1">
        <f t="array" ref="D34">EntericMethane_PastureBeef_Equations.VEERG_3_2_1_1__3_FeedIntakeForGrazingBeef_Source()</f>
        <v>VEERG 2026: 3.2.1.1, Equation (3)</v>
      </c>
      <c r="U34" s="29" t="str">
        <f>TEXT(EDATE('Input - Site'!$E$12,6), "mmmm")</f>
        <v>July</v>
      </c>
      <c r="V34" s="29" t="str" cm="1">
        <f t="array" ref="V34">IFERROR(_xlfn.IFS(SUMPRODUCT(ISNUMBER(SEARCH(TRIM(_xlfn.TEXTSPLIT($U$22,",")),U34))*1)&gt;0,"Calving season",SUMPRODUCT(ISNUMBER(SEARCH(TRIM(_xlfn.TEXTSPLIT($U$23,",")),U34))*1)&gt;0,"Season after calving"), "")</f>
        <v/>
      </c>
      <c r="W34" s="29" t="str" cm="1">
        <f t="array" ref="W34">_xlfn.IFS(V34="Calving season", $J$14, V34="Season after calving", $J$15, V34="", "")</f>
        <v/>
      </c>
      <c r="X34" s="29">
        <v>1</v>
      </c>
      <c r="Y34" s="29">
        <v>1</v>
      </c>
      <c r="Z34" s="29">
        <v>1</v>
      </c>
      <c r="AA34" s="29" cm="1">
        <f t="array" ref="AA34">IFERROR(EntericMethane_PastureBeef_Equations.VEERG_3_2_1_1__4_AdditionalIntakeForMilkProduction(V$22,$W34), 1)</f>
        <v>1</v>
      </c>
      <c r="AB34" s="29" cm="1">
        <f t="array" ref="AB34">IFERROR(EntericMethane_PastureBeef_Equations.VEERG_3_2_1_1__4_AdditionalIntakeForMilkProduction(W$22,$W34), 1)</f>
        <v>1</v>
      </c>
      <c r="AC34" s="29" cm="1">
        <f t="array" ref="AC34">IFERROR(EntericMethane_PastureBeef_Equations.VEERG_3_2_1_1__4_AdditionalIntakeForMilkProduction(X$22,$W34), 1)</f>
        <v>1</v>
      </c>
      <c r="AD34" s="29">
        <v>1</v>
      </c>
      <c r="AE34" s="29">
        <v>1</v>
      </c>
      <c r="AF34" s="29">
        <v>1</v>
      </c>
      <c r="AG34" s="29">
        <v>1</v>
      </c>
      <c r="AH34" s="32" t="str">
        <f t="shared" si="1"/>
        <v>fraction</v>
      </c>
    </row>
    <row r="35" spans="1:34" ht="20.100000000000001" customHeight="1" x14ac:dyDescent="0.25">
      <c r="D35" s="47" t="s">
        <v>77</v>
      </c>
      <c r="E35" s="47" t="str" cm="1">
        <f t="array" aca="1" ref="E35" ca="1">Common_InputFunctions.Utility_DisplayFunctionName($E$64)</f>
        <v>=EntericMethane_PastureBeef_Equations.VEERG_3_2_1_1__3_FeedIntakeForGrazingBeef</v>
      </c>
      <c r="U35" s="29" t="str">
        <f>TEXT(EDATE('Input - Site'!$E$12,7), "mmmm")</f>
        <v>August</v>
      </c>
      <c r="V35" s="29" t="str" cm="1">
        <f t="array" ref="V35">IFERROR(_xlfn.IFS(SUMPRODUCT(ISNUMBER(SEARCH(TRIM(_xlfn.TEXTSPLIT($U$22,",")),U35))*1)&gt;0,"Calving season",SUMPRODUCT(ISNUMBER(SEARCH(TRIM(_xlfn.TEXTSPLIT($U$23,",")),U35))*1)&gt;0,"Season after calving"), "")</f>
        <v>Calving season</v>
      </c>
      <c r="W35" s="29" cm="1">
        <f t="array" ref="W35">_xlfn.IFS(V35="Calving season", $J$14, V35="Season after calving", $J$15, V35="", "")</f>
        <v>1.3</v>
      </c>
      <c r="X35" s="29">
        <v>1</v>
      </c>
      <c r="Y35" s="29">
        <v>1</v>
      </c>
      <c r="Z35" s="29">
        <v>1</v>
      </c>
      <c r="AA35" s="29" cm="1">
        <f t="array" ref="AA35">IFERROR(EntericMethane_PastureBeef_Equations.VEERG_3_2_1_1__4_AdditionalIntakeForMilkProduction(V$22,$W35), 1)</f>
        <v>1.2250000000000001</v>
      </c>
      <c r="AB35" s="29" cm="1">
        <f t="array" ref="AB35">IFERROR(EntericMethane_PastureBeef_Equations.VEERG_3_2_1_1__4_AdditionalIntakeForMilkProduction(W$22,$W35), 1)</f>
        <v>1.2250000000000001</v>
      </c>
      <c r="AC35" s="29" cm="1">
        <f t="array" ref="AC35">IFERROR(EntericMethane_PastureBeef_Equations.VEERG_3_2_1_1__4_AdditionalIntakeForMilkProduction(X$22,$W35), 1)</f>
        <v>1.2250000000000001</v>
      </c>
      <c r="AD35" s="29">
        <v>1</v>
      </c>
      <c r="AE35" s="29">
        <v>1</v>
      </c>
      <c r="AF35" s="29">
        <v>1</v>
      </c>
      <c r="AG35" s="29">
        <v>1</v>
      </c>
      <c r="AH35" s="32" t="str">
        <f t="shared" si="1"/>
        <v>fraction</v>
      </c>
    </row>
    <row r="36" spans="1:34" ht="20.100000000000001" customHeight="1" x14ac:dyDescent="0.25">
      <c r="U36" s="29" t="str">
        <f>TEXT(EDATE('Input - Site'!$E$12,8), "mmmm")</f>
        <v>September</v>
      </c>
      <c r="V36" s="29" t="str" cm="1">
        <f t="array" ref="V36">IFERROR(_xlfn.IFS(SUMPRODUCT(ISNUMBER(SEARCH(TRIM(_xlfn.TEXTSPLIT($U$22,",")),U36))*1)&gt;0,"Calving season",SUMPRODUCT(ISNUMBER(SEARCH(TRIM(_xlfn.TEXTSPLIT($U$23,",")),U36))*1)&gt;0,"Season after calving"), "")</f>
        <v>Calving season</v>
      </c>
      <c r="W36" s="29" cm="1">
        <f t="array" ref="W36">_xlfn.IFS(V36="Calving season", $J$14, V36="Season after calving", $J$15, V36="", "")</f>
        <v>1.3</v>
      </c>
      <c r="X36" s="29">
        <v>1</v>
      </c>
      <c r="Y36" s="29">
        <v>1</v>
      </c>
      <c r="Z36" s="29">
        <v>1</v>
      </c>
      <c r="AA36" s="29" cm="1">
        <f t="array" ref="AA36">IFERROR(EntericMethane_PastureBeef_Equations.VEERG_3_2_1_1__4_AdditionalIntakeForMilkProduction(V$22,$W36), 1)</f>
        <v>1.2250000000000001</v>
      </c>
      <c r="AB36" s="29" cm="1">
        <f t="array" ref="AB36">IFERROR(EntericMethane_PastureBeef_Equations.VEERG_3_2_1_1__4_AdditionalIntakeForMilkProduction(W$22,$W36), 1)</f>
        <v>1.2250000000000001</v>
      </c>
      <c r="AC36" s="29" cm="1">
        <f t="array" ref="AC36">IFERROR(EntericMethane_PastureBeef_Equations.VEERG_3_2_1_1__4_AdditionalIntakeForMilkProduction(X$22,$W36), 1)</f>
        <v>1.2250000000000001</v>
      </c>
      <c r="AD36" s="29">
        <v>1</v>
      </c>
      <c r="AE36" s="29">
        <v>1</v>
      </c>
      <c r="AF36" s="29">
        <v>1</v>
      </c>
      <c r="AG36" s="29">
        <v>1</v>
      </c>
      <c r="AH36" s="32" t="str">
        <f t="shared" si="1"/>
        <v>fraction</v>
      </c>
    </row>
    <row r="37" spans="1:34" ht="20.100000000000001" customHeight="1" x14ac:dyDescent="0.25">
      <c r="A37" s="243" t="s">
        <v>1</v>
      </c>
      <c r="G37" s="2" t="str" cm="1">
        <f t="array" ref="G37">EntericMethane_PastureBeef_Equations.VEERG_3_2_1_1__3_FeedIntakeForGrazingBeef_LatexEquation()</f>
        <v>I_{jkl}=(1.185+0.00454\times W_{jkl}-0.0000026\times W_{jkl}^{2}+0.315\times LWG_{jkl})^2\times MA_{jk=4,5}</v>
      </c>
      <c r="U37" s="29" t="str">
        <f>TEXT(EDATE('Input - Site'!$E$12,9), "mmmm")</f>
        <v>October</v>
      </c>
      <c r="V37" s="29" t="str" cm="1">
        <f t="array" ref="V37">IFERROR(_xlfn.IFS(SUMPRODUCT(ISNUMBER(SEARCH(TRIM(_xlfn.TEXTSPLIT($U$22,",")),U37))*1)&gt;0,"Calving season",SUMPRODUCT(ISNUMBER(SEARCH(TRIM(_xlfn.TEXTSPLIT($U$23,",")),U37))*1)&gt;0,"Season after calving"), "")</f>
        <v>Calving season</v>
      </c>
      <c r="W37" s="29" cm="1">
        <f t="array" ref="W37">_xlfn.IFS(V37="Calving season", $J$14, V37="Season after calving", $J$15, V37="", "")</f>
        <v>1.3</v>
      </c>
      <c r="X37" s="29">
        <v>1</v>
      </c>
      <c r="Y37" s="29">
        <v>1</v>
      </c>
      <c r="Z37" s="29">
        <v>1</v>
      </c>
      <c r="AA37" s="29" cm="1">
        <f t="array" ref="AA37">IFERROR(EntericMethane_PastureBeef_Equations.VEERG_3_2_1_1__4_AdditionalIntakeForMilkProduction(V$22,$W37), 1)</f>
        <v>1.2250000000000001</v>
      </c>
      <c r="AB37" s="29" cm="1">
        <f t="array" ref="AB37">IFERROR(EntericMethane_PastureBeef_Equations.VEERG_3_2_1_1__4_AdditionalIntakeForMilkProduction(W$22,$W37), 1)</f>
        <v>1.2250000000000001</v>
      </c>
      <c r="AC37" s="29" cm="1">
        <f t="array" ref="AC37">IFERROR(EntericMethane_PastureBeef_Equations.VEERG_3_2_1_1__4_AdditionalIntakeForMilkProduction(X$22,$W37), 1)</f>
        <v>1.2250000000000001</v>
      </c>
      <c r="AD37" s="29">
        <v>1</v>
      </c>
      <c r="AE37" s="29">
        <v>1</v>
      </c>
      <c r="AF37" s="29">
        <v>1</v>
      </c>
      <c r="AG37" s="29">
        <v>1</v>
      </c>
      <c r="AH37" s="32" t="str">
        <f t="shared" si="1"/>
        <v>fraction</v>
      </c>
    </row>
    <row r="38" spans="1:34" ht="20.100000000000001" customHeight="1" x14ac:dyDescent="0.25">
      <c r="A38" s="5" t="str">
        <f>HYPERLINK("#'Constants - Pasture Beef'!A1", "Constants - Pasture Beef")</f>
        <v>Constants - Pasture Beef</v>
      </c>
      <c r="D38" s="48" t="s">
        <v>79</v>
      </c>
      <c r="E38" s="1" t="str" cm="1">
        <f t="array" ref="E38">EntericMethane_PastureBeef_Equations.VEERG_3_2_1_1__3_FeedIntakeForGrazingBeef_Variable()</f>
        <v>I_jkl</v>
      </c>
      <c r="U38" s="29" t="str">
        <f>TEXT(EDATE('Input - Site'!$E$12,10), "mmmm")</f>
        <v>November</v>
      </c>
      <c r="V38" s="29" t="str" cm="1">
        <f t="array" ref="V38">IFERROR(_xlfn.IFS(SUMPRODUCT(ISNUMBER(SEARCH(TRIM(_xlfn.TEXTSPLIT($U$22,",")),U38))*1)&gt;0,"Calving season",SUMPRODUCT(ISNUMBER(SEARCH(TRIM(_xlfn.TEXTSPLIT($U$23,",")),U38))*1)&gt;0,"Season after calving"), "")</f>
        <v>Season after calving</v>
      </c>
      <c r="W38" s="29" cm="1">
        <f t="array" ref="W38">_xlfn.IFS(V38="Calving season", $J$14, V38="Season after calving", $J$15, V38="", "")</f>
        <v>1.1000000000000001</v>
      </c>
      <c r="X38" s="29">
        <v>1</v>
      </c>
      <c r="Y38" s="29">
        <v>1</v>
      </c>
      <c r="Z38" s="29">
        <v>1</v>
      </c>
      <c r="AA38" s="29" cm="1">
        <f t="array" ref="AA38">IFERROR(EntericMethane_PastureBeef_Equations.VEERG_3_2_1_1__4_AdditionalIntakeForMilkProduction(V$22,$W38), 1)</f>
        <v>1.0750000000000002</v>
      </c>
      <c r="AB38" s="29" cm="1">
        <f t="array" ref="AB38">IFERROR(EntericMethane_PastureBeef_Equations.VEERG_3_2_1_1__4_AdditionalIntakeForMilkProduction(W$22,$W38), 1)</f>
        <v>1.0750000000000002</v>
      </c>
      <c r="AC38" s="29" cm="1">
        <f t="array" ref="AC38">IFERROR(EntericMethane_PastureBeef_Equations.VEERG_3_2_1_1__4_AdditionalIntakeForMilkProduction(X$22,$W38), 1)</f>
        <v>1.0750000000000002</v>
      </c>
      <c r="AD38" s="29">
        <v>1</v>
      </c>
      <c r="AE38" s="29">
        <v>1</v>
      </c>
      <c r="AF38" s="29">
        <v>1</v>
      </c>
      <c r="AG38" s="29">
        <v>1</v>
      </c>
      <c r="AH38" s="32" t="str">
        <f t="shared" si="1"/>
        <v>fraction</v>
      </c>
    </row>
    <row r="39" spans="1:34" ht="20.100000000000001" customHeight="1" x14ac:dyDescent="0.25">
      <c r="A39" s="5" t="str">
        <f>HYPERLINK("#'Constants - Ag Residue'!A1", "Constants - Ag residue")</f>
        <v>Constants - Ag residue</v>
      </c>
      <c r="D39" s="48" t="s">
        <v>80</v>
      </c>
      <c r="E39" s="17" t="str" cm="1">
        <f t="array" ref="E39">EntericMethane_PastureBeef_Equations.VEERG_3_2_1_1__3_FeedIntakeForGrazingBeef_Unit()</f>
        <v>kg DM/head/day</v>
      </c>
      <c r="U39" s="29" t="str">
        <f>TEXT(EDATE('Input - Site'!$E$12,11), "mmmm")</f>
        <v>December</v>
      </c>
      <c r="V39" s="29" t="str" cm="1">
        <f t="array" ref="V39">IFERROR(_xlfn.IFS(SUMPRODUCT(ISNUMBER(SEARCH(TRIM(_xlfn.TEXTSPLIT($U$22,",")),U39))*1)&gt;0,"Calving season",SUMPRODUCT(ISNUMBER(SEARCH(TRIM(_xlfn.TEXTSPLIT($U$23,",")),U39))*1)&gt;0,"Season after calving"), "")</f>
        <v>Season after calving</v>
      </c>
      <c r="W39" s="29" cm="1">
        <f t="array" ref="W39">_xlfn.IFS(V39="Calving season", $J$14, V39="Season after calving", $J$15, V39="", "")</f>
        <v>1.1000000000000001</v>
      </c>
      <c r="X39" s="29">
        <v>1</v>
      </c>
      <c r="Y39" s="29">
        <v>1</v>
      </c>
      <c r="Z39" s="29">
        <v>1</v>
      </c>
      <c r="AA39" s="29" cm="1">
        <f t="array" ref="AA39">IFERROR(EntericMethane_PastureBeef_Equations.VEERG_3_2_1_1__4_AdditionalIntakeForMilkProduction(V$22,$W39), 1)</f>
        <v>1.0750000000000002</v>
      </c>
      <c r="AB39" s="29" cm="1">
        <f t="array" ref="AB39">IFERROR(EntericMethane_PastureBeef_Equations.VEERG_3_2_1_1__4_AdditionalIntakeForMilkProduction(W$22,$W39), 1)</f>
        <v>1.0750000000000002</v>
      </c>
      <c r="AC39" s="29" cm="1">
        <f t="array" ref="AC39">IFERROR(EntericMethane_PastureBeef_Equations.VEERG_3_2_1_1__4_AdditionalIntakeForMilkProduction(X$22,$W39), 1)</f>
        <v>1.0750000000000002</v>
      </c>
      <c r="AD39" s="29">
        <v>1</v>
      </c>
      <c r="AE39" s="29">
        <v>1</v>
      </c>
      <c r="AF39" s="29">
        <v>1</v>
      </c>
      <c r="AG39" s="29">
        <v>1</v>
      </c>
      <c r="AH39" s="32" t="str">
        <f t="shared" si="1"/>
        <v>fraction</v>
      </c>
    </row>
    <row r="40" spans="1:34" ht="20.100000000000001" customHeight="1" x14ac:dyDescent="0.25">
      <c r="A40" s="5" t="str">
        <f>HYPERLINK("#'Constants - Livestock'!A1", "Constants - Livestock")</f>
        <v>Constants - Livestock</v>
      </c>
    </row>
    <row r="41" spans="1:34" ht="20.100000000000001" customHeight="1" x14ac:dyDescent="0.25">
      <c r="A41" s="5" t="str">
        <f>HYPERLINK("#'Constants - Electricity'!A1", "Constants - Electricity")</f>
        <v>Constants - Electricity</v>
      </c>
      <c r="D41" s="50" t="str" cm="1">
        <f t="array" ref="D41:E43">_xlfn.CHOOSECOLS(EntericMethane_PastureBeef_Equations.VEERG_3_2_1_1__3_FeedIntakeForGrazingBeef_Arguments(), 1, 2)</f>
        <v>W_jkl</v>
      </c>
      <c r="E41" s="51" t="str">
        <v>liveweight (kg)</v>
      </c>
      <c r="F41" s="53"/>
      <c r="G41" s="50" t="str" cm="1">
        <f t="array" ref="G41:H43">_xlfn.CHOOSECOLS(EntericMethane_PastureBeef_Equations.VEERG_3_2_1_1__3_FeedIntakeForGrazingBeef_Arguments(), 3,4)</f>
        <v>kg</v>
      </c>
      <c r="H41" s="54" t="str">
        <v>Input</v>
      </c>
      <c r="I41" s="56" t="str" cm="1">
        <f t="array" aca="1" ref="I41" ca="1">HYPERLINK(Common_InputFunctions.Utility_SourceHyperlink($D$45), $D$45)</f>
        <v>M1_Table_W_j_k_l</v>
      </c>
      <c r="U41" s="57" t="s">
        <v>93</v>
      </c>
    </row>
    <row r="42" spans="1:34" ht="20.100000000000001" customHeight="1" x14ac:dyDescent="0.25">
      <c r="A42" s="5" t="str">
        <f>HYPERLINK("#'Constants - Fertiliser'!A1", "Constants - Fertiliser")</f>
        <v>Constants - Fertiliser</v>
      </c>
      <c r="D42" s="50" t="str">
        <v>LWG_jkl</v>
      </c>
      <c r="E42" s="51" t="str">
        <v>live weight gain (kg/head/day)</v>
      </c>
      <c r="F42" s="53"/>
      <c r="G42" s="50" t="str">
        <v>kg/head/day</v>
      </c>
      <c r="H42" s="54" t="str">
        <v>Input</v>
      </c>
      <c r="I42" s="56" t="str" cm="1">
        <f t="array" aca="1" ref="I42" ca="1">HYPERLINK(Common_InputFunctions.Utility_SourceHyperlink($D$53), $D$53)</f>
        <v>M1_Table_LWG_j_k_l</v>
      </c>
      <c r="U42" s="58" t="s">
        <v>94</v>
      </c>
    </row>
    <row r="43" spans="1:34" ht="20.100000000000001" customHeight="1" x14ac:dyDescent="0.25">
      <c r="A43" s="5" t="str">
        <f>HYPERLINK("#'Constants - Fuel'!A1", "Constants - Fuel")</f>
        <v>Constants - Fuel</v>
      </c>
      <c r="D43" s="50" t="str">
        <v>MA_jk45</v>
      </c>
      <c r="E43" s="51" t="str">
        <v>additional intake for milk production in cows greater than 2 years</v>
      </c>
      <c r="F43" s="53"/>
      <c r="G43" s="50" t="str">
        <v>kg/head/day</v>
      </c>
      <c r="H43" s="55" t="str">
        <v>Calculated from 3.2.1.1, (4)</v>
      </c>
      <c r="I43" s="56" t="str" cm="1">
        <f t="array" aca="1" ref="I43" ca="1">HYPERLINK(Common_InputFunctions.Utility_SourceHyperlink($D$23), $D$23)</f>
        <v>M1_Table_MA_j_k-4-5</v>
      </c>
      <c r="U43" s="59" t="s">
        <v>87</v>
      </c>
      <c r="V43" s="60" t="s">
        <v>31</v>
      </c>
      <c r="W43" s="60" t="s">
        <v>32</v>
      </c>
      <c r="X43" s="60" t="s">
        <v>33</v>
      </c>
      <c r="Y43" s="60" t="s">
        <v>34</v>
      </c>
      <c r="Z43" s="60" t="s">
        <v>35</v>
      </c>
      <c r="AA43" s="60" t="s">
        <v>36</v>
      </c>
      <c r="AB43" s="60" t="s">
        <v>37</v>
      </c>
      <c r="AC43" s="60" t="s">
        <v>38</v>
      </c>
      <c r="AD43" s="60" t="s">
        <v>39</v>
      </c>
      <c r="AE43" s="60" t="s">
        <v>40</v>
      </c>
      <c r="AF43" s="32"/>
    </row>
    <row r="44" spans="1:34" ht="20.100000000000001" customHeight="1" x14ac:dyDescent="0.25">
      <c r="A44" s="5" t="str">
        <f>HYPERLINK("#'Constants - Common'!A1", "Constants - Common")</f>
        <v>Constants - Common</v>
      </c>
      <c r="U44" s="29" t="str">
        <f>TEXT('Input - Site'!$E$12,"mmmm")</f>
        <v>January</v>
      </c>
      <c r="V44" s="29" cm="1">
        <f t="array" aca="1" ref="V44:AE55" ca="1">OFFSET(X_Table_PastureBeef_Liveweight_Method2,1,1,12,10)</f>
        <v>380</v>
      </c>
      <c r="W44" s="29">
        <f ca="1"/>
        <v>780</v>
      </c>
      <c r="X44" s="29">
        <f ca="1"/>
        <v>300</v>
      </c>
      <c r="Y44" s="29">
        <f ca="1"/>
        <v>450</v>
      </c>
      <c r="Z44" s="29">
        <f ca="1"/>
        <v>530</v>
      </c>
      <c r="AA44" s="29">
        <f ca="1"/>
        <v>530</v>
      </c>
      <c r="AB44" s="29">
        <f ca="1"/>
        <v>340</v>
      </c>
      <c r="AC44" s="29">
        <f ca="1"/>
        <v>470</v>
      </c>
      <c r="AD44" s="29">
        <f ca="1"/>
        <v>470</v>
      </c>
      <c r="AE44" s="29">
        <f ca="1"/>
        <v>470</v>
      </c>
      <c r="AF44" s="32" t="s">
        <v>51</v>
      </c>
    </row>
    <row r="45" spans="1:34" ht="20.100000000000001" customHeight="1" x14ac:dyDescent="0.25">
      <c r="A45" s="5" t="str">
        <f>HYPERLINK("#'Acknowledgements'!A1", "Acknowledgements")</f>
        <v>Acknowledgements</v>
      </c>
      <c r="D45" s="57" t="s">
        <v>95</v>
      </c>
      <c r="U45" s="29" t="str">
        <f>TEXT(EDATE('Input - Site'!$E$12,1), "mmmm")</f>
        <v>February</v>
      </c>
      <c r="V45" s="29">
        <f ca="1"/>
        <v>380</v>
      </c>
      <c r="W45" s="29">
        <f ca="1"/>
        <v>780</v>
      </c>
      <c r="X45" s="29">
        <f ca="1"/>
        <v>300</v>
      </c>
      <c r="Y45" s="29">
        <f ca="1"/>
        <v>450</v>
      </c>
      <c r="Z45" s="29">
        <f ca="1"/>
        <v>530</v>
      </c>
      <c r="AA45" s="29">
        <f ca="1"/>
        <v>530</v>
      </c>
      <c r="AB45" s="29">
        <f ca="1"/>
        <v>340</v>
      </c>
      <c r="AC45" s="29">
        <f ca="1"/>
        <v>470</v>
      </c>
      <c r="AD45" s="29">
        <f ca="1"/>
        <v>470</v>
      </c>
      <c r="AE45" s="29">
        <f ca="1"/>
        <v>470</v>
      </c>
      <c r="AF45" s="32" t="s">
        <v>51</v>
      </c>
    </row>
    <row r="46" spans="1:34" ht="20.100000000000001" customHeight="1" x14ac:dyDescent="0.25">
      <c r="A46" s="5" t="str">
        <f>HYPERLINK("#'Overview'!A1", "Overview")</f>
        <v>Overview</v>
      </c>
      <c r="D46" s="58" t="s">
        <v>96</v>
      </c>
      <c r="U46" s="29" t="str">
        <f>TEXT(EDATE('Input - Site'!$E$12,2), "mmmm")</f>
        <v>March</v>
      </c>
      <c r="V46" s="29">
        <f ca="1"/>
        <v>100</v>
      </c>
      <c r="W46" s="29">
        <f ca="1"/>
        <v>680</v>
      </c>
      <c r="X46" s="29">
        <f ca="1"/>
        <v>80</v>
      </c>
      <c r="Y46" s="29">
        <f ca="1"/>
        <v>320</v>
      </c>
      <c r="Z46" s="29">
        <f ca="1"/>
        <v>480</v>
      </c>
      <c r="AA46" s="29">
        <f ca="1"/>
        <v>480</v>
      </c>
      <c r="AB46" s="29">
        <f ca="1"/>
        <v>100</v>
      </c>
      <c r="AC46" s="29">
        <f ca="1"/>
        <v>340</v>
      </c>
      <c r="AD46" s="29">
        <f ca="1"/>
        <v>340</v>
      </c>
      <c r="AE46" s="29">
        <f ca="1"/>
        <v>340</v>
      </c>
      <c r="AF46" s="32" t="s">
        <v>51</v>
      </c>
    </row>
    <row r="47" spans="1:34" ht="20.100000000000001" customHeight="1" x14ac:dyDescent="0.25">
      <c r="D47" s="59" t="s">
        <v>84</v>
      </c>
      <c r="E47" s="60" t="s">
        <v>31</v>
      </c>
      <c r="F47" s="60" t="s">
        <v>32</v>
      </c>
      <c r="G47" s="60" t="s">
        <v>33</v>
      </c>
      <c r="H47" s="60" t="s">
        <v>34</v>
      </c>
      <c r="I47" s="60" t="s">
        <v>35</v>
      </c>
      <c r="J47" s="60" t="s">
        <v>36</v>
      </c>
      <c r="K47" s="60" t="s">
        <v>37</v>
      </c>
      <c r="L47" s="60" t="s">
        <v>38</v>
      </c>
      <c r="M47" s="60" t="s">
        <v>39</v>
      </c>
      <c r="N47" s="60" t="s">
        <v>40</v>
      </c>
      <c r="U47" s="29" t="str">
        <f>TEXT(EDATE('Input - Site'!$E$12,3), "mmmm")</f>
        <v>April</v>
      </c>
      <c r="V47" s="29">
        <f ca="1"/>
        <v>100</v>
      </c>
      <c r="W47" s="29">
        <f ca="1"/>
        <v>680</v>
      </c>
      <c r="X47" s="29">
        <f ca="1"/>
        <v>80</v>
      </c>
      <c r="Y47" s="29">
        <f ca="1"/>
        <v>320</v>
      </c>
      <c r="Z47" s="29">
        <f ca="1"/>
        <v>480</v>
      </c>
      <c r="AA47" s="29">
        <f ca="1"/>
        <v>480</v>
      </c>
      <c r="AB47" s="29">
        <f ca="1"/>
        <v>100</v>
      </c>
      <c r="AC47" s="29">
        <f ca="1"/>
        <v>340</v>
      </c>
      <c r="AD47" s="29">
        <f ca="1"/>
        <v>340</v>
      </c>
      <c r="AE47" s="29">
        <f ca="1"/>
        <v>340</v>
      </c>
      <c r="AF47" s="32" t="s">
        <v>51</v>
      </c>
    </row>
    <row r="48" spans="1:34" ht="20.100000000000001" customHeight="1" x14ac:dyDescent="0.25">
      <c r="D48" s="29" t="str">
        <f>INDEX(X_Table_PastureBeef_Liveweight_Method1,2,1)</f>
        <v>Spring</v>
      </c>
      <c r="E48" s="29" cm="1">
        <f t="array" aca="1" ref="E48:N51" ca="1">OFFSET(X_Table_PastureBeef_Liveweight_Method1, 1,1, 4,10)</f>
        <v>340</v>
      </c>
      <c r="F48" s="29">
        <f ca="1"/>
        <v>800</v>
      </c>
      <c r="G48" s="29">
        <f ca="1"/>
        <v>260</v>
      </c>
      <c r="H48" s="29">
        <f ca="1"/>
        <v>420</v>
      </c>
      <c r="I48" s="29">
        <f ca="1"/>
        <v>550</v>
      </c>
      <c r="J48" s="29">
        <f ca="1"/>
        <v>550</v>
      </c>
      <c r="K48" s="29">
        <f ca="1"/>
        <v>300</v>
      </c>
      <c r="L48" s="29">
        <f ca="1"/>
        <v>480</v>
      </c>
      <c r="M48" s="29">
        <f ca="1"/>
        <v>480</v>
      </c>
      <c r="N48" s="29">
        <f ca="1"/>
        <v>480</v>
      </c>
      <c r="O48" s="32" t="s">
        <v>51</v>
      </c>
      <c r="P48" s="32"/>
      <c r="Q48" s="32"/>
      <c r="U48" s="29" t="str">
        <f>TEXT(EDATE('Input - Site'!$E$12,4), "mmmm")</f>
        <v>May</v>
      </c>
      <c r="V48" s="29">
        <f ca="1"/>
        <v>100</v>
      </c>
      <c r="W48" s="29">
        <f ca="1"/>
        <v>680</v>
      </c>
      <c r="X48" s="29">
        <f ca="1"/>
        <v>80</v>
      </c>
      <c r="Y48" s="29">
        <f ca="1"/>
        <v>320</v>
      </c>
      <c r="Z48" s="29">
        <f ca="1"/>
        <v>480</v>
      </c>
      <c r="AA48" s="29">
        <f ca="1"/>
        <v>480</v>
      </c>
      <c r="AB48" s="29">
        <f ca="1"/>
        <v>100</v>
      </c>
      <c r="AC48" s="29">
        <f ca="1"/>
        <v>340</v>
      </c>
      <c r="AD48" s="29">
        <f ca="1"/>
        <v>340</v>
      </c>
      <c r="AE48" s="29">
        <f ca="1"/>
        <v>340</v>
      </c>
      <c r="AF48" s="32" t="s">
        <v>51</v>
      </c>
    </row>
    <row r="49" spans="4:34" ht="20.100000000000001" customHeight="1" x14ac:dyDescent="0.25">
      <c r="D49" s="29" t="str">
        <f>INDEX(X_Table_PastureBeef_Liveweight_Method1,3,1)</f>
        <v>Summer</v>
      </c>
      <c r="E49" s="29">
        <f ca="1"/>
        <v>380</v>
      </c>
      <c r="F49" s="29">
        <f ca="1"/>
        <v>780</v>
      </c>
      <c r="G49" s="29">
        <f ca="1"/>
        <v>300</v>
      </c>
      <c r="H49" s="29">
        <f ca="1"/>
        <v>450</v>
      </c>
      <c r="I49" s="29">
        <f ca="1"/>
        <v>530</v>
      </c>
      <c r="J49" s="29">
        <f ca="1"/>
        <v>530</v>
      </c>
      <c r="K49" s="29">
        <f ca="1"/>
        <v>340</v>
      </c>
      <c r="L49" s="29">
        <f ca="1"/>
        <v>470</v>
      </c>
      <c r="M49" s="29">
        <f ca="1"/>
        <v>470</v>
      </c>
      <c r="N49" s="29">
        <f ca="1"/>
        <v>470</v>
      </c>
      <c r="O49" s="32" t="s">
        <v>51</v>
      </c>
      <c r="P49" s="32"/>
      <c r="Q49" s="32"/>
      <c r="U49" s="29" t="str">
        <f>TEXT(EDATE('Input - Site'!$E$12,5), "mmmm")</f>
        <v>June</v>
      </c>
      <c r="V49" s="29">
        <f ca="1"/>
        <v>190</v>
      </c>
      <c r="W49" s="29">
        <f ca="1"/>
        <v>700</v>
      </c>
      <c r="X49" s="29">
        <f ca="1"/>
        <v>150</v>
      </c>
      <c r="Y49" s="29">
        <f ca="1"/>
        <v>330</v>
      </c>
      <c r="Z49" s="29">
        <f ca="1"/>
        <v>490</v>
      </c>
      <c r="AA49" s="29">
        <f ca="1"/>
        <v>490</v>
      </c>
      <c r="AB49" s="29">
        <f ca="1"/>
        <v>170</v>
      </c>
      <c r="AC49" s="29">
        <f ca="1"/>
        <v>360</v>
      </c>
      <c r="AD49" s="29">
        <f ca="1"/>
        <v>360</v>
      </c>
      <c r="AE49" s="29">
        <f ca="1"/>
        <v>360</v>
      </c>
      <c r="AF49" s="32" t="s">
        <v>51</v>
      </c>
    </row>
    <row r="50" spans="4:34" ht="20.100000000000001" customHeight="1" x14ac:dyDescent="0.25">
      <c r="D50" s="29" t="str">
        <f>INDEX(X_Table_PastureBeef_Liveweight_Method1,4,1)</f>
        <v>Autumn</v>
      </c>
      <c r="E50" s="29">
        <f ca="1"/>
        <v>100</v>
      </c>
      <c r="F50" s="29">
        <f ca="1"/>
        <v>680</v>
      </c>
      <c r="G50" s="29">
        <f ca="1"/>
        <v>80</v>
      </c>
      <c r="H50" s="29">
        <f ca="1"/>
        <v>320</v>
      </c>
      <c r="I50" s="29">
        <f ca="1"/>
        <v>480</v>
      </c>
      <c r="J50" s="29">
        <f ca="1"/>
        <v>480</v>
      </c>
      <c r="K50" s="29">
        <f ca="1"/>
        <v>100</v>
      </c>
      <c r="L50" s="29">
        <f ca="1"/>
        <v>340</v>
      </c>
      <c r="M50" s="29">
        <f ca="1"/>
        <v>340</v>
      </c>
      <c r="N50" s="29">
        <f ca="1"/>
        <v>340</v>
      </c>
      <c r="O50" s="32" t="s">
        <v>51</v>
      </c>
      <c r="P50" s="32"/>
      <c r="Q50" s="32"/>
      <c r="U50" s="29" t="str">
        <f>TEXT(EDATE('Input - Site'!$E$12,6), "mmmm")</f>
        <v>July</v>
      </c>
      <c r="V50" s="29">
        <f ca="1"/>
        <v>190</v>
      </c>
      <c r="W50" s="29">
        <f ca="1"/>
        <v>700</v>
      </c>
      <c r="X50" s="29">
        <f ca="1"/>
        <v>150</v>
      </c>
      <c r="Y50" s="29">
        <f ca="1"/>
        <v>330</v>
      </c>
      <c r="Z50" s="29">
        <f ca="1"/>
        <v>490</v>
      </c>
      <c r="AA50" s="29">
        <f ca="1"/>
        <v>490</v>
      </c>
      <c r="AB50" s="29">
        <f ca="1"/>
        <v>170</v>
      </c>
      <c r="AC50" s="29">
        <f ca="1"/>
        <v>360</v>
      </c>
      <c r="AD50" s="29">
        <f ca="1"/>
        <v>360</v>
      </c>
      <c r="AE50" s="29">
        <f ca="1"/>
        <v>360</v>
      </c>
      <c r="AF50" s="32" t="s">
        <v>51</v>
      </c>
    </row>
    <row r="51" spans="4:34" ht="20.100000000000001" customHeight="1" x14ac:dyDescent="0.25">
      <c r="D51" s="29" t="str">
        <f>INDEX(X_Table_PastureBeef_Liveweight_Method1,5,1)</f>
        <v>Winter</v>
      </c>
      <c r="E51" s="29">
        <f ca="1"/>
        <v>190</v>
      </c>
      <c r="F51" s="29">
        <f ca="1"/>
        <v>700</v>
      </c>
      <c r="G51" s="29">
        <f ca="1"/>
        <v>150</v>
      </c>
      <c r="H51" s="29">
        <f ca="1"/>
        <v>330</v>
      </c>
      <c r="I51" s="29">
        <f ca="1"/>
        <v>490</v>
      </c>
      <c r="J51" s="29">
        <f ca="1"/>
        <v>490</v>
      </c>
      <c r="K51" s="29">
        <f ca="1"/>
        <v>170</v>
      </c>
      <c r="L51" s="29">
        <f ca="1"/>
        <v>360</v>
      </c>
      <c r="M51" s="29">
        <f ca="1"/>
        <v>360</v>
      </c>
      <c r="N51" s="29">
        <f ca="1"/>
        <v>360</v>
      </c>
      <c r="O51" s="32" t="s">
        <v>51</v>
      </c>
      <c r="P51" s="32"/>
      <c r="Q51" s="32"/>
      <c r="U51" s="29" t="str">
        <f>TEXT(EDATE('Input - Site'!$E$12,7), "mmmm")</f>
        <v>August</v>
      </c>
      <c r="V51" s="29">
        <f ca="1"/>
        <v>190</v>
      </c>
      <c r="W51" s="29">
        <f ca="1"/>
        <v>700</v>
      </c>
      <c r="X51" s="29">
        <f ca="1"/>
        <v>150</v>
      </c>
      <c r="Y51" s="29">
        <f ca="1"/>
        <v>330</v>
      </c>
      <c r="Z51" s="29">
        <f ca="1"/>
        <v>490</v>
      </c>
      <c r="AA51" s="29">
        <f ca="1"/>
        <v>490</v>
      </c>
      <c r="AB51" s="29">
        <f ca="1"/>
        <v>170</v>
      </c>
      <c r="AC51" s="29">
        <f ca="1"/>
        <v>360</v>
      </c>
      <c r="AD51" s="29">
        <f ca="1"/>
        <v>360</v>
      </c>
      <c r="AE51" s="29">
        <f ca="1"/>
        <v>360</v>
      </c>
      <c r="AF51" s="32" t="s">
        <v>51</v>
      </c>
      <c r="AG51" s="32"/>
      <c r="AH51" s="32"/>
    </row>
    <row r="52" spans="4:34" ht="20.100000000000001" customHeight="1" x14ac:dyDescent="0.25">
      <c r="U52" s="29" t="str">
        <f>TEXT(EDATE('Input - Site'!$E$12,8), "mmmm")</f>
        <v>September</v>
      </c>
      <c r="V52" s="29">
        <f ca="1"/>
        <v>340</v>
      </c>
      <c r="W52" s="29">
        <f ca="1"/>
        <v>800</v>
      </c>
      <c r="X52" s="29">
        <f ca="1"/>
        <v>260</v>
      </c>
      <c r="Y52" s="29">
        <f ca="1"/>
        <v>420</v>
      </c>
      <c r="Z52" s="29">
        <f ca="1"/>
        <v>550</v>
      </c>
      <c r="AA52" s="29">
        <f ca="1"/>
        <v>550</v>
      </c>
      <c r="AB52" s="29">
        <f ca="1"/>
        <v>300</v>
      </c>
      <c r="AC52" s="29">
        <f ca="1"/>
        <v>480</v>
      </c>
      <c r="AD52" s="29">
        <f ca="1"/>
        <v>480</v>
      </c>
      <c r="AE52" s="29">
        <f ca="1"/>
        <v>480</v>
      </c>
      <c r="AF52" s="32" t="s">
        <v>51</v>
      </c>
      <c r="AG52" s="32"/>
      <c r="AH52" s="32"/>
    </row>
    <row r="53" spans="4:34" ht="20.100000000000001" customHeight="1" x14ac:dyDescent="0.25">
      <c r="D53" s="57" t="s">
        <v>97</v>
      </c>
      <c r="U53" s="29" t="str">
        <f>TEXT(EDATE('Input - Site'!$E$12,9), "mmmm")</f>
        <v>October</v>
      </c>
      <c r="V53" s="29">
        <f ca="1"/>
        <v>340</v>
      </c>
      <c r="W53" s="29">
        <f ca="1"/>
        <v>800</v>
      </c>
      <c r="X53" s="29">
        <f ca="1"/>
        <v>260</v>
      </c>
      <c r="Y53" s="29">
        <f ca="1"/>
        <v>420</v>
      </c>
      <c r="Z53" s="29">
        <f ca="1"/>
        <v>550</v>
      </c>
      <c r="AA53" s="29">
        <f ca="1"/>
        <v>550</v>
      </c>
      <c r="AB53" s="29">
        <f ca="1"/>
        <v>300</v>
      </c>
      <c r="AC53" s="29">
        <f ca="1"/>
        <v>480</v>
      </c>
      <c r="AD53" s="29">
        <f ca="1"/>
        <v>480</v>
      </c>
      <c r="AE53" s="29">
        <f ca="1"/>
        <v>480</v>
      </c>
      <c r="AF53" s="32" t="s">
        <v>51</v>
      </c>
      <c r="AG53" s="32"/>
      <c r="AH53" s="32"/>
    </row>
    <row r="54" spans="4:34" ht="20.100000000000001" customHeight="1" x14ac:dyDescent="0.25">
      <c r="D54" s="58" t="s">
        <v>98</v>
      </c>
      <c r="U54" s="29" t="str">
        <f>TEXT(EDATE('Input - Site'!$E$12,10), "mmmm")</f>
        <v>November</v>
      </c>
      <c r="V54" s="29">
        <f ca="1"/>
        <v>340</v>
      </c>
      <c r="W54" s="29">
        <f ca="1"/>
        <v>800</v>
      </c>
      <c r="X54" s="29">
        <f ca="1"/>
        <v>260</v>
      </c>
      <c r="Y54" s="29">
        <f ca="1"/>
        <v>420</v>
      </c>
      <c r="Z54" s="29">
        <f ca="1"/>
        <v>550</v>
      </c>
      <c r="AA54" s="29">
        <f ca="1"/>
        <v>550</v>
      </c>
      <c r="AB54" s="29">
        <f ca="1"/>
        <v>300</v>
      </c>
      <c r="AC54" s="29">
        <f ca="1"/>
        <v>480</v>
      </c>
      <c r="AD54" s="29">
        <f ca="1"/>
        <v>480</v>
      </c>
      <c r="AE54" s="29">
        <f ca="1"/>
        <v>480</v>
      </c>
      <c r="AF54" s="32" t="s">
        <v>51</v>
      </c>
      <c r="AG54" s="32"/>
      <c r="AH54" s="32"/>
    </row>
    <row r="55" spans="4:34" ht="20.100000000000001" customHeight="1" x14ac:dyDescent="0.25">
      <c r="D55" s="59" t="s">
        <v>84</v>
      </c>
      <c r="E55" s="60" t="s">
        <v>31</v>
      </c>
      <c r="F55" s="60" t="s">
        <v>32</v>
      </c>
      <c r="G55" s="60" t="s">
        <v>33</v>
      </c>
      <c r="H55" s="60" t="s">
        <v>34</v>
      </c>
      <c r="I55" s="60" t="s">
        <v>35</v>
      </c>
      <c r="J55" s="60" t="s">
        <v>36</v>
      </c>
      <c r="K55" s="60" t="s">
        <v>37</v>
      </c>
      <c r="L55" s="60" t="s">
        <v>38</v>
      </c>
      <c r="M55" s="60" t="s">
        <v>39</v>
      </c>
      <c r="N55" s="60" t="s">
        <v>40</v>
      </c>
      <c r="U55" s="29" t="str">
        <f>TEXT(EDATE('Input - Site'!$E$12,11), "mmmm")</f>
        <v>December</v>
      </c>
      <c r="V55" s="29">
        <f ca="1"/>
        <v>380</v>
      </c>
      <c r="W55" s="29">
        <f ca="1"/>
        <v>780</v>
      </c>
      <c r="X55" s="29">
        <f ca="1"/>
        <v>300</v>
      </c>
      <c r="Y55" s="29">
        <f ca="1"/>
        <v>450</v>
      </c>
      <c r="Z55" s="29">
        <f ca="1"/>
        <v>530</v>
      </c>
      <c r="AA55" s="29">
        <f ca="1"/>
        <v>530</v>
      </c>
      <c r="AB55" s="29">
        <f ca="1"/>
        <v>340</v>
      </c>
      <c r="AC55" s="29">
        <f ca="1"/>
        <v>470</v>
      </c>
      <c r="AD55" s="29">
        <f ca="1"/>
        <v>470</v>
      </c>
      <c r="AE55" s="29">
        <f ca="1"/>
        <v>470</v>
      </c>
      <c r="AF55" s="32" t="s">
        <v>51</v>
      </c>
      <c r="AG55" s="32"/>
      <c r="AH55" s="32"/>
    </row>
    <row r="56" spans="4:34" ht="20.100000000000001" customHeight="1" x14ac:dyDescent="0.25">
      <c r="D56" s="29" t="str">
        <f>INDEX(X_Table_PastureBeef_LiveweightGain_Method1,2,1)</f>
        <v>Spring</v>
      </c>
      <c r="E56" s="29" cm="1">
        <f t="array" aca="1" ref="E56:N59" ca="1">OFFSET(X_Table_PastureBeef_LiveweightGain_Method1, 1,1, 4,10)</f>
        <v>1.64</v>
      </c>
      <c r="F56" s="29">
        <f ca="1"/>
        <v>1.1000000000000001</v>
      </c>
      <c r="G56" s="29">
        <f ca="1"/>
        <v>1.21</v>
      </c>
      <c r="H56" s="29">
        <f ca="1"/>
        <v>0.99</v>
      </c>
      <c r="I56" s="29">
        <f ca="1"/>
        <v>0.66</v>
      </c>
      <c r="J56" s="29">
        <f ca="1"/>
        <v>0.66</v>
      </c>
      <c r="K56" s="29">
        <f ca="1"/>
        <v>1.42</v>
      </c>
      <c r="L56" s="29">
        <f ca="1"/>
        <v>1.1000000000000001</v>
      </c>
      <c r="M56" s="29">
        <f ca="1"/>
        <v>1.1000000000000001</v>
      </c>
      <c r="N56" s="29">
        <f ca="1"/>
        <v>1.1000000000000001</v>
      </c>
      <c r="O56" s="32" t="s">
        <v>51</v>
      </c>
      <c r="P56" s="32"/>
      <c r="Q56" s="32"/>
      <c r="AG56" s="32"/>
      <c r="AH56" s="32"/>
    </row>
    <row r="57" spans="4:34" ht="20.100000000000001" customHeight="1" x14ac:dyDescent="0.25">
      <c r="D57" s="29" t="str">
        <f>INDEX(X_Table_PastureBeef_LiveweightGain_Method1,3,1)</f>
        <v>Summer</v>
      </c>
      <c r="E57" s="29">
        <f ca="1"/>
        <v>0.44</v>
      </c>
      <c r="F57" s="29">
        <f ca="1"/>
        <v>-0.22</v>
      </c>
      <c r="G57" s="29">
        <f ca="1"/>
        <v>0.44</v>
      </c>
      <c r="H57" s="29">
        <f ca="1"/>
        <v>0.33</v>
      </c>
      <c r="I57" s="29">
        <f ca="1"/>
        <v>-0.22</v>
      </c>
      <c r="J57" s="29">
        <f ca="1"/>
        <v>-0.22</v>
      </c>
      <c r="K57" s="29">
        <f ca="1"/>
        <v>0.44</v>
      </c>
      <c r="L57" s="29">
        <f ca="1"/>
        <v>-0.11</v>
      </c>
      <c r="M57" s="29">
        <f ca="1"/>
        <v>-0.11</v>
      </c>
      <c r="N57" s="29">
        <f ca="1"/>
        <v>-0.11</v>
      </c>
      <c r="O57" s="32" t="s">
        <v>51</v>
      </c>
      <c r="P57" s="32"/>
      <c r="Q57" s="32"/>
      <c r="U57" s="57" t="s">
        <v>99</v>
      </c>
      <c r="AG57" s="32"/>
      <c r="AH57" s="32"/>
    </row>
    <row r="58" spans="4:34" ht="20.100000000000001" customHeight="1" x14ac:dyDescent="0.25">
      <c r="D58" s="29" t="str">
        <f>INDEX(X_Table_PastureBeef_LiveweightGain_Method1,4,1)</f>
        <v>Autumn</v>
      </c>
      <c r="E58" s="29">
        <f ca="1"/>
        <v>0.6</v>
      </c>
      <c r="F58" s="29">
        <f ca="1"/>
        <v>0</v>
      </c>
      <c r="G58" s="29">
        <f ca="1"/>
        <v>0.6</v>
      </c>
      <c r="H58" s="29">
        <f ca="1"/>
        <v>0.22</v>
      </c>
      <c r="I58" s="29">
        <f ca="1"/>
        <v>-0.55000000000000004</v>
      </c>
      <c r="J58" s="29">
        <f ca="1"/>
        <v>-0.55000000000000004</v>
      </c>
      <c r="K58" s="29">
        <f ca="1"/>
        <v>0.6</v>
      </c>
      <c r="L58" s="29">
        <f ca="1"/>
        <v>0</v>
      </c>
      <c r="M58" s="29">
        <f ca="1"/>
        <v>0</v>
      </c>
      <c r="N58" s="29">
        <f ca="1"/>
        <v>0</v>
      </c>
      <c r="O58" s="32" t="s">
        <v>51</v>
      </c>
      <c r="P58" s="32"/>
      <c r="Q58" s="32"/>
      <c r="U58" s="58" t="s">
        <v>100</v>
      </c>
      <c r="AG58" s="32"/>
      <c r="AH58" s="32"/>
    </row>
    <row r="59" spans="4:34" ht="20.100000000000001" customHeight="1" x14ac:dyDescent="0.25">
      <c r="D59" s="29" t="str">
        <f>INDEX(X_Table_PastureBeef_LiveweightGain_Method1,5,1)</f>
        <v>Winter</v>
      </c>
      <c r="E59" s="29">
        <f ca="1"/>
        <v>0.99</v>
      </c>
      <c r="F59" s="29">
        <f ca="1"/>
        <v>0.22</v>
      </c>
      <c r="G59" s="29">
        <f ca="1"/>
        <v>0.77</v>
      </c>
      <c r="H59" s="29">
        <f ca="1"/>
        <v>0.11</v>
      </c>
      <c r="I59" s="29">
        <f ca="1"/>
        <v>0.11</v>
      </c>
      <c r="J59" s="29">
        <f ca="1"/>
        <v>0.11</v>
      </c>
      <c r="K59" s="29">
        <f ca="1"/>
        <v>0.77</v>
      </c>
      <c r="L59" s="29">
        <f ca="1"/>
        <v>0.44</v>
      </c>
      <c r="M59" s="29">
        <f ca="1"/>
        <v>0.44</v>
      </c>
      <c r="N59" s="29">
        <f ca="1"/>
        <v>0.44</v>
      </c>
      <c r="O59" s="32" t="s">
        <v>51</v>
      </c>
      <c r="P59" s="32"/>
      <c r="Q59" s="32"/>
      <c r="U59" s="59" t="s">
        <v>87</v>
      </c>
      <c r="V59" s="60" t="s">
        <v>31</v>
      </c>
      <c r="W59" s="60" t="s">
        <v>32</v>
      </c>
      <c r="X59" s="60" t="s">
        <v>33</v>
      </c>
      <c r="Y59" s="60" t="s">
        <v>34</v>
      </c>
      <c r="Z59" s="60" t="s">
        <v>35</v>
      </c>
      <c r="AA59" s="60" t="s">
        <v>36</v>
      </c>
      <c r="AB59" s="60" t="s">
        <v>37</v>
      </c>
      <c r="AC59" s="60" t="s">
        <v>38</v>
      </c>
      <c r="AD59" s="60" t="s">
        <v>39</v>
      </c>
      <c r="AE59" s="60" t="s">
        <v>40</v>
      </c>
      <c r="AG59" s="32"/>
      <c r="AH59" s="32"/>
    </row>
    <row r="60" spans="4:34" ht="20.100000000000001" customHeight="1" x14ac:dyDescent="0.25">
      <c r="U60" s="29" t="str">
        <f>TEXT('Input - Site'!$E$12,"mmmm")</f>
        <v>January</v>
      </c>
      <c r="V60" s="29" cm="1">
        <f t="array" aca="1" ref="V60:AE71" ca="1">OFFSET(X_Table_PastureBeef_LiveweightGain_Method2,1,1,12,10)</f>
        <v>0.44</v>
      </c>
      <c r="W60" s="29">
        <f ca="1"/>
        <v>-0.22</v>
      </c>
      <c r="X60" s="29">
        <f ca="1"/>
        <v>0.44</v>
      </c>
      <c r="Y60" s="29">
        <f ca="1"/>
        <v>0.33</v>
      </c>
      <c r="Z60" s="29">
        <f ca="1"/>
        <v>-0.22</v>
      </c>
      <c r="AA60" s="29">
        <f ca="1"/>
        <v>-0.22</v>
      </c>
      <c r="AB60" s="29">
        <f ca="1"/>
        <v>0.44</v>
      </c>
      <c r="AC60" s="29">
        <f ca="1"/>
        <v>-0.11</v>
      </c>
      <c r="AD60" s="29">
        <f ca="1"/>
        <v>-0.11</v>
      </c>
      <c r="AE60" s="29">
        <f ca="1"/>
        <v>-0.11</v>
      </c>
      <c r="AF60" s="32" t="s">
        <v>53</v>
      </c>
      <c r="AG60" s="32"/>
      <c r="AH60" s="32"/>
    </row>
    <row r="61" spans="4:34" ht="20.100000000000001" customHeight="1" x14ac:dyDescent="0.25">
      <c r="D61" s="57" t="s">
        <v>101</v>
      </c>
      <c r="U61" s="29" t="str">
        <f>TEXT(EDATE('Input - Site'!$E$12,1), "mmmm")</f>
        <v>February</v>
      </c>
      <c r="V61" s="29">
        <f ca="1"/>
        <v>0.44</v>
      </c>
      <c r="W61" s="29">
        <f ca="1"/>
        <v>-0.22</v>
      </c>
      <c r="X61" s="29">
        <f ca="1"/>
        <v>0.44</v>
      </c>
      <c r="Y61" s="29">
        <f ca="1"/>
        <v>0.33</v>
      </c>
      <c r="Z61" s="29">
        <f ca="1"/>
        <v>-0.22</v>
      </c>
      <c r="AA61" s="29">
        <f ca="1"/>
        <v>-0.22</v>
      </c>
      <c r="AB61" s="29">
        <f ca="1"/>
        <v>0.44</v>
      </c>
      <c r="AC61" s="29">
        <f ca="1"/>
        <v>-0.11</v>
      </c>
      <c r="AD61" s="29">
        <f ca="1"/>
        <v>-0.11</v>
      </c>
      <c r="AE61" s="29">
        <f ca="1"/>
        <v>-0.11</v>
      </c>
      <c r="AF61" s="32" t="s">
        <v>53</v>
      </c>
      <c r="AG61" s="32"/>
      <c r="AH61" s="32"/>
    </row>
    <row r="62" spans="4:34" ht="20.100000000000001" customHeight="1" x14ac:dyDescent="0.25">
      <c r="D62" s="58" t="s">
        <v>102</v>
      </c>
      <c r="U62" s="29" t="str">
        <f>TEXT(EDATE('Input - Site'!$E$12,2), "mmmm")</f>
        <v>March</v>
      </c>
      <c r="V62" s="29">
        <f ca="1"/>
        <v>0.6</v>
      </c>
      <c r="W62" s="29">
        <f ca="1"/>
        <v>0</v>
      </c>
      <c r="X62" s="29">
        <f ca="1"/>
        <v>0.6</v>
      </c>
      <c r="Y62" s="29">
        <f ca="1"/>
        <v>0.22</v>
      </c>
      <c r="Z62" s="29">
        <f ca="1"/>
        <v>-0.55000000000000004</v>
      </c>
      <c r="AA62" s="29">
        <f ca="1"/>
        <v>-0.55000000000000004</v>
      </c>
      <c r="AB62" s="29">
        <f ca="1"/>
        <v>0.6</v>
      </c>
      <c r="AC62" s="29">
        <f ca="1"/>
        <v>0</v>
      </c>
      <c r="AD62" s="29">
        <f ca="1"/>
        <v>0</v>
      </c>
      <c r="AE62" s="29">
        <f ca="1"/>
        <v>0</v>
      </c>
      <c r="AF62" s="32" t="s">
        <v>53</v>
      </c>
      <c r="AG62" s="32"/>
      <c r="AH62" s="32"/>
    </row>
    <row r="63" spans="4:34" ht="20.100000000000001" customHeight="1" x14ac:dyDescent="0.25">
      <c r="D63" s="59" t="s">
        <v>84</v>
      </c>
      <c r="E63" s="59" t="s">
        <v>31</v>
      </c>
      <c r="F63" s="59" t="s">
        <v>32</v>
      </c>
      <c r="G63" s="59" t="s">
        <v>33</v>
      </c>
      <c r="H63" s="59" t="s">
        <v>34</v>
      </c>
      <c r="I63" s="59" t="s">
        <v>35</v>
      </c>
      <c r="J63" s="59" t="s">
        <v>36</v>
      </c>
      <c r="K63" s="59" t="s">
        <v>37</v>
      </c>
      <c r="L63" s="59" t="s">
        <v>38</v>
      </c>
      <c r="M63" s="59" t="s">
        <v>39</v>
      </c>
      <c r="N63" s="59" t="s">
        <v>40</v>
      </c>
      <c r="U63" s="29" t="str">
        <f>TEXT(EDATE('Input - Site'!$E$12,3), "mmmm")</f>
        <v>April</v>
      </c>
      <c r="V63" s="29">
        <f ca="1"/>
        <v>0.6</v>
      </c>
      <c r="W63" s="29">
        <f ca="1"/>
        <v>0</v>
      </c>
      <c r="X63" s="29">
        <f ca="1"/>
        <v>0.6</v>
      </c>
      <c r="Y63" s="29">
        <f ca="1"/>
        <v>0.22</v>
      </c>
      <c r="Z63" s="29">
        <f ca="1"/>
        <v>-0.55000000000000004</v>
      </c>
      <c r="AA63" s="29">
        <f ca="1"/>
        <v>-0.55000000000000004</v>
      </c>
      <c r="AB63" s="29">
        <f ca="1"/>
        <v>0.6</v>
      </c>
      <c r="AC63" s="29">
        <f ca="1"/>
        <v>0</v>
      </c>
      <c r="AD63" s="29">
        <f ca="1"/>
        <v>0</v>
      </c>
      <c r="AE63" s="29">
        <f ca="1"/>
        <v>0</v>
      </c>
      <c r="AF63" s="32" t="s">
        <v>53</v>
      </c>
      <c r="AG63" s="32"/>
      <c r="AH63" s="32"/>
    </row>
    <row r="64" spans="4:34" ht="20.100000000000001" customHeight="1" x14ac:dyDescent="0.25">
      <c r="D64" s="29" t="s">
        <v>41</v>
      </c>
      <c r="E64" s="29" cm="1">
        <f t="array" aca="1" ref="E64" ca="1">EntericMethane_PastureBeef_Equations.VEERG_3_2_1_1__3_FeedIntakeForGrazingBeef(E48,E56,G26)</f>
        <v>8.6709047296000001</v>
      </c>
      <c r="F64" s="29" cm="1">
        <f t="array" aca="1" ref="F64" ca="1">EntericMethane_PastureBeef_Equations.VEERG_3_2_1_1__3_FeedIntakeForGrazingBeef(F48,F56,H26)</f>
        <v>12.246500250000002</v>
      </c>
      <c r="G64" s="29" cm="1">
        <f t="array" aca="1" ref="G64" ca="1">EntericMethane_PastureBeef_Equations.VEERG_3_2_1_1__3_FeedIntakeForGrazingBeef(G48,G56,I26)</f>
        <v>6.6089612241000006</v>
      </c>
      <c r="H64" s="29" cm="1">
        <f t="array" aca="1" ref="H64" ca="1">EntericMethane_PastureBeef_Equations.VEERG_3_2_1_1__3_FeedIntakeForGrazingBeef(H48,H56,J26)</f>
        <v>9.4536614511090029</v>
      </c>
      <c r="I64" s="29" cm="1">
        <f t="array" aca="1" ref="I64" ca="1">EntericMethane_PastureBeef_Equations.VEERG_3_2_1_1__3_FeedIntakeForGrazingBeef(I48,I56,K26)</f>
        <v>10.112646138000002</v>
      </c>
      <c r="J64" s="29" cm="1">
        <f t="array" aca="1" ref="J64" ca="1">EntericMethane_PastureBeef_Equations.VEERG_3_2_1_1__3_FeedIntakeForGrazingBeef(J48,J56,L26)</f>
        <v>10.112646138000002</v>
      </c>
      <c r="K64" s="29" cm="1">
        <f t="array" aca="1" ref="K64" ca="1">EntericMethane_PastureBeef_Equations.VEERG_3_2_1_1__3_FeedIntakeForGrazingBeef(K48,K56,M26)</f>
        <v>7.6192560899999977</v>
      </c>
      <c r="L64" s="29" cm="1">
        <f t="array" aca="1" ref="L64" ca="1">EntericMethane_PastureBeef_Equations.VEERG_3_2_1_1__3_FeedIntakeForGrazingBeef(L48,L56,N26)</f>
        <v>9.6824279555999979</v>
      </c>
      <c r="M64" s="29" cm="1">
        <f t="array" aca="1" ref="M64" ca="1">EntericMethane_PastureBeef_Equations.VEERG_3_2_1_1__3_FeedIntakeForGrazingBeef(M48,M56,O26)</f>
        <v>9.6824279555999979</v>
      </c>
      <c r="N64" s="29" cm="1">
        <f t="array" aca="1" ref="N64" ca="1">EntericMethane_PastureBeef_Equations.VEERG_3_2_1_1__3_FeedIntakeForGrazingBeef(N48,N56,P26)</f>
        <v>9.6824279555999979</v>
      </c>
      <c r="O64" s="32" t="str">
        <f>$E$39</f>
        <v>kg DM/head/day</v>
      </c>
      <c r="P64" s="32"/>
      <c r="Q64" s="32"/>
      <c r="U64" s="29" t="str">
        <f>TEXT(EDATE('Input - Site'!$E$12,4), "mmmm")</f>
        <v>May</v>
      </c>
      <c r="V64" s="29">
        <f ca="1"/>
        <v>0.6</v>
      </c>
      <c r="W64" s="29">
        <f ca="1"/>
        <v>0</v>
      </c>
      <c r="X64" s="29">
        <f ca="1"/>
        <v>0.6</v>
      </c>
      <c r="Y64" s="29">
        <f ca="1"/>
        <v>0.22</v>
      </c>
      <c r="Z64" s="29">
        <f ca="1"/>
        <v>-0.55000000000000004</v>
      </c>
      <c r="AA64" s="29">
        <f ca="1"/>
        <v>-0.55000000000000004</v>
      </c>
      <c r="AB64" s="29">
        <f ca="1"/>
        <v>0.6</v>
      </c>
      <c r="AC64" s="29">
        <f ca="1"/>
        <v>0</v>
      </c>
      <c r="AD64" s="29">
        <f ca="1"/>
        <v>0</v>
      </c>
      <c r="AE64" s="29">
        <f ca="1"/>
        <v>0</v>
      </c>
      <c r="AF64" s="32" t="s">
        <v>53</v>
      </c>
    </row>
    <row r="65" spans="3:34" ht="20.100000000000001" customHeight="1" x14ac:dyDescent="0.25">
      <c r="D65" s="29" t="s">
        <v>43</v>
      </c>
      <c r="E65" s="29" cm="1">
        <f t="array" aca="1" ref="E65" ca="1">EntericMethane_PastureBeef_Equations.VEERG_3_2_1_1__3_FeedIntakeForGrazingBeef(E49,E57,G27)</f>
        <v>7.1468536895999959</v>
      </c>
      <c r="F65" s="29" cm="1">
        <f t="array" aca="1" ref="F65" ca="1">EntericMethane_PastureBeef_Equations.VEERG_3_2_1_1__3_FeedIntakeForGrazingBeef(F49,F57,H27)</f>
        <v>9.4559940036000008</v>
      </c>
      <c r="G65" s="29" cm="1">
        <f t="array" aca="1" ref="G65" ca="1">EntericMethane_PastureBeef_Equations.VEERG_3_2_1_1__3_FeedIntakeForGrazingBeef(G49,G57,I27)</f>
        <v>6.010342559999998</v>
      </c>
      <c r="H65" s="29" cm="1">
        <f t="array" aca="1" ref="H65" ca="1">EntericMethane_PastureBeef_Equations.VEERG_3_2_1_1__3_FeedIntakeForGrazingBeef(H49,H57,J27)</f>
        <v>7.8705497025</v>
      </c>
      <c r="I65" s="29" cm="1">
        <f t="array" aca="1" ref="I65" ca="1">EntericMethane_PastureBeef_Equations.VEERG_3_2_1_1__3_FeedIntakeForGrazingBeef(I49,I57,K27)</f>
        <v>7.7928072335999978</v>
      </c>
      <c r="J65" s="29" cm="1">
        <f t="array" aca="1" ref="J65" ca="1">EntericMethane_PastureBeef_Equations.VEERG_3_2_1_1__3_FeedIntakeForGrazingBeef(J49,J57,L27)</f>
        <v>7.7928072335999978</v>
      </c>
      <c r="K65" s="29" cm="1">
        <f t="array" aca="1" ref="K65" ca="1">EntericMethane_PastureBeef_Equations.VEERG_3_2_1_1__3_FeedIntakeForGrazingBeef(K49,K57,M27)</f>
        <v>6.5876408896000003</v>
      </c>
      <c r="L65" s="29" cm="1">
        <f t="array" aca="1" ref="L65" ca="1">EntericMethane_PastureBeef_Equations.VEERG_3_2_1_1__3_FeedIntakeForGrazingBeef(L49,L57,N27)</f>
        <v>7.3430702361</v>
      </c>
      <c r="M65" s="29" cm="1">
        <f t="array" aca="1" ref="M65" ca="1">EntericMethane_PastureBeef_Equations.VEERG_3_2_1_1__3_FeedIntakeForGrazingBeef(M49,M57,O27)</f>
        <v>7.3430702361</v>
      </c>
      <c r="N65" s="29" cm="1">
        <f t="array" aca="1" ref="N65" ca="1">EntericMethane_PastureBeef_Equations.VEERG_3_2_1_1__3_FeedIntakeForGrazingBeef(N49,N57,P27)</f>
        <v>7.3430702361</v>
      </c>
      <c r="O65" s="32" t="str">
        <f>$E$39</f>
        <v>kg DM/head/day</v>
      </c>
      <c r="P65" s="32"/>
      <c r="Q65" s="32"/>
      <c r="U65" s="29" t="str">
        <f>TEXT(EDATE('Input - Site'!$E$12,5), "mmmm")</f>
        <v>June</v>
      </c>
      <c r="V65" s="29">
        <f ca="1"/>
        <v>0.99</v>
      </c>
      <c r="W65" s="29">
        <f ca="1"/>
        <v>0.22</v>
      </c>
      <c r="X65" s="29">
        <f ca="1"/>
        <v>0.77</v>
      </c>
      <c r="Y65" s="29">
        <f ca="1"/>
        <v>0.11</v>
      </c>
      <c r="Z65" s="29">
        <f ca="1"/>
        <v>0.11</v>
      </c>
      <c r="AA65" s="29">
        <f ca="1"/>
        <v>0.11</v>
      </c>
      <c r="AB65" s="29">
        <f ca="1"/>
        <v>0.77</v>
      </c>
      <c r="AC65" s="29">
        <f ca="1"/>
        <v>0.44</v>
      </c>
      <c r="AD65" s="29">
        <f ca="1"/>
        <v>0.44</v>
      </c>
      <c r="AE65" s="29">
        <f ca="1"/>
        <v>0.44</v>
      </c>
      <c r="AF65" s="32" t="s">
        <v>53</v>
      </c>
    </row>
    <row r="66" spans="3:34" ht="20.100000000000001" customHeight="1" x14ac:dyDescent="0.25">
      <c r="D66" s="29" t="s">
        <v>44</v>
      </c>
      <c r="E66" s="29" cm="1">
        <f t="array" aca="1" ref="E66" ca="1">EntericMethane_PastureBeef_Equations.VEERG_3_2_1_1__3_FeedIntakeForGrazingBeef(E50,E58,G28)</f>
        <v>3.247204</v>
      </c>
      <c r="F66" s="29" cm="1">
        <f t="array" aca="1" ref="F66" ca="1">EntericMethane_PastureBeef_Equations.VEERG_3_2_1_1__3_FeedIntakeForGrazingBeef(F50,F58,H28)</f>
        <v>9.4246544015999998</v>
      </c>
      <c r="G66" s="29" cm="1">
        <f t="array" aca="1" ref="G66" ca="1">EntericMethane_PastureBeef_Equations.VEERG_3_2_1_1__3_FeedIntakeForGrazingBeef(G50,G58,I28)</f>
        <v>2.9603267136000002</v>
      </c>
      <c r="H66" s="29" cm="1">
        <f t="array" aca="1" ref="H66" ca="1">EntericMethane_PastureBeef_Equations.VEERG_3_2_1_1__3_FeedIntakeForGrazingBeef(H50,H58,J28)</f>
        <v>5.9577975395999987</v>
      </c>
      <c r="I66" s="29" cm="1">
        <f t="array" aca="1" ref="I66" ca="1">EntericMethane_PastureBeef_Equations.VEERG_3_2_1_1__3_FeedIntakeForGrazingBeef(I50,I58,K28)</f>
        <v>6.7179974480999993</v>
      </c>
      <c r="J66" s="29" cm="1">
        <f t="array" aca="1" ref="J66" ca="1">EntericMethane_PastureBeef_Equations.VEERG_3_2_1_1__3_FeedIntakeForGrazingBeef(J50,J58,L28)</f>
        <v>6.7179974480999993</v>
      </c>
      <c r="K66" s="29" cm="1">
        <f t="array" aca="1" ref="K66" ca="1">EntericMethane_PastureBeef_Equations.VEERG_3_2_1_1__3_FeedIntakeForGrazingBeef(K50,K58,M28)</f>
        <v>3.247204</v>
      </c>
      <c r="L66" s="29" cm="1">
        <f t="array" aca="1" ref="L66" ca="1">EntericMethane_PastureBeef_Equations.VEERG_3_2_1_1__3_FeedIntakeForGrazingBeef(L50,L58,N28)</f>
        <v>5.8953782416000013</v>
      </c>
      <c r="M66" s="29" cm="1">
        <f t="array" aca="1" ref="M66" ca="1">EntericMethane_PastureBeef_Equations.VEERG_3_2_1_1__3_FeedIntakeForGrazingBeef(M50,M58,O28)</f>
        <v>5.8953782416000013</v>
      </c>
      <c r="N66" s="29" cm="1">
        <f t="array" aca="1" ref="N66" ca="1">EntericMethane_PastureBeef_Equations.VEERG_3_2_1_1__3_FeedIntakeForGrazingBeef(N50,N58,P28)</f>
        <v>5.8953782416000013</v>
      </c>
      <c r="O66" s="32" t="str">
        <f>$E$39</f>
        <v>kg DM/head/day</v>
      </c>
      <c r="P66" s="32"/>
      <c r="Q66" s="32"/>
      <c r="U66" s="29" t="str">
        <f>TEXT(EDATE('Input - Site'!$E$12,6), "mmmm")</f>
        <v>July</v>
      </c>
      <c r="V66" s="29">
        <f ca="1"/>
        <v>0.99</v>
      </c>
      <c r="W66" s="29">
        <f ca="1"/>
        <v>0.22</v>
      </c>
      <c r="X66" s="29">
        <f ca="1"/>
        <v>0.77</v>
      </c>
      <c r="Y66" s="29">
        <f ca="1"/>
        <v>0.11</v>
      </c>
      <c r="Z66" s="29">
        <f ca="1"/>
        <v>0.11</v>
      </c>
      <c r="AA66" s="29">
        <f ca="1"/>
        <v>0.11</v>
      </c>
      <c r="AB66" s="29">
        <f ca="1"/>
        <v>0.77</v>
      </c>
      <c r="AC66" s="29">
        <f ca="1"/>
        <v>0.44</v>
      </c>
      <c r="AD66" s="29">
        <f ca="1"/>
        <v>0.44</v>
      </c>
      <c r="AE66" s="29">
        <f ca="1"/>
        <v>0.44</v>
      </c>
      <c r="AF66" s="32" t="s">
        <v>53</v>
      </c>
    </row>
    <row r="67" spans="3:34" ht="20.100000000000001" customHeight="1" x14ac:dyDescent="0.25">
      <c r="D67" s="29" t="s">
        <v>45</v>
      </c>
      <c r="E67" s="29" cm="1">
        <f t="array" aca="1" ref="E67" ca="1">EntericMethane_PastureBeef_Equations.VEERG_3_2_1_1__3_FeedIntakeForGrazingBeef(E51,E59,G29)</f>
        <v>5.1328980481000004</v>
      </c>
      <c r="F67" s="29" cm="1">
        <f t="array" aca="1" ref="F67" ca="1">EntericMethane_PastureBeef_Equations.VEERG_3_2_1_1__3_FeedIntakeForGrazingBeef(F51,F59,H29)</f>
        <v>9.9748588899999984</v>
      </c>
      <c r="G67" s="29" cm="1">
        <f t="array" aca="1" ref="G67" ca="1">EntericMethane_PastureBeef_Equations.VEERG_3_2_1_1__3_FeedIntakeForGrazingBeef(G51,G59,I29)</f>
        <v>4.202705002500001</v>
      </c>
      <c r="H67" s="29" cm="1">
        <f t="array" aca="1" ref="H67" ca="1">EntericMethane_PastureBeef_Equations.VEERG_3_2_1_1__3_FeedIntakeForGrazingBeef(H51,H59,J29)</f>
        <v>7.5283222358070025</v>
      </c>
      <c r="I67" s="29" cm="1">
        <f t="array" aca="1" ref="I67" ca="1">EntericMethane_PastureBeef_Equations.VEERG_3_2_1_1__3_FeedIntakeForGrazingBeef(I51,I59,K29)</f>
        <v>9.145195140114998</v>
      </c>
      <c r="J67" s="29" cm="1">
        <f t="array" aca="1" ref="J67" ca="1">EntericMethane_PastureBeef_Equations.VEERG_3_2_1_1__3_FeedIntakeForGrazingBeef(J51,J59,L29)</f>
        <v>9.145195140114998</v>
      </c>
      <c r="K67" s="29" cm="1">
        <f t="array" aca="1" ref="K67" ca="1">EntericMethane_PastureBeef_Equations.VEERG_3_2_1_1__3_FeedIntakeForGrazingBeef(K51,K59,M29)</f>
        <v>4.5122681240999984</v>
      </c>
      <c r="L67" s="29" cm="1">
        <f t="array" aca="1" ref="L67" ca="1">EntericMethane_PastureBeef_Equations.VEERG_3_2_1_1__3_FeedIntakeForGrazingBeef(L51,L59,N29)</f>
        <v>6.8698506815999991</v>
      </c>
      <c r="M67" s="29" cm="1">
        <f t="array" aca="1" ref="M67" ca="1">EntericMethane_PastureBeef_Equations.VEERG_3_2_1_1__3_FeedIntakeForGrazingBeef(M51,M59,O29)</f>
        <v>6.8698506815999991</v>
      </c>
      <c r="N67" s="29" cm="1">
        <f t="array" aca="1" ref="N67" ca="1">EntericMethane_PastureBeef_Equations.VEERG_3_2_1_1__3_FeedIntakeForGrazingBeef(N51,N59,P29)</f>
        <v>6.8698506815999991</v>
      </c>
      <c r="O67" s="32" t="str">
        <f>$E$39</f>
        <v>kg DM/head/day</v>
      </c>
      <c r="P67" s="32"/>
      <c r="Q67" s="32"/>
      <c r="U67" s="29" t="str">
        <f>TEXT(EDATE('Input - Site'!$E$12,7), "mmmm")</f>
        <v>August</v>
      </c>
      <c r="V67" s="29">
        <f ca="1"/>
        <v>0.99</v>
      </c>
      <c r="W67" s="29">
        <f ca="1"/>
        <v>0.22</v>
      </c>
      <c r="X67" s="29">
        <f ca="1"/>
        <v>0.77</v>
      </c>
      <c r="Y67" s="29">
        <f ca="1"/>
        <v>0.11</v>
      </c>
      <c r="Z67" s="29">
        <f ca="1"/>
        <v>0.11</v>
      </c>
      <c r="AA67" s="29">
        <f ca="1"/>
        <v>0.11</v>
      </c>
      <c r="AB67" s="29">
        <f ca="1"/>
        <v>0.77</v>
      </c>
      <c r="AC67" s="29">
        <f ca="1"/>
        <v>0.44</v>
      </c>
      <c r="AD67" s="29">
        <f ca="1"/>
        <v>0.44</v>
      </c>
      <c r="AE67" s="29">
        <f ca="1"/>
        <v>0.44</v>
      </c>
      <c r="AF67" s="32" t="s">
        <v>53</v>
      </c>
    </row>
    <row r="68" spans="3:34" ht="20.100000000000001" customHeight="1" x14ac:dyDescent="0.25">
      <c r="U68" s="29" t="str">
        <f>TEXT(EDATE('Input - Site'!$E$12,8), "mmmm")</f>
        <v>September</v>
      </c>
      <c r="V68" s="29">
        <f ca="1"/>
        <v>1.64</v>
      </c>
      <c r="W68" s="29">
        <f ca="1"/>
        <v>1.1000000000000001</v>
      </c>
      <c r="X68" s="29">
        <f ca="1"/>
        <v>1.21</v>
      </c>
      <c r="Y68" s="29">
        <f ca="1"/>
        <v>0.99</v>
      </c>
      <c r="Z68" s="29">
        <f ca="1"/>
        <v>0.66</v>
      </c>
      <c r="AA68" s="29">
        <f ca="1"/>
        <v>0.66</v>
      </c>
      <c r="AB68" s="29">
        <f ca="1"/>
        <v>1.42</v>
      </c>
      <c r="AC68" s="29">
        <f ca="1"/>
        <v>1.1000000000000001</v>
      </c>
      <c r="AD68" s="29">
        <f ca="1"/>
        <v>1.1000000000000001</v>
      </c>
      <c r="AE68" s="29">
        <f ca="1"/>
        <v>1.1000000000000001</v>
      </c>
      <c r="AF68" s="32" t="s">
        <v>53</v>
      </c>
      <c r="AG68" s="32"/>
      <c r="AH68" s="32"/>
    </row>
    <row r="69" spans="3:34" ht="20.100000000000001" customHeight="1" x14ac:dyDescent="0.25">
      <c r="U69" s="29" t="str">
        <f>TEXT(EDATE('Input - Site'!$E$12,9), "mmmm")</f>
        <v>October</v>
      </c>
      <c r="V69" s="29">
        <f ca="1"/>
        <v>1.64</v>
      </c>
      <c r="W69" s="29">
        <f ca="1"/>
        <v>1.1000000000000001</v>
      </c>
      <c r="X69" s="29">
        <f ca="1"/>
        <v>1.21</v>
      </c>
      <c r="Y69" s="29">
        <f ca="1"/>
        <v>0.99</v>
      </c>
      <c r="Z69" s="29">
        <f ca="1"/>
        <v>0.66</v>
      </c>
      <c r="AA69" s="29">
        <f ca="1"/>
        <v>0.66</v>
      </c>
      <c r="AB69" s="29">
        <f ca="1"/>
        <v>1.42</v>
      </c>
      <c r="AC69" s="29">
        <f ca="1"/>
        <v>1.1000000000000001</v>
      </c>
      <c r="AD69" s="29">
        <f ca="1"/>
        <v>1.1000000000000001</v>
      </c>
      <c r="AE69" s="29">
        <f ca="1"/>
        <v>1.1000000000000001</v>
      </c>
      <c r="AF69" s="32" t="s">
        <v>53</v>
      </c>
      <c r="AG69" s="32"/>
      <c r="AH69" s="32"/>
    </row>
    <row r="70" spans="3:34" ht="20.100000000000001" customHeight="1" x14ac:dyDescent="0.25">
      <c r="C70" s="61"/>
      <c r="D70" s="61"/>
      <c r="E70" s="61"/>
      <c r="F70" s="61"/>
      <c r="G70" s="61"/>
      <c r="H70" s="61"/>
      <c r="I70" s="61"/>
      <c r="J70" s="61"/>
      <c r="K70" s="61"/>
      <c r="L70" s="61"/>
      <c r="M70" s="61"/>
      <c r="N70" s="61"/>
      <c r="O70" s="61"/>
      <c r="P70" s="61"/>
      <c r="Q70" s="61"/>
      <c r="R70" s="61"/>
      <c r="U70" s="29" t="str">
        <f>TEXT(EDATE('Input - Site'!$E$12,10), "mmmm")</f>
        <v>November</v>
      </c>
      <c r="V70" s="29">
        <f ca="1"/>
        <v>1.64</v>
      </c>
      <c r="W70" s="29">
        <f ca="1"/>
        <v>1.1000000000000001</v>
      </c>
      <c r="X70" s="29">
        <f ca="1"/>
        <v>1.21</v>
      </c>
      <c r="Y70" s="29">
        <f ca="1"/>
        <v>0.99</v>
      </c>
      <c r="Z70" s="29">
        <f ca="1"/>
        <v>0.66</v>
      </c>
      <c r="AA70" s="29">
        <f ca="1"/>
        <v>0.66</v>
      </c>
      <c r="AB70" s="29">
        <f ca="1"/>
        <v>1.42</v>
      </c>
      <c r="AC70" s="29">
        <f ca="1"/>
        <v>1.1000000000000001</v>
      </c>
      <c r="AD70" s="29">
        <f ca="1"/>
        <v>1.1000000000000001</v>
      </c>
      <c r="AE70" s="29">
        <f ca="1"/>
        <v>1.1000000000000001</v>
      </c>
      <c r="AF70" s="32" t="s">
        <v>53</v>
      </c>
      <c r="AG70" s="32"/>
      <c r="AH70" s="32"/>
    </row>
    <row r="71" spans="3:34" ht="20.100000000000001" customHeight="1" x14ac:dyDescent="0.25">
      <c r="D71" s="2" t="str" cm="1">
        <f t="array" ref="D71">EntericMethane_PastureBeef_Equations.VEERG_3_2_1_1__2_DailyEntericMethaneProduction_Title()</f>
        <v>Daily production of enteric methane</v>
      </c>
      <c r="U71" s="29" t="str">
        <f>TEXT(EDATE('Input - Site'!$E$12,11), "mmmm")</f>
        <v>December</v>
      </c>
      <c r="V71" s="29">
        <f ca="1"/>
        <v>0.44</v>
      </c>
      <c r="W71" s="29">
        <f ca="1"/>
        <v>-0.22</v>
      </c>
      <c r="X71" s="29">
        <f ca="1"/>
        <v>0.44</v>
      </c>
      <c r="Y71" s="29">
        <f ca="1"/>
        <v>0.33</v>
      </c>
      <c r="Z71" s="29">
        <f ca="1"/>
        <v>-0.22</v>
      </c>
      <c r="AA71" s="29">
        <f ca="1"/>
        <v>-0.22</v>
      </c>
      <c r="AB71" s="29">
        <f ca="1"/>
        <v>0.44</v>
      </c>
      <c r="AC71" s="29">
        <f ca="1"/>
        <v>-0.11</v>
      </c>
      <c r="AD71" s="29">
        <f ca="1"/>
        <v>-0.11</v>
      </c>
      <c r="AE71" s="29">
        <f ca="1"/>
        <v>-0.11</v>
      </c>
      <c r="AF71" s="32" t="s">
        <v>53</v>
      </c>
      <c r="AG71" s="32"/>
      <c r="AH71" s="32"/>
    </row>
    <row r="72" spans="3:34" ht="20.100000000000001" customHeight="1" x14ac:dyDescent="0.25">
      <c r="D72" s="46" t="str" cm="1">
        <f t="array" ref="D72">EntericMethane_PastureBeef_Equations.VEERG_3_2_1_1__2_DailyEntericMethaneProduction_Source()</f>
        <v>VEERG 2026: 3.2.1.1, Equation (2)</v>
      </c>
      <c r="AG72" s="32"/>
      <c r="AH72" s="32"/>
    </row>
    <row r="73" spans="3:34" ht="20.100000000000001" customHeight="1" x14ac:dyDescent="0.25">
      <c r="D73" s="47" t="s">
        <v>77</v>
      </c>
      <c r="E73" s="47" t="str" cm="1">
        <f t="array" aca="1" ref="E73" ca="1">Common_InputFunctions.Utility_DisplayFunctionName(E85)</f>
        <v>=EntericMethane_PastureBeef_Equations.VEERG_3_2_1_1__2_DailyEntericMethaneProduction</v>
      </c>
      <c r="U73" s="57" t="s">
        <v>103</v>
      </c>
      <c r="AG73" s="32"/>
      <c r="AH73" s="32"/>
    </row>
    <row r="74" spans="3:34" ht="20.100000000000001" customHeight="1" x14ac:dyDescent="0.25">
      <c r="U74" s="58" t="s">
        <v>104</v>
      </c>
      <c r="AG74" s="32"/>
      <c r="AH74" s="32"/>
    </row>
    <row r="75" spans="3:34" ht="20.100000000000001" customHeight="1" x14ac:dyDescent="0.25">
      <c r="U75" s="59" t="s">
        <v>87</v>
      </c>
      <c r="V75" s="59" t="s">
        <v>31</v>
      </c>
      <c r="W75" s="59" t="s">
        <v>32</v>
      </c>
      <c r="X75" s="59" t="s">
        <v>33</v>
      </c>
      <c r="Y75" s="59" t="s">
        <v>34</v>
      </c>
      <c r="Z75" s="59" t="s">
        <v>35</v>
      </c>
      <c r="AA75" s="59" t="s">
        <v>36</v>
      </c>
      <c r="AB75" s="59" t="s">
        <v>37</v>
      </c>
      <c r="AC75" s="59" t="s">
        <v>38</v>
      </c>
      <c r="AD75" s="59" t="s">
        <v>39</v>
      </c>
      <c r="AE75" s="59" t="s">
        <v>40</v>
      </c>
      <c r="AG75" s="32"/>
      <c r="AH75" s="32"/>
    </row>
    <row r="76" spans="3:34" ht="20.100000000000001" customHeight="1" x14ac:dyDescent="0.25">
      <c r="U76" s="29" t="str">
        <f>TEXT('Input - Site'!$E$12, "mmmm yyyy")</f>
        <v>January 2024</v>
      </c>
      <c r="V76" s="29" cm="1">
        <f t="array" aca="1" ref="V76" ca="1">EntericMethane_PastureBeef_Equations.VEERG_3_2_1_1__3_FeedIntakeForGrazingBeef(V44,V60,X28)</f>
        <v>7.1468536895999959</v>
      </c>
      <c r="W76" s="29" cm="1">
        <f t="array" aca="1" ref="W76" ca="1">EntericMethane_PastureBeef_Equations.VEERG_3_2_1_1__3_FeedIntakeForGrazingBeef(W44,W60,Y28)</f>
        <v>9.4559940036000008</v>
      </c>
      <c r="X76" s="29" cm="1">
        <f t="array" aca="1" ref="X76" ca="1">EntericMethane_PastureBeef_Equations.VEERG_3_2_1_1__3_FeedIntakeForGrazingBeef(X44,X60,Z28)</f>
        <v>6.010342559999998</v>
      </c>
      <c r="Y76" s="29" cm="1">
        <f t="array" aca="1" ref="Y76" ca="1">EntericMethane_PastureBeef_Equations.VEERG_3_2_1_1__3_FeedIntakeForGrazingBeef(Y44,Y60,AA28)</f>
        <v>8.4608409301875014</v>
      </c>
      <c r="Z76" s="29" cm="1">
        <f t="array" aca="1" ref="Z76" ca="1">EntericMethane_PastureBeef_Equations.VEERG_3_2_1_1__3_FeedIntakeForGrazingBeef(Z44,Z60,AB28)</f>
        <v>8.3772677761199983</v>
      </c>
      <c r="AA76" s="29" cm="1">
        <f t="array" aca="1" ref="AA76" ca="1">EntericMethane_PastureBeef_Equations.VEERG_3_2_1_1__3_FeedIntakeForGrazingBeef(AA44,AA60,AC28)</f>
        <v>8.3772677761199983</v>
      </c>
      <c r="AB76" s="29" cm="1">
        <f t="array" aca="1" ref="AB76" ca="1">EntericMethane_PastureBeef_Equations.VEERG_3_2_1_1__3_FeedIntakeForGrazingBeef(AB44,AB60,AD28)</f>
        <v>6.5876408896000003</v>
      </c>
      <c r="AC76" s="29" cm="1">
        <f t="array" aca="1" ref="AC76" ca="1">EntericMethane_PastureBeef_Equations.VEERG_3_2_1_1__3_FeedIntakeForGrazingBeef(AC44,AC60,AE28)</f>
        <v>7.3430702361</v>
      </c>
      <c r="AD76" s="29" cm="1">
        <f t="array" aca="1" ref="AD76" ca="1">EntericMethane_PastureBeef_Equations.VEERG_3_2_1_1__3_FeedIntakeForGrazingBeef(AD44,AD60,AF28)</f>
        <v>7.3430702361</v>
      </c>
      <c r="AE76" s="29" cm="1">
        <f t="array" aca="1" ref="AE76" ca="1">EntericMethane_PastureBeef_Equations.VEERG_3_2_1_1__3_FeedIntakeForGrazingBeef(AE44,AE60,AG28)</f>
        <v>7.3430702361</v>
      </c>
      <c r="AF76" s="32" t="str">
        <f t="shared" ref="AF76:AF87" si="2">$E$39</f>
        <v>kg DM/head/day</v>
      </c>
      <c r="AG76" s="32"/>
      <c r="AH76" s="32"/>
    </row>
    <row r="77" spans="3:34" ht="20.100000000000001" customHeight="1" x14ac:dyDescent="0.25">
      <c r="D77" s="48" t="s">
        <v>79</v>
      </c>
      <c r="E77" s="1" t="str" cm="1">
        <f t="array" ref="E77">EntericMethane_PastureBeef_Equations.VEERG_3_2_1_1__2_DailyEntericMethaneProduction_Variable()</f>
        <v>M_jkl</v>
      </c>
      <c r="U77" s="29" t="str">
        <f>TEXT(EDATE('Input - Site'!$E$12,1), "mmmm yyyy")</f>
        <v>February 2024</v>
      </c>
      <c r="V77" s="29" cm="1">
        <f t="array" aca="1" ref="V77" ca="1">EntericMethane_PastureBeef_Equations.VEERG_3_2_1_1__3_FeedIntakeForGrazingBeef(V45,V61,X29)</f>
        <v>7.1468536895999959</v>
      </c>
      <c r="W77" s="29" cm="1">
        <f t="array" aca="1" ref="W77" ca="1">EntericMethane_PastureBeef_Equations.VEERG_3_2_1_1__3_FeedIntakeForGrazingBeef(W45,W61,Y29)</f>
        <v>9.4559940036000008</v>
      </c>
      <c r="X77" s="29" cm="1">
        <f t="array" aca="1" ref="X77" ca="1">EntericMethane_PastureBeef_Equations.VEERG_3_2_1_1__3_FeedIntakeForGrazingBeef(X45,X61,Z29)</f>
        <v>6.010342559999998</v>
      </c>
      <c r="Y77" s="29" cm="1">
        <f t="array" aca="1" ref="Y77" ca="1">EntericMethane_PastureBeef_Equations.VEERG_3_2_1_1__3_FeedIntakeForGrazingBeef(Y45,Y61,AA29)</f>
        <v>7.8705497025</v>
      </c>
      <c r="Z77" s="29" cm="1">
        <f t="array" aca="1" ref="Z77" ca="1">EntericMethane_PastureBeef_Equations.VEERG_3_2_1_1__3_FeedIntakeForGrazingBeef(Z45,Z61,AB29)</f>
        <v>7.7928072335999978</v>
      </c>
      <c r="AA77" s="29" cm="1">
        <f t="array" aca="1" ref="AA77" ca="1">EntericMethane_PastureBeef_Equations.VEERG_3_2_1_1__3_FeedIntakeForGrazingBeef(AA45,AA61,AC29)</f>
        <v>7.7928072335999978</v>
      </c>
      <c r="AB77" s="29" cm="1">
        <f t="array" aca="1" ref="AB77" ca="1">EntericMethane_PastureBeef_Equations.VEERG_3_2_1_1__3_FeedIntakeForGrazingBeef(AB45,AB61,AD29)</f>
        <v>6.5876408896000003</v>
      </c>
      <c r="AC77" s="29" cm="1">
        <f t="array" aca="1" ref="AC77" ca="1">EntericMethane_PastureBeef_Equations.VEERG_3_2_1_1__3_FeedIntakeForGrazingBeef(AC45,AC61,AE29)</f>
        <v>7.3430702361</v>
      </c>
      <c r="AD77" s="29" cm="1">
        <f t="array" aca="1" ref="AD77" ca="1">EntericMethane_PastureBeef_Equations.VEERG_3_2_1_1__3_FeedIntakeForGrazingBeef(AD45,AD61,AF29)</f>
        <v>7.3430702361</v>
      </c>
      <c r="AE77" s="29" cm="1">
        <f t="array" aca="1" ref="AE77" ca="1">EntericMethane_PastureBeef_Equations.VEERG_3_2_1_1__3_FeedIntakeForGrazingBeef(AE45,AE61,AG29)</f>
        <v>7.3430702361</v>
      </c>
      <c r="AF77" s="32" t="str">
        <f t="shared" si="2"/>
        <v>kg DM/head/day</v>
      </c>
      <c r="AG77" s="32"/>
      <c r="AH77" s="32"/>
    </row>
    <row r="78" spans="3:34" ht="20.100000000000001" customHeight="1" x14ac:dyDescent="0.25">
      <c r="D78" s="48" t="s">
        <v>80</v>
      </c>
      <c r="E78" s="17" t="str" cm="1">
        <f t="array" ref="E78">EntericMethane_PastureBeef_Equations.VEERG_3_2_1_1__2_DailyEntericMethaneProduction_Unit()</f>
        <v>kg CH4/head/day</v>
      </c>
      <c r="U78" s="29" t="str">
        <f>TEXT(EDATE('Input - Site'!$E$12,2), "mmmm yyyy")</f>
        <v>March 2024</v>
      </c>
      <c r="V78" s="29" cm="1">
        <f t="array" aca="1" ref="V78" ca="1">EntericMethane_PastureBeef_Equations.VEERG_3_2_1_1__3_FeedIntakeForGrazingBeef(V46,V62,X30)</f>
        <v>3.247204</v>
      </c>
      <c r="W78" s="29" cm="1">
        <f t="array" aca="1" ref="W78" ca="1">EntericMethane_PastureBeef_Equations.VEERG_3_2_1_1__3_FeedIntakeForGrazingBeef(W46,W62,Y30)</f>
        <v>9.4246544015999998</v>
      </c>
      <c r="X78" s="29" cm="1">
        <f t="array" aca="1" ref="X78" ca="1">EntericMethane_PastureBeef_Equations.VEERG_3_2_1_1__3_FeedIntakeForGrazingBeef(X46,X62,Z30)</f>
        <v>2.9603267136000002</v>
      </c>
      <c r="Y78" s="29" cm="1">
        <f t="array" aca="1" ref="Y78" ca="1">EntericMethane_PastureBeef_Equations.VEERG_3_2_1_1__3_FeedIntakeForGrazingBeef(Y46,Y62,AA30)</f>
        <v>5.9577975395999987</v>
      </c>
      <c r="Z78" s="29" cm="1">
        <f t="array" aca="1" ref="Z78" ca="1">EntericMethane_PastureBeef_Equations.VEERG_3_2_1_1__3_FeedIntakeForGrazingBeef(Z46,Z62,AB30)</f>
        <v>6.7179974480999993</v>
      </c>
      <c r="AA78" s="29" cm="1">
        <f t="array" aca="1" ref="AA78" ca="1">EntericMethane_PastureBeef_Equations.VEERG_3_2_1_1__3_FeedIntakeForGrazingBeef(AA46,AA62,AC30)</f>
        <v>6.7179974480999993</v>
      </c>
      <c r="AB78" s="29" cm="1">
        <f t="array" aca="1" ref="AB78" ca="1">EntericMethane_PastureBeef_Equations.VEERG_3_2_1_1__3_FeedIntakeForGrazingBeef(AB46,AB62,AD30)</f>
        <v>3.247204</v>
      </c>
      <c r="AC78" s="29" cm="1">
        <f t="array" aca="1" ref="AC78" ca="1">EntericMethane_PastureBeef_Equations.VEERG_3_2_1_1__3_FeedIntakeForGrazingBeef(AC46,AC62,AE30)</f>
        <v>5.8953782416000013</v>
      </c>
      <c r="AD78" s="29" cm="1">
        <f t="array" aca="1" ref="AD78" ca="1">EntericMethane_PastureBeef_Equations.VEERG_3_2_1_1__3_FeedIntakeForGrazingBeef(AD46,AD62,AF30)</f>
        <v>5.8953782416000013</v>
      </c>
      <c r="AE78" s="29" cm="1">
        <f t="array" aca="1" ref="AE78" ca="1">EntericMethane_PastureBeef_Equations.VEERG_3_2_1_1__3_FeedIntakeForGrazingBeef(AE46,AE62,AG30)</f>
        <v>5.8953782416000013</v>
      </c>
      <c r="AF78" s="32" t="str">
        <f t="shared" si="2"/>
        <v>kg DM/head/day</v>
      </c>
      <c r="AG78" s="32"/>
      <c r="AH78" s="32"/>
    </row>
    <row r="79" spans="3:34" ht="20.100000000000001" customHeight="1" x14ac:dyDescent="0.25">
      <c r="U79" s="29" t="str">
        <f>TEXT(EDATE('Input - Site'!$E$12,3), "mmmm yyyy")</f>
        <v>April 2024</v>
      </c>
      <c r="V79" s="29" cm="1">
        <f t="array" aca="1" ref="V79" ca="1">EntericMethane_PastureBeef_Equations.VEERG_3_2_1_1__3_FeedIntakeForGrazingBeef(V47,V63,X31)</f>
        <v>3.247204</v>
      </c>
      <c r="W79" s="29" cm="1">
        <f t="array" aca="1" ref="W79" ca="1">EntericMethane_PastureBeef_Equations.VEERG_3_2_1_1__3_FeedIntakeForGrazingBeef(W47,W63,Y31)</f>
        <v>9.4246544015999998</v>
      </c>
      <c r="X79" s="29" cm="1">
        <f t="array" aca="1" ref="X79" ca="1">EntericMethane_PastureBeef_Equations.VEERG_3_2_1_1__3_FeedIntakeForGrazingBeef(X47,X63,Z31)</f>
        <v>2.9603267136000002</v>
      </c>
      <c r="Y79" s="29" cm="1">
        <f t="array" aca="1" ref="Y79" ca="1">EntericMethane_PastureBeef_Equations.VEERG_3_2_1_1__3_FeedIntakeForGrazingBeef(Y47,Y63,AA31)</f>
        <v>5.9577975395999987</v>
      </c>
      <c r="Z79" s="29" cm="1">
        <f t="array" aca="1" ref="Z79" ca="1">EntericMethane_PastureBeef_Equations.VEERG_3_2_1_1__3_FeedIntakeForGrazingBeef(Z47,Z63,AB31)</f>
        <v>6.7179974480999993</v>
      </c>
      <c r="AA79" s="29" cm="1">
        <f t="array" aca="1" ref="AA79" ca="1">EntericMethane_PastureBeef_Equations.VEERG_3_2_1_1__3_FeedIntakeForGrazingBeef(AA47,AA63,AC31)</f>
        <v>6.7179974480999993</v>
      </c>
      <c r="AB79" s="29" cm="1">
        <f t="array" aca="1" ref="AB79" ca="1">EntericMethane_PastureBeef_Equations.VEERG_3_2_1_1__3_FeedIntakeForGrazingBeef(AB47,AB63,AD31)</f>
        <v>3.247204</v>
      </c>
      <c r="AC79" s="29" cm="1">
        <f t="array" aca="1" ref="AC79" ca="1">EntericMethane_PastureBeef_Equations.VEERG_3_2_1_1__3_FeedIntakeForGrazingBeef(AC47,AC63,AE31)</f>
        <v>5.8953782416000013</v>
      </c>
      <c r="AD79" s="29" cm="1">
        <f t="array" aca="1" ref="AD79" ca="1">EntericMethane_PastureBeef_Equations.VEERG_3_2_1_1__3_FeedIntakeForGrazingBeef(AD47,AD63,AF31)</f>
        <v>5.8953782416000013</v>
      </c>
      <c r="AE79" s="29" cm="1">
        <f t="array" aca="1" ref="AE79" ca="1">EntericMethane_PastureBeef_Equations.VEERG_3_2_1_1__3_FeedIntakeForGrazingBeef(AE47,AE63,AG31)</f>
        <v>5.8953782416000013</v>
      </c>
      <c r="AF79" s="32" t="str">
        <f t="shared" si="2"/>
        <v>kg DM/head/day</v>
      </c>
      <c r="AG79" s="32"/>
      <c r="AH79" s="32"/>
    </row>
    <row r="80" spans="3:34" ht="20.100000000000001" customHeight="1" x14ac:dyDescent="0.25">
      <c r="D80" s="50" t="str" cm="1">
        <f t="array" ref="D80:E80">_xlfn.CHOOSECOLS(EntericMethane_PastureBeef_Equations.VEERG_3_2_1_1__2_DailyEntericMethaneProduction_Arguments(), 1, 2)</f>
        <v>I_jkl</v>
      </c>
      <c r="E80" s="51" t="str">
        <v>dry matter intake</v>
      </c>
      <c r="F80" s="53"/>
      <c r="G80" s="50" t="str" cm="1">
        <f t="array" ref="G80:H80">_xlfn.CHOOSECOLS(EntericMethane_PastureBeef_Equations.VEERG_3_2_1_1__2_DailyEntericMethaneProduction_Arguments(), 3,4)</f>
        <v>kg DM/head/day</v>
      </c>
      <c r="H80" s="55" t="str">
        <v>Calculated from 3.2.1.1, (3)</v>
      </c>
      <c r="I80" s="56" t="str" cm="1">
        <f t="array" aca="1" ref="I80" ca="1">HYPERLINK(Common_InputFunctions.Utility_SourceHyperlink($D$61), $D$61)</f>
        <v>M1_Table_I_j_k_l</v>
      </c>
      <c r="U80" s="29" t="str">
        <f>TEXT(EDATE('Input - Site'!$E$12,4), "mmmm yyyy")</f>
        <v>May 2024</v>
      </c>
      <c r="V80" s="29" cm="1">
        <f t="array" aca="1" ref="V80" ca="1">EntericMethane_PastureBeef_Equations.VEERG_3_2_1_1__3_FeedIntakeForGrazingBeef(V48,V64,X32)</f>
        <v>3.247204</v>
      </c>
      <c r="W80" s="29" cm="1">
        <f t="array" aca="1" ref="W80" ca="1">EntericMethane_PastureBeef_Equations.VEERG_3_2_1_1__3_FeedIntakeForGrazingBeef(W48,W64,Y32)</f>
        <v>9.4246544015999998</v>
      </c>
      <c r="X80" s="29" cm="1">
        <f t="array" aca="1" ref="X80" ca="1">EntericMethane_PastureBeef_Equations.VEERG_3_2_1_1__3_FeedIntakeForGrazingBeef(X48,X64,Z32)</f>
        <v>2.9603267136000002</v>
      </c>
      <c r="Y80" s="29" cm="1">
        <f t="array" aca="1" ref="Y80" ca="1">EntericMethane_PastureBeef_Equations.VEERG_3_2_1_1__3_FeedIntakeForGrazingBeef(Y48,Y64,AA32)</f>
        <v>5.9577975395999987</v>
      </c>
      <c r="Z80" s="29" cm="1">
        <f t="array" aca="1" ref="Z80" ca="1">EntericMethane_PastureBeef_Equations.VEERG_3_2_1_1__3_FeedIntakeForGrazingBeef(Z48,Z64,AB32)</f>
        <v>6.7179974480999993</v>
      </c>
      <c r="AA80" s="29" cm="1">
        <f t="array" aca="1" ref="AA80" ca="1">EntericMethane_PastureBeef_Equations.VEERG_3_2_1_1__3_FeedIntakeForGrazingBeef(AA48,AA64,AC32)</f>
        <v>6.7179974480999993</v>
      </c>
      <c r="AB80" s="29" cm="1">
        <f t="array" aca="1" ref="AB80" ca="1">EntericMethane_PastureBeef_Equations.VEERG_3_2_1_1__3_FeedIntakeForGrazingBeef(AB48,AB64,AD32)</f>
        <v>3.247204</v>
      </c>
      <c r="AC80" s="29" cm="1">
        <f t="array" aca="1" ref="AC80" ca="1">EntericMethane_PastureBeef_Equations.VEERG_3_2_1_1__3_FeedIntakeForGrazingBeef(AC48,AC64,AE32)</f>
        <v>5.8953782416000013</v>
      </c>
      <c r="AD80" s="29" cm="1">
        <f t="array" aca="1" ref="AD80" ca="1">EntericMethane_PastureBeef_Equations.VEERG_3_2_1_1__3_FeedIntakeForGrazingBeef(AD48,AD64,AF32)</f>
        <v>5.8953782416000013</v>
      </c>
      <c r="AE80" s="29" cm="1">
        <f t="array" aca="1" ref="AE80" ca="1">EntericMethane_PastureBeef_Equations.VEERG_3_2_1_1__3_FeedIntakeForGrazingBeef(AE48,AE64,AG32)</f>
        <v>5.8953782416000013</v>
      </c>
      <c r="AF80" s="32" t="str">
        <f t="shared" si="2"/>
        <v>kg DM/head/day</v>
      </c>
    </row>
    <row r="81" spans="3:35" ht="20.100000000000001" customHeight="1" x14ac:dyDescent="0.25">
      <c r="U81" s="29" t="str">
        <f>TEXT(EDATE('Input - Site'!$E$12,5), "mmmm yyyy")</f>
        <v>June 2024</v>
      </c>
      <c r="V81" s="29" cm="1">
        <f t="array" aca="1" ref="V81" ca="1">EntericMethane_PastureBeef_Equations.VEERG_3_2_1_1__3_FeedIntakeForGrazingBeef(V49,V65,X33)</f>
        <v>5.1328980481000004</v>
      </c>
      <c r="W81" s="29" cm="1">
        <f t="array" aca="1" ref="W81" ca="1">EntericMethane_PastureBeef_Equations.VEERG_3_2_1_1__3_FeedIntakeForGrazingBeef(W49,W65,Y33)</f>
        <v>9.9748588899999984</v>
      </c>
      <c r="X81" s="29" cm="1">
        <f t="array" aca="1" ref="X81" ca="1">EntericMethane_PastureBeef_Equations.VEERG_3_2_1_1__3_FeedIntakeForGrazingBeef(X49,X65,Z33)</f>
        <v>4.202705002500001</v>
      </c>
      <c r="Y81" s="29" cm="1">
        <f t="array" aca="1" ref="Y81" ca="1">EntericMethane_PastureBeef_Equations.VEERG_3_2_1_1__3_FeedIntakeForGrazingBeef(Y49,Y65,AA33)</f>
        <v>5.9278127841000021</v>
      </c>
      <c r="Z81" s="29" cm="1">
        <f t="array" aca="1" ref="Z81" ca="1">EntericMethane_PastureBeef_Equations.VEERG_3_2_1_1__3_FeedIntakeForGrazingBeef(Z49,Z65,AB33)</f>
        <v>7.952343600099999</v>
      </c>
      <c r="AA81" s="29" cm="1">
        <f t="array" aca="1" ref="AA81" ca="1">EntericMethane_PastureBeef_Equations.VEERG_3_2_1_1__3_FeedIntakeForGrazingBeef(AA49,AA65,AC33)</f>
        <v>7.952343600099999</v>
      </c>
      <c r="AB81" s="29" cm="1">
        <f t="array" aca="1" ref="AB81" ca="1">EntericMethane_PastureBeef_Equations.VEERG_3_2_1_1__3_FeedIntakeForGrazingBeef(AB49,AB65,AD33)</f>
        <v>4.5122681240999984</v>
      </c>
      <c r="AC81" s="29" cm="1">
        <f t="array" aca="1" ref="AC81" ca="1">EntericMethane_PastureBeef_Equations.VEERG_3_2_1_1__3_FeedIntakeForGrazingBeef(AC49,AC65,AE33)</f>
        <v>6.8698506815999991</v>
      </c>
      <c r="AD81" s="29" cm="1">
        <f t="array" aca="1" ref="AD81" ca="1">EntericMethane_PastureBeef_Equations.VEERG_3_2_1_1__3_FeedIntakeForGrazingBeef(AD49,AD65,AF33)</f>
        <v>6.8698506815999991</v>
      </c>
      <c r="AE81" s="29" cm="1">
        <f t="array" aca="1" ref="AE81" ca="1">EntericMethane_PastureBeef_Equations.VEERG_3_2_1_1__3_FeedIntakeForGrazingBeef(AE49,AE65,AG33)</f>
        <v>6.8698506815999991</v>
      </c>
      <c r="AF81" s="32" t="str">
        <f t="shared" si="2"/>
        <v>kg DM/head/day</v>
      </c>
    </row>
    <row r="82" spans="3:35" ht="20.100000000000001" customHeight="1" x14ac:dyDescent="0.25">
      <c r="D82" s="57" t="s">
        <v>105</v>
      </c>
      <c r="U82" s="29" t="str">
        <f>TEXT(EDATE('Input - Site'!$E$12,6), "mmmm yyyy")</f>
        <v>July 2024</v>
      </c>
      <c r="V82" s="29" cm="1">
        <f t="array" aca="1" ref="V82" ca="1">EntericMethane_PastureBeef_Equations.VEERG_3_2_1_1__3_FeedIntakeForGrazingBeef(V50,V66,X34)</f>
        <v>5.1328980481000004</v>
      </c>
      <c r="W82" s="29" cm="1">
        <f t="array" aca="1" ref="W82" ca="1">EntericMethane_PastureBeef_Equations.VEERG_3_2_1_1__3_FeedIntakeForGrazingBeef(W50,W66,Y34)</f>
        <v>9.9748588899999984</v>
      </c>
      <c r="X82" s="29" cm="1">
        <f t="array" aca="1" ref="X82" ca="1">EntericMethane_PastureBeef_Equations.VEERG_3_2_1_1__3_FeedIntakeForGrazingBeef(X50,X66,Z34)</f>
        <v>4.202705002500001</v>
      </c>
      <c r="Y82" s="29" cm="1">
        <f t="array" aca="1" ref="Y82" ca="1">EntericMethane_PastureBeef_Equations.VEERG_3_2_1_1__3_FeedIntakeForGrazingBeef(Y50,Y66,AA34)</f>
        <v>5.9278127841000021</v>
      </c>
      <c r="Z82" s="29" cm="1">
        <f t="array" aca="1" ref="Z82" ca="1">EntericMethane_PastureBeef_Equations.VEERG_3_2_1_1__3_FeedIntakeForGrazingBeef(Z50,Z66,AB34)</f>
        <v>7.952343600099999</v>
      </c>
      <c r="AA82" s="29" cm="1">
        <f t="array" aca="1" ref="AA82" ca="1">EntericMethane_PastureBeef_Equations.VEERG_3_2_1_1__3_FeedIntakeForGrazingBeef(AA50,AA66,AC34)</f>
        <v>7.952343600099999</v>
      </c>
      <c r="AB82" s="29" cm="1">
        <f t="array" aca="1" ref="AB82" ca="1">EntericMethane_PastureBeef_Equations.VEERG_3_2_1_1__3_FeedIntakeForGrazingBeef(AB50,AB66,AD34)</f>
        <v>4.5122681240999984</v>
      </c>
      <c r="AC82" s="29" cm="1">
        <f t="array" aca="1" ref="AC82" ca="1">EntericMethane_PastureBeef_Equations.VEERG_3_2_1_1__3_FeedIntakeForGrazingBeef(AC50,AC66,AE34)</f>
        <v>6.8698506815999991</v>
      </c>
      <c r="AD82" s="29" cm="1">
        <f t="array" aca="1" ref="AD82" ca="1">EntericMethane_PastureBeef_Equations.VEERG_3_2_1_1__3_FeedIntakeForGrazingBeef(AD50,AD66,AF34)</f>
        <v>6.8698506815999991</v>
      </c>
      <c r="AE82" s="29" cm="1">
        <f t="array" aca="1" ref="AE82" ca="1">EntericMethane_PastureBeef_Equations.VEERG_3_2_1_1__3_FeedIntakeForGrazingBeef(AE50,AE66,AG34)</f>
        <v>6.8698506815999991</v>
      </c>
      <c r="AF82" s="32" t="str">
        <f t="shared" si="2"/>
        <v>kg DM/head/day</v>
      </c>
    </row>
    <row r="83" spans="3:35" ht="20.100000000000001" customHeight="1" x14ac:dyDescent="0.25">
      <c r="D83" s="58" t="s">
        <v>106</v>
      </c>
      <c r="U83" s="29" t="str">
        <f>TEXT(EDATE('Input - Site'!$E$12,7), "mmmm yyyy")</f>
        <v>August 2024</v>
      </c>
      <c r="V83" s="29" cm="1">
        <f t="array" aca="1" ref="V83" ca="1">EntericMethane_PastureBeef_Equations.VEERG_3_2_1_1__3_FeedIntakeForGrazingBeef(V51,V67,X35)</f>
        <v>5.1328980481000004</v>
      </c>
      <c r="W83" s="29" cm="1">
        <f t="array" aca="1" ref="W83" ca="1">EntericMethane_PastureBeef_Equations.VEERG_3_2_1_1__3_FeedIntakeForGrazingBeef(W51,W67,Y35)</f>
        <v>9.9748588899999984</v>
      </c>
      <c r="X83" s="29" cm="1">
        <f t="array" aca="1" ref="X83" ca="1">EntericMethane_PastureBeef_Equations.VEERG_3_2_1_1__3_FeedIntakeForGrazingBeef(X51,X67,Z35)</f>
        <v>4.202705002500001</v>
      </c>
      <c r="Y83" s="29" cm="1">
        <f t="array" aca="1" ref="Y83" ca="1">EntericMethane_PastureBeef_Equations.VEERG_3_2_1_1__3_FeedIntakeForGrazingBeef(Y51,Y67,AA35)</f>
        <v>7.2615706605225032</v>
      </c>
      <c r="Z83" s="29" cm="1">
        <f t="array" aca="1" ref="Z83" ca="1">EntericMethane_PastureBeef_Equations.VEERG_3_2_1_1__3_FeedIntakeForGrazingBeef(Z51,Z67,AB35)</f>
        <v>9.7416209101224993</v>
      </c>
      <c r="AA83" s="29" cm="1">
        <f t="array" aca="1" ref="AA83" ca="1">EntericMethane_PastureBeef_Equations.VEERG_3_2_1_1__3_FeedIntakeForGrazingBeef(AA51,AA67,AC35)</f>
        <v>9.7416209101224993</v>
      </c>
      <c r="AB83" s="29" cm="1">
        <f t="array" aca="1" ref="AB83" ca="1">EntericMethane_PastureBeef_Equations.VEERG_3_2_1_1__3_FeedIntakeForGrazingBeef(AB51,AB67,AD35)</f>
        <v>4.5122681240999984</v>
      </c>
      <c r="AC83" s="29" cm="1">
        <f t="array" aca="1" ref="AC83" ca="1">EntericMethane_PastureBeef_Equations.VEERG_3_2_1_1__3_FeedIntakeForGrazingBeef(AC51,AC67,AE35)</f>
        <v>6.8698506815999991</v>
      </c>
      <c r="AD83" s="29" cm="1">
        <f t="array" aca="1" ref="AD83" ca="1">EntericMethane_PastureBeef_Equations.VEERG_3_2_1_1__3_FeedIntakeForGrazingBeef(AD51,AD67,AF35)</f>
        <v>6.8698506815999991</v>
      </c>
      <c r="AE83" s="29" cm="1">
        <f t="array" aca="1" ref="AE83" ca="1">EntericMethane_PastureBeef_Equations.VEERG_3_2_1_1__3_FeedIntakeForGrazingBeef(AE51,AE67,AG35)</f>
        <v>6.8698506815999991</v>
      </c>
      <c r="AF83" s="32" t="str">
        <f t="shared" si="2"/>
        <v>kg DM/head/day</v>
      </c>
    </row>
    <row r="84" spans="3:35" ht="20.100000000000001" customHeight="1" x14ac:dyDescent="0.25">
      <c r="D84" s="59" t="s">
        <v>84</v>
      </c>
      <c r="E84" s="59" t="s">
        <v>31</v>
      </c>
      <c r="F84" s="59" t="s">
        <v>32</v>
      </c>
      <c r="G84" s="59" t="s">
        <v>33</v>
      </c>
      <c r="H84" s="59" t="s">
        <v>34</v>
      </c>
      <c r="I84" s="59" t="s">
        <v>35</v>
      </c>
      <c r="J84" s="59" t="s">
        <v>36</v>
      </c>
      <c r="K84" s="59" t="s">
        <v>37</v>
      </c>
      <c r="L84" s="59" t="s">
        <v>38</v>
      </c>
      <c r="M84" s="59" t="s">
        <v>39</v>
      </c>
      <c r="N84" s="59" t="s">
        <v>40</v>
      </c>
      <c r="U84" s="29" t="str">
        <f>TEXT(EDATE('Input - Site'!$E$12,8), "mmmm yyyy")</f>
        <v>September 2024</v>
      </c>
      <c r="V84" s="29" cm="1">
        <f t="array" aca="1" ref="V84" ca="1">EntericMethane_PastureBeef_Equations.VEERG_3_2_1_1__3_FeedIntakeForGrazingBeef(V52,V68,X36)</f>
        <v>8.6709047296000001</v>
      </c>
      <c r="W84" s="29" cm="1">
        <f t="array" aca="1" ref="W84" ca="1">EntericMethane_PastureBeef_Equations.VEERG_3_2_1_1__3_FeedIntakeForGrazingBeef(W52,W68,Y36)</f>
        <v>12.246500250000002</v>
      </c>
      <c r="X84" s="29" cm="1">
        <f t="array" aca="1" ref="X84" ca="1">EntericMethane_PastureBeef_Equations.VEERG_3_2_1_1__3_FeedIntakeForGrazingBeef(X52,X68,Z36)</f>
        <v>6.6089612241000006</v>
      </c>
      <c r="Y84" s="29" cm="1">
        <f t="array" aca="1" ref="Y84" ca="1">EntericMethane_PastureBeef_Equations.VEERG_3_2_1_1__3_FeedIntakeForGrazingBeef(Y52,Y68,AA36)</f>
        <v>10.624527777622504</v>
      </c>
      <c r="Z84" s="29" cm="1">
        <f t="array" aca="1" ref="Z84" ca="1">EntericMethane_PastureBeef_Equations.VEERG_3_2_1_1__3_FeedIntakeForGrazingBeef(Z52,Z68,AB36)</f>
        <v>11.798087161000003</v>
      </c>
      <c r="AA84" s="29" cm="1">
        <f t="array" aca="1" ref="AA84" ca="1">EntericMethane_PastureBeef_Equations.VEERG_3_2_1_1__3_FeedIntakeForGrazingBeef(AA52,AA68,AC36)</f>
        <v>11.798087161000003</v>
      </c>
      <c r="AB84" s="29" cm="1">
        <f t="array" aca="1" ref="AB84" ca="1">EntericMethane_PastureBeef_Equations.VEERG_3_2_1_1__3_FeedIntakeForGrazingBeef(AB52,AB68,AD36)</f>
        <v>7.6192560899999977</v>
      </c>
      <c r="AC84" s="29" cm="1">
        <f t="array" aca="1" ref="AC84" ca="1">EntericMethane_PastureBeef_Equations.VEERG_3_2_1_1__3_FeedIntakeForGrazingBeef(AC52,AC68,AE36)</f>
        <v>9.6824279555999979</v>
      </c>
      <c r="AD84" s="29" cm="1">
        <f t="array" aca="1" ref="AD84" ca="1">EntericMethane_PastureBeef_Equations.VEERG_3_2_1_1__3_FeedIntakeForGrazingBeef(AD52,AD68,AF36)</f>
        <v>9.6824279555999979</v>
      </c>
      <c r="AE84" s="29" cm="1">
        <f t="array" aca="1" ref="AE84" ca="1">EntericMethane_PastureBeef_Equations.VEERG_3_2_1_1__3_FeedIntakeForGrazingBeef(AE52,AE68,AG36)</f>
        <v>9.6824279555999979</v>
      </c>
      <c r="AF84" s="32" t="str">
        <f t="shared" si="2"/>
        <v>kg DM/head/day</v>
      </c>
      <c r="AG84" s="32"/>
      <c r="AH84" s="32"/>
    </row>
    <row r="85" spans="3:35" ht="20.100000000000001" customHeight="1" x14ac:dyDescent="0.25">
      <c r="D85" s="29" t="s">
        <v>41</v>
      </c>
      <c r="E85" s="29" cm="1">
        <f t="array" aca="1" ref="E85" ca="1">EntericMethane_PastureBeef_Equations.VEERG_3_2_1_1__2_DailyEntericMethaneProduction(E64)</f>
        <v>0.17948772790272</v>
      </c>
      <c r="F85" s="29" cm="1">
        <f t="array" aca="1" ref="F85" ca="1">EntericMethane_PastureBeef_Equations.VEERG_3_2_1_1__2_DailyEntericMethaneProduction(F64)</f>
        <v>0.25350255517500003</v>
      </c>
      <c r="G85" s="29" cm="1">
        <f t="array" aca="1" ref="G85" ca="1">EntericMethane_PastureBeef_Equations.VEERG_3_2_1_1__2_DailyEntericMethaneProduction(G64)</f>
        <v>0.13680549733887001</v>
      </c>
      <c r="H85" s="29" cm="1">
        <f t="array" aca="1" ref="H85" ca="1">EntericMethane_PastureBeef_Equations.VEERG_3_2_1_1__2_DailyEntericMethaneProduction(H64)</f>
        <v>0.19569079203795636</v>
      </c>
      <c r="I85" s="29" cm="1">
        <f t="array" aca="1" ref="I85" ca="1">EntericMethane_PastureBeef_Equations.VEERG_3_2_1_1__2_DailyEntericMethaneProduction(I64)</f>
        <v>0.20933177505660003</v>
      </c>
      <c r="J85" s="29" cm="1">
        <f t="array" aca="1" ref="J85" ca="1">EntericMethane_PastureBeef_Equations.VEERG_3_2_1_1__2_DailyEntericMethaneProduction(J64)</f>
        <v>0.20933177505660003</v>
      </c>
      <c r="K85" s="29" cm="1">
        <f t="array" aca="1" ref="K85" ca="1">EntericMethane_PastureBeef_Equations.VEERG_3_2_1_1__2_DailyEntericMethaneProduction(K64)</f>
        <v>0.15771860106299995</v>
      </c>
      <c r="L85" s="29" cm="1">
        <f t="array" aca="1" ref="L85" ca="1">EntericMethane_PastureBeef_Equations.VEERG_3_2_1_1__2_DailyEntericMethaneProduction(L64)</f>
        <v>0.20042625868091996</v>
      </c>
      <c r="M85" s="29" cm="1">
        <f t="array" aca="1" ref="M85" ca="1">EntericMethane_PastureBeef_Equations.VEERG_3_2_1_1__2_DailyEntericMethaneProduction(M64)</f>
        <v>0.20042625868091996</v>
      </c>
      <c r="N85" s="29" cm="1">
        <f t="array" aca="1" ref="N85" ca="1">EntericMethane_PastureBeef_Equations.VEERG_3_2_1_1__2_DailyEntericMethaneProduction(N64)</f>
        <v>0.20042625868091996</v>
      </c>
      <c r="O85" s="32" t="str">
        <f>G80</f>
        <v>kg DM/head/day</v>
      </c>
      <c r="P85" s="32"/>
      <c r="Q85" s="32"/>
      <c r="U85" s="29" t="str">
        <f>TEXT(EDATE('Input - Site'!$E$12,9), "mmmm yyyy")</f>
        <v>October 2024</v>
      </c>
      <c r="V85" s="29" cm="1">
        <f t="array" aca="1" ref="V85" ca="1">EntericMethane_PastureBeef_Equations.VEERG_3_2_1_1__3_FeedIntakeForGrazingBeef(V53,V69,X37)</f>
        <v>8.6709047296000001</v>
      </c>
      <c r="W85" s="29" cm="1">
        <f t="array" aca="1" ref="W85" ca="1">EntericMethane_PastureBeef_Equations.VEERG_3_2_1_1__3_FeedIntakeForGrazingBeef(W53,W69,Y37)</f>
        <v>12.246500250000002</v>
      </c>
      <c r="X85" s="29" cm="1">
        <f t="array" aca="1" ref="X85" ca="1">EntericMethane_PastureBeef_Equations.VEERG_3_2_1_1__3_FeedIntakeForGrazingBeef(X53,X69,Z37)</f>
        <v>6.6089612241000006</v>
      </c>
      <c r="Y85" s="29" cm="1">
        <f t="array" aca="1" ref="Y85" ca="1">EntericMethane_PastureBeef_Equations.VEERG_3_2_1_1__3_FeedIntakeForGrazingBeef(Y53,Y69,AA37)</f>
        <v>10.624527777622504</v>
      </c>
      <c r="Z85" s="29" cm="1">
        <f t="array" aca="1" ref="Z85" ca="1">EntericMethane_PastureBeef_Equations.VEERG_3_2_1_1__3_FeedIntakeForGrazingBeef(Z53,Z69,AB37)</f>
        <v>11.798087161000003</v>
      </c>
      <c r="AA85" s="29" cm="1">
        <f t="array" aca="1" ref="AA85" ca="1">EntericMethane_PastureBeef_Equations.VEERG_3_2_1_1__3_FeedIntakeForGrazingBeef(AA53,AA69,AC37)</f>
        <v>11.798087161000003</v>
      </c>
      <c r="AB85" s="29" cm="1">
        <f t="array" aca="1" ref="AB85" ca="1">EntericMethane_PastureBeef_Equations.VEERG_3_2_1_1__3_FeedIntakeForGrazingBeef(AB53,AB69,AD37)</f>
        <v>7.6192560899999977</v>
      </c>
      <c r="AC85" s="29" cm="1">
        <f t="array" aca="1" ref="AC85" ca="1">EntericMethane_PastureBeef_Equations.VEERG_3_2_1_1__3_FeedIntakeForGrazingBeef(AC53,AC69,AE37)</f>
        <v>9.6824279555999979</v>
      </c>
      <c r="AD85" s="29" cm="1">
        <f t="array" aca="1" ref="AD85" ca="1">EntericMethane_PastureBeef_Equations.VEERG_3_2_1_1__3_FeedIntakeForGrazingBeef(AD53,AD69,AF37)</f>
        <v>9.6824279555999979</v>
      </c>
      <c r="AE85" s="29" cm="1">
        <f t="array" aca="1" ref="AE85" ca="1">EntericMethane_PastureBeef_Equations.VEERG_3_2_1_1__3_FeedIntakeForGrazingBeef(AE53,AE69,AG37)</f>
        <v>9.6824279555999979</v>
      </c>
      <c r="AF85" s="32" t="str">
        <f t="shared" si="2"/>
        <v>kg DM/head/day</v>
      </c>
      <c r="AG85" s="32"/>
      <c r="AH85" s="32"/>
    </row>
    <row r="86" spans="3:35" ht="20.100000000000001" customHeight="1" x14ac:dyDescent="0.25">
      <c r="D86" s="29" t="s">
        <v>43</v>
      </c>
      <c r="E86" s="29" cm="1">
        <f t="array" aca="1" ref="E86" ca="1">EntericMethane_PastureBeef_Equations.VEERG_3_2_1_1__2_DailyEntericMethaneProduction(E65)</f>
        <v>0.14793987137471989</v>
      </c>
      <c r="F86" s="29" cm="1">
        <f t="array" aca="1" ref="F86" ca="1">EntericMethane_PastureBeef_Equations.VEERG_3_2_1_1__2_DailyEntericMethaneProduction(F65)</f>
        <v>0.19573907587452002</v>
      </c>
      <c r="G86" s="29" cm="1">
        <f t="array" aca="1" ref="G86" ca="1">EntericMethane_PastureBeef_Equations.VEERG_3_2_1_1__2_DailyEntericMethaneProduction(G65)</f>
        <v>0.12441409099199996</v>
      </c>
      <c r="H86" s="29" cm="1">
        <f t="array" aca="1" ref="H86" ca="1">EntericMethane_PastureBeef_Equations.VEERG_3_2_1_1__2_DailyEntericMethaneProduction(H65)</f>
        <v>0.16292037884175001</v>
      </c>
      <c r="I86" s="29" cm="1">
        <f t="array" aca="1" ref="I86" ca="1">EntericMethane_PastureBeef_Equations.VEERG_3_2_1_1__2_DailyEntericMethaneProduction(I65)</f>
        <v>0.16131110973551996</v>
      </c>
      <c r="J86" s="29" cm="1">
        <f t="array" aca="1" ref="J86" ca="1">EntericMethane_PastureBeef_Equations.VEERG_3_2_1_1__2_DailyEntericMethaneProduction(J65)</f>
        <v>0.16131110973551996</v>
      </c>
      <c r="K86" s="29" cm="1">
        <f t="array" aca="1" ref="K86" ca="1">EntericMethane_PastureBeef_Equations.VEERG_3_2_1_1__2_DailyEntericMethaneProduction(K65)</f>
        <v>0.13636416641471999</v>
      </c>
      <c r="L86" s="29" cm="1">
        <f t="array" aca="1" ref="L86" ca="1">EntericMethane_PastureBeef_Equations.VEERG_3_2_1_1__2_DailyEntericMethaneProduction(L65)</f>
        <v>0.15200155388727002</v>
      </c>
      <c r="M86" s="29" cm="1">
        <f t="array" aca="1" ref="M86" ca="1">EntericMethane_PastureBeef_Equations.VEERG_3_2_1_1__2_DailyEntericMethaneProduction(M65)</f>
        <v>0.15200155388727002</v>
      </c>
      <c r="N86" s="29" cm="1">
        <f t="array" aca="1" ref="N86" ca="1">EntericMethane_PastureBeef_Equations.VEERG_3_2_1_1__2_DailyEntericMethaneProduction(N65)</f>
        <v>0.15200155388727002</v>
      </c>
      <c r="O86" s="32"/>
      <c r="P86" s="32"/>
      <c r="Q86" s="32"/>
      <c r="U86" s="29" t="str">
        <f>TEXT(EDATE('Input - Site'!$E$12,10), "mmmm yyyy")</f>
        <v>November 2024</v>
      </c>
      <c r="V86" s="29" cm="1">
        <f t="array" aca="1" ref="V86" ca="1">EntericMethane_PastureBeef_Equations.VEERG_3_2_1_1__3_FeedIntakeForGrazingBeef(V54,V70,X38)</f>
        <v>8.6709047296000001</v>
      </c>
      <c r="W86" s="29" cm="1">
        <f t="array" aca="1" ref="W86" ca="1">EntericMethane_PastureBeef_Equations.VEERG_3_2_1_1__3_FeedIntakeForGrazingBeef(W54,W70,Y38)</f>
        <v>12.246500250000002</v>
      </c>
      <c r="X86" s="29" cm="1">
        <f t="array" aca="1" ref="X86" ca="1">EntericMethane_PastureBeef_Equations.VEERG_3_2_1_1__3_FeedIntakeForGrazingBeef(X54,X70,Z38)</f>
        <v>6.6089612241000006</v>
      </c>
      <c r="Y86" s="29" cm="1">
        <f t="array" aca="1" ref="Y86" ca="1">EntericMethane_PastureBeef_Equations.VEERG_3_2_1_1__3_FeedIntakeForGrazingBeef(Y54,Y70,AA38)</f>
        <v>9.3235651926075036</v>
      </c>
      <c r="Z86" s="29" cm="1">
        <f t="array" aca="1" ref="Z86" ca="1">EntericMethane_PastureBeef_Equations.VEERG_3_2_1_1__3_FeedIntakeForGrazingBeef(Z54,Z70,AB38)</f>
        <v>10.353423427000003</v>
      </c>
      <c r="AA86" s="29" cm="1">
        <f t="array" aca="1" ref="AA86" ca="1">EntericMethane_PastureBeef_Equations.VEERG_3_2_1_1__3_FeedIntakeForGrazingBeef(AA54,AA70,AC38)</f>
        <v>10.353423427000003</v>
      </c>
      <c r="AB86" s="29" cm="1">
        <f t="array" aca="1" ref="AB86" ca="1">EntericMethane_PastureBeef_Equations.VEERG_3_2_1_1__3_FeedIntakeForGrazingBeef(AB54,AB70,AD38)</f>
        <v>7.6192560899999977</v>
      </c>
      <c r="AC86" s="29" cm="1">
        <f t="array" aca="1" ref="AC86" ca="1">EntericMethane_PastureBeef_Equations.VEERG_3_2_1_1__3_FeedIntakeForGrazingBeef(AC54,AC70,AE38)</f>
        <v>9.6824279555999979</v>
      </c>
      <c r="AD86" s="29" cm="1">
        <f t="array" aca="1" ref="AD86" ca="1">EntericMethane_PastureBeef_Equations.VEERG_3_2_1_1__3_FeedIntakeForGrazingBeef(AD54,AD70,AF38)</f>
        <v>9.6824279555999979</v>
      </c>
      <c r="AE86" s="29" cm="1">
        <f t="array" aca="1" ref="AE86" ca="1">EntericMethane_PastureBeef_Equations.VEERG_3_2_1_1__3_FeedIntakeForGrazingBeef(AE54,AE70,AG38)</f>
        <v>9.6824279555999979</v>
      </c>
      <c r="AF86" s="32" t="str">
        <f t="shared" si="2"/>
        <v>kg DM/head/day</v>
      </c>
      <c r="AG86" s="32"/>
      <c r="AH86" s="32"/>
    </row>
    <row r="87" spans="3:35" ht="20.100000000000001" customHeight="1" x14ac:dyDescent="0.25">
      <c r="D87" s="29" t="s">
        <v>44</v>
      </c>
      <c r="E87" s="29" cm="1">
        <f t="array" aca="1" ref="E87" ca="1">EntericMethane_PastureBeef_Equations.VEERG_3_2_1_1__2_DailyEntericMethaneProduction(E66)</f>
        <v>6.7217122800000001E-2</v>
      </c>
      <c r="F87" s="29" cm="1">
        <f t="array" aca="1" ref="F87" ca="1">EntericMethane_PastureBeef_Equations.VEERG_3_2_1_1__2_DailyEntericMethaneProduction(F66)</f>
        <v>0.19509034611311998</v>
      </c>
      <c r="G87" s="29" cm="1">
        <f t="array" aca="1" ref="G87" ca="1">EntericMethane_PastureBeef_Equations.VEERG_3_2_1_1__2_DailyEntericMethaneProduction(G66)</f>
        <v>6.1278762971520004E-2</v>
      </c>
      <c r="H87" s="29" cm="1">
        <f t="array" aca="1" ref="H87" ca="1">EntericMethane_PastureBeef_Equations.VEERG_3_2_1_1__2_DailyEntericMethaneProduction(H66)</f>
        <v>0.12332640906971998</v>
      </c>
      <c r="I87" s="29" cm="1">
        <f t="array" aca="1" ref="I87" ca="1">EntericMethane_PastureBeef_Equations.VEERG_3_2_1_1__2_DailyEntericMethaneProduction(I66)</f>
        <v>0.13906254717566999</v>
      </c>
      <c r="J87" s="29" cm="1">
        <f t="array" aca="1" ref="J87" ca="1">EntericMethane_PastureBeef_Equations.VEERG_3_2_1_1__2_DailyEntericMethaneProduction(J66)</f>
        <v>0.13906254717566999</v>
      </c>
      <c r="K87" s="29" cm="1">
        <f t="array" aca="1" ref="K87" ca="1">EntericMethane_PastureBeef_Equations.VEERG_3_2_1_1__2_DailyEntericMethaneProduction(K66)</f>
        <v>6.7217122800000001E-2</v>
      </c>
      <c r="L87" s="29" cm="1">
        <f t="array" aca="1" ref="L87" ca="1">EntericMethane_PastureBeef_Equations.VEERG_3_2_1_1__2_DailyEntericMethaneProduction(L66)</f>
        <v>0.12203432960112003</v>
      </c>
      <c r="M87" s="29" cm="1">
        <f t="array" aca="1" ref="M87" ca="1">EntericMethane_PastureBeef_Equations.VEERG_3_2_1_1__2_DailyEntericMethaneProduction(M66)</f>
        <v>0.12203432960112003</v>
      </c>
      <c r="N87" s="29" cm="1">
        <f t="array" aca="1" ref="N87" ca="1">EntericMethane_PastureBeef_Equations.VEERG_3_2_1_1__2_DailyEntericMethaneProduction(N66)</f>
        <v>0.12203432960112003</v>
      </c>
      <c r="O87" s="32"/>
      <c r="P87" s="32"/>
      <c r="Q87" s="32"/>
      <c r="U87" s="29" t="str">
        <f>TEXT(EDATE('Input - Site'!$E$12,11), "mmmm yyyy")</f>
        <v>December 2024</v>
      </c>
      <c r="V87" s="29" cm="1">
        <f t="array" aca="1" ref="V87" ca="1">EntericMethane_PastureBeef_Equations.VEERG_3_2_1_1__3_FeedIntakeForGrazingBeef(V55,V71,X39)</f>
        <v>7.1468536895999959</v>
      </c>
      <c r="W87" s="29" cm="1">
        <f t="array" aca="1" ref="W87" ca="1">EntericMethane_PastureBeef_Equations.VEERG_3_2_1_1__3_FeedIntakeForGrazingBeef(W55,W71,Y39)</f>
        <v>9.4559940036000008</v>
      </c>
      <c r="X87" s="29" cm="1">
        <f t="array" aca="1" ref="X87" ca="1">EntericMethane_PastureBeef_Equations.VEERG_3_2_1_1__3_FeedIntakeForGrazingBeef(X55,X71,Z39)</f>
        <v>6.010342559999998</v>
      </c>
      <c r="Y87" s="29" cm="1">
        <f t="array" aca="1" ref="Y87" ca="1">EntericMethane_PastureBeef_Equations.VEERG_3_2_1_1__3_FeedIntakeForGrazingBeef(Y55,Y71,AA39)</f>
        <v>8.4608409301875014</v>
      </c>
      <c r="Z87" s="29" cm="1">
        <f t="array" aca="1" ref="Z87" ca="1">EntericMethane_PastureBeef_Equations.VEERG_3_2_1_1__3_FeedIntakeForGrazingBeef(Z55,Z71,AB39)</f>
        <v>8.3772677761199983</v>
      </c>
      <c r="AA87" s="29" cm="1">
        <f t="array" aca="1" ref="AA87" ca="1">EntericMethane_PastureBeef_Equations.VEERG_3_2_1_1__3_FeedIntakeForGrazingBeef(AA55,AA71,AC39)</f>
        <v>8.3772677761199983</v>
      </c>
      <c r="AB87" s="29" cm="1">
        <f t="array" aca="1" ref="AB87" ca="1">EntericMethane_PastureBeef_Equations.VEERG_3_2_1_1__3_FeedIntakeForGrazingBeef(AB55,AB71,AD39)</f>
        <v>6.5876408896000003</v>
      </c>
      <c r="AC87" s="29" cm="1">
        <f t="array" aca="1" ref="AC87" ca="1">EntericMethane_PastureBeef_Equations.VEERG_3_2_1_1__3_FeedIntakeForGrazingBeef(AC55,AC71,AE39)</f>
        <v>7.3430702361</v>
      </c>
      <c r="AD87" s="29" cm="1">
        <f t="array" aca="1" ref="AD87" ca="1">EntericMethane_PastureBeef_Equations.VEERG_3_2_1_1__3_FeedIntakeForGrazingBeef(AD55,AD71,AF39)</f>
        <v>7.3430702361</v>
      </c>
      <c r="AE87" s="29" cm="1">
        <f t="array" aca="1" ref="AE87" ca="1">EntericMethane_PastureBeef_Equations.VEERG_3_2_1_1__3_FeedIntakeForGrazingBeef(AE55,AE71,AG39)</f>
        <v>7.3430702361</v>
      </c>
      <c r="AF87" s="32" t="str">
        <f t="shared" si="2"/>
        <v>kg DM/head/day</v>
      </c>
      <c r="AG87" s="32"/>
      <c r="AH87" s="32"/>
    </row>
    <row r="88" spans="3:35" ht="20.100000000000001" customHeight="1" x14ac:dyDescent="0.25">
      <c r="D88" s="29" t="s">
        <v>45</v>
      </c>
      <c r="E88" s="29" cm="1">
        <f t="array" aca="1" ref="E88" ca="1">EntericMethane_PastureBeef_Equations.VEERG_3_2_1_1__2_DailyEntericMethaneProduction(E67)</f>
        <v>0.10625098959567</v>
      </c>
      <c r="F88" s="29" cm="1">
        <f t="array" aca="1" ref="F88" ca="1">EntericMethane_PastureBeef_Equations.VEERG_3_2_1_1__2_DailyEntericMethaneProduction(F67)</f>
        <v>0.20647957902299996</v>
      </c>
      <c r="G88" s="29" cm="1">
        <f t="array" aca="1" ref="G88" ca="1">EntericMethane_PastureBeef_Equations.VEERG_3_2_1_1__2_DailyEntericMethaneProduction(G67)</f>
        <v>8.6995993551750014E-2</v>
      </c>
      <c r="H88" s="29" cm="1">
        <f t="array" aca="1" ref="H88" ca="1">EntericMethane_PastureBeef_Equations.VEERG_3_2_1_1__2_DailyEntericMethaneProduction(H67)</f>
        <v>0.15583627028120495</v>
      </c>
      <c r="I88" s="29" cm="1">
        <f t="array" aca="1" ref="I88" ca="1">EntericMethane_PastureBeef_Equations.VEERG_3_2_1_1__2_DailyEntericMethaneProduction(I67)</f>
        <v>0.18930553940038045</v>
      </c>
      <c r="J88" s="29" cm="1">
        <f t="array" aca="1" ref="J88" ca="1">EntericMethane_PastureBeef_Equations.VEERG_3_2_1_1__2_DailyEntericMethaneProduction(J67)</f>
        <v>0.18930553940038045</v>
      </c>
      <c r="K88" s="29" cm="1">
        <f t="array" aca="1" ref="K88" ca="1">EntericMethane_PastureBeef_Equations.VEERG_3_2_1_1__2_DailyEntericMethaneProduction(K67)</f>
        <v>9.3403950168869973E-2</v>
      </c>
      <c r="L88" s="29" cm="1">
        <f t="array" aca="1" ref="L88" ca="1">EntericMethane_PastureBeef_Equations.VEERG_3_2_1_1__2_DailyEntericMethaneProduction(L67)</f>
        <v>0.14220590910911998</v>
      </c>
      <c r="M88" s="29" cm="1">
        <f t="array" aca="1" ref="M88" ca="1">EntericMethane_PastureBeef_Equations.VEERG_3_2_1_1__2_DailyEntericMethaneProduction(M67)</f>
        <v>0.14220590910911998</v>
      </c>
      <c r="N88" s="29" cm="1">
        <f t="array" aca="1" ref="N88" ca="1">EntericMethane_PastureBeef_Equations.VEERG_3_2_1_1__2_DailyEntericMethaneProduction(N67)</f>
        <v>0.14220590910911998</v>
      </c>
      <c r="O88" s="32"/>
      <c r="P88" s="32"/>
      <c r="Q88" s="32"/>
      <c r="AG88" s="32"/>
      <c r="AH88" s="32"/>
    </row>
    <row r="89" spans="3:35" ht="20.100000000000001" customHeight="1" x14ac:dyDescent="0.25">
      <c r="AG89" s="32"/>
      <c r="AH89" s="32"/>
    </row>
    <row r="90" spans="3:35" ht="20.100000000000001" customHeight="1" x14ac:dyDescent="0.25">
      <c r="AG90" s="32"/>
      <c r="AH90" s="32"/>
    </row>
    <row r="91" spans="3:35" ht="20.100000000000001" customHeight="1" x14ac:dyDescent="0.25">
      <c r="C91" s="61"/>
      <c r="D91" s="61"/>
      <c r="E91" s="61"/>
      <c r="F91" s="61"/>
      <c r="G91" s="61"/>
      <c r="H91" s="61"/>
      <c r="I91" s="61"/>
      <c r="J91" s="61"/>
      <c r="K91" s="61"/>
      <c r="L91" s="61"/>
      <c r="M91" s="61"/>
      <c r="N91" s="61"/>
      <c r="O91" s="61"/>
      <c r="P91" s="61"/>
      <c r="Q91" s="61"/>
      <c r="R91" s="61"/>
      <c r="T91" s="61"/>
      <c r="U91" s="61"/>
      <c r="V91" s="61"/>
      <c r="W91" s="61"/>
      <c r="X91" s="61"/>
      <c r="Y91" s="61"/>
      <c r="Z91" s="61"/>
      <c r="AA91" s="61"/>
      <c r="AB91" s="61"/>
      <c r="AC91" s="61"/>
      <c r="AD91" s="61"/>
      <c r="AE91" s="61"/>
      <c r="AF91" s="61"/>
      <c r="AG91" s="61"/>
      <c r="AH91" s="61"/>
      <c r="AI91" s="61"/>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46" t="str" cm="1">
        <f t="array" ref="D93">EntericMethane_PastureBeef_Equations.VEERG_3_2_1_1__1_TotalAnnualMethaneFromEntericFermentation_Source()</f>
        <v>VEERG 2026: 3.2.1.1, Equation (1)</v>
      </c>
    </row>
    <row r="94" spans="3:35" ht="20.100000000000001" customHeight="1" x14ac:dyDescent="0.25">
      <c r="D94" s="47" t="s">
        <v>77</v>
      </c>
      <c r="E94" s="47" t="str" cm="1">
        <f t="array" aca="1" ref="E94" ca="1">Common_InputFunctions.Utility_DisplayFunctionName(E123)</f>
        <v>=EntericMethane_PastureBeef_Equations.VEERG_3_2_1_1__1_TotalAnnualMethaneFromEntericFermentation</v>
      </c>
      <c r="U94" s="57" t="s">
        <v>107</v>
      </c>
    </row>
    <row r="95" spans="3:35" ht="20.100000000000001" customHeight="1" x14ac:dyDescent="0.25">
      <c r="U95" s="58" t="s">
        <v>108</v>
      </c>
    </row>
    <row r="96" spans="3:35" ht="20.100000000000001" customHeight="1" x14ac:dyDescent="0.25">
      <c r="U96" s="59" t="s">
        <v>87</v>
      </c>
      <c r="V96" s="59" t="s">
        <v>31</v>
      </c>
      <c r="W96" s="59" t="s">
        <v>32</v>
      </c>
      <c r="X96" s="59" t="s">
        <v>33</v>
      </c>
      <c r="Y96" s="59" t="s">
        <v>34</v>
      </c>
      <c r="Z96" s="59" t="s">
        <v>35</v>
      </c>
      <c r="AA96" s="59" t="s">
        <v>36</v>
      </c>
      <c r="AB96" s="59" t="s">
        <v>37</v>
      </c>
      <c r="AC96" s="59" t="s">
        <v>38</v>
      </c>
      <c r="AD96" s="59" t="s">
        <v>39</v>
      </c>
      <c r="AE96" s="59" t="s">
        <v>40</v>
      </c>
    </row>
    <row r="97" spans="4:35" ht="20.100000000000001" customHeight="1" x14ac:dyDescent="0.25">
      <c r="D97" s="48" t="s">
        <v>79</v>
      </c>
      <c r="E97" s="1" t="str" cm="1">
        <f t="array" ref="E97">EntericMethane_PastureBeef_Equations.VEERG_3_2_1_1__1_TotalAnnualMethaneFromEntericFermentation_Variable()</f>
        <v>E_enteric</v>
      </c>
      <c r="U97" s="29" t="str">
        <f>TEXT('Input - Site'!$E$12, "mmmm yyyy")</f>
        <v>January 2024</v>
      </c>
      <c r="V97" s="29" cm="1">
        <f t="array" aca="1" ref="V97" ca="1">EntericMethane_PastureBeef_Equations.VEERG_3_2_1_1__2_DailyEntericMethaneProduction(V76)</f>
        <v>0.14793987137471989</v>
      </c>
      <c r="W97" s="29" cm="1">
        <f t="array" aca="1" ref="W97" ca="1">EntericMethane_PastureBeef_Equations.VEERG_3_2_1_1__2_DailyEntericMethaneProduction(W76)</f>
        <v>0.19573907587452002</v>
      </c>
      <c r="X97" s="29" cm="1">
        <f t="array" aca="1" ref="X97" ca="1">EntericMethane_PastureBeef_Equations.VEERG_3_2_1_1__2_DailyEntericMethaneProduction(X76)</f>
        <v>0.12441409099199996</v>
      </c>
      <c r="Y97" s="29" cm="1">
        <f t="array" aca="1" ref="Y97" ca="1">EntericMethane_PastureBeef_Equations.VEERG_3_2_1_1__2_DailyEntericMethaneProduction(Y76)</f>
        <v>0.17513940725488128</v>
      </c>
      <c r="Z97" s="29" cm="1">
        <f t="array" aca="1" ref="Z97" ca="1">EntericMethane_PastureBeef_Equations.VEERG_3_2_1_1__2_DailyEntericMethaneProduction(Z76)</f>
        <v>0.17340944296568395</v>
      </c>
      <c r="AA97" s="29" cm="1">
        <f t="array" aca="1" ref="AA97" ca="1">EntericMethane_PastureBeef_Equations.VEERG_3_2_1_1__2_DailyEntericMethaneProduction(AA76)</f>
        <v>0.17340944296568395</v>
      </c>
      <c r="AB97" s="29" cm="1">
        <f t="array" aca="1" ref="AB97" ca="1">EntericMethane_PastureBeef_Equations.VEERG_3_2_1_1__2_DailyEntericMethaneProduction(AB76)</f>
        <v>0.13636416641471999</v>
      </c>
      <c r="AC97" s="29" cm="1">
        <f t="array" aca="1" ref="AC97" ca="1">EntericMethane_PastureBeef_Equations.VEERG_3_2_1_1__2_DailyEntericMethaneProduction(AC76)</f>
        <v>0.15200155388727002</v>
      </c>
      <c r="AD97" s="29" cm="1">
        <f t="array" aca="1" ref="AD97" ca="1">EntericMethane_PastureBeef_Equations.VEERG_3_2_1_1__2_DailyEntericMethaneProduction(AD76)</f>
        <v>0.15200155388727002</v>
      </c>
      <c r="AE97" s="29" cm="1">
        <f t="array" aca="1" ref="AE97" ca="1">EntericMethane_PastureBeef_Equations.VEERG_3_2_1_1__2_DailyEntericMethaneProduction(AE76)</f>
        <v>0.15200155388727002</v>
      </c>
      <c r="AF97" s="32" t="str">
        <f>$G$80</f>
        <v>kg DM/head/day</v>
      </c>
    </row>
    <row r="98" spans="4:35" ht="20.100000000000001" customHeight="1" x14ac:dyDescent="0.25">
      <c r="D98" s="48" t="s">
        <v>80</v>
      </c>
      <c r="E98" s="17" t="str" cm="1">
        <f t="array" ref="E98">EntericMethane_PastureBeef_Equations.VEERG_3_2_1_1__1_TotalAnnualMethaneFromEntericFermentation_Unit()</f>
        <v>t CH4</v>
      </c>
      <c r="U98" s="29" t="str">
        <f>TEXT(EDATE('Input - Site'!$E$12,1), "mmmm yyyy")</f>
        <v>February 2024</v>
      </c>
      <c r="V98" s="29" cm="1">
        <f t="array" aca="1" ref="V98" ca="1">EntericMethane_PastureBeef_Equations.VEERG_3_2_1_1__2_DailyEntericMethaneProduction(V77)</f>
        <v>0.14793987137471989</v>
      </c>
      <c r="W98" s="29" cm="1">
        <f t="array" aca="1" ref="W98" ca="1">EntericMethane_PastureBeef_Equations.VEERG_3_2_1_1__2_DailyEntericMethaneProduction(W77)</f>
        <v>0.19573907587452002</v>
      </c>
      <c r="X98" s="29" cm="1">
        <f t="array" aca="1" ref="X98" ca="1">EntericMethane_PastureBeef_Equations.VEERG_3_2_1_1__2_DailyEntericMethaneProduction(X77)</f>
        <v>0.12441409099199996</v>
      </c>
      <c r="Y98" s="29" cm="1">
        <f t="array" aca="1" ref="Y98" ca="1">EntericMethane_PastureBeef_Equations.VEERG_3_2_1_1__2_DailyEntericMethaneProduction(Y77)</f>
        <v>0.16292037884175001</v>
      </c>
      <c r="Z98" s="29" cm="1">
        <f t="array" aca="1" ref="Z98" ca="1">EntericMethane_PastureBeef_Equations.VEERG_3_2_1_1__2_DailyEntericMethaneProduction(Z77)</f>
        <v>0.16131110973551996</v>
      </c>
      <c r="AA98" s="29" cm="1">
        <f t="array" aca="1" ref="AA98" ca="1">EntericMethane_PastureBeef_Equations.VEERG_3_2_1_1__2_DailyEntericMethaneProduction(AA77)</f>
        <v>0.16131110973551996</v>
      </c>
      <c r="AB98" s="29" cm="1">
        <f t="array" aca="1" ref="AB98" ca="1">EntericMethane_PastureBeef_Equations.VEERG_3_2_1_1__2_DailyEntericMethaneProduction(AB77)</f>
        <v>0.13636416641471999</v>
      </c>
      <c r="AC98" s="29" cm="1">
        <f t="array" aca="1" ref="AC98" ca="1">EntericMethane_PastureBeef_Equations.VEERG_3_2_1_1__2_DailyEntericMethaneProduction(AC77)</f>
        <v>0.15200155388727002</v>
      </c>
      <c r="AD98" s="29" cm="1">
        <f t="array" aca="1" ref="AD98" ca="1">EntericMethane_PastureBeef_Equations.VEERG_3_2_1_1__2_DailyEntericMethaneProduction(AD77)</f>
        <v>0.15200155388727002</v>
      </c>
      <c r="AE98" s="29" cm="1">
        <f t="array" aca="1" ref="AE98" ca="1">EntericMethane_PastureBeef_Equations.VEERG_3_2_1_1__2_DailyEntericMethaneProduction(AE77)</f>
        <v>0.15200155388727002</v>
      </c>
      <c r="AF98" s="32"/>
    </row>
    <row r="99" spans="4:35" ht="20.100000000000001" customHeight="1" x14ac:dyDescent="0.25">
      <c r="U99" s="29" t="str">
        <f>TEXT(EDATE('Input - Site'!$E$12,2), "mmmm yyyy")</f>
        <v>March 2024</v>
      </c>
      <c r="V99" s="29" cm="1">
        <f t="array" aca="1" ref="V99" ca="1">EntericMethane_PastureBeef_Equations.VEERG_3_2_1_1__2_DailyEntericMethaneProduction(V78)</f>
        <v>6.7217122800000001E-2</v>
      </c>
      <c r="W99" s="29" cm="1">
        <f t="array" aca="1" ref="W99" ca="1">EntericMethane_PastureBeef_Equations.VEERG_3_2_1_1__2_DailyEntericMethaneProduction(W78)</f>
        <v>0.19509034611311998</v>
      </c>
      <c r="X99" s="29" cm="1">
        <f t="array" aca="1" ref="X99" ca="1">EntericMethane_PastureBeef_Equations.VEERG_3_2_1_1__2_DailyEntericMethaneProduction(X78)</f>
        <v>6.1278762971520004E-2</v>
      </c>
      <c r="Y99" s="29" cm="1">
        <f t="array" aca="1" ref="Y99" ca="1">EntericMethane_PastureBeef_Equations.VEERG_3_2_1_1__2_DailyEntericMethaneProduction(Y78)</f>
        <v>0.12332640906971998</v>
      </c>
      <c r="Z99" s="29" cm="1">
        <f t="array" aca="1" ref="Z99" ca="1">EntericMethane_PastureBeef_Equations.VEERG_3_2_1_1__2_DailyEntericMethaneProduction(Z78)</f>
        <v>0.13906254717566999</v>
      </c>
      <c r="AA99" s="29" cm="1">
        <f t="array" aca="1" ref="AA99" ca="1">EntericMethane_PastureBeef_Equations.VEERG_3_2_1_1__2_DailyEntericMethaneProduction(AA78)</f>
        <v>0.13906254717566999</v>
      </c>
      <c r="AB99" s="29" cm="1">
        <f t="array" aca="1" ref="AB99" ca="1">EntericMethane_PastureBeef_Equations.VEERG_3_2_1_1__2_DailyEntericMethaneProduction(AB78)</f>
        <v>6.7217122800000001E-2</v>
      </c>
      <c r="AC99" s="29" cm="1">
        <f t="array" aca="1" ref="AC99" ca="1">EntericMethane_PastureBeef_Equations.VEERG_3_2_1_1__2_DailyEntericMethaneProduction(AC78)</f>
        <v>0.12203432960112003</v>
      </c>
      <c r="AD99" s="29" cm="1">
        <f t="array" aca="1" ref="AD99" ca="1">EntericMethane_PastureBeef_Equations.VEERG_3_2_1_1__2_DailyEntericMethaneProduction(AD78)</f>
        <v>0.12203432960112003</v>
      </c>
      <c r="AE99" s="29" cm="1">
        <f t="array" aca="1" ref="AE99" ca="1">EntericMethane_PastureBeef_Equations.VEERG_3_2_1_1__2_DailyEntericMethaneProduction(AE78)</f>
        <v>0.12203432960112003</v>
      </c>
      <c r="AF99" s="32"/>
    </row>
    <row r="100" spans="4:35" ht="20.100000000000001" customHeight="1" x14ac:dyDescent="0.25">
      <c r="D100" s="50" t="str" cm="1">
        <f t="array" ref="D100:E102">_xlfn.CHOOSECOLS(EntericMethane_PastureBeef_Equations.VEERG_3_2_1_1__1_TotalAnnualMethaneFromEntericFermentation_Arguments(), 1, 2)</f>
        <v>D_j</v>
      </c>
      <c r="E100" s="51" t="str">
        <v>number of days the animal is on the farm in each time-period</v>
      </c>
      <c r="F100" s="53"/>
      <c r="G100" s="50" t="str" cm="1">
        <f t="array" ref="G100:H102">_xlfn.CHOOSECOLS(EntericMethane_PastureBeef_Equations.VEERG_3_2_1_1__1_TotalAnnualMethaneFromEntericFermentation_Arguments(), 3,4)</f>
        <v>days</v>
      </c>
      <c r="H100" s="54" t="str">
        <v>Input</v>
      </c>
      <c r="I100" s="56" t="str" cm="1">
        <f t="array" aca="1" ref="I100" ca="1">HYPERLINK(Common_InputFunctions.Utility_SourceHyperlink($D$112), $D$112)</f>
        <v>M1_Table_D_j</v>
      </c>
      <c r="U100" s="29" t="str">
        <f>TEXT(EDATE('Input - Site'!$E$12,3), "mmmm yyyy")</f>
        <v>April 2024</v>
      </c>
      <c r="V100" s="29" cm="1">
        <f t="array" aca="1" ref="V100" ca="1">EntericMethane_PastureBeef_Equations.VEERG_3_2_1_1__2_DailyEntericMethaneProduction(V79)</f>
        <v>6.7217122800000001E-2</v>
      </c>
      <c r="W100" s="29" cm="1">
        <f t="array" aca="1" ref="W100" ca="1">EntericMethane_PastureBeef_Equations.VEERG_3_2_1_1__2_DailyEntericMethaneProduction(W79)</f>
        <v>0.19509034611311998</v>
      </c>
      <c r="X100" s="29" cm="1">
        <f t="array" aca="1" ref="X100" ca="1">EntericMethane_PastureBeef_Equations.VEERG_3_2_1_1__2_DailyEntericMethaneProduction(X79)</f>
        <v>6.1278762971520004E-2</v>
      </c>
      <c r="Y100" s="29" cm="1">
        <f t="array" aca="1" ref="Y100" ca="1">EntericMethane_PastureBeef_Equations.VEERG_3_2_1_1__2_DailyEntericMethaneProduction(Y79)</f>
        <v>0.12332640906971998</v>
      </c>
      <c r="Z100" s="29" cm="1">
        <f t="array" aca="1" ref="Z100" ca="1">EntericMethane_PastureBeef_Equations.VEERG_3_2_1_1__2_DailyEntericMethaneProduction(Z79)</f>
        <v>0.13906254717566999</v>
      </c>
      <c r="AA100" s="29" cm="1">
        <f t="array" aca="1" ref="AA100" ca="1">EntericMethane_PastureBeef_Equations.VEERG_3_2_1_1__2_DailyEntericMethaneProduction(AA79)</f>
        <v>0.13906254717566999</v>
      </c>
      <c r="AB100" s="29" cm="1">
        <f t="array" aca="1" ref="AB100" ca="1">EntericMethane_PastureBeef_Equations.VEERG_3_2_1_1__2_DailyEntericMethaneProduction(AB79)</f>
        <v>6.7217122800000001E-2</v>
      </c>
      <c r="AC100" s="29" cm="1">
        <f t="array" aca="1" ref="AC100" ca="1">EntericMethane_PastureBeef_Equations.VEERG_3_2_1_1__2_DailyEntericMethaneProduction(AC79)</f>
        <v>0.12203432960112003</v>
      </c>
      <c r="AD100" s="29" cm="1">
        <f t="array" aca="1" ref="AD100" ca="1">EntericMethane_PastureBeef_Equations.VEERG_3_2_1_1__2_DailyEntericMethaneProduction(AD79)</f>
        <v>0.12203432960112003</v>
      </c>
      <c r="AE100" s="29" cm="1">
        <f t="array" aca="1" ref="AE100" ca="1">EntericMethane_PastureBeef_Equations.VEERG_3_2_1_1__2_DailyEntericMethaneProduction(AE79)</f>
        <v>0.12203432960112003</v>
      </c>
      <c r="AF100" s="32"/>
    </row>
    <row r="101" spans="4:35" ht="20.100000000000001" customHeight="1" x14ac:dyDescent="0.25">
      <c r="D101" s="50" t="str">
        <v>M_jkl</v>
      </c>
      <c r="E101" s="51" t="str">
        <v>daily production of enteric methane in each time-period, class and subclass</v>
      </c>
      <c r="F101" s="53"/>
      <c r="G101" s="50" t="str">
        <v>kg CH4/head/day</v>
      </c>
      <c r="H101" s="55" t="str">
        <v>Calculated from 3.2.1.1, (2)</v>
      </c>
      <c r="I101" s="56" t="str" cm="1">
        <f t="array" aca="1" ref="I101" ca="1">HYPERLINK(Common_InputFunctions.Utility_SourceHyperlink($D$82), $D$82)</f>
        <v>M1_Table_M_j_k_l</v>
      </c>
      <c r="U101" s="29" t="str">
        <f>TEXT(EDATE('Input - Site'!$E$12,4), "mmmm yyyy")</f>
        <v>May 2024</v>
      </c>
      <c r="V101" s="29" cm="1">
        <f t="array" aca="1" ref="V101" ca="1">EntericMethane_PastureBeef_Equations.VEERG_3_2_1_1__2_DailyEntericMethaneProduction(V80)</f>
        <v>6.7217122800000001E-2</v>
      </c>
      <c r="W101" s="29" cm="1">
        <f t="array" aca="1" ref="W101" ca="1">EntericMethane_PastureBeef_Equations.VEERG_3_2_1_1__2_DailyEntericMethaneProduction(W80)</f>
        <v>0.19509034611311998</v>
      </c>
      <c r="X101" s="29" cm="1">
        <f t="array" aca="1" ref="X101" ca="1">EntericMethane_PastureBeef_Equations.VEERG_3_2_1_1__2_DailyEntericMethaneProduction(X80)</f>
        <v>6.1278762971520004E-2</v>
      </c>
      <c r="Y101" s="29" cm="1">
        <f t="array" aca="1" ref="Y101" ca="1">EntericMethane_PastureBeef_Equations.VEERG_3_2_1_1__2_DailyEntericMethaneProduction(Y80)</f>
        <v>0.12332640906971998</v>
      </c>
      <c r="Z101" s="29" cm="1">
        <f t="array" aca="1" ref="Z101" ca="1">EntericMethane_PastureBeef_Equations.VEERG_3_2_1_1__2_DailyEntericMethaneProduction(Z80)</f>
        <v>0.13906254717566999</v>
      </c>
      <c r="AA101" s="29" cm="1">
        <f t="array" aca="1" ref="AA101" ca="1">EntericMethane_PastureBeef_Equations.VEERG_3_2_1_1__2_DailyEntericMethaneProduction(AA80)</f>
        <v>0.13906254717566999</v>
      </c>
      <c r="AB101" s="29" cm="1">
        <f t="array" aca="1" ref="AB101" ca="1">EntericMethane_PastureBeef_Equations.VEERG_3_2_1_1__2_DailyEntericMethaneProduction(AB80)</f>
        <v>6.7217122800000001E-2</v>
      </c>
      <c r="AC101" s="29" cm="1">
        <f t="array" aca="1" ref="AC101" ca="1">EntericMethane_PastureBeef_Equations.VEERG_3_2_1_1__2_DailyEntericMethaneProduction(AC80)</f>
        <v>0.12203432960112003</v>
      </c>
      <c r="AD101" s="29" cm="1">
        <f t="array" aca="1" ref="AD101" ca="1">EntericMethane_PastureBeef_Equations.VEERG_3_2_1_1__2_DailyEntericMethaneProduction(AD80)</f>
        <v>0.12203432960112003</v>
      </c>
      <c r="AE101" s="29" cm="1">
        <f t="array" aca="1" ref="AE101" ca="1">EntericMethane_PastureBeef_Equations.VEERG_3_2_1_1__2_DailyEntericMethaneProduction(AE80)</f>
        <v>0.12203432960112003</v>
      </c>
      <c r="AF101" s="32"/>
    </row>
    <row r="102" spans="4:35" ht="20.100000000000001" customHeight="1" x14ac:dyDescent="0.25">
      <c r="D102" s="50" t="str">
        <v>N_jkl</v>
      </c>
      <c r="E102" s="51" t="str">
        <v>number of beef cattle in each time-period, class and subclass</v>
      </c>
      <c r="F102" s="53"/>
      <c r="G102" s="50" t="str">
        <v>head</v>
      </c>
      <c r="H102" s="54" t="str">
        <v>Input</v>
      </c>
      <c r="I102" s="56" t="str" cm="1">
        <f t="array" aca="1" ref="I102" ca="1">HYPERLINK(Common_InputFunctions.Utility_SourceHyperlink($D$104), $D$104)</f>
        <v>M1_Table_N_j_k_l</v>
      </c>
      <c r="U102" s="29" t="str">
        <f>TEXT(EDATE('Input - Site'!$E$12,5), "mmmm yyyy")</f>
        <v>June 2024</v>
      </c>
      <c r="V102" s="29" cm="1">
        <f t="array" aca="1" ref="V102" ca="1">EntericMethane_PastureBeef_Equations.VEERG_3_2_1_1__2_DailyEntericMethaneProduction(V81)</f>
        <v>0.10625098959567</v>
      </c>
      <c r="W102" s="29" cm="1">
        <f t="array" aca="1" ref="W102" ca="1">EntericMethane_PastureBeef_Equations.VEERG_3_2_1_1__2_DailyEntericMethaneProduction(W81)</f>
        <v>0.20647957902299996</v>
      </c>
      <c r="X102" s="29" cm="1">
        <f t="array" aca="1" ref="X102" ca="1">EntericMethane_PastureBeef_Equations.VEERG_3_2_1_1__2_DailyEntericMethaneProduction(X81)</f>
        <v>8.6995993551750014E-2</v>
      </c>
      <c r="Y102" s="29" cm="1">
        <f t="array" aca="1" ref="Y102" ca="1">EntericMethane_PastureBeef_Equations.VEERG_3_2_1_1__2_DailyEntericMethaneProduction(Y81)</f>
        <v>0.12270572463087004</v>
      </c>
      <c r="Z102" s="29" cm="1">
        <f t="array" aca="1" ref="Z102" ca="1">EntericMethane_PastureBeef_Equations.VEERG_3_2_1_1__2_DailyEntericMethaneProduction(Z81)</f>
        <v>0.16461351252206999</v>
      </c>
      <c r="AA102" s="29" cm="1">
        <f t="array" aca="1" ref="AA102" ca="1">EntericMethane_PastureBeef_Equations.VEERG_3_2_1_1__2_DailyEntericMethaneProduction(AA81)</f>
        <v>0.16461351252206999</v>
      </c>
      <c r="AB102" s="29" cm="1">
        <f t="array" aca="1" ref="AB102" ca="1">EntericMethane_PastureBeef_Equations.VEERG_3_2_1_1__2_DailyEntericMethaneProduction(AB81)</f>
        <v>9.3403950168869973E-2</v>
      </c>
      <c r="AC102" s="29" cm="1">
        <f t="array" aca="1" ref="AC102" ca="1">EntericMethane_PastureBeef_Equations.VEERG_3_2_1_1__2_DailyEntericMethaneProduction(AC81)</f>
        <v>0.14220590910911998</v>
      </c>
      <c r="AD102" s="29" cm="1">
        <f t="array" aca="1" ref="AD102" ca="1">EntericMethane_PastureBeef_Equations.VEERG_3_2_1_1__2_DailyEntericMethaneProduction(AD81)</f>
        <v>0.14220590910911998</v>
      </c>
      <c r="AE102" s="29" cm="1">
        <f t="array" aca="1" ref="AE102" ca="1">EntericMethane_PastureBeef_Equations.VEERG_3_2_1_1__2_DailyEntericMethaneProduction(AE81)</f>
        <v>0.14220590910911998</v>
      </c>
      <c r="AF102" s="32"/>
    </row>
    <row r="103" spans="4:35" ht="20.100000000000001" customHeight="1" x14ac:dyDescent="0.25">
      <c r="U103" s="29" t="str">
        <f>TEXT(EDATE('Input - Site'!$E$12,6), "mmmm yyyy")</f>
        <v>July 2024</v>
      </c>
      <c r="V103" s="29" cm="1">
        <f t="array" aca="1" ref="V103" ca="1">EntericMethane_PastureBeef_Equations.VEERG_3_2_1_1__2_DailyEntericMethaneProduction(V82)</f>
        <v>0.10625098959567</v>
      </c>
      <c r="W103" s="29" cm="1">
        <f t="array" aca="1" ref="W103" ca="1">EntericMethane_PastureBeef_Equations.VEERG_3_2_1_1__2_DailyEntericMethaneProduction(W82)</f>
        <v>0.20647957902299996</v>
      </c>
      <c r="X103" s="29" cm="1">
        <f t="array" aca="1" ref="X103" ca="1">EntericMethane_PastureBeef_Equations.VEERG_3_2_1_1__2_DailyEntericMethaneProduction(X82)</f>
        <v>8.6995993551750014E-2</v>
      </c>
      <c r="Y103" s="29" cm="1">
        <f t="array" aca="1" ref="Y103" ca="1">EntericMethane_PastureBeef_Equations.VEERG_3_2_1_1__2_DailyEntericMethaneProduction(Y82)</f>
        <v>0.12270572463087004</v>
      </c>
      <c r="Z103" s="29" cm="1">
        <f t="array" aca="1" ref="Z103" ca="1">EntericMethane_PastureBeef_Equations.VEERG_3_2_1_1__2_DailyEntericMethaneProduction(Z82)</f>
        <v>0.16461351252206999</v>
      </c>
      <c r="AA103" s="29" cm="1">
        <f t="array" aca="1" ref="AA103" ca="1">EntericMethane_PastureBeef_Equations.VEERG_3_2_1_1__2_DailyEntericMethaneProduction(AA82)</f>
        <v>0.16461351252206999</v>
      </c>
      <c r="AB103" s="29" cm="1">
        <f t="array" aca="1" ref="AB103" ca="1">EntericMethane_PastureBeef_Equations.VEERG_3_2_1_1__2_DailyEntericMethaneProduction(AB82)</f>
        <v>9.3403950168869973E-2</v>
      </c>
      <c r="AC103" s="29" cm="1">
        <f t="array" aca="1" ref="AC103" ca="1">EntericMethane_PastureBeef_Equations.VEERG_3_2_1_1__2_DailyEntericMethaneProduction(AC82)</f>
        <v>0.14220590910911998</v>
      </c>
      <c r="AD103" s="29" cm="1">
        <f t="array" aca="1" ref="AD103" ca="1">EntericMethane_PastureBeef_Equations.VEERG_3_2_1_1__2_DailyEntericMethaneProduction(AD82)</f>
        <v>0.14220590910911998</v>
      </c>
      <c r="AE103" s="29" cm="1">
        <f t="array" aca="1" ref="AE103" ca="1">EntericMethane_PastureBeef_Equations.VEERG_3_2_1_1__2_DailyEntericMethaneProduction(AE82)</f>
        <v>0.14220590910911998</v>
      </c>
      <c r="AF103" s="32"/>
    </row>
    <row r="104" spans="4:35" ht="20.100000000000001" customHeight="1" x14ac:dyDescent="0.25">
      <c r="D104" s="57" t="s">
        <v>109</v>
      </c>
      <c r="U104" s="29" t="str">
        <f>TEXT(EDATE('Input - Site'!$E$12,7), "mmmm yyyy")</f>
        <v>August 2024</v>
      </c>
      <c r="V104" s="29" cm="1">
        <f t="array" aca="1" ref="V104" ca="1">EntericMethane_PastureBeef_Equations.VEERG_3_2_1_1__2_DailyEntericMethaneProduction(V83)</f>
        <v>0.10625098959567</v>
      </c>
      <c r="W104" s="29" cm="1">
        <f t="array" aca="1" ref="W104" ca="1">EntericMethane_PastureBeef_Equations.VEERG_3_2_1_1__2_DailyEntericMethaneProduction(W83)</f>
        <v>0.20647957902299996</v>
      </c>
      <c r="X104" s="29" cm="1">
        <f t="array" aca="1" ref="X104" ca="1">EntericMethane_PastureBeef_Equations.VEERG_3_2_1_1__2_DailyEntericMethaneProduction(X83)</f>
        <v>8.6995993551750014E-2</v>
      </c>
      <c r="Y104" s="29" cm="1">
        <f t="array" aca="1" ref="Y104" ca="1">EntericMethane_PastureBeef_Equations.VEERG_3_2_1_1__2_DailyEntericMethaneProduction(Y83)</f>
        <v>0.15031451267281581</v>
      </c>
      <c r="Z104" s="29" cm="1">
        <f t="array" aca="1" ref="Z104" ca="1">EntericMethane_PastureBeef_Equations.VEERG_3_2_1_1__2_DailyEntericMethaneProduction(Z83)</f>
        <v>0.20165155283953573</v>
      </c>
      <c r="AA104" s="29" cm="1">
        <f t="array" aca="1" ref="AA104" ca="1">EntericMethane_PastureBeef_Equations.VEERG_3_2_1_1__2_DailyEntericMethaneProduction(AA83)</f>
        <v>0.20165155283953573</v>
      </c>
      <c r="AB104" s="29" cm="1">
        <f t="array" aca="1" ref="AB104" ca="1">EntericMethane_PastureBeef_Equations.VEERG_3_2_1_1__2_DailyEntericMethaneProduction(AB83)</f>
        <v>9.3403950168869973E-2</v>
      </c>
      <c r="AC104" s="29" cm="1">
        <f t="array" aca="1" ref="AC104" ca="1">EntericMethane_PastureBeef_Equations.VEERG_3_2_1_1__2_DailyEntericMethaneProduction(AC83)</f>
        <v>0.14220590910911998</v>
      </c>
      <c r="AD104" s="29" cm="1">
        <f t="array" aca="1" ref="AD104" ca="1">EntericMethane_PastureBeef_Equations.VEERG_3_2_1_1__2_DailyEntericMethaneProduction(AD83)</f>
        <v>0.14220590910911998</v>
      </c>
      <c r="AE104" s="29" cm="1">
        <f t="array" aca="1" ref="AE104" ca="1">EntericMethane_PastureBeef_Equations.VEERG_3_2_1_1__2_DailyEntericMethaneProduction(AE83)</f>
        <v>0.14220590910911998</v>
      </c>
      <c r="AF104" s="32"/>
    </row>
    <row r="105" spans="4:35" ht="20.100000000000001" customHeight="1" x14ac:dyDescent="0.25">
      <c r="D105" s="58" t="s">
        <v>110</v>
      </c>
      <c r="U105" s="29" t="str">
        <f>TEXT(EDATE('Input - Site'!$E$12,8), "mmmm yyyy")</f>
        <v>September 2024</v>
      </c>
      <c r="V105" s="29" cm="1">
        <f t="array" aca="1" ref="V105" ca="1">EntericMethane_PastureBeef_Equations.VEERG_3_2_1_1__2_DailyEntericMethaneProduction(V84)</f>
        <v>0.17948772790272</v>
      </c>
      <c r="W105" s="29" cm="1">
        <f t="array" aca="1" ref="W105" ca="1">EntericMethane_PastureBeef_Equations.VEERG_3_2_1_1__2_DailyEntericMethaneProduction(W84)</f>
        <v>0.25350255517500003</v>
      </c>
      <c r="X105" s="29" cm="1">
        <f t="array" aca="1" ref="X105" ca="1">EntericMethane_PastureBeef_Equations.VEERG_3_2_1_1__2_DailyEntericMethaneProduction(X84)</f>
        <v>0.13680549733887001</v>
      </c>
      <c r="Y105" s="29" cm="1">
        <f t="array" aca="1" ref="Y105" ca="1">EntericMethane_PastureBeef_Equations.VEERG_3_2_1_1__2_DailyEntericMethaneProduction(Y84)</f>
        <v>0.21992772499678584</v>
      </c>
      <c r="Z105" s="29" cm="1">
        <f t="array" aca="1" ref="Z105" ca="1">EntericMethane_PastureBeef_Equations.VEERG_3_2_1_1__2_DailyEntericMethaneProduction(Z84)</f>
        <v>0.24422040423270006</v>
      </c>
      <c r="AA105" s="29" cm="1">
        <f t="array" aca="1" ref="AA105" ca="1">EntericMethane_PastureBeef_Equations.VEERG_3_2_1_1__2_DailyEntericMethaneProduction(AA84)</f>
        <v>0.24422040423270006</v>
      </c>
      <c r="AB105" s="29" cm="1">
        <f t="array" aca="1" ref="AB105" ca="1">EntericMethane_PastureBeef_Equations.VEERG_3_2_1_1__2_DailyEntericMethaneProduction(AB84)</f>
        <v>0.15771860106299995</v>
      </c>
      <c r="AC105" s="29" cm="1">
        <f t="array" aca="1" ref="AC105" ca="1">EntericMethane_PastureBeef_Equations.VEERG_3_2_1_1__2_DailyEntericMethaneProduction(AC84)</f>
        <v>0.20042625868091996</v>
      </c>
      <c r="AD105" s="29" cm="1">
        <f t="array" aca="1" ref="AD105" ca="1">EntericMethane_PastureBeef_Equations.VEERG_3_2_1_1__2_DailyEntericMethaneProduction(AD84)</f>
        <v>0.20042625868091996</v>
      </c>
      <c r="AE105" s="29" cm="1">
        <f t="array" aca="1" ref="AE105" ca="1">EntericMethane_PastureBeef_Equations.VEERG_3_2_1_1__2_DailyEntericMethaneProduction(AE84)</f>
        <v>0.20042625868091996</v>
      </c>
      <c r="AF105" s="32"/>
    </row>
    <row r="106" spans="4:35" ht="20.100000000000001" customHeight="1" x14ac:dyDescent="0.25">
      <c r="D106" s="59" t="s">
        <v>84</v>
      </c>
      <c r="E106" s="60" t="s">
        <v>31</v>
      </c>
      <c r="F106" s="60" t="s">
        <v>32</v>
      </c>
      <c r="G106" s="60" t="s">
        <v>33</v>
      </c>
      <c r="H106" s="60" t="s">
        <v>34</v>
      </c>
      <c r="I106" s="60" t="s">
        <v>35</v>
      </c>
      <c r="J106" s="60" t="s">
        <v>36</v>
      </c>
      <c r="K106" s="60" t="s">
        <v>37</v>
      </c>
      <c r="L106" s="60" t="s">
        <v>38</v>
      </c>
      <c r="M106" s="60" t="s">
        <v>39</v>
      </c>
      <c r="N106" s="60" t="s">
        <v>40</v>
      </c>
      <c r="U106" s="29" t="str">
        <f>TEXT(EDATE('Input - Site'!$E$12,9), "mmmm yyyy")</f>
        <v>October 2024</v>
      </c>
      <c r="V106" s="29" cm="1">
        <f t="array" aca="1" ref="V106" ca="1">EntericMethane_PastureBeef_Equations.VEERG_3_2_1_1__2_DailyEntericMethaneProduction(V85)</f>
        <v>0.17948772790272</v>
      </c>
      <c r="W106" s="29" cm="1">
        <f t="array" aca="1" ref="W106" ca="1">EntericMethane_PastureBeef_Equations.VEERG_3_2_1_1__2_DailyEntericMethaneProduction(W85)</f>
        <v>0.25350255517500003</v>
      </c>
      <c r="X106" s="29" cm="1">
        <f t="array" aca="1" ref="X106" ca="1">EntericMethane_PastureBeef_Equations.VEERG_3_2_1_1__2_DailyEntericMethaneProduction(X85)</f>
        <v>0.13680549733887001</v>
      </c>
      <c r="Y106" s="29" cm="1">
        <f t="array" aca="1" ref="Y106" ca="1">EntericMethane_PastureBeef_Equations.VEERG_3_2_1_1__2_DailyEntericMethaneProduction(Y85)</f>
        <v>0.21992772499678584</v>
      </c>
      <c r="Z106" s="29" cm="1">
        <f t="array" aca="1" ref="Z106" ca="1">EntericMethane_PastureBeef_Equations.VEERG_3_2_1_1__2_DailyEntericMethaneProduction(Z85)</f>
        <v>0.24422040423270006</v>
      </c>
      <c r="AA106" s="29" cm="1">
        <f t="array" aca="1" ref="AA106" ca="1">EntericMethane_PastureBeef_Equations.VEERG_3_2_1_1__2_DailyEntericMethaneProduction(AA85)</f>
        <v>0.24422040423270006</v>
      </c>
      <c r="AB106" s="29" cm="1">
        <f t="array" aca="1" ref="AB106" ca="1">EntericMethane_PastureBeef_Equations.VEERG_3_2_1_1__2_DailyEntericMethaneProduction(AB85)</f>
        <v>0.15771860106299995</v>
      </c>
      <c r="AC106" s="29" cm="1">
        <f t="array" aca="1" ref="AC106" ca="1">EntericMethane_PastureBeef_Equations.VEERG_3_2_1_1__2_DailyEntericMethaneProduction(AC85)</f>
        <v>0.20042625868091996</v>
      </c>
      <c r="AD106" s="29" cm="1">
        <f t="array" aca="1" ref="AD106" ca="1">EntericMethane_PastureBeef_Equations.VEERG_3_2_1_1__2_DailyEntericMethaneProduction(AD85)</f>
        <v>0.20042625868091996</v>
      </c>
      <c r="AE106" s="29" cm="1">
        <f t="array" aca="1" ref="AE106" ca="1">EntericMethane_PastureBeef_Equations.VEERG_3_2_1_1__2_DailyEntericMethaneProduction(AE85)</f>
        <v>0.20042625868091996</v>
      </c>
      <c r="AF106" s="32"/>
    </row>
    <row r="107" spans="4:35" ht="20.100000000000001" customHeight="1" x14ac:dyDescent="0.25">
      <c r="D107" s="29" t="s">
        <v>41</v>
      </c>
      <c r="E107" s="29" cm="1">
        <f t="array" aca="1" ref="E107:N110" ca="1">OFFSET(X_Table_PastureBeef_Head_Method1,1,1,4,10)</f>
        <v>100</v>
      </c>
      <c r="F107" s="29">
        <f ca="1"/>
        <v>100</v>
      </c>
      <c r="G107" s="29">
        <f ca="1"/>
        <v>100</v>
      </c>
      <c r="H107" s="29">
        <f ca="1"/>
        <v>100</v>
      </c>
      <c r="I107" s="29">
        <f ca="1"/>
        <v>100</v>
      </c>
      <c r="J107" s="29">
        <f ca="1"/>
        <v>100</v>
      </c>
      <c r="K107" s="29">
        <f ca="1"/>
        <v>100</v>
      </c>
      <c r="L107" s="29">
        <f ca="1"/>
        <v>100</v>
      </c>
      <c r="M107" s="29">
        <f ca="1"/>
        <v>100</v>
      </c>
      <c r="N107" s="29">
        <f ca="1"/>
        <v>100</v>
      </c>
      <c r="O107" s="32" t="str">
        <f>G102</f>
        <v>head</v>
      </c>
      <c r="U107" s="29" t="str">
        <f>TEXT(EDATE('Input - Site'!$E$12,10), "mmmm yyyy")</f>
        <v>November 2024</v>
      </c>
      <c r="V107" s="29" cm="1">
        <f t="array" aca="1" ref="V107" ca="1">EntericMethane_PastureBeef_Equations.VEERG_3_2_1_1__2_DailyEntericMethaneProduction(V86)</f>
        <v>0.17948772790272</v>
      </c>
      <c r="W107" s="29" cm="1">
        <f t="array" aca="1" ref="W107" ca="1">EntericMethane_PastureBeef_Equations.VEERG_3_2_1_1__2_DailyEntericMethaneProduction(W86)</f>
        <v>0.25350255517500003</v>
      </c>
      <c r="X107" s="29" cm="1">
        <f t="array" aca="1" ref="X107" ca="1">EntericMethane_PastureBeef_Equations.VEERG_3_2_1_1__2_DailyEntericMethaneProduction(X86)</f>
        <v>0.13680549733887001</v>
      </c>
      <c r="Y107" s="29" cm="1">
        <f t="array" aca="1" ref="Y107" ca="1">EntericMethane_PastureBeef_Equations.VEERG_3_2_1_1__2_DailyEntericMethaneProduction(Y86)</f>
        <v>0.19299779948697532</v>
      </c>
      <c r="Z107" s="29" cm="1">
        <f t="array" aca="1" ref="Z107" ca="1">EntericMethane_PastureBeef_Equations.VEERG_3_2_1_1__2_DailyEntericMethaneProduction(Z86)</f>
        <v>0.21431586493890006</v>
      </c>
      <c r="AA107" s="29" cm="1">
        <f t="array" aca="1" ref="AA107" ca="1">EntericMethane_PastureBeef_Equations.VEERG_3_2_1_1__2_DailyEntericMethaneProduction(AA86)</f>
        <v>0.21431586493890006</v>
      </c>
      <c r="AB107" s="29" cm="1">
        <f t="array" aca="1" ref="AB107" ca="1">EntericMethane_PastureBeef_Equations.VEERG_3_2_1_1__2_DailyEntericMethaneProduction(AB86)</f>
        <v>0.15771860106299995</v>
      </c>
      <c r="AC107" s="29" cm="1">
        <f t="array" aca="1" ref="AC107" ca="1">EntericMethane_PastureBeef_Equations.VEERG_3_2_1_1__2_DailyEntericMethaneProduction(AC86)</f>
        <v>0.20042625868091996</v>
      </c>
      <c r="AD107" s="29" cm="1">
        <f t="array" aca="1" ref="AD107" ca="1">EntericMethane_PastureBeef_Equations.VEERG_3_2_1_1__2_DailyEntericMethaneProduction(AD86)</f>
        <v>0.20042625868091996</v>
      </c>
      <c r="AE107" s="29" cm="1">
        <f t="array" aca="1" ref="AE107" ca="1">EntericMethane_PastureBeef_Equations.VEERG_3_2_1_1__2_DailyEntericMethaneProduction(AE86)</f>
        <v>0.20042625868091996</v>
      </c>
      <c r="AF107" s="32"/>
    </row>
    <row r="108" spans="4:35" ht="20.100000000000001" customHeight="1" x14ac:dyDescent="0.25">
      <c r="D108" s="29" t="s">
        <v>43</v>
      </c>
      <c r="E108" s="29">
        <f ca="1"/>
        <v>100</v>
      </c>
      <c r="F108" s="29">
        <f ca="1"/>
        <v>100</v>
      </c>
      <c r="G108" s="29">
        <f ca="1"/>
        <v>100</v>
      </c>
      <c r="H108" s="29">
        <f ca="1"/>
        <v>100</v>
      </c>
      <c r="I108" s="29">
        <f ca="1"/>
        <v>100</v>
      </c>
      <c r="J108" s="29">
        <f ca="1"/>
        <v>100</v>
      </c>
      <c r="K108" s="29">
        <f ca="1"/>
        <v>100</v>
      </c>
      <c r="L108" s="29">
        <f ca="1"/>
        <v>100</v>
      </c>
      <c r="M108" s="29">
        <f ca="1"/>
        <v>100</v>
      </c>
      <c r="N108" s="29">
        <f ca="1"/>
        <v>100</v>
      </c>
      <c r="O108" s="32"/>
      <c r="U108" s="29" t="str">
        <f>TEXT(EDATE('Input - Site'!$E$12,11), "mmmm yyyy")</f>
        <v>December 2024</v>
      </c>
      <c r="V108" s="29" cm="1">
        <f t="array" aca="1" ref="V108" ca="1">EntericMethane_PastureBeef_Equations.VEERG_3_2_1_1__2_DailyEntericMethaneProduction(V87)</f>
        <v>0.14793987137471989</v>
      </c>
      <c r="W108" s="29" cm="1">
        <f t="array" aca="1" ref="W108" ca="1">EntericMethane_PastureBeef_Equations.VEERG_3_2_1_1__2_DailyEntericMethaneProduction(W87)</f>
        <v>0.19573907587452002</v>
      </c>
      <c r="X108" s="29" cm="1">
        <f t="array" aca="1" ref="X108" ca="1">EntericMethane_PastureBeef_Equations.VEERG_3_2_1_1__2_DailyEntericMethaneProduction(X87)</f>
        <v>0.12441409099199996</v>
      </c>
      <c r="Y108" s="29" cm="1">
        <f t="array" aca="1" ref="Y108" ca="1">EntericMethane_PastureBeef_Equations.VEERG_3_2_1_1__2_DailyEntericMethaneProduction(Y87)</f>
        <v>0.17513940725488128</v>
      </c>
      <c r="Z108" s="29" cm="1">
        <f t="array" aca="1" ref="Z108" ca="1">EntericMethane_PastureBeef_Equations.VEERG_3_2_1_1__2_DailyEntericMethaneProduction(Z87)</f>
        <v>0.17340944296568395</v>
      </c>
      <c r="AA108" s="29" cm="1">
        <f t="array" aca="1" ref="AA108" ca="1">EntericMethane_PastureBeef_Equations.VEERG_3_2_1_1__2_DailyEntericMethaneProduction(AA87)</f>
        <v>0.17340944296568395</v>
      </c>
      <c r="AB108" s="29" cm="1">
        <f t="array" aca="1" ref="AB108" ca="1">EntericMethane_PastureBeef_Equations.VEERG_3_2_1_1__2_DailyEntericMethaneProduction(AB87)</f>
        <v>0.13636416641471999</v>
      </c>
      <c r="AC108" s="29" cm="1">
        <f t="array" aca="1" ref="AC108" ca="1">EntericMethane_PastureBeef_Equations.VEERG_3_2_1_1__2_DailyEntericMethaneProduction(AC87)</f>
        <v>0.15200155388727002</v>
      </c>
      <c r="AD108" s="29" cm="1">
        <f t="array" aca="1" ref="AD108" ca="1">EntericMethane_PastureBeef_Equations.VEERG_3_2_1_1__2_DailyEntericMethaneProduction(AD87)</f>
        <v>0.15200155388727002</v>
      </c>
      <c r="AE108" s="29" cm="1">
        <f t="array" aca="1" ref="AE108" ca="1">EntericMethane_PastureBeef_Equations.VEERG_3_2_1_1__2_DailyEntericMethaneProduction(AE87)</f>
        <v>0.15200155388727002</v>
      </c>
      <c r="AF108" s="32"/>
    </row>
    <row r="109" spans="4:35" ht="20.100000000000001" customHeight="1" x14ac:dyDescent="0.25">
      <c r="D109" s="29" t="s">
        <v>44</v>
      </c>
      <c r="E109" s="29">
        <f ca="1"/>
        <v>100</v>
      </c>
      <c r="F109" s="29">
        <f ca="1"/>
        <v>100</v>
      </c>
      <c r="G109" s="29">
        <f ca="1"/>
        <v>100</v>
      </c>
      <c r="H109" s="29">
        <f ca="1"/>
        <v>100</v>
      </c>
      <c r="I109" s="29">
        <f ca="1"/>
        <v>100</v>
      </c>
      <c r="J109" s="29">
        <f ca="1"/>
        <v>100</v>
      </c>
      <c r="K109" s="29">
        <f ca="1"/>
        <v>100</v>
      </c>
      <c r="L109" s="29">
        <f ca="1"/>
        <v>100</v>
      </c>
      <c r="M109" s="29">
        <f ca="1"/>
        <v>100</v>
      </c>
      <c r="N109" s="29">
        <f ca="1"/>
        <v>100</v>
      </c>
      <c r="O109" s="32"/>
    </row>
    <row r="110" spans="4:35" ht="20.100000000000001" customHeight="1" x14ac:dyDescent="0.25">
      <c r="D110" s="29" t="s">
        <v>45</v>
      </c>
      <c r="E110" s="29">
        <f ca="1"/>
        <v>100</v>
      </c>
      <c r="F110" s="29">
        <f ca="1"/>
        <v>100</v>
      </c>
      <c r="G110" s="29">
        <f ca="1"/>
        <v>100</v>
      </c>
      <c r="H110" s="29">
        <f ca="1"/>
        <v>100</v>
      </c>
      <c r="I110" s="29">
        <f ca="1"/>
        <v>100</v>
      </c>
      <c r="J110" s="29">
        <f ca="1"/>
        <v>100</v>
      </c>
      <c r="K110" s="29">
        <f ca="1"/>
        <v>100</v>
      </c>
      <c r="L110" s="29">
        <f ca="1"/>
        <v>100</v>
      </c>
      <c r="M110" s="29">
        <f ca="1"/>
        <v>100</v>
      </c>
      <c r="N110" s="29">
        <f ca="1"/>
        <v>100</v>
      </c>
      <c r="O110" s="32"/>
    </row>
    <row r="111" spans="4:35" ht="20.100000000000001" customHeight="1" x14ac:dyDescent="0.25">
      <c r="T111" s="61"/>
      <c r="U111" s="61"/>
      <c r="V111" s="61"/>
      <c r="W111" s="61"/>
      <c r="X111" s="61"/>
      <c r="Y111" s="61"/>
      <c r="Z111" s="61"/>
      <c r="AA111" s="61"/>
      <c r="AB111" s="61"/>
      <c r="AC111" s="61"/>
      <c r="AD111" s="61"/>
      <c r="AE111" s="61"/>
      <c r="AF111" s="61"/>
      <c r="AG111" s="61"/>
      <c r="AH111" s="61"/>
      <c r="AI111" s="61"/>
    </row>
    <row r="112" spans="4:35" ht="20.100000000000001" customHeight="1" x14ac:dyDescent="0.25">
      <c r="D112" s="57" t="s">
        <v>111</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58" t="s">
        <v>112</v>
      </c>
    </row>
    <row r="114" spans="4:34" ht="20.100000000000001" customHeight="1" x14ac:dyDescent="0.25">
      <c r="D114" s="59" t="s">
        <v>84</v>
      </c>
      <c r="E114" s="60" t="s">
        <v>31</v>
      </c>
      <c r="F114" s="60" t="s">
        <v>32</v>
      </c>
      <c r="G114" s="60" t="s">
        <v>33</v>
      </c>
      <c r="H114" s="60" t="s">
        <v>34</v>
      </c>
      <c r="I114" s="60" t="s">
        <v>35</v>
      </c>
      <c r="J114" s="60" t="s">
        <v>36</v>
      </c>
      <c r="K114" s="60" t="s">
        <v>37</v>
      </c>
      <c r="L114" s="60" t="s">
        <v>38</v>
      </c>
      <c r="M114" s="60" t="s">
        <v>39</v>
      </c>
      <c r="N114" s="60" t="s">
        <v>40</v>
      </c>
      <c r="U114" s="57" t="s">
        <v>113</v>
      </c>
    </row>
    <row r="115" spans="4:34" ht="20.100000000000001" customHeight="1" x14ac:dyDescent="0.25">
      <c r="D115" s="29" t="s">
        <v>41</v>
      </c>
      <c r="E115" s="29" cm="1">
        <f t="array" aca="1" ref="E115:N118" ca="1">OFFSET(X_Table_PastureBeef_Duration_Method1,1,1,4,10)</f>
        <v>91.25</v>
      </c>
      <c r="F115" s="29">
        <f ca="1"/>
        <v>91.25</v>
      </c>
      <c r="G115" s="29">
        <f ca="1"/>
        <v>91.25</v>
      </c>
      <c r="H115" s="29">
        <f ca="1"/>
        <v>91.25</v>
      </c>
      <c r="I115" s="29">
        <f ca="1"/>
        <v>91.25</v>
      </c>
      <c r="J115" s="29">
        <f ca="1"/>
        <v>91.25</v>
      </c>
      <c r="K115" s="29">
        <f ca="1"/>
        <v>91.25</v>
      </c>
      <c r="L115" s="29">
        <f ca="1"/>
        <v>91.25</v>
      </c>
      <c r="M115" s="29">
        <f ca="1"/>
        <v>91.25</v>
      </c>
      <c r="N115" s="29">
        <f ca="1"/>
        <v>91.25</v>
      </c>
      <c r="O115" s="32" t="str">
        <f>G100</f>
        <v>days</v>
      </c>
      <c r="U115" s="58" t="s">
        <v>114</v>
      </c>
      <c r="AH115" s="32"/>
    </row>
    <row r="116" spans="4:34" ht="20.100000000000001" customHeight="1" x14ac:dyDescent="0.25">
      <c r="D116" s="29" t="s">
        <v>43</v>
      </c>
      <c r="E116" s="29">
        <f ca="1"/>
        <v>91.25</v>
      </c>
      <c r="F116" s="29">
        <f ca="1"/>
        <v>91.25</v>
      </c>
      <c r="G116" s="29">
        <f ca="1"/>
        <v>91.25</v>
      </c>
      <c r="H116" s="29">
        <f ca="1"/>
        <v>91.25</v>
      </c>
      <c r="I116" s="29">
        <f ca="1"/>
        <v>91.25</v>
      </c>
      <c r="J116" s="29">
        <f ca="1"/>
        <v>91.25</v>
      </c>
      <c r="K116" s="29">
        <f ca="1"/>
        <v>91.25</v>
      </c>
      <c r="L116" s="29">
        <f ca="1"/>
        <v>91.25</v>
      </c>
      <c r="M116" s="29">
        <f ca="1"/>
        <v>91.25</v>
      </c>
      <c r="N116" s="29">
        <f ca="1"/>
        <v>91.25</v>
      </c>
      <c r="O116" s="32"/>
      <c r="U116" s="59" t="s">
        <v>87</v>
      </c>
      <c r="V116" s="60" t="s">
        <v>31</v>
      </c>
      <c r="W116" s="60" t="s">
        <v>32</v>
      </c>
      <c r="X116" s="60" t="s">
        <v>33</v>
      </c>
      <c r="Y116" s="60" t="s">
        <v>34</v>
      </c>
      <c r="Z116" s="60" t="s">
        <v>35</v>
      </c>
      <c r="AA116" s="60" t="s">
        <v>36</v>
      </c>
      <c r="AB116" s="60" t="s">
        <v>37</v>
      </c>
      <c r="AC116" s="60" t="s">
        <v>38</v>
      </c>
      <c r="AD116" s="60" t="s">
        <v>39</v>
      </c>
      <c r="AE116" s="60" t="s">
        <v>40</v>
      </c>
      <c r="AF116" s="32"/>
      <c r="AH116" s="32"/>
    </row>
    <row r="117" spans="4:34" ht="20.100000000000001" customHeight="1" x14ac:dyDescent="0.25">
      <c r="D117" s="29" t="s">
        <v>44</v>
      </c>
      <c r="E117" s="29">
        <f ca="1"/>
        <v>91.25</v>
      </c>
      <c r="F117" s="29">
        <f ca="1"/>
        <v>91.25</v>
      </c>
      <c r="G117" s="29">
        <f ca="1"/>
        <v>91.25</v>
      </c>
      <c r="H117" s="29">
        <f ca="1"/>
        <v>91.25</v>
      </c>
      <c r="I117" s="29">
        <f ca="1"/>
        <v>91.25</v>
      </c>
      <c r="J117" s="29">
        <f ca="1"/>
        <v>91.25</v>
      </c>
      <c r="K117" s="29">
        <f ca="1"/>
        <v>91.25</v>
      </c>
      <c r="L117" s="29">
        <f ca="1"/>
        <v>91.25</v>
      </c>
      <c r="M117" s="29">
        <f ca="1"/>
        <v>91.25</v>
      </c>
      <c r="N117" s="29">
        <f ca="1"/>
        <v>91.25</v>
      </c>
      <c r="O117" s="32"/>
      <c r="U117" s="29" t="str">
        <f>TEXT('Input - Site'!$E$12, "mmmm yyyy")</f>
        <v>January 2024</v>
      </c>
      <c r="V117" s="29" cm="1">
        <f t="array" aca="1" ref="V117:AE128" ca="1">OFFSET(X_Table_PastureBeef_Head_Method2,1,1,12,10)</f>
        <v>100</v>
      </c>
      <c r="W117" s="29">
        <f ca="1"/>
        <v>100</v>
      </c>
      <c r="X117" s="29">
        <f ca="1"/>
        <v>100</v>
      </c>
      <c r="Y117" s="29">
        <f ca="1"/>
        <v>100</v>
      </c>
      <c r="Z117" s="29">
        <f ca="1"/>
        <v>100</v>
      </c>
      <c r="AA117" s="29">
        <f ca="1"/>
        <v>100</v>
      </c>
      <c r="AB117" s="29">
        <f ca="1"/>
        <v>100</v>
      </c>
      <c r="AC117" s="29">
        <f ca="1"/>
        <v>100</v>
      </c>
      <c r="AD117" s="29">
        <f ca="1"/>
        <v>100</v>
      </c>
      <c r="AE117" s="29">
        <f ca="1"/>
        <v>100</v>
      </c>
      <c r="AF117" s="32" t="str">
        <f>$G$102</f>
        <v>head</v>
      </c>
      <c r="AH117" s="32"/>
    </row>
    <row r="118" spans="4:34" ht="20.100000000000001" customHeight="1" x14ac:dyDescent="0.25">
      <c r="D118" s="29" t="s">
        <v>45</v>
      </c>
      <c r="E118" s="29">
        <f ca="1"/>
        <v>91.25</v>
      </c>
      <c r="F118" s="29">
        <f ca="1"/>
        <v>91.25</v>
      </c>
      <c r="G118" s="29">
        <f ca="1"/>
        <v>91.25</v>
      </c>
      <c r="H118" s="29">
        <f ca="1"/>
        <v>91.25</v>
      </c>
      <c r="I118" s="29">
        <f ca="1"/>
        <v>91.25</v>
      </c>
      <c r="J118" s="29">
        <f ca="1"/>
        <v>91.25</v>
      </c>
      <c r="K118" s="29">
        <f ca="1"/>
        <v>91.25</v>
      </c>
      <c r="L118" s="29">
        <f ca="1"/>
        <v>91.25</v>
      </c>
      <c r="M118" s="29">
        <f ca="1"/>
        <v>91.25</v>
      </c>
      <c r="N118" s="29">
        <f ca="1"/>
        <v>91.25</v>
      </c>
      <c r="O118" s="32"/>
      <c r="U118" s="29" t="str">
        <f>TEXT(EDATE('Input - Site'!$E$12,1), "mmmm yyyy")</f>
        <v>February 2024</v>
      </c>
      <c r="V118" s="29">
        <f ca="1"/>
        <v>100</v>
      </c>
      <c r="W118" s="29">
        <f ca="1"/>
        <v>100</v>
      </c>
      <c r="X118" s="29">
        <f ca="1"/>
        <v>100</v>
      </c>
      <c r="Y118" s="29">
        <f ca="1"/>
        <v>100</v>
      </c>
      <c r="Z118" s="29">
        <f ca="1"/>
        <v>100</v>
      </c>
      <c r="AA118" s="29">
        <f ca="1"/>
        <v>100</v>
      </c>
      <c r="AB118" s="29">
        <f ca="1"/>
        <v>100</v>
      </c>
      <c r="AC118" s="29">
        <f ca="1"/>
        <v>100</v>
      </c>
      <c r="AD118" s="29">
        <f ca="1"/>
        <v>100</v>
      </c>
      <c r="AE118" s="29">
        <f ca="1"/>
        <v>100</v>
      </c>
      <c r="AF118" s="32"/>
      <c r="AH118" s="32"/>
    </row>
    <row r="119" spans="4:34" ht="20.100000000000001" customHeight="1" x14ac:dyDescent="0.25">
      <c r="U119" s="29" t="str">
        <f>TEXT(EDATE('Input - Site'!$E$12,2), "mmmm yyyy")</f>
        <v>March 2024</v>
      </c>
      <c r="V119" s="29">
        <f ca="1"/>
        <v>100</v>
      </c>
      <c r="W119" s="29">
        <f ca="1"/>
        <v>100</v>
      </c>
      <c r="X119" s="29">
        <f ca="1"/>
        <v>100</v>
      </c>
      <c r="Y119" s="29">
        <f ca="1"/>
        <v>100</v>
      </c>
      <c r="Z119" s="29">
        <f ca="1"/>
        <v>100</v>
      </c>
      <c r="AA119" s="29">
        <f ca="1"/>
        <v>100</v>
      </c>
      <c r="AB119" s="29">
        <f ca="1"/>
        <v>100</v>
      </c>
      <c r="AC119" s="29">
        <f ca="1"/>
        <v>100</v>
      </c>
      <c r="AD119" s="29">
        <f ca="1"/>
        <v>100</v>
      </c>
      <c r="AE119" s="29">
        <f ca="1"/>
        <v>100</v>
      </c>
      <c r="AF119" s="32"/>
      <c r="AH119" s="32"/>
    </row>
    <row r="120" spans="4:34" ht="20.100000000000001" customHeight="1" x14ac:dyDescent="0.25">
      <c r="D120" s="57" t="s">
        <v>115</v>
      </c>
      <c r="U120" s="29" t="str">
        <f>TEXT(EDATE('Input - Site'!$E$12,3), "mmmm yyyy")</f>
        <v>April 2024</v>
      </c>
      <c r="V120" s="29">
        <f ca="1"/>
        <v>100</v>
      </c>
      <c r="W120" s="29">
        <f ca="1"/>
        <v>100</v>
      </c>
      <c r="X120" s="29">
        <f ca="1"/>
        <v>100</v>
      </c>
      <c r="Y120" s="29">
        <f ca="1"/>
        <v>100</v>
      </c>
      <c r="Z120" s="29">
        <f ca="1"/>
        <v>100</v>
      </c>
      <c r="AA120" s="29">
        <f ca="1"/>
        <v>100</v>
      </c>
      <c r="AB120" s="29">
        <f ca="1"/>
        <v>100</v>
      </c>
      <c r="AC120" s="29">
        <f ca="1"/>
        <v>100</v>
      </c>
      <c r="AD120" s="29">
        <f ca="1"/>
        <v>100</v>
      </c>
      <c r="AE120" s="29">
        <f ca="1"/>
        <v>100</v>
      </c>
      <c r="AF120" s="32"/>
      <c r="AH120" s="32"/>
    </row>
    <row r="121" spans="4:34" ht="20.100000000000001" customHeight="1" x14ac:dyDescent="0.25">
      <c r="D121" s="58" t="s">
        <v>116</v>
      </c>
      <c r="U121" s="29" t="str">
        <f>TEXT(EDATE('Input - Site'!$E$12,4), "mmmm yyyy")</f>
        <v>May 2024</v>
      </c>
      <c r="V121" s="29">
        <f ca="1"/>
        <v>100</v>
      </c>
      <c r="W121" s="29">
        <f ca="1"/>
        <v>100</v>
      </c>
      <c r="X121" s="29">
        <f ca="1"/>
        <v>100</v>
      </c>
      <c r="Y121" s="29">
        <f ca="1"/>
        <v>100</v>
      </c>
      <c r="Z121" s="29">
        <f ca="1"/>
        <v>100</v>
      </c>
      <c r="AA121" s="29">
        <f ca="1"/>
        <v>100</v>
      </c>
      <c r="AB121" s="29">
        <f ca="1"/>
        <v>100</v>
      </c>
      <c r="AC121" s="29">
        <f ca="1"/>
        <v>100</v>
      </c>
      <c r="AD121" s="29">
        <f ca="1"/>
        <v>100</v>
      </c>
      <c r="AE121" s="29">
        <f ca="1"/>
        <v>100</v>
      </c>
      <c r="AF121" s="32"/>
      <c r="AH121" s="32"/>
    </row>
    <row r="122" spans="4:34" ht="20.100000000000001" customHeight="1" x14ac:dyDescent="0.25">
      <c r="D122" s="59" t="s">
        <v>84</v>
      </c>
      <c r="E122" s="59" t="s">
        <v>31</v>
      </c>
      <c r="F122" s="59" t="s">
        <v>32</v>
      </c>
      <c r="G122" s="59" t="s">
        <v>33</v>
      </c>
      <c r="H122" s="59" t="s">
        <v>34</v>
      </c>
      <c r="I122" s="59" t="s">
        <v>35</v>
      </c>
      <c r="J122" s="59" t="s">
        <v>36</v>
      </c>
      <c r="K122" s="59" t="s">
        <v>37</v>
      </c>
      <c r="L122" s="59" t="s">
        <v>38</v>
      </c>
      <c r="M122" s="59" t="s">
        <v>39</v>
      </c>
      <c r="N122" s="59" t="s">
        <v>40</v>
      </c>
      <c r="U122" s="29" t="str">
        <f>TEXT(EDATE('Input - Site'!$E$12,5), "mmmm yyyy")</f>
        <v>June 2024</v>
      </c>
      <c r="V122" s="29">
        <f ca="1"/>
        <v>100</v>
      </c>
      <c r="W122" s="29">
        <f ca="1"/>
        <v>100</v>
      </c>
      <c r="X122" s="29">
        <f ca="1"/>
        <v>100</v>
      </c>
      <c r="Y122" s="29">
        <f ca="1"/>
        <v>100</v>
      </c>
      <c r="Z122" s="29">
        <f ca="1"/>
        <v>100</v>
      </c>
      <c r="AA122" s="29">
        <f ca="1"/>
        <v>100</v>
      </c>
      <c r="AB122" s="29">
        <f ca="1"/>
        <v>100</v>
      </c>
      <c r="AC122" s="29">
        <f ca="1"/>
        <v>100</v>
      </c>
      <c r="AD122" s="29">
        <f ca="1"/>
        <v>100</v>
      </c>
      <c r="AE122" s="29">
        <f ca="1"/>
        <v>100</v>
      </c>
      <c r="AF122" s="32"/>
      <c r="AH122" s="32"/>
    </row>
    <row r="123" spans="4:34" ht="20.100000000000001" customHeight="1" x14ac:dyDescent="0.25">
      <c r="D123" s="29" t="s">
        <v>41</v>
      </c>
      <c r="E123" s="29" cm="1">
        <f t="array" aca="1" ref="E123" ca="1">EntericMethane_PastureBeef_Equations.VEERG_3_2_1_1__1_TotalAnnualMethaneFromEntericFermentation(E115,E85,E107)</f>
        <v>1.6378255171123202</v>
      </c>
      <c r="F123" s="29" cm="1">
        <f t="array" aca="1" ref="F123" ca="1">EntericMethane_PastureBeef_Equations.VEERG_3_2_1_1__1_TotalAnnualMethaneFromEntericFermentation(F115,F85,F107)</f>
        <v>2.3132108159718756</v>
      </c>
      <c r="G123" s="29" cm="1">
        <f t="array" aca="1" ref="G123" ca="1">EntericMethane_PastureBeef_Equations.VEERG_3_2_1_1__1_TotalAnnualMethaneFromEntericFermentation(G115,G85,G107)</f>
        <v>1.2483501632171887</v>
      </c>
      <c r="H123" s="29" cm="1">
        <f t="array" aca="1" ref="H123" ca="1">EntericMethane_PastureBeef_Equations.VEERG_3_2_1_1__1_TotalAnnualMethaneFromEntericFermentation(H115,H85,H107)</f>
        <v>1.7856784773463517</v>
      </c>
      <c r="I123" s="29" cm="1">
        <f t="array" aca="1" ref="I123" ca="1">EntericMethane_PastureBeef_Equations.VEERG_3_2_1_1__1_TotalAnnualMethaneFromEntericFermentation(I115,I85,I107)</f>
        <v>1.9101524473914753</v>
      </c>
      <c r="J123" s="29" cm="1">
        <f t="array" aca="1" ref="J123" ca="1">EntericMethane_PastureBeef_Equations.VEERG_3_2_1_1__1_TotalAnnualMethaneFromEntericFermentation(J115,J85,J107)</f>
        <v>1.9101524473914753</v>
      </c>
      <c r="K123" s="29" cm="1">
        <f t="array" aca="1" ref="K123" ca="1">EntericMethane_PastureBeef_Equations.VEERG_3_2_1_1__1_TotalAnnualMethaneFromEntericFermentation(K115,K85,K107)</f>
        <v>1.4391822346998746</v>
      </c>
      <c r="L123" s="29" cm="1">
        <f t="array" aca="1" ref="L123" ca="1">EntericMethane_PastureBeef_Equations.VEERG_3_2_1_1__1_TotalAnnualMethaneFromEntericFermentation(L115,L85,L107)</f>
        <v>1.8288896104633945</v>
      </c>
      <c r="M123" s="29" cm="1">
        <f t="array" aca="1" ref="M123" ca="1">EntericMethane_PastureBeef_Equations.VEERG_3_2_1_1__1_TotalAnnualMethaneFromEntericFermentation(M115,M85,M107)</f>
        <v>1.8288896104633945</v>
      </c>
      <c r="N123" s="29" cm="1">
        <f t="array" aca="1" ref="N123" ca="1">EntericMethane_PastureBeef_Equations.VEERG_3_2_1_1__1_TotalAnnualMethaneFromEntericFermentation(N115,N85,N107)</f>
        <v>1.8288896104633945</v>
      </c>
      <c r="O123" s="32" t="str">
        <f>E98</f>
        <v>t CH4</v>
      </c>
      <c r="Q123" s="32"/>
      <c r="U123" s="29" t="str">
        <f>TEXT(EDATE('Input - Site'!$E$12,6), "mmmm yyyy")</f>
        <v>July 2024</v>
      </c>
      <c r="V123" s="29">
        <f ca="1"/>
        <v>100</v>
      </c>
      <c r="W123" s="29">
        <f ca="1"/>
        <v>100</v>
      </c>
      <c r="X123" s="29">
        <f ca="1"/>
        <v>100</v>
      </c>
      <c r="Y123" s="29">
        <f ca="1"/>
        <v>100</v>
      </c>
      <c r="Z123" s="29">
        <f ca="1"/>
        <v>100</v>
      </c>
      <c r="AA123" s="29">
        <f ca="1"/>
        <v>100</v>
      </c>
      <c r="AB123" s="29">
        <f ca="1"/>
        <v>100</v>
      </c>
      <c r="AC123" s="29">
        <f ca="1"/>
        <v>100</v>
      </c>
      <c r="AD123" s="29">
        <f ca="1"/>
        <v>100</v>
      </c>
      <c r="AE123" s="29">
        <f ca="1"/>
        <v>100</v>
      </c>
      <c r="AF123" s="32"/>
      <c r="AH123" s="32"/>
    </row>
    <row r="124" spans="4:34" ht="20.100000000000001" customHeight="1" x14ac:dyDescent="0.25">
      <c r="D124" s="29" t="s">
        <v>43</v>
      </c>
      <c r="E124" s="29" cm="1">
        <f t="array" aca="1" ref="E124" ca="1">EntericMethane_PastureBeef_Equations.VEERG_3_2_1_1__1_TotalAnnualMethaneFromEntericFermentation(E116,E86,E108)</f>
        <v>1.3499513262943192</v>
      </c>
      <c r="F124" s="29" cm="1">
        <f t="array" aca="1" ref="F124" ca="1">EntericMethane_PastureBeef_Equations.VEERG_3_2_1_1__1_TotalAnnualMethaneFromEntericFermentation(F116,F86,F108)</f>
        <v>1.7861190673549951</v>
      </c>
      <c r="G124" s="29" cm="1">
        <f t="array" aca="1" ref="G124" ca="1">EntericMethane_PastureBeef_Equations.VEERG_3_2_1_1__1_TotalAnnualMethaneFromEntericFermentation(G116,G86,G108)</f>
        <v>1.1352785803019998</v>
      </c>
      <c r="H124" s="29" cm="1">
        <f t="array" aca="1" ref="H124" ca="1">EntericMethane_PastureBeef_Equations.VEERG_3_2_1_1__1_TotalAnnualMethaneFromEntericFermentation(H116,H86,H108)</f>
        <v>1.486648456930969</v>
      </c>
      <c r="I124" s="29" cm="1">
        <f t="array" aca="1" ref="I124" ca="1">EntericMethane_PastureBeef_Equations.VEERG_3_2_1_1__1_TotalAnnualMethaneFromEntericFermentation(I116,I86,I108)</f>
        <v>1.4719638763366196</v>
      </c>
      <c r="J124" s="29" cm="1">
        <f t="array" aca="1" ref="J124" ca="1">EntericMethane_PastureBeef_Equations.VEERG_3_2_1_1__1_TotalAnnualMethaneFromEntericFermentation(J116,J86,J108)</f>
        <v>1.4719638763366196</v>
      </c>
      <c r="K124" s="29" cm="1">
        <f t="array" aca="1" ref="K124" ca="1">EntericMethane_PastureBeef_Equations.VEERG_3_2_1_1__1_TotalAnnualMethaneFromEntericFermentation(K116,K86,K108)</f>
        <v>1.2443230185343197</v>
      </c>
      <c r="L124" s="29" cm="1">
        <f t="array" aca="1" ref="L124" ca="1">EntericMethane_PastureBeef_Equations.VEERG_3_2_1_1__1_TotalAnnualMethaneFromEntericFermentation(L116,L86,L108)</f>
        <v>1.3870141792213391</v>
      </c>
      <c r="M124" s="29" cm="1">
        <f t="array" aca="1" ref="M124" ca="1">EntericMethane_PastureBeef_Equations.VEERG_3_2_1_1__1_TotalAnnualMethaneFromEntericFermentation(M116,M86,M108)</f>
        <v>1.3870141792213391</v>
      </c>
      <c r="N124" s="29" cm="1">
        <f t="array" aca="1" ref="N124" ca="1">EntericMethane_PastureBeef_Equations.VEERG_3_2_1_1__1_TotalAnnualMethaneFromEntericFermentation(N116,N86,N108)</f>
        <v>1.3870141792213391</v>
      </c>
      <c r="O124" s="32"/>
      <c r="Q124" s="32"/>
      <c r="U124" s="29" t="str">
        <f>TEXT(EDATE('Input - Site'!$E$12,7), "mmmm yyyy")</f>
        <v>August 2024</v>
      </c>
      <c r="V124" s="29">
        <f ca="1"/>
        <v>100</v>
      </c>
      <c r="W124" s="29">
        <f ca="1"/>
        <v>100</v>
      </c>
      <c r="X124" s="29">
        <f ca="1"/>
        <v>100</v>
      </c>
      <c r="Y124" s="29">
        <f ca="1"/>
        <v>100</v>
      </c>
      <c r="Z124" s="29">
        <f ca="1"/>
        <v>100</v>
      </c>
      <c r="AA124" s="29">
        <f ca="1"/>
        <v>100</v>
      </c>
      <c r="AB124" s="29">
        <f ca="1"/>
        <v>100</v>
      </c>
      <c r="AC124" s="29">
        <f ca="1"/>
        <v>100</v>
      </c>
      <c r="AD124" s="29">
        <f ca="1"/>
        <v>100</v>
      </c>
      <c r="AE124" s="29">
        <f ca="1"/>
        <v>100</v>
      </c>
      <c r="AF124" s="32"/>
      <c r="AH124" s="32"/>
    </row>
    <row r="125" spans="4:34" ht="20.100000000000001" customHeight="1" x14ac:dyDescent="0.25">
      <c r="D125" s="29" t="s">
        <v>44</v>
      </c>
      <c r="E125" s="29" cm="1">
        <f t="array" aca="1" ref="E125" ca="1">EntericMethane_PastureBeef_Equations.VEERG_3_2_1_1__1_TotalAnnualMethaneFromEntericFermentation(E117,E87,E109)</f>
        <v>0.61335624555000001</v>
      </c>
      <c r="F125" s="29" cm="1">
        <f t="array" aca="1" ref="F125" ca="1">EntericMethane_PastureBeef_Equations.VEERG_3_2_1_1__1_TotalAnnualMethaneFromEntericFermentation(F117,F87,F109)</f>
        <v>1.7801994082822199</v>
      </c>
      <c r="G125" s="29" cm="1">
        <f t="array" aca="1" ref="G125" ca="1">EntericMethane_PastureBeef_Equations.VEERG_3_2_1_1__1_TotalAnnualMethaneFromEntericFermentation(G117,G87,G109)</f>
        <v>0.55916871211511998</v>
      </c>
      <c r="H125" s="29" cm="1">
        <f t="array" aca="1" ref="H125" ca="1">EntericMethane_PastureBeef_Equations.VEERG_3_2_1_1__1_TotalAnnualMethaneFromEntericFermentation(H117,H87,H109)</f>
        <v>1.1253534827611948</v>
      </c>
      <c r="I125" s="29" cm="1">
        <f t="array" aca="1" ref="I125" ca="1">EntericMethane_PastureBeef_Equations.VEERG_3_2_1_1__1_TotalAnnualMethaneFromEntericFermentation(I117,I87,I109)</f>
        <v>1.2689457429779887</v>
      </c>
      <c r="J125" s="29" cm="1">
        <f t="array" aca="1" ref="J125" ca="1">EntericMethane_PastureBeef_Equations.VEERG_3_2_1_1__1_TotalAnnualMethaneFromEntericFermentation(J117,J87,J109)</f>
        <v>1.2689457429779887</v>
      </c>
      <c r="K125" s="29" cm="1">
        <f t="array" aca="1" ref="K125" ca="1">EntericMethane_PastureBeef_Equations.VEERG_3_2_1_1__1_TotalAnnualMethaneFromEntericFermentation(K117,K87,K109)</f>
        <v>0.61335624555000001</v>
      </c>
      <c r="L125" s="29" cm="1">
        <f t="array" aca="1" ref="L125" ca="1">EntericMethane_PastureBeef_Equations.VEERG_3_2_1_1__1_TotalAnnualMethaneFromEntericFermentation(L117,L87,L109)</f>
        <v>1.1135632576102203</v>
      </c>
      <c r="M125" s="29" cm="1">
        <f t="array" aca="1" ref="M125" ca="1">EntericMethane_PastureBeef_Equations.VEERG_3_2_1_1__1_TotalAnnualMethaneFromEntericFermentation(M117,M87,M109)</f>
        <v>1.1135632576102203</v>
      </c>
      <c r="N125" s="29" cm="1">
        <f t="array" aca="1" ref="N125" ca="1">EntericMethane_PastureBeef_Equations.VEERG_3_2_1_1__1_TotalAnnualMethaneFromEntericFermentation(N117,N87,N109)</f>
        <v>1.1135632576102203</v>
      </c>
      <c r="O125" s="32"/>
      <c r="Q125" s="32"/>
      <c r="U125" s="29" t="str">
        <f>TEXT(EDATE('Input - Site'!$E$12,8), "mmmm yyyy")</f>
        <v>September 2024</v>
      </c>
      <c r="V125" s="29">
        <f ca="1"/>
        <v>100</v>
      </c>
      <c r="W125" s="29">
        <f ca="1"/>
        <v>100</v>
      </c>
      <c r="X125" s="29">
        <f ca="1"/>
        <v>100</v>
      </c>
      <c r="Y125" s="29">
        <f ca="1"/>
        <v>100</v>
      </c>
      <c r="Z125" s="29">
        <f ca="1"/>
        <v>100</v>
      </c>
      <c r="AA125" s="29">
        <f ca="1"/>
        <v>100</v>
      </c>
      <c r="AB125" s="29">
        <f ca="1"/>
        <v>100</v>
      </c>
      <c r="AC125" s="29">
        <f ca="1"/>
        <v>100</v>
      </c>
      <c r="AD125" s="29">
        <f ca="1"/>
        <v>100</v>
      </c>
      <c r="AE125" s="29">
        <f ca="1"/>
        <v>100</v>
      </c>
      <c r="AF125" s="32"/>
      <c r="AH125" s="32"/>
    </row>
    <row r="126" spans="4:34" ht="20.100000000000001" customHeight="1" x14ac:dyDescent="0.25">
      <c r="D126" s="29" t="s">
        <v>45</v>
      </c>
      <c r="E126" s="29" cm="1">
        <f t="array" aca="1" ref="E126" ca="1">EntericMethane_PastureBeef_Equations.VEERG_3_2_1_1__1_TotalAnnualMethaneFromEntericFermentation(E118,E88,E110)</f>
        <v>0.96954028006048887</v>
      </c>
      <c r="F126" s="29" cm="1">
        <f t="array" aca="1" ref="F126" ca="1">EntericMethane_PastureBeef_Equations.VEERG_3_2_1_1__1_TotalAnnualMethaneFromEntericFermentation(F118,F88,F110)</f>
        <v>1.8841261585848745</v>
      </c>
      <c r="G126" s="29" cm="1">
        <f t="array" aca="1" ref="G126" ca="1">EntericMethane_PastureBeef_Equations.VEERG_3_2_1_1__1_TotalAnnualMethaneFromEntericFermentation(G118,G88,G110)</f>
        <v>0.79383844115971891</v>
      </c>
      <c r="H126" s="29" cm="1">
        <f t="array" aca="1" ref="H126" ca="1">EntericMethane_PastureBeef_Equations.VEERG_3_2_1_1__1_TotalAnnualMethaneFromEntericFermentation(H118,H88,H110)</f>
        <v>1.422005966315995</v>
      </c>
      <c r="I126" s="29" cm="1">
        <f t="array" aca="1" ref="I126" ca="1">EntericMethane_PastureBeef_Equations.VEERG_3_2_1_1__1_TotalAnnualMethaneFromEntericFermentation(I118,I88,I110)</f>
        <v>1.7274130470284719</v>
      </c>
      <c r="J126" s="29" cm="1">
        <f t="array" aca="1" ref="J126" ca="1">EntericMethane_PastureBeef_Equations.VEERG_3_2_1_1__1_TotalAnnualMethaneFromEntericFermentation(J118,J88,J110)</f>
        <v>1.7274130470284719</v>
      </c>
      <c r="K126" s="29" cm="1">
        <f t="array" aca="1" ref="K126" ca="1">EntericMethane_PastureBeef_Equations.VEERG_3_2_1_1__1_TotalAnnualMethaneFromEntericFermentation(K118,K88,K110)</f>
        <v>0.8523110452909386</v>
      </c>
      <c r="L126" s="29" cm="1">
        <f t="array" aca="1" ref="L126" ca="1">EntericMethane_PastureBeef_Equations.VEERG_3_2_1_1__1_TotalAnnualMethaneFromEntericFermentation(L118,L88,L110)</f>
        <v>1.2976289206207199</v>
      </c>
      <c r="M126" s="29" cm="1">
        <f t="array" aca="1" ref="M126" ca="1">EntericMethane_PastureBeef_Equations.VEERG_3_2_1_1__1_TotalAnnualMethaneFromEntericFermentation(M118,M88,M110)</f>
        <v>1.2976289206207199</v>
      </c>
      <c r="N126" s="29" cm="1">
        <f t="array" aca="1" ref="N126" ca="1">EntericMethane_PastureBeef_Equations.VEERG_3_2_1_1__1_TotalAnnualMethaneFromEntericFermentation(N118,N88,N110)</f>
        <v>1.2976289206207199</v>
      </c>
      <c r="O126" s="32"/>
      <c r="Q126" s="32"/>
      <c r="U126" s="29" t="str">
        <f>TEXT(EDATE('Input - Site'!$E$12,9), "mmmm yyyy")</f>
        <v>October 2024</v>
      </c>
      <c r="V126" s="29">
        <f ca="1"/>
        <v>100</v>
      </c>
      <c r="W126" s="29">
        <f ca="1"/>
        <v>100</v>
      </c>
      <c r="X126" s="29">
        <f ca="1"/>
        <v>100</v>
      </c>
      <c r="Y126" s="29">
        <f ca="1"/>
        <v>100</v>
      </c>
      <c r="Z126" s="29">
        <f ca="1"/>
        <v>100</v>
      </c>
      <c r="AA126" s="29">
        <f ca="1"/>
        <v>100</v>
      </c>
      <c r="AB126" s="29">
        <f ca="1"/>
        <v>100</v>
      </c>
      <c r="AC126" s="29">
        <f ca="1"/>
        <v>100</v>
      </c>
      <c r="AD126" s="29">
        <f ca="1"/>
        <v>100</v>
      </c>
      <c r="AE126" s="29">
        <f ca="1"/>
        <v>100</v>
      </c>
      <c r="AF126" s="32"/>
      <c r="AH126" s="32"/>
    </row>
    <row r="127" spans="4:34" ht="20.100000000000001" customHeight="1" x14ac:dyDescent="0.25">
      <c r="Q127" s="32"/>
      <c r="U127" s="29" t="str">
        <f>TEXT(EDATE('Input - Site'!$E$12,10), "mmmm yyyy")</f>
        <v>November 2024</v>
      </c>
      <c r="V127" s="29">
        <f ca="1"/>
        <v>100</v>
      </c>
      <c r="W127" s="29">
        <f ca="1"/>
        <v>100</v>
      </c>
      <c r="X127" s="29">
        <f ca="1"/>
        <v>100</v>
      </c>
      <c r="Y127" s="29">
        <f ca="1"/>
        <v>100</v>
      </c>
      <c r="Z127" s="29">
        <f ca="1"/>
        <v>100</v>
      </c>
      <c r="AA127" s="29">
        <f ca="1"/>
        <v>100</v>
      </c>
      <c r="AB127" s="29">
        <f ca="1"/>
        <v>100</v>
      </c>
      <c r="AC127" s="29">
        <f ca="1"/>
        <v>100</v>
      </c>
      <c r="AD127" s="29">
        <f ca="1"/>
        <v>100</v>
      </c>
      <c r="AE127" s="29">
        <f ca="1"/>
        <v>100</v>
      </c>
      <c r="AF127" s="32"/>
    </row>
    <row r="128" spans="4:34" ht="20.100000000000001" customHeight="1" x14ac:dyDescent="0.25">
      <c r="D128" s="62" t="s">
        <v>117</v>
      </c>
      <c r="E128" s="63">
        <f ca="1">SUM(E123:N126)</f>
        <v>55.678061774650885</v>
      </c>
      <c r="F128" s="64" t="str">
        <f>$E$98</f>
        <v>t CH4</v>
      </c>
      <c r="Q128" s="32"/>
      <c r="U128" s="29" t="str">
        <f>TEXT(EDATE('Input - Site'!$E$12,11), "mmmm yyyy")</f>
        <v>December 2024</v>
      </c>
      <c r="V128" s="29">
        <f ca="1"/>
        <v>100</v>
      </c>
      <c r="W128" s="29">
        <f ca="1"/>
        <v>100</v>
      </c>
      <c r="X128" s="29">
        <f ca="1"/>
        <v>100</v>
      </c>
      <c r="Y128" s="29">
        <f ca="1"/>
        <v>100</v>
      </c>
      <c r="Z128" s="29">
        <f ca="1"/>
        <v>100</v>
      </c>
      <c r="AA128" s="29">
        <f ca="1"/>
        <v>100</v>
      </c>
      <c r="AB128" s="29">
        <f ca="1"/>
        <v>100</v>
      </c>
      <c r="AC128" s="29">
        <f ca="1"/>
        <v>100</v>
      </c>
      <c r="AD128" s="29">
        <f ca="1"/>
        <v>100</v>
      </c>
      <c r="AE128" s="29">
        <f ca="1"/>
        <v>100</v>
      </c>
      <c r="AF128" s="32"/>
    </row>
    <row r="129" spans="4:34" ht="20.100000000000001" customHeight="1" x14ac:dyDescent="0.25">
      <c r="Q129" s="32"/>
    </row>
    <row r="130" spans="4:34" ht="20.100000000000001" customHeight="1" x14ac:dyDescent="0.25">
      <c r="D130" s="65" t="str" cm="1">
        <f t="array" ref="D130:E131">Common_Equations.Common_ConvertCH4ToCO2e_Arguments()</f>
        <v>ECH4</v>
      </c>
      <c r="E130" s="66" t="str">
        <v>Methane emissions (t CH4)</v>
      </c>
      <c r="F130" s="67"/>
      <c r="G130" s="29">
        <f ca="1">E128</f>
        <v>55.678061774650885</v>
      </c>
      <c r="Q130" s="32"/>
      <c r="U130" s="57" t="s">
        <v>118</v>
      </c>
    </row>
    <row r="131" spans="4:34" ht="20.100000000000001" customHeight="1" x14ac:dyDescent="0.25">
      <c r="D131" s="65" t="str">
        <v>GWPCH4</v>
      </c>
      <c r="E131" s="66" t="str">
        <v>Global warming potential for methane (t CO2-e / t CH4)</v>
      </c>
      <c r="F131" s="67"/>
      <c r="G131" s="29">
        <f>Common_InputFunctions.Utility_LookupValueInTableNumber("CH4",Table_GWPData[Gas],Table_GWPData[CO2-e factor])</f>
        <v>28</v>
      </c>
      <c r="U131" s="58" t="s">
        <v>119</v>
      </c>
      <c r="AH131" s="32"/>
    </row>
    <row r="132" spans="4:34" ht="20.100000000000001" customHeight="1" x14ac:dyDescent="0.25">
      <c r="U132" s="59" t="s">
        <v>87</v>
      </c>
      <c r="V132" s="60" t="s">
        <v>31</v>
      </c>
      <c r="W132" s="60" t="s">
        <v>32</v>
      </c>
      <c r="X132" s="60" t="s">
        <v>33</v>
      </c>
      <c r="Y132" s="60" t="s">
        <v>34</v>
      </c>
      <c r="Z132" s="60" t="s">
        <v>35</v>
      </c>
      <c r="AA132" s="60" t="s">
        <v>36</v>
      </c>
      <c r="AB132" s="60" t="s">
        <v>37</v>
      </c>
      <c r="AC132" s="60" t="s">
        <v>38</v>
      </c>
      <c r="AD132" s="60" t="s">
        <v>39</v>
      </c>
      <c r="AE132" s="60" t="s">
        <v>40</v>
      </c>
      <c r="AF132" s="32"/>
      <c r="AH132" s="32"/>
    </row>
    <row r="133" spans="4:34" ht="20.100000000000001" customHeight="1" x14ac:dyDescent="0.25">
      <c r="D133" s="61" t="s">
        <v>120</v>
      </c>
      <c r="E133" s="61" cm="1">
        <f t="array" aca="1" ref="E133" ca="1">Common_Equations.Common_ConvertN2OToCO2e(G130,G131)</f>
        <v>1558.9857296902248</v>
      </c>
      <c r="F133" s="19" t="str" cm="1">
        <f t="array" ref="F133">Common_Equations.Common_ConvertN2OToCO2e_Unit()</f>
        <v>t CO2e</v>
      </c>
      <c r="U133" s="29" t="str">
        <f>TEXT('Input - Site'!$E$12, "mmmm yyyy")</f>
        <v>January 2024</v>
      </c>
      <c r="V133" s="29" cm="1">
        <f t="array" aca="1" ref="V133:AE144" ca="1">OFFSET(X_Table_PastureBeef_Duration_Method2,1,1,12,10)</f>
        <v>31</v>
      </c>
      <c r="W133" s="29">
        <f ca="1"/>
        <v>31</v>
      </c>
      <c r="X133" s="29">
        <f ca="1"/>
        <v>31</v>
      </c>
      <c r="Y133" s="29">
        <f ca="1"/>
        <v>31</v>
      </c>
      <c r="Z133" s="29">
        <f ca="1"/>
        <v>31</v>
      </c>
      <c r="AA133" s="29">
        <f ca="1"/>
        <v>31</v>
      </c>
      <c r="AB133" s="29">
        <f ca="1"/>
        <v>31</v>
      </c>
      <c r="AC133" s="29">
        <f ca="1"/>
        <v>31</v>
      </c>
      <c r="AD133" s="29">
        <f ca="1"/>
        <v>31</v>
      </c>
      <c r="AE133" s="29">
        <f ca="1"/>
        <v>31</v>
      </c>
      <c r="AF133" s="32" t="str">
        <f>$G$100</f>
        <v>days</v>
      </c>
      <c r="AH133" s="32"/>
    </row>
    <row r="134" spans="4:34" ht="20.100000000000001" customHeight="1" x14ac:dyDescent="0.25">
      <c r="U134" s="29" t="str">
        <f>TEXT(EDATE('Input - Site'!$E$12,1), "mmmm yyyy")</f>
        <v>February 2024</v>
      </c>
      <c r="V134" s="29">
        <f ca="1"/>
        <v>29</v>
      </c>
      <c r="W134" s="29">
        <f ca="1"/>
        <v>29</v>
      </c>
      <c r="X134" s="29">
        <f ca="1"/>
        <v>29</v>
      </c>
      <c r="Y134" s="29">
        <f ca="1"/>
        <v>29</v>
      </c>
      <c r="Z134" s="29">
        <f ca="1"/>
        <v>29</v>
      </c>
      <c r="AA134" s="29">
        <f ca="1"/>
        <v>29</v>
      </c>
      <c r="AB134" s="29">
        <f ca="1"/>
        <v>29</v>
      </c>
      <c r="AC134" s="29">
        <f ca="1"/>
        <v>29</v>
      </c>
      <c r="AD134" s="29">
        <f ca="1"/>
        <v>29</v>
      </c>
      <c r="AE134" s="29">
        <f ca="1"/>
        <v>29</v>
      </c>
      <c r="AF134" s="32"/>
      <c r="AH134" s="32"/>
    </row>
    <row r="135" spans="4:34" ht="20.100000000000001" customHeight="1" x14ac:dyDescent="0.25">
      <c r="U135" s="29" t="str">
        <f>TEXT(EDATE('Input - Site'!$E$12,2), "mmmm yyyy")</f>
        <v>March 2024</v>
      </c>
      <c r="V135" s="29">
        <f ca="1"/>
        <v>31</v>
      </c>
      <c r="W135" s="29">
        <f ca="1"/>
        <v>31</v>
      </c>
      <c r="X135" s="29">
        <f ca="1"/>
        <v>31</v>
      </c>
      <c r="Y135" s="29">
        <f ca="1"/>
        <v>31</v>
      </c>
      <c r="Z135" s="29">
        <f ca="1"/>
        <v>31</v>
      </c>
      <c r="AA135" s="29">
        <f ca="1"/>
        <v>31</v>
      </c>
      <c r="AB135" s="29">
        <f ca="1"/>
        <v>31</v>
      </c>
      <c r="AC135" s="29">
        <f ca="1"/>
        <v>31</v>
      </c>
      <c r="AD135" s="29">
        <f ca="1"/>
        <v>31</v>
      </c>
      <c r="AE135" s="29">
        <f ca="1"/>
        <v>31</v>
      </c>
      <c r="AF135" s="32"/>
      <c r="AH135" s="32"/>
    </row>
    <row r="136" spans="4:34" ht="20.100000000000001" customHeight="1" x14ac:dyDescent="0.25">
      <c r="U136" s="29" t="str">
        <f>TEXT(EDATE('Input - Site'!$E$12,3), "mmmm yyyy")</f>
        <v>April 2024</v>
      </c>
      <c r="V136" s="29">
        <f ca="1"/>
        <v>30</v>
      </c>
      <c r="W136" s="29">
        <f ca="1"/>
        <v>30</v>
      </c>
      <c r="X136" s="29">
        <f ca="1"/>
        <v>30</v>
      </c>
      <c r="Y136" s="29">
        <f ca="1"/>
        <v>30</v>
      </c>
      <c r="Z136" s="29">
        <f ca="1"/>
        <v>30</v>
      </c>
      <c r="AA136" s="29">
        <f ca="1"/>
        <v>30</v>
      </c>
      <c r="AB136" s="29">
        <f ca="1"/>
        <v>30</v>
      </c>
      <c r="AC136" s="29">
        <f ca="1"/>
        <v>30</v>
      </c>
      <c r="AD136" s="29">
        <f ca="1"/>
        <v>30</v>
      </c>
      <c r="AE136" s="29">
        <f ca="1"/>
        <v>30</v>
      </c>
      <c r="AF136" s="32"/>
      <c r="AH136" s="32"/>
    </row>
    <row r="137" spans="4:34" ht="20.100000000000001" customHeight="1" x14ac:dyDescent="0.25">
      <c r="U137" s="29" t="str">
        <f>TEXT(EDATE('Input - Site'!$E$12,4), "mmmm yyyy")</f>
        <v>May 2024</v>
      </c>
      <c r="V137" s="29">
        <f ca="1"/>
        <v>31</v>
      </c>
      <c r="W137" s="29">
        <f ca="1"/>
        <v>31</v>
      </c>
      <c r="X137" s="29">
        <f ca="1"/>
        <v>31</v>
      </c>
      <c r="Y137" s="29">
        <f ca="1"/>
        <v>31</v>
      </c>
      <c r="Z137" s="29">
        <f ca="1"/>
        <v>31</v>
      </c>
      <c r="AA137" s="29">
        <f ca="1"/>
        <v>31</v>
      </c>
      <c r="AB137" s="29">
        <f ca="1"/>
        <v>31</v>
      </c>
      <c r="AC137" s="29">
        <f ca="1"/>
        <v>31</v>
      </c>
      <c r="AD137" s="29">
        <f ca="1"/>
        <v>31</v>
      </c>
      <c r="AE137" s="29">
        <f ca="1"/>
        <v>31</v>
      </c>
      <c r="AF137" s="32"/>
      <c r="AH137" s="32"/>
    </row>
    <row r="138" spans="4:34" ht="20.100000000000001" customHeight="1" x14ac:dyDescent="0.25">
      <c r="U138" s="29" t="str">
        <f>TEXT(EDATE('Input - Site'!$E$12,5), "mmmm yyyy")</f>
        <v>June 2024</v>
      </c>
      <c r="V138" s="29">
        <f ca="1"/>
        <v>30</v>
      </c>
      <c r="W138" s="29">
        <f ca="1"/>
        <v>30</v>
      </c>
      <c r="X138" s="29">
        <f ca="1"/>
        <v>30</v>
      </c>
      <c r="Y138" s="29">
        <f ca="1"/>
        <v>30</v>
      </c>
      <c r="Z138" s="29">
        <f ca="1"/>
        <v>30</v>
      </c>
      <c r="AA138" s="29">
        <f ca="1"/>
        <v>30</v>
      </c>
      <c r="AB138" s="29">
        <f ca="1"/>
        <v>30</v>
      </c>
      <c r="AC138" s="29">
        <f ca="1"/>
        <v>30</v>
      </c>
      <c r="AD138" s="29">
        <f ca="1"/>
        <v>30</v>
      </c>
      <c r="AE138" s="29">
        <f ca="1"/>
        <v>30</v>
      </c>
      <c r="AF138" s="32"/>
      <c r="AH138" s="32"/>
    </row>
    <row r="139" spans="4:34" ht="20.100000000000001" customHeight="1" x14ac:dyDescent="0.25">
      <c r="U139" s="29" t="str">
        <f>TEXT(EDATE('Input - Site'!$E$12,6), "mmmm yyyy")</f>
        <v>July 2024</v>
      </c>
      <c r="V139" s="29">
        <f ca="1"/>
        <v>31</v>
      </c>
      <c r="W139" s="29">
        <f ca="1"/>
        <v>31</v>
      </c>
      <c r="X139" s="29">
        <f ca="1"/>
        <v>31</v>
      </c>
      <c r="Y139" s="29">
        <f ca="1"/>
        <v>31</v>
      </c>
      <c r="Z139" s="29">
        <f ca="1"/>
        <v>31</v>
      </c>
      <c r="AA139" s="29">
        <f ca="1"/>
        <v>31</v>
      </c>
      <c r="AB139" s="29">
        <f ca="1"/>
        <v>31</v>
      </c>
      <c r="AC139" s="29">
        <f ca="1"/>
        <v>31</v>
      </c>
      <c r="AD139" s="29">
        <f ca="1"/>
        <v>31</v>
      </c>
      <c r="AE139" s="29">
        <f ca="1"/>
        <v>31</v>
      </c>
      <c r="AF139" s="32"/>
      <c r="AH139" s="32"/>
    </row>
    <row r="140" spans="4:34" ht="20.100000000000001" customHeight="1" x14ac:dyDescent="0.25">
      <c r="U140" s="29" t="str">
        <f>TEXT(EDATE('Input - Site'!$E$12,7), "mmmm yyyy")</f>
        <v>August 2024</v>
      </c>
      <c r="V140" s="29">
        <f ca="1"/>
        <v>31</v>
      </c>
      <c r="W140" s="29">
        <f ca="1"/>
        <v>31</v>
      </c>
      <c r="X140" s="29">
        <f ca="1"/>
        <v>31</v>
      </c>
      <c r="Y140" s="29">
        <f ca="1"/>
        <v>31</v>
      </c>
      <c r="Z140" s="29">
        <f ca="1"/>
        <v>31</v>
      </c>
      <c r="AA140" s="29">
        <f ca="1"/>
        <v>31</v>
      </c>
      <c r="AB140" s="29">
        <f ca="1"/>
        <v>31</v>
      </c>
      <c r="AC140" s="29">
        <f ca="1"/>
        <v>31</v>
      </c>
      <c r="AD140" s="29">
        <f ca="1"/>
        <v>31</v>
      </c>
      <c r="AE140" s="29">
        <f ca="1"/>
        <v>31</v>
      </c>
      <c r="AF140" s="32"/>
      <c r="AH140" s="32"/>
    </row>
    <row r="141" spans="4:34" ht="20.100000000000001" customHeight="1" x14ac:dyDescent="0.25">
      <c r="U141" s="29" t="str">
        <f>TEXT(EDATE('Input - Site'!$E$12,8), "mmmm yyyy")</f>
        <v>September 2024</v>
      </c>
      <c r="V141" s="29">
        <f ca="1"/>
        <v>30</v>
      </c>
      <c r="W141" s="29">
        <f ca="1"/>
        <v>30</v>
      </c>
      <c r="X141" s="29">
        <f ca="1"/>
        <v>30</v>
      </c>
      <c r="Y141" s="29">
        <f ca="1"/>
        <v>30</v>
      </c>
      <c r="Z141" s="29">
        <f ca="1"/>
        <v>30</v>
      </c>
      <c r="AA141" s="29">
        <f ca="1"/>
        <v>30</v>
      </c>
      <c r="AB141" s="29">
        <f ca="1"/>
        <v>30</v>
      </c>
      <c r="AC141" s="29">
        <f ca="1"/>
        <v>30</v>
      </c>
      <c r="AD141" s="29">
        <f ca="1"/>
        <v>30</v>
      </c>
      <c r="AE141" s="29">
        <f ca="1"/>
        <v>30</v>
      </c>
      <c r="AF141" s="32"/>
      <c r="AH141" s="32"/>
    </row>
    <row r="142" spans="4:34" ht="20.100000000000001" customHeight="1" x14ac:dyDescent="0.25">
      <c r="U142" s="29" t="str">
        <f>TEXT(EDATE('Input - Site'!$E$12,9), "mmmm yyyy")</f>
        <v>October 2024</v>
      </c>
      <c r="V142" s="29">
        <f ca="1"/>
        <v>31</v>
      </c>
      <c r="W142" s="29">
        <f ca="1"/>
        <v>31</v>
      </c>
      <c r="X142" s="29">
        <f ca="1"/>
        <v>31</v>
      </c>
      <c r="Y142" s="29">
        <f ca="1"/>
        <v>31</v>
      </c>
      <c r="Z142" s="29">
        <f ca="1"/>
        <v>31</v>
      </c>
      <c r="AA142" s="29">
        <f ca="1"/>
        <v>31</v>
      </c>
      <c r="AB142" s="29">
        <f ca="1"/>
        <v>31</v>
      </c>
      <c r="AC142" s="29">
        <f ca="1"/>
        <v>31</v>
      </c>
      <c r="AD142" s="29">
        <f ca="1"/>
        <v>31</v>
      </c>
      <c r="AE142" s="29">
        <f ca="1"/>
        <v>31</v>
      </c>
      <c r="AF142" s="32"/>
      <c r="AH142" s="32"/>
    </row>
    <row r="143" spans="4:34" ht="20.100000000000001" customHeight="1" x14ac:dyDescent="0.25">
      <c r="U143" s="29" t="str">
        <f>TEXT(EDATE('Input - Site'!$E$12,10), "mmmm yyyy")</f>
        <v>November 2024</v>
      </c>
      <c r="V143" s="29">
        <f ca="1"/>
        <v>30</v>
      </c>
      <c r="W143" s="29">
        <f ca="1"/>
        <v>30</v>
      </c>
      <c r="X143" s="29">
        <f ca="1"/>
        <v>30</v>
      </c>
      <c r="Y143" s="29">
        <f ca="1"/>
        <v>30</v>
      </c>
      <c r="Z143" s="29">
        <f ca="1"/>
        <v>30</v>
      </c>
      <c r="AA143" s="29">
        <f ca="1"/>
        <v>30</v>
      </c>
      <c r="AB143" s="29">
        <f ca="1"/>
        <v>30</v>
      </c>
      <c r="AC143" s="29">
        <f ca="1"/>
        <v>30</v>
      </c>
      <c r="AD143" s="29">
        <f ca="1"/>
        <v>30</v>
      </c>
      <c r="AE143" s="29">
        <f ca="1"/>
        <v>30</v>
      </c>
      <c r="AF143" s="32"/>
    </row>
    <row r="144" spans="4:34" ht="20.100000000000001" customHeight="1" x14ac:dyDescent="0.25">
      <c r="U144" s="29" t="str">
        <f>TEXT(EDATE('Input - Site'!$E$12,11), "mmmm yyyy")</f>
        <v>December 2024</v>
      </c>
      <c r="V144" s="29">
        <f ca="1"/>
        <v>31</v>
      </c>
      <c r="W144" s="29">
        <f ca="1"/>
        <v>31</v>
      </c>
      <c r="X144" s="29">
        <f ca="1"/>
        <v>31</v>
      </c>
      <c r="Y144" s="29">
        <f ca="1"/>
        <v>31</v>
      </c>
      <c r="Z144" s="29">
        <f ca="1"/>
        <v>31</v>
      </c>
      <c r="AA144" s="29">
        <f ca="1"/>
        <v>31</v>
      </c>
      <c r="AB144" s="29">
        <f ca="1"/>
        <v>31</v>
      </c>
      <c r="AC144" s="29">
        <f ca="1"/>
        <v>31</v>
      </c>
      <c r="AD144" s="29">
        <f ca="1"/>
        <v>31</v>
      </c>
      <c r="AE144" s="29">
        <f ca="1"/>
        <v>31</v>
      </c>
      <c r="AF144" s="32"/>
    </row>
    <row r="145" spans="21:32" ht="20.100000000000001" customHeight="1" x14ac:dyDescent="0.25"/>
    <row r="146" spans="21:32" ht="20.100000000000001" customHeight="1" x14ac:dyDescent="0.25">
      <c r="U146" s="57" t="s">
        <v>121</v>
      </c>
    </row>
    <row r="147" spans="21:32" ht="20.100000000000001" customHeight="1" x14ac:dyDescent="0.25">
      <c r="U147" s="58" t="s">
        <v>122</v>
      </c>
    </row>
    <row r="148" spans="21:32" ht="20.100000000000001" customHeight="1" x14ac:dyDescent="0.25">
      <c r="U148" s="59" t="s">
        <v>87</v>
      </c>
      <c r="V148" s="59" t="s">
        <v>31</v>
      </c>
      <c r="W148" s="59" t="s">
        <v>32</v>
      </c>
      <c r="X148" s="59" t="s">
        <v>33</v>
      </c>
      <c r="Y148" s="59" t="s">
        <v>34</v>
      </c>
      <c r="Z148" s="59" t="s">
        <v>35</v>
      </c>
      <c r="AA148" s="59" t="s">
        <v>36</v>
      </c>
      <c r="AB148" s="59" t="s">
        <v>37</v>
      </c>
      <c r="AC148" s="59" t="s">
        <v>38</v>
      </c>
      <c r="AD148" s="59" t="s">
        <v>39</v>
      </c>
      <c r="AE148" s="59" t="s">
        <v>40</v>
      </c>
    </row>
    <row r="149" spans="21:32" ht="20.100000000000001" customHeight="1" x14ac:dyDescent="0.25">
      <c r="U149" s="29" t="str">
        <f t="shared" ref="U149:U160" si="3">U133</f>
        <v>January 2024</v>
      </c>
      <c r="V149" s="29" cm="1">
        <f t="array" aca="1" ref="V149" ca="1">EntericMethane_PastureBeef_Equations.VEERG_3_2_1_1__1_TotalAnnualMethaneFromEntericFermentation(V133,V97,V117)</f>
        <v>0.4586136012616317</v>
      </c>
      <c r="W149" s="29" cm="1">
        <f t="array" aca="1" ref="W149" ca="1">EntericMethane_PastureBeef_Equations.VEERG_3_2_1_1__1_TotalAnnualMethaneFromEntericFermentation(W133,W97,W117)</f>
        <v>0.60679113521101213</v>
      </c>
      <c r="X149" s="29" cm="1">
        <f t="array" aca="1" ref="X149" ca="1">EntericMethane_PastureBeef_Equations.VEERG_3_2_1_1__1_TotalAnnualMethaneFromEntericFermentation(X133,X97,X117)</f>
        <v>0.38568368207519993</v>
      </c>
      <c r="Y149" s="29" cm="1">
        <f t="array" aca="1" ref="Y149" ca="1">EntericMethane_PastureBeef_Equations.VEERG_3_2_1_1__1_TotalAnnualMethaneFromEntericFermentation(Y133,Y97,Y117)</f>
        <v>0.54293216249013199</v>
      </c>
      <c r="Z149" s="29" cm="1">
        <f t="array" aca="1" ref="Z149" ca="1">EntericMethane_PastureBeef_Equations.VEERG_3_2_1_1__1_TotalAnnualMethaneFromEntericFermentation(Z133,Z97,Z117)</f>
        <v>0.53756927319362025</v>
      </c>
      <c r="AA149" s="29" cm="1">
        <f t="array" aca="1" ref="AA149" ca="1">EntericMethane_PastureBeef_Equations.VEERG_3_2_1_1__1_TotalAnnualMethaneFromEntericFermentation(AA133,AA97,AA117)</f>
        <v>0.53756927319362025</v>
      </c>
      <c r="AB149" s="29" cm="1">
        <f t="array" aca="1" ref="AB149" ca="1">EntericMethane_PastureBeef_Equations.VEERG_3_2_1_1__1_TotalAnnualMethaneFromEntericFermentation(AB133,AB97,AB117)</f>
        <v>0.422728915885632</v>
      </c>
      <c r="AC149" s="29" cm="1">
        <f t="array" aca="1" ref="AC149" ca="1">EntericMethane_PastureBeef_Equations.VEERG_3_2_1_1__1_TotalAnnualMethaneFromEntericFermentation(AC133,AC97,AC117)</f>
        <v>0.47120481705053707</v>
      </c>
      <c r="AD149" s="29" cm="1">
        <f t="array" aca="1" ref="AD149" ca="1">EntericMethane_PastureBeef_Equations.VEERG_3_2_1_1__1_TotalAnnualMethaneFromEntericFermentation(AD133,AD97,AD117)</f>
        <v>0.47120481705053707</v>
      </c>
      <c r="AE149" s="29" cm="1">
        <f t="array" aca="1" ref="AE149" ca="1">EntericMethane_PastureBeef_Equations.VEERG_3_2_1_1__1_TotalAnnualMethaneFromEntericFermentation(AE133,AE97,AE117)</f>
        <v>0.47120481705053707</v>
      </c>
      <c r="AF149" s="32" t="str">
        <f>$E$98</f>
        <v>t CH4</v>
      </c>
    </row>
    <row r="150" spans="21:32" ht="20.100000000000001" customHeight="1" x14ac:dyDescent="0.25">
      <c r="U150" s="29" t="str">
        <f t="shared" si="3"/>
        <v>February 2024</v>
      </c>
      <c r="V150" s="29" cm="1">
        <f t="array" aca="1" ref="V150" ca="1">EntericMethane_PastureBeef_Equations.VEERG_3_2_1_1__1_TotalAnnualMethaneFromEntericFermentation(V134,V98,V118)</f>
        <v>0.42902562698668767</v>
      </c>
      <c r="W150" s="29" cm="1">
        <f t="array" aca="1" ref="W150" ca="1">EntericMethane_PastureBeef_Equations.VEERG_3_2_1_1__1_TotalAnnualMethaneFromEntericFermentation(W134,W98,W118)</f>
        <v>0.56764332003610807</v>
      </c>
      <c r="X150" s="29" cm="1">
        <f t="array" aca="1" ref="X150" ca="1">EntericMethane_PastureBeef_Equations.VEERG_3_2_1_1__1_TotalAnnualMethaneFromEntericFermentation(X134,X98,X118)</f>
        <v>0.36080086387679988</v>
      </c>
      <c r="Y150" s="29" cm="1">
        <f t="array" aca="1" ref="Y150" ca="1">EntericMethane_PastureBeef_Equations.VEERG_3_2_1_1__1_TotalAnnualMethaneFromEntericFermentation(Y134,Y98,Y118)</f>
        <v>0.47246909864107506</v>
      </c>
      <c r="Z150" s="29" cm="1">
        <f t="array" aca="1" ref="Z150" ca="1">EntericMethane_PastureBeef_Equations.VEERG_3_2_1_1__1_TotalAnnualMethaneFromEntericFermentation(Z134,Z98,Z118)</f>
        <v>0.46780221823300788</v>
      </c>
      <c r="AA150" s="29" cm="1">
        <f t="array" aca="1" ref="AA150" ca="1">EntericMethane_PastureBeef_Equations.VEERG_3_2_1_1__1_TotalAnnualMethaneFromEntericFermentation(AA134,AA98,AA118)</f>
        <v>0.46780221823300788</v>
      </c>
      <c r="AB150" s="29" cm="1">
        <f t="array" aca="1" ref="AB150" ca="1">EntericMethane_PastureBeef_Equations.VEERG_3_2_1_1__1_TotalAnnualMethaneFromEntericFermentation(AB134,AB98,AB118)</f>
        <v>0.39545608260268794</v>
      </c>
      <c r="AC150" s="29" cm="1">
        <f t="array" aca="1" ref="AC150" ca="1">EntericMethane_PastureBeef_Equations.VEERG_3_2_1_1__1_TotalAnnualMethaneFromEntericFermentation(AC134,AC98,AC118)</f>
        <v>0.4408045062730831</v>
      </c>
      <c r="AD150" s="29" cm="1">
        <f t="array" aca="1" ref="AD150" ca="1">EntericMethane_PastureBeef_Equations.VEERG_3_2_1_1__1_TotalAnnualMethaneFromEntericFermentation(AD134,AD98,AD118)</f>
        <v>0.4408045062730831</v>
      </c>
      <c r="AE150" s="29" cm="1">
        <f t="array" aca="1" ref="AE150" ca="1">EntericMethane_PastureBeef_Equations.VEERG_3_2_1_1__1_TotalAnnualMethaneFromEntericFermentation(AE134,AE98,AE118)</f>
        <v>0.4408045062730831</v>
      </c>
      <c r="AF150" s="32"/>
    </row>
    <row r="151" spans="21:32" ht="20.100000000000001" customHeight="1" x14ac:dyDescent="0.25">
      <c r="U151" s="29" t="str">
        <f t="shared" si="3"/>
        <v>March 2024</v>
      </c>
      <c r="V151" s="29" cm="1">
        <f t="array" aca="1" ref="V151" ca="1">EntericMethane_PastureBeef_Equations.VEERG_3_2_1_1__1_TotalAnnualMethaneFromEntericFermentation(V135,V99,V119)</f>
        <v>0.20837308068000002</v>
      </c>
      <c r="W151" s="29" cm="1">
        <f t="array" aca="1" ref="W151" ca="1">EntericMethane_PastureBeef_Equations.VEERG_3_2_1_1__1_TotalAnnualMethaneFromEntericFermentation(W135,W99,W119)</f>
        <v>0.60478007295067204</v>
      </c>
      <c r="X151" s="29" cm="1">
        <f t="array" aca="1" ref="X151" ca="1">EntericMethane_PastureBeef_Equations.VEERG_3_2_1_1__1_TotalAnnualMethaneFromEntericFermentation(X135,X99,X119)</f>
        <v>0.18996416521171203</v>
      </c>
      <c r="Y151" s="29" cm="1">
        <f t="array" aca="1" ref="Y151" ca="1">EntericMethane_PastureBeef_Equations.VEERG_3_2_1_1__1_TotalAnnualMethaneFromEntericFermentation(Y135,Y99,Y119)</f>
        <v>0.38231186811613199</v>
      </c>
      <c r="Z151" s="29" cm="1">
        <f t="array" aca="1" ref="Z151" ca="1">EntericMethane_PastureBeef_Equations.VEERG_3_2_1_1__1_TotalAnnualMethaneFromEntericFermentation(Z135,Z99,Z119)</f>
        <v>0.431093896244577</v>
      </c>
      <c r="AA151" s="29" cm="1">
        <f t="array" aca="1" ref="AA151" ca="1">EntericMethane_PastureBeef_Equations.VEERG_3_2_1_1__1_TotalAnnualMethaneFromEntericFermentation(AA135,AA99,AA119)</f>
        <v>0.431093896244577</v>
      </c>
      <c r="AB151" s="29" cm="1">
        <f t="array" aca="1" ref="AB151" ca="1">EntericMethane_PastureBeef_Equations.VEERG_3_2_1_1__1_TotalAnnualMethaneFromEntericFermentation(AB135,AB99,AB119)</f>
        <v>0.20837308068000002</v>
      </c>
      <c r="AC151" s="29" cm="1">
        <f t="array" aca="1" ref="AC151" ca="1">EntericMethane_PastureBeef_Equations.VEERG_3_2_1_1__1_TotalAnnualMethaneFromEntericFermentation(AC135,AC99,AC119)</f>
        <v>0.37830642176347212</v>
      </c>
      <c r="AD151" s="29" cm="1">
        <f t="array" aca="1" ref="AD151" ca="1">EntericMethane_PastureBeef_Equations.VEERG_3_2_1_1__1_TotalAnnualMethaneFromEntericFermentation(AD135,AD99,AD119)</f>
        <v>0.37830642176347212</v>
      </c>
      <c r="AE151" s="29" cm="1">
        <f t="array" aca="1" ref="AE151" ca="1">EntericMethane_PastureBeef_Equations.VEERG_3_2_1_1__1_TotalAnnualMethaneFromEntericFermentation(AE135,AE99,AE119)</f>
        <v>0.37830642176347212</v>
      </c>
      <c r="AF151" s="32"/>
    </row>
    <row r="152" spans="21:32" ht="20.100000000000001" customHeight="1" x14ac:dyDescent="0.25">
      <c r="U152" s="29" t="str">
        <f t="shared" si="3"/>
        <v>April 2024</v>
      </c>
      <c r="V152" s="29" cm="1">
        <f t="array" aca="1" ref="V152" ca="1">EntericMethane_PastureBeef_Equations.VEERG_3_2_1_1__1_TotalAnnualMethaneFromEntericFermentation(V136,V100,V120)</f>
        <v>0.2016513684</v>
      </c>
      <c r="W152" s="29" cm="1">
        <f t="array" aca="1" ref="W152" ca="1">EntericMethane_PastureBeef_Equations.VEERG_3_2_1_1__1_TotalAnnualMethaneFromEntericFermentation(W136,W100,W120)</f>
        <v>0.58527103833936001</v>
      </c>
      <c r="X152" s="29" cm="1">
        <f t="array" aca="1" ref="X152" ca="1">EntericMethane_PastureBeef_Equations.VEERG_3_2_1_1__1_TotalAnnualMethaneFromEntericFermentation(X136,X100,X120)</f>
        <v>0.18383628891456003</v>
      </c>
      <c r="Y152" s="29" cm="1">
        <f t="array" aca="1" ref="Y152" ca="1">EntericMethane_PastureBeef_Equations.VEERG_3_2_1_1__1_TotalAnnualMethaneFromEntericFermentation(Y136,Y100,Y120)</f>
        <v>0.36997922720915993</v>
      </c>
      <c r="Z152" s="29" cm="1">
        <f t="array" aca="1" ref="Z152" ca="1">EntericMethane_PastureBeef_Equations.VEERG_3_2_1_1__1_TotalAnnualMethaneFromEntericFermentation(Z136,Z100,Z120)</f>
        <v>0.41718764152700993</v>
      </c>
      <c r="AA152" s="29" cm="1">
        <f t="array" aca="1" ref="AA152" ca="1">EntericMethane_PastureBeef_Equations.VEERG_3_2_1_1__1_TotalAnnualMethaneFromEntericFermentation(AA136,AA100,AA120)</f>
        <v>0.41718764152700993</v>
      </c>
      <c r="AB152" s="29" cm="1">
        <f t="array" aca="1" ref="AB152" ca="1">EntericMethane_PastureBeef_Equations.VEERG_3_2_1_1__1_TotalAnnualMethaneFromEntericFermentation(AB136,AB100,AB120)</f>
        <v>0.2016513684</v>
      </c>
      <c r="AC152" s="29" cm="1">
        <f t="array" aca="1" ref="AC152" ca="1">EntericMethane_PastureBeef_Equations.VEERG_3_2_1_1__1_TotalAnnualMethaneFromEntericFermentation(AC136,AC100,AC120)</f>
        <v>0.36610298880336012</v>
      </c>
      <c r="AD152" s="29" cm="1">
        <f t="array" aca="1" ref="AD152" ca="1">EntericMethane_PastureBeef_Equations.VEERG_3_2_1_1__1_TotalAnnualMethaneFromEntericFermentation(AD136,AD100,AD120)</f>
        <v>0.36610298880336012</v>
      </c>
      <c r="AE152" s="29" cm="1">
        <f t="array" aca="1" ref="AE152" ca="1">EntericMethane_PastureBeef_Equations.VEERG_3_2_1_1__1_TotalAnnualMethaneFromEntericFermentation(AE136,AE100,AE120)</f>
        <v>0.36610298880336012</v>
      </c>
      <c r="AF152" s="32"/>
    </row>
    <row r="153" spans="21:32" ht="20.100000000000001" customHeight="1" x14ac:dyDescent="0.25">
      <c r="U153" s="29" t="str">
        <f t="shared" si="3"/>
        <v>May 2024</v>
      </c>
      <c r="V153" s="29" cm="1">
        <f t="array" aca="1" ref="V153" ca="1">EntericMethane_PastureBeef_Equations.VEERG_3_2_1_1__1_TotalAnnualMethaneFromEntericFermentation(V137,V101,V121)</f>
        <v>0.20837308068000002</v>
      </c>
      <c r="W153" s="29" cm="1">
        <f t="array" aca="1" ref="W153" ca="1">EntericMethane_PastureBeef_Equations.VEERG_3_2_1_1__1_TotalAnnualMethaneFromEntericFermentation(W137,W101,W121)</f>
        <v>0.60478007295067204</v>
      </c>
      <c r="X153" s="29" cm="1">
        <f t="array" aca="1" ref="X153" ca="1">EntericMethane_PastureBeef_Equations.VEERG_3_2_1_1__1_TotalAnnualMethaneFromEntericFermentation(X137,X101,X121)</f>
        <v>0.18996416521171203</v>
      </c>
      <c r="Y153" s="29" cm="1">
        <f t="array" aca="1" ref="Y153" ca="1">EntericMethane_PastureBeef_Equations.VEERG_3_2_1_1__1_TotalAnnualMethaneFromEntericFermentation(Y137,Y101,Y121)</f>
        <v>0.38231186811613199</v>
      </c>
      <c r="Z153" s="29" cm="1">
        <f t="array" aca="1" ref="Z153" ca="1">EntericMethane_PastureBeef_Equations.VEERG_3_2_1_1__1_TotalAnnualMethaneFromEntericFermentation(Z137,Z101,Z121)</f>
        <v>0.431093896244577</v>
      </c>
      <c r="AA153" s="29" cm="1">
        <f t="array" aca="1" ref="AA153" ca="1">EntericMethane_PastureBeef_Equations.VEERG_3_2_1_1__1_TotalAnnualMethaneFromEntericFermentation(AA137,AA101,AA121)</f>
        <v>0.431093896244577</v>
      </c>
      <c r="AB153" s="29" cm="1">
        <f t="array" aca="1" ref="AB153" ca="1">EntericMethane_PastureBeef_Equations.VEERG_3_2_1_1__1_TotalAnnualMethaneFromEntericFermentation(AB137,AB101,AB121)</f>
        <v>0.20837308068000002</v>
      </c>
      <c r="AC153" s="29" cm="1">
        <f t="array" aca="1" ref="AC153" ca="1">EntericMethane_PastureBeef_Equations.VEERG_3_2_1_1__1_TotalAnnualMethaneFromEntericFermentation(AC137,AC101,AC121)</f>
        <v>0.37830642176347212</v>
      </c>
      <c r="AD153" s="29" cm="1">
        <f t="array" aca="1" ref="AD153" ca="1">EntericMethane_PastureBeef_Equations.VEERG_3_2_1_1__1_TotalAnnualMethaneFromEntericFermentation(AD137,AD101,AD121)</f>
        <v>0.37830642176347212</v>
      </c>
      <c r="AE153" s="29" cm="1">
        <f t="array" aca="1" ref="AE153" ca="1">EntericMethane_PastureBeef_Equations.VEERG_3_2_1_1__1_TotalAnnualMethaneFromEntericFermentation(AE137,AE101,AE121)</f>
        <v>0.37830642176347212</v>
      </c>
      <c r="AF153" s="32"/>
    </row>
    <row r="154" spans="21:32" ht="20.100000000000001" customHeight="1" x14ac:dyDescent="0.25">
      <c r="U154" s="29" t="str">
        <f t="shared" si="3"/>
        <v>June 2024</v>
      </c>
      <c r="V154" s="29" cm="1">
        <f t="array" aca="1" ref="V154" ca="1">EntericMethane_PastureBeef_Equations.VEERG_3_2_1_1__1_TotalAnnualMethaneFromEntericFermentation(V138,V102,V122)</f>
        <v>0.31875296878700998</v>
      </c>
      <c r="W154" s="29" cm="1">
        <f t="array" aca="1" ref="W154" ca="1">EntericMethane_PastureBeef_Equations.VEERG_3_2_1_1__1_TotalAnnualMethaneFromEntericFermentation(W138,W102,W122)</f>
        <v>0.61943873706899988</v>
      </c>
      <c r="X154" s="29" cm="1">
        <f t="array" aca="1" ref="X154" ca="1">EntericMethane_PastureBeef_Equations.VEERG_3_2_1_1__1_TotalAnnualMethaneFromEntericFermentation(X138,X102,X122)</f>
        <v>0.26098798065525008</v>
      </c>
      <c r="Y154" s="29" cm="1">
        <f t="array" aca="1" ref="Y154" ca="1">EntericMethane_PastureBeef_Equations.VEERG_3_2_1_1__1_TotalAnnualMethaneFromEntericFermentation(Y138,Y102,Y122)</f>
        <v>0.36811717389261017</v>
      </c>
      <c r="Z154" s="29" cm="1">
        <f t="array" aca="1" ref="Z154" ca="1">EntericMethane_PastureBeef_Equations.VEERG_3_2_1_1__1_TotalAnnualMethaneFromEntericFermentation(Z138,Z102,Z122)</f>
        <v>0.49384053756620999</v>
      </c>
      <c r="AA154" s="29" cm="1">
        <f t="array" aca="1" ref="AA154" ca="1">EntericMethane_PastureBeef_Equations.VEERG_3_2_1_1__1_TotalAnnualMethaneFromEntericFermentation(AA138,AA102,AA122)</f>
        <v>0.49384053756620999</v>
      </c>
      <c r="AB154" s="29" cm="1">
        <f t="array" aca="1" ref="AB154" ca="1">EntericMethane_PastureBeef_Equations.VEERG_3_2_1_1__1_TotalAnnualMethaneFromEntericFermentation(AB138,AB102,AB122)</f>
        <v>0.28021185050660996</v>
      </c>
      <c r="AC154" s="29" cm="1">
        <f t="array" aca="1" ref="AC154" ca="1">EntericMethane_PastureBeef_Equations.VEERG_3_2_1_1__1_TotalAnnualMethaneFromEntericFermentation(AC138,AC102,AC122)</f>
        <v>0.42661772732735997</v>
      </c>
      <c r="AD154" s="29" cm="1">
        <f t="array" aca="1" ref="AD154" ca="1">EntericMethane_PastureBeef_Equations.VEERG_3_2_1_1__1_TotalAnnualMethaneFromEntericFermentation(AD138,AD102,AD122)</f>
        <v>0.42661772732735997</v>
      </c>
      <c r="AE154" s="29" cm="1">
        <f t="array" aca="1" ref="AE154" ca="1">EntericMethane_PastureBeef_Equations.VEERG_3_2_1_1__1_TotalAnnualMethaneFromEntericFermentation(AE138,AE102,AE122)</f>
        <v>0.42661772732735997</v>
      </c>
      <c r="AF154" s="32"/>
    </row>
    <row r="155" spans="21:32" ht="20.100000000000001" customHeight="1" x14ac:dyDescent="0.25">
      <c r="U155" s="29" t="str">
        <f t="shared" si="3"/>
        <v>July 2024</v>
      </c>
      <c r="V155" s="29" cm="1">
        <f t="array" aca="1" ref="V155" ca="1">EntericMethane_PastureBeef_Equations.VEERG_3_2_1_1__1_TotalAnnualMethaneFromEntericFermentation(V139,V103,V123)</f>
        <v>0.32937806774657702</v>
      </c>
      <c r="W155" s="29" cm="1">
        <f t="array" aca="1" ref="W155" ca="1">EntericMethane_PastureBeef_Equations.VEERG_3_2_1_1__1_TotalAnnualMethaneFromEntericFermentation(W139,W103,W123)</f>
        <v>0.64008669497129989</v>
      </c>
      <c r="X155" s="29" cm="1">
        <f t="array" aca="1" ref="X155" ca="1">EntericMethane_PastureBeef_Equations.VEERG_3_2_1_1__1_TotalAnnualMethaneFromEntericFermentation(X139,X103,X123)</f>
        <v>0.26968758001042503</v>
      </c>
      <c r="Y155" s="29" cm="1">
        <f t="array" aca="1" ref="Y155" ca="1">EntericMethane_PastureBeef_Equations.VEERG_3_2_1_1__1_TotalAnnualMethaneFromEntericFermentation(Y139,Y103,Y123)</f>
        <v>0.38038774635569711</v>
      </c>
      <c r="Z155" s="29" cm="1">
        <f t="array" aca="1" ref="Z155" ca="1">EntericMethane_PastureBeef_Equations.VEERG_3_2_1_1__1_TotalAnnualMethaneFromEntericFermentation(Z139,Z103,Z123)</f>
        <v>0.51030188881841698</v>
      </c>
      <c r="AA155" s="29" cm="1">
        <f t="array" aca="1" ref="AA155" ca="1">EntericMethane_PastureBeef_Equations.VEERG_3_2_1_1__1_TotalAnnualMethaneFromEntericFermentation(AA139,AA103,AA123)</f>
        <v>0.51030188881841698</v>
      </c>
      <c r="AB155" s="29" cm="1">
        <f t="array" aca="1" ref="AB155" ca="1">EntericMethane_PastureBeef_Equations.VEERG_3_2_1_1__1_TotalAnnualMethaneFromEntericFermentation(AB139,AB103,AB123)</f>
        <v>0.2895522455234969</v>
      </c>
      <c r="AC155" s="29" cm="1">
        <f t="array" aca="1" ref="AC155" ca="1">EntericMethane_PastureBeef_Equations.VEERG_3_2_1_1__1_TotalAnnualMethaneFromEntericFermentation(AC139,AC103,AC123)</f>
        <v>0.44083831823827196</v>
      </c>
      <c r="AD155" s="29" cm="1">
        <f t="array" aca="1" ref="AD155" ca="1">EntericMethane_PastureBeef_Equations.VEERG_3_2_1_1__1_TotalAnnualMethaneFromEntericFermentation(AD139,AD103,AD123)</f>
        <v>0.44083831823827196</v>
      </c>
      <c r="AE155" s="29" cm="1">
        <f t="array" aca="1" ref="AE155" ca="1">EntericMethane_PastureBeef_Equations.VEERG_3_2_1_1__1_TotalAnnualMethaneFromEntericFermentation(AE139,AE103,AE123)</f>
        <v>0.44083831823827196</v>
      </c>
      <c r="AF155" s="32"/>
    </row>
    <row r="156" spans="21:32" ht="20.100000000000001" customHeight="1" x14ac:dyDescent="0.25">
      <c r="U156" s="29" t="str">
        <f t="shared" si="3"/>
        <v>August 2024</v>
      </c>
      <c r="V156" s="29" cm="1">
        <f t="array" aca="1" ref="V156" ca="1">EntericMethane_PastureBeef_Equations.VEERG_3_2_1_1__1_TotalAnnualMethaneFromEntericFermentation(V140,V104,V124)</f>
        <v>0.32937806774657702</v>
      </c>
      <c r="W156" s="29" cm="1">
        <f t="array" aca="1" ref="W156" ca="1">EntericMethane_PastureBeef_Equations.VEERG_3_2_1_1__1_TotalAnnualMethaneFromEntericFermentation(W140,W104,W124)</f>
        <v>0.64008669497129989</v>
      </c>
      <c r="X156" s="29" cm="1">
        <f t="array" aca="1" ref="X156" ca="1">EntericMethane_PastureBeef_Equations.VEERG_3_2_1_1__1_TotalAnnualMethaneFromEntericFermentation(X140,X104,X124)</f>
        <v>0.26968758001042503</v>
      </c>
      <c r="Y156" s="29" cm="1">
        <f t="array" aca="1" ref="Y156" ca="1">EntericMethane_PastureBeef_Equations.VEERG_3_2_1_1__1_TotalAnnualMethaneFromEntericFermentation(Y140,Y104,Y124)</f>
        <v>0.465974989285729</v>
      </c>
      <c r="Z156" s="29" cm="1">
        <f t="array" aca="1" ref="Z156" ca="1">EntericMethane_PastureBeef_Equations.VEERG_3_2_1_1__1_TotalAnnualMethaneFromEntericFermentation(Z140,Z104,Z124)</f>
        <v>0.62511981380256076</v>
      </c>
      <c r="AA156" s="29" cm="1">
        <f t="array" aca="1" ref="AA156" ca="1">EntericMethane_PastureBeef_Equations.VEERG_3_2_1_1__1_TotalAnnualMethaneFromEntericFermentation(AA140,AA104,AA124)</f>
        <v>0.62511981380256076</v>
      </c>
      <c r="AB156" s="29" cm="1">
        <f t="array" aca="1" ref="AB156" ca="1">EntericMethane_PastureBeef_Equations.VEERG_3_2_1_1__1_TotalAnnualMethaneFromEntericFermentation(AB140,AB104,AB124)</f>
        <v>0.2895522455234969</v>
      </c>
      <c r="AC156" s="29" cm="1">
        <f t="array" aca="1" ref="AC156" ca="1">EntericMethane_PastureBeef_Equations.VEERG_3_2_1_1__1_TotalAnnualMethaneFromEntericFermentation(AC140,AC104,AC124)</f>
        <v>0.44083831823827196</v>
      </c>
      <c r="AD156" s="29" cm="1">
        <f t="array" aca="1" ref="AD156" ca="1">EntericMethane_PastureBeef_Equations.VEERG_3_2_1_1__1_TotalAnnualMethaneFromEntericFermentation(AD140,AD104,AD124)</f>
        <v>0.44083831823827196</v>
      </c>
      <c r="AE156" s="29" cm="1">
        <f t="array" aca="1" ref="AE156" ca="1">EntericMethane_PastureBeef_Equations.VEERG_3_2_1_1__1_TotalAnnualMethaneFromEntericFermentation(AE140,AE104,AE124)</f>
        <v>0.44083831823827196</v>
      </c>
      <c r="AF156" s="32"/>
    </row>
    <row r="157" spans="21:32" ht="20.100000000000001" customHeight="1" x14ac:dyDescent="0.25">
      <c r="U157" s="29" t="str">
        <f t="shared" si="3"/>
        <v>September 2024</v>
      </c>
      <c r="V157" s="29" cm="1">
        <f t="array" aca="1" ref="V157" ca="1">EntericMethane_PastureBeef_Equations.VEERG_3_2_1_1__1_TotalAnnualMethaneFromEntericFermentation(V141,V105,V125)</f>
        <v>0.53846318370816004</v>
      </c>
      <c r="W157" s="29" cm="1">
        <f t="array" aca="1" ref="W157" ca="1">EntericMethane_PastureBeef_Equations.VEERG_3_2_1_1__1_TotalAnnualMethaneFromEntericFermentation(W141,W105,W125)</f>
        <v>0.76050766552500015</v>
      </c>
      <c r="X157" s="29" cm="1">
        <f t="array" aca="1" ref="X157" ca="1">EntericMethane_PastureBeef_Equations.VEERG_3_2_1_1__1_TotalAnnualMethaneFromEntericFermentation(X141,X105,X125)</f>
        <v>0.41041649201661007</v>
      </c>
      <c r="Y157" s="29" cm="1">
        <f t="array" aca="1" ref="Y157" ca="1">EntericMethane_PastureBeef_Equations.VEERG_3_2_1_1__1_TotalAnnualMethaneFromEntericFermentation(Y141,Y105,Y125)</f>
        <v>0.65978317499035743</v>
      </c>
      <c r="Z157" s="29" cm="1">
        <f t="array" aca="1" ref="Z157" ca="1">EntericMethane_PastureBeef_Equations.VEERG_3_2_1_1__1_TotalAnnualMethaneFromEntericFermentation(Z141,Z105,Z125)</f>
        <v>0.73266121269810014</v>
      </c>
      <c r="AA157" s="29" cm="1">
        <f t="array" aca="1" ref="AA157" ca="1">EntericMethane_PastureBeef_Equations.VEERG_3_2_1_1__1_TotalAnnualMethaneFromEntericFermentation(AA141,AA105,AA125)</f>
        <v>0.73266121269810014</v>
      </c>
      <c r="AB157" s="29" cm="1">
        <f t="array" aca="1" ref="AB157" ca="1">EntericMethane_PastureBeef_Equations.VEERG_3_2_1_1__1_TotalAnnualMethaneFromEntericFermentation(AB141,AB105,AB125)</f>
        <v>0.47315580318899986</v>
      </c>
      <c r="AC157" s="29" cm="1">
        <f t="array" aca="1" ref="AC157" ca="1">EntericMethane_PastureBeef_Equations.VEERG_3_2_1_1__1_TotalAnnualMethaneFromEntericFermentation(AC141,AC105,AC125)</f>
        <v>0.60127877604275992</v>
      </c>
      <c r="AD157" s="29" cm="1">
        <f t="array" aca="1" ref="AD157" ca="1">EntericMethane_PastureBeef_Equations.VEERG_3_2_1_1__1_TotalAnnualMethaneFromEntericFermentation(AD141,AD105,AD125)</f>
        <v>0.60127877604275992</v>
      </c>
      <c r="AE157" s="29" cm="1">
        <f t="array" aca="1" ref="AE157" ca="1">EntericMethane_PastureBeef_Equations.VEERG_3_2_1_1__1_TotalAnnualMethaneFromEntericFermentation(AE141,AE105,AE125)</f>
        <v>0.60127877604275992</v>
      </c>
      <c r="AF157" s="32"/>
    </row>
    <row r="158" spans="21:32" ht="20.100000000000001" customHeight="1" x14ac:dyDescent="0.25">
      <c r="U158" s="29" t="str">
        <f t="shared" si="3"/>
        <v>October 2024</v>
      </c>
      <c r="V158" s="29" cm="1">
        <f t="array" aca="1" ref="V158" ca="1">EntericMethane_PastureBeef_Equations.VEERG_3_2_1_1__1_TotalAnnualMethaneFromEntericFermentation(V142,V106,V126)</f>
        <v>0.556411956498432</v>
      </c>
      <c r="W158" s="29" cm="1">
        <f t="array" aca="1" ref="W158" ca="1">EntericMethane_PastureBeef_Equations.VEERG_3_2_1_1__1_TotalAnnualMethaneFromEntericFermentation(W142,W106,W126)</f>
        <v>0.78585792104250007</v>
      </c>
      <c r="X158" s="29" cm="1">
        <f t="array" aca="1" ref="X158" ca="1">EntericMethane_PastureBeef_Equations.VEERG_3_2_1_1__1_TotalAnnualMethaneFromEntericFermentation(X142,X106,X126)</f>
        <v>0.42409704175049701</v>
      </c>
      <c r="Y158" s="29" cm="1">
        <f t="array" aca="1" ref="Y158" ca="1">EntericMethane_PastureBeef_Equations.VEERG_3_2_1_1__1_TotalAnnualMethaneFromEntericFermentation(Y142,Y106,Y126)</f>
        <v>0.68177594749003623</v>
      </c>
      <c r="Z158" s="29" cm="1">
        <f t="array" aca="1" ref="Z158" ca="1">EntericMethane_PastureBeef_Equations.VEERG_3_2_1_1__1_TotalAnnualMethaneFromEntericFermentation(Z142,Z106,Z126)</f>
        <v>0.75708325312137015</v>
      </c>
      <c r="AA158" s="29" cm="1">
        <f t="array" aca="1" ref="AA158" ca="1">EntericMethane_PastureBeef_Equations.VEERG_3_2_1_1__1_TotalAnnualMethaneFromEntericFermentation(AA142,AA106,AA126)</f>
        <v>0.75708325312137015</v>
      </c>
      <c r="AB158" s="29" cm="1">
        <f t="array" aca="1" ref="AB158" ca="1">EntericMethane_PastureBeef_Equations.VEERG_3_2_1_1__1_TotalAnnualMethaneFromEntericFermentation(AB142,AB106,AB126)</f>
        <v>0.4889276632952998</v>
      </c>
      <c r="AC158" s="29" cm="1">
        <f t="array" aca="1" ref="AC158" ca="1">EntericMethane_PastureBeef_Equations.VEERG_3_2_1_1__1_TotalAnnualMethaneFromEntericFermentation(AC142,AC106,AC126)</f>
        <v>0.62132140191085194</v>
      </c>
      <c r="AD158" s="29" cm="1">
        <f t="array" aca="1" ref="AD158" ca="1">EntericMethane_PastureBeef_Equations.VEERG_3_2_1_1__1_TotalAnnualMethaneFromEntericFermentation(AD142,AD106,AD126)</f>
        <v>0.62132140191085194</v>
      </c>
      <c r="AE158" s="29" cm="1">
        <f t="array" aca="1" ref="AE158" ca="1">EntericMethane_PastureBeef_Equations.VEERG_3_2_1_1__1_TotalAnnualMethaneFromEntericFermentation(AE142,AE106,AE126)</f>
        <v>0.62132140191085194</v>
      </c>
      <c r="AF158" s="32"/>
    </row>
    <row r="159" spans="21:32" ht="20.100000000000001" customHeight="1" x14ac:dyDescent="0.25">
      <c r="U159" s="29" t="str">
        <f t="shared" si="3"/>
        <v>November 2024</v>
      </c>
      <c r="V159" s="29" cm="1">
        <f t="array" aca="1" ref="V159" ca="1">EntericMethane_PastureBeef_Equations.VEERG_3_2_1_1__1_TotalAnnualMethaneFromEntericFermentation(V143,V107,V127)</f>
        <v>0.53846318370816004</v>
      </c>
      <c r="W159" s="29" cm="1">
        <f t="array" aca="1" ref="W159" ca="1">EntericMethane_PastureBeef_Equations.VEERG_3_2_1_1__1_TotalAnnualMethaneFromEntericFermentation(W143,W107,W127)</f>
        <v>0.76050766552500015</v>
      </c>
      <c r="X159" s="29" cm="1">
        <f t="array" aca="1" ref="X159" ca="1">EntericMethane_PastureBeef_Equations.VEERG_3_2_1_1__1_TotalAnnualMethaneFromEntericFermentation(X143,X107,X127)</f>
        <v>0.41041649201661007</v>
      </c>
      <c r="Y159" s="29" cm="1">
        <f t="array" aca="1" ref="Y159" ca="1">EntericMethane_PastureBeef_Equations.VEERG_3_2_1_1__1_TotalAnnualMethaneFromEntericFermentation(Y143,Y107,Y127)</f>
        <v>0.57899339846092601</v>
      </c>
      <c r="Z159" s="29" cm="1">
        <f t="array" aca="1" ref="Z159" ca="1">EntericMethane_PastureBeef_Equations.VEERG_3_2_1_1__1_TotalAnnualMethaneFromEntericFermentation(Z143,Z107,Z127)</f>
        <v>0.64294759481670016</v>
      </c>
      <c r="AA159" s="29" cm="1">
        <f t="array" aca="1" ref="AA159" ca="1">EntericMethane_PastureBeef_Equations.VEERG_3_2_1_1__1_TotalAnnualMethaneFromEntericFermentation(AA143,AA107,AA127)</f>
        <v>0.64294759481670016</v>
      </c>
      <c r="AB159" s="29" cm="1">
        <f t="array" aca="1" ref="AB159" ca="1">EntericMethane_PastureBeef_Equations.VEERG_3_2_1_1__1_TotalAnnualMethaneFromEntericFermentation(AB143,AB107,AB127)</f>
        <v>0.47315580318899986</v>
      </c>
      <c r="AC159" s="29" cm="1">
        <f t="array" aca="1" ref="AC159" ca="1">EntericMethane_PastureBeef_Equations.VEERG_3_2_1_1__1_TotalAnnualMethaneFromEntericFermentation(AC143,AC107,AC127)</f>
        <v>0.60127877604275992</v>
      </c>
      <c r="AD159" s="29" cm="1">
        <f t="array" aca="1" ref="AD159" ca="1">EntericMethane_PastureBeef_Equations.VEERG_3_2_1_1__1_TotalAnnualMethaneFromEntericFermentation(AD143,AD107,AD127)</f>
        <v>0.60127877604275992</v>
      </c>
      <c r="AE159" s="29" cm="1">
        <f t="array" aca="1" ref="AE159" ca="1">EntericMethane_PastureBeef_Equations.VEERG_3_2_1_1__1_TotalAnnualMethaneFromEntericFermentation(AE143,AE107,AE127)</f>
        <v>0.60127877604275992</v>
      </c>
      <c r="AF159" s="32"/>
    </row>
    <row r="160" spans="21:32" ht="20.100000000000001" customHeight="1" x14ac:dyDescent="0.25">
      <c r="U160" s="29" t="str">
        <f t="shared" si="3"/>
        <v>December 2024</v>
      </c>
      <c r="V160" s="29" cm="1">
        <f t="array" aca="1" ref="V160" ca="1">EntericMethane_PastureBeef_Equations.VEERG_3_2_1_1__1_TotalAnnualMethaneFromEntericFermentation(V144,V108,V128)</f>
        <v>0.4586136012616317</v>
      </c>
      <c r="W160" s="29" cm="1">
        <f t="array" aca="1" ref="W160" ca="1">EntericMethane_PastureBeef_Equations.VEERG_3_2_1_1__1_TotalAnnualMethaneFromEntericFermentation(W144,W108,W128)</f>
        <v>0.60679113521101213</v>
      </c>
      <c r="X160" s="29" cm="1">
        <f t="array" aca="1" ref="X160" ca="1">EntericMethane_PastureBeef_Equations.VEERG_3_2_1_1__1_TotalAnnualMethaneFromEntericFermentation(X144,X108,X128)</f>
        <v>0.38568368207519993</v>
      </c>
      <c r="Y160" s="29" cm="1">
        <f t="array" aca="1" ref="Y160" ca="1">EntericMethane_PastureBeef_Equations.VEERG_3_2_1_1__1_TotalAnnualMethaneFromEntericFermentation(Y144,Y108,Y128)</f>
        <v>0.54293216249013199</v>
      </c>
      <c r="Z160" s="29" cm="1">
        <f t="array" aca="1" ref="Z160" ca="1">EntericMethane_PastureBeef_Equations.VEERG_3_2_1_1__1_TotalAnnualMethaneFromEntericFermentation(Z144,Z108,Z128)</f>
        <v>0.53756927319362025</v>
      </c>
      <c r="AA160" s="29" cm="1">
        <f t="array" aca="1" ref="AA160" ca="1">EntericMethane_PastureBeef_Equations.VEERG_3_2_1_1__1_TotalAnnualMethaneFromEntericFermentation(AA144,AA108,AA128)</f>
        <v>0.53756927319362025</v>
      </c>
      <c r="AB160" s="29" cm="1">
        <f t="array" aca="1" ref="AB160" ca="1">EntericMethane_PastureBeef_Equations.VEERG_3_2_1_1__1_TotalAnnualMethaneFromEntericFermentation(AB144,AB108,AB128)</f>
        <v>0.422728915885632</v>
      </c>
      <c r="AC160" s="29" cm="1">
        <f t="array" aca="1" ref="AC160" ca="1">EntericMethane_PastureBeef_Equations.VEERG_3_2_1_1__1_TotalAnnualMethaneFromEntericFermentation(AC144,AC108,AC128)</f>
        <v>0.47120481705053707</v>
      </c>
      <c r="AD160" s="29" cm="1">
        <f t="array" aca="1" ref="AD160" ca="1">EntericMethane_PastureBeef_Equations.VEERG_3_2_1_1__1_TotalAnnualMethaneFromEntericFermentation(AD144,AD108,AD128)</f>
        <v>0.47120481705053707</v>
      </c>
      <c r="AE160" s="29" cm="1">
        <f t="array" aca="1" ref="AE160" ca="1">EntericMethane_PastureBeef_Equations.VEERG_3_2_1_1__1_TotalAnnualMethaneFromEntericFermentation(AE144,AE108,AE128)</f>
        <v>0.47120481705053707</v>
      </c>
      <c r="AF160" s="32"/>
    </row>
    <row r="161" spans="21:24" ht="20.100000000000001" customHeight="1" x14ac:dyDescent="0.25">
      <c r="U161" s="62" t="s">
        <v>117</v>
      </c>
      <c r="V161" s="63">
        <f ca="1">SUM(V149:AE160)</f>
        <v>56.163952698425533</v>
      </c>
      <c r="W161" s="64">
        <f ca="1">V140</f>
        <v>31</v>
      </c>
    </row>
    <row r="162" spans="21:24" ht="20.100000000000001" customHeight="1" x14ac:dyDescent="0.25"/>
    <row r="163" spans="21:24" ht="20.100000000000001" customHeight="1" x14ac:dyDescent="0.25">
      <c r="U163" s="65" t="str" cm="1">
        <f t="array" ref="U163:V164">Common_Equations.Common_ConvertCH4ToCO2e_Arguments()</f>
        <v>ECH4</v>
      </c>
      <c r="V163" s="66" t="str">
        <v>Methane emissions (t CH4)</v>
      </c>
      <c r="W163" s="67"/>
      <c r="X163" s="29">
        <f ca="1">V161</f>
        <v>56.163952698425533</v>
      </c>
    </row>
    <row r="164" spans="21:24" ht="20.100000000000001" customHeight="1" x14ac:dyDescent="0.25">
      <c r="U164" s="65" t="str">
        <v>GWPCH4</v>
      </c>
      <c r="V164" s="66" t="str">
        <v>Global warming potential for methane (t CO2-e / t CH4)</v>
      </c>
      <c r="W164" s="67"/>
      <c r="X164" s="29">
        <f>Common_InputFunctions.Utility_LookupValueInTableNumber("CH4",Table_GWPData[Gas],Table_GWPData[CO2-e factor])</f>
        <v>28</v>
      </c>
    </row>
    <row r="165" spans="21:24" ht="20.100000000000001" customHeight="1" x14ac:dyDescent="0.25"/>
    <row r="166" spans="21:24" ht="20.100000000000001" customHeight="1" x14ac:dyDescent="0.25">
      <c r="U166" s="61" t="s">
        <v>120</v>
      </c>
      <c r="V166" s="61" cm="1">
        <f t="array" aca="1" ref="V166" ca="1">Common_Equations.Common_ConvertN2OToCO2e(X163,X164)</f>
        <v>1572.5906755559149</v>
      </c>
      <c r="W166" s="19"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3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32"/>
    </row>
    <row r="236" spans="17:17" ht="20.100000000000001" customHeight="1" x14ac:dyDescent="0.25">
      <c r="Q236" s="32"/>
    </row>
    <row r="237" spans="17:17" ht="20.100000000000001" customHeight="1" x14ac:dyDescent="0.25">
      <c r="Q237" s="32"/>
    </row>
    <row r="238" spans="17:17" ht="20.100000000000001" customHeight="1" x14ac:dyDescent="0.25">
      <c r="Q238" s="32"/>
    </row>
    <row r="239" spans="17:17" ht="20.100000000000001" customHeight="1" x14ac:dyDescent="0.25">
      <c r="Q239" s="32"/>
    </row>
    <row r="240" spans="17:17" ht="20.100000000000001" customHeight="1" x14ac:dyDescent="0.25">
      <c r="Q240" s="32"/>
    </row>
    <row r="241" spans="17:34" ht="20.100000000000001" customHeight="1" x14ac:dyDescent="0.25">
      <c r="Q241" s="32"/>
    </row>
    <row r="242" spans="17:34" ht="20.100000000000001" customHeight="1" x14ac:dyDescent="0.25">
      <c r="Q242" s="3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32"/>
    </row>
    <row r="252" spans="17:34" ht="20.100000000000001" customHeight="1" x14ac:dyDescent="0.25">
      <c r="AH252" s="32"/>
    </row>
    <row r="253" spans="17:34" ht="20.100000000000001" customHeight="1" x14ac:dyDescent="0.25">
      <c r="AH253" s="32"/>
    </row>
    <row r="254" spans="17:34" ht="20.100000000000001" customHeight="1" x14ac:dyDescent="0.25">
      <c r="AH254" s="32"/>
    </row>
    <row r="255" spans="17:34" ht="20.100000000000001" customHeight="1" x14ac:dyDescent="0.25">
      <c r="AH255" s="32"/>
    </row>
    <row r="256" spans="17:34" ht="20.100000000000001" customHeight="1" x14ac:dyDescent="0.25">
      <c r="AH256" s="32"/>
    </row>
    <row r="257" spans="34:34" ht="20.100000000000001" customHeight="1" x14ac:dyDescent="0.25">
      <c r="AH257" s="32"/>
    </row>
    <row r="258" spans="34:34" ht="20.100000000000001" customHeight="1" x14ac:dyDescent="0.25">
      <c r="AH258" s="32"/>
    </row>
    <row r="259" spans="34:34" ht="20.100000000000001" customHeight="1" x14ac:dyDescent="0.25">
      <c r="AH259" s="32"/>
    </row>
    <row r="260" spans="34:34" ht="20.100000000000001" customHeight="1" x14ac:dyDescent="0.25">
      <c r="AH260" s="32"/>
    </row>
    <row r="261" spans="34:34" ht="20.100000000000001" customHeight="1" x14ac:dyDescent="0.25">
      <c r="AH261" s="32"/>
    </row>
    <row r="262" spans="34:34" ht="20.100000000000001" customHeight="1" x14ac:dyDescent="0.25">
      <c r="AH262" s="32"/>
    </row>
    <row r="263" spans="34:34" ht="20.100000000000001" customHeight="1" x14ac:dyDescent="0.25">
      <c r="AH263" s="32"/>
    </row>
    <row r="264" spans="34:34" ht="20.100000000000001" customHeight="1" x14ac:dyDescent="0.25">
      <c r="AH264" s="32"/>
    </row>
    <row r="265" spans="34:34" ht="20.100000000000001" customHeight="1" x14ac:dyDescent="0.25">
      <c r="AH265" s="32"/>
    </row>
    <row r="266" spans="34:34" ht="20.100000000000001" customHeight="1" x14ac:dyDescent="0.25">
      <c r="AH266" s="32"/>
    </row>
    <row r="267" spans="34:34" ht="20.100000000000001" customHeight="1" x14ac:dyDescent="0.25">
      <c r="AH267" s="32"/>
    </row>
    <row r="268" spans="34:34" ht="20.100000000000001" customHeight="1" x14ac:dyDescent="0.25">
      <c r="AH268" s="32"/>
    </row>
    <row r="269" spans="34:34" ht="20.100000000000001" customHeight="1" x14ac:dyDescent="0.25">
      <c r="AH269" s="32"/>
    </row>
    <row r="270" spans="34:34" ht="20.100000000000001" customHeight="1" x14ac:dyDescent="0.25">
      <c r="AH270" s="32"/>
    </row>
    <row r="271" spans="34:34" ht="20.100000000000001" customHeight="1" x14ac:dyDescent="0.25">
      <c r="AH271" s="32"/>
    </row>
    <row r="272" spans="34:34" x14ac:dyDescent="0.25">
      <c r="AH272" s="32"/>
    </row>
    <row r="273" spans="34:34" x14ac:dyDescent="0.25">
      <c r="AH273" s="32"/>
    </row>
    <row r="274" spans="34:34" x14ac:dyDescent="0.25">
      <c r="AH274" s="32"/>
    </row>
  </sheetData>
  <dataValidations count="1">
    <dataValidation operator="equal" allowBlank="1" showInputMessage="1" showErrorMessage="1" sqref="E255 D100:G100 E258 V111 D103:I103 F119:J119" xr:uid="{7D90C306-B340-4E38-A36E-68F3ED942421}"/>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510BB-4822-48E9-95E4-68E633AEFA80}">
  <dimension ref="A1:AK281"/>
  <sheetViews>
    <sheetView showGridLines="0" topLeftCell="N252"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44" customFormat="1" ht="30" customHeight="1" x14ac:dyDescent="0.35">
      <c r="A1" s="18" t="e" vm="1">
        <v>#VALUE!</v>
      </c>
      <c r="C1" s="44" t="s">
        <v>203</v>
      </c>
    </row>
    <row r="2" spans="1:37" s="3" customFormat="1" ht="20.100000000000001" customHeight="1" x14ac:dyDescent="0.25">
      <c r="A2"/>
    </row>
    <row r="3" spans="1:37" ht="20.100000000000001" customHeight="1" x14ac:dyDescent="0.25">
      <c r="A3" s="5" t="str">
        <f>HYPERLINK("#'Home'!A1", "Home")</f>
        <v>Home</v>
      </c>
      <c r="C3" s="45"/>
      <c r="D3" s="45" t="s">
        <v>75</v>
      </c>
      <c r="E3" s="45"/>
      <c r="F3" s="45"/>
      <c r="G3" s="45"/>
      <c r="H3" s="45"/>
      <c r="I3" s="45"/>
      <c r="J3" s="45"/>
      <c r="K3" s="45"/>
      <c r="L3" s="45"/>
      <c r="M3" s="45"/>
      <c r="N3" s="45"/>
      <c r="O3" s="45"/>
      <c r="P3" s="45"/>
      <c r="Q3" s="45"/>
      <c r="R3" s="45"/>
      <c r="S3" s="45"/>
      <c r="T3" s="45"/>
      <c r="V3" s="45"/>
      <c r="W3" s="45" t="s">
        <v>76</v>
      </c>
      <c r="X3" s="45"/>
      <c r="Y3" s="45"/>
      <c r="Z3" s="45"/>
      <c r="AA3" s="45"/>
      <c r="AB3" s="45"/>
      <c r="AC3" s="45"/>
      <c r="AD3" s="45"/>
      <c r="AE3" s="45"/>
      <c r="AF3" s="45"/>
      <c r="AG3" s="45"/>
      <c r="AH3" s="45"/>
      <c r="AI3" s="45"/>
      <c r="AJ3" s="45"/>
      <c r="AK3" s="45"/>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46" t="str" cm="1">
        <f t="array" ref="D6">EntericMethane_PastureBeef_Equations.VEERG_3_2_1_1__4_AdditionalIntakeForMilkProduction_Source()</f>
        <v>VEERG 2026: 3.2.1.1, Equation (4)</v>
      </c>
    </row>
    <row r="7" spans="1:37" ht="20.100000000000001" customHeight="1" x14ac:dyDescent="0.25">
      <c r="A7" s="7" t="s">
        <v>0</v>
      </c>
      <c r="D7" s="47" t="s">
        <v>77</v>
      </c>
      <c r="E7" s="47" t="s">
        <v>78</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48" t="s">
        <v>79</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48" t="s">
        <v>80</v>
      </c>
      <c r="E11" s="17"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50" t="str" cm="1">
        <f t="array" ref="D13:E16">_xlfn.CHOOSECOLS(EntericMethane_PastureBeef_Equations.VEERG_3_2_1_1__4_AdditionalIntakeForMilkProduction_ArgumentsVariation(), 1, 2)</f>
        <v>LC_jk45</v>
      </c>
      <c r="E13" s="51" t="str">
        <v>proportion of cows greater than 1 year in calf in the season of calving expressed as a fraction</v>
      </c>
      <c r="F13" s="52"/>
      <c r="G13" s="53"/>
      <c r="H13" s="50" t="str" cm="1">
        <f t="array" ref="H13:I16">_xlfn.CHOOSECOLS(EntericMethane_PastureBeef_Equations.VEERG_3_2_1_1__4_AdditionalIntakeForMilkProduction_ArgumentsVariation(), 3,4)</f>
        <v>fraction</v>
      </c>
      <c r="I13" s="54" t="str">
        <v>Input</v>
      </c>
      <c r="J13" s="56" t="str" cm="1">
        <f t="array" aca="1" ref="J13" ca="1">HYPERLINK(Common_InputFunctions.Utility_SourceHyperlink($D$19), $D$19)</f>
        <v>M1_Table_LC_j_k-4-5</v>
      </c>
    </row>
    <row r="14" spans="1:37" ht="20.100000000000001" customHeight="1" x14ac:dyDescent="0.25">
      <c r="A14" s="5" t="str">
        <f>HYPERLINK("#'Input - Fuel'!A1", "Fuel")</f>
        <v>Fuel</v>
      </c>
      <c r="D14" s="50" t="str">
        <v>FA_jk45calv</v>
      </c>
      <c r="E14" s="51" t="str">
        <v>feed adjustment value for lactating cows in the season of calving expressed as a fraction</v>
      </c>
      <c r="F14" s="52"/>
      <c r="G14" s="53"/>
      <c r="H14" s="50" t="str">
        <v>fraction</v>
      </c>
      <c r="I14" s="55" t="str">
        <v>Constant</v>
      </c>
      <c r="J14" s="50"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50" t="str">
        <v>FA_jk45after</v>
      </c>
      <c r="E15" s="51" t="str">
        <v>feed adjustment value for lactating cows in the season immediately after calving expressed as a fraction</v>
      </c>
      <c r="F15" s="52"/>
      <c r="G15" s="53"/>
      <c r="H15" s="50" t="str">
        <v>fraction</v>
      </c>
      <c r="I15" s="55" t="str">
        <v>Constant</v>
      </c>
      <c r="J15" s="50"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50" t="str">
        <v>b</v>
      </c>
      <c r="E16" s="51" t="str">
        <v>breed of cattle</v>
      </c>
      <c r="F16" s="52"/>
      <c r="G16" s="53"/>
      <c r="H16" s="50" t="str">
        <v/>
      </c>
      <c r="I16" s="54" t="str">
        <v>Input</v>
      </c>
      <c r="J16" s="50" t="str">
        <f>X_Cell_PastureBeef_Breed</f>
        <v>Hereford or Shorthorn breeds</v>
      </c>
    </row>
    <row r="17" spans="1:36" ht="20.100000000000001" customHeight="1" x14ac:dyDescent="0.25"/>
    <row r="18" spans="1:36" ht="20.100000000000001" customHeight="1" x14ac:dyDescent="0.25">
      <c r="A18" s="6" t="s">
        <v>3</v>
      </c>
    </row>
    <row r="19" spans="1:36" ht="20.100000000000001" customHeight="1" x14ac:dyDescent="0.25">
      <c r="A19" s="5" t="str">
        <f>HYPERLINK("#'3.2.1.1-2 Enteric Methane'!A1", "3.2.1.1-2 Enteric methane")</f>
        <v>3.2.1.1-2 Enteric methane</v>
      </c>
      <c r="D19" s="57" t="s">
        <v>81</v>
      </c>
      <c r="W19" s="57" t="s">
        <v>83</v>
      </c>
    </row>
    <row r="20" spans="1:36" ht="20.100000000000001" customHeight="1" x14ac:dyDescent="0.25">
      <c r="A20" s="49" t="str">
        <f>HYPERLINK("#'4.2.1.1-2 Methane'!A1", "4.2.1.1-2 Manure methane")</f>
        <v>4.2.1.1-2 Manure methane</v>
      </c>
      <c r="D20" s="58" t="s">
        <v>82</v>
      </c>
      <c r="W20" s="58" t="s">
        <v>85</v>
      </c>
    </row>
    <row r="21" spans="1:36" ht="20.100000000000001" customHeight="1" x14ac:dyDescent="0.25">
      <c r="A21" s="5" t="str">
        <f>HYPERLINK("#'4.2.1.3-4 Soil direct N20'!A1", "4.2.1.3-4 Soil direct N2O")</f>
        <v>4.2.1.3-4 Soil direct N2O</v>
      </c>
      <c r="D21" s="59" t="s">
        <v>84</v>
      </c>
      <c r="E21" s="60" t="s">
        <v>55</v>
      </c>
      <c r="F21" s="60" t="s">
        <v>34</v>
      </c>
      <c r="G21" s="60" t="s">
        <v>35</v>
      </c>
      <c r="H21" s="60" t="s">
        <v>36</v>
      </c>
      <c r="W21" s="59" t="s">
        <v>87</v>
      </c>
      <c r="X21" s="60" t="s">
        <v>34</v>
      </c>
      <c r="Y21" s="60" t="s">
        <v>35</v>
      </c>
      <c r="Z21" s="60" t="s">
        <v>36</v>
      </c>
    </row>
    <row r="22" spans="1:36" ht="20.100000000000001" customHeight="1" x14ac:dyDescent="0.25">
      <c r="A22" s="5" t="str">
        <f>HYPERLINK("#'4.2.1.5-6 Soil Atmos Dep'!A1", "4.2.1.5-6 Soil atm. deposition")</f>
        <v>4.2.1.5-6 Soil atm. deposition</v>
      </c>
      <c r="D22" s="29" t="s">
        <v>41</v>
      </c>
      <c r="E22" s="29" t="str">
        <f>'Input - Pasture Beef'!$E111</f>
        <v>Yes</v>
      </c>
      <c r="F22" s="127">
        <f>'Input - Pasture Beef'!$F111</f>
        <v>0.1</v>
      </c>
      <c r="G22" s="127">
        <f>'Input - Pasture Beef'!$G111</f>
        <v>0.4</v>
      </c>
      <c r="H22" s="127">
        <f>'Input - Pasture Beef'!$H111</f>
        <v>0.4</v>
      </c>
      <c r="I22" s="32" t="s">
        <v>86</v>
      </c>
      <c r="W22" s="29" t="str">
        <f>TEXT(EDATE('Input - Pasture Beef'!$D$124,0), "mmmm") &amp; ", " &amp; TEXT(EDATE('Input - Pasture Beef'!$D$125,0), "mmmm") &amp; ", " &amp; TEXT(EDATE('Input - Pasture Beef'!$D$126,0), "mmmm")</f>
        <v>August, September, October</v>
      </c>
      <c r="X22" s="127">
        <f>'Input - Pasture Beef'!$E$127</f>
        <v>0.75</v>
      </c>
      <c r="Y22" s="127">
        <f>'Input - Pasture Beef'!$F$127</f>
        <v>0.75</v>
      </c>
      <c r="Z22" s="127">
        <f>'Input - Pasture Beef'!$G$127</f>
        <v>0.75</v>
      </c>
      <c r="AA22" s="32" t="s">
        <v>86</v>
      </c>
    </row>
    <row r="23" spans="1:36" ht="20.100000000000001" customHeight="1" x14ac:dyDescent="0.25">
      <c r="A23" s="5" t="str">
        <f>HYPERLINK("#'4.2.1.7-8 Soil leach runoff'!A1", "4.2.1.7-8 Soil leach &amp; runoff")</f>
        <v>4.2.1.7-8 Soil leach &amp; runoff</v>
      </c>
      <c r="D23" s="29" t="s">
        <v>43</v>
      </c>
      <c r="E23" s="29" t="str">
        <f>'Input - Pasture Beef'!$E112</f>
        <v>Yes</v>
      </c>
      <c r="F23" s="127">
        <f>'Input - Pasture Beef'!$F112</f>
        <v>0.1</v>
      </c>
      <c r="G23" s="127">
        <f>'Input - Pasture Beef'!$G112</f>
        <v>0</v>
      </c>
      <c r="H23" s="127">
        <f>'Input - Pasture Beef'!$H112</f>
        <v>0</v>
      </c>
      <c r="W23" s="29" t="str">
        <f>TEXT(EDATE('Input - Pasture Beef'!$D$126,1), "mmmm") &amp; ", " &amp; TEXT(EDATE('Input - Pasture Beef'!$D$126,2), "mmmm") &amp; ", " &amp; TEXT(EDATE('Input - Pasture Beef'!$D$126,3), "mmmm")</f>
        <v>November, December, January</v>
      </c>
      <c r="AA23" s="32"/>
    </row>
    <row r="24" spans="1:36" ht="20.100000000000001" customHeight="1" x14ac:dyDescent="0.25">
      <c r="A24" s="5" t="str">
        <f>HYPERLINK("#'5.1.1.1-2 Inorganic fert N2O'!A1", "5.1.1.1-2 Inorganic fert N2O")</f>
        <v>5.1.1.1-2 Inorganic fert N2O</v>
      </c>
      <c r="D24" s="29" t="s">
        <v>44</v>
      </c>
      <c r="E24" s="29" t="str">
        <f>'Input - Pasture Beef'!$E113</f>
        <v>No</v>
      </c>
      <c r="F24" s="127">
        <f>'Input - Pasture Beef'!$F113</f>
        <v>0</v>
      </c>
      <c r="G24" s="127">
        <f>'Input - Pasture Beef'!$G113</f>
        <v>0</v>
      </c>
      <c r="H24" s="127">
        <f>'Input - Pasture Beef'!$H113</f>
        <v>0</v>
      </c>
      <c r="AA24" s="32"/>
    </row>
    <row r="25" spans="1:36" ht="20.100000000000001" customHeight="1" x14ac:dyDescent="0.25">
      <c r="A25" s="5" t="str">
        <f>HYPERLINK("#'5.1.1.3-4 Inorganic fert CO2'!A1", "5.1.1.3-4 Inorganic fert CO2")</f>
        <v>5.1.1.3-4 Inorganic fert CO2</v>
      </c>
      <c r="D25" s="29" t="s">
        <v>45</v>
      </c>
      <c r="E25" s="29" t="str">
        <f>'Input - Pasture Beef'!$E111</f>
        <v>Yes</v>
      </c>
      <c r="F25" s="127">
        <f>'Input - Pasture Beef'!$F$110</f>
        <v>0.7</v>
      </c>
      <c r="G25" s="127">
        <f>'Input - Pasture Beef'!$G$110</f>
        <v>0.5</v>
      </c>
      <c r="H25" s="127">
        <f>'Input - Pasture Beef'!$H$110</f>
        <v>0.5</v>
      </c>
      <c r="W25" s="57" t="s">
        <v>91</v>
      </c>
    </row>
    <row r="26" spans="1:36" ht="20.100000000000001" customHeight="1" x14ac:dyDescent="0.25">
      <c r="A26" s="5" t="str">
        <f>HYPERLINK("#'5.2.1.1-2 Organic Fert N2O'!A1", "5.2.1.1-2 Organic fert N2O")</f>
        <v>5.2.1.1-2 Organic fert N2O</v>
      </c>
      <c r="W26" s="58" t="s">
        <v>92</v>
      </c>
    </row>
    <row r="27" spans="1:36" ht="20.100000000000001" customHeight="1" x14ac:dyDescent="0.25">
      <c r="A27" s="5" t="str">
        <f>HYPERLINK("#'5.3.1.1-2 Lime CO2'!A1", "5.3.1.1-2 Lime CO2")</f>
        <v>5.3.1.1-2 Lime CO2</v>
      </c>
      <c r="D27" s="57" t="s">
        <v>88</v>
      </c>
      <c r="W27" s="59" t="s">
        <v>87</v>
      </c>
      <c r="X27" s="59" t="s">
        <v>55</v>
      </c>
      <c r="Y27" s="59" t="s">
        <v>90</v>
      </c>
      <c r="Z27" s="59" t="s">
        <v>31</v>
      </c>
      <c r="AA27" s="59" t="s">
        <v>32</v>
      </c>
      <c r="AB27" s="59" t="s">
        <v>33</v>
      </c>
      <c r="AC27" s="59" t="s">
        <v>34</v>
      </c>
      <c r="AD27" s="59" t="s">
        <v>35</v>
      </c>
      <c r="AE27" s="59" t="s">
        <v>36</v>
      </c>
      <c r="AF27" s="59" t="s">
        <v>37</v>
      </c>
      <c r="AG27" s="59" t="s">
        <v>38</v>
      </c>
      <c r="AH27" s="59" t="s">
        <v>39</v>
      </c>
      <c r="AI27" s="59" t="s">
        <v>40</v>
      </c>
    </row>
    <row r="28" spans="1:36" ht="20.100000000000001" customHeight="1" x14ac:dyDescent="0.25">
      <c r="A28" s="5" t="str">
        <f>HYPERLINK("#'5.4.1.1-4 Atmos deposition'!A1", "5.4.1.1-4 Atmos. deposition")</f>
        <v>5.4.1.1-4 Atmos. deposition</v>
      </c>
      <c r="D28" s="58" t="s">
        <v>89</v>
      </c>
      <c r="W28" s="29" t="str">
        <f>TEXT('Input - Site'!$E$12,"mmmm")</f>
        <v>January</v>
      </c>
      <c r="X28" s="29" t="str" cm="1">
        <f t="array" ref="X28">IFERROR(_xlfn.IFS(SUMPRODUCT(ISNUMBER(SEARCH(TRIM(_xlfn.TEXTSPLIT($W$22,",")),W28))*1)&gt;0,"Calving season",SUMPRODUCT(ISNUMBER(SEARCH(TRIM(_xlfn.TEXTSPLIT($W$23,",")),W28))*1)&gt;0,"Season after calving"), "")</f>
        <v>Season after calving</v>
      </c>
      <c r="Y28" s="29" cm="1">
        <f t="array" ref="Y28">_xlfn.IFS(X28="Calving season", $J$14, X28="Season after calving", $J$15, X28="", "")</f>
        <v>1.1000000000000001</v>
      </c>
      <c r="Z28" s="29">
        <v>1</v>
      </c>
      <c r="AA28" s="29">
        <v>1</v>
      </c>
      <c r="AB28" s="29">
        <v>1</v>
      </c>
      <c r="AC28" s="29" cm="1">
        <f t="array" ref="AC28">IFERROR(EntericMethane_PastureBeef_Equations.VEERG_3_2_1_1__4_AdditionalIntakeForMilkProduction(X$22,$Y28), 1)</f>
        <v>1.0750000000000002</v>
      </c>
      <c r="AD28" s="29" cm="1">
        <f t="array" ref="AD28">IFERROR(EntericMethane_PastureBeef_Equations.VEERG_3_2_1_1__4_AdditionalIntakeForMilkProduction(Y$22,$Y28), 1)</f>
        <v>1.0750000000000002</v>
      </c>
      <c r="AE28" s="29" cm="1">
        <f t="array" ref="AE28">IFERROR(EntericMethane_PastureBeef_Equations.VEERG_3_2_1_1__4_AdditionalIntakeForMilkProduction(Z$22,$Y28), 1)</f>
        <v>1.0750000000000002</v>
      </c>
      <c r="AF28" s="29">
        <v>1</v>
      </c>
      <c r="AG28" s="29">
        <v>1</v>
      </c>
      <c r="AH28" s="29">
        <v>1</v>
      </c>
      <c r="AI28" s="29">
        <v>1</v>
      </c>
      <c r="AJ28" s="32" t="str">
        <f>$E$11</f>
        <v>fraction</v>
      </c>
    </row>
    <row r="29" spans="1:36" ht="20.100000000000001" customHeight="1" x14ac:dyDescent="0.25">
      <c r="A29" s="5" t="str">
        <f>HYPERLINK("#'5.5.1.1-2 Leaching and runoff'!A1", "5.5.1.1-2 Leaching &amp; runoff")</f>
        <v>5.5.1.1-2 Leaching &amp; runoff</v>
      </c>
      <c r="D29" s="59" t="s">
        <v>84</v>
      </c>
      <c r="E29" s="59" t="s">
        <v>55</v>
      </c>
      <c r="F29" s="59" t="s">
        <v>187</v>
      </c>
      <c r="G29" s="59" t="s">
        <v>90</v>
      </c>
      <c r="H29" s="59" t="s">
        <v>90</v>
      </c>
      <c r="I29" s="59" t="s">
        <v>31</v>
      </c>
      <c r="J29" s="59" t="s">
        <v>32</v>
      </c>
      <c r="K29" s="59" t="s">
        <v>33</v>
      </c>
      <c r="L29" s="59" t="s">
        <v>34</v>
      </c>
      <c r="M29" s="59" t="s">
        <v>35</v>
      </c>
      <c r="N29" s="59" t="s">
        <v>36</v>
      </c>
      <c r="O29" s="59" t="s">
        <v>37</v>
      </c>
      <c r="P29" s="59" t="s">
        <v>38</v>
      </c>
      <c r="Q29" s="59" t="s">
        <v>39</v>
      </c>
      <c r="R29" s="59" t="s">
        <v>40</v>
      </c>
      <c r="W29" s="29" t="str">
        <f>TEXT(EDATE('Input - Site'!$E$12,1), "mmmm")</f>
        <v>February</v>
      </c>
      <c r="X29" s="29" t="str" cm="1">
        <f t="array" ref="X29">IFERROR(_xlfn.IFS(SUMPRODUCT(ISNUMBER(SEARCH(TRIM(_xlfn.TEXTSPLIT($W$22,",")),W29))*1)&gt;0,"Calving season",SUMPRODUCT(ISNUMBER(SEARCH(TRIM(_xlfn.TEXTSPLIT($W$23,",")),W29))*1)&gt;0,"Season after calving"), "")</f>
        <v/>
      </c>
      <c r="Y29" s="29" t="str" cm="1">
        <f t="array" ref="Y29">_xlfn.IFS(X29="Calving season", $J$14, X29="Season after calving", $J$15, X29="", "")</f>
        <v/>
      </c>
      <c r="Z29" s="29">
        <v>1</v>
      </c>
      <c r="AA29" s="29">
        <v>1</v>
      </c>
      <c r="AB29" s="29">
        <v>1</v>
      </c>
      <c r="AC29" s="29" cm="1">
        <f t="array" ref="AC29">IFERROR(EntericMethane_PastureBeef_Equations.VEERG_3_2_1_1__4_AdditionalIntakeForMilkProduction(X$22,$Y29), 1)</f>
        <v>1</v>
      </c>
      <c r="AD29" s="29" cm="1">
        <f t="array" ref="AD29">IFERROR(EntericMethane_PastureBeef_Equations.VEERG_3_2_1_1__4_AdditionalIntakeForMilkProduction(Y$22,$Y29), 1)</f>
        <v>1</v>
      </c>
      <c r="AE29" s="29" cm="1">
        <f t="array" ref="AE29">IFERROR(EntericMethane_PastureBeef_Equations.VEERG_3_2_1_1__4_AdditionalIntakeForMilkProduction(Z$22,$Y29), 1)</f>
        <v>1</v>
      </c>
      <c r="AF29" s="29">
        <v>1</v>
      </c>
      <c r="AG29" s="29">
        <v>1</v>
      </c>
      <c r="AH29" s="29">
        <v>1</v>
      </c>
      <c r="AI29" s="29">
        <v>1</v>
      </c>
      <c r="AJ29" s="32" t="str">
        <f t="shared" ref="AJ29:AJ39" si="0">$E$11</f>
        <v>fraction</v>
      </c>
    </row>
    <row r="30" spans="1:36" ht="20.100000000000001" customHeight="1" x14ac:dyDescent="0.25">
      <c r="A30" s="5" t="str">
        <f>HYPERLINK("#'6.2.1.1-2 Pasture residue N2O'!A1", "6.2.1.1-2 Pasture residue N2O")</f>
        <v>6.2.1.1-2 Pasture residue N2O</v>
      </c>
      <c r="D30" s="29" t="s">
        <v>41</v>
      </c>
      <c r="E30" s="29" t="str">
        <f>IF('Input - Pasture Beef'!E111="Yes", "Calving season", "")</f>
        <v>Calving season</v>
      </c>
      <c r="F30" s="29" t="str">
        <f>IF('Input - Pasture Beef'!E110="Yes", "Season after calving","")</f>
        <v>Season after calving</v>
      </c>
      <c r="G30" s="29">
        <f>IF(E30="Calving season", $J$14, 1)</f>
        <v>1.3</v>
      </c>
      <c r="H30" s="29">
        <f>IF(F30="Season after calving", $J$15, 1)</f>
        <v>1.1000000000000001</v>
      </c>
      <c r="I30" s="29">
        <v>1</v>
      </c>
      <c r="J30" s="29">
        <v>1</v>
      </c>
      <c r="K30" s="29">
        <v>1</v>
      </c>
      <c r="L30" s="74" cm="1">
        <f t="array" ref="L30">EntericMethane_PastureBeef_Equations.VEERG_3_2_1_1__4_AdditionalIntakeForMilkProductionVariation(F22,F25,$G30,$H30)</f>
        <v>1.1000000000000001</v>
      </c>
      <c r="M30" s="74" cm="1">
        <f t="array" ref="M30">EntericMethane_PastureBeef_Equations.VEERG_3_2_1_1__4_AdditionalIntakeForMilkProductionVariation(G22,G25,$G30,$H30)</f>
        <v>1.17</v>
      </c>
      <c r="N30" s="74" cm="1">
        <f t="array" ref="N30">EntericMethane_PastureBeef_Equations.VEERG_3_2_1_1__4_AdditionalIntakeForMilkProductionVariation(H22,H25,$G30,$H30)</f>
        <v>1.17</v>
      </c>
      <c r="O30" s="29">
        <v>1</v>
      </c>
      <c r="P30" s="29">
        <v>1</v>
      </c>
      <c r="Q30" s="29">
        <v>1</v>
      </c>
      <c r="R30" s="29">
        <v>1</v>
      </c>
      <c r="S30" s="32" t="str">
        <f>$E$11</f>
        <v>fraction</v>
      </c>
      <c r="W30" s="29" t="str">
        <f>TEXT(EDATE('Input - Site'!$E$12,2), "mmmm")</f>
        <v>March</v>
      </c>
      <c r="X30" s="29" t="str" cm="1">
        <f t="array" ref="X30">IFERROR(_xlfn.IFS(SUMPRODUCT(ISNUMBER(SEARCH(TRIM(_xlfn.TEXTSPLIT($W$22,",")),W30))*1)&gt;0,"Calving season",SUMPRODUCT(ISNUMBER(SEARCH(TRIM(_xlfn.TEXTSPLIT($W$23,",")),W30))*1)&gt;0,"Season after calving"), "")</f>
        <v/>
      </c>
      <c r="Y30" s="29" t="str" cm="1">
        <f t="array" ref="Y30">_xlfn.IFS(X30="Calving season", $J$14, X30="Season after calving", $J$15, X30="", "")</f>
        <v/>
      </c>
      <c r="Z30" s="29">
        <v>1</v>
      </c>
      <c r="AA30" s="29">
        <v>1</v>
      </c>
      <c r="AB30" s="29">
        <v>1</v>
      </c>
      <c r="AC30" s="29" cm="1">
        <f t="array" ref="AC30">IFERROR(EntericMethane_PastureBeef_Equations.VEERG_3_2_1_1__4_AdditionalIntakeForMilkProduction(X$22,$Y30), 1)</f>
        <v>1</v>
      </c>
      <c r="AD30" s="29" cm="1">
        <f t="array" ref="AD30">IFERROR(EntericMethane_PastureBeef_Equations.VEERG_3_2_1_1__4_AdditionalIntakeForMilkProduction(Y$22,$Y30), 1)</f>
        <v>1</v>
      </c>
      <c r="AE30" s="29" cm="1">
        <f t="array" ref="AE30">IFERROR(EntericMethane_PastureBeef_Equations.VEERG_3_2_1_1__4_AdditionalIntakeForMilkProduction(Z$22,$Y30), 1)</f>
        <v>1</v>
      </c>
      <c r="AF30" s="29">
        <v>1</v>
      </c>
      <c r="AG30" s="29">
        <v>1</v>
      </c>
      <c r="AH30" s="29">
        <v>1</v>
      </c>
      <c r="AI30" s="29">
        <v>1</v>
      </c>
      <c r="AJ30" s="32" t="str">
        <f t="shared" si="0"/>
        <v>fraction</v>
      </c>
    </row>
    <row r="31" spans="1:36" ht="20.100000000000001" customHeight="1" x14ac:dyDescent="0.25">
      <c r="A31" s="5" t="str">
        <f>HYPERLINK("#'6.3.1.1-2 Leach runoff pasture'!A1", "6.3.1.1-2 Leach &amp; runoff (pasture)")</f>
        <v>6.3.1.1-2 Leach &amp; runoff (pasture)</v>
      </c>
      <c r="D31" s="29" t="s">
        <v>43</v>
      </c>
      <c r="E31" s="29" t="str">
        <f>IF('Input - Pasture Beef'!E112="Yes", "Calving season", "")</f>
        <v>Calving season</v>
      </c>
      <c r="F31" s="29" t="str">
        <f>IF('Input - Pasture Beef'!E111="Yes", "Season after calving","")</f>
        <v>Season after calving</v>
      </c>
      <c r="G31" s="29">
        <f>IF(E31="Calving season", $J$14, 1)</f>
        <v>1.3</v>
      </c>
      <c r="H31" s="29">
        <f>IF(F31="Season after calving", $J$15, 1)</f>
        <v>1.1000000000000001</v>
      </c>
      <c r="I31" s="29">
        <v>1</v>
      </c>
      <c r="J31" s="29">
        <v>1</v>
      </c>
      <c r="K31" s="29">
        <v>1</v>
      </c>
      <c r="L31" s="74" cm="1">
        <f t="array" ref="L31">EntericMethane_PastureBeef_Equations.VEERG_3_2_1_1__4_AdditionalIntakeForMilkProductionVariation(F23,F22,$G31,$H31)</f>
        <v>1.04</v>
      </c>
      <c r="M31" s="74" cm="1">
        <f t="array" ref="M31">EntericMethane_PastureBeef_Equations.VEERG_3_2_1_1__4_AdditionalIntakeForMilkProductionVariation(G23,G22,$G31,$H31)</f>
        <v>1.04</v>
      </c>
      <c r="N31" s="74" cm="1">
        <f t="array" ref="N31">EntericMethane_PastureBeef_Equations.VEERG_3_2_1_1__4_AdditionalIntakeForMilkProductionVariation(H23,H22,$G31,$H31)</f>
        <v>1.04</v>
      </c>
      <c r="O31" s="29">
        <v>1</v>
      </c>
      <c r="P31" s="29">
        <v>1</v>
      </c>
      <c r="Q31" s="29">
        <v>1</v>
      </c>
      <c r="R31" s="29">
        <v>1</v>
      </c>
      <c r="S31" s="32" t="str">
        <f t="shared" ref="S31:S33" si="1">$E$11</f>
        <v>fraction</v>
      </c>
      <c r="W31" s="29" t="str">
        <f>TEXT(EDATE('Input - Site'!$E$12,3), "mmmm")</f>
        <v>April</v>
      </c>
      <c r="X31" s="29" t="str" cm="1">
        <f t="array" ref="X31">IFERROR(_xlfn.IFS(SUMPRODUCT(ISNUMBER(SEARCH(TRIM(_xlfn.TEXTSPLIT($W$22,",")),W31))*1)&gt;0,"Calving season",SUMPRODUCT(ISNUMBER(SEARCH(TRIM(_xlfn.TEXTSPLIT($W$23,",")),W31))*1)&gt;0,"Season after calving"), "")</f>
        <v/>
      </c>
      <c r="Y31" s="29" t="str" cm="1">
        <f t="array" ref="Y31">_xlfn.IFS(X31="Calving season", $J$14, X31="Season after calving", $J$15, X31="", "")</f>
        <v/>
      </c>
      <c r="Z31" s="29">
        <v>1</v>
      </c>
      <c r="AA31" s="29">
        <v>1</v>
      </c>
      <c r="AB31" s="29">
        <v>1</v>
      </c>
      <c r="AC31" s="29" cm="1">
        <f t="array" ref="AC31">IFERROR(EntericMethane_PastureBeef_Equations.VEERG_3_2_1_1__4_AdditionalIntakeForMilkProduction(X$22,$Y31), 1)</f>
        <v>1</v>
      </c>
      <c r="AD31" s="29" cm="1">
        <f t="array" ref="AD31">IFERROR(EntericMethane_PastureBeef_Equations.VEERG_3_2_1_1__4_AdditionalIntakeForMilkProduction(Y$22,$Y31), 1)</f>
        <v>1</v>
      </c>
      <c r="AE31" s="29" cm="1">
        <f t="array" ref="AE31">IFERROR(EntericMethane_PastureBeef_Equations.VEERG_3_2_1_1__4_AdditionalIntakeForMilkProduction(Z$22,$Y31), 1)</f>
        <v>1</v>
      </c>
      <c r="AF31" s="29">
        <v>1</v>
      </c>
      <c r="AG31" s="29">
        <v>1</v>
      </c>
      <c r="AH31" s="29">
        <v>1</v>
      </c>
      <c r="AI31" s="29">
        <v>1</v>
      </c>
      <c r="AJ31" s="32" t="str">
        <f t="shared" si="0"/>
        <v>fraction</v>
      </c>
    </row>
    <row r="32" spans="1:36" ht="20.100000000000001" customHeight="1" x14ac:dyDescent="0.25">
      <c r="A32" s="5" t="str">
        <f>HYPERLINK("#'8.1.1.1-2 Transport fuel'!A1", "8.1.1.1-2 Transport fuel")</f>
        <v>8.1.1.1-2 Transport fuel</v>
      </c>
      <c r="D32" s="29" t="s">
        <v>44</v>
      </c>
      <c r="E32" s="29" t="str">
        <f>IF('Input - Pasture Beef'!E113="Yes", "Calving season", "")</f>
        <v/>
      </c>
      <c r="F32" s="29" t="str">
        <f>IF('Input - Pasture Beef'!E112="Yes", "Season after calving","")</f>
        <v>Season after calving</v>
      </c>
      <c r="G32" s="29">
        <f>IF(E32="Calving season", $J$14, 1)</f>
        <v>1</v>
      </c>
      <c r="H32" s="29">
        <f>IF(F32="Season after calving", $J$15, 1)</f>
        <v>1.1000000000000001</v>
      </c>
      <c r="I32" s="29">
        <v>1</v>
      </c>
      <c r="J32" s="29">
        <v>1</v>
      </c>
      <c r="K32" s="29">
        <v>1</v>
      </c>
      <c r="L32" s="74" cm="1">
        <f t="array" ref="L32">EntericMethane_PastureBeef_Equations.VEERG_3_2_1_1__4_AdditionalIntakeForMilkProductionVariation(F24,F23,$G32,$H32)</f>
        <v>1.01</v>
      </c>
      <c r="M32" s="74" cm="1">
        <f t="array" ref="M32">EntericMethane_PastureBeef_Equations.VEERG_3_2_1_1__4_AdditionalIntakeForMilkProductionVariation(G24,G23,$G32,$H32)</f>
        <v>1</v>
      </c>
      <c r="N32" s="74" cm="1">
        <f t="array" ref="N32">EntericMethane_PastureBeef_Equations.VEERG_3_2_1_1__4_AdditionalIntakeForMilkProductionVariation(H24,H23,$G32,$H32)</f>
        <v>1</v>
      </c>
      <c r="O32" s="29">
        <v>1</v>
      </c>
      <c r="P32" s="29">
        <v>1</v>
      </c>
      <c r="Q32" s="29">
        <v>1</v>
      </c>
      <c r="R32" s="29">
        <v>1</v>
      </c>
      <c r="S32" s="32" t="str">
        <f t="shared" si="1"/>
        <v>fraction</v>
      </c>
      <c r="W32" s="29" t="str">
        <f>TEXT(EDATE('Input - Site'!$E$12,4), "mmmm")</f>
        <v>May</v>
      </c>
      <c r="X32" s="29" t="str" cm="1">
        <f t="array" ref="X32">IFERROR(_xlfn.IFS(SUMPRODUCT(ISNUMBER(SEARCH(TRIM(_xlfn.TEXTSPLIT($W$22,",")),W32))*1)&gt;0,"Calving season",SUMPRODUCT(ISNUMBER(SEARCH(TRIM(_xlfn.TEXTSPLIT($W$23,",")),W32))*1)&gt;0,"Season after calving"), "")</f>
        <v/>
      </c>
      <c r="Y32" s="29" t="str" cm="1">
        <f t="array" ref="Y32">_xlfn.IFS(X32="Calving season", $J$14, X32="Season after calving", $J$15, X32="", "")</f>
        <v/>
      </c>
      <c r="Z32" s="29">
        <v>1</v>
      </c>
      <c r="AA32" s="29">
        <v>1</v>
      </c>
      <c r="AB32" s="29">
        <v>1</v>
      </c>
      <c r="AC32" s="29" cm="1">
        <f t="array" ref="AC32">IFERROR(EntericMethane_PastureBeef_Equations.VEERG_3_2_1_1__4_AdditionalIntakeForMilkProduction(X$22,$Y32), 1)</f>
        <v>1</v>
      </c>
      <c r="AD32" s="29" cm="1">
        <f t="array" ref="AD32">IFERROR(EntericMethane_PastureBeef_Equations.VEERG_3_2_1_1__4_AdditionalIntakeForMilkProduction(Y$22,$Y32), 1)</f>
        <v>1</v>
      </c>
      <c r="AE32" s="29" cm="1">
        <f t="array" ref="AE32">IFERROR(EntericMethane_PastureBeef_Equations.VEERG_3_2_1_1__4_AdditionalIntakeForMilkProduction(Z$22,$Y32), 1)</f>
        <v>1</v>
      </c>
      <c r="AF32" s="29">
        <v>1</v>
      </c>
      <c r="AG32" s="29">
        <v>1</v>
      </c>
      <c r="AH32" s="29">
        <v>1</v>
      </c>
      <c r="AI32" s="29">
        <v>1</v>
      </c>
      <c r="AJ32" s="32" t="str">
        <f t="shared" si="0"/>
        <v>fraction</v>
      </c>
    </row>
    <row r="33" spans="1:36" ht="20.100000000000001" customHeight="1" x14ac:dyDescent="0.25">
      <c r="A33" s="5" t="str">
        <f>HYPERLINK("#'8.2.1.1-2 Stationary fuel'!A1", "8.2.1.1-2 Stationary fuel")</f>
        <v>8.2.1.1-2 Stationary fuel</v>
      </c>
      <c r="D33" s="29" t="s">
        <v>45</v>
      </c>
      <c r="E33" s="29" t="str">
        <f>IF('Input - Pasture Beef'!E110="Yes", "Calving season", "")</f>
        <v>Calving season</v>
      </c>
      <c r="F33" s="29" t="str">
        <f>IF('Input - Pasture Beef'!E113="Yes", "Season after calving","")</f>
        <v/>
      </c>
      <c r="G33" s="29">
        <f>IF(E33="Calving season", $J$14, 1)</f>
        <v>1.3</v>
      </c>
      <c r="H33" s="29">
        <f>IF(F33="Season after calving", $J$15, 1)</f>
        <v>1</v>
      </c>
      <c r="I33" s="29">
        <v>1</v>
      </c>
      <c r="J33" s="29">
        <v>1</v>
      </c>
      <c r="K33" s="29">
        <v>1</v>
      </c>
      <c r="L33" s="74" cm="1">
        <f t="array" ref="L33">EntericMethane_PastureBeef_Equations.VEERG_3_2_1_1__4_AdditionalIntakeForMilkProductionVariation(F25,F24,$G33,$H33)</f>
        <v>1.21</v>
      </c>
      <c r="M33" s="74" cm="1">
        <f t="array" ref="M33">EntericMethane_PastureBeef_Equations.VEERG_3_2_1_1__4_AdditionalIntakeForMilkProductionVariation(G25,G24,$G33,$H33)</f>
        <v>1.1499999999999999</v>
      </c>
      <c r="N33" s="74" cm="1">
        <f t="array" ref="N33">EntericMethane_PastureBeef_Equations.VEERG_3_2_1_1__4_AdditionalIntakeForMilkProductionVariation(H25,H24,$G33,$H33)</f>
        <v>1.1499999999999999</v>
      </c>
      <c r="O33" s="29">
        <v>1</v>
      </c>
      <c r="P33" s="29">
        <v>1</v>
      </c>
      <c r="Q33" s="29">
        <v>1</v>
      </c>
      <c r="R33" s="29">
        <v>1</v>
      </c>
      <c r="S33" s="32" t="str">
        <f t="shared" si="1"/>
        <v>fraction</v>
      </c>
      <c r="W33" s="29" t="str">
        <f>TEXT(EDATE('Input - Site'!$E$12,5), "mmmm")</f>
        <v>June</v>
      </c>
      <c r="X33" s="29" t="str" cm="1">
        <f t="array" ref="X33">IFERROR(_xlfn.IFS(SUMPRODUCT(ISNUMBER(SEARCH(TRIM(_xlfn.TEXTSPLIT($W$22,",")),W33))*1)&gt;0,"Calving season",SUMPRODUCT(ISNUMBER(SEARCH(TRIM(_xlfn.TEXTSPLIT($W$23,",")),W33))*1)&gt;0,"Season after calving"), "")</f>
        <v/>
      </c>
      <c r="Y33" s="29" t="str" cm="1">
        <f t="array" ref="Y33">_xlfn.IFS(X33="Calving season", $J$14, X33="Season after calving", $J$15, X33="", "")</f>
        <v/>
      </c>
      <c r="Z33" s="29">
        <v>1</v>
      </c>
      <c r="AA33" s="29">
        <v>1</v>
      </c>
      <c r="AB33" s="29">
        <v>1</v>
      </c>
      <c r="AC33" s="29" cm="1">
        <f t="array" ref="AC33">IFERROR(EntericMethane_PastureBeef_Equations.VEERG_3_2_1_1__4_AdditionalIntakeForMilkProduction(X$22,$Y33), 1)</f>
        <v>1</v>
      </c>
      <c r="AD33" s="29" cm="1">
        <f t="array" ref="AD33">IFERROR(EntericMethane_PastureBeef_Equations.VEERG_3_2_1_1__4_AdditionalIntakeForMilkProduction(Y$22,$Y33), 1)</f>
        <v>1</v>
      </c>
      <c r="AE33" s="29" cm="1">
        <f t="array" ref="AE33">IFERROR(EntericMethane_PastureBeef_Equations.VEERG_3_2_1_1__4_AdditionalIntakeForMilkProduction(Z$22,$Y33), 1)</f>
        <v>1</v>
      </c>
      <c r="AF33" s="29">
        <v>1</v>
      </c>
      <c r="AG33" s="29">
        <v>1</v>
      </c>
      <c r="AH33" s="29">
        <v>1</v>
      </c>
      <c r="AI33" s="29">
        <v>1</v>
      </c>
      <c r="AJ33" s="32" t="str">
        <f t="shared" si="0"/>
        <v>fraction</v>
      </c>
    </row>
    <row r="34" spans="1:36" ht="20.100000000000001" customHeight="1" x14ac:dyDescent="0.25">
      <c r="A34" s="5" t="str">
        <f>HYPERLINK("#'14.1.1-2 Purchased electricity'!A1", "14.1.1-2 Purchased electricity")</f>
        <v>14.1.1-2 Purchased electricity</v>
      </c>
      <c r="W34" s="29" t="str">
        <f>TEXT(EDATE('Input - Site'!$E$12,6), "mmmm")</f>
        <v>July</v>
      </c>
      <c r="X34" s="29" t="str" cm="1">
        <f t="array" ref="X34">IFERROR(_xlfn.IFS(SUMPRODUCT(ISNUMBER(SEARCH(TRIM(_xlfn.TEXTSPLIT($W$22,",")),W34))*1)&gt;0,"Calving season",SUMPRODUCT(ISNUMBER(SEARCH(TRIM(_xlfn.TEXTSPLIT($W$23,",")),W34))*1)&gt;0,"Season after calving"), "")</f>
        <v/>
      </c>
      <c r="Y34" s="29" t="str" cm="1">
        <f t="array" ref="Y34">_xlfn.IFS(X34="Calving season", $J$14, X34="Season after calving", $J$15, X34="", "")</f>
        <v/>
      </c>
      <c r="Z34" s="29">
        <v>1</v>
      </c>
      <c r="AA34" s="29">
        <v>1</v>
      </c>
      <c r="AB34" s="29">
        <v>1</v>
      </c>
      <c r="AC34" s="29" cm="1">
        <f t="array" ref="AC34">IFERROR(EntericMethane_PastureBeef_Equations.VEERG_3_2_1_1__4_AdditionalIntakeForMilkProduction(X$22,$Y34), 1)</f>
        <v>1</v>
      </c>
      <c r="AD34" s="29" cm="1">
        <f t="array" ref="AD34">IFERROR(EntericMethane_PastureBeef_Equations.VEERG_3_2_1_1__4_AdditionalIntakeForMilkProduction(Y$22,$Y34), 1)</f>
        <v>1</v>
      </c>
      <c r="AE34" s="29" cm="1">
        <f t="array" ref="AE34">IFERROR(EntericMethane_PastureBeef_Equations.VEERG_3_2_1_1__4_AdditionalIntakeForMilkProduction(Z$22,$Y34), 1)</f>
        <v>1</v>
      </c>
      <c r="AF34" s="29">
        <v>1</v>
      </c>
      <c r="AG34" s="29">
        <v>1</v>
      </c>
      <c r="AH34" s="29">
        <v>1</v>
      </c>
      <c r="AI34" s="29">
        <v>1</v>
      </c>
      <c r="AJ34" s="32" t="str">
        <f t="shared" si="0"/>
        <v>fraction</v>
      </c>
    </row>
    <row r="35" spans="1:36" ht="20.100000000000001" customHeight="1" x14ac:dyDescent="0.25">
      <c r="W35" s="29" t="str">
        <f>TEXT(EDATE('Input - Site'!$E$12,7), "mmmm")</f>
        <v>August</v>
      </c>
      <c r="X35" s="29" t="str" cm="1">
        <f t="array" ref="X35">IFERROR(_xlfn.IFS(SUMPRODUCT(ISNUMBER(SEARCH(TRIM(_xlfn.TEXTSPLIT($W$22,",")),W35))*1)&gt;0,"Calving season",SUMPRODUCT(ISNUMBER(SEARCH(TRIM(_xlfn.TEXTSPLIT($W$23,",")),W35))*1)&gt;0,"Season after calving"), "")</f>
        <v>Calving season</v>
      </c>
      <c r="Y35" s="29" cm="1">
        <f t="array" ref="Y35">_xlfn.IFS(X35="Calving season", $J$14, X35="Season after calving", $J$15, X35="", "")</f>
        <v>1.3</v>
      </c>
      <c r="Z35" s="29">
        <v>1</v>
      </c>
      <c r="AA35" s="29">
        <v>1</v>
      </c>
      <c r="AB35" s="29">
        <v>1</v>
      </c>
      <c r="AC35" s="29" cm="1">
        <f t="array" ref="AC35">IFERROR(EntericMethane_PastureBeef_Equations.VEERG_3_2_1_1__4_AdditionalIntakeForMilkProduction(X$22,$Y35), 1)</f>
        <v>1.2250000000000001</v>
      </c>
      <c r="AD35" s="29" cm="1">
        <f t="array" ref="AD35">IFERROR(EntericMethane_PastureBeef_Equations.VEERG_3_2_1_1__4_AdditionalIntakeForMilkProduction(Y$22,$Y35), 1)</f>
        <v>1.2250000000000001</v>
      </c>
      <c r="AE35" s="29" cm="1">
        <f t="array" ref="AE35">IFERROR(EntericMethane_PastureBeef_Equations.VEERG_3_2_1_1__4_AdditionalIntakeForMilkProduction(Z$22,$Y35), 1)</f>
        <v>1.2250000000000001</v>
      </c>
      <c r="AF35" s="29">
        <v>1</v>
      </c>
      <c r="AG35" s="29">
        <v>1</v>
      </c>
      <c r="AH35" s="29">
        <v>1</v>
      </c>
      <c r="AI35" s="29">
        <v>1</v>
      </c>
      <c r="AJ35" s="32" t="str">
        <f t="shared" si="0"/>
        <v>fraction</v>
      </c>
    </row>
    <row r="36" spans="1:36" ht="20.100000000000001" customHeight="1" x14ac:dyDescent="0.25">
      <c r="C36" s="61"/>
      <c r="D36" s="61"/>
      <c r="E36" s="61"/>
      <c r="F36" s="61"/>
      <c r="G36" s="61"/>
      <c r="H36" s="61"/>
      <c r="I36" s="61"/>
      <c r="J36" s="61"/>
      <c r="K36" s="61"/>
      <c r="L36" s="61"/>
      <c r="M36" s="61"/>
      <c r="N36" s="61"/>
      <c r="O36" s="61"/>
      <c r="P36" s="61"/>
      <c r="Q36" s="61"/>
      <c r="R36" s="61"/>
      <c r="S36" s="61"/>
      <c r="T36" s="61"/>
      <c r="W36" s="29" t="str">
        <f>TEXT(EDATE('Input - Site'!$E$12,8), "mmmm")</f>
        <v>September</v>
      </c>
      <c r="X36" s="29" t="str" cm="1">
        <f t="array" ref="X36">IFERROR(_xlfn.IFS(SUMPRODUCT(ISNUMBER(SEARCH(TRIM(_xlfn.TEXTSPLIT($W$22,",")),W36))*1)&gt;0,"Calving season",SUMPRODUCT(ISNUMBER(SEARCH(TRIM(_xlfn.TEXTSPLIT($W$23,",")),W36))*1)&gt;0,"Season after calving"), "")</f>
        <v>Calving season</v>
      </c>
      <c r="Y36" s="29" cm="1">
        <f t="array" ref="Y36">_xlfn.IFS(X36="Calving season", $J$14, X36="Season after calving", $J$15, X36="", "")</f>
        <v>1.3</v>
      </c>
      <c r="Z36" s="29">
        <v>1</v>
      </c>
      <c r="AA36" s="29">
        <v>1</v>
      </c>
      <c r="AB36" s="29">
        <v>1</v>
      </c>
      <c r="AC36" s="29" cm="1">
        <f t="array" ref="AC36">IFERROR(EntericMethane_PastureBeef_Equations.VEERG_3_2_1_1__4_AdditionalIntakeForMilkProduction(X$22,$Y36), 1)</f>
        <v>1.2250000000000001</v>
      </c>
      <c r="AD36" s="29" cm="1">
        <f t="array" ref="AD36">IFERROR(EntericMethane_PastureBeef_Equations.VEERG_3_2_1_1__4_AdditionalIntakeForMilkProduction(Y$22,$Y36), 1)</f>
        <v>1.2250000000000001</v>
      </c>
      <c r="AE36" s="29" cm="1">
        <f t="array" ref="AE36">IFERROR(EntericMethane_PastureBeef_Equations.VEERG_3_2_1_1__4_AdditionalIntakeForMilkProduction(Z$22,$Y36), 1)</f>
        <v>1.2250000000000001</v>
      </c>
      <c r="AF36" s="29">
        <v>1</v>
      </c>
      <c r="AG36" s="29">
        <v>1</v>
      </c>
      <c r="AH36" s="29">
        <v>1</v>
      </c>
      <c r="AI36" s="29">
        <v>1</v>
      </c>
      <c r="AJ36" s="32" t="str">
        <f t="shared" si="0"/>
        <v>fraction</v>
      </c>
    </row>
    <row r="37" spans="1:36" ht="20.100000000000001" customHeight="1" x14ac:dyDescent="0.25">
      <c r="A37" s="243" t="s">
        <v>1</v>
      </c>
      <c r="D37" s="2" t="str" cm="1">
        <f t="array" ref="D37">EntericMethane_PastureBeef_Equations.VEERG_3_2_1_1__3_FeedIntakeForGrazingBeef_Title()</f>
        <v>Feed intake for grazing beef cattle</v>
      </c>
      <c r="W37" s="29" t="str">
        <f>TEXT(EDATE('Input - Site'!$E$12,9), "mmmm")</f>
        <v>October</v>
      </c>
      <c r="X37" s="29" t="str" cm="1">
        <f t="array" ref="X37">IFERROR(_xlfn.IFS(SUMPRODUCT(ISNUMBER(SEARCH(TRIM(_xlfn.TEXTSPLIT($W$22,",")),W37))*1)&gt;0,"Calving season",SUMPRODUCT(ISNUMBER(SEARCH(TRIM(_xlfn.TEXTSPLIT($W$23,",")),W37))*1)&gt;0,"Season after calving"), "")</f>
        <v>Calving season</v>
      </c>
      <c r="Y37" s="29" cm="1">
        <f t="array" ref="Y37">_xlfn.IFS(X37="Calving season", $J$14, X37="Season after calving", $J$15, X37="", "")</f>
        <v>1.3</v>
      </c>
      <c r="Z37" s="29">
        <v>1</v>
      </c>
      <c r="AA37" s="29">
        <v>1</v>
      </c>
      <c r="AB37" s="29">
        <v>1</v>
      </c>
      <c r="AC37" s="29" cm="1">
        <f t="array" ref="AC37">IFERROR(EntericMethane_PastureBeef_Equations.VEERG_3_2_1_1__4_AdditionalIntakeForMilkProduction(X$22,$Y37), 1)</f>
        <v>1.2250000000000001</v>
      </c>
      <c r="AD37" s="29" cm="1">
        <f t="array" ref="AD37">IFERROR(EntericMethane_PastureBeef_Equations.VEERG_3_2_1_1__4_AdditionalIntakeForMilkProduction(Y$22,$Y37), 1)</f>
        <v>1.2250000000000001</v>
      </c>
      <c r="AE37" s="29" cm="1">
        <f t="array" ref="AE37">IFERROR(EntericMethane_PastureBeef_Equations.VEERG_3_2_1_1__4_AdditionalIntakeForMilkProduction(Z$22,$Y37), 1)</f>
        <v>1.2250000000000001</v>
      </c>
      <c r="AF37" s="29">
        <v>1</v>
      </c>
      <c r="AG37" s="29">
        <v>1</v>
      </c>
      <c r="AH37" s="29">
        <v>1</v>
      </c>
      <c r="AI37" s="29">
        <v>1</v>
      </c>
      <c r="AJ37" s="32" t="str">
        <f t="shared" si="0"/>
        <v>fraction</v>
      </c>
    </row>
    <row r="38" spans="1:36" ht="20.100000000000001" customHeight="1" x14ac:dyDescent="0.25">
      <c r="A38" s="5" t="str">
        <f>HYPERLINK("#'Constants - Pasture Beef'!A1", "Constants - Pasture Beef")</f>
        <v>Constants - Pasture Beef</v>
      </c>
      <c r="D38" s="46" t="str" cm="1">
        <f t="array" ref="D38">EntericMethane_PastureBeef_Equations.VEERG_3_2_1_1__3_FeedIntakeForGrazingBeef_Source()</f>
        <v>VEERG 2026: 3.2.1.1, Equation (3)</v>
      </c>
      <c r="K38" s="1" t="s">
        <v>204</v>
      </c>
      <c r="L38" s="1" t="s">
        <v>205</v>
      </c>
      <c r="M38" s="1" t="s">
        <v>206</v>
      </c>
      <c r="W38" s="29" t="str">
        <f>TEXT(EDATE('Input - Site'!$E$12,10), "mmmm")</f>
        <v>November</v>
      </c>
      <c r="X38" s="29" t="str" cm="1">
        <f t="array" ref="X38">IFERROR(_xlfn.IFS(SUMPRODUCT(ISNUMBER(SEARCH(TRIM(_xlfn.TEXTSPLIT($W$22,",")),W38))*1)&gt;0,"Calving season",SUMPRODUCT(ISNUMBER(SEARCH(TRIM(_xlfn.TEXTSPLIT($W$23,",")),W38))*1)&gt;0,"Season after calving"), "")</f>
        <v>Season after calving</v>
      </c>
      <c r="Y38" s="29" cm="1">
        <f t="array" ref="Y38">_xlfn.IFS(X38="Calving season", $J$14, X38="Season after calving", $J$15, X38="", "")</f>
        <v>1.1000000000000001</v>
      </c>
      <c r="Z38" s="29">
        <v>1</v>
      </c>
      <c r="AA38" s="29">
        <v>1</v>
      </c>
      <c r="AB38" s="29">
        <v>1</v>
      </c>
      <c r="AC38" s="29" cm="1">
        <f t="array" ref="AC38">IFERROR(EntericMethane_PastureBeef_Equations.VEERG_3_2_1_1__4_AdditionalIntakeForMilkProduction(X$22,$Y38), 1)</f>
        <v>1.0750000000000002</v>
      </c>
      <c r="AD38" s="29" cm="1">
        <f t="array" ref="AD38">IFERROR(EntericMethane_PastureBeef_Equations.VEERG_3_2_1_1__4_AdditionalIntakeForMilkProduction(Y$22,$Y38), 1)</f>
        <v>1.0750000000000002</v>
      </c>
      <c r="AE38" s="29" cm="1">
        <f t="array" ref="AE38">IFERROR(EntericMethane_PastureBeef_Equations.VEERG_3_2_1_1__4_AdditionalIntakeForMilkProduction(Z$22,$Y38), 1)</f>
        <v>1.0750000000000002</v>
      </c>
      <c r="AF38" s="29">
        <v>1</v>
      </c>
      <c r="AG38" s="29">
        <v>1</v>
      </c>
      <c r="AH38" s="29">
        <v>1</v>
      </c>
      <c r="AI38" s="29">
        <v>1</v>
      </c>
      <c r="AJ38" s="32" t="str">
        <f t="shared" si="0"/>
        <v>fraction</v>
      </c>
    </row>
    <row r="39" spans="1:36" ht="20.100000000000001" customHeight="1" x14ac:dyDescent="0.25">
      <c r="A39" s="5" t="str">
        <f>HYPERLINK("#'Constants - Ag Residue'!A1", "Constants - Ag residue")</f>
        <v>Constants - Ag residue</v>
      </c>
      <c r="D39" s="47" t="s">
        <v>77</v>
      </c>
      <c r="E39" s="47" t="str" cm="1">
        <f t="array" aca="1" ref="E39" ca="1">Common_InputFunctions.Utility_DisplayFunctionName($E$84)</f>
        <v>=EntericMethane_PastureBeef_Equations.VEERG_3_2_1_1__3_FeedIntakeForGrazingBeef</v>
      </c>
      <c r="W39" s="29" t="str">
        <f>TEXT(EDATE('Input - Site'!$E$12,11), "mmmm")</f>
        <v>December</v>
      </c>
      <c r="X39" s="29" t="str" cm="1">
        <f t="array" ref="X39">IFERROR(_xlfn.IFS(SUMPRODUCT(ISNUMBER(SEARCH(TRIM(_xlfn.TEXTSPLIT($W$22,",")),W39))*1)&gt;0,"Calving season",SUMPRODUCT(ISNUMBER(SEARCH(TRIM(_xlfn.TEXTSPLIT($W$23,",")),W39))*1)&gt;0,"Season after calving"), "")</f>
        <v>Season after calving</v>
      </c>
      <c r="Y39" s="29" cm="1">
        <f t="array" ref="Y39">_xlfn.IFS(X39="Calving season", $J$14, X39="Season after calving", $J$15, X39="", "")</f>
        <v>1.1000000000000001</v>
      </c>
      <c r="Z39" s="29">
        <v>1</v>
      </c>
      <c r="AA39" s="29">
        <v>1</v>
      </c>
      <c r="AB39" s="29">
        <v>1</v>
      </c>
      <c r="AC39" s="29" cm="1">
        <f t="array" ref="AC39">IFERROR(EntericMethane_PastureBeef_Equations.VEERG_3_2_1_1__4_AdditionalIntakeForMilkProduction(X$22,$Y39), 1)</f>
        <v>1.0750000000000002</v>
      </c>
      <c r="AD39" s="29" cm="1">
        <f t="array" ref="AD39">IFERROR(EntericMethane_PastureBeef_Equations.VEERG_3_2_1_1__4_AdditionalIntakeForMilkProduction(Y$22,$Y39), 1)</f>
        <v>1.0750000000000002</v>
      </c>
      <c r="AE39" s="29" cm="1">
        <f t="array" ref="AE39">IFERROR(EntericMethane_PastureBeef_Equations.VEERG_3_2_1_1__4_AdditionalIntakeForMilkProduction(Z$22,$Y39), 1)</f>
        <v>1.0750000000000002</v>
      </c>
      <c r="AF39" s="29">
        <v>1</v>
      </c>
      <c r="AG39" s="29">
        <v>1</v>
      </c>
      <c r="AH39" s="29">
        <v>1</v>
      </c>
      <c r="AI39" s="29">
        <v>1</v>
      </c>
      <c r="AJ39" s="32" t="str">
        <f t="shared" si="0"/>
        <v>fraction</v>
      </c>
    </row>
    <row r="40" spans="1:36" ht="20.100000000000001" customHeight="1" x14ac:dyDescent="0.25">
      <c r="A40" s="5" t="str">
        <f>HYPERLINK("#'Constants - Livestock'!A1", "Constants - Livestock")</f>
        <v>Constants - Livestock</v>
      </c>
    </row>
    <row r="41" spans="1:36" ht="20.100000000000001" customHeight="1" x14ac:dyDescent="0.25">
      <c r="A41" s="5" t="str">
        <f>HYPERLINK("#'Constants - Electricity'!A1", "Constants - Electricity")</f>
        <v>Constants - Electricity</v>
      </c>
      <c r="W41" s="57" t="s">
        <v>93</v>
      </c>
    </row>
    <row r="42" spans="1:36" ht="20.100000000000001" customHeight="1" x14ac:dyDescent="0.25">
      <c r="A42" s="5" t="str">
        <f>HYPERLINK("#'Constants - Fertiliser'!A1", "Constants - Fertiliser")</f>
        <v>Constants - Fertiliser</v>
      </c>
      <c r="D42" s="48" t="s">
        <v>79</v>
      </c>
      <c r="E42" s="1" t="str" cm="1">
        <f t="array" ref="E42">EntericMethane_PastureBeef_Equations.VEERG_3_2_1_1__3_FeedIntakeForGrazingBeef_Variable()</f>
        <v>I_jkl</v>
      </c>
      <c r="W42" s="58" t="s">
        <v>94</v>
      </c>
    </row>
    <row r="43" spans="1:36" ht="20.100000000000001" customHeight="1" x14ac:dyDescent="0.25">
      <c r="A43" s="5" t="str">
        <f>HYPERLINK("#'Constants - Fuel'!A1", "Constants - Fuel")</f>
        <v>Constants - Fuel</v>
      </c>
      <c r="D43" s="48" t="s">
        <v>80</v>
      </c>
      <c r="E43" s="17" t="str" cm="1">
        <f t="array" ref="E43">EntericMethane_PastureBeef_Equations.VEERG_3_2_1_1__3_FeedIntakeForGrazingBeef_Unit()</f>
        <v>kg DM/head/day</v>
      </c>
      <c r="W43" s="59" t="s">
        <v>87</v>
      </c>
      <c r="X43" s="60" t="s">
        <v>31</v>
      </c>
      <c r="Y43" s="60" t="s">
        <v>32</v>
      </c>
      <c r="Z43" s="60" t="s">
        <v>33</v>
      </c>
      <c r="AA43" s="60" t="s">
        <v>34</v>
      </c>
      <c r="AB43" s="60" t="s">
        <v>35</v>
      </c>
      <c r="AC43" s="60" t="s">
        <v>36</v>
      </c>
      <c r="AD43" s="60" t="s">
        <v>37</v>
      </c>
      <c r="AE43" s="60" t="s">
        <v>38</v>
      </c>
      <c r="AF43" s="60" t="s">
        <v>39</v>
      </c>
      <c r="AG43" s="60" t="s">
        <v>40</v>
      </c>
      <c r="AH43" s="32"/>
    </row>
    <row r="44" spans="1:36" ht="20.100000000000001" customHeight="1" x14ac:dyDescent="0.25">
      <c r="A44" s="5" t="str">
        <f>HYPERLINK("#'Constants - Common'!A1", "Constants - Common")</f>
        <v>Constants - Common</v>
      </c>
      <c r="W44" s="29" t="str">
        <f>TEXT('Input - Site'!$E$12, "mmmm yyyy")</f>
        <v>January 2024</v>
      </c>
      <c r="X44" s="29" cm="1">
        <f t="array" aca="1" ref="X44:AG55" ca="1">OFFSET(X_Table_PastureBeef_Liveweight_Method2, 1,1, 12,10)</f>
        <v>380</v>
      </c>
      <c r="Y44" s="29">
        <f ca="1"/>
        <v>780</v>
      </c>
      <c r="Z44" s="29">
        <f ca="1"/>
        <v>300</v>
      </c>
      <c r="AA44" s="29">
        <f ca="1"/>
        <v>450</v>
      </c>
      <c r="AB44" s="29">
        <f ca="1"/>
        <v>530</v>
      </c>
      <c r="AC44" s="29">
        <f ca="1"/>
        <v>530</v>
      </c>
      <c r="AD44" s="29">
        <f ca="1"/>
        <v>340</v>
      </c>
      <c r="AE44" s="29">
        <f ca="1"/>
        <v>470</v>
      </c>
      <c r="AF44" s="29">
        <f ca="1"/>
        <v>470</v>
      </c>
      <c r="AG44" s="29">
        <f ca="1"/>
        <v>470</v>
      </c>
      <c r="AH44" s="32" t="s">
        <v>51</v>
      </c>
    </row>
    <row r="45" spans="1:36" ht="20.100000000000001" customHeight="1" x14ac:dyDescent="0.25">
      <c r="A45" s="5" t="str">
        <f>HYPERLINK("#'Acknowledgements'!A1", "Acknowledgements")</f>
        <v>Acknowledgements</v>
      </c>
      <c r="D45" s="50" t="str" cm="1">
        <f t="array" ref="D45:E47">_xlfn.CHOOSECOLS(EntericMethane_PastureBeef_Equations.VEERG_3_2_1_1__3_FeedIntakeForGrazingBeef_Arguments(), 1, 2)</f>
        <v>W_jkl</v>
      </c>
      <c r="E45" s="51" t="str">
        <v>liveweight (kg)</v>
      </c>
      <c r="F45" s="53"/>
      <c r="G45" s="50" t="str" cm="1">
        <f t="array" ref="G45:H47">_xlfn.CHOOSECOLS(EntericMethane_PastureBeef_Equations.VEERG_3_2_1_1__3_FeedIntakeForGrazingBeef_Arguments(), 3,4)</f>
        <v>kg</v>
      </c>
      <c r="H45" s="54" t="str">
        <v>Input</v>
      </c>
      <c r="I45" s="56" t="str" cm="1">
        <f t="array" aca="1" ref="I45" ca="1">HYPERLINK(Common_InputFunctions.Utility_SourceHyperlink($D$49), $D$49)</f>
        <v>M1_Table_W_j_k_l</v>
      </c>
      <c r="W45" s="29" t="str">
        <f>TEXT(EDATE('Input - Site'!$E$12,1), "mmmm yyyy")</f>
        <v>February 2024</v>
      </c>
      <c r="X45" s="29">
        <f ca="1"/>
        <v>380</v>
      </c>
      <c r="Y45" s="29">
        <f ca="1"/>
        <v>780</v>
      </c>
      <c r="Z45" s="29">
        <f ca="1"/>
        <v>300</v>
      </c>
      <c r="AA45" s="29">
        <f ca="1"/>
        <v>450</v>
      </c>
      <c r="AB45" s="29">
        <f ca="1"/>
        <v>530</v>
      </c>
      <c r="AC45" s="29">
        <f ca="1"/>
        <v>530</v>
      </c>
      <c r="AD45" s="29">
        <f ca="1"/>
        <v>340</v>
      </c>
      <c r="AE45" s="29">
        <f ca="1"/>
        <v>470</v>
      </c>
      <c r="AF45" s="29">
        <f ca="1"/>
        <v>470</v>
      </c>
      <c r="AG45" s="29">
        <f ca="1"/>
        <v>470</v>
      </c>
      <c r="AH45" s="32" t="s">
        <v>51</v>
      </c>
    </row>
    <row r="46" spans="1:36" ht="20.100000000000001" customHeight="1" x14ac:dyDescent="0.25">
      <c r="A46" s="5" t="str">
        <f>HYPERLINK("#'Overview'!A1", "Overview")</f>
        <v>Overview</v>
      </c>
      <c r="D46" s="50" t="str">
        <v>LWG_jkl</v>
      </c>
      <c r="E46" s="51" t="str">
        <v>live weight gain (kg/head/day)</v>
      </c>
      <c r="F46" s="53"/>
      <c r="G46" s="50" t="str">
        <v>kg/head/day</v>
      </c>
      <c r="H46" s="54" t="str">
        <v>Input</v>
      </c>
      <c r="I46" s="56" t="str" cm="1">
        <f t="array" aca="1" ref="I46" ca="1">HYPERLINK(Common_InputFunctions.Utility_SourceHyperlink($D$65), $D$65)</f>
        <v>M1_Table_LWG_j_k_l</v>
      </c>
      <c r="W46" s="29" t="str">
        <f>TEXT(EDATE('Input - Site'!$E$12,2), "mmmm yyyy")</f>
        <v>March 2024</v>
      </c>
      <c r="X46" s="29">
        <f ca="1"/>
        <v>100</v>
      </c>
      <c r="Y46" s="29">
        <f ca="1"/>
        <v>680</v>
      </c>
      <c r="Z46" s="29">
        <f ca="1"/>
        <v>80</v>
      </c>
      <c r="AA46" s="29">
        <f ca="1"/>
        <v>320</v>
      </c>
      <c r="AB46" s="29">
        <f ca="1"/>
        <v>480</v>
      </c>
      <c r="AC46" s="29">
        <f ca="1"/>
        <v>480</v>
      </c>
      <c r="AD46" s="29">
        <f ca="1"/>
        <v>100</v>
      </c>
      <c r="AE46" s="29">
        <f ca="1"/>
        <v>340</v>
      </c>
      <c r="AF46" s="29">
        <f ca="1"/>
        <v>340</v>
      </c>
      <c r="AG46" s="29">
        <f ca="1"/>
        <v>340</v>
      </c>
      <c r="AH46" s="32" t="s">
        <v>51</v>
      </c>
    </row>
    <row r="47" spans="1:36" ht="20.100000000000001" customHeight="1" x14ac:dyDescent="0.25">
      <c r="D47" s="50" t="str">
        <v>MA_jk45</v>
      </c>
      <c r="E47" s="51" t="str">
        <v>additional intake for milk production in cows greater than 2 years</v>
      </c>
      <c r="F47" s="53"/>
      <c r="G47" s="50" t="str">
        <v>kg/head/day</v>
      </c>
      <c r="H47" s="55" t="str">
        <v>Calculated from 3.2.1.1, (4)</v>
      </c>
      <c r="I47" s="56" t="str" cm="1">
        <f t="array" aca="1" ref="I47" ca="1">HYPERLINK(Common_InputFunctions.Utility_SourceHyperlink($D$27), $D$27)</f>
        <v>M1_Table_MA_j_k-4-5</v>
      </c>
      <c r="W47" s="29" t="str">
        <f>TEXT(EDATE('Input - Site'!$E$12,3), "mmmm yyyy")</f>
        <v>April 2024</v>
      </c>
      <c r="X47" s="29">
        <f ca="1"/>
        <v>100</v>
      </c>
      <c r="Y47" s="29">
        <f ca="1"/>
        <v>680</v>
      </c>
      <c r="Z47" s="29">
        <f ca="1"/>
        <v>80</v>
      </c>
      <c r="AA47" s="29">
        <f ca="1"/>
        <v>320</v>
      </c>
      <c r="AB47" s="29">
        <f ca="1"/>
        <v>480</v>
      </c>
      <c r="AC47" s="29">
        <f ca="1"/>
        <v>480</v>
      </c>
      <c r="AD47" s="29">
        <f ca="1"/>
        <v>100</v>
      </c>
      <c r="AE47" s="29">
        <f ca="1"/>
        <v>340</v>
      </c>
      <c r="AF47" s="29">
        <f ca="1"/>
        <v>340</v>
      </c>
      <c r="AG47" s="29">
        <f ca="1"/>
        <v>340</v>
      </c>
      <c r="AH47" s="32" t="s">
        <v>51</v>
      </c>
    </row>
    <row r="48" spans="1:36" ht="20.100000000000001" customHeight="1" x14ac:dyDescent="0.25">
      <c r="W48" s="29" t="str">
        <f>TEXT(EDATE('Input - Site'!$E$12,4), "mmmm yyyy")</f>
        <v>May 2024</v>
      </c>
      <c r="X48" s="29">
        <f ca="1"/>
        <v>100</v>
      </c>
      <c r="Y48" s="29">
        <f ca="1"/>
        <v>680</v>
      </c>
      <c r="Z48" s="29">
        <f ca="1"/>
        <v>80</v>
      </c>
      <c r="AA48" s="29">
        <f ca="1"/>
        <v>320</v>
      </c>
      <c r="AB48" s="29">
        <f ca="1"/>
        <v>480</v>
      </c>
      <c r="AC48" s="29">
        <f ca="1"/>
        <v>480</v>
      </c>
      <c r="AD48" s="29">
        <f ca="1"/>
        <v>100</v>
      </c>
      <c r="AE48" s="29">
        <f ca="1"/>
        <v>340</v>
      </c>
      <c r="AF48" s="29">
        <f ca="1"/>
        <v>340</v>
      </c>
      <c r="AG48" s="29">
        <f ca="1"/>
        <v>340</v>
      </c>
      <c r="AH48" s="32" t="s">
        <v>51</v>
      </c>
    </row>
    <row r="49" spans="4:36" ht="20.100000000000001" customHeight="1" x14ac:dyDescent="0.25">
      <c r="D49" s="57" t="s">
        <v>95</v>
      </c>
      <c r="W49" s="29" t="str">
        <f>TEXT(EDATE('Input - Site'!$E$12,5), "mmmm yyyy")</f>
        <v>June 2024</v>
      </c>
      <c r="X49" s="29">
        <f ca="1"/>
        <v>190</v>
      </c>
      <c r="Y49" s="29">
        <f ca="1"/>
        <v>700</v>
      </c>
      <c r="Z49" s="29">
        <f ca="1"/>
        <v>150</v>
      </c>
      <c r="AA49" s="29">
        <f ca="1"/>
        <v>330</v>
      </c>
      <c r="AB49" s="29">
        <f ca="1"/>
        <v>490</v>
      </c>
      <c r="AC49" s="29">
        <f ca="1"/>
        <v>490</v>
      </c>
      <c r="AD49" s="29">
        <f ca="1"/>
        <v>170</v>
      </c>
      <c r="AE49" s="29">
        <f ca="1"/>
        <v>360</v>
      </c>
      <c r="AF49" s="29">
        <f ca="1"/>
        <v>360</v>
      </c>
      <c r="AG49" s="29">
        <f ca="1"/>
        <v>360</v>
      </c>
      <c r="AH49" s="32" t="s">
        <v>51</v>
      </c>
    </row>
    <row r="50" spans="4:36" ht="20.100000000000001" customHeight="1" x14ac:dyDescent="0.25">
      <c r="D50" s="58" t="s">
        <v>96</v>
      </c>
      <c r="W50" s="29" t="str">
        <f>TEXT(EDATE('Input - Site'!$E$12,6), "mmmm yyyy")</f>
        <v>July 2024</v>
      </c>
      <c r="X50" s="29">
        <f ca="1"/>
        <v>190</v>
      </c>
      <c r="Y50" s="29">
        <f ca="1"/>
        <v>700</v>
      </c>
      <c r="Z50" s="29">
        <f ca="1"/>
        <v>150</v>
      </c>
      <c r="AA50" s="29">
        <f ca="1"/>
        <v>330</v>
      </c>
      <c r="AB50" s="29">
        <f ca="1"/>
        <v>490</v>
      </c>
      <c r="AC50" s="29">
        <f ca="1"/>
        <v>490</v>
      </c>
      <c r="AD50" s="29">
        <f ca="1"/>
        <v>170</v>
      </c>
      <c r="AE50" s="29">
        <f ca="1"/>
        <v>360</v>
      </c>
      <c r="AF50" s="29">
        <f ca="1"/>
        <v>360</v>
      </c>
      <c r="AG50" s="29">
        <f ca="1"/>
        <v>360</v>
      </c>
      <c r="AH50" s="32" t="s">
        <v>51</v>
      </c>
    </row>
    <row r="51" spans="4:36" ht="20.100000000000001" customHeight="1" x14ac:dyDescent="0.25">
      <c r="D51" s="59" t="s">
        <v>84</v>
      </c>
      <c r="E51" s="60" t="s">
        <v>31</v>
      </c>
      <c r="F51" s="60" t="s">
        <v>32</v>
      </c>
      <c r="G51" s="60" t="s">
        <v>33</v>
      </c>
      <c r="H51" s="60" t="s">
        <v>34</v>
      </c>
      <c r="I51" s="60" t="s">
        <v>35</v>
      </c>
      <c r="J51" s="60" t="s">
        <v>36</v>
      </c>
      <c r="K51" s="60" t="s">
        <v>37</v>
      </c>
      <c r="L51" s="60" t="s">
        <v>38</v>
      </c>
      <c r="M51" s="60" t="s">
        <v>39</v>
      </c>
      <c r="N51" s="60" t="s">
        <v>40</v>
      </c>
      <c r="W51" s="29" t="str">
        <f>TEXT(EDATE('Input - Site'!$E$12,7), "mmmm yyyy")</f>
        <v>August 2024</v>
      </c>
      <c r="X51" s="29">
        <f ca="1"/>
        <v>190</v>
      </c>
      <c r="Y51" s="29">
        <f ca="1"/>
        <v>700</v>
      </c>
      <c r="Z51" s="29">
        <f ca="1"/>
        <v>150</v>
      </c>
      <c r="AA51" s="29">
        <f ca="1"/>
        <v>330</v>
      </c>
      <c r="AB51" s="29">
        <f ca="1"/>
        <v>490</v>
      </c>
      <c r="AC51" s="29">
        <f ca="1"/>
        <v>490</v>
      </c>
      <c r="AD51" s="29">
        <f ca="1"/>
        <v>170</v>
      </c>
      <c r="AE51" s="29">
        <f ca="1"/>
        <v>360</v>
      </c>
      <c r="AF51" s="29">
        <f ca="1"/>
        <v>360</v>
      </c>
      <c r="AG51" s="29">
        <f ca="1"/>
        <v>360</v>
      </c>
      <c r="AH51" s="32" t="s">
        <v>51</v>
      </c>
      <c r="AI51" s="32"/>
      <c r="AJ51" s="32"/>
    </row>
    <row r="52" spans="4:36" ht="20.100000000000001" customHeight="1" x14ac:dyDescent="0.25">
      <c r="D52" s="29" t="str">
        <f>INDEX(X_Table_PastureBeef_Liveweight_Method1,2,1)</f>
        <v>Spring</v>
      </c>
      <c r="E52" s="29" cm="1">
        <f t="array" aca="1" ref="E52:N55" ca="1">OFFSET(X_Table_PastureBeef_Liveweight_Method1, 1,1, 4,10)</f>
        <v>340</v>
      </c>
      <c r="F52" s="29">
        <f ca="1"/>
        <v>800</v>
      </c>
      <c r="G52" s="29">
        <f ca="1"/>
        <v>260</v>
      </c>
      <c r="H52" s="29">
        <f ca="1"/>
        <v>420</v>
      </c>
      <c r="I52" s="29">
        <f ca="1"/>
        <v>550</v>
      </c>
      <c r="J52" s="29">
        <f ca="1"/>
        <v>550</v>
      </c>
      <c r="K52" s="29">
        <f ca="1"/>
        <v>300</v>
      </c>
      <c r="L52" s="29">
        <f ca="1"/>
        <v>480</v>
      </c>
      <c r="M52" s="29">
        <f ca="1"/>
        <v>480</v>
      </c>
      <c r="N52" s="29">
        <f ca="1"/>
        <v>480</v>
      </c>
      <c r="O52" s="32" t="s">
        <v>51</v>
      </c>
      <c r="P52" s="32"/>
      <c r="Q52" s="32"/>
      <c r="R52" s="32"/>
      <c r="S52" s="32"/>
      <c r="W52" s="29" t="str">
        <f>TEXT(EDATE('Input - Site'!$E$12,8), "mmmm yyyy")</f>
        <v>September 2024</v>
      </c>
      <c r="X52" s="29">
        <f ca="1"/>
        <v>340</v>
      </c>
      <c r="Y52" s="29">
        <f ca="1"/>
        <v>800</v>
      </c>
      <c r="Z52" s="29">
        <f ca="1"/>
        <v>260</v>
      </c>
      <c r="AA52" s="29">
        <f ca="1"/>
        <v>420</v>
      </c>
      <c r="AB52" s="29">
        <f ca="1"/>
        <v>550</v>
      </c>
      <c r="AC52" s="29">
        <f ca="1"/>
        <v>550</v>
      </c>
      <c r="AD52" s="29">
        <f ca="1"/>
        <v>300</v>
      </c>
      <c r="AE52" s="29">
        <f ca="1"/>
        <v>480</v>
      </c>
      <c r="AF52" s="29">
        <f ca="1"/>
        <v>480</v>
      </c>
      <c r="AG52" s="29">
        <f ca="1"/>
        <v>480</v>
      </c>
      <c r="AH52" s="32" t="s">
        <v>51</v>
      </c>
      <c r="AI52" s="32"/>
      <c r="AJ52" s="32"/>
    </row>
    <row r="53" spans="4:36" ht="20.100000000000001" customHeight="1" x14ac:dyDescent="0.25">
      <c r="D53" s="29" t="str">
        <f>INDEX(X_Table_PastureBeef_Liveweight_Method1,3,1)</f>
        <v>Summer</v>
      </c>
      <c r="E53" s="29">
        <f ca="1"/>
        <v>380</v>
      </c>
      <c r="F53" s="29">
        <f ca="1"/>
        <v>780</v>
      </c>
      <c r="G53" s="29">
        <f ca="1"/>
        <v>300</v>
      </c>
      <c r="H53" s="29">
        <f ca="1"/>
        <v>450</v>
      </c>
      <c r="I53" s="29">
        <f ca="1"/>
        <v>530</v>
      </c>
      <c r="J53" s="29">
        <f ca="1"/>
        <v>530</v>
      </c>
      <c r="K53" s="29">
        <f ca="1"/>
        <v>340</v>
      </c>
      <c r="L53" s="29">
        <f ca="1"/>
        <v>470</v>
      </c>
      <c r="M53" s="29">
        <f ca="1"/>
        <v>470</v>
      </c>
      <c r="N53" s="29">
        <f ca="1"/>
        <v>470</v>
      </c>
      <c r="O53" s="32" t="s">
        <v>51</v>
      </c>
      <c r="P53" s="32"/>
      <c r="Q53" s="32"/>
      <c r="R53" s="32"/>
      <c r="S53" s="32"/>
      <c r="W53" s="29" t="str">
        <f>TEXT(EDATE('Input - Site'!$E$12,9), "mmmm yyyy")</f>
        <v>October 2024</v>
      </c>
      <c r="X53" s="29">
        <f ca="1"/>
        <v>340</v>
      </c>
      <c r="Y53" s="29">
        <f ca="1"/>
        <v>800</v>
      </c>
      <c r="Z53" s="29">
        <f ca="1"/>
        <v>260</v>
      </c>
      <c r="AA53" s="29">
        <f ca="1"/>
        <v>420</v>
      </c>
      <c r="AB53" s="29">
        <f ca="1"/>
        <v>550</v>
      </c>
      <c r="AC53" s="29">
        <f ca="1"/>
        <v>550</v>
      </c>
      <c r="AD53" s="29">
        <f ca="1"/>
        <v>300</v>
      </c>
      <c r="AE53" s="29">
        <f ca="1"/>
        <v>480</v>
      </c>
      <c r="AF53" s="29">
        <f ca="1"/>
        <v>480</v>
      </c>
      <c r="AG53" s="29">
        <f ca="1"/>
        <v>480</v>
      </c>
      <c r="AH53" s="32" t="s">
        <v>51</v>
      </c>
      <c r="AI53" s="32"/>
      <c r="AJ53" s="32"/>
    </row>
    <row r="54" spans="4:36" ht="20.100000000000001" customHeight="1" x14ac:dyDescent="0.25">
      <c r="D54" s="29" t="str">
        <f>INDEX(X_Table_PastureBeef_Liveweight_Method1,4,1)</f>
        <v>Autumn</v>
      </c>
      <c r="E54" s="29">
        <f ca="1"/>
        <v>100</v>
      </c>
      <c r="F54" s="29">
        <f ca="1"/>
        <v>680</v>
      </c>
      <c r="G54" s="29">
        <f ca="1"/>
        <v>80</v>
      </c>
      <c r="H54" s="29">
        <f ca="1"/>
        <v>320</v>
      </c>
      <c r="I54" s="29">
        <f ca="1"/>
        <v>480</v>
      </c>
      <c r="J54" s="29">
        <f ca="1"/>
        <v>480</v>
      </c>
      <c r="K54" s="29">
        <f ca="1"/>
        <v>100</v>
      </c>
      <c r="L54" s="29">
        <f ca="1"/>
        <v>340</v>
      </c>
      <c r="M54" s="29">
        <f ca="1"/>
        <v>340</v>
      </c>
      <c r="N54" s="29">
        <f ca="1"/>
        <v>340</v>
      </c>
      <c r="O54" s="32" t="s">
        <v>51</v>
      </c>
      <c r="P54" s="32"/>
      <c r="Q54" s="32"/>
      <c r="R54" s="32"/>
      <c r="S54" s="32"/>
      <c r="W54" s="29" t="str">
        <f>TEXT(EDATE('Input - Site'!$E$12,10), "mmmm yyyy")</f>
        <v>November 2024</v>
      </c>
      <c r="X54" s="29">
        <f ca="1"/>
        <v>340</v>
      </c>
      <c r="Y54" s="29">
        <f ca="1"/>
        <v>800</v>
      </c>
      <c r="Z54" s="29">
        <f ca="1"/>
        <v>260</v>
      </c>
      <c r="AA54" s="29">
        <f ca="1"/>
        <v>420</v>
      </c>
      <c r="AB54" s="29">
        <f ca="1"/>
        <v>550</v>
      </c>
      <c r="AC54" s="29">
        <f ca="1"/>
        <v>550</v>
      </c>
      <c r="AD54" s="29">
        <f ca="1"/>
        <v>300</v>
      </c>
      <c r="AE54" s="29">
        <f ca="1"/>
        <v>480</v>
      </c>
      <c r="AF54" s="29">
        <f ca="1"/>
        <v>480</v>
      </c>
      <c r="AG54" s="29">
        <f ca="1"/>
        <v>480</v>
      </c>
      <c r="AH54" s="32" t="s">
        <v>51</v>
      </c>
      <c r="AI54" s="32"/>
      <c r="AJ54" s="32"/>
    </row>
    <row r="55" spans="4:36" ht="20.100000000000001" customHeight="1" x14ac:dyDescent="0.25">
      <c r="D55" s="29" t="str">
        <f>INDEX(X_Table_PastureBeef_Liveweight_Method1,5,1)</f>
        <v>Winter</v>
      </c>
      <c r="E55" s="29">
        <f ca="1"/>
        <v>190</v>
      </c>
      <c r="F55" s="29">
        <f ca="1"/>
        <v>700</v>
      </c>
      <c r="G55" s="29">
        <f ca="1"/>
        <v>150</v>
      </c>
      <c r="H55" s="29">
        <f ca="1"/>
        <v>330</v>
      </c>
      <c r="I55" s="29">
        <f ca="1"/>
        <v>490</v>
      </c>
      <c r="J55" s="29">
        <f ca="1"/>
        <v>490</v>
      </c>
      <c r="K55" s="29">
        <f ca="1"/>
        <v>170</v>
      </c>
      <c r="L55" s="29">
        <f ca="1"/>
        <v>360</v>
      </c>
      <c r="M55" s="29">
        <f ca="1"/>
        <v>360</v>
      </c>
      <c r="N55" s="29">
        <f ca="1"/>
        <v>360</v>
      </c>
      <c r="O55" s="32" t="s">
        <v>51</v>
      </c>
      <c r="P55" s="32"/>
      <c r="Q55" s="32"/>
      <c r="R55" s="32"/>
      <c r="S55" s="32"/>
      <c r="W55" s="29" t="str">
        <f>TEXT(EDATE('Input - Site'!$E$12,11), "mmmm yyyy")</f>
        <v>December 2024</v>
      </c>
      <c r="X55" s="29">
        <f ca="1"/>
        <v>380</v>
      </c>
      <c r="Y55" s="29">
        <f ca="1"/>
        <v>780</v>
      </c>
      <c r="Z55" s="29">
        <f ca="1"/>
        <v>300</v>
      </c>
      <c r="AA55" s="29">
        <f ca="1"/>
        <v>450</v>
      </c>
      <c r="AB55" s="29">
        <f ca="1"/>
        <v>530</v>
      </c>
      <c r="AC55" s="29">
        <f ca="1"/>
        <v>530</v>
      </c>
      <c r="AD55" s="29">
        <f ca="1"/>
        <v>340</v>
      </c>
      <c r="AE55" s="29">
        <f ca="1"/>
        <v>470</v>
      </c>
      <c r="AF55" s="29">
        <f ca="1"/>
        <v>470</v>
      </c>
      <c r="AG55" s="29">
        <f ca="1"/>
        <v>470</v>
      </c>
      <c r="AH55" s="32" t="s">
        <v>51</v>
      </c>
      <c r="AI55" s="32"/>
      <c r="AJ55" s="32"/>
    </row>
    <row r="56" spans="4:36" ht="20.100000000000001" customHeight="1" x14ac:dyDescent="0.25">
      <c r="AI56" s="32"/>
      <c r="AJ56" s="32"/>
    </row>
    <row r="57" spans="4:36" ht="20.100000000000001" customHeight="1" x14ac:dyDescent="0.25">
      <c r="W57" s="57" t="s">
        <v>99</v>
      </c>
      <c r="AI57" s="32"/>
      <c r="AJ57" s="32"/>
    </row>
    <row r="58" spans="4:36" ht="20.100000000000001" customHeight="1" x14ac:dyDescent="0.25">
      <c r="W58" s="58" t="s">
        <v>100</v>
      </c>
      <c r="AI58" s="32"/>
      <c r="AJ58" s="32"/>
    </row>
    <row r="59" spans="4:36" ht="20.100000000000001" customHeight="1" x14ac:dyDescent="0.25">
      <c r="W59" s="59" t="s">
        <v>87</v>
      </c>
      <c r="X59" s="60" t="s">
        <v>31</v>
      </c>
      <c r="Y59" s="60" t="s">
        <v>32</v>
      </c>
      <c r="Z59" s="60" t="s">
        <v>33</v>
      </c>
      <c r="AA59" s="60" t="s">
        <v>34</v>
      </c>
      <c r="AB59" s="60" t="s">
        <v>35</v>
      </c>
      <c r="AC59" s="60" t="s">
        <v>36</v>
      </c>
      <c r="AD59" s="60" t="s">
        <v>37</v>
      </c>
      <c r="AE59" s="60" t="s">
        <v>38</v>
      </c>
      <c r="AF59" s="60" t="s">
        <v>39</v>
      </c>
      <c r="AG59" s="60" t="s">
        <v>40</v>
      </c>
      <c r="AI59" s="32"/>
      <c r="AJ59" s="32"/>
    </row>
    <row r="60" spans="4:36" ht="20.100000000000001" customHeight="1" x14ac:dyDescent="0.25">
      <c r="W60" s="29" t="str">
        <f>TEXT('Input - Site'!$E$12, "mmmm yyyy")</f>
        <v>January 2024</v>
      </c>
      <c r="X60" s="29" cm="1">
        <f t="array" aca="1" ref="X60:AG71" ca="1">OFFSET(X_Table_PastureBeef_LiveweightGain_Method2, 1,1, 12,10)</f>
        <v>0.44</v>
      </c>
      <c r="Y60" s="29">
        <f ca="1"/>
        <v>-0.22</v>
      </c>
      <c r="Z60" s="29">
        <f ca="1"/>
        <v>0.44</v>
      </c>
      <c r="AA60" s="29">
        <f ca="1"/>
        <v>0.33</v>
      </c>
      <c r="AB60" s="29">
        <f ca="1"/>
        <v>-0.22</v>
      </c>
      <c r="AC60" s="29">
        <f ca="1"/>
        <v>-0.22</v>
      </c>
      <c r="AD60" s="29">
        <f ca="1"/>
        <v>0.44</v>
      </c>
      <c r="AE60" s="29">
        <f ca="1"/>
        <v>-0.11</v>
      </c>
      <c r="AF60" s="29">
        <f ca="1"/>
        <v>-0.11</v>
      </c>
      <c r="AG60" s="29">
        <f ca="1"/>
        <v>-0.11</v>
      </c>
      <c r="AH60" s="32" t="s">
        <v>53</v>
      </c>
      <c r="AI60" s="32"/>
      <c r="AJ60" s="32"/>
    </row>
    <row r="61" spans="4:36" ht="20.100000000000001" customHeight="1" x14ac:dyDescent="0.25">
      <c r="W61" s="29" t="str">
        <f>TEXT(EDATE('Input - Site'!$E$12,1), "mmmm yyyy")</f>
        <v>February 2024</v>
      </c>
      <c r="X61" s="29">
        <f ca="1"/>
        <v>0.44</v>
      </c>
      <c r="Y61" s="29">
        <f ca="1"/>
        <v>-0.22</v>
      </c>
      <c r="Z61" s="29">
        <f ca="1"/>
        <v>0.44</v>
      </c>
      <c r="AA61" s="29">
        <f ca="1"/>
        <v>0.33</v>
      </c>
      <c r="AB61" s="29">
        <f ca="1"/>
        <v>-0.22</v>
      </c>
      <c r="AC61" s="29">
        <f ca="1"/>
        <v>-0.22</v>
      </c>
      <c r="AD61" s="29">
        <f ca="1"/>
        <v>0.44</v>
      </c>
      <c r="AE61" s="29">
        <f ca="1"/>
        <v>-0.11</v>
      </c>
      <c r="AF61" s="29">
        <f ca="1"/>
        <v>-0.11</v>
      </c>
      <c r="AG61" s="29">
        <f ca="1"/>
        <v>-0.11</v>
      </c>
      <c r="AH61" s="32" t="s">
        <v>53</v>
      </c>
      <c r="AI61" s="32"/>
      <c r="AJ61" s="32"/>
    </row>
    <row r="62" spans="4:36" ht="20.100000000000001" customHeight="1" x14ac:dyDescent="0.25">
      <c r="W62" s="29" t="str">
        <f>TEXT(EDATE('Input - Site'!$E$12,2), "mmmm yyyy")</f>
        <v>March 2024</v>
      </c>
      <c r="X62" s="29">
        <f ca="1"/>
        <v>0.6</v>
      </c>
      <c r="Y62" s="29">
        <f ca="1"/>
        <v>0</v>
      </c>
      <c r="Z62" s="29">
        <f ca="1"/>
        <v>0.6</v>
      </c>
      <c r="AA62" s="29">
        <f ca="1"/>
        <v>0.22</v>
      </c>
      <c r="AB62" s="29">
        <f ca="1"/>
        <v>-0.55000000000000004</v>
      </c>
      <c r="AC62" s="29">
        <f ca="1"/>
        <v>-0.55000000000000004</v>
      </c>
      <c r="AD62" s="29">
        <f ca="1"/>
        <v>0.6</v>
      </c>
      <c r="AE62" s="29">
        <f ca="1"/>
        <v>0</v>
      </c>
      <c r="AF62" s="29">
        <f ca="1"/>
        <v>0</v>
      </c>
      <c r="AG62" s="29">
        <f ca="1"/>
        <v>0</v>
      </c>
      <c r="AH62" s="32" t="s">
        <v>53</v>
      </c>
      <c r="AI62" s="32"/>
      <c r="AJ62" s="32"/>
    </row>
    <row r="63" spans="4:36" ht="20.100000000000001" customHeight="1" x14ac:dyDescent="0.25">
      <c r="W63" s="29" t="str">
        <f>TEXT(EDATE('Input - Site'!$E$12,3), "mmmm yyyy")</f>
        <v>April 2024</v>
      </c>
      <c r="X63" s="29">
        <f ca="1"/>
        <v>0.6</v>
      </c>
      <c r="Y63" s="29">
        <f ca="1"/>
        <v>0</v>
      </c>
      <c r="Z63" s="29">
        <f ca="1"/>
        <v>0.6</v>
      </c>
      <c r="AA63" s="29">
        <f ca="1"/>
        <v>0.22</v>
      </c>
      <c r="AB63" s="29">
        <f ca="1"/>
        <v>-0.55000000000000004</v>
      </c>
      <c r="AC63" s="29">
        <f ca="1"/>
        <v>-0.55000000000000004</v>
      </c>
      <c r="AD63" s="29">
        <f ca="1"/>
        <v>0.6</v>
      </c>
      <c r="AE63" s="29">
        <f ca="1"/>
        <v>0</v>
      </c>
      <c r="AF63" s="29">
        <f ca="1"/>
        <v>0</v>
      </c>
      <c r="AG63" s="29">
        <f ca="1"/>
        <v>0</v>
      </c>
      <c r="AH63" s="32" t="s">
        <v>53</v>
      </c>
      <c r="AI63" s="32"/>
      <c r="AJ63" s="32"/>
    </row>
    <row r="64" spans="4:36" ht="20.100000000000001" customHeight="1" x14ac:dyDescent="0.25">
      <c r="W64" s="29" t="str">
        <f>TEXT(EDATE('Input - Site'!$E$12,4), "mmmm yyyy")</f>
        <v>May 2024</v>
      </c>
      <c r="X64" s="29">
        <f ca="1"/>
        <v>0.6</v>
      </c>
      <c r="Y64" s="29">
        <f ca="1"/>
        <v>0</v>
      </c>
      <c r="Z64" s="29">
        <f ca="1"/>
        <v>0.6</v>
      </c>
      <c r="AA64" s="29">
        <f ca="1"/>
        <v>0.22</v>
      </c>
      <c r="AB64" s="29">
        <f ca="1"/>
        <v>-0.55000000000000004</v>
      </c>
      <c r="AC64" s="29">
        <f ca="1"/>
        <v>-0.55000000000000004</v>
      </c>
      <c r="AD64" s="29">
        <f ca="1"/>
        <v>0.6</v>
      </c>
      <c r="AE64" s="29">
        <f ca="1"/>
        <v>0</v>
      </c>
      <c r="AF64" s="29">
        <f ca="1"/>
        <v>0</v>
      </c>
      <c r="AG64" s="29">
        <f ca="1"/>
        <v>0</v>
      </c>
      <c r="AH64" s="32" t="s">
        <v>53</v>
      </c>
    </row>
    <row r="65" spans="4:36" ht="20.100000000000001" customHeight="1" x14ac:dyDescent="0.25">
      <c r="D65" s="57" t="s">
        <v>97</v>
      </c>
      <c r="W65" s="29" t="str">
        <f>TEXT(EDATE('Input - Site'!$E$12,5), "mmmm yyyy")</f>
        <v>June 2024</v>
      </c>
      <c r="X65" s="29">
        <f ca="1"/>
        <v>0.99</v>
      </c>
      <c r="Y65" s="29">
        <f ca="1"/>
        <v>0.22</v>
      </c>
      <c r="Z65" s="29">
        <f ca="1"/>
        <v>0.77</v>
      </c>
      <c r="AA65" s="29">
        <f ca="1"/>
        <v>0.11</v>
      </c>
      <c r="AB65" s="29">
        <f ca="1"/>
        <v>0.11</v>
      </c>
      <c r="AC65" s="29">
        <f ca="1"/>
        <v>0.11</v>
      </c>
      <c r="AD65" s="29">
        <f ca="1"/>
        <v>0.77</v>
      </c>
      <c r="AE65" s="29">
        <f ca="1"/>
        <v>0.44</v>
      </c>
      <c r="AF65" s="29">
        <f ca="1"/>
        <v>0.44</v>
      </c>
      <c r="AG65" s="29">
        <f ca="1"/>
        <v>0.44</v>
      </c>
      <c r="AH65" s="32" t="s">
        <v>53</v>
      </c>
    </row>
    <row r="66" spans="4:36" ht="20.100000000000001" customHeight="1" x14ac:dyDescent="0.25">
      <c r="D66" s="58" t="s">
        <v>98</v>
      </c>
      <c r="W66" s="29" t="str">
        <f>TEXT(EDATE('Input - Site'!$E$12,6), "mmmm yyyy")</f>
        <v>July 2024</v>
      </c>
      <c r="X66" s="29">
        <f ca="1"/>
        <v>0.99</v>
      </c>
      <c r="Y66" s="29">
        <f ca="1"/>
        <v>0.22</v>
      </c>
      <c r="Z66" s="29">
        <f ca="1"/>
        <v>0.77</v>
      </c>
      <c r="AA66" s="29">
        <f ca="1"/>
        <v>0.11</v>
      </c>
      <c r="AB66" s="29">
        <f ca="1"/>
        <v>0.11</v>
      </c>
      <c r="AC66" s="29">
        <f ca="1"/>
        <v>0.11</v>
      </c>
      <c r="AD66" s="29">
        <f ca="1"/>
        <v>0.77</v>
      </c>
      <c r="AE66" s="29">
        <f ca="1"/>
        <v>0.44</v>
      </c>
      <c r="AF66" s="29">
        <f ca="1"/>
        <v>0.44</v>
      </c>
      <c r="AG66" s="29">
        <f ca="1"/>
        <v>0.44</v>
      </c>
      <c r="AH66" s="32" t="s">
        <v>53</v>
      </c>
    </row>
    <row r="67" spans="4:36" ht="20.100000000000001" customHeight="1" x14ac:dyDescent="0.25">
      <c r="D67" s="59" t="s">
        <v>84</v>
      </c>
      <c r="E67" s="60" t="s">
        <v>31</v>
      </c>
      <c r="F67" s="60" t="s">
        <v>32</v>
      </c>
      <c r="G67" s="60" t="s">
        <v>33</v>
      </c>
      <c r="H67" s="60" t="s">
        <v>34</v>
      </c>
      <c r="I67" s="60" t="s">
        <v>35</v>
      </c>
      <c r="J67" s="60" t="s">
        <v>36</v>
      </c>
      <c r="K67" s="60" t="s">
        <v>37</v>
      </c>
      <c r="L67" s="60" t="s">
        <v>38</v>
      </c>
      <c r="M67" s="60" t="s">
        <v>39</v>
      </c>
      <c r="N67" s="60" t="s">
        <v>40</v>
      </c>
      <c r="W67" s="29" t="str">
        <f>TEXT(EDATE('Input - Site'!$E$12,7), "mmmm yyyy")</f>
        <v>August 2024</v>
      </c>
      <c r="X67" s="29">
        <f ca="1"/>
        <v>0.99</v>
      </c>
      <c r="Y67" s="29">
        <f ca="1"/>
        <v>0.22</v>
      </c>
      <c r="Z67" s="29">
        <f ca="1"/>
        <v>0.77</v>
      </c>
      <c r="AA67" s="29">
        <f ca="1"/>
        <v>0.11</v>
      </c>
      <c r="AB67" s="29">
        <f ca="1"/>
        <v>0.11</v>
      </c>
      <c r="AC67" s="29">
        <f ca="1"/>
        <v>0.11</v>
      </c>
      <c r="AD67" s="29">
        <f ca="1"/>
        <v>0.77</v>
      </c>
      <c r="AE67" s="29">
        <f ca="1"/>
        <v>0.44</v>
      </c>
      <c r="AF67" s="29">
        <f ca="1"/>
        <v>0.44</v>
      </c>
      <c r="AG67" s="29">
        <f ca="1"/>
        <v>0.44</v>
      </c>
      <c r="AH67" s="32" t="s">
        <v>53</v>
      </c>
    </row>
    <row r="68" spans="4:36" ht="20.100000000000001" customHeight="1" x14ac:dyDescent="0.25">
      <c r="D68" s="29" t="str">
        <f>INDEX(X_Table_PastureBeef_LiveweightGain_Method1,2,1)</f>
        <v>Spring</v>
      </c>
      <c r="E68" s="29" cm="1">
        <f t="array" aca="1" ref="E68:N71" ca="1">OFFSET(X_Table_PastureBeef_LiveweightGain_Method1, 1,1, 4,10)</f>
        <v>1.64</v>
      </c>
      <c r="F68" s="29">
        <f ca="1"/>
        <v>1.1000000000000001</v>
      </c>
      <c r="G68" s="29">
        <f ca="1"/>
        <v>1.21</v>
      </c>
      <c r="H68" s="29">
        <f ca="1"/>
        <v>0.99</v>
      </c>
      <c r="I68" s="29">
        <f ca="1"/>
        <v>0.66</v>
      </c>
      <c r="J68" s="29">
        <f ca="1"/>
        <v>0.66</v>
      </c>
      <c r="K68" s="29">
        <f ca="1"/>
        <v>1.42</v>
      </c>
      <c r="L68" s="29">
        <f ca="1"/>
        <v>1.1000000000000001</v>
      </c>
      <c r="M68" s="29">
        <f ca="1"/>
        <v>1.1000000000000001</v>
      </c>
      <c r="N68" s="29">
        <f ca="1"/>
        <v>1.1000000000000001</v>
      </c>
      <c r="O68" s="32" t="s">
        <v>51</v>
      </c>
      <c r="P68" s="32"/>
      <c r="Q68" s="32"/>
      <c r="R68" s="32"/>
      <c r="S68" s="32"/>
      <c r="W68" s="29" t="str">
        <f>TEXT(EDATE('Input - Site'!$E$12,8), "mmmm yyyy")</f>
        <v>September 2024</v>
      </c>
      <c r="X68" s="29">
        <f ca="1"/>
        <v>1.64</v>
      </c>
      <c r="Y68" s="29">
        <f ca="1"/>
        <v>1.1000000000000001</v>
      </c>
      <c r="Z68" s="29">
        <f ca="1"/>
        <v>1.21</v>
      </c>
      <c r="AA68" s="29">
        <f ca="1"/>
        <v>0.99</v>
      </c>
      <c r="AB68" s="29">
        <f ca="1"/>
        <v>0.66</v>
      </c>
      <c r="AC68" s="29">
        <f ca="1"/>
        <v>0.66</v>
      </c>
      <c r="AD68" s="29">
        <f ca="1"/>
        <v>1.42</v>
      </c>
      <c r="AE68" s="29">
        <f ca="1"/>
        <v>1.1000000000000001</v>
      </c>
      <c r="AF68" s="29">
        <f ca="1"/>
        <v>1.1000000000000001</v>
      </c>
      <c r="AG68" s="29">
        <f ca="1"/>
        <v>1.1000000000000001</v>
      </c>
      <c r="AH68" s="32" t="s">
        <v>53</v>
      </c>
      <c r="AI68" s="32"/>
      <c r="AJ68" s="32"/>
    </row>
    <row r="69" spans="4:36" ht="20.100000000000001" customHeight="1" x14ac:dyDescent="0.25">
      <c r="D69" s="29" t="str">
        <f>INDEX(X_Table_PastureBeef_LiveweightGain_Method1,3,1)</f>
        <v>Summer</v>
      </c>
      <c r="E69" s="29">
        <f ca="1"/>
        <v>0.44</v>
      </c>
      <c r="F69" s="29">
        <f ca="1"/>
        <v>-0.22</v>
      </c>
      <c r="G69" s="29">
        <f ca="1"/>
        <v>0.44</v>
      </c>
      <c r="H69" s="29">
        <f ca="1"/>
        <v>0.33</v>
      </c>
      <c r="I69" s="29">
        <f ca="1"/>
        <v>-0.22</v>
      </c>
      <c r="J69" s="29">
        <f ca="1"/>
        <v>-0.22</v>
      </c>
      <c r="K69" s="29">
        <f ca="1"/>
        <v>0.44</v>
      </c>
      <c r="L69" s="29">
        <f ca="1"/>
        <v>-0.11</v>
      </c>
      <c r="M69" s="29">
        <f ca="1"/>
        <v>-0.11</v>
      </c>
      <c r="N69" s="29">
        <f ca="1"/>
        <v>-0.11</v>
      </c>
      <c r="O69" s="32" t="s">
        <v>51</v>
      </c>
      <c r="P69" s="32"/>
      <c r="Q69" s="32"/>
      <c r="R69" s="32"/>
      <c r="S69" s="32"/>
      <c r="W69" s="29" t="str">
        <f>TEXT(EDATE('Input - Site'!$E$12,9), "mmmm yyyy")</f>
        <v>October 2024</v>
      </c>
      <c r="X69" s="29">
        <f ca="1"/>
        <v>1.64</v>
      </c>
      <c r="Y69" s="29">
        <f ca="1"/>
        <v>1.1000000000000001</v>
      </c>
      <c r="Z69" s="29">
        <f ca="1"/>
        <v>1.21</v>
      </c>
      <c r="AA69" s="29">
        <f ca="1"/>
        <v>0.99</v>
      </c>
      <c r="AB69" s="29">
        <f ca="1"/>
        <v>0.66</v>
      </c>
      <c r="AC69" s="29">
        <f ca="1"/>
        <v>0.66</v>
      </c>
      <c r="AD69" s="29">
        <f ca="1"/>
        <v>1.42</v>
      </c>
      <c r="AE69" s="29">
        <f ca="1"/>
        <v>1.1000000000000001</v>
      </c>
      <c r="AF69" s="29">
        <f ca="1"/>
        <v>1.1000000000000001</v>
      </c>
      <c r="AG69" s="29">
        <f ca="1"/>
        <v>1.1000000000000001</v>
      </c>
      <c r="AH69" s="32" t="s">
        <v>53</v>
      </c>
      <c r="AI69" s="32"/>
      <c r="AJ69" s="32"/>
    </row>
    <row r="70" spans="4:36" ht="20.100000000000001" customHeight="1" x14ac:dyDescent="0.25">
      <c r="D70" s="29" t="str">
        <f>INDEX(X_Table_PastureBeef_LiveweightGain_Method1,4,1)</f>
        <v>Autumn</v>
      </c>
      <c r="E70" s="29">
        <f ca="1"/>
        <v>0.6</v>
      </c>
      <c r="F70" s="29">
        <f ca="1"/>
        <v>0</v>
      </c>
      <c r="G70" s="29">
        <f ca="1"/>
        <v>0.6</v>
      </c>
      <c r="H70" s="29">
        <f ca="1"/>
        <v>0.22</v>
      </c>
      <c r="I70" s="29">
        <f ca="1"/>
        <v>-0.55000000000000004</v>
      </c>
      <c r="J70" s="29">
        <f ca="1"/>
        <v>-0.55000000000000004</v>
      </c>
      <c r="K70" s="29">
        <f ca="1"/>
        <v>0.6</v>
      </c>
      <c r="L70" s="29">
        <f ca="1"/>
        <v>0</v>
      </c>
      <c r="M70" s="29">
        <f ca="1"/>
        <v>0</v>
      </c>
      <c r="N70" s="29">
        <f ca="1"/>
        <v>0</v>
      </c>
      <c r="O70" s="32" t="s">
        <v>51</v>
      </c>
      <c r="P70" s="32"/>
      <c r="Q70" s="32"/>
      <c r="R70" s="32"/>
      <c r="S70" s="32"/>
      <c r="W70" s="29" t="str">
        <f>TEXT(EDATE('Input - Site'!$E$12,10), "mmmm yyyy")</f>
        <v>November 2024</v>
      </c>
      <c r="X70" s="29">
        <f ca="1"/>
        <v>1.64</v>
      </c>
      <c r="Y70" s="29">
        <f ca="1"/>
        <v>1.1000000000000001</v>
      </c>
      <c r="Z70" s="29">
        <f ca="1"/>
        <v>1.21</v>
      </c>
      <c r="AA70" s="29">
        <f ca="1"/>
        <v>0.99</v>
      </c>
      <c r="AB70" s="29">
        <f ca="1"/>
        <v>0.66</v>
      </c>
      <c r="AC70" s="29">
        <f ca="1"/>
        <v>0.66</v>
      </c>
      <c r="AD70" s="29">
        <f ca="1"/>
        <v>1.42</v>
      </c>
      <c r="AE70" s="29">
        <f ca="1"/>
        <v>1.1000000000000001</v>
      </c>
      <c r="AF70" s="29">
        <f ca="1"/>
        <v>1.1000000000000001</v>
      </c>
      <c r="AG70" s="29">
        <f ca="1"/>
        <v>1.1000000000000001</v>
      </c>
      <c r="AH70" s="32" t="s">
        <v>53</v>
      </c>
      <c r="AI70" s="32"/>
      <c r="AJ70" s="32"/>
    </row>
    <row r="71" spans="4:36" ht="20.100000000000001" customHeight="1" x14ac:dyDescent="0.25">
      <c r="D71" s="29" t="str">
        <f>INDEX(X_Table_PastureBeef_LiveweightGain_Method1,5,1)</f>
        <v>Winter</v>
      </c>
      <c r="E71" s="29">
        <f ca="1"/>
        <v>0.99</v>
      </c>
      <c r="F71" s="29">
        <f ca="1"/>
        <v>0.22</v>
      </c>
      <c r="G71" s="29">
        <f ca="1"/>
        <v>0.77</v>
      </c>
      <c r="H71" s="29">
        <f ca="1"/>
        <v>0.11</v>
      </c>
      <c r="I71" s="29">
        <f ca="1"/>
        <v>0.11</v>
      </c>
      <c r="J71" s="29">
        <f ca="1"/>
        <v>0.11</v>
      </c>
      <c r="K71" s="29">
        <f ca="1"/>
        <v>0.77</v>
      </c>
      <c r="L71" s="29">
        <f ca="1"/>
        <v>0.44</v>
      </c>
      <c r="M71" s="29">
        <f ca="1"/>
        <v>0.44</v>
      </c>
      <c r="N71" s="29">
        <f ca="1"/>
        <v>0.44</v>
      </c>
      <c r="O71" s="32" t="s">
        <v>51</v>
      </c>
      <c r="P71" s="32"/>
      <c r="Q71" s="32"/>
      <c r="R71" s="32"/>
      <c r="S71" s="32"/>
      <c r="W71" s="29" t="str">
        <f>TEXT(EDATE('Input - Site'!$E$12,11), "mmmm yyyy")</f>
        <v>December 2024</v>
      </c>
      <c r="X71" s="29">
        <f ca="1"/>
        <v>0.44</v>
      </c>
      <c r="Y71" s="29">
        <f ca="1"/>
        <v>-0.22</v>
      </c>
      <c r="Z71" s="29">
        <f ca="1"/>
        <v>0.44</v>
      </c>
      <c r="AA71" s="29">
        <f ca="1"/>
        <v>0.33</v>
      </c>
      <c r="AB71" s="29">
        <f ca="1"/>
        <v>-0.22</v>
      </c>
      <c r="AC71" s="29">
        <f ca="1"/>
        <v>-0.22</v>
      </c>
      <c r="AD71" s="29">
        <f ca="1"/>
        <v>0.44</v>
      </c>
      <c r="AE71" s="29">
        <f ca="1"/>
        <v>-0.11</v>
      </c>
      <c r="AF71" s="29">
        <f ca="1"/>
        <v>-0.11</v>
      </c>
      <c r="AG71" s="29">
        <f ca="1"/>
        <v>-0.11</v>
      </c>
      <c r="AH71" s="32" t="s">
        <v>53</v>
      </c>
      <c r="AI71" s="32"/>
      <c r="AJ71" s="32"/>
    </row>
    <row r="72" spans="4:36" ht="20.100000000000001" customHeight="1" x14ac:dyDescent="0.25">
      <c r="AI72" s="32"/>
      <c r="AJ72" s="32"/>
    </row>
    <row r="73" spans="4:36" ht="20.100000000000001" customHeight="1" x14ac:dyDescent="0.25">
      <c r="W73" s="57" t="s">
        <v>103</v>
      </c>
      <c r="AI73" s="32"/>
      <c r="AJ73" s="32"/>
    </row>
    <row r="74" spans="4:36" ht="20.100000000000001" customHeight="1" x14ac:dyDescent="0.25">
      <c r="W74" s="58" t="s">
        <v>104</v>
      </c>
      <c r="AI74" s="32"/>
      <c r="AJ74" s="32"/>
    </row>
    <row r="75" spans="4:36" ht="20.100000000000001" customHeight="1" x14ac:dyDescent="0.25">
      <c r="W75" s="59" t="s">
        <v>87</v>
      </c>
      <c r="X75" s="59" t="s">
        <v>31</v>
      </c>
      <c r="Y75" s="59" t="s">
        <v>32</v>
      </c>
      <c r="Z75" s="59" t="s">
        <v>33</v>
      </c>
      <c r="AA75" s="59" t="s">
        <v>34</v>
      </c>
      <c r="AB75" s="59" t="s">
        <v>35</v>
      </c>
      <c r="AC75" s="59" t="s">
        <v>36</v>
      </c>
      <c r="AD75" s="59" t="s">
        <v>37</v>
      </c>
      <c r="AE75" s="59" t="s">
        <v>38</v>
      </c>
      <c r="AF75" s="59" t="s">
        <v>39</v>
      </c>
      <c r="AG75" s="59" t="s">
        <v>40</v>
      </c>
      <c r="AI75" s="32"/>
      <c r="AJ75" s="32"/>
    </row>
    <row r="76" spans="4:36" ht="20.100000000000001" customHeight="1" x14ac:dyDescent="0.25">
      <c r="W76" s="29" t="str">
        <f>TEXT('Input - Site'!$E$12, "mmmm yyyy")</f>
        <v>January 2024</v>
      </c>
      <c r="X76" s="29" cm="1">
        <f t="array" aca="1" ref="X76" ca="1">EntericMethane_PastureBeef_Equations.VEERG_3_2_1_1__3_FeedIntakeForGrazingBeef(X44,X60,Z28)</f>
        <v>7.1468536895999959</v>
      </c>
      <c r="Y76" s="29" cm="1">
        <f t="array" aca="1" ref="Y76" ca="1">EntericMethane_PastureBeef_Equations.VEERG_3_2_1_1__3_FeedIntakeForGrazingBeef(Y44,Y60,AA28)</f>
        <v>9.4559940036000008</v>
      </c>
      <c r="Z76" s="29" cm="1">
        <f t="array" aca="1" ref="Z76" ca="1">EntericMethane_PastureBeef_Equations.VEERG_3_2_1_1__3_FeedIntakeForGrazingBeef(Z44,Z60,AB28)</f>
        <v>6.010342559999998</v>
      </c>
      <c r="AA76" s="29" cm="1">
        <f t="array" aca="1" ref="AA76" ca="1">EntericMethane_PastureBeef_Equations.VEERG_3_2_1_1__3_FeedIntakeForGrazingBeef(AA44,AA60,AC28)</f>
        <v>8.4608409301875014</v>
      </c>
      <c r="AB76" s="29" cm="1">
        <f t="array" aca="1" ref="AB76" ca="1">EntericMethane_PastureBeef_Equations.VEERG_3_2_1_1__3_FeedIntakeForGrazingBeef(AB44,AB60,AD28)</f>
        <v>8.3772677761199983</v>
      </c>
      <c r="AC76" s="29" cm="1">
        <f t="array" aca="1" ref="AC76" ca="1">EntericMethane_PastureBeef_Equations.VEERG_3_2_1_1__3_FeedIntakeForGrazingBeef(AC44,AC60,AE28)</f>
        <v>8.3772677761199983</v>
      </c>
      <c r="AD76" s="29" cm="1">
        <f t="array" aca="1" ref="AD76" ca="1">EntericMethane_PastureBeef_Equations.VEERG_3_2_1_1__3_FeedIntakeForGrazingBeef(AD44,AD60,AF28)</f>
        <v>6.5876408896000003</v>
      </c>
      <c r="AE76" s="29" cm="1">
        <f t="array" aca="1" ref="AE76" ca="1">EntericMethane_PastureBeef_Equations.VEERG_3_2_1_1__3_FeedIntakeForGrazingBeef(AE44,AE60,AG28)</f>
        <v>7.3430702361</v>
      </c>
      <c r="AF76" s="29" cm="1">
        <f t="array" aca="1" ref="AF76" ca="1">EntericMethane_PastureBeef_Equations.VEERG_3_2_1_1__3_FeedIntakeForGrazingBeef(AF44,AF60,AH28)</f>
        <v>7.3430702361</v>
      </c>
      <c r="AG76" s="29" cm="1">
        <f t="array" aca="1" ref="AG76" ca="1">EntericMethane_PastureBeef_Equations.VEERG_3_2_1_1__3_FeedIntakeForGrazingBeef(AG44,AG60,AI28)</f>
        <v>7.3430702361</v>
      </c>
      <c r="AH76" s="32" t="str">
        <f t="shared" ref="AH76:AH87" si="2">$E$43</f>
        <v>kg DM/head/day</v>
      </c>
      <c r="AI76" s="32"/>
      <c r="AJ76" s="32"/>
    </row>
    <row r="77" spans="4:36" ht="20.100000000000001" customHeight="1" x14ac:dyDescent="0.25">
      <c r="W77" s="29" t="str">
        <f>TEXT(EDATE('Input - Site'!$E$12,1), "mmmm yyyy")</f>
        <v>February 2024</v>
      </c>
      <c r="X77" s="29" cm="1">
        <f t="array" aca="1" ref="X77" ca="1">EntericMethane_PastureBeef_Equations.VEERG_3_2_1_1__3_FeedIntakeForGrazingBeef(X45,X61,Z29)</f>
        <v>7.1468536895999959</v>
      </c>
      <c r="Y77" s="29" cm="1">
        <f t="array" aca="1" ref="Y77" ca="1">EntericMethane_PastureBeef_Equations.VEERG_3_2_1_1__3_FeedIntakeForGrazingBeef(Y45,Y61,AA29)</f>
        <v>9.4559940036000008</v>
      </c>
      <c r="Z77" s="29" cm="1">
        <f t="array" aca="1" ref="Z77" ca="1">EntericMethane_PastureBeef_Equations.VEERG_3_2_1_1__3_FeedIntakeForGrazingBeef(Z45,Z61,AB29)</f>
        <v>6.010342559999998</v>
      </c>
      <c r="AA77" s="29" cm="1">
        <f t="array" aca="1" ref="AA77" ca="1">EntericMethane_PastureBeef_Equations.VEERG_3_2_1_1__3_FeedIntakeForGrazingBeef(AA45,AA61,AC29)</f>
        <v>7.8705497025</v>
      </c>
      <c r="AB77" s="29" cm="1">
        <f t="array" aca="1" ref="AB77" ca="1">EntericMethane_PastureBeef_Equations.VEERG_3_2_1_1__3_FeedIntakeForGrazingBeef(AB45,AB61,AD29)</f>
        <v>7.7928072335999978</v>
      </c>
      <c r="AC77" s="29" cm="1">
        <f t="array" aca="1" ref="AC77" ca="1">EntericMethane_PastureBeef_Equations.VEERG_3_2_1_1__3_FeedIntakeForGrazingBeef(AC45,AC61,AE29)</f>
        <v>7.7928072335999978</v>
      </c>
      <c r="AD77" s="29" cm="1">
        <f t="array" aca="1" ref="AD77" ca="1">EntericMethane_PastureBeef_Equations.VEERG_3_2_1_1__3_FeedIntakeForGrazingBeef(AD45,AD61,AF29)</f>
        <v>6.5876408896000003</v>
      </c>
      <c r="AE77" s="29" cm="1">
        <f t="array" aca="1" ref="AE77" ca="1">EntericMethane_PastureBeef_Equations.VEERG_3_2_1_1__3_FeedIntakeForGrazingBeef(AE45,AE61,AG29)</f>
        <v>7.3430702361</v>
      </c>
      <c r="AF77" s="29" cm="1">
        <f t="array" aca="1" ref="AF77" ca="1">EntericMethane_PastureBeef_Equations.VEERG_3_2_1_1__3_FeedIntakeForGrazingBeef(AF45,AF61,AH29)</f>
        <v>7.3430702361</v>
      </c>
      <c r="AG77" s="29" cm="1">
        <f t="array" aca="1" ref="AG77" ca="1">EntericMethane_PastureBeef_Equations.VEERG_3_2_1_1__3_FeedIntakeForGrazingBeef(AG45,AG61,AI29)</f>
        <v>7.3430702361</v>
      </c>
      <c r="AH77" s="32" t="str">
        <f t="shared" si="2"/>
        <v>kg DM/head/day</v>
      </c>
      <c r="AI77" s="32"/>
      <c r="AJ77" s="32"/>
    </row>
    <row r="78" spans="4:36" ht="20.100000000000001" customHeight="1" x14ac:dyDescent="0.25">
      <c r="W78" s="29" t="str">
        <f>TEXT(EDATE('Input - Site'!$E$12,2), "mmmm yyyy")</f>
        <v>March 2024</v>
      </c>
      <c r="X78" s="29" cm="1">
        <f t="array" aca="1" ref="X78" ca="1">EntericMethane_PastureBeef_Equations.VEERG_3_2_1_1__3_FeedIntakeForGrazingBeef(X46,X62,Z30)</f>
        <v>3.247204</v>
      </c>
      <c r="Y78" s="29" cm="1">
        <f t="array" aca="1" ref="Y78" ca="1">EntericMethane_PastureBeef_Equations.VEERG_3_2_1_1__3_FeedIntakeForGrazingBeef(Y46,Y62,AA30)</f>
        <v>9.4246544015999998</v>
      </c>
      <c r="Z78" s="29" cm="1">
        <f t="array" aca="1" ref="Z78" ca="1">EntericMethane_PastureBeef_Equations.VEERG_3_2_1_1__3_FeedIntakeForGrazingBeef(Z46,Z62,AB30)</f>
        <v>2.9603267136000002</v>
      </c>
      <c r="AA78" s="29" cm="1">
        <f t="array" aca="1" ref="AA78" ca="1">EntericMethane_PastureBeef_Equations.VEERG_3_2_1_1__3_FeedIntakeForGrazingBeef(AA46,AA62,AC30)</f>
        <v>5.9577975395999987</v>
      </c>
      <c r="AB78" s="29" cm="1">
        <f t="array" aca="1" ref="AB78" ca="1">EntericMethane_PastureBeef_Equations.VEERG_3_2_1_1__3_FeedIntakeForGrazingBeef(AB46,AB62,AD30)</f>
        <v>6.7179974480999993</v>
      </c>
      <c r="AC78" s="29" cm="1">
        <f t="array" aca="1" ref="AC78" ca="1">EntericMethane_PastureBeef_Equations.VEERG_3_2_1_1__3_FeedIntakeForGrazingBeef(AC46,AC62,AE30)</f>
        <v>6.7179974480999993</v>
      </c>
      <c r="AD78" s="29" cm="1">
        <f t="array" aca="1" ref="AD78" ca="1">EntericMethane_PastureBeef_Equations.VEERG_3_2_1_1__3_FeedIntakeForGrazingBeef(AD46,AD62,AF30)</f>
        <v>3.247204</v>
      </c>
      <c r="AE78" s="29" cm="1">
        <f t="array" aca="1" ref="AE78" ca="1">EntericMethane_PastureBeef_Equations.VEERG_3_2_1_1__3_FeedIntakeForGrazingBeef(AE46,AE62,AG30)</f>
        <v>5.8953782416000013</v>
      </c>
      <c r="AF78" s="29" cm="1">
        <f t="array" aca="1" ref="AF78" ca="1">EntericMethane_PastureBeef_Equations.VEERG_3_2_1_1__3_FeedIntakeForGrazingBeef(AF46,AF62,AH30)</f>
        <v>5.8953782416000013</v>
      </c>
      <c r="AG78" s="29" cm="1">
        <f t="array" aca="1" ref="AG78" ca="1">EntericMethane_PastureBeef_Equations.VEERG_3_2_1_1__3_FeedIntakeForGrazingBeef(AG46,AG62,AI30)</f>
        <v>5.8953782416000013</v>
      </c>
      <c r="AH78" s="32" t="str">
        <f t="shared" si="2"/>
        <v>kg DM/head/day</v>
      </c>
      <c r="AI78" s="32"/>
      <c r="AJ78" s="32"/>
    </row>
    <row r="79" spans="4:36" ht="20.100000000000001" customHeight="1" x14ac:dyDescent="0.25">
      <c r="W79" s="29" t="str">
        <f>TEXT(EDATE('Input - Site'!$E$12,3), "mmmm yyyy")</f>
        <v>April 2024</v>
      </c>
      <c r="X79" s="29" cm="1">
        <f t="array" aca="1" ref="X79" ca="1">EntericMethane_PastureBeef_Equations.VEERG_3_2_1_1__3_FeedIntakeForGrazingBeef(X47,X63,Z31)</f>
        <v>3.247204</v>
      </c>
      <c r="Y79" s="29" cm="1">
        <f t="array" aca="1" ref="Y79" ca="1">EntericMethane_PastureBeef_Equations.VEERG_3_2_1_1__3_FeedIntakeForGrazingBeef(Y47,Y63,AA31)</f>
        <v>9.4246544015999998</v>
      </c>
      <c r="Z79" s="29" cm="1">
        <f t="array" aca="1" ref="Z79" ca="1">EntericMethane_PastureBeef_Equations.VEERG_3_2_1_1__3_FeedIntakeForGrazingBeef(Z47,Z63,AB31)</f>
        <v>2.9603267136000002</v>
      </c>
      <c r="AA79" s="29" cm="1">
        <f t="array" aca="1" ref="AA79" ca="1">EntericMethane_PastureBeef_Equations.VEERG_3_2_1_1__3_FeedIntakeForGrazingBeef(AA47,AA63,AC31)</f>
        <v>5.9577975395999987</v>
      </c>
      <c r="AB79" s="29" cm="1">
        <f t="array" aca="1" ref="AB79" ca="1">EntericMethane_PastureBeef_Equations.VEERG_3_2_1_1__3_FeedIntakeForGrazingBeef(AB47,AB63,AD31)</f>
        <v>6.7179974480999993</v>
      </c>
      <c r="AC79" s="29" cm="1">
        <f t="array" aca="1" ref="AC79" ca="1">EntericMethane_PastureBeef_Equations.VEERG_3_2_1_1__3_FeedIntakeForGrazingBeef(AC47,AC63,AE31)</f>
        <v>6.7179974480999993</v>
      </c>
      <c r="AD79" s="29" cm="1">
        <f t="array" aca="1" ref="AD79" ca="1">EntericMethane_PastureBeef_Equations.VEERG_3_2_1_1__3_FeedIntakeForGrazingBeef(AD47,AD63,AF31)</f>
        <v>3.247204</v>
      </c>
      <c r="AE79" s="29" cm="1">
        <f t="array" aca="1" ref="AE79" ca="1">EntericMethane_PastureBeef_Equations.VEERG_3_2_1_1__3_FeedIntakeForGrazingBeef(AE47,AE63,AG31)</f>
        <v>5.8953782416000013</v>
      </c>
      <c r="AF79" s="29" cm="1">
        <f t="array" aca="1" ref="AF79" ca="1">EntericMethane_PastureBeef_Equations.VEERG_3_2_1_1__3_FeedIntakeForGrazingBeef(AF47,AF63,AH31)</f>
        <v>5.8953782416000013</v>
      </c>
      <c r="AG79" s="29" cm="1">
        <f t="array" aca="1" ref="AG79" ca="1">EntericMethane_PastureBeef_Equations.VEERG_3_2_1_1__3_FeedIntakeForGrazingBeef(AG47,AG63,AI31)</f>
        <v>5.8953782416000013</v>
      </c>
      <c r="AH79" s="32" t="str">
        <f t="shared" si="2"/>
        <v>kg DM/head/day</v>
      </c>
      <c r="AI79" s="32"/>
      <c r="AJ79" s="32"/>
    </row>
    <row r="80" spans="4:36" ht="20.100000000000001" customHeight="1" x14ac:dyDescent="0.25">
      <c r="W80" s="29" t="str">
        <f>TEXT(EDATE('Input - Site'!$E$12,4), "mmmm yyyy")</f>
        <v>May 2024</v>
      </c>
      <c r="X80" s="29" cm="1">
        <f t="array" aca="1" ref="X80" ca="1">EntericMethane_PastureBeef_Equations.VEERG_3_2_1_1__3_FeedIntakeForGrazingBeef(X48,X64,Z32)</f>
        <v>3.247204</v>
      </c>
      <c r="Y80" s="29" cm="1">
        <f t="array" aca="1" ref="Y80" ca="1">EntericMethane_PastureBeef_Equations.VEERG_3_2_1_1__3_FeedIntakeForGrazingBeef(Y48,Y64,AA32)</f>
        <v>9.4246544015999998</v>
      </c>
      <c r="Z80" s="29" cm="1">
        <f t="array" aca="1" ref="Z80" ca="1">EntericMethane_PastureBeef_Equations.VEERG_3_2_1_1__3_FeedIntakeForGrazingBeef(Z48,Z64,AB32)</f>
        <v>2.9603267136000002</v>
      </c>
      <c r="AA80" s="29" cm="1">
        <f t="array" aca="1" ref="AA80" ca="1">EntericMethane_PastureBeef_Equations.VEERG_3_2_1_1__3_FeedIntakeForGrazingBeef(AA48,AA64,AC32)</f>
        <v>5.9577975395999987</v>
      </c>
      <c r="AB80" s="29" cm="1">
        <f t="array" aca="1" ref="AB80" ca="1">EntericMethane_PastureBeef_Equations.VEERG_3_2_1_1__3_FeedIntakeForGrazingBeef(AB48,AB64,AD32)</f>
        <v>6.7179974480999993</v>
      </c>
      <c r="AC80" s="29" cm="1">
        <f t="array" aca="1" ref="AC80" ca="1">EntericMethane_PastureBeef_Equations.VEERG_3_2_1_1__3_FeedIntakeForGrazingBeef(AC48,AC64,AE32)</f>
        <v>6.7179974480999993</v>
      </c>
      <c r="AD80" s="29" cm="1">
        <f t="array" aca="1" ref="AD80" ca="1">EntericMethane_PastureBeef_Equations.VEERG_3_2_1_1__3_FeedIntakeForGrazingBeef(AD48,AD64,AF32)</f>
        <v>3.247204</v>
      </c>
      <c r="AE80" s="29" cm="1">
        <f t="array" aca="1" ref="AE80" ca="1">EntericMethane_PastureBeef_Equations.VEERG_3_2_1_1__3_FeedIntakeForGrazingBeef(AE48,AE64,AG32)</f>
        <v>5.8953782416000013</v>
      </c>
      <c r="AF80" s="29" cm="1">
        <f t="array" aca="1" ref="AF80" ca="1">EntericMethane_PastureBeef_Equations.VEERG_3_2_1_1__3_FeedIntakeForGrazingBeef(AF48,AF64,AH32)</f>
        <v>5.8953782416000013</v>
      </c>
      <c r="AG80" s="29" cm="1">
        <f t="array" aca="1" ref="AG80" ca="1">EntericMethane_PastureBeef_Equations.VEERG_3_2_1_1__3_FeedIntakeForGrazingBeef(AG48,AG64,AI32)</f>
        <v>5.8953782416000013</v>
      </c>
      <c r="AH80" s="32" t="str">
        <f t="shared" si="2"/>
        <v>kg DM/head/day</v>
      </c>
    </row>
    <row r="81" spans="4:36" ht="20.100000000000001" customHeight="1" x14ac:dyDescent="0.25">
      <c r="D81" s="57" t="s">
        <v>101</v>
      </c>
      <c r="W81" s="29" t="str">
        <f>TEXT(EDATE('Input - Site'!$E$12,5), "mmmm yyyy")</f>
        <v>June 2024</v>
      </c>
      <c r="X81" s="29" cm="1">
        <f t="array" aca="1" ref="X81" ca="1">EntericMethane_PastureBeef_Equations.VEERG_3_2_1_1__3_FeedIntakeForGrazingBeef(X49,X65,Z33)</f>
        <v>5.1328980481000004</v>
      </c>
      <c r="Y81" s="29" cm="1">
        <f t="array" aca="1" ref="Y81" ca="1">EntericMethane_PastureBeef_Equations.VEERG_3_2_1_1__3_FeedIntakeForGrazingBeef(Y49,Y65,AA33)</f>
        <v>9.9748588899999984</v>
      </c>
      <c r="Z81" s="29" cm="1">
        <f t="array" aca="1" ref="Z81" ca="1">EntericMethane_PastureBeef_Equations.VEERG_3_2_1_1__3_FeedIntakeForGrazingBeef(Z49,Z65,AB33)</f>
        <v>4.202705002500001</v>
      </c>
      <c r="AA81" s="29" cm="1">
        <f t="array" aca="1" ref="AA81" ca="1">EntericMethane_PastureBeef_Equations.VEERG_3_2_1_1__3_FeedIntakeForGrazingBeef(AA49,AA65,AC33)</f>
        <v>5.9278127841000021</v>
      </c>
      <c r="AB81" s="29" cm="1">
        <f t="array" aca="1" ref="AB81" ca="1">EntericMethane_PastureBeef_Equations.VEERG_3_2_1_1__3_FeedIntakeForGrazingBeef(AB49,AB65,AD33)</f>
        <v>7.952343600099999</v>
      </c>
      <c r="AC81" s="29" cm="1">
        <f t="array" aca="1" ref="AC81" ca="1">EntericMethane_PastureBeef_Equations.VEERG_3_2_1_1__3_FeedIntakeForGrazingBeef(AC49,AC65,AE33)</f>
        <v>7.952343600099999</v>
      </c>
      <c r="AD81" s="29" cm="1">
        <f t="array" aca="1" ref="AD81" ca="1">EntericMethane_PastureBeef_Equations.VEERG_3_2_1_1__3_FeedIntakeForGrazingBeef(AD49,AD65,AF33)</f>
        <v>4.5122681240999984</v>
      </c>
      <c r="AE81" s="29" cm="1">
        <f t="array" aca="1" ref="AE81" ca="1">EntericMethane_PastureBeef_Equations.VEERG_3_2_1_1__3_FeedIntakeForGrazingBeef(AE49,AE65,AG33)</f>
        <v>6.8698506815999991</v>
      </c>
      <c r="AF81" s="29" cm="1">
        <f t="array" aca="1" ref="AF81" ca="1">EntericMethane_PastureBeef_Equations.VEERG_3_2_1_1__3_FeedIntakeForGrazingBeef(AF49,AF65,AH33)</f>
        <v>6.8698506815999991</v>
      </c>
      <c r="AG81" s="29" cm="1">
        <f t="array" aca="1" ref="AG81" ca="1">EntericMethane_PastureBeef_Equations.VEERG_3_2_1_1__3_FeedIntakeForGrazingBeef(AG49,AG65,AI33)</f>
        <v>6.8698506815999991</v>
      </c>
      <c r="AH81" s="32" t="str">
        <f t="shared" si="2"/>
        <v>kg DM/head/day</v>
      </c>
    </row>
    <row r="82" spans="4:36" ht="20.100000000000001" customHeight="1" x14ac:dyDescent="0.25">
      <c r="D82" s="58" t="s">
        <v>102</v>
      </c>
      <c r="W82" s="29" t="str">
        <f>TEXT(EDATE('Input - Site'!$E$12,6), "mmmm yyyy")</f>
        <v>July 2024</v>
      </c>
      <c r="X82" s="29" cm="1">
        <f t="array" aca="1" ref="X82" ca="1">EntericMethane_PastureBeef_Equations.VEERG_3_2_1_1__3_FeedIntakeForGrazingBeef(X50,X66,Z34)</f>
        <v>5.1328980481000004</v>
      </c>
      <c r="Y82" s="29" cm="1">
        <f t="array" aca="1" ref="Y82" ca="1">EntericMethane_PastureBeef_Equations.VEERG_3_2_1_1__3_FeedIntakeForGrazingBeef(Y50,Y66,AA34)</f>
        <v>9.9748588899999984</v>
      </c>
      <c r="Z82" s="29" cm="1">
        <f t="array" aca="1" ref="Z82" ca="1">EntericMethane_PastureBeef_Equations.VEERG_3_2_1_1__3_FeedIntakeForGrazingBeef(Z50,Z66,AB34)</f>
        <v>4.202705002500001</v>
      </c>
      <c r="AA82" s="29" cm="1">
        <f t="array" aca="1" ref="AA82" ca="1">EntericMethane_PastureBeef_Equations.VEERG_3_2_1_1__3_FeedIntakeForGrazingBeef(AA50,AA66,AC34)</f>
        <v>5.9278127841000021</v>
      </c>
      <c r="AB82" s="29" cm="1">
        <f t="array" aca="1" ref="AB82" ca="1">EntericMethane_PastureBeef_Equations.VEERG_3_2_1_1__3_FeedIntakeForGrazingBeef(AB50,AB66,AD34)</f>
        <v>7.952343600099999</v>
      </c>
      <c r="AC82" s="29" cm="1">
        <f t="array" aca="1" ref="AC82" ca="1">EntericMethane_PastureBeef_Equations.VEERG_3_2_1_1__3_FeedIntakeForGrazingBeef(AC50,AC66,AE34)</f>
        <v>7.952343600099999</v>
      </c>
      <c r="AD82" s="29" cm="1">
        <f t="array" aca="1" ref="AD82" ca="1">EntericMethane_PastureBeef_Equations.VEERG_3_2_1_1__3_FeedIntakeForGrazingBeef(AD50,AD66,AF34)</f>
        <v>4.5122681240999984</v>
      </c>
      <c r="AE82" s="29" cm="1">
        <f t="array" aca="1" ref="AE82" ca="1">EntericMethane_PastureBeef_Equations.VEERG_3_2_1_1__3_FeedIntakeForGrazingBeef(AE50,AE66,AG34)</f>
        <v>6.8698506815999991</v>
      </c>
      <c r="AF82" s="29" cm="1">
        <f t="array" aca="1" ref="AF82" ca="1">EntericMethane_PastureBeef_Equations.VEERG_3_2_1_1__3_FeedIntakeForGrazingBeef(AF50,AF66,AH34)</f>
        <v>6.8698506815999991</v>
      </c>
      <c r="AG82" s="29" cm="1">
        <f t="array" aca="1" ref="AG82" ca="1">EntericMethane_PastureBeef_Equations.VEERG_3_2_1_1__3_FeedIntakeForGrazingBeef(AG50,AG66,AI34)</f>
        <v>6.8698506815999991</v>
      </c>
      <c r="AH82" s="32" t="str">
        <f t="shared" si="2"/>
        <v>kg DM/head/day</v>
      </c>
    </row>
    <row r="83" spans="4:36" ht="20.100000000000001" customHeight="1" x14ac:dyDescent="0.25">
      <c r="D83" s="59" t="s">
        <v>84</v>
      </c>
      <c r="E83" s="59" t="s">
        <v>31</v>
      </c>
      <c r="F83" s="59" t="s">
        <v>32</v>
      </c>
      <c r="G83" s="59" t="s">
        <v>33</v>
      </c>
      <c r="H83" s="59" t="s">
        <v>34</v>
      </c>
      <c r="I83" s="59" t="s">
        <v>35</v>
      </c>
      <c r="J83" s="59" t="s">
        <v>36</v>
      </c>
      <c r="K83" s="59" t="s">
        <v>37</v>
      </c>
      <c r="L83" s="59" t="s">
        <v>38</v>
      </c>
      <c r="M83" s="59" t="s">
        <v>39</v>
      </c>
      <c r="N83" s="59" t="s">
        <v>40</v>
      </c>
      <c r="W83" s="29" t="str">
        <f>TEXT(EDATE('Input - Site'!$E$12,7), "mmmm yyyy")</f>
        <v>August 2024</v>
      </c>
      <c r="X83" s="29" cm="1">
        <f t="array" aca="1" ref="X83" ca="1">EntericMethane_PastureBeef_Equations.VEERG_3_2_1_1__3_FeedIntakeForGrazingBeef(X51,X67,Z35)</f>
        <v>5.1328980481000004</v>
      </c>
      <c r="Y83" s="29" cm="1">
        <f t="array" aca="1" ref="Y83" ca="1">EntericMethane_PastureBeef_Equations.VEERG_3_2_1_1__3_FeedIntakeForGrazingBeef(Y51,Y67,AA35)</f>
        <v>9.9748588899999984</v>
      </c>
      <c r="Z83" s="29" cm="1">
        <f t="array" aca="1" ref="Z83" ca="1">EntericMethane_PastureBeef_Equations.VEERG_3_2_1_1__3_FeedIntakeForGrazingBeef(Z51,Z67,AB35)</f>
        <v>4.202705002500001</v>
      </c>
      <c r="AA83" s="29" cm="1">
        <f t="array" aca="1" ref="AA83" ca="1">EntericMethane_PastureBeef_Equations.VEERG_3_2_1_1__3_FeedIntakeForGrazingBeef(AA51,AA67,AC35)</f>
        <v>7.2615706605225032</v>
      </c>
      <c r="AB83" s="29" cm="1">
        <f t="array" aca="1" ref="AB83" ca="1">EntericMethane_PastureBeef_Equations.VEERG_3_2_1_1__3_FeedIntakeForGrazingBeef(AB51,AB67,AD35)</f>
        <v>9.7416209101224993</v>
      </c>
      <c r="AC83" s="29" cm="1">
        <f t="array" aca="1" ref="AC83" ca="1">EntericMethane_PastureBeef_Equations.VEERG_3_2_1_1__3_FeedIntakeForGrazingBeef(AC51,AC67,AE35)</f>
        <v>9.7416209101224993</v>
      </c>
      <c r="AD83" s="29" cm="1">
        <f t="array" aca="1" ref="AD83" ca="1">EntericMethane_PastureBeef_Equations.VEERG_3_2_1_1__3_FeedIntakeForGrazingBeef(AD51,AD67,AF35)</f>
        <v>4.5122681240999984</v>
      </c>
      <c r="AE83" s="29" cm="1">
        <f t="array" aca="1" ref="AE83" ca="1">EntericMethane_PastureBeef_Equations.VEERG_3_2_1_1__3_FeedIntakeForGrazingBeef(AE51,AE67,AG35)</f>
        <v>6.8698506815999991</v>
      </c>
      <c r="AF83" s="29" cm="1">
        <f t="array" aca="1" ref="AF83" ca="1">EntericMethane_PastureBeef_Equations.VEERG_3_2_1_1__3_FeedIntakeForGrazingBeef(AF51,AF67,AH35)</f>
        <v>6.8698506815999991</v>
      </c>
      <c r="AG83" s="29" cm="1">
        <f t="array" aca="1" ref="AG83" ca="1">EntericMethane_PastureBeef_Equations.VEERG_3_2_1_1__3_FeedIntakeForGrazingBeef(AG51,AG67,AI35)</f>
        <v>6.8698506815999991</v>
      </c>
      <c r="AH83" s="32" t="str">
        <f t="shared" si="2"/>
        <v>kg DM/head/day</v>
      </c>
    </row>
    <row r="84" spans="4:36" ht="20.100000000000001" customHeight="1" x14ac:dyDescent="0.25">
      <c r="D84" s="29" t="s">
        <v>41</v>
      </c>
      <c r="E84" s="29" cm="1">
        <f t="array" aca="1" ref="E84" ca="1">EntericMethane_PastureBeef_Equations.VEERG_3_2_1_1__3_FeedIntakeForGrazingBeef(E52,E68,I30)</f>
        <v>8.6709047296000001</v>
      </c>
      <c r="F84" s="29" cm="1">
        <f t="array" aca="1" ref="F84" ca="1">EntericMethane_PastureBeef_Equations.VEERG_3_2_1_1__3_FeedIntakeForGrazingBeef(F52,F68,J30)</f>
        <v>12.246500250000002</v>
      </c>
      <c r="G84" s="29" cm="1">
        <f t="array" aca="1" ref="G84" ca="1">EntericMethane_PastureBeef_Equations.VEERG_3_2_1_1__3_FeedIntakeForGrazingBeef(G52,G68,K30)</f>
        <v>6.6089612241000006</v>
      </c>
      <c r="H84" s="29" cm="1">
        <f t="array" aca="1" ref="H84" ca="1">EntericMethane_PastureBeef_Equations.VEERG_3_2_1_1__3_FeedIntakeForGrazingBeef(H52,H68,L30)</f>
        <v>9.5403922901100024</v>
      </c>
      <c r="I84" s="29" cm="1">
        <f t="array" aca="1" ref="I84" ca="1">EntericMethane_PastureBeef_Equations.VEERG_3_2_1_1__3_FeedIntakeForGrazingBeef(I52,I68,M30)</f>
        <v>11.268377125200001</v>
      </c>
      <c r="J84" s="29" cm="1">
        <f t="array" aca="1" ref="J84" ca="1">EntericMethane_PastureBeef_Equations.VEERG_3_2_1_1__3_FeedIntakeForGrazingBeef(J52,J68,N30)</f>
        <v>11.268377125200001</v>
      </c>
      <c r="K84" s="29" cm="1">
        <f t="array" aca="1" ref="K84" ca="1">EntericMethane_PastureBeef_Equations.VEERG_3_2_1_1__3_FeedIntakeForGrazingBeef(K52,K68,O30)</f>
        <v>7.6192560899999977</v>
      </c>
      <c r="L84" s="29" cm="1">
        <f t="array" aca="1" ref="L84" ca="1">EntericMethane_PastureBeef_Equations.VEERG_3_2_1_1__3_FeedIntakeForGrazingBeef(L52,L68,P30)</f>
        <v>9.6824279555999979</v>
      </c>
      <c r="M84" s="29" cm="1">
        <f t="array" aca="1" ref="M84" ca="1">EntericMethane_PastureBeef_Equations.VEERG_3_2_1_1__3_FeedIntakeForGrazingBeef(M52,M68,Q30)</f>
        <v>9.6824279555999979</v>
      </c>
      <c r="N84" s="29" cm="1">
        <f t="array" aca="1" ref="N84" ca="1">EntericMethane_PastureBeef_Equations.VEERG_3_2_1_1__3_FeedIntakeForGrazingBeef(N52,N68,R30)</f>
        <v>9.6824279555999979</v>
      </c>
      <c r="O84" s="32" t="str">
        <f>$E$43</f>
        <v>kg DM/head/day</v>
      </c>
      <c r="P84" s="32"/>
      <c r="Q84" s="32"/>
      <c r="R84" s="32"/>
      <c r="S84" s="32"/>
      <c r="W84" s="29" t="str">
        <f>TEXT(EDATE('Input - Site'!$E$12,8), "mmmm yyyy")</f>
        <v>September 2024</v>
      </c>
      <c r="X84" s="29" cm="1">
        <f t="array" aca="1" ref="X84" ca="1">EntericMethane_PastureBeef_Equations.VEERG_3_2_1_1__3_FeedIntakeForGrazingBeef(X52,X68,Z36)</f>
        <v>8.6709047296000001</v>
      </c>
      <c r="Y84" s="29" cm="1">
        <f t="array" aca="1" ref="Y84" ca="1">EntericMethane_PastureBeef_Equations.VEERG_3_2_1_1__3_FeedIntakeForGrazingBeef(Y52,Y68,AA36)</f>
        <v>12.246500250000002</v>
      </c>
      <c r="Z84" s="29" cm="1">
        <f t="array" aca="1" ref="Z84" ca="1">EntericMethane_PastureBeef_Equations.VEERG_3_2_1_1__3_FeedIntakeForGrazingBeef(Z52,Z68,AB36)</f>
        <v>6.6089612241000006</v>
      </c>
      <c r="AA84" s="29" cm="1">
        <f t="array" aca="1" ref="AA84" ca="1">EntericMethane_PastureBeef_Equations.VEERG_3_2_1_1__3_FeedIntakeForGrazingBeef(AA52,AA68,AC36)</f>
        <v>10.624527777622504</v>
      </c>
      <c r="AB84" s="29" cm="1">
        <f t="array" aca="1" ref="AB84" ca="1">EntericMethane_PastureBeef_Equations.VEERG_3_2_1_1__3_FeedIntakeForGrazingBeef(AB52,AB68,AD36)</f>
        <v>11.798087161000003</v>
      </c>
      <c r="AC84" s="29" cm="1">
        <f t="array" aca="1" ref="AC84" ca="1">EntericMethane_PastureBeef_Equations.VEERG_3_2_1_1__3_FeedIntakeForGrazingBeef(AC52,AC68,AE36)</f>
        <v>11.798087161000003</v>
      </c>
      <c r="AD84" s="29" cm="1">
        <f t="array" aca="1" ref="AD84" ca="1">EntericMethane_PastureBeef_Equations.VEERG_3_2_1_1__3_FeedIntakeForGrazingBeef(AD52,AD68,AF36)</f>
        <v>7.6192560899999977</v>
      </c>
      <c r="AE84" s="29" cm="1">
        <f t="array" aca="1" ref="AE84" ca="1">EntericMethane_PastureBeef_Equations.VEERG_3_2_1_1__3_FeedIntakeForGrazingBeef(AE52,AE68,AG36)</f>
        <v>9.6824279555999979</v>
      </c>
      <c r="AF84" s="29" cm="1">
        <f t="array" aca="1" ref="AF84" ca="1">EntericMethane_PastureBeef_Equations.VEERG_3_2_1_1__3_FeedIntakeForGrazingBeef(AF52,AF68,AH36)</f>
        <v>9.6824279555999979</v>
      </c>
      <c r="AG84" s="29" cm="1">
        <f t="array" aca="1" ref="AG84" ca="1">EntericMethane_PastureBeef_Equations.VEERG_3_2_1_1__3_FeedIntakeForGrazingBeef(AG52,AG68,AI36)</f>
        <v>9.6824279555999979</v>
      </c>
      <c r="AH84" s="32" t="str">
        <f t="shared" si="2"/>
        <v>kg DM/head/day</v>
      </c>
      <c r="AI84" s="32"/>
      <c r="AJ84" s="32"/>
    </row>
    <row r="85" spans="4:36" ht="20.100000000000001" customHeight="1" x14ac:dyDescent="0.25">
      <c r="D85" s="29" t="s">
        <v>43</v>
      </c>
      <c r="E85" s="29" cm="1">
        <f t="array" aca="1" ref="E85" ca="1">EntericMethane_PastureBeef_Equations.VEERG_3_2_1_1__3_FeedIntakeForGrazingBeef(E53,E69,I31)</f>
        <v>7.1468536895999959</v>
      </c>
      <c r="F85" s="29" cm="1">
        <f t="array" aca="1" ref="F85" ca="1">EntericMethane_PastureBeef_Equations.VEERG_3_2_1_1__3_FeedIntakeForGrazingBeef(F53,F69,J31)</f>
        <v>9.4559940036000008</v>
      </c>
      <c r="G85" s="29" cm="1">
        <f t="array" aca="1" ref="G85" ca="1">EntericMethane_PastureBeef_Equations.VEERG_3_2_1_1__3_FeedIntakeForGrazingBeef(G53,G69,K31)</f>
        <v>6.010342559999998</v>
      </c>
      <c r="H85" s="29" cm="1">
        <f t="array" aca="1" ref="H85" ca="1">EntericMethane_PastureBeef_Equations.VEERG_3_2_1_1__3_FeedIntakeForGrazingBeef(H53,H69,L31)</f>
        <v>8.1853716906000002</v>
      </c>
      <c r="I85" s="29" cm="1">
        <f t="array" aca="1" ref="I85" ca="1">EntericMethane_PastureBeef_Equations.VEERG_3_2_1_1__3_FeedIntakeForGrazingBeef(I53,I69,M31)</f>
        <v>8.1045195229439972</v>
      </c>
      <c r="J85" s="29" cm="1">
        <f t="array" aca="1" ref="J85" ca="1">EntericMethane_PastureBeef_Equations.VEERG_3_2_1_1__3_FeedIntakeForGrazingBeef(J53,J69,N31)</f>
        <v>8.1045195229439972</v>
      </c>
      <c r="K85" s="29" cm="1">
        <f t="array" aca="1" ref="K85" ca="1">EntericMethane_PastureBeef_Equations.VEERG_3_2_1_1__3_FeedIntakeForGrazingBeef(K53,K69,O31)</f>
        <v>6.5876408896000003</v>
      </c>
      <c r="L85" s="29" cm="1">
        <f t="array" aca="1" ref="L85" ca="1">EntericMethane_PastureBeef_Equations.VEERG_3_2_1_1__3_FeedIntakeForGrazingBeef(L53,L69,P31)</f>
        <v>7.3430702361</v>
      </c>
      <c r="M85" s="29" cm="1">
        <f t="array" aca="1" ref="M85" ca="1">EntericMethane_PastureBeef_Equations.VEERG_3_2_1_1__3_FeedIntakeForGrazingBeef(M53,M69,Q31)</f>
        <v>7.3430702361</v>
      </c>
      <c r="N85" s="29" cm="1">
        <f t="array" aca="1" ref="N85" ca="1">EntericMethane_PastureBeef_Equations.VEERG_3_2_1_1__3_FeedIntakeForGrazingBeef(N53,N69,R31)</f>
        <v>7.3430702361</v>
      </c>
      <c r="O85" s="32" t="str">
        <f>$E$43</f>
        <v>kg DM/head/day</v>
      </c>
      <c r="P85" s="32"/>
      <c r="Q85" s="32"/>
      <c r="R85" s="32"/>
      <c r="S85" s="32"/>
      <c r="W85" s="29" t="str">
        <f>TEXT(EDATE('Input - Site'!$E$12,9), "mmmm yyyy")</f>
        <v>October 2024</v>
      </c>
      <c r="X85" s="29" cm="1">
        <f t="array" aca="1" ref="X85" ca="1">EntericMethane_PastureBeef_Equations.VEERG_3_2_1_1__3_FeedIntakeForGrazingBeef(X53,X69,Z37)</f>
        <v>8.6709047296000001</v>
      </c>
      <c r="Y85" s="29" cm="1">
        <f t="array" aca="1" ref="Y85" ca="1">EntericMethane_PastureBeef_Equations.VEERG_3_2_1_1__3_FeedIntakeForGrazingBeef(Y53,Y69,AA37)</f>
        <v>12.246500250000002</v>
      </c>
      <c r="Z85" s="29" cm="1">
        <f t="array" aca="1" ref="Z85" ca="1">EntericMethane_PastureBeef_Equations.VEERG_3_2_1_1__3_FeedIntakeForGrazingBeef(Z53,Z69,AB37)</f>
        <v>6.6089612241000006</v>
      </c>
      <c r="AA85" s="29" cm="1">
        <f t="array" aca="1" ref="AA85" ca="1">EntericMethane_PastureBeef_Equations.VEERG_3_2_1_1__3_FeedIntakeForGrazingBeef(AA53,AA69,AC37)</f>
        <v>10.624527777622504</v>
      </c>
      <c r="AB85" s="29" cm="1">
        <f t="array" aca="1" ref="AB85" ca="1">EntericMethane_PastureBeef_Equations.VEERG_3_2_1_1__3_FeedIntakeForGrazingBeef(AB53,AB69,AD37)</f>
        <v>11.798087161000003</v>
      </c>
      <c r="AC85" s="29" cm="1">
        <f t="array" aca="1" ref="AC85" ca="1">EntericMethane_PastureBeef_Equations.VEERG_3_2_1_1__3_FeedIntakeForGrazingBeef(AC53,AC69,AE37)</f>
        <v>11.798087161000003</v>
      </c>
      <c r="AD85" s="29" cm="1">
        <f t="array" aca="1" ref="AD85" ca="1">EntericMethane_PastureBeef_Equations.VEERG_3_2_1_1__3_FeedIntakeForGrazingBeef(AD53,AD69,AF37)</f>
        <v>7.6192560899999977</v>
      </c>
      <c r="AE85" s="29" cm="1">
        <f t="array" aca="1" ref="AE85" ca="1">EntericMethane_PastureBeef_Equations.VEERG_3_2_1_1__3_FeedIntakeForGrazingBeef(AE53,AE69,AG37)</f>
        <v>9.6824279555999979</v>
      </c>
      <c r="AF85" s="29" cm="1">
        <f t="array" aca="1" ref="AF85" ca="1">EntericMethane_PastureBeef_Equations.VEERG_3_2_1_1__3_FeedIntakeForGrazingBeef(AF53,AF69,AH37)</f>
        <v>9.6824279555999979</v>
      </c>
      <c r="AG85" s="29" cm="1">
        <f t="array" aca="1" ref="AG85" ca="1">EntericMethane_PastureBeef_Equations.VEERG_3_2_1_1__3_FeedIntakeForGrazingBeef(AG53,AG69,AI37)</f>
        <v>9.6824279555999979</v>
      </c>
      <c r="AH85" s="32" t="str">
        <f t="shared" si="2"/>
        <v>kg DM/head/day</v>
      </c>
      <c r="AI85" s="32"/>
      <c r="AJ85" s="32"/>
    </row>
    <row r="86" spans="4:36" ht="20.100000000000001" customHeight="1" x14ac:dyDescent="0.25">
      <c r="D86" s="29" t="s">
        <v>44</v>
      </c>
      <c r="E86" s="29" cm="1">
        <f t="array" aca="1" ref="E86" ca="1">EntericMethane_PastureBeef_Equations.VEERG_3_2_1_1__3_FeedIntakeForGrazingBeef(E54,E70,I32)</f>
        <v>3.247204</v>
      </c>
      <c r="F86" s="29" cm="1">
        <f t="array" aca="1" ref="F86" ca="1">EntericMethane_PastureBeef_Equations.VEERG_3_2_1_1__3_FeedIntakeForGrazingBeef(F54,F70,J32)</f>
        <v>9.4246544015999998</v>
      </c>
      <c r="G86" s="29" cm="1">
        <f t="array" aca="1" ref="G86" ca="1">EntericMethane_PastureBeef_Equations.VEERG_3_2_1_1__3_FeedIntakeForGrazingBeef(G54,G70,K32)</f>
        <v>2.9603267136000002</v>
      </c>
      <c r="H86" s="29" cm="1">
        <f t="array" aca="1" ref="H86" ca="1">EntericMethane_PastureBeef_Equations.VEERG_3_2_1_1__3_FeedIntakeForGrazingBeef(H54,H70,L32)</f>
        <v>6.0173755149959991</v>
      </c>
      <c r="I86" s="29" cm="1">
        <f t="array" aca="1" ref="I86" ca="1">EntericMethane_PastureBeef_Equations.VEERG_3_2_1_1__3_FeedIntakeForGrazingBeef(I54,I70,M32)</f>
        <v>6.7179974480999993</v>
      </c>
      <c r="J86" s="29" cm="1">
        <f t="array" aca="1" ref="J86" ca="1">EntericMethane_PastureBeef_Equations.VEERG_3_2_1_1__3_FeedIntakeForGrazingBeef(J54,J70,N32)</f>
        <v>6.7179974480999993</v>
      </c>
      <c r="K86" s="29" cm="1">
        <f t="array" aca="1" ref="K86" ca="1">EntericMethane_PastureBeef_Equations.VEERG_3_2_1_1__3_FeedIntakeForGrazingBeef(K54,K70,O32)</f>
        <v>3.247204</v>
      </c>
      <c r="L86" s="29" cm="1">
        <f t="array" aca="1" ref="L86" ca="1">EntericMethane_PastureBeef_Equations.VEERG_3_2_1_1__3_FeedIntakeForGrazingBeef(L54,L70,P32)</f>
        <v>5.8953782416000013</v>
      </c>
      <c r="M86" s="29" cm="1">
        <f t="array" aca="1" ref="M86" ca="1">EntericMethane_PastureBeef_Equations.VEERG_3_2_1_1__3_FeedIntakeForGrazingBeef(M54,M70,Q32)</f>
        <v>5.8953782416000013</v>
      </c>
      <c r="N86" s="29" cm="1">
        <f t="array" aca="1" ref="N86" ca="1">EntericMethane_PastureBeef_Equations.VEERG_3_2_1_1__3_FeedIntakeForGrazingBeef(N54,N70,R32)</f>
        <v>5.8953782416000013</v>
      </c>
      <c r="O86" s="32" t="str">
        <f>$E$43</f>
        <v>kg DM/head/day</v>
      </c>
      <c r="P86" s="32"/>
      <c r="Q86" s="32"/>
      <c r="R86" s="32"/>
      <c r="S86" s="32"/>
      <c r="W86" s="29" t="str">
        <f>TEXT(EDATE('Input - Site'!$E$12,10), "mmmm yyyy")</f>
        <v>November 2024</v>
      </c>
      <c r="X86" s="29" cm="1">
        <f t="array" aca="1" ref="X86" ca="1">EntericMethane_PastureBeef_Equations.VEERG_3_2_1_1__3_FeedIntakeForGrazingBeef(X54,X70,Z38)</f>
        <v>8.6709047296000001</v>
      </c>
      <c r="Y86" s="29" cm="1">
        <f t="array" aca="1" ref="Y86" ca="1">EntericMethane_PastureBeef_Equations.VEERG_3_2_1_1__3_FeedIntakeForGrazingBeef(Y54,Y70,AA38)</f>
        <v>12.246500250000002</v>
      </c>
      <c r="Z86" s="29" cm="1">
        <f t="array" aca="1" ref="Z86" ca="1">EntericMethane_PastureBeef_Equations.VEERG_3_2_1_1__3_FeedIntakeForGrazingBeef(Z54,Z70,AB38)</f>
        <v>6.6089612241000006</v>
      </c>
      <c r="AA86" s="29" cm="1">
        <f t="array" aca="1" ref="AA86" ca="1">EntericMethane_PastureBeef_Equations.VEERG_3_2_1_1__3_FeedIntakeForGrazingBeef(AA54,AA70,AC38)</f>
        <v>9.3235651926075036</v>
      </c>
      <c r="AB86" s="29" cm="1">
        <f t="array" aca="1" ref="AB86" ca="1">EntericMethane_PastureBeef_Equations.VEERG_3_2_1_1__3_FeedIntakeForGrazingBeef(AB54,AB70,AD38)</f>
        <v>10.353423427000003</v>
      </c>
      <c r="AC86" s="29" cm="1">
        <f t="array" aca="1" ref="AC86" ca="1">EntericMethane_PastureBeef_Equations.VEERG_3_2_1_1__3_FeedIntakeForGrazingBeef(AC54,AC70,AE38)</f>
        <v>10.353423427000003</v>
      </c>
      <c r="AD86" s="29" cm="1">
        <f t="array" aca="1" ref="AD86" ca="1">EntericMethane_PastureBeef_Equations.VEERG_3_2_1_1__3_FeedIntakeForGrazingBeef(AD54,AD70,AF38)</f>
        <v>7.6192560899999977</v>
      </c>
      <c r="AE86" s="29" cm="1">
        <f t="array" aca="1" ref="AE86" ca="1">EntericMethane_PastureBeef_Equations.VEERG_3_2_1_1__3_FeedIntakeForGrazingBeef(AE54,AE70,AG38)</f>
        <v>9.6824279555999979</v>
      </c>
      <c r="AF86" s="29" cm="1">
        <f t="array" aca="1" ref="AF86" ca="1">EntericMethane_PastureBeef_Equations.VEERG_3_2_1_1__3_FeedIntakeForGrazingBeef(AF54,AF70,AH38)</f>
        <v>9.6824279555999979</v>
      </c>
      <c r="AG86" s="29" cm="1">
        <f t="array" aca="1" ref="AG86" ca="1">EntericMethane_PastureBeef_Equations.VEERG_3_2_1_1__3_FeedIntakeForGrazingBeef(AG54,AG70,AI38)</f>
        <v>9.6824279555999979</v>
      </c>
      <c r="AH86" s="32" t="str">
        <f t="shared" si="2"/>
        <v>kg DM/head/day</v>
      </c>
      <c r="AI86" s="32"/>
      <c r="AJ86" s="32"/>
    </row>
    <row r="87" spans="4:36" ht="20.100000000000001" customHeight="1" x14ac:dyDescent="0.25">
      <c r="D87" s="29" t="s">
        <v>45</v>
      </c>
      <c r="E87" s="29" cm="1">
        <f t="array" aca="1" ref="E87" ca="1">EntericMethane_PastureBeef_Equations.VEERG_3_2_1_1__3_FeedIntakeForGrazingBeef(E55,E71,I33)</f>
        <v>5.1328980481000004</v>
      </c>
      <c r="F87" s="29" cm="1">
        <f t="array" aca="1" ref="F87" ca="1">EntericMethane_PastureBeef_Equations.VEERG_3_2_1_1__3_FeedIntakeForGrazingBeef(F55,F71,J33)</f>
        <v>9.9748588899999984</v>
      </c>
      <c r="G87" s="29" cm="1">
        <f t="array" aca="1" ref="G87" ca="1">EntericMethane_PastureBeef_Equations.VEERG_3_2_1_1__3_FeedIntakeForGrazingBeef(G55,G71,K33)</f>
        <v>4.202705002500001</v>
      </c>
      <c r="H87" s="29" cm="1">
        <f t="array" aca="1" ref="H87" ca="1">EntericMethane_PastureBeef_Equations.VEERG_3_2_1_1__3_FeedIntakeForGrazingBeef(H55,H71,L33)</f>
        <v>7.172653468761002</v>
      </c>
      <c r="I87" s="29" cm="1">
        <f t="array" aca="1" ref="I87" ca="1">EntericMethane_PastureBeef_Equations.VEERG_3_2_1_1__3_FeedIntakeForGrazingBeef(I55,I71,M33)</f>
        <v>9.145195140114998</v>
      </c>
      <c r="J87" s="29" cm="1">
        <f t="array" aca="1" ref="J87" ca="1">EntericMethane_PastureBeef_Equations.VEERG_3_2_1_1__3_FeedIntakeForGrazingBeef(J55,J71,N33)</f>
        <v>9.145195140114998</v>
      </c>
      <c r="K87" s="29" cm="1">
        <f t="array" aca="1" ref="K87" ca="1">EntericMethane_PastureBeef_Equations.VEERG_3_2_1_1__3_FeedIntakeForGrazingBeef(K55,K71,O33)</f>
        <v>4.5122681240999984</v>
      </c>
      <c r="L87" s="29" cm="1">
        <f t="array" aca="1" ref="L87" ca="1">EntericMethane_PastureBeef_Equations.VEERG_3_2_1_1__3_FeedIntakeForGrazingBeef(L55,L71,P33)</f>
        <v>6.8698506815999991</v>
      </c>
      <c r="M87" s="29" cm="1">
        <f t="array" aca="1" ref="M87" ca="1">EntericMethane_PastureBeef_Equations.VEERG_3_2_1_1__3_FeedIntakeForGrazingBeef(M55,M71,Q33)</f>
        <v>6.8698506815999991</v>
      </c>
      <c r="N87" s="29" cm="1">
        <f t="array" aca="1" ref="N87" ca="1">EntericMethane_PastureBeef_Equations.VEERG_3_2_1_1__3_FeedIntakeForGrazingBeef(N55,N71,R33)</f>
        <v>6.8698506815999991</v>
      </c>
      <c r="O87" s="32" t="str">
        <f>$E$43</f>
        <v>kg DM/head/day</v>
      </c>
      <c r="P87" s="32"/>
      <c r="Q87" s="32"/>
      <c r="R87" s="32"/>
      <c r="S87" s="32"/>
      <c r="W87" s="29" t="str">
        <f>TEXT(EDATE('Input - Site'!$E$12,11), "mmmm yyyy")</f>
        <v>December 2024</v>
      </c>
      <c r="X87" s="29" cm="1">
        <f t="array" aca="1" ref="X87" ca="1">EntericMethane_PastureBeef_Equations.VEERG_3_2_1_1__3_FeedIntakeForGrazingBeef(X55,X71,Z39)</f>
        <v>7.1468536895999959</v>
      </c>
      <c r="Y87" s="29" cm="1">
        <f t="array" aca="1" ref="Y87" ca="1">EntericMethane_PastureBeef_Equations.VEERG_3_2_1_1__3_FeedIntakeForGrazingBeef(Y55,Y71,AA39)</f>
        <v>9.4559940036000008</v>
      </c>
      <c r="Z87" s="29" cm="1">
        <f t="array" aca="1" ref="Z87" ca="1">EntericMethane_PastureBeef_Equations.VEERG_3_2_1_1__3_FeedIntakeForGrazingBeef(Z55,Z71,AB39)</f>
        <v>6.010342559999998</v>
      </c>
      <c r="AA87" s="29" cm="1">
        <f t="array" aca="1" ref="AA87" ca="1">EntericMethane_PastureBeef_Equations.VEERG_3_2_1_1__3_FeedIntakeForGrazingBeef(AA55,AA71,AC39)</f>
        <v>8.4608409301875014</v>
      </c>
      <c r="AB87" s="29" cm="1">
        <f t="array" aca="1" ref="AB87" ca="1">EntericMethane_PastureBeef_Equations.VEERG_3_2_1_1__3_FeedIntakeForGrazingBeef(AB55,AB71,AD39)</f>
        <v>8.3772677761199983</v>
      </c>
      <c r="AC87" s="29" cm="1">
        <f t="array" aca="1" ref="AC87" ca="1">EntericMethane_PastureBeef_Equations.VEERG_3_2_1_1__3_FeedIntakeForGrazingBeef(AC55,AC71,AE39)</f>
        <v>8.3772677761199983</v>
      </c>
      <c r="AD87" s="29" cm="1">
        <f t="array" aca="1" ref="AD87" ca="1">EntericMethane_PastureBeef_Equations.VEERG_3_2_1_1__3_FeedIntakeForGrazingBeef(AD55,AD71,AF39)</f>
        <v>6.5876408896000003</v>
      </c>
      <c r="AE87" s="29" cm="1">
        <f t="array" aca="1" ref="AE87" ca="1">EntericMethane_PastureBeef_Equations.VEERG_3_2_1_1__3_FeedIntakeForGrazingBeef(AE55,AE71,AG39)</f>
        <v>7.3430702361</v>
      </c>
      <c r="AF87" s="29" cm="1">
        <f t="array" aca="1" ref="AF87" ca="1">EntericMethane_PastureBeef_Equations.VEERG_3_2_1_1__3_FeedIntakeForGrazingBeef(AF55,AF71,AH39)</f>
        <v>7.3430702361</v>
      </c>
      <c r="AG87" s="29" cm="1">
        <f t="array" aca="1" ref="AG87" ca="1">EntericMethane_PastureBeef_Equations.VEERG_3_2_1_1__3_FeedIntakeForGrazingBeef(AG55,AG71,AI39)</f>
        <v>7.3430702361</v>
      </c>
      <c r="AH87" s="32" t="str">
        <f t="shared" si="2"/>
        <v>kg DM/head/day</v>
      </c>
      <c r="AI87" s="32"/>
      <c r="AJ87" s="32"/>
    </row>
    <row r="88" spans="4:36" ht="20.100000000000001" customHeight="1" x14ac:dyDescent="0.25">
      <c r="AI88" s="32"/>
      <c r="AJ88" s="32"/>
    </row>
    <row r="89" spans="4:36" ht="20.100000000000001" customHeight="1" x14ac:dyDescent="0.25">
      <c r="AI89" s="32"/>
      <c r="AJ89" s="32"/>
    </row>
    <row r="90" spans="4:36" ht="20.100000000000001" customHeight="1" x14ac:dyDescent="0.25">
      <c r="AI90" s="32"/>
      <c r="AJ90" s="32"/>
    </row>
    <row r="91" spans="4:36" ht="20.100000000000001" customHeight="1" x14ac:dyDescent="0.25">
      <c r="AI91" s="32"/>
      <c r="AJ91" s="32"/>
    </row>
    <row r="92" spans="4:36" ht="20.100000000000001" customHeight="1" x14ac:dyDescent="0.25">
      <c r="AI92" s="32"/>
      <c r="AJ92" s="32"/>
    </row>
    <row r="93" spans="4:36" ht="20.100000000000001" customHeight="1" x14ac:dyDescent="0.25">
      <c r="AI93" s="32"/>
      <c r="AJ93" s="32"/>
    </row>
    <row r="94" spans="4:36" ht="20.100000000000001" customHeight="1" x14ac:dyDescent="0.25">
      <c r="AI94" s="32"/>
      <c r="AJ94" s="32"/>
    </row>
    <row r="95" spans="4:36" ht="20.100000000000001" customHeight="1" x14ac:dyDescent="0.25">
      <c r="AI95" s="32"/>
      <c r="AJ95" s="32"/>
    </row>
    <row r="96" spans="4:36" ht="20.100000000000001" customHeight="1" x14ac:dyDescent="0.25"/>
    <row r="97" spans="3:37" ht="20.100000000000001" customHeight="1" x14ac:dyDescent="0.25"/>
    <row r="98" spans="3:37" ht="20.100000000000001" customHeight="1" x14ac:dyDescent="0.25">
      <c r="C98" s="61"/>
      <c r="D98" s="61"/>
      <c r="E98" s="61"/>
      <c r="F98" s="61"/>
      <c r="G98" s="61"/>
      <c r="H98" s="61"/>
      <c r="I98" s="61"/>
      <c r="J98" s="61"/>
      <c r="K98" s="61"/>
      <c r="L98" s="61"/>
      <c r="M98" s="61"/>
      <c r="N98" s="61"/>
      <c r="O98" s="61"/>
      <c r="P98" s="61"/>
      <c r="Q98" s="61"/>
      <c r="R98" s="61"/>
      <c r="S98" s="61"/>
      <c r="T98" s="61"/>
      <c r="V98" s="61"/>
      <c r="W98" s="61"/>
      <c r="X98" s="61"/>
      <c r="Y98" s="61"/>
      <c r="Z98" s="61"/>
      <c r="AA98" s="61"/>
      <c r="AB98" s="61"/>
      <c r="AC98" s="61"/>
      <c r="AD98" s="61"/>
      <c r="AE98" s="61"/>
      <c r="AF98" s="61"/>
      <c r="AG98" s="61"/>
      <c r="AH98" s="61"/>
      <c r="AI98" s="61"/>
      <c r="AJ98" s="61"/>
      <c r="AK98" s="61"/>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46" t="str" cm="1">
        <f t="array" ref="D100">MMS_PastureBeef_Methane_Equations.VEERG_4_2_1_1__3_VolatileSolidProductionFromGrazingBeef_Source()</f>
        <v>VEERG 2026: 4.2.1.1, Equation (3)</v>
      </c>
    </row>
    <row r="101" spans="3:37" ht="20.100000000000001" customHeight="1" x14ac:dyDescent="0.25">
      <c r="D101" s="47" t="s">
        <v>77</v>
      </c>
      <c r="E101" s="47"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48" t="s">
        <v>79</v>
      </c>
      <c r="E105" s="1" t="str" cm="1">
        <f t="array" ref="E105">MMS_PastureBeef_Methane_Equations.VEERG_4_2_1_1__3_VolatileSolidProductionFromGrazingBeef_Variable()</f>
        <v>VS_jkl</v>
      </c>
    </row>
    <row r="106" spans="3:37" ht="20.100000000000001" customHeight="1" x14ac:dyDescent="0.25">
      <c r="D106" s="48" t="s">
        <v>80</v>
      </c>
      <c r="E106" s="17"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50" t="str" cm="1">
        <f t="array" ref="D108:E110">_xlfn.CHOOSECOLS(MMS_PastureBeef_Methane_Equations.VEERG_4_2_1_1__3_VolatileSolidProductionFromGrazingBeef_Arguments(), 1, 2)</f>
        <v>I_jkl</v>
      </c>
      <c r="E108" s="51" t="str">
        <v>dry matter intake as calculated in Chapter 3 Section 3.2.1</v>
      </c>
      <c r="F108" s="53"/>
      <c r="G108" s="50" t="str" cm="1">
        <f t="array" ref="G108:H110">_xlfn.CHOOSECOLS(MMS_PastureBeef_Methane_Equations.VEERG_4_2_1_1__3_VolatileSolidProductionFromGrazingBeef_Arguments(), 3,4)</f>
        <v>kg/head/day</v>
      </c>
      <c r="H108" s="55" t="str">
        <v>Calculated from 3.2.1.1, (3)</v>
      </c>
      <c r="I108" s="56" t="str" cm="1">
        <f t="array" aca="1" ref="I108" ca="1">HYPERLINK(Common_InputFunctions.Utility_SourceHyperlink($D$81), $D$81)</f>
        <v>M1_Table_I_j_k_l</v>
      </c>
    </row>
    <row r="109" spans="3:37" ht="20.100000000000001" customHeight="1" x14ac:dyDescent="0.25">
      <c r="D109" s="50" t="str">
        <v>DMD_jkl</v>
      </c>
      <c r="E109" s="51" t="str">
        <v>dry matter digestibility expressed as a fraction</v>
      </c>
      <c r="F109" s="53"/>
      <c r="G109" s="50" t="str">
        <v>fraction</v>
      </c>
      <c r="H109" s="54" t="str">
        <v>Input</v>
      </c>
      <c r="I109" s="56" t="str" cm="1">
        <f t="array" aca="1" ref="I109" ca="1">HYPERLINK(Common_InputFunctions.Utility_SourceHyperlink($D$112), $D$112)</f>
        <v>M1_Table_DMD_j_k_l</v>
      </c>
    </row>
    <row r="110" spans="3:37" ht="20.100000000000001" customHeight="1" x14ac:dyDescent="0.25">
      <c r="D110" s="50" t="str">
        <v>A</v>
      </c>
      <c r="E110" s="51" t="str">
        <v>ash content of feed intake expressed as a fraction</v>
      </c>
      <c r="F110" s="53"/>
      <c r="G110" s="50" t="str">
        <v>fraction</v>
      </c>
      <c r="H110" s="55" t="str">
        <v>Constant</v>
      </c>
      <c r="I110" s="50">
        <f>'Constants - Pasture Beef'!$D$422</f>
        <v>0.08</v>
      </c>
    </row>
    <row r="111" spans="3:37" ht="20.100000000000001" customHeight="1" x14ac:dyDescent="0.25"/>
    <row r="112" spans="3:37" ht="20.100000000000001" customHeight="1" x14ac:dyDescent="0.25">
      <c r="D112" s="57" t="s">
        <v>207</v>
      </c>
      <c r="W112" s="57" t="s">
        <v>208</v>
      </c>
    </row>
    <row r="113" spans="4:36" ht="20.100000000000001" customHeight="1" x14ac:dyDescent="0.25">
      <c r="D113" s="58" t="s">
        <v>209</v>
      </c>
      <c r="W113" s="58" t="s">
        <v>210</v>
      </c>
    </row>
    <row r="114" spans="4:36" ht="20.100000000000001" customHeight="1" x14ac:dyDescent="0.25">
      <c r="D114" s="59" t="s">
        <v>84</v>
      </c>
      <c r="E114" s="60" t="s">
        <v>31</v>
      </c>
      <c r="F114" s="60" t="s">
        <v>32</v>
      </c>
      <c r="G114" s="60" t="s">
        <v>33</v>
      </c>
      <c r="H114" s="60" t="s">
        <v>34</v>
      </c>
      <c r="I114" s="60" t="s">
        <v>35</v>
      </c>
      <c r="J114" s="60" t="s">
        <v>36</v>
      </c>
      <c r="K114" s="60" t="s">
        <v>37</v>
      </c>
      <c r="L114" s="60" t="s">
        <v>38</v>
      </c>
      <c r="M114" s="60" t="s">
        <v>39</v>
      </c>
      <c r="N114" s="60" t="s">
        <v>40</v>
      </c>
      <c r="W114" s="59" t="s">
        <v>87</v>
      </c>
      <c r="X114" s="60" t="s">
        <v>31</v>
      </c>
      <c r="Y114" s="60" t="s">
        <v>32</v>
      </c>
      <c r="Z114" s="60" t="s">
        <v>33</v>
      </c>
      <c r="AA114" s="60" t="s">
        <v>34</v>
      </c>
      <c r="AB114" s="60" t="s">
        <v>35</v>
      </c>
      <c r="AC114" s="60" t="s">
        <v>36</v>
      </c>
      <c r="AD114" s="60" t="s">
        <v>37</v>
      </c>
      <c r="AE114" s="60" t="s">
        <v>38</v>
      </c>
      <c r="AF114" s="60" t="s">
        <v>39</v>
      </c>
      <c r="AG114" s="60" t="s">
        <v>40</v>
      </c>
    </row>
    <row r="115" spans="4:36" ht="20.100000000000001" customHeight="1" x14ac:dyDescent="0.25">
      <c r="D115" s="29" t="s">
        <v>41</v>
      </c>
      <c r="E115" s="29" cm="1">
        <f t="array" aca="1" ref="E115:N118" ca="1">OFFSET(X_Table_PastureBeef_DryMatterDigestibility_Method1, 1,1, 4,10)</f>
        <v>0.8</v>
      </c>
      <c r="F115" s="29">
        <f ca="1"/>
        <v>0.8</v>
      </c>
      <c r="G115" s="29">
        <f ca="1"/>
        <v>0.8</v>
      </c>
      <c r="H115" s="29">
        <f ca="1"/>
        <v>0.8</v>
      </c>
      <c r="I115" s="29">
        <f ca="1"/>
        <v>0.8</v>
      </c>
      <c r="J115" s="29">
        <f ca="1"/>
        <v>0.8</v>
      </c>
      <c r="K115" s="29">
        <f ca="1"/>
        <v>0.8</v>
      </c>
      <c r="L115" s="29">
        <f ca="1"/>
        <v>0.8</v>
      </c>
      <c r="M115" s="29">
        <f ca="1"/>
        <v>0.8</v>
      </c>
      <c r="N115" s="29">
        <f ca="1"/>
        <v>0.8</v>
      </c>
      <c r="O115" s="32" t="s">
        <v>62</v>
      </c>
      <c r="P115" s="32"/>
      <c r="Q115" s="32"/>
      <c r="R115" s="32"/>
      <c r="S115" s="32"/>
      <c r="W115" s="29" t="str">
        <f>INDEX(X_Table_PastureBeef_CrudeProtein_Method2,2,1)</f>
        <v>January 2024</v>
      </c>
      <c r="X115" s="29" cm="1">
        <f t="array" aca="1" ref="X115:AG126" ca="1">OFFSET(X_Table_PastureBeef_DryMatterDigestibility_Method2, 1,1, 12,10)</f>
        <v>0.57999999999999996</v>
      </c>
      <c r="Y115" s="29">
        <f ca="1"/>
        <v>0.57999999999999996</v>
      </c>
      <c r="Z115" s="29">
        <f ca="1"/>
        <v>0.57999999999999996</v>
      </c>
      <c r="AA115" s="29">
        <f ca="1"/>
        <v>0.57999999999999996</v>
      </c>
      <c r="AB115" s="29">
        <f ca="1"/>
        <v>0.57999999999999996</v>
      </c>
      <c r="AC115" s="29">
        <f ca="1"/>
        <v>0.57999999999999996</v>
      </c>
      <c r="AD115" s="29">
        <f ca="1"/>
        <v>0.57999999999999996</v>
      </c>
      <c r="AE115" s="29">
        <f ca="1"/>
        <v>0.57999999999999996</v>
      </c>
      <c r="AF115" s="29">
        <f ca="1"/>
        <v>0.57999999999999996</v>
      </c>
      <c r="AG115" s="29">
        <f ca="1"/>
        <v>0.57999999999999996</v>
      </c>
      <c r="AH115" s="32" t="s">
        <v>62</v>
      </c>
      <c r="AI115" s="32"/>
      <c r="AJ115" s="32"/>
    </row>
    <row r="116" spans="4:36" ht="20.100000000000001" customHeight="1" x14ac:dyDescent="0.25">
      <c r="D116" s="29" t="s">
        <v>43</v>
      </c>
      <c r="E116" s="29">
        <f ca="1"/>
        <v>0.57999999999999996</v>
      </c>
      <c r="F116" s="29">
        <f ca="1"/>
        <v>0.57999999999999996</v>
      </c>
      <c r="G116" s="29">
        <f ca="1"/>
        <v>0.57999999999999996</v>
      </c>
      <c r="H116" s="29">
        <f ca="1"/>
        <v>0.57999999999999996</v>
      </c>
      <c r="I116" s="29">
        <f ca="1"/>
        <v>0.57999999999999996</v>
      </c>
      <c r="J116" s="29">
        <f ca="1"/>
        <v>0.57999999999999996</v>
      </c>
      <c r="K116" s="29">
        <f ca="1"/>
        <v>0.57999999999999996</v>
      </c>
      <c r="L116" s="29">
        <f ca="1"/>
        <v>0.57999999999999996</v>
      </c>
      <c r="M116" s="29">
        <f ca="1"/>
        <v>0.57999999999999996</v>
      </c>
      <c r="N116" s="29">
        <f ca="1"/>
        <v>0.57999999999999996</v>
      </c>
      <c r="O116" s="32" t="s">
        <v>62</v>
      </c>
      <c r="P116" s="32"/>
      <c r="Q116" s="32"/>
      <c r="R116" s="32"/>
      <c r="S116" s="32"/>
      <c r="W116" s="29" t="str">
        <f>INDEX(X_Table_PastureBeef_CrudeProtein_Method2,3,1)</f>
        <v>February 2024</v>
      </c>
      <c r="X116" s="29">
        <f ca="1"/>
        <v>0.57999999999999996</v>
      </c>
      <c r="Y116" s="29">
        <f ca="1"/>
        <v>0.57999999999999996</v>
      </c>
      <c r="Z116" s="29">
        <f ca="1"/>
        <v>0.57999999999999996</v>
      </c>
      <c r="AA116" s="29">
        <f ca="1"/>
        <v>0.57999999999999996</v>
      </c>
      <c r="AB116" s="29">
        <f ca="1"/>
        <v>0.57999999999999996</v>
      </c>
      <c r="AC116" s="29">
        <f ca="1"/>
        <v>0.57999999999999996</v>
      </c>
      <c r="AD116" s="29">
        <f ca="1"/>
        <v>0.57999999999999996</v>
      </c>
      <c r="AE116" s="29">
        <f ca="1"/>
        <v>0.57999999999999996</v>
      </c>
      <c r="AF116" s="29">
        <f ca="1"/>
        <v>0.57999999999999996</v>
      </c>
      <c r="AG116" s="29">
        <f ca="1"/>
        <v>0.57999999999999996</v>
      </c>
      <c r="AH116" s="32" t="s">
        <v>62</v>
      </c>
      <c r="AI116" s="32"/>
      <c r="AJ116" s="32"/>
    </row>
    <row r="117" spans="4:36" ht="20.100000000000001" customHeight="1" x14ac:dyDescent="0.25">
      <c r="D117" s="29" t="s">
        <v>44</v>
      </c>
      <c r="E117" s="29">
        <f ca="1"/>
        <v>0.5</v>
      </c>
      <c r="F117" s="29">
        <f ca="1"/>
        <v>0.5</v>
      </c>
      <c r="G117" s="29">
        <f ca="1"/>
        <v>0.5</v>
      </c>
      <c r="H117" s="29">
        <f ca="1"/>
        <v>0.5</v>
      </c>
      <c r="I117" s="29">
        <f ca="1"/>
        <v>0.5</v>
      </c>
      <c r="J117" s="29">
        <f ca="1"/>
        <v>0.5</v>
      </c>
      <c r="K117" s="29">
        <f ca="1"/>
        <v>0.5</v>
      </c>
      <c r="L117" s="29">
        <f ca="1"/>
        <v>0.5</v>
      </c>
      <c r="M117" s="29">
        <f ca="1"/>
        <v>0.5</v>
      </c>
      <c r="N117" s="29">
        <f ca="1"/>
        <v>0.5</v>
      </c>
      <c r="O117" s="32" t="s">
        <v>62</v>
      </c>
      <c r="P117" s="32"/>
      <c r="Q117" s="32"/>
      <c r="R117" s="32"/>
      <c r="S117" s="32"/>
      <c r="W117" s="29" t="str">
        <f>INDEX(X_Table_PastureBeef_CrudeProtein_Method2,4,1)</f>
        <v>March 2024</v>
      </c>
      <c r="X117" s="29">
        <f ca="1"/>
        <v>0.5</v>
      </c>
      <c r="Y117" s="29">
        <f ca="1"/>
        <v>0.5</v>
      </c>
      <c r="Z117" s="29">
        <f ca="1"/>
        <v>0.5</v>
      </c>
      <c r="AA117" s="29">
        <f ca="1"/>
        <v>0.5</v>
      </c>
      <c r="AB117" s="29">
        <f ca="1"/>
        <v>0.5</v>
      </c>
      <c r="AC117" s="29">
        <f ca="1"/>
        <v>0.5</v>
      </c>
      <c r="AD117" s="29">
        <f ca="1"/>
        <v>0.5</v>
      </c>
      <c r="AE117" s="29">
        <f ca="1"/>
        <v>0.5</v>
      </c>
      <c r="AF117" s="29">
        <f ca="1"/>
        <v>0.5</v>
      </c>
      <c r="AG117" s="29">
        <f ca="1"/>
        <v>0.5</v>
      </c>
      <c r="AH117" s="32" t="s">
        <v>62</v>
      </c>
      <c r="AI117" s="32"/>
      <c r="AJ117" s="32"/>
    </row>
    <row r="118" spans="4:36" ht="20.100000000000001" customHeight="1" x14ac:dyDescent="0.25">
      <c r="D118" s="29" t="s">
        <v>45</v>
      </c>
      <c r="E118" s="29">
        <f ca="1"/>
        <v>0.75</v>
      </c>
      <c r="F118" s="29">
        <f ca="1"/>
        <v>0.75</v>
      </c>
      <c r="G118" s="29">
        <f ca="1"/>
        <v>0.75</v>
      </c>
      <c r="H118" s="29">
        <f ca="1"/>
        <v>0.75</v>
      </c>
      <c r="I118" s="29">
        <f ca="1"/>
        <v>0.75</v>
      </c>
      <c r="J118" s="29">
        <f ca="1"/>
        <v>0.75</v>
      </c>
      <c r="K118" s="29">
        <f ca="1"/>
        <v>0.75</v>
      </c>
      <c r="L118" s="29">
        <f ca="1"/>
        <v>0.75</v>
      </c>
      <c r="M118" s="29">
        <f ca="1"/>
        <v>0.75</v>
      </c>
      <c r="N118" s="29">
        <f ca="1"/>
        <v>0.75</v>
      </c>
      <c r="O118" s="32" t="s">
        <v>62</v>
      </c>
      <c r="P118" s="32"/>
      <c r="Q118" s="32"/>
      <c r="R118" s="32"/>
      <c r="S118" s="32"/>
      <c r="W118" s="29" t="str">
        <f>INDEX(X_Table_PastureBeef_CrudeProtein_Method2,5,1)</f>
        <v>April 2024</v>
      </c>
      <c r="X118" s="29">
        <f ca="1"/>
        <v>0.5</v>
      </c>
      <c r="Y118" s="29">
        <f ca="1"/>
        <v>0.5</v>
      </c>
      <c r="Z118" s="29">
        <f ca="1"/>
        <v>0.5</v>
      </c>
      <c r="AA118" s="29">
        <f ca="1"/>
        <v>0.5</v>
      </c>
      <c r="AB118" s="29">
        <f ca="1"/>
        <v>0.5</v>
      </c>
      <c r="AC118" s="29">
        <f ca="1"/>
        <v>0.5</v>
      </c>
      <c r="AD118" s="29">
        <f ca="1"/>
        <v>0.5</v>
      </c>
      <c r="AE118" s="29">
        <f ca="1"/>
        <v>0.5</v>
      </c>
      <c r="AF118" s="29">
        <f ca="1"/>
        <v>0.5</v>
      </c>
      <c r="AG118" s="29">
        <f ca="1"/>
        <v>0.5</v>
      </c>
      <c r="AH118" s="32" t="s">
        <v>62</v>
      </c>
      <c r="AI118" s="32"/>
      <c r="AJ118" s="32"/>
    </row>
    <row r="119" spans="4:36" ht="20.100000000000001" customHeight="1" x14ac:dyDescent="0.25">
      <c r="W119" s="29" t="str">
        <f>INDEX(X_Table_PastureBeef_CrudeProtein_Method2,6,1)</f>
        <v>May 2024</v>
      </c>
      <c r="X119" s="29">
        <f ca="1"/>
        <v>0.5</v>
      </c>
      <c r="Y119" s="29">
        <f ca="1"/>
        <v>0.5</v>
      </c>
      <c r="Z119" s="29">
        <f ca="1"/>
        <v>0.5</v>
      </c>
      <c r="AA119" s="29">
        <f ca="1"/>
        <v>0.5</v>
      </c>
      <c r="AB119" s="29">
        <f ca="1"/>
        <v>0.5</v>
      </c>
      <c r="AC119" s="29">
        <f ca="1"/>
        <v>0.5</v>
      </c>
      <c r="AD119" s="29">
        <f ca="1"/>
        <v>0.5</v>
      </c>
      <c r="AE119" s="29">
        <f ca="1"/>
        <v>0.5</v>
      </c>
      <c r="AF119" s="29">
        <f ca="1"/>
        <v>0.5</v>
      </c>
      <c r="AG119" s="29">
        <f ca="1"/>
        <v>0.5</v>
      </c>
      <c r="AH119" s="32" t="s">
        <v>62</v>
      </c>
      <c r="AI119" s="32"/>
      <c r="AJ119" s="32"/>
    </row>
    <row r="120" spans="4:36" ht="20.100000000000001" customHeight="1" x14ac:dyDescent="0.25">
      <c r="W120" s="29" t="str">
        <f>INDEX(X_Table_PastureBeef_CrudeProtein_Method2,7,1)</f>
        <v>June 2024</v>
      </c>
      <c r="X120" s="29">
        <f ca="1"/>
        <v>0.75</v>
      </c>
      <c r="Y120" s="29">
        <f ca="1"/>
        <v>0.75</v>
      </c>
      <c r="Z120" s="29">
        <f ca="1"/>
        <v>0.75</v>
      </c>
      <c r="AA120" s="29">
        <f ca="1"/>
        <v>0.75</v>
      </c>
      <c r="AB120" s="29">
        <f ca="1"/>
        <v>0.75</v>
      </c>
      <c r="AC120" s="29">
        <f ca="1"/>
        <v>0.75</v>
      </c>
      <c r="AD120" s="29">
        <f ca="1"/>
        <v>0.75</v>
      </c>
      <c r="AE120" s="29">
        <f ca="1"/>
        <v>0.75</v>
      </c>
      <c r="AF120" s="29">
        <f ca="1"/>
        <v>0.75</v>
      </c>
      <c r="AG120" s="29">
        <f ca="1"/>
        <v>0.75</v>
      </c>
      <c r="AH120" s="32" t="s">
        <v>62</v>
      </c>
      <c r="AI120" s="32"/>
      <c r="AJ120" s="32"/>
    </row>
    <row r="121" spans="4:36" ht="20.100000000000001" customHeight="1" x14ac:dyDescent="0.25">
      <c r="W121" s="29" t="str">
        <f>INDEX(X_Table_PastureBeef_CrudeProtein_Method2,8,1)</f>
        <v>July 2024</v>
      </c>
      <c r="X121" s="29">
        <f ca="1"/>
        <v>0.75</v>
      </c>
      <c r="Y121" s="29">
        <f ca="1"/>
        <v>0.75</v>
      </c>
      <c r="Z121" s="29">
        <f ca="1"/>
        <v>0.75</v>
      </c>
      <c r="AA121" s="29">
        <f ca="1"/>
        <v>0.75</v>
      </c>
      <c r="AB121" s="29">
        <f ca="1"/>
        <v>0.75</v>
      </c>
      <c r="AC121" s="29">
        <f ca="1"/>
        <v>0.75</v>
      </c>
      <c r="AD121" s="29">
        <f ca="1"/>
        <v>0.75</v>
      </c>
      <c r="AE121" s="29">
        <f ca="1"/>
        <v>0.75</v>
      </c>
      <c r="AF121" s="29">
        <f ca="1"/>
        <v>0.75</v>
      </c>
      <c r="AG121" s="29">
        <f ca="1"/>
        <v>0.75</v>
      </c>
      <c r="AH121" s="32" t="s">
        <v>62</v>
      </c>
      <c r="AI121" s="32"/>
      <c r="AJ121" s="32"/>
    </row>
    <row r="122" spans="4:36" ht="20.100000000000001" customHeight="1" x14ac:dyDescent="0.25">
      <c r="W122" s="29" t="str">
        <f>INDEX(X_Table_PastureBeef_CrudeProtein_Method2,9,1)</f>
        <v>August 2024</v>
      </c>
      <c r="X122" s="29">
        <f ca="1"/>
        <v>0.75</v>
      </c>
      <c r="Y122" s="29">
        <f ca="1"/>
        <v>0.75</v>
      </c>
      <c r="Z122" s="29">
        <f ca="1"/>
        <v>0.75</v>
      </c>
      <c r="AA122" s="29">
        <f ca="1"/>
        <v>0.75</v>
      </c>
      <c r="AB122" s="29">
        <f ca="1"/>
        <v>0.75</v>
      </c>
      <c r="AC122" s="29">
        <f ca="1"/>
        <v>0.75</v>
      </c>
      <c r="AD122" s="29">
        <f ca="1"/>
        <v>0.75</v>
      </c>
      <c r="AE122" s="29">
        <f ca="1"/>
        <v>0.75</v>
      </c>
      <c r="AF122" s="29">
        <f ca="1"/>
        <v>0.75</v>
      </c>
      <c r="AG122" s="29">
        <f ca="1"/>
        <v>0.75</v>
      </c>
      <c r="AH122" s="32" t="s">
        <v>62</v>
      </c>
      <c r="AI122" s="32"/>
      <c r="AJ122" s="32"/>
    </row>
    <row r="123" spans="4:36" ht="20.100000000000001" customHeight="1" x14ac:dyDescent="0.25">
      <c r="W123" s="29" t="str">
        <f>INDEX(X_Table_PastureBeef_CrudeProtein_Method2,10,1)</f>
        <v>September 2024</v>
      </c>
      <c r="X123" s="29">
        <f ca="1"/>
        <v>0.8</v>
      </c>
      <c r="Y123" s="29">
        <f ca="1"/>
        <v>0.8</v>
      </c>
      <c r="Z123" s="29">
        <f ca="1"/>
        <v>0.8</v>
      </c>
      <c r="AA123" s="29">
        <f ca="1"/>
        <v>0.8</v>
      </c>
      <c r="AB123" s="29">
        <f ca="1"/>
        <v>0.8</v>
      </c>
      <c r="AC123" s="29">
        <f ca="1"/>
        <v>0.8</v>
      </c>
      <c r="AD123" s="29">
        <f ca="1"/>
        <v>0.8</v>
      </c>
      <c r="AE123" s="29">
        <f ca="1"/>
        <v>0.8</v>
      </c>
      <c r="AF123" s="29">
        <f ca="1"/>
        <v>0.8</v>
      </c>
      <c r="AG123" s="29">
        <f ca="1"/>
        <v>0.8</v>
      </c>
      <c r="AH123" s="32" t="s">
        <v>62</v>
      </c>
      <c r="AI123" s="32"/>
      <c r="AJ123" s="32"/>
    </row>
    <row r="124" spans="4:36" ht="20.100000000000001" customHeight="1" x14ac:dyDescent="0.25">
      <c r="W124" s="29" t="str">
        <f>INDEX(X_Table_PastureBeef_CrudeProtein_Method2,11,1)</f>
        <v>October 2024</v>
      </c>
      <c r="X124" s="29">
        <f ca="1"/>
        <v>0.8</v>
      </c>
      <c r="Y124" s="29">
        <f ca="1"/>
        <v>0.8</v>
      </c>
      <c r="Z124" s="29">
        <f ca="1"/>
        <v>0.8</v>
      </c>
      <c r="AA124" s="29">
        <f ca="1"/>
        <v>0.8</v>
      </c>
      <c r="AB124" s="29">
        <f ca="1"/>
        <v>0.8</v>
      </c>
      <c r="AC124" s="29">
        <f ca="1"/>
        <v>0.8</v>
      </c>
      <c r="AD124" s="29">
        <f ca="1"/>
        <v>0.8</v>
      </c>
      <c r="AE124" s="29">
        <f ca="1"/>
        <v>0.8</v>
      </c>
      <c r="AF124" s="29">
        <f ca="1"/>
        <v>0.8</v>
      </c>
      <c r="AG124" s="29">
        <f ca="1"/>
        <v>0.8</v>
      </c>
      <c r="AH124" s="32" t="s">
        <v>62</v>
      </c>
      <c r="AI124" s="32"/>
      <c r="AJ124" s="32"/>
    </row>
    <row r="125" spans="4:36" ht="20.100000000000001" customHeight="1" x14ac:dyDescent="0.25">
      <c r="W125" s="29" t="str">
        <f>INDEX(X_Table_PastureBeef_CrudeProtein_Method2,12,1)</f>
        <v>November 2024</v>
      </c>
      <c r="X125" s="29">
        <f ca="1"/>
        <v>0.8</v>
      </c>
      <c r="Y125" s="29">
        <f ca="1"/>
        <v>0.8</v>
      </c>
      <c r="Z125" s="29">
        <f ca="1"/>
        <v>0.8</v>
      </c>
      <c r="AA125" s="29">
        <f ca="1"/>
        <v>0.8</v>
      </c>
      <c r="AB125" s="29">
        <f ca="1"/>
        <v>0.8</v>
      </c>
      <c r="AC125" s="29">
        <f ca="1"/>
        <v>0.8</v>
      </c>
      <c r="AD125" s="29">
        <f ca="1"/>
        <v>0.8</v>
      </c>
      <c r="AE125" s="29">
        <f ca="1"/>
        <v>0.8</v>
      </c>
      <c r="AF125" s="29">
        <f ca="1"/>
        <v>0.8</v>
      </c>
      <c r="AG125" s="29">
        <f ca="1"/>
        <v>0.8</v>
      </c>
      <c r="AH125" s="32" t="s">
        <v>62</v>
      </c>
      <c r="AI125" s="32"/>
      <c r="AJ125" s="32"/>
    </row>
    <row r="126" spans="4:36" ht="20.100000000000001" customHeight="1" x14ac:dyDescent="0.25">
      <c r="W126" s="29" t="str">
        <f>INDEX(X_Table_PastureBeef_CrudeProtein_Method2,13,1)</f>
        <v>December 2024</v>
      </c>
      <c r="X126" s="29">
        <f ca="1"/>
        <v>0.57999999999999996</v>
      </c>
      <c r="Y126" s="29">
        <f ca="1"/>
        <v>0.57999999999999996</v>
      </c>
      <c r="Z126" s="29">
        <f ca="1"/>
        <v>0.57999999999999996</v>
      </c>
      <c r="AA126" s="29">
        <f ca="1"/>
        <v>0.57999999999999996</v>
      </c>
      <c r="AB126" s="29">
        <f ca="1"/>
        <v>0.57999999999999996</v>
      </c>
      <c r="AC126" s="29">
        <f ca="1"/>
        <v>0.57999999999999996</v>
      </c>
      <c r="AD126" s="29">
        <f ca="1"/>
        <v>0.57999999999999996</v>
      </c>
      <c r="AE126" s="29">
        <f ca="1"/>
        <v>0.57999999999999996</v>
      </c>
      <c r="AF126" s="29">
        <f ca="1"/>
        <v>0.57999999999999996</v>
      </c>
      <c r="AG126" s="29">
        <f ca="1"/>
        <v>0.57999999999999996</v>
      </c>
      <c r="AH126" s="32" t="s">
        <v>62</v>
      </c>
      <c r="AI126" s="32"/>
      <c r="AJ126" s="32"/>
    </row>
    <row r="127" spans="4:36" ht="20.100000000000001" customHeight="1" x14ac:dyDescent="0.25"/>
    <row r="128" spans="4:36" ht="20.100000000000001" customHeight="1" x14ac:dyDescent="0.25">
      <c r="D128" s="57" t="s">
        <v>211</v>
      </c>
      <c r="W128" s="57" t="s">
        <v>212</v>
      </c>
    </row>
    <row r="129" spans="4:36" ht="20.100000000000001" customHeight="1" x14ac:dyDescent="0.25">
      <c r="D129" s="58" t="s">
        <v>213</v>
      </c>
      <c r="W129" s="58" t="s">
        <v>214</v>
      </c>
    </row>
    <row r="130" spans="4:36" ht="20.100000000000001" customHeight="1" x14ac:dyDescent="0.25">
      <c r="D130" s="59" t="s">
        <v>84</v>
      </c>
      <c r="E130" s="59" t="s">
        <v>31</v>
      </c>
      <c r="F130" s="59" t="s">
        <v>32</v>
      </c>
      <c r="G130" s="59" t="s">
        <v>33</v>
      </c>
      <c r="H130" s="59" t="s">
        <v>34</v>
      </c>
      <c r="I130" s="59" t="s">
        <v>35</v>
      </c>
      <c r="J130" s="59" t="s">
        <v>36</v>
      </c>
      <c r="K130" s="59" t="s">
        <v>37</v>
      </c>
      <c r="L130" s="59" t="s">
        <v>38</v>
      </c>
      <c r="M130" s="59" t="s">
        <v>39</v>
      </c>
      <c r="N130" s="59" t="s">
        <v>40</v>
      </c>
      <c r="W130" s="59" t="s">
        <v>87</v>
      </c>
      <c r="X130" s="59" t="s">
        <v>31</v>
      </c>
      <c r="Y130" s="59" t="s">
        <v>32</v>
      </c>
      <c r="Z130" s="59" t="s">
        <v>33</v>
      </c>
      <c r="AA130" s="59" t="s">
        <v>34</v>
      </c>
      <c r="AB130" s="59" t="s">
        <v>35</v>
      </c>
      <c r="AC130" s="59" t="s">
        <v>36</v>
      </c>
      <c r="AD130" s="59" t="s">
        <v>37</v>
      </c>
      <c r="AE130" s="59" t="s">
        <v>38</v>
      </c>
      <c r="AF130" s="59" t="s">
        <v>39</v>
      </c>
      <c r="AG130" s="59" t="s">
        <v>40</v>
      </c>
    </row>
    <row r="131" spans="4:36" ht="20.100000000000001" customHeight="1" x14ac:dyDescent="0.25">
      <c r="D131" s="29" t="s">
        <v>41</v>
      </c>
      <c r="E131" s="29" cm="1">
        <f t="array" aca="1" ref="E131" ca="1">MMS_PastureBeef_Methane_Equations.VEERG_4_2_1_1__3_VolatileSolidProductionFromGrazingBeef(E84,E115,$I$110)</f>
        <v>1.9145357642956797</v>
      </c>
      <c r="F131" s="29" cm="1">
        <f t="array" aca="1" ref="F131" ca="1">MMS_PastureBeef_Methane_Equations.VEERG_4_2_1_1__3_VolatileSolidProductionFromGrazingBeef(F84,F115,$I$110)</f>
        <v>2.7040272552000002</v>
      </c>
      <c r="G131" s="29" cm="1">
        <f t="array" aca="1" ref="G131" ca="1">MMS_PastureBeef_Methane_Equations.VEERG_4_2_1_1__3_VolatileSolidProductionFromGrazingBeef(G84,G115,$I$110)</f>
        <v>1.45925863828128</v>
      </c>
      <c r="H131" s="29" cm="1">
        <f t="array" aca="1" ref="H131" ca="1">MMS_PastureBeef_Methane_Equations.VEERG_4_2_1_1__3_VolatileSolidProductionFromGrazingBeef(H84,H115,$I$110)</f>
        <v>2.1065186176562882</v>
      </c>
      <c r="I131" s="29" cm="1">
        <f t="array" aca="1" ref="I131" ca="1">MMS_PastureBeef_Methane_Equations.VEERG_4_2_1_1__3_VolatileSolidProductionFromGrazingBeef(I84,I115,$I$110)</f>
        <v>2.4880576692441596</v>
      </c>
      <c r="J131" s="29" cm="1">
        <f t="array" aca="1" ref="J131" ca="1">MMS_PastureBeef_Methane_Equations.VEERG_4_2_1_1__3_VolatileSolidProductionFromGrazingBeef(J84,J115,$I$110)</f>
        <v>2.4880576692441596</v>
      </c>
      <c r="K131" s="29" cm="1">
        <f t="array" aca="1" ref="K131" ca="1">MMS_PastureBeef_Methane_Equations.VEERG_4_2_1_1__3_VolatileSolidProductionFromGrazingBeef(K84,K115,$I$110)</f>
        <v>1.6823317446719992</v>
      </c>
      <c r="L131" s="29" cm="1">
        <f t="array" aca="1" ref="L131" ca="1">MMS_PastureBeef_Methane_Equations.VEERG_4_2_1_1__3_VolatileSolidProductionFromGrazingBeef(L84,L115,$I$110)</f>
        <v>2.1378800925964794</v>
      </c>
      <c r="M131" s="29" cm="1">
        <f t="array" aca="1" ref="M131" ca="1">MMS_PastureBeef_Methane_Equations.VEERG_4_2_1_1__3_VolatileSolidProductionFromGrazingBeef(M84,M115,$I$110)</f>
        <v>2.1378800925964794</v>
      </c>
      <c r="N131" s="29" cm="1">
        <f t="array" aca="1" ref="N131" ca="1">MMS_PastureBeef_Methane_Equations.VEERG_4_2_1_1__3_VolatileSolidProductionFromGrazingBeef(N84,N115,$I$110)</f>
        <v>2.1378800925964794</v>
      </c>
      <c r="O131" s="32" t="str">
        <f>$E$106</f>
        <v>kg/head/day</v>
      </c>
      <c r="P131" s="32"/>
      <c r="Q131" s="32"/>
      <c r="R131" s="32"/>
      <c r="S131" s="32"/>
      <c r="W131" s="29" t="str">
        <f>W115</f>
        <v>January 2024</v>
      </c>
      <c r="X131" s="29" cm="1">
        <f t="array" aca="1" ref="X131" ca="1">MMS_PastureBeef_Methane_Equations.VEERG_4_2_1_1__3_VolatileSolidProductionFromGrazingBeef(X76,X115,$I$110)</f>
        <v>3.0245484814387189</v>
      </c>
      <c r="Y131" s="29" cm="1">
        <f t="array" aca="1" ref="Y131" ca="1">MMS_PastureBeef_Methane_Equations.VEERG_4_2_1_1__3_VolatileSolidProductionFromGrazingBeef(Y76,Y115,$I$110)</f>
        <v>4.0017766623235218</v>
      </c>
      <c r="Z131" s="29" cm="1">
        <f t="array" aca="1" ref="Z131" ca="1">MMS_PastureBeef_Methane_Equations.VEERG_4_2_1_1__3_VolatileSolidProductionFromGrazingBeef(Z76,Z115,$I$110)</f>
        <v>2.5435769713919996</v>
      </c>
      <c r="AA131" s="29" cm="1">
        <f t="array" aca="1" ref="AA131" ca="1">MMS_PastureBeef_Methane_Equations.VEERG_4_2_1_1__3_VolatileSolidProductionFromGrazingBeef(AA76,AA115,$I$110)</f>
        <v>3.5806278816553512</v>
      </c>
      <c r="AB131" s="29" cm="1">
        <f t="array" aca="1" ref="AB131" ca="1">MMS_PastureBeef_Methane_Equations.VEERG_4_2_1_1__3_VolatileSolidProductionFromGrazingBeef(AB76,AB115,$I$110)</f>
        <v>3.5452597228539839</v>
      </c>
      <c r="AC131" s="29" cm="1">
        <f t="array" aca="1" ref="AC131" ca="1">MMS_PastureBeef_Methane_Equations.VEERG_4_2_1_1__3_VolatileSolidProductionFromGrazingBeef(AC76,AC115,$I$110)</f>
        <v>3.5452597228539839</v>
      </c>
      <c r="AD131" s="29" cm="1">
        <f t="array" aca="1" ref="AD131" ca="1">MMS_PastureBeef_Methane_Equations.VEERG_4_2_1_1__3_VolatileSolidProductionFromGrazingBeef(AD76,AD115,$I$110)</f>
        <v>2.7878896244787201</v>
      </c>
      <c r="AE131" s="29" cm="1">
        <f t="array" aca="1" ref="AE131" ca="1">MMS_PastureBeef_Methane_Equations.VEERG_4_2_1_1__3_VolatileSolidProductionFromGrazingBeef(AE76,AE115,$I$110)</f>
        <v>3.1075873239175205</v>
      </c>
      <c r="AF131" s="29" cm="1">
        <f t="array" aca="1" ref="AF131" ca="1">MMS_PastureBeef_Methane_Equations.VEERG_4_2_1_1__3_VolatileSolidProductionFromGrazingBeef(AF76,AF115,$I$110)</f>
        <v>3.1075873239175205</v>
      </c>
      <c r="AG131" s="29" cm="1">
        <f t="array" aca="1" ref="AG131" ca="1">MMS_PastureBeef_Methane_Equations.VEERG_4_2_1_1__3_VolatileSolidProductionFromGrazingBeef(AG76,AG115,$I$110)</f>
        <v>3.1075873239175205</v>
      </c>
      <c r="AH131" s="32" t="str">
        <f t="shared" ref="AH131:AH142" si="3">$E$106</f>
        <v>kg/head/day</v>
      </c>
      <c r="AI131" s="32"/>
      <c r="AJ131" s="32"/>
    </row>
    <row r="132" spans="4:36" ht="20.100000000000001" customHeight="1" x14ac:dyDescent="0.25">
      <c r="D132" s="29" t="s">
        <v>43</v>
      </c>
      <c r="E132" s="29" cm="1">
        <f t="array" aca="1" ref="E132" ca="1">MMS_PastureBeef_Methane_Equations.VEERG_4_2_1_1__3_VolatileSolidProductionFromGrazingBeef(E85,E116,$I$110)</f>
        <v>3.0245484814387189</v>
      </c>
      <c r="F132" s="29" cm="1">
        <f t="array" aca="1" ref="F132" ca="1">MMS_PastureBeef_Methane_Equations.VEERG_4_2_1_1__3_VolatileSolidProductionFromGrazingBeef(F85,F116,$I$110)</f>
        <v>4.0017766623235218</v>
      </c>
      <c r="G132" s="29" cm="1">
        <f t="array" aca="1" ref="G132" ca="1">MMS_PastureBeef_Methane_Equations.VEERG_4_2_1_1__3_VolatileSolidProductionFromGrazingBeef(G85,G116,$I$110)</f>
        <v>2.5435769713919996</v>
      </c>
      <c r="H132" s="29" cm="1">
        <f t="array" aca="1" ref="H132" ca="1">MMS_PastureBeef_Methane_Equations.VEERG_4_2_1_1__3_VolatileSolidProductionFromGrazingBeef(H85,H116,$I$110)</f>
        <v>3.4640492994619203</v>
      </c>
      <c r="I132" s="29" cm="1">
        <f t="array" aca="1" ref="I132" ca="1">MMS_PastureBeef_Methane_Equations.VEERG_4_2_1_1__3_VolatileSolidProductionFromGrazingBeef(I85,I116,$I$110)</f>
        <v>3.4298326621099</v>
      </c>
      <c r="J132" s="29" cm="1">
        <f t="array" aca="1" ref="J132" ca="1">MMS_PastureBeef_Methane_Equations.VEERG_4_2_1_1__3_VolatileSolidProductionFromGrazingBeef(J85,J116,$I$110)</f>
        <v>3.4298326621099</v>
      </c>
      <c r="K132" s="29" cm="1">
        <f t="array" aca="1" ref="K132" ca="1">MMS_PastureBeef_Methane_Equations.VEERG_4_2_1_1__3_VolatileSolidProductionFromGrazingBeef(K85,K116,$I$110)</f>
        <v>2.7878896244787201</v>
      </c>
      <c r="L132" s="29" cm="1">
        <f t="array" aca="1" ref="L132" ca="1">MMS_PastureBeef_Methane_Equations.VEERG_4_2_1_1__3_VolatileSolidProductionFromGrazingBeef(L85,L116,$I$110)</f>
        <v>3.1075873239175205</v>
      </c>
      <c r="M132" s="29" cm="1">
        <f t="array" aca="1" ref="M132" ca="1">MMS_PastureBeef_Methane_Equations.VEERG_4_2_1_1__3_VolatileSolidProductionFromGrazingBeef(M85,M116,$I$110)</f>
        <v>3.1075873239175205</v>
      </c>
      <c r="N132" s="29" cm="1">
        <f t="array" aca="1" ref="N132" ca="1">MMS_PastureBeef_Methane_Equations.VEERG_4_2_1_1__3_VolatileSolidProductionFromGrazingBeef(N85,N116,$I$110)</f>
        <v>3.1075873239175205</v>
      </c>
      <c r="O132" s="32" t="str">
        <f t="shared" ref="O132:O134" si="4">$E$106</f>
        <v>kg/head/day</v>
      </c>
      <c r="P132" s="32"/>
      <c r="Q132" s="32"/>
      <c r="R132" s="32"/>
      <c r="S132" s="32"/>
      <c r="W132" s="29" t="str">
        <f t="shared" ref="W132:W142" si="5">W116</f>
        <v>February 2024</v>
      </c>
      <c r="X132" s="29" cm="1">
        <f t="array" aca="1" ref="X132" ca="1">MMS_PastureBeef_Methane_Equations.VEERG_4_2_1_1__3_VolatileSolidProductionFromGrazingBeef(X77,X116,$I$110)</f>
        <v>3.0245484814387189</v>
      </c>
      <c r="Y132" s="29" cm="1">
        <f t="array" aca="1" ref="Y132" ca="1">MMS_PastureBeef_Methane_Equations.VEERG_4_2_1_1__3_VolatileSolidProductionFromGrazingBeef(Y77,Y116,$I$110)</f>
        <v>4.0017766623235218</v>
      </c>
      <c r="Z132" s="29" cm="1">
        <f t="array" aca="1" ref="Z132" ca="1">MMS_PastureBeef_Methane_Equations.VEERG_4_2_1_1__3_VolatileSolidProductionFromGrazingBeef(Z77,Z116,$I$110)</f>
        <v>2.5435769713919996</v>
      </c>
      <c r="AA132" s="29" cm="1">
        <f t="array" aca="1" ref="AA132" ca="1">MMS_PastureBeef_Methane_Equations.VEERG_4_2_1_1__3_VolatileSolidProductionFromGrazingBeef(AA77,AA116,$I$110)</f>
        <v>3.3308166340980003</v>
      </c>
      <c r="AB132" s="29" cm="1">
        <f t="array" aca="1" ref="AB132" ca="1">MMS_PastureBeef_Methane_Equations.VEERG_4_2_1_1__3_VolatileSolidProductionFromGrazingBeef(AB77,AB116,$I$110)</f>
        <v>3.2979160212595193</v>
      </c>
      <c r="AC132" s="29" cm="1">
        <f t="array" aca="1" ref="AC132" ca="1">MMS_PastureBeef_Methane_Equations.VEERG_4_2_1_1__3_VolatileSolidProductionFromGrazingBeef(AC77,AC116,$I$110)</f>
        <v>3.2979160212595193</v>
      </c>
      <c r="AD132" s="29" cm="1">
        <f t="array" aca="1" ref="AD132" ca="1">MMS_PastureBeef_Methane_Equations.VEERG_4_2_1_1__3_VolatileSolidProductionFromGrazingBeef(AD77,AD116,$I$110)</f>
        <v>2.7878896244787201</v>
      </c>
      <c r="AE132" s="29" cm="1">
        <f t="array" aca="1" ref="AE132" ca="1">MMS_PastureBeef_Methane_Equations.VEERG_4_2_1_1__3_VolatileSolidProductionFromGrazingBeef(AE77,AE116,$I$110)</f>
        <v>3.1075873239175205</v>
      </c>
      <c r="AF132" s="29" cm="1">
        <f t="array" aca="1" ref="AF132" ca="1">MMS_PastureBeef_Methane_Equations.VEERG_4_2_1_1__3_VolatileSolidProductionFromGrazingBeef(AF77,AF116,$I$110)</f>
        <v>3.1075873239175205</v>
      </c>
      <c r="AG132" s="29" cm="1">
        <f t="array" aca="1" ref="AG132" ca="1">MMS_PastureBeef_Methane_Equations.VEERG_4_2_1_1__3_VolatileSolidProductionFromGrazingBeef(AG77,AG116,$I$110)</f>
        <v>3.1075873239175205</v>
      </c>
      <c r="AH132" s="32" t="str">
        <f t="shared" si="3"/>
        <v>kg/head/day</v>
      </c>
      <c r="AI132" s="32"/>
      <c r="AJ132" s="32"/>
    </row>
    <row r="133" spans="4:36" ht="20.100000000000001" customHeight="1" x14ac:dyDescent="0.25">
      <c r="D133" s="29" t="s">
        <v>44</v>
      </c>
      <c r="E133" s="29" cm="1">
        <f t="array" aca="1" ref="E133" ca="1">MMS_PastureBeef_Methane_Equations.VEERG_4_2_1_1__3_VolatileSolidProductionFromGrazingBeef(E86,E117,$I$110)</f>
        <v>1.6132109472</v>
      </c>
      <c r="F133" s="29" cm="1">
        <f t="array" aca="1" ref="F133" ca="1">MMS_PastureBeef_Methane_Equations.VEERG_4_2_1_1__3_VolatileSolidProductionFromGrazingBeef(F86,F117,$I$110)</f>
        <v>4.68216830671488</v>
      </c>
      <c r="G133" s="29" cm="1">
        <f t="array" aca="1" ref="G133" ca="1">MMS_PastureBeef_Methane_Equations.VEERG_4_2_1_1__3_VolatileSolidProductionFromGrazingBeef(G86,G117,$I$110)</f>
        <v>1.47069031131648</v>
      </c>
      <c r="H133" s="29" cm="1">
        <f t="array" aca="1" ref="H133" ca="1">MMS_PastureBeef_Methane_Equations.VEERG_4_2_1_1__3_VolatileSolidProductionFromGrazingBeef(H86,H117,$I$110)</f>
        <v>2.9894321558500128</v>
      </c>
      <c r="I133" s="29" cm="1">
        <f t="array" aca="1" ref="I133" ca="1">MMS_PastureBeef_Methane_Equations.VEERG_4_2_1_1__3_VolatileSolidProductionFromGrazingBeef(I86,I117,$I$110)</f>
        <v>3.3375011322160799</v>
      </c>
      <c r="J133" s="29" cm="1">
        <f t="array" aca="1" ref="J133" ca="1">MMS_PastureBeef_Methane_Equations.VEERG_4_2_1_1__3_VolatileSolidProductionFromGrazingBeef(J86,J117,$I$110)</f>
        <v>3.3375011322160799</v>
      </c>
      <c r="K133" s="29" cm="1">
        <f t="array" aca="1" ref="K133" ca="1">MMS_PastureBeef_Methane_Equations.VEERG_4_2_1_1__3_VolatileSolidProductionFromGrazingBeef(K86,K117,$I$110)</f>
        <v>1.6132109472</v>
      </c>
      <c r="L133" s="29" cm="1">
        <f t="array" aca="1" ref="L133" ca="1">MMS_PastureBeef_Methane_Equations.VEERG_4_2_1_1__3_VolatileSolidProductionFromGrazingBeef(L86,L117,$I$110)</f>
        <v>2.9288239104268809</v>
      </c>
      <c r="M133" s="29" cm="1">
        <f t="array" aca="1" ref="M133" ca="1">MMS_PastureBeef_Methane_Equations.VEERG_4_2_1_1__3_VolatileSolidProductionFromGrazingBeef(M86,M117,$I$110)</f>
        <v>2.9288239104268809</v>
      </c>
      <c r="N133" s="29" cm="1">
        <f t="array" aca="1" ref="N133" ca="1">MMS_PastureBeef_Methane_Equations.VEERG_4_2_1_1__3_VolatileSolidProductionFromGrazingBeef(N86,N117,$I$110)</f>
        <v>2.9288239104268809</v>
      </c>
      <c r="O133" s="32" t="str">
        <f t="shared" si="4"/>
        <v>kg/head/day</v>
      </c>
      <c r="P133" s="32"/>
      <c r="Q133" s="32"/>
      <c r="R133" s="32"/>
      <c r="S133" s="32"/>
      <c r="W133" s="29" t="str">
        <f t="shared" si="5"/>
        <v>March 2024</v>
      </c>
      <c r="X133" s="29" cm="1">
        <f t="array" aca="1" ref="X133" ca="1">MMS_PastureBeef_Methane_Equations.VEERG_4_2_1_1__3_VolatileSolidProductionFromGrazingBeef(X78,X117,$I$110)</f>
        <v>1.6132109472</v>
      </c>
      <c r="Y133" s="29" cm="1">
        <f t="array" aca="1" ref="Y133" ca="1">MMS_PastureBeef_Methane_Equations.VEERG_4_2_1_1__3_VolatileSolidProductionFromGrazingBeef(Y78,Y117,$I$110)</f>
        <v>4.68216830671488</v>
      </c>
      <c r="Z133" s="29" cm="1">
        <f t="array" aca="1" ref="Z133" ca="1">MMS_PastureBeef_Methane_Equations.VEERG_4_2_1_1__3_VolatileSolidProductionFromGrazingBeef(Z78,Z117,$I$110)</f>
        <v>1.47069031131648</v>
      </c>
      <c r="AA133" s="29" cm="1">
        <f t="array" aca="1" ref="AA133" ca="1">MMS_PastureBeef_Methane_Equations.VEERG_4_2_1_1__3_VolatileSolidProductionFromGrazingBeef(AA78,AA117,$I$110)</f>
        <v>2.9598338176732795</v>
      </c>
      <c r="AB133" s="29" cm="1">
        <f t="array" aca="1" ref="AB133" ca="1">MMS_PastureBeef_Methane_Equations.VEERG_4_2_1_1__3_VolatileSolidProductionFromGrazingBeef(AB78,AB117,$I$110)</f>
        <v>3.3375011322160799</v>
      </c>
      <c r="AC133" s="29" cm="1">
        <f t="array" aca="1" ref="AC133" ca="1">MMS_PastureBeef_Methane_Equations.VEERG_4_2_1_1__3_VolatileSolidProductionFromGrazingBeef(AC78,AC117,$I$110)</f>
        <v>3.3375011322160799</v>
      </c>
      <c r="AD133" s="29" cm="1">
        <f t="array" aca="1" ref="AD133" ca="1">MMS_PastureBeef_Methane_Equations.VEERG_4_2_1_1__3_VolatileSolidProductionFromGrazingBeef(AD78,AD117,$I$110)</f>
        <v>1.6132109472</v>
      </c>
      <c r="AE133" s="29" cm="1">
        <f t="array" aca="1" ref="AE133" ca="1">MMS_PastureBeef_Methane_Equations.VEERG_4_2_1_1__3_VolatileSolidProductionFromGrazingBeef(AE78,AE117,$I$110)</f>
        <v>2.9288239104268809</v>
      </c>
      <c r="AF133" s="29" cm="1">
        <f t="array" aca="1" ref="AF133" ca="1">MMS_PastureBeef_Methane_Equations.VEERG_4_2_1_1__3_VolatileSolidProductionFromGrazingBeef(AF78,AF117,$I$110)</f>
        <v>2.9288239104268809</v>
      </c>
      <c r="AG133" s="29" cm="1">
        <f t="array" aca="1" ref="AG133" ca="1">MMS_PastureBeef_Methane_Equations.VEERG_4_2_1_1__3_VolatileSolidProductionFromGrazingBeef(AG78,AG117,$I$110)</f>
        <v>2.9288239104268809</v>
      </c>
      <c r="AH133" s="32" t="str">
        <f t="shared" si="3"/>
        <v>kg/head/day</v>
      </c>
      <c r="AI133" s="32"/>
      <c r="AJ133" s="32"/>
    </row>
    <row r="134" spans="4:36" ht="20.100000000000001" customHeight="1" x14ac:dyDescent="0.25">
      <c r="D134" s="29" t="s">
        <v>45</v>
      </c>
      <c r="E134" s="29" cm="1">
        <f t="array" aca="1" ref="E134" ca="1">MMS_PastureBeef_Methane_Equations.VEERG_4_2_1_1__3_VolatileSolidProductionFromGrazingBeef(E87,E118,$I$110)</f>
        <v>1.3694571992330802</v>
      </c>
      <c r="F134" s="29" cm="1">
        <f t="array" aca="1" ref="F134" ca="1">MMS_PastureBeef_Methane_Equations.VEERG_4_2_1_1__3_VolatileSolidProductionFromGrazingBeef(F87,F118,$I$110)</f>
        <v>2.6612923518519995</v>
      </c>
      <c r="G134" s="29" cm="1">
        <f t="array" aca="1" ref="G134" ca="1">MMS_PastureBeef_Methane_Equations.VEERG_4_2_1_1__3_VolatileSolidProductionFromGrazingBeef(G87,G118,$I$110)</f>
        <v>1.1212816946670003</v>
      </c>
      <c r="H134" s="29" cm="1">
        <f t="array" aca="1" ref="H134" ca="1">MMS_PastureBeef_Methane_Equations.VEERG_4_2_1_1__3_VolatileSolidProductionFromGrazingBeef(H87,H118,$I$110)</f>
        <v>1.9136639454654354</v>
      </c>
      <c r="I134" s="29" cm="1">
        <f t="array" aca="1" ref="I134" ca="1">MMS_PastureBeef_Methane_Equations.VEERG_4_2_1_1__3_VolatileSolidProductionFromGrazingBeef(I87,I118,$I$110)</f>
        <v>2.4399380633826815</v>
      </c>
      <c r="J134" s="29" cm="1">
        <f t="array" aca="1" ref="J134" ca="1">MMS_PastureBeef_Methane_Equations.VEERG_4_2_1_1__3_VolatileSolidProductionFromGrazingBeef(J87,J118,$I$110)</f>
        <v>2.4399380633826815</v>
      </c>
      <c r="K134" s="29" cm="1">
        <f t="array" aca="1" ref="K134" ca="1">MMS_PastureBeef_Methane_Equations.VEERG_4_2_1_1__3_VolatileSolidProductionFromGrazingBeef(K87,K118,$I$110)</f>
        <v>1.2038731355098797</v>
      </c>
      <c r="L134" s="29" cm="1">
        <f t="array" aca="1" ref="L134" ca="1">MMS_PastureBeef_Methane_Equations.VEERG_4_2_1_1__3_VolatileSolidProductionFromGrazingBeef(L87,L118,$I$110)</f>
        <v>1.8328761618508798</v>
      </c>
      <c r="M134" s="29" cm="1">
        <f t="array" aca="1" ref="M134" ca="1">MMS_PastureBeef_Methane_Equations.VEERG_4_2_1_1__3_VolatileSolidProductionFromGrazingBeef(M87,M118,$I$110)</f>
        <v>1.8328761618508798</v>
      </c>
      <c r="N134" s="29" cm="1">
        <f t="array" aca="1" ref="N134" ca="1">MMS_PastureBeef_Methane_Equations.VEERG_4_2_1_1__3_VolatileSolidProductionFromGrazingBeef(N87,N118,$I$110)</f>
        <v>1.8328761618508798</v>
      </c>
      <c r="O134" s="32" t="str">
        <f t="shared" si="4"/>
        <v>kg/head/day</v>
      </c>
      <c r="P134" s="32"/>
      <c r="Q134" s="32"/>
      <c r="R134" s="32"/>
      <c r="S134" s="32"/>
      <c r="W134" s="29" t="str">
        <f t="shared" si="5"/>
        <v>April 2024</v>
      </c>
      <c r="X134" s="29" cm="1">
        <f t="array" aca="1" ref="X134" ca="1">MMS_PastureBeef_Methane_Equations.VEERG_4_2_1_1__3_VolatileSolidProductionFromGrazingBeef(X79,X118,$I$110)</f>
        <v>1.6132109472</v>
      </c>
      <c r="Y134" s="29" cm="1">
        <f t="array" aca="1" ref="Y134" ca="1">MMS_PastureBeef_Methane_Equations.VEERG_4_2_1_1__3_VolatileSolidProductionFromGrazingBeef(Y79,Y118,$I$110)</f>
        <v>4.68216830671488</v>
      </c>
      <c r="Z134" s="29" cm="1">
        <f t="array" aca="1" ref="Z134" ca="1">MMS_PastureBeef_Methane_Equations.VEERG_4_2_1_1__3_VolatileSolidProductionFromGrazingBeef(Z79,Z118,$I$110)</f>
        <v>1.47069031131648</v>
      </c>
      <c r="AA134" s="29" cm="1">
        <f t="array" aca="1" ref="AA134" ca="1">MMS_PastureBeef_Methane_Equations.VEERG_4_2_1_1__3_VolatileSolidProductionFromGrazingBeef(AA79,AA118,$I$110)</f>
        <v>2.9598338176732795</v>
      </c>
      <c r="AB134" s="29" cm="1">
        <f t="array" aca="1" ref="AB134" ca="1">MMS_PastureBeef_Methane_Equations.VEERG_4_2_1_1__3_VolatileSolidProductionFromGrazingBeef(AB79,AB118,$I$110)</f>
        <v>3.3375011322160799</v>
      </c>
      <c r="AC134" s="29" cm="1">
        <f t="array" aca="1" ref="AC134" ca="1">MMS_PastureBeef_Methane_Equations.VEERG_4_2_1_1__3_VolatileSolidProductionFromGrazingBeef(AC79,AC118,$I$110)</f>
        <v>3.3375011322160799</v>
      </c>
      <c r="AD134" s="29" cm="1">
        <f t="array" aca="1" ref="AD134" ca="1">MMS_PastureBeef_Methane_Equations.VEERG_4_2_1_1__3_VolatileSolidProductionFromGrazingBeef(AD79,AD118,$I$110)</f>
        <v>1.6132109472</v>
      </c>
      <c r="AE134" s="29" cm="1">
        <f t="array" aca="1" ref="AE134" ca="1">MMS_PastureBeef_Methane_Equations.VEERG_4_2_1_1__3_VolatileSolidProductionFromGrazingBeef(AE79,AE118,$I$110)</f>
        <v>2.9288239104268809</v>
      </c>
      <c r="AF134" s="29" cm="1">
        <f t="array" aca="1" ref="AF134" ca="1">MMS_PastureBeef_Methane_Equations.VEERG_4_2_1_1__3_VolatileSolidProductionFromGrazingBeef(AF79,AF118,$I$110)</f>
        <v>2.9288239104268809</v>
      </c>
      <c r="AG134" s="29" cm="1">
        <f t="array" aca="1" ref="AG134" ca="1">MMS_PastureBeef_Methane_Equations.VEERG_4_2_1_1__3_VolatileSolidProductionFromGrazingBeef(AG79,AG118,$I$110)</f>
        <v>2.9288239104268809</v>
      </c>
      <c r="AH134" s="32" t="str">
        <f t="shared" si="3"/>
        <v>kg/head/day</v>
      </c>
      <c r="AI134" s="32"/>
      <c r="AJ134" s="32"/>
    </row>
    <row r="135" spans="4:36" ht="20.100000000000001" customHeight="1" x14ac:dyDescent="0.25">
      <c r="W135" s="29" t="str">
        <f t="shared" si="5"/>
        <v>May 2024</v>
      </c>
      <c r="X135" s="29" cm="1">
        <f t="array" aca="1" ref="X135" ca="1">MMS_PastureBeef_Methane_Equations.VEERG_4_2_1_1__3_VolatileSolidProductionFromGrazingBeef(X80,X119,$I$110)</f>
        <v>1.6132109472</v>
      </c>
      <c r="Y135" s="29" cm="1">
        <f t="array" aca="1" ref="Y135" ca="1">MMS_PastureBeef_Methane_Equations.VEERG_4_2_1_1__3_VolatileSolidProductionFromGrazingBeef(Y80,Y119,$I$110)</f>
        <v>4.68216830671488</v>
      </c>
      <c r="Z135" s="29" cm="1">
        <f t="array" aca="1" ref="Z135" ca="1">MMS_PastureBeef_Methane_Equations.VEERG_4_2_1_1__3_VolatileSolidProductionFromGrazingBeef(Z80,Z119,$I$110)</f>
        <v>1.47069031131648</v>
      </c>
      <c r="AA135" s="29" cm="1">
        <f t="array" aca="1" ref="AA135" ca="1">MMS_PastureBeef_Methane_Equations.VEERG_4_2_1_1__3_VolatileSolidProductionFromGrazingBeef(AA80,AA119,$I$110)</f>
        <v>2.9598338176732795</v>
      </c>
      <c r="AB135" s="29" cm="1">
        <f t="array" aca="1" ref="AB135" ca="1">MMS_PastureBeef_Methane_Equations.VEERG_4_2_1_1__3_VolatileSolidProductionFromGrazingBeef(AB80,AB119,$I$110)</f>
        <v>3.3375011322160799</v>
      </c>
      <c r="AC135" s="29" cm="1">
        <f t="array" aca="1" ref="AC135" ca="1">MMS_PastureBeef_Methane_Equations.VEERG_4_2_1_1__3_VolatileSolidProductionFromGrazingBeef(AC80,AC119,$I$110)</f>
        <v>3.3375011322160799</v>
      </c>
      <c r="AD135" s="29" cm="1">
        <f t="array" aca="1" ref="AD135" ca="1">MMS_PastureBeef_Methane_Equations.VEERG_4_2_1_1__3_VolatileSolidProductionFromGrazingBeef(AD80,AD119,$I$110)</f>
        <v>1.6132109472</v>
      </c>
      <c r="AE135" s="29" cm="1">
        <f t="array" aca="1" ref="AE135" ca="1">MMS_PastureBeef_Methane_Equations.VEERG_4_2_1_1__3_VolatileSolidProductionFromGrazingBeef(AE80,AE119,$I$110)</f>
        <v>2.9288239104268809</v>
      </c>
      <c r="AF135" s="29" cm="1">
        <f t="array" aca="1" ref="AF135" ca="1">MMS_PastureBeef_Methane_Equations.VEERG_4_2_1_1__3_VolatileSolidProductionFromGrazingBeef(AF80,AF119,$I$110)</f>
        <v>2.9288239104268809</v>
      </c>
      <c r="AG135" s="29" cm="1">
        <f t="array" aca="1" ref="AG135" ca="1">MMS_PastureBeef_Methane_Equations.VEERG_4_2_1_1__3_VolatileSolidProductionFromGrazingBeef(AG80,AG119,$I$110)</f>
        <v>2.9288239104268809</v>
      </c>
      <c r="AH135" s="32" t="str">
        <f t="shared" si="3"/>
        <v>kg/head/day</v>
      </c>
      <c r="AI135" s="32"/>
      <c r="AJ135" s="32"/>
    </row>
    <row r="136" spans="4:36" ht="20.100000000000001" customHeight="1" x14ac:dyDescent="0.25">
      <c r="W136" s="29" t="str">
        <f t="shared" si="5"/>
        <v>June 2024</v>
      </c>
      <c r="X136" s="29" cm="1">
        <f t="array" aca="1" ref="X136" ca="1">MMS_PastureBeef_Methane_Equations.VEERG_4_2_1_1__3_VolatileSolidProductionFromGrazingBeef(X81,X120,$I$110)</f>
        <v>1.3694571992330802</v>
      </c>
      <c r="Y136" s="29" cm="1">
        <f t="array" aca="1" ref="Y136" ca="1">MMS_PastureBeef_Methane_Equations.VEERG_4_2_1_1__3_VolatileSolidProductionFromGrazingBeef(Y81,Y120,$I$110)</f>
        <v>2.6612923518519995</v>
      </c>
      <c r="Z136" s="29" cm="1">
        <f t="array" aca="1" ref="Z136" ca="1">MMS_PastureBeef_Methane_Equations.VEERG_4_2_1_1__3_VolatileSolidProductionFromGrazingBeef(Z81,Z120,$I$110)</f>
        <v>1.1212816946670003</v>
      </c>
      <c r="AA136" s="29" cm="1">
        <f t="array" aca="1" ref="AA136" ca="1">MMS_PastureBeef_Methane_Equations.VEERG_4_2_1_1__3_VolatileSolidProductionFromGrazingBeef(AA81,AA120,$I$110)</f>
        <v>1.5815404507978805</v>
      </c>
      <c r="AB136" s="29" cm="1">
        <f t="array" aca="1" ref="AB136" ca="1">MMS_PastureBeef_Methane_Equations.VEERG_4_2_1_1__3_VolatileSolidProductionFromGrazingBeef(AB81,AB120,$I$110)</f>
        <v>2.1216852725066797</v>
      </c>
      <c r="AC136" s="29" cm="1">
        <f t="array" aca="1" ref="AC136" ca="1">MMS_PastureBeef_Methane_Equations.VEERG_4_2_1_1__3_VolatileSolidProductionFromGrazingBeef(AC81,AC120,$I$110)</f>
        <v>2.1216852725066797</v>
      </c>
      <c r="AD136" s="29" cm="1">
        <f t="array" aca="1" ref="AD136" ca="1">MMS_PastureBeef_Methane_Equations.VEERG_4_2_1_1__3_VolatileSolidProductionFromGrazingBeef(AD81,AD120,$I$110)</f>
        <v>1.2038731355098797</v>
      </c>
      <c r="AE136" s="29" cm="1">
        <f t="array" aca="1" ref="AE136" ca="1">MMS_PastureBeef_Methane_Equations.VEERG_4_2_1_1__3_VolatileSolidProductionFromGrazingBeef(AE81,AE120,$I$110)</f>
        <v>1.8328761618508798</v>
      </c>
      <c r="AF136" s="29" cm="1">
        <f t="array" aca="1" ref="AF136" ca="1">MMS_PastureBeef_Methane_Equations.VEERG_4_2_1_1__3_VolatileSolidProductionFromGrazingBeef(AF81,AF120,$I$110)</f>
        <v>1.8328761618508798</v>
      </c>
      <c r="AG136" s="29" cm="1">
        <f t="array" aca="1" ref="AG136" ca="1">MMS_PastureBeef_Methane_Equations.VEERG_4_2_1_1__3_VolatileSolidProductionFromGrazingBeef(AG81,AG120,$I$110)</f>
        <v>1.8328761618508798</v>
      </c>
      <c r="AH136" s="32" t="str">
        <f t="shared" si="3"/>
        <v>kg/head/day</v>
      </c>
      <c r="AI136" s="32"/>
      <c r="AJ136" s="32"/>
    </row>
    <row r="137" spans="4:36" ht="20.100000000000001" customHeight="1" x14ac:dyDescent="0.25">
      <c r="W137" s="29" t="str">
        <f t="shared" si="5"/>
        <v>July 2024</v>
      </c>
      <c r="X137" s="29" cm="1">
        <f t="array" aca="1" ref="X137" ca="1">MMS_PastureBeef_Methane_Equations.VEERG_4_2_1_1__3_VolatileSolidProductionFromGrazingBeef(X82,X121,$I$110)</f>
        <v>1.3694571992330802</v>
      </c>
      <c r="Y137" s="29" cm="1">
        <f t="array" aca="1" ref="Y137" ca="1">MMS_PastureBeef_Methane_Equations.VEERG_4_2_1_1__3_VolatileSolidProductionFromGrazingBeef(Y82,Y121,$I$110)</f>
        <v>2.6612923518519995</v>
      </c>
      <c r="Z137" s="29" cm="1">
        <f t="array" aca="1" ref="Z137" ca="1">MMS_PastureBeef_Methane_Equations.VEERG_4_2_1_1__3_VolatileSolidProductionFromGrazingBeef(Z82,Z121,$I$110)</f>
        <v>1.1212816946670003</v>
      </c>
      <c r="AA137" s="29" cm="1">
        <f t="array" aca="1" ref="AA137" ca="1">MMS_PastureBeef_Methane_Equations.VEERG_4_2_1_1__3_VolatileSolidProductionFromGrazingBeef(AA82,AA121,$I$110)</f>
        <v>1.5815404507978805</v>
      </c>
      <c r="AB137" s="29" cm="1">
        <f t="array" aca="1" ref="AB137" ca="1">MMS_PastureBeef_Methane_Equations.VEERG_4_2_1_1__3_VolatileSolidProductionFromGrazingBeef(AB82,AB121,$I$110)</f>
        <v>2.1216852725066797</v>
      </c>
      <c r="AC137" s="29" cm="1">
        <f t="array" aca="1" ref="AC137" ca="1">MMS_PastureBeef_Methane_Equations.VEERG_4_2_1_1__3_VolatileSolidProductionFromGrazingBeef(AC82,AC121,$I$110)</f>
        <v>2.1216852725066797</v>
      </c>
      <c r="AD137" s="29" cm="1">
        <f t="array" aca="1" ref="AD137" ca="1">MMS_PastureBeef_Methane_Equations.VEERG_4_2_1_1__3_VolatileSolidProductionFromGrazingBeef(AD82,AD121,$I$110)</f>
        <v>1.2038731355098797</v>
      </c>
      <c r="AE137" s="29" cm="1">
        <f t="array" aca="1" ref="AE137" ca="1">MMS_PastureBeef_Methane_Equations.VEERG_4_2_1_1__3_VolatileSolidProductionFromGrazingBeef(AE82,AE121,$I$110)</f>
        <v>1.8328761618508798</v>
      </c>
      <c r="AF137" s="29" cm="1">
        <f t="array" aca="1" ref="AF137" ca="1">MMS_PastureBeef_Methane_Equations.VEERG_4_2_1_1__3_VolatileSolidProductionFromGrazingBeef(AF82,AF121,$I$110)</f>
        <v>1.8328761618508798</v>
      </c>
      <c r="AG137" s="29" cm="1">
        <f t="array" aca="1" ref="AG137" ca="1">MMS_PastureBeef_Methane_Equations.VEERG_4_2_1_1__3_VolatileSolidProductionFromGrazingBeef(AG82,AG121,$I$110)</f>
        <v>1.8328761618508798</v>
      </c>
      <c r="AH137" s="32" t="str">
        <f t="shared" si="3"/>
        <v>kg/head/day</v>
      </c>
      <c r="AI137" s="32"/>
      <c r="AJ137" s="32"/>
    </row>
    <row r="138" spans="4:36" ht="20.100000000000001" customHeight="1" x14ac:dyDescent="0.25">
      <c r="W138" s="29" t="str">
        <f t="shared" si="5"/>
        <v>August 2024</v>
      </c>
      <c r="X138" s="29" cm="1">
        <f t="array" aca="1" ref="X138" ca="1">MMS_PastureBeef_Methane_Equations.VEERG_4_2_1_1__3_VolatileSolidProductionFromGrazingBeef(X83,X122,$I$110)</f>
        <v>1.3694571992330802</v>
      </c>
      <c r="Y138" s="29" cm="1">
        <f t="array" aca="1" ref="Y138" ca="1">MMS_PastureBeef_Methane_Equations.VEERG_4_2_1_1__3_VolatileSolidProductionFromGrazingBeef(Y83,Y122,$I$110)</f>
        <v>2.6612923518519995</v>
      </c>
      <c r="Z138" s="29" cm="1">
        <f t="array" aca="1" ref="Z138" ca="1">MMS_PastureBeef_Methane_Equations.VEERG_4_2_1_1__3_VolatileSolidProductionFromGrazingBeef(Z83,Z122,$I$110)</f>
        <v>1.1212816946670003</v>
      </c>
      <c r="AA138" s="29" cm="1">
        <f t="array" aca="1" ref="AA138" ca="1">MMS_PastureBeef_Methane_Equations.VEERG_4_2_1_1__3_VolatileSolidProductionFromGrazingBeef(AA83,AA122,$I$110)</f>
        <v>1.9373870522274037</v>
      </c>
      <c r="AB138" s="29" cm="1">
        <f t="array" aca="1" ref="AB138" ca="1">MMS_PastureBeef_Methane_Equations.VEERG_4_2_1_1__3_VolatileSolidProductionFromGrazingBeef(AB83,AB122,$I$110)</f>
        <v>2.5990644588206826</v>
      </c>
      <c r="AC138" s="29" cm="1">
        <f t="array" aca="1" ref="AC138" ca="1">MMS_PastureBeef_Methane_Equations.VEERG_4_2_1_1__3_VolatileSolidProductionFromGrazingBeef(AC83,AC122,$I$110)</f>
        <v>2.5990644588206826</v>
      </c>
      <c r="AD138" s="29" cm="1">
        <f t="array" aca="1" ref="AD138" ca="1">MMS_PastureBeef_Methane_Equations.VEERG_4_2_1_1__3_VolatileSolidProductionFromGrazingBeef(AD83,AD122,$I$110)</f>
        <v>1.2038731355098797</v>
      </c>
      <c r="AE138" s="29" cm="1">
        <f t="array" aca="1" ref="AE138" ca="1">MMS_PastureBeef_Methane_Equations.VEERG_4_2_1_1__3_VolatileSolidProductionFromGrazingBeef(AE83,AE122,$I$110)</f>
        <v>1.8328761618508798</v>
      </c>
      <c r="AF138" s="29" cm="1">
        <f t="array" aca="1" ref="AF138" ca="1">MMS_PastureBeef_Methane_Equations.VEERG_4_2_1_1__3_VolatileSolidProductionFromGrazingBeef(AF83,AF122,$I$110)</f>
        <v>1.8328761618508798</v>
      </c>
      <c r="AG138" s="29" cm="1">
        <f t="array" aca="1" ref="AG138" ca="1">MMS_PastureBeef_Methane_Equations.VEERG_4_2_1_1__3_VolatileSolidProductionFromGrazingBeef(AG83,AG122,$I$110)</f>
        <v>1.8328761618508798</v>
      </c>
      <c r="AH138" s="32" t="str">
        <f t="shared" si="3"/>
        <v>kg/head/day</v>
      </c>
      <c r="AI138" s="32"/>
      <c r="AJ138" s="32"/>
    </row>
    <row r="139" spans="4:36" ht="20.100000000000001" customHeight="1" x14ac:dyDescent="0.25">
      <c r="W139" s="29" t="str">
        <f t="shared" si="5"/>
        <v>September 2024</v>
      </c>
      <c r="X139" s="29" cm="1">
        <f t="array" aca="1" ref="X139" ca="1">MMS_PastureBeef_Methane_Equations.VEERG_4_2_1_1__3_VolatileSolidProductionFromGrazingBeef(X84,X123,$I$110)</f>
        <v>1.9145357642956797</v>
      </c>
      <c r="Y139" s="29" cm="1">
        <f t="array" aca="1" ref="Y139" ca="1">MMS_PastureBeef_Methane_Equations.VEERG_4_2_1_1__3_VolatileSolidProductionFromGrazingBeef(Y84,Y123,$I$110)</f>
        <v>2.7040272552000002</v>
      </c>
      <c r="Z139" s="29" cm="1">
        <f t="array" aca="1" ref="Z139" ca="1">MMS_PastureBeef_Methane_Equations.VEERG_4_2_1_1__3_VolatileSolidProductionFromGrazingBeef(Z84,Z123,$I$110)</f>
        <v>1.45925863828128</v>
      </c>
      <c r="AA139" s="29" cm="1">
        <f t="array" aca="1" ref="AA139" ca="1">MMS_PastureBeef_Methane_Equations.VEERG_4_2_1_1__3_VolatileSolidProductionFromGrazingBeef(AA84,AA123,$I$110)</f>
        <v>2.3458957332990487</v>
      </c>
      <c r="AB139" s="29" cm="1">
        <f t="array" aca="1" ref="AB139" ca="1">MMS_PastureBeef_Methane_Equations.VEERG_4_2_1_1__3_VolatileSolidProductionFromGrazingBeef(AB84,AB123,$I$110)</f>
        <v>2.6050176451488007</v>
      </c>
      <c r="AC139" s="29" cm="1">
        <f t="array" aca="1" ref="AC139" ca="1">MMS_PastureBeef_Methane_Equations.VEERG_4_2_1_1__3_VolatileSolidProductionFromGrazingBeef(AC84,AC123,$I$110)</f>
        <v>2.6050176451488007</v>
      </c>
      <c r="AD139" s="29" cm="1">
        <f t="array" aca="1" ref="AD139" ca="1">MMS_PastureBeef_Methane_Equations.VEERG_4_2_1_1__3_VolatileSolidProductionFromGrazingBeef(AD84,AD123,$I$110)</f>
        <v>1.6823317446719992</v>
      </c>
      <c r="AE139" s="29" cm="1">
        <f t="array" aca="1" ref="AE139" ca="1">MMS_PastureBeef_Methane_Equations.VEERG_4_2_1_1__3_VolatileSolidProductionFromGrazingBeef(AE84,AE123,$I$110)</f>
        <v>2.1378800925964794</v>
      </c>
      <c r="AF139" s="29" cm="1">
        <f t="array" aca="1" ref="AF139" ca="1">MMS_PastureBeef_Methane_Equations.VEERG_4_2_1_1__3_VolatileSolidProductionFromGrazingBeef(AF84,AF123,$I$110)</f>
        <v>2.1378800925964794</v>
      </c>
      <c r="AG139" s="29" cm="1">
        <f t="array" aca="1" ref="AG139" ca="1">MMS_PastureBeef_Methane_Equations.VEERG_4_2_1_1__3_VolatileSolidProductionFromGrazingBeef(AG84,AG123,$I$110)</f>
        <v>2.1378800925964794</v>
      </c>
      <c r="AH139" s="32" t="str">
        <f t="shared" si="3"/>
        <v>kg/head/day</v>
      </c>
      <c r="AI139" s="32"/>
      <c r="AJ139" s="32"/>
    </row>
    <row r="140" spans="4:36" ht="20.100000000000001" customHeight="1" x14ac:dyDescent="0.25">
      <c r="W140" s="29" t="str">
        <f t="shared" si="5"/>
        <v>October 2024</v>
      </c>
      <c r="X140" s="29" cm="1">
        <f t="array" aca="1" ref="X140" ca="1">MMS_PastureBeef_Methane_Equations.VEERG_4_2_1_1__3_VolatileSolidProductionFromGrazingBeef(X85,X124,$I$110)</f>
        <v>1.9145357642956797</v>
      </c>
      <c r="Y140" s="29" cm="1">
        <f t="array" aca="1" ref="Y140" ca="1">MMS_PastureBeef_Methane_Equations.VEERG_4_2_1_1__3_VolatileSolidProductionFromGrazingBeef(Y85,Y124,$I$110)</f>
        <v>2.7040272552000002</v>
      </c>
      <c r="Z140" s="29" cm="1">
        <f t="array" aca="1" ref="Z140" ca="1">MMS_PastureBeef_Methane_Equations.VEERG_4_2_1_1__3_VolatileSolidProductionFromGrazingBeef(Z85,Z124,$I$110)</f>
        <v>1.45925863828128</v>
      </c>
      <c r="AA140" s="29" cm="1">
        <f t="array" aca="1" ref="AA140" ca="1">MMS_PastureBeef_Methane_Equations.VEERG_4_2_1_1__3_VolatileSolidProductionFromGrazingBeef(AA85,AA124,$I$110)</f>
        <v>2.3458957332990487</v>
      </c>
      <c r="AB140" s="29" cm="1">
        <f t="array" aca="1" ref="AB140" ca="1">MMS_PastureBeef_Methane_Equations.VEERG_4_2_1_1__3_VolatileSolidProductionFromGrazingBeef(AB85,AB124,$I$110)</f>
        <v>2.6050176451488007</v>
      </c>
      <c r="AC140" s="29" cm="1">
        <f t="array" aca="1" ref="AC140" ca="1">MMS_PastureBeef_Methane_Equations.VEERG_4_2_1_1__3_VolatileSolidProductionFromGrazingBeef(AC85,AC124,$I$110)</f>
        <v>2.6050176451488007</v>
      </c>
      <c r="AD140" s="29" cm="1">
        <f t="array" aca="1" ref="AD140" ca="1">MMS_PastureBeef_Methane_Equations.VEERG_4_2_1_1__3_VolatileSolidProductionFromGrazingBeef(AD85,AD124,$I$110)</f>
        <v>1.6823317446719992</v>
      </c>
      <c r="AE140" s="29" cm="1">
        <f t="array" aca="1" ref="AE140" ca="1">MMS_PastureBeef_Methane_Equations.VEERG_4_2_1_1__3_VolatileSolidProductionFromGrazingBeef(AE85,AE124,$I$110)</f>
        <v>2.1378800925964794</v>
      </c>
      <c r="AF140" s="29" cm="1">
        <f t="array" aca="1" ref="AF140" ca="1">MMS_PastureBeef_Methane_Equations.VEERG_4_2_1_1__3_VolatileSolidProductionFromGrazingBeef(AF85,AF124,$I$110)</f>
        <v>2.1378800925964794</v>
      </c>
      <c r="AG140" s="29" cm="1">
        <f t="array" aca="1" ref="AG140" ca="1">MMS_PastureBeef_Methane_Equations.VEERG_4_2_1_1__3_VolatileSolidProductionFromGrazingBeef(AG85,AG124,$I$110)</f>
        <v>2.1378800925964794</v>
      </c>
      <c r="AH140" s="32" t="str">
        <f t="shared" si="3"/>
        <v>kg/head/day</v>
      </c>
      <c r="AI140" s="32"/>
      <c r="AJ140" s="32"/>
    </row>
    <row r="141" spans="4:36" ht="20.100000000000001" customHeight="1" x14ac:dyDescent="0.25">
      <c r="W141" s="29" t="str">
        <f t="shared" si="5"/>
        <v>November 2024</v>
      </c>
      <c r="X141" s="29" cm="1">
        <f t="array" aca="1" ref="X141" ca="1">MMS_PastureBeef_Methane_Equations.VEERG_4_2_1_1__3_VolatileSolidProductionFromGrazingBeef(X86,X125,$I$110)</f>
        <v>1.9145357642956797</v>
      </c>
      <c r="Y141" s="29" cm="1">
        <f t="array" aca="1" ref="Y141" ca="1">MMS_PastureBeef_Methane_Equations.VEERG_4_2_1_1__3_VolatileSolidProductionFromGrazingBeef(Y86,Y125,$I$110)</f>
        <v>2.7040272552000002</v>
      </c>
      <c r="Z141" s="29" cm="1">
        <f t="array" aca="1" ref="Z141" ca="1">MMS_PastureBeef_Methane_Equations.VEERG_4_2_1_1__3_VolatileSolidProductionFromGrazingBeef(Z86,Z125,$I$110)</f>
        <v>1.45925863828128</v>
      </c>
      <c r="AA141" s="29" cm="1">
        <f t="array" aca="1" ref="AA141" ca="1">MMS_PastureBeef_Methane_Equations.VEERG_4_2_1_1__3_VolatileSolidProductionFromGrazingBeef(AA86,AA125,$I$110)</f>
        <v>2.0586431945277366</v>
      </c>
      <c r="AB141" s="29" cm="1">
        <f t="array" aca="1" ref="AB141" ca="1">MMS_PastureBeef_Methane_Equations.VEERG_4_2_1_1__3_VolatileSolidProductionFromGrazingBeef(AB86,AB125,$I$110)</f>
        <v>2.2860358926816002</v>
      </c>
      <c r="AC141" s="29" cm="1">
        <f t="array" aca="1" ref="AC141" ca="1">MMS_PastureBeef_Methane_Equations.VEERG_4_2_1_1__3_VolatileSolidProductionFromGrazingBeef(AC86,AC125,$I$110)</f>
        <v>2.2860358926816002</v>
      </c>
      <c r="AD141" s="29" cm="1">
        <f t="array" aca="1" ref="AD141" ca="1">MMS_PastureBeef_Methane_Equations.VEERG_4_2_1_1__3_VolatileSolidProductionFromGrazingBeef(AD86,AD125,$I$110)</f>
        <v>1.6823317446719992</v>
      </c>
      <c r="AE141" s="29" cm="1">
        <f t="array" aca="1" ref="AE141" ca="1">MMS_PastureBeef_Methane_Equations.VEERG_4_2_1_1__3_VolatileSolidProductionFromGrazingBeef(AE86,AE125,$I$110)</f>
        <v>2.1378800925964794</v>
      </c>
      <c r="AF141" s="29" cm="1">
        <f t="array" aca="1" ref="AF141" ca="1">MMS_PastureBeef_Methane_Equations.VEERG_4_2_1_1__3_VolatileSolidProductionFromGrazingBeef(AF86,AF125,$I$110)</f>
        <v>2.1378800925964794</v>
      </c>
      <c r="AG141" s="29" cm="1">
        <f t="array" aca="1" ref="AG141" ca="1">MMS_PastureBeef_Methane_Equations.VEERG_4_2_1_1__3_VolatileSolidProductionFromGrazingBeef(AG86,AG125,$I$110)</f>
        <v>2.1378800925964794</v>
      </c>
      <c r="AH141" s="32" t="str">
        <f t="shared" si="3"/>
        <v>kg/head/day</v>
      </c>
      <c r="AI141" s="32"/>
      <c r="AJ141" s="32"/>
    </row>
    <row r="142" spans="4:36" ht="20.100000000000001" customHeight="1" x14ac:dyDescent="0.25">
      <c r="W142" s="29" t="str">
        <f t="shared" si="5"/>
        <v>December 2024</v>
      </c>
      <c r="X142" s="29" cm="1">
        <f t="array" aca="1" ref="X142" ca="1">MMS_PastureBeef_Methane_Equations.VEERG_4_2_1_1__3_VolatileSolidProductionFromGrazingBeef(X87,X126,$I$110)</f>
        <v>3.0245484814387189</v>
      </c>
      <c r="Y142" s="29" cm="1">
        <f t="array" aca="1" ref="Y142" ca="1">MMS_PastureBeef_Methane_Equations.VEERG_4_2_1_1__3_VolatileSolidProductionFromGrazingBeef(Y87,Y126,$I$110)</f>
        <v>4.0017766623235218</v>
      </c>
      <c r="Z142" s="29" cm="1">
        <f t="array" aca="1" ref="Z142" ca="1">MMS_PastureBeef_Methane_Equations.VEERG_4_2_1_1__3_VolatileSolidProductionFromGrazingBeef(Z87,Z126,$I$110)</f>
        <v>2.5435769713919996</v>
      </c>
      <c r="AA142" s="29" cm="1">
        <f t="array" aca="1" ref="AA142" ca="1">MMS_PastureBeef_Methane_Equations.VEERG_4_2_1_1__3_VolatileSolidProductionFromGrazingBeef(AA87,AA126,$I$110)</f>
        <v>3.5806278816553512</v>
      </c>
      <c r="AB142" s="29" cm="1">
        <f t="array" aca="1" ref="AB142" ca="1">MMS_PastureBeef_Methane_Equations.VEERG_4_2_1_1__3_VolatileSolidProductionFromGrazingBeef(AB87,AB126,$I$110)</f>
        <v>3.5452597228539839</v>
      </c>
      <c r="AC142" s="29" cm="1">
        <f t="array" aca="1" ref="AC142" ca="1">MMS_PastureBeef_Methane_Equations.VEERG_4_2_1_1__3_VolatileSolidProductionFromGrazingBeef(AC87,AC126,$I$110)</f>
        <v>3.5452597228539839</v>
      </c>
      <c r="AD142" s="29" cm="1">
        <f t="array" aca="1" ref="AD142" ca="1">MMS_PastureBeef_Methane_Equations.VEERG_4_2_1_1__3_VolatileSolidProductionFromGrazingBeef(AD87,AD126,$I$110)</f>
        <v>2.7878896244787201</v>
      </c>
      <c r="AE142" s="29" cm="1">
        <f t="array" aca="1" ref="AE142" ca="1">MMS_PastureBeef_Methane_Equations.VEERG_4_2_1_1__3_VolatileSolidProductionFromGrazingBeef(AE87,AE126,$I$110)</f>
        <v>3.1075873239175205</v>
      </c>
      <c r="AF142" s="29" cm="1">
        <f t="array" aca="1" ref="AF142" ca="1">MMS_PastureBeef_Methane_Equations.VEERG_4_2_1_1__3_VolatileSolidProductionFromGrazingBeef(AF87,AF126,$I$110)</f>
        <v>3.1075873239175205</v>
      </c>
      <c r="AG142" s="29" cm="1">
        <f t="array" aca="1" ref="AG142" ca="1">MMS_PastureBeef_Methane_Equations.VEERG_4_2_1_1__3_VolatileSolidProductionFromGrazingBeef(AG87,AG126,$I$110)</f>
        <v>3.1075873239175205</v>
      </c>
      <c r="AH142" s="32" t="str">
        <f t="shared" si="3"/>
        <v>kg/head/day</v>
      </c>
      <c r="AI142" s="32"/>
      <c r="AJ142" s="32"/>
    </row>
    <row r="143" spans="4:36" ht="20.100000000000001" customHeight="1" x14ac:dyDescent="0.25"/>
    <row r="144" spans="4:36" ht="20.100000000000001" customHeight="1" x14ac:dyDescent="0.25"/>
    <row r="145" spans="3:37" ht="20.100000000000001" customHeight="1" x14ac:dyDescent="0.25">
      <c r="C145" s="61"/>
      <c r="D145" s="61"/>
      <c r="E145" s="61"/>
      <c r="F145" s="61"/>
      <c r="G145" s="61"/>
      <c r="H145" s="61"/>
      <c r="I145" s="61"/>
      <c r="J145" s="61"/>
      <c r="K145" s="61"/>
      <c r="L145" s="61"/>
      <c r="M145" s="61"/>
      <c r="N145" s="61"/>
      <c r="O145" s="61"/>
      <c r="P145" s="61"/>
      <c r="Q145" s="61"/>
      <c r="R145" s="61"/>
      <c r="S145" s="61"/>
      <c r="T145" s="61"/>
      <c r="V145" s="61"/>
      <c r="W145" s="61"/>
      <c r="X145" s="61"/>
      <c r="Y145" s="61"/>
      <c r="Z145" s="61"/>
      <c r="AA145" s="61"/>
      <c r="AB145" s="61"/>
      <c r="AC145" s="61"/>
      <c r="AD145" s="61"/>
      <c r="AE145" s="61"/>
      <c r="AF145" s="61"/>
      <c r="AG145" s="61"/>
      <c r="AH145" s="61"/>
      <c r="AI145" s="61"/>
      <c r="AJ145" s="61"/>
      <c r="AK145" s="61"/>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46" t="str" cm="1">
        <f t="array" ref="D147">MMS_PastureBeef_Methane_Equations.VEERG_4_2_1_1__2_MethaneProductionFromManure_Source()</f>
        <v>VEERG 2026: 4.2.1.1, Equation (2)</v>
      </c>
    </row>
    <row r="148" spans="3:37" ht="20.100000000000001" customHeight="1" x14ac:dyDescent="0.25">
      <c r="D148" s="47" t="s">
        <v>77</v>
      </c>
      <c r="E148" s="47"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48" t="s">
        <v>79</v>
      </c>
      <c r="E151" s="1" t="str" cm="1">
        <f t="array" ref="E151">MMS_PastureBeef_Methane_Equations.VEERG_4_2_1_1__2_MethaneProductionFromManure_Variable()</f>
        <v>M_jklm</v>
      </c>
    </row>
    <row r="152" spans="3:37" ht="20.100000000000001" customHeight="1" x14ac:dyDescent="0.25">
      <c r="D152" s="48" t="s">
        <v>80</v>
      </c>
      <c r="E152" s="17"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50" t="str" cm="1">
        <f t="array" ref="D154:E160">_xlfn.CHOOSECOLS(MMS_PastureBeef_Methane_Equations.VEERG_4_2_1_1__2_MethaneProductionFromManure_Arguments(), 1, 2)</f>
        <v>VS_jkl</v>
      </c>
      <c r="E154" s="51" t="str">
        <v>volatile solid production</v>
      </c>
      <c r="F154" s="53"/>
      <c r="G154" s="50" t="str" cm="1">
        <f t="array" ref="G154:H160">_xlfn.CHOOSECOLS(MMS_PastureBeef_Methane_Equations.VEERG_4_2_1_1__2_MethaneProductionFromManure_Arguments(), 3,4)</f>
        <v>kg/day</v>
      </c>
      <c r="H154" s="55" t="str">
        <v>Calculated from 4.2.1.1 (3)</v>
      </c>
      <c r="I154" s="56" t="str" cm="1">
        <f t="array" aca="1" ref="I154" ca="1">HYPERLINK(Common_InputFunctions.Utility_SourceHyperlink($D$128), $D$128)</f>
        <v>M1_Table_VS_j_k_l</v>
      </c>
      <c r="W154" s="50" t="str" cm="1">
        <f t="array" ref="W154:X159">_xlfn.CHOOSECOLS(MMS_PastureBeef_Methane_Equations.VEERG_4_2_1_1__2_MethaneProductionFromManure_Arguments_Method2(), 1, 2)</f>
        <v>VS_jkl</v>
      </c>
      <c r="X154" s="51" t="str">
        <v>volatile solid production</v>
      </c>
      <c r="Y154" s="53"/>
      <c r="Z154" s="50" t="str" cm="1">
        <f t="array" ref="Z154:AA159">_xlfn.CHOOSECOLS(MMS_PastureBeef_Methane_Equations.VEERG_4_2_1_1__2_MethaneProductionFromManure_Arguments_Method2(), 3,4)</f>
        <v>kg/day</v>
      </c>
      <c r="AA154" s="55" t="str">
        <v>Calculated from 4.2.1.1 (3)</v>
      </c>
      <c r="AB154" s="56"/>
    </row>
    <row r="155" spans="3:37" ht="20.100000000000001" customHeight="1" x14ac:dyDescent="0.25">
      <c r="D155" s="50" t="str">
        <v>B_o</v>
      </c>
      <c r="E155" s="51" t="str">
        <v>emissions potential</v>
      </c>
      <c r="F155" s="53"/>
      <c r="G155" s="50" t="str">
        <v>m3 CH4/kg VS</v>
      </c>
      <c r="H155" s="55" t="str">
        <v>Constant</v>
      </c>
      <c r="I155" s="50">
        <f>'Constants - Pasture Beef'!$D$428</f>
        <v>0.19</v>
      </c>
      <c r="W155" s="50" t="str">
        <v>B_o</v>
      </c>
      <c r="X155" s="51" t="str">
        <v>emissions potential</v>
      </c>
      <c r="Y155" s="53"/>
      <c r="Z155" s="50" t="str">
        <v>m3 CH4/kg VS</v>
      </c>
      <c r="AA155" s="55" t="str">
        <v>Constant</v>
      </c>
      <c r="AB155" s="50"/>
    </row>
    <row r="156" spans="3:37" ht="20.100000000000001" customHeight="1" x14ac:dyDescent="0.25">
      <c r="D156" s="50" t="str">
        <v>MMS_m</v>
      </c>
      <c r="E156" s="51" t="str">
        <v>fraction of waste in each manure management system</v>
      </c>
      <c r="F156" s="53"/>
      <c r="G156" s="50" t="str">
        <v>fraction</v>
      </c>
      <c r="H156" s="54" t="str">
        <v>Input</v>
      </c>
      <c r="I156" s="56" t="str" cm="1">
        <f t="array" aca="1" ref="I156" ca="1">HYPERLINK(Common_InputFunctions.Utility_SourceHyperlink($D$162), $D$162)</f>
        <v>Table_MMS_m</v>
      </c>
      <c r="W156" s="50" t="str">
        <v>MMS_m</v>
      </c>
      <c r="X156" s="51" t="str">
        <v>fraction of waste in each manure management system</v>
      </c>
      <c r="Y156" s="53"/>
      <c r="Z156" s="50" t="str">
        <v>fraction</v>
      </c>
      <c r="AA156" s="54" t="str">
        <v>Input</v>
      </c>
      <c r="AB156" s="56"/>
    </row>
    <row r="157" spans="3:37" ht="20.100000000000001" customHeight="1" x14ac:dyDescent="0.25">
      <c r="D157" s="50" t="str">
        <v>MCF_im</v>
      </c>
      <c r="E157" s="51" t="str">
        <v>methane conversion factor for temperature zone and MMS</v>
      </c>
      <c r="F157" s="53"/>
      <c r="G157" s="50" t="str">
        <v>fraction</v>
      </c>
      <c r="H157" s="55" t="str">
        <v>Constant</v>
      </c>
      <c r="I157" s="56" t="str" cm="1">
        <f t="array" aca="1" ref="I157" ca="1">HYPERLINK(Common_InputFunctions.Utility_SourceHyperlink($D$168), $D$168)</f>
        <v>M1_Table_MCF_i_m</v>
      </c>
      <c r="W157" s="50" t="str">
        <v>MCF_im</v>
      </c>
      <c r="X157" s="51" t="str">
        <v>methane conversion factor for temperature zone and MMS</v>
      </c>
      <c r="Y157" s="53"/>
      <c r="Z157" s="50" t="str">
        <v>fraction</v>
      </c>
      <c r="AA157" s="55" t="str">
        <v>Constant</v>
      </c>
      <c r="AB157" s="56"/>
    </row>
    <row r="158" spans="3:37" ht="20.100000000000001" customHeight="1" x14ac:dyDescent="0.25">
      <c r="D158" s="50" t="str">
        <v>rho</v>
      </c>
      <c r="E158" s="51" t="str">
        <v>density of methane</v>
      </c>
      <c r="F158" s="53"/>
      <c r="G158" s="50" t="str">
        <v>kg/m3</v>
      </c>
      <c r="H158" s="55" t="str">
        <v>Constant</v>
      </c>
      <c r="I158" s="50">
        <f>'Constants - Common'!$D$175</f>
        <v>0.6784</v>
      </c>
      <c r="W158" s="50" t="str">
        <v>rho</v>
      </c>
      <c r="X158" s="51" t="str">
        <v>density of methane</v>
      </c>
      <c r="Y158" s="53"/>
      <c r="Z158" s="50" t="str">
        <v>kg/m3</v>
      </c>
      <c r="AA158" s="55" t="str">
        <v>Constant</v>
      </c>
      <c r="AB158" s="50"/>
    </row>
    <row r="159" spans="3:37" ht="20.100000000000001" customHeight="1" x14ac:dyDescent="0.25">
      <c r="D159" s="50" t="str">
        <v>i</v>
      </c>
      <c r="E159" s="51" t="str">
        <v>state</v>
      </c>
      <c r="F159" s="53"/>
      <c r="G159" s="50" t="str">
        <v/>
      </c>
      <c r="H159" s="54" t="str">
        <v>Input</v>
      </c>
      <c r="I159" s="50" t="str">
        <f>X_Cell_Site_State</f>
        <v>Western Australia</v>
      </c>
      <c r="W159" s="50" t="str">
        <v>MAT</v>
      </c>
      <c r="X159" s="51" t="str">
        <v>Mean annual temperature</v>
      </c>
      <c r="Y159" s="53"/>
      <c r="Z159" s="50" t="str">
        <v>°C</v>
      </c>
      <c r="AA159" s="54" t="str">
        <v>Input</v>
      </c>
      <c r="AB159" s="50">
        <f>X_Cell_Site_AverageTemperature</f>
        <v>18</v>
      </c>
    </row>
    <row r="160" spans="3:37" ht="20.100000000000001" customHeight="1" x14ac:dyDescent="0.25">
      <c r="D160" s="50" t="str">
        <v>i</v>
      </c>
      <c r="E160" s="51" t="str">
        <v>region</v>
      </c>
      <c r="F160" s="53"/>
      <c r="G160" s="50" t="str">
        <v/>
      </c>
      <c r="H160" s="54" t="str">
        <v>Input</v>
      </c>
      <c r="I160" s="50" t="str">
        <f>X_Cell_PastureBeef_ProductionRegion</f>
        <v>South West</v>
      </c>
    </row>
    <row r="161" spans="4:34" ht="20.100000000000001" customHeight="1" x14ac:dyDescent="0.25"/>
    <row r="162" spans="4:34" ht="20.100000000000001" customHeight="1" x14ac:dyDescent="0.25">
      <c r="D162" s="57" t="s">
        <v>215</v>
      </c>
    </row>
    <row r="163" spans="4:34" ht="20.100000000000001" customHeight="1" x14ac:dyDescent="0.25">
      <c r="D163" s="58" t="s">
        <v>216</v>
      </c>
    </row>
    <row r="164" spans="4:34" ht="20.100000000000001" customHeight="1" x14ac:dyDescent="0.25">
      <c r="D164" s="59" t="s">
        <v>217</v>
      </c>
      <c r="E164" s="60" t="s">
        <v>218</v>
      </c>
      <c r="F164" s="32" t="s">
        <v>62</v>
      </c>
    </row>
    <row r="165" spans="4:34" ht="20.100000000000001" customHeight="1" x14ac:dyDescent="0.25">
      <c r="D165" s="29" t="str">
        <f>'Input - Pasture Beef'!$D$179</f>
        <v>Pasture range and paddock</v>
      </c>
      <c r="E165" s="29">
        <f>'Input - Pasture Beef'!$E$179</f>
        <v>0.99621999999999999</v>
      </c>
      <c r="F165" s="32" t="s">
        <v>62</v>
      </c>
    </row>
    <row r="166" spans="4:34" ht="20.100000000000001" customHeight="1" x14ac:dyDescent="0.25">
      <c r="D166" s="29" t="str">
        <f>'Input - Pasture Beef'!$D$180</f>
        <v>Anaerobic lagoon</v>
      </c>
      <c r="E166" s="29">
        <f>'Input - Pasture Beef'!$E$180</f>
        <v>3.7799999999999999E-3</v>
      </c>
    </row>
    <row r="167" spans="4:34" ht="20.100000000000001" customHeight="1" x14ac:dyDescent="0.25"/>
    <row r="168" spans="4:34" ht="20.100000000000001" customHeight="1" x14ac:dyDescent="0.25">
      <c r="D168" s="57" t="s">
        <v>219</v>
      </c>
      <c r="W168" s="57" t="s">
        <v>220</v>
      </c>
    </row>
    <row r="169" spans="4:34" ht="20.100000000000001" customHeight="1" x14ac:dyDescent="0.25">
      <c r="D169" s="58" t="s">
        <v>221</v>
      </c>
      <c r="W169" s="58" t="s">
        <v>222</v>
      </c>
    </row>
    <row r="170" spans="4:34" ht="20.100000000000001" customHeight="1" x14ac:dyDescent="0.25">
      <c r="D170" s="59" t="s">
        <v>217</v>
      </c>
      <c r="E170" s="59" t="s">
        <v>223</v>
      </c>
      <c r="W170" s="59" t="s">
        <v>217</v>
      </c>
      <c r="X170" s="59" t="s">
        <v>223</v>
      </c>
    </row>
    <row r="171" spans="4:34" ht="20.100000000000001" customHeight="1" x14ac:dyDescent="0.25">
      <c r="D171" s="29" t="str">
        <f>'Input - Pasture Beef'!$D$179</f>
        <v>Pasture range and paddock</v>
      </c>
      <c r="E171" s="29">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9" t="str">
        <f>'Input - Pasture Beef'!$D$179</f>
        <v>Pasture range and paddock</v>
      </c>
      <c r="X171" s="29">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9" t="str">
        <f>'Input - Pasture Beef'!$D$180</f>
        <v>Anaerobic lagoon</v>
      </c>
      <c r="E172" s="29">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9" t="str">
        <f>'Input - Pasture Beef'!$D$180</f>
        <v>Anaerobic lagoon</v>
      </c>
      <c r="X172" s="29">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57" t="s">
        <v>224</v>
      </c>
      <c r="W174" s="57" t="s">
        <v>225</v>
      </c>
    </row>
    <row r="175" spans="4:34" ht="20.100000000000001" customHeight="1" x14ac:dyDescent="0.25">
      <c r="D175" s="58" t="s">
        <v>226</v>
      </c>
      <c r="W175" s="58" t="s">
        <v>227</v>
      </c>
    </row>
    <row r="176" spans="4:34" ht="20.100000000000001" customHeight="1" x14ac:dyDescent="0.25">
      <c r="D176" s="59" t="s">
        <v>217</v>
      </c>
      <c r="E176" s="59" t="s">
        <v>84</v>
      </c>
      <c r="F176" s="59" t="s">
        <v>31</v>
      </c>
      <c r="G176" s="59" t="s">
        <v>32</v>
      </c>
      <c r="H176" s="59" t="s">
        <v>33</v>
      </c>
      <c r="I176" s="59" t="s">
        <v>34</v>
      </c>
      <c r="J176" s="59" t="s">
        <v>35</v>
      </c>
      <c r="K176" s="59" t="s">
        <v>36</v>
      </c>
      <c r="L176" s="59" t="s">
        <v>37</v>
      </c>
      <c r="M176" s="59" t="s">
        <v>38</v>
      </c>
      <c r="N176" s="59" t="s">
        <v>39</v>
      </c>
      <c r="O176" s="59" t="s">
        <v>40</v>
      </c>
      <c r="W176" s="59" t="s">
        <v>217</v>
      </c>
      <c r="X176" s="59" t="s">
        <v>87</v>
      </c>
      <c r="Y176" s="59" t="s">
        <v>31</v>
      </c>
      <c r="Z176" s="59" t="s">
        <v>32</v>
      </c>
      <c r="AA176" s="59" t="s">
        <v>33</v>
      </c>
      <c r="AB176" s="59" t="s">
        <v>34</v>
      </c>
      <c r="AC176" s="59" t="s">
        <v>35</v>
      </c>
      <c r="AD176" s="59" t="s">
        <v>36</v>
      </c>
      <c r="AE176" s="59" t="s">
        <v>37</v>
      </c>
      <c r="AF176" s="59" t="s">
        <v>38</v>
      </c>
      <c r="AG176" s="59" t="s">
        <v>39</v>
      </c>
      <c r="AH176" s="59" t="s">
        <v>40</v>
      </c>
    </row>
    <row r="177" spans="4:36" ht="20.100000000000001" customHeight="1" x14ac:dyDescent="0.25">
      <c r="D177" s="29" t="str">
        <f>'Input - Pasture Beef'!$D$179</f>
        <v>Pasture range and paddock</v>
      </c>
      <c r="E177" s="29" t="s">
        <v>41</v>
      </c>
      <c r="F177" s="29" cm="1">
        <f t="array" aca="1" ref="F177" ca="1">MMS_PastureBeef_Methane_Equations.VEERG_4_2_1_1__2_MethaneProductionFromManure(E131,$I$155,$E$165,$E$171,$I$158)</f>
        <v>1.1554629863615776E-3</v>
      </c>
      <c r="G177" s="29" cm="1">
        <f t="array" aca="1" ref="G177" ca="1">MMS_PastureBeef_Methane_Equations.VEERG_4_2_1_1__2_MethaneProductionFromManure(F131,$I$155,$E$165,$E$171,$I$158)</f>
        <v>1.6319378649193843E-3</v>
      </c>
      <c r="H177" s="29" cm="1">
        <f t="array" aca="1" ref="H177" ca="1">MMS_PastureBeef_Methane_Equations.VEERG_4_2_1_1__2_MethaneProductionFromManure(G131,$I$155,$E$165,$E$171,$I$158)</f>
        <v>8.8069357361036688E-4</v>
      </c>
      <c r="I177" s="29" cm="1">
        <f t="array" aca="1" ref="I177" ca="1">MMS_PastureBeef_Methane_Equations.VEERG_4_2_1_1__2_MethaneProductionFromManure(H131,$I$155,$E$165,$E$171,$I$158)</f>
        <v>1.2713287148641069E-3</v>
      </c>
      <c r="J177" s="29" cm="1">
        <f t="array" aca="1" ref="J177" ca="1">MMS_PastureBeef_Methane_Equations.VEERG_4_2_1_1__2_MethaneProductionFromManure(I131,$I$155,$E$165,$E$171,$I$158)</f>
        <v>1.5015956339694118E-3</v>
      </c>
      <c r="K177" s="29" cm="1">
        <f t="array" aca="1" ref="K177" ca="1">MMS_PastureBeef_Methane_Equations.VEERG_4_2_1_1__2_MethaneProductionFromManure(J131,$I$155,$E$165,$E$171,$I$158)</f>
        <v>1.5015956339694118E-3</v>
      </c>
      <c r="L177" s="29" cm="1">
        <f t="array" aca="1" ref="L177" ca="1">MMS_PastureBeef_Methane_Equations.VEERG_4_2_1_1__2_MethaneProductionFromManure(K131,$I$155,$E$165,$E$171,$I$158)</f>
        <v>1.0153229299765547E-3</v>
      </c>
      <c r="M177" s="29" cm="1">
        <f t="array" aca="1" ref="M177" ca="1">MMS_PastureBeef_Methane_Equations.VEERG_4_2_1_1__2_MethaneProductionFromManure(L131,$I$155,$E$165,$E$171,$I$158)</f>
        <v>1.2902560309095339E-3</v>
      </c>
      <c r="N177" s="29" cm="1">
        <f t="array" aca="1" ref="N177" ca="1">MMS_PastureBeef_Methane_Equations.VEERG_4_2_1_1__2_MethaneProductionFromManure(M131,$I$155,$E$165,$E$171,$I$158)</f>
        <v>1.2902560309095339E-3</v>
      </c>
      <c r="O177" s="29" cm="1">
        <f t="array" aca="1" ref="O177" ca="1">MMS_PastureBeef_Methane_Equations.VEERG_4_2_1_1__2_MethaneProductionFromManure(N131,$I$155,$E$165,$E$171,$I$158)</f>
        <v>1.2902560309095339E-3</v>
      </c>
      <c r="P177" s="32" t="str">
        <f t="shared" ref="P177:P184" si="6">$E$152</f>
        <v>kg CH4/head/day</v>
      </c>
      <c r="Q177" s="32"/>
      <c r="R177" s="32"/>
      <c r="S177" s="32"/>
      <c r="W177" s="29" t="str">
        <f>'Input - Pasture Beef'!$D$179</f>
        <v>Pasture range and paddock</v>
      </c>
      <c r="X177" s="29" t="str">
        <f t="shared" ref="X177:X188" si="7">W131</f>
        <v>January 2024</v>
      </c>
      <c r="Y177" s="29" cm="1">
        <f t="array" aca="1" ref="Y177" ca="1">MMS_PastureBeef_Methane_Equations.VEERG_4_2_1_1__2_MethaneProductionFromManure(X131,$I$155,$E$165,$X$171,$I$158)</f>
        <v>1.8253792307944732E-3</v>
      </c>
      <c r="Z177" s="29" cm="1">
        <f t="array" aca="1" ref="Z177" ca="1">MMS_PastureBeef_Methane_Equations.VEERG_4_2_1_1__2_MethaneProductionFromManure(Y131,$I$155,$E$165,$X$171,$I$158)</f>
        <v>2.4151571880932964E-3</v>
      </c>
      <c r="AA177" s="29" cm="1">
        <f t="array" aca="1" ref="AA177" ca="1">MMS_PastureBeef_Methane_Equations.VEERG_4_2_1_1__2_MethaneProductionFromManure(Z131,$I$155,$E$165,$X$171,$I$158)</f>
        <v>1.5351027116938406E-3</v>
      </c>
      <c r="AB177" s="29" cm="1">
        <f t="array" aca="1" ref="AB177" ca="1">MMS_PastureBeef_Methane_Equations.VEERG_4_2_1_1__2_MethaneProductionFromManure(AA131,$I$155,$E$165,$X$171,$I$158)</f>
        <v>2.1609849564283527E-3</v>
      </c>
      <c r="AC177" s="29" cm="1">
        <f t="array" aca="1" ref="AC177" ca="1">MMS_PastureBeef_Methane_Equations.VEERG_4_2_1_1__2_MethaneProductionFromManure(AB131,$I$155,$E$165,$X$171,$I$158)</f>
        <v>2.139639521596127E-3</v>
      </c>
      <c r="AD177" s="29" cm="1">
        <f t="array" aca="1" ref="AD177" ca="1">MMS_PastureBeef_Methane_Equations.VEERG_4_2_1_1__2_MethaneProductionFromManure(AC131,$I$155,$E$165,$X$171,$I$158)</f>
        <v>2.139639521596127E-3</v>
      </c>
      <c r="AE177" s="29" cm="1">
        <f t="array" aca="1" ref="AE177" ca="1">MMS_PastureBeef_Methane_Equations.VEERG_4_2_1_1__2_MethaneProductionFromManure(AD131,$I$155,$E$165,$X$171,$I$158)</f>
        <v>1.6825505854844633E-3</v>
      </c>
      <c r="AF177" s="29" cm="1">
        <f t="array" aca="1" ref="AF177" ca="1">MMS_PastureBeef_Methane_Equations.VEERG_4_2_1_1__2_MethaneProductionFromManure(AE131,$I$155,$E$165,$X$171,$I$158)</f>
        <v>1.8754949354493101E-3</v>
      </c>
      <c r="AG177" s="29" cm="1">
        <f t="array" aca="1" ref="AG177" ca="1">MMS_PastureBeef_Methane_Equations.VEERG_4_2_1_1__2_MethaneProductionFromManure(AF131,$I$155,$E$165,$X$171,$I$158)</f>
        <v>1.8754949354493101E-3</v>
      </c>
      <c r="AH177" s="29" cm="1">
        <f t="array" aca="1" ref="AH177" ca="1">MMS_PastureBeef_Methane_Equations.VEERG_4_2_1_1__2_MethaneProductionFromManure(AG131,$I$155,$E$165,$X$171,$I$158)</f>
        <v>1.8754949354493101E-3</v>
      </c>
      <c r="AI177" s="32" t="str">
        <f t="shared" ref="AI177:AI200" si="8">$E$152</f>
        <v>kg CH4/head/day</v>
      </c>
      <c r="AJ177" s="32"/>
    </row>
    <row r="178" spans="4:36" ht="20.100000000000001" customHeight="1" x14ac:dyDescent="0.25">
      <c r="D178" s="29" t="str">
        <f>'Input - Pasture Beef'!$D$179</f>
        <v>Pasture range and paddock</v>
      </c>
      <c r="E178" s="29" t="s">
        <v>43</v>
      </c>
      <c r="F178" s="29" cm="1">
        <f t="array" aca="1" ref="F178" ca="1">MMS_PastureBeef_Methane_Equations.VEERG_4_2_1_1__2_MethaneProductionFromManure(E132,$I$155,$E$165,$E$171,$I$158)</f>
        <v>1.8253792307944732E-3</v>
      </c>
      <c r="G178" s="29" cm="1">
        <f t="array" aca="1" ref="G178" ca="1">MMS_PastureBeef_Methane_Equations.VEERG_4_2_1_1__2_MethaneProductionFromManure(F132,$I$155,$E$165,$E$171,$I$158)</f>
        <v>2.4151571880932964E-3</v>
      </c>
      <c r="H178" s="29" cm="1">
        <f t="array" aca="1" ref="H178" ca="1">MMS_PastureBeef_Methane_Equations.VEERG_4_2_1_1__2_MethaneProductionFromManure(G132,$I$155,$E$165,$E$171,$I$158)</f>
        <v>1.5351027116938406E-3</v>
      </c>
      <c r="I178" s="29" cm="1">
        <f t="array" aca="1" ref="I178" ca="1">MMS_PastureBeef_Methane_Equations.VEERG_4_2_1_1__2_MethaneProductionFromManure(H132,$I$155,$E$165,$E$171,$I$158)</f>
        <v>2.0906273066841736E-3</v>
      </c>
      <c r="J178" s="29" cm="1">
        <f t="array" aca="1" ref="J178" ca="1">MMS_PastureBeef_Methane_Equations.VEERG_4_2_1_1__2_MethaneProductionFromManure(I132,$I$155,$E$165,$E$171,$I$158)</f>
        <v>2.0699768394976483E-3</v>
      </c>
      <c r="K178" s="29" cm="1">
        <f t="array" aca="1" ref="K178" ca="1">MMS_PastureBeef_Methane_Equations.VEERG_4_2_1_1__2_MethaneProductionFromManure(J132,$I$155,$E$165,$E$171,$I$158)</f>
        <v>2.0699768394976483E-3</v>
      </c>
      <c r="L178" s="29" cm="1">
        <f t="array" aca="1" ref="L178" ca="1">MMS_PastureBeef_Methane_Equations.VEERG_4_2_1_1__2_MethaneProductionFromManure(K132,$I$155,$E$165,$E$171,$I$158)</f>
        <v>1.6825505854844633E-3</v>
      </c>
      <c r="M178" s="29" cm="1">
        <f t="array" aca="1" ref="M178" ca="1">MMS_PastureBeef_Methane_Equations.VEERG_4_2_1_1__2_MethaneProductionFromManure(L132,$I$155,$E$165,$E$171,$I$158)</f>
        <v>1.8754949354493101E-3</v>
      </c>
      <c r="N178" s="29" cm="1">
        <f t="array" aca="1" ref="N178" ca="1">MMS_PastureBeef_Methane_Equations.VEERG_4_2_1_1__2_MethaneProductionFromManure(M132,$I$155,$E$165,$E$171,$I$158)</f>
        <v>1.8754949354493101E-3</v>
      </c>
      <c r="O178" s="29" cm="1">
        <f t="array" aca="1" ref="O178" ca="1">MMS_PastureBeef_Methane_Equations.VEERG_4_2_1_1__2_MethaneProductionFromManure(N132,$I$155,$E$165,$E$171,$I$158)</f>
        <v>1.8754949354493101E-3</v>
      </c>
      <c r="P178" s="32" t="str">
        <f t="shared" si="6"/>
        <v>kg CH4/head/day</v>
      </c>
      <c r="Q178" s="32"/>
      <c r="R178" s="32"/>
      <c r="S178" s="32"/>
      <c r="W178" s="29" t="str">
        <f>'Input - Pasture Beef'!$D$179</f>
        <v>Pasture range and paddock</v>
      </c>
      <c r="X178" s="29" t="str">
        <f t="shared" si="7"/>
        <v>February 2024</v>
      </c>
      <c r="Y178" s="29" cm="1">
        <f t="array" aca="1" ref="Y178" ca="1">MMS_PastureBeef_Methane_Equations.VEERG_4_2_1_1__2_MethaneProductionFromManure(X132,$I$155,$E$165,$X$171,$I$158)</f>
        <v>1.8253792307944732E-3</v>
      </c>
      <c r="Z178" s="29" cm="1">
        <f t="array" aca="1" ref="Z178" ca="1">MMS_PastureBeef_Methane_Equations.VEERG_4_2_1_1__2_MethaneProductionFromManure(Y132,$I$155,$E$165,$X$171,$I$158)</f>
        <v>2.4151571880932964E-3</v>
      </c>
      <c r="AA178" s="29" cm="1">
        <f t="array" aca="1" ref="AA178" ca="1">MMS_PastureBeef_Methane_Equations.VEERG_4_2_1_1__2_MethaneProductionFromManure(Z132,$I$155,$E$165,$X$171,$I$158)</f>
        <v>1.5351027116938406E-3</v>
      </c>
      <c r="AB178" s="29" cm="1">
        <f t="array" aca="1" ref="AB178" ca="1">MMS_PastureBeef_Methane_Equations.VEERG_4_2_1_1__2_MethaneProductionFromManure(AA132,$I$155,$E$165,$X$171,$I$158)</f>
        <v>2.0102185641193977E-3</v>
      </c>
      <c r="AC178" s="29" cm="1">
        <f t="array" aca="1" ref="AC178" ca="1">MMS_PastureBeef_Methane_Equations.VEERG_4_2_1_1__2_MethaneProductionFromManure(AB132,$I$155,$E$165,$X$171,$I$158)</f>
        <v>1.9903623456708156E-3</v>
      </c>
      <c r="AD178" s="29" cm="1">
        <f t="array" aca="1" ref="AD178" ca="1">MMS_PastureBeef_Methane_Equations.VEERG_4_2_1_1__2_MethaneProductionFromManure(AC132,$I$155,$E$165,$X$171,$I$158)</f>
        <v>1.9903623456708156E-3</v>
      </c>
      <c r="AE178" s="29" cm="1">
        <f t="array" aca="1" ref="AE178" ca="1">MMS_PastureBeef_Methane_Equations.VEERG_4_2_1_1__2_MethaneProductionFromManure(AD132,$I$155,$E$165,$X$171,$I$158)</f>
        <v>1.6825505854844633E-3</v>
      </c>
      <c r="AF178" s="29" cm="1">
        <f t="array" aca="1" ref="AF178" ca="1">MMS_PastureBeef_Methane_Equations.VEERG_4_2_1_1__2_MethaneProductionFromManure(AE132,$I$155,$E$165,$X$171,$I$158)</f>
        <v>1.8754949354493101E-3</v>
      </c>
      <c r="AG178" s="29" cm="1">
        <f t="array" aca="1" ref="AG178" ca="1">MMS_PastureBeef_Methane_Equations.VEERG_4_2_1_1__2_MethaneProductionFromManure(AF132,$I$155,$E$165,$X$171,$I$158)</f>
        <v>1.8754949354493101E-3</v>
      </c>
      <c r="AH178" s="29" cm="1">
        <f t="array" aca="1" ref="AH178" ca="1">MMS_PastureBeef_Methane_Equations.VEERG_4_2_1_1__2_MethaneProductionFromManure(AG132,$I$155,$E$165,$X$171,$I$158)</f>
        <v>1.8754949354493101E-3</v>
      </c>
      <c r="AI178" s="32" t="str">
        <f t="shared" si="8"/>
        <v>kg CH4/head/day</v>
      </c>
      <c r="AJ178" s="32"/>
    </row>
    <row r="179" spans="4:36" ht="20.100000000000001" customHeight="1" x14ac:dyDescent="0.25">
      <c r="D179" s="29" t="str">
        <f>'Input - Pasture Beef'!$D$179</f>
        <v>Pasture range and paddock</v>
      </c>
      <c r="E179" s="29" t="s">
        <v>44</v>
      </c>
      <c r="F179" s="29" cm="1">
        <f t="array" aca="1" ref="F179" ca="1">MMS_PastureBeef_Methane_Equations.VEERG_4_2_1_1__2_MethaneProductionFromManure(E133,$I$155,$E$165,$E$171,$I$158)</f>
        <v>9.7360706101441404E-4</v>
      </c>
      <c r="G179" s="29" cm="1">
        <f t="array" aca="1" ref="G179" ca="1">MMS_PastureBeef_Methane_Equations.VEERG_4_2_1_1__2_MethaneProductionFromManure(F133,$I$155,$E$165,$E$171,$I$158)</f>
        <v>2.8257879926910463E-3</v>
      </c>
      <c r="H179" s="29" cm="1">
        <f t="array" aca="1" ref="H179" ca="1">MMS_PastureBeef_Methane_Equations.VEERG_4_2_1_1__2_MethaneProductionFromManure(G133,$I$155,$E$165,$E$171,$I$158)</f>
        <v>8.8759283102341434E-4</v>
      </c>
      <c r="I179" s="29" cm="1">
        <f t="array" aca="1" ref="I179" ca="1">MMS_PastureBeef_Methane_Equations.VEERG_4_2_1_1__2_MethaneProductionFromManure(H133,$I$155,$E$165,$E$171,$I$158)</f>
        <v>1.804185782653431E-3</v>
      </c>
      <c r="J179" s="29" cm="1">
        <f t="array" aca="1" ref="J179" ca="1">MMS_PastureBeef_Methane_Equations.VEERG_4_2_1_1__2_MethaneProductionFromManure(I133,$I$155,$E$165,$E$171,$I$158)</f>
        <v>2.0142528006700457E-3</v>
      </c>
      <c r="K179" s="29" cm="1">
        <f t="array" aca="1" ref="K179" ca="1">MMS_PastureBeef_Methane_Equations.VEERG_4_2_1_1__2_MethaneProductionFromManure(J133,$I$155,$E$165,$E$171,$I$158)</f>
        <v>2.0142528006700457E-3</v>
      </c>
      <c r="L179" s="29" cm="1">
        <f t="array" aca="1" ref="L179" ca="1">MMS_PastureBeef_Methane_Equations.VEERG_4_2_1_1__2_MethaneProductionFromManure(K133,$I$155,$E$165,$E$171,$I$158)</f>
        <v>9.7360706101441404E-4</v>
      </c>
      <c r="M179" s="29" cm="1">
        <f t="array" aca="1" ref="M179" ca="1">MMS_PastureBeef_Methane_Equations.VEERG_4_2_1_1__2_MethaneProductionFromManure(L133,$I$155,$E$165,$E$171,$I$158)</f>
        <v>1.7676074196054518E-3</v>
      </c>
      <c r="N179" s="29" cm="1">
        <f t="array" aca="1" ref="N179" ca="1">MMS_PastureBeef_Methane_Equations.VEERG_4_2_1_1__2_MethaneProductionFromManure(M133,$I$155,$E$165,$E$171,$I$158)</f>
        <v>1.7676074196054518E-3</v>
      </c>
      <c r="O179" s="29" cm="1">
        <f t="array" aca="1" ref="O179" ca="1">MMS_PastureBeef_Methane_Equations.VEERG_4_2_1_1__2_MethaneProductionFromManure(N133,$I$155,$E$165,$E$171,$I$158)</f>
        <v>1.7676074196054518E-3</v>
      </c>
      <c r="P179" s="32" t="str">
        <f t="shared" si="6"/>
        <v>kg CH4/head/day</v>
      </c>
      <c r="Q179" s="32"/>
      <c r="R179" s="32"/>
      <c r="S179" s="32"/>
      <c r="W179" s="29" t="str">
        <f>'Input - Pasture Beef'!$D$179</f>
        <v>Pasture range and paddock</v>
      </c>
      <c r="X179" s="29" t="str">
        <f t="shared" si="7"/>
        <v>March 2024</v>
      </c>
      <c r="Y179" s="29" cm="1">
        <f t="array" aca="1" ref="Y179" ca="1">MMS_PastureBeef_Methane_Equations.VEERG_4_2_1_1__2_MethaneProductionFromManure(X133,$I$155,$E$165,$X$171,$I$158)</f>
        <v>9.7360706101441404E-4</v>
      </c>
      <c r="Z179" s="29" cm="1">
        <f t="array" aca="1" ref="Z179" ca="1">MMS_PastureBeef_Methane_Equations.VEERG_4_2_1_1__2_MethaneProductionFromManure(Y133,$I$155,$E$165,$X$171,$I$158)</f>
        <v>2.8257879926910463E-3</v>
      </c>
      <c r="AA179" s="29" cm="1">
        <f t="array" aca="1" ref="AA179" ca="1">MMS_PastureBeef_Methane_Equations.VEERG_4_2_1_1__2_MethaneProductionFromManure(Z133,$I$155,$E$165,$X$171,$I$158)</f>
        <v>8.8759283102341434E-4</v>
      </c>
      <c r="AB179" s="29" cm="1">
        <f t="array" aca="1" ref="AB179" ca="1">MMS_PastureBeef_Methane_Equations.VEERG_4_2_1_1__2_MethaneProductionFromManure(AA133,$I$155,$E$165,$X$171,$I$158)</f>
        <v>1.7863225570826046E-3</v>
      </c>
      <c r="AC179" s="29" cm="1">
        <f t="array" aca="1" ref="AC179" ca="1">MMS_PastureBeef_Methane_Equations.VEERG_4_2_1_1__2_MethaneProductionFromManure(AB133,$I$155,$E$165,$X$171,$I$158)</f>
        <v>2.0142528006700457E-3</v>
      </c>
      <c r="AD179" s="29" cm="1">
        <f t="array" aca="1" ref="AD179" ca="1">MMS_PastureBeef_Methane_Equations.VEERG_4_2_1_1__2_MethaneProductionFromManure(AC133,$I$155,$E$165,$X$171,$I$158)</f>
        <v>2.0142528006700457E-3</v>
      </c>
      <c r="AE179" s="29" cm="1">
        <f t="array" aca="1" ref="AE179" ca="1">MMS_PastureBeef_Methane_Equations.VEERG_4_2_1_1__2_MethaneProductionFromManure(AD133,$I$155,$E$165,$X$171,$I$158)</f>
        <v>9.7360706101441404E-4</v>
      </c>
      <c r="AF179" s="29" cm="1">
        <f t="array" aca="1" ref="AF179" ca="1">MMS_PastureBeef_Methane_Equations.VEERG_4_2_1_1__2_MethaneProductionFromManure(AE133,$I$155,$E$165,$X$171,$I$158)</f>
        <v>1.7676074196054518E-3</v>
      </c>
      <c r="AG179" s="29" cm="1">
        <f t="array" aca="1" ref="AG179" ca="1">MMS_PastureBeef_Methane_Equations.VEERG_4_2_1_1__2_MethaneProductionFromManure(AF133,$I$155,$E$165,$X$171,$I$158)</f>
        <v>1.7676074196054518E-3</v>
      </c>
      <c r="AH179" s="29" cm="1">
        <f t="array" aca="1" ref="AH179" ca="1">MMS_PastureBeef_Methane_Equations.VEERG_4_2_1_1__2_MethaneProductionFromManure(AG133,$I$155,$E$165,$X$171,$I$158)</f>
        <v>1.7676074196054518E-3</v>
      </c>
      <c r="AI179" s="32" t="str">
        <f t="shared" si="8"/>
        <v>kg CH4/head/day</v>
      </c>
      <c r="AJ179" s="32"/>
    </row>
    <row r="180" spans="4:36" ht="20.100000000000001" customHeight="1" x14ac:dyDescent="0.25">
      <c r="D180" s="29" t="str">
        <f>'Input - Pasture Beef'!$D$179</f>
        <v>Pasture range and paddock</v>
      </c>
      <c r="E180" s="29" t="s">
        <v>45</v>
      </c>
      <c r="F180" s="29" cm="1">
        <f t="array" aca="1" ref="F180" ca="1">MMS_PastureBeef_Methane_Equations.VEERG_4_2_1_1__2_MethaneProductionFromManure(E134,$I$155,$E$165,$E$171,$I$158)</f>
        <v>8.2649649833119491E-4</v>
      </c>
      <c r="G180" s="29" cm="1">
        <f t="array" aca="1" ref="G180" ca="1">MMS_PastureBeef_Methane_Equations.VEERG_4_2_1_1__2_MethaneProductionFromManure(F134,$I$155,$E$165,$E$171,$I$158)</f>
        <v>1.6061464433302867E-3</v>
      </c>
      <c r="H180" s="29" cm="1">
        <f t="array" aca="1" ref="H180" ca="1">MMS_PastureBeef_Methane_Equations.VEERG_4_2_1_1__2_MethaneProductionFromManure(G134,$I$155,$E$165,$E$171,$I$158)</f>
        <v>6.7671731165028866E-4</v>
      </c>
      <c r="I180" s="29" cm="1">
        <f t="array" aca="1" ref="I180" ca="1">MMS_PastureBeef_Methane_Equations.VEERG_4_2_1_1__2_MethaneProductionFromManure(H134,$I$155,$E$165,$E$171,$I$158)</f>
        <v>1.1549368251856172E-3</v>
      </c>
      <c r="J180" s="29" cm="1">
        <f t="array" aca="1" ref="J180" ca="1">MMS_PastureBeef_Methane_Equations.VEERG_4_2_1_1__2_MethaneProductionFromManure(I134,$I$155,$E$165,$E$171,$I$158)</f>
        <v>1.4725544300764671E-3</v>
      </c>
      <c r="K180" s="29" cm="1">
        <f t="array" aca="1" ref="K180" ca="1">MMS_PastureBeef_Methane_Equations.VEERG_4_2_1_1__2_MethaneProductionFromManure(J134,$I$155,$E$165,$E$171,$I$158)</f>
        <v>1.4725544300764671E-3</v>
      </c>
      <c r="L180" s="29" cm="1">
        <f t="array" aca="1" ref="L180" ca="1">MMS_PastureBeef_Methane_Equations.VEERG_4_2_1_1__2_MethaneProductionFromManure(K134,$I$155,$E$165,$E$171,$I$158)</f>
        <v>7.2656299991787044E-4</v>
      </c>
      <c r="M180" s="29" cm="1">
        <f t="array" aca="1" ref="M180" ca="1">MMS_PastureBeef_Methane_Equations.VEERG_4_2_1_1__2_MethaneProductionFromManure(L134,$I$155,$E$165,$E$171,$I$158)</f>
        <v>1.1061796823535802E-3</v>
      </c>
      <c r="N180" s="29" cm="1">
        <f t="array" aca="1" ref="N180" ca="1">MMS_PastureBeef_Methane_Equations.VEERG_4_2_1_1__2_MethaneProductionFromManure(M134,$I$155,$E$165,$E$171,$I$158)</f>
        <v>1.1061796823535802E-3</v>
      </c>
      <c r="O180" s="29" cm="1">
        <f t="array" aca="1" ref="O180" ca="1">MMS_PastureBeef_Methane_Equations.VEERG_4_2_1_1__2_MethaneProductionFromManure(N134,$I$155,$E$165,$E$171,$I$158)</f>
        <v>1.1061796823535802E-3</v>
      </c>
      <c r="P180" s="32" t="str">
        <f t="shared" si="6"/>
        <v>kg CH4/head/day</v>
      </c>
      <c r="Q180" s="32"/>
      <c r="R180" s="32"/>
      <c r="S180" s="32"/>
      <c r="W180" s="29" t="str">
        <f>'Input - Pasture Beef'!$D$179</f>
        <v>Pasture range and paddock</v>
      </c>
      <c r="X180" s="29" t="str">
        <f t="shared" si="7"/>
        <v>April 2024</v>
      </c>
      <c r="Y180" s="29" cm="1">
        <f t="array" aca="1" ref="Y180" ca="1">MMS_PastureBeef_Methane_Equations.VEERG_4_2_1_1__2_MethaneProductionFromManure(X134,$I$155,$E$165,$X$171,$I$158)</f>
        <v>9.7360706101441404E-4</v>
      </c>
      <c r="Z180" s="29" cm="1">
        <f t="array" aca="1" ref="Z180" ca="1">MMS_PastureBeef_Methane_Equations.VEERG_4_2_1_1__2_MethaneProductionFromManure(Y134,$I$155,$E$165,$X$171,$I$158)</f>
        <v>2.8257879926910463E-3</v>
      </c>
      <c r="AA180" s="29" cm="1">
        <f t="array" aca="1" ref="AA180" ca="1">MMS_PastureBeef_Methane_Equations.VEERG_4_2_1_1__2_MethaneProductionFromManure(Z134,$I$155,$E$165,$X$171,$I$158)</f>
        <v>8.8759283102341434E-4</v>
      </c>
      <c r="AB180" s="29" cm="1">
        <f t="array" aca="1" ref="AB180" ca="1">MMS_PastureBeef_Methane_Equations.VEERG_4_2_1_1__2_MethaneProductionFromManure(AA134,$I$155,$E$165,$X$171,$I$158)</f>
        <v>1.7863225570826046E-3</v>
      </c>
      <c r="AC180" s="29" cm="1">
        <f t="array" aca="1" ref="AC180" ca="1">MMS_PastureBeef_Methane_Equations.VEERG_4_2_1_1__2_MethaneProductionFromManure(AB134,$I$155,$E$165,$X$171,$I$158)</f>
        <v>2.0142528006700457E-3</v>
      </c>
      <c r="AD180" s="29" cm="1">
        <f t="array" aca="1" ref="AD180" ca="1">MMS_PastureBeef_Methane_Equations.VEERG_4_2_1_1__2_MethaneProductionFromManure(AC134,$I$155,$E$165,$X$171,$I$158)</f>
        <v>2.0142528006700457E-3</v>
      </c>
      <c r="AE180" s="29" cm="1">
        <f t="array" aca="1" ref="AE180" ca="1">MMS_PastureBeef_Methane_Equations.VEERG_4_2_1_1__2_MethaneProductionFromManure(AD134,$I$155,$E$165,$X$171,$I$158)</f>
        <v>9.7360706101441404E-4</v>
      </c>
      <c r="AF180" s="29" cm="1">
        <f t="array" aca="1" ref="AF180" ca="1">MMS_PastureBeef_Methane_Equations.VEERG_4_2_1_1__2_MethaneProductionFromManure(AE134,$I$155,$E$165,$X$171,$I$158)</f>
        <v>1.7676074196054518E-3</v>
      </c>
      <c r="AG180" s="29" cm="1">
        <f t="array" aca="1" ref="AG180" ca="1">MMS_PastureBeef_Methane_Equations.VEERG_4_2_1_1__2_MethaneProductionFromManure(AF134,$I$155,$E$165,$X$171,$I$158)</f>
        <v>1.7676074196054518E-3</v>
      </c>
      <c r="AH180" s="29" cm="1">
        <f t="array" aca="1" ref="AH180" ca="1">MMS_PastureBeef_Methane_Equations.VEERG_4_2_1_1__2_MethaneProductionFromManure(AG134,$I$155,$E$165,$X$171,$I$158)</f>
        <v>1.7676074196054518E-3</v>
      </c>
      <c r="AI180" s="32" t="str">
        <f t="shared" si="8"/>
        <v>kg CH4/head/day</v>
      </c>
      <c r="AJ180" s="32"/>
    </row>
    <row r="181" spans="4:36" ht="20.100000000000001" customHeight="1" x14ac:dyDescent="0.25">
      <c r="D181" s="29" t="str">
        <f>'Input - Pasture Beef'!$D$180</f>
        <v>Anaerobic lagoon</v>
      </c>
      <c r="E181" s="29" t="s">
        <v>41</v>
      </c>
      <c r="F181" s="29" cm="1">
        <f t="array" aca="1" ref="F181" ca="1">MMS_PastureBeef_Methane_Equations.VEERG_4_2_1_1__2_MethaneProductionFromManure(E131,$I$155,$E$166,$E$172,$I$158)</f>
        <v>7.0893809818551147E-4</v>
      </c>
      <c r="G181" s="29" cm="1">
        <f t="array" aca="1" ref="G181" ca="1">MMS_PastureBeef_Methane_Equations.VEERG_4_2_1_1__2_MethaneProductionFromManure(F131,$I$155,$E$166,$E$172,$I$158)</f>
        <v>1.0012808198694057E-3</v>
      </c>
      <c r="H181" s="29" cm="1">
        <f t="array" aca="1" ref="H181" ca="1">MMS_PastureBeef_Methane_Equations.VEERG_4_2_1_1__2_MethaneProductionFromManure(G131,$I$155,$E$166,$E$172,$I$158)</f>
        <v>5.4035242541655584E-4</v>
      </c>
      <c r="I181" s="29" cm="1">
        <f t="array" aca="1" ref="I181" ca="1">MMS_PastureBeef_Methane_Equations.VEERG_4_2_1_1__2_MethaneProductionFromManure(H131,$I$155,$E$166,$E$172,$I$158)</f>
        <v>7.800278952443656E-4</v>
      </c>
      <c r="J181" s="29" cm="1">
        <f t="array" aca="1" ref="J181" ca="1">MMS_PastureBeef_Methane_Equations.VEERG_4_2_1_1__2_MethaneProductionFromManure(I131,$I$155,$E$166,$E$172,$I$158)</f>
        <v>9.2130891733888706E-4</v>
      </c>
      <c r="K181" s="29" cm="1">
        <f t="array" aca="1" ref="K181" ca="1">MMS_PastureBeef_Methane_Equations.VEERG_4_2_1_1__2_MethaneProductionFromManure(J131,$I$155,$E$166,$E$172,$I$158)</f>
        <v>9.2130891733888706E-4</v>
      </c>
      <c r="L181" s="29" cm="1">
        <f t="array" aca="1" ref="L181" ca="1">MMS_PastureBeef_Methane_Equations.VEERG_4_2_1_1__2_MethaneProductionFromManure(K131,$I$155,$E$166,$E$172,$I$158)</f>
        <v>6.2295470778193614E-4</v>
      </c>
      <c r="M181" s="29" cm="1">
        <f t="array" aca="1" ref="M181" ca="1">MMS_PastureBeef_Methane_Equations.VEERG_4_2_1_1__2_MethaneProductionFromManure(L131,$I$155,$E$166,$E$172,$I$158)</f>
        <v>7.9164081197071932E-4</v>
      </c>
      <c r="N181" s="29" cm="1">
        <f t="array" aca="1" ref="N181" ca="1">MMS_PastureBeef_Methane_Equations.VEERG_4_2_1_1__2_MethaneProductionFromManure(M131,$I$155,$E$166,$E$172,$I$158)</f>
        <v>7.9164081197071932E-4</v>
      </c>
      <c r="O181" s="29" cm="1">
        <f t="array" aca="1" ref="O181" ca="1">MMS_PastureBeef_Methane_Equations.VEERG_4_2_1_1__2_MethaneProductionFromManure(N131,$I$155,$E$166,$E$172,$I$158)</f>
        <v>7.9164081197071932E-4</v>
      </c>
      <c r="P181" s="32" t="str">
        <f t="shared" si="6"/>
        <v>kg CH4/head/day</v>
      </c>
      <c r="Q181" s="32"/>
      <c r="R181" s="32"/>
      <c r="S181" s="32"/>
      <c r="W181" s="29" t="str">
        <f>'Input - Pasture Beef'!$D$179</f>
        <v>Pasture range and paddock</v>
      </c>
      <c r="X181" s="29" t="str">
        <f t="shared" si="7"/>
        <v>May 2024</v>
      </c>
      <c r="Y181" s="29" cm="1">
        <f t="array" aca="1" ref="Y181" ca="1">MMS_PastureBeef_Methane_Equations.VEERG_4_2_1_1__2_MethaneProductionFromManure(X135,$I$155,$E$165,$X$171,$I$158)</f>
        <v>9.7360706101441404E-4</v>
      </c>
      <c r="Z181" s="29" cm="1">
        <f t="array" aca="1" ref="Z181" ca="1">MMS_PastureBeef_Methane_Equations.VEERG_4_2_1_1__2_MethaneProductionFromManure(Y135,$I$155,$E$165,$X$171,$I$158)</f>
        <v>2.8257879926910463E-3</v>
      </c>
      <c r="AA181" s="29" cm="1">
        <f t="array" aca="1" ref="AA181" ca="1">MMS_PastureBeef_Methane_Equations.VEERG_4_2_1_1__2_MethaneProductionFromManure(Z135,$I$155,$E$165,$X$171,$I$158)</f>
        <v>8.8759283102341434E-4</v>
      </c>
      <c r="AB181" s="29" cm="1">
        <f t="array" aca="1" ref="AB181" ca="1">MMS_PastureBeef_Methane_Equations.VEERG_4_2_1_1__2_MethaneProductionFromManure(AA135,$I$155,$E$165,$X$171,$I$158)</f>
        <v>1.7863225570826046E-3</v>
      </c>
      <c r="AC181" s="29" cm="1">
        <f t="array" aca="1" ref="AC181" ca="1">MMS_PastureBeef_Methane_Equations.VEERG_4_2_1_1__2_MethaneProductionFromManure(AB135,$I$155,$E$165,$X$171,$I$158)</f>
        <v>2.0142528006700457E-3</v>
      </c>
      <c r="AD181" s="29" cm="1">
        <f t="array" aca="1" ref="AD181" ca="1">MMS_PastureBeef_Methane_Equations.VEERG_4_2_1_1__2_MethaneProductionFromManure(AC135,$I$155,$E$165,$X$171,$I$158)</f>
        <v>2.0142528006700457E-3</v>
      </c>
      <c r="AE181" s="29" cm="1">
        <f t="array" aca="1" ref="AE181" ca="1">MMS_PastureBeef_Methane_Equations.VEERG_4_2_1_1__2_MethaneProductionFromManure(AD135,$I$155,$E$165,$X$171,$I$158)</f>
        <v>9.7360706101441404E-4</v>
      </c>
      <c r="AF181" s="29" cm="1">
        <f t="array" aca="1" ref="AF181" ca="1">MMS_PastureBeef_Methane_Equations.VEERG_4_2_1_1__2_MethaneProductionFromManure(AE135,$I$155,$E$165,$X$171,$I$158)</f>
        <v>1.7676074196054518E-3</v>
      </c>
      <c r="AG181" s="29" cm="1">
        <f t="array" aca="1" ref="AG181" ca="1">MMS_PastureBeef_Methane_Equations.VEERG_4_2_1_1__2_MethaneProductionFromManure(AF135,$I$155,$E$165,$X$171,$I$158)</f>
        <v>1.7676074196054518E-3</v>
      </c>
      <c r="AH181" s="29" cm="1">
        <f t="array" aca="1" ref="AH181" ca="1">MMS_PastureBeef_Methane_Equations.VEERG_4_2_1_1__2_MethaneProductionFromManure(AG135,$I$155,$E$165,$X$171,$I$158)</f>
        <v>1.7676074196054518E-3</v>
      </c>
      <c r="AI181" s="32" t="str">
        <f t="shared" si="8"/>
        <v>kg CH4/head/day</v>
      </c>
      <c r="AJ181" s="32"/>
    </row>
    <row r="182" spans="4:36" ht="20.100000000000001" customHeight="1" x14ac:dyDescent="0.25">
      <c r="D182" s="29" t="str">
        <f>'Input - Pasture Beef'!$D$180</f>
        <v>Anaerobic lagoon</v>
      </c>
      <c r="E182" s="29" t="s">
        <v>43</v>
      </c>
      <c r="F182" s="29" cm="1">
        <f t="array" aca="1" ref="F182" ca="1">MMS_PastureBeef_Methane_Equations.VEERG_4_2_1_1__2_MethaneProductionFromManure(E132,$I$155,$E$166,$E$172,$I$158)</f>
        <v>1.1199674032152948E-3</v>
      </c>
      <c r="G182" s="29" cm="1">
        <f t="array" aca="1" ref="G182" ca="1">MMS_PastureBeef_Methane_Equations.VEERG_4_2_1_1__2_MethaneProductionFromManure(F132,$I$155,$E$166,$E$172,$I$158)</f>
        <v>1.4818275998069344E-3</v>
      </c>
      <c r="H182" s="29" cm="1">
        <f t="array" aca="1" ref="H182" ca="1">MMS_PastureBeef_Methane_Equations.VEERG_4_2_1_1__2_MethaneProductionFromManure(G132,$I$155,$E$166,$E$172,$I$158)</f>
        <v>9.4186729457649166E-4</v>
      </c>
      <c r="I182" s="29" cm="1">
        <f t="array" aca="1" ref="I182" ca="1">MMS_PastureBeef_Methane_Equations.VEERG_4_2_1_1__2_MethaneProductionFromManure(H132,$I$155,$E$166,$E$172,$I$158)</f>
        <v>1.282711228580693E-3</v>
      </c>
      <c r="J182" s="29" cm="1">
        <f t="array" aca="1" ref="J182" ca="1">MMS_PastureBeef_Methane_Equations.VEERG_4_2_1_1__2_MethaneProductionFromManure(I132,$I$155,$E$166,$E$172,$I$158)</f>
        <v>1.2700410668302446E-3</v>
      </c>
      <c r="K182" s="29" cm="1">
        <f t="array" aca="1" ref="K182" ca="1">MMS_PastureBeef_Methane_Equations.VEERG_4_2_1_1__2_MethaneProductionFromManure(J132,$I$155,$E$166,$E$172,$I$158)</f>
        <v>1.2700410668302446E-3</v>
      </c>
      <c r="L182" s="29" cm="1">
        <f t="array" aca="1" ref="L182" ca="1">MMS_PastureBeef_Methane_Equations.VEERG_4_2_1_1__2_MethaneProductionFromManure(K132,$I$155,$E$166,$E$172,$I$158)</f>
        <v>1.0323344202745454E-3</v>
      </c>
      <c r="M182" s="29" cm="1">
        <f t="array" aca="1" ref="M182" ca="1">MMS_PastureBeef_Methane_Equations.VEERG_4_2_1_1__2_MethaneProductionFromManure(L132,$I$155,$E$166,$E$172,$I$158)</f>
        <v>1.1507160578815108E-3</v>
      </c>
      <c r="N182" s="29" cm="1">
        <f t="array" aca="1" ref="N182" ca="1">MMS_PastureBeef_Methane_Equations.VEERG_4_2_1_1__2_MethaneProductionFromManure(M132,$I$155,$E$166,$E$172,$I$158)</f>
        <v>1.1507160578815108E-3</v>
      </c>
      <c r="O182" s="29" cm="1">
        <f t="array" aca="1" ref="O182" ca="1">MMS_PastureBeef_Methane_Equations.VEERG_4_2_1_1__2_MethaneProductionFromManure(N132,$I$155,$E$166,$E$172,$I$158)</f>
        <v>1.1507160578815108E-3</v>
      </c>
      <c r="P182" s="32" t="str">
        <f t="shared" si="6"/>
        <v>kg CH4/head/day</v>
      </c>
      <c r="Q182" s="32"/>
      <c r="R182" s="32"/>
      <c r="S182" s="32"/>
      <c r="W182" s="29" t="str">
        <f>'Input - Pasture Beef'!$D$179</f>
        <v>Pasture range and paddock</v>
      </c>
      <c r="X182" s="29" t="str">
        <f t="shared" si="7"/>
        <v>June 2024</v>
      </c>
      <c r="Y182" s="29" cm="1">
        <f t="array" aca="1" ref="Y182" ca="1">MMS_PastureBeef_Methane_Equations.VEERG_4_2_1_1__2_MethaneProductionFromManure(X136,$I$155,$E$165,$X$171,$I$158)</f>
        <v>8.2649649833119491E-4</v>
      </c>
      <c r="Z182" s="29" cm="1">
        <f t="array" aca="1" ref="Z182" ca="1">MMS_PastureBeef_Methane_Equations.VEERG_4_2_1_1__2_MethaneProductionFromManure(Y136,$I$155,$E$165,$X$171,$I$158)</f>
        <v>1.6061464433302867E-3</v>
      </c>
      <c r="AA182" s="29" cm="1">
        <f t="array" aca="1" ref="AA182" ca="1">MMS_PastureBeef_Methane_Equations.VEERG_4_2_1_1__2_MethaneProductionFromManure(Z136,$I$155,$E$165,$X$171,$I$158)</f>
        <v>6.7671731165028866E-4</v>
      </c>
      <c r="AB182" s="29" cm="1">
        <f t="array" aca="1" ref="AB182" ca="1">MMS_PastureBeef_Methane_Equations.VEERG_4_2_1_1__2_MethaneProductionFromManure(AA136,$I$155,$E$165,$X$171,$I$158)</f>
        <v>9.5449324395505564E-4</v>
      </c>
      <c r="AC182" s="29" cm="1">
        <f t="array" aca="1" ref="AC182" ca="1">MMS_PastureBeef_Methane_Equations.VEERG_4_2_1_1__2_MethaneProductionFromManure(AB136,$I$155,$E$165,$X$171,$I$158)</f>
        <v>1.2804821131099714E-3</v>
      </c>
      <c r="AD182" s="29" cm="1">
        <f t="array" aca="1" ref="AD182" ca="1">MMS_PastureBeef_Methane_Equations.VEERG_4_2_1_1__2_MethaneProductionFromManure(AC136,$I$155,$E$165,$X$171,$I$158)</f>
        <v>1.2804821131099714E-3</v>
      </c>
      <c r="AE182" s="29" cm="1">
        <f t="array" aca="1" ref="AE182" ca="1">MMS_PastureBeef_Methane_Equations.VEERG_4_2_1_1__2_MethaneProductionFromManure(AD136,$I$155,$E$165,$X$171,$I$158)</f>
        <v>7.2656299991787044E-4</v>
      </c>
      <c r="AF182" s="29" cm="1">
        <f t="array" aca="1" ref="AF182" ca="1">MMS_PastureBeef_Methane_Equations.VEERG_4_2_1_1__2_MethaneProductionFromManure(AE136,$I$155,$E$165,$X$171,$I$158)</f>
        <v>1.1061796823535802E-3</v>
      </c>
      <c r="AG182" s="29" cm="1">
        <f t="array" aca="1" ref="AG182" ca="1">MMS_PastureBeef_Methane_Equations.VEERG_4_2_1_1__2_MethaneProductionFromManure(AF136,$I$155,$E$165,$X$171,$I$158)</f>
        <v>1.1061796823535802E-3</v>
      </c>
      <c r="AH182" s="29" cm="1">
        <f t="array" aca="1" ref="AH182" ca="1">MMS_PastureBeef_Methane_Equations.VEERG_4_2_1_1__2_MethaneProductionFromManure(AG136,$I$155,$E$165,$X$171,$I$158)</f>
        <v>1.1061796823535802E-3</v>
      </c>
      <c r="AI182" s="32" t="str">
        <f t="shared" si="8"/>
        <v>kg CH4/head/day</v>
      </c>
      <c r="AJ182" s="32"/>
    </row>
    <row r="183" spans="4:36" ht="20.100000000000001" customHeight="1" x14ac:dyDescent="0.25">
      <c r="D183" s="29" t="str">
        <f>'Input - Pasture Beef'!$D$180</f>
        <v>Anaerobic lagoon</v>
      </c>
      <c r="E183" s="29" t="s">
        <v>44</v>
      </c>
      <c r="F183" s="29" cm="1">
        <f t="array" aca="1" ref="F183" ca="1">MMS_PastureBeef_Methane_Equations.VEERG_4_2_1_1__2_MethaneProductionFromManure(E133,$I$155,$E$166,$E$172,$I$158)</f>
        <v>5.9735979980543661E-4</v>
      </c>
      <c r="G183" s="29" cm="1">
        <f t="array" aca="1" ref="G183" ca="1">MMS_PastureBeef_Methane_Equations.VEERG_4_2_1_1__2_MethaneProductionFromManure(F133,$I$155,$E$166,$E$172,$I$158)</f>
        <v>1.7337714743438364E-3</v>
      </c>
      <c r="H183" s="29" cm="1">
        <f t="array" aca="1" ref="H183" ca="1">MMS_PastureBeef_Methane_Equations.VEERG_4_2_1_1__2_MethaneProductionFromManure(G133,$I$155,$E$166,$E$172,$I$158)</f>
        <v>5.4458548739000758E-4</v>
      </c>
      <c r="I183" s="29" cm="1">
        <f t="array" aca="1" ref="I183" ca="1">MMS_PastureBeef_Methane_Equations.VEERG_4_2_1_1__2_MethaneProductionFromManure(H133,$I$155,$E$166,$E$172,$I$158)</f>
        <v>1.1069640937225215E-3</v>
      </c>
      <c r="J183" s="29" cm="1">
        <f t="array" aca="1" ref="J183" ca="1">MMS_PastureBeef_Methane_Equations.VEERG_4_2_1_1__2_MethaneProductionFromManure(I133,$I$155,$E$166,$E$172,$I$158)</f>
        <v>1.2358514003710424E-3</v>
      </c>
      <c r="K183" s="29" cm="1">
        <f t="array" aca="1" ref="K183" ca="1">MMS_PastureBeef_Methane_Equations.VEERG_4_2_1_1__2_MethaneProductionFromManure(J133,$I$155,$E$166,$E$172,$I$158)</f>
        <v>1.2358514003710424E-3</v>
      </c>
      <c r="L183" s="29" cm="1">
        <f t="array" aca="1" ref="L183" ca="1">MMS_PastureBeef_Methane_Equations.VEERG_4_2_1_1__2_MethaneProductionFromManure(K133,$I$155,$E$166,$E$172,$I$158)</f>
        <v>5.9735979980543661E-4</v>
      </c>
      <c r="M183" s="29" cm="1">
        <f t="array" aca="1" ref="M183" ca="1">MMS_PastureBeef_Methane_Equations.VEERG_4_2_1_1__2_MethaneProductionFromManure(L133,$I$155,$E$166,$E$172,$I$158)</f>
        <v>1.0845213193194834E-3</v>
      </c>
      <c r="N183" s="29" cm="1">
        <f t="array" aca="1" ref="N183" ca="1">MMS_PastureBeef_Methane_Equations.VEERG_4_2_1_1__2_MethaneProductionFromManure(M133,$I$155,$E$166,$E$172,$I$158)</f>
        <v>1.0845213193194834E-3</v>
      </c>
      <c r="O183" s="29" cm="1">
        <f t="array" aca="1" ref="O183" ca="1">MMS_PastureBeef_Methane_Equations.VEERG_4_2_1_1__2_MethaneProductionFromManure(N133,$I$155,$E$166,$E$172,$I$158)</f>
        <v>1.0845213193194834E-3</v>
      </c>
      <c r="P183" s="32" t="str">
        <f t="shared" si="6"/>
        <v>kg CH4/head/day</v>
      </c>
      <c r="Q183" s="32"/>
      <c r="R183" s="32"/>
      <c r="S183" s="32"/>
      <c r="W183" s="29" t="str">
        <f>'Input - Pasture Beef'!$D$179</f>
        <v>Pasture range and paddock</v>
      </c>
      <c r="X183" s="29" t="str">
        <f t="shared" si="7"/>
        <v>July 2024</v>
      </c>
      <c r="Y183" s="29" cm="1">
        <f t="array" aca="1" ref="Y183" ca="1">MMS_PastureBeef_Methane_Equations.VEERG_4_2_1_1__2_MethaneProductionFromManure(X137,$I$155,$E$165,$X$171,$I$158)</f>
        <v>8.2649649833119491E-4</v>
      </c>
      <c r="Z183" s="29" cm="1">
        <f t="array" aca="1" ref="Z183" ca="1">MMS_PastureBeef_Methane_Equations.VEERG_4_2_1_1__2_MethaneProductionFromManure(Y137,$I$155,$E$165,$X$171,$I$158)</f>
        <v>1.6061464433302867E-3</v>
      </c>
      <c r="AA183" s="29" cm="1">
        <f t="array" aca="1" ref="AA183" ca="1">MMS_PastureBeef_Methane_Equations.VEERG_4_2_1_1__2_MethaneProductionFromManure(Z137,$I$155,$E$165,$X$171,$I$158)</f>
        <v>6.7671731165028866E-4</v>
      </c>
      <c r="AB183" s="29" cm="1">
        <f t="array" aca="1" ref="AB183" ca="1">MMS_PastureBeef_Methane_Equations.VEERG_4_2_1_1__2_MethaneProductionFromManure(AA137,$I$155,$E$165,$X$171,$I$158)</f>
        <v>9.5449324395505564E-4</v>
      </c>
      <c r="AC183" s="29" cm="1">
        <f t="array" aca="1" ref="AC183" ca="1">MMS_PastureBeef_Methane_Equations.VEERG_4_2_1_1__2_MethaneProductionFromManure(AB137,$I$155,$E$165,$X$171,$I$158)</f>
        <v>1.2804821131099714E-3</v>
      </c>
      <c r="AD183" s="29" cm="1">
        <f t="array" aca="1" ref="AD183" ca="1">MMS_PastureBeef_Methane_Equations.VEERG_4_2_1_1__2_MethaneProductionFromManure(AC137,$I$155,$E$165,$X$171,$I$158)</f>
        <v>1.2804821131099714E-3</v>
      </c>
      <c r="AE183" s="29" cm="1">
        <f t="array" aca="1" ref="AE183" ca="1">MMS_PastureBeef_Methane_Equations.VEERG_4_2_1_1__2_MethaneProductionFromManure(AD137,$I$155,$E$165,$X$171,$I$158)</f>
        <v>7.2656299991787044E-4</v>
      </c>
      <c r="AF183" s="29" cm="1">
        <f t="array" aca="1" ref="AF183" ca="1">MMS_PastureBeef_Methane_Equations.VEERG_4_2_1_1__2_MethaneProductionFromManure(AE137,$I$155,$E$165,$X$171,$I$158)</f>
        <v>1.1061796823535802E-3</v>
      </c>
      <c r="AG183" s="29" cm="1">
        <f t="array" aca="1" ref="AG183" ca="1">MMS_PastureBeef_Methane_Equations.VEERG_4_2_1_1__2_MethaneProductionFromManure(AF137,$I$155,$E$165,$X$171,$I$158)</f>
        <v>1.1061796823535802E-3</v>
      </c>
      <c r="AH183" s="29" cm="1">
        <f t="array" aca="1" ref="AH183" ca="1">MMS_PastureBeef_Methane_Equations.VEERG_4_2_1_1__2_MethaneProductionFromManure(AG137,$I$155,$E$165,$X$171,$I$158)</f>
        <v>1.1061796823535802E-3</v>
      </c>
      <c r="AI183" s="32" t="str">
        <f t="shared" si="8"/>
        <v>kg CH4/head/day</v>
      </c>
      <c r="AJ183" s="32"/>
    </row>
    <row r="184" spans="4:36" ht="20.100000000000001" customHeight="1" x14ac:dyDescent="0.25">
      <c r="D184" s="29" t="str">
        <f>'Input - Pasture Beef'!$D$180</f>
        <v>Anaerobic lagoon</v>
      </c>
      <c r="E184" s="29" t="s">
        <v>45</v>
      </c>
      <c r="F184" s="29" cm="1">
        <f t="array" aca="1" ref="F184" ca="1">MMS_PastureBeef_Methane_Equations.VEERG_4_2_1_1__2_MethaneProductionFromManure(E134,$I$155,$E$166,$E$172,$I$158)</f>
        <v>5.0709963244166274E-4</v>
      </c>
      <c r="G184" s="29" cm="1">
        <f t="array" aca="1" ref="G184" ca="1">MMS_PastureBeef_Methane_Equations.VEERG_4_2_1_1__2_MethaneProductionFromManure(F134,$I$155,$E$166,$E$172,$I$158)</f>
        <v>9.854564087141411E-4</v>
      </c>
      <c r="H184" s="29" cm="1">
        <f t="array" aca="1" ref="H184" ca="1">MMS_PastureBeef_Methane_Equations.VEERG_4_2_1_1__2_MethaneProductionFromManure(G134,$I$155,$E$166,$E$172,$I$158)</f>
        <v>4.1520212208722356E-4</v>
      </c>
      <c r="I184" s="29" cm="1">
        <f t="array" aca="1" ref="I184" ca="1">MMS_PastureBeef_Methane_Equations.VEERG_4_2_1_1__2_MethaneProductionFromManure(H134,$I$155,$E$166,$E$172,$I$158)</f>
        <v>7.0861527027338679E-4</v>
      </c>
      <c r="J184" s="29" cm="1">
        <f t="array" aca="1" ref="J184" ca="1">MMS_PastureBeef_Methane_Equations.VEERG_4_2_1_1__2_MethaneProductionFromManure(I134,$I$155,$E$166,$E$172,$I$158)</f>
        <v>9.0349059161154151E-4</v>
      </c>
      <c r="K184" s="29" cm="1">
        <f t="array" aca="1" ref="K184" ca="1">MMS_PastureBeef_Methane_Equations.VEERG_4_2_1_1__2_MethaneProductionFromManure(J134,$I$155,$E$166,$E$172,$I$158)</f>
        <v>9.0349059161154151E-4</v>
      </c>
      <c r="L184" s="29" cm="1">
        <f t="array" aca="1" ref="L184" ca="1">MMS_PastureBeef_Methane_Equations.VEERG_4_2_1_1__2_MethaneProductionFromManure(K134,$I$155,$E$166,$E$172,$I$158)</f>
        <v>4.457851073150249E-4</v>
      </c>
      <c r="M184" s="29" cm="1">
        <f t="array" aca="1" ref="M184" ca="1">MMS_PastureBeef_Methane_Equations.VEERG_4_2_1_1__2_MethaneProductionFromManure(L134,$I$155,$E$166,$E$172,$I$158)</f>
        <v>6.787001656613841E-4</v>
      </c>
      <c r="N184" s="29" cm="1">
        <f t="array" aca="1" ref="N184" ca="1">MMS_PastureBeef_Methane_Equations.VEERG_4_2_1_1__2_MethaneProductionFromManure(M134,$I$155,$E$166,$E$172,$I$158)</f>
        <v>6.787001656613841E-4</v>
      </c>
      <c r="O184" s="29" cm="1">
        <f t="array" aca="1" ref="O184" ca="1">MMS_PastureBeef_Methane_Equations.VEERG_4_2_1_1__2_MethaneProductionFromManure(N134,$I$155,$E$166,$E$172,$I$158)</f>
        <v>6.787001656613841E-4</v>
      </c>
      <c r="P184" s="32" t="str">
        <f t="shared" si="6"/>
        <v>kg CH4/head/day</v>
      </c>
      <c r="Q184" s="32"/>
      <c r="R184" s="32"/>
      <c r="S184" s="32"/>
      <c r="W184" s="29" t="str">
        <f>'Input - Pasture Beef'!$D$179</f>
        <v>Pasture range and paddock</v>
      </c>
      <c r="X184" s="29" t="str">
        <f t="shared" si="7"/>
        <v>August 2024</v>
      </c>
      <c r="Y184" s="29" cm="1">
        <f t="array" aca="1" ref="Y184" ca="1">MMS_PastureBeef_Methane_Equations.VEERG_4_2_1_1__2_MethaneProductionFromManure(X138,$I$155,$E$165,$X$171,$I$158)</f>
        <v>8.2649649833119491E-4</v>
      </c>
      <c r="Z184" s="29" cm="1">
        <f t="array" aca="1" ref="Z184" ca="1">MMS_PastureBeef_Methane_Equations.VEERG_4_2_1_1__2_MethaneProductionFromManure(Y138,$I$155,$E$165,$X$171,$I$158)</f>
        <v>1.6061464433302867E-3</v>
      </c>
      <c r="AA184" s="29" cm="1">
        <f t="array" aca="1" ref="AA184" ca="1">MMS_PastureBeef_Methane_Equations.VEERG_4_2_1_1__2_MethaneProductionFromManure(Z138,$I$155,$E$165,$X$171,$I$158)</f>
        <v>6.7671731165028866E-4</v>
      </c>
      <c r="AB184" s="29" cm="1">
        <f t="array" aca="1" ref="AB184" ca="1">MMS_PastureBeef_Methane_Equations.VEERG_4_2_1_1__2_MethaneProductionFromManure(AA138,$I$155,$E$165,$X$171,$I$158)</f>
        <v>1.169254223844943E-3</v>
      </c>
      <c r="AC184" s="29" cm="1">
        <f t="array" aca="1" ref="AC184" ca="1">MMS_PastureBeef_Methane_Equations.VEERG_4_2_1_1__2_MethaneProductionFromManure(AB138,$I$155,$E$165,$X$171,$I$158)</f>
        <v>1.568590588559715E-3</v>
      </c>
      <c r="AD184" s="29" cm="1">
        <f t="array" aca="1" ref="AD184" ca="1">MMS_PastureBeef_Methane_Equations.VEERG_4_2_1_1__2_MethaneProductionFromManure(AC138,$I$155,$E$165,$X$171,$I$158)</f>
        <v>1.568590588559715E-3</v>
      </c>
      <c r="AE184" s="29" cm="1">
        <f t="array" aca="1" ref="AE184" ca="1">MMS_PastureBeef_Methane_Equations.VEERG_4_2_1_1__2_MethaneProductionFromManure(AD138,$I$155,$E$165,$X$171,$I$158)</f>
        <v>7.2656299991787044E-4</v>
      </c>
      <c r="AF184" s="29" cm="1">
        <f t="array" aca="1" ref="AF184" ca="1">MMS_PastureBeef_Methane_Equations.VEERG_4_2_1_1__2_MethaneProductionFromManure(AE138,$I$155,$E$165,$X$171,$I$158)</f>
        <v>1.1061796823535802E-3</v>
      </c>
      <c r="AG184" s="29" cm="1">
        <f t="array" aca="1" ref="AG184" ca="1">MMS_PastureBeef_Methane_Equations.VEERG_4_2_1_1__2_MethaneProductionFromManure(AF138,$I$155,$E$165,$X$171,$I$158)</f>
        <v>1.1061796823535802E-3</v>
      </c>
      <c r="AH184" s="29" cm="1">
        <f t="array" aca="1" ref="AH184" ca="1">MMS_PastureBeef_Methane_Equations.VEERG_4_2_1_1__2_MethaneProductionFromManure(AG138,$I$155,$E$165,$X$171,$I$158)</f>
        <v>1.1061796823535802E-3</v>
      </c>
      <c r="AI184" s="32" t="str">
        <f t="shared" si="8"/>
        <v>kg CH4/head/day</v>
      </c>
      <c r="AJ184" s="32"/>
    </row>
    <row r="185" spans="4:36" ht="20.100000000000001" customHeight="1" x14ac:dyDescent="0.25">
      <c r="W185" s="29" t="str">
        <f>'Input - Pasture Beef'!$D$179</f>
        <v>Pasture range and paddock</v>
      </c>
      <c r="X185" s="29" t="str">
        <f t="shared" si="7"/>
        <v>September 2024</v>
      </c>
      <c r="Y185" s="29" cm="1">
        <f t="array" aca="1" ref="Y185" ca="1">MMS_PastureBeef_Methane_Equations.VEERG_4_2_1_1__2_MethaneProductionFromManure(X139,$I$155,$E$165,$X$171,$I$158)</f>
        <v>1.1554629863615776E-3</v>
      </c>
      <c r="Z185" s="29" cm="1">
        <f t="array" aca="1" ref="Z185" ca="1">MMS_PastureBeef_Methane_Equations.VEERG_4_2_1_1__2_MethaneProductionFromManure(Y139,$I$155,$E$165,$X$171,$I$158)</f>
        <v>1.6319378649193843E-3</v>
      </c>
      <c r="AA185" s="29" cm="1">
        <f t="array" aca="1" ref="AA185" ca="1">MMS_PastureBeef_Methane_Equations.VEERG_4_2_1_1__2_MethaneProductionFromManure(Z139,$I$155,$E$165,$X$171,$I$158)</f>
        <v>8.8069357361036688E-4</v>
      </c>
      <c r="AB185" s="29" cm="1">
        <f t="array" aca="1" ref="AB185" ca="1">MMS_PastureBeef_Methane_Equations.VEERG_4_2_1_1__2_MethaneProductionFromManure(AA139,$I$155,$E$165,$X$171,$I$158)</f>
        <v>1.4157978870077558E-3</v>
      </c>
      <c r="AC185" s="29" cm="1">
        <f t="array" aca="1" ref="AC185" ca="1">MMS_PastureBeef_Methane_Equations.VEERG_4_2_1_1__2_MethaneProductionFromManure(AB139,$I$155,$E$165,$X$171,$I$158)</f>
        <v>1.5721834629166926E-3</v>
      </c>
      <c r="AD185" s="29" cm="1">
        <f t="array" aca="1" ref="AD185" ca="1">MMS_PastureBeef_Methane_Equations.VEERG_4_2_1_1__2_MethaneProductionFromManure(AC139,$I$155,$E$165,$X$171,$I$158)</f>
        <v>1.5721834629166926E-3</v>
      </c>
      <c r="AE185" s="29" cm="1">
        <f t="array" aca="1" ref="AE185" ca="1">MMS_PastureBeef_Methane_Equations.VEERG_4_2_1_1__2_MethaneProductionFromManure(AD139,$I$155,$E$165,$X$171,$I$158)</f>
        <v>1.0153229299765547E-3</v>
      </c>
      <c r="AF185" s="29" cm="1">
        <f t="array" aca="1" ref="AF185" ca="1">MMS_PastureBeef_Methane_Equations.VEERG_4_2_1_1__2_MethaneProductionFromManure(AE139,$I$155,$E$165,$X$171,$I$158)</f>
        <v>1.2902560309095339E-3</v>
      </c>
      <c r="AG185" s="29" cm="1">
        <f t="array" aca="1" ref="AG185" ca="1">MMS_PastureBeef_Methane_Equations.VEERG_4_2_1_1__2_MethaneProductionFromManure(AF139,$I$155,$E$165,$X$171,$I$158)</f>
        <v>1.2902560309095339E-3</v>
      </c>
      <c r="AH185" s="29" cm="1">
        <f t="array" aca="1" ref="AH185" ca="1">MMS_PastureBeef_Methane_Equations.VEERG_4_2_1_1__2_MethaneProductionFromManure(AG139,$I$155,$E$165,$X$171,$I$158)</f>
        <v>1.2902560309095339E-3</v>
      </c>
      <c r="AI185" s="32" t="str">
        <f t="shared" si="8"/>
        <v>kg CH4/head/day</v>
      </c>
      <c r="AJ185" s="32"/>
    </row>
    <row r="186" spans="4:36" ht="20.100000000000001" customHeight="1" x14ac:dyDescent="0.25">
      <c r="W186" s="29" t="str">
        <f>'Input - Pasture Beef'!$D$179</f>
        <v>Pasture range and paddock</v>
      </c>
      <c r="X186" s="29" t="str">
        <f t="shared" si="7"/>
        <v>October 2024</v>
      </c>
      <c r="Y186" s="29" cm="1">
        <f t="array" aca="1" ref="Y186" ca="1">MMS_PastureBeef_Methane_Equations.VEERG_4_2_1_1__2_MethaneProductionFromManure(X140,$I$155,$E$165,$X$171,$I$158)</f>
        <v>1.1554629863615776E-3</v>
      </c>
      <c r="Z186" s="29" cm="1">
        <f t="array" aca="1" ref="Z186" ca="1">MMS_PastureBeef_Methane_Equations.VEERG_4_2_1_1__2_MethaneProductionFromManure(Y140,$I$155,$E$165,$X$171,$I$158)</f>
        <v>1.6319378649193843E-3</v>
      </c>
      <c r="AA186" s="29" cm="1">
        <f t="array" aca="1" ref="AA186" ca="1">MMS_PastureBeef_Methane_Equations.VEERG_4_2_1_1__2_MethaneProductionFromManure(Z140,$I$155,$E$165,$X$171,$I$158)</f>
        <v>8.8069357361036688E-4</v>
      </c>
      <c r="AB186" s="29" cm="1">
        <f t="array" aca="1" ref="AB186" ca="1">MMS_PastureBeef_Methane_Equations.VEERG_4_2_1_1__2_MethaneProductionFromManure(AA140,$I$155,$E$165,$X$171,$I$158)</f>
        <v>1.4157978870077558E-3</v>
      </c>
      <c r="AC186" s="29" cm="1">
        <f t="array" aca="1" ref="AC186" ca="1">MMS_PastureBeef_Methane_Equations.VEERG_4_2_1_1__2_MethaneProductionFromManure(AB140,$I$155,$E$165,$X$171,$I$158)</f>
        <v>1.5721834629166926E-3</v>
      </c>
      <c r="AD186" s="29" cm="1">
        <f t="array" aca="1" ref="AD186" ca="1">MMS_PastureBeef_Methane_Equations.VEERG_4_2_1_1__2_MethaneProductionFromManure(AC140,$I$155,$E$165,$X$171,$I$158)</f>
        <v>1.5721834629166926E-3</v>
      </c>
      <c r="AE186" s="29" cm="1">
        <f t="array" aca="1" ref="AE186" ca="1">MMS_PastureBeef_Methane_Equations.VEERG_4_2_1_1__2_MethaneProductionFromManure(AD140,$I$155,$E$165,$X$171,$I$158)</f>
        <v>1.0153229299765547E-3</v>
      </c>
      <c r="AF186" s="29" cm="1">
        <f t="array" aca="1" ref="AF186" ca="1">MMS_PastureBeef_Methane_Equations.VEERG_4_2_1_1__2_MethaneProductionFromManure(AE140,$I$155,$E$165,$X$171,$I$158)</f>
        <v>1.2902560309095339E-3</v>
      </c>
      <c r="AG186" s="29" cm="1">
        <f t="array" aca="1" ref="AG186" ca="1">MMS_PastureBeef_Methane_Equations.VEERG_4_2_1_1__2_MethaneProductionFromManure(AF140,$I$155,$E$165,$X$171,$I$158)</f>
        <v>1.2902560309095339E-3</v>
      </c>
      <c r="AH186" s="29" cm="1">
        <f t="array" aca="1" ref="AH186" ca="1">MMS_PastureBeef_Methane_Equations.VEERG_4_2_1_1__2_MethaneProductionFromManure(AG140,$I$155,$E$165,$X$171,$I$158)</f>
        <v>1.2902560309095339E-3</v>
      </c>
      <c r="AI186" s="32" t="str">
        <f t="shared" si="8"/>
        <v>kg CH4/head/day</v>
      </c>
      <c r="AJ186" s="32"/>
    </row>
    <row r="187" spans="4:36" ht="20.100000000000001" customHeight="1" x14ac:dyDescent="0.25">
      <c r="W187" s="29" t="str">
        <f>'Input - Pasture Beef'!$D$179</f>
        <v>Pasture range and paddock</v>
      </c>
      <c r="X187" s="29" t="str">
        <f t="shared" si="7"/>
        <v>November 2024</v>
      </c>
      <c r="Y187" s="29" cm="1">
        <f t="array" aca="1" ref="Y187" ca="1">MMS_PastureBeef_Methane_Equations.VEERG_4_2_1_1__2_MethaneProductionFromManure(X141,$I$155,$E$165,$X$171,$I$158)</f>
        <v>1.1554629863615776E-3</v>
      </c>
      <c r="Z187" s="29" cm="1">
        <f t="array" aca="1" ref="Z187" ca="1">MMS_PastureBeef_Methane_Equations.VEERG_4_2_1_1__2_MethaneProductionFromManure(Y141,$I$155,$E$165,$X$171,$I$158)</f>
        <v>1.6319378649193843E-3</v>
      </c>
      <c r="AA187" s="29" cm="1">
        <f t="array" aca="1" ref="AA187" ca="1">MMS_PastureBeef_Methane_Equations.VEERG_4_2_1_1__2_MethaneProductionFromManure(Z141,$I$155,$E$165,$X$171,$I$158)</f>
        <v>8.8069357361036688E-4</v>
      </c>
      <c r="AB187" s="29" cm="1">
        <f t="array" aca="1" ref="AB187" ca="1">MMS_PastureBeef_Methane_Equations.VEERG_4_2_1_1__2_MethaneProductionFromManure(AA141,$I$155,$E$165,$X$171,$I$158)</f>
        <v>1.2424348804353775E-3</v>
      </c>
      <c r="AC187" s="29" cm="1">
        <f t="array" aca="1" ref="AC187" ca="1">MMS_PastureBeef_Methane_Equations.VEERG_4_2_1_1__2_MethaneProductionFromManure(AB141,$I$155,$E$165,$X$171,$I$158)</f>
        <v>1.3796712021513829E-3</v>
      </c>
      <c r="AD187" s="29" cm="1">
        <f t="array" aca="1" ref="AD187" ca="1">MMS_PastureBeef_Methane_Equations.VEERG_4_2_1_1__2_MethaneProductionFromManure(AC141,$I$155,$E$165,$X$171,$I$158)</f>
        <v>1.3796712021513829E-3</v>
      </c>
      <c r="AE187" s="29" cm="1">
        <f t="array" aca="1" ref="AE187" ca="1">MMS_PastureBeef_Methane_Equations.VEERG_4_2_1_1__2_MethaneProductionFromManure(AD141,$I$155,$E$165,$X$171,$I$158)</f>
        <v>1.0153229299765547E-3</v>
      </c>
      <c r="AF187" s="29" cm="1">
        <f t="array" aca="1" ref="AF187" ca="1">MMS_PastureBeef_Methane_Equations.VEERG_4_2_1_1__2_MethaneProductionFromManure(AE141,$I$155,$E$165,$X$171,$I$158)</f>
        <v>1.2902560309095339E-3</v>
      </c>
      <c r="AG187" s="29" cm="1">
        <f t="array" aca="1" ref="AG187" ca="1">MMS_PastureBeef_Methane_Equations.VEERG_4_2_1_1__2_MethaneProductionFromManure(AF141,$I$155,$E$165,$X$171,$I$158)</f>
        <v>1.2902560309095339E-3</v>
      </c>
      <c r="AH187" s="29" cm="1">
        <f t="array" aca="1" ref="AH187" ca="1">MMS_PastureBeef_Methane_Equations.VEERG_4_2_1_1__2_MethaneProductionFromManure(AG141,$I$155,$E$165,$X$171,$I$158)</f>
        <v>1.2902560309095339E-3</v>
      </c>
      <c r="AI187" s="32" t="str">
        <f t="shared" si="8"/>
        <v>kg CH4/head/day</v>
      </c>
      <c r="AJ187" s="32"/>
    </row>
    <row r="188" spans="4:36" ht="20.100000000000001" customHeight="1" x14ac:dyDescent="0.25">
      <c r="W188" s="29" t="str">
        <f>'Input - Pasture Beef'!$D$179</f>
        <v>Pasture range and paddock</v>
      </c>
      <c r="X188" s="29" t="str">
        <f t="shared" si="7"/>
        <v>December 2024</v>
      </c>
      <c r="Y188" s="29" cm="1">
        <f t="array" aca="1" ref="Y188" ca="1">MMS_PastureBeef_Methane_Equations.VEERG_4_2_1_1__2_MethaneProductionFromManure(X142,$I$155,$E$165,$X$171,$I$158)</f>
        <v>1.8253792307944732E-3</v>
      </c>
      <c r="Z188" s="29" cm="1">
        <f t="array" aca="1" ref="Z188" ca="1">MMS_PastureBeef_Methane_Equations.VEERG_4_2_1_1__2_MethaneProductionFromManure(Y142,$I$155,$E$165,$X$171,$I$158)</f>
        <v>2.4151571880932964E-3</v>
      </c>
      <c r="AA188" s="29" cm="1">
        <f t="array" aca="1" ref="AA188" ca="1">MMS_PastureBeef_Methane_Equations.VEERG_4_2_1_1__2_MethaneProductionFromManure(Z142,$I$155,$E$165,$X$171,$I$158)</f>
        <v>1.5351027116938406E-3</v>
      </c>
      <c r="AB188" s="29" cm="1">
        <f t="array" aca="1" ref="AB188" ca="1">MMS_PastureBeef_Methane_Equations.VEERG_4_2_1_1__2_MethaneProductionFromManure(AA142,$I$155,$E$165,$X$171,$I$158)</f>
        <v>2.1609849564283527E-3</v>
      </c>
      <c r="AC188" s="29" cm="1">
        <f t="array" aca="1" ref="AC188" ca="1">MMS_PastureBeef_Methane_Equations.VEERG_4_2_1_1__2_MethaneProductionFromManure(AB142,$I$155,$E$165,$X$171,$I$158)</f>
        <v>2.139639521596127E-3</v>
      </c>
      <c r="AD188" s="29" cm="1">
        <f t="array" aca="1" ref="AD188" ca="1">MMS_PastureBeef_Methane_Equations.VEERG_4_2_1_1__2_MethaneProductionFromManure(AC142,$I$155,$E$165,$X$171,$I$158)</f>
        <v>2.139639521596127E-3</v>
      </c>
      <c r="AE188" s="29" cm="1">
        <f t="array" aca="1" ref="AE188" ca="1">MMS_PastureBeef_Methane_Equations.VEERG_4_2_1_1__2_MethaneProductionFromManure(AD142,$I$155,$E$165,$X$171,$I$158)</f>
        <v>1.6825505854844633E-3</v>
      </c>
      <c r="AF188" s="29" cm="1">
        <f t="array" aca="1" ref="AF188" ca="1">MMS_PastureBeef_Methane_Equations.VEERG_4_2_1_1__2_MethaneProductionFromManure(AE142,$I$155,$E$165,$X$171,$I$158)</f>
        <v>1.8754949354493101E-3</v>
      </c>
      <c r="AG188" s="29" cm="1">
        <f t="array" aca="1" ref="AG188" ca="1">MMS_PastureBeef_Methane_Equations.VEERG_4_2_1_1__2_MethaneProductionFromManure(AF142,$I$155,$E$165,$X$171,$I$158)</f>
        <v>1.8754949354493101E-3</v>
      </c>
      <c r="AH188" s="29" cm="1">
        <f t="array" aca="1" ref="AH188" ca="1">MMS_PastureBeef_Methane_Equations.VEERG_4_2_1_1__2_MethaneProductionFromManure(AG142,$I$155,$E$165,$X$171,$I$158)</f>
        <v>1.8754949354493101E-3</v>
      </c>
      <c r="AI188" s="32" t="str">
        <f t="shared" si="8"/>
        <v>kg CH4/head/day</v>
      </c>
      <c r="AJ188" s="32"/>
    </row>
    <row r="189" spans="4:36" ht="20.100000000000001" customHeight="1" x14ac:dyDescent="0.25">
      <c r="W189" s="29" t="str">
        <f>'Input - Pasture Beef'!$D$180</f>
        <v>Anaerobic lagoon</v>
      </c>
      <c r="X189" s="29" t="str">
        <f>W131</f>
        <v>January 2024</v>
      </c>
      <c r="Y189" s="29" cm="1">
        <f t="array" aca="1" ref="Y189" ca="1">MMS_PastureBeef_Methane_Equations.VEERG_4_2_1_1__2_MethaneProductionFromManure(X131,$I$155,$E$166,$X$172,$I$158)</f>
        <v>1.1347038164154961E-3</v>
      </c>
      <c r="Z189" s="29" cm="1">
        <f t="array" aca="1" ref="Z189" ca="1">MMS_PastureBeef_Methane_Equations.VEERG_4_2_1_1__2_MethaneProductionFromManure(Y131,$I$155,$E$166,$X$172,$I$158)</f>
        <v>1.5013253313833415E-3</v>
      </c>
      <c r="AA189" s="29" cm="1">
        <f t="array" aca="1" ref="AA189" ca="1">MMS_PastureBeef_Methane_Equations.VEERG_4_2_1_1__2_MethaneProductionFromManure(Z131,$I$155,$E$166,$X$172,$I$158)</f>
        <v>9.5426028529460333E-4</v>
      </c>
      <c r="AB189" s="29" cm="1">
        <f t="array" aca="1" ref="AB189" ca="1">MMS_PastureBeef_Methane_Equations.VEERG_4_2_1_1__2_MethaneProductionFromManure(AA131,$I$155,$E$166,$X$172,$I$158)</f>
        <v>1.3433251764393584E-3</v>
      </c>
      <c r="AC189" s="29" cm="1">
        <f t="array" aca="1" ref="AC189" ca="1">MMS_PastureBeef_Methane_Equations.VEERG_4_2_1_1__2_MethaneProductionFromManure(AB131,$I$155,$E$166,$X$172,$I$158)</f>
        <v>1.3300562918379748E-3</v>
      </c>
      <c r="AD189" s="29" cm="1">
        <f t="array" aca="1" ref="AD189" ca="1">MMS_PastureBeef_Methane_Equations.VEERG_4_2_1_1__2_MethaneProductionFromManure(AC131,$I$155,$E$166,$X$172,$I$158)</f>
        <v>1.3300562918379748E-3</v>
      </c>
      <c r="AE189" s="29" cm="1">
        <f t="array" aca="1" ref="AE189" ca="1">MMS_PastureBeef_Methane_Equations.VEERG_4_2_1_1__2_MethaneProductionFromManure(AD131,$I$155,$E$166,$X$172,$I$158)</f>
        <v>1.0459177679097368E-3</v>
      </c>
      <c r="AF189" s="29" cm="1">
        <f t="array" aca="1" ref="AF189" ca="1">MMS_PastureBeef_Methane_Equations.VEERG_4_2_1_1__2_MethaneProductionFromManure(AE131,$I$155,$E$166,$X$172,$I$158)</f>
        <v>1.1658570586431096E-3</v>
      </c>
      <c r="AG189" s="29" cm="1">
        <f t="array" aca="1" ref="AG189" ca="1">MMS_PastureBeef_Methane_Equations.VEERG_4_2_1_1__2_MethaneProductionFromManure(AF131,$I$155,$E$166,$X$172,$I$158)</f>
        <v>1.1658570586431096E-3</v>
      </c>
      <c r="AH189" s="29" cm="1">
        <f t="array" aca="1" ref="AH189" ca="1">MMS_PastureBeef_Methane_Equations.VEERG_4_2_1_1__2_MethaneProductionFromManure(AG131,$I$155,$E$166,$X$172,$I$158)</f>
        <v>1.1658570586431096E-3</v>
      </c>
      <c r="AI189" s="32" t="str">
        <f t="shared" si="8"/>
        <v>kg CH4/head/day</v>
      </c>
      <c r="AJ189" s="32"/>
    </row>
    <row r="190" spans="4:36" ht="20.100000000000001" customHeight="1" x14ac:dyDescent="0.25">
      <c r="W190" s="29" t="str">
        <f>'Input - Pasture Beef'!$D$180</f>
        <v>Anaerobic lagoon</v>
      </c>
      <c r="X190" s="29" t="str">
        <f t="shared" ref="X190:X200" si="9">W132</f>
        <v>February 2024</v>
      </c>
      <c r="Y190" s="29" cm="1">
        <f t="array" aca="1" ref="Y190" ca="1">MMS_PastureBeef_Methane_Equations.VEERG_4_2_1_1__2_MethaneProductionFromManure(X132,$I$155,$E$166,$X$172,$I$158)</f>
        <v>1.1347038164154961E-3</v>
      </c>
      <c r="Z190" s="29" cm="1">
        <f t="array" aca="1" ref="Z190" ca="1">MMS_PastureBeef_Methane_Equations.VEERG_4_2_1_1__2_MethaneProductionFromManure(Y132,$I$155,$E$166,$X$172,$I$158)</f>
        <v>1.5013253313833415E-3</v>
      </c>
      <c r="AA190" s="29" cm="1">
        <f t="array" aca="1" ref="AA190" ca="1">MMS_PastureBeef_Methane_Equations.VEERG_4_2_1_1__2_MethaneProductionFromManure(Z132,$I$155,$E$166,$X$172,$I$158)</f>
        <v>9.5426028529460333E-4</v>
      </c>
      <c r="AB190" s="29" cm="1">
        <f t="array" aca="1" ref="AB190" ca="1">MMS_PastureBeef_Methane_Equations.VEERG_4_2_1_1__2_MethaneProductionFromManure(AA132,$I$155,$E$166,$X$172,$I$158)</f>
        <v>1.2496048152924261E-3</v>
      </c>
      <c r="AC190" s="29" cm="1">
        <f t="array" aca="1" ref="AC190" ca="1">MMS_PastureBeef_Methane_Equations.VEERG_4_2_1_1__2_MethaneProductionFromManure(AB132,$I$155,$E$166,$X$172,$I$158)</f>
        <v>1.2372616668260229E-3</v>
      </c>
      <c r="AD190" s="29" cm="1">
        <f t="array" aca="1" ref="AD190" ca="1">MMS_PastureBeef_Methane_Equations.VEERG_4_2_1_1__2_MethaneProductionFromManure(AC132,$I$155,$E$166,$X$172,$I$158)</f>
        <v>1.2372616668260229E-3</v>
      </c>
      <c r="AE190" s="29" cm="1">
        <f t="array" aca="1" ref="AE190" ca="1">MMS_PastureBeef_Methane_Equations.VEERG_4_2_1_1__2_MethaneProductionFromManure(AD132,$I$155,$E$166,$X$172,$I$158)</f>
        <v>1.0459177679097368E-3</v>
      </c>
      <c r="AF190" s="29" cm="1">
        <f t="array" aca="1" ref="AF190" ca="1">MMS_PastureBeef_Methane_Equations.VEERG_4_2_1_1__2_MethaneProductionFromManure(AE132,$I$155,$E$166,$X$172,$I$158)</f>
        <v>1.1658570586431096E-3</v>
      </c>
      <c r="AG190" s="29" cm="1">
        <f t="array" aca="1" ref="AG190" ca="1">MMS_PastureBeef_Methane_Equations.VEERG_4_2_1_1__2_MethaneProductionFromManure(AF132,$I$155,$E$166,$X$172,$I$158)</f>
        <v>1.1658570586431096E-3</v>
      </c>
      <c r="AH190" s="29" cm="1">
        <f t="array" aca="1" ref="AH190" ca="1">MMS_PastureBeef_Methane_Equations.VEERG_4_2_1_1__2_MethaneProductionFromManure(AG132,$I$155,$E$166,$X$172,$I$158)</f>
        <v>1.1658570586431096E-3</v>
      </c>
      <c r="AI190" s="32" t="str">
        <f t="shared" si="8"/>
        <v>kg CH4/head/day</v>
      </c>
      <c r="AJ190" s="32"/>
    </row>
    <row r="191" spans="4:36" ht="20.100000000000001" customHeight="1" x14ac:dyDescent="0.25">
      <c r="W191" s="29" t="str">
        <f>'Input - Pasture Beef'!$D$180</f>
        <v>Anaerobic lagoon</v>
      </c>
      <c r="X191" s="29" t="str">
        <f t="shared" si="9"/>
        <v>March 2024</v>
      </c>
      <c r="Y191" s="29" cm="1">
        <f t="array" aca="1" ref="Y191" ca="1">MMS_PastureBeef_Methane_Equations.VEERG_4_2_1_1__2_MethaneProductionFromManure(X133,$I$155,$E$166,$X$172,$I$158)</f>
        <v>6.0521979717129766E-4</v>
      </c>
      <c r="Z191" s="29" cm="1">
        <f t="array" aca="1" ref="Z191" ca="1">MMS_PastureBeef_Methane_Equations.VEERG_4_2_1_1__2_MethaneProductionFromManure(Y133,$I$155,$E$166,$X$172,$I$158)</f>
        <v>1.7565842569009921E-3</v>
      </c>
      <c r="AA191" s="29" cm="1">
        <f t="array" aca="1" ref="AA191" ca="1">MMS_PastureBeef_Methane_Equations.VEERG_4_2_1_1__2_MethaneProductionFromManure(Z133,$I$155,$E$166,$X$172,$I$158)</f>
        <v>5.5175108590829725E-4</v>
      </c>
      <c r="AB191" s="29" cm="1">
        <f t="array" aca="1" ref="AB191" ca="1">MMS_PastureBeef_Methane_Equations.VEERG_4_2_1_1__2_MethaneProductionFromManure(AA133,$I$155,$E$166,$X$172,$I$158)</f>
        <v>1.1104251591536494E-3</v>
      </c>
      <c r="AC191" s="29" cm="1">
        <f t="array" aca="1" ref="AC191" ca="1">MMS_PastureBeef_Methane_Equations.VEERG_4_2_1_1__2_MethaneProductionFromManure(AB133,$I$155,$E$166,$X$172,$I$158)</f>
        <v>1.2521126030075034E-3</v>
      </c>
      <c r="AD191" s="29" cm="1">
        <f t="array" aca="1" ref="AD191" ca="1">MMS_PastureBeef_Methane_Equations.VEERG_4_2_1_1__2_MethaneProductionFromManure(AC133,$I$155,$E$166,$X$172,$I$158)</f>
        <v>1.2521126030075034E-3</v>
      </c>
      <c r="AE191" s="29" cm="1">
        <f t="array" aca="1" ref="AE191" ca="1">MMS_PastureBeef_Methane_Equations.VEERG_4_2_1_1__2_MethaneProductionFromManure(AD133,$I$155,$E$166,$X$172,$I$158)</f>
        <v>6.0521979717129766E-4</v>
      </c>
      <c r="AF191" s="29" cm="1">
        <f t="array" aca="1" ref="AF191" ca="1">MMS_PastureBeef_Methane_Equations.VEERG_4_2_1_1__2_MethaneProductionFromManure(AE133,$I$155,$E$166,$X$172,$I$158)</f>
        <v>1.0987913366789503E-3</v>
      </c>
      <c r="AG191" s="29" cm="1">
        <f t="array" aca="1" ref="AG191" ca="1">MMS_PastureBeef_Methane_Equations.VEERG_4_2_1_1__2_MethaneProductionFromManure(AF133,$I$155,$E$166,$X$172,$I$158)</f>
        <v>1.0987913366789503E-3</v>
      </c>
      <c r="AH191" s="29" cm="1">
        <f t="array" aca="1" ref="AH191" ca="1">MMS_PastureBeef_Methane_Equations.VEERG_4_2_1_1__2_MethaneProductionFromManure(AG133,$I$155,$E$166,$X$172,$I$158)</f>
        <v>1.0987913366789503E-3</v>
      </c>
      <c r="AI191" s="32" t="str">
        <f t="shared" si="8"/>
        <v>kg CH4/head/day</v>
      </c>
      <c r="AJ191" s="32"/>
    </row>
    <row r="192" spans="4:36" ht="20.100000000000001" customHeight="1" x14ac:dyDescent="0.25">
      <c r="W192" s="29" t="str">
        <f>'Input - Pasture Beef'!$D$180</f>
        <v>Anaerobic lagoon</v>
      </c>
      <c r="X192" s="29" t="str">
        <f t="shared" si="9"/>
        <v>April 2024</v>
      </c>
      <c r="Y192" s="29" cm="1">
        <f t="array" aca="1" ref="Y192" ca="1">MMS_PastureBeef_Methane_Equations.VEERG_4_2_1_1__2_MethaneProductionFromManure(X134,$I$155,$E$166,$X$172,$I$158)</f>
        <v>6.0521979717129766E-4</v>
      </c>
      <c r="Z192" s="29" cm="1">
        <f t="array" aca="1" ref="Z192" ca="1">MMS_PastureBeef_Methane_Equations.VEERG_4_2_1_1__2_MethaneProductionFromManure(Y134,$I$155,$E$166,$X$172,$I$158)</f>
        <v>1.7565842569009921E-3</v>
      </c>
      <c r="AA192" s="29" cm="1">
        <f t="array" aca="1" ref="AA192" ca="1">MMS_PastureBeef_Methane_Equations.VEERG_4_2_1_1__2_MethaneProductionFromManure(Z134,$I$155,$E$166,$X$172,$I$158)</f>
        <v>5.5175108590829725E-4</v>
      </c>
      <c r="AB192" s="29" cm="1">
        <f t="array" aca="1" ref="AB192" ca="1">MMS_PastureBeef_Methane_Equations.VEERG_4_2_1_1__2_MethaneProductionFromManure(AA134,$I$155,$E$166,$X$172,$I$158)</f>
        <v>1.1104251591536494E-3</v>
      </c>
      <c r="AC192" s="29" cm="1">
        <f t="array" aca="1" ref="AC192" ca="1">MMS_PastureBeef_Methane_Equations.VEERG_4_2_1_1__2_MethaneProductionFromManure(AB134,$I$155,$E$166,$X$172,$I$158)</f>
        <v>1.2521126030075034E-3</v>
      </c>
      <c r="AD192" s="29" cm="1">
        <f t="array" aca="1" ref="AD192" ca="1">MMS_PastureBeef_Methane_Equations.VEERG_4_2_1_1__2_MethaneProductionFromManure(AC134,$I$155,$E$166,$X$172,$I$158)</f>
        <v>1.2521126030075034E-3</v>
      </c>
      <c r="AE192" s="29" cm="1">
        <f t="array" aca="1" ref="AE192" ca="1">MMS_PastureBeef_Methane_Equations.VEERG_4_2_1_1__2_MethaneProductionFromManure(AD134,$I$155,$E$166,$X$172,$I$158)</f>
        <v>6.0521979717129766E-4</v>
      </c>
      <c r="AF192" s="29" cm="1">
        <f t="array" aca="1" ref="AF192" ca="1">MMS_PastureBeef_Methane_Equations.VEERG_4_2_1_1__2_MethaneProductionFromManure(AE134,$I$155,$E$166,$X$172,$I$158)</f>
        <v>1.0987913366789503E-3</v>
      </c>
      <c r="AG192" s="29" cm="1">
        <f t="array" aca="1" ref="AG192" ca="1">MMS_PastureBeef_Methane_Equations.VEERG_4_2_1_1__2_MethaneProductionFromManure(AF134,$I$155,$E$166,$X$172,$I$158)</f>
        <v>1.0987913366789503E-3</v>
      </c>
      <c r="AH192" s="29" cm="1">
        <f t="array" aca="1" ref="AH192" ca="1">MMS_PastureBeef_Methane_Equations.VEERG_4_2_1_1__2_MethaneProductionFromManure(AG134,$I$155,$E$166,$X$172,$I$158)</f>
        <v>1.0987913366789503E-3</v>
      </c>
      <c r="AI192" s="32" t="str">
        <f t="shared" si="8"/>
        <v>kg CH4/head/day</v>
      </c>
      <c r="AJ192" s="32"/>
    </row>
    <row r="193" spans="3:37" ht="20.100000000000001" customHeight="1" x14ac:dyDescent="0.25">
      <c r="W193" s="29" t="str">
        <f>'Input - Pasture Beef'!$D$180</f>
        <v>Anaerobic lagoon</v>
      </c>
      <c r="X193" s="29" t="str">
        <f t="shared" si="9"/>
        <v>May 2024</v>
      </c>
      <c r="Y193" s="29" cm="1">
        <f t="array" aca="1" ref="Y193" ca="1">MMS_PastureBeef_Methane_Equations.VEERG_4_2_1_1__2_MethaneProductionFromManure(X135,$I$155,$E$166,$X$172,$I$158)</f>
        <v>6.0521979717129766E-4</v>
      </c>
      <c r="Z193" s="29" cm="1">
        <f t="array" aca="1" ref="Z193" ca="1">MMS_PastureBeef_Methane_Equations.VEERG_4_2_1_1__2_MethaneProductionFromManure(Y135,$I$155,$E$166,$X$172,$I$158)</f>
        <v>1.7565842569009921E-3</v>
      </c>
      <c r="AA193" s="29" cm="1">
        <f t="array" aca="1" ref="AA193" ca="1">MMS_PastureBeef_Methane_Equations.VEERG_4_2_1_1__2_MethaneProductionFromManure(Z135,$I$155,$E$166,$X$172,$I$158)</f>
        <v>5.5175108590829725E-4</v>
      </c>
      <c r="AB193" s="29" cm="1">
        <f t="array" aca="1" ref="AB193" ca="1">MMS_PastureBeef_Methane_Equations.VEERG_4_2_1_1__2_MethaneProductionFromManure(AA135,$I$155,$E$166,$X$172,$I$158)</f>
        <v>1.1104251591536494E-3</v>
      </c>
      <c r="AC193" s="29" cm="1">
        <f t="array" aca="1" ref="AC193" ca="1">MMS_PastureBeef_Methane_Equations.VEERG_4_2_1_1__2_MethaneProductionFromManure(AB135,$I$155,$E$166,$X$172,$I$158)</f>
        <v>1.2521126030075034E-3</v>
      </c>
      <c r="AD193" s="29" cm="1">
        <f t="array" aca="1" ref="AD193" ca="1">MMS_PastureBeef_Methane_Equations.VEERG_4_2_1_1__2_MethaneProductionFromManure(AC135,$I$155,$E$166,$X$172,$I$158)</f>
        <v>1.2521126030075034E-3</v>
      </c>
      <c r="AE193" s="29" cm="1">
        <f t="array" aca="1" ref="AE193" ca="1">MMS_PastureBeef_Methane_Equations.VEERG_4_2_1_1__2_MethaneProductionFromManure(AD135,$I$155,$E$166,$X$172,$I$158)</f>
        <v>6.0521979717129766E-4</v>
      </c>
      <c r="AF193" s="29" cm="1">
        <f t="array" aca="1" ref="AF193" ca="1">MMS_PastureBeef_Methane_Equations.VEERG_4_2_1_1__2_MethaneProductionFromManure(AE135,$I$155,$E$166,$X$172,$I$158)</f>
        <v>1.0987913366789503E-3</v>
      </c>
      <c r="AG193" s="29" cm="1">
        <f t="array" aca="1" ref="AG193" ca="1">MMS_PastureBeef_Methane_Equations.VEERG_4_2_1_1__2_MethaneProductionFromManure(AF135,$I$155,$E$166,$X$172,$I$158)</f>
        <v>1.0987913366789503E-3</v>
      </c>
      <c r="AH193" s="29" cm="1">
        <f t="array" aca="1" ref="AH193" ca="1">MMS_PastureBeef_Methane_Equations.VEERG_4_2_1_1__2_MethaneProductionFromManure(AG135,$I$155,$E$166,$X$172,$I$158)</f>
        <v>1.0987913366789503E-3</v>
      </c>
      <c r="AI193" s="32" t="str">
        <f t="shared" si="8"/>
        <v>kg CH4/head/day</v>
      </c>
      <c r="AJ193" s="32"/>
    </row>
    <row r="194" spans="3:37" ht="20.100000000000001" customHeight="1" x14ac:dyDescent="0.25">
      <c r="W194" s="29" t="str">
        <f>'Input - Pasture Beef'!$D$180</f>
        <v>Anaerobic lagoon</v>
      </c>
      <c r="X194" s="29" t="str">
        <f t="shared" si="9"/>
        <v>June 2024</v>
      </c>
      <c r="Y194" s="29" cm="1">
        <f t="array" aca="1" ref="Y194" ca="1">MMS_PastureBeef_Methane_Equations.VEERG_4_2_1_1__2_MethaneProductionFromManure(X136,$I$155,$E$166,$X$172,$I$158)</f>
        <v>5.1377199602642149E-4</v>
      </c>
      <c r="Z194" s="29" cm="1">
        <f t="array" aca="1" ref="Z194" ca="1">MMS_PastureBeef_Methane_Equations.VEERG_4_2_1_1__2_MethaneProductionFromManure(Y136,$I$155,$E$166,$X$172,$I$158)</f>
        <v>9.984229404077481E-4</v>
      </c>
      <c r="AA194" s="29" cm="1">
        <f t="array" aca="1" ref="AA194" ca="1">MMS_PastureBeef_Methane_Equations.VEERG_4_2_1_1__2_MethaneProductionFromManure(Z136,$I$155,$E$166,$X$172,$I$158)</f>
        <v>4.2066530790416074E-4</v>
      </c>
      <c r="AB194" s="29" cm="1">
        <f t="array" aca="1" ref="AB194" ca="1">MMS_PastureBeef_Methane_Equations.VEERG_4_2_1_1__2_MethaneProductionFromManure(AA136,$I$155,$E$166,$X$172,$I$158)</f>
        <v>5.9333814496575457E-4</v>
      </c>
      <c r="AC194" s="29" cm="1">
        <f t="array" aca="1" ref="AC194" ca="1">MMS_PastureBeef_Methane_Equations.VEERG_4_2_1_1__2_MethaneProductionFromManure(AB136,$I$155,$E$166,$X$172,$I$158)</f>
        <v>7.9598141366234209E-4</v>
      </c>
      <c r="AD194" s="29" cm="1">
        <f t="array" aca="1" ref="AD194" ca="1">MMS_PastureBeef_Methane_Equations.VEERG_4_2_1_1__2_MethaneProductionFromManure(AC136,$I$155,$E$166,$X$172,$I$158)</f>
        <v>7.9598141366234209E-4</v>
      </c>
      <c r="AE194" s="29" cm="1">
        <f t="array" aca="1" ref="AE194" ca="1">MMS_PastureBeef_Methane_Equations.VEERG_4_2_1_1__2_MethaneProductionFromManure(AD136,$I$155,$E$166,$X$172,$I$158)</f>
        <v>4.5165070083232783E-4</v>
      </c>
      <c r="AF194" s="29" cm="1">
        <f t="array" aca="1" ref="AF194" ca="1">MMS_PastureBeef_Methane_Equations.VEERG_4_2_1_1__2_MethaneProductionFromManure(AE136,$I$155,$E$166,$X$172,$I$158)</f>
        <v>6.8763043099903404E-4</v>
      </c>
      <c r="AG194" s="29" cm="1">
        <f t="array" aca="1" ref="AG194" ca="1">MMS_PastureBeef_Methane_Equations.VEERG_4_2_1_1__2_MethaneProductionFromManure(AF136,$I$155,$E$166,$X$172,$I$158)</f>
        <v>6.8763043099903404E-4</v>
      </c>
      <c r="AH194" s="29" cm="1">
        <f t="array" aca="1" ref="AH194" ca="1">MMS_PastureBeef_Methane_Equations.VEERG_4_2_1_1__2_MethaneProductionFromManure(AG136,$I$155,$E$166,$X$172,$I$158)</f>
        <v>6.8763043099903404E-4</v>
      </c>
      <c r="AI194" s="32" t="str">
        <f t="shared" si="8"/>
        <v>kg CH4/head/day</v>
      </c>
      <c r="AJ194" s="32"/>
    </row>
    <row r="195" spans="3:37" ht="20.100000000000001" customHeight="1" x14ac:dyDescent="0.25">
      <c r="W195" s="29" t="str">
        <f>'Input - Pasture Beef'!$D$180</f>
        <v>Anaerobic lagoon</v>
      </c>
      <c r="X195" s="29" t="str">
        <f t="shared" si="9"/>
        <v>July 2024</v>
      </c>
      <c r="Y195" s="29" cm="1">
        <f t="array" aca="1" ref="Y195" ca="1">MMS_PastureBeef_Methane_Equations.VEERG_4_2_1_1__2_MethaneProductionFromManure(X137,$I$155,$E$166,$X$172,$I$158)</f>
        <v>5.1377199602642149E-4</v>
      </c>
      <c r="Z195" s="29" cm="1">
        <f t="array" aca="1" ref="Z195" ca="1">MMS_PastureBeef_Methane_Equations.VEERG_4_2_1_1__2_MethaneProductionFromManure(Y137,$I$155,$E$166,$X$172,$I$158)</f>
        <v>9.984229404077481E-4</v>
      </c>
      <c r="AA195" s="29" cm="1">
        <f t="array" aca="1" ref="AA195" ca="1">MMS_PastureBeef_Methane_Equations.VEERG_4_2_1_1__2_MethaneProductionFromManure(Z137,$I$155,$E$166,$X$172,$I$158)</f>
        <v>4.2066530790416074E-4</v>
      </c>
      <c r="AB195" s="29" cm="1">
        <f t="array" aca="1" ref="AB195" ca="1">MMS_PastureBeef_Methane_Equations.VEERG_4_2_1_1__2_MethaneProductionFromManure(AA137,$I$155,$E$166,$X$172,$I$158)</f>
        <v>5.9333814496575457E-4</v>
      </c>
      <c r="AC195" s="29" cm="1">
        <f t="array" aca="1" ref="AC195" ca="1">MMS_PastureBeef_Methane_Equations.VEERG_4_2_1_1__2_MethaneProductionFromManure(AB137,$I$155,$E$166,$X$172,$I$158)</f>
        <v>7.9598141366234209E-4</v>
      </c>
      <c r="AD195" s="29" cm="1">
        <f t="array" aca="1" ref="AD195" ca="1">MMS_PastureBeef_Methane_Equations.VEERG_4_2_1_1__2_MethaneProductionFromManure(AC137,$I$155,$E$166,$X$172,$I$158)</f>
        <v>7.9598141366234209E-4</v>
      </c>
      <c r="AE195" s="29" cm="1">
        <f t="array" aca="1" ref="AE195" ca="1">MMS_PastureBeef_Methane_Equations.VEERG_4_2_1_1__2_MethaneProductionFromManure(AD137,$I$155,$E$166,$X$172,$I$158)</f>
        <v>4.5165070083232783E-4</v>
      </c>
      <c r="AF195" s="29" cm="1">
        <f t="array" aca="1" ref="AF195" ca="1">MMS_PastureBeef_Methane_Equations.VEERG_4_2_1_1__2_MethaneProductionFromManure(AE137,$I$155,$E$166,$X$172,$I$158)</f>
        <v>6.8763043099903404E-4</v>
      </c>
      <c r="AG195" s="29" cm="1">
        <f t="array" aca="1" ref="AG195" ca="1">MMS_PastureBeef_Methane_Equations.VEERG_4_2_1_1__2_MethaneProductionFromManure(AF137,$I$155,$E$166,$X$172,$I$158)</f>
        <v>6.8763043099903404E-4</v>
      </c>
      <c r="AH195" s="29" cm="1">
        <f t="array" aca="1" ref="AH195" ca="1">MMS_PastureBeef_Methane_Equations.VEERG_4_2_1_1__2_MethaneProductionFromManure(AG137,$I$155,$E$166,$X$172,$I$158)</f>
        <v>6.8763043099903404E-4</v>
      </c>
      <c r="AI195" s="32" t="str">
        <f t="shared" si="8"/>
        <v>kg CH4/head/day</v>
      </c>
      <c r="AJ195" s="32"/>
    </row>
    <row r="196" spans="3:37" ht="20.100000000000001" customHeight="1" x14ac:dyDescent="0.25">
      <c r="W196" s="29" t="str">
        <f>'Input - Pasture Beef'!$D$180</f>
        <v>Anaerobic lagoon</v>
      </c>
      <c r="X196" s="29" t="str">
        <f t="shared" si="9"/>
        <v>August 2024</v>
      </c>
      <c r="Y196" s="29" cm="1">
        <f t="array" aca="1" ref="Y196" ca="1">MMS_PastureBeef_Methane_Equations.VEERG_4_2_1_1__2_MethaneProductionFromManure(X138,$I$155,$E$166,$X$172,$I$158)</f>
        <v>5.1377199602642149E-4</v>
      </c>
      <c r="Z196" s="29" cm="1">
        <f t="array" aca="1" ref="Z196" ca="1">MMS_PastureBeef_Methane_Equations.VEERG_4_2_1_1__2_MethaneProductionFromManure(Y138,$I$155,$E$166,$X$172,$I$158)</f>
        <v>9.984229404077481E-4</v>
      </c>
      <c r="AA196" s="29" cm="1">
        <f t="array" aca="1" ref="AA196" ca="1">MMS_PastureBeef_Methane_Equations.VEERG_4_2_1_1__2_MethaneProductionFromManure(Z138,$I$155,$E$166,$X$172,$I$158)</f>
        <v>4.2066530790416074E-4</v>
      </c>
      <c r="AB196" s="29" cm="1">
        <f t="array" aca="1" ref="AB196" ca="1">MMS_PastureBeef_Methane_Equations.VEERG_4_2_1_1__2_MethaneProductionFromManure(AA138,$I$155,$E$166,$X$172,$I$158)</f>
        <v>7.2683922758304937E-4</v>
      </c>
      <c r="AC196" s="29" cm="1">
        <f t="array" aca="1" ref="AC196" ca="1">MMS_PastureBeef_Methane_Equations.VEERG_4_2_1_1__2_MethaneProductionFromManure(AB138,$I$155,$E$166,$X$172,$I$158)</f>
        <v>9.75077231736369E-4</v>
      </c>
      <c r="AD196" s="29" cm="1">
        <f t="array" aca="1" ref="AD196" ca="1">MMS_PastureBeef_Methane_Equations.VEERG_4_2_1_1__2_MethaneProductionFromManure(AC138,$I$155,$E$166,$X$172,$I$158)</f>
        <v>9.75077231736369E-4</v>
      </c>
      <c r="AE196" s="29" cm="1">
        <f t="array" aca="1" ref="AE196" ca="1">MMS_PastureBeef_Methane_Equations.VEERG_4_2_1_1__2_MethaneProductionFromManure(AD138,$I$155,$E$166,$X$172,$I$158)</f>
        <v>4.5165070083232783E-4</v>
      </c>
      <c r="AF196" s="29" cm="1">
        <f t="array" aca="1" ref="AF196" ca="1">MMS_PastureBeef_Methane_Equations.VEERG_4_2_1_1__2_MethaneProductionFromManure(AE138,$I$155,$E$166,$X$172,$I$158)</f>
        <v>6.8763043099903404E-4</v>
      </c>
      <c r="AG196" s="29" cm="1">
        <f t="array" aca="1" ref="AG196" ca="1">MMS_PastureBeef_Methane_Equations.VEERG_4_2_1_1__2_MethaneProductionFromManure(AF138,$I$155,$E$166,$X$172,$I$158)</f>
        <v>6.8763043099903404E-4</v>
      </c>
      <c r="AH196" s="29" cm="1">
        <f t="array" aca="1" ref="AH196" ca="1">MMS_PastureBeef_Methane_Equations.VEERG_4_2_1_1__2_MethaneProductionFromManure(AG138,$I$155,$E$166,$X$172,$I$158)</f>
        <v>6.8763043099903404E-4</v>
      </c>
      <c r="AI196" s="32" t="str">
        <f t="shared" si="8"/>
        <v>kg CH4/head/day</v>
      </c>
      <c r="AJ196" s="32"/>
    </row>
    <row r="197" spans="3:37" ht="20.100000000000001" customHeight="1" x14ac:dyDescent="0.25">
      <c r="W197" s="29" t="str">
        <f>'Input - Pasture Beef'!$D$180</f>
        <v>Anaerobic lagoon</v>
      </c>
      <c r="X197" s="29" t="str">
        <f t="shared" si="9"/>
        <v>September 2024</v>
      </c>
      <c r="Y197" s="29" cm="1">
        <f t="array" aca="1" ref="Y197" ca="1">MMS_PastureBeef_Methane_Equations.VEERG_4_2_1_1__2_MethaneProductionFromManure(X139,$I$155,$E$166,$X$172,$I$158)</f>
        <v>7.1826623105637353E-4</v>
      </c>
      <c r="Z197" s="29" cm="1">
        <f t="array" aca="1" ref="Z197" ca="1">MMS_PastureBeef_Methane_Equations.VEERG_4_2_1_1__2_MethaneProductionFromManure(Y139,$I$155,$E$166,$X$172,$I$158)</f>
        <v>1.0144555674992664E-3</v>
      </c>
      <c r="AA197" s="29" cm="1">
        <f t="array" aca="1" ref="AA197" ca="1">MMS_PastureBeef_Methane_Equations.VEERG_4_2_1_1__2_MethaneProductionFromManure(Z139,$I$155,$E$166,$X$172,$I$158)</f>
        <v>5.4746232575098421E-4</v>
      </c>
      <c r="AB197" s="29" cm="1">
        <f t="array" aca="1" ref="AB197" ca="1">MMS_PastureBeef_Methane_Equations.VEERG_4_2_1_1__2_MethaneProductionFromManure(AA139,$I$155,$E$166,$X$172,$I$158)</f>
        <v>8.8009726338426778E-4</v>
      </c>
      <c r="AC197" s="29" cm="1">
        <f t="array" aca="1" ref="AC197" ca="1">MMS_PastureBeef_Methane_Equations.VEERG_4_2_1_1__2_MethaneProductionFromManure(AB139,$I$155,$E$166,$X$172,$I$158)</f>
        <v>9.7731065708491415E-4</v>
      </c>
      <c r="AD197" s="29" cm="1">
        <f t="array" aca="1" ref="AD197" ca="1">MMS_PastureBeef_Methane_Equations.VEERG_4_2_1_1__2_MethaneProductionFromManure(AC139,$I$155,$E$166,$X$172,$I$158)</f>
        <v>9.7731065708491415E-4</v>
      </c>
      <c r="AE197" s="29" cm="1">
        <f t="array" aca="1" ref="AE197" ca="1">MMS_PastureBeef_Methane_Equations.VEERG_4_2_1_1__2_MethaneProductionFromManure(AD139,$I$155,$E$166,$X$172,$I$158)</f>
        <v>6.3115148025275102E-4</v>
      </c>
      <c r="AF197" s="29" cm="1">
        <f t="array" aca="1" ref="AF197" ca="1">MMS_PastureBeef_Methane_Equations.VEERG_4_2_1_1__2_MethaneProductionFromManure(AE139,$I$155,$E$166,$X$172,$I$158)</f>
        <v>8.020571384440183E-4</v>
      </c>
      <c r="AG197" s="29" cm="1">
        <f t="array" aca="1" ref="AG197" ca="1">MMS_PastureBeef_Methane_Equations.VEERG_4_2_1_1__2_MethaneProductionFromManure(AF139,$I$155,$E$166,$X$172,$I$158)</f>
        <v>8.020571384440183E-4</v>
      </c>
      <c r="AH197" s="29" cm="1">
        <f t="array" aca="1" ref="AH197" ca="1">MMS_PastureBeef_Methane_Equations.VEERG_4_2_1_1__2_MethaneProductionFromManure(AG139,$I$155,$E$166,$X$172,$I$158)</f>
        <v>8.020571384440183E-4</v>
      </c>
      <c r="AI197" s="32" t="str">
        <f t="shared" si="8"/>
        <v>kg CH4/head/day</v>
      </c>
      <c r="AJ197" s="32"/>
    </row>
    <row r="198" spans="3:37" ht="20.100000000000001" customHeight="1" x14ac:dyDescent="0.25">
      <c r="W198" s="29" t="str">
        <f>'Input - Pasture Beef'!$D$180</f>
        <v>Anaerobic lagoon</v>
      </c>
      <c r="X198" s="29" t="str">
        <f t="shared" si="9"/>
        <v>October 2024</v>
      </c>
      <c r="Y198" s="29" cm="1">
        <f t="array" aca="1" ref="Y198" ca="1">MMS_PastureBeef_Methane_Equations.VEERG_4_2_1_1__2_MethaneProductionFromManure(X140,$I$155,$E$166,$X$172,$I$158)</f>
        <v>7.1826623105637353E-4</v>
      </c>
      <c r="Z198" s="29" cm="1">
        <f t="array" aca="1" ref="Z198" ca="1">MMS_PastureBeef_Methane_Equations.VEERG_4_2_1_1__2_MethaneProductionFromManure(Y140,$I$155,$E$166,$X$172,$I$158)</f>
        <v>1.0144555674992664E-3</v>
      </c>
      <c r="AA198" s="29" cm="1">
        <f t="array" aca="1" ref="AA198" ca="1">MMS_PastureBeef_Methane_Equations.VEERG_4_2_1_1__2_MethaneProductionFromManure(Z140,$I$155,$E$166,$X$172,$I$158)</f>
        <v>5.4746232575098421E-4</v>
      </c>
      <c r="AB198" s="29" cm="1">
        <f t="array" aca="1" ref="AB198" ca="1">MMS_PastureBeef_Methane_Equations.VEERG_4_2_1_1__2_MethaneProductionFromManure(AA140,$I$155,$E$166,$X$172,$I$158)</f>
        <v>8.8009726338426778E-4</v>
      </c>
      <c r="AC198" s="29" cm="1">
        <f t="array" aca="1" ref="AC198" ca="1">MMS_PastureBeef_Methane_Equations.VEERG_4_2_1_1__2_MethaneProductionFromManure(AB140,$I$155,$E$166,$X$172,$I$158)</f>
        <v>9.7731065708491415E-4</v>
      </c>
      <c r="AD198" s="29" cm="1">
        <f t="array" aca="1" ref="AD198" ca="1">MMS_PastureBeef_Methane_Equations.VEERG_4_2_1_1__2_MethaneProductionFromManure(AC140,$I$155,$E$166,$X$172,$I$158)</f>
        <v>9.7731065708491415E-4</v>
      </c>
      <c r="AE198" s="29" cm="1">
        <f t="array" aca="1" ref="AE198" ca="1">MMS_PastureBeef_Methane_Equations.VEERG_4_2_1_1__2_MethaneProductionFromManure(AD140,$I$155,$E$166,$X$172,$I$158)</f>
        <v>6.3115148025275102E-4</v>
      </c>
      <c r="AF198" s="29" cm="1">
        <f t="array" aca="1" ref="AF198" ca="1">MMS_PastureBeef_Methane_Equations.VEERG_4_2_1_1__2_MethaneProductionFromManure(AE140,$I$155,$E$166,$X$172,$I$158)</f>
        <v>8.020571384440183E-4</v>
      </c>
      <c r="AG198" s="29" cm="1">
        <f t="array" aca="1" ref="AG198" ca="1">MMS_PastureBeef_Methane_Equations.VEERG_4_2_1_1__2_MethaneProductionFromManure(AF140,$I$155,$E$166,$X$172,$I$158)</f>
        <v>8.020571384440183E-4</v>
      </c>
      <c r="AH198" s="29" cm="1">
        <f t="array" aca="1" ref="AH198" ca="1">MMS_PastureBeef_Methane_Equations.VEERG_4_2_1_1__2_MethaneProductionFromManure(AG140,$I$155,$E$166,$X$172,$I$158)</f>
        <v>8.020571384440183E-4</v>
      </c>
      <c r="AI198" s="32" t="str">
        <f t="shared" si="8"/>
        <v>kg CH4/head/day</v>
      </c>
      <c r="AJ198" s="32"/>
    </row>
    <row r="199" spans="3:37" ht="20.100000000000001" customHeight="1" x14ac:dyDescent="0.25">
      <c r="W199" s="29" t="str">
        <f>'Input - Pasture Beef'!$D$180</f>
        <v>Anaerobic lagoon</v>
      </c>
      <c r="X199" s="29" t="str">
        <f t="shared" si="9"/>
        <v>November 2024</v>
      </c>
      <c r="Y199" s="29" cm="1">
        <f t="array" aca="1" ref="Y199" ca="1">MMS_PastureBeef_Methane_Equations.VEERG_4_2_1_1__2_MethaneProductionFromManure(X141,$I$155,$E$166,$X$172,$I$158)</f>
        <v>7.1826623105637353E-4</v>
      </c>
      <c r="Z199" s="29" cm="1">
        <f t="array" aca="1" ref="Z199" ca="1">MMS_PastureBeef_Methane_Equations.VEERG_4_2_1_1__2_MethaneProductionFromManure(Y141,$I$155,$E$166,$X$172,$I$158)</f>
        <v>1.0144555674992664E-3</v>
      </c>
      <c r="AA199" s="29" cm="1">
        <f t="array" aca="1" ref="AA199" ca="1">MMS_PastureBeef_Methane_Equations.VEERG_4_2_1_1__2_MethaneProductionFromManure(Z141,$I$155,$E$166,$X$172,$I$158)</f>
        <v>5.4746232575098421E-4</v>
      </c>
      <c r="AB199" s="29" cm="1">
        <f t="array" aca="1" ref="AB199" ca="1">MMS_PastureBeef_Methane_Equations.VEERG_4_2_1_1__2_MethaneProductionFromManure(AA141,$I$155,$E$166,$X$172,$I$158)</f>
        <v>7.7233025154129636E-4</v>
      </c>
      <c r="AC199" s="29" cm="1">
        <f t="array" aca="1" ref="AC199" ca="1">MMS_PastureBeef_Methane_Equations.VEERG_4_2_1_1__2_MethaneProductionFromManure(AB141,$I$155,$E$166,$X$172,$I$158)</f>
        <v>8.576399643806386E-4</v>
      </c>
      <c r="AD199" s="29" cm="1">
        <f t="array" aca="1" ref="AD199" ca="1">MMS_PastureBeef_Methane_Equations.VEERG_4_2_1_1__2_MethaneProductionFromManure(AC141,$I$155,$E$166,$X$172,$I$158)</f>
        <v>8.576399643806386E-4</v>
      </c>
      <c r="AE199" s="29" cm="1">
        <f t="array" aca="1" ref="AE199" ca="1">MMS_PastureBeef_Methane_Equations.VEERG_4_2_1_1__2_MethaneProductionFromManure(AD141,$I$155,$E$166,$X$172,$I$158)</f>
        <v>6.3115148025275102E-4</v>
      </c>
      <c r="AF199" s="29" cm="1">
        <f t="array" aca="1" ref="AF199" ca="1">MMS_PastureBeef_Methane_Equations.VEERG_4_2_1_1__2_MethaneProductionFromManure(AE141,$I$155,$E$166,$X$172,$I$158)</f>
        <v>8.020571384440183E-4</v>
      </c>
      <c r="AG199" s="29" cm="1">
        <f t="array" aca="1" ref="AG199" ca="1">MMS_PastureBeef_Methane_Equations.VEERG_4_2_1_1__2_MethaneProductionFromManure(AF141,$I$155,$E$166,$X$172,$I$158)</f>
        <v>8.020571384440183E-4</v>
      </c>
      <c r="AH199" s="29" cm="1">
        <f t="array" aca="1" ref="AH199" ca="1">MMS_PastureBeef_Methane_Equations.VEERG_4_2_1_1__2_MethaneProductionFromManure(AG141,$I$155,$E$166,$X$172,$I$158)</f>
        <v>8.020571384440183E-4</v>
      </c>
      <c r="AI199" s="32" t="str">
        <f t="shared" si="8"/>
        <v>kg CH4/head/day</v>
      </c>
      <c r="AJ199" s="32"/>
    </row>
    <row r="200" spans="3:37" ht="20.100000000000001" customHeight="1" x14ac:dyDescent="0.25">
      <c r="W200" s="29" t="str">
        <f>'Input - Pasture Beef'!$D$180</f>
        <v>Anaerobic lagoon</v>
      </c>
      <c r="X200" s="29" t="str">
        <f t="shared" si="9"/>
        <v>December 2024</v>
      </c>
      <c r="Y200" s="29" cm="1">
        <f t="array" aca="1" ref="Y200" ca="1">MMS_PastureBeef_Methane_Equations.VEERG_4_2_1_1__2_MethaneProductionFromManure(X142,$I$155,$E$166,$X$172,$I$158)</f>
        <v>1.1347038164154961E-3</v>
      </c>
      <c r="Z200" s="29" cm="1">
        <f t="array" aca="1" ref="Z200" ca="1">MMS_PastureBeef_Methane_Equations.VEERG_4_2_1_1__2_MethaneProductionFromManure(Y142,$I$155,$E$166,$X$172,$I$158)</f>
        <v>1.5013253313833415E-3</v>
      </c>
      <c r="AA200" s="29" cm="1">
        <f t="array" aca="1" ref="AA200" ca="1">MMS_PastureBeef_Methane_Equations.VEERG_4_2_1_1__2_MethaneProductionFromManure(Z142,$I$155,$E$166,$X$172,$I$158)</f>
        <v>9.5426028529460333E-4</v>
      </c>
      <c r="AB200" s="29" cm="1">
        <f t="array" aca="1" ref="AB200" ca="1">MMS_PastureBeef_Methane_Equations.VEERG_4_2_1_1__2_MethaneProductionFromManure(AA142,$I$155,$E$166,$X$172,$I$158)</f>
        <v>1.3433251764393584E-3</v>
      </c>
      <c r="AC200" s="29" cm="1">
        <f t="array" aca="1" ref="AC200" ca="1">MMS_PastureBeef_Methane_Equations.VEERG_4_2_1_1__2_MethaneProductionFromManure(AB142,$I$155,$E$166,$X$172,$I$158)</f>
        <v>1.3300562918379748E-3</v>
      </c>
      <c r="AD200" s="29" cm="1">
        <f t="array" aca="1" ref="AD200" ca="1">MMS_PastureBeef_Methane_Equations.VEERG_4_2_1_1__2_MethaneProductionFromManure(AC142,$I$155,$E$166,$X$172,$I$158)</f>
        <v>1.3300562918379748E-3</v>
      </c>
      <c r="AE200" s="29" cm="1">
        <f t="array" aca="1" ref="AE200" ca="1">MMS_PastureBeef_Methane_Equations.VEERG_4_2_1_1__2_MethaneProductionFromManure(AD142,$I$155,$E$166,$X$172,$I$158)</f>
        <v>1.0459177679097368E-3</v>
      </c>
      <c r="AF200" s="29" cm="1">
        <f t="array" aca="1" ref="AF200" ca="1">MMS_PastureBeef_Methane_Equations.VEERG_4_2_1_1__2_MethaneProductionFromManure(AE142,$I$155,$E$166,$X$172,$I$158)</f>
        <v>1.1658570586431096E-3</v>
      </c>
      <c r="AG200" s="29" cm="1">
        <f t="array" aca="1" ref="AG200" ca="1">MMS_PastureBeef_Methane_Equations.VEERG_4_2_1_1__2_MethaneProductionFromManure(AF142,$I$155,$E$166,$X$172,$I$158)</f>
        <v>1.1658570586431096E-3</v>
      </c>
      <c r="AH200" s="29" cm="1">
        <f t="array" aca="1" ref="AH200" ca="1">MMS_PastureBeef_Methane_Equations.VEERG_4_2_1_1__2_MethaneProductionFromManure(AG142,$I$155,$E$166,$X$172,$I$158)</f>
        <v>1.1658570586431096E-3</v>
      </c>
      <c r="AI200" s="32" t="str">
        <f t="shared" si="8"/>
        <v>kg CH4/head/day</v>
      </c>
      <c r="AJ200" s="32"/>
    </row>
    <row r="201" spans="3:37" ht="20.100000000000001" customHeight="1" x14ac:dyDescent="0.25"/>
    <row r="202" spans="3:37" ht="20.100000000000001" customHeight="1" x14ac:dyDescent="0.25"/>
    <row r="203" spans="3:37" ht="20.100000000000001" customHeight="1" x14ac:dyDescent="0.25">
      <c r="C203" s="61"/>
      <c r="D203" s="61"/>
      <c r="E203" s="61"/>
      <c r="F203" s="61"/>
      <c r="G203" s="61"/>
      <c r="H203" s="61"/>
      <c r="I203" s="61"/>
      <c r="J203" s="61"/>
      <c r="K203" s="61"/>
      <c r="L203" s="61"/>
      <c r="M203" s="61"/>
      <c r="N203" s="61"/>
      <c r="O203" s="61"/>
      <c r="P203" s="61"/>
      <c r="Q203" s="61"/>
      <c r="R203" s="61"/>
      <c r="S203" s="61"/>
      <c r="T203" s="61"/>
      <c r="V203" s="61"/>
      <c r="W203" s="61"/>
      <c r="X203" s="61"/>
      <c r="Y203" s="61"/>
      <c r="Z203" s="61"/>
      <c r="AA203" s="61"/>
      <c r="AB203" s="61"/>
      <c r="AC203" s="61"/>
      <c r="AD203" s="61"/>
      <c r="AE203" s="61"/>
      <c r="AF203" s="61"/>
      <c r="AG203" s="61"/>
      <c r="AH203" s="61"/>
      <c r="AI203" s="61"/>
      <c r="AJ203" s="61"/>
      <c r="AK203" s="61"/>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46" t="str" cm="1">
        <f t="array" ref="D205">MMS_PastureBeef_Methane_Equations.VEERG_4_2_1_1__1_TotalAnnualMethaneProductionFromManureManagement_Source()</f>
        <v>VEERG 2026: 4.2.1.1, Equation (1)</v>
      </c>
    </row>
    <row r="206" spans="3:37" ht="20.100000000000001" customHeight="1" x14ac:dyDescent="0.25">
      <c r="D206" s="47" t="s">
        <v>77</v>
      </c>
      <c r="E206" s="47"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48" t="s">
        <v>79</v>
      </c>
      <c r="E209" s="1" t="str" cm="1">
        <f t="array" ref="E209">MMS_PastureBeef_Methane_Equations.VEERG_4_2_1_1__1_TotalAnnualMethaneProductionFromManureManagement_Variable()</f>
        <v>E_CH4</v>
      </c>
    </row>
    <row r="210" spans="4:34" ht="20.100000000000001" customHeight="1" x14ac:dyDescent="0.25">
      <c r="D210" s="48" t="s">
        <v>80</v>
      </c>
      <c r="E210" s="17"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50" t="str" cm="1">
        <f t="array" ref="D212:E214">_xlfn.CHOOSECOLS(MMS_PastureBeef_Methane_Equations.VEERG_4_2_1_1__1_TotalAnnualMethaneProductionFromManureManagement_Arguments(), 1, 2)</f>
        <v>N_jkl</v>
      </c>
      <c r="E212" s="51" t="str">
        <v>number of beef cattle in each time-period, class and subclass</v>
      </c>
      <c r="F212" s="53"/>
      <c r="G212" s="50" t="str" cm="1">
        <f t="array" ref="G212:H214">_xlfn.CHOOSECOLS(MMS_PastureBeef_Methane_Equations.VEERG_4_2_1_1__1_TotalAnnualMethaneProductionFromManureManagement_Arguments(), 3,4)</f>
        <v>head</v>
      </c>
      <c r="H212" s="54" t="str">
        <v>Input</v>
      </c>
      <c r="I212" s="56" t="str" cm="1">
        <f t="array" aca="1" ref="I212" ca="1">HYPERLINK(Common_InputFunctions.Utility_SourceHyperlink($D$216), $D$216)</f>
        <v>M1_Table_N_j_k_l</v>
      </c>
    </row>
    <row r="213" spans="4:34" ht="20.100000000000001" customHeight="1" x14ac:dyDescent="0.25">
      <c r="D213" s="50" t="str">
        <v>M_jklm</v>
      </c>
      <c r="E213" s="51" t="str">
        <v>methane production from manure in each time-period, class, subclass and MMS</v>
      </c>
      <c r="F213" s="53"/>
      <c r="G213" s="50" t="str">
        <v>kg/head/day</v>
      </c>
      <c r="H213" s="55" t="str">
        <v>Calculated from 4.2.1.1 (2)</v>
      </c>
      <c r="I213" s="56" t="str" cm="1">
        <f t="array" aca="1" ref="I213" ca="1">HYPERLINK(Common_InputFunctions.Utility_SourceHyperlink($D$174), $D$174)</f>
        <v>M1_Table_M_j_k_l_m</v>
      </c>
    </row>
    <row r="214" spans="4:34" ht="20.100000000000001" customHeight="1" x14ac:dyDescent="0.25">
      <c r="D214" s="50" t="str">
        <v>D_j</v>
      </c>
      <c r="E214" s="51" t="str">
        <v>number of days in each time-period for each input class</v>
      </c>
      <c r="F214" s="53"/>
      <c r="G214" s="50" t="str">
        <v>days</v>
      </c>
      <c r="H214" s="54" t="str">
        <v>Input</v>
      </c>
      <c r="I214" s="56" t="str" cm="1">
        <f t="array" aca="1" ref="I214" ca="1">HYPERLINK(Common_InputFunctions.Utility_SourceHyperlink($D$224), $D$224)</f>
        <v>M1_Table_D_j</v>
      </c>
    </row>
    <row r="215" spans="4:34" ht="20.100000000000001" customHeight="1" x14ac:dyDescent="0.25"/>
    <row r="216" spans="4:34" ht="20.100000000000001" customHeight="1" x14ac:dyDescent="0.25">
      <c r="D216" s="57" t="s">
        <v>109</v>
      </c>
      <c r="W216" s="57" t="s">
        <v>113</v>
      </c>
    </row>
    <row r="217" spans="4:34" ht="20.100000000000001" customHeight="1" x14ac:dyDescent="0.25">
      <c r="D217" s="58" t="s">
        <v>110</v>
      </c>
      <c r="W217" s="58" t="s">
        <v>114</v>
      </c>
    </row>
    <row r="218" spans="4:34" ht="20.100000000000001" customHeight="1" x14ac:dyDescent="0.25">
      <c r="D218" s="59" t="s">
        <v>84</v>
      </c>
      <c r="E218" s="60" t="s">
        <v>31</v>
      </c>
      <c r="F218" s="60" t="s">
        <v>32</v>
      </c>
      <c r="G218" s="60" t="s">
        <v>33</v>
      </c>
      <c r="H218" s="60" t="s">
        <v>34</v>
      </c>
      <c r="I218" s="60" t="s">
        <v>35</v>
      </c>
      <c r="J218" s="60" t="s">
        <v>36</v>
      </c>
      <c r="K218" s="60" t="s">
        <v>37</v>
      </c>
      <c r="L218" s="60" t="s">
        <v>38</v>
      </c>
      <c r="M218" s="60" t="s">
        <v>39</v>
      </c>
      <c r="N218" s="60" t="s">
        <v>40</v>
      </c>
      <c r="W218" s="59" t="s">
        <v>87</v>
      </c>
      <c r="X218" s="60" t="s">
        <v>31</v>
      </c>
      <c r="Y218" s="60" t="s">
        <v>32</v>
      </c>
      <c r="Z218" s="60" t="s">
        <v>33</v>
      </c>
      <c r="AA218" s="60" t="s">
        <v>34</v>
      </c>
      <c r="AB218" s="60" t="s">
        <v>35</v>
      </c>
      <c r="AC218" s="60" t="s">
        <v>36</v>
      </c>
      <c r="AD218" s="60" t="s">
        <v>37</v>
      </c>
      <c r="AE218" s="60" t="s">
        <v>38</v>
      </c>
      <c r="AF218" s="60" t="s">
        <v>39</v>
      </c>
      <c r="AG218" s="60" t="s">
        <v>40</v>
      </c>
      <c r="AH218" s="32"/>
    </row>
    <row r="219" spans="4:34" ht="20.100000000000001" customHeight="1" x14ac:dyDescent="0.25">
      <c r="D219" s="29" t="s">
        <v>41</v>
      </c>
      <c r="E219" s="29" cm="1">
        <f t="array" aca="1" ref="E219:N222" ca="1">OFFSET(X_Table_PastureBeef_Head_Method1, 1,1, 4,10)</f>
        <v>100</v>
      </c>
      <c r="F219" s="29">
        <f ca="1"/>
        <v>100</v>
      </c>
      <c r="G219" s="29">
        <f ca="1"/>
        <v>100</v>
      </c>
      <c r="H219" s="29">
        <f ca="1"/>
        <v>100</v>
      </c>
      <c r="I219" s="29">
        <f ca="1"/>
        <v>100</v>
      </c>
      <c r="J219" s="29">
        <f ca="1"/>
        <v>100</v>
      </c>
      <c r="K219" s="29">
        <f ca="1"/>
        <v>100</v>
      </c>
      <c r="L219" s="29">
        <f ca="1"/>
        <v>100</v>
      </c>
      <c r="M219" s="29">
        <f ca="1"/>
        <v>100</v>
      </c>
      <c r="N219" s="29">
        <f ca="1"/>
        <v>100</v>
      </c>
      <c r="O219" s="32" t="s">
        <v>228</v>
      </c>
      <c r="W219" s="29" t="str">
        <f>TEXT('Input - Site'!$E$12, "mmmm yyyy")</f>
        <v>January 2024</v>
      </c>
      <c r="X219" s="29" cm="1">
        <f t="array" aca="1" ref="X219:AG230" ca="1">OFFSET(X_Table_PastureBeef_Head_Method2, 1,1, 12,10)</f>
        <v>100</v>
      </c>
      <c r="Y219" s="29">
        <f ca="1"/>
        <v>100</v>
      </c>
      <c r="Z219" s="29">
        <f ca="1"/>
        <v>100</v>
      </c>
      <c r="AA219" s="29">
        <f ca="1"/>
        <v>100</v>
      </c>
      <c r="AB219" s="29">
        <f ca="1"/>
        <v>100</v>
      </c>
      <c r="AC219" s="29">
        <f ca="1"/>
        <v>100</v>
      </c>
      <c r="AD219" s="29">
        <f ca="1"/>
        <v>100</v>
      </c>
      <c r="AE219" s="29">
        <f ca="1"/>
        <v>100</v>
      </c>
      <c r="AF219" s="29">
        <f ca="1"/>
        <v>100</v>
      </c>
      <c r="AG219" s="29">
        <f ca="1"/>
        <v>100</v>
      </c>
      <c r="AH219" s="32" t="s">
        <v>47</v>
      </c>
    </row>
    <row r="220" spans="4:34" ht="20.100000000000001" customHeight="1" x14ac:dyDescent="0.25">
      <c r="D220" s="29" t="s">
        <v>43</v>
      </c>
      <c r="E220" s="29">
        <f ca="1"/>
        <v>100</v>
      </c>
      <c r="F220" s="29">
        <f ca="1"/>
        <v>100</v>
      </c>
      <c r="G220" s="29">
        <f ca="1"/>
        <v>100</v>
      </c>
      <c r="H220" s="29">
        <f ca="1"/>
        <v>100</v>
      </c>
      <c r="I220" s="29">
        <f ca="1"/>
        <v>100</v>
      </c>
      <c r="J220" s="29">
        <f ca="1"/>
        <v>100</v>
      </c>
      <c r="K220" s="29">
        <f ca="1"/>
        <v>100</v>
      </c>
      <c r="L220" s="29">
        <f ca="1"/>
        <v>100</v>
      </c>
      <c r="M220" s="29">
        <f ca="1"/>
        <v>100</v>
      </c>
      <c r="N220" s="29">
        <f ca="1"/>
        <v>100</v>
      </c>
      <c r="O220" s="32" t="s">
        <v>228</v>
      </c>
      <c r="W220" s="29" t="str">
        <f>TEXT(EDATE('Input - Site'!$E$12,1), "mmmm yyyy")</f>
        <v>February 2024</v>
      </c>
      <c r="X220" s="29">
        <f ca="1"/>
        <v>100</v>
      </c>
      <c r="Y220" s="29">
        <f ca="1"/>
        <v>100</v>
      </c>
      <c r="Z220" s="29">
        <f ca="1"/>
        <v>100</v>
      </c>
      <c r="AA220" s="29">
        <f ca="1"/>
        <v>100</v>
      </c>
      <c r="AB220" s="29">
        <f ca="1"/>
        <v>100</v>
      </c>
      <c r="AC220" s="29">
        <f ca="1"/>
        <v>100</v>
      </c>
      <c r="AD220" s="29">
        <f ca="1"/>
        <v>100</v>
      </c>
      <c r="AE220" s="29">
        <f ca="1"/>
        <v>100</v>
      </c>
      <c r="AF220" s="29">
        <f ca="1"/>
        <v>100</v>
      </c>
      <c r="AG220" s="29">
        <f ca="1"/>
        <v>100</v>
      </c>
      <c r="AH220" s="32" t="s">
        <v>47</v>
      </c>
    </row>
    <row r="221" spans="4:34" ht="20.100000000000001" customHeight="1" x14ac:dyDescent="0.25">
      <c r="D221" s="29" t="s">
        <v>44</v>
      </c>
      <c r="E221" s="29">
        <f ca="1"/>
        <v>100</v>
      </c>
      <c r="F221" s="29">
        <f ca="1"/>
        <v>100</v>
      </c>
      <c r="G221" s="29">
        <f ca="1"/>
        <v>100</v>
      </c>
      <c r="H221" s="29">
        <f ca="1"/>
        <v>100</v>
      </c>
      <c r="I221" s="29">
        <f ca="1"/>
        <v>100</v>
      </c>
      <c r="J221" s="29">
        <f ca="1"/>
        <v>100</v>
      </c>
      <c r="K221" s="29">
        <f ca="1"/>
        <v>100</v>
      </c>
      <c r="L221" s="29">
        <f ca="1"/>
        <v>100</v>
      </c>
      <c r="M221" s="29">
        <f ca="1"/>
        <v>100</v>
      </c>
      <c r="N221" s="29">
        <f ca="1"/>
        <v>100</v>
      </c>
      <c r="O221" s="32" t="s">
        <v>228</v>
      </c>
      <c r="W221" s="29" t="str">
        <f>TEXT(EDATE('Input - Site'!$E$12,2), "mmmm yyyy")</f>
        <v>March 2024</v>
      </c>
      <c r="X221" s="29">
        <f ca="1"/>
        <v>100</v>
      </c>
      <c r="Y221" s="29">
        <f ca="1"/>
        <v>100</v>
      </c>
      <c r="Z221" s="29">
        <f ca="1"/>
        <v>100</v>
      </c>
      <c r="AA221" s="29">
        <f ca="1"/>
        <v>100</v>
      </c>
      <c r="AB221" s="29">
        <f ca="1"/>
        <v>100</v>
      </c>
      <c r="AC221" s="29">
        <f ca="1"/>
        <v>100</v>
      </c>
      <c r="AD221" s="29">
        <f ca="1"/>
        <v>100</v>
      </c>
      <c r="AE221" s="29">
        <f ca="1"/>
        <v>100</v>
      </c>
      <c r="AF221" s="29">
        <f ca="1"/>
        <v>100</v>
      </c>
      <c r="AG221" s="29">
        <f ca="1"/>
        <v>100</v>
      </c>
      <c r="AH221" s="32" t="s">
        <v>47</v>
      </c>
    </row>
    <row r="222" spans="4:34" ht="20.100000000000001" customHeight="1" x14ac:dyDescent="0.25">
      <c r="D222" s="29" t="s">
        <v>45</v>
      </c>
      <c r="E222" s="29">
        <f ca="1"/>
        <v>100</v>
      </c>
      <c r="F222" s="29">
        <f ca="1"/>
        <v>100</v>
      </c>
      <c r="G222" s="29">
        <f ca="1"/>
        <v>100</v>
      </c>
      <c r="H222" s="29">
        <f ca="1"/>
        <v>100</v>
      </c>
      <c r="I222" s="29">
        <f ca="1"/>
        <v>100</v>
      </c>
      <c r="J222" s="29">
        <f ca="1"/>
        <v>100</v>
      </c>
      <c r="K222" s="29">
        <f ca="1"/>
        <v>100</v>
      </c>
      <c r="L222" s="29">
        <f ca="1"/>
        <v>100</v>
      </c>
      <c r="M222" s="29">
        <f ca="1"/>
        <v>100</v>
      </c>
      <c r="N222" s="29">
        <f ca="1"/>
        <v>100</v>
      </c>
      <c r="O222" s="32" t="s">
        <v>228</v>
      </c>
      <c r="W222" s="29" t="str">
        <f>TEXT(EDATE('Input - Site'!$E$12,3), "mmmm yyyy")</f>
        <v>April 2024</v>
      </c>
      <c r="X222" s="29">
        <f ca="1"/>
        <v>100</v>
      </c>
      <c r="Y222" s="29">
        <f ca="1"/>
        <v>100</v>
      </c>
      <c r="Z222" s="29">
        <f ca="1"/>
        <v>100</v>
      </c>
      <c r="AA222" s="29">
        <f ca="1"/>
        <v>100</v>
      </c>
      <c r="AB222" s="29">
        <f ca="1"/>
        <v>100</v>
      </c>
      <c r="AC222" s="29">
        <f ca="1"/>
        <v>100</v>
      </c>
      <c r="AD222" s="29">
        <f ca="1"/>
        <v>100</v>
      </c>
      <c r="AE222" s="29">
        <f ca="1"/>
        <v>100</v>
      </c>
      <c r="AF222" s="29">
        <f ca="1"/>
        <v>100</v>
      </c>
      <c r="AG222" s="29">
        <f ca="1"/>
        <v>100</v>
      </c>
      <c r="AH222" s="32" t="s">
        <v>47</v>
      </c>
    </row>
    <row r="223" spans="4:34" ht="20.100000000000001" customHeight="1" x14ac:dyDescent="0.25">
      <c r="W223" s="29" t="str">
        <f>TEXT(EDATE('Input - Site'!$E$12,4), "mmmm yyyy")</f>
        <v>May 2024</v>
      </c>
      <c r="X223" s="29">
        <f ca="1"/>
        <v>100</v>
      </c>
      <c r="Y223" s="29">
        <f ca="1"/>
        <v>100</v>
      </c>
      <c r="Z223" s="29">
        <f ca="1"/>
        <v>100</v>
      </c>
      <c r="AA223" s="29">
        <f ca="1"/>
        <v>100</v>
      </c>
      <c r="AB223" s="29">
        <f ca="1"/>
        <v>100</v>
      </c>
      <c r="AC223" s="29">
        <f ca="1"/>
        <v>100</v>
      </c>
      <c r="AD223" s="29">
        <f ca="1"/>
        <v>100</v>
      </c>
      <c r="AE223" s="29">
        <f ca="1"/>
        <v>100</v>
      </c>
      <c r="AF223" s="29">
        <f ca="1"/>
        <v>100</v>
      </c>
      <c r="AG223" s="29">
        <f ca="1"/>
        <v>100</v>
      </c>
      <c r="AH223" s="32" t="s">
        <v>47</v>
      </c>
    </row>
    <row r="224" spans="4:34" ht="20.100000000000001" customHeight="1" x14ac:dyDescent="0.25">
      <c r="D224" s="57" t="s">
        <v>111</v>
      </c>
      <c r="W224" s="29" t="str">
        <f>TEXT(EDATE('Input - Site'!$E$12,5), "mmmm yyyy")</f>
        <v>June 2024</v>
      </c>
      <c r="X224" s="29">
        <f ca="1"/>
        <v>100</v>
      </c>
      <c r="Y224" s="29">
        <f ca="1"/>
        <v>100</v>
      </c>
      <c r="Z224" s="29">
        <f ca="1"/>
        <v>100</v>
      </c>
      <c r="AA224" s="29">
        <f ca="1"/>
        <v>100</v>
      </c>
      <c r="AB224" s="29">
        <f ca="1"/>
        <v>100</v>
      </c>
      <c r="AC224" s="29">
        <f ca="1"/>
        <v>100</v>
      </c>
      <c r="AD224" s="29">
        <f ca="1"/>
        <v>100</v>
      </c>
      <c r="AE224" s="29">
        <f ca="1"/>
        <v>100</v>
      </c>
      <c r="AF224" s="29">
        <f ca="1"/>
        <v>100</v>
      </c>
      <c r="AG224" s="29">
        <f ca="1"/>
        <v>100</v>
      </c>
      <c r="AH224" s="32" t="s">
        <v>47</v>
      </c>
    </row>
    <row r="225" spans="4:34" ht="20.100000000000001" customHeight="1" x14ac:dyDescent="0.25">
      <c r="D225" s="58" t="s">
        <v>112</v>
      </c>
      <c r="W225" s="29" t="str">
        <f>TEXT(EDATE('Input - Site'!$E$12,6), "mmmm yyyy")</f>
        <v>July 2024</v>
      </c>
      <c r="X225" s="29">
        <f ca="1"/>
        <v>100</v>
      </c>
      <c r="Y225" s="29">
        <f ca="1"/>
        <v>100</v>
      </c>
      <c r="Z225" s="29">
        <f ca="1"/>
        <v>100</v>
      </c>
      <c r="AA225" s="29">
        <f ca="1"/>
        <v>100</v>
      </c>
      <c r="AB225" s="29">
        <f ca="1"/>
        <v>100</v>
      </c>
      <c r="AC225" s="29">
        <f ca="1"/>
        <v>100</v>
      </c>
      <c r="AD225" s="29">
        <f ca="1"/>
        <v>100</v>
      </c>
      <c r="AE225" s="29">
        <f ca="1"/>
        <v>100</v>
      </c>
      <c r="AF225" s="29">
        <f ca="1"/>
        <v>100</v>
      </c>
      <c r="AG225" s="29">
        <f ca="1"/>
        <v>100</v>
      </c>
      <c r="AH225" s="32" t="s">
        <v>47</v>
      </c>
    </row>
    <row r="226" spans="4:34" ht="20.100000000000001" customHeight="1" x14ac:dyDescent="0.25">
      <c r="D226" s="59" t="s">
        <v>84</v>
      </c>
      <c r="E226" s="60" t="s">
        <v>31</v>
      </c>
      <c r="F226" s="60" t="s">
        <v>32</v>
      </c>
      <c r="G226" s="60" t="s">
        <v>33</v>
      </c>
      <c r="H226" s="60" t="s">
        <v>34</v>
      </c>
      <c r="I226" s="60" t="s">
        <v>35</v>
      </c>
      <c r="J226" s="60" t="s">
        <v>36</v>
      </c>
      <c r="K226" s="60" t="s">
        <v>37</v>
      </c>
      <c r="L226" s="60" t="s">
        <v>38</v>
      </c>
      <c r="M226" s="60" t="s">
        <v>39</v>
      </c>
      <c r="N226" s="60" t="s">
        <v>40</v>
      </c>
      <c r="W226" s="29" t="str">
        <f>TEXT(EDATE('Input - Site'!$E$12,7), "mmmm yyyy")</f>
        <v>August 2024</v>
      </c>
      <c r="X226" s="29">
        <f ca="1"/>
        <v>100</v>
      </c>
      <c r="Y226" s="29">
        <f ca="1"/>
        <v>100</v>
      </c>
      <c r="Z226" s="29">
        <f ca="1"/>
        <v>100</v>
      </c>
      <c r="AA226" s="29">
        <f ca="1"/>
        <v>100</v>
      </c>
      <c r="AB226" s="29">
        <f ca="1"/>
        <v>100</v>
      </c>
      <c r="AC226" s="29">
        <f ca="1"/>
        <v>100</v>
      </c>
      <c r="AD226" s="29">
        <f ca="1"/>
        <v>100</v>
      </c>
      <c r="AE226" s="29">
        <f ca="1"/>
        <v>100</v>
      </c>
      <c r="AF226" s="29">
        <f ca="1"/>
        <v>100</v>
      </c>
      <c r="AG226" s="29">
        <f ca="1"/>
        <v>100</v>
      </c>
      <c r="AH226" s="32" t="s">
        <v>47</v>
      </c>
    </row>
    <row r="227" spans="4:34" ht="20.100000000000001" customHeight="1" x14ac:dyDescent="0.25">
      <c r="D227" s="29" t="s">
        <v>41</v>
      </c>
      <c r="E227" s="29" cm="1">
        <f t="array" aca="1" ref="E227:N230" ca="1">OFFSET(X_Table_PastureBeef_Duration_Method1, 1,1, 4,10)</f>
        <v>91.25</v>
      </c>
      <c r="F227" s="29">
        <f ca="1"/>
        <v>91.25</v>
      </c>
      <c r="G227" s="29">
        <f ca="1"/>
        <v>91.25</v>
      </c>
      <c r="H227" s="29">
        <f ca="1"/>
        <v>91.25</v>
      </c>
      <c r="I227" s="29">
        <f ca="1"/>
        <v>91.25</v>
      </c>
      <c r="J227" s="29">
        <f ca="1"/>
        <v>91.25</v>
      </c>
      <c r="K227" s="29">
        <f ca="1"/>
        <v>91.25</v>
      </c>
      <c r="L227" s="29">
        <f ca="1"/>
        <v>91.25</v>
      </c>
      <c r="M227" s="29">
        <f ca="1"/>
        <v>91.25</v>
      </c>
      <c r="N227" s="29">
        <f ca="1"/>
        <v>91.25</v>
      </c>
      <c r="O227" s="32" t="s">
        <v>229</v>
      </c>
      <c r="W227" s="29" t="str">
        <f>TEXT(EDATE('Input - Site'!$E$12,8), "mmmm yyyy")</f>
        <v>September 2024</v>
      </c>
      <c r="X227" s="29">
        <f ca="1"/>
        <v>100</v>
      </c>
      <c r="Y227" s="29">
        <f ca="1"/>
        <v>100</v>
      </c>
      <c r="Z227" s="29">
        <f ca="1"/>
        <v>100</v>
      </c>
      <c r="AA227" s="29">
        <f ca="1"/>
        <v>100</v>
      </c>
      <c r="AB227" s="29">
        <f ca="1"/>
        <v>100</v>
      </c>
      <c r="AC227" s="29">
        <f ca="1"/>
        <v>100</v>
      </c>
      <c r="AD227" s="29">
        <f ca="1"/>
        <v>100</v>
      </c>
      <c r="AE227" s="29">
        <f ca="1"/>
        <v>100</v>
      </c>
      <c r="AF227" s="29">
        <f ca="1"/>
        <v>100</v>
      </c>
      <c r="AG227" s="29">
        <f ca="1"/>
        <v>100</v>
      </c>
      <c r="AH227" s="32" t="s">
        <v>47</v>
      </c>
    </row>
    <row r="228" spans="4:34" ht="20.100000000000001" customHeight="1" x14ac:dyDescent="0.25">
      <c r="D228" s="29" t="s">
        <v>43</v>
      </c>
      <c r="E228" s="29">
        <f ca="1"/>
        <v>91.25</v>
      </c>
      <c r="F228" s="29">
        <f ca="1"/>
        <v>91.25</v>
      </c>
      <c r="G228" s="29">
        <f ca="1"/>
        <v>91.25</v>
      </c>
      <c r="H228" s="29">
        <f ca="1"/>
        <v>91.25</v>
      </c>
      <c r="I228" s="29">
        <f ca="1"/>
        <v>91.25</v>
      </c>
      <c r="J228" s="29">
        <f ca="1"/>
        <v>91.25</v>
      </c>
      <c r="K228" s="29">
        <f ca="1"/>
        <v>91.25</v>
      </c>
      <c r="L228" s="29">
        <f ca="1"/>
        <v>91.25</v>
      </c>
      <c r="M228" s="29">
        <f ca="1"/>
        <v>91.25</v>
      </c>
      <c r="N228" s="29">
        <f ca="1"/>
        <v>91.25</v>
      </c>
      <c r="O228" s="32" t="s">
        <v>229</v>
      </c>
      <c r="W228" s="29" t="str">
        <f>TEXT(EDATE('Input - Site'!$E$12,9), "mmmm yyyy")</f>
        <v>October 2024</v>
      </c>
      <c r="X228" s="29">
        <f ca="1"/>
        <v>100</v>
      </c>
      <c r="Y228" s="29">
        <f ca="1"/>
        <v>100</v>
      </c>
      <c r="Z228" s="29">
        <f ca="1"/>
        <v>100</v>
      </c>
      <c r="AA228" s="29">
        <f ca="1"/>
        <v>100</v>
      </c>
      <c r="AB228" s="29">
        <f ca="1"/>
        <v>100</v>
      </c>
      <c r="AC228" s="29">
        <f ca="1"/>
        <v>100</v>
      </c>
      <c r="AD228" s="29">
        <f ca="1"/>
        <v>100</v>
      </c>
      <c r="AE228" s="29">
        <f ca="1"/>
        <v>100</v>
      </c>
      <c r="AF228" s="29">
        <f ca="1"/>
        <v>100</v>
      </c>
      <c r="AG228" s="29">
        <f ca="1"/>
        <v>100</v>
      </c>
      <c r="AH228" s="32" t="s">
        <v>47</v>
      </c>
    </row>
    <row r="229" spans="4:34" ht="20.100000000000001" customHeight="1" x14ac:dyDescent="0.25">
      <c r="D229" s="29" t="s">
        <v>44</v>
      </c>
      <c r="E229" s="29">
        <f ca="1"/>
        <v>91.25</v>
      </c>
      <c r="F229" s="29">
        <f ca="1"/>
        <v>91.25</v>
      </c>
      <c r="G229" s="29">
        <f ca="1"/>
        <v>91.25</v>
      </c>
      <c r="H229" s="29">
        <f ca="1"/>
        <v>91.25</v>
      </c>
      <c r="I229" s="29">
        <f ca="1"/>
        <v>91.25</v>
      </c>
      <c r="J229" s="29">
        <f ca="1"/>
        <v>91.25</v>
      </c>
      <c r="K229" s="29">
        <f ca="1"/>
        <v>91.25</v>
      </c>
      <c r="L229" s="29">
        <f ca="1"/>
        <v>91.25</v>
      </c>
      <c r="M229" s="29">
        <f ca="1"/>
        <v>91.25</v>
      </c>
      <c r="N229" s="29">
        <f ca="1"/>
        <v>91.25</v>
      </c>
      <c r="O229" s="32" t="s">
        <v>229</v>
      </c>
      <c r="W229" s="29" t="str">
        <f>TEXT(EDATE('Input - Site'!$E$12,10), "mmmm yyyy")</f>
        <v>November 2024</v>
      </c>
      <c r="X229" s="29">
        <f ca="1"/>
        <v>100</v>
      </c>
      <c r="Y229" s="29">
        <f ca="1"/>
        <v>100</v>
      </c>
      <c r="Z229" s="29">
        <f ca="1"/>
        <v>100</v>
      </c>
      <c r="AA229" s="29">
        <f ca="1"/>
        <v>100</v>
      </c>
      <c r="AB229" s="29">
        <f ca="1"/>
        <v>100</v>
      </c>
      <c r="AC229" s="29">
        <f ca="1"/>
        <v>100</v>
      </c>
      <c r="AD229" s="29">
        <f ca="1"/>
        <v>100</v>
      </c>
      <c r="AE229" s="29">
        <f ca="1"/>
        <v>100</v>
      </c>
      <c r="AF229" s="29">
        <f ca="1"/>
        <v>100</v>
      </c>
      <c r="AG229" s="29">
        <f ca="1"/>
        <v>100</v>
      </c>
      <c r="AH229" s="32" t="s">
        <v>47</v>
      </c>
    </row>
    <row r="230" spans="4:34" ht="20.100000000000001" customHeight="1" x14ac:dyDescent="0.25">
      <c r="D230" s="29" t="s">
        <v>45</v>
      </c>
      <c r="E230" s="29">
        <f ca="1"/>
        <v>91.25</v>
      </c>
      <c r="F230" s="29">
        <f ca="1"/>
        <v>91.25</v>
      </c>
      <c r="G230" s="29">
        <f ca="1"/>
        <v>91.25</v>
      </c>
      <c r="H230" s="29">
        <f ca="1"/>
        <v>91.25</v>
      </c>
      <c r="I230" s="29">
        <f ca="1"/>
        <v>91.25</v>
      </c>
      <c r="J230" s="29">
        <f ca="1"/>
        <v>91.25</v>
      </c>
      <c r="K230" s="29">
        <f ca="1"/>
        <v>91.25</v>
      </c>
      <c r="L230" s="29">
        <f ca="1"/>
        <v>91.25</v>
      </c>
      <c r="M230" s="29">
        <f ca="1"/>
        <v>91.25</v>
      </c>
      <c r="N230" s="29">
        <f ca="1"/>
        <v>91.25</v>
      </c>
      <c r="O230" s="32" t="s">
        <v>229</v>
      </c>
      <c r="W230" s="29" t="str">
        <f>TEXT(EDATE('Input - Site'!$E$12,11), "mmmm yyyy")</f>
        <v>December 2024</v>
      </c>
      <c r="X230" s="29">
        <f ca="1"/>
        <v>100</v>
      </c>
      <c r="Y230" s="29">
        <f ca="1"/>
        <v>100</v>
      </c>
      <c r="Z230" s="29">
        <f ca="1"/>
        <v>100</v>
      </c>
      <c r="AA230" s="29">
        <f ca="1"/>
        <v>100</v>
      </c>
      <c r="AB230" s="29">
        <f ca="1"/>
        <v>100</v>
      </c>
      <c r="AC230" s="29">
        <f ca="1"/>
        <v>100</v>
      </c>
      <c r="AD230" s="29">
        <f ca="1"/>
        <v>100</v>
      </c>
      <c r="AE230" s="29">
        <f ca="1"/>
        <v>100</v>
      </c>
      <c r="AF230" s="29">
        <f ca="1"/>
        <v>100</v>
      </c>
      <c r="AG230" s="29">
        <f ca="1"/>
        <v>100</v>
      </c>
      <c r="AH230" s="32" t="s">
        <v>47</v>
      </c>
    </row>
    <row r="231" spans="4:34" ht="20.100000000000001" customHeight="1" x14ac:dyDescent="0.25"/>
    <row r="232" spans="4:34" ht="20.100000000000001" customHeight="1" x14ac:dyDescent="0.25">
      <c r="D232" s="57" t="s">
        <v>230</v>
      </c>
      <c r="W232" s="57" t="s">
        <v>118</v>
      </c>
    </row>
    <row r="233" spans="4:34" ht="20.100000000000001" customHeight="1" x14ac:dyDescent="0.25">
      <c r="D233" s="58" t="s">
        <v>231</v>
      </c>
      <c r="W233" s="58" t="s">
        <v>119</v>
      </c>
    </row>
    <row r="234" spans="4:34" ht="20.100000000000001" customHeight="1" x14ac:dyDescent="0.25">
      <c r="D234" s="59" t="s">
        <v>217</v>
      </c>
      <c r="E234" s="59" t="s">
        <v>84</v>
      </c>
      <c r="F234" s="59" t="s">
        <v>31</v>
      </c>
      <c r="G234" s="59" t="s">
        <v>32</v>
      </c>
      <c r="H234" s="59" t="s">
        <v>33</v>
      </c>
      <c r="I234" s="59" t="s">
        <v>34</v>
      </c>
      <c r="J234" s="59" t="s">
        <v>35</v>
      </c>
      <c r="K234" s="59" t="s">
        <v>36</v>
      </c>
      <c r="L234" s="59" t="s">
        <v>37</v>
      </c>
      <c r="M234" s="59" t="s">
        <v>38</v>
      </c>
      <c r="N234" s="59" t="s">
        <v>39</v>
      </c>
      <c r="O234" s="59" t="s">
        <v>40</v>
      </c>
      <c r="W234" s="59" t="s">
        <v>87</v>
      </c>
      <c r="X234" s="60" t="s">
        <v>31</v>
      </c>
      <c r="Y234" s="60" t="s">
        <v>32</v>
      </c>
      <c r="Z234" s="60" t="s">
        <v>33</v>
      </c>
      <c r="AA234" s="60" t="s">
        <v>34</v>
      </c>
      <c r="AB234" s="60" t="s">
        <v>35</v>
      </c>
      <c r="AC234" s="60" t="s">
        <v>36</v>
      </c>
      <c r="AD234" s="60" t="s">
        <v>37</v>
      </c>
      <c r="AE234" s="60" t="s">
        <v>38</v>
      </c>
      <c r="AF234" s="60" t="s">
        <v>39</v>
      </c>
      <c r="AG234" s="60" t="s">
        <v>40</v>
      </c>
      <c r="AH234" s="32"/>
    </row>
    <row r="235" spans="4:34" ht="20.100000000000001" customHeight="1" x14ac:dyDescent="0.25">
      <c r="D235" s="29" t="str">
        <f>'Input - Pasture Beef'!$D$179</f>
        <v>Pasture range and paddock</v>
      </c>
      <c r="E235" s="29" t="s">
        <v>41</v>
      </c>
      <c r="F235" s="29" cm="1">
        <f t="array" aca="1" ref="F235" ca="1">MMS_PastureBeef_Methane_Equations.VEERG_4_2_1_1__1_TotalAnnualMethaneProductionFromManureManagement(E219,F177,E227)</f>
        <v>1.0543599750549396E-2</v>
      </c>
      <c r="G235" s="29" cm="1">
        <f t="array" aca="1" ref="G235" ca="1">MMS_PastureBeef_Methane_Equations.VEERG_4_2_1_1__1_TotalAnnualMethaneProductionFromManureManagement(F219,G177,F227)</f>
        <v>1.4891433017389384E-2</v>
      </c>
      <c r="H235" s="29" cm="1">
        <f t="array" aca="1" ref="H235" ca="1">MMS_PastureBeef_Methane_Equations.VEERG_4_2_1_1__1_TotalAnnualMethaneProductionFromManureManagement(G219,H177,G227)</f>
        <v>8.036328859194598E-3</v>
      </c>
      <c r="I235" s="29" cm="1">
        <f t="array" aca="1" ref="I235" ca="1">MMS_PastureBeef_Methane_Equations.VEERG_4_2_1_1__1_TotalAnnualMethaneProductionFromManureManagement(H219,I177,H227)</f>
        <v>1.1600874523134977E-2</v>
      </c>
      <c r="J235" s="29" cm="1">
        <f t="array" aca="1" ref="J235" ca="1">MMS_PastureBeef_Methane_Equations.VEERG_4_2_1_1__1_TotalAnnualMethaneProductionFromManureManagement(I219,J177,I227)</f>
        <v>1.3702060159970882E-2</v>
      </c>
      <c r="K235" s="29" cm="1">
        <f t="array" aca="1" ref="K235" ca="1">MMS_PastureBeef_Methane_Equations.VEERG_4_2_1_1__1_TotalAnnualMethaneProductionFromManureManagement(J219,K177,J227)</f>
        <v>1.3702060159970882E-2</v>
      </c>
      <c r="L235" s="29" cm="1">
        <f t="array" aca="1" ref="L235" ca="1">MMS_PastureBeef_Methane_Equations.VEERG_4_2_1_1__1_TotalAnnualMethaneProductionFromManureManagement(K219,L177,K227)</f>
        <v>9.2648217360360614E-3</v>
      </c>
      <c r="M235" s="29" cm="1">
        <f t="array" aca="1" ref="M235" ca="1">MMS_PastureBeef_Methane_Equations.VEERG_4_2_1_1__1_TotalAnnualMethaneProductionFromManureManagement(L219,M177,L227)</f>
        <v>1.1773586282049499E-2</v>
      </c>
      <c r="N235" s="29" cm="1">
        <f t="array" aca="1" ref="N235" ca="1">MMS_PastureBeef_Methane_Equations.VEERG_4_2_1_1__1_TotalAnnualMethaneProductionFromManureManagement(M219,N177,M227)</f>
        <v>1.1773586282049499E-2</v>
      </c>
      <c r="O235" s="29" cm="1">
        <f t="array" aca="1" ref="O235" ca="1">MMS_PastureBeef_Methane_Equations.VEERG_4_2_1_1__1_TotalAnnualMethaneProductionFromManureManagement(N219,O177,N227)</f>
        <v>1.1773586282049499E-2</v>
      </c>
      <c r="P235" s="32" t="str">
        <f>$E$210</f>
        <v>t CH4</v>
      </c>
      <c r="Q235" s="32"/>
      <c r="R235" s="32"/>
      <c r="S235" s="32"/>
      <c r="W235" s="29" t="str">
        <f>TEXT('Input - Site'!$E$12, "mmmm yyyy")</f>
        <v>January 2024</v>
      </c>
      <c r="X235" s="29" cm="1">
        <f t="array" aca="1" ref="X235:AG246" ca="1">OFFSET(X_Table_PastureBeef_Duration_Method2, 1,1, 12,10)</f>
        <v>31</v>
      </c>
      <c r="Y235" s="29">
        <f ca="1"/>
        <v>31</v>
      </c>
      <c r="Z235" s="29">
        <f ca="1"/>
        <v>31</v>
      </c>
      <c r="AA235" s="29">
        <f ca="1"/>
        <v>31</v>
      </c>
      <c r="AB235" s="29">
        <f ca="1"/>
        <v>31</v>
      </c>
      <c r="AC235" s="29">
        <f ca="1"/>
        <v>31</v>
      </c>
      <c r="AD235" s="29">
        <f ca="1"/>
        <v>31</v>
      </c>
      <c r="AE235" s="29">
        <f ca="1"/>
        <v>31</v>
      </c>
      <c r="AF235" s="29">
        <f ca="1"/>
        <v>31</v>
      </c>
      <c r="AG235" s="29">
        <f ca="1"/>
        <v>31</v>
      </c>
      <c r="AH235" s="32" t="s">
        <v>229</v>
      </c>
    </row>
    <row r="236" spans="4:34" ht="20.100000000000001" customHeight="1" x14ac:dyDescent="0.25">
      <c r="D236" s="29" t="str">
        <f>'Input - Pasture Beef'!$D$179</f>
        <v>Pasture range and paddock</v>
      </c>
      <c r="E236" s="29" t="s">
        <v>43</v>
      </c>
      <c r="F236" s="29" cm="1">
        <f t="array" aca="1" ref="F236" ca="1">MMS_PastureBeef_Methane_Equations.VEERG_4_2_1_1__1_TotalAnnualMethaneProductionFromManureManagement(E220,F178,E228)</f>
        <v>1.6656585480999568E-2</v>
      </c>
      <c r="G236" s="29" cm="1">
        <f t="array" aca="1" ref="G236" ca="1">MMS_PastureBeef_Methane_Equations.VEERG_4_2_1_1__1_TotalAnnualMethaneProductionFromManureManagement(F220,G178,F228)</f>
        <v>2.2038309341351328E-2</v>
      </c>
      <c r="H236" s="29" cm="1">
        <f t="array" aca="1" ref="H236" ca="1">MMS_PastureBeef_Methane_Equations.VEERG_4_2_1_1__1_TotalAnnualMethaneProductionFromManureManagement(G220,H178,G228)</f>
        <v>1.4007812244206296E-2</v>
      </c>
      <c r="I236" s="29" cm="1">
        <f t="array" aca="1" ref="I236" ca="1">MMS_PastureBeef_Methane_Equations.VEERG_4_2_1_1__1_TotalAnnualMethaneProductionFromManureManagement(H220,I178,H228)</f>
        <v>1.9076974173493084E-2</v>
      </c>
      <c r="J236" s="29" cm="1">
        <f t="array" aca="1" ref="J236" ca="1">MMS_PastureBeef_Methane_Equations.VEERG_4_2_1_1__1_TotalAnnualMethaneProductionFromManureManagement(I220,J178,I228)</f>
        <v>1.8888538660416041E-2</v>
      </c>
      <c r="K236" s="29" cm="1">
        <f t="array" aca="1" ref="K236" ca="1">MMS_PastureBeef_Methane_Equations.VEERG_4_2_1_1__1_TotalAnnualMethaneProductionFromManureManagement(J220,K178,J228)</f>
        <v>1.8888538660416041E-2</v>
      </c>
      <c r="L236" s="29" cm="1">
        <f t="array" aca="1" ref="L236" ca="1">MMS_PastureBeef_Methane_Equations.VEERG_4_2_1_1__1_TotalAnnualMethaneProductionFromManureManagement(K220,L178,K228)</f>
        <v>1.5353274092545728E-2</v>
      </c>
      <c r="M236" s="29" cm="1">
        <f t="array" aca="1" ref="M236" ca="1">MMS_PastureBeef_Methane_Equations.VEERG_4_2_1_1__1_TotalAnnualMethaneProductionFromManureManagement(L220,M178,L228)</f>
        <v>1.7113891285974955E-2</v>
      </c>
      <c r="N236" s="29" cm="1">
        <f t="array" aca="1" ref="N236" ca="1">MMS_PastureBeef_Methane_Equations.VEERG_4_2_1_1__1_TotalAnnualMethaneProductionFromManureManagement(M220,N178,M228)</f>
        <v>1.7113891285974955E-2</v>
      </c>
      <c r="O236" s="29" cm="1">
        <f t="array" aca="1" ref="O236" ca="1">MMS_PastureBeef_Methane_Equations.VEERG_4_2_1_1__1_TotalAnnualMethaneProductionFromManureManagement(N220,O178,N228)</f>
        <v>1.7113891285974955E-2</v>
      </c>
      <c r="P236" s="32" t="str">
        <f t="shared" ref="P236:P242" si="10">$E$210</f>
        <v>t CH4</v>
      </c>
      <c r="Q236" s="32"/>
      <c r="R236" s="32"/>
      <c r="S236" s="32"/>
      <c r="W236" s="29" t="str">
        <f>TEXT(EDATE('Input - Site'!$E$12,1), "mmmm yyyy")</f>
        <v>February 2024</v>
      </c>
      <c r="X236" s="29">
        <f ca="1"/>
        <v>29</v>
      </c>
      <c r="Y236" s="29">
        <f ca="1"/>
        <v>29</v>
      </c>
      <c r="Z236" s="29">
        <f ca="1"/>
        <v>29</v>
      </c>
      <c r="AA236" s="29">
        <f ca="1"/>
        <v>29</v>
      </c>
      <c r="AB236" s="29">
        <f ca="1"/>
        <v>29</v>
      </c>
      <c r="AC236" s="29">
        <f ca="1"/>
        <v>29</v>
      </c>
      <c r="AD236" s="29">
        <f ca="1"/>
        <v>29</v>
      </c>
      <c r="AE236" s="29">
        <f ca="1"/>
        <v>29</v>
      </c>
      <c r="AF236" s="29">
        <f ca="1"/>
        <v>29</v>
      </c>
      <c r="AG236" s="29">
        <f ca="1"/>
        <v>29</v>
      </c>
      <c r="AH236" s="32" t="s">
        <v>229</v>
      </c>
    </row>
    <row r="237" spans="4:34" ht="20.100000000000001" customHeight="1" x14ac:dyDescent="0.25">
      <c r="D237" s="29" t="str">
        <f>'Input - Pasture Beef'!$D$179</f>
        <v>Pasture range and paddock</v>
      </c>
      <c r="E237" s="29" t="s">
        <v>44</v>
      </c>
      <c r="F237" s="29" cm="1">
        <f t="array" aca="1" ref="F237" ca="1">MMS_PastureBeef_Methane_Equations.VEERG_4_2_1_1__1_TotalAnnualMethaneProductionFromManureManagement(E221,F179,E229)</f>
        <v>8.884164431756528E-3</v>
      </c>
      <c r="G237" s="29" cm="1">
        <f t="array" aca="1" ref="G237" ca="1">MMS_PastureBeef_Methane_Equations.VEERG_4_2_1_1__1_TotalAnnualMethaneProductionFromManureManagement(F221,G179,F229)</f>
        <v>2.5785315433305797E-2</v>
      </c>
      <c r="H237" s="29" cm="1">
        <f t="array" aca="1" ref="H237" ca="1">MMS_PastureBeef_Methane_Equations.VEERG_4_2_1_1__1_TotalAnnualMethaneProductionFromManureManagement(G221,H179,G229)</f>
        <v>8.0992845830886555E-3</v>
      </c>
      <c r="I237" s="29" cm="1">
        <f t="array" aca="1" ref="I237" ca="1">MMS_PastureBeef_Methane_Equations.VEERG_4_2_1_1__1_TotalAnnualMethaneProductionFromManureManagement(H221,I179,H229)</f>
        <v>1.6463195266712558E-2</v>
      </c>
      <c r="J237" s="29" cm="1">
        <f t="array" aca="1" ref="J237" ca="1">MMS_PastureBeef_Methane_Equations.VEERG_4_2_1_1__1_TotalAnnualMethaneProductionFromManureManagement(I221,J179,I229)</f>
        <v>1.8380056806114171E-2</v>
      </c>
      <c r="K237" s="29" cm="1">
        <f t="array" aca="1" ref="K237" ca="1">MMS_PastureBeef_Methane_Equations.VEERG_4_2_1_1__1_TotalAnnualMethaneProductionFromManureManagement(J221,K179,J229)</f>
        <v>1.8380056806114171E-2</v>
      </c>
      <c r="L237" s="29" cm="1">
        <f t="array" aca="1" ref="L237" ca="1">MMS_PastureBeef_Methane_Equations.VEERG_4_2_1_1__1_TotalAnnualMethaneProductionFromManureManagement(K221,L179,K229)</f>
        <v>8.884164431756528E-3</v>
      </c>
      <c r="M237" s="29" cm="1">
        <f t="array" aca="1" ref="M237" ca="1">MMS_PastureBeef_Methane_Equations.VEERG_4_2_1_1__1_TotalAnnualMethaneProductionFromManureManagement(L221,M179,L229)</f>
        <v>1.6129417703899748E-2</v>
      </c>
      <c r="N237" s="29" cm="1">
        <f t="array" aca="1" ref="N237" ca="1">MMS_PastureBeef_Methane_Equations.VEERG_4_2_1_1__1_TotalAnnualMethaneProductionFromManureManagement(M221,N179,M229)</f>
        <v>1.6129417703899748E-2</v>
      </c>
      <c r="O237" s="29" cm="1">
        <f t="array" aca="1" ref="O237" ca="1">MMS_PastureBeef_Methane_Equations.VEERG_4_2_1_1__1_TotalAnnualMethaneProductionFromManureManagement(N221,O179,N229)</f>
        <v>1.6129417703899748E-2</v>
      </c>
      <c r="P237" s="32" t="str">
        <f t="shared" si="10"/>
        <v>t CH4</v>
      </c>
      <c r="Q237" s="32"/>
      <c r="R237" s="32"/>
      <c r="S237" s="32"/>
      <c r="W237" s="29" t="str">
        <f>TEXT(EDATE('Input - Site'!$E$12,2), "mmmm yyyy")</f>
        <v>March 2024</v>
      </c>
      <c r="X237" s="29">
        <f ca="1"/>
        <v>31</v>
      </c>
      <c r="Y237" s="29">
        <f ca="1"/>
        <v>31</v>
      </c>
      <c r="Z237" s="29">
        <f ca="1"/>
        <v>31</v>
      </c>
      <c r="AA237" s="29">
        <f ca="1"/>
        <v>31</v>
      </c>
      <c r="AB237" s="29">
        <f ca="1"/>
        <v>31</v>
      </c>
      <c r="AC237" s="29">
        <f ca="1"/>
        <v>31</v>
      </c>
      <c r="AD237" s="29">
        <f ca="1"/>
        <v>31</v>
      </c>
      <c r="AE237" s="29">
        <f ca="1"/>
        <v>31</v>
      </c>
      <c r="AF237" s="29">
        <f ca="1"/>
        <v>31</v>
      </c>
      <c r="AG237" s="29">
        <f ca="1"/>
        <v>31</v>
      </c>
      <c r="AH237" s="32" t="s">
        <v>229</v>
      </c>
    </row>
    <row r="238" spans="4:34" ht="20.100000000000001" customHeight="1" x14ac:dyDescent="0.25">
      <c r="D238" s="29" t="str">
        <f>'Input - Pasture Beef'!$D$179</f>
        <v>Pasture range and paddock</v>
      </c>
      <c r="E238" s="29" t="s">
        <v>45</v>
      </c>
      <c r="F238" s="29" cm="1">
        <f t="array" aca="1" ref="F238" ca="1">MMS_PastureBeef_Methane_Equations.VEERG_4_2_1_1__1_TotalAnnualMethaneProductionFromManureManagement(E222,F180,E230)</f>
        <v>7.5417805472721543E-3</v>
      </c>
      <c r="G238" s="29" cm="1">
        <f t="array" aca="1" ref="G238" ca="1">MMS_PastureBeef_Methane_Equations.VEERG_4_2_1_1__1_TotalAnnualMethaneProductionFromManureManagement(F222,G180,F230)</f>
        <v>1.4656086295388867E-2</v>
      </c>
      <c r="H238" s="29" cm="1">
        <f t="array" aca="1" ref="H238" ca="1">MMS_PastureBeef_Methane_Equations.VEERG_4_2_1_1__1_TotalAnnualMethaneProductionFromManureManagement(G222,H180,G230)</f>
        <v>6.1750454688088846E-3</v>
      </c>
      <c r="I238" s="29" cm="1">
        <f t="array" aca="1" ref="I238" ca="1">MMS_PastureBeef_Methane_Equations.VEERG_4_2_1_1__1_TotalAnnualMethaneProductionFromManureManagement(H222,I180,H230)</f>
        <v>1.0538798529818759E-2</v>
      </c>
      <c r="J238" s="29" cm="1">
        <f t="array" aca="1" ref="J238" ca="1">MMS_PastureBeef_Methane_Equations.VEERG_4_2_1_1__1_TotalAnnualMethaneProductionFromManureManagement(I222,J180,I230)</f>
        <v>1.3437059174447761E-2</v>
      </c>
      <c r="K238" s="29" cm="1">
        <f t="array" aca="1" ref="K238" ca="1">MMS_PastureBeef_Methane_Equations.VEERG_4_2_1_1__1_TotalAnnualMethaneProductionFromManureManagement(J222,K180,J230)</f>
        <v>1.3437059174447761E-2</v>
      </c>
      <c r="L238" s="29" cm="1">
        <f t="array" aca="1" ref="L238" ca="1">MMS_PastureBeef_Methane_Equations.VEERG_4_2_1_1__1_TotalAnnualMethaneProductionFromManureManagement(K222,L180,K230)</f>
        <v>6.6298873742505681E-3</v>
      </c>
      <c r="M238" s="29" cm="1">
        <f t="array" aca="1" ref="M238" ca="1">MMS_PastureBeef_Methane_Equations.VEERG_4_2_1_1__1_TotalAnnualMethaneProductionFromManureManagement(L222,M180,L230)</f>
        <v>1.0093889601476421E-2</v>
      </c>
      <c r="N238" s="29" cm="1">
        <f t="array" aca="1" ref="N238" ca="1">MMS_PastureBeef_Methane_Equations.VEERG_4_2_1_1__1_TotalAnnualMethaneProductionFromManureManagement(M222,N180,M230)</f>
        <v>1.0093889601476421E-2</v>
      </c>
      <c r="O238" s="29" cm="1">
        <f t="array" aca="1" ref="O238" ca="1">MMS_PastureBeef_Methane_Equations.VEERG_4_2_1_1__1_TotalAnnualMethaneProductionFromManureManagement(N222,O180,N230)</f>
        <v>1.0093889601476421E-2</v>
      </c>
      <c r="P238" s="32" t="str">
        <f t="shared" si="10"/>
        <v>t CH4</v>
      </c>
      <c r="Q238" s="32"/>
      <c r="R238" s="32"/>
      <c r="S238" s="32"/>
      <c r="W238" s="29" t="str">
        <f>TEXT(EDATE('Input - Site'!$E$12,3), "mmmm yyyy")</f>
        <v>April 2024</v>
      </c>
      <c r="X238" s="29">
        <f ca="1"/>
        <v>30</v>
      </c>
      <c r="Y238" s="29">
        <f ca="1"/>
        <v>30</v>
      </c>
      <c r="Z238" s="29">
        <f ca="1"/>
        <v>30</v>
      </c>
      <c r="AA238" s="29">
        <f ca="1"/>
        <v>30</v>
      </c>
      <c r="AB238" s="29">
        <f ca="1"/>
        <v>30</v>
      </c>
      <c r="AC238" s="29">
        <f ca="1"/>
        <v>30</v>
      </c>
      <c r="AD238" s="29">
        <f ca="1"/>
        <v>30</v>
      </c>
      <c r="AE238" s="29">
        <f ca="1"/>
        <v>30</v>
      </c>
      <c r="AF238" s="29">
        <f ca="1"/>
        <v>30</v>
      </c>
      <c r="AG238" s="29">
        <f ca="1"/>
        <v>30</v>
      </c>
      <c r="AH238" s="32" t="s">
        <v>229</v>
      </c>
    </row>
    <row r="239" spans="4:34" ht="20.100000000000001" customHeight="1" x14ac:dyDescent="0.25">
      <c r="D239" s="29" t="str">
        <f>'Input - Pasture Beef'!$D$180</f>
        <v>Anaerobic lagoon</v>
      </c>
      <c r="E239" s="29" t="s">
        <v>41</v>
      </c>
      <c r="F239" s="29" cm="1">
        <f t="array" aca="1" ref="F239" ca="1">MMS_PastureBeef_Methane_Equations.VEERG_4_2_1_1__1_TotalAnnualMethaneProductionFromManureManagement(E219,F181,E227)</f>
        <v>6.4690601459427921E-3</v>
      </c>
      <c r="G239" s="29" cm="1">
        <f t="array" aca="1" ref="G239" ca="1">MMS_PastureBeef_Methane_Equations.VEERG_4_2_1_1__1_TotalAnnualMethaneProductionFromManureManagement(F219,G181,F227)</f>
        <v>9.1366874813083275E-3</v>
      </c>
      <c r="H239" s="29" cm="1">
        <f t="array" aca="1" ref="H239" ca="1">MMS_PastureBeef_Methane_Equations.VEERG_4_2_1_1__1_TotalAnnualMethaneProductionFromManureManagement(G219,H181,G227)</f>
        <v>4.9307158819260717E-3</v>
      </c>
      <c r="I239" s="29" cm="1">
        <f t="array" aca="1" ref="I239" ca="1">MMS_PastureBeef_Methane_Equations.VEERG_4_2_1_1__1_TotalAnnualMethaneProductionFromManureManagement(H219,I181,H227)</f>
        <v>7.1177545441048363E-3</v>
      </c>
      <c r="J239" s="29" cm="1">
        <f t="array" aca="1" ref="J239" ca="1">MMS_PastureBeef_Methane_Equations.VEERG_4_2_1_1__1_TotalAnnualMethaneProductionFromManureManagement(I219,J181,I227)</f>
        <v>8.4069438707173438E-3</v>
      </c>
      <c r="K239" s="29" cm="1">
        <f t="array" aca="1" ref="K239" ca="1">MMS_PastureBeef_Methane_Equations.VEERG_4_2_1_1__1_TotalAnnualMethaneProductionFromManureManagement(J219,K181,J227)</f>
        <v>8.4069438707173438E-3</v>
      </c>
      <c r="L239" s="29" cm="1">
        <f t="array" aca="1" ref="L239" ca="1">MMS_PastureBeef_Methane_Equations.VEERG_4_2_1_1__1_TotalAnnualMethaneProductionFromManureManagement(K219,L181,K227)</f>
        <v>5.6844617085101672E-3</v>
      </c>
      <c r="M239" s="29" cm="1">
        <f t="array" aca="1" ref="M239" ca="1">MMS_PastureBeef_Methane_Equations.VEERG_4_2_1_1__1_TotalAnnualMethaneProductionFromManureManagement(L219,M181,L227)</f>
        <v>7.2237224092328136E-3</v>
      </c>
      <c r="N239" s="29" cm="1">
        <f t="array" aca="1" ref="N239" ca="1">MMS_PastureBeef_Methane_Equations.VEERG_4_2_1_1__1_TotalAnnualMethaneProductionFromManureManagement(M219,N181,M227)</f>
        <v>7.2237224092328136E-3</v>
      </c>
      <c r="O239" s="29" cm="1">
        <f t="array" aca="1" ref="O239" ca="1">MMS_PastureBeef_Methane_Equations.VEERG_4_2_1_1__1_TotalAnnualMethaneProductionFromManureManagement(N219,O181,N227)</f>
        <v>7.2237224092328136E-3</v>
      </c>
      <c r="P239" s="32" t="str">
        <f t="shared" si="10"/>
        <v>t CH4</v>
      </c>
      <c r="Q239" s="32"/>
      <c r="R239" s="32"/>
      <c r="S239" s="32"/>
      <c r="W239" s="29" t="str">
        <f>TEXT(EDATE('Input - Site'!$E$12,4), "mmmm yyyy")</f>
        <v>May 2024</v>
      </c>
      <c r="X239" s="29">
        <f ca="1"/>
        <v>31</v>
      </c>
      <c r="Y239" s="29">
        <f ca="1"/>
        <v>31</v>
      </c>
      <c r="Z239" s="29">
        <f ca="1"/>
        <v>31</v>
      </c>
      <c r="AA239" s="29">
        <f ca="1"/>
        <v>31</v>
      </c>
      <c r="AB239" s="29">
        <f ca="1"/>
        <v>31</v>
      </c>
      <c r="AC239" s="29">
        <f ca="1"/>
        <v>31</v>
      </c>
      <c r="AD239" s="29">
        <f ca="1"/>
        <v>31</v>
      </c>
      <c r="AE239" s="29">
        <f ca="1"/>
        <v>31</v>
      </c>
      <c r="AF239" s="29">
        <f ca="1"/>
        <v>31</v>
      </c>
      <c r="AG239" s="29">
        <f ca="1"/>
        <v>31</v>
      </c>
      <c r="AH239" s="32" t="s">
        <v>229</v>
      </c>
    </row>
    <row r="240" spans="4:34" ht="20.100000000000001" customHeight="1" x14ac:dyDescent="0.25">
      <c r="D240" s="29" t="str">
        <f>'Input - Pasture Beef'!$D$180</f>
        <v>Anaerobic lagoon</v>
      </c>
      <c r="E240" s="29" t="s">
        <v>43</v>
      </c>
      <c r="F240" s="29" cm="1">
        <f t="array" aca="1" ref="F240" ca="1">MMS_PastureBeef_Methane_Equations.VEERG_4_2_1_1__1_TotalAnnualMethaneProductionFromManureManagement(E220,F182,E228)</f>
        <v>1.0219702554339564E-2</v>
      </c>
      <c r="G240" s="29" cm="1">
        <f t="array" aca="1" ref="G240" ca="1">MMS_PastureBeef_Methane_Equations.VEERG_4_2_1_1__1_TotalAnnualMethaneProductionFromManureManagement(F220,G182,F228)</f>
        <v>1.3521676848238278E-2</v>
      </c>
      <c r="H240" s="29" cm="1">
        <f t="array" aca="1" ref="H240" ca="1">MMS_PastureBeef_Methane_Equations.VEERG_4_2_1_1__1_TotalAnnualMethaneProductionFromManureManagement(G220,H182,G228)</f>
        <v>8.5945390630104875E-3</v>
      </c>
      <c r="I240" s="29" cm="1">
        <f t="array" aca="1" ref="I240" ca="1">MMS_PastureBeef_Methane_Equations.VEERG_4_2_1_1__1_TotalAnnualMethaneProductionFromManureManagement(H220,I182,H228)</f>
        <v>1.1704739960798825E-2</v>
      </c>
      <c r="J240" s="29" cm="1">
        <f t="array" aca="1" ref="J240" ca="1">MMS_PastureBeef_Methane_Equations.VEERG_4_2_1_1__1_TotalAnnualMethaneProductionFromManureManagement(I220,J182,I228)</f>
        <v>1.1589124734825984E-2</v>
      </c>
      <c r="K240" s="29" cm="1">
        <f t="array" aca="1" ref="K240" ca="1">MMS_PastureBeef_Methane_Equations.VEERG_4_2_1_1__1_TotalAnnualMethaneProductionFromManureManagement(J220,K182,J228)</f>
        <v>1.1589124734825984E-2</v>
      </c>
      <c r="L240" s="29" cm="1">
        <f t="array" aca="1" ref="L240" ca="1">MMS_PastureBeef_Methane_Equations.VEERG_4_2_1_1__1_TotalAnnualMethaneProductionFromManureManagement(K220,L182,K228)</f>
        <v>9.420051585005227E-3</v>
      </c>
      <c r="M240" s="29" cm="1">
        <f t="array" aca="1" ref="M240" ca="1">MMS_PastureBeef_Methane_Equations.VEERG_4_2_1_1__1_TotalAnnualMethaneProductionFromManureManagement(L220,M182,L228)</f>
        <v>1.0500284028168785E-2</v>
      </c>
      <c r="N240" s="29" cm="1">
        <f t="array" aca="1" ref="N240" ca="1">MMS_PastureBeef_Methane_Equations.VEERG_4_2_1_1__1_TotalAnnualMethaneProductionFromManureManagement(M220,N182,M228)</f>
        <v>1.0500284028168785E-2</v>
      </c>
      <c r="O240" s="29" cm="1">
        <f t="array" aca="1" ref="O240" ca="1">MMS_PastureBeef_Methane_Equations.VEERG_4_2_1_1__1_TotalAnnualMethaneProductionFromManureManagement(N220,O182,N228)</f>
        <v>1.0500284028168785E-2</v>
      </c>
      <c r="P240" s="32" t="str">
        <f t="shared" si="10"/>
        <v>t CH4</v>
      </c>
      <c r="Q240" s="32"/>
      <c r="R240" s="32"/>
      <c r="S240" s="32"/>
      <c r="W240" s="29" t="str">
        <f>TEXT(EDATE('Input - Site'!$E$12,5), "mmmm yyyy")</f>
        <v>June 2024</v>
      </c>
      <c r="X240" s="29">
        <f ca="1"/>
        <v>30</v>
      </c>
      <c r="Y240" s="29">
        <f ca="1"/>
        <v>30</v>
      </c>
      <c r="Z240" s="29">
        <f ca="1"/>
        <v>30</v>
      </c>
      <c r="AA240" s="29">
        <f ca="1"/>
        <v>30</v>
      </c>
      <c r="AB240" s="29">
        <f ca="1"/>
        <v>30</v>
      </c>
      <c r="AC240" s="29">
        <f ca="1"/>
        <v>30</v>
      </c>
      <c r="AD240" s="29">
        <f ca="1"/>
        <v>30</v>
      </c>
      <c r="AE240" s="29">
        <f ca="1"/>
        <v>30</v>
      </c>
      <c r="AF240" s="29">
        <f ca="1"/>
        <v>30</v>
      </c>
      <c r="AG240" s="29">
        <f ca="1"/>
        <v>30</v>
      </c>
      <c r="AH240" s="32" t="s">
        <v>229</v>
      </c>
    </row>
    <row r="241" spans="4:36" ht="20.100000000000001" customHeight="1" x14ac:dyDescent="0.25">
      <c r="D241" s="29" t="str">
        <f>'Input - Pasture Beef'!$D$180</f>
        <v>Anaerobic lagoon</v>
      </c>
      <c r="E241" s="29" t="s">
        <v>44</v>
      </c>
      <c r="F241" s="29" cm="1">
        <f t="array" aca="1" ref="F241" ca="1">MMS_PastureBeef_Methane_Equations.VEERG_4_2_1_1__1_TotalAnnualMethaneProductionFromManureManagement(E221,F183,E229)</f>
        <v>5.4509081732246091E-3</v>
      </c>
      <c r="G241" s="29" cm="1">
        <f t="array" aca="1" ref="G241" ca="1">MMS_PastureBeef_Methane_Equations.VEERG_4_2_1_1__1_TotalAnnualMethaneProductionFromManureManagement(F221,G183,F229)</f>
        <v>1.5820664703387506E-2</v>
      </c>
      <c r="H241" s="29" cm="1">
        <f t="array" aca="1" ref="H241" ca="1">MMS_PastureBeef_Methane_Equations.VEERG_4_2_1_1__1_TotalAnnualMethaneProductionFromManureManagement(G221,H183,G229)</f>
        <v>4.9693425724338198E-3</v>
      </c>
      <c r="I241" s="29" cm="1">
        <f t="array" aca="1" ref="I241" ca="1">MMS_PastureBeef_Methane_Equations.VEERG_4_2_1_1__1_TotalAnnualMethaneProductionFromManureManagement(H221,I183,H229)</f>
        <v>1.010104735521801E-2</v>
      </c>
      <c r="J241" s="29" cm="1">
        <f t="array" aca="1" ref="J241" ca="1">MMS_PastureBeef_Methane_Equations.VEERG_4_2_1_1__1_TotalAnnualMethaneProductionFromManureManagement(I221,J183,I229)</f>
        <v>1.1277144028385762E-2</v>
      </c>
      <c r="K241" s="29" cm="1">
        <f t="array" aca="1" ref="K241" ca="1">MMS_PastureBeef_Methane_Equations.VEERG_4_2_1_1__1_TotalAnnualMethaneProductionFromManureManagement(J221,K183,J229)</f>
        <v>1.1277144028385762E-2</v>
      </c>
      <c r="L241" s="29" cm="1">
        <f t="array" aca="1" ref="L241" ca="1">MMS_PastureBeef_Methane_Equations.VEERG_4_2_1_1__1_TotalAnnualMethaneProductionFromManureManagement(K221,L183,K229)</f>
        <v>5.4509081732246091E-3</v>
      </c>
      <c r="M241" s="29" cm="1">
        <f t="array" aca="1" ref="M241" ca="1">MMS_PastureBeef_Methane_Equations.VEERG_4_2_1_1__1_TotalAnnualMethaneProductionFromManureManagement(L221,M183,L229)</f>
        <v>9.8962570387902855E-3</v>
      </c>
      <c r="N241" s="29" cm="1">
        <f t="array" aca="1" ref="N241" ca="1">MMS_PastureBeef_Methane_Equations.VEERG_4_2_1_1__1_TotalAnnualMethaneProductionFromManureManagement(M221,N183,M229)</f>
        <v>9.8962570387902855E-3</v>
      </c>
      <c r="O241" s="29" cm="1">
        <f t="array" aca="1" ref="O241" ca="1">MMS_PastureBeef_Methane_Equations.VEERG_4_2_1_1__1_TotalAnnualMethaneProductionFromManureManagement(N221,O183,N229)</f>
        <v>9.8962570387902855E-3</v>
      </c>
      <c r="P241" s="32" t="str">
        <f t="shared" si="10"/>
        <v>t CH4</v>
      </c>
      <c r="Q241" s="32"/>
      <c r="R241" s="32"/>
      <c r="S241" s="32"/>
      <c r="W241" s="29" t="str">
        <f>TEXT(EDATE('Input - Site'!$E$12,6), "mmmm yyyy")</f>
        <v>July 2024</v>
      </c>
      <c r="X241" s="29">
        <f ca="1"/>
        <v>31</v>
      </c>
      <c r="Y241" s="29">
        <f ca="1"/>
        <v>31</v>
      </c>
      <c r="Z241" s="29">
        <f ca="1"/>
        <v>31</v>
      </c>
      <c r="AA241" s="29">
        <f ca="1"/>
        <v>31</v>
      </c>
      <c r="AB241" s="29">
        <f ca="1"/>
        <v>31</v>
      </c>
      <c r="AC241" s="29">
        <f ca="1"/>
        <v>31</v>
      </c>
      <c r="AD241" s="29">
        <f ca="1"/>
        <v>31</v>
      </c>
      <c r="AE241" s="29">
        <f ca="1"/>
        <v>31</v>
      </c>
      <c r="AF241" s="29">
        <f ca="1"/>
        <v>31</v>
      </c>
      <c r="AG241" s="29">
        <f ca="1"/>
        <v>31</v>
      </c>
      <c r="AH241" s="32" t="s">
        <v>229</v>
      </c>
    </row>
    <row r="242" spans="4:36" ht="20.100000000000001" customHeight="1" x14ac:dyDescent="0.25">
      <c r="D242" s="29" t="str">
        <f>'Input - Pasture Beef'!$D$180</f>
        <v>Anaerobic lagoon</v>
      </c>
      <c r="E242" s="29" t="s">
        <v>45</v>
      </c>
      <c r="F242" s="29" cm="1">
        <f t="array" aca="1" ref="F242" ca="1">MMS_PastureBeef_Methane_Equations.VEERG_4_2_1_1__1_TotalAnnualMethaneProductionFromManureManagement(E222,F184,E230)</f>
        <v>4.6272841460301721E-3</v>
      </c>
      <c r="G242" s="29" cm="1">
        <f t="array" aca="1" ref="G242" ca="1">MMS_PastureBeef_Methane_Equations.VEERG_4_2_1_1__1_TotalAnnualMethaneProductionFromManureManagement(F222,G184,F230)</f>
        <v>8.992289729516538E-3</v>
      </c>
      <c r="H242" s="29" cm="1">
        <f t="array" aca="1" ref="H242" ca="1">MMS_PastureBeef_Methane_Equations.VEERG_4_2_1_1__1_TotalAnnualMethaneProductionFromManureManagement(G222,H184,G230)</f>
        <v>3.7887193640459152E-3</v>
      </c>
      <c r="I242" s="29" cm="1">
        <f t="array" aca="1" ref="I242" ca="1">MMS_PastureBeef_Methane_Equations.VEERG_4_2_1_1__1_TotalAnnualMethaneProductionFromManureManagement(H222,I184,H230)</f>
        <v>6.4661143412446552E-3</v>
      </c>
      <c r="J242" s="29" cm="1">
        <f t="array" aca="1" ref="J242" ca="1">MMS_PastureBeef_Methane_Equations.VEERG_4_2_1_1__1_TotalAnnualMethaneProductionFromManureManagement(I222,J184,I230)</f>
        <v>8.2443516484553159E-3</v>
      </c>
      <c r="K242" s="29" cm="1">
        <f t="array" aca="1" ref="K242" ca="1">MMS_PastureBeef_Methane_Equations.VEERG_4_2_1_1__1_TotalAnnualMethaneProductionFromManureManagement(J222,K184,J230)</f>
        <v>8.2443516484553159E-3</v>
      </c>
      <c r="L242" s="29" cm="1">
        <f t="array" aca="1" ref="L242" ca="1">MMS_PastureBeef_Methane_Equations.VEERG_4_2_1_1__1_TotalAnnualMethaneProductionFromManureManagement(K222,L184,K230)</f>
        <v>4.0677891042496025E-3</v>
      </c>
      <c r="M242" s="29" cm="1">
        <f t="array" aca="1" ref="M242" ca="1">MMS_PastureBeef_Methane_Equations.VEERG_4_2_1_1__1_TotalAnnualMethaneProductionFromManureManagement(L222,M184,L230)</f>
        <v>6.1931390116601297E-3</v>
      </c>
      <c r="N242" s="29" cm="1">
        <f t="array" aca="1" ref="N242" ca="1">MMS_PastureBeef_Methane_Equations.VEERG_4_2_1_1__1_TotalAnnualMethaneProductionFromManureManagement(M222,N184,M230)</f>
        <v>6.1931390116601297E-3</v>
      </c>
      <c r="O242" s="29" cm="1">
        <f t="array" aca="1" ref="O242" ca="1">MMS_PastureBeef_Methane_Equations.VEERG_4_2_1_1__1_TotalAnnualMethaneProductionFromManureManagement(N222,O184,N230)</f>
        <v>6.1931390116601297E-3</v>
      </c>
      <c r="P242" s="32" t="str">
        <f t="shared" si="10"/>
        <v>t CH4</v>
      </c>
      <c r="Q242" s="32"/>
      <c r="R242" s="32"/>
      <c r="S242" s="32"/>
      <c r="W242" s="29" t="str">
        <f>TEXT(EDATE('Input - Site'!$E$12,7), "mmmm yyyy")</f>
        <v>August 2024</v>
      </c>
      <c r="X242" s="29">
        <f ca="1"/>
        <v>31</v>
      </c>
      <c r="Y242" s="29">
        <f ca="1"/>
        <v>31</v>
      </c>
      <c r="Z242" s="29">
        <f ca="1"/>
        <v>31</v>
      </c>
      <c r="AA242" s="29">
        <f ca="1"/>
        <v>31</v>
      </c>
      <c r="AB242" s="29">
        <f ca="1"/>
        <v>31</v>
      </c>
      <c r="AC242" s="29">
        <f ca="1"/>
        <v>31</v>
      </c>
      <c r="AD242" s="29">
        <f ca="1"/>
        <v>31</v>
      </c>
      <c r="AE242" s="29">
        <f ca="1"/>
        <v>31</v>
      </c>
      <c r="AF242" s="29">
        <f ca="1"/>
        <v>31</v>
      </c>
      <c r="AG242" s="29">
        <f ca="1"/>
        <v>31</v>
      </c>
      <c r="AH242" s="32" t="s">
        <v>229</v>
      </c>
    </row>
    <row r="243" spans="4:36" ht="20.100000000000001" customHeight="1" x14ac:dyDescent="0.25">
      <c r="W243" s="29" t="str">
        <f>TEXT(EDATE('Input - Site'!$E$12,8), "mmmm yyyy")</f>
        <v>September 2024</v>
      </c>
      <c r="X243" s="29">
        <f ca="1"/>
        <v>30</v>
      </c>
      <c r="Y243" s="29">
        <f ca="1"/>
        <v>30</v>
      </c>
      <c r="Z243" s="29">
        <f ca="1"/>
        <v>30</v>
      </c>
      <c r="AA243" s="29">
        <f ca="1"/>
        <v>30</v>
      </c>
      <c r="AB243" s="29">
        <f ca="1"/>
        <v>30</v>
      </c>
      <c r="AC243" s="29">
        <f ca="1"/>
        <v>30</v>
      </c>
      <c r="AD243" s="29">
        <f ca="1"/>
        <v>30</v>
      </c>
      <c r="AE243" s="29">
        <f ca="1"/>
        <v>30</v>
      </c>
      <c r="AF243" s="29">
        <f ca="1"/>
        <v>30</v>
      </c>
      <c r="AG243" s="29">
        <f ca="1"/>
        <v>30</v>
      </c>
      <c r="AH243" s="32" t="s">
        <v>229</v>
      </c>
    </row>
    <row r="244" spans="4:36" ht="20.100000000000001" customHeight="1" x14ac:dyDescent="0.25">
      <c r="D244" s="62" t="s">
        <v>117</v>
      </c>
      <c r="E244" s="63">
        <f ca="1">SUM(F235:O242)</f>
        <v>0.88628531326724402</v>
      </c>
      <c r="F244" s="64" t="str">
        <f>E210</f>
        <v>t CH4</v>
      </c>
      <c r="W244" s="29" t="str">
        <f>TEXT(EDATE('Input - Site'!$E$12,9), "mmmm yyyy")</f>
        <v>October 2024</v>
      </c>
      <c r="X244" s="29">
        <f ca="1"/>
        <v>31</v>
      </c>
      <c r="Y244" s="29">
        <f ca="1"/>
        <v>31</v>
      </c>
      <c r="Z244" s="29">
        <f ca="1"/>
        <v>31</v>
      </c>
      <c r="AA244" s="29">
        <f ca="1"/>
        <v>31</v>
      </c>
      <c r="AB244" s="29">
        <f ca="1"/>
        <v>31</v>
      </c>
      <c r="AC244" s="29">
        <f ca="1"/>
        <v>31</v>
      </c>
      <c r="AD244" s="29">
        <f ca="1"/>
        <v>31</v>
      </c>
      <c r="AE244" s="29">
        <f ca="1"/>
        <v>31</v>
      </c>
      <c r="AF244" s="29">
        <f ca="1"/>
        <v>31</v>
      </c>
      <c r="AG244" s="29">
        <f ca="1"/>
        <v>31</v>
      </c>
      <c r="AH244" s="32" t="s">
        <v>229</v>
      </c>
    </row>
    <row r="245" spans="4:36" ht="20.100000000000001" customHeight="1" x14ac:dyDescent="0.25">
      <c r="W245" s="29" t="str">
        <f>TEXT(EDATE('Input - Site'!$E$12,10), "mmmm yyyy")</f>
        <v>November 2024</v>
      </c>
      <c r="X245" s="29">
        <f ca="1"/>
        <v>30</v>
      </c>
      <c r="Y245" s="29">
        <f ca="1"/>
        <v>30</v>
      </c>
      <c r="Z245" s="29">
        <f ca="1"/>
        <v>30</v>
      </c>
      <c r="AA245" s="29">
        <f ca="1"/>
        <v>30</v>
      </c>
      <c r="AB245" s="29">
        <f ca="1"/>
        <v>30</v>
      </c>
      <c r="AC245" s="29">
        <f ca="1"/>
        <v>30</v>
      </c>
      <c r="AD245" s="29">
        <f ca="1"/>
        <v>30</v>
      </c>
      <c r="AE245" s="29">
        <f ca="1"/>
        <v>30</v>
      </c>
      <c r="AF245" s="29">
        <f ca="1"/>
        <v>30</v>
      </c>
      <c r="AG245" s="29">
        <f ca="1"/>
        <v>30</v>
      </c>
      <c r="AH245" s="32" t="s">
        <v>229</v>
      </c>
    </row>
    <row r="246" spans="4:36" ht="20.100000000000001" customHeight="1" x14ac:dyDescent="0.25">
      <c r="D246" s="65" t="str" cm="1">
        <f t="array" ref="D246:E247">Common_Equations.Common_ConvertCH4ToCO2e_Arguments()</f>
        <v>ECH4</v>
      </c>
      <c r="E246" s="66" t="str">
        <v>Methane emissions (t CH4)</v>
      </c>
      <c r="F246" s="67"/>
      <c r="G246" s="29">
        <f ca="1">E244</f>
        <v>0.88628531326724402</v>
      </c>
      <c r="W246" s="29" t="str">
        <f>TEXT(EDATE('Input - Site'!$E$12,11), "mmmm yyyy")</f>
        <v>December 2024</v>
      </c>
      <c r="X246" s="29">
        <f ca="1"/>
        <v>31</v>
      </c>
      <c r="Y246" s="29">
        <f ca="1"/>
        <v>31</v>
      </c>
      <c r="Z246" s="29">
        <f ca="1"/>
        <v>31</v>
      </c>
      <c r="AA246" s="29">
        <f ca="1"/>
        <v>31</v>
      </c>
      <c r="AB246" s="29">
        <f ca="1"/>
        <v>31</v>
      </c>
      <c r="AC246" s="29">
        <f ca="1"/>
        <v>31</v>
      </c>
      <c r="AD246" s="29">
        <f ca="1"/>
        <v>31</v>
      </c>
      <c r="AE246" s="29">
        <f ca="1"/>
        <v>31</v>
      </c>
      <c r="AF246" s="29">
        <f ca="1"/>
        <v>31</v>
      </c>
      <c r="AG246" s="29">
        <f ca="1"/>
        <v>31</v>
      </c>
      <c r="AH246" s="32" t="s">
        <v>229</v>
      </c>
    </row>
    <row r="247" spans="4:36" ht="20.100000000000001" customHeight="1" x14ac:dyDescent="0.25">
      <c r="D247" s="65" t="str">
        <v>GWPCH4</v>
      </c>
      <c r="E247" s="66" t="str">
        <v>Global warming potential for methane (t CO2-e / t CH4)</v>
      </c>
      <c r="F247" s="67"/>
      <c r="G247" s="29">
        <f>Common_InputFunctions.Utility_LookupValueInTableNumber("CH4",Table_GWPData[Gas],Table_GWPData[CO2-e factor])</f>
        <v>28</v>
      </c>
    </row>
    <row r="248" spans="4:36" ht="20.100000000000001" customHeight="1" x14ac:dyDescent="0.25">
      <c r="W248" s="57" t="s">
        <v>232</v>
      </c>
    </row>
    <row r="249" spans="4:36" ht="20.100000000000001" customHeight="1" x14ac:dyDescent="0.25">
      <c r="D249" s="61" t="s">
        <v>120</v>
      </c>
      <c r="E249" s="61" cm="1">
        <f t="array" aca="1" ref="E249" ca="1">Common_Equations.Common_ConvertN2OToCO2e(G246,G247)</f>
        <v>24.815988771482832</v>
      </c>
      <c r="F249" s="19" t="str" cm="1">
        <f t="array" ref="F249">Common_Equations.Common_ConvertN2OToCO2e_Unit()</f>
        <v>t CO2e</v>
      </c>
      <c r="W249" s="58" t="s">
        <v>233</v>
      </c>
    </row>
    <row r="250" spans="4:36" ht="20.100000000000001" customHeight="1" x14ac:dyDescent="0.25">
      <c r="W250" s="59" t="s">
        <v>217</v>
      </c>
      <c r="X250" s="59" t="s">
        <v>87</v>
      </c>
      <c r="Y250" s="59" t="s">
        <v>31</v>
      </c>
      <c r="Z250" s="59" t="s">
        <v>32</v>
      </c>
      <c r="AA250" s="59" t="s">
        <v>33</v>
      </c>
      <c r="AB250" s="59" t="s">
        <v>34</v>
      </c>
      <c r="AC250" s="59" t="s">
        <v>35</v>
      </c>
      <c r="AD250" s="59" t="s">
        <v>36</v>
      </c>
      <c r="AE250" s="59" t="s">
        <v>37</v>
      </c>
      <c r="AF250" s="59" t="s">
        <v>38</v>
      </c>
      <c r="AG250" s="59" t="s">
        <v>39</v>
      </c>
      <c r="AH250" s="59" t="s">
        <v>40</v>
      </c>
    </row>
    <row r="251" spans="4:36" ht="20.100000000000001" customHeight="1" x14ac:dyDescent="0.25">
      <c r="W251" s="29" t="str">
        <f>'Input - Pasture Beef'!$D$179</f>
        <v>Pasture range and paddock</v>
      </c>
      <c r="X251" s="29" t="str">
        <f>W235</f>
        <v>January 2024</v>
      </c>
      <c r="Y251" s="29" cm="1">
        <f t="array" aca="1" ref="Y251" ca="1">MMS_PastureBeef_Methane_Equations.VEERG_4_2_1_1__1_TotalAnnualMethaneProductionFromManureManagement(X219,Y177,X235)</f>
        <v>5.6586756154628675E-3</v>
      </c>
      <c r="Z251" s="29" cm="1">
        <f t="array" aca="1" ref="Z251" ca="1">MMS_PastureBeef_Methane_Equations.VEERG_4_2_1_1__1_TotalAnnualMethaneProductionFromManureManagement(Y219,Z177,Y235)</f>
        <v>7.4869872830892192E-3</v>
      </c>
      <c r="AA251" s="29" cm="1">
        <f t="array" aca="1" ref="AA251" ca="1">MMS_PastureBeef_Methane_Equations.VEERG_4_2_1_1__1_TotalAnnualMethaneProductionFromManureManagement(Z219,AA177,Z235)</f>
        <v>4.7588184062509068E-3</v>
      </c>
      <c r="AB251" s="29" cm="1">
        <f t="array" aca="1" ref="AB251" ca="1">MMS_PastureBeef_Methane_Equations.VEERG_4_2_1_1__1_TotalAnnualMethaneProductionFromManureManagement(AA219,AB177,AA235)</f>
        <v>6.6990533649278934E-3</v>
      </c>
      <c r="AC251" s="29" cm="1">
        <f t="array" aca="1" ref="AC251" ca="1">MMS_PastureBeef_Methane_Equations.VEERG_4_2_1_1__1_TotalAnnualMethaneProductionFromManureManagement(AB219,AC177,AB235)</f>
        <v>6.6328825169479936E-3</v>
      </c>
      <c r="AD251" s="29" cm="1">
        <f t="array" aca="1" ref="AD251" ca="1">MMS_PastureBeef_Methane_Equations.VEERG_4_2_1_1__1_TotalAnnualMethaneProductionFromManureManagement(AC219,AD177,AC235)</f>
        <v>6.6328825169479936E-3</v>
      </c>
      <c r="AE251" s="29" cm="1">
        <f t="array" aca="1" ref="AE251" ca="1">MMS_PastureBeef_Methane_Equations.VEERG_4_2_1_1__1_TotalAnnualMethaneProductionFromManureManagement(AD219,AE177,AD235)</f>
        <v>5.2159068150018362E-3</v>
      </c>
      <c r="AF251" s="29" cm="1">
        <f t="array" aca="1" ref="AF251" ca="1">MMS_PastureBeef_Methane_Equations.VEERG_4_2_1_1__1_TotalAnnualMethaneProductionFromManureManagement(AE219,AF177,AE235)</f>
        <v>5.8140342998928615E-3</v>
      </c>
      <c r="AG251" s="29" cm="1">
        <f t="array" aca="1" ref="AG251" ca="1">MMS_PastureBeef_Methane_Equations.VEERG_4_2_1_1__1_TotalAnnualMethaneProductionFromManureManagement(AF219,AG177,AF235)</f>
        <v>5.8140342998928615E-3</v>
      </c>
      <c r="AH251" s="29" cm="1">
        <f t="array" aca="1" ref="AH251" ca="1">MMS_PastureBeef_Methane_Equations.VEERG_4_2_1_1__1_TotalAnnualMethaneProductionFromManureManagement(AG219,AH177,AG235)</f>
        <v>5.8140342998928615E-3</v>
      </c>
      <c r="AI251" s="32" t="str">
        <f t="shared" ref="AI251:AI274" si="11">$E$210</f>
        <v>t CH4</v>
      </c>
      <c r="AJ251" s="32"/>
    </row>
    <row r="252" spans="4:36" ht="20.100000000000001" customHeight="1" x14ac:dyDescent="0.25">
      <c r="W252" s="29" t="str">
        <f>'Input - Pasture Beef'!$D$179</f>
        <v>Pasture range and paddock</v>
      </c>
      <c r="X252" s="29" t="str">
        <f t="shared" ref="X252:X262" si="12">W236</f>
        <v>February 2024</v>
      </c>
      <c r="Y252" s="29" cm="1">
        <f t="array" aca="1" ref="Y252" ca="1">MMS_PastureBeef_Methane_Equations.VEERG_4_2_1_1__1_TotalAnnualMethaneProductionFromManureManagement(X220,Y178,X236)</f>
        <v>5.2935997693039733E-3</v>
      </c>
      <c r="Z252" s="29" cm="1">
        <f t="array" aca="1" ref="Z252" ca="1">MMS_PastureBeef_Methane_Equations.VEERG_4_2_1_1__1_TotalAnnualMethaneProductionFromManureManagement(Y220,Z178,Y236)</f>
        <v>7.00395584547056E-3</v>
      </c>
      <c r="AA252" s="29" cm="1">
        <f t="array" aca="1" ref="AA252" ca="1">MMS_PastureBeef_Methane_Equations.VEERG_4_2_1_1__1_TotalAnnualMethaneProductionFromManureManagement(Z220,AA178,Z236)</f>
        <v>4.4517978639121384E-3</v>
      </c>
      <c r="AB252" s="29" cm="1">
        <f t="array" aca="1" ref="AB252" ca="1">MMS_PastureBeef_Methane_Equations.VEERG_4_2_1_1__1_TotalAnnualMethaneProductionFromManureManagement(AA220,AB178,AA236)</f>
        <v>5.8296338359462531E-3</v>
      </c>
      <c r="AC252" s="29" cm="1">
        <f t="array" aca="1" ref="AC252" ca="1">MMS_PastureBeef_Methane_Equations.VEERG_4_2_1_1__1_TotalAnnualMethaneProductionFromManureManagement(AB220,AC178,AB236)</f>
        <v>5.7720508024453653E-3</v>
      </c>
      <c r="AD252" s="29" cm="1">
        <f t="array" aca="1" ref="AD252" ca="1">MMS_PastureBeef_Methane_Equations.VEERG_4_2_1_1__1_TotalAnnualMethaneProductionFromManureManagement(AC220,AD178,AC236)</f>
        <v>5.7720508024453653E-3</v>
      </c>
      <c r="AE252" s="29" cm="1">
        <f t="array" aca="1" ref="AE252" ca="1">MMS_PastureBeef_Methane_Equations.VEERG_4_2_1_1__1_TotalAnnualMethaneProductionFromManureManagement(AD220,AE178,AD236)</f>
        <v>4.8793966979049433E-3</v>
      </c>
      <c r="AF252" s="29" cm="1">
        <f t="array" aca="1" ref="AF252" ca="1">MMS_PastureBeef_Methane_Equations.VEERG_4_2_1_1__1_TotalAnnualMethaneProductionFromManureManagement(AE220,AF178,AE236)</f>
        <v>5.4389353128029994E-3</v>
      </c>
      <c r="AG252" s="29" cm="1">
        <f t="array" aca="1" ref="AG252" ca="1">MMS_PastureBeef_Methane_Equations.VEERG_4_2_1_1__1_TotalAnnualMethaneProductionFromManureManagement(AF220,AG178,AF236)</f>
        <v>5.4389353128029994E-3</v>
      </c>
      <c r="AH252" s="29" cm="1">
        <f t="array" aca="1" ref="AH252" ca="1">MMS_PastureBeef_Methane_Equations.VEERG_4_2_1_1__1_TotalAnnualMethaneProductionFromManureManagement(AG220,AH178,AG236)</f>
        <v>5.4389353128029994E-3</v>
      </c>
      <c r="AI252" s="32" t="str">
        <f t="shared" si="11"/>
        <v>t CH4</v>
      </c>
      <c r="AJ252" s="32"/>
    </row>
    <row r="253" spans="4:36" ht="20.100000000000001" customHeight="1" x14ac:dyDescent="0.25">
      <c r="W253" s="29" t="str">
        <f>'Input - Pasture Beef'!$D$179</f>
        <v>Pasture range and paddock</v>
      </c>
      <c r="X253" s="29" t="str">
        <f t="shared" si="12"/>
        <v>March 2024</v>
      </c>
      <c r="Y253" s="29" cm="1">
        <f t="array" aca="1" ref="Y253" ca="1">MMS_PastureBeef_Methane_Equations.VEERG_4_2_1_1__1_TotalAnnualMethaneProductionFromManureManagement(X221,Y179,X237)</f>
        <v>3.0181818891446837E-3</v>
      </c>
      <c r="Z253" s="29" cm="1">
        <f t="array" aca="1" ref="Z253" ca="1">MMS_PastureBeef_Methane_Equations.VEERG_4_2_1_1__1_TotalAnnualMethaneProductionFromManureManagement(Y221,Z179,Y237)</f>
        <v>8.7599427773422424E-3</v>
      </c>
      <c r="AA253" s="29" cm="1">
        <f t="array" aca="1" ref="AA253" ca="1">MMS_PastureBeef_Methane_Equations.VEERG_4_2_1_1__1_TotalAnnualMethaneProductionFromManureManagement(Z221,AA179,Z237)</f>
        <v>2.7515377761725842E-3</v>
      </c>
      <c r="AB253" s="29" cm="1">
        <f t="array" aca="1" ref="AB253" ca="1">MMS_PastureBeef_Methane_Equations.VEERG_4_2_1_1__1_TotalAnnualMethaneProductionFromManureManagement(AA221,AB179,AA237)</f>
        <v>5.5375999269560751E-3</v>
      </c>
      <c r="AC253" s="29" cm="1">
        <f t="array" aca="1" ref="AC253" ca="1">MMS_PastureBeef_Methane_Equations.VEERG_4_2_1_1__1_TotalAnnualMethaneProductionFromManureManagement(AB221,AC179,AB237)</f>
        <v>6.2441836820771417E-3</v>
      </c>
      <c r="AD253" s="29" cm="1">
        <f t="array" aca="1" ref="AD253" ca="1">MMS_PastureBeef_Methane_Equations.VEERG_4_2_1_1__1_TotalAnnualMethaneProductionFromManureManagement(AC221,AD179,AC237)</f>
        <v>6.2441836820771417E-3</v>
      </c>
      <c r="AE253" s="29" cm="1">
        <f t="array" aca="1" ref="AE253" ca="1">MMS_PastureBeef_Methane_Equations.VEERG_4_2_1_1__1_TotalAnnualMethaneProductionFromManureManagement(AD221,AE179,AD237)</f>
        <v>3.0181818891446837E-3</v>
      </c>
      <c r="AF253" s="29" cm="1">
        <f t="array" aca="1" ref="AF253" ca="1">MMS_PastureBeef_Methane_Equations.VEERG_4_2_1_1__1_TotalAnnualMethaneProductionFromManureManagement(AE221,AF179,AE237)</f>
        <v>5.4795830007768999E-3</v>
      </c>
      <c r="AG253" s="29" cm="1">
        <f t="array" aca="1" ref="AG253" ca="1">MMS_PastureBeef_Methane_Equations.VEERG_4_2_1_1__1_TotalAnnualMethaneProductionFromManureManagement(AF221,AG179,AF237)</f>
        <v>5.4795830007768999E-3</v>
      </c>
      <c r="AH253" s="29" cm="1">
        <f t="array" aca="1" ref="AH253" ca="1">MMS_PastureBeef_Methane_Equations.VEERG_4_2_1_1__1_TotalAnnualMethaneProductionFromManureManagement(AG221,AH179,AG237)</f>
        <v>5.4795830007768999E-3</v>
      </c>
      <c r="AI253" s="32" t="str">
        <f t="shared" si="11"/>
        <v>t CH4</v>
      </c>
      <c r="AJ253" s="32"/>
    </row>
    <row r="254" spans="4:36" ht="20.100000000000001" customHeight="1" x14ac:dyDescent="0.25">
      <c r="W254" s="29" t="str">
        <f>'Input - Pasture Beef'!$D$179</f>
        <v>Pasture range and paddock</v>
      </c>
      <c r="X254" s="29" t="str">
        <f t="shared" si="12"/>
        <v>April 2024</v>
      </c>
      <c r="Y254" s="29" cm="1">
        <f t="array" aca="1" ref="Y254" ca="1">MMS_PastureBeef_Methane_Equations.VEERG_4_2_1_1__1_TotalAnnualMethaneProductionFromManureManagement(X222,Y180,X238)</f>
        <v>2.9208211830432421E-3</v>
      </c>
      <c r="Z254" s="29" cm="1">
        <f t="array" aca="1" ref="Z254" ca="1">MMS_PastureBeef_Methane_Equations.VEERG_4_2_1_1__1_TotalAnnualMethaneProductionFromManureManagement(Y222,Z180,Y238)</f>
        <v>8.4773639780731398E-3</v>
      </c>
      <c r="AA254" s="29" cm="1">
        <f t="array" aca="1" ref="AA254" ca="1">MMS_PastureBeef_Methane_Equations.VEERG_4_2_1_1__1_TotalAnnualMethaneProductionFromManureManagement(Z222,AA180,Z238)</f>
        <v>2.6627784930702432E-3</v>
      </c>
      <c r="AB254" s="29" cm="1">
        <f t="array" aca="1" ref="AB254" ca="1">MMS_PastureBeef_Methane_Equations.VEERG_4_2_1_1__1_TotalAnnualMethaneProductionFromManureManagement(AA222,AB180,AA238)</f>
        <v>5.3589676712478143E-3</v>
      </c>
      <c r="AC254" s="29" cm="1">
        <f t="array" aca="1" ref="AC254" ca="1">MMS_PastureBeef_Methane_Equations.VEERG_4_2_1_1__1_TotalAnnualMethaneProductionFromManureManagement(AB222,AC180,AB238)</f>
        <v>6.0427584020101375E-3</v>
      </c>
      <c r="AD254" s="29" cm="1">
        <f t="array" aca="1" ref="AD254" ca="1">MMS_PastureBeef_Methane_Equations.VEERG_4_2_1_1__1_TotalAnnualMethaneProductionFromManureManagement(AC222,AD180,AC238)</f>
        <v>6.0427584020101375E-3</v>
      </c>
      <c r="AE254" s="29" cm="1">
        <f t="array" aca="1" ref="AE254" ca="1">MMS_PastureBeef_Methane_Equations.VEERG_4_2_1_1__1_TotalAnnualMethaneProductionFromManureManagement(AD222,AE180,AD238)</f>
        <v>2.9208211830432421E-3</v>
      </c>
      <c r="AF254" s="29" cm="1">
        <f t="array" aca="1" ref="AF254" ca="1">MMS_PastureBeef_Methane_Equations.VEERG_4_2_1_1__1_TotalAnnualMethaneProductionFromManureManagement(AE222,AF180,AE238)</f>
        <v>5.3028222588163551E-3</v>
      </c>
      <c r="AG254" s="29" cm="1">
        <f t="array" aca="1" ref="AG254" ca="1">MMS_PastureBeef_Methane_Equations.VEERG_4_2_1_1__1_TotalAnnualMethaneProductionFromManureManagement(AF222,AG180,AF238)</f>
        <v>5.3028222588163551E-3</v>
      </c>
      <c r="AH254" s="29" cm="1">
        <f t="array" aca="1" ref="AH254" ca="1">MMS_PastureBeef_Methane_Equations.VEERG_4_2_1_1__1_TotalAnnualMethaneProductionFromManureManagement(AG222,AH180,AG238)</f>
        <v>5.3028222588163551E-3</v>
      </c>
      <c r="AI254" s="32" t="str">
        <f t="shared" si="11"/>
        <v>t CH4</v>
      </c>
      <c r="AJ254" s="32"/>
    </row>
    <row r="255" spans="4:36" ht="20.100000000000001" customHeight="1" x14ac:dyDescent="0.25">
      <c r="W255" s="29" t="str">
        <f>'Input - Pasture Beef'!$D$179</f>
        <v>Pasture range and paddock</v>
      </c>
      <c r="X255" s="29" t="str">
        <f t="shared" si="12"/>
        <v>May 2024</v>
      </c>
      <c r="Y255" s="29" cm="1">
        <f t="array" aca="1" ref="Y255" ca="1">MMS_PastureBeef_Methane_Equations.VEERG_4_2_1_1__1_TotalAnnualMethaneProductionFromManureManagement(X223,Y181,X239)</f>
        <v>3.0181818891446837E-3</v>
      </c>
      <c r="Z255" s="29" cm="1">
        <f t="array" aca="1" ref="Z255" ca="1">MMS_PastureBeef_Methane_Equations.VEERG_4_2_1_1__1_TotalAnnualMethaneProductionFromManureManagement(Y223,Z181,Y239)</f>
        <v>8.7599427773422424E-3</v>
      </c>
      <c r="AA255" s="29" cm="1">
        <f t="array" aca="1" ref="AA255" ca="1">MMS_PastureBeef_Methane_Equations.VEERG_4_2_1_1__1_TotalAnnualMethaneProductionFromManureManagement(Z223,AA181,Z239)</f>
        <v>2.7515377761725842E-3</v>
      </c>
      <c r="AB255" s="29" cm="1">
        <f t="array" aca="1" ref="AB255" ca="1">MMS_PastureBeef_Methane_Equations.VEERG_4_2_1_1__1_TotalAnnualMethaneProductionFromManureManagement(AA223,AB181,AA239)</f>
        <v>5.5375999269560751E-3</v>
      </c>
      <c r="AC255" s="29" cm="1">
        <f t="array" aca="1" ref="AC255" ca="1">MMS_PastureBeef_Methane_Equations.VEERG_4_2_1_1__1_TotalAnnualMethaneProductionFromManureManagement(AB223,AC181,AB239)</f>
        <v>6.2441836820771417E-3</v>
      </c>
      <c r="AD255" s="29" cm="1">
        <f t="array" aca="1" ref="AD255" ca="1">MMS_PastureBeef_Methane_Equations.VEERG_4_2_1_1__1_TotalAnnualMethaneProductionFromManureManagement(AC223,AD181,AC239)</f>
        <v>6.2441836820771417E-3</v>
      </c>
      <c r="AE255" s="29" cm="1">
        <f t="array" aca="1" ref="AE255" ca="1">MMS_PastureBeef_Methane_Equations.VEERG_4_2_1_1__1_TotalAnnualMethaneProductionFromManureManagement(AD223,AE181,AD239)</f>
        <v>3.0181818891446837E-3</v>
      </c>
      <c r="AF255" s="29" cm="1">
        <f t="array" aca="1" ref="AF255" ca="1">MMS_PastureBeef_Methane_Equations.VEERG_4_2_1_1__1_TotalAnnualMethaneProductionFromManureManagement(AE223,AF181,AE239)</f>
        <v>5.4795830007768999E-3</v>
      </c>
      <c r="AG255" s="29" cm="1">
        <f t="array" aca="1" ref="AG255" ca="1">MMS_PastureBeef_Methane_Equations.VEERG_4_2_1_1__1_TotalAnnualMethaneProductionFromManureManagement(AF223,AG181,AF239)</f>
        <v>5.4795830007768999E-3</v>
      </c>
      <c r="AH255" s="29" cm="1">
        <f t="array" aca="1" ref="AH255" ca="1">MMS_PastureBeef_Methane_Equations.VEERG_4_2_1_1__1_TotalAnnualMethaneProductionFromManureManagement(AG223,AH181,AG239)</f>
        <v>5.4795830007768999E-3</v>
      </c>
      <c r="AI255" s="32" t="str">
        <f t="shared" si="11"/>
        <v>t CH4</v>
      </c>
      <c r="AJ255" s="32"/>
    </row>
    <row r="256" spans="4:36" ht="20.100000000000001" customHeight="1" x14ac:dyDescent="0.25">
      <c r="W256" s="29" t="str">
        <f>'Input - Pasture Beef'!$D$179</f>
        <v>Pasture range and paddock</v>
      </c>
      <c r="X256" s="29" t="str">
        <f t="shared" si="12"/>
        <v>June 2024</v>
      </c>
      <c r="Y256" s="29" cm="1">
        <f t="array" aca="1" ref="Y256" ca="1">MMS_PastureBeef_Methane_Equations.VEERG_4_2_1_1__1_TotalAnnualMethaneProductionFromManureManagement(X224,Y182,X240)</f>
        <v>2.4794894949935848E-3</v>
      </c>
      <c r="Z256" s="29" cm="1">
        <f t="array" aca="1" ref="Z256" ca="1">MMS_PastureBeef_Methane_Equations.VEERG_4_2_1_1__1_TotalAnnualMethaneProductionFromManureManagement(Y224,Z182,Y240)</f>
        <v>4.81843932999086E-3</v>
      </c>
      <c r="AA256" s="29" cm="1">
        <f t="array" aca="1" ref="AA256" ca="1">MMS_PastureBeef_Methane_Equations.VEERG_4_2_1_1__1_TotalAnnualMethaneProductionFromManureManagement(Z224,AA182,Z240)</f>
        <v>2.0301519349508663E-3</v>
      </c>
      <c r="AB256" s="29" cm="1">
        <f t="array" aca="1" ref="AB256" ca="1">MMS_PastureBeef_Methane_Equations.VEERG_4_2_1_1__1_TotalAnnualMethaneProductionFromManureManagement(AA224,AB182,AA240)</f>
        <v>2.8634797318651669E-3</v>
      </c>
      <c r="AC256" s="29" cm="1">
        <f t="array" aca="1" ref="AC256" ca="1">MMS_PastureBeef_Methane_Equations.VEERG_4_2_1_1__1_TotalAnnualMethaneProductionFromManureManagement(AB224,AC182,AB240)</f>
        <v>3.8414463393299145E-3</v>
      </c>
      <c r="AD256" s="29" cm="1">
        <f t="array" aca="1" ref="AD256" ca="1">MMS_PastureBeef_Methane_Equations.VEERG_4_2_1_1__1_TotalAnnualMethaneProductionFromManureManagement(AC224,AD182,AC240)</f>
        <v>3.8414463393299145E-3</v>
      </c>
      <c r="AE256" s="29" cm="1">
        <f t="array" aca="1" ref="AE256" ca="1">MMS_PastureBeef_Methane_Equations.VEERG_4_2_1_1__1_TotalAnnualMethaneProductionFromManureManagement(AD224,AE182,AD240)</f>
        <v>2.1796889997536114E-3</v>
      </c>
      <c r="AF256" s="29" cm="1">
        <f t="array" aca="1" ref="AF256" ca="1">MMS_PastureBeef_Methane_Equations.VEERG_4_2_1_1__1_TotalAnnualMethaneProductionFromManureManagement(AE224,AF182,AE240)</f>
        <v>3.3185390470607404E-3</v>
      </c>
      <c r="AG256" s="29" cm="1">
        <f t="array" aca="1" ref="AG256" ca="1">MMS_PastureBeef_Methane_Equations.VEERG_4_2_1_1__1_TotalAnnualMethaneProductionFromManureManagement(AF224,AG182,AF240)</f>
        <v>3.3185390470607404E-3</v>
      </c>
      <c r="AH256" s="29" cm="1">
        <f t="array" aca="1" ref="AH256" ca="1">MMS_PastureBeef_Methane_Equations.VEERG_4_2_1_1__1_TotalAnnualMethaneProductionFromManureManagement(AG224,AH182,AG240)</f>
        <v>3.3185390470607404E-3</v>
      </c>
      <c r="AI256" s="32" t="str">
        <f t="shared" si="11"/>
        <v>t CH4</v>
      </c>
      <c r="AJ256" s="32"/>
    </row>
    <row r="257" spans="23:36" ht="20.100000000000001" customHeight="1" x14ac:dyDescent="0.25">
      <c r="W257" s="29" t="str">
        <f>'Input - Pasture Beef'!$D$179</f>
        <v>Pasture range and paddock</v>
      </c>
      <c r="X257" s="29" t="str">
        <f t="shared" si="12"/>
        <v>July 2024</v>
      </c>
      <c r="Y257" s="29" cm="1">
        <f t="array" aca="1" ref="Y257" ca="1">MMS_PastureBeef_Methane_Equations.VEERG_4_2_1_1__1_TotalAnnualMethaneProductionFromManureManagement(X225,Y183,X241)</f>
        <v>2.5621391448267046E-3</v>
      </c>
      <c r="Z257" s="29" cm="1">
        <f t="array" aca="1" ref="Z257" ca="1">MMS_PastureBeef_Methane_Equations.VEERG_4_2_1_1__1_TotalAnnualMethaneProductionFromManureManagement(Y225,Z183,Y241)</f>
        <v>4.9790539743238887E-3</v>
      </c>
      <c r="AA257" s="29" cm="1">
        <f t="array" aca="1" ref="AA257" ca="1">MMS_PastureBeef_Methane_Equations.VEERG_4_2_1_1__1_TotalAnnualMethaneProductionFromManureManagement(Z225,AA183,Z241)</f>
        <v>2.097823666115895E-3</v>
      </c>
      <c r="AB257" s="29" cm="1">
        <f t="array" aca="1" ref="AB257" ca="1">MMS_PastureBeef_Methane_Equations.VEERG_4_2_1_1__1_TotalAnnualMethaneProductionFromManureManagement(AA225,AB183,AA241)</f>
        <v>2.9589290562606727E-3</v>
      </c>
      <c r="AC257" s="29" cm="1">
        <f t="array" aca="1" ref="AC257" ca="1">MMS_PastureBeef_Methane_Equations.VEERG_4_2_1_1__1_TotalAnnualMethaneProductionFromManureManagement(AB225,AC183,AB241)</f>
        <v>3.969494550640911E-3</v>
      </c>
      <c r="AD257" s="29" cm="1">
        <f t="array" aca="1" ref="AD257" ca="1">MMS_PastureBeef_Methane_Equations.VEERG_4_2_1_1__1_TotalAnnualMethaneProductionFromManureManagement(AC225,AD183,AC241)</f>
        <v>3.969494550640911E-3</v>
      </c>
      <c r="AE257" s="29" cm="1">
        <f t="array" aca="1" ref="AE257" ca="1">MMS_PastureBeef_Methane_Equations.VEERG_4_2_1_1__1_TotalAnnualMethaneProductionFromManureManagement(AD225,AE183,AD241)</f>
        <v>2.2523452997453984E-3</v>
      </c>
      <c r="AF257" s="29" cm="1">
        <f t="array" aca="1" ref="AF257" ca="1">MMS_PastureBeef_Methane_Equations.VEERG_4_2_1_1__1_TotalAnnualMethaneProductionFromManureManagement(AE225,AF183,AE241)</f>
        <v>3.4291570152960985E-3</v>
      </c>
      <c r="AG257" s="29" cm="1">
        <f t="array" aca="1" ref="AG257" ca="1">MMS_PastureBeef_Methane_Equations.VEERG_4_2_1_1__1_TotalAnnualMethaneProductionFromManureManagement(AF225,AG183,AF241)</f>
        <v>3.4291570152960985E-3</v>
      </c>
      <c r="AH257" s="29" cm="1">
        <f t="array" aca="1" ref="AH257" ca="1">MMS_PastureBeef_Methane_Equations.VEERG_4_2_1_1__1_TotalAnnualMethaneProductionFromManureManagement(AG225,AH183,AG241)</f>
        <v>3.4291570152960985E-3</v>
      </c>
      <c r="AI257" s="32" t="str">
        <f t="shared" si="11"/>
        <v>t CH4</v>
      </c>
      <c r="AJ257" s="32"/>
    </row>
    <row r="258" spans="23:36" ht="20.100000000000001" customHeight="1" x14ac:dyDescent="0.25">
      <c r="W258" s="29" t="str">
        <f>'Input - Pasture Beef'!$D$179</f>
        <v>Pasture range and paddock</v>
      </c>
      <c r="X258" s="29" t="str">
        <f t="shared" si="12"/>
        <v>August 2024</v>
      </c>
      <c r="Y258" s="29" cm="1">
        <f t="array" aca="1" ref="Y258" ca="1">MMS_PastureBeef_Methane_Equations.VEERG_4_2_1_1__1_TotalAnnualMethaneProductionFromManureManagement(X226,Y184,X242)</f>
        <v>2.5621391448267046E-3</v>
      </c>
      <c r="Z258" s="29" cm="1">
        <f t="array" aca="1" ref="Z258" ca="1">MMS_PastureBeef_Methane_Equations.VEERG_4_2_1_1__1_TotalAnnualMethaneProductionFromManureManagement(Y226,Z184,Y242)</f>
        <v>4.9790539743238887E-3</v>
      </c>
      <c r="AA258" s="29" cm="1">
        <f t="array" aca="1" ref="AA258" ca="1">MMS_PastureBeef_Methane_Equations.VEERG_4_2_1_1__1_TotalAnnualMethaneProductionFromManureManagement(Z226,AA184,Z242)</f>
        <v>2.097823666115895E-3</v>
      </c>
      <c r="AB258" s="29" cm="1">
        <f t="array" aca="1" ref="AB258" ca="1">MMS_PastureBeef_Methane_Equations.VEERG_4_2_1_1__1_TotalAnnualMethaneProductionFromManureManagement(AA226,AB184,AA242)</f>
        <v>3.6246880939193233E-3</v>
      </c>
      <c r="AC258" s="29" cm="1">
        <f t="array" aca="1" ref="AC258" ca="1">MMS_PastureBeef_Methane_Equations.VEERG_4_2_1_1__1_TotalAnnualMethaneProductionFromManureManagement(AB226,AC184,AB242)</f>
        <v>4.862630824535117E-3</v>
      </c>
      <c r="AD258" s="29" cm="1">
        <f t="array" aca="1" ref="AD258" ca="1">MMS_PastureBeef_Methane_Equations.VEERG_4_2_1_1__1_TotalAnnualMethaneProductionFromManureManagement(AC226,AD184,AC242)</f>
        <v>4.862630824535117E-3</v>
      </c>
      <c r="AE258" s="29" cm="1">
        <f t="array" aca="1" ref="AE258" ca="1">MMS_PastureBeef_Methane_Equations.VEERG_4_2_1_1__1_TotalAnnualMethaneProductionFromManureManagement(AD226,AE184,AD242)</f>
        <v>2.2523452997453984E-3</v>
      </c>
      <c r="AF258" s="29" cm="1">
        <f t="array" aca="1" ref="AF258" ca="1">MMS_PastureBeef_Methane_Equations.VEERG_4_2_1_1__1_TotalAnnualMethaneProductionFromManureManagement(AE226,AF184,AE242)</f>
        <v>3.4291570152960985E-3</v>
      </c>
      <c r="AG258" s="29" cm="1">
        <f t="array" aca="1" ref="AG258" ca="1">MMS_PastureBeef_Methane_Equations.VEERG_4_2_1_1__1_TotalAnnualMethaneProductionFromManureManagement(AF226,AG184,AF242)</f>
        <v>3.4291570152960985E-3</v>
      </c>
      <c r="AH258" s="29" cm="1">
        <f t="array" aca="1" ref="AH258" ca="1">MMS_PastureBeef_Methane_Equations.VEERG_4_2_1_1__1_TotalAnnualMethaneProductionFromManureManagement(AG226,AH184,AG242)</f>
        <v>3.4291570152960985E-3</v>
      </c>
      <c r="AI258" s="32" t="str">
        <f t="shared" si="11"/>
        <v>t CH4</v>
      </c>
      <c r="AJ258" s="32"/>
    </row>
    <row r="259" spans="23:36" ht="20.100000000000001" customHeight="1" x14ac:dyDescent="0.25">
      <c r="W259" s="29" t="str">
        <f>'Input - Pasture Beef'!$D$179</f>
        <v>Pasture range and paddock</v>
      </c>
      <c r="X259" s="29" t="str">
        <f t="shared" si="12"/>
        <v>September 2024</v>
      </c>
      <c r="Y259" s="29" cm="1">
        <f t="array" aca="1" ref="Y259" ca="1">MMS_PastureBeef_Methane_Equations.VEERG_4_2_1_1__1_TotalAnnualMethaneProductionFromManureManagement(X227,Y185,X243)</f>
        <v>3.466388959084733E-3</v>
      </c>
      <c r="Z259" s="29" cm="1">
        <f t="array" aca="1" ref="Z259" ca="1">MMS_PastureBeef_Methane_Equations.VEERG_4_2_1_1__1_TotalAnnualMethaneProductionFromManureManagement(Y227,Z185,Y243)</f>
        <v>4.895813594758153E-3</v>
      </c>
      <c r="AA259" s="29" cm="1">
        <f t="array" aca="1" ref="AA259" ca="1">MMS_PastureBeef_Methane_Equations.VEERG_4_2_1_1__1_TotalAnnualMethaneProductionFromManureManagement(Z227,AA185,Z243)</f>
        <v>2.6420807208311007E-3</v>
      </c>
      <c r="AB259" s="29" cm="1">
        <f t="array" aca="1" ref="AB259" ca="1">MMS_PastureBeef_Methane_Equations.VEERG_4_2_1_1__1_TotalAnnualMethaneProductionFromManureManagement(AA227,AB185,AA243)</f>
        <v>4.2473936610232677E-3</v>
      </c>
      <c r="AC259" s="29" cm="1">
        <f t="array" aca="1" ref="AC259" ca="1">MMS_PastureBeef_Methane_Equations.VEERG_4_2_1_1__1_TotalAnnualMethaneProductionFromManureManagement(AB227,AC185,AB243)</f>
        <v>4.7165503887500772E-3</v>
      </c>
      <c r="AD259" s="29" cm="1">
        <f t="array" aca="1" ref="AD259" ca="1">MMS_PastureBeef_Methane_Equations.VEERG_4_2_1_1__1_TotalAnnualMethaneProductionFromManureManagement(AC227,AD185,AC243)</f>
        <v>4.7165503887500772E-3</v>
      </c>
      <c r="AE259" s="29" cm="1">
        <f t="array" aca="1" ref="AE259" ca="1">MMS_PastureBeef_Methane_Equations.VEERG_4_2_1_1__1_TotalAnnualMethaneProductionFromManureManagement(AD227,AE185,AD243)</f>
        <v>3.0459687899296642E-3</v>
      </c>
      <c r="AF259" s="29" cm="1">
        <f t="array" aca="1" ref="AF259" ca="1">MMS_PastureBeef_Methane_Equations.VEERG_4_2_1_1__1_TotalAnnualMethaneProductionFromManureManagement(AE227,AF185,AE243)</f>
        <v>3.8707680927286023E-3</v>
      </c>
      <c r="AG259" s="29" cm="1">
        <f t="array" aca="1" ref="AG259" ca="1">MMS_PastureBeef_Methane_Equations.VEERG_4_2_1_1__1_TotalAnnualMethaneProductionFromManureManagement(AF227,AG185,AF243)</f>
        <v>3.8707680927286023E-3</v>
      </c>
      <c r="AH259" s="29" cm="1">
        <f t="array" aca="1" ref="AH259" ca="1">MMS_PastureBeef_Methane_Equations.VEERG_4_2_1_1__1_TotalAnnualMethaneProductionFromManureManagement(AG227,AH185,AG243)</f>
        <v>3.8707680927286023E-3</v>
      </c>
      <c r="AI259" s="32" t="str">
        <f t="shared" si="11"/>
        <v>t CH4</v>
      </c>
      <c r="AJ259" s="32"/>
    </row>
    <row r="260" spans="23:36" ht="20.100000000000001" customHeight="1" x14ac:dyDescent="0.25">
      <c r="W260" s="29" t="str">
        <f>'Input - Pasture Beef'!$D$179</f>
        <v>Pasture range and paddock</v>
      </c>
      <c r="X260" s="29" t="str">
        <f t="shared" si="12"/>
        <v>October 2024</v>
      </c>
      <c r="Y260" s="29" cm="1">
        <f t="array" aca="1" ref="Y260" ca="1">MMS_PastureBeef_Methane_Equations.VEERG_4_2_1_1__1_TotalAnnualMethaneProductionFromManureManagement(X228,Y186,X244)</f>
        <v>3.5819352577208907E-3</v>
      </c>
      <c r="Z260" s="29" cm="1">
        <f t="array" aca="1" ref="Z260" ca="1">MMS_PastureBeef_Methane_Equations.VEERG_4_2_1_1__1_TotalAnnualMethaneProductionFromManureManagement(Y228,Z186,Y244)</f>
        <v>5.0590073812500913E-3</v>
      </c>
      <c r="AA260" s="29" cm="1">
        <f t="array" aca="1" ref="AA260" ca="1">MMS_PastureBeef_Methane_Equations.VEERG_4_2_1_1__1_TotalAnnualMethaneProductionFromManureManagement(Z228,AA186,Z244)</f>
        <v>2.7301500781921374E-3</v>
      </c>
      <c r="AB260" s="29" cm="1">
        <f t="array" aca="1" ref="AB260" ca="1">MMS_PastureBeef_Methane_Equations.VEERG_4_2_1_1__1_TotalAnnualMethaneProductionFromManureManagement(AA228,AB186,AA244)</f>
        <v>4.3889734497240427E-3</v>
      </c>
      <c r="AC260" s="29" cm="1">
        <f t="array" aca="1" ref="AC260" ca="1">MMS_PastureBeef_Methane_Equations.VEERG_4_2_1_1__1_TotalAnnualMethaneProductionFromManureManagement(AB228,AC186,AB244)</f>
        <v>4.8737687350417468E-3</v>
      </c>
      <c r="AD260" s="29" cm="1">
        <f t="array" aca="1" ref="AD260" ca="1">MMS_PastureBeef_Methane_Equations.VEERG_4_2_1_1__1_TotalAnnualMethaneProductionFromManureManagement(AC228,AD186,AC244)</f>
        <v>4.8737687350417468E-3</v>
      </c>
      <c r="AE260" s="29" cm="1">
        <f t="array" aca="1" ref="AE260" ca="1">MMS_PastureBeef_Methane_Equations.VEERG_4_2_1_1__1_TotalAnnualMethaneProductionFromManureManagement(AD228,AE186,AD244)</f>
        <v>3.1475010829273196E-3</v>
      </c>
      <c r="AF260" s="29" cm="1">
        <f t="array" aca="1" ref="AF260" ca="1">MMS_PastureBeef_Methane_Equations.VEERG_4_2_1_1__1_TotalAnnualMethaneProductionFromManureManagement(AE228,AF186,AE244)</f>
        <v>3.9997936958195554E-3</v>
      </c>
      <c r="AG260" s="29" cm="1">
        <f t="array" aca="1" ref="AG260" ca="1">MMS_PastureBeef_Methane_Equations.VEERG_4_2_1_1__1_TotalAnnualMethaneProductionFromManureManagement(AF228,AG186,AF244)</f>
        <v>3.9997936958195554E-3</v>
      </c>
      <c r="AH260" s="29" cm="1">
        <f t="array" aca="1" ref="AH260" ca="1">MMS_PastureBeef_Methane_Equations.VEERG_4_2_1_1__1_TotalAnnualMethaneProductionFromManureManagement(AG228,AH186,AG244)</f>
        <v>3.9997936958195554E-3</v>
      </c>
      <c r="AI260" s="32" t="str">
        <f t="shared" si="11"/>
        <v>t CH4</v>
      </c>
      <c r="AJ260" s="32"/>
    </row>
    <row r="261" spans="23:36" ht="20.100000000000001" customHeight="1" x14ac:dyDescent="0.25">
      <c r="W261" s="29" t="str">
        <f>'Input - Pasture Beef'!$D$179</f>
        <v>Pasture range and paddock</v>
      </c>
      <c r="X261" s="29" t="str">
        <f t="shared" si="12"/>
        <v>November 2024</v>
      </c>
      <c r="Y261" s="29" cm="1">
        <f t="array" aca="1" ref="Y261" ca="1">MMS_PastureBeef_Methane_Equations.VEERG_4_2_1_1__1_TotalAnnualMethaneProductionFromManureManagement(X229,Y187,X245)</f>
        <v>3.466388959084733E-3</v>
      </c>
      <c r="Z261" s="29" cm="1">
        <f t="array" aca="1" ref="Z261" ca="1">MMS_PastureBeef_Methane_Equations.VEERG_4_2_1_1__1_TotalAnnualMethaneProductionFromManureManagement(Y229,Z187,Y245)</f>
        <v>4.895813594758153E-3</v>
      </c>
      <c r="AA261" s="29" cm="1">
        <f t="array" aca="1" ref="AA261" ca="1">MMS_PastureBeef_Methane_Equations.VEERG_4_2_1_1__1_TotalAnnualMethaneProductionFromManureManagement(Z229,AA187,Z245)</f>
        <v>2.6420807208311007E-3</v>
      </c>
      <c r="AB261" s="29" cm="1">
        <f t="array" aca="1" ref="AB261" ca="1">MMS_PastureBeef_Methane_Equations.VEERG_4_2_1_1__1_TotalAnnualMethaneProductionFromManureManagement(AA229,AB187,AA245)</f>
        <v>3.7273046413061331E-3</v>
      </c>
      <c r="AC261" s="29" cm="1">
        <f t="array" aca="1" ref="AC261" ca="1">MMS_PastureBeef_Methane_Equations.VEERG_4_2_1_1__1_TotalAnnualMethaneProductionFromManureManagement(AB229,AC187,AB245)</f>
        <v>4.1390136064541486E-3</v>
      </c>
      <c r="AD261" s="29" cm="1">
        <f t="array" aca="1" ref="AD261" ca="1">MMS_PastureBeef_Methane_Equations.VEERG_4_2_1_1__1_TotalAnnualMethaneProductionFromManureManagement(AC229,AD187,AC245)</f>
        <v>4.1390136064541486E-3</v>
      </c>
      <c r="AE261" s="29" cm="1">
        <f t="array" aca="1" ref="AE261" ca="1">MMS_PastureBeef_Methane_Equations.VEERG_4_2_1_1__1_TotalAnnualMethaneProductionFromManureManagement(AD229,AE187,AD245)</f>
        <v>3.0459687899296642E-3</v>
      </c>
      <c r="AF261" s="29" cm="1">
        <f t="array" aca="1" ref="AF261" ca="1">MMS_PastureBeef_Methane_Equations.VEERG_4_2_1_1__1_TotalAnnualMethaneProductionFromManureManagement(AE229,AF187,AE245)</f>
        <v>3.8707680927286023E-3</v>
      </c>
      <c r="AG261" s="29" cm="1">
        <f t="array" aca="1" ref="AG261" ca="1">MMS_PastureBeef_Methane_Equations.VEERG_4_2_1_1__1_TotalAnnualMethaneProductionFromManureManagement(AF229,AG187,AF245)</f>
        <v>3.8707680927286023E-3</v>
      </c>
      <c r="AH261" s="29" cm="1">
        <f t="array" aca="1" ref="AH261" ca="1">MMS_PastureBeef_Methane_Equations.VEERG_4_2_1_1__1_TotalAnnualMethaneProductionFromManureManagement(AG229,AH187,AG245)</f>
        <v>3.8707680927286023E-3</v>
      </c>
      <c r="AI261" s="32" t="str">
        <f t="shared" si="11"/>
        <v>t CH4</v>
      </c>
      <c r="AJ261" s="32"/>
    </row>
    <row r="262" spans="23:36" ht="20.100000000000001" customHeight="1" x14ac:dyDescent="0.25">
      <c r="W262" s="29" t="str">
        <f>'Input - Pasture Beef'!$D$179</f>
        <v>Pasture range and paddock</v>
      </c>
      <c r="X262" s="29" t="str">
        <f t="shared" si="12"/>
        <v>December 2024</v>
      </c>
      <c r="Y262" s="29" cm="1">
        <f t="array" aca="1" ref="Y262" ca="1">MMS_PastureBeef_Methane_Equations.VEERG_4_2_1_1__1_TotalAnnualMethaneProductionFromManureManagement(X230,Y188,X246)</f>
        <v>5.6586756154628675E-3</v>
      </c>
      <c r="Z262" s="29" cm="1">
        <f t="array" aca="1" ref="Z262" ca="1">MMS_PastureBeef_Methane_Equations.VEERG_4_2_1_1__1_TotalAnnualMethaneProductionFromManureManagement(Y230,Z188,Y246)</f>
        <v>7.4869872830892192E-3</v>
      </c>
      <c r="AA262" s="29" cm="1">
        <f t="array" aca="1" ref="AA262" ca="1">MMS_PastureBeef_Methane_Equations.VEERG_4_2_1_1__1_TotalAnnualMethaneProductionFromManureManagement(Z230,AA188,Z246)</f>
        <v>4.7588184062509068E-3</v>
      </c>
      <c r="AB262" s="29" cm="1">
        <f t="array" aca="1" ref="AB262" ca="1">MMS_PastureBeef_Methane_Equations.VEERG_4_2_1_1__1_TotalAnnualMethaneProductionFromManureManagement(AA230,AB188,AA246)</f>
        <v>6.6990533649278934E-3</v>
      </c>
      <c r="AC262" s="29" cm="1">
        <f t="array" aca="1" ref="AC262" ca="1">MMS_PastureBeef_Methane_Equations.VEERG_4_2_1_1__1_TotalAnnualMethaneProductionFromManureManagement(AB230,AC188,AB246)</f>
        <v>6.6328825169479936E-3</v>
      </c>
      <c r="AD262" s="29" cm="1">
        <f t="array" aca="1" ref="AD262" ca="1">MMS_PastureBeef_Methane_Equations.VEERG_4_2_1_1__1_TotalAnnualMethaneProductionFromManureManagement(AC230,AD188,AC246)</f>
        <v>6.6328825169479936E-3</v>
      </c>
      <c r="AE262" s="29" cm="1">
        <f t="array" aca="1" ref="AE262" ca="1">MMS_PastureBeef_Methane_Equations.VEERG_4_2_1_1__1_TotalAnnualMethaneProductionFromManureManagement(AD230,AE188,AD246)</f>
        <v>5.2159068150018362E-3</v>
      </c>
      <c r="AF262" s="29" cm="1">
        <f t="array" aca="1" ref="AF262" ca="1">MMS_PastureBeef_Methane_Equations.VEERG_4_2_1_1__1_TotalAnnualMethaneProductionFromManureManagement(AE230,AF188,AE246)</f>
        <v>5.8140342998928615E-3</v>
      </c>
      <c r="AG262" s="29" cm="1">
        <f t="array" aca="1" ref="AG262" ca="1">MMS_PastureBeef_Methane_Equations.VEERG_4_2_1_1__1_TotalAnnualMethaneProductionFromManureManagement(AF230,AG188,AF246)</f>
        <v>5.8140342998928615E-3</v>
      </c>
      <c r="AH262" s="29" cm="1">
        <f t="array" aca="1" ref="AH262" ca="1">MMS_PastureBeef_Methane_Equations.VEERG_4_2_1_1__1_TotalAnnualMethaneProductionFromManureManagement(AG230,AH188,AG246)</f>
        <v>5.8140342998928615E-3</v>
      </c>
      <c r="AI262" s="32" t="str">
        <f t="shared" si="11"/>
        <v>t CH4</v>
      </c>
      <c r="AJ262" s="32"/>
    </row>
    <row r="263" spans="23:36" ht="20.100000000000001" customHeight="1" x14ac:dyDescent="0.25">
      <c r="W263" s="29" t="str">
        <f>'Input - Pasture Beef'!$D$180</f>
        <v>Anaerobic lagoon</v>
      </c>
      <c r="X263" s="29" t="str">
        <f>W235</f>
        <v>January 2024</v>
      </c>
      <c r="Y263" s="29" cm="1">
        <f t="array" aca="1" ref="Y263" ca="1">MMS_PastureBeef_Methane_Equations.VEERG_4_2_1_1__1_TotalAnnualMethaneProductionFromManureManagement(X219,Y189,X235)</f>
        <v>3.5175818308880382E-3</v>
      </c>
      <c r="Z263" s="29" cm="1">
        <f t="array" aca="1" ref="Z263" ca="1">MMS_PastureBeef_Methane_Equations.VEERG_4_2_1_1__1_TotalAnnualMethaneProductionFromManureManagement(Y219,Z189,Y235)</f>
        <v>4.6541085272883585E-3</v>
      </c>
      <c r="AA263" s="29" cm="1">
        <f t="array" aca="1" ref="AA263" ca="1">MMS_PastureBeef_Methane_Equations.VEERG_4_2_1_1__1_TotalAnnualMethaneProductionFromManureManagement(Z219,AA189,Z235)</f>
        <v>2.9582068844132702E-3</v>
      </c>
      <c r="AB263" s="29" cm="1">
        <f t="array" aca="1" ref="AB263" ca="1">MMS_PastureBeef_Methane_Equations.VEERG_4_2_1_1__1_TotalAnnualMethaneProductionFromManureManagement(AA219,AB189,AA235)</f>
        <v>4.1643080469620118E-3</v>
      </c>
      <c r="AC263" s="29" cm="1">
        <f t="array" aca="1" ref="AC263" ca="1">MMS_PastureBeef_Methane_Equations.VEERG_4_2_1_1__1_TotalAnnualMethaneProductionFromManureManagement(AB219,AC189,AB235)</f>
        <v>4.1231745046977223E-3</v>
      </c>
      <c r="AD263" s="29" cm="1">
        <f t="array" aca="1" ref="AD263" ca="1">MMS_PastureBeef_Methane_Equations.VEERG_4_2_1_1__1_TotalAnnualMethaneProductionFromManureManagement(AC219,AD189,AC235)</f>
        <v>4.1231745046977223E-3</v>
      </c>
      <c r="AE263" s="29" cm="1">
        <f t="array" aca="1" ref="AE263" ca="1">MMS_PastureBeef_Methane_Equations.VEERG_4_2_1_1__1_TotalAnnualMethaneProductionFromManureManagement(AD219,AE189,AD235)</f>
        <v>3.242345080520184E-3</v>
      </c>
      <c r="AF263" s="29" cm="1">
        <f t="array" aca="1" ref="AF263" ca="1">MMS_PastureBeef_Methane_Equations.VEERG_4_2_1_1__1_TotalAnnualMethaneProductionFromManureManagement(AE219,AF189,AE235)</f>
        <v>3.6141568817936397E-3</v>
      </c>
      <c r="AG263" s="29" cm="1">
        <f t="array" aca="1" ref="AG263" ca="1">MMS_PastureBeef_Methane_Equations.VEERG_4_2_1_1__1_TotalAnnualMethaneProductionFromManureManagement(AF219,AG189,AF235)</f>
        <v>3.6141568817936397E-3</v>
      </c>
      <c r="AH263" s="29" cm="1">
        <f t="array" aca="1" ref="AH263" ca="1">MMS_PastureBeef_Methane_Equations.VEERG_4_2_1_1__1_TotalAnnualMethaneProductionFromManureManagement(AG219,AH189,AG235)</f>
        <v>3.6141568817936397E-3</v>
      </c>
      <c r="AI263" s="32" t="str">
        <f t="shared" si="11"/>
        <v>t CH4</v>
      </c>
      <c r="AJ263" s="32"/>
    </row>
    <row r="264" spans="23:36" ht="20.100000000000001" customHeight="1" x14ac:dyDescent="0.25">
      <c r="W264" s="29" t="str">
        <f>'Input - Pasture Beef'!$D$180</f>
        <v>Anaerobic lagoon</v>
      </c>
      <c r="X264" s="29" t="str">
        <f t="shared" ref="X264:X274" si="13">W236</f>
        <v>February 2024</v>
      </c>
      <c r="Y264" s="29" cm="1">
        <f t="array" aca="1" ref="Y264" ca="1">MMS_PastureBeef_Methane_Equations.VEERG_4_2_1_1__1_TotalAnnualMethaneProductionFromManureManagement(X220,Y190,X236)</f>
        <v>3.290641067604939E-3</v>
      </c>
      <c r="Z264" s="29" cm="1">
        <f t="array" aca="1" ref="Z264" ca="1">MMS_PastureBeef_Methane_Equations.VEERG_4_2_1_1__1_TotalAnnualMethaneProductionFromManureManagement(Y220,Z190,Y236)</f>
        <v>4.3538434610116902E-3</v>
      </c>
      <c r="AA264" s="29" cm="1">
        <f t="array" aca="1" ref="AA264" ca="1">MMS_PastureBeef_Methane_Equations.VEERG_4_2_1_1__1_TotalAnnualMethaneProductionFromManureManagement(Z220,AA190,Z236)</f>
        <v>2.7673548273543496E-3</v>
      </c>
      <c r="AB264" s="29" cm="1">
        <f t="array" aca="1" ref="AB264" ca="1">MMS_PastureBeef_Methane_Equations.VEERG_4_2_1_1__1_TotalAnnualMethaneProductionFromManureManagement(AA220,AB190,AA236)</f>
        <v>3.6238539643480357E-3</v>
      </c>
      <c r="AC264" s="29" cm="1">
        <f t="array" aca="1" ref="AC264" ca="1">MMS_PastureBeef_Methane_Equations.VEERG_4_2_1_1__1_TotalAnnualMethaneProductionFromManureManagement(AB220,AC190,AB236)</f>
        <v>3.5880588337954666E-3</v>
      </c>
      <c r="AD264" s="29" cm="1">
        <f t="array" aca="1" ref="AD264" ca="1">MMS_PastureBeef_Methane_Equations.VEERG_4_2_1_1__1_TotalAnnualMethaneProductionFromManureManagement(AC220,AD190,AC236)</f>
        <v>3.5880588337954666E-3</v>
      </c>
      <c r="AE264" s="29" cm="1">
        <f t="array" aca="1" ref="AE264" ca="1">MMS_PastureBeef_Methane_Equations.VEERG_4_2_1_1__1_TotalAnnualMethaneProductionFromManureManagement(AD220,AE190,AD236)</f>
        <v>3.0331615269382369E-3</v>
      </c>
      <c r="AF264" s="29" cm="1">
        <f t="array" aca="1" ref="AF264" ca="1">MMS_PastureBeef_Methane_Equations.VEERG_4_2_1_1__1_TotalAnnualMethaneProductionFromManureManagement(AE220,AF190,AE236)</f>
        <v>3.3809854700650181E-3</v>
      </c>
      <c r="AG264" s="29" cm="1">
        <f t="array" aca="1" ref="AG264" ca="1">MMS_PastureBeef_Methane_Equations.VEERG_4_2_1_1__1_TotalAnnualMethaneProductionFromManureManagement(AF220,AG190,AF236)</f>
        <v>3.3809854700650181E-3</v>
      </c>
      <c r="AH264" s="29" cm="1">
        <f t="array" aca="1" ref="AH264" ca="1">MMS_PastureBeef_Methane_Equations.VEERG_4_2_1_1__1_TotalAnnualMethaneProductionFromManureManagement(AG220,AH190,AG236)</f>
        <v>3.3809854700650181E-3</v>
      </c>
      <c r="AI264" s="32" t="str">
        <f t="shared" si="11"/>
        <v>t CH4</v>
      </c>
      <c r="AJ264" s="32"/>
    </row>
    <row r="265" spans="23:36" ht="20.100000000000001" customHeight="1" x14ac:dyDescent="0.25">
      <c r="W265" s="29" t="str">
        <f>'Input - Pasture Beef'!$D$180</f>
        <v>Anaerobic lagoon</v>
      </c>
      <c r="X265" s="29" t="str">
        <f t="shared" si="13"/>
        <v>March 2024</v>
      </c>
      <c r="Y265" s="29" cm="1">
        <f t="array" aca="1" ref="Y265" ca="1">MMS_PastureBeef_Methane_Equations.VEERG_4_2_1_1__1_TotalAnnualMethaneProductionFromManureManagement(X221,Y191,X237)</f>
        <v>1.8761813712310229E-3</v>
      </c>
      <c r="Z265" s="29" cm="1">
        <f t="array" aca="1" ref="Z265" ca="1">MMS_PastureBeef_Methane_Equations.VEERG_4_2_1_1__1_TotalAnnualMethaneProductionFromManureManagement(Y221,Z191,Y237)</f>
        <v>5.4454111963930752E-3</v>
      </c>
      <c r="AA265" s="29" cm="1">
        <f t="array" aca="1" ref="AA265" ca="1">MMS_PastureBeef_Methane_Equations.VEERG_4_2_1_1__1_TotalAnnualMethaneProductionFromManureManagement(Z221,AA191,Z237)</f>
        <v>1.7104283663157216E-3</v>
      </c>
      <c r="AB265" s="29" cm="1">
        <f t="array" aca="1" ref="AB265" ca="1">MMS_PastureBeef_Methane_Equations.VEERG_4_2_1_1__1_TotalAnnualMethaneProductionFromManureManagement(AA221,AB191,AA237)</f>
        <v>3.4423179933763134E-3</v>
      </c>
      <c r="AC265" s="29" cm="1">
        <f t="array" aca="1" ref="AC265" ca="1">MMS_PastureBeef_Methane_Equations.VEERG_4_2_1_1__1_TotalAnnualMethaneProductionFromManureManagement(AB221,AC191,AB237)</f>
        <v>3.8815490693232604E-3</v>
      </c>
      <c r="AD265" s="29" cm="1">
        <f t="array" aca="1" ref="AD265" ca="1">MMS_PastureBeef_Methane_Equations.VEERG_4_2_1_1__1_TotalAnnualMethaneProductionFromManureManagement(AC221,AD191,AC237)</f>
        <v>3.8815490693232604E-3</v>
      </c>
      <c r="AE265" s="29" cm="1">
        <f t="array" aca="1" ref="AE265" ca="1">MMS_PastureBeef_Methane_Equations.VEERG_4_2_1_1__1_TotalAnnualMethaneProductionFromManureManagement(AD221,AE191,AD237)</f>
        <v>1.8761813712310229E-3</v>
      </c>
      <c r="AF265" s="29" cm="1">
        <f t="array" aca="1" ref="AF265" ca="1">MMS_PastureBeef_Methane_Equations.VEERG_4_2_1_1__1_TotalAnnualMethaneProductionFromManureManagement(AE221,AF191,AE237)</f>
        <v>3.4062531437047462E-3</v>
      </c>
      <c r="AG265" s="29" cm="1">
        <f t="array" aca="1" ref="AG265" ca="1">MMS_PastureBeef_Methane_Equations.VEERG_4_2_1_1__1_TotalAnnualMethaneProductionFromManureManagement(AF221,AG191,AF237)</f>
        <v>3.4062531437047462E-3</v>
      </c>
      <c r="AH265" s="29" cm="1">
        <f t="array" aca="1" ref="AH265" ca="1">MMS_PastureBeef_Methane_Equations.VEERG_4_2_1_1__1_TotalAnnualMethaneProductionFromManureManagement(AG221,AH191,AG237)</f>
        <v>3.4062531437047462E-3</v>
      </c>
      <c r="AI265" s="32" t="str">
        <f t="shared" si="11"/>
        <v>t CH4</v>
      </c>
      <c r="AJ265" s="32"/>
    </row>
    <row r="266" spans="23:36" ht="20.100000000000001" customHeight="1" x14ac:dyDescent="0.25">
      <c r="W266" s="29" t="str">
        <f>'Input - Pasture Beef'!$D$180</f>
        <v>Anaerobic lagoon</v>
      </c>
      <c r="X266" s="29" t="str">
        <f t="shared" si="13"/>
        <v>April 2024</v>
      </c>
      <c r="Y266" s="29" cm="1">
        <f t="array" aca="1" ref="Y266" ca="1">MMS_PastureBeef_Methane_Equations.VEERG_4_2_1_1__1_TotalAnnualMethaneProductionFromManureManagement(X222,Y192,X238)</f>
        <v>1.815659391513893E-3</v>
      </c>
      <c r="Z266" s="29" cm="1">
        <f t="array" aca="1" ref="Z266" ca="1">MMS_PastureBeef_Methane_Equations.VEERG_4_2_1_1__1_TotalAnnualMethaneProductionFromManureManagement(Y222,Z192,Y238)</f>
        <v>5.2697527707029771E-3</v>
      </c>
      <c r="AA266" s="29" cm="1">
        <f t="array" aca="1" ref="AA266" ca="1">MMS_PastureBeef_Methane_Equations.VEERG_4_2_1_1__1_TotalAnnualMethaneProductionFromManureManagement(Z222,AA192,Z238)</f>
        <v>1.6552532577248918E-3</v>
      </c>
      <c r="AB266" s="29" cm="1">
        <f t="array" aca="1" ref="AB266" ca="1">MMS_PastureBeef_Methane_Equations.VEERG_4_2_1_1__1_TotalAnnualMethaneProductionFromManureManagement(AA222,AB192,AA238)</f>
        <v>3.3312754774609482E-3</v>
      </c>
      <c r="AC266" s="29" cm="1">
        <f t="array" aca="1" ref="AC266" ca="1">MMS_PastureBeef_Methane_Equations.VEERG_4_2_1_1__1_TotalAnnualMethaneProductionFromManureManagement(AB222,AC192,AB238)</f>
        <v>3.7563378090225102E-3</v>
      </c>
      <c r="AD266" s="29" cm="1">
        <f t="array" aca="1" ref="AD266" ca="1">MMS_PastureBeef_Methane_Equations.VEERG_4_2_1_1__1_TotalAnnualMethaneProductionFromManureManagement(AC222,AD192,AC238)</f>
        <v>3.7563378090225102E-3</v>
      </c>
      <c r="AE266" s="29" cm="1">
        <f t="array" aca="1" ref="AE266" ca="1">MMS_PastureBeef_Methane_Equations.VEERG_4_2_1_1__1_TotalAnnualMethaneProductionFromManureManagement(AD222,AE192,AD238)</f>
        <v>1.815659391513893E-3</v>
      </c>
      <c r="AF266" s="29" cm="1">
        <f t="array" aca="1" ref="AF266" ca="1">MMS_PastureBeef_Methane_Equations.VEERG_4_2_1_1__1_TotalAnnualMethaneProductionFromManureManagement(AE222,AF192,AE238)</f>
        <v>3.296374010036851E-3</v>
      </c>
      <c r="AG266" s="29" cm="1">
        <f t="array" aca="1" ref="AG266" ca="1">MMS_PastureBeef_Methane_Equations.VEERG_4_2_1_1__1_TotalAnnualMethaneProductionFromManureManagement(AF222,AG192,AF238)</f>
        <v>3.296374010036851E-3</v>
      </c>
      <c r="AH266" s="29" cm="1">
        <f t="array" aca="1" ref="AH266" ca="1">MMS_PastureBeef_Methane_Equations.VEERG_4_2_1_1__1_TotalAnnualMethaneProductionFromManureManagement(AG222,AH192,AG238)</f>
        <v>3.296374010036851E-3</v>
      </c>
      <c r="AI266" s="32" t="str">
        <f t="shared" si="11"/>
        <v>t CH4</v>
      </c>
      <c r="AJ266" s="32"/>
    </row>
    <row r="267" spans="23:36" ht="20.100000000000001" customHeight="1" x14ac:dyDescent="0.25">
      <c r="W267" s="29" t="str">
        <f>'Input - Pasture Beef'!$D$180</f>
        <v>Anaerobic lagoon</v>
      </c>
      <c r="X267" s="29" t="str">
        <f t="shared" si="13"/>
        <v>May 2024</v>
      </c>
      <c r="Y267" s="29" cm="1">
        <f t="array" aca="1" ref="Y267" ca="1">MMS_PastureBeef_Methane_Equations.VEERG_4_2_1_1__1_TotalAnnualMethaneProductionFromManureManagement(X223,Y193,X239)</f>
        <v>1.8761813712310229E-3</v>
      </c>
      <c r="Z267" s="29" cm="1">
        <f t="array" aca="1" ref="Z267" ca="1">MMS_PastureBeef_Methane_Equations.VEERG_4_2_1_1__1_TotalAnnualMethaneProductionFromManureManagement(Y223,Z193,Y239)</f>
        <v>5.4454111963930752E-3</v>
      </c>
      <c r="AA267" s="29" cm="1">
        <f t="array" aca="1" ref="AA267" ca="1">MMS_PastureBeef_Methane_Equations.VEERG_4_2_1_1__1_TotalAnnualMethaneProductionFromManureManagement(Z223,AA193,Z239)</f>
        <v>1.7104283663157216E-3</v>
      </c>
      <c r="AB267" s="29" cm="1">
        <f t="array" aca="1" ref="AB267" ca="1">MMS_PastureBeef_Methane_Equations.VEERG_4_2_1_1__1_TotalAnnualMethaneProductionFromManureManagement(AA223,AB193,AA239)</f>
        <v>3.4423179933763134E-3</v>
      </c>
      <c r="AC267" s="29" cm="1">
        <f t="array" aca="1" ref="AC267" ca="1">MMS_PastureBeef_Methane_Equations.VEERG_4_2_1_1__1_TotalAnnualMethaneProductionFromManureManagement(AB223,AC193,AB239)</f>
        <v>3.8815490693232604E-3</v>
      </c>
      <c r="AD267" s="29" cm="1">
        <f t="array" aca="1" ref="AD267" ca="1">MMS_PastureBeef_Methane_Equations.VEERG_4_2_1_1__1_TotalAnnualMethaneProductionFromManureManagement(AC223,AD193,AC239)</f>
        <v>3.8815490693232604E-3</v>
      </c>
      <c r="AE267" s="29" cm="1">
        <f t="array" aca="1" ref="AE267" ca="1">MMS_PastureBeef_Methane_Equations.VEERG_4_2_1_1__1_TotalAnnualMethaneProductionFromManureManagement(AD223,AE193,AD239)</f>
        <v>1.8761813712310229E-3</v>
      </c>
      <c r="AF267" s="29" cm="1">
        <f t="array" aca="1" ref="AF267" ca="1">MMS_PastureBeef_Methane_Equations.VEERG_4_2_1_1__1_TotalAnnualMethaneProductionFromManureManagement(AE223,AF193,AE239)</f>
        <v>3.4062531437047462E-3</v>
      </c>
      <c r="AG267" s="29" cm="1">
        <f t="array" aca="1" ref="AG267" ca="1">MMS_PastureBeef_Methane_Equations.VEERG_4_2_1_1__1_TotalAnnualMethaneProductionFromManureManagement(AF223,AG193,AF239)</f>
        <v>3.4062531437047462E-3</v>
      </c>
      <c r="AH267" s="29" cm="1">
        <f t="array" aca="1" ref="AH267" ca="1">MMS_PastureBeef_Methane_Equations.VEERG_4_2_1_1__1_TotalAnnualMethaneProductionFromManureManagement(AG223,AH193,AG239)</f>
        <v>3.4062531437047462E-3</v>
      </c>
      <c r="AI267" s="32" t="str">
        <f t="shared" si="11"/>
        <v>t CH4</v>
      </c>
      <c r="AJ267" s="32"/>
    </row>
    <row r="268" spans="23:36" ht="20.100000000000001" customHeight="1" x14ac:dyDescent="0.25">
      <c r="W268" s="29" t="str">
        <f>'Input - Pasture Beef'!$D$180</f>
        <v>Anaerobic lagoon</v>
      </c>
      <c r="X268" s="29" t="str">
        <f t="shared" si="13"/>
        <v>June 2024</v>
      </c>
      <c r="Y268" s="29" cm="1">
        <f t="array" aca="1" ref="Y268" ca="1">MMS_PastureBeef_Methane_Equations.VEERG_4_2_1_1__1_TotalAnnualMethaneProductionFromManureManagement(X224,Y194,X240)</f>
        <v>1.5413159880792644E-3</v>
      </c>
      <c r="Z268" s="29" cm="1">
        <f t="array" aca="1" ref="Z268" ca="1">MMS_PastureBeef_Methane_Equations.VEERG_4_2_1_1__1_TotalAnnualMethaneProductionFromManureManagement(Y224,Z194,Y240)</f>
        <v>2.9952688212232445E-3</v>
      </c>
      <c r="AA268" s="29" cm="1">
        <f t="array" aca="1" ref="AA268" ca="1">MMS_PastureBeef_Methane_Equations.VEERG_4_2_1_1__1_TotalAnnualMethaneProductionFromManureManagement(Z224,AA194,Z240)</f>
        <v>1.2619959237124823E-3</v>
      </c>
      <c r="AB268" s="29" cm="1">
        <f t="array" aca="1" ref="AB268" ca="1">MMS_PastureBeef_Methane_Equations.VEERG_4_2_1_1__1_TotalAnnualMethaneProductionFromManureManagement(AA224,AB194,AA240)</f>
        <v>1.7800144348972637E-3</v>
      </c>
      <c r="AC268" s="29" cm="1">
        <f t="array" aca="1" ref="AC268" ca="1">MMS_PastureBeef_Methane_Equations.VEERG_4_2_1_1__1_TotalAnnualMethaneProductionFromManureManagement(AB224,AC194,AB240)</f>
        <v>2.3879442409870263E-3</v>
      </c>
      <c r="AD268" s="29" cm="1">
        <f t="array" aca="1" ref="AD268" ca="1">MMS_PastureBeef_Methane_Equations.VEERG_4_2_1_1__1_TotalAnnualMethaneProductionFromManureManagement(AC224,AD194,AC240)</f>
        <v>2.3879442409870263E-3</v>
      </c>
      <c r="AE268" s="29" cm="1">
        <f t="array" aca="1" ref="AE268" ca="1">MMS_PastureBeef_Methane_Equations.VEERG_4_2_1_1__1_TotalAnnualMethaneProductionFromManureManagement(AD224,AE194,AD240)</f>
        <v>1.3549521024969835E-3</v>
      </c>
      <c r="AF268" s="29" cm="1">
        <f t="array" aca="1" ref="AF268" ca="1">MMS_PastureBeef_Methane_Equations.VEERG_4_2_1_1__1_TotalAnnualMethaneProductionFromManureManagement(AE224,AF194,AE240)</f>
        <v>2.0628912929971021E-3</v>
      </c>
      <c r="AG268" s="29" cm="1">
        <f t="array" aca="1" ref="AG268" ca="1">MMS_PastureBeef_Methane_Equations.VEERG_4_2_1_1__1_TotalAnnualMethaneProductionFromManureManagement(AF224,AG194,AF240)</f>
        <v>2.0628912929971021E-3</v>
      </c>
      <c r="AH268" s="29" cm="1">
        <f t="array" aca="1" ref="AH268" ca="1">MMS_PastureBeef_Methane_Equations.VEERG_4_2_1_1__1_TotalAnnualMethaneProductionFromManureManagement(AG224,AH194,AG240)</f>
        <v>2.0628912929971021E-3</v>
      </c>
      <c r="AI268" s="32" t="str">
        <f t="shared" si="11"/>
        <v>t CH4</v>
      </c>
      <c r="AJ268" s="32"/>
    </row>
    <row r="269" spans="23:36" ht="20.100000000000001" customHeight="1" x14ac:dyDescent="0.25">
      <c r="W269" s="29" t="str">
        <f>'Input - Pasture Beef'!$D$180</f>
        <v>Anaerobic lagoon</v>
      </c>
      <c r="X269" s="29" t="str">
        <f t="shared" si="13"/>
        <v>July 2024</v>
      </c>
      <c r="Y269" s="29" cm="1">
        <f t="array" aca="1" ref="Y269" ca="1">MMS_PastureBeef_Methane_Equations.VEERG_4_2_1_1__1_TotalAnnualMethaneProductionFromManureManagement(X225,Y195,X241)</f>
        <v>1.5926931876819065E-3</v>
      </c>
      <c r="Z269" s="29" cm="1">
        <f t="array" aca="1" ref="Z269" ca="1">MMS_PastureBeef_Methane_Equations.VEERG_4_2_1_1__1_TotalAnnualMethaneProductionFromManureManagement(Y225,Z195,Y241)</f>
        <v>3.0951111152640195E-3</v>
      </c>
      <c r="AA269" s="29" cm="1">
        <f t="array" aca="1" ref="AA269" ca="1">MMS_PastureBeef_Methane_Equations.VEERG_4_2_1_1__1_TotalAnnualMethaneProductionFromManureManagement(Z225,AA195,Z241)</f>
        <v>1.3040624545028986E-3</v>
      </c>
      <c r="AB269" s="29" cm="1">
        <f t="array" aca="1" ref="AB269" ca="1">MMS_PastureBeef_Methane_Equations.VEERG_4_2_1_1__1_TotalAnnualMethaneProductionFromManureManagement(AA225,AB195,AA241)</f>
        <v>1.8393482493938393E-3</v>
      </c>
      <c r="AC269" s="29" cm="1">
        <f t="array" aca="1" ref="AC269" ca="1">MMS_PastureBeef_Methane_Equations.VEERG_4_2_1_1__1_TotalAnnualMethaneProductionFromManureManagement(AB225,AC195,AB241)</f>
        <v>2.4675423823532607E-3</v>
      </c>
      <c r="AD269" s="29" cm="1">
        <f t="array" aca="1" ref="AD269" ca="1">MMS_PastureBeef_Methane_Equations.VEERG_4_2_1_1__1_TotalAnnualMethaneProductionFromManureManagement(AC225,AD195,AC241)</f>
        <v>2.4675423823532607E-3</v>
      </c>
      <c r="AE269" s="29" cm="1">
        <f t="array" aca="1" ref="AE269" ca="1">MMS_PastureBeef_Methane_Equations.VEERG_4_2_1_1__1_TotalAnnualMethaneProductionFromManureManagement(AD225,AE195,AD241)</f>
        <v>1.4001171725802162E-3</v>
      </c>
      <c r="AF269" s="29" cm="1">
        <f t="array" aca="1" ref="AF269" ca="1">MMS_PastureBeef_Methane_Equations.VEERG_4_2_1_1__1_TotalAnnualMethaneProductionFromManureManagement(AE225,AF195,AE241)</f>
        <v>2.1316543360970054E-3</v>
      </c>
      <c r="AG269" s="29" cm="1">
        <f t="array" aca="1" ref="AG269" ca="1">MMS_PastureBeef_Methane_Equations.VEERG_4_2_1_1__1_TotalAnnualMethaneProductionFromManureManagement(AF225,AG195,AF241)</f>
        <v>2.1316543360970054E-3</v>
      </c>
      <c r="AH269" s="29" cm="1">
        <f t="array" aca="1" ref="AH269" ca="1">MMS_PastureBeef_Methane_Equations.VEERG_4_2_1_1__1_TotalAnnualMethaneProductionFromManureManagement(AG225,AH195,AG241)</f>
        <v>2.1316543360970054E-3</v>
      </c>
      <c r="AI269" s="32" t="str">
        <f t="shared" si="11"/>
        <v>t CH4</v>
      </c>
      <c r="AJ269" s="32"/>
    </row>
    <row r="270" spans="23:36" ht="20.100000000000001" customHeight="1" x14ac:dyDescent="0.25">
      <c r="W270" s="29" t="str">
        <f>'Input - Pasture Beef'!$D$180</f>
        <v>Anaerobic lagoon</v>
      </c>
      <c r="X270" s="29" t="str">
        <f t="shared" si="13"/>
        <v>August 2024</v>
      </c>
      <c r="Y270" s="29" cm="1">
        <f t="array" aca="1" ref="Y270" ca="1">MMS_PastureBeef_Methane_Equations.VEERG_4_2_1_1__1_TotalAnnualMethaneProductionFromManureManagement(X226,Y196,X242)</f>
        <v>1.5926931876819065E-3</v>
      </c>
      <c r="Z270" s="29" cm="1">
        <f t="array" aca="1" ref="Z270" ca="1">MMS_PastureBeef_Methane_Equations.VEERG_4_2_1_1__1_TotalAnnualMethaneProductionFromManureManagement(Y226,Z196,Y242)</f>
        <v>3.0951111152640195E-3</v>
      </c>
      <c r="AA270" s="29" cm="1">
        <f t="array" aca="1" ref="AA270" ca="1">MMS_PastureBeef_Methane_Equations.VEERG_4_2_1_1__1_TotalAnnualMethaneProductionFromManureManagement(Z226,AA196,Z242)</f>
        <v>1.3040624545028986E-3</v>
      </c>
      <c r="AB270" s="29" cm="1">
        <f t="array" aca="1" ref="AB270" ca="1">MMS_PastureBeef_Methane_Equations.VEERG_4_2_1_1__1_TotalAnnualMethaneProductionFromManureManagement(AA226,AB196,AA242)</f>
        <v>2.253201605507453E-3</v>
      </c>
      <c r="AC270" s="29" cm="1">
        <f t="array" aca="1" ref="AC270" ca="1">MMS_PastureBeef_Methane_Equations.VEERG_4_2_1_1__1_TotalAnnualMethaneProductionFromManureManagement(AB226,AC196,AB242)</f>
        <v>3.0227394183827442E-3</v>
      </c>
      <c r="AD270" s="29" cm="1">
        <f t="array" aca="1" ref="AD270" ca="1">MMS_PastureBeef_Methane_Equations.VEERG_4_2_1_1__1_TotalAnnualMethaneProductionFromManureManagement(AC226,AD196,AC242)</f>
        <v>3.0227394183827442E-3</v>
      </c>
      <c r="AE270" s="29" cm="1">
        <f t="array" aca="1" ref="AE270" ca="1">MMS_PastureBeef_Methane_Equations.VEERG_4_2_1_1__1_TotalAnnualMethaneProductionFromManureManagement(AD226,AE196,AD242)</f>
        <v>1.4001171725802162E-3</v>
      </c>
      <c r="AF270" s="29" cm="1">
        <f t="array" aca="1" ref="AF270" ca="1">MMS_PastureBeef_Methane_Equations.VEERG_4_2_1_1__1_TotalAnnualMethaneProductionFromManureManagement(AE226,AF196,AE242)</f>
        <v>2.1316543360970054E-3</v>
      </c>
      <c r="AG270" s="29" cm="1">
        <f t="array" aca="1" ref="AG270" ca="1">MMS_PastureBeef_Methane_Equations.VEERG_4_2_1_1__1_TotalAnnualMethaneProductionFromManureManagement(AF226,AG196,AF242)</f>
        <v>2.1316543360970054E-3</v>
      </c>
      <c r="AH270" s="29" cm="1">
        <f t="array" aca="1" ref="AH270" ca="1">MMS_PastureBeef_Methane_Equations.VEERG_4_2_1_1__1_TotalAnnualMethaneProductionFromManureManagement(AG226,AH196,AG242)</f>
        <v>2.1316543360970054E-3</v>
      </c>
      <c r="AI270" s="32" t="str">
        <f t="shared" si="11"/>
        <v>t CH4</v>
      </c>
      <c r="AJ270" s="32"/>
    </row>
    <row r="271" spans="23:36" ht="20.100000000000001" customHeight="1" x14ac:dyDescent="0.25">
      <c r="W271" s="29" t="str">
        <f>'Input - Pasture Beef'!$D$180</f>
        <v>Anaerobic lagoon</v>
      </c>
      <c r="X271" s="29" t="str">
        <f t="shared" si="13"/>
        <v>September 2024</v>
      </c>
      <c r="Y271" s="29" cm="1">
        <f t="array" aca="1" ref="Y271" ca="1">MMS_PastureBeef_Methane_Equations.VEERG_4_2_1_1__1_TotalAnnualMethaneProductionFromManureManagement(X227,Y197,X243)</f>
        <v>2.1547986931691209E-3</v>
      </c>
      <c r="Z271" s="29" cm="1">
        <f t="array" aca="1" ref="Z271" ca="1">MMS_PastureBeef_Methane_Equations.VEERG_4_2_1_1__1_TotalAnnualMethaneProductionFromManureManagement(Y227,Z197,Y243)</f>
        <v>3.0433667024977996E-3</v>
      </c>
      <c r="AA271" s="29" cm="1">
        <f t="array" aca="1" ref="AA271" ca="1">MMS_PastureBeef_Methane_Equations.VEERG_4_2_1_1__1_TotalAnnualMethaneProductionFromManureManagement(Z227,AA197,Z243)</f>
        <v>1.6423869772529524E-3</v>
      </c>
      <c r="AB271" s="29" cm="1">
        <f t="array" aca="1" ref="AB271" ca="1">MMS_PastureBeef_Methane_Equations.VEERG_4_2_1_1__1_TotalAnnualMethaneProductionFromManureManagement(AA227,AB197,AA243)</f>
        <v>2.6402917901528038E-3</v>
      </c>
      <c r="AC271" s="29" cm="1">
        <f t="array" aca="1" ref="AC271" ca="1">MMS_PastureBeef_Methane_Equations.VEERG_4_2_1_1__1_TotalAnnualMethaneProductionFromManureManagement(AB227,AC197,AB243)</f>
        <v>2.9319319712547425E-3</v>
      </c>
      <c r="AD271" s="29" cm="1">
        <f t="array" aca="1" ref="AD271" ca="1">MMS_PastureBeef_Methane_Equations.VEERG_4_2_1_1__1_TotalAnnualMethaneProductionFromManureManagement(AC227,AD197,AC243)</f>
        <v>2.9319319712547425E-3</v>
      </c>
      <c r="AE271" s="29" cm="1">
        <f t="array" aca="1" ref="AE271" ca="1">MMS_PastureBeef_Methane_Equations.VEERG_4_2_1_1__1_TotalAnnualMethaneProductionFromManureManagement(AD227,AE197,AD243)</f>
        <v>1.893454440758253E-3</v>
      </c>
      <c r="AF271" s="29" cm="1">
        <f t="array" aca="1" ref="AF271" ca="1">MMS_PastureBeef_Methane_Equations.VEERG_4_2_1_1__1_TotalAnnualMethaneProductionFromManureManagement(AE227,AF197,AE243)</f>
        <v>2.4061714153320547E-3</v>
      </c>
      <c r="AG271" s="29" cm="1">
        <f t="array" aca="1" ref="AG271" ca="1">MMS_PastureBeef_Methane_Equations.VEERG_4_2_1_1__1_TotalAnnualMethaneProductionFromManureManagement(AF227,AG197,AF243)</f>
        <v>2.4061714153320547E-3</v>
      </c>
      <c r="AH271" s="29" cm="1">
        <f t="array" aca="1" ref="AH271" ca="1">MMS_PastureBeef_Methane_Equations.VEERG_4_2_1_1__1_TotalAnnualMethaneProductionFromManureManagement(AG227,AH197,AG243)</f>
        <v>2.4061714153320547E-3</v>
      </c>
      <c r="AI271" s="32" t="str">
        <f t="shared" si="11"/>
        <v>t CH4</v>
      </c>
      <c r="AJ271" s="32"/>
    </row>
    <row r="272" spans="23:36" x14ac:dyDescent="0.25">
      <c r="W272" s="29" t="str">
        <f>'Input - Pasture Beef'!$D$180</f>
        <v>Anaerobic lagoon</v>
      </c>
      <c r="X272" s="29" t="str">
        <f t="shared" si="13"/>
        <v>October 2024</v>
      </c>
      <c r="Y272" s="29" cm="1">
        <f t="array" aca="1" ref="Y272" ca="1">MMS_PastureBeef_Methane_Equations.VEERG_4_2_1_1__1_TotalAnnualMethaneProductionFromManureManagement(X228,Y198,X244)</f>
        <v>2.226625316274758E-3</v>
      </c>
      <c r="Z272" s="29" cm="1">
        <f t="array" aca="1" ref="Z272" ca="1">MMS_PastureBeef_Methane_Equations.VEERG_4_2_1_1__1_TotalAnnualMethaneProductionFromManureManagement(Y228,Z198,Y244)</f>
        <v>3.144812259247726E-3</v>
      </c>
      <c r="AA272" s="29" cm="1">
        <f t="array" aca="1" ref="AA272" ca="1">MMS_PastureBeef_Methane_Equations.VEERG_4_2_1_1__1_TotalAnnualMethaneProductionFromManureManagement(Z228,AA198,Z244)</f>
        <v>1.697133209828051E-3</v>
      </c>
      <c r="AB272" s="29" cm="1">
        <f t="array" aca="1" ref="AB272" ca="1">MMS_PastureBeef_Methane_Equations.VEERG_4_2_1_1__1_TotalAnnualMethaneProductionFromManureManagement(AA228,AB198,AA244)</f>
        <v>2.7283015164912302E-3</v>
      </c>
      <c r="AC272" s="29" cm="1">
        <f t="array" aca="1" ref="AC272" ca="1">MMS_PastureBeef_Methane_Equations.VEERG_4_2_1_1__1_TotalAnnualMethaneProductionFromManureManagement(AB228,AC198,AB244)</f>
        <v>3.0296630369632338E-3</v>
      </c>
      <c r="AD272" s="29" cm="1">
        <f t="array" aca="1" ref="AD272" ca="1">MMS_PastureBeef_Methane_Equations.VEERG_4_2_1_1__1_TotalAnnualMethaneProductionFromManureManagement(AC228,AD198,AC244)</f>
        <v>3.0296630369632338E-3</v>
      </c>
      <c r="AE272" s="29" cm="1">
        <f t="array" aca="1" ref="AE272" ca="1">MMS_PastureBeef_Methane_Equations.VEERG_4_2_1_1__1_TotalAnnualMethaneProductionFromManureManagement(AD228,AE198,AD244)</f>
        <v>1.956569588783528E-3</v>
      </c>
      <c r="AF272" s="29" cm="1">
        <f t="array" aca="1" ref="AF272" ca="1">MMS_PastureBeef_Methane_Equations.VEERG_4_2_1_1__1_TotalAnnualMethaneProductionFromManureManagement(AE228,AF198,AE244)</f>
        <v>2.4863771291764565E-3</v>
      </c>
      <c r="AG272" s="29" cm="1">
        <f t="array" aca="1" ref="AG272" ca="1">MMS_PastureBeef_Methane_Equations.VEERG_4_2_1_1__1_TotalAnnualMethaneProductionFromManureManagement(AF228,AG198,AF244)</f>
        <v>2.4863771291764565E-3</v>
      </c>
      <c r="AH272" s="29" cm="1">
        <f t="array" aca="1" ref="AH272" ca="1">MMS_PastureBeef_Methane_Equations.VEERG_4_2_1_1__1_TotalAnnualMethaneProductionFromManureManagement(AG228,AH198,AG244)</f>
        <v>2.4863771291764565E-3</v>
      </c>
      <c r="AI272" s="32" t="str">
        <f t="shared" si="11"/>
        <v>t CH4</v>
      </c>
      <c r="AJ272" s="32"/>
    </row>
    <row r="273" spans="23:36" x14ac:dyDescent="0.25">
      <c r="W273" s="29" t="str">
        <f>'Input - Pasture Beef'!$D$180</f>
        <v>Anaerobic lagoon</v>
      </c>
      <c r="X273" s="29" t="str">
        <f t="shared" si="13"/>
        <v>November 2024</v>
      </c>
      <c r="Y273" s="29" cm="1">
        <f t="array" aca="1" ref="Y273" ca="1">MMS_PastureBeef_Methane_Equations.VEERG_4_2_1_1__1_TotalAnnualMethaneProductionFromManureManagement(X229,Y199,X245)</f>
        <v>2.1547986931691209E-3</v>
      </c>
      <c r="Z273" s="29" cm="1">
        <f t="array" aca="1" ref="Z273" ca="1">MMS_PastureBeef_Methane_Equations.VEERG_4_2_1_1__1_TotalAnnualMethaneProductionFromManureManagement(Y229,Z199,Y245)</f>
        <v>3.0433667024977996E-3</v>
      </c>
      <c r="AA273" s="29" cm="1">
        <f t="array" aca="1" ref="AA273" ca="1">MMS_PastureBeef_Methane_Equations.VEERG_4_2_1_1__1_TotalAnnualMethaneProductionFromManureManagement(Z229,AA199,Z245)</f>
        <v>1.6423869772529524E-3</v>
      </c>
      <c r="AB273" s="29" cm="1">
        <f t="array" aca="1" ref="AB273" ca="1">MMS_PastureBeef_Methane_Equations.VEERG_4_2_1_1__1_TotalAnnualMethaneProductionFromManureManagement(AA229,AB199,AA245)</f>
        <v>2.3169907546238891E-3</v>
      </c>
      <c r="AC273" s="29" cm="1">
        <f t="array" aca="1" ref="AC273" ca="1">MMS_PastureBeef_Methane_Equations.VEERG_4_2_1_1__1_TotalAnnualMethaneProductionFromManureManagement(AB229,AC199,AB245)</f>
        <v>2.5729198931419158E-3</v>
      </c>
      <c r="AD273" s="29" cm="1">
        <f t="array" aca="1" ref="AD273" ca="1">MMS_PastureBeef_Methane_Equations.VEERG_4_2_1_1__1_TotalAnnualMethaneProductionFromManureManagement(AC229,AD199,AC245)</f>
        <v>2.5729198931419158E-3</v>
      </c>
      <c r="AE273" s="29" cm="1">
        <f t="array" aca="1" ref="AE273" ca="1">MMS_PastureBeef_Methane_Equations.VEERG_4_2_1_1__1_TotalAnnualMethaneProductionFromManureManagement(AD229,AE199,AD245)</f>
        <v>1.893454440758253E-3</v>
      </c>
      <c r="AF273" s="29" cm="1">
        <f t="array" aca="1" ref="AF273" ca="1">MMS_PastureBeef_Methane_Equations.VEERG_4_2_1_1__1_TotalAnnualMethaneProductionFromManureManagement(AE229,AF199,AE245)</f>
        <v>2.4061714153320547E-3</v>
      </c>
      <c r="AG273" s="29" cm="1">
        <f t="array" aca="1" ref="AG273" ca="1">MMS_PastureBeef_Methane_Equations.VEERG_4_2_1_1__1_TotalAnnualMethaneProductionFromManureManagement(AF229,AG199,AF245)</f>
        <v>2.4061714153320547E-3</v>
      </c>
      <c r="AH273" s="29" cm="1">
        <f t="array" aca="1" ref="AH273" ca="1">MMS_PastureBeef_Methane_Equations.VEERG_4_2_1_1__1_TotalAnnualMethaneProductionFromManureManagement(AG229,AH199,AG245)</f>
        <v>2.4061714153320547E-3</v>
      </c>
      <c r="AI273" s="32" t="str">
        <f t="shared" si="11"/>
        <v>t CH4</v>
      </c>
      <c r="AJ273" s="32"/>
    </row>
    <row r="274" spans="23:36" x14ac:dyDescent="0.25">
      <c r="W274" s="29" t="str">
        <f>'Input - Pasture Beef'!$D$180</f>
        <v>Anaerobic lagoon</v>
      </c>
      <c r="X274" s="29" t="str">
        <f t="shared" si="13"/>
        <v>December 2024</v>
      </c>
      <c r="Y274" s="29" cm="1">
        <f t="array" aca="1" ref="Y274" ca="1">MMS_PastureBeef_Methane_Equations.VEERG_4_2_1_1__1_TotalAnnualMethaneProductionFromManureManagement(X230,Y200,X246)</f>
        <v>3.5175818308880382E-3</v>
      </c>
      <c r="Z274" s="29" cm="1">
        <f t="array" aca="1" ref="Z274" ca="1">MMS_PastureBeef_Methane_Equations.VEERG_4_2_1_1__1_TotalAnnualMethaneProductionFromManureManagement(Y230,Z200,Y246)</f>
        <v>4.6541085272883585E-3</v>
      </c>
      <c r="AA274" s="29" cm="1">
        <f t="array" aca="1" ref="AA274" ca="1">MMS_PastureBeef_Methane_Equations.VEERG_4_2_1_1__1_TotalAnnualMethaneProductionFromManureManagement(Z230,AA200,Z246)</f>
        <v>2.9582068844132702E-3</v>
      </c>
      <c r="AB274" s="29" cm="1">
        <f t="array" aca="1" ref="AB274" ca="1">MMS_PastureBeef_Methane_Equations.VEERG_4_2_1_1__1_TotalAnnualMethaneProductionFromManureManagement(AA230,AB200,AA246)</f>
        <v>4.1643080469620118E-3</v>
      </c>
      <c r="AC274" s="29" cm="1">
        <f t="array" aca="1" ref="AC274" ca="1">MMS_PastureBeef_Methane_Equations.VEERG_4_2_1_1__1_TotalAnnualMethaneProductionFromManureManagement(AB230,AC200,AB246)</f>
        <v>4.1231745046977223E-3</v>
      </c>
      <c r="AD274" s="29" cm="1">
        <f t="array" aca="1" ref="AD274" ca="1">MMS_PastureBeef_Methane_Equations.VEERG_4_2_1_1__1_TotalAnnualMethaneProductionFromManureManagement(AC230,AD200,AC246)</f>
        <v>4.1231745046977223E-3</v>
      </c>
      <c r="AE274" s="29" cm="1">
        <f t="array" aca="1" ref="AE274" ca="1">MMS_PastureBeef_Methane_Equations.VEERG_4_2_1_1__1_TotalAnnualMethaneProductionFromManureManagement(AD230,AE200,AD246)</f>
        <v>3.242345080520184E-3</v>
      </c>
      <c r="AF274" s="29" cm="1">
        <f t="array" aca="1" ref="AF274" ca="1">MMS_PastureBeef_Methane_Equations.VEERG_4_2_1_1__1_TotalAnnualMethaneProductionFromManureManagement(AE230,AF200,AE246)</f>
        <v>3.6141568817936397E-3</v>
      </c>
      <c r="AG274" s="29" cm="1">
        <f t="array" aca="1" ref="AG274" ca="1">MMS_PastureBeef_Methane_Equations.VEERG_4_2_1_1__1_TotalAnnualMethaneProductionFromManureManagement(AF230,AG200,AF246)</f>
        <v>3.6141568817936397E-3</v>
      </c>
      <c r="AH274" s="29" cm="1">
        <f t="array" aca="1" ref="AH274" ca="1">MMS_PastureBeef_Methane_Equations.VEERG_4_2_1_1__1_TotalAnnualMethaneProductionFromManureManagement(AG230,AH200,AG246)</f>
        <v>3.6141568817936397E-3</v>
      </c>
      <c r="AI274" s="32" t="str">
        <f t="shared" si="11"/>
        <v>t CH4</v>
      </c>
      <c r="AJ274" s="32"/>
    </row>
    <row r="276" spans="23:36" ht="23.25" x14ac:dyDescent="0.25">
      <c r="W276" s="62" t="s">
        <v>117</v>
      </c>
      <c r="X276" s="63">
        <f ca="1">SUM(Y251:AH274)</f>
        <v>0.89029635334910784</v>
      </c>
      <c r="Y276" s="64">
        <f ca="1">X242</f>
        <v>31</v>
      </c>
    </row>
    <row r="278" spans="23:36" x14ac:dyDescent="0.25">
      <c r="W278" s="65" t="str" cm="1">
        <f t="array" ref="W278:X279">Common_Equations.Common_ConvertCH4ToCO2e_Arguments()</f>
        <v>ECH4</v>
      </c>
      <c r="X278" s="66" t="str">
        <v>Methane emissions (t CH4)</v>
      </c>
      <c r="Y278" s="67"/>
      <c r="Z278" s="29">
        <f ca="1">X276</f>
        <v>0.89029635334910784</v>
      </c>
    </row>
    <row r="279" spans="23:36" x14ac:dyDescent="0.25">
      <c r="W279" s="65" t="str">
        <v>GWPCH4</v>
      </c>
      <c r="X279" s="66" t="str">
        <v>Global warming potential for methane (t CO2-e / t CH4)</v>
      </c>
      <c r="Y279" s="67"/>
      <c r="Z279" s="29">
        <f>Common_InputFunctions.Utility_LookupValueInTableNumber("CH4",Table_GWPData[Gas],Table_GWPData[CO2-e factor])</f>
        <v>28</v>
      </c>
    </row>
    <row r="281" spans="23:36" ht="18.75" x14ac:dyDescent="0.25">
      <c r="W281" s="61" t="s">
        <v>120</v>
      </c>
      <c r="X281" s="61" cm="1">
        <f t="array" aca="1" ref="X281" ca="1">Common_Equations.Common_ConvertN2OToCO2e(Z278,Z279)</f>
        <v>24.928297893775021</v>
      </c>
      <c r="Y281" s="1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37896E2F-8AE5-40C5-B0AC-0F3B08E0270C}"/>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7EB52-EA44-4838-9A1C-C97608C9C809}">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44" customFormat="1" ht="30" customHeight="1" x14ac:dyDescent="0.35">
      <c r="A1" s="18" t="e" vm="1">
        <v>#VALUE!</v>
      </c>
      <c r="C1" s="44" t="s">
        <v>234</v>
      </c>
    </row>
    <row r="2" spans="1:35" s="3" customFormat="1" ht="20.100000000000001" customHeight="1" x14ac:dyDescent="0.25">
      <c r="A2"/>
    </row>
    <row r="3" spans="1:35" ht="20.100000000000001" customHeight="1" x14ac:dyDescent="0.25">
      <c r="A3" s="5" t="str">
        <f>HYPERLINK("#'Home'!A1", "Home")</f>
        <v>Home</v>
      </c>
      <c r="C3" s="45"/>
      <c r="D3" s="45" t="s">
        <v>75</v>
      </c>
      <c r="E3" s="45"/>
      <c r="F3" s="45"/>
      <c r="G3" s="45"/>
      <c r="H3" s="45"/>
      <c r="I3" s="45"/>
      <c r="J3" s="45"/>
      <c r="K3" s="45"/>
      <c r="L3" s="45"/>
      <c r="M3" s="45"/>
      <c r="N3" s="45"/>
      <c r="O3" s="45"/>
      <c r="P3" s="45"/>
      <c r="Q3" s="45"/>
      <c r="R3" s="45"/>
      <c r="T3" s="45"/>
      <c r="U3" s="45" t="s">
        <v>76</v>
      </c>
      <c r="V3" s="45"/>
      <c r="W3" s="45"/>
      <c r="X3" s="45"/>
      <c r="Y3" s="45"/>
      <c r="Z3" s="45"/>
      <c r="AA3" s="45"/>
      <c r="AB3" s="45"/>
      <c r="AC3" s="45"/>
      <c r="AD3" s="45"/>
      <c r="AE3" s="45"/>
      <c r="AF3" s="45"/>
      <c r="AG3" s="45"/>
      <c r="AH3" s="45"/>
      <c r="AI3" s="45"/>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46" t="str" cm="1">
        <f t="array" ref="D6">MMS_PastureBeef_Soil_N2ODirect_Equations.VEERG_4_2_1_3__7_RelativeSize_Source()</f>
        <v>VEERG 2026: 4.2.1.3, Equation (7)</v>
      </c>
    </row>
    <row r="7" spans="1:35" ht="20.100000000000001" customHeight="1" x14ac:dyDescent="0.25">
      <c r="A7" s="7" t="s">
        <v>0</v>
      </c>
      <c r="D7" s="47" t="s">
        <v>77</v>
      </c>
      <c r="E7" s="47"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48" t="s">
        <v>79</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48" t="s">
        <v>80</v>
      </c>
      <c r="E11" s="17"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50" t="str" cm="1">
        <f t="array" ref="D13:E15">_xlfn.CHOOSECOLS(MMS_PastureBeef_Soil_N2ODirect_Equations.VEERG_4_2_1_3__7_RelativeSize_Arguments(),1,2)</f>
        <v>W_jkl</v>
      </c>
      <c r="E13" s="50" t="str">
        <v>liveweight (kg)</v>
      </c>
      <c r="F13" s="50" t="str" cm="1">
        <f t="array" ref="F13:G15">_xlfn.CHOOSECOLS(MMS_PastureBeef_Soil_N2ODirect_Equations.VEERG_4_2_1_3__7_RelativeSize_Arguments(),3,4)</f>
        <v>kg</v>
      </c>
      <c r="G13" s="54" t="str">
        <v>Input</v>
      </c>
      <c r="H13" s="56" t="str" cm="1">
        <f t="array" aca="1" ref="H13" ca="1">HYPERLINK(Common_InputFunctions.Utility_SourceHyperlink(D17), D17)</f>
        <v>M1_Table_W_j_k_l</v>
      </c>
    </row>
    <row r="14" spans="1:35" ht="20.100000000000001" customHeight="1" x14ac:dyDescent="0.25">
      <c r="A14" s="5" t="str">
        <f>HYPERLINK("#'Input - Fuel'!A1", "Fuel")</f>
        <v>Fuel</v>
      </c>
      <c r="D14" s="50" t="str">
        <v>SRW_k</v>
      </c>
      <c r="E14" s="50" t="str">
        <v>standard reference weight (kg)</v>
      </c>
      <c r="F14" s="50" t="str">
        <v>kg</v>
      </c>
      <c r="G14" s="55" t="str">
        <v>Constant</v>
      </c>
      <c r="H14" s="56" t="str" cm="1">
        <f t="array" aca="1" ref="H14" ca="1">HYPERLINK(Common_InputFunctions.Utility_SourceHyperlink(D25), D25)</f>
        <v>Table_SRW_k</v>
      </c>
    </row>
    <row r="15" spans="1:35" ht="20.100000000000001" customHeight="1" x14ac:dyDescent="0.25">
      <c r="A15" s="5" t="str">
        <f>HYPERLINK("#'Input - Electricity'!A1", "Electricity")</f>
        <v>Electricity</v>
      </c>
      <c r="D15" s="50" t="str">
        <v>i</v>
      </c>
      <c r="E15" s="50" t="str">
        <v>state</v>
      </c>
      <c r="F15" s="50" t="str">
        <v/>
      </c>
      <c r="G15" s="54" t="str">
        <v>Input</v>
      </c>
      <c r="H15" s="50" t="str">
        <f>'Input - Pasture Beef'!$E$7</f>
        <v>Western Australia</v>
      </c>
    </row>
    <row r="16" spans="1:35" ht="20.100000000000001" customHeight="1" x14ac:dyDescent="0.25"/>
    <row r="17" spans="1:34" ht="20.100000000000001" customHeight="1" x14ac:dyDescent="0.25">
      <c r="D17" s="57" t="s">
        <v>95</v>
      </c>
      <c r="U17" s="57" t="s">
        <v>235</v>
      </c>
    </row>
    <row r="18" spans="1:34" ht="20.100000000000001" customHeight="1" x14ac:dyDescent="0.25">
      <c r="A18" s="6" t="s">
        <v>3</v>
      </c>
      <c r="D18" s="58" t="s">
        <v>96</v>
      </c>
      <c r="U18" s="58" t="s">
        <v>94</v>
      </c>
    </row>
    <row r="19" spans="1:34" ht="20.100000000000001" customHeight="1" x14ac:dyDescent="0.25">
      <c r="A19" s="5" t="str">
        <f>HYPERLINK("#'3.2.1.1-2 Enteric Methane'!A1", "3.2.1.1-2 Enteric methane")</f>
        <v>3.2.1.1-2 Enteric methane</v>
      </c>
      <c r="D19" s="59" t="s">
        <v>84</v>
      </c>
      <c r="E19" s="60" t="s">
        <v>31</v>
      </c>
      <c r="F19" s="60" t="s">
        <v>32</v>
      </c>
      <c r="G19" s="60" t="s">
        <v>33</v>
      </c>
      <c r="H19" s="60" t="s">
        <v>34</v>
      </c>
      <c r="I19" s="60" t="s">
        <v>35</v>
      </c>
      <c r="J19" s="60" t="s">
        <v>36</v>
      </c>
      <c r="K19" s="60" t="s">
        <v>37</v>
      </c>
      <c r="L19" s="60" t="s">
        <v>38</v>
      </c>
      <c r="M19" s="60" t="s">
        <v>39</v>
      </c>
      <c r="N19" s="60" t="s">
        <v>40</v>
      </c>
      <c r="U19" s="59" t="s">
        <v>87</v>
      </c>
      <c r="V19" s="60" t="s">
        <v>31</v>
      </c>
      <c r="W19" s="60" t="s">
        <v>32</v>
      </c>
      <c r="X19" s="60" t="s">
        <v>33</v>
      </c>
      <c r="Y19" s="60" t="s">
        <v>34</v>
      </c>
      <c r="Z19" s="60" t="s">
        <v>35</v>
      </c>
      <c r="AA19" s="60" t="s">
        <v>36</v>
      </c>
      <c r="AB19" s="60" t="s">
        <v>37</v>
      </c>
      <c r="AC19" s="60" t="s">
        <v>38</v>
      </c>
      <c r="AD19" s="60" t="s">
        <v>39</v>
      </c>
      <c r="AE19" s="60" t="s">
        <v>40</v>
      </c>
      <c r="AF19" s="32"/>
      <c r="AG19" s="32"/>
      <c r="AH19" s="32"/>
    </row>
    <row r="20" spans="1:34" ht="20.100000000000001" customHeight="1" x14ac:dyDescent="0.25">
      <c r="A20" s="5" t="str">
        <f>HYPERLINK("#'4.2.1.1-2 Methane'!A1", "4.2.1.1-2 Manure methane")</f>
        <v>4.2.1.1-2 Manure methane</v>
      </c>
      <c r="D20" s="29" t="str">
        <f>INDEX(X_Table_PastureBeef_Liveweight_Method1,2,1)</f>
        <v>Spring</v>
      </c>
      <c r="E20" s="29" cm="1">
        <f t="array" aca="1" ref="E20:N23" ca="1">OFFSET(X_Table_PastureBeef_Liveweight_Method1, 1,1, 4,10)</f>
        <v>340</v>
      </c>
      <c r="F20" s="29">
        <f ca="1"/>
        <v>800</v>
      </c>
      <c r="G20" s="29">
        <f ca="1"/>
        <v>260</v>
      </c>
      <c r="H20" s="29">
        <f ca="1"/>
        <v>420</v>
      </c>
      <c r="I20" s="29">
        <f ca="1"/>
        <v>550</v>
      </c>
      <c r="J20" s="29">
        <f ca="1"/>
        <v>550</v>
      </c>
      <c r="K20" s="29">
        <f ca="1"/>
        <v>300</v>
      </c>
      <c r="L20" s="29">
        <f ca="1"/>
        <v>480</v>
      </c>
      <c r="M20" s="29">
        <f ca="1"/>
        <v>480</v>
      </c>
      <c r="N20" s="29">
        <f ca="1"/>
        <v>480</v>
      </c>
      <c r="O20" s="32" t="s">
        <v>51</v>
      </c>
      <c r="U20" s="29" t="str">
        <f>TEXT('Input - Site'!$E$12, "mmmm yyyy")</f>
        <v>January 2024</v>
      </c>
      <c r="V20" s="29" cm="1">
        <f t="array" aca="1" ref="V20:AE31" ca="1">OFFSET(X_Table_PastureBeef_Liveweight_Method2, 1,1, 12,10)</f>
        <v>380</v>
      </c>
      <c r="W20" s="29">
        <f ca="1"/>
        <v>780</v>
      </c>
      <c r="X20" s="29">
        <f ca="1"/>
        <v>300</v>
      </c>
      <c r="Y20" s="29">
        <f ca="1"/>
        <v>450</v>
      </c>
      <c r="Z20" s="29">
        <f ca="1"/>
        <v>530</v>
      </c>
      <c r="AA20" s="29">
        <f ca="1"/>
        <v>530</v>
      </c>
      <c r="AB20" s="29">
        <f ca="1"/>
        <v>340</v>
      </c>
      <c r="AC20" s="29">
        <f ca="1"/>
        <v>470</v>
      </c>
      <c r="AD20" s="29">
        <f ca="1"/>
        <v>470</v>
      </c>
      <c r="AE20" s="29">
        <f ca="1"/>
        <v>470</v>
      </c>
      <c r="AF20" s="32" t="s">
        <v>51</v>
      </c>
      <c r="AG20" s="32"/>
      <c r="AH20" s="32"/>
    </row>
    <row r="21" spans="1:34" ht="20.100000000000001" customHeight="1" x14ac:dyDescent="0.25">
      <c r="A21" s="49" t="str">
        <f>HYPERLINK("#'4.2.1.3-4 Soil direct N20'!A1", "4.2.1.3-4 Soil direct N2O")</f>
        <v>4.2.1.3-4 Soil direct N2O</v>
      </c>
      <c r="D21" s="29" t="str">
        <f>INDEX(X_Table_PastureBeef_Liveweight_Method1,3,1)</f>
        <v>Summer</v>
      </c>
      <c r="E21" s="29">
        <f ca="1"/>
        <v>380</v>
      </c>
      <c r="F21" s="29">
        <f ca="1"/>
        <v>780</v>
      </c>
      <c r="G21" s="29">
        <f ca="1"/>
        <v>300</v>
      </c>
      <c r="H21" s="29">
        <f ca="1"/>
        <v>450</v>
      </c>
      <c r="I21" s="29">
        <f ca="1"/>
        <v>530</v>
      </c>
      <c r="J21" s="29">
        <f ca="1"/>
        <v>530</v>
      </c>
      <c r="K21" s="29">
        <f ca="1"/>
        <v>340</v>
      </c>
      <c r="L21" s="29">
        <f ca="1"/>
        <v>470</v>
      </c>
      <c r="M21" s="29">
        <f ca="1"/>
        <v>470</v>
      </c>
      <c r="N21" s="29">
        <f ca="1"/>
        <v>470</v>
      </c>
      <c r="O21" s="32" t="s">
        <v>51</v>
      </c>
      <c r="U21" s="29" t="str">
        <f>TEXT(EDATE('Input - Site'!$E$12,1), "mmmm yyyy")</f>
        <v>February 2024</v>
      </c>
      <c r="V21" s="29">
        <f ca="1"/>
        <v>380</v>
      </c>
      <c r="W21" s="29">
        <f ca="1"/>
        <v>780</v>
      </c>
      <c r="X21" s="29">
        <f ca="1"/>
        <v>300</v>
      </c>
      <c r="Y21" s="29">
        <f ca="1"/>
        <v>450</v>
      </c>
      <c r="Z21" s="29">
        <f ca="1"/>
        <v>530</v>
      </c>
      <c r="AA21" s="29">
        <f ca="1"/>
        <v>530</v>
      </c>
      <c r="AB21" s="29">
        <f ca="1"/>
        <v>340</v>
      </c>
      <c r="AC21" s="29">
        <f ca="1"/>
        <v>470</v>
      </c>
      <c r="AD21" s="29">
        <f ca="1"/>
        <v>470</v>
      </c>
      <c r="AE21" s="29">
        <f ca="1"/>
        <v>470</v>
      </c>
      <c r="AF21" s="32" t="s">
        <v>51</v>
      </c>
      <c r="AG21" s="32"/>
      <c r="AH21" s="32"/>
    </row>
    <row r="22" spans="1:34" ht="20.100000000000001" customHeight="1" x14ac:dyDescent="0.25">
      <c r="A22" s="5" t="str">
        <f>HYPERLINK("#'4.2.1.5-6 Soil Atmos Dep'!A1", "4.2.1.5-6 Soil atm. deposition")</f>
        <v>4.2.1.5-6 Soil atm. deposition</v>
      </c>
      <c r="D22" s="29" t="str">
        <f>INDEX(X_Table_PastureBeef_Liveweight_Method1,4,1)</f>
        <v>Autumn</v>
      </c>
      <c r="E22" s="29">
        <f ca="1"/>
        <v>100</v>
      </c>
      <c r="F22" s="29">
        <f ca="1"/>
        <v>680</v>
      </c>
      <c r="G22" s="29">
        <f ca="1"/>
        <v>80</v>
      </c>
      <c r="H22" s="29">
        <f ca="1"/>
        <v>320</v>
      </c>
      <c r="I22" s="29">
        <f ca="1"/>
        <v>480</v>
      </c>
      <c r="J22" s="29">
        <f ca="1"/>
        <v>480</v>
      </c>
      <c r="K22" s="29">
        <f ca="1"/>
        <v>100</v>
      </c>
      <c r="L22" s="29">
        <f ca="1"/>
        <v>340</v>
      </c>
      <c r="M22" s="29">
        <f ca="1"/>
        <v>340</v>
      </c>
      <c r="N22" s="29">
        <f ca="1"/>
        <v>340</v>
      </c>
      <c r="O22" s="32" t="s">
        <v>51</v>
      </c>
      <c r="U22" s="29" t="str">
        <f>TEXT(EDATE('Input - Site'!$E$12,2), "mmmm yyyy")</f>
        <v>March 2024</v>
      </c>
      <c r="V22" s="29">
        <f ca="1"/>
        <v>100</v>
      </c>
      <c r="W22" s="29">
        <f ca="1"/>
        <v>680</v>
      </c>
      <c r="X22" s="29">
        <f ca="1"/>
        <v>80</v>
      </c>
      <c r="Y22" s="29">
        <f ca="1"/>
        <v>320</v>
      </c>
      <c r="Z22" s="29">
        <f ca="1"/>
        <v>480</v>
      </c>
      <c r="AA22" s="29">
        <f ca="1"/>
        <v>480</v>
      </c>
      <c r="AB22" s="29">
        <f ca="1"/>
        <v>100</v>
      </c>
      <c r="AC22" s="29">
        <f ca="1"/>
        <v>340</v>
      </c>
      <c r="AD22" s="29">
        <f ca="1"/>
        <v>340</v>
      </c>
      <c r="AE22" s="29">
        <f ca="1"/>
        <v>340</v>
      </c>
      <c r="AF22" s="32" t="s">
        <v>51</v>
      </c>
      <c r="AG22" s="32"/>
      <c r="AH22" s="32"/>
    </row>
    <row r="23" spans="1:34" ht="20.100000000000001" customHeight="1" x14ac:dyDescent="0.25">
      <c r="A23" s="5" t="str">
        <f>HYPERLINK("#'4.2.1.7-8 Soil leach runoff'!A1", "4.2.1.7-8 Soil leach &amp; runoff")</f>
        <v>4.2.1.7-8 Soil leach &amp; runoff</v>
      </c>
      <c r="D23" s="29" t="str">
        <f>INDEX(X_Table_PastureBeef_Liveweight_Method1,5,1)</f>
        <v>Winter</v>
      </c>
      <c r="E23" s="29">
        <f ca="1"/>
        <v>190</v>
      </c>
      <c r="F23" s="29">
        <f ca="1"/>
        <v>700</v>
      </c>
      <c r="G23" s="29">
        <f ca="1"/>
        <v>150</v>
      </c>
      <c r="H23" s="29">
        <f ca="1"/>
        <v>330</v>
      </c>
      <c r="I23" s="29">
        <f ca="1"/>
        <v>490</v>
      </c>
      <c r="J23" s="29">
        <f ca="1"/>
        <v>490</v>
      </c>
      <c r="K23" s="29">
        <f ca="1"/>
        <v>170</v>
      </c>
      <c r="L23" s="29">
        <f ca="1"/>
        <v>360</v>
      </c>
      <c r="M23" s="29">
        <f ca="1"/>
        <v>360</v>
      </c>
      <c r="N23" s="29">
        <f ca="1"/>
        <v>360</v>
      </c>
      <c r="O23" s="32" t="s">
        <v>51</v>
      </c>
      <c r="U23" s="29" t="str">
        <f>TEXT(EDATE('Input - Site'!$E$12,3), "mmmm yyyy")</f>
        <v>April 2024</v>
      </c>
      <c r="V23" s="29">
        <f ca="1"/>
        <v>100</v>
      </c>
      <c r="W23" s="29">
        <f ca="1"/>
        <v>680</v>
      </c>
      <c r="X23" s="29">
        <f ca="1"/>
        <v>80</v>
      </c>
      <c r="Y23" s="29">
        <f ca="1"/>
        <v>320</v>
      </c>
      <c r="Z23" s="29">
        <f ca="1"/>
        <v>480</v>
      </c>
      <c r="AA23" s="29">
        <f ca="1"/>
        <v>480</v>
      </c>
      <c r="AB23" s="29">
        <f ca="1"/>
        <v>100</v>
      </c>
      <c r="AC23" s="29">
        <f ca="1"/>
        <v>340</v>
      </c>
      <c r="AD23" s="29">
        <f ca="1"/>
        <v>340</v>
      </c>
      <c r="AE23" s="29">
        <f ca="1"/>
        <v>340</v>
      </c>
      <c r="AF23" s="32" t="s">
        <v>51</v>
      </c>
      <c r="AG23" s="32"/>
      <c r="AH23" s="32"/>
    </row>
    <row r="24" spans="1:34" ht="20.100000000000001" customHeight="1" x14ac:dyDescent="0.25">
      <c r="A24" s="5" t="str">
        <f>HYPERLINK("#'5.1.1.1-2 Inorganic fert N2O'!A1", "5.1.1.1-2 Inorganic fert N2O")</f>
        <v>5.1.1.1-2 Inorganic fert N2O</v>
      </c>
      <c r="U24" s="29" t="str">
        <f>TEXT(EDATE('Input - Site'!$E$12,4), "mmmm yyyy")</f>
        <v>May 2024</v>
      </c>
      <c r="V24" s="29">
        <f ca="1"/>
        <v>100</v>
      </c>
      <c r="W24" s="29">
        <f ca="1"/>
        <v>680</v>
      </c>
      <c r="X24" s="29">
        <f ca="1"/>
        <v>80</v>
      </c>
      <c r="Y24" s="29">
        <f ca="1"/>
        <v>320</v>
      </c>
      <c r="Z24" s="29">
        <f ca="1"/>
        <v>480</v>
      </c>
      <c r="AA24" s="29">
        <f ca="1"/>
        <v>480</v>
      </c>
      <c r="AB24" s="29">
        <f ca="1"/>
        <v>100</v>
      </c>
      <c r="AC24" s="29">
        <f ca="1"/>
        <v>340</v>
      </c>
      <c r="AD24" s="29">
        <f ca="1"/>
        <v>340</v>
      </c>
      <c r="AE24" s="29">
        <f ca="1"/>
        <v>340</v>
      </c>
      <c r="AF24" s="32" t="s">
        <v>51</v>
      </c>
      <c r="AG24" s="32"/>
      <c r="AH24" s="32"/>
    </row>
    <row r="25" spans="1:34" ht="20.100000000000001" customHeight="1" x14ac:dyDescent="0.25">
      <c r="A25" s="5" t="str">
        <f>HYPERLINK("#'5.1.1.3-4 Inorganic fert CO2'!A1", "5.1.1.3-4 Inorganic fert CO2")</f>
        <v>5.1.1.3-4 Inorganic fert CO2</v>
      </c>
      <c r="D25" s="57" t="s">
        <v>236</v>
      </c>
      <c r="U25" s="29" t="str">
        <f>TEXT(EDATE('Input - Site'!$E$12,5), "mmmm yyyy")</f>
        <v>June 2024</v>
      </c>
      <c r="V25" s="29">
        <f ca="1"/>
        <v>190</v>
      </c>
      <c r="W25" s="29">
        <f ca="1"/>
        <v>700</v>
      </c>
      <c r="X25" s="29">
        <f ca="1"/>
        <v>150</v>
      </c>
      <c r="Y25" s="29">
        <f ca="1"/>
        <v>330</v>
      </c>
      <c r="Z25" s="29">
        <f ca="1"/>
        <v>490</v>
      </c>
      <c r="AA25" s="29">
        <f ca="1"/>
        <v>490</v>
      </c>
      <c r="AB25" s="29">
        <f ca="1"/>
        <v>170</v>
      </c>
      <c r="AC25" s="29">
        <f ca="1"/>
        <v>360</v>
      </c>
      <c r="AD25" s="29">
        <f ca="1"/>
        <v>360</v>
      </c>
      <c r="AE25" s="29">
        <f ca="1"/>
        <v>360</v>
      </c>
      <c r="AF25" s="32" t="s">
        <v>51</v>
      </c>
      <c r="AG25" s="32"/>
      <c r="AH25" s="32"/>
    </row>
    <row r="26" spans="1:34" ht="20.100000000000001" customHeight="1" x14ac:dyDescent="0.25">
      <c r="A26" s="5" t="str">
        <f>HYPERLINK("#'5.2.1.1-2 Organic Fert N2O'!A1", "5.2.1.1-2 Organic fert N2O")</f>
        <v>5.2.1.1-2 Organic fert N2O</v>
      </c>
      <c r="D26" s="58" t="s">
        <v>237</v>
      </c>
      <c r="U26" s="29" t="str">
        <f>TEXT(EDATE('Input - Site'!$E$12,6), "mmmm yyyy")</f>
        <v>July 2024</v>
      </c>
      <c r="V26" s="29">
        <f ca="1"/>
        <v>190</v>
      </c>
      <c r="W26" s="29">
        <f ca="1"/>
        <v>700</v>
      </c>
      <c r="X26" s="29">
        <f ca="1"/>
        <v>150</v>
      </c>
      <c r="Y26" s="29">
        <f ca="1"/>
        <v>330</v>
      </c>
      <c r="Z26" s="29">
        <f ca="1"/>
        <v>490</v>
      </c>
      <c r="AA26" s="29">
        <f ca="1"/>
        <v>490</v>
      </c>
      <c r="AB26" s="29">
        <f ca="1"/>
        <v>170</v>
      </c>
      <c r="AC26" s="29">
        <f ca="1"/>
        <v>360</v>
      </c>
      <c r="AD26" s="29">
        <f ca="1"/>
        <v>360</v>
      </c>
      <c r="AE26" s="29">
        <f ca="1"/>
        <v>360</v>
      </c>
      <c r="AF26" s="32" t="s">
        <v>51</v>
      </c>
      <c r="AG26" s="32"/>
      <c r="AH26" s="32"/>
    </row>
    <row r="27" spans="1:34" ht="20.100000000000001" customHeight="1" x14ac:dyDescent="0.25">
      <c r="A27" s="5" t="str">
        <f>HYPERLINK("#'5.3.1.1-2 Lime CO2'!A1", "5.3.1.1-2 Lime CO2")</f>
        <v>5.3.1.1-2 Lime CO2</v>
      </c>
      <c r="D27" s="59" t="s">
        <v>31</v>
      </c>
      <c r="E27" s="59" t="s">
        <v>32</v>
      </c>
      <c r="F27" s="59" t="s">
        <v>33</v>
      </c>
      <c r="G27" s="59" t="s">
        <v>34</v>
      </c>
      <c r="H27" s="59" t="s">
        <v>35</v>
      </c>
      <c r="I27" s="59" t="s">
        <v>36</v>
      </c>
      <c r="J27" s="59" t="s">
        <v>37</v>
      </c>
      <c r="K27" s="59" t="s">
        <v>38</v>
      </c>
      <c r="L27" s="59" t="s">
        <v>39</v>
      </c>
      <c r="M27" s="59" t="s">
        <v>40</v>
      </c>
      <c r="U27" s="29" t="str">
        <f>TEXT(EDATE('Input - Site'!$E$12,7), "mmmm yyyy")</f>
        <v>August 2024</v>
      </c>
      <c r="V27" s="29">
        <f ca="1"/>
        <v>190</v>
      </c>
      <c r="W27" s="29">
        <f ca="1"/>
        <v>700</v>
      </c>
      <c r="X27" s="29">
        <f ca="1"/>
        <v>150</v>
      </c>
      <c r="Y27" s="29">
        <f ca="1"/>
        <v>330</v>
      </c>
      <c r="Z27" s="29">
        <f ca="1"/>
        <v>490</v>
      </c>
      <c r="AA27" s="29">
        <f ca="1"/>
        <v>490</v>
      </c>
      <c r="AB27" s="29">
        <f ca="1"/>
        <v>170</v>
      </c>
      <c r="AC27" s="29">
        <f ca="1"/>
        <v>360</v>
      </c>
      <c r="AD27" s="29">
        <f ca="1"/>
        <v>360</v>
      </c>
      <c r="AE27" s="29">
        <f ca="1"/>
        <v>360</v>
      </c>
      <c r="AF27" s="32" t="s">
        <v>51</v>
      </c>
      <c r="AG27" s="32"/>
      <c r="AH27" s="32"/>
    </row>
    <row r="28" spans="1:34" ht="20.100000000000001" customHeight="1" x14ac:dyDescent="0.25">
      <c r="A28" s="5" t="str">
        <f>HYPERLINK("#'5.4.1.1-4 Atmos deposition'!A1", "5.4.1.1-4 Atmos. deposition")</f>
        <v>5.4.1.1-4 Atmos. deposition</v>
      </c>
      <c r="D28" s="29">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9">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9">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9">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9">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9">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9">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9">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9">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9">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32" t="s">
        <v>51</v>
      </c>
      <c r="U28" s="29" t="str">
        <f>TEXT(EDATE('Input - Site'!$E$12,8), "mmmm yyyy")</f>
        <v>September 2024</v>
      </c>
      <c r="V28" s="29">
        <f ca="1"/>
        <v>340</v>
      </c>
      <c r="W28" s="29">
        <f ca="1"/>
        <v>800</v>
      </c>
      <c r="X28" s="29">
        <f ca="1"/>
        <v>260</v>
      </c>
      <c r="Y28" s="29">
        <f ca="1"/>
        <v>420</v>
      </c>
      <c r="Z28" s="29">
        <f ca="1"/>
        <v>550</v>
      </c>
      <c r="AA28" s="29">
        <f ca="1"/>
        <v>550</v>
      </c>
      <c r="AB28" s="29">
        <f ca="1"/>
        <v>300</v>
      </c>
      <c r="AC28" s="29">
        <f ca="1"/>
        <v>480</v>
      </c>
      <c r="AD28" s="29">
        <f ca="1"/>
        <v>480</v>
      </c>
      <c r="AE28" s="29">
        <f ca="1"/>
        <v>480</v>
      </c>
      <c r="AF28" s="32" t="s">
        <v>51</v>
      </c>
      <c r="AG28" s="32"/>
      <c r="AH28" s="32"/>
    </row>
    <row r="29" spans="1:34" ht="20.100000000000001" customHeight="1" x14ac:dyDescent="0.25">
      <c r="A29" s="5" t="str">
        <f>HYPERLINK("#'5.5.1.1-2 Leaching and runoff'!A1", "5.5.1.1-2 Leaching &amp; runoff")</f>
        <v>5.5.1.1-2 Leaching &amp; runoff</v>
      </c>
      <c r="U29" s="29" t="str">
        <f>TEXT(EDATE('Input - Site'!$E$12,9), "mmmm yyyy")</f>
        <v>October 2024</v>
      </c>
      <c r="V29" s="29">
        <f ca="1"/>
        <v>340</v>
      </c>
      <c r="W29" s="29">
        <f ca="1"/>
        <v>800</v>
      </c>
      <c r="X29" s="29">
        <f ca="1"/>
        <v>260</v>
      </c>
      <c r="Y29" s="29">
        <f ca="1"/>
        <v>420</v>
      </c>
      <c r="Z29" s="29">
        <f ca="1"/>
        <v>550</v>
      </c>
      <c r="AA29" s="29">
        <f ca="1"/>
        <v>550</v>
      </c>
      <c r="AB29" s="29">
        <f ca="1"/>
        <v>300</v>
      </c>
      <c r="AC29" s="29">
        <f ca="1"/>
        <v>480</v>
      </c>
      <c r="AD29" s="29">
        <f ca="1"/>
        <v>480</v>
      </c>
      <c r="AE29" s="29">
        <f ca="1"/>
        <v>480</v>
      </c>
      <c r="AF29" s="32" t="s">
        <v>51</v>
      </c>
      <c r="AG29" s="32"/>
      <c r="AH29" s="32"/>
    </row>
    <row r="30" spans="1:34" ht="20.100000000000001" customHeight="1" x14ac:dyDescent="0.25">
      <c r="A30" s="5" t="str">
        <f>HYPERLINK("#'6.2.1.1-2 Pasture residue N2O'!A1", "6.2.1.1-2 Pasture residue N2O")</f>
        <v>6.2.1.1-2 Pasture residue N2O</v>
      </c>
      <c r="D30" s="57" t="s">
        <v>238</v>
      </c>
      <c r="U30" s="29" t="str">
        <f>TEXT(EDATE('Input - Site'!$E$12,10), "mmmm yyyy")</f>
        <v>November 2024</v>
      </c>
      <c r="V30" s="29">
        <f ca="1"/>
        <v>340</v>
      </c>
      <c r="W30" s="29">
        <f ca="1"/>
        <v>800</v>
      </c>
      <c r="X30" s="29">
        <f ca="1"/>
        <v>260</v>
      </c>
      <c r="Y30" s="29">
        <f ca="1"/>
        <v>420</v>
      </c>
      <c r="Z30" s="29">
        <f ca="1"/>
        <v>550</v>
      </c>
      <c r="AA30" s="29">
        <f ca="1"/>
        <v>550</v>
      </c>
      <c r="AB30" s="29">
        <f ca="1"/>
        <v>300</v>
      </c>
      <c r="AC30" s="29">
        <f ca="1"/>
        <v>480</v>
      </c>
      <c r="AD30" s="29">
        <f ca="1"/>
        <v>480</v>
      </c>
      <c r="AE30" s="29">
        <f ca="1"/>
        <v>480</v>
      </c>
      <c r="AF30" s="32" t="s">
        <v>51</v>
      </c>
      <c r="AG30" s="32"/>
      <c r="AH30" s="32"/>
    </row>
    <row r="31" spans="1:34" ht="20.100000000000001" customHeight="1" x14ac:dyDescent="0.25">
      <c r="A31" s="5" t="str">
        <f>HYPERLINK("#'6.3.1.1-2 Leach runoff pasture'!A1", "6.3.1.1-2 Leach &amp; runoff (pasture)")</f>
        <v>6.3.1.1-2 Leach &amp; runoff (pasture)</v>
      </c>
      <c r="D31" s="58" t="s">
        <v>239</v>
      </c>
      <c r="U31" s="29" t="str">
        <f>TEXT(EDATE('Input - Site'!$E$12,11), "mmmm yyyy")</f>
        <v>December 2024</v>
      </c>
      <c r="V31" s="29">
        <f ca="1"/>
        <v>380</v>
      </c>
      <c r="W31" s="29">
        <f ca="1"/>
        <v>780</v>
      </c>
      <c r="X31" s="29">
        <f ca="1"/>
        <v>300</v>
      </c>
      <c r="Y31" s="29">
        <f ca="1"/>
        <v>450</v>
      </c>
      <c r="Z31" s="29">
        <f ca="1"/>
        <v>530</v>
      </c>
      <c r="AA31" s="29">
        <f ca="1"/>
        <v>530</v>
      </c>
      <c r="AB31" s="29">
        <f ca="1"/>
        <v>340</v>
      </c>
      <c r="AC31" s="29">
        <f ca="1"/>
        <v>470</v>
      </c>
      <c r="AD31" s="29">
        <f ca="1"/>
        <v>470</v>
      </c>
      <c r="AE31" s="29">
        <f ca="1"/>
        <v>470</v>
      </c>
      <c r="AF31" s="32" t="s">
        <v>51</v>
      </c>
      <c r="AG31" s="32"/>
      <c r="AH31" s="32"/>
    </row>
    <row r="32" spans="1:34" ht="20.100000000000001" customHeight="1" x14ac:dyDescent="0.25">
      <c r="A32" s="5" t="str">
        <f>HYPERLINK("#'8.1.1.1-2 Transport fuel'!A1", "8.1.1.1-2 Transport fuel")</f>
        <v>8.1.1.1-2 Transport fuel</v>
      </c>
      <c r="D32" s="59" t="s">
        <v>84</v>
      </c>
      <c r="E32" s="59" t="s">
        <v>31</v>
      </c>
      <c r="F32" s="59" t="s">
        <v>32</v>
      </c>
      <c r="G32" s="59" t="s">
        <v>33</v>
      </c>
      <c r="H32" s="59" t="s">
        <v>34</v>
      </c>
      <c r="I32" s="59" t="s">
        <v>35</v>
      </c>
      <c r="J32" s="59" t="s">
        <v>36</v>
      </c>
      <c r="K32" s="59" t="s">
        <v>37</v>
      </c>
      <c r="L32" s="59" t="s">
        <v>38</v>
      </c>
      <c r="M32" s="59" t="s">
        <v>39</v>
      </c>
      <c r="N32" s="59" t="s">
        <v>40</v>
      </c>
    </row>
    <row r="33" spans="1:34" ht="20.100000000000001" customHeight="1" x14ac:dyDescent="0.25">
      <c r="A33" s="5" t="str">
        <f>HYPERLINK("#'8.2.1.1-2 Stationary fuel'!A1", "8.2.1.1-2 Stationary fuel")</f>
        <v>8.2.1.1-2 Stationary fuel</v>
      </c>
      <c r="D33" s="29" t="str">
        <f>INDEX(X_Table_PastureBeef_Liveweight_Method1,2,1)</f>
        <v>Spring</v>
      </c>
      <c r="E33" s="29" cm="1">
        <f t="array" aca="1" ref="E33" ca="1">MMS_PastureBeef_Soil_N2ODirect_Equations.VEERG_4_2_1_3__7_RelativeSize(E20,D$28)</f>
        <v>0.44155844155844154</v>
      </c>
      <c r="F33" s="29" cm="1">
        <f t="array" aca="1" ref="F33" ca="1">MMS_PastureBeef_Soil_N2ODirect_Equations.VEERG_4_2_1_3__7_RelativeSize(F20,E$28)</f>
        <v>1.0389610389610389</v>
      </c>
      <c r="G33" s="29" cm="1">
        <f t="array" aca="1" ref="G33" ca="1">MMS_PastureBeef_Soil_N2ODirect_Equations.VEERG_4_2_1_3__7_RelativeSize(G20,F$28)</f>
        <v>0.47272727272727272</v>
      </c>
      <c r="H33" s="29" cm="1">
        <f t="array" aca="1" ref="H33" ca="1">MMS_PastureBeef_Soil_N2ODirect_Equations.VEERG_4_2_1_3__7_RelativeSize(H20,G$28)</f>
        <v>0.76363636363636367</v>
      </c>
      <c r="I33" s="29" cm="1">
        <f t="array" aca="1" ref="I33" ca="1">MMS_PastureBeef_Soil_N2ODirect_Equations.VEERG_4_2_1_3__7_RelativeSize(I20,H$28)</f>
        <v>1</v>
      </c>
      <c r="J33" s="29" cm="1">
        <f t="array" aca="1" ref="J33" ca="1">MMS_PastureBeef_Soil_N2ODirect_Equations.VEERG_4_2_1_3__7_RelativeSize(J20,I$28)</f>
        <v>1</v>
      </c>
      <c r="K33" s="29" cm="1">
        <f t="array" aca="1" ref="K33" ca="1">MMS_PastureBeef_Soil_N2ODirect_Equations.VEERG_4_2_1_3__7_RelativeSize(K20,J$28)</f>
        <v>0.45454545454545453</v>
      </c>
      <c r="L33" s="29" cm="1">
        <f t="array" aca="1" ref="L33" ca="1">MMS_PastureBeef_Soil_N2ODirect_Equations.VEERG_4_2_1_3__7_RelativeSize(L20,K$28)</f>
        <v>0.72727272727272729</v>
      </c>
      <c r="M33" s="29" cm="1">
        <f t="array" aca="1" ref="M33" ca="1">MMS_PastureBeef_Soil_N2ODirect_Equations.VEERG_4_2_1_3__7_RelativeSize(M20,L$28)</f>
        <v>0.72727272727272729</v>
      </c>
      <c r="N33" s="29" cm="1">
        <f t="array" aca="1" ref="N33" ca="1">MMS_PastureBeef_Soil_N2ODirect_Equations.VEERG_4_2_1_3__7_RelativeSize(N20,M$28)</f>
        <v>0.72727272727272729</v>
      </c>
      <c r="O33" s="32" t="str">
        <f>$E$11</f>
        <v>ratio</v>
      </c>
      <c r="U33" s="57" t="s">
        <v>240</v>
      </c>
    </row>
    <row r="34" spans="1:34" ht="20.100000000000001" customHeight="1" x14ac:dyDescent="0.25">
      <c r="A34" s="5" t="str">
        <f>HYPERLINK("#'14.1.1-2 Purchased electricity'!A1", "14.1.1-2 Purchased electricity")</f>
        <v>14.1.1-2 Purchased electricity</v>
      </c>
      <c r="D34" s="29" t="str">
        <f>INDEX(X_Table_PastureBeef_Liveweight_Method1,3,1)</f>
        <v>Summer</v>
      </c>
      <c r="E34" s="29" cm="1">
        <f t="array" aca="1" ref="E34" ca="1">MMS_PastureBeef_Soil_N2ODirect_Equations.VEERG_4_2_1_3__7_RelativeSize(E21,D$28)</f>
        <v>0.4935064935064935</v>
      </c>
      <c r="F34" s="29" cm="1">
        <f t="array" aca="1" ref="F34" ca="1">MMS_PastureBeef_Soil_N2ODirect_Equations.VEERG_4_2_1_3__7_RelativeSize(F21,E$28)</f>
        <v>1.0129870129870129</v>
      </c>
      <c r="G34" s="29" cm="1">
        <f t="array" aca="1" ref="G34" ca="1">MMS_PastureBeef_Soil_N2ODirect_Equations.VEERG_4_2_1_3__7_RelativeSize(G21,F$28)</f>
        <v>0.54545454545454541</v>
      </c>
      <c r="H34" s="29" cm="1">
        <f t="array" aca="1" ref="H34" ca="1">MMS_PastureBeef_Soil_N2ODirect_Equations.VEERG_4_2_1_3__7_RelativeSize(H21,G$28)</f>
        <v>0.81818181818181823</v>
      </c>
      <c r="I34" s="29" cm="1">
        <f t="array" aca="1" ref="I34" ca="1">MMS_PastureBeef_Soil_N2ODirect_Equations.VEERG_4_2_1_3__7_RelativeSize(I21,H$28)</f>
        <v>0.96363636363636362</v>
      </c>
      <c r="J34" s="29" cm="1">
        <f t="array" aca="1" ref="J34" ca="1">MMS_PastureBeef_Soil_N2ODirect_Equations.VEERG_4_2_1_3__7_RelativeSize(J21,I$28)</f>
        <v>0.96363636363636362</v>
      </c>
      <c r="K34" s="29" cm="1">
        <f t="array" aca="1" ref="K34" ca="1">MMS_PastureBeef_Soil_N2ODirect_Equations.VEERG_4_2_1_3__7_RelativeSize(K21,J$28)</f>
        <v>0.51515151515151514</v>
      </c>
      <c r="L34" s="29" cm="1">
        <f t="array" aca="1" ref="L34" ca="1">MMS_PastureBeef_Soil_N2ODirect_Equations.VEERG_4_2_1_3__7_RelativeSize(L21,K$28)</f>
        <v>0.71212121212121215</v>
      </c>
      <c r="M34" s="29" cm="1">
        <f t="array" aca="1" ref="M34" ca="1">MMS_PastureBeef_Soil_N2ODirect_Equations.VEERG_4_2_1_3__7_RelativeSize(M21,L$28)</f>
        <v>0.71212121212121215</v>
      </c>
      <c r="N34" s="29" cm="1">
        <f t="array" aca="1" ref="N34" ca="1">MMS_PastureBeef_Soil_N2ODirect_Equations.VEERG_4_2_1_3__7_RelativeSize(N21,M$28)</f>
        <v>0.71212121212121215</v>
      </c>
      <c r="O34" s="32" t="str">
        <f t="shared" ref="O34:O36" si="0">$E$11</f>
        <v>ratio</v>
      </c>
      <c r="U34" s="58" t="s">
        <v>241</v>
      </c>
    </row>
    <row r="35" spans="1:34" ht="20.100000000000001" customHeight="1" x14ac:dyDescent="0.25">
      <c r="D35" s="29" t="str">
        <f>INDEX(X_Table_PastureBeef_Liveweight_Method1,4,1)</f>
        <v>Autumn</v>
      </c>
      <c r="E35" s="29" cm="1">
        <f t="array" aca="1" ref="E35" ca="1">MMS_PastureBeef_Soil_N2ODirect_Equations.VEERG_4_2_1_3__7_RelativeSize(E22,D$28)</f>
        <v>0.12987012987012986</v>
      </c>
      <c r="F35" s="29" cm="1">
        <f t="array" aca="1" ref="F35" ca="1">MMS_PastureBeef_Soil_N2ODirect_Equations.VEERG_4_2_1_3__7_RelativeSize(F22,E$28)</f>
        <v>0.88311688311688308</v>
      </c>
      <c r="G35" s="29" cm="1">
        <f t="array" aca="1" ref="G35" ca="1">MMS_PastureBeef_Soil_N2ODirect_Equations.VEERG_4_2_1_3__7_RelativeSize(G22,F$28)</f>
        <v>0.14545454545454545</v>
      </c>
      <c r="H35" s="29" cm="1">
        <f t="array" aca="1" ref="H35" ca="1">MMS_PastureBeef_Soil_N2ODirect_Equations.VEERG_4_2_1_3__7_RelativeSize(H22,G$28)</f>
        <v>0.58181818181818179</v>
      </c>
      <c r="I35" s="29" cm="1">
        <f t="array" aca="1" ref="I35" ca="1">MMS_PastureBeef_Soil_N2ODirect_Equations.VEERG_4_2_1_3__7_RelativeSize(I22,H$28)</f>
        <v>0.87272727272727268</v>
      </c>
      <c r="J35" s="29" cm="1">
        <f t="array" aca="1" ref="J35" ca="1">MMS_PastureBeef_Soil_N2ODirect_Equations.VEERG_4_2_1_3__7_RelativeSize(J22,I$28)</f>
        <v>0.87272727272727268</v>
      </c>
      <c r="K35" s="29" cm="1">
        <f t="array" aca="1" ref="K35" ca="1">MMS_PastureBeef_Soil_N2ODirect_Equations.VEERG_4_2_1_3__7_RelativeSize(K22,J$28)</f>
        <v>0.15151515151515152</v>
      </c>
      <c r="L35" s="29" cm="1">
        <f t="array" aca="1" ref="L35" ca="1">MMS_PastureBeef_Soil_N2ODirect_Equations.VEERG_4_2_1_3__7_RelativeSize(L22,K$28)</f>
        <v>0.51515151515151514</v>
      </c>
      <c r="M35" s="29" cm="1">
        <f t="array" aca="1" ref="M35" ca="1">MMS_PastureBeef_Soil_N2ODirect_Equations.VEERG_4_2_1_3__7_RelativeSize(M22,L$28)</f>
        <v>0.51515151515151514</v>
      </c>
      <c r="N35" s="29" cm="1">
        <f t="array" aca="1" ref="N35" ca="1">MMS_PastureBeef_Soil_N2ODirect_Equations.VEERG_4_2_1_3__7_RelativeSize(N22,M$28)</f>
        <v>0.51515151515151514</v>
      </c>
      <c r="O35" s="32" t="str">
        <f t="shared" si="0"/>
        <v>ratio</v>
      </c>
      <c r="U35" s="59" t="s">
        <v>87</v>
      </c>
      <c r="V35" s="59" t="s">
        <v>31</v>
      </c>
      <c r="W35" s="59" t="s">
        <v>32</v>
      </c>
      <c r="X35" s="59" t="s">
        <v>33</v>
      </c>
      <c r="Y35" s="59" t="s">
        <v>34</v>
      </c>
      <c r="Z35" s="59" t="s">
        <v>35</v>
      </c>
      <c r="AA35" s="59" t="s">
        <v>36</v>
      </c>
      <c r="AB35" s="59" t="s">
        <v>37</v>
      </c>
      <c r="AC35" s="59" t="s">
        <v>38</v>
      </c>
      <c r="AD35" s="59" t="s">
        <v>39</v>
      </c>
      <c r="AE35" s="59" t="s">
        <v>40</v>
      </c>
      <c r="AF35" s="32"/>
      <c r="AG35" s="32"/>
      <c r="AH35" s="32"/>
    </row>
    <row r="36" spans="1:34" ht="20.100000000000001" customHeight="1" x14ac:dyDescent="0.25">
      <c r="D36" s="29" t="str">
        <f>INDEX(X_Table_PastureBeef_Liveweight_Method1,5,1)</f>
        <v>Winter</v>
      </c>
      <c r="E36" s="29" cm="1">
        <f t="array" aca="1" ref="E36" ca="1">MMS_PastureBeef_Soil_N2ODirect_Equations.VEERG_4_2_1_3__7_RelativeSize(E23,D$28)</f>
        <v>0.24675324675324675</v>
      </c>
      <c r="F36" s="29" cm="1">
        <f t="array" aca="1" ref="F36" ca="1">MMS_PastureBeef_Soil_N2ODirect_Equations.VEERG_4_2_1_3__7_RelativeSize(F23,E$28)</f>
        <v>0.90909090909090906</v>
      </c>
      <c r="G36" s="29" cm="1">
        <f t="array" aca="1" ref="G36" ca="1">MMS_PastureBeef_Soil_N2ODirect_Equations.VEERG_4_2_1_3__7_RelativeSize(G23,F$28)</f>
        <v>0.27272727272727271</v>
      </c>
      <c r="H36" s="29" cm="1">
        <f t="array" aca="1" ref="H36" ca="1">MMS_PastureBeef_Soil_N2ODirect_Equations.VEERG_4_2_1_3__7_RelativeSize(H23,G$28)</f>
        <v>0.6</v>
      </c>
      <c r="I36" s="29" cm="1">
        <f t="array" aca="1" ref="I36" ca="1">MMS_PastureBeef_Soil_N2ODirect_Equations.VEERG_4_2_1_3__7_RelativeSize(I23,H$28)</f>
        <v>0.89090909090909087</v>
      </c>
      <c r="J36" s="29" cm="1">
        <f t="array" aca="1" ref="J36" ca="1">MMS_PastureBeef_Soil_N2ODirect_Equations.VEERG_4_2_1_3__7_RelativeSize(J23,I$28)</f>
        <v>0.89090909090909087</v>
      </c>
      <c r="K36" s="29" cm="1">
        <f t="array" aca="1" ref="K36" ca="1">MMS_PastureBeef_Soil_N2ODirect_Equations.VEERG_4_2_1_3__7_RelativeSize(K23,J$28)</f>
        <v>0.25757575757575757</v>
      </c>
      <c r="L36" s="29" cm="1">
        <f t="array" aca="1" ref="L36" ca="1">MMS_PastureBeef_Soil_N2ODirect_Equations.VEERG_4_2_1_3__7_RelativeSize(L23,K$28)</f>
        <v>0.54545454545454541</v>
      </c>
      <c r="M36" s="29" cm="1">
        <f t="array" aca="1" ref="M36" ca="1">MMS_PastureBeef_Soil_N2ODirect_Equations.VEERG_4_2_1_3__7_RelativeSize(M23,L$28)</f>
        <v>0.54545454545454541</v>
      </c>
      <c r="N36" s="29" cm="1">
        <f t="array" aca="1" ref="N36" ca="1">MMS_PastureBeef_Soil_N2ODirect_Equations.VEERG_4_2_1_3__7_RelativeSize(N23,M$28)</f>
        <v>0.54545454545454541</v>
      </c>
      <c r="O36" s="32" t="str">
        <f t="shared" si="0"/>
        <v>ratio</v>
      </c>
      <c r="U36" s="29" t="str">
        <f>TEXT('Input - Site'!$E$12, "mmmm yyyy")</f>
        <v>January 2024</v>
      </c>
      <c r="V36" s="29" cm="1">
        <f t="array" aca="1" ref="V36" ca="1">MMS_PastureBeef_Soil_N2ODirect_Equations.VEERG_4_2_1_3__7_RelativeSize(V20,D$28)</f>
        <v>0.4935064935064935</v>
      </c>
      <c r="W36" s="29" cm="1">
        <f t="array" aca="1" ref="W36" ca="1">MMS_PastureBeef_Soil_N2ODirect_Equations.VEERG_4_2_1_3__7_RelativeSize(W20,E$28)</f>
        <v>1.0129870129870129</v>
      </c>
      <c r="X36" s="29" cm="1">
        <f t="array" aca="1" ref="X36" ca="1">MMS_PastureBeef_Soil_N2ODirect_Equations.VEERG_4_2_1_3__7_RelativeSize(X20,F$28)</f>
        <v>0.54545454545454541</v>
      </c>
      <c r="Y36" s="29" cm="1">
        <f t="array" aca="1" ref="Y36" ca="1">MMS_PastureBeef_Soil_N2ODirect_Equations.VEERG_4_2_1_3__7_RelativeSize(Y20,G$28)</f>
        <v>0.81818181818181823</v>
      </c>
      <c r="Z36" s="29" cm="1">
        <f t="array" aca="1" ref="Z36" ca="1">MMS_PastureBeef_Soil_N2ODirect_Equations.VEERG_4_2_1_3__7_RelativeSize(Z20,H$28)</f>
        <v>0.96363636363636362</v>
      </c>
      <c r="AA36" s="29" cm="1">
        <f t="array" aca="1" ref="AA36" ca="1">MMS_PastureBeef_Soil_N2ODirect_Equations.VEERG_4_2_1_3__7_RelativeSize(AA20,I$28)</f>
        <v>0.96363636363636362</v>
      </c>
      <c r="AB36" s="29" cm="1">
        <f t="array" aca="1" ref="AB36" ca="1">MMS_PastureBeef_Soil_N2ODirect_Equations.VEERG_4_2_1_3__7_RelativeSize(AB20,J$28)</f>
        <v>0.51515151515151514</v>
      </c>
      <c r="AC36" s="29" cm="1">
        <f t="array" aca="1" ref="AC36" ca="1">MMS_PastureBeef_Soil_N2ODirect_Equations.VEERG_4_2_1_3__7_RelativeSize(AC20,K$28)</f>
        <v>0.71212121212121215</v>
      </c>
      <c r="AD36" s="29" cm="1">
        <f t="array" aca="1" ref="AD36" ca="1">MMS_PastureBeef_Soil_N2ODirect_Equations.VEERG_4_2_1_3__7_RelativeSize(AD20,L$28)</f>
        <v>0.71212121212121215</v>
      </c>
      <c r="AE36" s="29" cm="1">
        <f t="array" aca="1" ref="AE36" ca="1">MMS_PastureBeef_Soil_N2ODirect_Equations.VEERG_4_2_1_3__7_RelativeSize(AE20,M$28)</f>
        <v>0.71212121212121215</v>
      </c>
      <c r="AF36" s="32" t="str">
        <f t="shared" ref="AF36:AF47" si="1">$E$11</f>
        <v>ratio</v>
      </c>
      <c r="AG36" s="32"/>
      <c r="AH36" s="32"/>
    </row>
    <row r="37" spans="1:34" ht="20.100000000000001" customHeight="1" x14ac:dyDescent="0.25">
      <c r="A37" s="243" t="s">
        <v>1</v>
      </c>
      <c r="U37" s="29" t="str">
        <f>TEXT(EDATE('Input - Site'!$E$12,1), "mmmm yyyy")</f>
        <v>February 2024</v>
      </c>
      <c r="V37" s="29" cm="1">
        <f t="array" aca="1" ref="V37" ca="1">MMS_PastureBeef_Soil_N2ODirect_Equations.VEERG_4_2_1_3__7_RelativeSize(V21,D$28)</f>
        <v>0.4935064935064935</v>
      </c>
      <c r="W37" s="29" cm="1">
        <f t="array" aca="1" ref="W37" ca="1">MMS_PastureBeef_Soil_N2ODirect_Equations.VEERG_4_2_1_3__7_RelativeSize(W21,E$28)</f>
        <v>1.0129870129870129</v>
      </c>
      <c r="X37" s="29" cm="1">
        <f t="array" aca="1" ref="X37" ca="1">MMS_PastureBeef_Soil_N2ODirect_Equations.VEERG_4_2_1_3__7_RelativeSize(X21,F$28)</f>
        <v>0.54545454545454541</v>
      </c>
      <c r="Y37" s="29" cm="1">
        <f t="array" aca="1" ref="Y37" ca="1">MMS_PastureBeef_Soil_N2ODirect_Equations.VEERG_4_2_1_3__7_RelativeSize(Y21,G$28)</f>
        <v>0.81818181818181823</v>
      </c>
      <c r="Z37" s="29" cm="1">
        <f t="array" aca="1" ref="Z37" ca="1">MMS_PastureBeef_Soil_N2ODirect_Equations.VEERG_4_2_1_3__7_RelativeSize(Z21,H$28)</f>
        <v>0.96363636363636362</v>
      </c>
      <c r="AA37" s="29" cm="1">
        <f t="array" aca="1" ref="AA37" ca="1">MMS_PastureBeef_Soil_N2ODirect_Equations.VEERG_4_2_1_3__7_RelativeSize(AA21,I$28)</f>
        <v>0.96363636363636362</v>
      </c>
      <c r="AB37" s="29" cm="1">
        <f t="array" aca="1" ref="AB37" ca="1">MMS_PastureBeef_Soil_N2ODirect_Equations.VEERG_4_2_1_3__7_RelativeSize(AB21,J$28)</f>
        <v>0.51515151515151514</v>
      </c>
      <c r="AC37" s="29" cm="1">
        <f t="array" aca="1" ref="AC37" ca="1">MMS_PastureBeef_Soil_N2ODirect_Equations.VEERG_4_2_1_3__7_RelativeSize(AC21,K$28)</f>
        <v>0.71212121212121215</v>
      </c>
      <c r="AD37" s="29" cm="1">
        <f t="array" aca="1" ref="AD37" ca="1">MMS_PastureBeef_Soil_N2ODirect_Equations.VEERG_4_2_1_3__7_RelativeSize(AD21,L$28)</f>
        <v>0.71212121212121215</v>
      </c>
      <c r="AE37" s="29" cm="1">
        <f t="array" aca="1" ref="AE37" ca="1">MMS_PastureBeef_Soil_N2ODirect_Equations.VEERG_4_2_1_3__7_RelativeSize(AE21,M$28)</f>
        <v>0.71212121212121215</v>
      </c>
      <c r="AF37" s="32" t="str">
        <f t="shared" si="1"/>
        <v>ratio</v>
      </c>
      <c r="AG37" s="32"/>
      <c r="AH37" s="32"/>
    </row>
    <row r="38" spans="1:34" ht="20.100000000000001" customHeight="1" x14ac:dyDescent="0.25">
      <c r="A38" s="5" t="str">
        <f>HYPERLINK("#'Constants - Pasture Beef'!A1", "Constants - Pasture Beef")</f>
        <v>Constants - Pasture Beef</v>
      </c>
      <c r="U38" s="29" t="str">
        <f>TEXT(EDATE('Input - Site'!$E$12,2), "mmmm yyyy")</f>
        <v>March 2024</v>
      </c>
      <c r="V38" s="29" cm="1">
        <f t="array" aca="1" ref="V38" ca="1">MMS_PastureBeef_Soil_N2ODirect_Equations.VEERG_4_2_1_3__7_RelativeSize(V22,D$28)</f>
        <v>0.12987012987012986</v>
      </c>
      <c r="W38" s="29" cm="1">
        <f t="array" aca="1" ref="W38" ca="1">MMS_PastureBeef_Soil_N2ODirect_Equations.VEERG_4_2_1_3__7_RelativeSize(W22,E$28)</f>
        <v>0.88311688311688308</v>
      </c>
      <c r="X38" s="29" cm="1">
        <f t="array" aca="1" ref="X38" ca="1">MMS_PastureBeef_Soil_N2ODirect_Equations.VEERG_4_2_1_3__7_RelativeSize(X22,F$28)</f>
        <v>0.14545454545454545</v>
      </c>
      <c r="Y38" s="29" cm="1">
        <f t="array" aca="1" ref="Y38" ca="1">MMS_PastureBeef_Soil_N2ODirect_Equations.VEERG_4_2_1_3__7_RelativeSize(Y22,G$28)</f>
        <v>0.58181818181818179</v>
      </c>
      <c r="Z38" s="29" cm="1">
        <f t="array" aca="1" ref="Z38" ca="1">MMS_PastureBeef_Soil_N2ODirect_Equations.VEERG_4_2_1_3__7_RelativeSize(Z22,H$28)</f>
        <v>0.87272727272727268</v>
      </c>
      <c r="AA38" s="29" cm="1">
        <f t="array" aca="1" ref="AA38" ca="1">MMS_PastureBeef_Soil_N2ODirect_Equations.VEERG_4_2_1_3__7_RelativeSize(AA22,I$28)</f>
        <v>0.87272727272727268</v>
      </c>
      <c r="AB38" s="29" cm="1">
        <f t="array" aca="1" ref="AB38" ca="1">MMS_PastureBeef_Soil_N2ODirect_Equations.VEERG_4_2_1_3__7_RelativeSize(AB22,J$28)</f>
        <v>0.15151515151515152</v>
      </c>
      <c r="AC38" s="29" cm="1">
        <f t="array" aca="1" ref="AC38" ca="1">MMS_PastureBeef_Soil_N2ODirect_Equations.VEERG_4_2_1_3__7_RelativeSize(AC22,K$28)</f>
        <v>0.51515151515151514</v>
      </c>
      <c r="AD38" s="29" cm="1">
        <f t="array" aca="1" ref="AD38" ca="1">MMS_PastureBeef_Soil_N2ODirect_Equations.VEERG_4_2_1_3__7_RelativeSize(AD22,L$28)</f>
        <v>0.51515151515151514</v>
      </c>
      <c r="AE38" s="29" cm="1">
        <f t="array" aca="1" ref="AE38" ca="1">MMS_PastureBeef_Soil_N2ODirect_Equations.VEERG_4_2_1_3__7_RelativeSize(AE22,M$28)</f>
        <v>0.51515151515151514</v>
      </c>
      <c r="AF38" s="32" t="str">
        <f t="shared" si="1"/>
        <v>ratio</v>
      </c>
      <c r="AG38" s="32"/>
      <c r="AH38" s="32"/>
    </row>
    <row r="39" spans="1:34" ht="20.100000000000001" customHeight="1" x14ac:dyDescent="0.25">
      <c r="A39" s="5" t="str">
        <f>HYPERLINK("#'Constants - Ag Residue'!A1", "Constants - Ag residue")</f>
        <v>Constants - Ag residue</v>
      </c>
      <c r="C39" s="61"/>
      <c r="D39" s="61"/>
      <c r="E39" s="61"/>
      <c r="F39" s="61"/>
      <c r="G39" s="61"/>
      <c r="H39" s="61"/>
      <c r="I39" s="61"/>
      <c r="J39" s="61"/>
      <c r="K39" s="61"/>
      <c r="L39" s="61"/>
      <c r="M39" s="61"/>
      <c r="N39" s="61"/>
      <c r="O39" s="61"/>
      <c r="P39" s="61"/>
      <c r="Q39" s="61"/>
      <c r="R39" s="61"/>
      <c r="U39" s="29" t="str">
        <f>TEXT(EDATE('Input - Site'!$E$12,3), "mmmm yyyy")</f>
        <v>April 2024</v>
      </c>
      <c r="V39" s="29" cm="1">
        <f t="array" aca="1" ref="V39" ca="1">MMS_PastureBeef_Soil_N2ODirect_Equations.VEERG_4_2_1_3__7_RelativeSize(V23,D$28)</f>
        <v>0.12987012987012986</v>
      </c>
      <c r="W39" s="29" cm="1">
        <f t="array" aca="1" ref="W39" ca="1">MMS_PastureBeef_Soil_N2ODirect_Equations.VEERG_4_2_1_3__7_RelativeSize(W23,E$28)</f>
        <v>0.88311688311688308</v>
      </c>
      <c r="X39" s="29" cm="1">
        <f t="array" aca="1" ref="X39" ca="1">MMS_PastureBeef_Soil_N2ODirect_Equations.VEERG_4_2_1_3__7_RelativeSize(X23,F$28)</f>
        <v>0.14545454545454545</v>
      </c>
      <c r="Y39" s="29" cm="1">
        <f t="array" aca="1" ref="Y39" ca="1">MMS_PastureBeef_Soil_N2ODirect_Equations.VEERG_4_2_1_3__7_RelativeSize(Y23,G$28)</f>
        <v>0.58181818181818179</v>
      </c>
      <c r="Z39" s="29" cm="1">
        <f t="array" aca="1" ref="Z39" ca="1">MMS_PastureBeef_Soil_N2ODirect_Equations.VEERG_4_2_1_3__7_RelativeSize(Z23,H$28)</f>
        <v>0.87272727272727268</v>
      </c>
      <c r="AA39" s="29" cm="1">
        <f t="array" aca="1" ref="AA39" ca="1">MMS_PastureBeef_Soil_N2ODirect_Equations.VEERG_4_2_1_3__7_RelativeSize(AA23,I$28)</f>
        <v>0.87272727272727268</v>
      </c>
      <c r="AB39" s="29" cm="1">
        <f t="array" aca="1" ref="AB39" ca="1">MMS_PastureBeef_Soil_N2ODirect_Equations.VEERG_4_2_1_3__7_RelativeSize(AB23,J$28)</f>
        <v>0.15151515151515152</v>
      </c>
      <c r="AC39" s="29" cm="1">
        <f t="array" aca="1" ref="AC39" ca="1">MMS_PastureBeef_Soil_N2ODirect_Equations.VEERG_4_2_1_3__7_RelativeSize(AC23,K$28)</f>
        <v>0.51515151515151514</v>
      </c>
      <c r="AD39" s="29" cm="1">
        <f t="array" aca="1" ref="AD39" ca="1">MMS_PastureBeef_Soil_N2ODirect_Equations.VEERG_4_2_1_3__7_RelativeSize(AD23,L$28)</f>
        <v>0.51515151515151514</v>
      </c>
      <c r="AE39" s="29" cm="1">
        <f t="array" aca="1" ref="AE39" ca="1">MMS_PastureBeef_Soil_N2ODirect_Equations.VEERG_4_2_1_3__7_RelativeSize(AE23,M$28)</f>
        <v>0.51515151515151514</v>
      </c>
      <c r="AF39" s="32" t="str">
        <f t="shared" si="1"/>
        <v>ratio</v>
      </c>
      <c r="AG39" s="32"/>
      <c r="AH39" s="32"/>
    </row>
    <row r="40" spans="1:34" ht="20.100000000000001" customHeight="1" x14ac:dyDescent="0.25">
      <c r="A40" s="5" t="str">
        <f>HYPERLINK("#'Constants - Livestock'!A1", "Constants - Livestock")</f>
        <v>Constants - Livestock</v>
      </c>
      <c r="D40" s="2" t="str" cm="1">
        <f t="array" ref="D40">MMS_PastureBeef_Soil_N2ODirect_Equations.VEERG_4_2_1_3__6_IntakeRelativeToMaintenance_Title()</f>
        <v>Intake relative to that needed for maintenance</v>
      </c>
      <c r="U40" s="29" t="str">
        <f>TEXT(EDATE('Input - Site'!$E$12,4), "mmmm yyyy")</f>
        <v>May 2024</v>
      </c>
      <c r="V40" s="29" cm="1">
        <f t="array" aca="1" ref="V40" ca="1">MMS_PastureBeef_Soil_N2ODirect_Equations.VEERG_4_2_1_3__7_RelativeSize(V24,D$28)</f>
        <v>0.12987012987012986</v>
      </c>
      <c r="W40" s="29" cm="1">
        <f t="array" aca="1" ref="W40" ca="1">MMS_PastureBeef_Soil_N2ODirect_Equations.VEERG_4_2_1_3__7_RelativeSize(W24,E$28)</f>
        <v>0.88311688311688308</v>
      </c>
      <c r="X40" s="29" cm="1">
        <f t="array" aca="1" ref="X40" ca="1">MMS_PastureBeef_Soil_N2ODirect_Equations.VEERG_4_2_1_3__7_RelativeSize(X24,F$28)</f>
        <v>0.14545454545454545</v>
      </c>
      <c r="Y40" s="29" cm="1">
        <f t="array" aca="1" ref="Y40" ca="1">MMS_PastureBeef_Soil_N2ODirect_Equations.VEERG_4_2_1_3__7_RelativeSize(Y24,G$28)</f>
        <v>0.58181818181818179</v>
      </c>
      <c r="Z40" s="29" cm="1">
        <f t="array" aca="1" ref="Z40" ca="1">MMS_PastureBeef_Soil_N2ODirect_Equations.VEERG_4_2_1_3__7_RelativeSize(Z24,H$28)</f>
        <v>0.87272727272727268</v>
      </c>
      <c r="AA40" s="29" cm="1">
        <f t="array" aca="1" ref="AA40" ca="1">MMS_PastureBeef_Soil_N2ODirect_Equations.VEERG_4_2_1_3__7_RelativeSize(AA24,I$28)</f>
        <v>0.87272727272727268</v>
      </c>
      <c r="AB40" s="29" cm="1">
        <f t="array" aca="1" ref="AB40" ca="1">MMS_PastureBeef_Soil_N2ODirect_Equations.VEERG_4_2_1_3__7_RelativeSize(AB24,J$28)</f>
        <v>0.15151515151515152</v>
      </c>
      <c r="AC40" s="29" cm="1">
        <f t="array" aca="1" ref="AC40" ca="1">MMS_PastureBeef_Soil_N2ODirect_Equations.VEERG_4_2_1_3__7_RelativeSize(AC24,K$28)</f>
        <v>0.51515151515151514</v>
      </c>
      <c r="AD40" s="29" cm="1">
        <f t="array" aca="1" ref="AD40" ca="1">MMS_PastureBeef_Soil_N2ODirect_Equations.VEERG_4_2_1_3__7_RelativeSize(AD24,L$28)</f>
        <v>0.51515151515151514</v>
      </c>
      <c r="AE40" s="29" cm="1">
        <f t="array" aca="1" ref="AE40" ca="1">MMS_PastureBeef_Soil_N2ODirect_Equations.VEERG_4_2_1_3__7_RelativeSize(AE24,M$28)</f>
        <v>0.51515151515151514</v>
      </c>
      <c r="AF40" s="32" t="str">
        <f t="shared" si="1"/>
        <v>ratio</v>
      </c>
      <c r="AG40" s="32"/>
      <c r="AH40" s="32"/>
    </row>
    <row r="41" spans="1:34" ht="20.100000000000001" customHeight="1" x14ac:dyDescent="0.25">
      <c r="A41" s="5" t="str">
        <f>HYPERLINK("#'Constants - Electricity'!A1", "Constants - Electricity")</f>
        <v>Constants - Electricity</v>
      </c>
      <c r="D41" s="46" t="str" cm="1">
        <f t="array" ref="D41">MMS_PastureBeef_Soil_N2ODirect_Equations.VEERG_4_2_1_3__6_IntakeRelativeToMaintenance_Source()</f>
        <v>VEERG 2026: 4.2.1.3, Equation (6)</v>
      </c>
      <c r="U41" s="29" t="str">
        <f>TEXT(EDATE('Input - Site'!$E$12,5), "mmmm yyyy")</f>
        <v>June 2024</v>
      </c>
      <c r="V41" s="29" cm="1">
        <f t="array" aca="1" ref="V41" ca="1">MMS_PastureBeef_Soil_N2ODirect_Equations.VEERG_4_2_1_3__7_RelativeSize(V25,D$28)</f>
        <v>0.24675324675324675</v>
      </c>
      <c r="W41" s="29" cm="1">
        <f t="array" aca="1" ref="W41" ca="1">MMS_PastureBeef_Soil_N2ODirect_Equations.VEERG_4_2_1_3__7_RelativeSize(W25,E$28)</f>
        <v>0.90909090909090906</v>
      </c>
      <c r="X41" s="29" cm="1">
        <f t="array" aca="1" ref="X41" ca="1">MMS_PastureBeef_Soil_N2ODirect_Equations.VEERG_4_2_1_3__7_RelativeSize(X25,F$28)</f>
        <v>0.27272727272727271</v>
      </c>
      <c r="Y41" s="29" cm="1">
        <f t="array" aca="1" ref="Y41" ca="1">MMS_PastureBeef_Soil_N2ODirect_Equations.VEERG_4_2_1_3__7_RelativeSize(Y25,G$28)</f>
        <v>0.6</v>
      </c>
      <c r="Z41" s="29" cm="1">
        <f t="array" aca="1" ref="Z41" ca="1">MMS_PastureBeef_Soil_N2ODirect_Equations.VEERG_4_2_1_3__7_RelativeSize(Z25,H$28)</f>
        <v>0.89090909090909087</v>
      </c>
      <c r="AA41" s="29" cm="1">
        <f t="array" aca="1" ref="AA41" ca="1">MMS_PastureBeef_Soil_N2ODirect_Equations.VEERG_4_2_1_3__7_RelativeSize(AA25,I$28)</f>
        <v>0.89090909090909087</v>
      </c>
      <c r="AB41" s="29" cm="1">
        <f t="array" aca="1" ref="AB41" ca="1">MMS_PastureBeef_Soil_N2ODirect_Equations.VEERG_4_2_1_3__7_RelativeSize(AB25,J$28)</f>
        <v>0.25757575757575757</v>
      </c>
      <c r="AC41" s="29" cm="1">
        <f t="array" aca="1" ref="AC41" ca="1">MMS_PastureBeef_Soil_N2ODirect_Equations.VEERG_4_2_1_3__7_RelativeSize(AC25,K$28)</f>
        <v>0.54545454545454541</v>
      </c>
      <c r="AD41" s="29" cm="1">
        <f t="array" aca="1" ref="AD41" ca="1">MMS_PastureBeef_Soil_N2ODirect_Equations.VEERG_4_2_1_3__7_RelativeSize(AD25,L$28)</f>
        <v>0.54545454545454541</v>
      </c>
      <c r="AE41" s="29" cm="1">
        <f t="array" aca="1" ref="AE41" ca="1">MMS_PastureBeef_Soil_N2ODirect_Equations.VEERG_4_2_1_3__7_RelativeSize(AE25,M$28)</f>
        <v>0.54545454545454541</v>
      </c>
      <c r="AF41" s="32" t="str">
        <f t="shared" si="1"/>
        <v>ratio</v>
      </c>
      <c r="AG41" s="32"/>
      <c r="AH41" s="32"/>
    </row>
    <row r="42" spans="1:34" ht="20.100000000000001" customHeight="1" x14ac:dyDescent="0.25">
      <c r="A42" s="5" t="str">
        <f>HYPERLINK("#'Constants - Fertiliser'!A1", "Constants - Fertiliser")</f>
        <v>Constants - Fertiliser</v>
      </c>
      <c r="D42" s="47" t="s">
        <v>77</v>
      </c>
      <c r="E42" s="47" t="str" cm="1">
        <f t="array" aca="1" ref="E42" ca="1">Common_InputFunctions.Utility_DisplayFunctionName(E62)</f>
        <v>=MMS_PastureBeef_Soil_N2ODirect_Equations.VEERG_4_2_1_3__6_IntakeRelativeToMaintenance</v>
      </c>
      <c r="U42" s="29" t="str">
        <f>TEXT(EDATE('Input - Site'!$E$12,6), "mmmm yyyy")</f>
        <v>July 2024</v>
      </c>
      <c r="V42" s="29" cm="1">
        <f t="array" aca="1" ref="V42" ca="1">MMS_PastureBeef_Soil_N2ODirect_Equations.VEERG_4_2_1_3__7_RelativeSize(V26,D$28)</f>
        <v>0.24675324675324675</v>
      </c>
      <c r="W42" s="29" cm="1">
        <f t="array" aca="1" ref="W42" ca="1">MMS_PastureBeef_Soil_N2ODirect_Equations.VEERG_4_2_1_3__7_RelativeSize(W26,E$28)</f>
        <v>0.90909090909090906</v>
      </c>
      <c r="X42" s="29" cm="1">
        <f t="array" aca="1" ref="X42" ca="1">MMS_PastureBeef_Soil_N2ODirect_Equations.VEERG_4_2_1_3__7_RelativeSize(X26,F$28)</f>
        <v>0.27272727272727271</v>
      </c>
      <c r="Y42" s="29" cm="1">
        <f t="array" aca="1" ref="Y42" ca="1">MMS_PastureBeef_Soil_N2ODirect_Equations.VEERG_4_2_1_3__7_RelativeSize(Y26,G$28)</f>
        <v>0.6</v>
      </c>
      <c r="Z42" s="29" cm="1">
        <f t="array" aca="1" ref="Z42" ca="1">MMS_PastureBeef_Soil_N2ODirect_Equations.VEERG_4_2_1_3__7_RelativeSize(Z26,H$28)</f>
        <v>0.89090909090909087</v>
      </c>
      <c r="AA42" s="29" cm="1">
        <f t="array" aca="1" ref="AA42" ca="1">MMS_PastureBeef_Soil_N2ODirect_Equations.VEERG_4_2_1_3__7_RelativeSize(AA26,I$28)</f>
        <v>0.89090909090909087</v>
      </c>
      <c r="AB42" s="29" cm="1">
        <f t="array" aca="1" ref="AB42" ca="1">MMS_PastureBeef_Soil_N2ODirect_Equations.VEERG_4_2_1_3__7_RelativeSize(AB26,J$28)</f>
        <v>0.25757575757575757</v>
      </c>
      <c r="AC42" s="29" cm="1">
        <f t="array" aca="1" ref="AC42" ca="1">MMS_PastureBeef_Soil_N2ODirect_Equations.VEERG_4_2_1_3__7_RelativeSize(AC26,K$28)</f>
        <v>0.54545454545454541</v>
      </c>
      <c r="AD42" s="29" cm="1">
        <f t="array" aca="1" ref="AD42" ca="1">MMS_PastureBeef_Soil_N2ODirect_Equations.VEERG_4_2_1_3__7_RelativeSize(AD26,L$28)</f>
        <v>0.54545454545454541</v>
      </c>
      <c r="AE42" s="29" cm="1">
        <f t="array" aca="1" ref="AE42" ca="1">MMS_PastureBeef_Soil_N2ODirect_Equations.VEERG_4_2_1_3__7_RelativeSize(AE26,M$28)</f>
        <v>0.54545454545454541</v>
      </c>
      <c r="AF42" s="32" t="str">
        <f t="shared" si="1"/>
        <v>ratio</v>
      </c>
      <c r="AG42" s="32"/>
      <c r="AH42" s="32"/>
    </row>
    <row r="43" spans="1:34" ht="20.100000000000001" customHeight="1" x14ac:dyDescent="0.25">
      <c r="A43" s="5" t="str">
        <f>HYPERLINK("#'Constants - Fuel'!A1", "Constants - Fuel")</f>
        <v>Constants - Fuel</v>
      </c>
      <c r="U43" s="29" t="str">
        <f>TEXT(EDATE('Input - Site'!$E$12,7), "mmmm yyyy")</f>
        <v>August 2024</v>
      </c>
      <c r="V43" s="29" cm="1">
        <f t="array" aca="1" ref="V43" ca="1">MMS_PastureBeef_Soil_N2ODirect_Equations.VEERG_4_2_1_3__7_RelativeSize(V27,D$28)</f>
        <v>0.24675324675324675</v>
      </c>
      <c r="W43" s="29" cm="1">
        <f t="array" aca="1" ref="W43" ca="1">MMS_PastureBeef_Soil_N2ODirect_Equations.VEERG_4_2_1_3__7_RelativeSize(W27,E$28)</f>
        <v>0.90909090909090906</v>
      </c>
      <c r="X43" s="29" cm="1">
        <f t="array" aca="1" ref="X43" ca="1">MMS_PastureBeef_Soil_N2ODirect_Equations.VEERG_4_2_1_3__7_RelativeSize(X27,F$28)</f>
        <v>0.27272727272727271</v>
      </c>
      <c r="Y43" s="29" cm="1">
        <f t="array" aca="1" ref="Y43" ca="1">MMS_PastureBeef_Soil_N2ODirect_Equations.VEERG_4_2_1_3__7_RelativeSize(Y27,G$28)</f>
        <v>0.6</v>
      </c>
      <c r="Z43" s="29" cm="1">
        <f t="array" aca="1" ref="Z43" ca="1">MMS_PastureBeef_Soil_N2ODirect_Equations.VEERG_4_2_1_3__7_RelativeSize(Z27,H$28)</f>
        <v>0.89090909090909087</v>
      </c>
      <c r="AA43" s="29" cm="1">
        <f t="array" aca="1" ref="AA43" ca="1">MMS_PastureBeef_Soil_N2ODirect_Equations.VEERG_4_2_1_3__7_RelativeSize(AA27,I$28)</f>
        <v>0.89090909090909087</v>
      </c>
      <c r="AB43" s="29" cm="1">
        <f t="array" aca="1" ref="AB43" ca="1">MMS_PastureBeef_Soil_N2ODirect_Equations.VEERG_4_2_1_3__7_RelativeSize(AB27,J$28)</f>
        <v>0.25757575757575757</v>
      </c>
      <c r="AC43" s="29" cm="1">
        <f t="array" aca="1" ref="AC43" ca="1">MMS_PastureBeef_Soil_N2ODirect_Equations.VEERG_4_2_1_3__7_RelativeSize(AC27,K$28)</f>
        <v>0.54545454545454541</v>
      </c>
      <c r="AD43" s="29" cm="1">
        <f t="array" aca="1" ref="AD43" ca="1">MMS_PastureBeef_Soil_N2ODirect_Equations.VEERG_4_2_1_3__7_RelativeSize(AD27,L$28)</f>
        <v>0.54545454545454541</v>
      </c>
      <c r="AE43" s="29" cm="1">
        <f t="array" aca="1" ref="AE43" ca="1">MMS_PastureBeef_Soil_N2ODirect_Equations.VEERG_4_2_1_3__7_RelativeSize(AE27,M$28)</f>
        <v>0.54545454545454541</v>
      </c>
      <c r="AF43" s="32" t="str">
        <f t="shared" si="1"/>
        <v>ratio</v>
      </c>
      <c r="AG43" s="32"/>
      <c r="AH43" s="32"/>
    </row>
    <row r="44" spans="1:34" ht="20.100000000000001" customHeight="1" x14ac:dyDescent="0.25">
      <c r="A44" s="5" t="str">
        <f>HYPERLINK("#'Constants - Common'!A1", "Constants - Common")</f>
        <v>Constants - Common</v>
      </c>
      <c r="U44" s="29" t="str">
        <f>TEXT(EDATE('Input - Site'!$E$12,8), "mmmm yyyy")</f>
        <v>September 2024</v>
      </c>
      <c r="V44" s="29" cm="1">
        <f t="array" aca="1" ref="V44" ca="1">MMS_PastureBeef_Soil_N2ODirect_Equations.VEERG_4_2_1_3__7_RelativeSize(V28,D$28)</f>
        <v>0.44155844155844154</v>
      </c>
      <c r="W44" s="29" cm="1">
        <f t="array" aca="1" ref="W44" ca="1">MMS_PastureBeef_Soil_N2ODirect_Equations.VEERG_4_2_1_3__7_RelativeSize(W28,E$28)</f>
        <v>1.0389610389610389</v>
      </c>
      <c r="X44" s="29" cm="1">
        <f t="array" aca="1" ref="X44" ca="1">MMS_PastureBeef_Soil_N2ODirect_Equations.VEERG_4_2_1_3__7_RelativeSize(X28,F$28)</f>
        <v>0.47272727272727272</v>
      </c>
      <c r="Y44" s="29" cm="1">
        <f t="array" aca="1" ref="Y44" ca="1">MMS_PastureBeef_Soil_N2ODirect_Equations.VEERG_4_2_1_3__7_RelativeSize(Y28,G$28)</f>
        <v>0.76363636363636367</v>
      </c>
      <c r="Z44" s="29" cm="1">
        <f t="array" aca="1" ref="Z44" ca="1">MMS_PastureBeef_Soil_N2ODirect_Equations.VEERG_4_2_1_3__7_RelativeSize(Z28,H$28)</f>
        <v>1</v>
      </c>
      <c r="AA44" s="29" cm="1">
        <f t="array" aca="1" ref="AA44" ca="1">MMS_PastureBeef_Soil_N2ODirect_Equations.VEERG_4_2_1_3__7_RelativeSize(AA28,I$28)</f>
        <v>1</v>
      </c>
      <c r="AB44" s="29" cm="1">
        <f t="array" aca="1" ref="AB44" ca="1">MMS_PastureBeef_Soil_N2ODirect_Equations.VEERG_4_2_1_3__7_RelativeSize(AB28,J$28)</f>
        <v>0.45454545454545453</v>
      </c>
      <c r="AC44" s="29" cm="1">
        <f t="array" aca="1" ref="AC44" ca="1">MMS_PastureBeef_Soil_N2ODirect_Equations.VEERG_4_2_1_3__7_RelativeSize(AC28,K$28)</f>
        <v>0.72727272727272729</v>
      </c>
      <c r="AD44" s="29" cm="1">
        <f t="array" aca="1" ref="AD44" ca="1">MMS_PastureBeef_Soil_N2ODirect_Equations.VEERG_4_2_1_3__7_RelativeSize(AD28,L$28)</f>
        <v>0.72727272727272729</v>
      </c>
      <c r="AE44" s="29" cm="1">
        <f t="array" aca="1" ref="AE44" ca="1">MMS_PastureBeef_Soil_N2ODirect_Equations.VEERG_4_2_1_3__7_RelativeSize(AE28,M$28)</f>
        <v>0.72727272727272729</v>
      </c>
      <c r="AF44" s="32" t="str">
        <f t="shared" si="1"/>
        <v>ratio</v>
      </c>
      <c r="AG44" s="32"/>
      <c r="AH44" s="32"/>
    </row>
    <row r="45" spans="1:34" ht="20.100000000000001" customHeight="1" x14ac:dyDescent="0.25">
      <c r="A45" s="5" t="str">
        <f>HYPERLINK("#'Acknowledgements'!A1", "Acknowledgements")</f>
        <v>Acknowledgements</v>
      </c>
      <c r="D45" s="48" t="s">
        <v>79</v>
      </c>
      <c r="E45" s="1" t="str" cm="1">
        <f t="array" ref="E45">MMS_PastureBeef_Soil_N2ODirect_Equations.VEERG_4_2_1_3__6_IntakeRelativeToMaintenance_Variable()</f>
        <v>L_jkl</v>
      </c>
      <c r="U45" s="29" t="str">
        <f>TEXT(EDATE('Input - Site'!$E$12,9), "mmmm yyyy")</f>
        <v>October 2024</v>
      </c>
      <c r="V45" s="29" cm="1">
        <f t="array" aca="1" ref="V45" ca="1">MMS_PastureBeef_Soil_N2ODirect_Equations.VEERG_4_2_1_3__7_RelativeSize(V29,D$28)</f>
        <v>0.44155844155844154</v>
      </c>
      <c r="W45" s="29" cm="1">
        <f t="array" aca="1" ref="W45" ca="1">MMS_PastureBeef_Soil_N2ODirect_Equations.VEERG_4_2_1_3__7_RelativeSize(W29,E$28)</f>
        <v>1.0389610389610389</v>
      </c>
      <c r="X45" s="29" cm="1">
        <f t="array" aca="1" ref="X45" ca="1">MMS_PastureBeef_Soil_N2ODirect_Equations.VEERG_4_2_1_3__7_RelativeSize(X29,F$28)</f>
        <v>0.47272727272727272</v>
      </c>
      <c r="Y45" s="29" cm="1">
        <f t="array" aca="1" ref="Y45" ca="1">MMS_PastureBeef_Soil_N2ODirect_Equations.VEERG_4_2_1_3__7_RelativeSize(Y29,G$28)</f>
        <v>0.76363636363636367</v>
      </c>
      <c r="Z45" s="29" cm="1">
        <f t="array" aca="1" ref="Z45" ca="1">MMS_PastureBeef_Soil_N2ODirect_Equations.VEERG_4_2_1_3__7_RelativeSize(Z29,H$28)</f>
        <v>1</v>
      </c>
      <c r="AA45" s="29" cm="1">
        <f t="array" aca="1" ref="AA45" ca="1">MMS_PastureBeef_Soil_N2ODirect_Equations.VEERG_4_2_1_3__7_RelativeSize(AA29,I$28)</f>
        <v>1</v>
      </c>
      <c r="AB45" s="29" cm="1">
        <f t="array" aca="1" ref="AB45" ca="1">MMS_PastureBeef_Soil_N2ODirect_Equations.VEERG_4_2_1_3__7_RelativeSize(AB29,J$28)</f>
        <v>0.45454545454545453</v>
      </c>
      <c r="AC45" s="29" cm="1">
        <f t="array" aca="1" ref="AC45" ca="1">MMS_PastureBeef_Soil_N2ODirect_Equations.VEERG_4_2_1_3__7_RelativeSize(AC29,K$28)</f>
        <v>0.72727272727272729</v>
      </c>
      <c r="AD45" s="29" cm="1">
        <f t="array" aca="1" ref="AD45" ca="1">MMS_PastureBeef_Soil_N2ODirect_Equations.VEERG_4_2_1_3__7_RelativeSize(AD29,L$28)</f>
        <v>0.72727272727272729</v>
      </c>
      <c r="AE45" s="29" cm="1">
        <f t="array" aca="1" ref="AE45" ca="1">MMS_PastureBeef_Soil_N2ODirect_Equations.VEERG_4_2_1_3__7_RelativeSize(AE29,M$28)</f>
        <v>0.72727272727272729</v>
      </c>
      <c r="AF45" s="32" t="str">
        <f t="shared" si="1"/>
        <v>ratio</v>
      </c>
      <c r="AG45" s="32"/>
      <c r="AH45" s="32"/>
    </row>
    <row r="46" spans="1:34" ht="20.100000000000001" customHeight="1" x14ac:dyDescent="0.25">
      <c r="A46" s="5" t="str">
        <f>HYPERLINK("#'Overview'!A1", "Overview")</f>
        <v>Overview</v>
      </c>
      <c r="D46" s="48" t="s">
        <v>80</v>
      </c>
      <c r="E46" s="17" t="str" cm="1">
        <f t="array" ref="E46">MMS_PastureBeef_Soil_N2ODirect_Equations.VEERG_4_2_1_3__6_IntakeRelativeToMaintenance_Unit()</f>
        <v>ratio</v>
      </c>
      <c r="U46" s="29" t="str">
        <f>TEXT(EDATE('Input - Site'!$E$12,10), "mmmm yyyy")</f>
        <v>November 2024</v>
      </c>
      <c r="V46" s="29" cm="1">
        <f t="array" aca="1" ref="V46" ca="1">MMS_PastureBeef_Soil_N2ODirect_Equations.VEERG_4_2_1_3__7_RelativeSize(V30,D$28)</f>
        <v>0.44155844155844154</v>
      </c>
      <c r="W46" s="29" cm="1">
        <f t="array" aca="1" ref="W46" ca="1">MMS_PastureBeef_Soil_N2ODirect_Equations.VEERG_4_2_1_3__7_RelativeSize(W30,E$28)</f>
        <v>1.0389610389610389</v>
      </c>
      <c r="X46" s="29" cm="1">
        <f t="array" aca="1" ref="X46" ca="1">MMS_PastureBeef_Soil_N2ODirect_Equations.VEERG_4_2_1_3__7_RelativeSize(X30,F$28)</f>
        <v>0.47272727272727272</v>
      </c>
      <c r="Y46" s="29" cm="1">
        <f t="array" aca="1" ref="Y46" ca="1">MMS_PastureBeef_Soil_N2ODirect_Equations.VEERG_4_2_1_3__7_RelativeSize(Y30,G$28)</f>
        <v>0.76363636363636367</v>
      </c>
      <c r="Z46" s="29" cm="1">
        <f t="array" aca="1" ref="Z46" ca="1">MMS_PastureBeef_Soil_N2ODirect_Equations.VEERG_4_2_1_3__7_RelativeSize(Z30,H$28)</f>
        <v>1</v>
      </c>
      <c r="AA46" s="29" cm="1">
        <f t="array" aca="1" ref="AA46" ca="1">MMS_PastureBeef_Soil_N2ODirect_Equations.VEERG_4_2_1_3__7_RelativeSize(AA30,I$28)</f>
        <v>1</v>
      </c>
      <c r="AB46" s="29" cm="1">
        <f t="array" aca="1" ref="AB46" ca="1">MMS_PastureBeef_Soil_N2ODirect_Equations.VEERG_4_2_1_3__7_RelativeSize(AB30,J$28)</f>
        <v>0.45454545454545453</v>
      </c>
      <c r="AC46" s="29" cm="1">
        <f t="array" aca="1" ref="AC46" ca="1">MMS_PastureBeef_Soil_N2ODirect_Equations.VEERG_4_2_1_3__7_RelativeSize(AC30,K$28)</f>
        <v>0.72727272727272729</v>
      </c>
      <c r="AD46" s="29" cm="1">
        <f t="array" aca="1" ref="AD46" ca="1">MMS_PastureBeef_Soil_N2ODirect_Equations.VEERG_4_2_1_3__7_RelativeSize(AD30,L$28)</f>
        <v>0.72727272727272729</v>
      </c>
      <c r="AE46" s="29" cm="1">
        <f t="array" aca="1" ref="AE46" ca="1">MMS_PastureBeef_Soil_N2ODirect_Equations.VEERG_4_2_1_3__7_RelativeSize(AE30,M$28)</f>
        <v>0.72727272727272729</v>
      </c>
      <c r="AF46" s="32" t="str">
        <f t="shared" si="1"/>
        <v>ratio</v>
      </c>
      <c r="AG46" s="32"/>
      <c r="AH46" s="32"/>
    </row>
    <row r="47" spans="1:34" ht="20.100000000000001" customHeight="1" x14ac:dyDescent="0.25">
      <c r="U47" s="29" t="str">
        <f>TEXT(EDATE('Input - Site'!$E$12,11), "mmmm yyyy")</f>
        <v>December 2024</v>
      </c>
      <c r="V47" s="29" cm="1">
        <f t="array" aca="1" ref="V47" ca="1">MMS_PastureBeef_Soil_N2ODirect_Equations.VEERG_4_2_1_3__7_RelativeSize(V31,D$28)</f>
        <v>0.4935064935064935</v>
      </c>
      <c r="W47" s="29" cm="1">
        <f t="array" aca="1" ref="W47" ca="1">MMS_PastureBeef_Soil_N2ODirect_Equations.VEERG_4_2_1_3__7_RelativeSize(W31,E$28)</f>
        <v>1.0129870129870129</v>
      </c>
      <c r="X47" s="29" cm="1">
        <f t="array" aca="1" ref="X47" ca="1">MMS_PastureBeef_Soil_N2ODirect_Equations.VEERG_4_2_1_3__7_RelativeSize(X31,F$28)</f>
        <v>0.54545454545454541</v>
      </c>
      <c r="Y47" s="29" cm="1">
        <f t="array" aca="1" ref="Y47" ca="1">MMS_PastureBeef_Soil_N2ODirect_Equations.VEERG_4_2_1_3__7_RelativeSize(Y31,G$28)</f>
        <v>0.81818181818181823</v>
      </c>
      <c r="Z47" s="29" cm="1">
        <f t="array" aca="1" ref="Z47" ca="1">MMS_PastureBeef_Soil_N2ODirect_Equations.VEERG_4_2_1_3__7_RelativeSize(Z31,H$28)</f>
        <v>0.96363636363636362</v>
      </c>
      <c r="AA47" s="29" cm="1">
        <f t="array" aca="1" ref="AA47" ca="1">MMS_PastureBeef_Soil_N2ODirect_Equations.VEERG_4_2_1_3__7_RelativeSize(AA31,I$28)</f>
        <v>0.96363636363636362</v>
      </c>
      <c r="AB47" s="29" cm="1">
        <f t="array" aca="1" ref="AB47" ca="1">MMS_PastureBeef_Soil_N2ODirect_Equations.VEERG_4_2_1_3__7_RelativeSize(AB31,J$28)</f>
        <v>0.51515151515151514</v>
      </c>
      <c r="AC47" s="29" cm="1">
        <f t="array" aca="1" ref="AC47" ca="1">MMS_PastureBeef_Soil_N2ODirect_Equations.VEERG_4_2_1_3__7_RelativeSize(AC31,K$28)</f>
        <v>0.71212121212121215</v>
      </c>
      <c r="AD47" s="29" cm="1">
        <f t="array" aca="1" ref="AD47" ca="1">MMS_PastureBeef_Soil_N2ODirect_Equations.VEERG_4_2_1_3__7_RelativeSize(AD31,L$28)</f>
        <v>0.71212121212121215</v>
      </c>
      <c r="AE47" s="29" cm="1">
        <f t="array" aca="1" ref="AE47" ca="1">MMS_PastureBeef_Soil_N2ODirect_Equations.VEERG_4_2_1_3__7_RelativeSize(AE31,M$28)</f>
        <v>0.71212121212121215</v>
      </c>
      <c r="AF47" s="32" t="str">
        <f t="shared" si="1"/>
        <v>ratio</v>
      </c>
      <c r="AG47" s="32"/>
      <c r="AH47" s="32"/>
    </row>
    <row r="48" spans="1:34" ht="20.100000000000001" customHeight="1" x14ac:dyDescent="0.25">
      <c r="D48" s="50" t="str" cm="1">
        <f t="array" ref="D48:E49">_xlfn.CHOOSECOLS(MMS_PastureBeef_Soil_N2ODirect_Equations.VEERG_4_2_1_3__6_IntakeRelativeToMaintenance_Arguments(),1,2)</f>
        <v>I_jkl</v>
      </c>
      <c r="E48" s="51" t="str">
        <v>dry matter intake as calculated in Chapter 3 Section 3.2.1 (kg DM/head/day)</v>
      </c>
      <c r="F48" s="53"/>
      <c r="G48" s="50" t="str" cm="1">
        <f t="array" ref="G48:H49">_xlfn.CHOOSECOLS(MMS_PastureBeef_Soil_N2ODirect_Equations.VEERG_4_2_1_3__6_IntakeRelativeToMaintenance_Arguments(),3,4)</f>
        <v>kg DM/head/day</v>
      </c>
      <c r="H48" s="55" t="str">
        <v>Calculated from 3.2.1.1 (3)</v>
      </c>
      <c r="I48" s="56" t="str" cm="1">
        <f t="array" aca="1" ref="I48" ca="1">HYPERLINK(Common_InputFunctions.Utility_SourceHyperlink($D$51), $D$51)</f>
        <v>M1_Table_I_j_k_l</v>
      </c>
    </row>
    <row r="49" spans="4:35" ht="20.100000000000001" customHeight="1" x14ac:dyDescent="0.25">
      <c r="D49" s="50" t="str">
        <v>W_jkl</v>
      </c>
      <c r="E49" s="51" t="str">
        <v>liveweight (kg/head)</v>
      </c>
      <c r="F49" s="53"/>
      <c r="G49" s="50" t="str">
        <v>kg/head</v>
      </c>
      <c r="H49" s="54" t="str">
        <v>Input</v>
      </c>
      <c r="I49" s="56" t="str" cm="1">
        <f t="array" aca="1" ref="I49" ca="1">HYPERLINK(Common_InputFunctions.Utility_SourceHyperlink($D$17), $D$17)</f>
        <v>M1_Table_W_j_k_l</v>
      </c>
    </row>
    <row r="50" spans="4:35" ht="20.100000000000001" customHeight="1" x14ac:dyDescent="0.25">
      <c r="T50" s="61"/>
      <c r="U50" s="61"/>
      <c r="V50" s="61"/>
      <c r="W50" s="61"/>
      <c r="X50" s="61"/>
      <c r="Y50" s="61"/>
      <c r="Z50" s="61"/>
      <c r="AA50" s="61"/>
      <c r="AB50" s="61"/>
      <c r="AC50" s="61"/>
      <c r="AD50" s="61"/>
      <c r="AE50" s="61"/>
      <c r="AF50" s="61"/>
      <c r="AG50" s="61"/>
      <c r="AH50" s="61"/>
      <c r="AI50" s="61"/>
    </row>
    <row r="51" spans="4:35" ht="20.100000000000001" customHeight="1" x14ac:dyDescent="0.25">
      <c r="D51" s="57" t="s">
        <v>101</v>
      </c>
      <c r="U51" s="2" t="str" cm="1">
        <f t="array" ref="U51">MMS_PastureBeef_Soil_N2ODirect_Equations.VEERG_4_2_1_3__6_IntakeRelativeToMaintenance_Title()</f>
        <v>Intake relative to that needed for maintenance</v>
      </c>
    </row>
    <row r="52" spans="4:35" ht="20.100000000000001" customHeight="1" x14ac:dyDescent="0.25">
      <c r="D52" s="58" t="s">
        <v>102</v>
      </c>
    </row>
    <row r="53" spans="4:35" ht="20.100000000000001" customHeight="1" x14ac:dyDescent="0.25">
      <c r="D53" s="59" t="s">
        <v>84</v>
      </c>
      <c r="E53" s="59" t="s">
        <v>31</v>
      </c>
      <c r="F53" s="59" t="s">
        <v>32</v>
      </c>
      <c r="G53" s="59" t="s">
        <v>33</v>
      </c>
      <c r="H53" s="59" t="s">
        <v>34</v>
      </c>
      <c r="I53" s="59" t="s">
        <v>35</v>
      </c>
      <c r="J53" s="59" t="s">
        <v>36</v>
      </c>
      <c r="K53" s="59" t="s">
        <v>37</v>
      </c>
      <c r="L53" s="59" t="s">
        <v>38</v>
      </c>
      <c r="M53" s="59" t="s">
        <v>39</v>
      </c>
      <c r="N53" s="59" t="s">
        <v>40</v>
      </c>
      <c r="U53" s="57" t="s">
        <v>103</v>
      </c>
    </row>
    <row r="54" spans="4:35" ht="20.100000000000001" customHeight="1" x14ac:dyDescent="0.25">
      <c r="D54" s="29" t="s">
        <v>41</v>
      </c>
      <c r="E54" s="29">
        <f ca="1">INDEX(M1_Table_I_j_k_l,2,2)</f>
        <v>8.6709047296000001</v>
      </c>
      <c r="F54" s="29">
        <f ca="1">INDEX(M1_Table_I_j_k_l,2,3)</f>
        <v>12.246500250000002</v>
      </c>
      <c r="G54" s="29">
        <f ca="1">INDEX(M1_Table_I_j_k_l,2,4)</f>
        <v>6.6089612241000006</v>
      </c>
      <c r="H54" s="29">
        <f ca="1">INDEX(M1_Table_I_j_k_l,2,5)</f>
        <v>9.5403922901100024</v>
      </c>
      <c r="I54" s="29">
        <f ca="1">INDEX(M1_Table_I_j_k_l,2,6)</f>
        <v>11.268377125200001</v>
      </c>
      <c r="J54" s="29">
        <f ca="1">INDEX(M1_Table_I_j_k_l,2,7)</f>
        <v>11.268377125200001</v>
      </c>
      <c r="K54" s="29">
        <f ca="1">INDEX(M1_Table_I_j_k_l,2,8)</f>
        <v>7.6192560899999977</v>
      </c>
      <c r="L54" s="29">
        <f ca="1">INDEX(M1_Table_I_j_k_l,2,9)</f>
        <v>9.6824279555999979</v>
      </c>
      <c r="M54" s="29">
        <f ca="1">INDEX(M1_Table_I_j_k_l,2,10)</f>
        <v>9.6824279555999979</v>
      </c>
      <c r="N54" s="29">
        <f ca="1">INDEX(M1_Table_I_j_k_l,2,11)</f>
        <v>9.6824279555999979</v>
      </c>
      <c r="O54" s="32" t="str">
        <f>'4.2.1.1-2 Methane'!O84</f>
        <v>kg DM/head/day</v>
      </c>
      <c r="U54" s="58" t="s">
        <v>104</v>
      </c>
    </row>
    <row r="55" spans="4:35" ht="20.100000000000001" customHeight="1" x14ac:dyDescent="0.25">
      <c r="D55" s="29" t="s">
        <v>43</v>
      </c>
      <c r="E55" s="29">
        <f ca="1">INDEX(M1_Table_I_j_k_l,3,2)</f>
        <v>7.1468536895999959</v>
      </c>
      <c r="F55" s="29">
        <f ca="1">INDEX(M1_Table_I_j_k_l,3,3)</f>
        <v>9.4559940036000008</v>
      </c>
      <c r="G55" s="29">
        <f ca="1">INDEX(M1_Table_I_j_k_l,3,4)</f>
        <v>6.010342559999998</v>
      </c>
      <c r="H55" s="29">
        <f ca="1">INDEX(M1_Table_I_j_k_l,3,5)</f>
        <v>8.1853716906000002</v>
      </c>
      <c r="I55" s="29">
        <f ca="1">INDEX(M1_Table_I_j_k_l,3,6)</f>
        <v>8.1045195229439972</v>
      </c>
      <c r="J55" s="29">
        <f ca="1">INDEX(M1_Table_I_j_k_l,3,7)</f>
        <v>8.1045195229439972</v>
      </c>
      <c r="K55" s="29">
        <f ca="1">INDEX(M1_Table_I_j_k_l,3,8)</f>
        <v>6.5876408896000003</v>
      </c>
      <c r="L55" s="29">
        <f ca="1">INDEX(M1_Table_I_j_k_l,3,9)</f>
        <v>7.3430702361</v>
      </c>
      <c r="M55" s="29">
        <f ca="1">INDEX(M1_Table_I_j_k_l,3,10)</f>
        <v>7.3430702361</v>
      </c>
      <c r="N55" s="29">
        <f ca="1">INDEX(M1_Table_I_j_k_l,3,11)</f>
        <v>7.3430702361</v>
      </c>
      <c r="O55" s="32" t="str">
        <f>'4.2.1.1-2 Methane'!O85</f>
        <v>kg DM/head/day</v>
      </c>
      <c r="U55" s="59" t="s">
        <v>87</v>
      </c>
      <c r="V55" s="59" t="s">
        <v>31</v>
      </c>
      <c r="W55" s="59" t="s">
        <v>32</v>
      </c>
      <c r="X55" s="59" t="s">
        <v>33</v>
      </c>
      <c r="Y55" s="59" t="s">
        <v>34</v>
      </c>
      <c r="Z55" s="59" t="s">
        <v>35</v>
      </c>
      <c r="AA55" s="59" t="s">
        <v>36</v>
      </c>
      <c r="AB55" s="59" t="s">
        <v>37</v>
      </c>
      <c r="AC55" s="59" t="s">
        <v>38</v>
      </c>
      <c r="AD55" s="59" t="s">
        <v>39</v>
      </c>
      <c r="AE55" s="59" t="s">
        <v>40</v>
      </c>
    </row>
    <row r="56" spans="4:35" ht="20.100000000000001" customHeight="1" x14ac:dyDescent="0.25">
      <c r="D56" s="29" t="s">
        <v>44</v>
      </c>
      <c r="E56" s="29">
        <f ca="1">INDEX(M1_Table_I_j_k_l,4,2)</f>
        <v>3.247204</v>
      </c>
      <c r="F56" s="29">
        <f ca="1">INDEX(M1_Table_I_j_k_l,4,3)</f>
        <v>9.4246544015999998</v>
      </c>
      <c r="G56" s="29">
        <f ca="1">INDEX(M1_Table_I_j_k_l,4,4)</f>
        <v>2.9603267136000002</v>
      </c>
      <c r="H56" s="29">
        <f ca="1">INDEX(M1_Table_I_j_k_l,4,5)</f>
        <v>6.0173755149959991</v>
      </c>
      <c r="I56" s="29">
        <f ca="1">INDEX(M1_Table_I_j_k_l,4,6)</f>
        <v>6.7179974480999993</v>
      </c>
      <c r="J56" s="29">
        <f ca="1">INDEX(M1_Table_I_j_k_l,4,7)</f>
        <v>6.7179974480999993</v>
      </c>
      <c r="K56" s="29">
        <f ca="1">INDEX(M1_Table_I_j_k_l,4,8)</f>
        <v>3.247204</v>
      </c>
      <c r="L56" s="29">
        <f ca="1">INDEX(M1_Table_I_j_k_l,4,9)</f>
        <v>5.8953782416000013</v>
      </c>
      <c r="M56" s="29">
        <f ca="1">INDEX(M1_Table_I_j_k_l,4,10)</f>
        <v>5.8953782416000013</v>
      </c>
      <c r="N56" s="29">
        <f ca="1">INDEX(M1_Table_I_j_k_l,4,11)</f>
        <v>5.8953782416000013</v>
      </c>
      <c r="O56" s="32" t="str">
        <f>'4.2.1.1-2 Methane'!O86</f>
        <v>kg DM/head/day</v>
      </c>
      <c r="U56" s="29" t="str">
        <f>TEXT('Input - Site'!$E$12, "mmmm yyyy")</f>
        <v>January 2024</v>
      </c>
      <c r="V56" s="29">
        <f ca="1">INDEX(M2_Table_I_j_k_l,2,2)</f>
        <v>7.1468536895999959</v>
      </c>
      <c r="W56" s="29">
        <f ca="1">INDEX(M2_Table_I_j_k_l,2,3)</f>
        <v>9.4559940036000008</v>
      </c>
      <c r="X56" s="29">
        <f ca="1">INDEX(M2_Table_I_j_k_l,2,4)</f>
        <v>6.010342559999998</v>
      </c>
      <c r="Y56" s="29">
        <f ca="1">INDEX(M2_Table_I_j_k_l,2,5)</f>
        <v>8.4608409301875014</v>
      </c>
      <c r="Z56" s="29">
        <f ca="1">INDEX(M2_Table_I_j_k_l,2,6)</f>
        <v>8.3772677761199983</v>
      </c>
      <c r="AA56" s="29">
        <f ca="1">INDEX(M2_Table_I_j_k_l,2,7)</f>
        <v>8.3772677761199983</v>
      </c>
      <c r="AB56" s="29">
        <f ca="1">INDEX(M2_Table_I_j_k_l,2,8)</f>
        <v>6.5876408896000003</v>
      </c>
      <c r="AC56" s="29">
        <f ca="1">INDEX(M2_Table_I_j_k_l,2,9)</f>
        <v>7.3430702361</v>
      </c>
      <c r="AD56" s="29">
        <f ca="1">INDEX(M2_Table_I_j_k_l,2,10)</f>
        <v>7.3430702361</v>
      </c>
      <c r="AE56" s="29">
        <f ca="1">INDEX(M2_Table_I_j_k_l,2,11)</f>
        <v>7.3430702361</v>
      </c>
      <c r="AF56" s="32" t="str">
        <f>'4.2.1.1-2 Methane'!AH76</f>
        <v>kg DM/head/day</v>
      </c>
      <c r="AG56" s="32"/>
      <c r="AH56" s="32"/>
    </row>
    <row r="57" spans="4:35" ht="20.100000000000001" customHeight="1" x14ac:dyDescent="0.25">
      <c r="D57" s="29" t="s">
        <v>45</v>
      </c>
      <c r="E57" s="29">
        <f ca="1">INDEX(M1_Table_I_j_k_l,5,2)</f>
        <v>5.1328980481000004</v>
      </c>
      <c r="F57" s="29">
        <f ca="1">INDEX(M1_Table_I_j_k_l,5,3)</f>
        <v>9.9748588899999984</v>
      </c>
      <c r="G57" s="29">
        <f ca="1">INDEX(M1_Table_I_j_k_l,5,4)</f>
        <v>4.202705002500001</v>
      </c>
      <c r="H57" s="29">
        <f ca="1">INDEX(M1_Table_I_j_k_l,5,5)</f>
        <v>7.172653468761002</v>
      </c>
      <c r="I57" s="29">
        <f ca="1">INDEX(M1_Table_I_j_k_l,5,6)</f>
        <v>9.145195140114998</v>
      </c>
      <c r="J57" s="29">
        <f ca="1">INDEX(M1_Table_I_j_k_l,5,7)</f>
        <v>9.145195140114998</v>
      </c>
      <c r="K57" s="29">
        <f ca="1">INDEX(M1_Table_I_j_k_l,5,8)</f>
        <v>4.5122681240999984</v>
      </c>
      <c r="L57" s="29">
        <f ca="1">INDEX(M1_Table_I_j_k_l,5,9)</f>
        <v>6.8698506815999991</v>
      </c>
      <c r="M57" s="29">
        <f ca="1">INDEX(M1_Table_I_j_k_l,5,10)</f>
        <v>6.8698506815999991</v>
      </c>
      <c r="N57" s="29">
        <f ca="1">INDEX(M1_Table_I_j_k_l,5,11)</f>
        <v>6.8698506815999991</v>
      </c>
      <c r="O57" s="32" t="str">
        <f>'4.2.1.1-2 Methane'!O87</f>
        <v>kg DM/head/day</v>
      </c>
      <c r="U57" s="29" t="str">
        <f>TEXT(EDATE('Input - Site'!$E$12,1), "mmmm yyyy")</f>
        <v>February 2024</v>
      </c>
      <c r="V57" s="29">
        <f ca="1">INDEX(M2_Table_I_j_k_l,3,2)</f>
        <v>7.1468536895999959</v>
      </c>
      <c r="W57" s="29">
        <f ca="1">INDEX(M2_Table_I_j_k_l,3,3)</f>
        <v>9.4559940036000008</v>
      </c>
      <c r="X57" s="29">
        <f ca="1">INDEX(M2_Table_I_j_k_l,3,4)</f>
        <v>6.010342559999998</v>
      </c>
      <c r="Y57" s="29">
        <f ca="1">INDEX(M2_Table_I_j_k_l,3,5)</f>
        <v>7.8705497025</v>
      </c>
      <c r="Z57" s="29">
        <f ca="1">INDEX(M2_Table_I_j_k_l,3,6)</f>
        <v>7.7928072335999978</v>
      </c>
      <c r="AA57" s="29">
        <f ca="1">INDEX(M2_Table_I_j_k_l,3,7)</f>
        <v>7.7928072335999978</v>
      </c>
      <c r="AB57" s="29">
        <f ca="1">INDEX(M2_Table_I_j_k_l,3,8)</f>
        <v>6.5876408896000003</v>
      </c>
      <c r="AC57" s="29">
        <f ca="1">INDEX(M2_Table_I_j_k_l,3,9)</f>
        <v>7.3430702361</v>
      </c>
      <c r="AD57" s="29">
        <f ca="1">INDEX(M2_Table_I_j_k_l,3,10)</f>
        <v>7.3430702361</v>
      </c>
      <c r="AE57" s="29">
        <f ca="1">INDEX(M2_Table_I_j_k_l,3,11)</f>
        <v>7.3430702361</v>
      </c>
      <c r="AF57" s="32" t="str">
        <f>'4.2.1.1-2 Methane'!AH77</f>
        <v>kg DM/head/day</v>
      </c>
      <c r="AG57" s="32"/>
      <c r="AH57" s="32"/>
    </row>
    <row r="58" spans="4:35" ht="20.100000000000001" customHeight="1" x14ac:dyDescent="0.25">
      <c r="U58" s="29" t="str">
        <f>TEXT(EDATE('Input - Site'!$E$12,2), "mmmm yyyy")</f>
        <v>March 2024</v>
      </c>
      <c r="V58" s="29">
        <f ca="1">INDEX(M2_Table_I_j_k_l,4,2)</f>
        <v>3.247204</v>
      </c>
      <c r="W58" s="29">
        <f ca="1">INDEX(M2_Table_I_j_k_l,4,3)</f>
        <v>9.4246544015999998</v>
      </c>
      <c r="X58" s="29">
        <f ca="1">INDEX(M2_Table_I_j_k_l,4,4)</f>
        <v>2.9603267136000002</v>
      </c>
      <c r="Y58" s="29">
        <f ca="1">INDEX(M2_Table_I_j_k_l,4,5)</f>
        <v>5.9577975395999987</v>
      </c>
      <c r="Z58" s="29">
        <f ca="1">INDEX(M2_Table_I_j_k_l,4,6)</f>
        <v>6.7179974480999993</v>
      </c>
      <c r="AA58" s="29">
        <f ca="1">INDEX(M2_Table_I_j_k_l,4,7)</f>
        <v>6.7179974480999993</v>
      </c>
      <c r="AB58" s="29">
        <f ca="1">INDEX(M2_Table_I_j_k_l,4,8)</f>
        <v>3.247204</v>
      </c>
      <c r="AC58" s="29">
        <f ca="1">INDEX(M2_Table_I_j_k_l,4,9)</f>
        <v>5.8953782416000013</v>
      </c>
      <c r="AD58" s="29">
        <f ca="1">INDEX(M2_Table_I_j_k_l,4,10)</f>
        <v>5.8953782416000013</v>
      </c>
      <c r="AE58" s="29">
        <f ca="1">INDEX(M2_Table_I_j_k_l,4,11)</f>
        <v>5.8953782416000013</v>
      </c>
      <c r="AF58" s="32" t="str">
        <f>'4.2.1.1-2 Methane'!AH78</f>
        <v>kg DM/head/day</v>
      </c>
      <c r="AG58" s="32"/>
      <c r="AH58" s="32"/>
    </row>
    <row r="59" spans="4:35" ht="20.100000000000001" customHeight="1" x14ac:dyDescent="0.25">
      <c r="D59" s="57" t="s">
        <v>242</v>
      </c>
      <c r="U59" s="29" t="str">
        <f>TEXT(EDATE('Input - Site'!$E$12,3), "mmmm yyyy")</f>
        <v>April 2024</v>
      </c>
      <c r="V59" s="29">
        <f ca="1">INDEX(M2_Table_I_j_k_l,5,2)</f>
        <v>3.247204</v>
      </c>
      <c r="W59" s="29">
        <f ca="1">INDEX(M2_Table_I_j_k_l,5,3)</f>
        <v>9.4246544015999998</v>
      </c>
      <c r="X59" s="29">
        <f ca="1">INDEX(M2_Table_I_j_k_l,5,4)</f>
        <v>2.9603267136000002</v>
      </c>
      <c r="Y59" s="29">
        <f ca="1">INDEX(M2_Table_I_j_k_l,5,5)</f>
        <v>5.9577975395999987</v>
      </c>
      <c r="Z59" s="29">
        <f ca="1">INDEX(M2_Table_I_j_k_l,5,6)</f>
        <v>6.7179974480999993</v>
      </c>
      <c r="AA59" s="29">
        <f ca="1">INDEX(M2_Table_I_j_k_l,5,7)</f>
        <v>6.7179974480999993</v>
      </c>
      <c r="AB59" s="29">
        <f ca="1">INDEX(M2_Table_I_j_k_l,5,8)</f>
        <v>3.247204</v>
      </c>
      <c r="AC59" s="29">
        <f ca="1">INDEX(M2_Table_I_j_k_l,5,9)</f>
        <v>5.8953782416000013</v>
      </c>
      <c r="AD59" s="29">
        <f ca="1">INDEX(M2_Table_I_j_k_l,5,10)</f>
        <v>5.8953782416000013</v>
      </c>
      <c r="AE59" s="29">
        <f ca="1">INDEX(M2_Table_I_j_k_l,5,11)</f>
        <v>5.8953782416000013</v>
      </c>
      <c r="AF59" s="32" t="str">
        <f>'4.2.1.1-2 Methane'!AH79</f>
        <v>kg DM/head/day</v>
      </c>
      <c r="AG59" s="32"/>
      <c r="AH59" s="32"/>
    </row>
    <row r="60" spans="4:35" ht="20.100000000000001" customHeight="1" x14ac:dyDescent="0.25">
      <c r="D60" s="58" t="s">
        <v>243</v>
      </c>
      <c r="U60" s="29" t="str">
        <f>TEXT(EDATE('Input - Site'!$E$12,4), "mmmm yyyy")</f>
        <v>May 2024</v>
      </c>
      <c r="V60" s="29">
        <f ca="1">INDEX(M2_Table_I_j_k_l,6,2)</f>
        <v>3.247204</v>
      </c>
      <c r="W60" s="29">
        <f ca="1">INDEX(M2_Table_I_j_k_l,6,3)</f>
        <v>9.4246544015999998</v>
      </c>
      <c r="X60" s="29">
        <f ca="1">INDEX(M2_Table_I_j_k_l,6,4)</f>
        <v>2.9603267136000002</v>
      </c>
      <c r="Y60" s="29">
        <f ca="1">INDEX(M2_Table_I_j_k_l,6,5)</f>
        <v>5.9577975395999987</v>
      </c>
      <c r="Z60" s="29">
        <f ca="1">INDEX(M2_Table_I_j_k_l,6,6)</f>
        <v>6.7179974480999993</v>
      </c>
      <c r="AA60" s="29">
        <f ca="1">INDEX(M2_Table_I_j_k_l,6,7)</f>
        <v>6.7179974480999993</v>
      </c>
      <c r="AB60" s="29">
        <f ca="1">INDEX(M2_Table_I_j_k_l,6,8)</f>
        <v>3.247204</v>
      </c>
      <c r="AC60" s="29">
        <f ca="1">INDEX(M2_Table_I_j_k_l,6,9)</f>
        <v>5.8953782416000013</v>
      </c>
      <c r="AD60" s="29">
        <f ca="1">INDEX(M2_Table_I_j_k_l,6,10)</f>
        <v>5.8953782416000013</v>
      </c>
      <c r="AE60" s="29">
        <f ca="1">INDEX(M2_Table_I_j_k_l,6,11)</f>
        <v>5.8953782416000013</v>
      </c>
      <c r="AF60" s="32" t="str">
        <f>'4.2.1.1-2 Methane'!AH80</f>
        <v>kg DM/head/day</v>
      </c>
      <c r="AG60" s="32"/>
      <c r="AH60" s="32"/>
    </row>
    <row r="61" spans="4:35" ht="20.100000000000001" customHeight="1" x14ac:dyDescent="0.25">
      <c r="D61" s="59" t="s">
        <v>84</v>
      </c>
      <c r="E61" s="59" t="s">
        <v>31</v>
      </c>
      <c r="F61" s="59" t="s">
        <v>32</v>
      </c>
      <c r="G61" s="59" t="s">
        <v>33</v>
      </c>
      <c r="H61" s="59" t="s">
        <v>34</v>
      </c>
      <c r="I61" s="59" t="s">
        <v>35</v>
      </c>
      <c r="J61" s="59" t="s">
        <v>36</v>
      </c>
      <c r="K61" s="59" t="s">
        <v>37</v>
      </c>
      <c r="L61" s="59" t="s">
        <v>38</v>
      </c>
      <c r="M61" s="59" t="s">
        <v>39</v>
      </c>
      <c r="N61" s="59" t="s">
        <v>40</v>
      </c>
      <c r="U61" s="29" t="str">
        <f>TEXT(EDATE('Input - Site'!$E$12,5), "mmmm yyyy")</f>
        <v>June 2024</v>
      </c>
      <c r="V61" s="29">
        <f ca="1">INDEX(M2_Table_I_j_k_l,7,2)</f>
        <v>5.1328980481000004</v>
      </c>
      <c r="W61" s="29">
        <f ca="1">INDEX(M2_Table_I_j_k_l,7,3)</f>
        <v>9.9748588899999984</v>
      </c>
      <c r="X61" s="29">
        <f ca="1">INDEX(M2_Table_I_j_k_l,7,4)</f>
        <v>4.202705002500001</v>
      </c>
      <c r="Y61" s="29">
        <f ca="1">INDEX(M2_Table_I_j_k_l,7,5)</f>
        <v>5.9278127841000021</v>
      </c>
      <c r="Z61" s="29">
        <f ca="1">INDEX(M2_Table_I_j_k_l,7,6)</f>
        <v>7.952343600099999</v>
      </c>
      <c r="AA61" s="29">
        <f ca="1">INDEX(M2_Table_I_j_k_l,7,7)</f>
        <v>7.952343600099999</v>
      </c>
      <c r="AB61" s="29">
        <f ca="1">INDEX(M2_Table_I_j_k_l,7,8)</f>
        <v>4.5122681240999984</v>
      </c>
      <c r="AC61" s="29">
        <f ca="1">INDEX(M2_Table_I_j_k_l,7,9)</f>
        <v>6.8698506815999991</v>
      </c>
      <c r="AD61" s="29">
        <f ca="1">INDEX(M2_Table_I_j_k_l,7,10)</f>
        <v>6.8698506815999991</v>
      </c>
      <c r="AE61" s="29">
        <f ca="1">INDEX(M2_Table_I_j_k_l,7,11)</f>
        <v>6.8698506815999991</v>
      </c>
      <c r="AF61" s="32" t="str">
        <f>'4.2.1.1-2 Methane'!AH81</f>
        <v>kg DM/head/day</v>
      </c>
      <c r="AG61" s="32"/>
      <c r="AH61" s="32"/>
    </row>
    <row r="62" spans="4:35" ht="20.100000000000001" customHeight="1" x14ac:dyDescent="0.25">
      <c r="D62" s="29" t="s">
        <v>41</v>
      </c>
      <c r="E62" s="29" cm="1">
        <f t="array" aca="1" ref="E62" ca="1">MMS_PastureBeef_Soil_N2ODirect_Equations.VEERG_4_2_1_3__6_IntakeRelativeToMaintenance(E54,E20)</f>
        <v>1.4707970166214006</v>
      </c>
      <c r="F62" s="29" cm="1">
        <f t="array" aca="1" ref="F62" ca="1">MMS_PastureBeef_Soil_N2ODirect_Equations.VEERG_4_2_1_3__6_IntakeRelativeToMaintenance(F54,F20)</f>
        <v>1.2318676608114607</v>
      </c>
      <c r="G62" s="29" cm="1">
        <f t="array" aca="1" ref="G62" ca="1">MMS_PastureBeef_Soil_N2ODirect_Equations.VEERG_4_2_1_3__6_IntakeRelativeToMaintenance(G54,G20)</f>
        <v>1.3784396841492426</v>
      </c>
      <c r="H62" s="29" cm="1">
        <f t="array" aca="1" ref="H62" ca="1">MMS_PastureBeef_Soil_N2ODirect_Equations.VEERG_4_2_1_3__6_IntakeRelativeToMaintenance(H54,H20)</f>
        <v>1.3759787739229594</v>
      </c>
      <c r="I62" s="29" cm="1">
        <f t="array" aca="1" ref="I62" ca="1">MMS_PastureBeef_Soil_N2ODirect_Equations.VEERG_4_2_1_3__6_IntakeRelativeToMaintenance(I54,I20)</f>
        <v>1.3440463159462901</v>
      </c>
      <c r="J62" s="29" cm="1">
        <f t="array" aca="1" ref="J62" ca="1">MMS_PastureBeef_Soil_N2ODirect_Equations.VEERG_4_2_1_3__6_IntakeRelativeToMaintenance(J54,J20)</f>
        <v>1.3440463159462901</v>
      </c>
      <c r="K62" s="29" cm="1">
        <f t="array" aca="1" ref="K62" ca="1">MMS_PastureBeef_Soil_N2ODirect_Equations.VEERG_4_2_1_3__6_IntakeRelativeToMaintenance(K54,K20)</f>
        <v>1.4241682690123998</v>
      </c>
      <c r="L62" s="29" cm="1">
        <f t="array" aca="1" ref="L62" ca="1">MMS_PastureBeef_Soil_N2ODirect_Equations.VEERG_4_2_1_3__6_IntakeRelativeToMaintenance(L54,L20)</f>
        <v>1.2663208058014268</v>
      </c>
      <c r="M62" s="29" cm="1">
        <f t="array" aca="1" ref="M62" ca="1">MMS_PastureBeef_Soil_N2ODirect_Equations.VEERG_4_2_1_3__6_IntakeRelativeToMaintenance(M54,M20)</f>
        <v>1.2663208058014268</v>
      </c>
      <c r="N62" s="29" cm="1">
        <f t="array" aca="1" ref="N62" ca="1">MMS_PastureBeef_Soil_N2ODirect_Equations.VEERG_4_2_1_3__6_IntakeRelativeToMaintenance(N54,N20)</f>
        <v>1.2663208058014268</v>
      </c>
      <c r="O62" s="32" t="str">
        <f>$E$46</f>
        <v>ratio</v>
      </c>
      <c r="U62" s="29" t="str">
        <f>TEXT(EDATE('Input - Site'!$E$12,6), "mmmm yyyy")</f>
        <v>July 2024</v>
      </c>
      <c r="V62" s="29">
        <f ca="1">INDEX(M2_Table_I_j_k_l,8,2)</f>
        <v>5.1328980481000004</v>
      </c>
      <c r="W62" s="29">
        <f ca="1">INDEX(M2_Table_I_j_k_l,8,3)</f>
        <v>9.9748588899999984</v>
      </c>
      <c r="X62" s="29">
        <f ca="1">INDEX(M2_Table_I_j_k_l,8,4)</f>
        <v>4.202705002500001</v>
      </c>
      <c r="Y62" s="29">
        <f ca="1">INDEX(M2_Table_I_j_k_l,8,5)</f>
        <v>5.9278127841000021</v>
      </c>
      <c r="Z62" s="29">
        <f ca="1">INDEX(M2_Table_I_j_k_l,8,6)</f>
        <v>7.952343600099999</v>
      </c>
      <c r="AA62" s="29">
        <f ca="1">INDEX(M2_Table_I_j_k_l,8,7)</f>
        <v>7.952343600099999</v>
      </c>
      <c r="AB62" s="29">
        <f ca="1">INDEX(M2_Table_I_j_k_l,8,8)</f>
        <v>4.5122681240999984</v>
      </c>
      <c r="AC62" s="29">
        <f ca="1">INDEX(M2_Table_I_j_k_l,8,9)</f>
        <v>6.8698506815999991</v>
      </c>
      <c r="AD62" s="29">
        <f ca="1">INDEX(M2_Table_I_j_k_l,8,10)</f>
        <v>6.8698506815999991</v>
      </c>
      <c r="AE62" s="29">
        <f ca="1">INDEX(M2_Table_I_j_k_l,8,11)</f>
        <v>6.8698506815999991</v>
      </c>
      <c r="AF62" s="32" t="str">
        <f>'4.2.1.1-2 Methane'!AH82</f>
        <v>kg DM/head/day</v>
      </c>
      <c r="AG62" s="32"/>
      <c r="AH62" s="32"/>
    </row>
    <row r="63" spans="4:35" ht="20.100000000000001" customHeight="1" x14ac:dyDescent="0.25">
      <c r="D63" s="29" t="s">
        <v>43</v>
      </c>
      <c r="E63" s="29" cm="1">
        <f t="array" aca="1" ref="E63" ca="1">MMS_PastureBeef_Soil_N2ODirect_Equations.VEERG_4_2_1_3__6_IntakeRelativeToMaintenance(E55,E21)</f>
        <v>1.1123493391850732</v>
      </c>
      <c r="F63" s="29" cm="1">
        <f t="array" aca="1" ref="F63" ca="1">MMS_PastureBeef_Soil_N2ODirect_Equations.VEERG_4_2_1_3__6_IntakeRelativeToMaintenance(F55,F21)</f>
        <v>0.95640681558610863</v>
      </c>
      <c r="G63" s="29" cm="1">
        <f t="array" aca="1" ref="G63" ca="1">MMS_PastureBeef_Soil_N2ODirect_Equations.VEERG_4_2_1_3__6_IntakeRelativeToMaintenance(G55,G21)</f>
        <v>1.1234350255113625</v>
      </c>
      <c r="H63" s="29" cm="1">
        <f t="array" aca="1" ref="H63" ca="1">MMS_PastureBeef_Soil_N2ODirect_Equations.VEERG_4_2_1_3__6_IntakeRelativeToMaintenance(H55,H21)</f>
        <v>1.1215753644175104</v>
      </c>
      <c r="I63" s="29" cm="1">
        <f t="array" aca="1" ref="I63" ca="1">MMS_PastureBeef_Soil_N2ODirect_Equations.VEERG_4_2_1_3__6_IntakeRelativeToMaintenance(I55,I21)</f>
        <v>0.99022539901590001</v>
      </c>
      <c r="J63" s="29" cm="1">
        <f t="array" aca="1" ref="J63" ca="1">MMS_PastureBeef_Soil_N2ODirect_Equations.VEERG_4_2_1_3__6_IntakeRelativeToMaintenance(J55,J21)</f>
        <v>0.99022539901590001</v>
      </c>
      <c r="K63" s="29" cm="1">
        <f t="array" aca="1" ref="K63" ca="1">MMS_PastureBeef_Soil_N2ODirect_Equations.VEERG_4_2_1_3__6_IntakeRelativeToMaintenance(K55,K21)</f>
        <v>1.1174246366611618</v>
      </c>
      <c r="L63" s="29" cm="1">
        <f t="array" aca="1" ref="L63" ca="1">MMS_PastureBeef_Soil_N2ODirect_Equations.VEERG_4_2_1_3__6_IntakeRelativeToMaintenance(L55,L21)</f>
        <v>0.97490853257319487</v>
      </c>
      <c r="M63" s="29" cm="1">
        <f t="array" aca="1" ref="M63" ca="1">MMS_PastureBeef_Soil_N2ODirect_Equations.VEERG_4_2_1_3__6_IntakeRelativeToMaintenance(M55,M21)</f>
        <v>0.97490853257319487</v>
      </c>
      <c r="N63" s="29" cm="1">
        <f t="array" aca="1" ref="N63" ca="1">MMS_PastureBeef_Soil_N2ODirect_Equations.VEERG_4_2_1_3__6_IntakeRelativeToMaintenance(N55,N21)</f>
        <v>0.97490853257319487</v>
      </c>
      <c r="O63" s="32" t="str">
        <f t="shared" ref="O63:O65" si="2">$E$46</f>
        <v>ratio</v>
      </c>
      <c r="U63" s="29" t="str">
        <f>TEXT(EDATE('Input - Site'!$E$12,7), "mmmm yyyy")</f>
        <v>August 2024</v>
      </c>
      <c r="V63" s="29">
        <f ca="1">INDEX(M2_Table_I_j_k_l,9,2)</f>
        <v>5.1328980481000004</v>
      </c>
      <c r="W63" s="29">
        <f ca="1">INDEX(M2_Table_I_j_k_l,9,3)</f>
        <v>9.9748588899999984</v>
      </c>
      <c r="X63" s="29">
        <f ca="1">INDEX(M2_Table_I_j_k_l,9,4)</f>
        <v>4.202705002500001</v>
      </c>
      <c r="Y63" s="29">
        <f ca="1">INDEX(M2_Table_I_j_k_l,9,5)</f>
        <v>7.2615706605225032</v>
      </c>
      <c r="Z63" s="29">
        <f ca="1">INDEX(M2_Table_I_j_k_l,9,6)</f>
        <v>9.7416209101224993</v>
      </c>
      <c r="AA63" s="29">
        <f ca="1">INDEX(M2_Table_I_j_k_l,9,7)</f>
        <v>9.7416209101224993</v>
      </c>
      <c r="AB63" s="29">
        <f ca="1">INDEX(M2_Table_I_j_k_l,9,8)</f>
        <v>4.5122681240999984</v>
      </c>
      <c r="AC63" s="29">
        <f ca="1">INDEX(M2_Table_I_j_k_l,9,9)</f>
        <v>6.8698506815999991</v>
      </c>
      <c r="AD63" s="29">
        <f ca="1">INDEX(M2_Table_I_j_k_l,9,10)</f>
        <v>6.8698506815999991</v>
      </c>
      <c r="AE63" s="29">
        <f ca="1">INDEX(M2_Table_I_j_k_l,9,11)</f>
        <v>6.8698506815999991</v>
      </c>
      <c r="AF63" s="32" t="str">
        <f>'4.2.1.1-2 Methane'!AH83</f>
        <v>kg DM/head/day</v>
      </c>
      <c r="AG63" s="32"/>
      <c r="AH63" s="32"/>
    </row>
    <row r="64" spans="4:35" ht="20.100000000000001" customHeight="1" x14ac:dyDescent="0.25">
      <c r="D64" s="29" t="s">
        <v>44</v>
      </c>
      <c r="E64" s="29" cm="1">
        <f t="array" aca="1" ref="E64" ca="1">MMS_PastureBeef_Soil_N2ODirect_Equations.VEERG_4_2_1_3__6_IntakeRelativeToMaintenance(E56,E22)</f>
        <v>1.2480754440536419</v>
      </c>
      <c r="F64" s="29" cm="1">
        <f t="array" aca="1" ref="F64" ca="1">MMS_PastureBeef_Soil_N2ODirect_Equations.VEERG_4_2_1_3__6_IntakeRelativeToMaintenance(F56,F22)</f>
        <v>1</v>
      </c>
      <c r="G64" s="29" cm="1">
        <f t="array" aca="1" ref="G64" ca="1">MMS_PastureBeef_Soil_N2ODirect_Equations.VEERG_4_2_1_3__6_IntakeRelativeToMaintenance(G56,G22)</f>
        <v>1.2620356226501883</v>
      </c>
      <c r="H64" s="29" cm="1">
        <f t="array" aca="1" ref="H64" ca="1">MMS_PastureBeef_Soil_N2ODirect_Equations.VEERG_4_2_1_3__6_IntakeRelativeToMaintenance(H56,H22)</f>
        <v>1.0698893911586809</v>
      </c>
      <c r="I64" s="29" cm="1">
        <f t="array" aca="1" ref="I64" ca="1">MMS_PastureBeef_Soil_N2ODirect_Equations.VEERG_4_2_1_3__6_IntakeRelativeToMaintenance(I56,I22)</f>
        <v>0.87861639465436669</v>
      </c>
      <c r="J64" s="29" cm="1">
        <f t="array" aca="1" ref="J64" ca="1">MMS_PastureBeef_Soil_N2ODirect_Equations.VEERG_4_2_1_3__6_IntakeRelativeToMaintenance(J56,J22)</f>
        <v>0.87861639465436669</v>
      </c>
      <c r="K64" s="29" cm="1">
        <f t="array" aca="1" ref="K64" ca="1">MMS_PastureBeef_Soil_N2ODirect_Equations.VEERG_4_2_1_3__6_IntakeRelativeToMaintenance(K56,K22)</f>
        <v>1.2480754440536419</v>
      </c>
      <c r="L64" s="29" cm="1">
        <f t="array" aca="1" ref="L64" ca="1">MMS_PastureBeef_Soil_N2ODirect_Equations.VEERG_4_2_1_3__6_IntakeRelativeToMaintenance(L56,L22)</f>
        <v>1</v>
      </c>
      <c r="M64" s="29" cm="1">
        <f t="array" aca="1" ref="M64" ca="1">MMS_PastureBeef_Soil_N2ODirect_Equations.VEERG_4_2_1_3__6_IntakeRelativeToMaintenance(M56,M22)</f>
        <v>1</v>
      </c>
      <c r="N64" s="29" cm="1">
        <f t="array" aca="1" ref="N64" ca="1">MMS_PastureBeef_Soil_N2ODirect_Equations.VEERG_4_2_1_3__6_IntakeRelativeToMaintenance(N56,N22)</f>
        <v>1</v>
      </c>
      <c r="O64" s="32" t="str">
        <f t="shared" si="2"/>
        <v>ratio</v>
      </c>
      <c r="U64" s="29" t="str">
        <f>TEXT(EDATE('Input - Site'!$E$12,8), "mmmm yyyy")</f>
        <v>September 2024</v>
      </c>
      <c r="V64" s="29">
        <f ca="1">INDEX(M2_Table_I_j_k_l,10,2)</f>
        <v>8.6709047296000001</v>
      </c>
      <c r="W64" s="29">
        <f ca="1">INDEX(M2_Table_I_j_k_l,10,3)</f>
        <v>12.246500250000002</v>
      </c>
      <c r="X64" s="29">
        <f ca="1">INDEX(M2_Table_I_j_k_l,10,4)</f>
        <v>6.6089612241000006</v>
      </c>
      <c r="Y64" s="29">
        <f ca="1">INDEX(M2_Table_I_j_k_l,10,5)</f>
        <v>10.624527777622504</v>
      </c>
      <c r="Z64" s="29">
        <f ca="1">INDEX(M2_Table_I_j_k_l,10,6)</f>
        <v>11.798087161000003</v>
      </c>
      <c r="AA64" s="29">
        <f ca="1">INDEX(M2_Table_I_j_k_l,10,7)</f>
        <v>11.798087161000003</v>
      </c>
      <c r="AB64" s="29">
        <f ca="1">INDEX(M2_Table_I_j_k_l,10,8)</f>
        <v>7.6192560899999977</v>
      </c>
      <c r="AC64" s="29">
        <f ca="1">INDEX(M2_Table_I_j_k_l,10,9)</f>
        <v>9.6824279555999979</v>
      </c>
      <c r="AD64" s="29">
        <f ca="1">INDEX(M2_Table_I_j_k_l,10,10)</f>
        <v>9.6824279555999979</v>
      </c>
      <c r="AE64" s="29">
        <f ca="1">INDEX(M2_Table_I_j_k_l,10,11)</f>
        <v>9.6824279555999979</v>
      </c>
      <c r="AF64" s="32" t="str">
        <f>'4.2.1.1-2 Methane'!AH84</f>
        <v>kg DM/head/day</v>
      </c>
      <c r="AG64" s="32"/>
      <c r="AH64" s="32"/>
    </row>
    <row r="65" spans="3:34" ht="20.100000000000001" customHeight="1" x14ac:dyDescent="0.25">
      <c r="D65" s="29" t="s">
        <v>45</v>
      </c>
      <c r="E65" s="29" cm="1">
        <f t="array" aca="1" ref="E65" ca="1">MMS_PastureBeef_Soil_N2ODirect_Equations.VEERG_4_2_1_3__6_IntakeRelativeToMaintenance(E57,E23)</f>
        <v>1.3447114471128401</v>
      </c>
      <c r="F65" s="29" cm="1">
        <f t="array" aca="1" ref="F65" ca="1">MMS_PastureBeef_Soil_N2ODirect_Equations.VEERG_4_2_1_3__6_IntakeRelativeToMaintenance(F57,F23)</f>
        <v>1.0453721939219578</v>
      </c>
      <c r="G65" s="29" cm="1">
        <f t="array" aca="1" ref="G65" ca="1">MMS_PastureBeef_Soil_N2ODirect_Equations.VEERG_4_2_1_3__6_IntakeRelativeToMaintenance(G57,G23)</f>
        <v>1.2863889326974398</v>
      </c>
      <c r="H65" s="29" cm="1">
        <f t="array" aca="1" ref="H65" ca="1">MMS_PastureBeef_Soil_N2ODirect_Equations.VEERG_4_2_1_3__6_IntakeRelativeToMaintenance(H57,H23)</f>
        <v>1.2451900780444165</v>
      </c>
      <c r="I65" s="29" cm="1">
        <f t="array" aca="1" ref="I65" ca="1">MMS_PastureBeef_Soil_N2ODirect_Equations.VEERG_4_2_1_3__6_IntakeRelativeToMaintenance(I57,I23)</f>
        <v>1.1787902763034313</v>
      </c>
      <c r="J65" s="29" cm="1">
        <f t="array" aca="1" ref="J65" ca="1">MMS_PastureBeef_Soil_N2ODirect_Equations.VEERG_4_2_1_3__6_IntakeRelativeToMaintenance(J57,J23)</f>
        <v>1.1787902763034313</v>
      </c>
      <c r="K65" s="29" cm="1">
        <f t="array" aca="1" ref="K65" ca="1">MMS_PastureBeef_Soil_N2ODirect_Equations.VEERG_4_2_1_3__6_IntakeRelativeToMaintenance(K57,K23)</f>
        <v>1.2744200407937745</v>
      </c>
      <c r="L65" s="29" cm="1">
        <f t="array" aca="1" ref="L65" ca="1">MMS_PastureBeef_Soil_N2ODirect_Equations.VEERG_4_2_1_3__6_IntakeRelativeToMaintenance(L57,L23)</f>
        <v>1.1147815609185805</v>
      </c>
      <c r="M65" s="29" cm="1">
        <f t="array" aca="1" ref="M65" ca="1">MMS_PastureBeef_Soil_N2ODirect_Equations.VEERG_4_2_1_3__6_IntakeRelativeToMaintenance(M57,M23)</f>
        <v>1.1147815609185805</v>
      </c>
      <c r="N65" s="29" cm="1">
        <f t="array" aca="1" ref="N65" ca="1">MMS_PastureBeef_Soil_N2ODirect_Equations.VEERG_4_2_1_3__6_IntakeRelativeToMaintenance(N57,N23)</f>
        <v>1.1147815609185805</v>
      </c>
      <c r="O65" s="32" t="str">
        <f t="shared" si="2"/>
        <v>ratio</v>
      </c>
      <c r="U65" s="29" t="str">
        <f>TEXT(EDATE('Input - Site'!$E$12,9), "mmmm yyyy")</f>
        <v>October 2024</v>
      </c>
      <c r="V65" s="29">
        <f ca="1">INDEX(M2_Table_I_j_k_l,11,2)</f>
        <v>8.6709047296000001</v>
      </c>
      <c r="W65" s="29">
        <f ca="1">INDEX(M2_Table_I_j_k_l,11,3)</f>
        <v>12.246500250000002</v>
      </c>
      <c r="X65" s="29">
        <f ca="1">INDEX(M2_Table_I_j_k_l,11,4)</f>
        <v>6.6089612241000006</v>
      </c>
      <c r="Y65" s="29">
        <f ca="1">INDEX(M2_Table_I_j_k_l,11,5)</f>
        <v>10.624527777622504</v>
      </c>
      <c r="Z65" s="29">
        <f ca="1">INDEX(M2_Table_I_j_k_l,11,6)</f>
        <v>11.798087161000003</v>
      </c>
      <c r="AA65" s="29">
        <f ca="1">INDEX(M2_Table_I_j_k_l,11,7)</f>
        <v>11.798087161000003</v>
      </c>
      <c r="AB65" s="29">
        <f ca="1">INDEX(M2_Table_I_j_k_l,11,8)</f>
        <v>7.6192560899999977</v>
      </c>
      <c r="AC65" s="29">
        <f ca="1">INDEX(M2_Table_I_j_k_l,11,9)</f>
        <v>9.6824279555999979</v>
      </c>
      <c r="AD65" s="29">
        <f ca="1">INDEX(M2_Table_I_j_k_l,11,10)</f>
        <v>9.6824279555999979</v>
      </c>
      <c r="AE65" s="29">
        <f ca="1">INDEX(M2_Table_I_j_k_l,11,11)</f>
        <v>9.6824279555999979</v>
      </c>
      <c r="AF65" s="32" t="str">
        <f>'4.2.1.1-2 Methane'!AH85</f>
        <v>kg DM/head/day</v>
      </c>
      <c r="AG65" s="32"/>
      <c r="AH65" s="32"/>
    </row>
    <row r="66" spans="3:34" ht="20.100000000000001" customHeight="1" x14ac:dyDescent="0.25">
      <c r="U66" s="29" t="str">
        <f>TEXT(EDATE('Input - Site'!$E$12,10), "mmmm yyyy")</f>
        <v>November 2024</v>
      </c>
      <c r="V66" s="29">
        <f ca="1">INDEX(M2_Table_I_j_k_l,12,2)</f>
        <v>8.6709047296000001</v>
      </c>
      <c r="W66" s="29">
        <f ca="1">INDEX(M2_Table_I_j_k_l,12,3)</f>
        <v>12.246500250000002</v>
      </c>
      <c r="X66" s="29">
        <f ca="1">INDEX(M2_Table_I_j_k_l,12,4)</f>
        <v>6.6089612241000006</v>
      </c>
      <c r="Y66" s="29">
        <f ca="1">INDEX(M2_Table_I_j_k_l,12,5)</f>
        <v>9.3235651926075036</v>
      </c>
      <c r="Z66" s="29">
        <f ca="1">INDEX(M2_Table_I_j_k_l,12,6)</f>
        <v>10.353423427000003</v>
      </c>
      <c r="AA66" s="29">
        <f ca="1">INDEX(M2_Table_I_j_k_l,12,7)</f>
        <v>10.353423427000003</v>
      </c>
      <c r="AB66" s="29">
        <f ca="1">INDEX(M2_Table_I_j_k_l,12,8)</f>
        <v>7.6192560899999977</v>
      </c>
      <c r="AC66" s="29">
        <f ca="1">INDEX(M2_Table_I_j_k_l,12,9)</f>
        <v>9.6824279555999979</v>
      </c>
      <c r="AD66" s="29">
        <f ca="1">INDEX(M2_Table_I_j_k_l,12,10)</f>
        <v>9.6824279555999979</v>
      </c>
      <c r="AE66" s="29">
        <f ca="1">INDEX(M2_Table_I_j_k_l,12,11)</f>
        <v>9.6824279555999979</v>
      </c>
      <c r="AF66" s="32" t="str">
        <f>'4.2.1.1-2 Methane'!AH86</f>
        <v>kg DM/head/day</v>
      </c>
      <c r="AG66" s="32"/>
      <c r="AH66" s="32"/>
    </row>
    <row r="67" spans="3:34" ht="20.100000000000001" customHeight="1" x14ac:dyDescent="0.25">
      <c r="U67" s="29" t="str">
        <f>TEXT(EDATE('Input - Site'!$E$12,11), "mmmm yyyy")</f>
        <v>December 2024</v>
      </c>
      <c r="V67" s="29">
        <f ca="1">INDEX(M2_Table_I_j_k_l,13,2)</f>
        <v>7.1468536895999959</v>
      </c>
      <c r="W67" s="29">
        <f ca="1">INDEX(M2_Table_I_j_k_l,13,3)</f>
        <v>9.4559940036000008</v>
      </c>
      <c r="X67" s="29">
        <f ca="1">INDEX(M2_Table_I_j_k_l,13,4)</f>
        <v>6.010342559999998</v>
      </c>
      <c r="Y67" s="29">
        <f ca="1">INDEX(M2_Table_I_j_k_l,13,5)</f>
        <v>8.4608409301875014</v>
      </c>
      <c r="Z67" s="29">
        <f ca="1">INDEX(M2_Table_I_j_k_l,13,6)</f>
        <v>8.3772677761199983</v>
      </c>
      <c r="AA67" s="29">
        <f ca="1">INDEX(M2_Table_I_j_k_l,13,7)</f>
        <v>8.3772677761199983</v>
      </c>
      <c r="AB67" s="29">
        <f ca="1">INDEX(M2_Table_I_j_k_l,13,8)</f>
        <v>6.5876408896000003</v>
      </c>
      <c r="AC67" s="29">
        <f ca="1">INDEX(M2_Table_I_j_k_l,13,9)</f>
        <v>7.3430702361</v>
      </c>
      <c r="AD67" s="29">
        <f ca="1">INDEX(M2_Table_I_j_k_l,13,10)</f>
        <v>7.3430702361</v>
      </c>
      <c r="AE67" s="29">
        <f ca="1">INDEX(M2_Table_I_j_k_l,13,11)</f>
        <v>7.3430702361</v>
      </c>
      <c r="AF67" s="32" t="str">
        <f>'4.2.1.1-2 Methane'!AH87</f>
        <v>kg DM/head/day</v>
      </c>
      <c r="AG67" s="32"/>
      <c r="AH67" s="32"/>
    </row>
    <row r="68" spans="3:34" ht="20.100000000000001" customHeight="1" x14ac:dyDescent="0.25">
      <c r="C68" s="61"/>
      <c r="D68" s="61"/>
      <c r="E68" s="61"/>
      <c r="F68" s="61"/>
      <c r="G68" s="61"/>
      <c r="H68" s="61"/>
      <c r="I68" s="61"/>
      <c r="J68" s="61"/>
      <c r="K68" s="61"/>
      <c r="L68" s="61"/>
      <c r="M68" s="61"/>
      <c r="N68" s="61"/>
      <c r="O68" s="61"/>
      <c r="P68" s="61"/>
      <c r="Q68" s="61"/>
      <c r="R68" s="61"/>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57" t="s">
        <v>244</v>
      </c>
    </row>
    <row r="70" spans="3:34" ht="20.100000000000001" customHeight="1" x14ac:dyDescent="0.25">
      <c r="D70" s="46" t="str" cm="1">
        <f t="array" ref="D70">MMS_PastureBeef_Soil_N2ODirect_Equations.VEERG_4_2_1_3__5_MilkProductionForCalvingSeason_Source()</f>
        <v>VEERG 2026: 4.2.1.3, Equation (5)</v>
      </c>
      <c r="U70" s="58" t="s">
        <v>245</v>
      </c>
    </row>
    <row r="71" spans="3:34" ht="20.100000000000001" customHeight="1" x14ac:dyDescent="0.25">
      <c r="D71" s="71"/>
      <c r="U71" s="59" t="s">
        <v>87</v>
      </c>
      <c r="V71" s="59" t="s">
        <v>31</v>
      </c>
      <c r="W71" s="59" t="s">
        <v>32</v>
      </c>
      <c r="X71" s="59" t="s">
        <v>33</v>
      </c>
      <c r="Y71" s="59" t="s">
        <v>34</v>
      </c>
      <c r="Z71" s="59" t="s">
        <v>35</v>
      </c>
      <c r="AA71" s="59" t="s">
        <v>36</v>
      </c>
      <c r="AB71" s="59" t="s">
        <v>37</v>
      </c>
      <c r="AC71" s="59" t="s">
        <v>38</v>
      </c>
      <c r="AD71" s="59" t="s">
        <v>39</v>
      </c>
      <c r="AE71" s="59" t="s">
        <v>40</v>
      </c>
    </row>
    <row r="72" spans="3:34" ht="20.100000000000001" customHeight="1" x14ac:dyDescent="0.25">
      <c r="D72" s="47" t="s">
        <v>77</v>
      </c>
      <c r="E72" s="47" t="s">
        <v>246</v>
      </c>
      <c r="U72" s="29" t="str">
        <f>TEXT('Input - Site'!$E$12, "mmmm yyyy")</f>
        <v>January 2024</v>
      </c>
      <c r="V72" s="29" cm="1">
        <f t="array" aca="1" ref="V72" ca="1">MMS_PastureBeef_Soil_N2ODirect_Equations.VEERG_4_2_1_3__6_IntakeRelativeToMaintenance(V56,V20)</f>
        <v>1.1123493391850732</v>
      </c>
      <c r="W72" s="29" cm="1">
        <f t="array" aca="1" ref="W72" ca="1">MMS_PastureBeef_Soil_N2ODirect_Equations.VEERG_4_2_1_3__6_IntakeRelativeToMaintenance(W56,W20)</f>
        <v>0.95640681558610863</v>
      </c>
      <c r="X72" s="29" cm="1">
        <f t="array" aca="1" ref="X72" ca="1">MMS_PastureBeef_Soil_N2ODirect_Equations.VEERG_4_2_1_3__6_IntakeRelativeToMaintenance(X56,X20)</f>
        <v>1.1234350255113625</v>
      </c>
      <c r="Y72" s="29" cm="1">
        <f t="array" aca="1" ref="Y72" ca="1">MMS_PastureBeef_Soil_N2ODirect_Equations.VEERG_4_2_1_3__6_IntakeRelativeToMaintenance(Y56,Y20)</f>
        <v>1.1593206891815613</v>
      </c>
      <c r="Z72" s="29" cm="1">
        <f t="array" aca="1" ref="Z72" ca="1">MMS_PastureBeef_Soil_N2ODirect_Equations.VEERG_4_2_1_3__6_IntakeRelativeToMaintenance(Z56,Z20)</f>
        <v>1.0235502922520121</v>
      </c>
      <c r="AA72" s="29" cm="1">
        <f t="array" aca="1" ref="AA72" ca="1">MMS_PastureBeef_Soil_N2ODirect_Equations.VEERG_4_2_1_3__6_IntakeRelativeToMaintenance(AA56,AA20)</f>
        <v>1.0235502922520121</v>
      </c>
      <c r="AB72" s="29" cm="1">
        <f t="array" aca="1" ref="AB72" ca="1">MMS_PastureBeef_Soil_N2ODirect_Equations.VEERG_4_2_1_3__6_IntakeRelativeToMaintenance(AB56,AB20)</f>
        <v>1.1174246366611618</v>
      </c>
      <c r="AC72" s="29" cm="1">
        <f t="array" aca="1" ref="AC72" ca="1">MMS_PastureBeef_Soil_N2ODirect_Equations.VEERG_4_2_1_3__6_IntakeRelativeToMaintenance(AC56,AC20)</f>
        <v>0.97490853257319487</v>
      </c>
      <c r="AD72" s="29" cm="1">
        <f t="array" aca="1" ref="AD72" ca="1">MMS_PastureBeef_Soil_N2ODirect_Equations.VEERG_4_2_1_3__6_IntakeRelativeToMaintenance(AD56,AD20)</f>
        <v>0.97490853257319487</v>
      </c>
      <c r="AE72" s="29" cm="1">
        <f t="array" aca="1" ref="AE72" ca="1">MMS_PastureBeef_Soil_N2ODirect_Equations.VEERG_4_2_1_3__6_IntakeRelativeToMaintenance(AE56,AE20)</f>
        <v>0.97490853257319487</v>
      </c>
      <c r="AF72" s="32" t="str">
        <f t="shared" ref="AF72:AF83" si="3">$E$46</f>
        <v>ratio</v>
      </c>
      <c r="AG72" s="32"/>
      <c r="AH72" s="32"/>
    </row>
    <row r="73" spans="3:34" ht="20.100000000000001" customHeight="1" x14ac:dyDescent="0.25">
      <c r="U73" s="29" t="str">
        <f>TEXT(EDATE('Input - Site'!$E$12,1), "mmmm yyyy")</f>
        <v>February 2024</v>
      </c>
      <c r="V73" s="29" cm="1">
        <f t="array" aca="1" ref="V73" ca="1">MMS_PastureBeef_Soil_N2ODirect_Equations.VEERG_4_2_1_3__6_IntakeRelativeToMaintenance(V57,V21)</f>
        <v>1.1123493391850732</v>
      </c>
      <c r="W73" s="29" cm="1">
        <f t="array" aca="1" ref="W73" ca="1">MMS_PastureBeef_Soil_N2ODirect_Equations.VEERG_4_2_1_3__6_IntakeRelativeToMaintenance(W57,W21)</f>
        <v>0.95640681558610863</v>
      </c>
      <c r="X73" s="29" cm="1">
        <f t="array" aca="1" ref="X73" ca="1">MMS_PastureBeef_Soil_N2ODirect_Equations.VEERG_4_2_1_3__6_IntakeRelativeToMaintenance(X57,X21)</f>
        <v>1.1234350255113625</v>
      </c>
      <c r="Y73" s="29" cm="1">
        <f t="array" aca="1" ref="Y73" ca="1">MMS_PastureBeef_Soil_N2ODirect_Equations.VEERG_4_2_1_3__6_IntakeRelativeToMaintenance(Y57,Y21)</f>
        <v>1.0784378504014522</v>
      </c>
      <c r="Z73" s="29" cm="1">
        <f t="array" aca="1" ref="Z73" ca="1">MMS_PastureBeef_Soil_N2ODirect_Equations.VEERG_4_2_1_3__6_IntakeRelativeToMaintenance(Z57,Z21)</f>
        <v>0.95213980674605769</v>
      </c>
      <c r="AA73" s="29" cm="1">
        <f t="array" aca="1" ref="AA73" ca="1">MMS_PastureBeef_Soil_N2ODirect_Equations.VEERG_4_2_1_3__6_IntakeRelativeToMaintenance(AA57,AA21)</f>
        <v>0.95213980674605769</v>
      </c>
      <c r="AB73" s="29" cm="1">
        <f t="array" aca="1" ref="AB73" ca="1">MMS_PastureBeef_Soil_N2ODirect_Equations.VEERG_4_2_1_3__6_IntakeRelativeToMaintenance(AB57,AB21)</f>
        <v>1.1174246366611618</v>
      </c>
      <c r="AC73" s="29" cm="1">
        <f t="array" aca="1" ref="AC73" ca="1">MMS_PastureBeef_Soil_N2ODirect_Equations.VEERG_4_2_1_3__6_IntakeRelativeToMaintenance(AC57,AC21)</f>
        <v>0.97490853257319487</v>
      </c>
      <c r="AD73" s="29" cm="1">
        <f t="array" aca="1" ref="AD73" ca="1">MMS_PastureBeef_Soil_N2ODirect_Equations.VEERG_4_2_1_3__6_IntakeRelativeToMaintenance(AD57,AD21)</f>
        <v>0.97490853257319487</v>
      </c>
      <c r="AE73" s="29" cm="1">
        <f t="array" aca="1" ref="AE73" ca="1">MMS_PastureBeef_Soil_N2ODirect_Equations.VEERG_4_2_1_3__6_IntakeRelativeToMaintenance(AE57,AE21)</f>
        <v>0.97490853257319487</v>
      </c>
      <c r="AF73" s="32" t="str">
        <f t="shared" si="3"/>
        <v>ratio</v>
      </c>
      <c r="AG73" s="32"/>
      <c r="AH73" s="32"/>
    </row>
    <row r="74" spans="3:34" ht="20.100000000000001" customHeight="1" x14ac:dyDescent="0.25">
      <c r="U74" s="29" t="str">
        <f>TEXT(EDATE('Input - Site'!$E$12,2), "mmmm yyyy")</f>
        <v>March 2024</v>
      </c>
      <c r="V74" s="29" cm="1">
        <f t="array" aca="1" ref="V74" ca="1">MMS_PastureBeef_Soil_N2ODirect_Equations.VEERG_4_2_1_3__6_IntakeRelativeToMaintenance(V58,V22)</f>
        <v>1.2480754440536419</v>
      </c>
      <c r="W74" s="29" cm="1">
        <f t="array" aca="1" ref="W74" ca="1">MMS_PastureBeef_Soil_N2ODirect_Equations.VEERG_4_2_1_3__6_IntakeRelativeToMaintenance(W58,W22)</f>
        <v>1</v>
      </c>
      <c r="X74" s="29" cm="1">
        <f t="array" aca="1" ref="X74" ca="1">MMS_PastureBeef_Soil_N2ODirect_Equations.VEERG_4_2_1_3__6_IntakeRelativeToMaintenance(X58,X22)</f>
        <v>1.2620356226501883</v>
      </c>
      <c r="Y74" s="29" cm="1">
        <f t="array" aca="1" ref="Y74" ca="1">MMS_PastureBeef_Soil_N2ODirect_Equations.VEERG_4_2_1_3__6_IntakeRelativeToMaintenance(Y58,Y22)</f>
        <v>1.0592964268897831</v>
      </c>
      <c r="Z74" s="29" cm="1">
        <f t="array" aca="1" ref="Z74" ca="1">MMS_PastureBeef_Soil_N2ODirect_Equations.VEERG_4_2_1_3__6_IntakeRelativeToMaintenance(Z58,Z22)</f>
        <v>0.87861639465436669</v>
      </c>
      <c r="AA74" s="29" cm="1">
        <f t="array" aca="1" ref="AA74" ca="1">MMS_PastureBeef_Soil_N2ODirect_Equations.VEERG_4_2_1_3__6_IntakeRelativeToMaintenance(AA58,AA22)</f>
        <v>0.87861639465436669</v>
      </c>
      <c r="AB74" s="29" cm="1">
        <f t="array" aca="1" ref="AB74" ca="1">MMS_PastureBeef_Soil_N2ODirect_Equations.VEERG_4_2_1_3__6_IntakeRelativeToMaintenance(AB58,AB22)</f>
        <v>1.2480754440536419</v>
      </c>
      <c r="AC74" s="29" cm="1">
        <f t="array" aca="1" ref="AC74" ca="1">MMS_PastureBeef_Soil_N2ODirect_Equations.VEERG_4_2_1_3__6_IntakeRelativeToMaintenance(AC58,AC22)</f>
        <v>1</v>
      </c>
      <c r="AD74" s="29" cm="1">
        <f t="array" aca="1" ref="AD74" ca="1">MMS_PastureBeef_Soil_N2ODirect_Equations.VEERG_4_2_1_3__6_IntakeRelativeToMaintenance(AD58,AD22)</f>
        <v>1</v>
      </c>
      <c r="AE74" s="29" cm="1">
        <f t="array" aca="1" ref="AE74" ca="1">MMS_PastureBeef_Soil_N2ODirect_Equations.VEERG_4_2_1_3__6_IntakeRelativeToMaintenance(AE58,AE22)</f>
        <v>1</v>
      </c>
      <c r="AF74" s="32" t="str">
        <f t="shared" si="3"/>
        <v>ratio</v>
      </c>
      <c r="AG74" s="32"/>
      <c r="AH74" s="32"/>
    </row>
    <row r="75" spans="3:34" ht="20.100000000000001" customHeight="1" x14ac:dyDescent="0.25">
      <c r="D75" s="48" t="s">
        <v>79</v>
      </c>
      <c r="E75" s="1" t="str" cm="1">
        <f t="array" ref="E75">MMS_PastureBeef_Soil_N2ODirect_Equations.VEERG_4_2_1_3__5_MilkProductionForCalvingSeason_Variable()</f>
        <v>MP_jk5</v>
      </c>
      <c r="U75" s="29" t="str">
        <f>TEXT(EDATE('Input - Site'!$E$12,3), "mmmm yyyy")</f>
        <v>April 2024</v>
      </c>
      <c r="V75" s="29" cm="1">
        <f t="array" aca="1" ref="V75" ca="1">MMS_PastureBeef_Soil_N2ODirect_Equations.VEERG_4_2_1_3__6_IntakeRelativeToMaintenance(V59,V23)</f>
        <v>1.2480754440536419</v>
      </c>
      <c r="W75" s="29" cm="1">
        <f t="array" aca="1" ref="W75" ca="1">MMS_PastureBeef_Soil_N2ODirect_Equations.VEERG_4_2_1_3__6_IntakeRelativeToMaintenance(W59,W23)</f>
        <v>1</v>
      </c>
      <c r="X75" s="29" cm="1">
        <f t="array" aca="1" ref="X75" ca="1">MMS_PastureBeef_Soil_N2ODirect_Equations.VEERG_4_2_1_3__6_IntakeRelativeToMaintenance(X59,X23)</f>
        <v>1.2620356226501883</v>
      </c>
      <c r="Y75" s="29" cm="1">
        <f t="array" aca="1" ref="Y75" ca="1">MMS_PastureBeef_Soil_N2ODirect_Equations.VEERG_4_2_1_3__6_IntakeRelativeToMaintenance(Y59,Y23)</f>
        <v>1.0592964268897831</v>
      </c>
      <c r="Z75" s="29" cm="1">
        <f t="array" aca="1" ref="Z75" ca="1">MMS_PastureBeef_Soil_N2ODirect_Equations.VEERG_4_2_1_3__6_IntakeRelativeToMaintenance(Z59,Z23)</f>
        <v>0.87861639465436669</v>
      </c>
      <c r="AA75" s="29" cm="1">
        <f t="array" aca="1" ref="AA75" ca="1">MMS_PastureBeef_Soil_N2ODirect_Equations.VEERG_4_2_1_3__6_IntakeRelativeToMaintenance(AA59,AA23)</f>
        <v>0.87861639465436669</v>
      </c>
      <c r="AB75" s="29" cm="1">
        <f t="array" aca="1" ref="AB75" ca="1">MMS_PastureBeef_Soil_N2ODirect_Equations.VEERG_4_2_1_3__6_IntakeRelativeToMaintenance(AB59,AB23)</f>
        <v>1.2480754440536419</v>
      </c>
      <c r="AC75" s="29" cm="1">
        <f t="array" aca="1" ref="AC75" ca="1">MMS_PastureBeef_Soil_N2ODirect_Equations.VEERG_4_2_1_3__6_IntakeRelativeToMaintenance(AC59,AC23)</f>
        <v>1</v>
      </c>
      <c r="AD75" s="29" cm="1">
        <f t="array" aca="1" ref="AD75" ca="1">MMS_PastureBeef_Soil_N2ODirect_Equations.VEERG_4_2_1_3__6_IntakeRelativeToMaintenance(AD59,AD23)</f>
        <v>1</v>
      </c>
      <c r="AE75" s="29" cm="1">
        <f t="array" aca="1" ref="AE75" ca="1">MMS_PastureBeef_Soil_N2ODirect_Equations.VEERG_4_2_1_3__6_IntakeRelativeToMaintenance(AE59,AE23)</f>
        <v>1</v>
      </c>
      <c r="AF75" s="32" t="str">
        <f t="shared" si="3"/>
        <v>ratio</v>
      </c>
      <c r="AG75" s="32"/>
      <c r="AH75" s="32"/>
    </row>
    <row r="76" spans="3:34" ht="20.100000000000001" customHeight="1" x14ac:dyDescent="0.25">
      <c r="D76" s="48" t="s">
        <v>80</v>
      </c>
      <c r="E76" s="17" t="str" cm="1">
        <f t="array" ref="E76">MMS_PastureBeef_Soil_N2ODirect_Equations.VEERG_4_2_1_3__5_MilkProductionForCalvingSeason_Unit()</f>
        <v>kg/head/day</v>
      </c>
      <c r="U76" s="29" t="str">
        <f>TEXT(EDATE('Input - Site'!$E$12,4), "mmmm yyyy")</f>
        <v>May 2024</v>
      </c>
      <c r="V76" s="29" cm="1">
        <f t="array" aca="1" ref="V76" ca="1">MMS_PastureBeef_Soil_N2ODirect_Equations.VEERG_4_2_1_3__6_IntakeRelativeToMaintenance(V60,V24)</f>
        <v>1.2480754440536419</v>
      </c>
      <c r="W76" s="29" cm="1">
        <f t="array" aca="1" ref="W76" ca="1">MMS_PastureBeef_Soil_N2ODirect_Equations.VEERG_4_2_1_3__6_IntakeRelativeToMaintenance(W60,W24)</f>
        <v>1</v>
      </c>
      <c r="X76" s="29" cm="1">
        <f t="array" aca="1" ref="X76" ca="1">MMS_PastureBeef_Soil_N2ODirect_Equations.VEERG_4_2_1_3__6_IntakeRelativeToMaintenance(X60,X24)</f>
        <v>1.2620356226501883</v>
      </c>
      <c r="Y76" s="29" cm="1">
        <f t="array" aca="1" ref="Y76" ca="1">MMS_PastureBeef_Soil_N2ODirect_Equations.VEERG_4_2_1_3__6_IntakeRelativeToMaintenance(Y60,Y24)</f>
        <v>1.0592964268897831</v>
      </c>
      <c r="Z76" s="29" cm="1">
        <f t="array" aca="1" ref="Z76" ca="1">MMS_PastureBeef_Soil_N2ODirect_Equations.VEERG_4_2_1_3__6_IntakeRelativeToMaintenance(Z60,Z24)</f>
        <v>0.87861639465436669</v>
      </c>
      <c r="AA76" s="29" cm="1">
        <f t="array" aca="1" ref="AA76" ca="1">MMS_PastureBeef_Soil_N2ODirect_Equations.VEERG_4_2_1_3__6_IntakeRelativeToMaintenance(AA60,AA24)</f>
        <v>0.87861639465436669</v>
      </c>
      <c r="AB76" s="29" cm="1">
        <f t="array" aca="1" ref="AB76" ca="1">MMS_PastureBeef_Soil_N2ODirect_Equations.VEERG_4_2_1_3__6_IntakeRelativeToMaintenance(AB60,AB24)</f>
        <v>1.2480754440536419</v>
      </c>
      <c r="AC76" s="29" cm="1">
        <f t="array" aca="1" ref="AC76" ca="1">MMS_PastureBeef_Soil_N2ODirect_Equations.VEERG_4_2_1_3__6_IntakeRelativeToMaintenance(AC60,AC24)</f>
        <v>1</v>
      </c>
      <c r="AD76" s="29" cm="1">
        <f t="array" aca="1" ref="AD76" ca="1">MMS_PastureBeef_Soil_N2ODirect_Equations.VEERG_4_2_1_3__6_IntakeRelativeToMaintenance(AD60,AD24)</f>
        <v>1</v>
      </c>
      <c r="AE76" s="29" cm="1">
        <f t="array" aca="1" ref="AE76" ca="1">MMS_PastureBeef_Soil_N2ODirect_Equations.VEERG_4_2_1_3__6_IntakeRelativeToMaintenance(AE60,AE24)</f>
        <v>1</v>
      </c>
      <c r="AF76" s="32" t="str">
        <f t="shared" si="3"/>
        <v>ratio</v>
      </c>
      <c r="AG76" s="32"/>
      <c r="AH76" s="32"/>
    </row>
    <row r="77" spans="3:34" ht="20.100000000000001" customHeight="1" x14ac:dyDescent="0.25">
      <c r="U77" s="29" t="str">
        <f>TEXT(EDATE('Input - Site'!$E$12,5), "mmmm yyyy")</f>
        <v>June 2024</v>
      </c>
      <c r="V77" s="29" cm="1">
        <f t="array" aca="1" ref="V77" ca="1">MMS_PastureBeef_Soil_N2ODirect_Equations.VEERG_4_2_1_3__6_IntakeRelativeToMaintenance(V61,V25)</f>
        <v>1.3447114471128401</v>
      </c>
      <c r="W77" s="29" cm="1">
        <f t="array" aca="1" ref="W77" ca="1">MMS_PastureBeef_Soil_N2ODirect_Equations.VEERG_4_2_1_3__6_IntakeRelativeToMaintenance(W61,W25)</f>
        <v>1.0453721939219578</v>
      </c>
      <c r="X77" s="29" cm="1">
        <f t="array" aca="1" ref="X77" ca="1">MMS_PastureBeef_Soil_N2ODirect_Equations.VEERG_4_2_1_3__6_IntakeRelativeToMaintenance(X61,X25)</f>
        <v>1.2863889326974398</v>
      </c>
      <c r="Y77" s="29" cm="1">
        <f t="array" aca="1" ref="Y77" ca="1">MMS_PastureBeef_Soil_N2ODirect_Equations.VEERG_4_2_1_3__6_IntakeRelativeToMaintenance(Y61,Y25)</f>
        <v>1.0290827091276171</v>
      </c>
      <c r="Z77" s="29" cm="1">
        <f t="array" aca="1" ref="Z77" ca="1">MMS_PastureBeef_Soil_N2ODirect_Equations.VEERG_4_2_1_3__6_IntakeRelativeToMaintenance(Z61,Z25)</f>
        <v>1.0250350228725489</v>
      </c>
      <c r="AA77" s="29" cm="1">
        <f t="array" aca="1" ref="AA77" ca="1">MMS_PastureBeef_Soil_N2ODirect_Equations.VEERG_4_2_1_3__6_IntakeRelativeToMaintenance(AA61,AA25)</f>
        <v>1.0250350228725489</v>
      </c>
      <c r="AB77" s="29" cm="1">
        <f t="array" aca="1" ref="AB77" ca="1">MMS_PastureBeef_Soil_N2ODirect_Equations.VEERG_4_2_1_3__6_IntakeRelativeToMaintenance(AB61,AB25)</f>
        <v>1.2744200407937745</v>
      </c>
      <c r="AC77" s="29" cm="1">
        <f t="array" aca="1" ref="AC77" ca="1">MMS_PastureBeef_Soil_N2ODirect_Equations.VEERG_4_2_1_3__6_IntakeRelativeToMaintenance(AC61,AC25)</f>
        <v>1.1147815609185805</v>
      </c>
      <c r="AD77" s="29" cm="1">
        <f t="array" aca="1" ref="AD77" ca="1">MMS_PastureBeef_Soil_N2ODirect_Equations.VEERG_4_2_1_3__6_IntakeRelativeToMaintenance(AD61,AD25)</f>
        <v>1.1147815609185805</v>
      </c>
      <c r="AE77" s="29" cm="1">
        <f t="array" aca="1" ref="AE77" ca="1">MMS_PastureBeef_Soil_N2ODirect_Equations.VEERG_4_2_1_3__6_IntakeRelativeToMaintenance(AE61,AE25)</f>
        <v>1.1147815609185805</v>
      </c>
      <c r="AF77" s="32" t="str">
        <f t="shared" si="3"/>
        <v>ratio</v>
      </c>
      <c r="AG77" s="32"/>
      <c r="AH77" s="32"/>
    </row>
    <row r="78" spans="3:34" ht="20.100000000000001" customHeight="1" x14ac:dyDescent="0.25">
      <c r="D78" s="50" t="str" cm="1">
        <f t="array" ref="D78:E82">_xlfn.CHOOSECOLS(MMS_PastureBeef_Soil_N2ODirect_Equations.VEERG_4_2_1_3__5_MilkProductionForCalvingSeason_ArgumentsVariation(),1,2)</f>
        <v>LC_jk5curr</v>
      </c>
      <c r="E78" s="51" t="str">
        <v>proportion of cows greater than 2 years lactating for the season of calving</v>
      </c>
      <c r="F78" s="53"/>
      <c r="G78" s="50" t="str" cm="1">
        <f t="array" ref="G78:H82">_xlfn.CHOOSECOLS(MMS_PastureBeef_Soil_N2ODirect_Equations.VEERG_4_2_1_3__5_MilkProductionForCalvingSeason_ArgumentsVariation(),3,4)</f>
        <v>fraction</v>
      </c>
      <c r="H78" s="54" t="str">
        <v>Input</v>
      </c>
      <c r="I78" s="56" t="str" cm="1">
        <f t="array" aca="1" ref="I78" ca="1">HYPERLINK(Common_InputFunctions.Utility_SourceHyperlink($D$84), $D$84)</f>
        <v>M1_Table_LC_j_k-4-5</v>
      </c>
      <c r="U78" s="29" t="str">
        <f>TEXT(EDATE('Input - Site'!$E$12,6), "mmmm yyyy")</f>
        <v>July 2024</v>
      </c>
      <c r="V78" s="29" cm="1">
        <f t="array" aca="1" ref="V78" ca="1">MMS_PastureBeef_Soil_N2ODirect_Equations.VEERG_4_2_1_3__6_IntakeRelativeToMaintenance(V62,V26)</f>
        <v>1.3447114471128401</v>
      </c>
      <c r="W78" s="29" cm="1">
        <f t="array" aca="1" ref="W78" ca="1">MMS_PastureBeef_Soil_N2ODirect_Equations.VEERG_4_2_1_3__6_IntakeRelativeToMaintenance(W62,W26)</f>
        <v>1.0453721939219578</v>
      </c>
      <c r="X78" s="29" cm="1">
        <f t="array" aca="1" ref="X78" ca="1">MMS_PastureBeef_Soil_N2ODirect_Equations.VEERG_4_2_1_3__6_IntakeRelativeToMaintenance(X62,X26)</f>
        <v>1.2863889326974398</v>
      </c>
      <c r="Y78" s="29" cm="1">
        <f t="array" aca="1" ref="Y78" ca="1">MMS_PastureBeef_Soil_N2ODirect_Equations.VEERG_4_2_1_3__6_IntakeRelativeToMaintenance(Y62,Y26)</f>
        <v>1.0290827091276171</v>
      </c>
      <c r="Z78" s="29" cm="1">
        <f t="array" aca="1" ref="Z78" ca="1">MMS_PastureBeef_Soil_N2ODirect_Equations.VEERG_4_2_1_3__6_IntakeRelativeToMaintenance(Z62,Z26)</f>
        <v>1.0250350228725489</v>
      </c>
      <c r="AA78" s="29" cm="1">
        <f t="array" aca="1" ref="AA78" ca="1">MMS_PastureBeef_Soil_N2ODirect_Equations.VEERG_4_2_1_3__6_IntakeRelativeToMaintenance(AA62,AA26)</f>
        <v>1.0250350228725489</v>
      </c>
      <c r="AB78" s="29" cm="1">
        <f t="array" aca="1" ref="AB78" ca="1">MMS_PastureBeef_Soil_N2ODirect_Equations.VEERG_4_2_1_3__6_IntakeRelativeToMaintenance(AB62,AB26)</f>
        <v>1.2744200407937745</v>
      </c>
      <c r="AC78" s="29" cm="1">
        <f t="array" aca="1" ref="AC78" ca="1">MMS_PastureBeef_Soil_N2ODirect_Equations.VEERG_4_2_1_3__6_IntakeRelativeToMaintenance(AC62,AC26)</f>
        <v>1.1147815609185805</v>
      </c>
      <c r="AD78" s="29" cm="1">
        <f t="array" aca="1" ref="AD78" ca="1">MMS_PastureBeef_Soil_N2ODirect_Equations.VEERG_4_2_1_3__6_IntakeRelativeToMaintenance(AD62,AD26)</f>
        <v>1.1147815609185805</v>
      </c>
      <c r="AE78" s="29" cm="1">
        <f t="array" aca="1" ref="AE78" ca="1">MMS_PastureBeef_Soil_N2ODirect_Equations.VEERG_4_2_1_3__6_IntakeRelativeToMaintenance(AE62,AE26)</f>
        <v>1.1147815609185805</v>
      </c>
      <c r="AF78" s="32" t="str">
        <f t="shared" si="3"/>
        <v>ratio</v>
      </c>
      <c r="AG78" s="32"/>
      <c r="AH78" s="32"/>
    </row>
    <row r="79" spans="3:34" ht="20.100000000000001" customHeight="1" x14ac:dyDescent="0.25">
      <c r="D79" s="50" t="str">
        <v>LC_jk5prev</v>
      </c>
      <c r="E79" s="51" t="str">
        <v>proportion of cows greater than 2 years lactating for the season after calving</v>
      </c>
      <c r="F79" s="53"/>
      <c r="G79" s="50" t="str">
        <v>fraction</v>
      </c>
      <c r="H79" s="54" t="str">
        <v>Input</v>
      </c>
      <c r="I79" s="56" t="str" cm="1">
        <f t="array" aca="1" ref="I79" ca="1">HYPERLINK(Common_InputFunctions.Utility_SourceHyperlink($D$84), $D$84)</f>
        <v>M1_Table_LC_j_k-4-5</v>
      </c>
      <c r="U79" s="29" t="str">
        <f>TEXT(EDATE('Input - Site'!$E$12,7), "mmmm yyyy")</f>
        <v>August 2024</v>
      </c>
      <c r="V79" s="29" cm="1">
        <f t="array" aca="1" ref="V79" ca="1">MMS_PastureBeef_Soil_N2ODirect_Equations.VEERG_4_2_1_3__6_IntakeRelativeToMaintenance(V63,V27)</f>
        <v>1.3447114471128401</v>
      </c>
      <c r="W79" s="29" cm="1">
        <f t="array" aca="1" ref="W79" ca="1">MMS_PastureBeef_Soil_N2ODirect_Equations.VEERG_4_2_1_3__6_IntakeRelativeToMaintenance(W63,W27)</f>
        <v>1.0453721939219578</v>
      </c>
      <c r="X79" s="29" cm="1">
        <f t="array" aca="1" ref="X79" ca="1">MMS_PastureBeef_Soil_N2ODirect_Equations.VEERG_4_2_1_3__6_IntakeRelativeToMaintenance(X63,X27)</f>
        <v>1.2863889326974398</v>
      </c>
      <c r="Y79" s="29" cm="1">
        <f t="array" aca="1" ref="Y79" ca="1">MMS_PastureBeef_Soil_N2ODirect_Equations.VEERG_4_2_1_3__6_IntakeRelativeToMaintenance(Y63,Y27)</f>
        <v>1.2606263186813311</v>
      </c>
      <c r="Z79" s="29" cm="1">
        <f t="array" aca="1" ref="Z79" ca="1">MMS_PastureBeef_Soil_N2ODirect_Equations.VEERG_4_2_1_3__6_IntakeRelativeToMaintenance(Z63,Z27)</f>
        <v>1.2556679030188727</v>
      </c>
      <c r="AA79" s="29" cm="1">
        <f t="array" aca="1" ref="AA79" ca="1">MMS_PastureBeef_Soil_N2ODirect_Equations.VEERG_4_2_1_3__6_IntakeRelativeToMaintenance(AA63,AA27)</f>
        <v>1.2556679030188727</v>
      </c>
      <c r="AB79" s="29" cm="1">
        <f t="array" aca="1" ref="AB79" ca="1">MMS_PastureBeef_Soil_N2ODirect_Equations.VEERG_4_2_1_3__6_IntakeRelativeToMaintenance(AB63,AB27)</f>
        <v>1.2744200407937745</v>
      </c>
      <c r="AC79" s="29" cm="1">
        <f t="array" aca="1" ref="AC79" ca="1">MMS_PastureBeef_Soil_N2ODirect_Equations.VEERG_4_2_1_3__6_IntakeRelativeToMaintenance(AC63,AC27)</f>
        <v>1.1147815609185805</v>
      </c>
      <c r="AD79" s="29" cm="1">
        <f t="array" aca="1" ref="AD79" ca="1">MMS_PastureBeef_Soil_N2ODirect_Equations.VEERG_4_2_1_3__6_IntakeRelativeToMaintenance(AD63,AD27)</f>
        <v>1.1147815609185805</v>
      </c>
      <c r="AE79" s="29" cm="1">
        <f t="array" aca="1" ref="AE79" ca="1">MMS_PastureBeef_Soil_N2ODirect_Equations.VEERG_4_2_1_3__6_IntakeRelativeToMaintenance(AE63,AE27)</f>
        <v>1.1147815609185805</v>
      </c>
      <c r="AF79" s="32" t="str">
        <f t="shared" si="3"/>
        <v>ratio</v>
      </c>
      <c r="AG79" s="32"/>
      <c r="AH79" s="32"/>
    </row>
    <row r="80" spans="3:34" ht="20.100000000000001" customHeight="1" x14ac:dyDescent="0.25">
      <c r="D80" s="50" t="str">
        <v>DMP_jk5calv</v>
      </c>
      <c r="E80" s="51" t="str">
        <v>daily milk production for the season of calving (kg/head/day)</v>
      </c>
      <c r="F80" s="53"/>
      <c r="G80" s="50" t="str">
        <v>kg/head/day</v>
      </c>
      <c r="H80" s="55" t="str">
        <v>Constant</v>
      </c>
      <c r="I80" s="65" cm="1">
        <f t="array" ref="I80">_xlfn.XLOOKUP(1, (Table_SourceData_PastureBeef_FeedIntakeAdjustment_Variation[Breed]=$I$82)*(Table_SourceData_PastureBeef_FeedIntakeAdjustment_Variation[Season]=+"Calving season"),Table_SourceData_PastureBeef_FeedIntakeAdjustment_Variation[Milk intake/production])</f>
        <v>6</v>
      </c>
      <c r="U80" s="29" t="str">
        <f>TEXT(EDATE('Input - Site'!$E$12,8), "mmmm yyyy")</f>
        <v>September 2024</v>
      </c>
      <c r="V80" s="29" cm="1">
        <f t="array" aca="1" ref="V80" ca="1">MMS_PastureBeef_Soil_N2ODirect_Equations.VEERG_4_2_1_3__6_IntakeRelativeToMaintenance(V64,V28)</f>
        <v>1.4707970166214006</v>
      </c>
      <c r="W80" s="29" cm="1">
        <f t="array" aca="1" ref="W80" ca="1">MMS_PastureBeef_Soil_N2ODirect_Equations.VEERG_4_2_1_3__6_IntakeRelativeToMaintenance(W64,W28)</f>
        <v>1.2318676608114607</v>
      </c>
      <c r="X80" s="29" cm="1">
        <f t="array" aca="1" ref="X80" ca="1">MMS_PastureBeef_Soil_N2ODirect_Equations.VEERG_4_2_1_3__6_IntakeRelativeToMaintenance(X64,X28)</f>
        <v>1.3784396841492426</v>
      </c>
      <c r="Y80" s="29" cm="1">
        <f t="array" aca="1" ref="Y80" ca="1">MMS_PastureBeef_Soil_N2ODirect_Equations.VEERG_4_2_1_3__6_IntakeRelativeToMaintenance(Y64,Y28)</f>
        <v>1.5323399982323869</v>
      </c>
      <c r="Z80" s="29" cm="1">
        <f t="array" aca="1" ref="Z80" ca="1">MMS_PastureBeef_Soil_N2ODirect_Equations.VEERG_4_2_1_3__6_IntakeRelativeToMaintenance(Z64,Z28)</f>
        <v>1.4072279803711161</v>
      </c>
      <c r="AA80" s="29" cm="1">
        <f t="array" aca="1" ref="AA80" ca="1">MMS_PastureBeef_Soil_N2ODirect_Equations.VEERG_4_2_1_3__6_IntakeRelativeToMaintenance(AA64,AA28)</f>
        <v>1.4072279803711161</v>
      </c>
      <c r="AB80" s="29" cm="1">
        <f t="array" aca="1" ref="AB80" ca="1">MMS_PastureBeef_Soil_N2ODirect_Equations.VEERG_4_2_1_3__6_IntakeRelativeToMaintenance(AB64,AB28)</f>
        <v>1.4241682690123998</v>
      </c>
      <c r="AC80" s="29" cm="1">
        <f t="array" aca="1" ref="AC80" ca="1">MMS_PastureBeef_Soil_N2ODirect_Equations.VEERG_4_2_1_3__6_IntakeRelativeToMaintenance(AC64,AC28)</f>
        <v>1.2663208058014268</v>
      </c>
      <c r="AD80" s="29" cm="1">
        <f t="array" aca="1" ref="AD80" ca="1">MMS_PastureBeef_Soil_N2ODirect_Equations.VEERG_4_2_1_3__6_IntakeRelativeToMaintenance(AD64,AD28)</f>
        <v>1.2663208058014268</v>
      </c>
      <c r="AE80" s="29" cm="1">
        <f t="array" aca="1" ref="AE80" ca="1">MMS_PastureBeef_Soil_N2ODirect_Equations.VEERG_4_2_1_3__6_IntakeRelativeToMaintenance(AE64,AE28)</f>
        <v>1.2663208058014268</v>
      </c>
      <c r="AF80" s="32" t="str">
        <f t="shared" si="3"/>
        <v>ratio</v>
      </c>
      <c r="AG80" s="32"/>
      <c r="AH80" s="32"/>
    </row>
    <row r="81" spans="4:35" ht="20.100000000000001" customHeight="1" x14ac:dyDescent="0.25">
      <c r="D81" s="50" t="str">
        <v>DMP_jk5after</v>
      </c>
      <c r="E81" s="51" t="str">
        <v>daily milk production for the season after calving (kg/head/day)</v>
      </c>
      <c r="F81" s="53"/>
      <c r="G81" s="50" t="str">
        <v>kg/head/day</v>
      </c>
      <c r="H81" s="55" t="str">
        <v>Constant</v>
      </c>
      <c r="I81" s="6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9" t="str">
        <f>TEXT(EDATE('Input - Site'!$E$12,9), "mmmm yyyy")</f>
        <v>October 2024</v>
      </c>
      <c r="V81" s="29" cm="1">
        <f t="array" aca="1" ref="V81" ca="1">MMS_PastureBeef_Soil_N2ODirect_Equations.VEERG_4_2_1_3__6_IntakeRelativeToMaintenance(V65,V29)</f>
        <v>1.4707970166214006</v>
      </c>
      <c r="W81" s="29" cm="1">
        <f t="array" aca="1" ref="W81" ca="1">MMS_PastureBeef_Soil_N2ODirect_Equations.VEERG_4_2_1_3__6_IntakeRelativeToMaintenance(W65,W29)</f>
        <v>1.2318676608114607</v>
      </c>
      <c r="X81" s="29" cm="1">
        <f t="array" aca="1" ref="X81" ca="1">MMS_PastureBeef_Soil_N2ODirect_Equations.VEERG_4_2_1_3__6_IntakeRelativeToMaintenance(X65,X29)</f>
        <v>1.3784396841492426</v>
      </c>
      <c r="Y81" s="29" cm="1">
        <f t="array" aca="1" ref="Y81" ca="1">MMS_PastureBeef_Soil_N2ODirect_Equations.VEERG_4_2_1_3__6_IntakeRelativeToMaintenance(Y65,Y29)</f>
        <v>1.5323399982323869</v>
      </c>
      <c r="Z81" s="29" cm="1">
        <f t="array" aca="1" ref="Z81" ca="1">MMS_PastureBeef_Soil_N2ODirect_Equations.VEERG_4_2_1_3__6_IntakeRelativeToMaintenance(Z65,Z29)</f>
        <v>1.4072279803711161</v>
      </c>
      <c r="AA81" s="29" cm="1">
        <f t="array" aca="1" ref="AA81" ca="1">MMS_PastureBeef_Soil_N2ODirect_Equations.VEERG_4_2_1_3__6_IntakeRelativeToMaintenance(AA65,AA29)</f>
        <v>1.4072279803711161</v>
      </c>
      <c r="AB81" s="29" cm="1">
        <f t="array" aca="1" ref="AB81" ca="1">MMS_PastureBeef_Soil_N2ODirect_Equations.VEERG_4_2_1_3__6_IntakeRelativeToMaintenance(AB65,AB29)</f>
        <v>1.4241682690123998</v>
      </c>
      <c r="AC81" s="29" cm="1">
        <f t="array" aca="1" ref="AC81" ca="1">MMS_PastureBeef_Soil_N2ODirect_Equations.VEERG_4_2_1_3__6_IntakeRelativeToMaintenance(AC65,AC29)</f>
        <v>1.2663208058014268</v>
      </c>
      <c r="AD81" s="29" cm="1">
        <f t="array" aca="1" ref="AD81" ca="1">MMS_PastureBeef_Soil_N2ODirect_Equations.VEERG_4_2_1_3__6_IntakeRelativeToMaintenance(AD65,AD29)</f>
        <v>1.2663208058014268</v>
      </c>
      <c r="AE81" s="29" cm="1">
        <f t="array" aca="1" ref="AE81" ca="1">MMS_PastureBeef_Soil_N2ODirect_Equations.VEERG_4_2_1_3__6_IntakeRelativeToMaintenance(AE65,AE29)</f>
        <v>1.2663208058014268</v>
      </c>
      <c r="AF81" s="32" t="str">
        <f t="shared" si="3"/>
        <v>ratio</v>
      </c>
      <c r="AG81" s="32"/>
      <c r="AH81" s="32"/>
    </row>
    <row r="82" spans="4:35" ht="20.100000000000001" customHeight="1" x14ac:dyDescent="0.25">
      <c r="D82" s="50" t="str">
        <v>b</v>
      </c>
      <c r="E82" s="51" t="str">
        <v>breed of cattle</v>
      </c>
      <c r="F82" s="53"/>
      <c r="G82" s="50" t="str">
        <v/>
      </c>
      <c r="H82" s="54" t="str">
        <v>Input</v>
      </c>
      <c r="I82" s="65" t="str">
        <f>X_Cell_PastureBeef_Breed</f>
        <v>Hereford or Shorthorn breeds</v>
      </c>
      <c r="U82" s="29" t="str">
        <f>TEXT(EDATE('Input - Site'!$E$12,10), "mmmm yyyy")</f>
        <v>November 2024</v>
      </c>
      <c r="V82" s="29" cm="1">
        <f t="array" aca="1" ref="V82" ca="1">MMS_PastureBeef_Soil_N2ODirect_Equations.VEERG_4_2_1_3__6_IntakeRelativeToMaintenance(V66,V30)</f>
        <v>1.4707970166214006</v>
      </c>
      <c r="W82" s="29" cm="1">
        <f t="array" aca="1" ref="W82" ca="1">MMS_PastureBeef_Soil_N2ODirect_Equations.VEERG_4_2_1_3__6_IntakeRelativeToMaintenance(W66,W30)</f>
        <v>1.2318676608114607</v>
      </c>
      <c r="X82" s="29" cm="1">
        <f t="array" aca="1" ref="X82" ca="1">MMS_PastureBeef_Soil_N2ODirect_Equations.VEERG_4_2_1_3__6_IntakeRelativeToMaintenance(X66,X30)</f>
        <v>1.3784396841492426</v>
      </c>
      <c r="Y82" s="29" cm="1">
        <f t="array" aca="1" ref="Y82" ca="1">MMS_PastureBeef_Soil_N2ODirect_Equations.VEERG_4_2_1_3__6_IntakeRelativeToMaintenance(Y66,Y30)</f>
        <v>1.3447065290610742</v>
      </c>
      <c r="Z82" s="29" cm="1">
        <f t="array" aca="1" ref="Z82" ca="1">MMS_PastureBeef_Soil_N2ODirect_Equations.VEERG_4_2_1_3__6_IntakeRelativeToMaintenance(Z66,Z30)</f>
        <v>1.2349143501215916</v>
      </c>
      <c r="AA82" s="29" cm="1">
        <f t="array" aca="1" ref="AA82" ca="1">MMS_PastureBeef_Soil_N2ODirect_Equations.VEERG_4_2_1_3__6_IntakeRelativeToMaintenance(AA66,AA30)</f>
        <v>1.2349143501215916</v>
      </c>
      <c r="AB82" s="29" cm="1">
        <f t="array" aca="1" ref="AB82" ca="1">MMS_PastureBeef_Soil_N2ODirect_Equations.VEERG_4_2_1_3__6_IntakeRelativeToMaintenance(AB66,AB30)</f>
        <v>1.4241682690123998</v>
      </c>
      <c r="AC82" s="29" cm="1">
        <f t="array" aca="1" ref="AC82" ca="1">MMS_PastureBeef_Soil_N2ODirect_Equations.VEERG_4_2_1_3__6_IntakeRelativeToMaintenance(AC66,AC30)</f>
        <v>1.2663208058014268</v>
      </c>
      <c r="AD82" s="29" cm="1">
        <f t="array" aca="1" ref="AD82" ca="1">MMS_PastureBeef_Soil_N2ODirect_Equations.VEERG_4_2_1_3__6_IntakeRelativeToMaintenance(AD66,AD30)</f>
        <v>1.2663208058014268</v>
      </c>
      <c r="AE82" s="29" cm="1">
        <f t="array" aca="1" ref="AE82" ca="1">MMS_PastureBeef_Soil_N2ODirect_Equations.VEERG_4_2_1_3__6_IntakeRelativeToMaintenance(AE66,AE30)</f>
        <v>1.2663208058014268</v>
      </c>
      <c r="AF82" s="32" t="str">
        <f t="shared" si="3"/>
        <v>ratio</v>
      </c>
      <c r="AG82" s="32"/>
      <c r="AH82" s="32"/>
    </row>
    <row r="83" spans="4:35" ht="20.100000000000001" customHeight="1" x14ac:dyDescent="0.25">
      <c r="U83" s="29" t="str">
        <f>TEXT(EDATE('Input - Site'!$E$12,11), "mmmm yyyy")</f>
        <v>December 2024</v>
      </c>
      <c r="V83" s="29" cm="1">
        <f t="array" aca="1" ref="V83" ca="1">MMS_PastureBeef_Soil_N2ODirect_Equations.VEERG_4_2_1_3__6_IntakeRelativeToMaintenance(V67,V31)</f>
        <v>1.1123493391850732</v>
      </c>
      <c r="W83" s="29" cm="1">
        <f t="array" aca="1" ref="W83" ca="1">MMS_PastureBeef_Soil_N2ODirect_Equations.VEERG_4_2_1_3__6_IntakeRelativeToMaintenance(W67,W31)</f>
        <v>0.95640681558610863</v>
      </c>
      <c r="X83" s="29" cm="1">
        <f t="array" aca="1" ref="X83" ca="1">MMS_PastureBeef_Soil_N2ODirect_Equations.VEERG_4_2_1_3__6_IntakeRelativeToMaintenance(X67,X31)</f>
        <v>1.1234350255113625</v>
      </c>
      <c r="Y83" s="29" cm="1">
        <f t="array" aca="1" ref="Y83" ca="1">MMS_PastureBeef_Soil_N2ODirect_Equations.VEERG_4_2_1_3__6_IntakeRelativeToMaintenance(Y67,Y31)</f>
        <v>1.1593206891815613</v>
      </c>
      <c r="Z83" s="29" cm="1">
        <f t="array" aca="1" ref="Z83" ca="1">MMS_PastureBeef_Soil_N2ODirect_Equations.VEERG_4_2_1_3__6_IntakeRelativeToMaintenance(Z67,Z31)</f>
        <v>1.0235502922520121</v>
      </c>
      <c r="AA83" s="29" cm="1">
        <f t="array" aca="1" ref="AA83" ca="1">MMS_PastureBeef_Soil_N2ODirect_Equations.VEERG_4_2_1_3__6_IntakeRelativeToMaintenance(AA67,AA31)</f>
        <v>1.0235502922520121</v>
      </c>
      <c r="AB83" s="29" cm="1">
        <f t="array" aca="1" ref="AB83" ca="1">MMS_PastureBeef_Soil_N2ODirect_Equations.VEERG_4_2_1_3__6_IntakeRelativeToMaintenance(AB67,AB31)</f>
        <v>1.1174246366611618</v>
      </c>
      <c r="AC83" s="29" cm="1">
        <f t="array" aca="1" ref="AC83" ca="1">MMS_PastureBeef_Soil_N2ODirect_Equations.VEERG_4_2_1_3__6_IntakeRelativeToMaintenance(AC67,AC31)</f>
        <v>0.97490853257319487</v>
      </c>
      <c r="AD83" s="29" cm="1">
        <f t="array" aca="1" ref="AD83" ca="1">MMS_PastureBeef_Soil_N2ODirect_Equations.VEERG_4_2_1_3__6_IntakeRelativeToMaintenance(AD67,AD31)</f>
        <v>0.97490853257319487</v>
      </c>
      <c r="AE83" s="29" cm="1">
        <f t="array" aca="1" ref="AE83" ca="1">MMS_PastureBeef_Soil_N2ODirect_Equations.VEERG_4_2_1_3__6_IntakeRelativeToMaintenance(AE67,AE31)</f>
        <v>0.97490853257319487</v>
      </c>
      <c r="AF83" s="32" t="str">
        <f t="shared" si="3"/>
        <v>ratio</v>
      </c>
      <c r="AG83" s="32"/>
      <c r="AH83" s="32"/>
    </row>
    <row r="84" spans="4:35" ht="20.100000000000001" customHeight="1" x14ac:dyDescent="0.25">
      <c r="D84" s="57" t="s">
        <v>81</v>
      </c>
    </row>
    <row r="85" spans="4:35" ht="20.100000000000001" customHeight="1" x14ac:dyDescent="0.25">
      <c r="D85" s="58" t="s">
        <v>82</v>
      </c>
    </row>
    <row r="86" spans="4:35" ht="20.100000000000001" customHeight="1" x14ac:dyDescent="0.25">
      <c r="D86" s="59" t="s">
        <v>84</v>
      </c>
      <c r="E86" s="60" t="s">
        <v>34</v>
      </c>
      <c r="F86" s="60" t="s">
        <v>35</v>
      </c>
      <c r="G86" s="60" t="s">
        <v>36</v>
      </c>
      <c r="T86" s="61"/>
      <c r="U86" s="61"/>
      <c r="V86" s="61"/>
      <c r="W86" s="61"/>
      <c r="X86" s="61"/>
      <c r="Y86" s="61"/>
      <c r="Z86" s="61"/>
      <c r="AA86" s="61"/>
      <c r="AB86" s="61"/>
      <c r="AC86" s="61"/>
      <c r="AD86" s="61"/>
      <c r="AE86" s="61"/>
      <c r="AF86" s="61"/>
      <c r="AG86" s="61"/>
      <c r="AH86" s="61"/>
      <c r="AI86" s="61"/>
    </row>
    <row r="87" spans="4:35" ht="20.100000000000001" customHeight="1" x14ac:dyDescent="0.25">
      <c r="D87" s="29" t="str">
        <f>'Input - Pasture Beef'!$E$104</f>
        <v>Winter</v>
      </c>
      <c r="E87" s="127">
        <f>'Input - Pasture Beef'!$F$110</f>
        <v>0.7</v>
      </c>
      <c r="F87" s="127">
        <f>'Input - Pasture Beef'!$G$110</f>
        <v>0.5</v>
      </c>
      <c r="G87" s="127">
        <f>'Input - Pasture Beef'!$H$110</f>
        <v>0.5</v>
      </c>
      <c r="H87" s="32" t="s">
        <v>86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57" t="s">
        <v>83</v>
      </c>
    </row>
    <row r="90" spans="4:35" ht="20.100000000000001" customHeight="1" x14ac:dyDescent="0.25">
      <c r="U90" s="58" t="s">
        <v>85</v>
      </c>
    </row>
    <row r="91" spans="4:35" ht="20.100000000000001" customHeight="1" x14ac:dyDescent="0.25">
      <c r="U91" s="59" t="s">
        <v>87</v>
      </c>
      <c r="V91" s="60" t="s">
        <v>34</v>
      </c>
      <c r="W91" s="60" t="s">
        <v>35</v>
      </c>
      <c r="X91" s="60" t="s">
        <v>36</v>
      </c>
    </row>
    <row r="92" spans="4:35" ht="20.100000000000001" customHeight="1" x14ac:dyDescent="0.25">
      <c r="D92" s="57" t="s">
        <v>247</v>
      </c>
      <c r="U92" s="29" t="str">
        <f>TEXT(EDATE('Input - Pasture Beef'!$D$124,0), "mmmm") &amp; ", " &amp; TEXT(EDATE('Input - Pasture Beef'!$D$125,0), "mmmm") &amp; ", " &amp; TEXT(EDATE('Input - Pasture Beef'!$D$126,0), "mmmm")</f>
        <v>August, September, October</v>
      </c>
      <c r="V92" s="127">
        <f>'Input - Pasture Beef'!$E$127</f>
        <v>0.75</v>
      </c>
      <c r="W92" s="127">
        <f>'Input - Pasture Beef'!$F$127</f>
        <v>0.75</v>
      </c>
      <c r="X92" s="127">
        <f>'Input - Pasture Beef'!$G$127</f>
        <v>0.75</v>
      </c>
      <c r="Y92" s="32" t="s">
        <v>86</v>
      </c>
    </row>
    <row r="93" spans="4:35" ht="20.100000000000001" customHeight="1" x14ac:dyDescent="0.25">
      <c r="D93" s="58" t="s">
        <v>248</v>
      </c>
      <c r="U93" s="29" t="str">
        <f>TEXT(EDATE('Input - Pasture Beef'!$D$126,1), "mmmm") &amp; ", " &amp; TEXT(EDATE('Input - Pasture Beef'!$D$126,2), "mmmm") &amp; ", " &amp; TEXT(EDATE('Input - Pasture Beef'!$D$126,3), "mmmm")</f>
        <v>November, December, January</v>
      </c>
      <c r="Y93" s="32"/>
    </row>
    <row r="94" spans="4:35" ht="20.100000000000001" customHeight="1" x14ac:dyDescent="0.25">
      <c r="D94" s="59" t="s">
        <v>84</v>
      </c>
      <c r="E94" s="59" t="s">
        <v>55</v>
      </c>
      <c r="F94" s="59" t="s">
        <v>249</v>
      </c>
      <c r="G94" s="59" t="s">
        <v>31</v>
      </c>
      <c r="H94" s="59" t="s">
        <v>32</v>
      </c>
      <c r="I94" s="59" t="s">
        <v>33</v>
      </c>
      <c r="J94" s="59" t="s">
        <v>34</v>
      </c>
      <c r="K94" s="59" t="s">
        <v>35</v>
      </c>
      <c r="L94" s="59" t="s">
        <v>36</v>
      </c>
      <c r="M94" s="59" t="s">
        <v>37</v>
      </c>
      <c r="N94" s="59" t="s">
        <v>38</v>
      </c>
      <c r="O94" s="59" t="s">
        <v>39</v>
      </c>
      <c r="P94" s="59" t="s">
        <v>40</v>
      </c>
    </row>
    <row r="95" spans="4:35" ht="20.100000000000001" customHeight="1" x14ac:dyDescent="0.25">
      <c r="D95" s="29" t="str">
        <f>INDEX(M1_Table_MA_j_k45,2,1)</f>
        <v>Spring</v>
      </c>
      <c r="E95" s="29" t="str" cm="1">
        <f t="array" ref="E95">_xlfn.IFS(D87=D95, "Calving season", D87=D98, "Season after calving", D87=D96, "", D87=D97, "")</f>
        <v>Season after calving</v>
      </c>
      <c r="F95" s="29" cm="1">
        <f t="array" ref="F95">_xlfn.IFS(E95="Calving season", $I$80, E95="Season after calving", $I$81, E95="", "")</f>
        <v>4</v>
      </c>
      <c r="G95" s="29">
        <v>0</v>
      </c>
      <c r="H95" s="29">
        <v>0</v>
      </c>
      <c r="I95" s="29">
        <v>0</v>
      </c>
      <c r="J95" s="29" cm="1">
        <f t="array" ref="J95">IFERROR(MMS_PastureBeef_Soil_N2ODirect_Equations.VEERG_4_2_1_3__5_MilkProductionForCalvingSeason(E$87,$F95), 0)</f>
        <v>2.8</v>
      </c>
      <c r="K95" s="29" cm="1">
        <f t="array" ref="K95">IFERROR(MMS_PastureBeef_Soil_N2ODirect_Equations.VEERG_4_2_1_3__5_MilkProductionForCalvingSeason(F$87,$F95), 0)</f>
        <v>2</v>
      </c>
      <c r="L95" s="29" cm="1">
        <f t="array" ref="L95">IFERROR(MMS_PastureBeef_Soil_N2ODirect_Equations.VEERG_4_2_1_3__5_MilkProductionForCalvingSeason(G$87,$F95), 0)</f>
        <v>2</v>
      </c>
      <c r="M95" s="29">
        <v>0</v>
      </c>
      <c r="N95" s="29">
        <v>0</v>
      </c>
      <c r="O95" s="29">
        <v>0</v>
      </c>
      <c r="P95" s="29">
        <v>0</v>
      </c>
      <c r="Q95" s="32" t="str">
        <f>$E$76</f>
        <v>kg/head/day</v>
      </c>
    </row>
    <row r="96" spans="4:35" ht="20.100000000000001" customHeight="1" x14ac:dyDescent="0.25">
      <c r="D96" s="29" t="str">
        <f>INDEX(M1_Table_MA_j_k45,3,1)</f>
        <v>Summer</v>
      </c>
      <c r="E96" s="29" t="str" cm="1">
        <f t="array" ref="E96">_xlfn.IFS(D87=D96, "Calving season", D87=D95, "Season after calving", D87=D97, "", D87=D98, "")</f>
        <v/>
      </c>
      <c r="F96" s="29" t="str" cm="1">
        <f t="array" ref="F96">_xlfn.IFS(E96="Calving season", $I$80, E96="Season after calving", $I$81, E96="", "")</f>
        <v/>
      </c>
      <c r="G96" s="29">
        <v>0</v>
      </c>
      <c r="H96" s="29">
        <v>0</v>
      </c>
      <c r="I96" s="29">
        <v>0</v>
      </c>
      <c r="J96" s="29" cm="1">
        <f t="array" ref="J96">IFERROR(MMS_PastureBeef_Soil_N2ODirect_Equations.VEERG_4_2_1_3__5_MilkProductionForCalvingSeason(E$87,$F96), 0)</f>
        <v>0</v>
      </c>
      <c r="K96" s="29" cm="1">
        <f t="array" ref="K96">IFERROR(MMS_PastureBeef_Soil_N2ODirect_Equations.VEERG_4_2_1_3__5_MilkProductionForCalvingSeason(F$87,$F96), 0)</f>
        <v>0</v>
      </c>
      <c r="L96" s="29" cm="1">
        <f t="array" ref="L96">IFERROR(MMS_PastureBeef_Soil_N2ODirect_Equations.VEERG_4_2_1_3__5_MilkProductionForCalvingSeason(G$87,$F96), 0)</f>
        <v>0</v>
      </c>
      <c r="M96" s="29">
        <v>0</v>
      </c>
      <c r="N96" s="29">
        <v>0</v>
      </c>
      <c r="O96" s="29">
        <v>0</v>
      </c>
      <c r="P96" s="29">
        <v>0</v>
      </c>
      <c r="Q96" s="32" t="str">
        <f t="shared" ref="Q96:Q98" si="4">$E$76</f>
        <v>kg/head/day</v>
      </c>
    </row>
    <row r="97" spans="3:34" ht="20.100000000000001" customHeight="1" x14ac:dyDescent="0.25">
      <c r="D97" s="29" t="str">
        <f>INDEX(M1_Table_MA_j_k45,4,1)</f>
        <v>Autumn</v>
      </c>
      <c r="E97" s="29" t="str" cm="1">
        <f t="array" ref="E97">_xlfn.IFS(D87=D97, "Calving season", D87=D96, "Season after calving", D87=D98, "", D87=D95, "")</f>
        <v/>
      </c>
      <c r="F97" s="29" t="str" cm="1">
        <f t="array" ref="F97">_xlfn.IFS(E97="Calving season", $I$80, E97="Season after calving", $I$81, E97="", "")</f>
        <v/>
      </c>
      <c r="G97" s="29">
        <v>0</v>
      </c>
      <c r="H97" s="29">
        <v>0</v>
      </c>
      <c r="I97" s="29">
        <v>0</v>
      </c>
      <c r="J97" s="29" cm="1">
        <f t="array" ref="J97">IFERROR(MMS_PastureBeef_Soil_N2ODirect_Equations.VEERG_4_2_1_3__5_MilkProductionForCalvingSeason(E$87,$F97), 0)</f>
        <v>0</v>
      </c>
      <c r="K97" s="29" cm="1">
        <f t="array" ref="K97">IFERROR(MMS_PastureBeef_Soil_N2ODirect_Equations.VEERG_4_2_1_3__5_MilkProductionForCalvingSeason(F$87,$F97), 0)</f>
        <v>0</v>
      </c>
      <c r="L97" s="29" cm="1">
        <f t="array" ref="L97">IFERROR(MMS_PastureBeef_Soil_N2ODirect_Equations.VEERG_4_2_1_3__5_MilkProductionForCalvingSeason(G$87,$F97), 0)</f>
        <v>0</v>
      </c>
      <c r="M97" s="29">
        <v>0</v>
      </c>
      <c r="N97" s="29">
        <v>0</v>
      </c>
      <c r="O97" s="29">
        <v>0</v>
      </c>
      <c r="P97" s="29">
        <v>0</v>
      </c>
      <c r="Q97" s="32" t="str">
        <f t="shared" si="4"/>
        <v>kg/head/day</v>
      </c>
      <c r="U97" s="57" t="s">
        <v>250</v>
      </c>
    </row>
    <row r="98" spans="3:34" ht="20.100000000000001" customHeight="1" x14ac:dyDescent="0.25">
      <c r="D98" s="29" t="str">
        <f>INDEX(M1_Table_MA_j_k45,5,1)</f>
        <v>Winter</v>
      </c>
      <c r="E98" s="29" t="str" cm="1">
        <f t="array" ref="E98">_xlfn.IFS(D87=D98, "Calving season", D87=D97, "Season after calving", D87=D95, "", D87=D96, "")</f>
        <v>Calving season</v>
      </c>
      <c r="F98" s="29" cm="1">
        <f t="array" ref="F98">_xlfn.IFS(E98="Calving season", $I$80, E98="Season after calving", $I$81, E98="", "")</f>
        <v>6</v>
      </c>
      <c r="G98" s="29">
        <v>0</v>
      </c>
      <c r="H98" s="29">
        <v>0</v>
      </c>
      <c r="I98" s="29">
        <v>0</v>
      </c>
      <c r="J98" s="29" cm="1">
        <f t="array" ref="J98">IFERROR(MMS_PastureBeef_Soil_N2ODirect_Equations.VEERG_4_2_1_3__5_MilkProductionForCalvingSeason(E$87,$F98), 0)</f>
        <v>4.1999999999999993</v>
      </c>
      <c r="K98" s="29" cm="1">
        <f t="array" ref="K98">IFERROR(MMS_PastureBeef_Soil_N2ODirect_Equations.VEERG_4_2_1_3__5_MilkProductionForCalvingSeason(F$87,$F98), 0)</f>
        <v>3</v>
      </c>
      <c r="L98" s="29" cm="1">
        <f t="array" ref="L98">IFERROR(MMS_PastureBeef_Soil_N2ODirect_Equations.VEERG_4_2_1_3__5_MilkProductionForCalvingSeason(G$87,$F98), 0)</f>
        <v>3</v>
      </c>
      <c r="M98" s="29">
        <v>0</v>
      </c>
      <c r="N98" s="29">
        <v>0</v>
      </c>
      <c r="O98" s="29">
        <v>0</v>
      </c>
      <c r="P98" s="29">
        <v>0</v>
      </c>
      <c r="Q98" s="32" t="str">
        <f t="shared" si="4"/>
        <v>kg/head/day</v>
      </c>
      <c r="U98" s="58" t="s">
        <v>248</v>
      </c>
    </row>
    <row r="99" spans="3:34" ht="20.100000000000001" customHeight="1" x14ac:dyDescent="0.25">
      <c r="U99" s="59" t="s">
        <v>87</v>
      </c>
      <c r="V99" s="59" t="s">
        <v>55</v>
      </c>
      <c r="W99" s="59" t="s">
        <v>249</v>
      </c>
      <c r="X99" s="59" t="s">
        <v>31</v>
      </c>
      <c r="Y99" s="59" t="s">
        <v>32</v>
      </c>
      <c r="Z99" s="59" t="s">
        <v>33</v>
      </c>
      <c r="AA99" s="59" t="s">
        <v>34</v>
      </c>
      <c r="AB99" s="59" t="s">
        <v>35</v>
      </c>
      <c r="AC99" s="59" t="s">
        <v>36</v>
      </c>
      <c r="AD99" s="59" t="s">
        <v>37</v>
      </c>
      <c r="AE99" s="59" t="s">
        <v>38</v>
      </c>
      <c r="AF99" s="59" t="s">
        <v>39</v>
      </c>
      <c r="AG99" s="59" t="s">
        <v>40</v>
      </c>
    </row>
    <row r="100" spans="3:34" ht="20.100000000000001" customHeight="1" x14ac:dyDescent="0.25">
      <c r="U100" s="29" t="str">
        <f>TEXT('Input - Site'!$E$12,"mmmm")</f>
        <v>January</v>
      </c>
      <c r="V100" s="29" t="str" cm="1">
        <f t="array" ref="V100">IFERROR(_xlfn.IFS(SUMPRODUCT(ISNUMBER(SEARCH(TRIM(_xlfn.TEXTSPLIT($U$92,",")),U100))*1)&gt;0,"Calving season",SUMPRODUCT(ISNUMBER(SEARCH(TRIM(_xlfn.TEXTSPLIT($U$93,",")),U100))*1)&gt;0,"Season after calving"), "")</f>
        <v>Season after calving</v>
      </c>
      <c r="W100" s="29" cm="1">
        <f t="array" ref="W100">_xlfn.IFS(V100="Calving season", $I$80, V100="Season after calving", $I$81, V100="", "")</f>
        <v>4</v>
      </c>
      <c r="X100" s="29">
        <v>0</v>
      </c>
      <c r="Y100" s="29">
        <v>0</v>
      </c>
      <c r="Z100" s="29">
        <v>0</v>
      </c>
      <c r="AA100" s="29" cm="1">
        <f t="array" ref="AA100">IFERROR(MMS_PastureBeef_Soil_N2ODirect_Equations.VEERG_4_2_1_3__5_MilkProductionForCalvingSeason(V$92, $W100), 0)</f>
        <v>3</v>
      </c>
      <c r="AB100" s="29" cm="1">
        <f t="array" ref="AB100">IFERROR(MMS_PastureBeef_Soil_N2ODirect_Equations.VEERG_4_2_1_3__5_MilkProductionForCalvingSeason(W$92, $W100), 0)</f>
        <v>3</v>
      </c>
      <c r="AC100" s="29" cm="1">
        <f t="array" ref="AC100">IFERROR(MMS_PastureBeef_Soil_N2ODirect_Equations.VEERG_4_2_1_3__5_MilkProductionForCalvingSeason(X$92, $W100), 0)</f>
        <v>3</v>
      </c>
      <c r="AD100" s="29">
        <v>0</v>
      </c>
      <c r="AE100" s="29">
        <v>0</v>
      </c>
      <c r="AF100" s="29">
        <v>0</v>
      </c>
      <c r="AG100" s="29">
        <v>0</v>
      </c>
      <c r="AH100" s="32" t="str">
        <f t="shared" ref="AH100:AH111" si="5">$E$76</f>
        <v>kg/head/day</v>
      </c>
    </row>
    <row r="101" spans="3:34" ht="20.100000000000001" customHeight="1" x14ac:dyDescent="0.25">
      <c r="C101" s="61"/>
      <c r="D101" s="61"/>
      <c r="E101" s="61"/>
      <c r="F101" s="61"/>
      <c r="G101" s="61"/>
      <c r="H101" s="61"/>
      <c r="I101" s="61"/>
      <c r="J101" s="61"/>
      <c r="K101" s="61"/>
      <c r="L101" s="61"/>
      <c r="M101" s="61"/>
      <c r="N101" s="61"/>
      <c r="O101" s="61"/>
      <c r="P101" s="61"/>
      <c r="Q101" s="61"/>
      <c r="R101" s="61"/>
      <c r="U101" s="29" t="str">
        <f>TEXT(EDATE('Input - Site'!$E$12,1), "mmmm")</f>
        <v>February</v>
      </c>
      <c r="V101" s="29" t="str" cm="1">
        <f t="array" ref="V101">IFERROR(_xlfn.IFS(SUMPRODUCT(ISNUMBER(SEARCH(TRIM(_xlfn.TEXTSPLIT($U$92,",")),U101))*1)&gt;0,"Calving season",SUMPRODUCT(ISNUMBER(SEARCH(TRIM(_xlfn.TEXTSPLIT($U$93,",")),U101))*1)&gt;0,"Season after calving"), "")</f>
        <v/>
      </c>
      <c r="W101" s="29" t="str" cm="1">
        <f t="array" ref="W101">_xlfn.IFS(V101="Calving season", $I$80, V101="Season after calving", $I$81, V101="", "")</f>
        <v/>
      </c>
      <c r="X101" s="29">
        <v>0</v>
      </c>
      <c r="Y101" s="29">
        <v>0</v>
      </c>
      <c r="Z101" s="29">
        <v>0</v>
      </c>
      <c r="AA101" s="29" cm="1">
        <f t="array" ref="AA101">IFERROR(MMS_PastureBeef_Soil_N2ODirect_Equations.VEERG_4_2_1_3__5_MilkProductionForCalvingSeason(V$92, $W101), 0)</f>
        <v>0</v>
      </c>
      <c r="AB101" s="29" cm="1">
        <f t="array" ref="AB101">IFERROR(MMS_PastureBeef_Soil_N2ODirect_Equations.VEERG_4_2_1_3__5_MilkProductionForCalvingSeason(W$92, $W101), 0)</f>
        <v>0</v>
      </c>
      <c r="AC101" s="29" cm="1">
        <f t="array" ref="AC101">IFERROR(MMS_PastureBeef_Soil_N2ODirect_Equations.VEERG_4_2_1_3__5_MilkProductionForCalvingSeason(X$92, $W101), 0)</f>
        <v>0</v>
      </c>
      <c r="AD101" s="29">
        <v>0</v>
      </c>
      <c r="AE101" s="29">
        <v>0</v>
      </c>
      <c r="AF101" s="29">
        <v>0</v>
      </c>
      <c r="AG101" s="29">
        <v>0</v>
      </c>
      <c r="AH101" s="32"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9" t="str">
        <f>TEXT(EDATE('Input - Site'!$E$12,2), "mmmm")</f>
        <v>March</v>
      </c>
      <c r="V102" s="29" t="str" cm="1">
        <f t="array" ref="V102">IFERROR(_xlfn.IFS(SUMPRODUCT(ISNUMBER(SEARCH(TRIM(_xlfn.TEXTSPLIT($U$92,",")),U102))*1)&gt;0,"Calving season",SUMPRODUCT(ISNUMBER(SEARCH(TRIM(_xlfn.TEXTSPLIT($U$93,",")),U102))*1)&gt;0,"Season after calving"), "")</f>
        <v/>
      </c>
      <c r="W102" s="29" t="str" cm="1">
        <f t="array" ref="W102">_xlfn.IFS(V102="Calving season", $I$80, V102="Season after calving", $I$81, V102="", "")</f>
        <v/>
      </c>
      <c r="X102" s="29">
        <v>0</v>
      </c>
      <c r="Y102" s="29">
        <v>0</v>
      </c>
      <c r="Z102" s="29">
        <v>0</v>
      </c>
      <c r="AA102" s="29" cm="1">
        <f t="array" ref="AA102">IFERROR(MMS_PastureBeef_Soil_N2ODirect_Equations.VEERG_4_2_1_3__5_MilkProductionForCalvingSeason(V$92, $W102), 0)</f>
        <v>0</v>
      </c>
      <c r="AB102" s="29" cm="1">
        <f t="array" ref="AB102">IFERROR(MMS_PastureBeef_Soil_N2ODirect_Equations.VEERG_4_2_1_3__5_MilkProductionForCalvingSeason(W$92, $W102), 0)</f>
        <v>0</v>
      </c>
      <c r="AC102" s="29" cm="1">
        <f t="array" ref="AC102">IFERROR(MMS_PastureBeef_Soil_N2ODirect_Equations.VEERG_4_2_1_3__5_MilkProductionForCalvingSeason(X$92, $W102), 0)</f>
        <v>0</v>
      </c>
      <c r="AD102" s="29">
        <v>0</v>
      </c>
      <c r="AE102" s="29">
        <v>0</v>
      </c>
      <c r="AF102" s="29">
        <v>0</v>
      </c>
      <c r="AG102" s="29">
        <v>0</v>
      </c>
      <c r="AH102" s="32" t="str">
        <f t="shared" si="5"/>
        <v>kg/head/day</v>
      </c>
    </row>
    <row r="103" spans="3:34" ht="20.100000000000001" customHeight="1" x14ac:dyDescent="0.25">
      <c r="D103" s="46" t="str" cm="1">
        <f t="array" ref="D103">MMS_PastureBeef_Soil_N2ODirect_Equations.VEERG_4_2_1_3__4_NitrogenRetainedByBody_Source()</f>
        <v>VEERG 2026: 4.2.1.3, Equation (4)</v>
      </c>
      <c r="U103" s="29" t="str">
        <f>TEXT(EDATE('Input - Site'!$E$12,3), "mmmm")</f>
        <v>April</v>
      </c>
      <c r="V103" s="29" t="str" cm="1">
        <f t="array" ref="V103">IFERROR(_xlfn.IFS(SUMPRODUCT(ISNUMBER(SEARCH(TRIM(_xlfn.TEXTSPLIT($U$92,",")),U103))*1)&gt;0,"Calving season",SUMPRODUCT(ISNUMBER(SEARCH(TRIM(_xlfn.TEXTSPLIT($U$93,",")),U103))*1)&gt;0,"Season after calving"), "")</f>
        <v/>
      </c>
      <c r="W103" s="29" t="str" cm="1">
        <f t="array" ref="W103">_xlfn.IFS(V103="Calving season", $I$80, V103="Season after calving", $I$81, V103="", "")</f>
        <v/>
      </c>
      <c r="X103" s="29">
        <v>0</v>
      </c>
      <c r="Y103" s="29">
        <v>0</v>
      </c>
      <c r="Z103" s="29">
        <v>0</v>
      </c>
      <c r="AA103" s="29" cm="1">
        <f t="array" ref="AA103">IFERROR(MMS_PastureBeef_Soil_N2ODirect_Equations.VEERG_4_2_1_3__5_MilkProductionForCalvingSeason(V$92, $W103), 0)</f>
        <v>0</v>
      </c>
      <c r="AB103" s="29" cm="1">
        <f t="array" ref="AB103">IFERROR(MMS_PastureBeef_Soil_N2ODirect_Equations.VEERG_4_2_1_3__5_MilkProductionForCalvingSeason(W$92, $W103), 0)</f>
        <v>0</v>
      </c>
      <c r="AC103" s="29" cm="1">
        <f t="array" ref="AC103">IFERROR(MMS_PastureBeef_Soil_N2ODirect_Equations.VEERG_4_2_1_3__5_MilkProductionForCalvingSeason(X$92, $W103), 0)</f>
        <v>0</v>
      </c>
      <c r="AD103" s="29">
        <v>0</v>
      </c>
      <c r="AE103" s="29">
        <v>0</v>
      </c>
      <c r="AF103" s="29">
        <v>0</v>
      </c>
      <c r="AG103" s="29">
        <v>0</v>
      </c>
      <c r="AH103" s="32" t="str">
        <f t="shared" si="5"/>
        <v>kg/head/day</v>
      </c>
    </row>
    <row r="104" spans="3:34" ht="20.100000000000001" customHeight="1" x14ac:dyDescent="0.25">
      <c r="D104" s="47" t="s">
        <v>77</v>
      </c>
      <c r="E104" s="47" t="str" cm="1">
        <f t="array" aca="1" ref="E104" ca="1">Common_InputFunctions.Utility_DisplayFunctionName(E127)</f>
        <v>=MMS_PastureBeef_Soil_N2ODirect_Equations.VEERG_4_2_1_3__4_NitrogenRetainedByBody</v>
      </c>
      <c r="U104" s="29" t="str">
        <f>TEXT(EDATE('Input - Site'!$E$12,4), "mmmm")</f>
        <v>May</v>
      </c>
      <c r="V104" s="29" t="str" cm="1">
        <f t="array" ref="V104">IFERROR(_xlfn.IFS(SUMPRODUCT(ISNUMBER(SEARCH(TRIM(_xlfn.TEXTSPLIT($U$92,",")),U104))*1)&gt;0,"Calving season",SUMPRODUCT(ISNUMBER(SEARCH(TRIM(_xlfn.TEXTSPLIT($U$93,",")),U104))*1)&gt;0,"Season after calving"), "")</f>
        <v/>
      </c>
      <c r="W104" s="29" t="str" cm="1">
        <f t="array" ref="W104">_xlfn.IFS(V104="Calving season", $I$80, V104="Season after calving", $I$81, V104="", "")</f>
        <v/>
      </c>
      <c r="X104" s="29">
        <v>0</v>
      </c>
      <c r="Y104" s="29">
        <v>0</v>
      </c>
      <c r="Z104" s="29">
        <v>0</v>
      </c>
      <c r="AA104" s="29" cm="1">
        <f t="array" ref="AA104">IFERROR(MMS_PastureBeef_Soil_N2ODirect_Equations.VEERG_4_2_1_3__5_MilkProductionForCalvingSeason(V$92, $W104), 0)</f>
        <v>0</v>
      </c>
      <c r="AB104" s="29" cm="1">
        <f t="array" ref="AB104">IFERROR(MMS_PastureBeef_Soil_N2ODirect_Equations.VEERG_4_2_1_3__5_MilkProductionForCalvingSeason(W$92, $W104), 0)</f>
        <v>0</v>
      </c>
      <c r="AC104" s="29" cm="1">
        <f t="array" ref="AC104">IFERROR(MMS_PastureBeef_Soil_N2ODirect_Equations.VEERG_4_2_1_3__5_MilkProductionForCalvingSeason(X$92, $W104), 0)</f>
        <v>0</v>
      </c>
      <c r="AD104" s="29">
        <v>0</v>
      </c>
      <c r="AE104" s="29">
        <v>0</v>
      </c>
      <c r="AF104" s="29">
        <v>0</v>
      </c>
      <c r="AG104" s="29">
        <v>0</v>
      </c>
      <c r="AH104" s="32" t="str">
        <f t="shared" si="5"/>
        <v>kg/head/day</v>
      </c>
    </row>
    <row r="105" spans="3:34" ht="20.100000000000001" customHeight="1" x14ac:dyDescent="0.25">
      <c r="U105" s="29" t="str">
        <f>TEXT(EDATE('Input - Site'!$E$12,5), "mmmm")</f>
        <v>June</v>
      </c>
      <c r="V105" s="29" t="str" cm="1">
        <f t="array" ref="V105">IFERROR(_xlfn.IFS(SUMPRODUCT(ISNUMBER(SEARCH(TRIM(_xlfn.TEXTSPLIT($U$92,",")),U105))*1)&gt;0,"Calving season",SUMPRODUCT(ISNUMBER(SEARCH(TRIM(_xlfn.TEXTSPLIT($U$93,",")),U105))*1)&gt;0,"Season after calving"), "")</f>
        <v/>
      </c>
      <c r="W105" s="29" t="str" cm="1">
        <f t="array" ref="W105">_xlfn.IFS(V105="Calving season", $I$80, V105="Season after calving", $I$81, V105="", "")</f>
        <v/>
      </c>
      <c r="X105" s="29">
        <v>0</v>
      </c>
      <c r="Y105" s="29">
        <v>0</v>
      </c>
      <c r="Z105" s="29">
        <v>0</v>
      </c>
      <c r="AA105" s="29" cm="1">
        <f t="array" ref="AA105">IFERROR(MMS_PastureBeef_Soil_N2ODirect_Equations.VEERG_4_2_1_3__5_MilkProductionForCalvingSeason(V$92, $W105), 0)</f>
        <v>0</v>
      </c>
      <c r="AB105" s="29" cm="1">
        <f t="array" ref="AB105">IFERROR(MMS_PastureBeef_Soil_N2ODirect_Equations.VEERG_4_2_1_3__5_MilkProductionForCalvingSeason(W$92, $W105), 0)</f>
        <v>0</v>
      </c>
      <c r="AC105" s="29" cm="1">
        <f t="array" ref="AC105">IFERROR(MMS_PastureBeef_Soil_N2ODirect_Equations.VEERG_4_2_1_3__5_MilkProductionForCalvingSeason(X$92, $W105), 0)</f>
        <v>0</v>
      </c>
      <c r="AD105" s="29">
        <v>0</v>
      </c>
      <c r="AE105" s="29">
        <v>0</v>
      </c>
      <c r="AF105" s="29">
        <v>0</v>
      </c>
      <c r="AG105" s="29">
        <v>0</v>
      </c>
      <c r="AH105" s="32" t="str">
        <f t="shared" si="5"/>
        <v>kg/head/day</v>
      </c>
    </row>
    <row r="106" spans="3:34" ht="20.100000000000001" customHeight="1" x14ac:dyDescent="0.25">
      <c r="U106" s="29" t="str">
        <f>TEXT(EDATE('Input - Site'!$E$12,6), "mmmm")</f>
        <v>July</v>
      </c>
      <c r="V106" s="29" t="str" cm="1">
        <f t="array" ref="V106">IFERROR(_xlfn.IFS(SUMPRODUCT(ISNUMBER(SEARCH(TRIM(_xlfn.TEXTSPLIT($U$92,",")),U106))*1)&gt;0,"Calving season",SUMPRODUCT(ISNUMBER(SEARCH(TRIM(_xlfn.TEXTSPLIT($U$93,",")),U106))*1)&gt;0,"Season after calving"), "")</f>
        <v/>
      </c>
      <c r="W106" s="29" t="str" cm="1">
        <f t="array" ref="W106">_xlfn.IFS(V106="Calving season", $I$80, V106="Season after calving", $I$81, V106="", "")</f>
        <v/>
      </c>
      <c r="X106" s="29">
        <v>0</v>
      </c>
      <c r="Y106" s="29">
        <v>0</v>
      </c>
      <c r="Z106" s="29">
        <v>0</v>
      </c>
      <c r="AA106" s="29" cm="1">
        <f t="array" ref="AA106">IFERROR(MMS_PastureBeef_Soil_N2ODirect_Equations.VEERG_4_2_1_3__5_MilkProductionForCalvingSeason(V$92, $W106), 0)</f>
        <v>0</v>
      </c>
      <c r="AB106" s="29" cm="1">
        <f t="array" ref="AB106">IFERROR(MMS_PastureBeef_Soil_N2ODirect_Equations.VEERG_4_2_1_3__5_MilkProductionForCalvingSeason(W$92, $W106), 0)</f>
        <v>0</v>
      </c>
      <c r="AC106" s="29" cm="1">
        <f t="array" ref="AC106">IFERROR(MMS_PastureBeef_Soil_N2ODirect_Equations.VEERG_4_2_1_3__5_MilkProductionForCalvingSeason(X$92, $W106), 0)</f>
        <v>0</v>
      </c>
      <c r="AD106" s="29">
        <v>0</v>
      </c>
      <c r="AE106" s="29">
        <v>0</v>
      </c>
      <c r="AF106" s="29">
        <v>0</v>
      </c>
      <c r="AG106" s="29">
        <v>0</v>
      </c>
      <c r="AH106" s="32" t="str">
        <f t="shared" si="5"/>
        <v>kg/head/day</v>
      </c>
    </row>
    <row r="107" spans="3:34" ht="20.100000000000001" customHeight="1" x14ac:dyDescent="0.25">
      <c r="U107" s="29" t="str">
        <f>TEXT(EDATE('Input - Site'!$E$12,7), "mmmm")</f>
        <v>August</v>
      </c>
      <c r="V107" s="29" t="str" cm="1">
        <f t="array" ref="V107">IFERROR(_xlfn.IFS(SUMPRODUCT(ISNUMBER(SEARCH(TRIM(_xlfn.TEXTSPLIT($U$92,",")),U107))*1)&gt;0,"Calving season",SUMPRODUCT(ISNUMBER(SEARCH(TRIM(_xlfn.TEXTSPLIT($U$93,",")),U107))*1)&gt;0,"Season after calving"), "")</f>
        <v>Calving season</v>
      </c>
      <c r="W107" s="29" cm="1">
        <f t="array" ref="W107">_xlfn.IFS(V107="Calving season", $I$80, V107="Season after calving", $I$81, V107="", "")</f>
        <v>6</v>
      </c>
      <c r="X107" s="29">
        <v>0</v>
      </c>
      <c r="Y107" s="29">
        <v>0</v>
      </c>
      <c r="Z107" s="29">
        <v>0</v>
      </c>
      <c r="AA107" s="29" cm="1">
        <f t="array" ref="AA107">IFERROR(MMS_PastureBeef_Soil_N2ODirect_Equations.VEERG_4_2_1_3__5_MilkProductionForCalvingSeason(V$92, $W107), 0)</f>
        <v>4.5</v>
      </c>
      <c r="AB107" s="29" cm="1">
        <f t="array" ref="AB107">IFERROR(MMS_PastureBeef_Soil_N2ODirect_Equations.VEERG_4_2_1_3__5_MilkProductionForCalvingSeason(W$92, $W107), 0)</f>
        <v>4.5</v>
      </c>
      <c r="AC107" s="29" cm="1">
        <f t="array" ref="AC107">IFERROR(MMS_PastureBeef_Soil_N2ODirect_Equations.VEERG_4_2_1_3__5_MilkProductionForCalvingSeason(X$92, $W107), 0)</f>
        <v>4.5</v>
      </c>
      <c r="AD107" s="29">
        <v>0</v>
      </c>
      <c r="AE107" s="29">
        <v>0</v>
      </c>
      <c r="AF107" s="29">
        <v>0</v>
      </c>
      <c r="AG107" s="29">
        <v>0</v>
      </c>
      <c r="AH107" s="32" t="str">
        <f t="shared" si="5"/>
        <v>kg/head/day</v>
      </c>
    </row>
    <row r="108" spans="3:34" ht="20.100000000000001" customHeight="1" x14ac:dyDescent="0.25">
      <c r="D108" s="48" t="s">
        <v>79</v>
      </c>
      <c r="E108" s="1" t="str" cm="1">
        <f t="array" ref="E108">MMS_PastureBeef_Soil_N2ODirect_Equations.VEERG_4_2_1_3__4_NitrogenRetainedByBody_Variable()</f>
        <v>NR_jkl</v>
      </c>
      <c r="U108" s="29" t="str">
        <f>TEXT(EDATE('Input - Site'!$E$12,8), "mmmm")</f>
        <v>September</v>
      </c>
      <c r="V108" s="29" t="str" cm="1">
        <f t="array" ref="V108">IFERROR(_xlfn.IFS(SUMPRODUCT(ISNUMBER(SEARCH(TRIM(_xlfn.TEXTSPLIT($U$92,",")),U108))*1)&gt;0,"Calving season",SUMPRODUCT(ISNUMBER(SEARCH(TRIM(_xlfn.TEXTSPLIT($U$93,",")),U108))*1)&gt;0,"Season after calving"), "")</f>
        <v>Calving season</v>
      </c>
      <c r="W108" s="29" cm="1">
        <f t="array" ref="W108">_xlfn.IFS(V108="Calving season", $I$80, V108="Season after calving", $I$81, V108="", "")</f>
        <v>6</v>
      </c>
      <c r="X108" s="29">
        <v>0</v>
      </c>
      <c r="Y108" s="29">
        <v>0</v>
      </c>
      <c r="Z108" s="29">
        <v>0</v>
      </c>
      <c r="AA108" s="29" cm="1">
        <f t="array" ref="AA108">IFERROR(MMS_PastureBeef_Soil_N2ODirect_Equations.VEERG_4_2_1_3__5_MilkProductionForCalvingSeason(V$92, $W108), 0)</f>
        <v>4.5</v>
      </c>
      <c r="AB108" s="29" cm="1">
        <f t="array" ref="AB108">IFERROR(MMS_PastureBeef_Soil_N2ODirect_Equations.VEERG_4_2_1_3__5_MilkProductionForCalvingSeason(W$92, $W108), 0)</f>
        <v>4.5</v>
      </c>
      <c r="AC108" s="29" cm="1">
        <f t="array" ref="AC108">IFERROR(MMS_PastureBeef_Soil_N2ODirect_Equations.VEERG_4_2_1_3__5_MilkProductionForCalvingSeason(X$92, $W108), 0)</f>
        <v>4.5</v>
      </c>
      <c r="AD108" s="29">
        <v>0</v>
      </c>
      <c r="AE108" s="29">
        <v>0</v>
      </c>
      <c r="AF108" s="29">
        <v>0</v>
      </c>
      <c r="AG108" s="29">
        <v>0</v>
      </c>
      <c r="AH108" s="32" t="str">
        <f t="shared" si="5"/>
        <v>kg/head/day</v>
      </c>
    </row>
    <row r="109" spans="3:34" ht="20.100000000000001" customHeight="1" x14ac:dyDescent="0.25">
      <c r="D109" s="48" t="s">
        <v>80</v>
      </c>
      <c r="E109" s="17" t="str" cm="1">
        <f t="array" ref="E109">MMS_PastureBeef_Soil_N2ODirect_Equations.VEERG_4_2_1_3__4_NitrogenRetainedByBody_Unit()</f>
        <v>kg N/head/day</v>
      </c>
      <c r="U109" s="29" t="str">
        <f>TEXT(EDATE('Input - Site'!$E$12,9), "mmmm")</f>
        <v>October</v>
      </c>
      <c r="V109" s="29" t="str" cm="1">
        <f t="array" ref="V109">IFERROR(_xlfn.IFS(SUMPRODUCT(ISNUMBER(SEARCH(TRIM(_xlfn.TEXTSPLIT($U$92,",")),U109))*1)&gt;0,"Calving season",SUMPRODUCT(ISNUMBER(SEARCH(TRIM(_xlfn.TEXTSPLIT($U$93,",")),U109))*1)&gt;0,"Season after calving"), "")</f>
        <v>Calving season</v>
      </c>
      <c r="W109" s="29" cm="1">
        <f t="array" ref="W109">_xlfn.IFS(V109="Calving season", $I$80, V109="Season after calving", $I$81, V109="", "")</f>
        <v>6</v>
      </c>
      <c r="X109" s="29">
        <v>0</v>
      </c>
      <c r="Y109" s="29">
        <v>0</v>
      </c>
      <c r="Z109" s="29">
        <v>0</v>
      </c>
      <c r="AA109" s="29" cm="1">
        <f t="array" ref="AA109">IFERROR(MMS_PastureBeef_Soil_N2ODirect_Equations.VEERG_4_2_1_3__5_MilkProductionForCalvingSeason(V$92, $W109), 0)</f>
        <v>4.5</v>
      </c>
      <c r="AB109" s="29" cm="1">
        <f t="array" ref="AB109">IFERROR(MMS_PastureBeef_Soil_N2ODirect_Equations.VEERG_4_2_1_3__5_MilkProductionForCalvingSeason(W$92, $W109), 0)</f>
        <v>4.5</v>
      </c>
      <c r="AC109" s="29" cm="1">
        <f t="array" ref="AC109">IFERROR(MMS_PastureBeef_Soil_N2ODirect_Equations.VEERG_4_2_1_3__5_MilkProductionForCalvingSeason(X$92, $W109), 0)</f>
        <v>4.5</v>
      </c>
      <c r="AD109" s="29">
        <v>0</v>
      </c>
      <c r="AE109" s="29">
        <v>0</v>
      </c>
      <c r="AF109" s="29">
        <v>0</v>
      </c>
      <c r="AG109" s="29">
        <v>0</v>
      </c>
      <c r="AH109" s="32" t="str">
        <f t="shared" si="5"/>
        <v>kg/head/day</v>
      </c>
    </row>
    <row r="110" spans="3:34" ht="20.100000000000001" customHeight="1" x14ac:dyDescent="0.25">
      <c r="U110" s="29" t="str">
        <f>TEXT(EDATE('Input - Site'!$E$12,10), "mmmm")</f>
        <v>November</v>
      </c>
      <c r="V110" s="29" t="str" cm="1">
        <f t="array" ref="V110">IFERROR(_xlfn.IFS(SUMPRODUCT(ISNUMBER(SEARCH(TRIM(_xlfn.TEXTSPLIT($U$92,",")),U110))*1)&gt;0,"Calving season",SUMPRODUCT(ISNUMBER(SEARCH(TRIM(_xlfn.TEXTSPLIT($U$93,",")),U110))*1)&gt;0,"Season after calving"), "")</f>
        <v>Season after calving</v>
      </c>
      <c r="W110" s="29" cm="1">
        <f t="array" ref="W110">_xlfn.IFS(V110="Calving season", $I$80, V110="Season after calving", $I$81, V110="", "")</f>
        <v>4</v>
      </c>
      <c r="X110" s="29">
        <v>0</v>
      </c>
      <c r="Y110" s="29">
        <v>0</v>
      </c>
      <c r="Z110" s="29">
        <v>0</v>
      </c>
      <c r="AA110" s="29" cm="1">
        <f t="array" ref="AA110">IFERROR(MMS_PastureBeef_Soil_N2ODirect_Equations.VEERG_4_2_1_3__5_MilkProductionForCalvingSeason(V$92, $W110), 0)</f>
        <v>3</v>
      </c>
      <c r="AB110" s="29" cm="1">
        <f t="array" ref="AB110">IFERROR(MMS_PastureBeef_Soil_N2ODirect_Equations.VEERG_4_2_1_3__5_MilkProductionForCalvingSeason(W$92, $W110), 0)</f>
        <v>3</v>
      </c>
      <c r="AC110" s="29" cm="1">
        <f t="array" ref="AC110">IFERROR(MMS_PastureBeef_Soil_N2ODirect_Equations.VEERG_4_2_1_3__5_MilkProductionForCalvingSeason(X$92, $W110), 0)</f>
        <v>3</v>
      </c>
      <c r="AD110" s="29">
        <v>0</v>
      </c>
      <c r="AE110" s="29">
        <v>0</v>
      </c>
      <c r="AF110" s="29">
        <v>0</v>
      </c>
      <c r="AG110" s="29">
        <v>0</v>
      </c>
      <c r="AH110" s="32" t="str">
        <f t="shared" si="5"/>
        <v>kg/head/day</v>
      </c>
    </row>
    <row r="111" spans="3:34" ht="20.100000000000001" customHeight="1" x14ac:dyDescent="0.25">
      <c r="D111" s="50" t="str" cm="1">
        <f t="array" ref="D111:E114">_xlfn.CHOOSECOLS(MMS_PastureBeef_Soil_N2ODirect_Equations.VEERG_4_2_1_3__4_NitrogenRetainedByBody_Arguments(),1,2)</f>
        <v>MP_jk5</v>
      </c>
      <c r="E111" s="51" t="str">
        <v>milk production (kg/head/day)</v>
      </c>
      <c r="F111" s="53"/>
      <c r="G111" s="50" t="str" cm="1">
        <f t="array" ref="G111:H114">_xlfn.CHOOSECOLS(MMS_PastureBeef_Soil_N2ODirect_Equations.VEERG_4_2_1_3__4_NitrogenRetainedByBody_Arguments(),3,4)</f>
        <v>kg/head/day</v>
      </c>
      <c r="H111" s="55" t="str">
        <v>Calculated from 4.2.1.3 (5)</v>
      </c>
      <c r="I111" s="56" t="str" cm="1">
        <f t="array" aca="1" ref="I111" ca="1">HYPERLINK(Common_InputFunctions.Utility_SourceHyperlinkDifferentSheet($D$92), $D$92)</f>
        <v>M1_Table_MP_j_k-4-5</v>
      </c>
      <c r="U111" s="29" t="str">
        <f>TEXT(EDATE('Input - Site'!$E$12,11), "mmmm")</f>
        <v>December</v>
      </c>
      <c r="V111" s="29" t="str" cm="1">
        <f t="array" ref="V111">IFERROR(_xlfn.IFS(SUMPRODUCT(ISNUMBER(SEARCH(TRIM(_xlfn.TEXTSPLIT($U$92,",")),U111))*1)&gt;0,"Calving season",SUMPRODUCT(ISNUMBER(SEARCH(TRIM(_xlfn.TEXTSPLIT($U$93,",")),U111))*1)&gt;0,"Season after calving"), "")</f>
        <v>Season after calving</v>
      </c>
      <c r="W111" s="29" cm="1">
        <f t="array" ref="W111">_xlfn.IFS(V111="Calving season", $I$80, V111="Season after calving", $I$81, V111="", "")</f>
        <v>4</v>
      </c>
      <c r="X111" s="29">
        <v>0</v>
      </c>
      <c r="Y111" s="29">
        <v>0</v>
      </c>
      <c r="Z111" s="29">
        <v>0</v>
      </c>
      <c r="AA111" s="29" cm="1">
        <f t="array" ref="AA111">IFERROR(MMS_PastureBeef_Soil_N2ODirect_Equations.VEERG_4_2_1_3__5_MilkProductionForCalvingSeason(V$92, $W111), 0)</f>
        <v>3</v>
      </c>
      <c r="AB111" s="29" cm="1">
        <f t="array" ref="AB111">IFERROR(MMS_PastureBeef_Soil_N2ODirect_Equations.VEERG_4_2_1_3__5_MilkProductionForCalvingSeason(W$92, $W111), 0)</f>
        <v>3</v>
      </c>
      <c r="AC111" s="29" cm="1">
        <f t="array" ref="AC111">IFERROR(MMS_PastureBeef_Soil_N2ODirect_Equations.VEERG_4_2_1_3__5_MilkProductionForCalvingSeason(X$92, $W111), 0)</f>
        <v>3</v>
      </c>
      <c r="AD111" s="29">
        <v>0</v>
      </c>
      <c r="AE111" s="29">
        <v>0</v>
      </c>
      <c r="AF111" s="29">
        <v>0</v>
      </c>
      <c r="AG111" s="29">
        <v>0</v>
      </c>
      <c r="AH111" s="32" t="str">
        <f t="shared" si="5"/>
        <v>kg/head/day</v>
      </c>
    </row>
    <row r="112" spans="3:34" ht="20.100000000000001" customHeight="1" x14ac:dyDescent="0.25">
      <c r="D112" s="50" t="str">
        <v>L_jkl</v>
      </c>
      <c r="E112" s="51" t="str">
        <v>intake relative to that needed for maintenance</v>
      </c>
      <c r="F112" s="53"/>
      <c r="G112" s="50" t="str">
        <v/>
      </c>
      <c r="H112" s="55" t="str">
        <v>Calculated from 4.2.1.3 (6)</v>
      </c>
      <c r="I112" s="56" t="str" cm="1">
        <f t="array" aca="1" ref="I112" ca="1">HYPERLINK(Common_InputFunctions.Utility_SourceHyperlink($D$59), $D$59)</f>
        <v>M1_Table_L_j_k_l</v>
      </c>
    </row>
    <row r="113" spans="4:35" ht="20.100000000000001" customHeight="1" x14ac:dyDescent="0.25">
      <c r="D113" s="50" t="str">
        <v>Z_jkl</v>
      </c>
      <c r="E113" s="51" t="str">
        <v>relative size</v>
      </c>
      <c r="F113" s="53"/>
      <c r="G113" s="50" t="str">
        <v/>
      </c>
      <c r="H113" s="55" t="str">
        <v>Calculated from 4.2.1.3 (7)</v>
      </c>
      <c r="I113" s="56" t="str" cm="1">
        <f t="array" aca="1" ref="I113" ca="1">HYPERLINK(Common_InputFunctions.Utility_SourceHyperlink($D$30), $D$30)</f>
        <v>M1_Table_Z_j_k_l</v>
      </c>
    </row>
    <row r="114" spans="4:35" ht="20.100000000000001" customHeight="1" x14ac:dyDescent="0.25">
      <c r="D114" s="50" t="str">
        <v>LWG_jkl</v>
      </c>
      <c r="E114" s="51" t="str">
        <v>liveweight gain (kg/head/day)</v>
      </c>
      <c r="F114" s="53"/>
      <c r="G114" s="50" t="str">
        <v>kg/head/day</v>
      </c>
      <c r="H114" s="54" t="str">
        <v>Input</v>
      </c>
      <c r="I114" s="56" t="str" cm="1">
        <f t="array" aca="1" ref="I114" ca="1">HYPERLINK(Common_InputFunctions.Utility_SourceHyperlink($D$116), $D$116)</f>
        <v>M1_Table_LWG_j_k_l</v>
      </c>
      <c r="T114" s="61"/>
      <c r="U114" s="61"/>
      <c r="V114" s="61"/>
      <c r="W114" s="61"/>
      <c r="X114" s="61"/>
      <c r="Y114" s="61"/>
      <c r="Z114" s="61"/>
      <c r="AA114" s="61"/>
      <c r="AB114" s="61"/>
      <c r="AC114" s="61"/>
      <c r="AD114" s="61"/>
      <c r="AE114" s="61"/>
      <c r="AF114" s="61"/>
      <c r="AG114" s="61"/>
      <c r="AH114" s="61"/>
      <c r="AI114" s="61"/>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57" t="s">
        <v>97</v>
      </c>
    </row>
    <row r="117" spans="4:35" ht="20.100000000000001" customHeight="1" x14ac:dyDescent="0.25">
      <c r="D117" s="58" t="s">
        <v>98</v>
      </c>
      <c r="U117" s="57" t="s">
        <v>99</v>
      </c>
    </row>
    <row r="118" spans="4:35" ht="20.100000000000001" customHeight="1" x14ac:dyDescent="0.25">
      <c r="D118" s="59" t="s">
        <v>84</v>
      </c>
      <c r="E118" s="60" t="s">
        <v>31</v>
      </c>
      <c r="F118" s="60" t="s">
        <v>32</v>
      </c>
      <c r="G118" s="60" t="s">
        <v>33</v>
      </c>
      <c r="H118" s="60" t="s">
        <v>34</v>
      </c>
      <c r="I118" s="60" t="s">
        <v>35</v>
      </c>
      <c r="J118" s="60" t="s">
        <v>36</v>
      </c>
      <c r="K118" s="60" t="s">
        <v>37</v>
      </c>
      <c r="L118" s="60" t="s">
        <v>38</v>
      </c>
      <c r="M118" s="60" t="s">
        <v>39</v>
      </c>
      <c r="N118" s="60" t="s">
        <v>40</v>
      </c>
      <c r="U118" s="58" t="s">
        <v>100</v>
      </c>
    </row>
    <row r="119" spans="4:35" ht="20.100000000000001" customHeight="1" x14ac:dyDescent="0.25">
      <c r="D119" s="29" t="str">
        <f>INDEX(X_Table_PastureBeef_LiveweightGain_Method1,2,1)</f>
        <v>Spring</v>
      </c>
      <c r="E119" s="29" cm="1">
        <f t="array" aca="1" ref="E119:N122" ca="1">OFFSET(X_Table_PastureBeef_LiveweightGain_Method1, 1,1, 4,10)</f>
        <v>1.64</v>
      </c>
      <c r="F119" s="29">
        <f ca="1"/>
        <v>1.1000000000000001</v>
      </c>
      <c r="G119" s="29">
        <f ca="1"/>
        <v>1.21</v>
      </c>
      <c r="H119" s="29">
        <f ca="1"/>
        <v>0.99</v>
      </c>
      <c r="I119" s="29">
        <f ca="1"/>
        <v>0.66</v>
      </c>
      <c r="J119" s="29">
        <f ca="1"/>
        <v>0.66</v>
      </c>
      <c r="K119" s="29">
        <f ca="1"/>
        <v>1.42</v>
      </c>
      <c r="L119" s="29">
        <f ca="1"/>
        <v>1.1000000000000001</v>
      </c>
      <c r="M119" s="29">
        <f ca="1"/>
        <v>1.1000000000000001</v>
      </c>
      <c r="N119" s="29">
        <f ca="1"/>
        <v>1.1000000000000001</v>
      </c>
      <c r="O119" s="32" t="s">
        <v>51</v>
      </c>
      <c r="U119" s="59" t="s">
        <v>87</v>
      </c>
      <c r="V119" s="60" t="s">
        <v>31</v>
      </c>
      <c r="W119" s="60" t="s">
        <v>32</v>
      </c>
      <c r="X119" s="60" t="s">
        <v>33</v>
      </c>
      <c r="Y119" s="60" t="s">
        <v>34</v>
      </c>
      <c r="Z119" s="60" t="s">
        <v>35</v>
      </c>
      <c r="AA119" s="60" t="s">
        <v>36</v>
      </c>
      <c r="AB119" s="60" t="s">
        <v>37</v>
      </c>
      <c r="AC119" s="60" t="s">
        <v>38</v>
      </c>
      <c r="AD119" s="60" t="s">
        <v>39</v>
      </c>
      <c r="AE119" s="60" t="s">
        <v>40</v>
      </c>
    </row>
    <row r="120" spans="4:35" ht="20.100000000000001" customHeight="1" x14ac:dyDescent="0.25">
      <c r="D120" s="29" t="str">
        <f>INDEX(X_Table_PastureBeef_LiveweightGain_Method1,3,1)</f>
        <v>Summer</v>
      </c>
      <c r="E120" s="29">
        <f ca="1"/>
        <v>0.44</v>
      </c>
      <c r="F120" s="29">
        <f ca="1"/>
        <v>-0.22</v>
      </c>
      <c r="G120" s="29">
        <f ca="1"/>
        <v>0.44</v>
      </c>
      <c r="H120" s="29">
        <f ca="1"/>
        <v>0.33</v>
      </c>
      <c r="I120" s="29">
        <f ca="1"/>
        <v>-0.22</v>
      </c>
      <c r="J120" s="29">
        <f ca="1"/>
        <v>-0.22</v>
      </c>
      <c r="K120" s="29">
        <f ca="1"/>
        <v>0.44</v>
      </c>
      <c r="L120" s="29">
        <f ca="1"/>
        <v>-0.11</v>
      </c>
      <c r="M120" s="29">
        <f ca="1"/>
        <v>-0.11</v>
      </c>
      <c r="N120" s="29">
        <f ca="1"/>
        <v>-0.11</v>
      </c>
      <c r="O120" s="32" t="s">
        <v>51</v>
      </c>
      <c r="U120" s="29" t="str">
        <f>TEXT('Input - Site'!$E$12, "mmmm yyyy")</f>
        <v>January 2024</v>
      </c>
      <c r="V120" s="29" cm="1">
        <f t="array" aca="1" ref="V120:AE131" ca="1">OFFSET(X_Table_PastureBeef_LiveweightGain_Method2, 1,1, 12,10)</f>
        <v>0.44</v>
      </c>
      <c r="W120" s="29">
        <f ca="1"/>
        <v>-0.22</v>
      </c>
      <c r="X120" s="29">
        <f ca="1"/>
        <v>0.44</v>
      </c>
      <c r="Y120" s="29">
        <f ca="1"/>
        <v>0.33</v>
      </c>
      <c r="Z120" s="29">
        <f ca="1"/>
        <v>-0.22</v>
      </c>
      <c r="AA120" s="29">
        <f ca="1"/>
        <v>-0.22</v>
      </c>
      <c r="AB120" s="29">
        <f ca="1"/>
        <v>0.44</v>
      </c>
      <c r="AC120" s="29">
        <f ca="1"/>
        <v>-0.11</v>
      </c>
      <c r="AD120" s="29">
        <f ca="1"/>
        <v>-0.11</v>
      </c>
      <c r="AE120" s="29">
        <f ca="1"/>
        <v>-0.11</v>
      </c>
      <c r="AF120" s="32" t="s">
        <v>53</v>
      </c>
      <c r="AG120" s="32"/>
      <c r="AH120" s="32"/>
    </row>
    <row r="121" spans="4:35" ht="20.100000000000001" customHeight="1" x14ac:dyDescent="0.25">
      <c r="D121" s="29" t="str">
        <f>INDEX(X_Table_PastureBeef_LiveweightGain_Method1,4,1)</f>
        <v>Autumn</v>
      </c>
      <c r="E121" s="29">
        <f ca="1"/>
        <v>0.6</v>
      </c>
      <c r="F121" s="29">
        <f ca="1"/>
        <v>0</v>
      </c>
      <c r="G121" s="29">
        <f ca="1"/>
        <v>0.6</v>
      </c>
      <c r="H121" s="29">
        <f ca="1"/>
        <v>0.22</v>
      </c>
      <c r="I121" s="29">
        <f ca="1"/>
        <v>-0.55000000000000004</v>
      </c>
      <c r="J121" s="29">
        <f ca="1"/>
        <v>-0.55000000000000004</v>
      </c>
      <c r="K121" s="29">
        <f ca="1"/>
        <v>0.6</v>
      </c>
      <c r="L121" s="29">
        <f ca="1"/>
        <v>0</v>
      </c>
      <c r="M121" s="29">
        <f ca="1"/>
        <v>0</v>
      </c>
      <c r="N121" s="29">
        <f ca="1"/>
        <v>0</v>
      </c>
      <c r="O121" s="32" t="s">
        <v>51</v>
      </c>
      <c r="U121" s="29" t="str">
        <f>TEXT(EDATE('Input - Site'!$E$12,1), "mmmm yyyy")</f>
        <v>February 2024</v>
      </c>
      <c r="V121" s="29">
        <f ca="1"/>
        <v>0.44</v>
      </c>
      <c r="W121" s="29">
        <f ca="1"/>
        <v>-0.22</v>
      </c>
      <c r="X121" s="29">
        <f ca="1"/>
        <v>0.44</v>
      </c>
      <c r="Y121" s="29">
        <f ca="1"/>
        <v>0.33</v>
      </c>
      <c r="Z121" s="29">
        <f ca="1"/>
        <v>-0.22</v>
      </c>
      <c r="AA121" s="29">
        <f ca="1"/>
        <v>-0.22</v>
      </c>
      <c r="AB121" s="29">
        <f ca="1"/>
        <v>0.44</v>
      </c>
      <c r="AC121" s="29">
        <f ca="1"/>
        <v>-0.11</v>
      </c>
      <c r="AD121" s="29">
        <f ca="1"/>
        <v>-0.11</v>
      </c>
      <c r="AE121" s="29">
        <f ca="1"/>
        <v>-0.11</v>
      </c>
      <c r="AF121" s="32" t="s">
        <v>53</v>
      </c>
      <c r="AG121" s="32"/>
      <c r="AH121" s="32"/>
    </row>
    <row r="122" spans="4:35" ht="20.100000000000001" customHeight="1" x14ac:dyDescent="0.25">
      <c r="D122" s="29" t="str">
        <f>INDEX(X_Table_PastureBeef_LiveweightGain_Method1,5,1)</f>
        <v>Winter</v>
      </c>
      <c r="E122" s="29">
        <f ca="1"/>
        <v>0.99</v>
      </c>
      <c r="F122" s="29">
        <f ca="1"/>
        <v>0.22</v>
      </c>
      <c r="G122" s="29">
        <f ca="1"/>
        <v>0.77</v>
      </c>
      <c r="H122" s="29">
        <f ca="1"/>
        <v>0.11</v>
      </c>
      <c r="I122" s="29">
        <f ca="1"/>
        <v>0.11</v>
      </c>
      <c r="J122" s="29">
        <f ca="1"/>
        <v>0.11</v>
      </c>
      <c r="K122" s="29">
        <f ca="1"/>
        <v>0.77</v>
      </c>
      <c r="L122" s="29">
        <f ca="1"/>
        <v>0.44</v>
      </c>
      <c r="M122" s="29">
        <f ca="1"/>
        <v>0.44</v>
      </c>
      <c r="N122" s="29">
        <f ca="1"/>
        <v>0.44</v>
      </c>
      <c r="O122" s="32" t="s">
        <v>51</v>
      </c>
      <c r="U122" s="29" t="str">
        <f>TEXT(EDATE('Input - Site'!$E$12,2), "mmmm yyyy")</f>
        <v>March 2024</v>
      </c>
      <c r="V122" s="29">
        <f ca="1"/>
        <v>0.6</v>
      </c>
      <c r="W122" s="29">
        <f ca="1"/>
        <v>0</v>
      </c>
      <c r="X122" s="29">
        <f ca="1"/>
        <v>0.6</v>
      </c>
      <c r="Y122" s="29">
        <f ca="1"/>
        <v>0.22</v>
      </c>
      <c r="Z122" s="29">
        <f ca="1"/>
        <v>-0.55000000000000004</v>
      </c>
      <c r="AA122" s="29">
        <f ca="1"/>
        <v>-0.55000000000000004</v>
      </c>
      <c r="AB122" s="29">
        <f ca="1"/>
        <v>0.6</v>
      </c>
      <c r="AC122" s="29">
        <f ca="1"/>
        <v>0</v>
      </c>
      <c r="AD122" s="29">
        <f ca="1"/>
        <v>0</v>
      </c>
      <c r="AE122" s="29">
        <f ca="1"/>
        <v>0</v>
      </c>
      <c r="AF122" s="32" t="s">
        <v>53</v>
      </c>
      <c r="AG122" s="32"/>
      <c r="AH122" s="32"/>
    </row>
    <row r="123" spans="4:35" ht="20.100000000000001" customHeight="1" x14ac:dyDescent="0.25">
      <c r="U123" s="29" t="str">
        <f>TEXT(EDATE('Input - Site'!$E$12,3), "mmmm yyyy")</f>
        <v>April 2024</v>
      </c>
      <c r="V123" s="29">
        <f ca="1"/>
        <v>0.6</v>
      </c>
      <c r="W123" s="29">
        <f ca="1"/>
        <v>0</v>
      </c>
      <c r="X123" s="29">
        <f ca="1"/>
        <v>0.6</v>
      </c>
      <c r="Y123" s="29">
        <f ca="1"/>
        <v>0.22</v>
      </c>
      <c r="Z123" s="29">
        <f ca="1"/>
        <v>-0.55000000000000004</v>
      </c>
      <c r="AA123" s="29">
        <f ca="1"/>
        <v>-0.55000000000000004</v>
      </c>
      <c r="AB123" s="29">
        <f ca="1"/>
        <v>0.6</v>
      </c>
      <c r="AC123" s="29">
        <f ca="1"/>
        <v>0</v>
      </c>
      <c r="AD123" s="29">
        <f ca="1"/>
        <v>0</v>
      </c>
      <c r="AE123" s="29">
        <f ca="1"/>
        <v>0</v>
      </c>
      <c r="AF123" s="32" t="s">
        <v>53</v>
      </c>
      <c r="AG123" s="32"/>
      <c r="AH123" s="32"/>
    </row>
    <row r="124" spans="4:35" ht="20.100000000000001" customHeight="1" x14ac:dyDescent="0.25">
      <c r="D124" s="57" t="s">
        <v>251</v>
      </c>
      <c r="U124" s="29" t="str">
        <f>TEXT(EDATE('Input - Site'!$E$12,4), "mmmm yyyy")</f>
        <v>May 2024</v>
      </c>
      <c r="V124" s="29">
        <f ca="1"/>
        <v>0.6</v>
      </c>
      <c r="W124" s="29">
        <f ca="1"/>
        <v>0</v>
      </c>
      <c r="X124" s="29">
        <f ca="1"/>
        <v>0.6</v>
      </c>
      <c r="Y124" s="29">
        <f ca="1"/>
        <v>0.22</v>
      </c>
      <c r="Z124" s="29">
        <f ca="1"/>
        <v>-0.55000000000000004</v>
      </c>
      <c r="AA124" s="29">
        <f ca="1"/>
        <v>-0.55000000000000004</v>
      </c>
      <c r="AB124" s="29">
        <f ca="1"/>
        <v>0.6</v>
      </c>
      <c r="AC124" s="29">
        <f ca="1"/>
        <v>0</v>
      </c>
      <c r="AD124" s="29">
        <f ca="1"/>
        <v>0</v>
      </c>
      <c r="AE124" s="29">
        <f ca="1"/>
        <v>0</v>
      </c>
      <c r="AF124" s="32" t="s">
        <v>53</v>
      </c>
      <c r="AG124" s="32"/>
      <c r="AH124" s="32"/>
    </row>
    <row r="125" spans="4:35" ht="20.100000000000001" customHeight="1" x14ac:dyDescent="0.25">
      <c r="D125" s="58" t="s">
        <v>252</v>
      </c>
      <c r="U125" s="29" t="str">
        <f>TEXT(EDATE('Input - Site'!$E$12,5), "mmmm yyyy")</f>
        <v>June 2024</v>
      </c>
      <c r="V125" s="29">
        <f ca="1"/>
        <v>0.99</v>
      </c>
      <c r="W125" s="29">
        <f ca="1"/>
        <v>0.22</v>
      </c>
      <c r="X125" s="29">
        <f ca="1"/>
        <v>0.77</v>
      </c>
      <c r="Y125" s="29">
        <f ca="1"/>
        <v>0.11</v>
      </c>
      <c r="Z125" s="29">
        <f ca="1"/>
        <v>0.11</v>
      </c>
      <c r="AA125" s="29">
        <f ca="1"/>
        <v>0.11</v>
      </c>
      <c r="AB125" s="29">
        <f ca="1"/>
        <v>0.77</v>
      </c>
      <c r="AC125" s="29">
        <f ca="1"/>
        <v>0.44</v>
      </c>
      <c r="AD125" s="29">
        <f ca="1"/>
        <v>0.44</v>
      </c>
      <c r="AE125" s="29">
        <f ca="1"/>
        <v>0.44</v>
      </c>
      <c r="AF125" s="32" t="s">
        <v>53</v>
      </c>
      <c r="AG125" s="32"/>
      <c r="AH125" s="32"/>
    </row>
    <row r="126" spans="4:35" ht="20.100000000000001" customHeight="1" x14ac:dyDescent="0.25">
      <c r="D126" s="59" t="s">
        <v>84</v>
      </c>
      <c r="E126" s="59" t="s">
        <v>31</v>
      </c>
      <c r="F126" s="59" t="s">
        <v>32</v>
      </c>
      <c r="G126" s="59" t="s">
        <v>33</v>
      </c>
      <c r="H126" s="59" t="s">
        <v>34</v>
      </c>
      <c r="I126" s="59" t="s">
        <v>35</v>
      </c>
      <c r="J126" s="59" t="s">
        <v>36</v>
      </c>
      <c r="K126" s="59" t="s">
        <v>37</v>
      </c>
      <c r="L126" s="59" t="s">
        <v>38</v>
      </c>
      <c r="M126" s="59" t="s">
        <v>39</v>
      </c>
      <c r="N126" s="59" t="s">
        <v>40</v>
      </c>
      <c r="U126" s="29" t="str">
        <f>TEXT(EDATE('Input - Site'!$E$12,6), "mmmm yyyy")</f>
        <v>July 2024</v>
      </c>
      <c r="V126" s="29">
        <f ca="1"/>
        <v>0.99</v>
      </c>
      <c r="W126" s="29">
        <f ca="1"/>
        <v>0.22</v>
      </c>
      <c r="X126" s="29">
        <f ca="1"/>
        <v>0.77</v>
      </c>
      <c r="Y126" s="29">
        <f ca="1"/>
        <v>0.11</v>
      </c>
      <c r="Z126" s="29">
        <f ca="1"/>
        <v>0.11</v>
      </c>
      <c r="AA126" s="29">
        <f ca="1"/>
        <v>0.11</v>
      </c>
      <c r="AB126" s="29">
        <f ca="1"/>
        <v>0.77</v>
      </c>
      <c r="AC126" s="29">
        <f ca="1"/>
        <v>0.44</v>
      </c>
      <c r="AD126" s="29">
        <f ca="1"/>
        <v>0.44</v>
      </c>
      <c r="AE126" s="29">
        <f ca="1"/>
        <v>0.44</v>
      </c>
      <c r="AF126" s="32" t="s">
        <v>53</v>
      </c>
      <c r="AG126" s="32"/>
      <c r="AH126" s="32"/>
    </row>
    <row r="127" spans="4:35" ht="20.100000000000001" customHeight="1" x14ac:dyDescent="0.25">
      <c r="D127" s="29" t="s">
        <v>41</v>
      </c>
      <c r="E127" s="29" cm="1">
        <f t="array" aca="1" ref="E127" ca="1">MMS_PastureBeef_Soil_N2ODirect_Equations.VEERG_4_2_1_3__4_NitrogenRetainedByBody(G95,E62,E33,E119)</f>
        <v>3.2631583658999173E-2</v>
      </c>
      <c r="F127" s="29" cm="1">
        <f t="array" aca="1" ref="F127" ca="1">MMS_PastureBeef_Soil_N2ODirect_Equations.VEERG_4_2_1_3__4_NitrogenRetainedByBody(H95,F62,F33,F119)</f>
        <v>1.2159206080141413E-2</v>
      </c>
      <c r="G127" s="29" cm="1">
        <f t="array" aca="1" ref="G127" ca="1">MMS_PastureBeef_Soil_N2ODirect_Equations.VEERG_4_2_1_3__4_NitrogenRetainedByBody(I95,G62,G33,G119)</f>
        <v>2.2961722562736007E-2</v>
      </c>
      <c r="H127" s="29" cm="1">
        <f t="array" aca="1" ref="H127" ca="1">MMS_PastureBeef_Soil_N2ODirect_Equations.VEERG_4_2_1_3__4_NitrogenRetainedByBody(J95,H62,H33,H119)</f>
        <v>2.6678723656787657E-2</v>
      </c>
      <c r="I127" s="29" cm="1">
        <f t="array" aca="1" ref="I127" ca="1">MMS_PastureBeef_Soil_N2ODirect_Equations.VEERG_4_2_1_3__4_NitrogenRetainedByBody(K95,I62,I33,I119)</f>
        <v>1.7401604737232124E-2</v>
      </c>
      <c r="J127" s="29" cm="1">
        <f t="array" aca="1" ref="J127" ca="1">MMS_PastureBeef_Soil_N2ODirect_Equations.VEERG_4_2_1_3__4_NitrogenRetainedByBody(L95,J62,J33,J119)</f>
        <v>1.7401604737232124E-2</v>
      </c>
      <c r="K127" s="29" cm="1">
        <f t="array" aca="1" ref="K127" ca="1">MMS_PastureBeef_Soil_N2ODirect_Equations.VEERG_4_2_1_3__4_NitrogenRetainedByBody(M95,K62,K33,K119)</f>
        <v>2.7711640554981157E-2</v>
      </c>
      <c r="L127" s="29" cm="1">
        <f t="array" aca="1" ref="L127" ca="1">MMS_PastureBeef_Soil_N2ODirect_Equations.VEERG_4_2_1_3__4_NitrogenRetainedByBody(N95,L62,L33,L119)</f>
        <v>1.4565147934229335E-2</v>
      </c>
      <c r="M127" s="29" cm="1">
        <f t="array" aca="1" ref="M127" ca="1">MMS_PastureBeef_Soil_N2ODirect_Equations.VEERG_4_2_1_3__4_NitrogenRetainedByBody(O95,M62,M33,M119)</f>
        <v>1.4565147934229335E-2</v>
      </c>
      <c r="N127" s="29" cm="1">
        <f t="array" aca="1" ref="N127" ca="1">MMS_PastureBeef_Soil_N2ODirect_Equations.VEERG_4_2_1_3__4_NitrogenRetainedByBody(P95,N62,N33,N119)</f>
        <v>1.4565147934229335E-2</v>
      </c>
      <c r="O127" s="32" t="str">
        <f>$E$109</f>
        <v>kg N/head/day</v>
      </c>
      <c r="U127" s="29" t="str">
        <f>TEXT(EDATE('Input - Site'!$E$12,7), "mmmm yyyy")</f>
        <v>August 2024</v>
      </c>
      <c r="V127" s="29">
        <f ca="1"/>
        <v>0.99</v>
      </c>
      <c r="W127" s="29">
        <f ca="1"/>
        <v>0.22</v>
      </c>
      <c r="X127" s="29">
        <f ca="1"/>
        <v>0.77</v>
      </c>
      <c r="Y127" s="29">
        <f ca="1"/>
        <v>0.11</v>
      </c>
      <c r="Z127" s="29">
        <f ca="1"/>
        <v>0.11</v>
      </c>
      <c r="AA127" s="29">
        <f ca="1"/>
        <v>0.11</v>
      </c>
      <c r="AB127" s="29">
        <f ca="1"/>
        <v>0.77</v>
      </c>
      <c r="AC127" s="29">
        <f ca="1"/>
        <v>0.44</v>
      </c>
      <c r="AD127" s="29">
        <f ca="1"/>
        <v>0.44</v>
      </c>
      <c r="AE127" s="29">
        <f ca="1"/>
        <v>0.44</v>
      </c>
      <c r="AF127" s="32" t="s">
        <v>53</v>
      </c>
      <c r="AG127" s="32"/>
      <c r="AH127" s="32"/>
    </row>
    <row r="128" spans="4:35" ht="20.100000000000001" customHeight="1" x14ac:dyDescent="0.25">
      <c r="D128" s="29" t="s">
        <v>43</v>
      </c>
      <c r="E128" s="29" cm="1">
        <f t="array" aca="1" ref="E128" ca="1">MMS_PastureBeef_Soil_N2ODirect_Equations.VEERG_4_2_1_3__4_NitrogenRetainedByBody(G96,E63,E34,E120)</f>
        <v>8.1246865273940476E-3</v>
      </c>
      <c r="F128" s="29" cm="1">
        <f t="array" aca="1" ref="F128" ca="1">MMS_PastureBeef_Soil_N2ODirect_Equations.VEERG_4_2_1_3__4_NitrogenRetainedByBody(H96,F63,F34,F120)</f>
        <v>-2.4500809510830074E-3</v>
      </c>
      <c r="G128" s="29" cm="1">
        <f t="array" aca="1" ref="G128" ca="1">MMS_PastureBeef_Soil_N2ODirect_Equations.VEERG_4_2_1_3__4_NitrogenRetainedByBody(I96,G63,G34,G120)</f>
        <v>7.4692204769955996E-3</v>
      </c>
      <c r="H128" s="29" cm="1">
        <f t="array" aca="1" ref="H128" ca="1">MMS_PastureBeef_Soil_N2ODirect_Equations.VEERG_4_2_1_3__4_NitrogenRetainedByBody(J96,H63,H34,H120)</f>
        <v>4.0347172063606223E-3</v>
      </c>
      <c r="I128" s="29" cm="1">
        <f t="array" aca="1" ref="I128" ca="1">MMS_PastureBeef_Soil_N2ODirect_Equations.VEERG_4_2_1_3__4_NitrogenRetainedByBody(K96,I63,I34,I120)</f>
        <v>-2.4892646670301153E-3</v>
      </c>
      <c r="J128" s="29" cm="1">
        <f t="array" aca="1" ref="J128" ca="1">MMS_PastureBeef_Soil_N2ODirect_Equations.VEERG_4_2_1_3__4_NitrogenRetainedByBody(L96,J63,J34,J120)</f>
        <v>-2.4892646670301153E-3</v>
      </c>
      <c r="K128" s="29" cm="1">
        <f t="array" aca="1" ref="K128" ca="1">MMS_PastureBeef_Soil_N2ODirect_Equations.VEERG_4_2_1_3__4_NitrogenRetainedByBody(M96,K63,K34,K120)</f>
        <v>7.842975342880058E-3</v>
      </c>
      <c r="L128" s="29" cm="1">
        <f t="array" aca="1" ref="L128" ca="1">MMS_PastureBeef_Soil_N2ODirect_Equations.VEERG_4_2_1_3__4_NitrogenRetainedByBody(N96,L63,L34,L120)</f>
        <v>-1.4855230625479237E-3</v>
      </c>
      <c r="M128" s="29" cm="1">
        <f t="array" aca="1" ref="M128" ca="1">MMS_PastureBeef_Soil_N2ODirect_Equations.VEERG_4_2_1_3__4_NitrogenRetainedByBody(O96,M63,M34,M120)</f>
        <v>-1.4855230625479237E-3</v>
      </c>
      <c r="N128" s="29" cm="1">
        <f t="array" aca="1" ref="N128" ca="1">MMS_PastureBeef_Soil_N2ODirect_Equations.VEERG_4_2_1_3__4_NitrogenRetainedByBody(P96,N63,N34,N120)</f>
        <v>-1.4855230625479237E-3</v>
      </c>
      <c r="O128" s="32" t="str">
        <f t="shared" ref="O128:O130" si="6">$E$109</f>
        <v>kg N/head/day</v>
      </c>
      <c r="U128" s="29" t="str">
        <f>TEXT(EDATE('Input - Site'!$E$12,8), "mmmm yyyy")</f>
        <v>September 2024</v>
      </c>
      <c r="V128" s="29">
        <f ca="1"/>
        <v>1.64</v>
      </c>
      <c r="W128" s="29">
        <f ca="1"/>
        <v>1.1000000000000001</v>
      </c>
      <c r="X128" s="29">
        <f ca="1"/>
        <v>1.21</v>
      </c>
      <c r="Y128" s="29">
        <f ca="1"/>
        <v>0.99</v>
      </c>
      <c r="Z128" s="29">
        <f ca="1"/>
        <v>0.66</v>
      </c>
      <c r="AA128" s="29">
        <f ca="1"/>
        <v>0.66</v>
      </c>
      <c r="AB128" s="29">
        <f ca="1"/>
        <v>1.42</v>
      </c>
      <c r="AC128" s="29">
        <f ca="1"/>
        <v>1.1000000000000001</v>
      </c>
      <c r="AD128" s="29">
        <f ca="1"/>
        <v>1.1000000000000001</v>
      </c>
      <c r="AE128" s="29">
        <f ca="1"/>
        <v>1.1000000000000001</v>
      </c>
      <c r="AF128" s="32" t="s">
        <v>53</v>
      </c>
      <c r="AG128" s="32"/>
      <c r="AH128" s="32"/>
    </row>
    <row r="129" spans="3:34" ht="20.100000000000001" customHeight="1" x14ac:dyDescent="0.25">
      <c r="D129" s="29" t="s">
        <v>44</v>
      </c>
      <c r="E129" s="29" cm="1">
        <f t="array" aca="1" ref="E129" ca="1">MMS_PastureBeef_Soil_N2ODirect_Equations.VEERG_4_2_1_3__4_NitrogenRetainedByBody(G97,E64,E35,E121)</f>
        <v>1.7126010126251881E-2</v>
      </c>
      <c r="F129" s="29" cm="1">
        <f t="array" aca="1" ref="F129" ca="1">MMS_PastureBeef_Soil_N2ODirect_Equations.VEERG_4_2_1_3__4_NitrogenRetainedByBody(H97,F64,F35,F121)</f>
        <v>0</v>
      </c>
      <c r="G129" s="29" cm="1">
        <f t="array" aca="1" ref="G129" ca="1">MMS_PastureBeef_Soil_N2ODirect_Equations.VEERG_4_2_1_3__4_NitrogenRetainedByBody(I97,G64,G35,G121)</f>
        <v>1.6946444473002843E-2</v>
      </c>
      <c r="H129" s="29" cm="1">
        <f t="array" aca="1" ref="H129" ca="1">MMS_PastureBeef_Soil_N2ODirect_Equations.VEERG_4_2_1_3__4_NitrogenRetainedByBody(J97,H64,H35,H121)</f>
        <v>3.53223904927357E-3</v>
      </c>
      <c r="I129" s="29" cm="1">
        <f t="array" aca="1" ref="I129" ca="1">MMS_PastureBeef_Soil_N2ODirect_Equations.VEERG_4_2_1_3__4_NitrogenRetainedByBody(K97,I64,I35,I121)</f>
        <v>-6.4971680016475087E-3</v>
      </c>
      <c r="J129" s="29" cm="1">
        <f t="array" aca="1" ref="J129" ca="1">MMS_PastureBeef_Soil_N2ODirect_Equations.VEERG_4_2_1_3__4_NitrogenRetainedByBody(L97,J64,J35,J121)</f>
        <v>-6.4971680016475087E-3</v>
      </c>
      <c r="K129" s="29" cm="1">
        <f t="array" aca="1" ref="K129" ca="1">MMS_PastureBeef_Soil_N2ODirect_Equations.VEERG_4_2_1_3__4_NitrogenRetainedByBody(M97,K64,K35,K121)</f>
        <v>1.6885009696797144E-2</v>
      </c>
      <c r="L129" s="29" cm="1">
        <f t="array" aca="1" ref="L129" ca="1">MMS_PastureBeef_Soil_N2ODirect_Equations.VEERG_4_2_1_3__4_NitrogenRetainedByBody(N97,L64,L35,L121)</f>
        <v>0</v>
      </c>
      <c r="M129" s="29" cm="1">
        <f t="array" aca="1" ref="M129" ca="1">MMS_PastureBeef_Soil_N2ODirect_Equations.VEERG_4_2_1_3__4_NitrogenRetainedByBody(O97,M64,M35,M121)</f>
        <v>0</v>
      </c>
      <c r="N129" s="29" cm="1">
        <f t="array" aca="1" ref="N129" ca="1">MMS_PastureBeef_Soil_N2ODirect_Equations.VEERG_4_2_1_3__4_NitrogenRetainedByBody(P97,N64,N35,N121)</f>
        <v>0</v>
      </c>
      <c r="O129" s="32" t="str">
        <f t="shared" si="6"/>
        <v>kg N/head/day</v>
      </c>
      <c r="U129" s="29" t="str">
        <f>TEXT(EDATE('Input - Site'!$E$12,9), "mmmm yyyy")</f>
        <v>October 2024</v>
      </c>
      <c r="V129" s="29">
        <f ca="1"/>
        <v>1.64</v>
      </c>
      <c r="W129" s="29">
        <f ca="1"/>
        <v>1.1000000000000001</v>
      </c>
      <c r="X129" s="29">
        <f ca="1"/>
        <v>1.21</v>
      </c>
      <c r="Y129" s="29">
        <f ca="1"/>
        <v>0.99</v>
      </c>
      <c r="Z129" s="29">
        <f ca="1"/>
        <v>0.66</v>
      </c>
      <c r="AA129" s="29">
        <f ca="1"/>
        <v>0.66</v>
      </c>
      <c r="AB129" s="29">
        <f ca="1"/>
        <v>1.42</v>
      </c>
      <c r="AC129" s="29">
        <f ca="1"/>
        <v>1.1000000000000001</v>
      </c>
      <c r="AD129" s="29">
        <f ca="1"/>
        <v>1.1000000000000001</v>
      </c>
      <c r="AE129" s="29">
        <f ca="1"/>
        <v>1.1000000000000001</v>
      </c>
      <c r="AF129" s="32" t="s">
        <v>53</v>
      </c>
      <c r="AG129" s="32"/>
      <c r="AH129" s="32"/>
    </row>
    <row r="130" spans="3:34" ht="20.100000000000001" customHeight="1" x14ac:dyDescent="0.25">
      <c r="D130" s="29" t="s">
        <v>45</v>
      </c>
      <c r="E130" s="29" cm="1">
        <f t="array" aca="1" ref="E130" ca="1">MMS_PastureBeef_Soil_N2ODirect_Equations.VEERG_4_2_1_3__4_NitrogenRetainedByBody(G98,E65,E36,E122)</f>
        <v>2.5624664446187655E-2</v>
      </c>
      <c r="F130" s="29" cm="1">
        <f t="array" aca="1" ref="F130" ca="1">MMS_PastureBeef_Soil_N2ODirect_Equations.VEERG_4_2_1_3__4_NitrogenRetainedByBody(H98,F65,F36,F122)</f>
        <v>2.5468999349659745E-3</v>
      </c>
      <c r="G130" s="29" cm="1">
        <f t="array" aca="1" ref="G130" ca="1">MMS_PastureBeef_Soil_N2ODirect_Equations.VEERG_4_2_1_3__4_NitrogenRetainedByBody(I98,G65,G36,G122)</f>
        <v>1.942651050577586E-2</v>
      </c>
      <c r="H130" s="29" cm="1">
        <f t="array" aca="1" ref="H130" ca="1">MMS_PastureBeef_Soil_N2ODirect_Equations.VEERG_4_2_1_3__4_NitrogenRetainedByBody(J98,H65,H36,H122)</f>
        <v>2.2779013762515499E-2</v>
      </c>
      <c r="I130" s="29" cm="1">
        <f t="array" aca="1" ref="I130" ca="1">MMS_PastureBeef_Soil_N2ODirect_Equations.VEERG_4_2_1_3__4_NitrogenRetainedByBody(K98,I65,I36,I122)</f>
        <v>1.6331394322564873E-2</v>
      </c>
      <c r="J130" s="29" cm="1">
        <f t="array" aca="1" ref="J130" ca="1">MMS_PastureBeef_Soil_N2ODirect_Equations.VEERG_4_2_1_3__4_NitrogenRetainedByBody(L98,J65,J36,J122)</f>
        <v>1.6331394322564873E-2</v>
      </c>
      <c r="K130" s="29" cm="1">
        <f t="array" aca="1" ref="K130" ca="1">MMS_PastureBeef_Soil_N2ODirect_Equations.VEERG_4_2_1_3__4_NitrogenRetainedByBody(M98,K65,K36,K122)</f>
        <v>1.9754140848253471E-2</v>
      </c>
      <c r="L130" s="29" cm="1">
        <f t="array" aca="1" ref="L130" ca="1">MMS_PastureBeef_Soil_N2ODirect_Equations.VEERG_4_2_1_3__4_NitrogenRetainedByBody(N98,L65,L36,L122)</f>
        <v>7.4705417776927329E-3</v>
      </c>
      <c r="M130" s="29" cm="1">
        <f t="array" aca="1" ref="M130" ca="1">MMS_PastureBeef_Soil_N2ODirect_Equations.VEERG_4_2_1_3__4_NitrogenRetainedByBody(O98,M65,M36,M122)</f>
        <v>7.4705417776927329E-3</v>
      </c>
      <c r="N130" s="29" cm="1">
        <f t="array" aca="1" ref="N130" ca="1">MMS_PastureBeef_Soil_N2ODirect_Equations.VEERG_4_2_1_3__4_NitrogenRetainedByBody(P98,N65,N36,N122)</f>
        <v>7.4705417776927329E-3</v>
      </c>
      <c r="O130" s="32" t="str">
        <f t="shared" si="6"/>
        <v>kg N/head/day</v>
      </c>
      <c r="U130" s="29" t="str">
        <f>TEXT(EDATE('Input - Site'!$E$12,10), "mmmm yyyy")</f>
        <v>November 2024</v>
      </c>
      <c r="V130" s="29">
        <f ca="1"/>
        <v>1.64</v>
      </c>
      <c r="W130" s="29">
        <f ca="1"/>
        <v>1.1000000000000001</v>
      </c>
      <c r="X130" s="29">
        <f ca="1"/>
        <v>1.21</v>
      </c>
      <c r="Y130" s="29">
        <f ca="1"/>
        <v>0.99</v>
      </c>
      <c r="Z130" s="29">
        <f ca="1"/>
        <v>0.66</v>
      </c>
      <c r="AA130" s="29">
        <f ca="1"/>
        <v>0.66</v>
      </c>
      <c r="AB130" s="29">
        <f ca="1"/>
        <v>1.42</v>
      </c>
      <c r="AC130" s="29">
        <f ca="1"/>
        <v>1.1000000000000001</v>
      </c>
      <c r="AD130" s="29">
        <f ca="1"/>
        <v>1.1000000000000001</v>
      </c>
      <c r="AE130" s="29">
        <f ca="1"/>
        <v>1.1000000000000001</v>
      </c>
      <c r="AF130" s="32" t="s">
        <v>53</v>
      </c>
      <c r="AG130" s="32"/>
      <c r="AH130" s="32"/>
    </row>
    <row r="131" spans="3:34" ht="20.100000000000001" customHeight="1" x14ac:dyDescent="0.25">
      <c r="U131" s="29" t="str">
        <f>TEXT(EDATE('Input - Site'!$E$12,11), "mmmm yyyy")</f>
        <v>December 2024</v>
      </c>
      <c r="V131" s="29">
        <f ca="1"/>
        <v>0.44</v>
      </c>
      <c r="W131" s="29">
        <f ca="1"/>
        <v>-0.22</v>
      </c>
      <c r="X131" s="29">
        <f ca="1"/>
        <v>0.44</v>
      </c>
      <c r="Y131" s="29">
        <f ca="1"/>
        <v>0.33</v>
      </c>
      <c r="Z131" s="29">
        <f ca="1"/>
        <v>-0.22</v>
      </c>
      <c r="AA131" s="29">
        <f ca="1"/>
        <v>-0.22</v>
      </c>
      <c r="AB131" s="29">
        <f ca="1"/>
        <v>0.44</v>
      </c>
      <c r="AC131" s="29">
        <f ca="1"/>
        <v>-0.11</v>
      </c>
      <c r="AD131" s="29">
        <f ca="1"/>
        <v>-0.11</v>
      </c>
      <c r="AE131" s="29">
        <f ca="1"/>
        <v>-0.11</v>
      </c>
      <c r="AF131" s="32" t="s">
        <v>53</v>
      </c>
      <c r="AG131" s="32"/>
      <c r="AH131" s="32"/>
    </row>
    <row r="132" spans="3:34" ht="20.100000000000001" customHeight="1" x14ac:dyDescent="0.25"/>
    <row r="133" spans="3:34" ht="20.100000000000001" customHeight="1" x14ac:dyDescent="0.25">
      <c r="C133" s="61"/>
      <c r="D133" s="61"/>
      <c r="E133" s="61"/>
      <c r="F133" s="61"/>
      <c r="G133" s="61"/>
      <c r="H133" s="61"/>
      <c r="I133" s="61"/>
      <c r="J133" s="61"/>
      <c r="K133" s="61"/>
      <c r="L133" s="61"/>
      <c r="M133" s="61"/>
      <c r="N133" s="61"/>
      <c r="O133" s="61"/>
      <c r="P133" s="61"/>
      <c r="Q133" s="61"/>
      <c r="R133" s="61"/>
      <c r="U133" s="57" t="s">
        <v>253</v>
      </c>
    </row>
    <row r="134" spans="3:34" ht="20.100000000000001" customHeight="1" x14ac:dyDescent="0.25">
      <c r="D134" s="2" t="str" cm="1">
        <f t="array" ref="D134">MMS_PastureBeef_Soil_N2ODirect_Equations.VEERG_4_2_1_3__3_NitrogenExcreted_Title()</f>
        <v>Nitrogen excreted</v>
      </c>
      <c r="U134" s="58" t="s">
        <v>254</v>
      </c>
    </row>
    <row r="135" spans="3:34" ht="20.100000000000001" customHeight="1" x14ac:dyDescent="0.25">
      <c r="D135" s="46" t="str" cm="1">
        <f t="array" ref="D135">MMS_PastureBeef_Soil_N2ODirect_Equations.VEERG_4_2_1_3__3_NitrogenExcreted_Source()</f>
        <v>VEERG 2026: 4.2.1.3, Equation (3)</v>
      </c>
      <c r="U135" s="59" t="s">
        <v>87</v>
      </c>
      <c r="V135" s="59" t="s">
        <v>31</v>
      </c>
      <c r="W135" s="59" t="s">
        <v>32</v>
      </c>
      <c r="X135" s="59" t="s">
        <v>33</v>
      </c>
      <c r="Y135" s="59" t="s">
        <v>34</v>
      </c>
      <c r="Z135" s="59" t="s">
        <v>35</v>
      </c>
      <c r="AA135" s="59" t="s">
        <v>36</v>
      </c>
      <c r="AB135" s="59" t="s">
        <v>37</v>
      </c>
      <c r="AC135" s="59" t="s">
        <v>38</v>
      </c>
      <c r="AD135" s="59" t="s">
        <v>39</v>
      </c>
      <c r="AE135" s="59" t="s">
        <v>40</v>
      </c>
    </row>
    <row r="136" spans="3:34" ht="20.100000000000001" customHeight="1" x14ac:dyDescent="0.25">
      <c r="D136" s="47" t="s">
        <v>77</v>
      </c>
      <c r="E136" s="47" t="str" cm="1">
        <f t="array" aca="1" ref="E136" ca="1">Common_InputFunctions.Utility_DisplayFunctionName($E$169)</f>
        <v>=MMS_PastureBeef_Soil_N2ODirect_Equations.VEERG_4_2_1_3__3_NitrogenExcreted</v>
      </c>
      <c r="U136" s="29" t="str">
        <f>TEXT('Input - Site'!$E$12, "mmmm yyyy")</f>
        <v>January 2024</v>
      </c>
      <c r="V136" s="29" cm="1">
        <f t="array" aca="1" ref="V136" ca="1">MMS_PastureBeef_Soil_N2ODirect_Equations.VEERG_4_2_1_3__4_NitrogenRetainedByBody(X100,V72,V36,V120)</f>
        <v>8.1246865273940476E-3</v>
      </c>
      <c r="W136" s="29" cm="1">
        <f t="array" aca="1" ref="W136" ca="1">MMS_PastureBeef_Soil_N2ODirect_Equations.VEERG_4_2_1_3__4_NitrogenRetainedByBody(Y100,W72,W36,W120)</f>
        <v>-2.4500809510830074E-3</v>
      </c>
      <c r="X136" s="29" cm="1">
        <f t="array" aca="1" ref="X136" ca="1">MMS_PastureBeef_Soil_N2ODirect_Equations.VEERG_4_2_1_3__4_NitrogenRetainedByBody(Z100,X72,X36,X120)</f>
        <v>7.4692204769955996E-3</v>
      </c>
      <c r="Y136" s="29" cm="1">
        <f t="array" aca="1" ref="Y136" ca="1">MMS_PastureBeef_Soil_N2ODirect_Equations.VEERG_4_2_1_3__4_NitrogenRetainedByBody(AA100,Y72,Y36,Y120)</f>
        <v>1.9080635764024231E-2</v>
      </c>
      <c r="Z136" s="29" cm="1">
        <f t="array" aca="1" ref="Z136" ca="1">MMS_PastureBeef_Soil_N2ODirect_Equations.VEERG_4_2_1_3__4_NitrogenRetainedByBody(AB100,Z72,Z36,Z120)</f>
        <v>1.2558041048697144E-2</v>
      </c>
      <c r="AA136" s="29" cm="1">
        <f t="array" aca="1" ref="AA136" ca="1">MMS_PastureBeef_Soil_N2ODirect_Equations.VEERG_4_2_1_3__4_NitrogenRetainedByBody(AC100,AA72,AA36,AA120)</f>
        <v>1.2558041048697144E-2</v>
      </c>
      <c r="AB136" s="29" cm="1">
        <f t="array" aca="1" ref="AB136" ca="1">MMS_PastureBeef_Soil_N2ODirect_Equations.VEERG_4_2_1_3__4_NitrogenRetainedByBody(AD100,AB72,AB36,AB120)</f>
        <v>7.842975342880058E-3</v>
      </c>
      <c r="AC136" s="29" cm="1">
        <f t="array" aca="1" ref="AC136" ca="1">MMS_PastureBeef_Soil_N2ODirect_Equations.VEERG_4_2_1_3__4_NitrogenRetainedByBody(AE100,AC72,AC36,AC120)</f>
        <v>-1.4855230625479237E-3</v>
      </c>
      <c r="AD136" s="29" cm="1">
        <f t="array" aca="1" ref="AD136" ca="1">MMS_PastureBeef_Soil_N2ODirect_Equations.VEERG_4_2_1_3__4_NitrogenRetainedByBody(AF100,AD72,AD36,AD120)</f>
        <v>-1.4855230625479237E-3</v>
      </c>
      <c r="AE136" s="29" cm="1">
        <f t="array" aca="1" ref="AE136" ca="1">MMS_PastureBeef_Soil_N2ODirect_Equations.VEERG_4_2_1_3__4_NitrogenRetainedByBody(AG100,AE72,AE36,AE120)</f>
        <v>-1.4855230625479237E-3</v>
      </c>
      <c r="AF136" s="32" t="str">
        <f t="shared" ref="AF136:AF147" si="7">$E$109</f>
        <v>kg N/head/day</v>
      </c>
      <c r="AG136" s="32"/>
      <c r="AH136" s="32"/>
    </row>
    <row r="137" spans="3:34" ht="20.100000000000001" customHeight="1" x14ac:dyDescent="0.25">
      <c r="U137" s="29" t="str">
        <f>TEXT(EDATE('Input - Site'!$E$12,1), "mmmm yyyy")</f>
        <v>February 2024</v>
      </c>
      <c r="V137" s="29" cm="1">
        <f t="array" aca="1" ref="V137" ca="1">MMS_PastureBeef_Soil_N2ODirect_Equations.VEERG_4_2_1_3__4_NitrogenRetainedByBody(X101,V73,V37,V121)</f>
        <v>8.1246865273940476E-3</v>
      </c>
      <c r="W137" s="29" cm="1">
        <f t="array" aca="1" ref="W137" ca="1">MMS_PastureBeef_Soil_N2ODirect_Equations.VEERG_4_2_1_3__4_NitrogenRetainedByBody(Y101,W73,W37,W121)</f>
        <v>-2.4500809510830074E-3</v>
      </c>
      <c r="X137" s="29" cm="1">
        <f t="array" aca="1" ref="X137" ca="1">MMS_PastureBeef_Soil_N2ODirect_Equations.VEERG_4_2_1_3__4_NitrogenRetainedByBody(Z101,X73,X37,X121)</f>
        <v>7.4692204769955996E-3</v>
      </c>
      <c r="Y137" s="29" cm="1">
        <f t="array" aca="1" ref="Y137" ca="1">MMS_PastureBeef_Soil_N2ODirect_Equations.VEERG_4_2_1_3__4_NitrogenRetainedByBody(AA101,Y73,Y37,Y121)</f>
        <v>4.0359782188292637E-3</v>
      </c>
      <c r="Z137" s="29" cm="1">
        <f t="array" aca="1" ref="Z137" ca="1">MMS_PastureBeef_Soil_N2ODirect_Equations.VEERG_4_2_1_3__4_NitrogenRetainedByBody(AB101,Z73,Z37,Z121)</f>
        <v>-2.4895889780627905E-3</v>
      </c>
      <c r="AA137" s="29" cm="1">
        <f t="array" aca="1" ref="AA137" ca="1">MMS_PastureBeef_Soil_N2ODirect_Equations.VEERG_4_2_1_3__4_NitrogenRetainedByBody(AC101,AA73,AA37,AA121)</f>
        <v>-2.4895889780627905E-3</v>
      </c>
      <c r="AB137" s="29" cm="1">
        <f t="array" aca="1" ref="AB137" ca="1">MMS_PastureBeef_Soil_N2ODirect_Equations.VEERG_4_2_1_3__4_NitrogenRetainedByBody(AD101,AB73,AB37,AB121)</f>
        <v>7.842975342880058E-3</v>
      </c>
      <c r="AC137" s="29" cm="1">
        <f t="array" aca="1" ref="AC137" ca="1">MMS_PastureBeef_Soil_N2ODirect_Equations.VEERG_4_2_1_3__4_NitrogenRetainedByBody(AE101,AC73,AC37,AC121)</f>
        <v>-1.4855230625479237E-3</v>
      </c>
      <c r="AD137" s="29" cm="1">
        <f t="array" aca="1" ref="AD137" ca="1">MMS_PastureBeef_Soil_N2ODirect_Equations.VEERG_4_2_1_3__4_NitrogenRetainedByBody(AF101,AD73,AD37,AD121)</f>
        <v>-1.4855230625479237E-3</v>
      </c>
      <c r="AE137" s="29" cm="1">
        <f t="array" aca="1" ref="AE137" ca="1">MMS_PastureBeef_Soil_N2ODirect_Equations.VEERG_4_2_1_3__4_NitrogenRetainedByBody(AG101,AE73,AE37,AE121)</f>
        <v>-1.4855230625479237E-3</v>
      </c>
      <c r="AF137" s="32" t="str">
        <f t="shared" si="7"/>
        <v>kg N/head/day</v>
      </c>
      <c r="AG137" s="32"/>
      <c r="AH137" s="32"/>
    </row>
    <row r="138" spans="3:34" ht="20.100000000000001" customHeight="1" x14ac:dyDescent="0.25">
      <c r="U138" s="29" t="str">
        <f>TEXT(EDATE('Input - Site'!$E$12,2), "mmmm yyyy")</f>
        <v>March 2024</v>
      </c>
      <c r="V138" s="29" cm="1">
        <f t="array" aca="1" ref="V138" ca="1">MMS_PastureBeef_Soil_N2ODirect_Equations.VEERG_4_2_1_3__4_NitrogenRetainedByBody(X102,V74,V38,V122)</f>
        <v>1.7126010126251881E-2</v>
      </c>
      <c r="W138" s="29" cm="1">
        <f t="array" aca="1" ref="W138" ca="1">MMS_PastureBeef_Soil_N2ODirect_Equations.VEERG_4_2_1_3__4_NitrogenRetainedByBody(Y102,W74,W38,W122)</f>
        <v>0</v>
      </c>
      <c r="X138" s="29" cm="1">
        <f t="array" aca="1" ref="X138" ca="1">MMS_PastureBeef_Soil_N2ODirect_Equations.VEERG_4_2_1_3__4_NitrogenRetainedByBody(Z102,X74,X38,X122)</f>
        <v>1.6946444473002843E-2</v>
      </c>
      <c r="Y138" s="29" cm="1">
        <f t="array" aca="1" ref="Y138" ca="1">MMS_PastureBeef_Soil_N2ODirect_Equations.VEERG_4_2_1_3__4_NitrogenRetainedByBody(AA102,Y74,Y38,Y122)</f>
        <v>3.5329291057988096E-3</v>
      </c>
      <c r="Z138" s="29" cm="1">
        <f t="array" aca="1" ref="Z138" ca="1">MMS_PastureBeef_Soil_N2ODirect_Equations.VEERG_4_2_1_3__4_NitrogenRetainedByBody(AB102,Z74,Z38,Z122)</f>
        <v>-6.4971680016475087E-3</v>
      </c>
      <c r="AA138" s="29" cm="1">
        <f t="array" aca="1" ref="AA138" ca="1">MMS_PastureBeef_Soil_N2ODirect_Equations.VEERG_4_2_1_3__4_NitrogenRetainedByBody(AC102,AA74,AA38,AA122)</f>
        <v>-6.4971680016475087E-3</v>
      </c>
      <c r="AB138" s="29" cm="1">
        <f t="array" aca="1" ref="AB138" ca="1">MMS_PastureBeef_Soil_N2ODirect_Equations.VEERG_4_2_1_3__4_NitrogenRetainedByBody(AD102,AB74,AB38,AB122)</f>
        <v>1.6885009696797144E-2</v>
      </c>
      <c r="AC138" s="29" cm="1">
        <f t="array" aca="1" ref="AC138" ca="1">MMS_PastureBeef_Soil_N2ODirect_Equations.VEERG_4_2_1_3__4_NitrogenRetainedByBody(AE102,AC74,AC38,AC122)</f>
        <v>0</v>
      </c>
      <c r="AD138" s="29" cm="1">
        <f t="array" aca="1" ref="AD138" ca="1">MMS_PastureBeef_Soil_N2ODirect_Equations.VEERG_4_2_1_3__4_NitrogenRetainedByBody(AF102,AD74,AD38,AD122)</f>
        <v>0</v>
      </c>
      <c r="AE138" s="29" cm="1">
        <f t="array" aca="1" ref="AE138" ca="1">MMS_PastureBeef_Soil_N2ODirect_Equations.VEERG_4_2_1_3__4_NitrogenRetainedByBody(AG102,AE74,AE38,AE122)</f>
        <v>0</v>
      </c>
      <c r="AF138" s="32" t="str">
        <f t="shared" si="7"/>
        <v>kg N/head/day</v>
      </c>
      <c r="AG138" s="32"/>
      <c r="AH138" s="32"/>
    </row>
    <row r="139" spans="3:34" ht="20.100000000000001" customHeight="1" x14ac:dyDescent="0.25">
      <c r="D139" s="48" t="s">
        <v>79</v>
      </c>
      <c r="E139" s="1" t="str" cm="1">
        <f t="array" ref="E139">MMS_PastureBeef_Soil_N2ODirect_Equations.VEERG_4_2_1_3__3_NitrogenExcreted_Variable()</f>
        <v>NE_jkl</v>
      </c>
      <c r="U139" s="29" t="str">
        <f>TEXT(EDATE('Input - Site'!$E$12,3), "mmmm yyyy")</f>
        <v>April 2024</v>
      </c>
      <c r="V139" s="29" cm="1">
        <f t="array" aca="1" ref="V139" ca="1">MMS_PastureBeef_Soil_N2ODirect_Equations.VEERG_4_2_1_3__4_NitrogenRetainedByBody(X103,V75,V39,V123)</f>
        <v>1.7126010126251881E-2</v>
      </c>
      <c r="W139" s="29" cm="1">
        <f t="array" aca="1" ref="W139" ca="1">MMS_PastureBeef_Soil_N2ODirect_Equations.VEERG_4_2_1_3__4_NitrogenRetainedByBody(Y103,W75,W39,W123)</f>
        <v>0</v>
      </c>
      <c r="X139" s="29" cm="1">
        <f t="array" aca="1" ref="X139" ca="1">MMS_PastureBeef_Soil_N2ODirect_Equations.VEERG_4_2_1_3__4_NitrogenRetainedByBody(Z103,X75,X39,X123)</f>
        <v>1.6946444473002843E-2</v>
      </c>
      <c r="Y139" s="29" cm="1">
        <f t="array" aca="1" ref="Y139" ca="1">MMS_PastureBeef_Soil_N2ODirect_Equations.VEERG_4_2_1_3__4_NitrogenRetainedByBody(AA103,Y75,Y39,Y123)</f>
        <v>3.5329291057988096E-3</v>
      </c>
      <c r="Z139" s="29" cm="1">
        <f t="array" aca="1" ref="Z139" ca="1">MMS_PastureBeef_Soil_N2ODirect_Equations.VEERG_4_2_1_3__4_NitrogenRetainedByBody(AB103,Z75,Z39,Z123)</f>
        <v>-6.4971680016475087E-3</v>
      </c>
      <c r="AA139" s="29" cm="1">
        <f t="array" aca="1" ref="AA139" ca="1">MMS_PastureBeef_Soil_N2ODirect_Equations.VEERG_4_2_1_3__4_NitrogenRetainedByBody(AC103,AA75,AA39,AA123)</f>
        <v>-6.4971680016475087E-3</v>
      </c>
      <c r="AB139" s="29" cm="1">
        <f t="array" aca="1" ref="AB139" ca="1">MMS_PastureBeef_Soil_N2ODirect_Equations.VEERG_4_2_1_3__4_NitrogenRetainedByBody(AD103,AB75,AB39,AB123)</f>
        <v>1.6885009696797144E-2</v>
      </c>
      <c r="AC139" s="29" cm="1">
        <f t="array" aca="1" ref="AC139" ca="1">MMS_PastureBeef_Soil_N2ODirect_Equations.VEERG_4_2_1_3__4_NitrogenRetainedByBody(AE103,AC75,AC39,AC123)</f>
        <v>0</v>
      </c>
      <c r="AD139" s="29" cm="1">
        <f t="array" aca="1" ref="AD139" ca="1">MMS_PastureBeef_Soil_N2ODirect_Equations.VEERG_4_2_1_3__4_NitrogenRetainedByBody(AF103,AD75,AD39,AD123)</f>
        <v>0</v>
      </c>
      <c r="AE139" s="29" cm="1">
        <f t="array" aca="1" ref="AE139" ca="1">MMS_PastureBeef_Soil_N2ODirect_Equations.VEERG_4_2_1_3__4_NitrogenRetainedByBody(AG103,AE75,AE39,AE123)</f>
        <v>0</v>
      </c>
      <c r="AF139" s="32" t="str">
        <f t="shared" si="7"/>
        <v>kg N/head/day</v>
      </c>
      <c r="AG139" s="32"/>
      <c r="AH139" s="32"/>
    </row>
    <row r="140" spans="3:34" ht="20.100000000000001" customHeight="1" x14ac:dyDescent="0.25">
      <c r="D140" s="48" t="s">
        <v>80</v>
      </c>
      <c r="E140" s="17" t="str" cm="1">
        <f t="array" ref="E140">MMS_PastureBeef_Soil_N2ODirect_Equations.VEERG_4_2_1_3__3_NitrogenExcreted_Unit()</f>
        <v>kg N/head/day</v>
      </c>
      <c r="U140" s="29" t="str">
        <f>TEXT(EDATE('Input - Site'!$E$12,4), "mmmm yyyy")</f>
        <v>May 2024</v>
      </c>
      <c r="V140" s="29" cm="1">
        <f t="array" aca="1" ref="V140" ca="1">MMS_PastureBeef_Soil_N2ODirect_Equations.VEERG_4_2_1_3__4_NitrogenRetainedByBody(X104,V76,V40,V124)</f>
        <v>1.7126010126251881E-2</v>
      </c>
      <c r="W140" s="29" cm="1">
        <f t="array" aca="1" ref="W140" ca="1">MMS_PastureBeef_Soil_N2ODirect_Equations.VEERG_4_2_1_3__4_NitrogenRetainedByBody(Y104,W76,W40,W124)</f>
        <v>0</v>
      </c>
      <c r="X140" s="29" cm="1">
        <f t="array" aca="1" ref="X140" ca="1">MMS_PastureBeef_Soil_N2ODirect_Equations.VEERG_4_2_1_3__4_NitrogenRetainedByBody(Z104,X76,X40,X124)</f>
        <v>1.6946444473002843E-2</v>
      </c>
      <c r="Y140" s="29" cm="1">
        <f t="array" aca="1" ref="Y140" ca="1">MMS_PastureBeef_Soil_N2ODirect_Equations.VEERG_4_2_1_3__4_NitrogenRetainedByBody(AA104,Y76,Y40,Y124)</f>
        <v>3.5329291057988096E-3</v>
      </c>
      <c r="Z140" s="29" cm="1">
        <f t="array" aca="1" ref="Z140" ca="1">MMS_PastureBeef_Soil_N2ODirect_Equations.VEERG_4_2_1_3__4_NitrogenRetainedByBody(AB104,Z76,Z40,Z124)</f>
        <v>-6.4971680016475087E-3</v>
      </c>
      <c r="AA140" s="29" cm="1">
        <f t="array" aca="1" ref="AA140" ca="1">MMS_PastureBeef_Soil_N2ODirect_Equations.VEERG_4_2_1_3__4_NitrogenRetainedByBody(AC104,AA76,AA40,AA124)</f>
        <v>-6.4971680016475087E-3</v>
      </c>
      <c r="AB140" s="29" cm="1">
        <f t="array" aca="1" ref="AB140" ca="1">MMS_PastureBeef_Soil_N2ODirect_Equations.VEERG_4_2_1_3__4_NitrogenRetainedByBody(AD104,AB76,AB40,AB124)</f>
        <v>1.6885009696797144E-2</v>
      </c>
      <c r="AC140" s="29" cm="1">
        <f t="array" aca="1" ref="AC140" ca="1">MMS_PastureBeef_Soil_N2ODirect_Equations.VEERG_4_2_1_3__4_NitrogenRetainedByBody(AE104,AC76,AC40,AC124)</f>
        <v>0</v>
      </c>
      <c r="AD140" s="29" cm="1">
        <f t="array" aca="1" ref="AD140" ca="1">MMS_PastureBeef_Soil_N2ODirect_Equations.VEERG_4_2_1_3__4_NitrogenRetainedByBody(AF104,AD76,AD40,AD124)</f>
        <v>0</v>
      </c>
      <c r="AE140" s="29" cm="1">
        <f t="array" aca="1" ref="AE140" ca="1">MMS_PastureBeef_Soil_N2ODirect_Equations.VEERG_4_2_1_3__4_NitrogenRetainedByBody(AG104,AE76,AE40,AE124)</f>
        <v>0</v>
      </c>
      <c r="AF140" s="32" t="str">
        <f t="shared" si="7"/>
        <v>kg N/head/day</v>
      </c>
      <c r="AG140" s="32"/>
      <c r="AH140" s="32"/>
    </row>
    <row r="141" spans="3:34" ht="20.100000000000001" customHeight="1" x14ac:dyDescent="0.25">
      <c r="U141" s="29" t="str">
        <f>TEXT(EDATE('Input - Site'!$E$12,5), "mmmm yyyy")</f>
        <v>June 2024</v>
      </c>
      <c r="V141" s="29" cm="1">
        <f t="array" aca="1" ref="V141" ca="1">MMS_PastureBeef_Soil_N2ODirect_Equations.VEERG_4_2_1_3__4_NitrogenRetainedByBody(X105,V77,V41,V125)</f>
        <v>2.5624664446187655E-2</v>
      </c>
      <c r="W141" s="29" cm="1">
        <f t="array" aca="1" ref="W141" ca="1">MMS_PastureBeef_Soil_N2ODirect_Equations.VEERG_4_2_1_3__4_NitrogenRetainedByBody(Y105,W77,W41,W125)</f>
        <v>2.5468999349659745E-3</v>
      </c>
      <c r="X141" s="29" cm="1">
        <f t="array" aca="1" ref="X141" ca="1">MMS_PastureBeef_Soil_N2ODirect_Equations.VEERG_4_2_1_3__4_NitrogenRetainedByBody(Z105,X77,X41,X125)</f>
        <v>1.942651050577586E-2</v>
      </c>
      <c r="Y141" s="29" cm="1">
        <f t="array" aca="1" ref="Y141" ca="1">MMS_PastureBeef_Soil_N2ODirect_Equations.VEERG_4_2_1_3__4_NitrogenRetainedByBody(AA105,Y77,Y41,Y125)</f>
        <v>1.7196628856093364E-3</v>
      </c>
      <c r="Z141" s="29" cm="1">
        <f t="array" aca="1" ref="Z141" ca="1">MMS_PastureBeef_Soil_N2ODirect_Equations.VEERG_4_2_1_3__4_NitrogenRetainedByBody(AB105,Z77,Z41,Z125)</f>
        <v>1.2853672606791778E-3</v>
      </c>
      <c r="AA141" s="29" cm="1">
        <f t="array" aca="1" ref="AA141" ca="1">MMS_PastureBeef_Soil_N2ODirect_Equations.VEERG_4_2_1_3__4_NitrogenRetainedByBody(AC105,AA77,AA41,AA125)</f>
        <v>1.2853672606791778E-3</v>
      </c>
      <c r="AB141" s="29" cm="1">
        <f t="array" aca="1" ref="AB141" ca="1">MMS_PastureBeef_Soil_N2ODirect_Equations.VEERG_4_2_1_3__4_NitrogenRetainedByBody(AD105,AB77,AB41,AB125)</f>
        <v>1.9754140848253471E-2</v>
      </c>
      <c r="AC141" s="29" cm="1">
        <f t="array" aca="1" ref="AC141" ca="1">MMS_PastureBeef_Soil_N2ODirect_Equations.VEERG_4_2_1_3__4_NitrogenRetainedByBody(AE105,AC77,AC41,AC125)</f>
        <v>7.4705417776927329E-3</v>
      </c>
      <c r="AD141" s="29" cm="1">
        <f t="array" aca="1" ref="AD141" ca="1">MMS_PastureBeef_Soil_N2ODirect_Equations.VEERG_4_2_1_3__4_NitrogenRetainedByBody(AF105,AD77,AD41,AD125)</f>
        <v>7.4705417776927329E-3</v>
      </c>
      <c r="AE141" s="29" cm="1">
        <f t="array" aca="1" ref="AE141" ca="1">MMS_PastureBeef_Soil_N2ODirect_Equations.VEERG_4_2_1_3__4_NitrogenRetainedByBody(AG105,AE77,AE41,AE125)</f>
        <v>7.4705417776927329E-3</v>
      </c>
      <c r="AF141" s="32" t="str">
        <f t="shared" si="7"/>
        <v>kg N/head/day</v>
      </c>
      <c r="AG141" s="32"/>
      <c r="AH141" s="32"/>
    </row>
    <row r="142" spans="3:34" ht="20.100000000000001" customHeight="1" x14ac:dyDescent="0.25">
      <c r="D142" s="50" t="str" cm="1">
        <f t="array" ref="D142:E148">_xlfn.CHOOSECOLS(MMS_PastureBeef_Soil_N2ODirect_Equations.VEERG_4_2_1_3__3_NitrogenExcreted_Arguments(),1,2)</f>
        <v>I_jkl</v>
      </c>
      <c r="E142" s="51" t="str">
        <v>dry matter intake as calculated in Chapter 3 Section 3.2.1 (kg DM/head/day)</v>
      </c>
      <c r="F142" s="53"/>
      <c r="G142" s="50" t="str" cm="1">
        <f t="array" ref="G142:H148">_xlfn.CHOOSECOLS(MMS_PastureBeef_Soil_N2ODirect_Equations.VEERG_4_2_1_3__3_NitrogenExcreted_Arguments(),3,4)</f>
        <v>kg DM/head/day</v>
      </c>
      <c r="H142" s="55" t="str">
        <v>Calculated from 3.2.1.1 (3)</v>
      </c>
      <c r="I142" s="56" t="str" cm="1">
        <f t="array" aca="1" ref="I142" ca="1">HYPERLINK(Common_InputFunctions.Utility_SourceHyperlink($D$51),$D$51)</f>
        <v>M1_Table_I_j_k_l</v>
      </c>
      <c r="U142" s="29" t="str">
        <f>TEXT(EDATE('Input - Site'!$E$12,6), "mmmm yyyy")</f>
        <v>July 2024</v>
      </c>
      <c r="V142" s="29" cm="1">
        <f t="array" aca="1" ref="V142" ca="1">MMS_PastureBeef_Soil_N2ODirect_Equations.VEERG_4_2_1_3__4_NitrogenRetainedByBody(X106,V78,V42,V126)</f>
        <v>2.5624664446187655E-2</v>
      </c>
      <c r="W142" s="29" cm="1">
        <f t="array" aca="1" ref="W142" ca="1">MMS_PastureBeef_Soil_N2ODirect_Equations.VEERG_4_2_1_3__4_NitrogenRetainedByBody(Y106,W78,W42,W126)</f>
        <v>2.5468999349659745E-3</v>
      </c>
      <c r="X142" s="29" cm="1">
        <f t="array" aca="1" ref="X142" ca="1">MMS_PastureBeef_Soil_N2ODirect_Equations.VEERG_4_2_1_3__4_NitrogenRetainedByBody(Z106,X78,X42,X126)</f>
        <v>1.942651050577586E-2</v>
      </c>
      <c r="Y142" s="29" cm="1">
        <f t="array" aca="1" ref="Y142" ca="1">MMS_PastureBeef_Soil_N2ODirect_Equations.VEERG_4_2_1_3__4_NitrogenRetainedByBody(AA106,Y78,Y42,Y126)</f>
        <v>1.7196628856093364E-3</v>
      </c>
      <c r="Z142" s="29" cm="1">
        <f t="array" aca="1" ref="Z142" ca="1">MMS_PastureBeef_Soil_N2ODirect_Equations.VEERG_4_2_1_3__4_NitrogenRetainedByBody(AB106,Z78,Z42,Z126)</f>
        <v>1.2853672606791778E-3</v>
      </c>
      <c r="AA142" s="29" cm="1">
        <f t="array" aca="1" ref="AA142" ca="1">MMS_PastureBeef_Soil_N2ODirect_Equations.VEERG_4_2_1_3__4_NitrogenRetainedByBody(AC106,AA78,AA42,AA126)</f>
        <v>1.2853672606791778E-3</v>
      </c>
      <c r="AB142" s="29" cm="1">
        <f t="array" aca="1" ref="AB142" ca="1">MMS_PastureBeef_Soil_N2ODirect_Equations.VEERG_4_2_1_3__4_NitrogenRetainedByBody(AD106,AB78,AB42,AB126)</f>
        <v>1.9754140848253471E-2</v>
      </c>
      <c r="AC142" s="29" cm="1">
        <f t="array" aca="1" ref="AC142" ca="1">MMS_PastureBeef_Soil_N2ODirect_Equations.VEERG_4_2_1_3__4_NitrogenRetainedByBody(AE106,AC78,AC42,AC126)</f>
        <v>7.4705417776927329E-3</v>
      </c>
      <c r="AD142" s="29" cm="1">
        <f t="array" aca="1" ref="AD142" ca="1">MMS_PastureBeef_Soil_N2ODirect_Equations.VEERG_4_2_1_3__4_NitrogenRetainedByBody(AF106,AD78,AD42,AD126)</f>
        <v>7.4705417776927329E-3</v>
      </c>
      <c r="AE142" s="29" cm="1">
        <f t="array" aca="1" ref="AE142" ca="1">MMS_PastureBeef_Soil_N2ODirect_Equations.VEERG_4_2_1_3__4_NitrogenRetainedByBody(AG106,AE78,AE42,AE126)</f>
        <v>7.4705417776927329E-3</v>
      </c>
      <c r="AF142" s="32" t="str">
        <f t="shared" si="7"/>
        <v>kg N/head/day</v>
      </c>
      <c r="AG142" s="32"/>
      <c r="AH142" s="32"/>
    </row>
    <row r="143" spans="3:34" ht="20.100000000000001" customHeight="1" x14ac:dyDescent="0.25">
      <c r="D143" s="50" t="str">
        <v>CP_j</v>
      </c>
      <c r="E143" s="51" t="str">
        <v>crude protein content of dry matter intake</v>
      </c>
      <c r="F143" s="53"/>
      <c r="G143" s="50" t="str">
        <v>fraction</v>
      </c>
      <c r="H143" s="54" t="str">
        <v>Input</v>
      </c>
      <c r="I143" s="56" t="str" cm="1">
        <f t="array" aca="1" ref="I143" ca="1">HYPERLINK(Common_InputFunctions.Utility_SourceHyperlink($D$150), $D$150)</f>
        <v>M1_Table_CP_j</v>
      </c>
      <c r="U143" s="29" t="str">
        <f>TEXT(EDATE('Input - Site'!$E$12,7), "mmmm yyyy")</f>
        <v>August 2024</v>
      </c>
      <c r="V143" s="29" cm="1">
        <f t="array" aca="1" ref="V143" ca="1">MMS_PastureBeef_Soil_N2ODirect_Equations.VEERG_4_2_1_3__4_NitrogenRetainedByBody(X107,V79,V43,V127)</f>
        <v>2.5624664446187655E-2</v>
      </c>
      <c r="W143" s="29" cm="1">
        <f t="array" aca="1" ref="W143" ca="1">MMS_PastureBeef_Soil_N2ODirect_Equations.VEERG_4_2_1_3__4_NitrogenRetainedByBody(Y107,W79,W43,W127)</f>
        <v>2.5468999349659745E-3</v>
      </c>
      <c r="X143" s="29" cm="1">
        <f t="array" aca="1" ref="X143" ca="1">MMS_PastureBeef_Soil_N2ODirect_Equations.VEERG_4_2_1_3__4_NitrogenRetainedByBody(Z107,X79,X43,X127)</f>
        <v>1.942651050577586E-2</v>
      </c>
      <c r="Y143" s="29" cm="1">
        <f t="array" aca="1" ref="Y143" ca="1">MMS_PastureBeef_Soil_N2ODirect_Equations.VEERG_4_2_1_3__4_NitrogenRetainedByBody(AA107,Y79,Y43,Y127)</f>
        <v>2.4283253110865946E-2</v>
      </c>
      <c r="Z143" s="29" cm="1">
        <f t="array" aca="1" ref="Z143" ca="1">MMS_PastureBeef_Soil_N2ODirect_Equations.VEERG_4_2_1_3__4_NitrogenRetainedByBody(AB107,Z79,Z43,Z127)</f>
        <v>2.3854407853507724E-2</v>
      </c>
      <c r="AA143" s="29" cm="1">
        <f t="array" aca="1" ref="AA143" ca="1">MMS_PastureBeef_Soil_N2ODirect_Equations.VEERG_4_2_1_3__4_NitrogenRetainedByBody(AC107,AA79,AA43,AA127)</f>
        <v>2.3854407853507724E-2</v>
      </c>
      <c r="AB143" s="29" cm="1">
        <f t="array" aca="1" ref="AB143" ca="1">MMS_PastureBeef_Soil_N2ODirect_Equations.VEERG_4_2_1_3__4_NitrogenRetainedByBody(AD107,AB79,AB43,AB127)</f>
        <v>1.9754140848253471E-2</v>
      </c>
      <c r="AC143" s="29" cm="1">
        <f t="array" aca="1" ref="AC143" ca="1">MMS_PastureBeef_Soil_N2ODirect_Equations.VEERG_4_2_1_3__4_NitrogenRetainedByBody(AE107,AC79,AC43,AC127)</f>
        <v>7.4705417776927329E-3</v>
      </c>
      <c r="AD143" s="29" cm="1">
        <f t="array" aca="1" ref="AD143" ca="1">MMS_PastureBeef_Soil_N2ODirect_Equations.VEERG_4_2_1_3__4_NitrogenRetainedByBody(AF107,AD79,AD43,AD127)</f>
        <v>7.4705417776927329E-3</v>
      </c>
      <c r="AE143" s="29" cm="1">
        <f t="array" aca="1" ref="AE143" ca="1">MMS_PastureBeef_Soil_N2ODirect_Equations.VEERG_4_2_1_3__4_NitrogenRetainedByBody(AG107,AE79,AE43,AE127)</f>
        <v>7.4705417776927329E-3</v>
      </c>
      <c r="AF143" s="32" t="str">
        <f t="shared" si="7"/>
        <v>kg N/head/day</v>
      </c>
      <c r="AG143" s="32"/>
      <c r="AH143" s="32"/>
    </row>
    <row r="144" spans="3:34" ht="20.100000000000001" customHeight="1" x14ac:dyDescent="0.25">
      <c r="D144" s="50" t="str">
        <v>MC_jk136</v>
      </c>
      <c r="E144" s="51" t="str">
        <v>milk intake (kg/head/day)</v>
      </c>
      <c r="F144" s="53"/>
      <c r="G144" s="50" t="str">
        <v>kg/head/day</v>
      </c>
      <c r="H144" s="55" t="str">
        <v>Constant</v>
      </c>
      <c r="I144" s="56" t="str" cm="1">
        <f t="array" aca="1" ref="I144" ca="1">HYPERLINK(Common_InputFunctions.Utility_SourceHyperlink($D$158), $D$158)</f>
        <v>M1_Table_MC_j_k_1-3-6</v>
      </c>
      <c r="U144" s="29" t="str">
        <f>TEXT(EDATE('Input - Site'!$E$12,8), "mmmm yyyy")</f>
        <v>September 2024</v>
      </c>
      <c r="V144" s="29" cm="1">
        <f t="array" aca="1" ref="V144" ca="1">MMS_PastureBeef_Soil_N2ODirect_Equations.VEERG_4_2_1_3__4_NitrogenRetainedByBody(X108,V80,V44,V128)</f>
        <v>3.2631583658999173E-2</v>
      </c>
      <c r="W144" s="29" cm="1">
        <f t="array" aca="1" ref="W144" ca="1">MMS_PastureBeef_Soil_N2ODirect_Equations.VEERG_4_2_1_3__4_NitrogenRetainedByBody(Y108,W80,W44,W128)</f>
        <v>1.2159206080141413E-2</v>
      </c>
      <c r="X144" s="29" cm="1">
        <f t="array" aca="1" ref="X144" ca="1">MMS_PastureBeef_Soil_N2ODirect_Equations.VEERG_4_2_1_3__4_NitrogenRetainedByBody(Z108,X80,X44,X128)</f>
        <v>2.2961722562736007E-2</v>
      </c>
      <c r="Y144" s="29" cm="1">
        <f t="array" aca="1" ref="Y144" ca="1">MMS_PastureBeef_Soil_N2ODirect_Equations.VEERG_4_2_1_3__4_NitrogenRetainedByBody(AA108,Y80,Y44,Y128)</f>
        <v>3.5186886137375313E-2</v>
      </c>
      <c r="Z144" s="29" cm="1">
        <f t="array" aca="1" ref="Z144" ca="1">MMS_PastureBeef_Soil_N2ODirect_Equations.VEERG_4_2_1_3__4_NitrogenRetainedByBody(AB108,Z80,Z44,Z128)</f>
        <v>2.993948362354976E-2</v>
      </c>
      <c r="AA144" s="29" cm="1">
        <f t="array" aca="1" ref="AA144" ca="1">MMS_PastureBeef_Soil_N2ODirect_Equations.VEERG_4_2_1_3__4_NitrogenRetainedByBody(AC108,AA80,AA44,AA128)</f>
        <v>2.993948362354976E-2</v>
      </c>
      <c r="AB144" s="29" cm="1">
        <f t="array" aca="1" ref="AB144" ca="1">MMS_PastureBeef_Soil_N2ODirect_Equations.VEERG_4_2_1_3__4_NitrogenRetainedByBody(AD108,AB80,AB44,AB128)</f>
        <v>2.7711640554981157E-2</v>
      </c>
      <c r="AC144" s="29" cm="1">
        <f t="array" aca="1" ref="AC144" ca="1">MMS_PastureBeef_Soil_N2ODirect_Equations.VEERG_4_2_1_3__4_NitrogenRetainedByBody(AE108,AC80,AC44,AC128)</f>
        <v>1.4565147934229335E-2</v>
      </c>
      <c r="AD144" s="29" cm="1">
        <f t="array" aca="1" ref="AD144" ca="1">MMS_PastureBeef_Soil_N2ODirect_Equations.VEERG_4_2_1_3__4_NitrogenRetainedByBody(AF108,AD80,AD44,AD128)</f>
        <v>1.4565147934229335E-2</v>
      </c>
      <c r="AE144" s="29" cm="1">
        <f t="array" aca="1" ref="AE144" ca="1">MMS_PastureBeef_Soil_N2ODirect_Equations.VEERG_4_2_1_3__4_NitrogenRetainedByBody(AG108,AE80,AE44,AE128)</f>
        <v>1.4565147934229335E-2</v>
      </c>
      <c r="AF144" s="32" t="str">
        <f t="shared" si="7"/>
        <v>kg N/head/day</v>
      </c>
      <c r="AG144" s="32"/>
      <c r="AH144" s="32"/>
    </row>
    <row r="145" spans="4:35" ht="20.100000000000001" customHeight="1" x14ac:dyDescent="0.25">
      <c r="D145" s="50" t="str">
        <v>NR_jkl</v>
      </c>
      <c r="E145" s="51" t="str">
        <v>the amount of nitrogen retained by the body (kg N/head/day)</v>
      </c>
      <c r="F145" s="53"/>
      <c r="G145" s="50" t="str">
        <v>kg N/head/day</v>
      </c>
      <c r="H145" s="55" t="str">
        <v>Calculated from 4.2.1.3 (4)</v>
      </c>
      <c r="I145" s="56" t="str" cm="1">
        <f t="array" aca="1" ref="I145" ca="1">HYPERLINK(Common_InputFunctions.Utility_SourceHyperlink($D$124), $D$124)</f>
        <v>M1_Table_NR_j_k_l</v>
      </c>
      <c r="U145" s="29" t="str">
        <f>TEXT(EDATE('Input - Site'!$E$12,9), "mmmm yyyy")</f>
        <v>October 2024</v>
      </c>
      <c r="V145" s="29" cm="1">
        <f t="array" aca="1" ref="V145" ca="1">MMS_PastureBeef_Soil_N2ODirect_Equations.VEERG_4_2_1_3__4_NitrogenRetainedByBody(X109,V81,V45,V129)</f>
        <v>3.2631583658999173E-2</v>
      </c>
      <c r="W145" s="29" cm="1">
        <f t="array" aca="1" ref="W145" ca="1">MMS_PastureBeef_Soil_N2ODirect_Equations.VEERG_4_2_1_3__4_NitrogenRetainedByBody(Y109,W81,W45,W129)</f>
        <v>1.2159206080141413E-2</v>
      </c>
      <c r="X145" s="29" cm="1">
        <f t="array" aca="1" ref="X145" ca="1">MMS_PastureBeef_Soil_N2ODirect_Equations.VEERG_4_2_1_3__4_NitrogenRetainedByBody(Z109,X81,X45,X129)</f>
        <v>2.2961722562736007E-2</v>
      </c>
      <c r="Y145" s="29" cm="1">
        <f t="array" aca="1" ref="Y145" ca="1">MMS_PastureBeef_Soil_N2ODirect_Equations.VEERG_4_2_1_3__4_NitrogenRetainedByBody(AA109,Y81,Y45,Y129)</f>
        <v>3.5186886137375313E-2</v>
      </c>
      <c r="Z145" s="29" cm="1">
        <f t="array" aca="1" ref="Z145" ca="1">MMS_PastureBeef_Soil_N2ODirect_Equations.VEERG_4_2_1_3__4_NitrogenRetainedByBody(AB109,Z81,Z45,Z129)</f>
        <v>2.993948362354976E-2</v>
      </c>
      <c r="AA145" s="29" cm="1">
        <f t="array" aca="1" ref="AA145" ca="1">MMS_PastureBeef_Soil_N2ODirect_Equations.VEERG_4_2_1_3__4_NitrogenRetainedByBody(AC109,AA81,AA45,AA129)</f>
        <v>2.993948362354976E-2</v>
      </c>
      <c r="AB145" s="29" cm="1">
        <f t="array" aca="1" ref="AB145" ca="1">MMS_PastureBeef_Soil_N2ODirect_Equations.VEERG_4_2_1_3__4_NitrogenRetainedByBody(AD109,AB81,AB45,AB129)</f>
        <v>2.7711640554981157E-2</v>
      </c>
      <c r="AC145" s="29" cm="1">
        <f t="array" aca="1" ref="AC145" ca="1">MMS_PastureBeef_Soil_N2ODirect_Equations.VEERG_4_2_1_3__4_NitrogenRetainedByBody(AE109,AC81,AC45,AC129)</f>
        <v>1.4565147934229335E-2</v>
      </c>
      <c r="AD145" s="29" cm="1">
        <f t="array" aca="1" ref="AD145" ca="1">MMS_PastureBeef_Soil_N2ODirect_Equations.VEERG_4_2_1_3__4_NitrogenRetainedByBody(AF109,AD81,AD45,AD129)</f>
        <v>1.4565147934229335E-2</v>
      </c>
      <c r="AE145" s="29" cm="1">
        <f t="array" aca="1" ref="AE145" ca="1">MMS_PastureBeef_Soil_N2ODirect_Equations.VEERG_4_2_1_3__4_NitrogenRetainedByBody(AG109,AE81,AE45,AE129)</f>
        <v>1.4565147934229335E-2</v>
      </c>
      <c r="AF145" s="32" t="str">
        <f t="shared" si="7"/>
        <v>kg N/head/day</v>
      </c>
      <c r="AG145" s="32"/>
      <c r="AH145" s="32"/>
    </row>
    <row r="146" spans="4:35" ht="20.100000000000001" customHeight="1" x14ac:dyDescent="0.25">
      <c r="D146" s="50" t="str">
        <v>W_jkl</v>
      </c>
      <c r="E146" s="51" t="str">
        <v>liveweight (kg/head)</v>
      </c>
      <c r="F146" s="53"/>
      <c r="G146" s="50" t="str">
        <v>kg/head</v>
      </c>
      <c r="H146" s="54" t="str">
        <v>Input</v>
      </c>
      <c r="I146" s="56" t="str" cm="1">
        <f t="array" aca="1" ref="I146" ca="1">HYPERLINK(Common_InputFunctions.Utility_SourceHyperlink($D$17), $D$17)</f>
        <v>M1_Table_W_j_k_l</v>
      </c>
      <c r="U146" s="29" t="str">
        <f>TEXT(EDATE('Input - Site'!$E$12,10), "mmmm yyyy")</f>
        <v>November 2024</v>
      </c>
      <c r="V146" s="29" cm="1">
        <f t="array" aca="1" ref="V146" ca="1">MMS_PastureBeef_Soil_N2ODirect_Equations.VEERG_4_2_1_3__4_NitrogenRetainedByBody(X110,V82,V46,V130)</f>
        <v>3.2631583658999173E-2</v>
      </c>
      <c r="W146" s="29" cm="1">
        <f t="array" aca="1" ref="W146" ca="1">MMS_PastureBeef_Soil_N2ODirect_Equations.VEERG_4_2_1_3__4_NitrogenRetainedByBody(Y110,W82,W46,W130)</f>
        <v>1.2159206080141413E-2</v>
      </c>
      <c r="X146" s="29" cm="1">
        <f t="array" aca="1" ref="X146" ca="1">MMS_PastureBeef_Soil_N2ODirect_Equations.VEERG_4_2_1_3__4_NitrogenRetainedByBody(Z110,X82,X46,X130)</f>
        <v>2.2961722562736007E-2</v>
      </c>
      <c r="Y146" s="29" cm="1">
        <f t="array" aca="1" ref="Y146" ca="1">MMS_PastureBeef_Soil_N2ODirect_Equations.VEERG_4_2_1_3__4_NitrogenRetainedByBody(AA110,Y82,Y46,Y130)</f>
        <v>2.7685555110513384E-2</v>
      </c>
      <c r="Z146" s="29" cm="1">
        <f t="array" aca="1" ref="Z146" ca="1">MMS_PastureBeef_Soil_N2ODirect_Equations.VEERG_4_2_1_3__4_NitrogenRetainedByBody(AB110,Z82,Z46,Z130)</f>
        <v>2.2419534651745895E-2</v>
      </c>
      <c r="AA146" s="29" cm="1">
        <f t="array" aca="1" ref="AA146" ca="1">MMS_PastureBeef_Soil_N2ODirect_Equations.VEERG_4_2_1_3__4_NitrogenRetainedByBody(AC110,AA82,AA46,AA130)</f>
        <v>2.2419534651745895E-2</v>
      </c>
      <c r="AB146" s="29" cm="1">
        <f t="array" aca="1" ref="AB146" ca="1">MMS_PastureBeef_Soil_N2ODirect_Equations.VEERG_4_2_1_3__4_NitrogenRetainedByBody(AD110,AB82,AB46,AB130)</f>
        <v>2.7711640554981157E-2</v>
      </c>
      <c r="AC146" s="29" cm="1">
        <f t="array" aca="1" ref="AC146" ca="1">MMS_PastureBeef_Soil_N2ODirect_Equations.VEERG_4_2_1_3__4_NitrogenRetainedByBody(AE110,AC82,AC46,AC130)</f>
        <v>1.4565147934229335E-2</v>
      </c>
      <c r="AD146" s="29" cm="1">
        <f t="array" aca="1" ref="AD146" ca="1">MMS_PastureBeef_Soil_N2ODirect_Equations.VEERG_4_2_1_3__4_NitrogenRetainedByBody(AF110,AD82,AD46,AD130)</f>
        <v>1.4565147934229335E-2</v>
      </c>
      <c r="AE146" s="29" cm="1">
        <f t="array" aca="1" ref="AE146" ca="1">MMS_PastureBeef_Soil_N2ODirect_Equations.VEERG_4_2_1_3__4_NitrogenRetainedByBody(AG110,AE82,AE46,AE130)</f>
        <v>1.4565147934229335E-2</v>
      </c>
      <c r="AF146" s="32" t="str">
        <f t="shared" si="7"/>
        <v>kg N/head/day</v>
      </c>
      <c r="AG146" s="32"/>
      <c r="AH146" s="32"/>
    </row>
    <row r="147" spans="4:35" ht="20.100000000000001" customHeight="1" x14ac:dyDescent="0.25">
      <c r="D147" s="50" t="str">
        <v>b</v>
      </c>
      <c r="E147" s="51" t="str">
        <v>breed of cattle</v>
      </c>
      <c r="F147" s="53"/>
      <c r="G147" s="50" t="str">
        <v/>
      </c>
      <c r="H147" s="54" t="str">
        <v>Input</v>
      </c>
      <c r="I147" s="65" t="str">
        <f>X_Cell_PastureBeef_Breed</f>
        <v>Hereford or Shorthorn breeds</v>
      </c>
      <c r="U147" s="29" t="str">
        <f>TEXT(EDATE('Input - Site'!$E$12,11), "mmmm yyyy")</f>
        <v>December 2024</v>
      </c>
      <c r="V147" s="29" cm="1">
        <f t="array" aca="1" ref="V147" ca="1">MMS_PastureBeef_Soil_N2ODirect_Equations.VEERG_4_2_1_3__4_NitrogenRetainedByBody(X111,V83,V47,V131)</f>
        <v>8.1246865273940476E-3</v>
      </c>
      <c r="W147" s="29" cm="1">
        <f t="array" aca="1" ref="W147" ca="1">MMS_PastureBeef_Soil_N2ODirect_Equations.VEERG_4_2_1_3__4_NitrogenRetainedByBody(Y111,W83,W47,W131)</f>
        <v>-2.4500809510830074E-3</v>
      </c>
      <c r="X147" s="29" cm="1">
        <f t="array" aca="1" ref="X147" ca="1">MMS_PastureBeef_Soil_N2ODirect_Equations.VEERG_4_2_1_3__4_NitrogenRetainedByBody(Z111,X83,X47,X131)</f>
        <v>7.4692204769955996E-3</v>
      </c>
      <c r="Y147" s="29" cm="1">
        <f t="array" aca="1" ref="Y147" ca="1">MMS_PastureBeef_Soil_N2ODirect_Equations.VEERG_4_2_1_3__4_NitrogenRetainedByBody(AA111,Y83,Y47,Y131)</f>
        <v>1.9080635764024231E-2</v>
      </c>
      <c r="Z147" s="29" cm="1">
        <f t="array" aca="1" ref="Z147" ca="1">MMS_PastureBeef_Soil_N2ODirect_Equations.VEERG_4_2_1_3__4_NitrogenRetainedByBody(AB111,Z83,Z47,Z131)</f>
        <v>1.2558041048697144E-2</v>
      </c>
      <c r="AA147" s="29" cm="1">
        <f t="array" aca="1" ref="AA147" ca="1">MMS_PastureBeef_Soil_N2ODirect_Equations.VEERG_4_2_1_3__4_NitrogenRetainedByBody(AC111,AA83,AA47,AA131)</f>
        <v>1.2558041048697144E-2</v>
      </c>
      <c r="AB147" s="29" cm="1">
        <f t="array" aca="1" ref="AB147" ca="1">MMS_PastureBeef_Soil_N2ODirect_Equations.VEERG_4_2_1_3__4_NitrogenRetainedByBody(AD111,AB83,AB47,AB131)</f>
        <v>7.842975342880058E-3</v>
      </c>
      <c r="AC147" s="29" cm="1">
        <f t="array" aca="1" ref="AC147" ca="1">MMS_PastureBeef_Soil_N2ODirect_Equations.VEERG_4_2_1_3__4_NitrogenRetainedByBody(AE111,AC83,AC47,AC131)</f>
        <v>-1.4855230625479237E-3</v>
      </c>
      <c r="AD147" s="29" cm="1">
        <f t="array" aca="1" ref="AD147" ca="1">MMS_PastureBeef_Soil_N2ODirect_Equations.VEERG_4_2_1_3__4_NitrogenRetainedByBody(AF111,AD83,AD47,AD131)</f>
        <v>-1.4855230625479237E-3</v>
      </c>
      <c r="AE147" s="29" cm="1">
        <f t="array" aca="1" ref="AE147" ca="1">MMS_PastureBeef_Soil_N2ODirect_Equations.VEERG_4_2_1_3__4_NitrogenRetainedByBody(AG111,AE83,AE47,AE131)</f>
        <v>-1.4855230625479237E-3</v>
      </c>
      <c r="AF147" s="32" t="str">
        <f t="shared" si="7"/>
        <v>kg N/head/day</v>
      </c>
      <c r="AG147" s="32"/>
      <c r="AH147" s="32"/>
    </row>
    <row r="148" spans="4:35" ht="20.100000000000001" customHeight="1" x14ac:dyDescent="0.25">
      <c r="D148" s="50" t="str">
        <v>s</v>
      </c>
      <c r="E148" s="51" t="str">
        <v>Calving season</v>
      </c>
      <c r="F148" s="53"/>
      <c r="G148" s="50" t="str">
        <v/>
      </c>
      <c r="H148" s="54" t="str">
        <v>Input</v>
      </c>
      <c r="I148" s="65" t="str">
        <f>'Input - Pasture Beef'!$E$104</f>
        <v>Winter</v>
      </c>
    </row>
    <row r="149" spans="4:35" ht="20.100000000000001" customHeight="1" x14ac:dyDescent="0.25"/>
    <row r="150" spans="4:35" ht="20.100000000000001" customHeight="1" x14ac:dyDescent="0.25">
      <c r="D150" s="57" t="s">
        <v>255</v>
      </c>
      <c r="T150" s="61"/>
      <c r="U150" s="61"/>
      <c r="V150" s="61"/>
      <c r="W150" s="61"/>
      <c r="X150" s="61"/>
      <c r="Y150" s="61"/>
      <c r="Z150" s="61"/>
      <c r="AA150" s="61"/>
      <c r="AB150" s="61"/>
      <c r="AC150" s="61"/>
      <c r="AD150" s="61"/>
      <c r="AE150" s="61"/>
      <c r="AF150" s="61"/>
      <c r="AG150" s="61"/>
      <c r="AH150" s="61"/>
      <c r="AI150" s="61"/>
    </row>
    <row r="151" spans="4:35" ht="20.100000000000001" customHeight="1" x14ac:dyDescent="0.25">
      <c r="D151" s="58" t="s">
        <v>256</v>
      </c>
      <c r="U151" s="2" t="str" cm="1">
        <f t="array" ref="U151">MMS_PastureBeef_Soil_N2ODirect_Equations.VEERG_4_2_1_3__3_NitrogenExcreted_Title()</f>
        <v>Nitrogen excreted</v>
      </c>
    </row>
    <row r="152" spans="4:35" ht="20.100000000000001" customHeight="1" x14ac:dyDescent="0.25">
      <c r="D152" s="59" t="s">
        <v>84</v>
      </c>
      <c r="E152" s="60" t="s">
        <v>31</v>
      </c>
      <c r="F152" s="60" t="s">
        <v>32</v>
      </c>
      <c r="G152" s="60" t="s">
        <v>33</v>
      </c>
      <c r="H152" s="60" t="s">
        <v>34</v>
      </c>
      <c r="I152" s="60" t="s">
        <v>35</v>
      </c>
      <c r="J152" s="60" t="s">
        <v>36</v>
      </c>
      <c r="K152" s="60" t="s">
        <v>37</v>
      </c>
      <c r="L152" s="60" t="s">
        <v>38</v>
      </c>
      <c r="M152" s="60" t="s">
        <v>39</v>
      </c>
      <c r="N152" s="60" t="s">
        <v>40</v>
      </c>
    </row>
    <row r="153" spans="4:35" ht="20.100000000000001" customHeight="1" x14ac:dyDescent="0.25">
      <c r="D153" s="29" t="s">
        <v>41</v>
      </c>
      <c r="E153" s="29" cm="1">
        <f t="array" aca="1" ref="E153:N156" ca="1">OFFSET(X_Table_PastureBeef_CrudeProtein_Method1, 1,1, 4,10)</f>
        <v>0.2</v>
      </c>
      <c r="F153" s="29">
        <f ca="1"/>
        <v>0.2</v>
      </c>
      <c r="G153" s="29">
        <f ca="1"/>
        <v>0.2</v>
      </c>
      <c r="H153" s="29">
        <f ca="1"/>
        <v>0.2</v>
      </c>
      <c r="I153" s="29">
        <f ca="1"/>
        <v>0.2</v>
      </c>
      <c r="J153" s="29">
        <f ca="1"/>
        <v>0.2</v>
      </c>
      <c r="K153" s="29">
        <f ca="1"/>
        <v>0.2</v>
      </c>
      <c r="L153" s="29">
        <f ca="1"/>
        <v>0.2</v>
      </c>
      <c r="M153" s="29">
        <f ca="1"/>
        <v>0.2</v>
      </c>
      <c r="N153" s="29">
        <f ca="1"/>
        <v>0.2</v>
      </c>
      <c r="O153" s="32" t="s">
        <v>62</v>
      </c>
    </row>
    <row r="154" spans="4:35" ht="20.100000000000001" customHeight="1" x14ac:dyDescent="0.25">
      <c r="D154" s="29" t="s">
        <v>43</v>
      </c>
      <c r="E154" s="29">
        <f ca="1"/>
        <v>0.09</v>
      </c>
      <c r="F154" s="29">
        <f ca="1"/>
        <v>0.09</v>
      </c>
      <c r="G154" s="29">
        <f ca="1"/>
        <v>0.09</v>
      </c>
      <c r="H154" s="29">
        <f ca="1"/>
        <v>0.09</v>
      </c>
      <c r="I154" s="29">
        <f ca="1"/>
        <v>0.09</v>
      </c>
      <c r="J154" s="29">
        <f ca="1"/>
        <v>0.09</v>
      </c>
      <c r="K154" s="29">
        <f ca="1"/>
        <v>0.09</v>
      </c>
      <c r="L154" s="29">
        <f ca="1"/>
        <v>0.09</v>
      </c>
      <c r="M154" s="29">
        <f ca="1"/>
        <v>0.09</v>
      </c>
      <c r="N154" s="29">
        <f ca="1"/>
        <v>0.09</v>
      </c>
      <c r="O154" s="32" t="s">
        <v>62</v>
      </c>
    </row>
    <row r="155" spans="4:35" ht="20.100000000000001" customHeight="1" x14ac:dyDescent="0.25">
      <c r="D155" s="29" t="s">
        <v>44</v>
      </c>
      <c r="E155" s="29">
        <f ca="1"/>
        <v>0.06</v>
      </c>
      <c r="F155" s="29">
        <f ca="1"/>
        <v>0.06</v>
      </c>
      <c r="G155" s="29">
        <f ca="1"/>
        <v>0.06</v>
      </c>
      <c r="H155" s="29">
        <f ca="1"/>
        <v>0.06</v>
      </c>
      <c r="I155" s="29">
        <f ca="1"/>
        <v>0.06</v>
      </c>
      <c r="J155" s="29">
        <f ca="1"/>
        <v>0.06</v>
      </c>
      <c r="K155" s="29">
        <f ca="1"/>
        <v>0.06</v>
      </c>
      <c r="L155" s="29">
        <f ca="1"/>
        <v>0.06</v>
      </c>
      <c r="M155" s="29">
        <f ca="1"/>
        <v>0.06</v>
      </c>
      <c r="N155" s="29">
        <f ca="1"/>
        <v>0.06</v>
      </c>
      <c r="O155" s="32" t="s">
        <v>62</v>
      </c>
    </row>
    <row r="156" spans="4:35" ht="20.100000000000001" customHeight="1" x14ac:dyDescent="0.25">
      <c r="D156" s="29" t="s">
        <v>45</v>
      </c>
      <c r="E156" s="29">
        <f ca="1"/>
        <v>0.2</v>
      </c>
      <c r="F156" s="29">
        <f ca="1"/>
        <v>0.2</v>
      </c>
      <c r="G156" s="29">
        <f ca="1"/>
        <v>0.2</v>
      </c>
      <c r="H156" s="29">
        <f ca="1"/>
        <v>0.2</v>
      </c>
      <c r="I156" s="29">
        <f ca="1"/>
        <v>0.2</v>
      </c>
      <c r="J156" s="29">
        <f ca="1"/>
        <v>0.2</v>
      </c>
      <c r="K156" s="29">
        <f ca="1"/>
        <v>0.2</v>
      </c>
      <c r="L156" s="29">
        <f ca="1"/>
        <v>0.2</v>
      </c>
      <c r="M156" s="29">
        <f ca="1"/>
        <v>0.2</v>
      </c>
      <c r="N156" s="29">
        <f ca="1"/>
        <v>0.2</v>
      </c>
      <c r="O156" s="32" t="s">
        <v>62</v>
      </c>
    </row>
    <row r="157" spans="4:35" ht="20.100000000000001" customHeight="1" x14ac:dyDescent="0.25"/>
    <row r="158" spans="4:35" ht="20.100000000000001" customHeight="1" x14ac:dyDescent="0.25">
      <c r="D158" s="57" t="s">
        <v>257</v>
      </c>
    </row>
    <row r="159" spans="4:35" ht="20.100000000000001" customHeight="1" x14ac:dyDescent="0.25">
      <c r="D159" s="58" t="s">
        <v>258</v>
      </c>
    </row>
    <row r="160" spans="4:35" ht="20.100000000000001" customHeight="1" x14ac:dyDescent="0.25">
      <c r="D160" s="59" t="s">
        <v>84</v>
      </c>
      <c r="E160" s="59" t="s">
        <v>55</v>
      </c>
      <c r="F160" s="59" t="s">
        <v>31</v>
      </c>
      <c r="G160" s="59" t="s">
        <v>32</v>
      </c>
      <c r="H160" s="59" t="s">
        <v>33</v>
      </c>
      <c r="I160" s="59" t="s">
        <v>34</v>
      </c>
      <c r="J160" s="59" t="s">
        <v>35</v>
      </c>
      <c r="K160" s="59" t="s">
        <v>36</v>
      </c>
      <c r="L160" s="59" t="s">
        <v>37</v>
      </c>
      <c r="M160" s="59" t="s">
        <v>38</v>
      </c>
      <c r="N160" s="59" t="s">
        <v>39</v>
      </c>
      <c r="O160" s="59" t="s">
        <v>40</v>
      </c>
    </row>
    <row r="161" spans="3:34" ht="20.100000000000001" customHeight="1" x14ac:dyDescent="0.25">
      <c r="D161" s="29" t="s">
        <v>41</v>
      </c>
      <c r="E161" s="29" t="str" cm="1">
        <f t="array" ref="E161">_xlfn.IFS($D$161=$I$148,"Calving season",$D$164=$I$148,"Season after calving",TRUE, "")</f>
        <v>Season after calving</v>
      </c>
      <c r="F161" s="29" cm="1">
        <f t="array" ref="F161">_xlfn.XLOOKUP(1, (Table_SourceData_PastureBeef_FeedIntakeAdjustment_Variation[Breed]=$I$147)*(Table_SourceData_PastureBeef_FeedIntakeAdjustment_Variation[Season]=$E161), Table_SourceData_PastureBeef_FeedIntakeAdjustment_Variation[Milk intake/production], 0)</f>
        <v>4</v>
      </c>
      <c r="G161" s="29">
        <v>0</v>
      </c>
      <c r="H161" s="29" cm="1">
        <f t="array" ref="H161">_xlfn.XLOOKUP(1, (Table_SourceData_PastureBeef_FeedIntakeAdjustment_Variation[Breed]=$I$147)*(Table_SourceData_PastureBeef_FeedIntakeAdjustment_Variation[Season]=$E161), Table_SourceData_PastureBeef_FeedIntakeAdjustment_Variation[Milk intake/production], 0)</f>
        <v>4</v>
      </c>
      <c r="I161" s="29">
        <v>0</v>
      </c>
      <c r="J161" s="29">
        <v>0</v>
      </c>
      <c r="K161" s="29">
        <v>0</v>
      </c>
      <c r="L161" s="29" cm="1">
        <f t="array" ref="L161">_xlfn.XLOOKUP(1, (Table_SourceData_PastureBeef_FeedIntakeAdjustment_Variation[Breed]=$I$147)*(Table_SourceData_PastureBeef_FeedIntakeAdjustment_Variation[Season]=$E161), Table_SourceData_PastureBeef_FeedIntakeAdjustment_Variation[Milk intake/production], 0)</f>
        <v>4</v>
      </c>
      <c r="M161" s="29">
        <v>0</v>
      </c>
      <c r="N161" s="29">
        <v>0</v>
      </c>
      <c r="O161" s="29">
        <v>0</v>
      </c>
      <c r="P161" s="32" t="s">
        <v>53</v>
      </c>
      <c r="Q161" s="32"/>
      <c r="U161" s="57" t="s">
        <v>259</v>
      </c>
    </row>
    <row r="162" spans="3:34" ht="20.100000000000001" customHeight="1" x14ac:dyDescent="0.25">
      <c r="D162" s="29" t="s">
        <v>43</v>
      </c>
      <c r="E162" s="29" t="str" cm="1">
        <f t="array" ref="E162">_xlfn.IFS($D$162=$I$148,"Calving season",$D$161=$I$148,"Season after calving",TRUE, "")</f>
        <v/>
      </c>
      <c r="F162" s="29" cm="1">
        <f t="array" ref="F162">_xlfn.XLOOKUP(1, (Table_SourceData_PastureBeef_FeedIntakeAdjustment_Variation[Breed]=$I$147)*(Table_SourceData_PastureBeef_FeedIntakeAdjustment_Variation[Season]=$E162), Table_SourceData_PastureBeef_FeedIntakeAdjustment_Variation[Milk intake/production], 0)</f>
        <v>0</v>
      </c>
      <c r="G162" s="29">
        <v>0</v>
      </c>
      <c r="H162" s="29" cm="1">
        <f t="array" ref="H162">_xlfn.XLOOKUP(1, (Table_SourceData_PastureBeef_FeedIntakeAdjustment_Variation[Breed]=$I$147)*(Table_SourceData_PastureBeef_FeedIntakeAdjustment_Variation[Season]=$E162), Table_SourceData_PastureBeef_FeedIntakeAdjustment_Variation[Milk intake/production], 0)</f>
        <v>0</v>
      </c>
      <c r="I162" s="29">
        <v>0</v>
      </c>
      <c r="J162" s="29">
        <v>0</v>
      </c>
      <c r="K162" s="29">
        <v>0</v>
      </c>
      <c r="L162" s="29" cm="1">
        <f t="array" ref="L162">_xlfn.XLOOKUP(1, (Table_SourceData_PastureBeef_FeedIntakeAdjustment_Variation[Breed]=$I$147)*(Table_SourceData_PastureBeef_FeedIntakeAdjustment_Variation[Season]=$E162), Table_SourceData_PastureBeef_FeedIntakeAdjustment_Variation[Milk intake/production], 0)</f>
        <v>0</v>
      </c>
      <c r="M162" s="29">
        <v>0</v>
      </c>
      <c r="N162" s="29">
        <v>0</v>
      </c>
      <c r="O162" s="29">
        <v>0</v>
      </c>
      <c r="P162" s="32" t="s">
        <v>53</v>
      </c>
      <c r="Q162" s="32"/>
      <c r="U162" s="58" t="s">
        <v>260</v>
      </c>
    </row>
    <row r="163" spans="3:34" ht="20.100000000000001" customHeight="1" x14ac:dyDescent="0.25">
      <c r="D163" s="29" t="s">
        <v>44</v>
      </c>
      <c r="E163" s="29" t="str" cm="1">
        <f t="array" ref="E163">_xlfn.IFS($D$163=$I$148,"Calving season",$D$162=$I$148,"Season after calving",TRUE, "")</f>
        <v/>
      </c>
      <c r="F163" s="29" cm="1">
        <f t="array" ref="F163">_xlfn.XLOOKUP(1, (Table_SourceData_PastureBeef_FeedIntakeAdjustment_Variation[Breed]=$I$147)*(Table_SourceData_PastureBeef_FeedIntakeAdjustment_Variation[Season]=$E163), Table_SourceData_PastureBeef_FeedIntakeAdjustment_Variation[Milk intake/production], 0)</f>
        <v>0</v>
      </c>
      <c r="G163" s="29">
        <v>0</v>
      </c>
      <c r="H163" s="29" cm="1">
        <f t="array" ref="H163">_xlfn.XLOOKUP(1, (Table_SourceData_PastureBeef_FeedIntakeAdjustment_Variation[Breed]=$I$147)*(Table_SourceData_PastureBeef_FeedIntakeAdjustment_Variation[Season]=$E163), Table_SourceData_PastureBeef_FeedIntakeAdjustment_Variation[Milk intake/production], 0)</f>
        <v>0</v>
      </c>
      <c r="I163" s="29">
        <v>0</v>
      </c>
      <c r="J163" s="29">
        <v>0</v>
      </c>
      <c r="K163" s="29">
        <v>0</v>
      </c>
      <c r="L163" s="29" cm="1">
        <f t="array" ref="L163">_xlfn.XLOOKUP(1, (Table_SourceData_PastureBeef_FeedIntakeAdjustment_Variation[Breed]=$I$147)*(Table_SourceData_PastureBeef_FeedIntakeAdjustment_Variation[Season]=$E163), Table_SourceData_PastureBeef_FeedIntakeAdjustment_Variation[Milk intake/production], 0)</f>
        <v>0</v>
      </c>
      <c r="M163" s="29">
        <v>0</v>
      </c>
      <c r="N163" s="29">
        <v>0</v>
      </c>
      <c r="O163" s="29">
        <v>0</v>
      </c>
      <c r="P163" s="32" t="s">
        <v>53</v>
      </c>
      <c r="Q163" s="32"/>
      <c r="U163" s="59" t="s">
        <v>87</v>
      </c>
      <c r="V163" s="60" t="s">
        <v>31</v>
      </c>
      <c r="W163" s="60" t="s">
        <v>32</v>
      </c>
      <c r="X163" s="60" t="s">
        <v>33</v>
      </c>
      <c r="Y163" s="60" t="s">
        <v>34</v>
      </c>
      <c r="Z163" s="60" t="s">
        <v>35</v>
      </c>
      <c r="AA163" s="60" t="s">
        <v>36</v>
      </c>
      <c r="AB163" s="60" t="s">
        <v>37</v>
      </c>
      <c r="AC163" s="60" t="s">
        <v>38</v>
      </c>
      <c r="AD163" s="60" t="s">
        <v>39</v>
      </c>
      <c r="AE163" s="60" t="s">
        <v>40</v>
      </c>
    </row>
    <row r="164" spans="3:34" ht="20.100000000000001" customHeight="1" x14ac:dyDescent="0.25">
      <c r="D164" s="29" t="s">
        <v>45</v>
      </c>
      <c r="E164" s="29" t="str" cm="1">
        <f t="array" ref="E164">_xlfn.IFS($D$164=$I$148,"Calving season",$D$163=$I$148,"Season after calving",TRUE, "")</f>
        <v>Calving season</v>
      </c>
      <c r="F164" s="29" cm="1">
        <f t="array" ref="F164">_xlfn.XLOOKUP(1, (Table_SourceData_PastureBeef_FeedIntakeAdjustment_Variation[Breed]=$I$147)*(Table_SourceData_PastureBeef_FeedIntakeAdjustment_Variation[Season]=$E164), Table_SourceData_PastureBeef_FeedIntakeAdjustment_Variation[Milk intake/production], 0)</f>
        <v>6</v>
      </c>
      <c r="G164" s="29">
        <v>0</v>
      </c>
      <c r="H164" s="29" cm="1">
        <f t="array" ref="H164">_xlfn.XLOOKUP(1, (Table_SourceData_PastureBeef_FeedIntakeAdjustment_Variation[Breed]=$I$147)*(Table_SourceData_PastureBeef_FeedIntakeAdjustment_Variation[Season]=$E164), Table_SourceData_PastureBeef_FeedIntakeAdjustment_Variation[Milk intake/production], 0)</f>
        <v>6</v>
      </c>
      <c r="I164" s="29">
        <v>0</v>
      </c>
      <c r="J164" s="29">
        <v>0</v>
      </c>
      <c r="K164" s="29">
        <v>0</v>
      </c>
      <c r="L164" s="29" cm="1">
        <f t="array" ref="L164">_xlfn.XLOOKUP(1, (Table_SourceData_PastureBeef_FeedIntakeAdjustment_Variation[Breed]=$I$147)*(Table_SourceData_PastureBeef_FeedIntakeAdjustment_Variation[Season]=$E164), Table_SourceData_PastureBeef_FeedIntakeAdjustment_Variation[Milk intake/production], 0)</f>
        <v>6</v>
      </c>
      <c r="M164" s="29">
        <v>0</v>
      </c>
      <c r="N164" s="29">
        <v>0</v>
      </c>
      <c r="O164" s="29">
        <v>0</v>
      </c>
      <c r="P164" s="32" t="s">
        <v>53</v>
      </c>
      <c r="Q164" s="32"/>
      <c r="U164" s="29" t="str">
        <f>TEXT('Input - Site'!$E$12, "mmmm yyyy")</f>
        <v>January 2024</v>
      </c>
      <c r="V164" s="29" cm="1">
        <f t="array" aca="1" ref="V164:AE175" ca="1">OFFSET(X_Table_PastureBeef_CrudeProtein_Method2, 1,1, 12,10)</f>
        <v>0.09</v>
      </c>
      <c r="W164" s="29">
        <f ca="1"/>
        <v>0.09</v>
      </c>
      <c r="X164" s="29">
        <f ca="1"/>
        <v>0.09</v>
      </c>
      <c r="Y164" s="29">
        <f ca="1"/>
        <v>0.09</v>
      </c>
      <c r="Z164" s="29">
        <f ca="1"/>
        <v>0.09</v>
      </c>
      <c r="AA164" s="29">
        <f ca="1"/>
        <v>0.09</v>
      </c>
      <c r="AB164" s="29">
        <f ca="1"/>
        <v>0.09</v>
      </c>
      <c r="AC164" s="29">
        <f ca="1"/>
        <v>0.09</v>
      </c>
      <c r="AD164" s="29">
        <f ca="1"/>
        <v>0.09</v>
      </c>
      <c r="AE164" s="29">
        <f ca="1"/>
        <v>0.09</v>
      </c>
      <c r="AF164" s="32" t="s">
        <v>62</v>
      </c>
    </row>
    <row r="165" spans="3:34" ht="20.100000000000001" customHeight="1" x14ac:dyDescent="0.25">
      <c r="U165" s="29" t="str">
        <f>TEXT(EDATE('Input - Site'!$E$12,1), "mmmm yyyy")</f>
        <v>February 2024</v>
      </c>
      <c r="V165" s="29">
        <f ca="1"/>
        <v>0.09</v>
      </c>
      <c r="W165" s="29">
        <f ca="1"/>
        <v>0.09</v>
      </c>
      <c r="X165" s="29">
        <f ca="1"/>
        <v>0.09</v>
      </c>
      <c r="Y165" s="29">
        <f ca="1"/>
        <v>0.09</v>
      </c>
      <c r="Z165" s="29">
        <f ca="1"/>
        <v>0.09</v>
      </c>
      <c r="AA165" s="29">
        <f ca="1"/>
        <v>0.09</v>
      </c>
      <c r="AB165" s="29">
        <f ca="1"/>
        <v>0.09</v>
      </c>
      <c r="AC165" s="29">
        <f ca="1"/>
        <v>0.09</v>
      </c>
      <c r="AD165" s="29">
        <f ca="1"/>
        <v>0.09</v>
      </c>
      <c r="AE165" s="29">
        <f ca="1"/>
        <v>0.09</v>
      </c>
      <c r="AF165" s="32" t="s">
        <v>62</v>
      </c>
    </row>
    <row r="166" spans="3:34" ht="20.100000000000001" customHeight="1" x14ac:dyDescent="0.25">
      <c r="D166" s="57" t="s">
        <v>261</v>
      </c>
      <c r="U166" s="29" t="str">
        <f>TEXT(EDATE('Input - Site'!$E$12,2), "mmmm yyyy")</f>
        <v>March 2024</v>
      </c>
      <c r="V166" s="29">
        <f ca="1"/>
        <v>0.06</v>
      </c>
      <c r="W166" s="29">
        <f ca="1"/>
        <v>0.06</v>
      </c>
      <c r="X166" s="29">
        <f ca="1"/>
        <v>0.06</v>
      </c>
      <c r="Y166" s="29">
        <f ca="1"/>
        <v>0.06</v>
      </c>
      <c r="Z166" s="29">
        <f ca="1"/>
        <v>0.06</v>
      </c>
      <c r="AA166" s="29">
        <f ca="1"/>
        <v>0.06</v>
      </c>
      <c r="AB166" s="29">
        <f ca="1"/>
        <v>0.06</v>
      </c>
      <c r="AC166" s="29">
        <f ca="1"/>
        <v>0.06</v>
      </c>
      <c r="AD166" s="29">
        <f ca="1"/>
        <v>0.06</v>
      </c>
      <c r="AE166" s="29">
        <f ca="1"/>
        <v>0.06</v>
      </c>
      <c r="AF166" s="32" t="s">
        <v>62</v>
      </c>
    </row>
    <row r="167" spans="3:34" ht="20.100000000000001" customHeight="1" x14ac:dyDescent="0.25">
      <c r="D167" s="58" t="s">
        <v>262</v>
      </c>
      <c r="U167" s="29" t="str">
        <f>TEXT(EDATE('Input - Site'!$E$12,3), "mmmm yyyy")</f>
        <v>April 2024</v>
      </c>
      <c r="V167" s="29">
        <f ca="1"/>
        <v>0.06</v>
      </c>
      <c r="W167" s="29">
        <f ca="1"/>
        <v>0.06</v>
      </c>
      <c r="X167" s="29">
        <f ca="1"/>
        <v>0.06</v>
      </c>
      <c r="Y167" s="29">
        <f ca="1"/>
        <v>0.06</v>
      </c>
      <c r="Z167" s="29">
        <f ca="1"/>
        <v>0.06</v>
      </c>
      <c r="AA167" s="29">
        <f ca="1"/>
        <v>0.06</v>
      </c>
      <c r="AB167" s="29">
        <f ca="1"/>
        <v>0.06</v>
      </c>
      <c r="AC167" s="29">
        <f ca="1"/>
        <v>0.06</v>
      </c>
      <c r="AD167" s="29">
        <f ca="1"/>
        <v>0.06</v>
      </c>
      <c r="AE167" s="29">
        <f ca="1"/>
        <v>0.06</v>
      </c>
      <c r="AF167" s="32" t="s">
        <v>62</v>
      </c>
    </row>
    <row r="168" spans="3:34" ht="20.100000000000001" customHeight="1" x14ac:dyDescent="0.25">
      <c r="D168" s="59" t="s">
        <v>84</v>
      </c>
      <c r="E168" s="59" t="s">
        <v>31</v>
      </c>
      <c r="F168" s="59" t="s">
        <v>32</v>
      </c>
      <c r="G168" s="59" t="s">
        <v>33</v>
      </c>
      <c r="H168" s="59" t="s">
        <v>34</v>
      </c>
      <c r="I168" s="59" t="s">
        <v>35</v>
      </c>
      <c r="J168" s="59" t="s">
        <v>36</v>
      </c>
      <c r="K168" s="59" t="s">
        <v>37</v>
      </c>
      <c r="L168" s="59" t="s">
        <v>38</v>
      </c>
      <c r="M168" s="59" t="s">
        <v>39</v>
      </c>
      <c r="N168" s="59" t="s">
        <v>40</v>
      </c>
      <c r="U168" s="29" t="str">
        <f>TEXT(EDATE('Input - Site'!$E$12,4), "mmmm yyyy")</f>
        <v>May 2024</v>
      </c>
      <c r="V168" s="29">
        <f ca="1"/>
        <v>0.06</v>
      </c>
      <c r="W168" s="29">
        <f ca="1"/>
        <v>0.06</v>
      </c>
      <c r="X168" s="29">
        <f ca="1"/>
        <v>0.06</v>
      </c>
      <c r="Y168" s="29">
        <f ca="1"/>
        <v>0.06</v>
      </c>
      <c r="Z168" s="29">
        <f ca="1"/>
        <v>0.06</v>
      </c>
      <c r="AA168" s="29">
        <f ca="1"/>
        <v>0.06</v>
      </c>
      <c r="AB168" s="29">
        <f ca="1"/>
        <v>0.06</v>
      </c>
      <c r="AC168" s="29">
        <f ca="1"/>
        <v>0.06</v>
      </c>
      <c r="AD168" s="29">
        <f ca="1"/>
        <v>0.06</v>
      </c>
      <c r="AE168" s="29">
        <f ca="1"/>
        <v>0.06</v>
      </c>
      <c r="AF168" s="32" t="s">
        <v>62</v>
      </c>
      <c r="AG168" s="32"/>
      <c r="AH168" s="32"/>
    </row>
    <row r="169" spans="3:34" ht="20.100000000000001" customHeight="1" x14ac:dyDescent="0.25">
      <c r="D169" s="29" t="s">
        <v>41</v>
      </c>
      <c r="E169" s="29" cm="1">
        <f t="array" aca="1" ref="E169" ca="1">MMS_PastureBeef_Soil_N2ODirect_Equations.VEERG_4_2_1_3__3_NitrogenExcreted(E54,E153,F161,E127,E20)</f>
        <v>0.26350651585923002</v>
      </c>
      <c r="F169" s="29" cm="1">
        <f t="array" aca="1" ref="F169" ca="1">MMS_PastureBeef_Soil_N2ODirect_Equations.VEERG_4_2_1_3__3_NitrogenExcreted(F54,F153,G161,F127,F20)</f>
        <v>0.37708133734232585</v>
      </c>
      <c r="G169" s="29" cm="1">
        <f t="array" aca="1" ref="G169" ca="1">MMS_PastureBeef_Soil_N2ODirect_Equations.VEERG_4_2_1_3__3_NitrogenExcreted(G54,G153,H161,G127,G20)</f>
        <v>0.20744815814809262</v>
      </c>
      <c r="H169" s="29" cm="1">
        <f t="array" aca="1" ref="H169" ca="1">MMS_PastureBeef_Soil_N2ODirect_Equations.VEERG_4_2_1_3__3_NitrogenExcreted(H54,H153,I161,H127,H20)</f>
        <v>0.27698096705009545</v>
      </c>
      <c r="I169" s="29" cm="1">
        <f t="array" aca="1" ref="I169" ca="1">MMS_PastureBeef_Soil_N2ODirect_Equations.VEERG_4_2_1_3__3_NitrogenExcreted(I54,I153,J161,I127,I20)</f>
        <v>0.34118759264783</v>
      </c>
      <c r="J169" s="29" cm="1">
        <f t="array" aca="1" ref="J169" ca="1">MMS_PastureBeef_Soil_N2ODirect_Equations.VEERG_4_2_1_3__3_NitrogenExcreted(J54,J153,K161,J127,J20)</f>
        <v>0.34118759264783</v>
      </c>
      <c r="K169" s="29" cm="1">
        <f t="array" aca="1" ref="K169" ca="1">MMS_PastureBeef_Soil_N2ODirect_Equations.VEERG_4_2_1_3__3_NitrogenExcreted(K54,K153,L161,K127,K20)</f>
        <v>0.23489856582312055</v>
      </c>
      <c r="L169" s="29" cm="1">
        <f t="array" aca="1" ref="L169" ca="1">MMS_PastureBeef_Soil_N2ODirect_Equations.VEERG_4_2_1_3__3_NitrogenExcreted(L54,L153,M161,L127,L20)</f>
        <v>0.2934676863299529</v>
      </c>
      <c r="M169" s="29" cm="1">
        <f t="array" aca="1" ref="M169" ca="1">MMS_PastureBeef_Soil_N2ODirect_Equations.VEERG_4_2_1_3__3_NitrogenExcreted(M54,M153,N161,M127,M20)</f>
        <v>0.2934676863299529</v>
      </c>
      <c r="N169" s="29" cm="1">
        <f t="array" aca="1" ref="N169" ca="1">MMS_PastureBeef_Soil_N2ODirect_Equations.VEERG_4_2_1_3__3_NitrogenExcreted(N54,N153,O161,N127,N20)</f>
        <v>0.2934676863299529</v>
      </c>
      <c r="O169" s="32" t="str">
        <f>$E$140</f>
        <v>kg N/head/day</v>
      </c>
      <c r="U169" s="29" t="str">
        <f>TEXT(EDATE('Input - Site'!$E$12,5), "mmmm yyyy")</f>
        <v>June 2024</v>
      </c>
      <c r="V169" s="29">
        <f ca="1"/>
        <v>0.2</v>
      </c>
      <c r="W169" s="29">
        <f ca="1"/>
        <v>0.2</v>
      </c>
      <c r="X169" s="29">
        <f ca="1"/>
        <v>0.2</v>
      </c>
      <c r="Y169" s="29">
        <f ca="1"/>
        <v>0.2</v>
      </c>
      <c r="Z169" s="29">
        <f ca="1"/>
        <v>0.2</v>
      </c>
      <c r="AA169" s="29">
        <f ca="1"/>
        <v>0.2</v>
      </c>
      <c r="AB169" s="29">
        <f ca="1"/>
        <v>0.2</v>
      </c>
      <c r="AC169" s="29">
        <f ca="1"/>
        <v>0.2</v>
      </c>
      <c r="AD169" s="29">
        <f ca="1"/>
        <v>0.2</v>
      </c>
      <c r="AE169" s="29">
        <f ca="1"/>
        <v>0.2</v>
      </c>
      <c r="AF169" s="32" t="s">
        <v>62</v>
      </c>
      <c r="AG169" s="32"/>
      <c r="AH169" s="32"/>
    </row>
    <row r="170" spans="3:34" ht="20.100000000000001" customHeight="1" x14ac:dyDescent="0.25">
      <c r="D170" s="29" t="s">
        <v>43</v>
      </c>
      <c r="E170" s="29" cm="1">
        <f t="array" aca="1" ref="E170" ca="1">MMS_PastureBeef_Soil_N2ODirect_Equations.VEERG_4_2_1_3__3_NitrogenExcreted(E55,E154,F162,E128,E21)</f>
        <v>9.3275223802458812E-2</v>
      </c>
      <c r="F170" s="29" cm="1">
        <f t="array" aca="1" ref="F170" ca="1">MMS_PastureBeef_Soil_N2ODirect_Equations.VEERG_4_2_1_3__3_NitrogenExcreted(F55,F154,G162,F128,F21)</f>
        <v>0.13601872675007995</v>
      </c>
      <c r="G170" s="29" cm="1">
        <f t="array" aca="1" ref="G170" ca="1">MMS_PastureBeef_Soil_N2ODirect_Equations.VEERG_4_2_1_3__3_NitrogenExcreted(G55,G154,H162,G128,G21)</f>
        <v>7.7811027960341214E-2</v>
      </c>
      <c r="H170" s="29" cm="1">
        <f t="array" aca="1" ref="H170" ca="1">MMS_PastureBeef_Soil_N2ODirect_Equations.VEERG_4_2_1_3__3_NitrogenExcreted(H55,H154,I162,H128,H21)</f>
        <v>0.11211505645345723</v>
      </c>
      <c r="I170" s="29" cm="1">
        <f t="array" aca="1" ref="I170" ca="1">MMS_PastureBeef_Soil_N2ODirect_Equations.VEERG_4_2_1_3__3_NitrogenExcreted(I55,I154,J162,I128,I21)</f>
        <v>0.11725024145638518</v>
      </c>
      <c r="J170" s="29" cm="1">
        <f t="array" aca="1" ref="J170" ca="1">MMS_PastureBeef_Soil_N2ODirect_Equations.VEERG_4_2_1_3__3_NitrogenExcreted(J55,J154,K162,J128,J21)</f>
        <v>0.11725024145638518</v>
      </c>
      <c r="K170" s="29" cm="1">
        <f t="array" aca="1" ref="K170" ca="1">MMS_PastureBeef_Soil_N2ODirect_Equations.VEERG_4_2_1_3__3_NitrogenExcreted(K55,K154,L162,K128,K21)</f>
        <v>8.562550571362422E-2</v>
      </c>
      <c r="L170" s="29" cm="1">
        <f t="array" aca="1" ref="L170" ca="1">MMS_PastureBeef_Soil_N2ODirect_Equations.VEERG_4_2_1_3__3_NitrogenExcreted(L55,L154,M162,L128,L21)</f>
        <v>0.1054491491748196</v>
      </c>
      <c r="M170" s="29" cm="1">
        <f t="array" aca="1" ref="M170" ca="1">MMS_PastureBeef_Soil_N2ODirect_Equations.VEERG_4_2_1_3__3_NitrogenExcreted(M55,M154,N162,M128,M21)</f>
        <v>0.1054491491748196</v>
      </c>
      <c r="N170" s="29" cm="1">
        <f t="array" aca="1" ref="N170" ca="1">MMS_PastureBeef_Soil_N2ODirect_Equations.VEERG_4_2_1_3__3_NitrogenExcreted(N55,N154,O162,N128,N21)</f>
        <v>0.1054491491748196</v>
      </c>
      <c r="O170" s="32" t="str">
        <f t="shared" ref="O170:O172" si="8">$E$140</f>
        <v>kg N/head/day</v>
      </c>
      <c r="U170" s="29" t="str">
        <f>TEXT(EDATE('Input - Site'!$E$12,6), "mmmm yyyy")</f>
        <v>July 2024</v>
      </c>
      <c r="V170" s="29">
        <f ca="1"/>
        <v>0.2</v>
      </c>
      <c r="W170" s="29">
        <f ca="1"/>
        <v>0.2</v>
      </c>
      <c r="X170" s="29">
        <f ca="1"/>
        <v>0.2</v>
      </c>
      <c r="Y170" s="29">
        <f ca="1"/>
        <v>0.2</v>
      </c>
      <c r="Z170" s="29">
        <f ca="1"/>
        <v>0.2</v>
      </c>
      <c r="AA170" s="29">
        <f ca="1"/>
        <v>0.2</v>
      </c>
      <c r="AB170" s="29">
        <f ca="1"/>
        <v>0.2</v>
      </c>
      <c r="AC170" s="29">
        <f ca="1"/>
        <v>0.2</v>
      </c>
      <c r="AD170" s="29">
        <f ca="1"/>
        <v>0.2</v>
      </c>
      <c r="AE170" s="29">
        <f ca="1"/>
        <v>0.2</v>
      </c>
      <c r="AF170" s="32" t="s">
        <v>62</v>
      </c>
      <c r="AG170" s="32"/>
      <c r="AH170" s="32"/>
    </row>
    <row r="171" spans="3:34" ht="20.100000000000001" customHeight="1" x14ac:dyDescent="0.25">
      <c r="D171" s="29" t="s">
        <v>44</v>
      </c>
      <c r="E171" s="29" cm="1">
        <f t="array" aca="1" ref="E171" ca="1">MMS_PastureBeef_Soil_N2ODirect_Equations.VEERG_4_2_1_3__3_NitrogenExcreted(E56,E155,F163,E129,E22)</f>
        <v>1.3490587405558481E-2</v>
      </c>
      <c r="F171" s="29" cm="1">
        <f t="array" aca="1" ref="F171" ca="1">MMS_PastureBeef_Soil_N2ODirect_Equations.VEERG_4_2_1_3__3_NitrogenExcreted(F56,F155,G163,F129,F22)</f>
        <v>8.8133023634157495E-2</v>
      </c>
      <c r="G171" s="29" cm="1">
        <f t="array" aca="1" ref="G171" ca="1">MMS_PastureBeef_Soil_N2ODirect_Equations.VEERG_4_2_1_3__3_NitrogenExcreted(G56,G155,H163,G129,G22)</f>
        <v>1.1001898802853755E-2</v>
      </c>
      <c r="H171" s="29" cm="1">
        <f t="array" aca="1" ref="H171" ca="1">MMS_PastureBeef_Soil_N2ODirect_Equations.VEERG_4_2_1_3__3_NitrogenExcreted(H56,H155,I163,H129,H22)</f>
        <v>5.2902961709211542E-2</v>
      </c>
      <c r="I171" s="29" cm="1">
        <f t="array" aca="1" ref="I171" ca="1">MMS_PastureBeef_Soil_N2ODirect_Equations.VEERG_4_2_1_3__3_NitrogenExcreted(I56,I155,J163,I129,I22)</f>
        <v>6.9185083188389812E-2</v>
      </c>
      <c r="J171" s="29" cm="1">
        <f t="array" aca="1" ref="J171" ca="1">MMS_PastureBeef_Soil_N2ODirect_Equations.VEERG_4_2_1_3__3_NitrogenExcreted(J56,J155,K163,J129,J22)</f>
        <v>6.9185083188389812E-2</v>
      </c>
      <c r="K171" s="29" cm="1">
        <f t="array" aca="1" ref="K171" ca="1">MMS_PastureBeef_Soil_N2ODirect_Equations.VEERG_4_2_1_3__3_NitrogenExcreted(K56,K155,L163,K129,K22)</f>
        <v>1.3731587835013218E-2</v>
      </c>
      <c r="L171" s="29" cm="1">
        <f t="array" aca="1" ref="L171" ca="1">MMS_PastureBeef_Soil_N2ODirect_Equations.VEERG_4_2_1_3__3_NitrogenExcreted(L56,L155,M163,L129,L22)</f>
        <v>5.520208336562428E-2</v>
      </c>
      <c r="M171" s="29" cm="1">
        <f t="array" aca="1" ref="M171" ca="1">MMS_PastureBeef_Soil_N2ODirect_Equations.VEERG_4_2_1_3__3_NitrogenExcreted(M56,M155,N163,M129,M22)</f>
        <v>5.520208336562428E-2</v>
      </c>
      <c r="N171" s="29" cm="1">
        <f t="array" aca="1" ref="N171" ca="1">MMS_PastureBeef_Soil_N2ODirect_Equations.VEERG_4_2_1_3__3_NitrogenExcreted(N56,N155,O163,N129,N22)</f>
        <v>5.520208336562428E-2</v>
      </c>
      <c r="O171" s="32" t="str">
        <f t="shared" si="8"/>
        <v>kg N/head/day</v>
      </c>
      <c r="U171" s="29" t="str">
        <f>TEXT(EDATE('Input - Site'!$E$12,7), "mmmm yyyy")</f>
        <v>August 2024</v>
      </c>
      <c r="V171" s="29">
        <f ca="1"/>
        <v>0.2</v>
      </c>
      <c r="W171" s="29">
        <f ca="1"/>
        <v>0.2</v>
      </c>
      <c r="X171" s="29">
        <f ca="1"/>
        <v>0.2</v>
      </c>
      <c r="Y171" s="29">
        <f ca="1"/>
        <v>0.2</v>
      </c>
      <c r="Z171" s="29">
        <f ca="1"/>
        <v>0.2</v>
      </c>
      <c r="AA171" s="29">
        <f ca="1"/>
        <v>0.2</v>
      </c>
      <c r="AB171" s="29">
        <f ca="1"/>
        <v>0.2</v>
      </c>
      <c r="AC171" s="29">
        <f ca="1"/>
        <v>0.2</v>
      </c>
      <c r="AD171" s="29">
        <f ca="1"/>
        <v>0.2</v>
      </c>
      <c r="AE171" s="29">
        <f ca="1"/>
        <v>0.2</v>
      </c>
      <c r="AF171" s="32" t="s">
        <v>62</v>
      </c>
      <c r="AG171" s="32"/>
      <c r="AH171" s="32"/>
    </row>
    <row r="172" spans="3:34" ht="20.100000000000001" customHeight="1" x14ac:dyDescent="0.25">
      <c r="D172" s="29" t="s">
        <v>45</v>
      </c>
      <c r="E172" s="29" cm="1">
        <f t="array" aca="1" ref="E172" ca="1">MMS_PastureBeef_Soil_N2ODirect_Equations.VEERG_4_2_1_3__3_NitrogenExcreted(E57,E156,F164,E130,E23)</f>
        <v>0.16782142173820769</v>
      </c>
      <c r="F172" s="29" cm="1">
        <f t="array" aca="1" ref="F172" ca="1">MMS_PastureBeef_Soil_N2ODirect_Equations.VEERG_4_2_1_3__3_NitrogenExcreted(F57,F156,G164,F130,F23)</f>
        <v>0.31425341534791917</v>
      </c>
      <c r="G172" s="29" cm="1">
        <f t="array" aca="1" ref="G172" ca="1">MMS_PastureBeef_Soil_N2ODirect_Equations.VEERG_4_2_1_3__3_NitrogenExcreted(G57,G156,H164,G130,G23)</f>
        <v>0.14439972918793106</v>
      </c>
      <c r="H172" s="29" cm="1">
        <f t="array" aca="1" ref="H172" ca="1">MMS_PastureBeef_Soil_N2ODirect_Equations.VEERG_4_2_1_3__3_NitrogenExcreted(H57,H156,I164,H130,H23)</f>
        <v>0.20538320393122031</v>
      </c>
      <c r="I172" s="29" cm="1">
        <f t="array" aca="1" ref="I172" ca="1">MMS_PastureBeef_Soil_N2ODirect_Equations.VEERG_4_2_1_3__3_NitrogenExcreted(I57,I156,J164,I130,I23)</f>
        <v>0.27448186171350092</v>
      </c>
      <c r="J172" s="29" cm="1">
        <f t="array" aca="1" ref="J172" ca="1">MMS_PastureBeef_Soil_N2ODirect_Equations.VEERG_4_2_1_3__3_NitrogenExcreted(J57,J156,K164,J130,J23)</f>
        <v>0.27448186171350092</v>
      </c>
      <c r="K172" s="29" cm="1">
        <f t="array" aca="1" ref="K172" ca="1">MMS_PastureBeef_Soil_N2ODirect_Equations.VEERG_4_2_1_3__3_NitrogenExcreted(K57,K156,L164,K130,K23)</f>
        <v>0.15390387455817453</v>
      </c>
      <c r="L172" s="29" cm="1">
        <f t="array" aca="1" ref="L172" ca="1">MMS_PastureBeef_Soil_N2ODirect_Equations.VEERG_4_2_1_3__3_NitrogenExcreted(L57,L156,M164,L130,L23)</f>
        <v>0.21091009356426255</v>
      </c>
      <c r="M172" s="29" cm="1">
        <f t="array" aca="1" ref="M172" ca="1">MMS_PastureBeef_Soil_N2ODirect_Equations.VEERG_4_2_1_3__3_NitrogenExcreted(M57,M156,N164,M130,M23)</f>
        <v>0.21091009356426255</v>
      </c>
      <c r="N172" s="29" cm="1">
        <f t="array" aca="1" ref="N172" ca="1">MMS_PastureBeef_Soil_N2ODirect_Equations.VEERG_4_2_1_3__3_NitrogenExcreted(N57,N156,O164,N130,N23)</f>
        <v>0.21091009356426255</v>
      </c>
      <c r="O172" s="32" t="str">
        <f t="shared" si="8"/>
        <v>kg N/head/day</v>
      </c>
      <c r="U172" s="29" t="str">
        <f>TEXT(EDATE('Input - Site'!$E$12,8), "mmmm yyyy")</f>
        <v>September 2024</v>
      </c>
      <c r="V172" s="29">
        <f ca="1"/>
        <v>0.2</v>
      </c>
      <c r="W172" s="29">
        <f ca="1"/>
        <v>0.2</v>
      </c>
      <c r="X172" s="29">
        <f ca="1"/>
        <v>0.2</v>
      </c>
      <c r="Y172" s="29">
        <f ca="1"/>
        <v>0.2</v>
      </c>
      <c r="Z172" s="29">
        <f ca="1"/>
        <v>0.2</v>
      </c>
      <c r="AA172" s="29">
        <f ca="1"/>
        <v>0.2</v>
      </c>
      <c r="AB172" s="29">
        <f ca="1"/>
        <v>0.2</v>
      </c>
      <c r="AC172" s="29">
        <f ca="1"/>
        <v>0.2</v>
      </c>
      <c r="AD172" s="29">
        <f ca="1"/>
        <v>0.2</v>
      </c>
      <c r="AE172" s="29">
        <f ca="1"/>
        <v>0.2</v>
      </c>
      <c r="AF172" s="32" t="s">
        <v>62</v>
      </c>
      <c r="AG172" s="32"/>
      <c r="AH172" s="32"/>
    </row>
    <row r="173" spans="3:34" ht="20.100000000000001" customHeight="1" x14ac:dyDescent="0.25">
      <c r="U173" s="29" t="str">
        <f>TEXT(EDATE('Input - Site'!$E$12,9), "mmmm yyyy")</f>
        <v>October 2024</v>
      </c>
      <c r="V173" s="29">
        <f ca="1"/>
        <v>0.2</v>
      </c>
      <c r="W173" s="29">
        <f ca="1"/>
        <v>0.2</v>
      </c>
      <c r="X173" s="29">
        <f ca="1"/>
        <v>0.2</v>
      </c>
      <c r="Y173" s="29">
        <f ca="1"/>
        <v>0.2</v>
      </c>
      <c r="Z173" s="29">
        <f ca="1"/>
        <v>0.2</v>
      </c>
      <c r="AA173" s="29">
        <f ca="1"/>
        <v>0.2</v>
      </c>
      <c r="AB173" s="29">
        <f ca="1"/>
        <v>0.2</v>
      </c>
      <c r="AC173" s="29">
        <f ca="1"/>
        <v>0.2</v>
      </c>
      <c r="AD173" s="29">
        <f ca="1"/>
        <v>0.2</v>
      </c>
      <c r="AE173" s="29">
        <f ca="1"/>
        <v>0.2</v>
      </c>
      <c r="AF173" s="32" t="s">
        <v>62</v>
      </c>
      <c r="AG173" s="32"/>
      <c r="AH173" s="32"/>
    </row>
    <row r="174" spans="3:34" ht="20.100000000000001" customHeight="1" x14ac:dyDescent="0.25">
      <c r="U174" s="29" t="str">
        <f>TEXT(EDATE('Input - Site'!$E$12,10), "mmmm yyyy")</f>
        <v>November 2024</v>
      </c>
      <c r="V174" s="29">
        <f ca="1"/>
        <v>0.2</v>
      </c>
      <c r="W174" s="29">
        <f ca="1"/>
        <v>0.2</v>
      </c>
      <c r="X174" s="29">
        <f ca="1"/>
        <v>0.2</v>
      </c>
      <c r="Y174" s="29">
        <f ca="1"/>
        <v>0.2</v>
      </c>
      <c r="Z174" s="29">
        <f ca="1"/>
        <v>0.2</v>
      </c>
      <c r="AA174" s="29">
        <f ca="1"/>
        <v>0.2</v>
      </c>
      <c r="AB174" s="29">
        <f ca="1"/>
        <v>0.2</v>
      </c>
      <c r="AC174" s="29">
        <f ca="1"/>
        <v>0.2</v>
      </c>
      <c r="AD174" s="29">
        <f ca="1"/>
        <v>0.2</v>
      </c>
      <c r="AE174" s="29">
        <f ca="1"/>
        <v>0.2</v>
      </c>
      <c r="AF174" s="32" t="s">
        <v>62</v>
      </c>
      <c r="AG174" s="32"/>
      <c r="AH174" s="32"/>
    </row>
    <row r="175" spans="3:34" ht="20.100000000000001" customHeight="1" x14ac:dyDescent="0.25">
      <c r="C175" s="61"/>
      <c r="D175" s="61"/>
      <c r="E175" s="61"/>
      <c r="F175" s="61"/>
      <c r="G175" s="61"/>
      <c r="H175" s="61"/>
      <c r="I175" s="61"/>
      <c r="J175" s="61"/>
      <c r="K175" s="61"/>
      <c r="L175" s="61"/>
      <c r="M175" s="61"/>
      <c r="N175" s="61"/>
      <c r="O175" s="61"/>
      <c r="P175" s="61"/>
      <c r="Q175" s="61"/>
      <c r="R175" s="61"/>
      <c r="U175" s="29" t="str">
        <f>TEXT(EDATE('Input - Site'!$E$12,11), "mmmm yyyy")</f>
        <v>December 2024</v>
      </c>
      <c r="V175" s="29">
        <f ca="1"/>
        <v>0.09</v>
      </c>
      <c r="W175" s="29">
        <f ca="1"/>
        <v>0.09</v>
      </c>
      <c r="X175" s="29">
        <f ca="1"/>
        <v>0.09</v>
      </c>
      <c r="Y175" s="29">
        <f ca="1"/>
        <v>0.09</v>
      </c>
      <c r="Z175" s="29">
        <f ca="1"/>
        <v>0.09</v>
      </c>
      <c r="AA175" s="29">
        <f ca="1"/>
        <v>0.09</v>
      </c>
      <c r="AB175" s="29">
        <f ca="1"/>
        <v>0.09</v>
      </c>
      <c r="AC175" s="29">
        <f ca="1"/>
        <v>0.09</v>
      </c>
      <c r="AD175" s="29">
        <f ca="1"/>
        <v>0.09</v>
      </c>
      <c r="AE175" s="29">
        <f ca="1"/>
        <v>0.09</v>
      </c>
      <c r="AF175" s="32" t="s">
        <v>62</v>
      </c>
      <c r="AG175" s="32"/>
      <c r="AH175" s="32"/>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32"/>
      <c r="AH176" s="32"/>
    </row>
    <row r="177" spans="4:34" ht="20.100000000000001" customHeight="1" x14ac:dyDescent="0.25">
      <c r="D177" s="46" t="str" cm="1">
        <f t="array" ref="D177">MMS_PastureBeef_Soil_N2ODirect_Equations.VEERG_4_2_1_3__2_TotalNitrogenExcretedToPastureRangeAndPaddock_Source()</f>
        <v>VEERG 2026: 4.2.1.3, Equation (2)</v>
      </c>
      <c r="U177" s="57" t="s">
        <v>263</v>
      </c>
      <c r="AH177" s="32"/>
    </row>
    <row r="178" spans="4:34" ht="20.100000000000001" customHeight="1" x14ac:dyDescent="0.25">
      <c r="D178" s="47" t="s">
        <v>77</v>
      </c>
      <c r="E178" s="47" t="str" cm="1">
        <f t="array" aca="1" ref="E178" ca="1">Common_InputFunctions.Utility_DisplayFunctionName($E$207)</f>
        <v>=MMS_PastureBeef_Soil_N2ODirect_Equations.VEERG_4_2_1_3__2_TotalNitrogenExcretedToPastureRangeAndPaddock</v>
      </c>
      <c r="U178" s="58" t="s">
        <v>264</v>
      </c>
      <c r="AH178" s="32"/>
    </row>
    <row r="179" spans="4:34" ht="20.100000000000001" customHeight="1" x14ac:dyDescent="0.25">
      <c r="U179" s="59" t="s">
        <v>87</v>
      </c>
      <c r="V179" s="59" t="s">
        <v>55</v>
      </c>
      <c r="W179" s="59" t="s">
        <v>31</v>
      </c>
      <c r="X179" s="59" t="s">
        <v>32</v>
      </c>
      <c r="Y179" s="59" t="s">
        <v>33</v>
      </c>
      <c r="Z179" s="59" t="s">
        <v>34</v>
      </c>
      <c r="AA179" s="59" t="s">
        <v>35</v>
      </c>
      <c r="AB179" s="59" t="s">
        <v>36</v>
      </c>
      <c r="AC179" s="59" t="s">
        <v>37</v>
      </c>
      <c r="AD179" s="59" t="s">
        <v>38</v>
      </c>
      <c r="AE179" s="59" t="s">
        <v>39</v>
      </c>
      <c r="AF179" s="59" t="s">
        <v>40</v>
      </c>
      <c r="AH179" s="32"/>
    </row>
    <row r="180" spans="4:34" ht="20.100000000000001" customHeight="1" x14ac:dyDescent="0.25">
      <c r="U180" s="29" t="str">
        <f>TEXT('Input - Site'!$E$12,"mmmm")</f>
        <v>January</v>
      </c>
      <c r="V180" s="29" t="str" cm="1">
        <f t="array" ref="V180">IFERROR(_xlfn.IFS(SUMPRODUCT(ISNUMBER(SEARCH(TRIM(_xlfn.TEXTSPLIT($U$92,",")),U180))*1)&gt;0,"Calving season",SUMPRODUCT(ISNUMBER(SEARCH(TRIM(_xlfn.TEXTSPLIT($U$93,",")),U180))*1)&gt;0,"Season after calving"), "")</f>
        <v>Season after calving</v>
      </c>
      <c r="W180" s="29" cm="1">
        <f t="array" ref="W180">_xlfn.XLOOKUP(1, (Table_SourceData_PastureBeef_FeedIntakeAdjustment_Variation[Breed]=$Z$158)*(Table_SourceData_PastureBeef_FeedIntakeAdjustment_Variation[Season]=$V180), Table_SourceData_PastureBeef_FeedIntakeAdjustment_Variation[Milk intake/production], 0)</f>
        <v>0</v>
      </c>
      <c r="X180" s="29">
        <v>0</v>
      </c>
      <c r="Y180" s="29" cm="1">
        <f t="array" ref="Y180">_xlfn.XLOOKUP(1, (Table_SourceData_PastureBeef_FeedIntakeAdjustment_Variation[Breed]=$Z$158)*(Table_SourceData_PastureBeef_FeedIntakeAdjustment_Variation[Season]=$V180), Table_SourceData_PastureBeef_FeedIntakeAdjustment_Variation[Milk intake/production], 0)</f>
        <v>0</v>
      </c>
      <c r="Z180" s="29">
        <v>0</v>
      </c>
      <c r="AA180" s="29">
        <v>0</v>
      </c>
      <c r="AB180" s="29">
        <v>0</v>
      </c>
      <c r="AC180" s="29" cm="1">
        <f t="array" ref="AC180">_xlfn.XLOOKUP(1, (Table_SourceData_PastureBeef_FeedIntakeAdjustment_Variation[Breed]=$Z$158)*(Table_SourceData_PastureBeef_FeedIntakeAdjustment_Variation[Season]=$V180), Table_SourceData_PastureBeef_FeedIntakeAdjustment_Variation[Milk intake/production], 0)</f>
        <v>0</v>
      </c>
      <c r="AD180" s="29">
        <v>0</v>
      </c>
      <c r="AE180" s="29">
        <v>0</v>
      </c>
      <c r="AF180" s="29">
        <v>0</v>
      </c>
      <c r="AG180" s="32" t="s">
        <v>53</v>
      </c>
    </row>
    <row r="181" spans="4:34" ht="20.100000000000001" customHeight="1" x14ac:dyDescent="0.25">
      <c r="D181" s="48" t="s">
        <v>79</v>
      </c>
      <c r="E181" s="1" t="str" cm="1">
        <f t="array" ref="E181">MMS_PastureBeef_Soil_N2ODirect_Equations.VEERG_4_2_1_3__2_TotalNitrogenExcretedToPastureRangeAndPaddock_Variable()</f>
        <v>AE</v>
      </c>
      <c r="U181" s="29" t="str">
        <f>TEXT(EDATE('Input - Site'!$E$12,1), "mmmm")</f>
        <v>February</v>
      </c>
      <c r="V181" s="29" t="str" cm="1">
        <f t="array" ref="V181">IFERROR(_xlfn.IFS(SUMPRODUCT(ISNUMBER(SEARCH(TRIM(_xlfn.TEXTSPLIT($U$92,",")),U181))*1)&gt;0,"Calving season",SUMPRODUCT(ISNUMBER(SEARCH(TRIM(_xlfn.TEXTSPLIT($U$93,",")),U181))*1)&gt;0,"Season after calving"), "")</f>
        <v/>
      </c>
      <c r="W181" s="29" cm="1">
        <f t="array" ref="W181">_xlfn.XLOOKUP(1, (Table_SourceData_PastureBeef_FeedIntakeAdjustment_Variation[Breed]=$Z$158)*(Table_SourceData_PastureBeef_FeedIntakeAdjustment_Variation[Season]=$V181), Table_SourceData_PastureBeef_FeedIntakeAdjustment_Variation[Milk intake/production], 0)</f>
        <v>0</v>
      </c>
      <c r="X181" s="29">
        <v>0</v>
      </c>
      <c r="Y181" s="29" cm="1">
        <f t="array" ref="Y181">_xlfn.XLOOKUP(1, (Table_SourceData_PastureBeef_FeedIntakeAdjustment_Variation[Breed]=$Z$158)*(Table_SourceData_PastureBeef_FeedIntakeAdjustment_Variation[Season]=$V181), Table_SourceData_PastureBeef_FeedIntakeAdjustment_Variation[Milk intake/production], 0)</f>
        <v>0</v>
      </c>
      <c r="Z181" s="29">
        <v>0</v>
      </c>
      <c r="AA181" s="29">
        <v>0</v>
      </c>
      <c r="AB181" s="29">
        <v>0</v>
      </c>
      <c r="AC181" s="29" cm="1">
        <f t="array" ref="AC181">_xlfn.XLOOKUP(1, (Table_SourceData_PastureBeef_FeedIntakeAdjustment_Variation[Breed]=$Z$158)*(Table_SourceData_PastureBeef_FeedIntakeAdjustment_Variation[Season]=$V181), Table_SourceData_PastureBeef_FeedIntakeAdjustment_Variation[Milk intake/production], 0)</f>
        <v>0</v>
      </c>
      <c r="AD181" s="29">
        <v>0</v>
      </c>
      <c r="AE181" s="29">
        <v>0</v>
      </c>
      <c r="AF181" s="29">
        <v>0</v>
      </c>
      <c r="AG181" s="32" t="s">
        <v>53</v>
      </c>
    </row>
    <row r="182" spans="4:34" ht="20.100000000000001" customHeight="1" x14ac:dyDescent="0.25">
      <c r="D182" s="48" t="s">
        <v>80</v>
      </c>
      <c r="E182" s="17" t="str" cm="1">
        <f t="array" ref="E182">MMS_PastureBeef_Soil_N2ODirect_Equations.VEERG_4_2_1_3__2_TotalNitrogenExcretedToPastureRangeAndPaddock_Unit()</f>
        <v>kg N</v>
      </c>
      <c r="U182" s="29" t="str">
        <f>TEXT(EDATE('Input - Site'!$E$12,2), "mmmm")</f>
        <v>March</v>
      </c>
      <c r="V182" s="29" t="str" cm="1">
        <f t="array" ref="V182">IFERROR(_xlfn.IFS(SUMPRODUCT(ISNUMBER(SEARCH(TRIM(_xlfn.TEXTSPLIT($U$92,",")),U182))*1)&gt;0,"Calving season",SUMPRODUCT(ISNUMBER(SEARCH(TRIM(_xlfn.TEXTSPLIT($U$93,",")),U182))*1)&gt;0,"Season after calving"), "")</f>
        <v/>
      </c>
      <c r="W182" s="29" cm="1">
        <f t="array" ref="W182">_xlfn.XLOOKUP(1, (Table_SourceData_PastureBeef_FeedIntakeAdjustment_Variation[Breed]=$Z$158)*(Table_SourceData_PastureBeef_FeedIntakeAdjustment_Variation[Season]=$V182), Table_SourceData_PastureBeef_FeedIntakeAdjustment_Variation[Milk intake/production], 0)</f>
        <v>0</v>
      </c>
      <c r="X182" s="29">
        <v>0</v>
      </c>
      <c r="Y182" s="29" cm="1">
        <f t="array" ref="Y182">_xlfn.XLOOKUP(1, (Table_SourceData_PastureBeef_FeedIntakeAdjustment_Variation[Breed]=$Z$158)*(Table_SourceData_PastureBeef_FeedIntakeAdjustment_Variation[Season]=$V182), Table_SourceData_PastureBeef_FeedIntakeAdjustment_Variation[Milk intake/production], 0)</f>
        <v>0</v>
      </c>
      <c r="Z182" s="29">
        <v>0</v>
      </c>
      <c r="AA182" s="29">
        <v>0</v>
      </c>
      <c r="AB182" s="29">
        <v>0</v>
      </c>
      <c r="AC182" s="29" cm="1">
        <f t="array" ref="AC182">_xlfn.XLOOKUP(1, (Table_SourceData_PastureBeef_FeedIntakeAdjustment_Variation[Breed]=$Z$158)*(Table_SourceData_PastureBeef_FeedIntakeAdjustment_Variation[Season]=$V182), Table_SourceData_PastureBeef_FeedIntakeAdjustment_Variation[Milk intake/production], 0)</f>
        <v>0</v>
      </c>
      <c r="AD182" s="29">
        <v>0</v>
      </c>
      <c r="AE182" s="29">
        <v>0</v>
      </c>
      <c r="AF182" s="29">
        <v>0</v>
      </c>
      <c r="AG182" s="32" t="s">
        <v>53</v>
      </c>
    </row>
    <row r="183" spans="4:34" ht="20.100000000000001" customHeight="1" x14ac:dyDescent="0.25">
      <c r="U183" s="29" t="str">
        <f>TEXT(EDATE('Input - Site'!$E$12,3), "mmmm")</f>
        <v>April</v>
      </c>
      <c r="V183" s="29" t="str" cm="1">
        <f t="array" ref="V183">IFERROR(_xlfn.IFS(SUMPRODUCT(ISNUMBER(SEARCH(TRIM(_xlfn.TEXTSPLIT($U$92,",")),U183))*1)&gt;0,"Calving season",SUMPRODUCT(ISNUMBER(SEARCH(TRIM(_xlfn.TEXTSPLIT($U$93,",")),U183))*1)&gt;0,"Season after calving"), "")</f>
        <v/>
      </c>
      <c r="W183" s="29" cm="1">
        <f t="array" ref="W183">_xlfn.XLOOKUP(1, (Table_SourceData_PastureBeef_FeedIntakeAdjustment_Variation[Breed]=$Z$158)*(Table_SourceData_PastureBeef_FeedIntakeAdjustment_Variation[Season]=$V183), Table_SourceData_PastureBeef_FeedIntakeAdjustment_Variation[Milk intake/production], 0)</f>
        <v>0</v>
      </c>
      <c r="X183" s="29">
        <v>0</v>
      </c>
      <c r="Y183" s="29" cm="1">
        <f t="array" ref="Y183">_xlfn.XLOOKUP(1, (Table_SourceData_PastureBeef_FeedIntakeAdjustment_Variation[Breed]=$Z$158)*(Table_SourceData_PastureBeef_FeedIntakeAdjustment_Variation[Season]=$V183), Table_SourceData_PastureBeef_FeedIntakeAdjustment_Variation[Milk intake/production], 0)</f>
        <v>0</v>
      </c>
      <c r="Z183" s="29">
        <v>0</v>
      </c>
      <c r="AA183" s="29">
        <v>0</v>
      </c>
      <c r="AB183" s="29">
        <v>0</v>
      </c>
      <c r="AC183" s="29" cm="1">
        <f t="array" ref="AC183">_xlfn.XLOOKUP(1, (Table_SourceData_PastureBeef_FeedIntakeAdjustment_Variation[Breed]=$Z$158)*(Table_SourceData_PastureBeef_FeedIntakeAdjustment_Variation[Season]=$V183), Table_SourceData_PastureBeef_FeedIntakeAdjustment_Variation[Milk intake/production], 0)</f>
        <v>0</v>
      </c>
      <c r="AD183" s="29">
        <v>0</v>
      </c>
      <c r="AE183" s="29">
        <v>0</v>
      </c>
      <c r="AF183" s="29">
        <v>0</v>
      </c>
      <c r="AG183" s="32" t="s">
        <v>53</v>
      </c>
    </row>
    <row r="184" spans="4:34" ht="20.100000000000001" customHeight="1" x14ac:dyDescent="0.25">
      <c r="D184" s="50" t="str" cm="1">
        <f t="array" ref="D184:E186">_xlfn.CHOOSECOLS(MMS_PastureBeef_Soil_N2ODirect_Equations.VEERG_4_2_1_3__2_TotalNitrogenExcretedToPastureRangeAndPaddock_Arguments(),1,2)</f>
        <v>N_jkl</v>
      </c>
      <c r="E184" s="51" t="str">
        <v>number of beef cattle by time-period, class and subclass</v>
      </c>
      <c r="F184" s="53"/>
      <c r="G184" s="50" t="str" cm="1">
        <f t="array" ref="G184:H186">_xlfn.CHOOSECOLS(MMS_PastureBeef_Soil_N2ODirect_Equations.VEERG_4_2_1_3__2_TotalNitrogenExcretedToPastureRangeAndPaddock_Arguments(),3,4)</f>
        <v>head</v>
      </c>
      <c r="H184" s="54" t="str">
        <v>Input</v>
      </c>
      <c r="I184" s="56" t="str" cm="1">
        <f t="array" aca="1" ref="I184" ca="1">HYPERLINK(Common_InputFunctions.Utility_SourceHyperlink($D$188), $D$188)</f>
        <v>M1_Table_N_j_k_l</v>
      </c>
      <c r="U184" s="29" t="str">
        <f>TEXT(EDATE('Input - Site'!$E$12,4), "mmmm")</f>
        <v>May</v>
      </c>
      <c r="V184" s="29" t="str" cm="1">
        <f t="array" ref="V184">IFERROR(_xlfn.IFS(SUMPRODUCT(ISNUMBER(SEARCH(TRIM(_xlfn.TEXTSPLIT($U$92,",")),U184))*1)&gt;0,"Calving season",SUMPRODUCT(ISNUMBER(SEARCH(TRIM(_xlfn.TEXTSPLIT($U$93,",")),U184))*1)&gt;0,"Season after calving"), "")</f>
        <v/>
      </c>
      <c r="W184" s="29" cm="1">
        <f t="array" ref="W184">_xlfn.XLOOKUP(1, (Table_SourceData_PastureBeef_FeedIntakeAdjustment_Variation[Breed]=$Z$158)*(Table_SourceData_PastureBeef_FeedIntakeAdjustment_Variation[Season]=$V184), Table_SourceData_PastureBeef_FeedIntakeAdjustment_Variation[Milk intake/production], 0)</f>
        <v>0</v>
      </c>
      <c r="X184" s="29">
        <v>0</v>
      </c>
      <c r="Y184" s="29" cm="1">
        <f t="array" ref="Y184">_xlfn.XLOOKUP(1, (Table_SourceData_PastureBeef_FeedIntakeAdjustment_Variation[Breed]=$Z$158)*(Table_SourceData_PastureBeef_FeedIntakeAdjustment_Variation[Season]=$V184), Table_SourceData_PastureBeef_FeedIntakeAdjustment_Variation[Milk intake/production], 0)</f>
        <v>0</v>
      </c>
      <c r="Z184" s="29">
        <v>0</v>
      </c>
      <c r="AA184" s="29">
        <v>0</v>
      </c>
      <c r="AB184" s="29">
        <v>0</v>
      </c>
      <c r="AC184" s="29" cm="1">
        <f t="array" ref="AC184">_xlfn.XLOOKUP(1, (Table_SourceData_PastureBeef_FeedIntakeAdjustment_Variation[Breed]=$Z$158)*(Table_SourceData_PastureBeef_FeedIntakeAdjustment_Variation[Season]=$V184), Table_SourceData_PastureBeef_FeedIntakeAdjustment_Variation[Milk intake/production], 0)</f>
        <v>0</v>
      </c>
      <c r="AD184" s="29">
        <v>0</v>
      </c>
      <c r="AE184" s="29">
        <v>0</v>
      </c>
      <c r="AF184" s="29">
        <v>0</v>
      </c>
      <c r="AG184" s="32" t="s">
        <v>53</v>
      </c>
      <c r="AH184" s="32"/>
    </row>
    <row r="185" spans="4:34" ht="20.100000000000001" customHeight="1" x14ac:dyDescent="0.25">
      <c r="D185" s="50" t="str">
        <v>NE_jkl</v>
      </c>
      <c r="E185" s="51" t="str">
        <v>nitrogen excreted in each time-period, by each class and subclass</v>
      </c>
      <c r="F185" s="53"/>
      <c r="G185" s="50" t="str">
        <v>kg N/head/day</v>
      </c>
      <c r="H185" s="55" t="str">
        <v>Calculated from 4.2.1.3 (3)</v>
      </c>
      <c r="I185" s="56" t="str" cm="1">
        <f t="array" aca="1" ref="I185" ca="1">HYPERLINK(Common_InputFunctions.Utility_SourceHyperlink($D$166), $D$166)</f>
        <v>M1_Table_NE_j_k_l</v>
      </c>
      <c r="U185" s="29" t="str">
        <f>TEXT(EDATE('Input - Site'!$E$12,5), "mmmm")</f>
        <v>June</v>
      </c>
      <c r="V185" s="29" t="str" cm="1">
        <f t="array" ref="V185">IFERROR(_xlfn.IFS(SUMPRODUCT(ISNUMBER(SEARCH(TRIM(_xlfn.TEXTSPLIT($U$92,",")),U185))*1)&gt;0,"Calving season",SUMPRODUCT(ISNUMBER(SEARCH(TRIM(_xlfn.TEXTSPLIT($U$93,",")),U185))*1)&gt;0,"Season after calving"), "")</f>
        <v/>
      </c>
      <c r="W185" s="29" cm="1">
        <f t="array" ref="W185">_xlfn.XLOOKUP(1, (Table_SourceData_PastureBeef_FeedIntakeAdjustment_Variation[Breed]=$Z$158)*(Table_SourceData_PastureBeef_FeedIntakeAdjustment_Variation[Season]=$V185), Table_SourceData_PastureBeef_FeedIntakeAdjustment_Variation[Milk intake/production], 0)</f>
        <v>0</v>
      </c>
      <c r="X185" s="29">
        <v>0</v>
      </c>
      <c r="Y185" s="29" cm="1">
        <f t="array" ref="Y185">_xlfn.XLOOKUP(1, (Table_SourceData_PastureBeef_FeedIntakeAdjustment_Variation[Breed]=$Z$158)*(Table_SourceData_PastureBeef_FeedIntakeAdjustment_Variation[Season]=$V185), Table_SourceData_PastureBeef_FeedIntakeAdjustment_Variation[Milk intake/production], 0)</f>
        <v>0</v>
      </c>
      <c r="Z185" s="29">
        <v>0</v>
      </c>
      <c r="AA185" s="29">
        <v>0</v>
      </c>
      <c r="AB185" s="29">
        <v>0</v>
      </c>
      <c r="AC185" s="29" cm="1">
        <f t="array" ref="AC185">_xlfn.XLOOKUP(1, (Table_SourceData_PastureBeef_FeedIntakeAdjustment_Variation[Breed]=$Z$158)*(Table_SourceData_PastureBeef_FeedIntakeAdjustment_Variation[Season]=$V185), Table_SourceData_PastureBeef_FeedIntakeAdjustment_Variation[Milk intake/production], 0)</f>
        <v>0</v>
      </c>
      <c r="AD185" s="29">
        <v>0</v>
      </c>
      <c r="AE185" s="29">
        <v>0</v>
      </c>
      <c r="AF185" s="29">
        <v>0</v>
      </c>
      <c r="AG185" s="32" t="s">
        <v>53</v>
      </c>
      <c r="AH185" s="32"/>
    </row>
    <row r="186" spans="4:34" ht="20.100000000000001" customHeight="1" x14ac:dyDescent="0.25">
      <c r="D186" s="50" t="str">
        <v>D_j</v>
      </c>
      <c r="E186" s="51" t="str">
        <v>number of days in each time-period (days)</v>
      </c>
      <c r="F186" s="53"/>
      <c r="G186" s="50" t="str">
        <v>days</v>
      </c>
      <c r="H186" s="54" t="str">
        <v>Input</v>
      </c>
      <c r="I186" s="56" t="str" cm="1">
        <f t="array" aca="1" ref="I186" ca="1">HYPERLINK(Common_InputFunctions.Utility_SourceHyperlink($D$196), $D$196)</f>
        <v>M1_Table_D_j</v>
      </c>
      <c r="U186" s="29" t="str">
        <f>TEXT(EDATE('Input - Site'!$E$12,6), "mmmm")</f>
        <v>July</v>
      </c>
      <c r="V186" s="29" t="str" cm="1">
        <f t="array" ref="V186">IFERROR(_xlfn.IFS(SUMPRODUCT(ISNUMBER(SEARCH(TRIM(_xlfn.TEXTSPLIT($U$92,",")),U186))*1)&gt;0,"Calving season",SUMPRODUCT(ISNUMBER(SEARCH(TRIM(_xlfn.TEXTSPLIT($U$93,",")),U186))*1)&gt;0,"Season after calving"), "")</f>
        <v/>
      </c>
      <c r="W186" s="29" cm="1">
        <f t="array" ref="W186">_xlfn.XLOOKUP(1, (Table_SourceData_PastureBeef_FeedIntakeAdjustment_Variation[Breed]=$Z$158)*(Table_SourceData_PastureBeef_FeedIntakeAdjustment_Variation[Season]=$V186), Table_SourceData_PastureBeef_FeedIntakeAdjustment_Variation[Milk intake/production], 0)</f>
        <v>0</v>
      </c>
      <c r="X186" s="29">
        <v>0</v>
      </c>
      <c r="Y186" s="29" cm="1">
        <f t="array" ref="Y186">_xlfn.XLOOKUP(1, (Table_SourceData_PastureBeef_FeedIntakeAdjustment_Variation[Breed]=$Z$158)*(Table_SourceData_PastureBeef_FeedIntakeAdjustment_Variation[Season]=$V186), Table_SourceData_PastureBeef_FeedIntakeAdjustment_Variation[Milk intake/production], 0)</f>
        <v>0</v>
      </c>
      <c r="Z186" s="29">
        <v>0</v>
      </c>
      <c r="AA186" s="29">
        <v>0</v>
      </c>
      <c r="AB186" s="29">
        <v>0</v>
      </c>
      <c r="AC186" s="29" cm="1">
        <f t="array" ref="AC186">_xlfn.XLOOKUP(1, (Table_SourceData_PastureBeef_FeedIntakeAdjustment_Variation[Breed]=$Z$158)*(Table_SourceData_PastureBeef_FeedIntakeAdjustment_Variation[Season]=$V186), Table_SourceData_PastureBeef_FeedIntakeAdjustment_Variation[Milk intake/production], 0)</f>
        <v>0</v>
      </c>
      <c r="AD186" s="29">
        <v>0</v>
      </c>
      <c r="AE186" s="29">
        <v>0</v>
      </c>
      <c r="AF186" s="29">
        <v>0</v>
      </c>
      <c r="AG186" s="32" t="s">
        <v>53</v>
      </c>
      <c r="AH186" s="32"/>
    </row>
    <row r="187" spans="4:34" ht="20.100000000000001" customHeight="1" x14ac:dyDescent="0.25">
      <c r="U187" s="29" t="str">
        <f>TEXT(EDATE('Input - Site'!$E$12,7), "mmmm")</f>
        <v>August</v>
      </c>
      <c r="V187" s="29" t="str" cm="1">
        <f t="array" ref="V187">IFERROR(_xlfn.IFS(SUMPRODUCT(ISNUMBER(SEARCH(TRIM(_xlfn.TEXTSPLIT($U$92,",")),U187))*1)&gt;0,"Calving season",SUMPRODUCT(ISNUMBER(SEARCH(TRIM(_xlfn.TEXTSPLIT($U$93,",")),U187))*1)&gt;0,"Season after calving"), "")</f>
        <v>Calving season</v>
      </c>
      <c r="W187" s="29" cm="1">
        <f t="array" ref="W187">_xlfn.XLOOKUP(1, (Table_SourceData_PastureBeef_FeedIntakeAdjustment_Variation[Breed]=$Z$158)*(Table_SourceData_PastureBeef_FeedIntakeAdjustment_Variation[Season]=$V187), Table_SourceData_PastureBeef_FeedIntakeAdjustment_Variation[Milk intake/production], 0)</f>
        <v>0</v>
      </c>
      <c r="X187" s="29">
        <v>0</v>
      </c>
      <c r="Y187" s="29" cm="1">
        <f t="array" ref="Y187">_xlfn.XLOOKUP(1, (Table_SourceData_PastureBeef_FeedIntakeAdjustment_Variation[Breed]=$Z$158)*(Table_SourceData_PastureBeef_FeedIntakeAdjustment_Variation[Season]=$V187), Table_SourceData_PastureBeef_FeedIntakeAdjustment_Variation[Milk intake/production], 0)</f>
        <v>0</v>
      </c>
      <c r="Z187" s="29">
        <v>0</v>
      </c>
      <c r="AA187" s="29">
        <v>0</v>
      </c>
      <c r="AB187" s="29">
        <v>0</v>
      </c>
      <c r="AC187" s="29" cm="1">
        <f t="array" ref="AC187">_xlfn.XLOOKUP(1, (Table_SourceData_PastureBeef_FeedIntakeAdjustment_Variation[Breed]=$Z$158)*(Table_SourceData_PastureBeef_FeedIntakeAdjustment_Variation[Season]=$V187), Table_SourceData_PastureBeef_FeedIntakeAdjustment_Variation[Milk intake/production], 0)</f>
        <v>0</v>
      </c>
      <c r="AD187" s="29">
        <v>0</v>
      </c>
      <c r="AE187" s="29">
        <v>0</v>
      </c>
      <c r="AF187" s="29">
        <v>0</v>
      </c>
      <c r="AG187" s="32" t="s">
        <v>53</v>
      </c>
      <c r="AH187" s="32"/>
    </row>
    <row r="188" spans="4:34" ht="20.100000000000001" customHeight="1" x14ac:dyDescent="0.25">
      <c r="D188" s="57" t="s">
        <v>109</v>
      </c>
      <c r="U188" s="29" t="str">
        <f>TEXT(EDATE('Input - Site'!$E$12,8), "mmmm")</f>
        <v>September</v>
      </c>
      <c r="V188" s="29" t="str" cm="1">
        <f t="array" ref="V188">IFERROR(_xlfn.IFS(SUMPRODUCT(ISNUMBER(SEARCH(TRIM(_xlfn.TEXTSPLIT($U$92,",")),U188))*1)&gt;0,"Calving season",SUMPRODUCT(ISNUMBER(SEARCH(TRIM(_xlfn.TEXTSPLIT($U$93,",")),U188))*1)&gt;0,"Season after calving"), "")</f>
        <v>Calving season</v>
      </c>
      <c r="W188" s="29" cm="1">
        <f t="array" ref="W188">_xlfn.XLOOKUP(1, (Table_SourceData_PastureBeef_FeedIntakeAdjustment_Variation[Breed]=$Z$158)*(Table_SourceData_PastureBeef_FeedIntakeAdjustment_Variation[Season]=$V188), Table_SourceData_PastureBeef_FeedIntakeAdjustment_Variation[Milk intake/production], 0)</f>
        <v>0</v>
      </c>
      <c r="X188" s="29">
        <v>0</v>
      </c>
      <c r="Y188" s="29" cm="1">
        <f t="array" ref="Y188">_xlfn.XLOOKUP(1, (Table_SourceData_PastureBeef_FeedIntakeAdjustment_Variation[Breed]=$Z$158)*(Table_SourceData_PastureBeef_FeedIntakeAdjustment_Variation[Season]=$V188), Table_SourceData_PastureBeef_FeedIntakeAdjustment_Variation[Milk intake/production], 0)</f>
        <v>0</v>
      </c>
      <c r="Z188" s="29">
        <v>0</v>
      </c>
      <c r="AA188" s="29">
        <v>0</v>
      </c>
      <c r="AB188" s="29">
        <v>0</v>
      </c>
      <c r="AC188" s="29" cm="1">
        <f t="array" ref="AC188">_xlfn.XLOOKUP(1, (Table_SourceData_PastureBeef_FeedIntakeAdjustment_Variation[Breed]=$Z$158)*(Table_SourceData_PastureBeef_FeedIntakeAdjustment_Variation[Season]=$V188), Table_SourceData_PastureBeef_FeedIntakeAdjustment_Variation[Milk intake/production], 0)</f>
        <v>0</v>
      </c>
      <c r="AD188" s="29">
        <v>0</v>
      </c>
      <c r="AE188" s="29">
        <v>0</v>
      </c>
      <c r="AF188" s="29">
        <v>0</v>
      </c>
      <c r="AG188" s="32" t="s">
        <v>53</v>
      </c>
    </row>
    <row r="189" spans="4:34" ht="20.100000000000001" customHeight="1" x14ac:dyDescent="0.25">
      <c r="D189" s="58" t="s">
        <v>110</v>
      </c>
      <c r="U189" s="29" t="str">
        <f>TEXT(EDATE('Input - Site'!$E$12,9), "mmmm")</f>
        <v>October</v>
      </c>
      <c r="V189" s="29" t="str" cm="1">
        <f t="array" ref="V189">IFERROR(_xlfn.IFS(SUMPRODUCT(ISNUMBER(SEARCH(TRIM(_xlfn.TEXTSPLIT($U$92,",")),U189))*1)&gt;0,"Calving season",SUMPRODUCT(ISNUMBER(SEARCH(TRIM(_xlfn.TEXTSPLIT($U$93,",")),U189))*1)&gt;0,"Season after calving"), "")</f>
        <v>Calving season</v>
      </c>
      <c r="W189" s="29" cm="1">
        <f t="array" ref="W189">_xlfn.XLOOKUP(1, (Table_SourceData_PastureBeef_FeedIntakeAdjustment_Variation[Breed]=$Z$158)*(Table_SourceData_PastureBeef_FeedIntakeAdjustment_Variation[Season]=$V189), Table_SourceData_PastureBeef_FeedIntakeAdjustment_Variation[Milk intake/production], 0)</f>
        <v>0</v>
      </c>
      <c r="X189" s="29">
        <v>0</v>
      </c>
      <c r="Y189" s="29" cm="1">
        <f t="array" ref="Y189">_xlfn.XLOOKUP(1, (Table_SourceData_PastureBeef_FeedIntakeAdjustment_Variation[Breed]=$Z$158)*(Table_SourceData_PastureBeef_FeedIntakeAdjustment_Variation[Season]=$V189), Table_SourceData_PastureBeef_FeedIntakeAdjustment_Variation[Milk intake/production], 0)</f>
        <v>0</v>
      </c>
      <c r="Z189" s="29">
        <v>0</v>
      </c>
      <c r="AA189" s="29">
        <v>0</v>
      </c>
      <c r="AB189" s="29">
        <v>0</v>
      </c>
      <c r="AC189" s="29" cm="1">
        <f t="array" ref="AC189">_xlfn.XLOOKUP(1, (Table_SourceData_PastureBeef_FeedIntakeAdjustment_Variation[Breed]=$Z$158)*(Table_SourceData_PastureBeef_FeedIntakeAdjustment_Variation[Season]=$V189), Table_SourceData_PastureBeef_FeedIntakeAdjustment_Variation[Milk intake/production], 0)</f>
        <v>0</v>
      </c>
      <c r="AD189" s="29">
        <v>0</v>
      </c>
      <c r="AE189" s="29">
        <v>0</v>
      </c>
      <c r="AF189" s="29">
        <v>0</v>
      </c>
      <c r="AG189" s="32" t="s">
        <v>53</v>
      </c>
    </row>
    <row r="190" spans="4:34" ht="20.100000000000001" customHeight="1" x14ac:dyDescent="0.25">
      <c r="D190" s="59" t="s">
        <v>84</v>
      </c>
      <c r="E190" s="60" t="s">
        <v>31</v>
      </c>
      <c r="F190" s="60" t="s">
        <v>32</v>
      </c>
      <c r="G190" s="60" t="s">
        <v>33</v>
      </c>
      <c r="H190" s="60" t="s">
        <v>34</v>
      </c>
      <c r="I190" s="60" t="s">
        <v>35</v>
      </c>
      <c r="J190" s="60" t="s">
        <v>36</v>
      </c>
      <c r="K190" s="60" t="s">
        <v>37</v>
      </c>
      <c r="L190" s="60" t="s">
        <v>38</v>
      </c>
      <c r="M190" s="60" t="s">
        <v>39</v>
      </c>
      <c r="N190" s="60" t="s">
        <v>40</v>
      </c>
      <c r="U190" s="29" t="str">
        <f>TEXT(EDATE('Input - Site'!$E$12,10), "mmmm")</f>
        <v>November</v>
      </c>
      <c r="V190" s="29" t="str" cm="1">
        <f t="array" ref="V190">IFERROR(_xlfn.IFS(SUMPRODUCT(ISNUMBER(SEARCH(TRIM(_xlfn.TEXTSPLIT($U$92,",")),U190))*1)&gt;0,"Calving season",SUMPRODUCT(ISNUMBER(SEARCH(TRIM(_xlfn.TEXTSPLIT($U$93,",")),U190))*1)&gt;0,"Season after calving"), "")</f>
        <v>Season after calving</v>
      </c>
      <c r="W190" s="29" cm="1">
        <f t="array" ref="W190">_xlfn.XLOOKUP(1, (Table_SourceData_PastureBeef_FeedIntakeAdjustment_Variation[Breed]=$Z$158)*(Table_SourceData_PastureBeef_FeedIntakeAdjustment_Variation[Season]=$V190), Table_SourceData_PastureBeef_FeedIntakeAdjustment_Variation[Milk intake/production], 0)</f>
        <v>0</v>
      </c>
      <c r="X190" s="29">
        <v>0</v>
      </c>
      <c r="Y190" s="29" cm="1">
        <f t="array" ref="Y190">_xlfn.XLOOKUP(1, (Table_SourceData_PastureBeef_FeedIntakeAdjustment_Variation[Breed]=$Z$158)*(Table_SourceData_PastureBeef_FeedIntakeAdjustment_Variation[Season]=$V190), Table_SourceData_PastureBeef_FeedIntakeAdjustment_Variation[Milk intake/production], 0)</f>
        <v>0</v>
      </c>
      <c r="Z190" s="29">
        <v>0</v>
      </c>
      <c r="AA190" s="29">
        <v>0</v>
      </c>
      <c r="AB190" s="29">
        <v>0</v>
      </c>
      <c r="AC190" s="29" cm="1">
        <f t="array" ref="AC190">_xlfn.XLOOKUP(1, (Table_SourceData_PastureBeef_FeedIntakeAdjustment_Variation[Breed]=$Z$158)*(Table_SourceData_PastureBeef_FeedIntakeAdjustment_Variation[Season]=$V190), Table_SourceData_PastureBeef_FeedIntakeAdjustment_Variation[Milk intake/production], 0)</f>
        <v>0</v>
      </c>
      <c r="AD190" s="29">
        <v>0</v>
      </c>
      <c r="AE190" s="29">
        <v>0</v>
      </c>
      <c r="AF190" s="29">
        <v>0</v>
      </c>
      <c r="AG190" s="32" t="s">
        <v>53</v>
      </c>
    </row>
    <row r="191" spans="4:34" ht="20.100000000000001" customHeight="1" x14ac:dyDescent="0.25">
      <c r="D191" s="29" t="s">
        <v>41</v>
      </c>
      <c r="E191" s="29" cm="1">
        <f t="array" aca="1" ref="E191:N194" ca="1">OFFSET(X_Table_PastureBeef_Head_Method1, 1,1, 4,10)</f>
        <v>100</v>
      </c>
      <c r="F191" s="29">
        <f ca="1"/>
        <v>100</v>
      </c>
      <c r="G191" s="29">
        <f ca="1"/>
        <v>100</v>
      </c>
      <c r="H191" s="29">
        <f ca="1"/>
        <v>100</v>
      </c>
      <c r="I191" s="29">
        <f ca="1"/>
        <v>100</v>
      </c>
      <c r="J191" s="29">
        <f ca="1"/>
        <v>100</v>
      </c>
      <c r="K191" s="29">
        <f ca="1"/>
        <v>100</v>
      </c>
      <c r="L191" s="29">
        <f ca="1"/>
        <v>100</v>
      </c>
      <c r="M191" s="29">
        <f ca="1"/>
        <v>100</v>
      </c>
      <c r="N191" s="29">
        <f ca="1"/>
        <v>100</v>
      </c>
      <c r="O191" s="32" t="s">
        <v>228</v>
      </c>
      <c r="U191" s="29" t="str">
        <f>TEXT(EDATE('Input - Site'!$E$12,11), "mmmm")</f>
        <v>December</v>
      </c>
      <c r="V191" s="29" t="str" cm="1">
        <f t="array" ref="V191">IFERROR(_xlfn.IFS(SUMPRODUCT(ISNUMBER(SEARCH(TRIM(_xlfn.TEXTSPLIT($U$92,",")),U191))*1)&gt;0,"Calving season",SUMPRODUCT(ISNUMBER(SEARCH(TRIM(_xlfn.TEXTSPLIT($U$93,",")),U191))*1)&gt;0,"Season after calving"), "")</f>
        <v>Season after calving</v>
      </c>
      <c r="W191" s="29" cm="1">
        <f t="array" ref="W191">_xlfn.XLOOKUP(1, (Table_SourceData_PastureBeef_FeedIntakeAdjustment_Variation[Breed]=$Z$158)*(Table_SourceData_PastureBeef_FeedIntakeAdjustment_Variation[Season]=$V191), Table_SourceData_PastureBeef_FeedIntakeAdjustment_Variation[Milk intake/production], 0)</f>
        <v>0</v>
      </c>
      <c r="X191" s="29">
        <v>0</v>
      </c>
      <c r="Y191" s="29" cm="1">
        <f t="array" ref="Y191">_xlfn.XLOOKUP(1, (Table_SourceData_PastureBeef_FeedIntakeAdjustment_Variation[Breed]=$Z$158)*(Table_SourceData_PastureBeef_FeedIntakeAdjustment_Variation[Season]=$V191), Table_SourceData_PastureBeef_FeedIntakeAdjustment_Variation[Milk intake/production], 0)</f>
        <v>0</v>
      </c>
      <c r="Z191" s="29">
        <v>0</v>
      </c>
      <c r="AA191" s="29">
        <v>0</v>
      </c>
      <c r="AB191" s="29">
        <v>0</v>
      </c>
      <c r="AC191" s="29" cm="1">
        <f t="array" ref="AC191">_xlfn.XLOOKUP(1, (Table_SourceData_PastureBeef_FeedIntakeAdjustment_Variation[Breed]=$Z$158)*(Table_SourceData_PastureBeef_FeedIntakeAdjustment_Variation[Season]=$V191), Table_SourceData_PastureBeef_FeedIntakeAdjustment_Variation[Milk intake/production], 0)</f>
        <v>0</v>
      </c>
      <c r="AD191" s="29">
        <v>0</v>
      </c>
      <c r="AE191" s="29">
        <v>0</v>
      </c>
      <c r="AF191" s="29">
        <v>0</v>
      </c>
      <c r="AG191" s="32" t="s">
        <v>53</v>
      </c>
    </row>
    <row r="192" spans="4:34" ht="20.100000000000001" customHeight="1" x14ac:dyDescent="0.25">
      <c r="D192" s="29" t="s">
        <v>43</v>
      </c>
      <c r="E192" s="29">
        <f ca="1"/>
        <v>100</v>
      </c>
      <c r="F192" s="29">
        <f ca="1"/>
        <v>100</v>
      </c>
      <c r="G192" s="29">
        <f ca="1"/>
        <v>100</v>
      </c>
      <c r="H192" s="29">
        <f ca="1"/>
        <v>100</v>
      </c>
      <c r="I192" s="29">
        <f ca="1"/>
        <v>100</v>
      </c>
      <c r="J192" s="29">
        <f ca="1"/>
        <v>100</v>
      </c>
      <c r="K192" s="29">
        <f ca="1"/>
        <v>100</v>
      </c>
      <c r="L192" s="29">
        <f ca="1"/>
        <v>100</v>
      </c>
      <c r="M192" s="29">
        <f ca="1"/>
        <v>100</v>
      </c>
      <c r="N192" s="29">
        <f ca="1"/>
        <v>100</v>
      </c>
      <c r="O192" s="32" t="s">
        <v>228</v>
      </c>
    </row>
    <row r="193" spans="4:34" ht="20.100000000000001" customHeight="1" x14ac:dyDescent="0.25">
      <c r="D193" s="29" t="s">
        <v>44</v>
      </c>
      <c r="E193" s="29">
        <f ca="1"/>
        <v>100</v>
      </c>
      <c r="F193" s="29">
        <f ca="1"/>
        <v>100</v>
      </c>
      <c r="G193" s="29">
        <f ca="1"/>
        <v>100</v>
      </c>
      <c r="H193" s="29">
        <f ca="1"/>
        <v>100</v>
      </c>
      <c r="I193" s="29">
        <f ca="1"/>
        <v>100</v>
      </c>
      <c r="J193" s="29">
        <f ca="1"/>
        <v>100</v>
      </c>
      <c r="K193" s="29">
        <f ca="1"/>
        <v>100</v>
      </c>
      <c r="L193" s="29">
        <f ca="1"/>
        <v>100</v>
      </c>
      <c r="M193" s="29">
        <f ca="1"/>
        <v>100</v>
      </c>
      <c r="N193" s="29">
        <f ca="1"/>
        <v>100</v>
      </c>
      <c r="O193" s="32" t="s">
        <v>228</v>
      </c>
      <c r="U193" s="57" t="s">
        <v>265</v>
      </c>
    </row>
    <row r="194" spans="4:34" ht="20.100000000000001" customHeight="1" x14ac:dyDescent="0.25">
      <c r="D194" s="29" t="s">
        <v>45</v>
      </c>
      <c r="E194" s="29">
        <f ca="1"/>
        <v>100</v>
      </c>
      <c r="F194" s="29">
        <f ca="1"/>
        <v>100</v>
      </c>
      <c r="G194" s="29">
        <f ca="1"/>
        <v>100</v>
      </c>
      <c r="H194" s="29">
        <f ca="1"/>
        <v>100</v>
      </c>
      <c r="I194" s="29">
        <f ca="1"/>
        <v>100</v>
      </c>
      <c r="J194" s="29">
        <f ca="1"/>
        <v>100</v>
      </c>
      <c r="K194" s="29">
        <f ca="1"/>
        <v>100</v>
      </c>
      <c r="L194" s="29">
        <f ca="1"/>
        <v>100</v>
      </c>
      <c r="M194" s="29">
        <f ca="1"/>
        <v>100</v>
      </c>
      <c r="N194" s="29">
        <f ca="1"/>
        <v>100</v>
      </c>
      <c r="O194" s="32" t="s">
        <v>228</v>
      </c>
      <c r="U194" s="58" t="s">
        <v>266</v>
      </c>
    </row>
    <row r="195" spans="4:34" ht="20.100000000000001" customHeight="1" x14ac:dyDescent="0.25">
      <c r="U195" s="59" t="s">
        <v>87</v>
      </c>
      <c r="V195" s="59" t="s">
        <v>31</v>
      </c>
      <c r="W195" s="59" t="s">
        <v>32</v>
      </c>
      <c r="X195" s="59" t="s">
        <v>33</v>
      </c>
      <c r="Y195" s="59" t="s">
        <v>34</v>
      </c>
      <c r="Z195" s="59" t="s">
        <v>35</v>
      </c>
      <c r="AA195" s="59" t="s">
        <v>36</v>
      </c>
      <c r="AB195" s="59" t="s">
        <v>37</v>
      </c>
      <c r="AC195" s="59" t="s">
        <v>38</v>
      </c>
      <c r="AD195" s="59" t="s">
        <v>39</v>
      </c>
      <c r="AE195" s="59" t="s">
        <v>40</v>
      </c>
    </row>
    <row r="196" spans="4:34" ht="20.100000000000001" customHeight="1" x14ac:dyDescent="0.25">
      <c r="D196" s="57" t="s">
        <v>111</v>
      </c>
      <c r="U196" s="29" t="str">
        <f>TEXT('Input - Site'!$E$12, "mmmm yyyy")</f>
        <v>January 2024</v>
      </c>
      <c r="V196" s="29" cm="1">
        <f t="array" aca="1" ref="V196" ca="1">MMS_PastureBeef_Soil_N2ODirect_Equations.VEERG_4_2_1_3__3_NitrogenExcreted(V56,V164,W180,V136,V20)</f>
        <v>9.3275223802458812E-2</v>
      </c>
      <c r="W196" s="29" cm="1">
        <f t="array" aca="1" ref="W196" ca="1">MMS_PastureBeef_Soil_N2ODirect_Equations.VEERG_4_2_1_3__3_NitrogenExcreted(W56,W164,X180,W136,W20)</f>
        <v>0.13601872675007995</v>
      </c>
      <c r="X196" s="29" cm="1">
        <f t="array" aca="1" ref="X196" ca="1">MMS_PastureBeef_Soil_N2ODirect_Equations.VEERG_4_2_1_3__3_NitrogenExcreted(X56,X164,Y180,X136,X20)</f>
        <v>7.7811027960341214E-2</v>
      </c>
      <c r="Y196" s="29" cm="1">
        <f t="array" aca="1" ref="Y196" ca="1">MMS_PastureBeef_Soil_N2ODirect_Equations.VEERG_4_2_1_3__3_NitrogenExcreted(Y56,Y164,Z180,Y136,Y20)</f>
        <v>0.10103589494585365</v>
      </c>
      <c r="Z196" s="29" cm="1">
        <f t="array" aca="1" ref="Z196" ca="1">MMS_PastureBeef_Soil_N2ODirect_Equations.VEERG_4_2_1_3__3_NitrogenExcreted(Z56,Z164,AA180,Z136,Z20)</f>
        <v>0.10613051058639233</v>
      </c>
      <c r="AA196" s="29" cm="1">
        <f t="array" aca="1" ref="AA196" ca="1">MMS_PastureBeef_Soil_N2ODirect_Equations.VEERG_4_2_1_3__3_NitrogenExcreted(AA56,AA164,AB180,AA136,AA20)</f>
        <v>0.10613051058639233</v>
      </c>
      <c r="AB196" s="29" cm="1">
        <f t="array" aca="1" ref="AB196" ca="1">MMS_PastureBeef_Soil_N2ODirect_Equations.VEERG_4_2_1_3__3_NitrogenExcreted(AB56,AB164,AC180,AB136,AB20)</f>
        <v>8.562550571362422E-2</v>
      </c>
      <c r="AC196" s="29" cm="1">
        <f t="array" aca="1" ref="AC196" ca="1">MMS_PastureBeef_Soil_N2ODirect_Equations.VEERG_4_2_1_3__3_NitrogenExcreted(AC56,AC164,AD180,AC136,AC20)</f>
        <v>0.1054491491748196</v>
      </c>
      <c r="AD196" s="29" cm="1">
        <f t="array" aca="1" ref="AD196" ca="1">MMS_PastureBeef_Soil_N2ODirect_Equations.VEERG_4_2_1_3__3_NitrogenExcreted(AD56,AD164,AE180,AD136,AD20)</f>
        <v>0.1054491491748196</v>
      </c>
      <c r="AE196" s="29" cm="1">
        <f t="array" aca="1" ref="AE196" ca="1">MMS_PastureBeef_Soil_N2ODirect_Equations.VEERG_4_2_1_3__3_NitrogenExcreted(AE56,AE164,AF180,AE136,AE20)</f>
        <v>0.1054491491748196</v>
      </c>
      <c r="AF196" s="32" t="str">
        <f t="shared" ref="AF196:AF207" si="9">$E$140</f>
        <v>kg N/head/day</v>
      </c>
      <c r="AG196" s="32"/>
      <c r="AH196" s="32"/>
    </row>
    <row r="197" spans="4:34" ht="20.100000000000001" customHeight="1" x14ac:dyDescent="0.25">
      <c r="D197" s="58" t="s">
        <v>112</v>
      </c>
      <c r="U197" s="29" t="str">
        <f>TEXT(EDATE('Input - Site'!$E$12,1), "mmmm yyyy")</f>
        <v>February 2024</v>
      </c>
      <c r="V197" s="29" cm="1">
        <f t="array" aca="1" ref="V197" ca="1">MMS_PastureBeef_Soil_N2ODirect_Equations.VEERG_4_2_1_3__3_NitrogenExcreted(V57,V165,W181,V137,V21)</f>
        <v>9.3275223802458812E-2</v>
      </c>
      <c r="W197" s="29" cm="1">
        <f t="array" aca="1" ref="W197" ca="1">MMS_PastureBeef_Soil_N2ODirect_Equations.VEERG_4_2_1_3__3_NitrogenExcreted(W57,W165,X181,W137,W21)</f>
        <v>0.13601872675007995</v>
      </c>
      <c r="X197" s="29" cm="1">
        <f t="array" aca="1" ref="X197" ca="1">MMS_PastureBeef_Soil_N2ODirect_Equations.VEERG_4_2_1_3__3_NitrogenExcreted(X57,X165,Y181,X137,X21)</f>
        <v>7.7811027960341214E-2</v>
      </c>
      <c r="Y197" s="29" cm="1">
        <f t="array" aca="1" ref="Y197" ca="1">MMS_PastureBeef_Soil_N2ODirect_Equations.VEERG_4_2_1_3__3_NitrogenExcreted(Y57,Y165,Z181,Y137,Y21)</f>
        <v>0.10758035881234858</v>
      </c>
      <c r="Z197" s="29" cm="1">
        <f t="array" aca="1" ref="Z197" ca="1">MMS_PastureBeef_Soil_N2ODirect_Equations.VEERG_4_2_1_3__3_NitrogenExcreted(Z57,Z165,AA181,Z137,Z21)</f>
        <v>0.11276190880086426</v>
      </c>
      <c r="AA197" s="29" cm="1">
        <f t="array" aca="1" ref="AA197" ca="1">MMS_PastureBeef_Soil_N2ODirect_Equations.VEERG_4_2_1_3__3_NitrogenExcreted(AA57,AA165,AB181,AA137,AA21)</f>
        <v>0.11276190880086426</v>
      </c>
      <c r="AB197" s="29" cm="1">
        <f t="array" aca="1" ref="AB197" ca="1">MMS_PastureBeef_Soil_N2ODirect_Equations.VEERG_4_2_1_3__3_NitrogenExcreted(AB57,AB165,AC181,AB137,AB21)</f>
        <v>8.562550571362422E-2</v>
      </c>
      <c r="AC197" s="29" cm="1">
        <f t="array" aca="1" ref="AC197" ca="1">MMS_PastureBeef_Soil_N2ODirect_Equations.VEERG_4_2_1_3__3_NitrogenExcreted(AC57,AC165,AD181,AC137,AC21)</f>
        <v>0.1054491491748196</v>
      </c>
      <c r="AD197" s="29" cm="1">
        <f t="array" aca="1" ref="AD197" ca="1">MMS_PastureBeef_Soil_N2ODirect_Equations.VEERG_4_2_1_3__3_NitrogenExcreted(AD57,AD165,AE181,AD137,AD21)</f>
        <v>0.1054491491748196</v>
      </c>
      <c r="AE197" s="29" cm="1">
        <f t="array" aca="1" ref="AE197" ca="1">MMS_PastureBeef_Soil_N2ODirect_Equations.VEERG_4_2_1_3__3_NitrogenExcreted(AE57,AE165,AF181,AE137,AE21)</f>
        <v>0.1054491491748196</v>
      </c>
      <c r="AF197" s="32" t="str">
        <f t="shared" si="9"/>
        <v>kg N/head/day</v>
      </c>
      <c r="AG197" s="32"/>
      <c r="AH197" s="32"/>
    </row>
    <row r="198" spans="4:34" ht="20.100000000000001" customHeight="1" x14ac:dyDescent="0.25">
      <c r="D198" s="59" t="s">
        <v>84</v>
      </c>
      <c r="E198" s="60" t="s">
        <v>31</v>
      </c>
      <c r="F198" s="60" t="s">
        <v>32</v>
      </c>
      <c r="G198" s="60" t="s">
        <v>33</v>
      </c>
      <c r="H198" s="60" t="s">
        <v>34</v>
      </c>
      <c r="I198" s="60" t="s">
        <v>35</v>
      </c>
      <c r="J198" s="60" t="s">
        <v>36</v>
      </c>
      <c r="K198" s="60" t="s">
        <v>37</v>
      </c>
      <c r="L198" s="60" t="s">
        <v>38</v>
      </c>
      <c r="M198" s="60" t="s">
        <v>39</v>
      </c>
      <c r="N198" s="60" t="s">
        <v>40</v>
      </c>
      <c r="U198" s="29" t="str">
        <f>TEXT(EDATE('Input - Site'!$E$12,2), "mmmm yyyy")</f>
        <v>March 2024</v>
      </c>
      <c r="V198" s="29" cm="1">
        <f t="array" aca="1" ref="V198" ca="1">MMS_PastureBeef_Soil_N2ODirect_Equations.VEERG_4_2_1_3__3_NitrogenExcreted(V58,V166,W182,V138,V22)</f>
        <v>1.3490587405558481E-2</v>
      </c>
      <c r="W198" s="29" cm="1">
        <f t="array" aca="1" ref="W198" ca="1">MMS_PastureBeef_Soil_N2ODirect_Equations.VEERG_4_2_1_3__3_NitrogenExcreted(W58,W166,X182,W138,W22)</f>
        <v>8.8133023634157495E-2</v>
      </c>
      <c r="X198" s="29" cm="1">
        <f t="array" aca="1" ref="X198" ca="1">MMS_PastureBeef_Soil_N2ODirect_Equations.VEERG_4_2_1_3__3_NitrogenExcreted(X58,X166,Y182,X138,X22)</f>
        <v>1.1001898802853755E-2</v>
      </c>
      <c r="Y198" s="29" cm="1">
        <f t="array" aca="1" ref="Y198" ca="1">MMS_PastureBeef_Soil_N2ODirect_Equations.VEERG_4_2_1_3__3_NitrogenExcreted(Y58,Y166,Z182,Y138,Y22)</f>
        <v>5.2330323088884703E-2</v>
      </c>
      <c r="Z198" s="29" cm="1">
        <f t="array" aca="1" ref="Z198" ca="1">MMS_PastureBeef_Soil_N2ODirect_Equations.VEERG_4_2_1_3__3_NitrogenExcreted(Z58,Z166,AA182,Z138,Z22)</f>
        <v>6.9185083188389812E-2</v>
      </c>
      <c r="AA198" s="29" cm="1">
        <f t="array" aca="1" ref="AA198" ca="1">MMS_PastureBeef_Soil_N2ODirect_Equations.VEERG_4_2_1_3__3_NitrogenExcreted(AA58,AA166,AB182,AA138,AA22)</f>
        <v>6.9185083188389812E-2</v>
      </c>
      <c r="AB198" s="29" cm="1">
        <f t="array" aca="1" ref="AB198" ca="1">MMS_PastureBeef_Soil_N2ODirect_Equations.VEERG_4_2_1_3__3_NitrogenExcreted(AB58,AB166,AC182,AB138,AB22)</f>
        <v>1.3731587835013218E-2</v>
      </c>
      <c r="AC198" s="29" cm="1">
        <f t="array" aca="1" ref="AC198" ca="1">MMS_PastureBeef_Soil_N2ODirect_Equations.VEERG_4_2_1_3__3_NitrogenExcreted(AC58,AC166,AD182,AC138,AC22)</f>
        <v>5.520208336562428E-2</v>
      </c>
      <c r="AD198" s="29" cm="1">
        <f t="array" aca="1" ref="AD198" ca="1">MMS_PastureBeef_Soil_N2ODirect_Equations.VEERG_4_2_1_3__3_NitrogenExcreted(AD58,AD166,AE182,AD138,AD22)</f>
        <v>5.520208336562428E-2</v>
      </c>
      <c r="AE198" s="29" cm="1">
        <f t="array" aca="1" ref="AE198" ca="1">MMS_PastureBeef_Soil_N2ODirect_Equations.VEERG_4_2_1_3__3_NitrogenExcreted(AE58,AE166,AF182,AE138,AE22)</f>
        <v>5.520208336562428E-2</v>
      </c>
      <c r="AF198" s="32" t="str">
        <f t="shared" si="9"/>
        <v>kg N/head/day</v>
      </c>
      <c r="AG198" s="32"/>
      <c r="AH198" s="32"/>
    </row>
    <row r="199" spans="4:34" ht="20.100000000000001" customHeight="1" x14ac:dyDescent="0.25">
      <c r="D199" s="29" t="s">
        <v>41</v>
      </c>
      <c r="E199" s="29" cm="1">
        <f t="array" aca="1" ref="E199:N202" ca="1">OFFSET(X_Table_PastureBeef_Duration_Method1, 1,1, 4,10)</f>
        <v>91.25</v>
      </c>
      <c r="F199" s="29">
        <f ca="1"/>
        <v>91.25</v>
      </c>
      <c r="G199" s="29">
        <f ca="1"/>
        <v>91.25</v>
      </c>
      <c r="H199" s="29">
        <f ca="1"/>
        <v>91.25</v>
      </c>
      <c r="I199" s="29">
        <f ca="1"/>
        <v>91.25</v>
      </c>
      <c r="J199" s="29">
        <f ca="1"/>
        <v>91.25</v>
      </c>
      <c r="K199" s="29">
        <f ca="1"/>
        <v>91.25</v>
      </c>
      <c r="L199" s="29">
        <f ca="1"/>
        <v>91.25</v>
      </c>
      <c r="M199" s="29">
        <f ca="1"/>
        <v>91.25</v>
      </c>
      <c r="N199" s="29">
        <f ca="1"/>
        <v>91.25</v>
      </c>
      <c r="O199" s="32" t="s">
        <v>229</v>
      </c>
      <c r="U199" s="29" t="str">
        <f>TEXT(EDATE('Input - Site'!$E$12,3), "mmmm yyyy")</f>
        <v>April 2024</v>
      </c>
      <c r="V199" s="29" cm="1">
        <f t="array" aca="1" ref="V199" ca="1">MMS_PastureBeef_Soil_N2ODirect_Equations.VEERG_4_2_1_3__3_NitrogenExcreted(V59,V167,W183,V139,V23)</f>
        <v>1.3490587405558481E-2</v>
      </c>
      <c r="W199" s="29" cm="1">
        <f t="array" aca="1" ref="W199" ca="1">MMS_PastureBeef_Soil_N2ODirect_Equations.VEERG_4_2_1_3__3_NitrogenExcreted(W59,W167,X183,W139,W23)</f>
        <v>8.8133023634157495E-2</v>
      </c>
      <c r="X199" s="29" cm="1">
        <f t="array" aca="1" ref="X199" ca="1">MMS_PastureBeef_Soil_N2ODirect_Equations.VEERG_4_2_1_3__3_NitrogenExcreted(X59,X167,Y183,X139,X23)</f>
        <v>1.1001898802853755E-2</v>
      </c>
      <c r="Y199" s="29" cm="1">
        <f t="array" aca="1" ref="Y199" ca="1">MMS_PastureBeef_Soil_N2ODirect_Equations.VEERG_4_2_1_3__3_NitrogenExcreted(Y59,Y167,Z183,Y139,Y23)</f>
        <v>5.2330323088884703E-2</v>
      </c>
      <c r="Z199" s="29" cm="1">
        <f t="array" aca="1" ref="Z199" ca="1">MMS_PastureBeef_Soil_N2ODirect_Equations.VEERG_4_2_1_3__3_NitrogenExcreted(Z59,Z167,AA183,Z139,Z23)</f>
        <v>6.9185083188389812E-2</v>
      </c>
      <c r="AA199" s="29" cm="1">
        <f t="array" aca="1" ref="AA199" ca="1">MMS_PastureBeef_Soil_N2ODirect_Equations.VEERG_4_2_1_3__3_NitrogenExcreted(AA59,AA167,AB183,AA139,AA23)</f>
        <v>6.9185083188389812E-2</v>
      </c>
      <c r="AB199" s="29" cm="1">
        <f t="array" aca="1" ref="AB199" ca="1">MMS_PastureBeef_Soil_N2ODirect_Equations.VEERG_4_2_1_3__3_NitrogenExcreted(AB59,AB167,AC183,AB139,AB23)</f>
        <v>1.3731587835013218E-2</v>
      </c>
      <c r="AC199" s="29" cm="1">
        <f t="array" aca="1" ref="AC199" ca="1">MMS_PastureBeef_Soil_N2ODirect_Equations.VEERG_4_2_1_3__3_NitrogenExcreted(AC59,AC167,AD183,AC139,AC23)</f>
        <v>5.520208336562428E-2</v>
      </c>
      <c r="AD199" s="29" cm="1">
        <f t="array" aca="1" ref="AD199" ca="1">MMS_PastureBeef_Soil_N2ODirect_Equations.VEERG_4_2_1_3__3_NitrogenExcreted(AD59,AD167,AE183,AD139,AD23)</f>
        <v>5.520208336562428E-2</v>
      </c>
      <c r="AE199" s="29" cm="1">
        <f t="array" aca="1" ref="AE199" ca="1">MMS_PastureBeef_Soil_N2ODirect_Equations.VEERG_4_2_1_3__3_NitrogenExcreted(AE59,AE167,AF183,AE139,AE23)</f>
        <v>5.520208336562428E-2</v>
      </c>
      <c r="AF199" s="32" t="str">
        <f t="shared" si="9"/>
        <v>kg N/head/day</v>
      </c>
      <c r="AG199" s="32"/>
      <c r="AH199" s="32"/>
    </row>
    <row r="200" spans="4:34" ht="20.100000000000001" customHeight="1" x14ac:dyDescent="0.25">
      <c r="D200" s="29" t="s">
        <v>43</v>
      </c>
      <c r="E200" s="29">
        <f ca="1"/>
        <v>91.25</v>
      </c>
      <c r="F200" s="29">
        <f ca="1"/>
        <v>91.25</v>
      </c>
      <c r="G200" s="29">
        <f ca="1"/>
        <v>91.25</v>
      </c>
      <c r="H200" s="29">
        <f ca="1"/>
        <v>91.25</v>
      </c>
      <c r="I200" s="29">
        <f ca="1"/>
        <v>91.25</v>
      </c>
      <c r="J200" s="29">
        <f ca="1"/>
        <v>91.25</v>
      </c>
      <c r="K200" s="29">
        <f ca="1"/>
        <v>91.25</v>
      </c>
      <c r="L200" s="29">
        <f ca="1"/>
        <v>91.25</v>
      </c>
      <c r="M200" s="29">
        <f ca="1"/>
        <v>91.25</v>
      </c>
      <c r="N200" s="29">
        <f ca="1"/>
        <v>91.25</v>
      </c>
      <c r="O200" s="32" t="s">
        <v>229</v>
      </c>
      <c r="U200" s="29" t="str">
        <f>TEXT(EDATE('Input - Site'!$E$12,4), "mmmm yyyy")</f>
        <v>May 2024</v>
      </c>
      <c r="V200" s="29" cm="1">
        <f t="array" aca="1" ref="V200" ca="1">MMS_PastureBeef_Soil_N2ODirect_Equations.VEERG_4_2_1_3__3_NitrogenExcreted(V60,V168,W184,V140,V24)</f>
        <v>1.3490587405558481E-2</v>
      </c>
      <c r="W200" s="29" cm="1">
        <f t="array" aca="1" ref="W200" ca="1">MMS_PastureBeef_Soil_N2ODirect_Equations.VEERG_4_2_1_3__3_NitrogenExcreted(W60,W168,X184,W140,W24)</f>
        <v>8.8133023634157495E-2</v>
      </c>
      <c r="X200" s="29" cm="1">
        <f t="array" aca="1" ref="X200" ca="1">MMS_PastureBeef_Soil_N2ODirect_Equations.VEERG_4_2_1_3__3_NitrogenExcreted(X60,X168,Y184,X140,X24)</f>
        <v>1.1001898802853755E-2</v>
      </c>
      <c r="Y200" s="29" cm="1">
        <f t="array" aca="1" ref="Y200" ca="1">MMS_PastureBeef_Soil_N2ODirect_Equations.VEERG_4_2_1_3__3_NitrogenExcreted(Y60,Y168,Z184,Y140,Y24)</f>
        <v>5.2330323088884703E-2</v>
      </c>
      <c r="Z200" s="29" cm="1">
        <f t="array" aca="1" ref="Z200" ca="1">MMS_PastureBeef_Soil_N2ODirect_Equations.VEERG_4_2_1_3__3_NitrogenExcreted(Z60,Z168,AA184,Z140,Z24)</f>
        <v>6.9185083188389812E-2</v>
      </c>
      <c r="AA200" s="29" cm="1">
        <f t="array" aca="1" ref="AA200" ca="1">MMS_PastureBeef_Soil_N2ODirect_Equations.VEERG_4_2_1_3__3_NitrogenExcreted(AA60,AA168,AB184,AA140,AA24)</f>
        <v>6.9185083188389812E-2</v>
      </c>
      <c r="AB200" s="29" cm="1">
        <f t="array" aca="1" ref="AB200" ca="1">MMS_PastureBeef_Soil_N2ODirect_Equations.VEERG_4_2_1_3__3_NitrogenExcreted(AB60,AB168,AC184,AB140,AB24)</f>
        <v>1.3731587835013218E-2</v>
      </c>
      <c r="AC200" s="29" cm="1">
        <f t="array" aca="1" ref="AC200" ca="1">MMS_PastureBeef_Soil_N2ODirect_Equations.VEERG_4_2_1_3__3_NitrogenExcreted(AC60,AC168,AD184,AC140,AC24)</f>
        <v>5.520208336562428E-2</v>
      </c>
      <c r="AD200" s="29" cm="1">
        <f t="array" aca="1" ref="AD200" ca="1">MMS_PastureBeef_Soil_N2ODirect_Equations.VEERG_4_2_1_3__3_NitrogenExcreted(AD60,AD168,AE184,AD140,AD24)</f>
        <v>5.520208336562428E-2</v>
      </c>
      <c r="AE200" s="29" cm="1">
        <f t="array" aca="1" ref="AE200" ca="1">MMS_PastureBeef_Soil_N2ODirect_Equations.VEERG_4_2_1_3__3_NitrogenExcreted(AE60,AE168,AF184,AE140,AE24)</f>
        <v>5.520208336562428E-2</v>
      </c>
      <c r="AF200" s="32" t="str">
        <f t="shared" si="9"/>
        <v>kg N/head/day</v>
      </c>
      <c r="AG200" s="32"/>
      <c r="AH200" s="32"/>
    </row>
    <row r="201" spans="4:34" ht="20.100000000000001" customHeight="1" x14ac:dyDescent="0.25">
      <c r="D201" s="29" t="s">
        <v>44</v>
      </c>
      <c r="E201" s="29">
        <f ca="1"/>
        <v>91.25</v>
      </c>
      <c r="F201" s="29">
        <f ca="1"/>
        <v>91.25</v>
      </c>
      <c r="G201" s="29">
        <f ca="1"/>
        <v>91.25</v>
      </c>
      <c r="H201" s="29">
        <f ca="1"/>
        <v>91.25</v>
      </c>
      <c r="I201" s="29">
        <f ca="1"/>
        <v>91.25</v>
      </c>
      <c r="J201" s="29">
        <f ca="1"/>
        <v>91.25</v>
      </c>
      <c r="K201" s="29">
        <f ca="1"/>
        <v>91.25</v>
      </c>
      <c r="L201" s="29">
        <f ca="1"/>
        <v>91.25</v>
      </c>
      <c r="M201" s="29">
        <f ca="1"/>
        <v>91.25</v>
      </c>
      <c r="N201" s="29">
        <f ca="1"/>
        <v>91.25</v>
      </c>
      <c r="O201" s="32" t="s">
        <v>229</v>
      </c>
      <c r="U201" s="29" t="str">
        <f>TEXT(EDATE('Input - Site'!$E$12,5), "mmmm yyyy")</f>
        <v>June 2024</v>
      </c>
      <c r="V201" s="29" cm="1">
        <f t="array" aca="1" ref="V201" ca="1">MMS_PastureBeef_Soil_N2ODirect_Equations.VEERG_4_2_1_3__3_NitrogenExcreted(V61,V169,W185,V141,V25)</f>
        <v>0.13772737785106035</v>
      </c>
      <c r="W201" s="29" cm="1">
        <f t="array" aca="1" ref="W201" ca="1">MMS_PastureBeef_Soil_N2ODirect_Equations.VEERG_4_2_1_3__3_NitrogenExcreted(W61,W169,X185,W141,W25)</f>
        <v>0.31425341534791917</v>
      </c>
      <c r="X201" s="29" cm="1">
        <f t="array" aca="1" ref="X201" ca="1">MMS_PastureBeef_Soil_N2ODirect_Equations.VEERG_4_2_1_3__3_NitrogenExcreted(X61,X169,Y185,X141,X25)</f>
        <v>0.11430568530078369</v>
      </c>
      <c r="Y201" s="29" cm="1">
        <f t="array" aca="1" ref="Y201" ca="1">MMS_PastureBeef_Soil_N2ODirect_Equations.VEERG_4_2_1_3__3_NitrogenExcreted(Y61,Y169,Z185,Y141,Y25)</f>
        <v>0.18660765289897449</v>
      </c>
      <c r="Z201" s="29" cm="1">
        <f t="array" aca="1" ref="Z201" ca="1">MMS_PastureBeef_Soil_N2ODirect_Equations.VEERG_4_2_1_3__3_NitrogenExcreted(Z61,Z169,AA185,Z141,Z25)</f>
        <v>0.25135663949490661</v>
      </c>
      <c r="AA201" s="29" cm="1">
        <f t="array" aca="1" ref="AA201" ca="1">MMS_PastureBeef_Soil_N2ODirect_Equations.VEERG_4_2_1_3__3_NitrogenExcreted(AA61,AA169,AB185,AA141,AA25)</f>
        <v>0.25135663949490661</v>
      </c>
      <c r="AB201" s="29" cm="1">
        <f t="array" aca="1" ref="AB201" ca="1">MMS_PastureBeef_Soil_N2ODirect_Equations.VEERG_4_2_1_3__3_NitrogenExcreted(AB61,AB169,AC185,AB141,AB25)</f>
        <v>0.12380983067102717</v>
      </c>
      <c r="AC201" s="29" cm="1">
        <f t="array" aca="1" ref="AC201" ca="1">MMS_PastureBeef_Soil_N2ODirect_Equations.VEERG_4_2_1_3__3_NitrogenExcreted(AC61,AC169,AD185,AC141,AC25)</f>
        <v>0.21091009356426255</v>
      </c>
      <c r="AD201" s="29" cm="1">
        <f t="array" aca="1" ref="AD201" ca="1">MMS_PastureBeef_Soil_N2ODirect_Equations.VEERG_4_2_1_3__3_NitrogenExcreted(AD61,AD169,AE185,AD141,AD25)</f>
        <v>0.21091009356426255</v>
      </c>
      <c r="AE201" s="29" cm="1">
        <f t="array" aca="1" ref="AE201" ca="1">MMS_PastureBeef_Soil_N2ODirect_Equations.VEERG_4_2_1_3__3_NitrogenExcreted(AE61,AE169,AF185,AE141,AE25)</f>
        <v>0.21091009356426255</v>
      </c>
      <c r="AF201" s="32" t="str">
        <f t="shared" si="9"/>
        <v>kg N/head/day</v>
      </c>
      <c r="AG201" s="32"/>
      <c r="AH201" s="32"/>
    </row>
    <row r="202" spans="4:34" ht="20.100000000000001" customHeight="1" x14ac:dyDescent="0.25">
      <c r="D202" s="29" t="s">
        <v>45</v>
      </c>
      <c r="E202" s="29">
        <f ca="1"/>
        <v>91.25</v>
      </c>
      <c r="F202" s="29">
        <f ca="1"/>
        <v>91.25</v>
      </c>
      <c r="G202" s="29">
        <f ca="1"/>
        <v>91.25</v>
      </c>
      <c r="H202" s="29">
        <f ca="1"/>
        <v>91.25</v>
      </c>
      <c r="I202" s="29">
        <f ca="1"/>
        <v>91.25</v>
      </c>
      <c r="J202" s="29">
        <f ca="1"/>
        <v>91.25</v>
      </c>
      <c r="K202" s="29">
        <f ca="1"/>
        <v>91.25</v>
      </c>
      <c r="L202" s="29">
        <f ca="1"/>
        <v>91.25</v>
      </c>
      <c r="M202" s="29">
        <f ca="1"/>
        <v>91.25</v>
      </c>
      <c r="N202" s="29">
        <f ca="1"/>
        <v>91.25</v>
      </c>
      <c r="O202" s="32" t="s">
        <v>229</v>
      </c>
      <c r="U202" s="29" t="str">
        <f>TEXT(EDATE('Input - Site'!$E$12,6), "mmmm yyyy")</f>
        <v>July 2024</v>
      </c>
      <c r="V202" s="29" cm="1">
        <f t="array" aca="1" ref="V202" ca="1">MMS_PastureBeef_Soil_N2ODirect_Equations.VEERG_4_2_1_3__3_NitrogenExcreted(V62,V170,W186,V142,V26)</f>
        <v>0.13772737785106035</v>
      </c>
      <c r="W202" s="29" cm="1">
        <f t="array" aca="1" ref="W202" ca="1">MMS_PastureBeef_Soil_N2ODirect_Equations.VEERG_4_2_1_3__3_NitrogenExcreted(W62,W170,X186,W142,W26)</f>
        <v>0.31425341534791917</v>
      </c>
      <c r="X202" s="29" cm="1">
        <f t="array" aca="1" ref="X202" ca="1">MMS_PastureBeef_Soil_N2ODirect_Equations.VEERG_4_2_1_3__3_NitrogenExcreted(X62,X170,Y186,X142,X26)</f>
        <v>0.11430568530078369</v>
      </c>
      <c r="Y202" s="29" cm="1">
        <f t="array" aca="1" ref="Y202" ca="1">MMS_PastureBeef_Soil_N2ODirect_Equations.VEERG_4_2_1_3__3_NitrogenExcreted(Y62,Y170,Z186,Y142,Y26)</f>
        <v>0.18660765289897449</v>
      </c>
      <c r="Z202" s="29" cm="1">
        <f t="array" aca="1" ref="Z202" ca="1">MMS_PastureBeef_Soil_N2ODirect_Equations.VEERG_4_2_1_3__3_NitrogenExcreted(Z62,Z170,AA186,Z142,Z26)</f>
        <v>0.25135663949490661</v>
      </c>
      <c r="AA202" s="29" cm="1">
        <f t="array" aca="1" ref="AA202" ca="1">MMS_PastureBeef_Soil_N2ODirect_Equations.VEERG_4_2_1_3__3_NitrogenExcreted(AA62,AA170,AB186,AA142,AA26)</f>
        <v>0.25135663949490661</v>
      </c>
      <c r="AB202" s="29" cm="1">
        <f t="array" aca="1" ref="AB202" ca="1">MMS_PastureBeef_Soil_N2ODirect_Equations.VEERG_4_2_1_3__3_NitrogenExcreted(AB62,AB170,AC186,AB142,AB26)</f>
        <v>0.12380983067102717</v>
      </c>
      <c r="AC202" s="29" cm="1">
        <f t="array" aca="1" ref="AC202" ca="1">MMS_PastureBeef_Soil_N2ODirect_Equations.VEERG_4_2_1_3__3_NitrogenExcreted(AC62,AC170,AD186,AC142,AC26)</f>
        <v>0.21091009356426255</v>
      </c>
      <c r="AD202" s="29" cm="1">
        <f t="array" aca="1" ref="AD202" ca="1">MMS_PastureBeef_Soil_N2ODirect_Equations.VEERG_4_2_1_3__3_NitrogenExcreted(AD62,AD170,AE186,AD142,AD26)</f>
        <v>0.21091009356426255</v>
      </c>
      <c r="AE202" s="29" cm="1">
        <f t="array" aca="1" ref="AE202" ca="1">MMS_PastureBeef_Soil_N2ODirect_Equations.VEERG_4_2_1_3__3_NitrogenExcreted(AE62,AE170,AF186,AE142,AE26)</f>
        <v>0.21091009356426255</v>
      </c>
      <c r="AF202" s="32" t="str">
        <f t="shared" si="9"/>
        <v>kg N/head/day</v>
      </c>
      <c r="AG202" s="32"/>
      <c r="AH202" s="32"/>
    </row>
    <row r="203" spans="4:34" ht="20.100000000000001" customHeight="1" x14ac:dyDescent="0.25">
      <c r="U203" s="29" t="str">
        <f>TEXT(EDATE('Input - Site'!$E$12,7), "mmmm yyyy")</f>
        <v>August 2024</v>
      </c>
      <c r="V203" s="29" cm="1">
        <f t="array" aca="1" ref="V203" ca="1">MMS_PastureBeef_Soil_N2ODirect_Equations.VEERG_4_2_1_3__3_NitrogenExcreted(V63,V171,W187,V143,V27)</f>
        <v>0.13772737785106035</v>
      </c>
      <c r="W203" s="29" cm="1">
        <f t="array" aca="1" ref="W203" ca="1">MMS_PastureBeef_Soil_N2ODirect_Equations.VEERG_4_2_1_3__3_NitrogenExcreted(W63,W171,X187,W143,W27)</f>
        <v>0.31425341534791917</v>
      </c>
      <c r="X203" s="29" cm="1">
        <f t="array" aca="1" ref="X203" ca="1">MMS_PastureBeef_Soil_N2ODirect_Equations.VEERG_4_2_1_3__3_NitrogenExcreted(X63,X171,Y187,X143,X27)</f>
        <v>0.11430568530078369</v>
      </c>
      <c r="Y203" s="29" cm="1">
        <f t="array" aca="1" ref="Y203" ca="1">MMS_PastureBeef_Soil_N2ODirect_Equations.VEERG_4_2_1_3__3_NitrogenExcreted(Y63,Y171,Z187,Y143,Y27)</f>
        <v>0.20672431471923791</v>
      </c>
      <c r="Z203" s="29" cm="1">
        <f t="array" aca="1" ref="Z203" ca="1">MMS_PastureBeef_Soil_N2ODirect_Equations.VEERG_4_2_1_3__3_NitrogenExcreted(Z63,Z171,AA187,Z143,Z27)</f>
        <v>0.28604447282279805</v>
      </c>
      <c r="AA203" s="29" cm="1">
        <f t="array" aca="1" ref="AA203" ca="1">MMS_PastureBeef_Soil_N2ODirect_Equations.VEERG_4_2_1_3__3_NitrogenExcreted(AA63,AA171,AB187,AA143,AA27)</f>
        <v>0.28604447282279805</v>
      </c>
      <c r="AB203" s="29" cm="1">
        <f t="array" aca="1" ref="AB203" ca="1">MMS_PastureBeef_Soil_N2ODirect_Equations.VEERG_4_2_1_3__3_NitrogenExcreted(AB63,AB171,AC187,AB143,AB27)</f>
        <v>0.12380983067102717</v>
      </c>
      <c r="AC203" s="29" cm="1">
        <f t="array" aca="1" ref="AC203" ca="1">MMS_PastureBeef_Soil_N2ODirect_Equations.VEERG_4_2_1_3__3_NitrogenExcreted(AC63,AC171,AD187,AC143,AC27)</f>
        <v>0.21091009356426255</v>
      </c>
      <c r="AD203" s="29" cm="1">
        <f t="array" aca="1" ref="AD203" ca="1">MMS_PastureBeef_Soil_N2ODirect_Equations.VEERG_4_2_1_3__3_NitrogenExcreted(AD63,AD171,AE187,AD143,AD27)</f>
        <v>0.21091009356426255</v>
      </c>
      <c r="AE203" s="29" cm="1">
        <f t="array" aca="1" ref="AE203" ca="1">MMS_PastureBeef_Soil_N2ODirect_Equations.VEERG_4_2_1_3__3_NitrogenExcreted(AE63,AE171,AF187,AE143,AE27)</f>
        <v>0.21091009356426255</v>
      </c>
      <c r="AF203" s="32" t="str">
        <f t="shared" si="9"/>
        <v>kg N/head/day</v>
      </c>
      <c r="AG203" s="32"/>
      <c r="AH203" s="32"/>
    </row>
    <row r="204" spans="4:34" ht="20.100000000000001" customHeight="1" x14ac:dyDescent="0.25">
      <c r="D204" s="57" t="s">
        <v>267</v>
      </c>
      <c r="U204" s="29" t="str">
        <f>TEXT(EDATE('Input - Site'!$E$12,8), "mmmm yyyy")</f>
        <v>September 2024</v>
      </c>
      <c r="V204" s="29" cm="1">
        <f t="array" aca="1" ref="V204" ca="1">MMS_PastureBeef_Soil_N2ODirect_Equations.VEERG_4_2_1_3__3_NitrogenExcreted(V64,V172,W188,V144,V28)</f>
        <v>0.24344381993446509</v>
      </c>
      <c r="W204" s="29" cm="1">
        <f t="array" aca="1" ref="W204" ca="1">MMS_PastureBeef_Soil_N2ODirect_Equations.VEERG_4_2_1_3__3_NitrogenExcreted(W64,W172,X188,W144,W28)</f>
        <v>0.37708133734232585</v>
      </c>
      <c r="X204" s="29" cm="1">
        <f t="array" aca="1" ref="X204" ca="1">MMS_PastureBeef_Soil_N2ODirect_Equations.VEERG_4_2_1_3__3_NitrogenExcreted(X64,X172,Y188,X144,X28)</f>
        <v>0.18738546222332772</v>
      </c>
      <c r="Y204" s="29" cm="1">
        <f t="array" aca="1" ref="Y204" ca="1">MMS_PastureBeef_Soil_N2ODirect_Equations.VEERG_4_2_1_3__3_NitrogenExcreted(Y64,Y172,Z188,Y144,Y28)</f>
        <v>0.30316514016990781</v>
      </c>
      <c r="Z204" s="29" cm="1">
        <f t="array" aca="1" ref="Z204" ca="1">MMS_PastureBeef_Soil_N2ODirect_Equations.VEERG_4_2_1_3__3_NitrogenExcreted(Z64,Z172,AA188,Z144,Z28)</f>
        <v>0.3456004349071124</v>
      </c>
      <c r="AA204" s="29" cm="1">
        <f t="array" aca="1" ref="AA204" ca="1">MMS_PastureBeef_Soil_N2ODirect_Equations.VEERG_4_2_1_3__3_NitrogenExcreted(AA64,AA172,AB188,AA144,AA28)</f>
        <v>0.3456004349071124</v>
      </c>
      <c r="AB204" s="29" cm="1">
        <f t="array" aca="1" ref="AB204" ca="1">MMS_PastureBeef_Soil_N2ODirect_Equations.VEERG_4_2_1_3__3_NitrogenExcreted(AB64,AB172,AC188,AB144,AB28)</f>
        <v>0.21483586989835565</v>
      </c>
      <c r="AC204" s="29" cm="1">
        <f t="array" aca="1" ref="AC204" ca="1">MMS_PastureBeef_Soil_N2ODirect_Equations.VEERG_4_2_1_3__3_NitrogenExcreted(AC64,AC172,AD188,AC144,AC28)</f>
        <v>0.2934676863299529</v>
      </c>
      <c r="AD204" s="29" cm="1">
        <f t="array" aca="1" ref="AD204" ca="1">MMS_PastureBeef_Soil_N2ODirect_Equations.VEERG_4_2_1_3__3_NitrogenExcreted(AD64,AD172,AE188,AD144,AD28)</f>
        <v>0.2934676863299529</v>
      </c>
      <c r="AE204" s="29" cm="1">
        <f t="array" aca="1" ref="AE204" ca="1">MMS_PastureBeef_Soil_N2ODirect_Equations.VEERG_4_2_1_3__3_NitrogenExcreted(AE64,AE172,AF188,AE144,AE28)</f>
        <v>0.2934676863299529</v>
      </c>
      <c r="AF204" s="32" t="str">
        <f t="shared" si="9"/>
        <v>kg N/head/day</v>
      </c>
      <c r="AG204" s="32"/>
      <c r="AH204" s="32"/>
    </row>
    <row r="205" spans="4:34" ht="20.100000000000001" customHeight="1" x14ac:dyDescent="0.25">
      <c r="D205" s="58" t="s">
        <v>268</v>
      </c>
      <c r="U205" s="29" t="str">
        <f>TEXT(EDATE('Input - Site'!$E$12,9), "mmmm yyyy")</f>
        <v>October 2024</v>
      </c>
      <c r="V205" s="29" cm="1">
        <f t="array" aca="1" ref="V205" ca="1">MMS_PastureBeef_Soil_N2ODirect_Equations.VEERG_4_2_1_3__3_NitrogenExcreted(V65,V173,W189,V145,V29)</f>
        <v>0.24344381993446509</v>
      </c>
      <c r="W205" s="29" cm="1">
        <f t="array" aca="1" ref="W205" ca="1">MMS_PastureBeef_Soil_N2ODirect_Equations.VEERG_4_2_1_3__3_NitrogenExcreted(W65,W173,X189,W145,W29)</f>
        <v>0.37708133734232585</v>
      </c>
      <c r="X205" s="29" cm="1">
        <f t="array" aca="1" ref="X205" ca="1">MMS_PastureBeef_Soil_N2ODirect_Equations.VEERG_4_2_1_3__3_NitrogenExcreted(X65,X173,Y189,X145,X29)</f>
        <v>0.18738546222332772</v>
      </c>
      <c r="Y205" s="29" cm="1">
        <f t="array" aca="1" ref="Y205" ca="1">MMS_PastureBeef_Soil_N2ODirect_Equations.VEERG_4_2_1_3__3_NitrogenExcreted(Y65,Y173,Z189,Y145,Y29)</f>
        <v>0.30316514016990781</v>
      </c>
      <c r="Z205" s="29" cm="1">
        <f t="array" aca="1" ref="Z205" ca="1">MMS_PastureBeef_Soil_N2ODirect_Equations.VEERG_4_2_1_3__3_NitrogenExcreted(Z65,Z173,AA189,Z145,Z29)</f>
        <v>0.3456004349071124</v>
      </c>
      <c r="AA205" s="29" cm="1">
        <f t="array" aca="1" ref="AA205" ca="1">MMS_PastureBeef_Soil_N2ODirect_Equations.VEERG_4_2_1_3__3_NitrogenExcreted(AA65,AA173,AB189,AA145,AA29)</f>
        <v>0.3456004349071124</v>
      </c>
      <c r="AB205" s="29" cm="1">
        <f t="array" aca="1" ref="AB205" ca="1">MMS_PastureBeef_Soil_N2ODirect_Equations.VEERG_4_2_1_3__3_NitrogenExcreted(AB65,AB173,AC189,AB145,AB29)</f>
        <v>0.21483586989835565</v>
      </c>
      <c r="AC205" s="29" cm="1">
        <f t="array" aca="1" ref="AC205" ca="1">MMS_PastureBeef_Soil_N2ODirect_Equations.VEERG_4_2_1_3__3_NitrogenExcreted(AC65,AC173,AD189,AC145,AC29)</f>
        <v>0.2934676863299529</v>
      </c>
      <c r="AD205" s="29" cm="1">
        <f t="array" aca="1" ref="AD205" ca="1">MMS_PastureBeef_Soil_N2ODirect_Equations.VEERG_4_2_1_3__3_NitrogenExcreted(AD65,AD173,AE189,AD145,AD29)</f>
        <v>0.2934676863299529</v>
      </c>
      <c r="AE205" s="29" cm="1">
        <f t="array" aca="1" ref="AE205" ca="1">MMS_PastureBeef_Soil_N2ODirect_Equations.VEERG_4_2_1_3__3_NitrogenExcreted(AE65,AE173,AF189,AE145,AE29)</f>
        <v>0.2934676863299529</v>
      </c>
      <c r="AF205" s="32" t="str">
        <f t="shared" si="9"/>
        <v>kg N/head/day</v>
      </c>
      <c r="AG205" s="32"/>
      <c r="AH205" s="32"/>
    </row>
    <row r="206" spans="4:34" ht="20.100000000000001" customHeight="1" x14ac:dyDescent="0.25">
      <c r="D206" s="59" t="s">
        <v>84</v>
      </c>
      <c r="E206" s="59" t="s">
        <v>31</v>
      </c>
      <c r="F206" s="59" t="s">
        <v>32</v>
      </c>
      <c r="G206" s="59" t="s">
        <v>33</v>
      </c>
      <c r="H206" s="59" t="s">
        <v>34</v>
      </c>
      <c r="I206" s="59" t="s">
        <v>35</v>
      </c>
      <c r="J206" s="59" t="s">
        <v>36</v>
      </c>
      <c r="K206" s="59" t="s">
        <v>37</v>
      </c>
      <c r="L206" s="59" t="s">
        <v>38</v>
      </c>
      <c r="M206" s="59" t="s">
        <v>39</v>
      </c>
      <c r="N206" s="59" t="s">
        <v>40</v>
      </c>
      <c r="U206" s="29" t="str">
        <f>TEXT(EDATE('Input - Site'!$E$12,10), "mmmm yyyy")</f>
        <v>November 2024</v>
      </c>
      <c r="V206" s="29" cm="1">
        <f t="array" aca="1" ref="V206" ca="1">MMS_PastureBeef_Soil_N2ODirect_Equations.VEERG_4_2_1_3__3_NitrogenExcreted(V66,V174,W190,V146,V30)</f>
        <v>0.24344381993446509</v>
      </c>
      <c r="W206" s="29" cm="1">
        <f t="array" aca="1" ref="W206" ca="1">MMS_PastureBeef_Soil_N2ODirect_Equations.VEERG_4_2_1_3__3_NitrogenExcreted(W66,W174,X190,W146,W30)</f>
        <v>0.37708133734232585</v>
      </c>
      <c r="X206" s="29" cm="1">
        <f t="array" aca="1" ref="X206" ca="1">MMS_PastureBeef_Soil_N2ODirect_Equations.VEERG_4_2_1_3__3_NitrogenExcreted(X66,X174,Y190,X146,X30)</f>
        <v>0.18738546222332772</v>
      </c>
      <c r="Y206" s="29" cm="1">
        <f t="array" aca="1" ref="Y206" ca="1">MMS_PastureBeef_Soil_N2ODirect_Equations.VEERG_4_2_1_3__3_NitrogenExcreted(Y66,Y174,Z190,Y146,Y30)</f>
        <v>0.26903566847628974</v>
      </c>
      <c r="Z206" s="29" cm="1">
        <f t="array" aca="1" ref="Z206" ca="1">MMS_PastureBeef_Soil_N2ODirect_Equations.VEERG_4_2_1_3__3_NitrogenExcreted(Z66,Z174,AA190,Z146,Z30)</f>
        <v>0.30689114439091625</v>
      </c>
      <c r="AA206" s="29" cm="1">
        <f t="array" aca="1" ref="AA206" ca="1">MMS_PastureBeef_Soil_N2ODirect_Equations.VEERG_4_2_1_3__3_NitrogenExcreted(AA66,AA174,AB190,AA146,AA30)</f>
        <v>0.30689114439091625</v>
      </c>
      <c r="AB206" s="29" cm="1">
        <f t="array" aca="1" ref="AB206" ca="1">MMS_PastureBeef_Soil_N2ODirect_Equations.VEERG_4_2_1_3__3_NitrogenExcreted(AB66,AB174,AC190,AB146,AB30)</f>
        <v>0.21483586989835565</v>
      </c>
      <c r="AC206" s="29" cm="1">
        <f t="array" aca="1" ref="AC206" ca="1">MMS_PastureBeef_Soil_N2ODirect_Equations.VEERG_4_2_1_3__3_NitrogenExcreted(AC66,AC174,AD190,AC146,AC30)</f>
        <v>0.2934676863299529</v>
      </c>
      <c r="AD206" s="29" cm="1">
        <f t="array" aca="1" ref="AD206" ca="1">MMS_PastureBeef_Soil_N2ODirect_Equations.VEERG_4_2_1_3__3_NitrogenExcreted(AD66,AD174,AE190,AD146,AD30)</f>
        <v>0.2934676863299529</v>
      </c>
      <c r="AE206" s="29" cm="1">
        <f t="array" aca="1" ref="AE206" ca="1">MMS_PastureBeef_Soil_N2ODirect_Equations.VEERG_4_2_1_3__3_NitrogenExcreted(AE66,AE174,AF190,AE146,AE30)</f>
        <v>0.2934676863299529</v>
      </c>
      <c r="AF206" s="32" t="str">
        <f t="shared" si="9"/>
        <v>kg N/head/day</v>
      </c>
      <c r="AG206" s="32"/>
      <c r="AH206" s="32"/>
    </row>
    <row r="207" spans="4:34" ht="20.100000000000001" customHeight="1" x14ac:dyDescent="0.25">
      <c r="D207" s="29" t="s">
        <v>41</v>
      </c>
      <c r="E207" s="29" cm="1">
        <f t="array" aca="1" ref="E207" ca="1">MMS_PastureBeef_Soil_N2ODirect_Equations.VEERG_4_2_1_3__2_TotalNitrogenExcretedToPastureRangeAndPaddock(E191,E169,E199)</f>
        <v>2404.4969572154741</v>
      </c>
      <c r="F207" s="29" cm="1">
        <f t="array" aca="1" ref="F207" ca="1">MMS_PastureBeef_Soil_N2ODirect_Equations.VEERG_4_2_1_3__2_TotalNitrogenExcretedToPastureRangeAndPaddock(F191,F169,F199)</f>
        <v>3440.8672032487229</v>
      </c>
      <c r="G207" s="29" cm="1">
        <f t="array" aca="1" ref="G207" ca="1">MMS_PastureBeef_Soil_N2ODirect_Equations.VEERG_4_2_1_3__2_TotalNitrogenExcretedToPastureRangeAndPaddock(G191,G169,G199)</f>
        <v>1892.9644431013451</v>
      </c>
      <c r="H207" s="29" cm="1">
        <f t="array" aca="1" ref="H207" ca="1">MMS_PastureBeef_Soil_N2ODirect_Equations.VEERG_4_2_1_3__2_TotalNitrogenExcretedToPastureRangeAndPaddock(H191,H169,H199)</f>
        <v>2527.4513243321207</v>
      </c>
      <c r="I207" s="29" cm="1">
        <f t="array" aca="1" ref="I207" ca="1">MMS_PastureBeef_Soil_N2ODirect_Equations.VEERG_4_2_1_3__2_TotalNitrogenExcretedToPastureRangeAndPaddock(I191,I169,I199)</f>
        <v>3113.3367829114491</v>
      </c>
      <c r="J207" s="29" cm="1">
        <f t="array" aca="1" ref="J207" ca="1">MMS_PastureBeef_Soil_N2ODirect_Equations.VEERG_4_2_1_3__2_TotalNitrogenExcretedToPastureRangeAndPaddock(J191,J169,J199)</f>
        <v>3113.3367829114491</v>
      </c>
      <c r="K207" s="29" cm="1">
        <f t="array" aca="1" ref="K207" ca="1">MMS_PastureBeef_Soil_N2ODirect_Equations.VEERG_4_2_1_3__2_TotalNitrogenExcretedToPastureRangeAndPaddock(K191,K169,K199)</f>
        <v>2143.4494131359747</v>
      </c>
      <c r="L207" s="29" cm="1">
        <f t="array" aca="1" ref="L207" ca="1">MMS_PastureBeef_Soil_N2ODirect_Equations.VEERG_4_2_1_3__2_TotalNitrogenExcretedToPastureRangeAndPaddock(L191,L169,L199)</f>
        <v>2677.89263776082</v>
      </c>
      <c r="M207" s="29" cm="1">
        <f t="array" aca="1" ref="M207" ca="1">MMS_PastureBeef_Soil_N2ODirect_Equations.VEERG_4_2_1_3__2_TotalNitrogenExcretedToPastureRangeAndPaddock(M191,M169,M199)</f>
        <v>2677.89263776082</v>
      </c>
      <c r="N207" s="29" cm="1">
        <f t="array" aca="1" ref="N207" ca="1">MMS_PastureBeef_Soil_N2ODirect_Equations.VEERG_4_2_1_3__2_TotalNitrogenExcretedToPastureRangeAndPaddock(N191,N169,N199)</f>
        <v>2677.89263776082</v>
      </c>
      <c r="O207" s="32" t="str">
        <f>$E$182</f>
        <v>kg N</v>
      </c>
      <c r="U207" s="29" t="str">
        <f>TEXT(EDATE('Input - Site'!$E$12,11), "mmmm yyyy")</f>
        <v>December 2024</v>
      </c>
      <c r="V207" s="29" cm="1">
        <f t="array" aca="1" ref="V207" ca="1">MMS_PastureBeef_Soil_N2ODirect_Equations.VEERG_4_2_1_3__3_NitrogenExcreted(V67,V175,W191,V147,V31)</f>
        <v>9.3275223802458812E-2</v>
      </c>
      <c r="W207" s="29" cm="1">
        <f t="array" aca="1" ref="W207" ca="1">MMS_PastureBeef_Soil_N2ODirect_Equations.VEERG_4_2_1_3__3_NitrogenExcreted(W67,W175,X191,W147,W31)</f>
        <v>0.13601872675007995</v>
      </c>
      <c r="X207" s="29" cm="1">
        <f t="array" aca="1" ref="X207" ca="1">MMS_PastureBeef_Soil_N2ODirect_Equations.VEERG_4_2_1_3__3_NitrogenExcreted(X67,X175,Y191,X147,X31)</f>
        <v>7.7811027960341214E-2</v>
      </c>
      <c r="Y207" s="29" cm="1">
        <f t="array" aca="1" ref="Y207" ca="1">MMS_PastureBeef_Soil_N2ODirect_Equations.VEERG_4_2_1_3__3_NitrogenExcreted(Y67,Y175,Z191,Y147,Y31)</f>
        <v>0.10103589494585365</v>
      </c>
      <c r="Z207" s="29" cm="1">
        <f t="array" aca="1" ref="Z207" ca="1">MMS_PastureBeef_Soil_N2ODirect_Equations.VEERG_4_2_1_3__3_NitrogenExcreted(Z67,Z175,AA191,Z147,Z31)</f>
        <v>0.10613051058639233</v>
      </c>
      <c r="AA207" s="29" cm="1">
        <f t="array" aca="1" ref="AA207" ca="1">MMS_PastureBeef_Soil_N2ODirect_Equations.VEERG_4_2_1_3__3_NitrogenExcreted(AA67,AA175,AB191,AA147,AA31)</f>
        <v>0.10613051058639233</v>
      </c>
      <c r="AB207" s="29" cm="1">
        <f t="array" aca="1" ref="AB207" ca="1">MMS_PastureBeef_Soil_N2ODirect_Equations.VEERG_4_2_1_3__3_NitrogenExcreted(AB67,AB175,AC191,AB147,AB31)</f>
        <v>8.562550571362422E-2</v>
      </c>
      <c r="AC207" s="29" cm="1">
        <f t="array" aca="1" ref="AC207" ca="1">MMS_PastureBeef_Soil_N2ODirect_Equations.VEERG_4_2_1_3__3_NitrogenExcreted(AC67,AC175,AD191,AC147,AC31)</f>
        <v>0.1054491491748196</v>
      </c>
      <c r="AD207" s="29" cm="1">
        <f t="array" aca="1" ref="AD207" ca="1">MMS_PastureBeef_Soil_N2ODirect_Equations.VEERG_4_2_1_3__3_NitrogenExcreted(AD67,AD175,AE191,AD147,AD31)</f>
        <v>0.1054491491748196</v>
      </c>
      <c r="AE207" s="29" cm="1">
        <f t="array" aca="1" ref="AE207" ca="1">MMS_PastureBeef_Soil_N2ODirect_Equations.VEERG_4_2_1_3__3_NitrogenExcreted(AE67,AE175,AF191,AE147,AE31)</f>
        <v>0.1054491491748196</v>
      </c>
      <c r="AF207" s="32" t="str">
        <f t="shared" si="9"/>
        <v>kg N/head/day</v>
      </c>
      <c r="AG207" s="32"/>
      <c r="AH207" s="32"/>
    </row>
    <row r="208" spans="4:34" ht="20.100000000000001" customHeight="1" x14ac:dyDescent="0.25">
      <c r="D208" s="29" t="s">
        <v>43</v>
      </c>
      <c r="E208" s="29" cm="1">
        <f t="array" aca="1" ref="E208" ca="1">MMS_PastureBeef_Soil_N2ODirect_Equations.VEERG_4_2_1_3__2_TotalNitrogenExcretedToPastureRangeAndPaddock(E192,E170,E200)</f>
        <v>851.13641719743669</v>
      </c>
      <c r="F208" s="29" cm="1">
        <f t="array" aca="1" ref="F208" ca="1">MMS_PastureBeef_Soil_N2ODirect_Equations.VEERG_4_2_1_3__2_TotalNitrogenExcretedToPastureRangeAndPaddock(F192,F170,F200)</f>
        <v>1241.1708815944794</v>
      </c>
      <c r="G208" s="29" cm="1">
        <f t="array" aca="1" ref="G208" ca="1">MMS_PastureBeef_Soil_N2ODirect_Equations.VEERG_4_2_1_3__2_TotalNitrogenExcretedToPastureRangeAndPaddock(G192,G170,G200)</f>
        <v>710.02563013811357</v>
      </c>
      <c r="H208" s="29" cm="1">
        <f t="array" aca="1" ref="H208" ca="1">MMS_PastureBeef_Soil_N2ODirect_Equations.VEERG_4_2_1_3__2_TotalNitrogenExcretedToPastureRangeAndPaddock(H192,H170,H200)</f>
        <v>1023.0498901377973</v>
      </c>
      <c r="I208" s="29" cm="1">
        <f t="array" aca="1" ref="I208" ca="1">MMS_PastureBeef_Soil_N2ODirect_Equations.VEERG_4_2_1_3__2_TotalNitrogenExcretedToPastureRangeAndPaddock(I192,I170,I200)</f>
        <v>1069.9084532895147</v>
      </c>
      <c r="J208" s="29" cm="1">
        <f t="array" aca="1" ref="J208" ca="1">MMS_PastureBeef_Soil_N2ODirect_Equations.VEERG_4_2_1_3__2_TotalNitrogenExcretedToPastureRangeAndPaddock(J192,J170,J200)</f>
        <v>1069.9084532895147</v>
      </c>
      <c r="K208" s="29" cm="1">
        <f t="array" aca="1" ref="K208" ca="1">MMS_PastureBeef_Soil_N2ODirect_Equations.VEERG_4_2_1_3__2_TotalNitrogenExcretedToPastureRangeAndPaddock(K192,K170,K200)</f>
        <v>781.33273963682097</v>
      </c>
      <c r="L208" s="29" cm="1">
        <f t="array" aca="1" ref="L208" ca="1">MMS_PastureBeef_Soil_N2ODirect_Equations.VEERG_4_2_1_3__2_TotalNitrogenExcretedToPastureRangeAndPaddock(L192,L170,L200)</f>
        <v>962.22348622022878</v>
      </c>
      <c r="M208" s="29" cm="1">
        <f t="array" aca="1" ref="M208" ca="1">MMS_PastureBeef_Soil_N2ODirect_Equations.VEERG_4_2_1_3__2_TotalNitrogenExcretedToPastureRangeAndPaddock(M192,M170,M200)</f>
        <v>962.22348622022878</v>
      </c>
      <c r="N208" s="29" cm="1">
        <f t="array" aca="1" ref="N208" ca="1">MMS_PastureBeef_Soil_N2ODirect_Equations.VEERG_4_2_1_3__2_TotalNitrogenExcretedToPastureRangeAndPaddock(N192,N170,N200)</f>
        <v>962.22348622022878</v>
      </c>
      <c r="O208" s="32" t="str">
        <f>$E$182</f>
        <v>kg N</v>
      </c>
    </row>
    <row r="209" spans="3:35" ht="20.100000000000001" customHeight="1" x14ac:dyDescent="0.25">
      <c r="D209" s="29" t="s">
        <v>44</v>
      </c>
      <c r="E209" s="29" cm="1">
        <f t="array" aca="1" ref="E209" ca="1">MMS_PastureBeef_Soil_N2ODirect_Equations.VEERG_4_2_1_3__2_TotalNitrogenExcretedToPastureRangeAndPaddock(E193,E171,E201)</f>
        <v>123.10161007572114</v>
      </c>
      <c r="F209" s="29" cm="1">
        <f t="array" aca="1" ref="F209" ca="1">MMS_PastureBeef_Soil_N2ODirect_Equations.VEERG_4_2_1_3__2_TotalNitrogenExcretedToPastureRangeAndPaddock(F193,F171,F201)</f>
        <v>804.21384066168707</v>
      </c>
      <c r="G209" s="29" cm="1">
        <f t="array" aca="1" ref="G209" ca="1">MMS_PastureBeef_Soil_N2ODirect_Equations.VEERG_4_2_1_3__2_TotalNitrogenExcretedToPastureRangeAndPaddock(G193,G171,G201)</f>
        <v>100.39232657604052</v>
      </c>
      <c r="H209" s="29" cm="1">
        <f t="array" aca="1" ref="H209" ca="1">MMS_PastureBeef_Soil_N2ODirect_Equations.VEERG_4_2_1_3__2_TotalNitrogenExcretedToPastureRangeAndPaddock(H193,H171,H201)</f>
        <v>482.73952559655532</v>
      </c>
      <c r="I209" s="29" cm="1">
        <f t="array" aca="1" ref="I209" ca="1">MMS_PastureBeef_Soil_N2ODirect_Equations.VEERG_4_2_1_3__2_TotalNitrogenExcretedToPastureRangeAndPaddock(I193,I171,I201)</f>
        <v>631.31388409405702</v>
      </c>
      <c r="J209" s="29" cm="1">
        <f t="array" aca="1" ref="J209" ca="1">MMS_PastureBeef_Soil_N2ODirect_Equations.VEERG_4_2_1_3__2_TotalNitrogenExcretedToPastureRangeAndPaddock(J193,J171,J201)</f>
        <v>631.31388409405702</v>
      </c>
      <c r="K209" s="29" cm="1">
        <f t="array" aca="1" ref="K209" ca="1">MMS_PastureBeef_Soil_N2ODirect_Equations.VEERG_4_2_1_3__2_TotalNitrogenExcretedToPastureRangeAndPaddock(K193,K171,K201)</f>
        <v>125.30073899449563</v>
      </c>
      <c r="L209" s="29" cm="1">
        <f t="array" aca="1" ref="L209" ca="1">MMS_PastureBeef_Soil_N2ODirect_Equations.VEERG_4_2_1_3__2_TotalNitrogenExcretedToPastureRangeAndPaddock(L193,L171,L201)</f>
        <v>503.71901071132157</v>
      </c>
      <c r="M209" s="29" cm="1">
        <f t="array" aca="1" ref="M209" ca="1">MMS_PastureBeef_Soil_N2ODirect_Equations.VEERG_4_2_1_3__2_TotalNitrogenExcretedToPastureRangeAndPaddock(M193,M171,M201)</f>
        <v>503.71901071132157</v>
      </c>
      <c r="N209" s="29" cm="1">
        <f t="array" aca="1" ref="N209" ca="1">MMS_PastureBeef_Soil_N2ODirect_Equations.VEERG_4_2_1_3__2_TotalNitrogenExcretedToPastureRangeAndPaddock(N193,N171,N201)</f>
        <v>503.71901071132157</v>
      </c>
      <c r="O209" s="32" t="str">
        <f>$E$182</f>
        <v>kg N</v>
      </c>
    </row>
    <row r="210" spans="3:35" ht="20.100000000000001" customHeight="1" x14ac:dyDescent="0.25">
      <c r="D210" s="29" t="s">
        <v>45</v>
      </c>
      <c r="E210" s="29" cm="1">
        <f t="array" aca="1" ref="E210" ca="1">MMS_PastureBeef_Soil_N2ODirect_Equations.VEERG_4_2_1_3__2_TotalNitrogenExcretedToPastureRangeAndPaddock(E194,E172,E202)</f>
        <v>1531.3704733611453</v>
      </c>
      <c r="F210" s="29" cm="1">
        <f t="array" aca="1" ref="F210" ca="1">MMS_PastureBeef_Soil_N2ODirect_Equations.VEERG_4_2_1_3__2_TotalNitrogenExcretedToPastureRangeAndPaddock(F194,F172,F202)</f>
        <v>2867.5624150497624</v>
      </c>
      <c r="G210" s="29" cm="1">
        <f t="array" aca="1" ref="G210" ca="1">MMS_PastureBeef_Soil_N2ODirect_Equations.VEERG_4_2_1_3__2_TotalNitrogenExcretedToPastureRangeAndPaddock(G194,G172,G202)</f>
        <v>1317.647528839871</v>
      </c>
      <c r="H210" s="29" cm="1">
        <f t="array" aca="1" ref="H210" ca="1">MMS_PastureBeef_Soil_N2ODirect_Equations.VEERG_4_2_1_3__2_TotalNitrogenExcretedToPastureRangeAndPaddock(H194,H172,H202)</f>
        <v>1874.1217358723854</v>
      </c>
      <c r="I210" s="29" cm="1">
        <f t="array" aca="1" ref="I210" ca="1">MMS_PastureBeef_Soil_N2ODirect_Equations.VEERG_4_2_1_3__2_TotalNitrogenExcretedToPastureRangeAndPaddock(I194,I172,I202)</f>
        <v>2504.6469881356957</v>
      </c>
      <c r="J210" s="29" cm="1">
        <f t="array" aca="1" ref="J210" ca="1">MMS_PastureBeef_Soil_N2ODirect_Equations.VEERG_4_2_1_3__2_TotalNitrogenExcretedToPastureRangeAndPaddock(J194,J172,J202)</f>
        <v>2504.6469881356957</v>
      </c>
      <c r="K210" s="29" cm="1">
        <f t="array" aca="1" ref="K210" ca="1">MMS_PastureBeef_Soil_N2ODirect_Equations.VEERG_4_2_1_3__2_TotalNitrogenExcretedToPastureRangeAndPaddock(K194,K172,K202)</f>
        <v>1404.3728553433427</v>
      </c>
      <c r="L210" s="29" cm="1">
        <f t="array" aca="1" ref="L210" ca="1">MMS_PastureBeef_Soil_N2ODirect_Equations.VEERG_4_2_1_3__2_TotalNitrogenExcretedToPastureRangeAndPaddock(L194,L172,L202)</f>
        <v>1924.5546037738959</v>
      </c>
      <c r="M210" s="29" cm="1">
        <f t="array" aca="1" ref="M210" ca="1">MMS_PastureBeef_Soil_N2ODirect_Equations.VEERG_4_2_1_3__2_TotalNitrogenExcretedToPastureRangeAndPaddock(M194,M172,M202)</f>
        <v>1924.5546037738959</v>
      </c>
      <c r="N210" s="29" cm="1">
        <f t="array" aca="1" ref="N210" ca="1">MMS_PastureBeef_Soil_N2ODirect_Equations.VEERG_4_2_1_3__2_TotalNitrogenExcretedToPastureRangeAndPaddock(N194,N172,N202)</f>
        <v>1924.5546037738959</v>
      </c>
      <c r="O210" s="32" t="str">
        <f>$E$182</f>
        <v>kg N</v>
      </c>
      <c r="T210" s="61"/>
      <c r="U210" s="61"/>
      <c r="V210" s="61"/>
      <c r="W210" s="61"/>
      <c r="X210" s="61"/>
      <c r="Y210" s="61"/>
      <c r="Z210" s="61"/>
      <c r="AA210" s="61"/>
      <c r="AB210" s="61"/>
      <c r="AC210" s="61"/>
      <c r="AD210" s="61"/>
      <c r="AE210" s="61"/>
      <c r="AF210" s="61"/>
      <c r="AG210" s="61"/>
      <c r="AH210" s="61"/>
      <c r="AI210" s="61"/>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75" t="s">
        <v>269</v>
      </c>
      <c r="E212" s="61">
        <f ca="1">SUM(E207:N210)</f>
        <v>60490.349382369524</v>
      </c>
      <c r="F212" s="19" t="str">
        <f>E182</f>
        <v>kg N</v>
      </c>
    </row>
    <row r="213" spans="3:35" ht="20.100000000000001" customHeight="1" x14ac:dyDescent="0.25">
      <c r="U213" s="57" t="s">
        <v>113</v>
      </c>
    </row>
    <row r="214" spans="3:35" ht="20.100000000000001" customHeight="1" x14ac:dyDescent="0.25">
      <c r="U214" s="58" t="s">
        <v>114</v>
      </c>
    </row>
    <row r="215" spans="3:35" ht="20.100000000000001" customHeight="1" x14ac:dyDescent="0.25">
      <c r="C215" s="61"/>
      <c r="D215" s="61"/>
      <c r="E215" s="61"/>
      <c r="F215" s="61"/>
      <c r="G215" s="61"/>
      <c r="H215" s="61"/>
      <c r="I215" s="61"/>
      <c r="J215" s="61"/>
      <c r="K215" s="61"/>
      <c r="L215" s="61"/>
      <c r="M215" s="61"/>
      <c r="N215" s="61"/>
      <c r="O215" s="61"/>
      <c r="P215" s="61"/>
      <c r="Q215" s="61"/>
      <c r="R215" s="61"/>
      <c r="U215" s="59" t="s">
        <v>87</v>
      </c>
      <c r="V215" s="60" t="s">
        <v>31</v>
      </c>
      <c r="W215" s="60" t="s">
        <v>32</v>
      </c>
      <c r="X215" s="60" t="s">
        <v>33</v>
      </c>
      <c r="Y215" s="60" t="s">
        <v>34</v>
      </c>
      <c r="Z215" s="60" t="s">
        <v>35</v>
      </c>
      <c r="AA215" s="60" t="s">
        <v>36</v>
      </c>
      <c r="AB215" s="60" t="s">
        <v>37</v>
      </c>
      <c r="AC215" s="60" t="s">
        <v>38</v>
      </c>
      <c r="AD215" s="60" t="s">
        <v>39</v>
      </c>
      <c r="AE215" s="60" t="s">
        <v>40</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9" t="str">
        <f>TEXT('Input - Site'!$E$12, "mmmm yyyy")</f>
        <v>January 2024</v>
      </c>
      <c r="V216" s="29" cm="1">
        <f t="array" aca="1" ref="V216:AE227" ca="1">OFFSET(X_Table_PastureBeef_Head_Method2, 1,1, 12,10)</f>
        <v>100</v>
      </c>
      <c r="W216" s="29">
        <f ca="1"/>
        <v>100</v>
      </c>
      <c r="X216" s="29">
        <f ca="1"/>
        <v>100</v>
      </c>
      <c r="Y216" s="29">
        <f ca="1"/>
        <v>100</v>
      </c>
      <c r="Z216" s="29">
        <f ca="1"/>
        <v>100</v>
      </c>
      <c r="AA216" s="29">
        <f ca="1"/>
        <v>100</v>
      </c>
      <c r="AB216" s="29">
        <f ca="1"/>
        <v>100</v>
      </c>
      <c r="AC216" s="29">
        <f ca="1"/>
        <v>100</v>
      </c>
      <c r="AD216" s="29">
        <f ca="1"/>
        <v>100</v>
      </c>
      <c r="AE216" s="29">
        <f ca="1"/>
        <v>100</v>
      </c>
      <c r="AF216" s="32" t="s">
        <v>228</v>
      </c>
      <c r="AG216" s="32"/>
      <c r="AH216" s="32"/>
    </row>
    <row r="217" spans="3:35" ht="20.100000000000001" customHeight="1" x14ac:dyDescent="0.25">
      <c r="D217" s="46" t="str" cm="1">
        <f t="array" ref="D217">MMS_PastureBeef_Soil_N2ODirect_Equations.VEERG_4_2_1_3__1_DirectNitrousOxideEmissionsOnPasture_Source()</f>
        <v>VEERG 2026: 4.2.1.3, Equation (1)</v>
      </c>
      <c r="U217" s="29" t="str">
        <f>TEXT(EDATE('Input - Site'!$E$12,1), "mmmm yyyy")</f>
        <v>February 2024</v>
      </c>
      <c r="V217" s="29">
        <f ca="1"/>
        <v>100</v>
      </c>
      <c r="W217" s="29">
        <f ca="1"/>
        <v>100</v>
      </c>
      <c r="X217" s="29">
        <f ca="1"/>
        <v>100</v>
      </c>
      <c r="Y217" s="29">
        <f ca="1"/>
        <v>100</v>
      </c>
      <c r="Z217" s="29">
        <f ca="1"/>
        <v>100</v>
      </c>
      <c r="AA217" s="29">
        <f ca="1"/>
        <v>100</v>
      </c>
      <c r="AB217" s="29">
        <f ca="1"/>
        <v>100</v>
      </c>
      <c r="AC217" s="29">
        <f ca="1"/>
        <v>100</v>
      </c>
      <c r="AD217" s="29">
        <f ca="1"/>
        <v>100</v>
      </c>
      <c r="AE217" s="29">
        <f ca="1"/>
        <v>100</v>
      </c>
      <c r="AF217" s="32" t="s">
        <v>228</v>
      </c>
      <c r="AG217" s="32"/>
      <c r="AH217" s="32"/>
    </row>
    <row r="218" spans="3:35" ht="20.100000000000001" customHeight="1" x14ac:dyDescent="0.25">
      <c r="D218" s="47" t="s">
        <v>77</v>
      </c>
      <c r="E218" s="47" t="str" cm="1">
        <f t="array" aca="1" ref="E218" ca="1">Common_InputFunctions.Utility_DisplayFunctionName(E229)</f>
        <v>=MMS_PastureBeef_Soil_N2ODirect_Equations.VEERG_4_2_1_3__1_DirectNitrousOxideEmissionsOnPasture</v>
      </c>
      <c r="U218" s="29" t="str">
        <f>TEXT(EDATE('Input - Site'!$E$12,2), "mmmm yyyy")</f>
        <v>March 2024</v>
      </c>
      <c r="V218" s="29">
        <f ca="1"/>
        <v>100</v>
      </c>
      <c r="W218" s="29">
        <f ca="1"/>
        <v>100</v>
      </c>
      <c r="X218" s="29">
        <f ca="1"/>
        <v>100</v>
      </c>
      <c r="Y218" s="29">
        <f ca="1"/>
        <v>100</v>
      </c>
      <c r="Z218" s="29">
        <f ca="1"/>
        <v>100</v>
      </c>
      <c r="AA218" s="29">
        <f ca="1"/>
        <v>100</v>
      </c>
      <c r="AB218" s="29">
        <f ca="1"/>
        <v>100</v>
      </c>
      <c r="AC218" s="29">
        <f ca="1"/>
        <v>100</v>
      </c>
      <c r="AD218" s="29">
        <f ca="1"/>
        <v>100</v>
      </c>
      <c r="AE218" s="29">
        <f ca="1"/>
        <v>100</v>
      </c>
      <c r="AF218" s="32" t="s">
        <v>228</v>
      </c>
      <c r="AG218" s="32"/>
      <c r="AH218" s="32"/>
    </row>
    <row r="219" spans="3:35" ht="20.100000000000001" customHeight="1" x14ac:dyDescent="0.25">
      <c r="U219" s="29" t="str">
        <f>TEXT(EDATE('Input - Site'!$E$12,3), "mmmm yyyy")</f>
        <v>April 2024</v>
      </c>
      <c r="V219" s="29">
        <f ca="1"/>
        <v>100</v>
      </c>
      <c r="W219" s="29">
        <f ca="1"/>
        <v>100</v>
      </c>
      <c r="X219" s="29">
        <f ca="1"/>
        <v>100</v>
      </c>
      <c r="Y219" s="29">
        <f ca="1"/>
        <v>100</v>
      </c>
      <c r="Z219" s="29">
        <f ca="1"/>
        <v>100</v>
      </c>
      <c r="AA219" s="29">
        <f ca="1"/>
        <v>100</v>
      </c>
      <c r="AB219" s="29">
        <f ca="1"/>
        <v>100</v>
      </c>
      <c r="AC219" s="29">
        <f ca="1"/>
        <v>100</v>
      </c>
      <c r="AD219" s="29">
        <f ca="1"/>
        <v>100</v>
      </c>
      <c r="AE219" s="29">
        <f ca="1"/>
        <v>100</v>
      </c>
      <c r="AF219" s="32" t="s">
        <v>228</v>
      </c>
      <c r="AG219" s="32"/>
      <c r="AH219" s="32"/>
    </row>
    <row r="220" spans="3:35" ht="20.100000000000001" customHeight="1" x14ac:dyDescent="0.25">
      <c r="U220" s="29" t="str">
        <f>TEXT(EDATE('Input - Site'!$E$12,4), "mmmm yyyy")</f>
        <v>May 2024</v>
      </c>
      <c r="V220" s="29">
        <f ca="1"/>
        <v>100</v>
      </c>
      <c r="W220" s="29">
        <f ca="1"/>
        <v>100</v>
      </c>
      <c r="X220" s="29">
        <f ca="1"/>
        <v>100</v>
      </c>
      <c r="Y220" s="29">
        <f ca="1"/>
        <v>100</v>
      </c>
      <c r="Z220" s="29">
        <f ca="1"/>
        <v>100</v>
      </c>
      <c r="AA220" s="29">
        <f ca="1"/>
        <v>100</v>
      </c>
      <c r="AB220" s="29">
        <f ca="1"/>
        <v>100</v>
      </c>
      <c r="AC220" s="29">
        <f ca="1"/>
        <v>100</v>
      </c>
      <c r="AD220" s="29">
        <f ca="1"/>
        <v>100</v>
      </c>
      <c r="AE220" s="29">
        <f ca="1"/>
        <v>100</v>
      </c>
      <c r="AF220" s="32" t="s">
        <v>228</v>
      </c>
      <c r="AG220" s="32"/>
      <c r="AH220" s="32"/>
    </row>
    <row r="221" spans="3:35" ht="20.100000000000001" customHeight="1" x14ac:dyDescent="0.25">
      <c r="D221" s="48" t="s">
        <v>79</v>
      </c>
      <c r="E221" s="1" t="str" cm="1">
        <f t="array" ref="E221">MMS_PastureBeef_Soil_N2ODirect_Equations.VEERG_4_2_1_3__1_DirectNitrousOxideEmissionsOnPasture_Variable()</f>
        <v>E_N2Odir</v>
      </c>
      <c r="U221" s="29" t="str">
        <f>TEXT(EDATE('Input - Site'!$E$12,5), "mmmm yyyy")</f>
        <v>June 2024</v>
      </c>
      <c r="V221" s="29">
        <f ca="1"/>
        <v>100</v>
      </c>
      <c r="W221" s="29">
        <f ca="1"/>
        <v>100</v>
      </c>
      <c r="X221" s="29">
        <f ca="1"/>
        <v>100</v>
      </c>
      <c r="Y221" s="29">
        <f ca="1"/>
        <v>100</v>
      </c>
      <c r="Z221" s="29">
        <f ca="1"/>
        <v>100</v>
      </c>
      <c r="AA221" s="29">
        <f ca="1"/>
        <v>100</v>
      </c>
      <c r="AB221" s="29">
        <f ca="1"/>
        <v>100</v>
      </c>
      <c r="AC221" s="29">
        <f ca="1"/>
        <v>100</v>
      </c>
      <c r="AD221" s="29">
        <f ca="1"/>
        <v>100</v>
      </c>
      <c r="AE221" s="29">
        <f ca="1"/>
        <v>100</v>
      </c>
      <c r="AF221" s="32" t="s">
        <v>228</v>
      </c>
      <c r="AG221" s="32"/>
      <c r="AH221" s="32"/>
    </row>
    <row r="222" spans="3:35" ht="20.100000000000001" customHeight="1" x14ac:dyDescent="0.25">
      <c r="D222" s="48" t="s">
        <v>80</v>
      </c>
      <c r="E222" s="17" t="str" cm="1">
        <f t="array" ref="E222">MMS_PastureBeef_Soil_N2ODirect_Equations.VEERG_4_2_1_3__1_DirectNitrousOxideEmissionsOnPasture_Unit()</f>
        <v>t N2O</v>
      </c>
      <c r="U222" s="29" t="str">
        <f>TEXT(EDATE('Input - Site'!$E$12,6), "mmmm yyyy")</f>
        <v>July 2024</v>
      </c>
      <c r="V222" s="29">
        <f ca="1"/>
        <v>100</v>
      </c>
      <c r="W222" s="29">
        <f ca="1"/>
        <v>100</v>
      </c>
      <c r="X222" s="29">
        <f ca="1"/>
        <v>100</v>
      </c>
      <c r="Y222" s="29">
        <f ca="1"/>
        <v>100</v>
      </c>
      <c r="Z222" s="29">
        <f ca="1"/>
        <v>100</v>
      </c>
      <c r="AA222" s="29">
        <f ca="1"/>
        <v>100</v>
      </c>
      <c r="AB222" s="29">
        <f ca="1"/>
        <v>100</v>
      </c>
      <c r="AC222" s="29">
        <f ca="1"/>
        <v>100</v>
      </c>
      <c r="AD222" s="29">
        <f ca="1"/>
        <v>100</v>
      </c>
      <c r="AE222" s="29">
        <f ca="1"/>
        <v>100</v>
      </c>
      <c r="AF222" s="32" t="s">
        <v>228</v>
      </c>
      <c r="AG222" s="32"/>
      <c r="AH222" s="32"/>
    </row>
    <row r="223" spans="3:35" ht="20.100000000000001" customHeight="1" x14ac:dyDescent="0.25">
      <c r="U223" s="29" t="str">
        <f>TEXT(EDATE('Input - Site'!$E$12,7), "mmmm yyyy")</f>
        <v>August 2024</v>
      </c>
      <c r="V223" s="29">
        <f ca="1"/>
        <v>100</v>
      </c>
      <c r="W223" s="29">
        <f ca="1"/>
        <v>100</v>
      </c>
      <c r="X223" s="29">
        <f ca="1"/>
        <v>100</v>
      </c>
      <c r="Y223" s="29">
        <f ca="1"/>
        <v>100</v>
      </c>
      <c r="Z223" s="29">
        <f ca="1"/>
        <v>100</v>
      </c>
      <c r="AA223" s="29">
        <f ca="1"/>
        <v>100</v>
      </c>
      <c r="AB223" s="29">
        <f ca="1"/>
        <v>100</v>
      </c>
      <c r="AC223" s="29">
        <f ca="1"/>
        <v>100</v>
      </c>
      <c r="AD223" s="29">
        <f ca="1"/>
        <v>100</v>
      </c>
      <c r="AE223" s="29">
        <f ca="1"/>
        <v>100</v>
      </c>
      <c r="AF223" s="32" t="s">
        <v>228</v>
      </c>
      <c r="AG223" s="32"/>
      <c r="AH223" s="32"/>
    </row>
    <row r="224" spans="3:35" ht="20.100000000000001" customHeight="1" x14ac:dyDescent="0.25">
      <c r="D224" s="76" t="str" cm="1">
        <f t="array" ref="D224:G227">MMS_PastureBeef_Soil_N2ODirect_Equations.VEERG_4_2_1_3__1_DirectNitrousOxideEmissionsOnPasture_Arguments()</f>
        <v>AE</v>
      </c>
      <c r="E224" s="77" t="str">
        <v>total mass of nitrogen excreted on PRP for beef cattle</v>
      </c>
      <c r="F224" s="78" t="str">
        <v>kg N</v>
      </c>
      <c r="G224" s="79" t="str">
        <v>Calculated from 4.2.1.3 (2)</v>
      </c>
      <c r="H224" s="76" t="str">
        <f>"See " &amp; D204</f>
        <v>See M1_Table_AE</v>
      </c>
      <c r="U224" s="29" t="str">
        <f>TEXT(EDATE('Input - Site'!$E$12,8), "mmmm yyyy")</f>
        <v>September 2024</v>
      </c>
      <c r="V224" s="29">
        <f ca="1"/>
        <v>100</v>
      </c>
      <c r="W224" s="29">
        <f ca="1"/>
        <v>100</v>
      </c>
      <c r="X224" s="29">
        <f ca="1"/>
        <v>100</v>
      </c>
      <c r="Y224" s="29">
        <f ca="1"/>
        <v>100</v>
      </c>
      <c r="Z224" s="29">
        <f ca="1"/>
        <v>100</v>
      </c>
      <c r="AA224" s="29">
        <f ca="1"/>
        <v>100</v>
      </c>
      <c r="AB224" s="29">
        <f ca="1"/>
        <v>100</v>
      </c>
      <c r="AC224" s="29">
        <f ca="1"/>
        <v>100</v>
      </c>
      <c r="AD224" s="29">
        <f ca="1"/>
        <v>100</v>
      </c>
      <c r="AE224" s="29">
        <f ca="1"/>
        <v>100</v>
      </c>
      <c r="AF224" s="32" t="s">
        <v>228</v>
      </c>
      <c r="AG224" s="32"/>
      <c r="AH224" s="32"/>
    </row>
    <row r="225" spans="4:34" ht="20.100000000000001" customHeight="1" x14ac:dyDescent="0.25">
      <c r="D225" s="76" t="str">
        <v>EF_PRP</v>
      </c>
      <c r="E225" s="77" t="str">
        <v>emission factor for nitrous oxide from urine and dung deposited to soil</v>
      </c>
      <c r="F225" s="78" t="str">
        <v>kg N2O-N/kg N deposited</v>
      </c>
      <c r="G225" s="79" t="str">
        <v>Constant</v>
      </c>
      <c r="H225" s="65">
        <f>_xlfn.XLOOKUP(H227,Table_SourceData_EFPastureRangeAndPaddock[Climate zone],Table_SourceData_EFPastureRangeAndPaddock[EFPRP])</f>
        <v>2E-3</v>
      </c>
      <c r="U225" s="29" t="str">
        <f>TEXT(EDATE('Input - Site'!$E$12,9), "mmmm yyyy")</f>
        <v>October 2024</v>
      </c>
      <c r="V225" s="29">
        <f ca="1"/>
        <v>100</v>
      </c>
      <c r="W225" s="29">
        <f ca="1"/>
        <v>100</v>
      </c>
      <c r="X225" s="29">
        <f ca="1"/>
        <v>100</v>
      </c>
      <c r="Y225" s="29">
        <f ca="1"/>
        <v>100</v>
      </c>
      <c r="Z225" s="29">
        <f ca="1"/>
        <v>100</v>
      </c>
      <c r="AA225" s="29">
        <f ca="1"/>
        <v>100</v>
      </c>
      <c r="AB225" s="29">
        <f ca="1"/>
        <v>100</v>
      </c>
      <c r="AC225" s="29">
        <f ca="1"/>
        <v>100</v>
      </c>
      <c r="AD225" s="29">
        <f ca="1"/>
        <v>100</v>
      </c>
      <c r="AE225" s="29">
        <f ca="1"/>
        <v>100</v>
      </c>
      <c r="AF225" s="32" t="s">
        <v>228</v>
      </c>
      <c r="AG225" s="32"/>
      <c r="AH225" s="32"/>
    </row>
    <row r="226" spans="4:34" ht="20.100000000000001" customHeight="1" x14ac:dyDescent="0.25">
      <c r="D226" s="76" t="str">
        <v>C_N2O</v>
      </c>
      <c r="E226" s="77" t="str">
        <v>factor to convert elemental mass of nitrous oxide to molecular mass</v>
      </c>
      <c r="F226" s="78" t="str">
        <v/>
      </c>
      <c r="G226" s="79" t="str">
        <v>Constant</v>
      </c>
      <c r="H226" s="65">
        <f>Common_InputFunctions.Utility_LookupValueInTableNumber("N2O",Table_GasToMolecularConversionFactor[Gas],Table_GasToMolecularConversionFactor[Conversion factor combined])</f>
        <v>1.5714285714285714</v>
      </c>
      <c r="U226" s="29" t="str">
        <f>TEXT(EDATE('Input - Site'!$E$12,10), "mmmm yyyy")</f>
        <v>November 2024</v>
      </c>
      <c r="V226" s="29">
        <f ca="1"/>
        <v>100</v>
      </c>
      <c r="W226" s="29">
        <f ca="1"/>
        <v>100</v>
      </c>
      <c r="X226" s="29">
        <f ca="1"/>
        <v>100</v>
      </c>
      <c r="Y226" s="29">
        <f ca="1"/>
        <v>100</v>
      </c>
      <c r="Z226" s="29">
        <f ca="1"/>
        <v>100</v>
      </c>
      <c r="AA226" s="29">
        <f ca="1"/>
        <v>100</v>
      </c>
      <c r="AB226" s="29">
        <f ca="1"/>
        <v>100</v>
      </c>
      <c r="AC226" s="29">
        <f ca="1"/>
        <v>100</v>
      </c>
      <c r="AD226" s="29">
        <f ca="1"/>
        <v>100</v>
      </c>
      <c r="AE226" s="29">
        <f ca="1"/>
        <v>100</v>
      </c>
      <c r="AF226" s="32" t="s">
        <v>228</v>
      </c>
      <c r="AG226" s="32"/>
      <c r="AH226" s="32"/>
    </row>
    <row r="227" spans="4:34" ht="20.100000000000001" customHeight="1" x14ac:dyDescent="0.25">
      <c r="D227" s="76" t="str">
        <v>z</v>
      </c>
      <c r="E227" s="77" t="str">
        <v>wet or dry climate zone</v>
      </c>
      <c r="F227" s="78" t="str">
        <v/>
      </c>
      <c r="G227" s="79" t="str">
        <v>Input</v>
      </c>
      <c r="H227" s="76" t="str">
        <f>X_Cell_Site_WetOrDryClimateZone</f>
        <v>Dry climate zone</v>
      </c>
      <c r="U227" s="29" t="str">
        <f>TEXT(EDATE('Input - Site'!$E$12,11), "mmmm yyyy")</f>
        <v>December 2024</v>
      </c>
      <c r="V227" s="29">
        <f ca="1"/>
        <v>100</v>
      </c>
      <c r="W227" s="29">
        <f ca="1"/>
        <v>100</v>
      </c>
      <c r="X227" s="29">
        <f ca="1"/>
        <v>100</v>
      </c>
      <c r="Y227" s="29">
        <f ca="1"/>
        <v>100</v>
      </c>
      <c r="Z227" s="29">
        <f ca="1"/>
        <v>100</v>
      </c>
      <c r="AA227" s="29">
        <f ca="1"/>
        <v>100</v>
      </c>
      <c r="AB227" s="29">
        <f ca="1"/>
        <v>100</v>
      </c>
      <c r="AC227" s="29">
        <f ca="1"/>
        <v>100</v>
      </c>
      <c r="AD227" s="29">
        <f ca="1"/>
        <v>100</v>
      </c>
      <c r="AE227" s="29">
        <f ca="1"/>
        <v>100</v>
      </c>
      <c r="AF227" s="32" t="s">
        <v>228</v>
      </c>
      <c r="AG227" s="32"/>
      <c r="AH227" s="32"/>
    </row>
    <row r="228" spans="4:34" ht="20.100000000000001" customHeight="1" x14ac:dyDescent="0.25"/>
    <row r="229" spans="4:34" ht="20.100000000000001" customHeight="1" x14ac:dyDescent="0.25">
      <c r="D229" s="62" t="s">
        <v>270</v>
      </c>
      <c r="E229" s="63" cm="1">
        <f t="array" aca="1" ref="E229" ca="1">MMS_PastureBeef_Soil_N2ODirect_Equations.VEERG_4_2_1_3__1_DirectNitrousOxideEmissionsOnPasture($E$212,$H$225,$H$226)</f>
        <v>0.19011252663030423</v>
      </c>
      <c r="F229" s="64" t="str">
        <f>$E$222</f>
        <v>t N2O</v>
      </c>
      <c r="U229" s="57" t="s">
        <v>118</v>
      </c>
    </row>
    <row r="230" spans="4:34" ht="20.100000000000001" customHeight="1" x14ac:dyDescent="0.25">
      <c r="U230" s="58" t="s">
        <v>119</v>
      </c>
    </row>
    <row r="231" spans="4:34" ht="20.100000000000001" customHeight="1" x14ac:dyDescent="0.25">
      <c r="D231" s="65" t="str" cm="1">
        <f t="array" ref="D231:E232">Common_Equations.Common_ConvertN2OToCO2e_Arguments()</f>
        <v>EN2O</v>
      </c>
      <c r="E231" s="66" t="str">
        <v>Nitrous oxide emissions (t N2O)</v>
      </c>
      <c r="F231" s="67"/>
      <c r="G231" s="29">
        <f ca="1">E229</f>
        <v>0.19011252663030423</v>
      </c>
      <c r="U231" s="59" t="s">
        <v>87</v>
      </c>
      <c r="V231" s="60" t="s">
        <v>31</v>
      </c>
      <c r="W231" s="60" t="s">
        <v>32</v>
      </c>
      <c r="X231" s="60" t="s">
        <v>33</v>
      </c>
      <c r="Y231" s="60" t="s">
        <v>34</v>
      </c>
      <c r="Z231" s="60" t="s">
        <v>35</v>
      </c>
      <c r="AA231" s="60" t="s">
        <v>36</v>
      </c>
      <c r="AB231" s="60" t="s">
        <v>37</v>
      </c>
      <c r="AC231" s="60" t="s">
        <v>38</v>
      </c>
      <c r="AD231" s="60" t="s">
        <v>39</v>
      </c>
      <c r="AE231" s="60" t="s">
        <v>40</v>
      </c>
    </row>
    <row r="232" spans="4:34" ht="20.100000000000001" customHeight="1" x14ac:dyDescent="0.25">
      <c r="D232" s="65" t="str">
        <v>GWPN2O</v>
      </c>
      <c r="E232" s="66" t="str">
        <v>Global warming potential for nitrous oxide (t CO2-e / t N2O)</v>
      </c>
      <c r="F232" s="67"/>
      <c r="G232" s="29">
        <f>Common_InputFunctions.Utility_LookupValueInTableNumber("N2O",Table_GWPData[Gas],Table_GWPData[CO2-e factor])</f>
        <v>265</v>
      </c>
      <c r="U232" s="29" t="str">
        <f>TEXT('Input - Site'!$E$12, "mmmm yyyy")</f>
        <v>January 2024</v>
      </c>
      <c r="V232" s="29" cm="1">
        <f t="array" aca="1" ref="V232:AE243" ca="1">OFFSET(X_Table_PastureBeef_Duration_Method2, 1,1, 12,10)</f>
        <v>31</v>
      </c>
      <c r="W232" s="29">
        <f ca="1"/>
        <v>31</v>
      </c>
      <c r="X232" s="29">
        <f ca="1"/>
        <v>31</v>
      </c>
      <c r="Y232" s="29">
        <f ca="1"/>
        <v>31</v>
      </c>
      <c r="Z232" s="29">
        <f ca="1"/>
        <v>31</v>
      </c>
      <c r="AA232" s="29">
        <f ca="1"/>
        <v>31</v>
      </c>
      <c r="AB232" s="29">
        <f ca="1"/>
        <v>31</v>
      </c>
      <c r="AC232" s="29">
        <f ca="1"/>
        <v>31</v>
      </c>
      <c r="AD232" s="29">
        <f ca="1"/>
        <v>31</v>
      </c>
      <c r="AE232" s="29">
        <f ca="1"/>
        <v>31</v>
      </c>
      <c r="AF232" s="32" t="s">
        <v>229</v>
      </c>
      <c r="AG232" s="32"/>
      <c r="AH232" s="32"/>
    </row>
    <row r="233" spans="4:34" ht="20.100000000000001" customHeight="1" x14ac:dyDescent="0.25">
      <c r="U233" s="29" t="str">
        <f>TEXT(EDATE('Input - Site'!$E$12,1), "mmmm yyyy")</f>
        <v>February 2024</v>
      </c>
      <c r="V233" s="29">
        <f ca="1"/>
        <v>29</v>
      </c>
      <c r="W233" s="29">
        <f ca="1"/>
        <v>29</v>
      </c>
      <c r="X233" s="29">
        <f ca="1"/>
        <v>29</v>
      </c>
      <c r="Y233" s="29">
        <f ca="1"/>
        <v>29</v>
      </c>
      <c r="Z233" s="29">
        <f ca="1"/>
        <v>29</v>
      </c>
      <c r="AA233" s="29">
        <f ca="1"/>
        <v>29</v>
      </c>
      <c r="AB233" s="29">
        <f ca="1"/>
        <v>29</v>
      </c>
      <c r="AC233" s="29">
        <f ca="1"/>
        <v>29</v>
      </c>
      <c r="AD233" s="29">
        <f ca="1"/>
        <v>29</v>
      </c>
      <c r="AE233" s="29">
        <f ca="1"/>
        <v>29</v>
      </c>
      <c r="AF233" s="32" t="s">
        <v>229</v>
      </c>
      <c r="AG233" s="32"/>
      <c r="AH233" s="32"/>
    </row>
    <row r="234" spans="4:34" ht="20.100000000000001" customHeight="1" x14ac:dyDescent="0.25">
      <c r="D234" s="61" t="s">
        <v>120</v>
      </c>
      <c r="E234" s="61" cm="1">
        <f t="array" aca="1" ref="E234" ca="1">Common_Equations.Common_ConvertN2OToCO2e(G231,G232)</f>
        <v>50.379819557030622</v>
      </c>
      <c r="F234" s="19" t="str" cm="1">
        <f t="array" ref="F234">Common_Equations.Common_ConvertN2OToCO2e_Unit()</f>
        <v>t CO2e</v>
      </c>
      <c r="U234" s="29" t="str">
        <f>TEXT(EDATE('Input - Site'!$E$12,2), "mmmm yyyy")</f>
        <v>March 2024</v>
      </c>
      <c r="V234" s="29">
        <f ca="1"/>
        <v>31</v>
      </c>
      <c r="W234" s="29">
        <f ca="1"/>
        <v>31</v>
      </c>
      <c r="X234" s="29">
        <f ca="1"/>
        <v>31</v>
      </c>
      <c r="Y234" s="29">
        <f ca="1"/>
        <v>31</v>
      </c>
      <c r="Z234" s="29">
        <f ca="1"/>
        <v>31</v>
      </c>
      <c r="AA234" s="29">
        <f ca="1"/>
        <v>31</v>
      </c>
      <c r="AB234" s="29">
        <f ca="1"/>
        <v>31</v>
      </c>
      <c r="AC234" s="29">
        <f ca="1"/>
        <v>31</v>
      </c>
      <c r="AD234" s="29">
        <f ca="1"/>
        <v>31</v>
      </c>
      <c r="AE234" s="29">
        <f ca="1"/>
        <v>31</v>
      </c>
      <c r="AF234" s="32" t="s">
        <v>229</v>
      </c>
      <c r="AG234" s="32"/>
      <c r="AH234" s="32"/>
    </row>
    <row r="235" spans="4:34" ht="20.100000000000001" customHeight="1" x14ac:dyDescent="0.25">
      <c r="U235" s="29" t="str">
        <f>TEXT(EDATE('Input - Site'!$E$12,3), "mmmm yyyy")</f>
        <v>April 2024</v>
      </c>
      <c r="V235" s="29">
        <f ca="1"/>
        <v>30</v>
      </c>
      <c r="W235" s="29">
        <f ca="1"/>
        <v>30</v>
      </c>
      <c r="X235" s="29">
        <f ca="1"/>
        <v>30</v>
      </c>
      <c r="Y235" s="29">
        <f ca="1"/>
        <v>30</v>
      </c>
      <c r="Z235" s="29">
        <f ca="1"/>
        <v>30</v>
      </c>
      <c r="AA235" s="29">
        <f ca="1"/>
        <v>30</v>
      </c>
      <c r="AB235" s="29">
        <f ca="1"/>
        <v>30</v>
      </c>
      <c r="AC235" s="29">
        <f ca="1"/>
        <v>30</v>
      </c>
      <c r="AD235" s="29">
        <f ca="1"/>
        <v>30</v>
      </c>
      <c r="AE235" s="29">
        <f ca="1"/>
        <v>30</v>
      </c>
      <c r="AF235" s="32" t="s">
        <v>229</v>
      </c>
      <c r="AG235" s="32"/>
      <c r="AH235" s="32"/>
    </row>
    <row r="236" spans="4:34" ht="20.100000000000001" customHeight="1" x14ac:dyDescent="0.25">
      <c r="U236" s="29" t="str">
        <f>TEXT(EDATE('Input - Site'!$E$12,4), "mmmm yyyy")</f>
        <v>May 2024</v>
      </c>
      <c r="V236" s="29">
        <f ca="1"/>
        <v>31</v>
      </c>
      <c r="W236" s="29">
        <f ca="1"/>
        <v>31</v>
      </c>
      <c r="X236" s="29">
        <f ca="1"/>
        <v>31</v>
      </c>
      <c r="Y236" s="29">
        <f ca="1"/>
        <v>31</v>
      </c>
      <c r="Z236" s="29">
        <f ca="1"/>
        <v>31</v>
      </c>
      <c r="AA236" s="29">
        <f ca="1"/>
        <v>31</v>
      </c>
      <c r="AB236" s="29">
        <f ca="1"/>
        <v>31</v>
      </c>
      <c r="AC236" s="29">
        <f ca="1"/>
        <v>31</v>
      </c>
      <c r="AD236" s="29">
        <f ca="1"/>
        <v>31</v>
      </c>
      <c r="AE236" s="29">
        <f ca="1"/>
        <v>31</v>
      </c>
      <c r="AF236" s="32" t="s">
        <v>229</v>
      </c>
      <c r="AG236" s="32"/>
      <c r="AH236" s="32"/>
    </row>
    <row r="237" spans="4:34" ht="20.100000000000001" customHeight="1" x14ac:dyDescent="0.25">
      <c r="U237" s="29" t="str">
        <f>TEXT(EDATE('Input - Site'!$E$12,5), "mmmm yyyy")</f>
        <v>June 2024</v>
      </c>
      <c r="V237" s="29">
        <f ca="1"/>
        <v>30</v>
      </c>
      <c r="W237" s="29">
        <f ca="1"/>
        <v>30</v>
      </c>
      <c r="X237" s="29">
        <f ca="1"/>
        <v>30</v>
      </c>
      <c r="Y237" s="29">
        <f ca="1"/>
        <v>30</v>
      </c>
      <c r="Z237" s="29">
        <f ca="1"/>
        <v>30</v>
      </c>
      <c r="AA237" s="29">
        <f ca="1"/>
        <v>30</v>
      </c>
      <c r="AB237" s="29">
        <f ca="1"/>
        <v>30</v>
      </c>
      <c r="AC237" s="29">
        <f ca="1"/>
        <v>30</v>
      </c>
      <c r="AD237" s="29">
        <f ca="1"/>
        <v>30</v>
      </c>
      <c r="AE237" s="29">
        <f ca="1"/>
        <v>30</v>
      </c>
      <c r="AF237" s="32" t="s">
        <v>229</v>
      </c>
      <c r="AG237" s="32"/>
      <c r="AH237" s="32"/>
    </row>
    <row r="238" spans="4:34" ht="20.100000000000001" customHeight="1" x14ac:dyDescent="0.25">
      <c r="U238" s="29" t="str">
        <f>TEXT(EDATE('Input - Site'!$E$12,6), "mmmm yyyy")</f>
        <v>July 2024</v>
      </c>
      <c r="V238" s="29">
        <f ca="1"/>
        <v>31</v>
      </c>
      <c r="W238" s="29">
        <f ca="1"/>
        <v>31</v>
      </c>
      <c r="X238" s="29">
        <f ca="1"/>
        <v>31</v>
      </c>
      <c r="Y238" s="29">
        <f ca="1"/>
        <v>31</v>
      </c>
      <c r="Z238" s="29">
        <f ca="1"/>
        <v>31</v>
      </c>
      <c r="AA238" s="29">
        <f ca="1"/>
        <v>31</v>
      </c>
      <c r="AB238" s="29">
        <f ca="1"/>
        <v>31</v>
      </c>
      <c r="AC238" s="29">
        <f ca="1"/>
        <v>31</v>
      </c>
      <c r="AD238" s="29">
        <f ca="1"/>
        <v>31</v>
      </c>
      <c r="AE238" s="29">
        <f ca="1"/>
        <v>31</v>
      </c>
      <c r="AF238" s="32" t="s">
        <v>229</v>
      </c>
      <c r="AG238" s="32"/>
      <c r="AH238" s="32"/>
    </row>
    <row r="239" spans="4:34" ht="20.100000000000001" customHeight="1" x14ac:dyDescent="0.25">
      <c r="U239" s="29" t="str">
        <f>TEXT(EDATE('Input - Site'!$E$12,7), "mmmm yyyy")</f>
        <v>August 2024</v>
      </c>
      <c r="V239" s="29">
        <f ca="1"/>
        <v>31</v>
      </c>
      <c r="W239" s="29">
        <f ca="1"/>
        <v>31</v>
      </c>
      <c r="X239" s="29">
        <f ca="1"/>
        <v>31</v>
      </c>
      <c r="Y239" s="29">
        <f ca="1"/>
        <v>31</v>
      </c>
      <c r="Z239" s="29">
        <f ca="1"/>
        <v>31</v>
      </c>
      <c r="AA239" s="29">
        <f ca="1"/>
        <v>31</v>
      </c>
      <c r="AB239" s="29">
        <f ca="1"/>
        <v>31</v>
      </c>
      <c r="AC239" s="29">
        <f ca="1"/>
        <v>31</v>
      </c>
      <c r="AD239" s="29">
        <f ca="1"/>
        <v>31</v>
      </c>
      <c r="AE239" s="29">
        <f ca="1"/>
        <v>31</v>
      </c>
      <c r="AF239" s="32" t="s">
        <v>229</v>
      </c>
      <c r="AG239" s="32"/>
      <c r="AH239" s="32"/>
    </row>
    <row r="240" spans="4:34" ht="20.100000000000001" customHeight="1" x14ac:dyDescent="0.25">
      <c r="U240" s="29" t="str">
        <f>TEXT(EDATE('Input - Site'!$E$12,8), "mmmm yyyy")</f>
        <v>September 2024</v>
      </c>
      <c r="V240" s="29">
        <f ca="1"/>
        <v>30</v>
      </c>
      <c r="W240" s="29">
        <f ca="1"/>
        <v>30</v>
      </c>
      <c r="X240" s="29">
        <f ca="1"/>
        <v>30</v>
      </c>
      <c r="Y240" s="29">
        <f ca="1"/>
        <v>30</v>
      </c>
      <c r="Z240" s="29">
        <f ca="1"/>
        <v>30</v>
      </c>
      <c r="AA240" s="29">
        <f ca="1"/>
        <v>30</v>
      </c>
      <c r="AB240" s="29">
        <f ca="1"/>
        <v>30</v>
      </c>
      <c r="AC240" s="29">
        <f ca="1"/>
        <v>30</v>
      </c>
      <c r="AD240" s="29">
        <f ca="1"/>
        <v>30</v>
      </c>
      <c r="AE240" s="29">
        <f ca="1"/>
        <v>30</v>
      </c>
      <c r="AF240" s="32" t="s">
        <v>229</v>
      </c>
      <c r="AG240" s="32"/>
      <c r="AH240" s="32"/>
    </row>
    <row r="241" spans="21:34" ht="20.100000000000001" customHeight="1" x14ac:dyDescent="0.25">
      <c r="U241" s="29" t="str">
        <f>TEXT(EDATE('Input - Site'!$E$12,9), "mmmm yyyy")</f>
        <v>October 2024</v>
      </c>
      <c r="V241" s="29">
        <f ca="1"/>
        <v>31</v>
      </c>
      <c r="W241" s="29">
        <f ca="1"/>
        <v>31</v>
      </c>
      <c r="X241" s="29">
        <f ca="1"/>
        <v>31</v>
      </c>
      <c r="Y241" s="29">
        <f ca="1"/>
        <v>31</v>
      </c>
      <c r="Z241" s="29">
        <f ca="1"/>
        <v>31</v>
      </c>
      <c r="AA241" s="29">
        <f ca="1"/>
        <v>31</v>
      </c>
      <c r="AB241" s="29">
        <f ca="1"/>
        <v>31</v>
      </c>
      <c r="AC241" s="29">
        <f ca="1"/>
        <v>31</v>
      </c>
      <c r="AD241" s="29">
        <f ca="1"/>
        <v>31</v>
      </c>
      <c r="AE241" s="29">
        <f ca="1"/>
        <v>31</v>
      </c>
      <c r="AF241" s="32" t="s">
        <v>229</v>
      </c>
      <c r="AG241" s="32"/>
      <c r="AH241" s="32"/>
    </row>
    <row r="242" spans="21:34" ht="20.100000000000001" customHeight="1" x14ac:dyDescent="0.25">
      <c r="U242" s="29" t="str">
        <f>TEXT(EDATE('Input - Site'!$E$12,10), "mmmm yyyy")</f>
        <v>November 2024</v>
      </c>
      <c r="V242" s="29">
        <f ca="1"/>
        <v>30</v>
      </c>
      <c r="W242" s="29">
        <f ca="1"/>
        <v>30</v>
      </c>
      <c r="X242" s="29">
        <f ca="1"/>
        <v>30</v>
      </c>
      <c r="Y242" s="29">
        <f ca="1"/>
        <v>30</v>
      </c>
      <c r="Z242" s="29">
        <f ca="1"/>
        <v>30</v>
      </c>
      <c r="AA242" s="29">
        <f ca="1"/>
        <v>30</v>
      </c>
      <c r="AB242" s="29">
        <f ca="1"/>
        <v>30</v>
      </c>
      <c r="AC242" s="29">
        <f ca="1"/>
        <v>30</v>
      </c>
      <c r="AD242" s="29">
        <f ca="1"/>
        <v>30</v>
      </c>
      <c r="AE242" s="29">
        <f ca="1"/>
        <v>30</v>
      </c>
      <c r="AF242" s="32" t="s">
        <v>229</v>
      </c>
      <c r="AG242" s="32"/>
      <c r="AH242" s="32"/>
    </row>
    <row r="243" spans="21:34" ht="20.100000000000001" customHeight="1" x14ac:dyDescent="0.25">
      <c r="U243" s="29" t="str">
        <f>TEXT(EDATE('Input - Site'!$E$12,11), "mmmm yyyy")</f>
        <v>December 2024</v>
      </c>
      <c r="V243" s="29">
        <f ca="1"/>
        <v>31</v>
      </c>
      <c r="W243" s="29">
        <f ca="1"/>
        <v>31</v>
      </c>
      <c r="X243" s="29">
        <f ca="1"/>
        <v>31</v>
      </c>
      <c r="Y243" s="29">
        <f ca="1"/>
        <v>31</v>
      </c>
      <c r="Z243" s="29">
        <f ca="1"/>
        <v>31</v>
      </c>
      <c r="AA243" s="29">
        <f ca="1"/>
        <v>31</v>
      </c>
      <c r="AB243" s="29">
        <f ca="1"/>
        <v>31</v>
      </c>
      <c r="AC243" s="29">
        <f ca="1"/>
        <v>31</v>
      </c>
      <c r="AD243" s="29">
        <f ca="1"/>
        <v>31</v>
      </c>
      <c r="AE243" s="29">
        <f ca="1"/>
        <v>31</v>
      </c>
      <c r="AF243" s="32" t="s">
        <v>229</v>
      </c>
      <c r="AG243" s="32"/>
      <c r="AH243" s="32"/>
    </row>
    <row r="244" spans="21:34" ht="20.100000000000001" customHeight="1" x14ac:dyDescent="0.25"/>
    <row r="245" spans="21:34" ht="20.100000000000001" customHeight="1" x14ac:dyDescent="0.25">
      <c r="U245" s="57" t="s">
        <v>271</v>
      </c>
    </row>
    <row r="246" spans="21:34" ht="20.100000000000001" customHeight="1" x14ac:dyDescent="0.25">
      <c r="U246" s="58" t="s">
        <v>272</v>
      </c>
    </row>
    <row r="247" spans="21:34" ht="20.100000000000001" customHeight="1" x14ac:dyDescent="0.25">
      <c r="U247" s="59" t="s">
        <v>87</v>
      </c>
      <c r="V247" s="59" t="s">
        <v>31</v>
      </c>
      <c r="W247" s="59" t="s">
        <v>32</v>
      </c>
      <c r="X247" s="59" t="s">
        <v>33</v>
      </c>
      <c r="Y247" s="59" t="s">
        <v>34</v>
      </c>
      <c r="Z247" s="59" t="s">
        <v>35</v>
      </c>
      <c r="AA247" s="59" t="s">
        <v>36</v>
      </c>
      <c r="AB247" s="59" t="s">
        <v>37</v>
      </c>
      <c r="AC247" s="59" t="s">
        <v>38</v>
      </c>
      <c r="AD247" s="59" t="s">
        <v>39</v>
      </c>
      <c r="AE247" s="59" t="s">
        <v>40</v>
      </c>
    </row>
    <row r="248" spans="21:34" ht="20.100000000000001" customHeight="1" x14ac:dyDescent="0.25">
      <c r="U248" s="29" t="str">
        <f>TEXT('Input - Site'!$E$12, "mmmm yyyy")</f>
        <v>January 2024</v>
      </c>
      <c r="V248" s="29" cm="1">
        <f t="array" aca="1" ref="V248" ca="1">MMS_PastureBeef_Soil_N2ODirect_Equations.VEERG_4_2_1_3__2_TotalNitrogenExcretedToPastureRangeAndPaddock(V216,V196,V232)</f>
        <v>289.15319378762229</v>
      </c>
      <c r="W248" s="29" cm="1">
        <f t="array" aca="1" ref="W248" ca="1">MMS_PastureBeef_Soil_N2ODirect_Equations.VEERG_4_2_1_3__2_TotalNitrogenExcretedToPastureRangeAndPaddock(W216,W196,W232)</f>
        <v>421.65805292524783</v>
      </c>
      <c r="X248" s="29" cm="1">
        <f t="array" aca="1" ref="X248" ca="1">MMS_PastureBeef_Soil_N2ODirect_Equations.VEERG_4_2_1_3__2_TotalNitrogenExcretedToPastureRangeAndPaddock(X216,X196,X232)</f>
        <v>241.21418667705774</v>
      </c>
      <c r="Y248" s="29" cm="1">
        <f t="array" aca="1" ref="Y248" ca="1">MMS_PastureBeef_Soil_N2ODirect_Equations.VEERG_4_2_1_3__2_TotalNitrogenExcretedToPastureRangeAndPaddock(Y216,Y196,Y232)</f>
        <v>313.21127433214627</v>
      </c>
      <c r="Z248" s="29" cm="1">
        <f t="array" aca="1" ref="Z248" ca="1">MMS_PastureBeef_Soil_N2ODirect_Equations.VEERG_4_2_1_3__2_TotalNitrogenExcretedToPastureRangeAndPaddock(Z216,Z196,Z232)</f>
        <v>329.00458281781619</v>
      </c>
      <c r="AA248" s="29" cm="1">
        <f t="array" aca="1" ref="AA248" ca="1">MMS_PastureBeef_Soil_N2ODirect_Equations.VEERG_4_2_1_3__2_TotalNitrogenExcretedToPastureRangeAndPaddock(AA216,AA196,AA232)</f>
        <v>329.00458281781619</v>
      </c>
      <c r="AB248" s="29" cm="1">
        <f t="array" aca="1" ref="AB248" ca="1">MMS_PastureBeef_Soil_N2ODirect_Equations.VEERG_4_2_1_3__2_TotalNitrogenExcretedToPastureRangeAndPaddock(AB216,AB196,AB232)</f>
        <v>265.4390677122351</v>
      </c>
      <c r="AC248" s="29" cm="1">
        <f t="array" aca="1" ref="AC248" ca="1">MMS_PastureBeef_Soil_N2ODirect_Equations.VEERG_4_2_1_3__2_TotalNitrogenExcretedToPastureRangeAndPaddock(AC216,AC196,AC232)</f>
        <v>326.89236244194075</v>
      </c>
      <c r="AD248" s="29" cm="1">
        <f t="array" aca="1" ref="AD248" ca="1">MMS_PastureBeef_Soil_N2ODirect_Equations.VEERG_4_2_1_3__2_TotalNitrogenExcretedToPastureRangeAndPaddock(AD216,AD196,AD232)</f>
        <v>326.89236244194075</v>
      </c>
      <c r="AE248" s="29" cm="1">
        <f t="array" aca="1" ref="AE248" ca="1">MMS_PastureBeef_Soil_N2ODirect_Equations.VEERG_4_2_1_3__2_TotalNitrogenExcretedToPastureRangeAndPaddock(AE216,AE196,AE232)</f>
        <v>326.89236244194075</v>
      </c>
      <c r="AF248" s="32" t="str">
        <f t="shared" ref="AF248:AF259" si="10">$E$182</f>
        <v>kg N</v>
      </c>
      <c r="AG248" s="32"/>
      <c r="AH248" s="32"/>
    </row>
    <row r="249" spans="21:34" ht="20.100000000000001" customHeight="1" x14ac:dyDescent="0.25">
      <c r="U249" s="29" t="str">
        <f>TEXT(EDATE('Input - Site'!$E$12,1), "mmmm yyyy")</f>
        <v>February 2024</v>
      </c>
      <c r="V249" s="29" cm="1">
        <f t="array" aca="1" ref="V249" ca="1">MMS_PastureBeef_Soil_N2ODirect_Equations.VEERG_4_2_1_3__2_TotalNitrogenExcretedToPastureRangeAndPaddock(V217,V197,V233)</f>
        <v>270.49814902713058</v>
      </c>
      <c r="W249" s="29" cm="1">
        <f t="array" aca="1" ref="W249" ca="1">MMS_PastureBeef_Soil_N2ODirect_Equations.VEERG_4_2_1_3__2_TotalNitrogenExcretedToPastureRangeAndPaddock(W217,W197,W233)</f>
        <v>394.45430757523184</v>
      </c>
      <c r="X249" s="29" cm="1">
        <f t="array" aca="1" ref="X249" ca="1">MMS_PastureBeef_Soil_N2ODirect_Equations.VEERG_4_2_1_3__2_TotalNitrogenExcretedToPastureRangeAndPaddock(X217,X197,X233)</f>
        <v>225.6519810849895</v>
      </c>
      <c r="Y249" s="29" cm="1">
        <f t="array" aca="1" ref="Y249" ca="1">MMS_PastureBeef_Soil_N2ODirect_Equations.VEERG_4_2_1_3__2_TotalNitrogenExcretedToPastureRangeAndPaddock(Y217,Y197,Y233)</f>
        <v>311.98304055581087</v>
      </c>
      <c r="Z249" s="29" cm="1">
        <f t="array" aca="1" ref="Z249" ca="1">MMS_PastureBeef_Soil_N2ODirect_Equations.VEERG_4_2_1_3__2_TotalNitrogenExcretedToPastureRangeAndPaddock(Z217,Z197,Z233)</f>
        <v>327.00953552250638</v>
      </c>
      <c r="AA249" s="29" cm="1">
        <f t="array" aca="1" ref="AA249" ca="1">MMS_PastureBeef_Soil_N2ODirect_Equations.VEERG_4_2_1_3__2_TotalNitrogenExcretedToPastureRangeAndPaddock(AA217,AA197,AA233)</f>
        <v>327.00953552250638</v>
      </c>
      <c r="AB249" s="29" cm="1">
        <f t="array" aca="1" ref="AB249" ca="1">MMS_PastureBeef_Soil_N2ODirect_Equations.VEERG_4_2_1_3__2_TotalNitrogenExcretedToPastureRangeAndPaddock(AB217,AB197,AB233)</f>
        <v>248.31396656951023</v>
      </c>
      <c r="AC249" s="29" cm="1">
        <f t="array" aca="1" ref="AC249" ca="1">MMS_PastureBeef_Soil_N2ODirect_Equations.VEERG_4_2_1_3__2_TotalNitrogenExcretedToPastureRangeAndPaddock(AC217,AC197,AC233)</f>
        <v>305.8025326069768</v>
      </c>
      <c r="AD249" s="29" cm="1">
        <f t="array" aca="1" ref="AD249" ca="1">MMS_PastureBeef_Soil_N2ODirect_Equations.VEERG_4_2_1_3__2_TotalNitrogenExcretedToPastureRangeAndPaddock(AD217,AD197,AD233)</f>
        <v>305.8025326069768</v>
      </c>
      <c r="AE249" s="29" cm="1">
        <f t="array" aca="1" ref="AE249" ca="1">MMS_PastureBeef_Soil_N2ODirect_Equations.VEERG_4_2_1_3__2_TotalNitrogenExcretedToPastureRangeAndPaddock(AE217,AE197,AE233)</f>
        <v>305.8025326069768</v>
      </c>
      <c r="AF249" s="32" t="str">
        <f t="shared" si="10"/>
        <v>kg N</v>
      </c>
      <c r="AG249" s="32"/>
      <c r="AH249" s="32"/>
    </row>
    <row r="250" spans="21:34" ht="20.100000000000001" customHeight="1" x14ac:dyDescent="0.25">
      <c r="U250" s="29" t="str">
        <f>TEXT(EDATE('Input - Site'!$E$12,2), "mmmm yyyy")</f>
        <v>March 2024</v>
      </c>
      <c r="V250" s="29" cm="1">
        <f t="array" aca="1" ref="V250" ca="1">MMS_PastureBeef_Soil_N2ODirect_Equations.VEERG_4_2_1_3__2_TotalNitrogenExcretedToPastureRangeAndPaddock(V218,V198,V234)</f>
        <v>41.820820957231291</v>
      </c>
      <c r="W250" s="29" cm="1">
        <f t="array" aca="1" ref="W250" ca="1">MMS_PastureBeef_Soil_N2ODirect_Equations.VEERG_4_2_1_3__2_TotalNitrogenExcretedToPastureRangeAndPaddock(W218,W198,W234)</f>
        <v>273.21237326588823</v>
      </c>
      <c r="X250" s="29" cm="1">
        <f t="array" aca="1" ref="X250" ca="1">MMS_PastureBeef_Soil_N2ODirect_Equations.VEERG_4_2_1_3__2_TotalNitrogenExcretedToPastureRangeAndPaddock(X218,X198,X234)</f>
        <v>34.105886288846641</v>
      </c>
      <c r="Y250" s="29" cm="1">
        <f t="array" aca="1" ref="Y250" ca="1">MMS_PastureBeef_Soil_N2ODirect_Equations.VEERG_4_2_1_3__2_TotalNitrogenExcretedToPastureRangeAndPaddock(Y218,Y198,Y234)</f>
        <v>162.22400157554256</v>
      </c>
      <c r="Z250" s="29" cm="1">
        <f t="array" aca="1" ref="Z250" ca="1">MMS_PastureBeef_Soil_N2ODirect_Equations.VEERG_4_2_1_3__2_TotalNitrogenExcretedToPastureRangeAndPaddock(Z218,Z198,Z234)</f>
        <v>214.47375788400842</v>
      </c>
      <c r="AA250" s="29" cm="1">
        <f t="array" aca="1" ref="AA250" ca="1">MMS_PastureBeef_Soil_N2ODirect_Equations.VEERG_4_2_1_3__2_TotalNitrogenExcretedToPastureRangeAndPaddock(AA218,AA198,AA234)</f>
        <v>214.47375788400842</v>
      </c>
      <c r="AB250" s="29" cm="1">
        <f t="array" aca="1" ref="AB250" ca="1">MMS_PastureBeef_Soil_N2ODirect_Equations.VEERG_4_2_1_3__2_TotalNitrogenExcretedToPastureRangeAndPaddock(AB218,AB198,AB234)</f>
        <v>42.567922288540977</v>
      </c>
      <c r="AC250" s="29" cm="1">
        <f t="array" aca="1" ref="AC250" ca="1">MMS_PastureBeef_Soil_N2ODirect_Equations.VEERG_4_2_1_3__2_TotalNitrogenExcretedToPastureRangeAndPaddock(AC218,AC198,AC234)</f>
        <v>171.12645843343526</v>
      </c>
      <c r="AD250" s="29" cm="1">
        <f t="array" aca="1" ref="AD250" ca="1">MMS_PastureBeef_Soil_N2ODirect_Equations.VEERG_4_2_1_3__2_TotalNitrogenExcretedToPastureRangeAndPaddock(AD218,AD198,AD234)</f>
        <v>171.12645843343526</v>
      </c>
      <c r="AE250" s="29" cm="1">
        <f t="array" aca="1" ref="AE250" ca="1">MMS_PastureBeef_Soil_N2ODirect_Equations.VEERG_4_2_1_3__2_TotalNitrogenExcretedToPastureRangeAndPaddock(AE218,AE198,AE234)</f>
        <v>171.12645843343526</v>
      </c>
      <c r="AF250" s="32" t="str">
        <f t="shared" si="10"/>
        <v>kg N</v>
      </c>
      <c r="AG250" s="32"/>
      <c r="AH250" s="32"/>
    </row>
    <row r="251" spans="21:34" ht="20.100000000000001" customHeight="1" x14ac:dyDescent="0.25">
      <c r="U251" s="29" t="str">
        <f>TEXT(EDATE('Input - Site'!$E$12,3), "mmmm yyyy")</f>
        <v>April 2024</v>
      </c>
      <c r="V251" s="29" cm="1">
        <f t="array" aca="1" ref="V251" ca="1">MMS_PastureBeef_Soil_N2ODirect_Equations.VEERG_4_2_1_3__2_TotalNitrogenExcretedToPastureRangeAndPaddock(V219,V199,V235)</f>
        <v>40.471762216675444</v>
      </c>
      <c r="W251" s="29" cm="1">
        <f t="array" aca="1" ref="W251" ca="1">MMS_PastureBeef_Soil_N2ODirect_Equations.VEERG_4_2_1_3__2_TotalNitrogenExcretedToPastureRangeAndPaddock(W219,W199,W235)</f>
        <v>264.39907090247249</v>
      </c>
      <c r="X251" s="29" cm="1">
        <f t="array" aca="1" ref="X251" ca="1">MMS_PastureBeef_Soil_N2ODirect_Equations.VEERG_4_2_1_3__2_TotalNitrogenExcretedToPastureRangeAndPaddock(X219,X199,X235)</f>
        <v>33.005696408561263</v>
      </c>
      <c r="Y251" s="29" cm="1">
        <f t="array" aca="1" ref="Y251" ca="1">MMS_PastureBeef_Soil_N2ODirect_Equations.VEERG_4_2_1_3__2_TotalNitrogenExcretedToPastureRangeAndPaddock(Y219,Y199,Y235)</f>
        <v>156.9909692666541</v>
      </c>
      <c r="Z251" s="29" cm="1">
        <f t="array" aca="1" ref="Z251" ca="1">MMS_PastureBeef_Soil_N2ODirect_Equations.VEERG_4_2_1_3__2_TotalNitrogenExcretedToPastureRangeAndPaddock(Z219,Z199,Z235)</f>
        <v>207.55524956516945</v>
      </c>
      <c r="AA251" s="29" cm="1">
        <f t="array" aca="1" ref="AA251" ca="1">MMS_PastureBeef_Soil_N2ODirect_Equations.VEERG_4_2_1_3__2_TotalNitrogenExcretedToPastureRangeAndPaddock(AA219,AA199,AA235)</f>
        <v>207.55524956516945</v>
      </c>
      <c r="AB251" s="29" cm="1">
        <f t="array" aca="1" ref="AB251" ca="1">MMS_PastureBeef_Soil_N2ODirect_Equations.VEERG_4_2_1_3__2_TotalNitrogenExcretedToPastureRangeAndPaddock(AB219,AB199,AB235)</f>
        <v>41.19476350503966</v>
      </c>
      <c r="AC251" s="29" cm="1">
        <f t="array" aca="1" ref="AC251" ca="1">MMS_PastureBeef_Soil_N2ODirect_Equations.VEERG_4_2_1_3__2_TotalNitrogenExcretedToPastureRangeAndPaddock(AC219,AC199,AC235)</f>
        <v>165.60625009687283</v>
      </c>
      <c r="AD251" s="29" cm="1">
        <f t="array" aca="1" ref="AD251" ca="1">MMS_PastureBeef_Soil_N2ODirect_Equations.VEERG_4_2_1_3__2_TotalNitrogenExcretedToPastureRangeAndPaddock(AD219,AD199,AD235)</f>
        <v>165.60625009687283</v>
      </c>
      <c r="AE251" s="29" cm="1">
        <f t="array" aca="1" ref="AE251" ca="1">MMS_PastureBeef_Soil_N2ODirect_Equations.VEERG_4_2_1_3__2_TotalNitrogenExcretedToPastureRangeAndPaddock(AE219,AE199,AE235)</f>
        <v>165.60625009687283</v>
      </c>
      <c r="AF251" s="32" t="str">
        <f t="shared" si="10"/>
        <v>kg N</v>
      </c>
      <c r="AG251" s="32"/>
      <c r="AH251" s="32"/>
    </row>
    <row r="252" spans="21:34" ht="20.100000000000001" customHeight="1" x14ac:dyDescent="0.25">
      <c r="U252" s="29" t="str">
        <f>TEXT(EDATE('Input - Site'!$E$12,4), "mmmm yyyy")</f>
        <v>May 2024</v>
      </c>
      <c r="V252" s="29" cm="1">
        <f t="array" aca="1" ref="V252" ca="1">MMS_PastureBeef_Soil_N2ODirect_Equations.VEERG_4_2_1_3__2_TotalNitrogenExcretedToPastureRangeAndPaddock(V220,V200,V236)</f>
        <v>41.820820957231291</v>
      </c>
      <c r="W252" s="29" cm="1">
        <f t="array" aca="1" ref="W252" ca="1">MMS_PastureBeef_Soil_N2ODirect_Equations.VEERG_4_2_1_3__2_TotalNitrogenExcretedToPastureRangeAndPaddock(W220,W200,W236)</f>
        <v>273.21237326588823</v>
      </c>
      <c r="X252" s="29" cm="1">
        <f t="array" aca="1" ref="X252" ca="1">MMS_PastureBeef_Soil_N2ODirect_Equations.VEERG_4_2_1_3__2_TotalNitrogenExcretedToPastureRangeAndPaddock(X220,X200,X236)</f>
        <v>34.105886288846641</v>
      </c>
      <c r="Y252" s="29" cm="1">
        <f t="array" aca="1" ref="Y252" ca="1">MMS_PastureBeef_Soil_N2ODirect_Equations.VEERG_4_2_1_3__2_TotalNitrogenExcretedToPastureRangeAndPaddock(Y220,Y200,Y236)</f>
        <v>162.22400157554256</v>
      </c>
      <c r="Z252" s="29" cm="1">
        <f t="array" aca="1" ref="Z252" ca="1">MMS_PastureBeef_Soil_N2ODirect_Equations.VEERG_4_2_1_3__2_TotalNitrogenExcretedToPastureRangeAndPaddock(Z220,Z200,Z236)</f>
        <v>214.47375788400842</v>
      </c>
      <c r="AA252" s="29" cm="1">
        <f t="array" aca="1" ref="AA252" ca="1">MMS_PastureBeef_Soil_N2ODirect_Equations.VEERG_4_2_1_3__2_TotalNitrogenExcretedToPastureRangeAndPaddock(AA220,AA200,AA236)</f>
        <v>214.47375788400842</v>
      </c>
      <c r="AB252" s="29" cm="1">
        <f t="array" aca="1" ref="AB252" ca="1">MMS_PastureBeef_Soil_N2ODirect_Equations.VEERG_4_2_1_3__2_TotalNitrogenExcretedToPastureRangeAndPaddock(AB220,AB200,AB236)</f>
        <v>42.567922288540977</v>
      </c>
      <c r="AC252" s="29" cm="1">
        <f t="array" aca="1" ref="AC252" ca="1">MMS_PastureBeef_Soil_N2ODirect_Equations.VEERG_4_2_1_3__2_TotalNitrogenExcretedToPastureRangeAndPaddock(AC220,AC200,AC236)</f>
        <v>171.12645843343526</v>
      </c>
      <c r="AD252" s="29" cm="1">
        <f t="array" aca="1" ref="AD252" ca="1">MMS_PastureBeef_Soil_N2ODirect_Equations.VEERG_4_2_1_3__2_TotalNitrogenExcretedToPastureRangeAndPaddock(AD220,AD200,AD236)</f>
        <v>171.12645843343526</v>
      </c>
      <c r="AE252" s="29" cm="1">
        <f t="array" aca="1" ref="AE252" ca="1">MMS_PastureBeef_Soil_N2ODirect_Equations.VEERG_4_2_1_3__2_TotalNitrogenExcretedToPastureRangeAndPaddock(AE220,AE200,AE236)</f>
        <v>171.12645843343526</v>
      </c>
      <c r="AF252" s="32" t="str">
        <f t="shared" si="10"/>
        <v>kg N</v>
      </c>
      <c r="AG252" s="32"/>
      <c r="AH252" s="32"/>
    </row>
    <row r="253" spans="21:34" ht="20.100000000000001" customHeight="1" x14ac:dyDescent="0.25">
      <c r="U253" s="29" t="str">
        <f>TEXT(EDATE('Input - Site'!$E$12,5), "mmmm yyyy")</f>
        <v>June 2024</v>
      </c>
      <c r="V253" s="29" cm="1">
        <f t="array" aca="1" ref="V253" ca="1">MMS_PastureBeef_Soil_N2ODirect_Equations.VEERG_4_2_1_3__2_TotalNitrogenExcretedToPastureRangeAndPaddock(V221,V201,V237)</f>
        <v>413.18213355318102</v>
      </c>
      <c r="W253" s="29" cm="1">
        <f t="array" aca="1" ref="W253" ca="1">MMS_PastureBeef_Soil_N2ODirect_Equations.VEERG_4_2_1_3__2_TotalNitrogenExcretedToPastureRangeAndPaddock(W221,W201,W237)</f>
        <v>942.76024604375755</v>
      </c>
      <c r="X253" s="29" cm="1">
        <f t="array" aca="1" ref="X253" ca="1">MMS_PastureBeef_Soil_N2ODirect_Equations.VEERG_4_2_1_3__2_TotalNitrogenExcretedToPastureRangeAndPaddock(X221,X201,X237)</f>
        <v>342.91705590235108</v>
      </c>
      <c r="Y253" s="29" cm="1">
        <f t="array" aca="1" ref="Y253" ca="1">MMS_PastureBeef_Soil_N2ODirect_Equations.VEERG_4_2_1_3__2_TotalNitrogenExcretedToPastureRangeAndPaddock(Y221,Y201,Y237)</f>
        <v>559.82295869692348</v>
      </c>
      <c r="Z253" s="29" cm="1">
        <f t="array" aca="1" ref="Z253" ca="1">MMS_PastureBeef_Soil_N2ODirect_Equations.VEERG_4_2_1_3__2_TotalNitrogenExcretedToPastureRangeAndPaddock(Z221,Z201,Z237)</f>
        <v>754.06991848471978</v>
      </c>
      <c r="AA253" s="29" cm="1">
        <f t="array" aca="1" ref="AA253" ca="1">MMS_PastureBeef_Soil_N2ODirect_Equations.VEERG_4_2_1_3__2_TotalNitrogenExcretedToPastureRangeAndPaddock(AA221,AA201,AA237)</f>
        <v>754.06991848471978</v>
      </c>
      <c r="AB253" s="29" cm="1">
        <f t="array" aca="1" ref="AB253" ca="1">MMS_PastureBeef_Soil_N2ODirect_Equations.VEERG_4_2_1_3__2_TotalNitrogenExcretedToPastureRangeAndPaddock(AB221,AB201,AB237)</f>
        <v>371.42949201308153</v>
      </c>
      <c r="AC253" s="29" cm="1">
        <f t="array" aca="1" ref="AC253" ca="1">MMS_PastureBeef_Soil_N2ODirect_Equations.VEERG_4_2_1_3__2_TotalNitrogenExcretedToPastureRangeAndPaddock(AC221,AC201,AC237)</f>
        <v>632.73028069278769</v>
      </c>
      <c r="AD253" s="29" cm="1">
        <f t="array" aca="1" ref="AD253" ca="1">MMS_PastureBeef_Soil_N2ODirect_Equations.VEERG_4_2_1_3__2_TotalNitrogenExcretedToPastureRangeAndPaddock(AD221,AD201,AD237)</f>
        <v>632.73028069278769</v>
      </c>
      <c r="AE253" s="29" cm="1">
        <f t="array" aca="1" ref="AE253" ca="1">MMS_PastureBeef_Soil_N2ODirect_Equations.VEERG_4_2_1_3__2_TotalNitrogenExcretedToPastureRangeAndPaddock(AE221,AE201,AE237)</f>
        <v>632.73028069278769</v>
      </c>
      <c r="AF253" s="32" t="str">
        <f t="shared" si="10"/>
        <v>kg N</v>
      </c>
      <c r="AG253" s="32"/>
      <c r="AH253" s="32"/>
    </row>
    <row r="254" spans="21:34" ht="20.100000000000001" customHeight="1" x14ac:dyDescent="0.25">
      <c r="U254" s="29" t="str">
        <f>TEXT(EDATE('Input - Site'!$E$12,6), "mmmm yyyy")</f>
        <v>July 2024</v>
      </c>
      <c r="V254" s="29" cm="1">
        <f t="array" aca="1" ref="V254" ca="1">MMS_PastureBeef_Soil_N2ODirect_Equations.VEERG_4_2_1_3__2_TotalNitrogenExcretedToPastureRangeAndPaddock(V222,V202,V238)</f>
        <v>426.95487133828709</v>
      </c>
      <c r="W254" s="29" cm="1">
        <f t="array" aca="1" ref="W254" ca="1">MMS_PastureBeef_Soil_N2ODirect_Equations.VEERG_4_2_1_3__2_TotalNitrogenExcretedToPastureRangeAndPaddock(W222,W202,W238)</f>
        <v>974.18558757854953</v>
      </c>
      <c r="X254" s="29" cm="1">
        <f t="array" aca="1" ref="X254" ca="1">MMS_PastureBeef_Soil_N2ODirect_Equations.VEERG_4_2_1_3__2_TotalNitrogenExcretedToPastureRangeAndPaddock(X222,X202,X238)</f>
        <v>354.34762443242948</v>
      </c>
      <c r="Y254" s="29" cm="1">
        <f t="array" aca="1" ref="Y254" ca="1">MMS_PastureBeef_Soil_N2ODirect_Equations.VEERG_4_2_1_3__2_TotalNitrogenExcretedToPastureRangeAndPaddock(Y222,Y202,Y238)</f>
        <v>578.48372398682091</v>
      </c>
      <c r="Z254" s="29" cm="1">
        <f t="array" aca="1" ref="Z254" ca="1">MMS_PastureBeef_Soil_N2ODirect_Equations.VEERG_4_2_1_3__2_TotalNitrogenExcretedToPastureRangeAndPaddock(Z222,Z202,Z238)</f>
        <v>779.20558243421044</v>
      </c>
      <c r="AA254" s="29" cm="1">
        <f t="array" aca="1" ref="AA254" ca="1">MMS_PastureBeef_Soil_N2ODirect_Equations.VEERG_4_2_1_3__2_TotalNitrogenExcretedToPastureRangeAndPaddock(AA222,AA202,AA238)</f>
        <v>779.20558243421044</v>
      </c>
      <c r="AB254" s="29" cm="1">
        <f t="array" aca="1" ref="AB254" ca="1">MMS_PastureBeef_Soil_N2ODirect_Equations.VEERG_4_2_1_3__2_TotalNitrogenExcretedToPastureRangeAndPaddock(AB222,AB202,AB238)</f>
        <v>383.81047508018423</v>
      </c>
      <c r="AC254" s="29" cm="1">
        <f t="array" aca="1" ref="AC254" ca="1">MMS_PastureBeef_Soil_N2ODirect_Equations.VEERG_4_2_1_3__2_TotalNitrogenExcretedToPastureRangeAndPaddock(AC222,AC202,AC238)</f>
        <v>653.82129004921387</v>
      </c>
      <c r="AD254" s="29" cm="1">
        <f t="array" aca="1" ref="AD254" ca="1">MMS_PastureBeef_Soil_N2ODirect_Equations.VEERG_4_2_1_3__2_TotalNitrogenExcretedToPastureRangeAndPaddock(AD222,AD202,AD238)</f>
        <v>653.82129004921387</v>
      </c>
      <c r="AE254" s="29" cm="1">
        <f t="array" aca="1" ref="AE254" ca="1">MMS_PastureBeef_Soil_N2ODirect_Equations.VEERG_4_2_1_3__2_TotalNitrogenExcretedToPastureRangeAndPaddock(AE222,AE202,AE238)</f>
        <v>653.82129004921387</v>
      </c>
      <c r="AF254" s="32" t="str">
        <f t="shared" si="10"/>
        <v>kg N</v>
      </c>
      <c r="AG254" s="32"/>
      <c r="AH254" s="32"/>
    </row>
    <row r="255" spans="21:34" ht="20.100000000000001" customHeight="1" x14ac:dyDescent="0.25">
      <c r="U255" s="29" t="str">
        <f>TEXT(EDATE('Input - Site'!$E$12,7), "mmmm yyyy")</f>
        <v>August 2024</v>
      </c>
      <c r="V255" s="29" cm="1">
        <f t="array" aca="1" ref="V255" ca="1">MMS_PastureBeef_Soil_N2ODirect_Equations.VEERG_4_2_1_3__2_TotalNitrogenExcretedToPastureRangeAndPaddock(V223,V203,V239)</f>
        <v>426.95487133828709</v>
      </c>
      <c r="W255" s="29" cm="1">
        <f t="array" aca="1" ref="W255" ca="1">MMS_PastureBeef_Soil_N2ODirect_Equations.VEERG_4_2_1_3__2_TotalNitrogenExcretedToPastureRangeAndPaddock(W223,W203,W239)</f>
        <v>974.18558757854953</v>
      </c>
      <c r="X255" s="29" cm="1">
        <f t="array" aca="1" ref="X255" ca="1">MMS_PastureBeef_Soil_N2ODirect_Equations.VEERG_4_2_1_3__2_TotalNitrogenExcretedToPastureRangeAndPaddock(X223,X203,X239)</f>
        <v>354.34762443242948</v>
      </c>
      <c r="Y255" s="29" cm="1">
        <f t="array" aca="1" ref="Y255" ca="1">MMS_PastureBeef_Soil_N2ODirect_Equations.VEERG_4_2_1_3__2_TotalNitrogenExcretedToPastureRangeAndPaddock(Y223,Y203,Y239)</f>
        <v>640.84537562963749</v>
      </c>
      <c r="Z255" s="29" cm="1">
        <f t="array" aca="1" ref="Z255" ca="1">MMS_PastureBeef_Soil_N2ODirect_Equations.VEERG_4_2_1_3__2_TotalNitrogenExcretedToPastureRangeAndPaddock(Z223,Z203,Z239)</f>
        <v>886.7378657506739</v>
      </c>
      <c r="AA255" s="29" cm="1">
        <f t="array" aca="1" ref="AA255" ca="1">MMS_PastureBeef_Soil_N2ODirect_Equations.VEERG_4_2_1_3__2_TotalNitrogenExcretedToPastureRangeAndPaddock(AA223,AA203,AA239)</f>
        <v>886.7378657506739</v>
      </c>
      <c r="AB255" s="29" cm="1">
        <f t="array" aca="1" ref="AB255" ca="1">MMS_PastureBeef_Soil_N2ODirect_Equations.VEERG_4_2_1_3__2_TotalNitrogenExcretedToPastureRangeAndPaddock(AB223,AB203,AB239)</f>
        <v>383.81047508018423</v>
      </c>
      <c r="AC255" s="29" cm="1">
        <f t="array" aca="1" ref="AC255" ca="1">MMS_PastureBeef_Soil_N2ODirect_Equations.VEERG_4_2_1_3__2_TotalNitrogenExcretedToPastureRangeAndPaddock(AC223,AC203,AC239)</f>
        <v>653.82129004921387</v>
      </c>
      <c r="AD255" s="29" cm="1">
        <f t="array" aca="1" ref="AD255" ca="1">MMS_PastureBeef_Soil_N2ODirect_Equations.VEERG_4_2_1_3__2_TotalNitrogenExcretedToPastureRangeAndPaddock(AD223,AD203,AD239)</f>
        <v>653.82129004921387</v>
      </c>
      <c r="AE255" s="29" cm="1">
        <f t="array" aca="1" ref="AE255" ca="1">MMS_PastureBeef_Soil_N2ODirect_Equations.VEERG_4_2_1_3__2_TotalNitrogenExcretedToPastureRangeAndPaddock(AE223,AE203,AE239)</f>
        <v>653.82129004921387</v>
      </c>
      <c r="AF255" s="32" t="str">
        <f t="shared" si="10"/>
        <v>kg N</v>
      </c>
      <c r="AG255" s="32"/>
      <c r="AH255" s="32"/>
    </row>
    <row r="256" spans="21:34" ht="20.100000000000001" customHeight="1" x14ac:dyDescent="0.25">
      <c r="U256" s="29" t="str">
        <f>TEXT(EDATE('Input - Site'!$E$12,8), "mmmm yyyy")</f>
        <v>September 2024</v>
      </c>
      <c r="V256" s="29" cm="1">
        <f t="array" aca="1" ref="V256" ca="1">MMS_PastureBeef_Soil_N2ODirect_Equations.VEERG_4_2_1_3__2_TotalNitrogenExcretedToPastureRangeAndPaddock(V224,V204,V240)</f>
        <v>730.33145980339532</v>
      </c>
      <c r="W256" s="29" cm="1">
        <f t="array" aca="1" ref="W256" ca="1">MMS_PastureBeef_Soil_N2ODirect_Equations.VEERG_4_2_1_3__2_TotalNitrogenExcretedToPastureRangeAndPaddock(W224,W204,W240)</f>
        <v>1131.2440120269775</v>
      </c>
      <c r="X256" s="29" cm="1">
        <f t="array" aca="1" ref="X256" ca="1">MMS_PastureBeef_Soil_N2ODirect_Equations.VEERG_4_2_1_3__2_TotalNitrogenExcretedToPastureRangeAndPaddock(X224,X204,X240)</f>
        <v>562.15638666998314</v>
      </c>
      <c r="Y256" s="29" cm="1">
        <f t="array" aca="1" ref="Y256" ca="1">MMS_PastureBeef_Soil_N2ODirect_Equations.VEERG_4_2_1_3__2_TotalNitrogenExcretedToPastureRangeAndPaddock(Y224,Y204,Y240)</f>
        <v>909.49542050972343</v>
      </c>
      <c r="Z256" s="29" cm="1">
        <f t="array" aca="1" ref="Z256" ca="1">MMS_PastureBeef_Soil_N2ODirect_Equations.VEERG_4_2_1_3__2_TotalNitrogenExcretedToPastureRangeAndPaddock(Z224,Z204,Z240)</f>
        <v>1036.8013047213371</v>
      </c>
      <c r="AA256" s="29" cm="1">
        <f t="array" aca="1" ref="AA256" ca="1">MMS_PastureBeef_Soil_N2ODirect_Equations.VEERG_4_2_1_3__2_TotalNitrogenExcretedToPastureRangeAndPaddock(AA224,AA204,AA240)</f>
        <v>1036.8013047213371</v>
      </c>
      <c r="AB256" s="29" cm="1">
        <f t="array" aca="1" ref="AB256" ca="1">MMS_PastureBeef_Soil_N2ODirect_Equations.VEERG_4_2_1_3__2_TotalNitrogenExcretedToPastureRangeAndPaddock(AB224,AB204,AB240)</f>
        <v>644.507609695067</v>
      </c>
      <c r="AC256" s="29" cm="1">
        <f t="array" aca="1" ref="AC256" ca="1">MMS_PastureBeef_Soil_N2ODirect_Equations.VEERG_4_2_1_3__2_TotalNitrogenExcretedToPastureRangeAndPaddock(AC224,AC204,AC240)</f>
        <v>880.40305898985866</v>
      </c>
      <c r="AD256" s="29" cm="1">
        <f t="array" aca="1" ref="AD256" ca="1">MMS_PastureBeef_Soil_N2ODirect_Equations.VEERG_4_2_1_3__2_TotalNitrogenExcretedToPastureRangeAndPaddock(AD224,AD204,AD240)</f>
        <v>880.40305898985866</v>
      </c>
      <c r="AE256" s="29" cm="1">
        <f t="array" aca="1" ref="AE256" ca="1">MMS_PastureBeef_Soil_N2ODirect_Equations.VEERG_4_2_1_3__2_TotalNitrogenExcretedToPastureRangeAndPaddock(AE224,AE204,AE240)</f>
        <v>880.40305898985866</v>
      </c>
      <c r="AF256" s="32" t="str">
        <f t="shared" si="10"/>
        <v>kg N</v>
      </c>
      <c r="AG256" s="32"/>
      <c r="AH256" s="32"/>
    </row>
    <row r="257" spans="20:35" ht="20.100000000000001" customHeight="1" x14ac:dyDescent="0.25">
      <c r="U257" s="29" t="str">
        <f>TEXT(EDATE('Input - Site'!$E$12,9), "mmmm yyyy")</f>
        <v>October 2024</v>
      </c>
      <c r="V257" s="29" cm="1">
        <f t="array" aca="1" ref="V257" ca="1">MMS_PastureBeef_Soil_N2ODirect_Equations.VEERG_4_2_1_3__2_TotalNitrogenExcretedToPastureRangeAndPaddock(V225,V205,V241)</f>
        <v>754.67584179684184</v>
      </c>
      <c r="W257" s="29" cm="1">
        <f t="array" aca="1" ref="W257" ca="1">MMS_PastureBeef_Soil_N2ODirect_Equations.VEERG_4_2_1_3__2_TotalNitrogenExcretedToPastureRangeAndPaddock(W225,W205,W241)</f>
        <v>1168.95214576121</v>
      </c>
      <c r="X257" s="29" cm="1">
        <f t="array" aca="1" ref="X257" ca="1">MMS_PastureBeef_Soil_N2ODirect_Equations.VEERG_4_2_1_3__2_TotalNitrogenExcretedToPastureRangeAndPaddock(X225,X205,X241)</f>
        <v>580.89493289231598</v>
      </c>
      <c r="Y257" s="29" cm="1">
        <f t="array" aca="1" ref="Y257" ca="1">MMS_PastureBeef_Soil_N2ODirect_Equations.VEERG_4_2_1_3__2_TotalNitrogenExcretedToPastureRangeAndPaddock(Y225,Y205,Y241)</f>
        <v>939.81193452671414</v>
      </c>
      <c r="Z257" s="29" cm="1">
        <f t="array" aca="1" ref="Z257" ca="1">MMS_PastureBeef_Soil_N2ODirect_Equations.VEERG_4_2_1_3__2_TotalNitrogenExcretedToPastureRangeAndPaddock(Z225,Z205,Z241)</f>
        <v>1071.3613482120484</v>
      </c>
      <c r="AA257" s="29" cm="1">
        <f t="array" aca="1" ref="AA257" ca="1">MMS_PastureBeef_Soil_N2ODirect_Equations.VEERG_4_2_1_3__2_TotalNitrogenExcretedToPastureRangeAndPaddock(AA225,AA205,AA241)</f>
        <v>1071.3613482120484</v>
      </c>
      <c r="AB257" s="29" cm="1">
        <f t="array" aca="1" ref="AB257" ca="1">MMS_PastureBeef_Soil_N2ODirect_Equations.VEERG_4_2_1_3__2_TotalNitrogenExcretedToPastureRangeAndPaddock(AB225,AB205,AB241)</f>
        <v>665.99119668490255</v>
      </c>
      <c r="AC257" s="29" cm="1">
        <f t="array" aca="1" ref="AC257" ca="1">MMS_PastureBeef_Soil_N2ODirect_Equations.VEERG_4_2_1_3__2_TotalNitrogenExcretedToPastureRangeAndPaddock(AC225,AC205,AC241)</f>
        <v>909.74982762285401</v>
      </c>
      <c r="AD257" s="29" cm="1">
        <f t="array" aca="1" ref="AD257" ca="1">MMS_PastureBeef_Soil_N2ODirect_Equations.VEERG_4_2_1_3__2_TotalNitrogenExcretedToPastureRangeAndPaddock(AD225,AD205,AD241)</f>
        <v>909.74982762285401</v>
      </c>
      <c r="AE257" s="29" cm="1">
        <f t="array" aca="1" ref="AE257" ca="1">MMS_PastureBeef_Soil_N2ODirect_Equations.VEERG_4_2_1_3__2_TotalNitrogenExcretedToPastureRangeAndPaddock(AE225,AE205,AE241)</f>
        <v>909.74982762285401</v>
      </c>
      <c r="AF257" s="32" t="str">
        <f t="shared" si="10"/>
        <v>kg N</v>
      </c>
      <c r="AG257" s="32"/>
      <c r="AH257" s="32"/>
    </row>
    <row r="258" spans="20:35" ht="20.100000000000001" customHeight="1" x14ac:dyDescent="0.25">
      <c r="U258" s="29" t="str">
        <f>TEXT(EDATE('Input - Site'!$E$12,10), "mmmm yyyy")</f>
        <v>November 2024</v>
      </c>
      <c r="V258" s="29" cm="1">
        <f t="array" aca="1" ref="V258" ca="1">MMS_PastureBeef_Soil_N2ODirect_Equations.VEERG_4_2_1_3__2_TotalNitrogenExcretedToPastureRangeAndPaddock(V226,V206,V242)</f>
        <v>730.33145980339532</v>
      </c>
      <c r="W258" s="29" cm="1">
        <f t="array" aca="1" ref="W258" ca="1">MMS_PastureBeef_Soil_N2ODirect_Equations.VEERG_4_2_1_3__2_TotalNitrogenExcretedToPastureRangeAndPaddock(W226,W206,W242)</f>
        <v>1131.2440120269775</v>
      </c>
      <c r="X258" s="29" cm="1">
        <f t="array" aca="1" ref="X258" ca="1">MMS_PastureBeef_Soil_N2ODirect_Equations.VEERG_4_2_1_3__2_TotalNitrogenExcretedToPastureRangeAndPaddock(X226,X206,X242)</f>
        <v>562.15638666998314</v>
      </c>
      <c r="Y258" s="29" cm="1">
        <f t="array" aca="1" ref="Y258" ca="1">MMS_PastureBeef_Soil_N2ODirect_Equations.VEERG_4_2_1_3__2_TotalNitrogenExcretedToPastureRangeAndPaddock(Y226,Y206,Y242)</f>
        <v>807.10700542886923</v>
      </c>
      <c r="Z258" s="29" cm="1">
        <f t="array" aca="1" ref="Z258" ca="1">MMS_PastureBeef_Soil_N2ODirect_Equations.VEERG_4_2_1_3__2_TotalNitrogenExcretedToPastureRangeAndPaddock(Z226,Z206,Z242)</f>
        <v>920.67343317274879</v>
      </c>
      <c r="AA258" s="29" cm="1">
        <f t="array" aca="1" ref="AA258" ca="1">MMS_PastureBeef_Soil_N2ODirect_Equations.VEERG_4_2_1_3__2_TotalNitrogenExcretedToPastureRangeAndPaddock(AA226,AA206,AA242)</f>
        <v>920.67343317274879</v>
      </c>
      <c r="AB258" s="29" cm="1">
        <f t="array" aca="1" ref="AB258" ca="1">MMS_PastureBeef_Soil_N2ODirect_Equations.VEERG_4_2_1_3__2_TotalNitrogenExcretedToPastureRangeAndPaddock(AB226,AB206,AB242)</f>
        <v>644.507609695067</v>
      </c>
      <c r="AC258" s="29" cm="1">
        <f t="array" aca="1" ref="AC258" ca="1">MMS_PastureBeef_Soil_N2ODirect_Equations.VEERG_4_2_1_3__2_TotalNitrogenExcretedToPastureRangeAndPaddock(AC226,AC206,AC242)</f>
        <v>880.40305898985866</v>
      </c>
      <c r="AD258" s="29" cm="1">
        <f t="array" aca="1" ref="AD258" ca="1">MMS_PastureBeef_Soil_N2ODirect_Equations.VEERG_4_2_1_3__2_TotalNitrogenExcretedToPastureRangeAndPaddock(AD226,AD206,AD242)</f>
        <v>880.40305898985866</v>
      </c>
      <c r="AE258" s="29" cm="1">
        <f t="array" aca="1" ref="AE258" ca="1">MMS_PastureBeef_Soil_N2ODirect_Equations.VEERG_4_2_1_3__2_TotalNitrogenExcretedToPastureRangeAndPaddock(AE226,AE206,AE242)</f>
        <v>880.40305898985866</v>
      </c>
      <c r="AF258" s="32" t="str">
        <f t="shared" si="10"/>
        <v>kg N</v>
      </c>
      <c r="AG258" s="32"/>
      <c r="AH258" s="32"/>
    </row>
    <row r="259" spans="20:35" ht="20.100000000000001" customHeight="1" x14ac:dyDescent="0.25">
      <c r="U259" s="29" t="str">
        <f>TEXT(EDATE('Input - Site'!$E$12,11), "mmmm yyyy")</f>
        <v>December 2024</v>
      </c>
      <c r="V259" s="29" cm="1">
        <f t="array" aca="1" ref="V259" ca="1">MMS_PastureBeef_Soil_N2ODirect_Equations.VEERG_4_2_1_3__2_TotalNitrogenExcretedToPastureRangeAndPaddock(V227,V207,V243)</f>
        <v>289.15319378762229</v>
      </c>
      <c r="W259" s="29" cm="1">
        <f t="array" aca="1" ref="W259" ca="1">MMS_PastureBeef_Soil_N2ODirect_Equations.VEERG_4_2_1_3__2_TotalNitrogenExcretedToPastureRangeAndPaddock(W227,W207,W243)</f>
        <v>421.65805292524783</v>
      </c>
      <c r="X259" s="29" cm="1">
        <f t="array" aca="1" ref="X259" ca="1">MMS_PastureBeef_Soil_N2ODirect_Equations.VEERG_4_2_1_3__2_TotalNitrogenExcretedToPastureRangeAndPaddock(X227,X207,X243)</f>
        <v>241.21418667705774</v>
      </c>
      <c r="Y259" s="29" cm="1">
        <f t="array" aca="1" ref="Y259" ca="1">MMS_PastureBeef_Soil_N2ODirect_Equations.VEERG_4_2_1_3__2_TotalNitrogenExcretedToPastureRangeAndPaddock(Y227,Y207,Y243)</f>
        <v>313.21127433214627</v>
      </c>
      <c r="Z259" s="29" cm="1">
        <f t="array" aca="1" ref="Z259" ca="1">MMS_PastureBeef_Soil_N2ODirect_Equations.VEERG_4_2_1_3__2_TotalNitrogenExcretedToPastureRangeAndPaddock(Z227,Z207,Z243)</f>
        <v>329.00458281781619</v>
      </c>
      <c r="AA259" s="29" cm="1">
        <f t="array" aca="1" ref="AA259" ca="1">MMS_PastureBeef_Soil_N2ODirect_Equations.VEERG_4_2_1_3__2_TotalNitrogenExcretedToPastureRangeAndPaddock(AA227,AA207,AA243)</f>
        <v>329.00458281781619</v>
      </c>
      <c r="AB259" s="29" cm="1">
        <f t="array" aca="1" ref="AB259" ca="1">MMS_PastureBeef_Soil_N2ODirect_Equations.VEERG_4_2_1_3__2_TotalNitrogenExcretedToPastureRangeAndPaddock(AB227,AB207,AB243)</f>
        <v>265.4390677122351</v>
      </c>
      <c r="AC259" s="29" cm="1">
        <f t="array" aca="1" ref="AC259" ca="1">MMS_PastureBeef_Soil_N2ODirect_Equations.VEERG_4_2_1_3__2_TotalNitrogenExcretedToPastureRangeAndPaddock(AC227,AC207,AC243)</f>
        <v>326.89236244194075</v>
      </c>
      <c r="AD259" s="29" cm="1">
        <f t="array" aca="1" ref="AD259" ca="1">MMS_PastureBeef_Soil_N2ODirect_Equations.VEERG_4_2_1_3__2_TotalNitrogenExcretedToPastureRangeAndPaddock(AD227,AD207,AD243)</f>
        <v>326.89236244194075</v>
      </c>
      <c r="AE259" s="29" cm="1">
        <f t="array" aca="1" ref="AE259" ca="1">MMS_PastureBeef_Soil_N2ODirect_Equations.VEERG_4_2_1_3__2_TotalNitrogenExcretedToPastureRangeAndPaddock(AE227,AE207,AE243)</f>
        <v>326.89236244194075</v>
      </c>
      <c r="AF259" s="32" t="str">
        <f t="shared" si="10"/>
        <v>kg N</v>
      </c>
      <c r="AG259" s="32"/>
      <c r="AH259" s="32"/>
    </row>
    <row r="260" spans="20:35" ht="20.100000000000001" customHeight="1" x14ac:dyDescent="0.25"/>
    <row r="261" spans="20:35" ht="20.100000000000001" customHeight="1" x14ac:dyDescent="0.25">
      <c r="U261" s="75" t="s">
        <v>269</v>
      </c>
      <c r="V261" s="61">
        <f ca="1">SUM(V248:AE259)</f>
        <v>58623.490314488175</v>
      </c>
      <c r="W261" s="17" t="str">
        <f>$E$182</f>
        <v>kg N</v>
      </c>
    </row>
    <row r="262" spans="20:35" ht="20.100000000000001" customHeight="1" x14ac:dyDescent="0.25"/>
    <row r="263" spans="20:35" ht="20.100000000000001" customHeight="1" x14ac:dyDescent="0.25"/>
    <row r="264" spans="20:35" ht="20.100000000000001" customHeight="1" x14ac:dyDescent="0.25">
      <c r="T264" s="61"/>
      <c r="U264" s="61"/>
      <c r="V264" s="61"/>
      <c r="W264" s="61"/>
      <c r="X264" s="61"/>
      <c r="Y264" s="61"/>
      <c r="Z264" s="61"/>
      <c r="AA264" s="61"/>
      <c r="AB264" s="61"/>
      <c r="AC264" s="61"/>
      <c r="AD264" s="61"/>
      <c r="AE264" s="61"/>
      <c r="AF264" s="61"/>
      <c r="AG264" s="61"/>
      <c r="AH264" s="61"/>
      <c r="AI264" s="61"/>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62" t="s">
        <v>270</v>
      </c>
      <c r="V267" s="63" cm="1">
        <f t="array" aca="1" ref="V267" ca="1">MMS_PastureBeef_Soil_N2ODirect_Equations.VEERG_4_2_1_3__1_DirectNitrousOxideEmissionsOnPasture($V$261,$H$225,$H$226)</f>
        <v>0.18424525527410571</v>
      </c>
      <c r="W267" s="64" t="str">
        <f>$E$222</f>
        <v>t N2O</v>
      </c>
    </row>
    <row r="268" spans="20:35" ht="20.100000000000001" customHeight="1" x14ac:dyDescent="0.25"/>
    <row r="269" spans="20:35" ht="20.100000000000001" customHeight="1" x14ac:dyDescent="0.25">
      <c r="U269" s="65" t="str" cm="1">
        <f t="array" ref="U269:V270">Common_Equations.Common_ConvertN2OToCO2e_Arguments()</f>
        <v>EN2O</v>
      </c>
      <c r="V269" s="66" t="str">
        <v>Nitrous oxide emissions (t N2O)</v>
      </c>
      <c r="W269" s="67"/>
      <c r="X269" s="29">
        <f ca="1">V267</f>
        <v>0.18424525527410571</v>
      </c>
    </row>
    <row r="270" spans="20:35" ht="20.100000000000001" customHeight="1" x14ac:dyDescent="0.25">
      <c r="U270" s="65" t="str">
        <v>GWPN2O</v>
      </c>
      <c r="V270" s="66" t="str">
        <v>Global warming potential for nitrous oxide (t CO2-e / t N2O)</v>
      </c>
      <c r="W270" s="67"/>
      <c r="X270" s="29">
        <f>Common_InputFunctions.Utility_LookupValueInTableNumber("N2O",Table_GWPData[Gas],Table_GWPData[CO2-e factor])</f>
        <v>265</v>
      </c>
    </row>
    <row r="271" spans="20:35" ht="20.100000000000001" customHeight="1" x14ac:dyDescent="0.25"/>
    <row r="272" spans="20:35" ht="20.100000000000001" customHeight="1" x14ac:dyDescent="0.25">
      <c r="U272" s="61" t="s">
        <v>120</v>
      </c>
      <c r="V272" s="61" cm="1">
        <f t="array" aca="1" ref="V272" ca="1">Common_Equations.Common_ConvertN2OToCO2e(X269,X270)</f>
        <v>48.824992647638012</v>
      </c>
      <c r="W272" s="1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02C9FBFC-527B-43EB-A7C0-E6C15E9CFA64}"/>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9B36D-74D5-4F6F-98D0-887C90291D46}">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44" customFormat="1" ht="30" customHeight="1" x14ac:dyDescent="0.35">
      <c r="A1" s="18" t="e" vm="1">
        <v>#VALUE!</v>
      </c>
      <c r="C1" s="44" t="s">
        <v>273</v>
      </c>
    </row>
    <row r="2" spans="1:22" s="3" customFormat="1" ht="20.100000000000001" customHeight="1" x14ac:dyDescent="0.25">
      <c r="A2"/>
    </row>
    <row r="3" spans="1:22"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c r="U3" s="45"/>
      <c r="V3" s="45"/>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46" t="str" cm="1">
        <f t="array" ref="D6">MMS_PastureBeef_Soil_AtmosphericDeposition_Equations.VEERG_4_2_1_5__2_MassOfNitrogenVolatilisedOnPasture_Source()</f>
        <v>VEERG 2026: 4.2.1.5, Equation (2)</v>
      </c>
    </row>
    <row r="7" spans="1:22" ht="20.100000000000001" customHeight="1" x14ac:dyDescent="0.25">
      <c r="A7" s="7" t="s">
        <v>0</v>
      </c>
      <c r="D7" s="47" t="s">
        <v>77</v>
      </c>
      <c r="E7" s="47"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48" t="s">
        <v>79</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48" t="s">
        <v>80</v>
      </c>
      <c r="E11" s="17"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50" t="str" cm="1">
        <f t="array" ref="D13:E14">_xlfn.CHOOSECOLS(MMS_PastureBeef_Soil_AtmosphericDeposition_Equations.VEERG_4_2_1_5__2_MassOfNitrogenVolatilisedOnPasture_Arguments(),1,2)</f>
        <v>AE</v>
      </c>
      <c r="E13" s="51" t="str">
        <v>total mass of nitrogen excreted on PRP for beef cattle</v>
      </c>
      <c r="F13" s="52"/>
      <c r="G13" s="53"/>
      <c r="H13" s="50" t="str" cm="1">
        <f t="array" ref="H13:I14">_xlfn.CHOOSECOLS(MMS_PastureBeef_Soil_AtmosphericDeposition_Equations.VEERG_4_2_1_5__2_MassOfNitrogenVolatilisedOnPasture_Arguments(),3,4)</f>
        <v>kg N</v>
      </c>
      <c r="I13" s="55" t="str">
        <v>Calculated from 4.2.1.3 (2)</v>
      </c>
      <c r="J13" s="50">
        <f ca="1">'4.2.1.3-4 Soil direct N20'!$E$212</f>
        <v>60490.349382369524</v>
      </c>
      <c r="N13" s="50" t="str" cm="1">
        <f t="array" ref="N13:O14">_xlfn.CHOOSECOLS(MMS_PastureBeef_Soil_AtmosphericDeposition_Equations.VEERG_4_2_1_5__2_MassOfNitrogenVolatilisedOnPasture_Arguments(),1,2)</f>
        <v>AE</v>
      </c>
      <c r="O13" s="51" t="str">
        <v>total mass of nitrogen excreted on PRP for beef cattle</v>
      </c>
      <c r="P13" s="52"/>
      <c r="Q13" s="53"/>
      <c r="R13" s="50" t="str" cm="1">
        <f t="array" ref="R13:S14">_xlfn.CHOOSECOLS(MMS_PastureBeef_Soil_AtmosphericDeposition_Equations.VEERG_4_2_1_5__2_MassOfNitrogenVolatilisedOnPasture_Arguments(),3,4)</f>
        <v>kg N</v>
      </c>
      <c r="S13" s="55" t="str">
        <v>Calculated from 4.2.1.3 (2)</v>
      </c>
      <c r="T13" s="65">
        <f ca="1">'4.2.1.3-4 Soil direct N20'!$V$261</f>
        <v>58623.490314488175</v>
      </c>
    </row>
    <row r="14" spans="1:22" ht="20.100000000000001" customHeight="1" x14ac:dyDescent="0.25">
      <c r="A14" s="5" t="str">
        <f>HYPERLINK("#'Input - Fuel'!A1", "Fuel")</f>
        <v>Fuel</v>
      </c>
      <c r="D14" s="50" t="str">
        <v>FracGASMsoil</v>
      </c>
      <c r="E14" s="51" t="str">
        <v>fraction of nitrogen volatilised from urine and faeces deposited on pasture ((kg NH3-N + NOx-N)/kg N)</v>
      </c>
      <c r="F14" s="52"/>
      <c r="G14" s="53"/>
      <c r="H14" s="50" t="str">
        <v>fraction</v>
      </c>
      <c r="I14" s="55" t="str">
        <v>Constant</v>
      </c>
      <c r="J14" s="50">
        <f>'Constants - Pasture Beef'!$D$434</f>
        <v>0.21</v>
      </c>
      <c r="N14" s="50" t="str">
        <v>FracGASMsoil</v>
      </c>
      <c r="O14" s="51" t="str">
        <v>fraction of nitrogen volatilised from urine and faeces deposited on pasture ((kg NH3-N + NOx-N)/kg N)</v>
      </c>
      <c r="P14" s="52"/>
      <c r="Q14" s="53"/>
      <c r="R14" s="50" t="str">
        <v>fraction</v>
      </c>
      <c r="S14" s="55" t="str">
        <v>Constant</v>
      </c>
      <c r="T14" s="65"/>
    </row>
    <row r="15" spans="1:22" ht="20.100000000000001" customHeight="1" x14ac:dyDescent="0.25">
      <c r="A15" s="5" t="str">
        <f>HYPERLINK("#'Input - Electricity'!A1", "Electricity")</f>
        <v>Electricity</v>
      </c>
    </row>
    <row r="16" spans="1:22" ht="20.100000000000001" customHeight="1" x14ac:dyDescent="0.25">
      <c r="D16" s="75" t="s">
        <v>274</v>
      </c>
      <c r="E16" s="61" cm="1">
        <f t="array" aca="1" ref="E16" ca="1">MMS_PastureBeef_Soil_AtmosphericDeposition_Equations.VEERG_4_2_1_5__2_MassOfNitrogenVolatilisedOnPasture(J13,J14)</f>
        <v>12702.973370297599</v>
      </c>
      <c r="F16" s="19" t="str">
        <f>E11</f>
        <v>kg N</v>
      </c>
      <c r="L16" s="25"/>
      <c r="N16" s="75" t="s">
        <v>274</v>
      </c>
      <c r="O16" s="61" cm="1">
        <f t="array" aca="1" ref="O16" ca="1">MMS_PastureBeef_Soil_AtmosphericDeposition_Equations.VEERG_4_2_1_5__2_MassOfNitrogenVolatilisedOnPasture(T13,$J$14)</f>
        <v>12310.932966042516</v>
      </c>
      <c r="P16" s="19">
        <f>O11</f>
        <v>0</v>
      </c>
    </row>
    <row r="17" spans="1:22" ht="20.100000000000001" customHeight="1" x14ac:dyDescent="0.25">
      <c r="L17" s="25"/>
    </row>
    <row r="18" spans="1:22" ht="20.100000000000001" customHeight="1" x14ac:dyDescent="0.25">
      <c r="A18" s="6" t="s">
        <v>3</v>
      </c>
      <c r="L18" s="25"/>
    </row>
    <row r="19" spans="1:22" ht="20.100000000000001" customHeight="1" x14ac:dyDescent="0.25">
      <c r="A19" s="5" t="str">
        <f>HYPERLINK("#'3.2.1.1-2 Enteric Methane'!A1", "3.2.1.1-2 Enteric methane")</f>
        <v>3.2.1.1-2 Enteric methane</v>
      </c>
      <c r="C19" s="61"/>
      <c r="D19" s="61"/>
      <c r="E19" s="61"/>
      <c r="F19" s="61"/>
      <c r="G19" s="61"/>
      <c r="H19" s="61"/>
      <c r="I19" s="61"/>
      <c r="J19" s="61"/>
      <c r="K19" s="61"/>
      <c r="L19" s="25"/>
      <c r="M19" s="61"/>
      <c r="N19" s="61"/>
      <c r="O19" s="61"/>
      <c r="P19" s="61"/>
      <c r="Q19" s="61"/>
      <c r="R19" s="61"/>
      <c r="S19" s="61"/>
      <c r="T19" s="61"/>
      <c r="U19" s="61"/>
      <c r="V19" s="61"/>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46" t="str" cm="1">
        <f t="array" ref="D21">MMS_PastureBeef_Soil_AtmosphericDeposition_Equations.VEERG_4_2_1_5__1_AtmosphericDepositionEmissionsFromUrineAndDungOnPasture_Source()</f>
        <v>VEERG 2026: 4.2.1.5, Equation (1)</v>
      </c>
    </row>
    <row r="22" spans="1:22" ht="20.100000000000001" customHeight="1" x14ac:dyDescent="0.25">
      <c r="A22" s="49" t="str">
        <f>HYPERLINK("#'4.2.1.5-6 Soil Atmos Dep'!A1", "4.2.1.5-6 Soil atm. deposition")</f>
        <v>4.2.1.5-6 Soil atm. deposition</v>
      </c>
      <c r="D22" s="47" t="s">
        <v>77</v>
      </c>
      <c r="E22" s="47"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48" t="s">
        <v>79</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48" t="s">
        <v>80</v>
      </c>
      <c r="E26" s="17"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50" t="str" cm="1">
        <f t="array" ref="D28:E33">_xlfn.CHOOSECOLS(MMS_PastureBeef_Soil_AtmosphericDeposition_Equations.VEERG_4_2_1_5__1_AtmosphericDepositionEmissionsFromUrineAndDungOnPasture_Arguments(),1,2)</f>
        <v>M_vol</v>
      </c>
      <c r="E28" s="51" t="str">
        <v>mass of nitrogen volatilised from urine and faeces deposited on pasture</v>
      </c>
      <c r="F28" s="53"/>
      <c r="G28" s="50" t="str" cm="1">
        <f t="array" ref="G28:H33">_xlfn.CHOOSECOLS(MMS_PastureBeef_Soil_AtmosphericDeposition_Equations.VEERG_4_2_1_5__1_AtmosphericDepositionEmissionsFromUrineAndDungOnPasture_Arguments(),3,4)</f>
        <v>kg N</v>
      </c>
      <c r="H28" s="55" t="str">
        <v>Calculated from 4.2.1.5 (2)</v>
      </c>
      <c r="I28" s="50">
        <f ca="1">E16</f>
        <v>12702.973370297599</v>
      </c>
      <c r="N28" s="50" t="str" cm="1">
        <f t="array" ref="N28:O33">_xlfn.CHOOSECOLS(MMS_PastureBeef_Soil_AtmosphericDeposition_Equations.VEERG_4_2_1_5__1_AtmosphericDepositionEmissionsFromUrineAndDungOnPasture_Arguments(),1,2)</f>
        <v>M_vol</v>
      </c>
      <c r="O28" s="51" t="str">
        <v>mass of nitrogen volatilised from urine and faeces deposited on pasture</v>
      </c>
      <c r="P28" s="53"/>
      <c r="Q28" s="50" t="str" cm="1">
        <f t="array" ref="Q28:R33">_xlfn.CHOOSECOLS(MMS_PastureBeef_Soil_AtmosphericDeposition_Equations.VEERG_4_2_1_5__1_AtmosphericDepositionEmissionsFromUrineAndDungOnPasture_Arguments(),3,4)</f>
        <v>kg N</v>
      </c>
      <c r="R28" s="55" t="str">
        <v>Calculated from 4.2.1.5 (2)</v>
      </c>
      <c r="S28" s="65">
        <f ca="1">O16</f>
        <v>12310.932966042516</v>
      </c>
    </row>
    <row r="29" spans="1:22" ht="20.100000000000001" customHeight="1" x14ac:dyDescent="0.25">
      <c r="A29" s="5" t="str">
        <f>HYPERLINK("#'5.5.1.1-2 Leaching and runoff'!A1", "5.5.1.1-2 Leaching &amp; runoff")</f>
        <v>5.5.1.1-2 Leaching &amp; runoff</v>
      </c>
      <c r="D29" s="50" t="str">
        <v>EF_N2O</v>
      </c>
      <c r="E29" s="51" t="str">
        <v>nitrous oxide emission factor for atmospheric deposition</v>
      </c>
      <c r="F29" s="53"/>
      <c r="G29" s="50" t="str">
        <v>kg N2O-N/kg N</v>
      </c>
      <c r="H29" s="55" t="str">
        <v>Constant</v>
      </c>
      <c r="I29" s="50">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50" t="str">
        <v>EF_N2O</v>
      </c>
      <c r="O29" s="51" t="str">
        <v>nitrous oxide emission factor for atmospheric deposition</v>
      </c>
      <c r="P29" s="53"/>
      <c r="Q29" s="50" t="str">
        <v>kg N2O-N/kg N</v>
      </c>
      <c r="R29" s="55" t="str">
        <v>Constant</v>
      </c>
      <c r="S29" s="65"/>
    </row>
    <row r="30" spans="1:22" ht="20.100000000000001" customHeight="1" x14ac:dyDescent="0.25">
      <c r="A30" s="5" t="str">
        <f>HYPERLINK("#'6.2.1.1-2 Pasture residue N2O'!A1", "6.2.1.1-2 Pasture residue N2O")</f>
        <v>6.2.1.1-2 Pasture residue N2O</v>
      </c>
      <c r="D30" s="50" t="str">
        <v>C_N2O</v>
      </c>
      <c r="E30" s="51" t="str">
        <v>factor to convert elemental mass of N2O to molecular mass</v>
      </c>
      <c r="F30" s="53"/>
      <c r="G30" s="50" t="str">
        <v/>
      </c>
      <c r="H30" s="55" t="str">
        <v>Constant</v>
      </c>
      <c r="I30" s="50">
        <f>Common_InputFunctions.Utility_LookupValueInTableNumber("N2O",Table_GasToMolecularConversionFactor[Gas],Table_GasToMolecularConversionFactor[Conversion factor combined])</f>
        <v>1.5714285714285714</v>
      </c>
      <c r="N30" s="50" t="str">
        <v>C_N2O</v>
      </c>
      <c r="O30" s="51" t="str">
        <v>factor to convert elemental mass of N2O to molecular mass</v>
      </c>
      <c r="P30" s="53"/>
      <c r="Q30" s="50" t="str">
        <v/>
      </c>
      <c r="R30" s="55" t="str">
        <v>Constant</v>
      </c>
      <c r="S30" s="65"/>
    </row>
    <row r="31" spans="1:22" ht="20.100000000000001" customHeight="1" x14ac:dyDescent="0.25">
      <c r="A31" s="5" t="str">
        <f>HYPERLINK("#'6.3.1.1-2 Leach runoff pasture'!A1", "6.3.1.1-2 Leach &amp; runoff (pasture)")</f>
        <v>6.3.1.1-2 Leach &amp; runoff (pasture)</v>
      </c>
      <c r="D31" s="50" t="str">
        <v>j</v>
      </c>
      <c r="E31" s="51" t="str">
        <v>production system</v>
      </c>
      <c r="F31" s="53"/>
      <c r="G31" s="50" t="str">
        <v/>
      </c>
      <c r="H31" s="54" t="str">
        <v>Input</v>
      </c>
      <c r="I31" s="50" t="str">
        <f>X_Cell_PastureBeef_GrazingProductionSystem</f>
        <v>Pasture</v>
      </c>
      <c r="N31" s="50" t="str">
        <v>j</v>
      </c>
      <c r="O31" s="51" t="str">
        <v>production system</v>
      </c>
      <c r="P31" s="53"/>
      <c r="Q31" s="50" t="str">
        <v/>
      </c>
      <c r="R31" s="54" t="str">
        <v>Input</v>
      </c>
      <c r="S31" s="65"/>
    </row>
    <row r="32" spans="1:22" ht="20.100000000000001" customHeight="1" x14ac:dyDescent="0.25">
      <c r="A32" s="5" t="str">
        <f>HYPERLINK("#'8.1.1.1-2 Transport fuel'!A1", "8.1.1.1-2 Transport fuel")</f>
        <v>8.1.1.1-2 Transport fuel</v>
      </c>
      <c r="D32" s="50" t="str">
        <v>i</v>
      </c>
      <c r="E32" s="51" t="str">
        <v>irrigation method</v>
      </c>
      <c r="F32" s="53"/>
      <c r="G32" s="50" t="str">
        <v/>
      </c>
      <c r="H32" s="54" t="str">
        <v>Input</v>
      </c>
      <c r="I32" s="50" t="str">
        <f>X_Cell_PastureBeef_GrazingIrrigationMethod</f>
        <v>Sprinkler irrigation</v>
      </c>
      <c r="N32" s="50" t="str">
        <v>i</v>
      </c>
      <c r="O32" s="51" t="str">
        <v>irrigation method</v>
      </c>
      <c r="P32" s="53"/>
      <c r="Q32" s="50" t="str">
        <v/>
      </c>
      <c r="R32" s="54" t="str">
        <v>Input</v>
      </c>
      <c r="S32" s="65"/>
    </row>
    <row r="33" spans="1:19" ht="20.100000000000001" customHeight="1" x14ac:dyDescent="0.25">
      <c r="A33" s="5" t="str">
        <f>HYPERLINK("#'8.2.1.1-2 Stationary fuel'!A1", "8.2.1.1-2 Stationary fuel")</f>
        <v>8.2.1.1-2 Stationary fuel</v>
      </c>
      <c r="D33" s="50" t="str">
        <v>r</v>
      </c>
      <c r="E33" s="51" t="str">
        <v>rainfall zone</v>
      </c>
      <c r="F33" s="53"/>
      <c r="G33" s="50" t="str">
        <v/>
      </c>
      <c r="H33" s="54" t="str">
        <v>Input</v>
      </c>
      <c r="I33" s="50" t="str">
        <f>X_Cell_Site_RainfallZone</f>
        <v>High rainfall</v>
      </c>
      <c r="N33" s="50" t="str">
        <v>r</v>
      </c>
      <c r="O33" s="51" t="str">
        <v>rainfall zone</v>
      </c>
      <c r="P33" s="53"/>
      <c r="Q33" s="50" t="str">
        <v/>
      </c>
      <c r="R33" s="54" t="str">
        <v>Input</v>
      </c>
      <c r="S33" s="65"/>
    </row>
    <row r="34" spans="1:19" ht="20.100000000000001" customHeight="1" x14ac:dyDescent="0.25">
      <c r="A34" s="5" t="str">
        <f>HYPERLINK("#'14.1.1-2 Purchased electricity'!A1", "14.1.1-2 Purchased electricity")</f>
        <v>14.1.1-2 Purchased electricity</v>
      </c>
    </row>
    <row r="35" spans="1:19" ht="20.100000000000001" customHeight="1" x14ac:dyDescent="0.25">
      <c r="D35" s="75" t="s">
        <v>275</v>
      </c>
      <c r="E35" s="61" cm="1">
        <f t="array" aca="1" ref="E35" ca="1">MMS_PastureBeef_Soil_AtmosphericDeposition_Equations.VEERG_4_2_1_5__1_AtmosphericDepositionEmissionsFromUrineAndDungOnPasture(I28,I29,I30)</f>
        <v>0.11777471024747345</v>
      </c>
      <c r="F35" s="19" t="str">
        <f>$E$26</f>
        <v>t N2O</v>
      </c>
      <c r="N35" s="75" t="s">
        <v>275</v>
      </c>
      <c r="O35" s="61" cm="1">
        <f t="array" aca="1" ref="O35" ca="1">MMS_PastureBeef_Soil_AtmosphericDeposition_Equations.VEERG_4_2_1_5__1_AtmosphericDepositionEmissionsFromUrineAndDungOnPasture(S28,I29,I30)</f>
        <v>0.11413993564230847</v>
      </c>
      <c r="P35" s="19" t="str">
        <f>$E$26</f>
        <v>t N2O</v>
      </c>
    </row>
    <row r="36" spans="1:19" ht="20.100000000000001" customHeight="1" x14ac:dyDescent="0.25"/>
    <row r="37" spans="1:19" ht="20.100000000000001" customHeight="1" x14ac:dyDescent="0.25">
      <c r="A37" s="243" t="s">
        <v>1</v>
      </c>
      <c r="D37" s="65" t="str" cm="1">
        <f t="array" ref="D37:E38">Common_Equations.Common_ConvertN2OToCO2e_Arguments()</f>
        <v>EN2O</v>
      </c>
      <c r="E37" s="66" t="str">
        <v>Nitrous oxide emissions (t N2O)</v>
      </c>
      <c r="F37" s="67"/>
      <c r="G37" s="29">
        <f ca="1">E35</f>
        <v>0.11777471024747345</v>
      </c>
      <c r="N37" s="65" t="str" cm="1">
        <f t="array" ref="N37:O38">Common_Equations.Common_ConvertN2OToCO2e_Arguments()</f>
        <v>EN2O</v>
      </c>
      <c r="O37" s="66" t="str">
        <v>Nitrous oxide emissions (t N2O)</v>
      </c>
      <c r="P37" s="67"/>
      <c r="Q37" s="29">
        <f ca="1">O35</f>
        <v>0.11413993564230847</v>
      </c>
    </row>
    <row r="38" spans="1:19" ht="20.100000000000001" customHeight="1" x14ac:dyDescent="0.25">
      <c r="A38" s="5" t="str">
        <f>HYPERLINK("#'Constants - Pasture Beef'!A1", "Constants - Pasture Beef")</f>
        <v>Constants - Pasture Beef</v>
      </c>
      <c r="D38" s="65" t="str">
        <v>GWPN2O</v>
      </c>
      <c r="E38" s="66" t="str">
        <v>Global warming potential for nitrous oxide (t CO2-e / t N2O)</v>
      </c>
      <c r="F38" s="67"/>
      <c r="G38" s="29">
        <f>Common_InputFunctions.Utility_LookupValueInTableNumber("N2O",Table_GWPData[Gas],Table_GWPData[CO2-e factor])</f>
        <v>265</v>
      </c>
      <c r="N38" s="65" t="str">
        <v>GWPN2O</v>
      </c>
      <c r="O38" s="66" t="str">
        <v>Global warming potential for nitrous oxide (t CO2-e / t N2O)</v>
      </c>
      <c r="P38" s="67"/>
      <c r="Q38" s="29">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Livestock'!A1", "Constants - Livestock")</f>
        <v>Constants - Livestock</v>
      </c>
      <c r="D40" s="61" t="s">
        <v>120</v>
      </c>
      <c r="E40" s="61" cm="1">
        <f t="array" aca="1" ref="E40" ca="1">Common_Equations.Common_ConvertN2OToCO2e(G37,G38)</f>
        <v>31.210298215580465</v>
      </c>
      <c r="F40" s="19" t="str" cm="1">
        <f t="array" ref="F40">Common_Equations.Common_ConvertN2OToCO2e_Unit()</f>
        <v>t CO2e</v>
      </c>
      <c r="N40" s="61" t="s">
        <v>120</v>
      </c>
      <c r="O40" s="61" cm="1">
        <f t="array" aca="1" ref="O40" ca="1">Common_Equations.Common_ConvertN2OToCO2e(Q37,Q38)</f>
        <v>30.247082945211744</v>
      </c>
      <c r="P40" s="19"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9C2ACC97-D339-4AED-9C97-D94DCAF11D11}"/>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6603D-83C7-4155-87F9-504AEE80E848}">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44" customFormat="1" ht="30" customHeight="1" x14ac:dyDescent="0.35">
      <c r="A1" s="18" t="e" vm="1">
        <v>#VALUE!</v>
      </c>
      <c r="C1" s="44" t="s">
        <v>276</v>
      </c>
    </row>
    <row r="2" spans="1:19" s="3" customFormat="1" ht="20.100000000000001" customHeight="1" x14ac:dyDescent="0.25">
      <c r="A2"/>
    </row>
    <row r="3" spans="1:19" ht="20.100000000000001" customHeight="1" x14ac:dyDescent="0.25">
      <c r="A3" s="5" t="str">
        <f>HYPERLINK("#'Home'!A1", "Home")</f>
        <v>Home</v>
      </c>
      <c r="C3" s="45"/>
      <c r="D3" s="45" t="s">
        <v>75</v>
      </c>
      <c r="E3" s="45"/>
      <c r="F3" s="45"/>
      <c r="G3" s="45"/>
      <c r="H3" s="45"/>
      <c r="I3" s="45"/>
      <c r="J3" s="45"/>
      <c r="L3" s="45"/>
      <c r="M3" s="45" t="s">
        <v>76</v>
      </c>
      <c r="N3" s="45"/>
      <c r="O3" s="45"/>
      <c r="P3" s="45"/>
      <c r="Q3" s="45"/>
      <c r="R3" s="45"/>
      <c r="S3" s="45"/>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46" t="str" cm="1">
        <f t="array" ref="D6">MMS_PastureBeef_Soil_LeachingAndRunoff.VEERG_4_2_1_7__2_MassOfNitrogenLostToLeachingAndRunoffOnPasture_Source()</f>
        <v>VEERG 2026: 4.2.1.7, Equation (2)</v>
      </c>
    </row>
    <row r="7" spans="1:19" ht="20.100000000000001" customHeight="1" x14ac:dyDescent="0.25">
      <c r="A7" s="7" t="s">
        <v>0</v>
      </c>
      <c r="D7" s="47" t="s">
        <v>77</v>
      </c>
      <c r="E7" s="47"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48" t="s">
        <v>79</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48" t="s">
        <v>80</v>
      </c>
      <c r="E11" s="17"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50" t="str" cm="1">
        <f t="array" ref="D13:E18">_xlfn.CHOOSECOLS(MMS_PastureBeef_Soil_LeachingAndRunoff.VEERG_4_2_1_7__2_MassOfNitrogenLostToLeachingAndRunoffOnPasture_Arguments(),1,2)</f>
        <v>AE</v>
      </c>
      <c r="E13" s="51" t="str">
        <v>total mass of nitrogen excreted on PRP for beef cattle</v>
      </c>
      <c r="F13" s="53"/>
      <c r="G13" s="50" t="str" cm="1">
        <f t="array" ref="G13:H18">_xlfn.CHOOSECOLS(MMS_PastureBeef_Soil_LeachingAndRunoff.VEERG_4_2_1_7__2_MassOfNitrogenLostToLeachingAndRunoffOnPasture_Arguments(),3,4)</f>
        <v>kg N</v>
      </c>
      <c r="H13" s="55" t="str">
        <v>Calculated from 4.2.1.3 (2)</v>
      </c>
      <c r="I13" s="50">
        <f ca="1">'4.2.1.3-4 Soil direct N20'!$E$212</f>
        <v>60490.349382369524</v>
      </c>
      <c r="M13" s="50" t="str" cm="1">
        <f t="array" ref="M13:N18">_xlfn.CHOOSECOLS(MMS_PastureBeef_Soil_LeachingAndRunoff.VEERG_4_2_1_7__2_MassOfNitrogenLostToLeachingAndRunoffOnPasture_Arguments(),1,2)</f>
        <v>AE</v>
      </c>
      <c r="N13" s="51" t="str">
        <v>total mass of nitrogen excreted on PRP for beef cattle</v>
      </c>
      <c r="O13" s="53"/>
      <c r="P13" s="50" t="str" cm="1">
        <f t="array" ref="P13:Q18">_xlfn.CHOOSECOLS(MMS_PastureBeef_Soil_LeachingAndRunoff.VEERG_4_2_1_7__2_MassOfNitrogenLostToLeachingAndRunoffOnPasture_Arguments(),3,4)</f>
        <v>kg N</v>
      </c>
      <c r="Q13" s="55" t="str">
        <v>Calculated from 4.2.1.3 (2)</v>
      </c>
      <c r="R13" s="50">
        <f ca="1">'4.2.1.3-4 Soil direct N20'!$V$261</f>
        <v>58623.490314488175</v>
      </c>
    </row>
    <row r="14" spans="1:19" ht="20.100000000000001" customHeight="1" x14ac:dyDescent="0.25">
      <c r="A14" s="5" t="str">
        <f>HYPERLINK("#'Input - Fuel'!A1", "Fuel")</f>
        <v>Fuel</v>
      </c>
      <c r="D14" s="50" t="str">
        <v>FracWet</v>
      </c>
      <c r="E14" s="51" t="str">
        <v>fraction of N available for leaching and runoff</v>
      </c>
      <c r="F14" s="53"/>
      <c r="G14" s="50" t="str">
        <v>fraction</v>
      </c>
      <c r="H14" s="55" t="str">
        <v>Constant</v>
      </c>
      <c r="I14" s="50">
        <f>Common_InputFunctions.CommonCropping_GetFracWET(I16,I18,#REF!,#REF!,Table_SourceData_FracWETIrrigation[Irrigation type i],Table_SourceData_FracWETIrrigation[FracWET])</f>
        <v>1</v>
      </c>
      <c r="M14" s="50" t="str">
        <v>FracWet</v>
      </c>
      <c r="N14" s="51" t="str">
        <v>fraction of N available for leaching and runoff</v>
      </c>
      <c r="O14" s="53"/>
      <c r="P14" s="50" t="str">
        <v>fraction</v>
      </c>
      <c r="Q14" s="55" t="str">
        <v>Constant</v>
      </c>
      <c r="R14" s="50"/>
    </row>
    <row r="15" spans="1:19" ht="20.100000000000001" customHeight="1" x14ac:dyDescent="0.25">
      <c r="A15" s="5" t="str">
        <f>HYPERLINK("#'Input - Electricity'!A1", "Electricity")</f>
        <v>Electricity</v>
      </c>
      <c r="D15" s="50" t="str">
        <v>FracLEACH</v>
      </c>
      <c r="E15" s="51" t="str">
        <v>fraction of all N that is lost through leaching and runoff</v>
      </c>
      <c r="F15" s="53"/>
      <c r="G15" s="50" t="str">
        <v>fraction</v>
      </c>
      <c r="H15" s="55" t="str">
        <v>Constant</v>
      </c>
      <c r="I15" s="50">
        <f>'Constants - Pasture Beef'!$D$440</f>
        <v>0.24</v>
      </c>
      <c r="M15" s="50" t="str">
        <v>FracLEACH</v>
      </c>
      <c r="N15" s="51" t="str">
        <v>fraction of all N that is lost through leaching and runoff</v>
      </c>
      <c r="O15" s="53"/>
      <c r="P15" s="50" t="str">
        <v>fraction</v>
      </c>
      <c r="Q15" s="55" t="str">
        <v>Constant</v>
      </c>
      <c r="R15" s="50"/>
    </row>
    <row r="16" spans="1:19" ht="20.100000000000001" customHeight="1" x14ac:dyDescent="0.25">
      <c r="D16" s="50" t="str">
        <v>z</v>
      </c>
      <c r="E16" s="51" t="str">
        <v>location in leaching zone</v>
      </c>
      <c r="F16" s="53"/>
      <c r="G16" s="50" t="str">
        <v/>
      </c>
      <c r="H16" s="54" t="str">
        <v>Input</v>
      </c>
      <c r="I16" s="50" t="str">
        <f>X_Cell_Site_LeachingZone</f>
        <v>NO - Not in leaching zone</v>
      </c>
      <c r="M16" s="50" t="str">
        <v>z</v>
      </c>
      <c r="N16" s="51" t="str">
        <v>location in leaching zone</v>
      </c>
      <c r="O16" s="53"/>
      <c r="P16" s="50" t="str">
        <v/>
      </c>
      <c r="Q16" s="54" t="str">
        <v>Input</v>
      </c>
      <c r="R16" s="50"/>
    </row>
    <row r="17" spans="1:19" ht="20.100000000000001" customHeight="1" x14ac:dyDescent="0.25">
      <c r="D17" s="50" t="str">
        <v>j</v>
      </c>
      <c r="E17" s="51" t="str">
        <v>production system</v>
      </c>
      <c r="F17" s="53"/>
      <c r="G17" s="50" t="str">
        <v/>
      </c>
      <c r="H17" s="54" t="str">
        <v>Input</v>
      </c>
      <c r="I17" s="50" t="str">
        <f>X_Cell_PastureBeef_GrazingProductionSystem</f>
        <v>Pasture</v>
      </c>
      <c r="M17" s="50" t="str">
        <v>j</v>
      </c>
      <c r="N17" s="51" t="str">
        <v>production system</v>
      </c>
      <c r="O17" s="53"/>
      <c r="P17" s="50" t="str">
        <v/>
      </c>
      <c r="Q17" s="54" t="str">
        <v>Input</v>
      </c>
      <c r="R17" s="50"/>
    </row>
    <row r="18" spans="1:19" ht="20.100000000000001" customHeight="1" x14ac:dyDescent="0.25">
      <c r="A18" s="6" t="s">
        <v>3</v>
      </c>
      <c r="D18" s="50" t="str">
        <v>ir</v>
      </c>
      <c r="E18" s="51" t="str">
        <v>irrigation method</v>
      </c>
      <c r="F18" s="53"/>
      <c r="G18" s="50" t="str">
        <v/>
      </c>
      <c r="H18" s="54" t="str">
        <v>Input</v>
      </c>
      <c r="I18" s="50" t="str">
        <f>X_Cell_PastureBeef_GrazingIrrigationMethod</f>
        <v>Sprinkler irrigation</v>
      </c>
      <c r="M18" s="50" t="str">
        <v>ir</v>
      </c>
      <c r="N18" s="51" t="str">
        <v>irrigation method</v>
      </c>
      <c r="O18" s="53"/>
      <c r="P18" s="50" t="str">
        <v/>
      </c>
      <c r="Q18" s="54" t="str">
        <v>Input</v>
      </c>
      <c r="R18" s="50"/>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75" t="s">
        <v>277</v>
      </c>
      <c r="E20" s="61" cm="1">
        <f t="array" aca="1" ref="E20" ca="1">MMS_PastureBeef_Soil_LeachingAndRunoff.VEERG_4_2_1_7__2_MassOfNitrogenLostToLeachingAndRunoffOnPasture($I$13,$I$14,$I$15)</f>
        <v>14517.683851768685</v>
      </c>
      <c r="F20" s="19" t="str">
        <f>$E$11</f>
        <v>kg N</v>
      </c>
      <c r="K20" s="25"/>
      <c r="M20" s="75" t="s">
        <v>277</v>
      </c>
      <c r="N20" s="61" cm="1">
        <f t="array" aca="1" ref="N20" ca="1">MMS_PastureBeef_Soil_LeachingAndRunoff.VEERG_4_2_1_7__2_MassOfNitrogenLostToLeachingAndRunoffOnPasture($R$13,$I$14,$I$15)</f>
        <v>14069.637675477161</v>
      </c>
      <c r="O20" s="19" t="str">
        <f>$E$11</f>
        <v>kg N</v>
      </c>
    </row>
    <row r="21" spans="1:19" ht="20.100000000000001" customHeight="1" x14ac:dyDescent="0.25">
      <c r="A21" s="5" t="str">
        <f>HYPERLINK("#'4.2.1.3-4 Soil direct N20'!A1", "4.2.1.3-4 Soil direct N2O")</f>
        <v>4.2.1.3-4 Soil direct N2O</v>
      </c>
      <c r="K21" s="25"/>
    </row>
    <row r="22" spans="1:19" ht="20.100000000000001" customHeight="1" x14ac:dyDescent="0.25">
      <c r="A22" s="5" t="str">
        <f>HYPERLINK("#'4.2.1.5-6 Soil Atmos Dep'!A1", "4.2.1.5-6 Soil atm. deposition")</f>
        <v>4.2.1.5-6 Soil atm. deposition</v>
      </c>
      <c r="K22" s="25"/>
    </row>
    <row r="23" spans="1:19" ht="20.100000000000001" customHeight="1" x14ac:dyDescent="0.25">
      <c r="A23" s="49" t="str">
        <f>HYPERLINK("#'4.2.1.7-8 Soil leach runoff'!A1", "4.2.1.7-8 Soil leach &amp; runoff")</f>
        <v>4.2.1.7-8 Soil leach &amp; runoff</v>
      </c>
      <c r="C23" s="61"/>
      <c r="D23" s="61"/>
      <c r="E23" s="61"/>
      <c r="F23" s="61"/>
      <c r="G23" s="61"/>
      <c r="H23" s="61"/>
      <c r="I23" s="61"/>
      <c r="J23" s="61"/>
      <c r="K23" s="25"/>
      <c r="L23" s="61"/>
      <c r="M23" s="61"/>
      <c r="N23" s="61"/>
      <c r="O23" s="61"/>
      <c r="P23" s="61"/>
      <c r="Q23" s="61"/>
      <c r="R23" s="61"/>
      <c r="S23" s="61"/>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46"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47" t="s">
        <v>77</v>
      </c>
      <c r="E26" s="47"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48" t="s">
        <v>79</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48" t="s">
        <v>80</v>
      </c>
      <c r="E30" s="17"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50" t="str" cm="1">
        <f t="array" ref="D32:E34">_xlfn.CHOOSECOLS(MMS_PastureBeef_Soil_LeachingAndRunoff.VEERG_4_2_1_7__1_LeachingAndRunoffEmissionsFromUrineAndDungOnPasture_Arguments(),1,2)</f>
        <v>M_leach</v>
      </c>
      <c r="E32" s="51" t="str">
        <v>mass of nitrogen lost to leaching and runoff</v>
      </c>
      <c r="F32" s="53"/>
      <c r="G32" s="50" t="str" cm="1">
        <f t="array" ref="G32:H34">_xlfn.CHOOSECOLS(MMS_PastureBeef_Soil_LeachingAndRunoff.VEERG_4_2_1_7__1_LeachingAndRunoffEmissionsFromUrineAndDungOnPasture_Arguments(),3,4)</f>
        <v>kg N</v>
      </c>
      <c r="H32" s="55" t="str">
        <v>Calculated from 4.2.1.7 (2)</v>
      </c>
      <c r="I32" s="50">
        <f ca="1">$E$20</f>
        <v>14517.683851768685</v>
      </c>
      <c r="M32" s="50" t="str" cm="1">
        <f t="array" ref="M32:N34">_xlfn.CHOOSECOLS(MMS_PastureBeef_Soil_LeachingAndRunoff.VEERG_4_2_1_7__1_LeachingAndRunoffEmissionsFromUrineAndDungOnPasture_Arguments(),1,2)</f>
        <v>M_leach</v>
      </c>
      <c r="N32" s="51" t="str">
        <v>mass of nitrogen lost to leaching and runoff</v>
      </c>
      <c r="O32" s="53"/>
      <c r="P32" s="50" t="str" cm="1">
        <f t="array" ref="P32:Q34">_xlfn.CHOOSECOLS(MMS_PastureBeef_Soil_LeachingAndRunoff.VEERG_4_2_1_7__1_LeachingAndRunoffEmissionsFromUrineAndDungOnPasture_Arguments(),3,4)</f>
        <v>kg N</v>
      </c>
      <c r="Q32" s="55" t="str">
        <v>Calculated from 4.2.1.7 (2)</v>
      </c>
      <c r="R32" s="50">
        <f ca="1">$N$20</f>
        <v>14069.637675477161</v>
      </c>
    </row>
    <row r="33" spans="1:18" ht="20.100000000000001" customHeight="1" x14ac:dyDescent="0.25">
      <c r="A33" s="5" t="str">
        <f>HYPERLINK("#'8.2.1.1-2 Stationary fuel'!A1", "8.2.1.1-2 Stationary fuel")</f>
        <v>8.2.1.1-2 Stationary fuel</v>
      </c>
      <c r="D33" s="50" t="str">
        <v>EF_leach</v>
      </c>
      <c r="E33" s="51" t="str">
        <v>emission factor for leaching and runoff</v>
      </c>
      <c r="F33" s="53"/>
      <c r="G33" s="50" t="str">
        <v>kg N2O-N/kg N</v>
      </c>
      <c r="H33" s="55" t="str">
        <v>Constant</v>
      </c>
      <c r="I33" s="50">
        <f>'Constants - Common'!$E$170</f>
        <v>1.0999999999999999E-2</v>
      </c>
      <c r="M33" s="50" t="str">
        <v>EF_leach</v>
      </c>
      <c r="N33" s="51" t="str">
        <v>emission factor for leaching and runoff</v>
      </c>
      <c r="O33" s="53"/>
      <c r="P33" s="50" t="str">
        <v>kg N2O-N/kg N</v>
      </c>
      <c r="Q33" s="55" t="str">
        <v>Constant</v>
      </c>
      <c r="R33" s="50"/>
    </row>
    <row r="34" spans="1:18" ht="20.100000000000001" customHeight="1" x14ac:dyDescent="0.25">
      <c r="A34" s="5" t="str">
        <f>HYPERLINK("#'14.1.1-2 Purchased electricity'!A1", "14.1.1-2 Purchased electricity")</f>
        <v>14.1.1-2 Purchased electricity</v>
      </c>
      <c r="D34" s="50" t="str">
        <v>C_N2O</v>
      </c>
      <c r="E34" s="51" t="str">
        <v>factor to convert elemental mass of N2O to molecular mass</v>
      </c>
      <c r="F34" s="53"/>
      <c r="G34" s="50" t="str">
        <v/>
      </c>
      <c r="H34" s="55" t="str">
        <v>Constant</v>
      </c>
      <c r="I34" s="50">
        <f>Common_InputFunctions.Utility_LookupValueInTableNumber("N2O",Table_GasToMolecularConversionFactor[Gas],Table_GasToMolecularConversionFactor[Conversion factor combined])</f>
        <v>1.5714285714285714</v>
      </c>
      <c r="M34" s="50" t="str">
        <v>C_N2O</v>
      </c>
      <c r="N34" s="51" t="str">
        <v>factor to convert elemental mass of N2O to molecular mass</v>
      </c>
      <c r="O34" s="53"/>
      <c r="P34" s="50" t="str">
        <v/>
      </c>
      <c r="Q34" s="55" t="str">
        <v>Constant</v>
      </c>
      <c r="R34" s="50"/>
    </row>
    <row r="35" spans="1:18" ht="20.100000000000001" customHeight="1" x14ac:dyDescent="0.25"/>
    <row r="36" spans="1:18" ht="20.100000000000001" customHeight="1" x14ac:dyDescent="0.25">
      <c r="D36" s="75" t="s">
        <v>278</v>
      </c>
      <c r="E36" s="61" cm="1">
        <f t="array" aca="1" ref="E36" ca="1">MMS_PastureBeef_Soil_LeachingAndRunoff.VEERG_4_2_1_7__1_LeachingAndRunoffEmissionsFromUrineAndDungOnPasture(I32,I33,I34)</f>
        <v>0.2509485351520015</v>
      </c>
      <c r="F36" s="19" t="str">
        <f>$E$30</f>
        <v>t N2O</v>
      </c>
      <c r="M36" s="75" t="s">
        <v>278</v>
      </c>
      <c r="N36" s="61" cm="1">
        <f t="array" aca="1" ref="N36" ca="1">MMS_PastureBeef_Soil_LeachingAndRunoff.VEERG_4_2_1_7__1_LeachingAndRunoffEmissionsFromUrineAndDungOnPasture(R32,I33,I34)</f>
        <v>0.24320373696181949</v>
      </c>
      <c r="O36" s="19" t="str">
        <f>$E$30</f>
        <v>t N2O</v>
      </c>
    </row>
    <row r="37" spans="1:18" ht="20.100000000000001" customHeight="1" x14ac:dyDescent="0.25">
      <c r="A37" s="243" t="s">
        <v>1</v>
      </c>
    </row>
    <row r="38" spans="1:18" ht="20.100000000000001" customHeight="1" x14ac:dyDescent="0.25">
      <c r="A38" s="5" t="str">
        <f>HYPERLINK("#'Constants - Pasture Beef'!A1", "Constants - Pasture Beef")</f>
        <v>Constants - Pasture Beef</v>
      </c>
      <c r="D38" s="65" t="str" cm="1">
        <f t="array" ref="D38:E39">Common_Equations.Common_ConvertN2OToCO2e_Arguments()</f>
        <v>EN2O</v>
      </c>
      <c r="E38" s="66" t="str">
        <v>Nitrous oxide emissions (t N2O)</v>
      </c>
      <c r="F38" s="67"/>
      <c r="G38" s="29">
        <f ca="1">E36</f>
        <v>0.2509485351520015</v>
      </c>
      <c r="M38" s="65" t="str" cm="1">
        <f t="array" ref="M38:N39">Common_Equations.Common_ConvertN2OToCO2e_Arguments()</f>
        <v>EN2O</v>
      </c>
      <c r="N38" s="66" t="str">
        <v>Nitrous oxide emissions (t N2O)</v>
      </c>
      <c r="O38" s="67"/>
      <c r="P38" s="29">
        <f ca="1">N36</f>
        <v>0.24320373696181949</v>
      </c>
    </row>
    <row r="39" spans="1:18" ht="20.100000000000001" customHeight="1" x14ac:dyDescent="0.25">
      <c r="A39" s="5" t="str">
        <f>HYPERLINK("#'Constants - Ag Residue'!A1", "Constants - Ag residue")</f>
        <v>Constants - Ag residue</v>
      </c>
      <c r="D39" s="65" t="str">
        <v>GWPN2O</v>
      </c>
      <c r="E39" s="66" t="str">
        <v>Global warming potential for nitrous oxide (t CO2-e / t N2O)</v>
      </c>
      <c r="F39" s="67"/>
      <c r="G39" s="29">
        <f>Common_InputFunctions.Utility_LookupValueInTableNumber("N2O",Table_GWPData[Gas],Table_GWPData[CO2-e factor])</f>
        <v>265</v>
      </c>
      <c r="M39" s="65" t="str">
        <v>GWPN2O</v>
      </c>
      <c r="N39" s="66" t="str">
        <v>Global warming potential for nitrous oxide (t CO2-e / t N2O)</v>
      </c>
      <c r="O39" s="67"/>
      <c r="P39" s="29">
        <f>Common_InputFunctions.Utility_LookupValueInTableNumber("N2O",Table_GWPData[Gas],Table_GWPData[CO2-e factor])</f>
        <v>265</v>
      </c>
    </row>
    <row r="40" spans="1:18" ht="20.100000000000001" customHeight="1" x14ac:dyDescent="0.25">
      <c r="A40" s="5" t="str">
        <f>HYPERLINK("#'Constants - Livestock'!A1", "Constants - Livestock")</f>
        <v>Constants - Livestock</v>
      </c>
    </row>
    <row r="41" spans="1:18" ht="20.100000000000001" customHeight="1" x14ac:dyDescent="0.25">
      <c r="A41" s="5" t="str">
        <f>HYPERLINK("#'Constants - Electricity'!A1", "Constants - Electricity")</f>
        <v>Constants - Electricity</v>
      </c>
      <c r="D41" s="61" t="s">
        <v>120</v>
      </c>
      <c r="E41" s="61" cm="1">
        <f t="array" aca="1" ref="E41" ca="1">Common_Equations.Common_ConvertN2OToCO2e(G38,G39)</f>
        <v>66.50136181528039</v>
      </c>
      <c r="F41" s="19" t="str" cm="1">
        <f t="array" ref="F41">Common_Equations.Common_ConvertN2OToCO2e_Unit()</f>
        <v>t CO2e</v>
      </c>
      <c r="M41" s="61" t="s">
        <v>120</v>
      </c>
      <c r="N41" s="61" cm="1">
        <f t="array" aca="1" ref="N41" ca="1">Common_Equations.Common_ConvertN2OToCO2e(P38,P39)</f>
        <v>64.448990294882165</v>
      </c>
      <c r="O41" s="19"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64E005DB-3DBE-4AD5-9475-F0325109CC6E}"/>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7C853-0AC6-4130-88D1-D832B37DB786}">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44" customFormat="1" ht="30" customHeight="1" x14ac:dyDescent="0.35">
      <c r="A1" s="18" t="e" vm="1">
        <v>#VALUE!</v>
      </c>
      <c r="C1" s="44" t="s">
        <v>351</v>
      </c>
      <c r="K1"/>
    </row>
    <row r="2" spans="1:24" s="3" customFormat="1" ht="20.100000000000001" customHeight="1" x14ac:dyDescent="0.25">
      <c r="A2"/>
      <c r="K2"/>
    </row>
    <row r="3" spans="1:24" ht="20.100000000000001" customHeight="1" x14ac:dyDescent="0.25">
      <c r="A3" s="5" t="str">
        <f>HYPERLINK("#'Home'!A1", "Home")</f>
        <v>Home</v>
      </c>
      <c r="C3" s="45"/>
      <c r="D3" s="45" t="s">
        <v>75</v>
      </c>
      <c r="E3" s="45"/>
      <c r="F3" s="45"/>
      <c r="G3" s="45"/>
      <c r="H3" s="45"/>
      <c r="I3" s="45"/>
      <c r="J3" s="45"/>
      <c r="L3" s="45"/>
      <c r="M3" s="45" t="s">
        <v>76</v>
      </c>
      <c r="N3" s="45"/>
      <c r="O3" s="45"/>
      <c r="P3" s="45"/>
      <c r="Q3" s="45"/>
      <c r="R3" s="45"/>
      <c r="S3" s="45"/>
      <c r="T3" s="45"/>
      <c r="U3" s="45"/>
      <c r="V3" s="45"/>
      <c r="W3" s="45"/>
      <c r="X3" s="45"/>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46" t="str" cm="1">
        <f t="array" ref="D6">Fertiliser_Equations_InorganicN2O.VEERG_5_1_1_1__2_MassOfNitrogenInInorganicFertiliser_Source()</f>
        <v>VEERG 2026: 5.1.1.1, Equation (2)</v>
      </c>
      <c r="M6" s="46" t="str" cm="1">
        <f t="array" ref="M6">Fertiliser_Equations_InorganicN2O.VEERG_5_1_1_2__1_EmissionFactorIrrigatedMaize_Source()</f>
        <v>VEERG 2026: 5.1.1.2, Equation (1)</v>
      </c>
    </row>
    <row r="7" spans="1:24" ht="20.100000000000001" customHeight="1" x14ac:dyDescent="0.25">
      <c r="A7" s="7" t="s">
        <v>0</v>
      </c>
      <c r="D7" s="47" t="s">
        <v>77</v>
      </c>
      <c r="E7" s="47"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48" t="s">
        <v>79</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48" t="s">
        <v>79</v>
      </c>
      <c r="E10" s="1" t="str" cm="1">
        <f t="array" ref="E10">Fertiliser_Equations_InorganicN2O.VEERG_5_1_1_1__2_MassOfNitrogenInInorganicFertiliser_Variable()</f>
        <v>MN_jf</v>
      </c>
      <c r="M10" s="48" t="s">
        <v>80</v>
      </c>
      <c r="N10" s="17"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48" t="s">
        <v>80</v>
      </c>
      <c r="E11" s="17" t="str" cm="1">
        <f t="array" ref="E11">Fertiliser_Equations_InorganicN2O.VEERG_5_1_1_1__2_MassOfNitrogenInInorganicFertiliser_Unit()</f>
        <v>kg N</v>
      </c>
    </row>
    <row r="12" spans="1:24" ht="20.100000000000001" customHeight="1" x14ac:dyDescent="0.25">
      <c r="A12" s="5" t="str">
        <f>HYPERLINK("#'Input - Pasture'!A1", "Pasture")</f>
        <v>Pasture</v>
      </c>
      <c r="M12" s="65" t="str" cm="1">
        <f t="array" ref="M12:N13">_xlfn.CHOOSECOLS(Fertiliser_Equations_InorganicN2O.VEERG_5_1_1_2__1_EmissionFactorIrrigatedMaize_Arguments(), 1, 2)</f>
        <v>N_fjIrrigatedMaize</v>
      </c>
      <c r="N12" s="66" t="str">
        <v>application rate of inorganic fertiliser type f in the irrigated maize crop</v>
      </c>
      <c r="O12" s="120"/>
      <c r="P12" s="65" t="str" cm="1">
        <f t="array" ref="P12:Q13">_xlfn.CHOOSECOLS(Fertiliser_Equations_InorganicN2O.VEERG_5_1_1_2__1_EmissionFactorIrrigatedMaize_Arguments(), 3,4)</f>
        <v>kg N/ha</v>
      </c>
      <c r="Q12" s="54" t="str">
        <v>Input</v>
      </c>
      <c r="R12" s="121" t="str" cm="1">
        <f t="array" aca="1" ref="R12" ca="1">HYPERLINK(Common_InputFunctions.Utility_SourceHyperlink($M$41), $M$41)</f>
        <v>M2_Table_FertApplications</v>
      </c>
      <c r="S12" s="122"/>
    </row>
    <row r="13" spans="1:24" ht="20.100000000000001" customHeight="1" x14ac:dyDescent="0.25">
      <c r="A13" s="5" t="str">
        <f>HYPERLINK("#'Input - Fertiliser'!A1", "Fertiliser")</f>
        <v>Fertiliser</v>
      </c>
      <c r="D13" s="65" t="str" cm="1">
        <f t="array" ref="D13:E14">_xlfn.CHOOSECOLS(Fertiliser_Equations_InorganicN2O.VEERG_5_1_1_1__2_MassOfNitrogenInInorganicFertiliser_Arguments(), 1,2)</f>
        <v>TM_jf</v>
      </c>
      <c r="E13" s="65" t="str">
        <v>total mass of inorganic fertiliser type f applied to production system j</v>
      </c>
      <c r="F13" s="65"/>
      <c r="G13" s="65" t="str" cm="1">
        <f t="array" ref="G13:H14">_xlfn.CHOOSECOLS(Fertiliser_Equations_InorganicN2O.VEERG_5_1_1_1__2_MassOfNitrogenInInorganicFertiliser_Arguments(), 3,4)</f>
        <v>kg</v>
      </c>
      <c r="H13" s="54" t="str">
        <v>Input</v>
      </c>
      <c r="I13" s="56" t="str" cm="1">
        <f t="array" aca="1" ref="I13" ca="1">HYPERLINK(Common_InputFunctions.Utility_SourceHyperlink($D$16), $D$16)</f>
        <v>Table_MN_j_f</v>
      </c>
      <c r="M13" s="65" t="str">
        <v>f</v>
      </c>
      <c r="N13" s="66" t="str">
        <v>Inorganic fertiliser type</v>
      </c>
      <c r="O13" s="120"/>
      <c r="P13" s="65" t="str">
        <v/>
      </c>
      <c r="Q13" s="55" t="str">
        <v>Constant</v>
      </c>
      <c r="R13" s="66" t="s">
        <v>352</v>
      </c>
      <c r="S13" s="122"/>
    </row>
    <row r="14" spans="1:24" ht="20.100000000000001" customHeight="1" x14ac:dyDescent="0.25">
      <c r="A14" s="5" t="str">
        <f>HYPERLINK("#'Input - Fuel'!A1", "Fuel")</f>
        <v>Fuel</v>
      </c>
      <c r="D14" s="65" t="str">
        <v>FN_inorganicf</v>
      </c>
      <c r="E14" s="66" t="str">
        <v xml:space="preserve">fraction of nitrogen in inorganic fertiliser type f </v>
      </c>
      <c r="F14" s="123"/>
      <c r="G14" s="65" t="str">
        <v>kg N/kg</v>
      </c>
      <c r="H14" s="55" t="str">
        <v>Constant</v>
      </c>
      <c r="I14" s="56"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57" t="s">
        <v>353</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58" t="s">
        <v>354</v>
      </c>
      <c r="M17" s="46" t="str" cm="1">
        <f t="array" ref="M17">Fertiliser_Equations_InorganicN2O.VEERG_5_1_1_2__2_EmissionFactorNonIrrigatedGrainsHighRainfall_Source()</f>
        <v>VEERG 2026: 5.1.1.2, Equation (2)</v>
      </c>
    </row>
    <row r="18" spans="1:19" ht="20.100000000000001" customHeight="1" x14ac:dyDescent="0.25">
      <c r="A18" s="6" t="s">
        <v>3</v>
      </c>
      <c r="D18" s="59" t="s">
        <v>355</v>
      </c>
      <c r="E18" s="60" t="s">
        <v>356</v>
      </c>
      <c r="F18" s="59" t="s">
        <v>357</v>
      </c>
      <c r="G18" s="59" t="s">
        <v>358</v>
      </c>
    </row>
    <row r="19" spans="1:19" ht="20.100000000000001" customHeight="1" x14ac:dyDescent="0.25">
      <c r="A19" s="5" t="str">
        <f>HYPERLINK("#'3.2.1.1-2 Enteric Methane'!A1", "3.2.1.1-2 Enteric methane")</f>
        <v>3.2.1.1-2 Enteric methane</v>
      </c>
      <c r="D19" s="29" t="str" cm="1">
        <f t="array" ref="D19:D37">Table_Fertiliser_ChemicalCompounds[Fertiliser type f]</f>
        <v>Monoammonium phosphate (MAP)</v>
      </c>
      <c r="E19" s="2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9" cm="1">
        <f t="array" ref="F19">Common_InputFunctions.Utility_LookupValueInTableNumber(D19,Table_Fertiliser_ChemicalCompounds[Fertiliser type f],Table_Fertiliser_ChemicalCompounds[FNinorganic f])</f>
        <v>0.1</v>
      </c>
      <c r="G19" s="29"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9" t="str">
        <v>Diammonium phosphate (DAP)</v>
      </c>
      <c r="E20" s="2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9" cm="1">
        <f t="array" ref="F20">Common_InputFunctions.Utility_LookupValueInTableNumber(D20,Table_Fertiliser_ChemicalCompounds[Fertiliser type f],Table_Fertiliser_ChemicalCompounds[FNinorganic f])</f>
        <v>0.18</v>
      </c>
      <c r="G20" s="29" cm="1">
        <f t="array" ref="G20">Fertiliser_Equations_InorganicN2O.VEERG_5_1_1_1__2_MassOfNitrogenInInorganicFertiliser(E20,F20)</f>
        <v>0</v>
      </c>
      <c r="M20" s="48" t="s">
        <v>79</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9" t="str">
        <v>Urea</v>
      </c>
      <c r="E21" s="2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9" cm="1">
        <f t="array" ref="F21">Common_InputFunctions.Utility_LookupValueInTableNumber(D21,Table_Fertiliser_ChemicalCompounds[Fertiliser type f],Table_Fertiliser_ChemicalCompounds[FNinorganic f])</f>
        <v>0.46</v>
      </c>
      <c r="G21" s="29" cm="1">
        <f t="array" ref="G21">Fertiliser_Equations_InorganicN2O.VEERG_5_1_1_1__2_MassOfNitrogenInInorganicFertiliser(E21,F21)</f>
        <v>4600</v>
      </c>
      <c r="M21" s="48" t="s">
        <v>80</v>
      </c>
      <c r="N21" s="17"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9" t="str">
        <v>Sulphate of ammonia (SOA)</v>
      </c>
      <c r="E22" s="2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9" cm="1">
        <f t="array" ref="F22">Common_InputFunctions.Utility_LookupValueInTableNumber(D22,Table_Fertiliser_ChemicalCompounds[Fertiliser type f],Table_Fertiliser_ChemicalCompounds[FNinorganic f])</f>
        <v>0.21</v>
      </c>
      <c r="G22" s="29"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9" t="str">
        <v>Urea-ammonium nitrate (UAN)</v>
      </c>
      <c r="E23" s="2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9" cm="1">
        <f t="array" ref="F23">Common_InputFunctions.Utility_LookupValueInTableNumber(D23,Table_Fertiliser_ChemicalCompounds[Fertiliser type f],Table_Fertiliser_ChemicalCompounds[FNinorganic f])</f>
        <v>0.32</v>
      </c>
      <c r="G23" s="29" cm="1">
        <f t="array" ref="G23">Fertiliser_Equations_InorganicN2O.VEERG_5_1_1_1__2_MassOfNitrogenInInorganicFertiliser(E23,F23)</f>
        <v>0</v>
      </c>
      <c r="M23" s="65" t="str" cm="1">
        <f t="array" ref="M23:N24">_xlfn.CHOOSECOLS(Fertiliser_Equations_InorganicN2O.VEERG_5_1_1_2__2_EmissionFactorNonIrrigatedGrainsHighRainfall_Arguments(), 1, 2)</f>
        <v>N_fjNonIrrigatedGrains</v>
      </c>
      <c r="N23" s="66" t="str">
        <v>application rate of inorganic fertiliser type f in the grains crop</v>
      </c>
      <c r="O23" s="120"/>
      <c r="P23" s="65" t="str" cm="1">
        <f t="array" ref="P23:Q24">_xlfn.CHOOSECOLS(Fertiliser_Equations_InorganicN2O.VEERG_5_1_1_2__2_EmissionFactorNonIrrigatedGrainsHighRainfall_Arguments(), 3,4)</f>
        <v>kg N/ha</v>
      </c>
      <c r="Q23" s="54" t="str">
        <v>Input</v>
      </c>
      <c r="R23" s="121" t="str" cm="1">
        <f t="array" aca="1" ref="R23" ca="1">HYPERLINK(Common_InputFunctions.Utility_SourceHyperlink($M$41), $M$41)</f>
        <v>M2_Table_FertApplications</v>
      </c>
      <c r="S23" s="123"/>
    </row>
    <row r="24" spans="1:19" ht="20.100000000000001" customHeight="1" x14ac:dyDescent="0.25">
      <c r="A24" s="49" t="str">
        <f>HYPERLINK("#'5.1.1.1-2 Inorganic fert N2O'!A1", "5.1.1.1-2 Inorganic fert N2O")</f>
        <v>5.1.1.1-2 Inorganic fert N2O</v>
      </c>
      <c r="D24" s="29" t="str">
        <v>Ammonium nitrate (AN)</v>
      </c>
      <c r="E24" s="2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9" cm="1">
        <f t="array" ref="F24">Common_InputFunctions.Utility_LookupValueInTableNumber(D24,Table_Fertiliser_ChemicalCompounds[Fertiliser type f],Table_Fertiliser_ChemicalCompounds[FNinorganic f])</f>
        <v>0.33700000000000002</v>
      </c>
      <c r="G24" s="29" cm="1">
        <f t="array" ref="G24">Fertiliser_Equations_InorganicN2O.VEERG_5_1_1_1__2_MassOfNitrogenInInorganicFertiliser(E24,F24)</f>
        <v>0</v>
      </c>
      <c r="I24" s="32"/>
      <c r="M24" s="65" t="str">
        <v>f</v>
      </c>
      <c r="N24" s="66" t="str">
        <v>Inorganic fertiliser type</v>
      </c>
      <c r="O24" s="120"/>
      <c r="P24" s="65" t="str">
        <v/>
      </c>
      <c r="Q24" s="55" t="str">
        <v>Constant</v>
      </c>
      <c r="R24" s="66" t="s">
        <v>352</v>
      </c>
      <c r="S24" s="123"/>
    </row>
    <row r="25" spans="1:19" ht="20.100000000000001" customHeight="1" x14ac:dyDescent="0.25">
      <c r="A25" s="5" t="str">
        <f>HYPERLINK("#'5.1.1.3-4 Inorganic fert CO2'!A1", "5.1.1.3-4 Inorganic fert CO2")</f>
        <v>5.1.1.3-4 Inorganic fert CO2</v>
      </c>
      <c r="D25" s="29" t="str">
        <v>Calcium ammonium nitrate (CAN)</v>
      </c>
      <c r="E25" s="2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9" cm="1">
        <f t="array" ref="F25">Common_InputFunctions.Utility_LookupValueInTableNumber(D25,Table_Fertiliser_ChemicalCompounds[Fertiliser type f],Table_Fertiliser_ChemicalCompounds[FNinorganic f])</f>
        <v>0.27</v>
      </c>
      <c r="G25" s="29" cm="1">
        <f t="array" ref="G25">Fertiliser_Equations_InorganicN2O.VEERG_5_1_1_1__2_MassOfNitrogenInInorganicFertiliser(E25,F25)</f>
        <v>0</v>
      </c>
      <c r="I25" s="32"/>
    </row>
    <row r="26" spans="1:19" ht="20.100000000000001" customHeight="1" x14ac:dyDescent="0.25">
      <c r="A26" s="5" t="str">
        <f>HYPERLINK("#'5.2.1.1-2 Organic Fert N2O'!A1", "5.2.1.1-2 Organic fert N2O")</f>
        <v>5.2.1.1-2 Organic fert N2O</v>
      </c>
      <c r="D26" s="29" t="str">
        <v>Nitrogen - Ammoniacal</v>
      </c>
      <c r="E26" s="2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9" cm="1">
        <f t="array" ref="F26">Common_InputFunctions.Utility_LookupValueInTableNumber(D26,Table_Fertiliser_ChemicalCompounds[Fertiliser type f],Table_Fertiliser_ChemicalCompounds[FNinorganic f])</f>
        <v>1</v>
      </c>
      <c r="G26" s="29" cm="1">
        <f t="array" ref="G26">Fertiliser_Equations_InorganicN2O.VEERG_5_1_1_1__2_MassOfNitrogenInInorganicFertiliser(E26,F26)</f>
        <v>0</v>
      </c>
      <c r="I26" s="32"/>
    </row>
    <row r="27" spans="1:19" ht="20.100000000000001" customHeight="1" x14ac:dyDescent="0.25">
      <c r="A27" s="5" t="str">
        <f>HYPERLINK("#'5.3.1.1-2 Lime CO2'!A1", "5.3.1.1-2 Lime CO2")</f>
        <v>5.3.1.1-2 Lime CO2</v>
      </c>
      <c r="D27" s="29" t="str">
        <v>Nitrogen - Nitrate</v>
      </c>
      <c r="E27" s="2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9" cm="1">
        <f t="array" ref="F27">Common_InputFunctions.Utility_LookupValueInTableNumber(D27,Table_Fertiliser_ChemicalCompounds[Fertiliser type f],Table_Fertiliser_ChemicalCompounds[FNinorganic f])</f>
        <v>1</v>
      </c>
      <c r="G27" s="29" cm="1">
        <f t="array" ref="G27">Fertiliser_Equations_InorganicN2O.VEERG_5_1_1_1__2_MassOfNitrogenInInorganicFertiliser(E27,F27)</f>
        <v>1980</v>
      </c>
      <c r="I27" s="32"/>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9" t="str">
        <v>Nitrogen - Generic</v>
      </c>
      <c r="E28" s="2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9" cm="1">
        <f t="array" ref="F28">Common_InputFunctions.Utility_LookupValueInTableNumber(D28,Table_Fertiliser_ChemicalCompounds[Fertiliser type f],Table_Fertiliser_ChemicalCompounds[FNinorganic f])</f>
        <v>1</v>
      </c>
      <c r="G28" s="29" cm="1">
        <f t="array" ref="G28">Fertiliser_Equations_InorganicN2O.VEERG_5_1_1_1__2_MassOfNitrogenInInorganicFertiliser(E28,F28)</f>
        <v>1537.2</v>
      </c>
      <c r="I28" s="32"/>
      <c r="M28" s="46"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9" t="str">
        <v>Phosphorus - Generic</v>
      </c>
      <c r="E29" s="2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9" cm="1">
        <f t="array" ref="F29">Common_InputFunctions.Utility_LookupValueInTableNumber(D29,Table_Fertiliser_ChemicalCompounds[Fertiliser type f],Table_Fertiliser_ChemicalCompounds[FNinorganic f])</f>
        <v>0</v>
      </c>
      <c r="G29" s="29" cm="1">
        <f t="array" ref="G29">Fertiliser_Equations_InorganicN2O.VEERG_5_1_1_1__2_MassOfNitrogenInInorganicFertiliser(E29,F29)</f>
        <v>0</v>
      </c>
      <c r="I29" s="32"/>
    </row>
    <row r="30" spans="1:19" ht="20.100000000000001" customHeight="1" x14ac:dyDescent="0.25">
      <c r="A30" s="5" t="str">
        <f>HYPERLINK("#'6.2.1.1-2 Pasture residue N2O'!A1", "6.2.1.1-2 Pasture residue N2O")</f>
        <v>6.2.1.1-2 Pasture residue N2O</v>
      </c>
      <c r="D30" s="29" t="str">
        <v>Potassium - Generic</v>
      </c>
      <c r="E30" s="2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9" cm="1">
        <f t="array" ref="F30">Common_InputFunctions.Utility_LookupValueInTableNumber(D30,Table_Fertiliser_ChemicalCompounds[Fertiliser type f],Table_Fertiliser_ChemicalCompounds[FNinorganic f])</f>
        <v>0</v>
      </c>
      <c r="G30" s="29" cm="1">
        <f t="array" ref="G30">Fertiliser_Equations_InorganicN2O.VEERG_5_1_1_1__2_MassOfNitrogenInInorganicFertiliser(E30,F30)</f>
        <v>0</v>
      </c>
      <c r="I30" s="32"/>
    </row>
    <row r="31" spans="1:19" ht="20.100000000000001" customHeight="1" x14ac:dyDescent="0.25">
      <c r="A31" s="5" t="str">
        <f>HYPERLINK("#'6.3.1.1-2 Leach runoff pasture'!A1", "6.3.1.1-2 Leach &amp; runoff (pasture)")</f>
        <v>6.3.1.1-2 Leach &amp; runoff (pasture)</v>
      </c>
      <c r="D31" s="29" t="str">
        <v>Sulfur - Generic</v>
      </c>
      <c r="E31" s="2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9" cm="1">
        <f t="array" ref="F31">Common_InputFunctions.Utility_LookupValueInTableNumber(D31,Table_Fertiliser_ChemicalCompounds[Fertiliser type f],Table_Fertiliser_ChemicalCompounds[FNinorganic f])</f>
        <v>0</v>
      </c>
      <c r="G31" s="29" cm="1">
        <f t="array" ref="G31">Fertiliser_Equations_InorganicN2O.VEERG_5_1_1_1__2_MassOfNitrogenInInorganicFertiliser(E31,F31)</f>
        <v>0</v>
      </c>
      <c r="I31" s="32"/>
    </row>
    <row r="32" spans="1:19" ht="20.100000000000001" customHeight="1" x14ac:dyDescent="0.25">
      <c r="A32" s="5" t="str">
        <f>HYPERLINK("#'8.1.1.1-2 Transport fuel'!A1", "8.1.1.1-2 Transport fuel")</f>
        <v>8.1.1.1-2 Transport fuel</v>
      </c>
      <c r="D32" s="29" t="str">
        <v>Zinc - Generic</v>
      </c>
      <c r="E32" s="2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9" cm="1">
        <f t="array" ref="F32">Common_InputFunctions.Utility_LookupValueInTableNumber(D32,Table_Fertiliser_ChemicalCompounds[Fertiliser type f],Table_Fertiliser_ChemicalCompounds[FNinorganic f])</f>
        <v>0</v>
      </c>
      <c r="G32" s="29" cm="1">
        <f t="array" ref="G32">Fertiliser_Equations_InorganicN2O.VEERG_5_1_1_1__2_MassOfNitrogenInInorganicFertiliser(E32,F32)</f>
        <v>0</v>
      </c>
      <c r="I32" s="32"/>
      <c r="M32" s="48" t="s">
        <v>79</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9" t="str">
        <v>Muriate of potash (MOP)</v>
      </c>
      <c r="E33" s="2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9" cm="1">
        <f t="array" ref="F33">Common_InputFunctions.Utility_LookupValueInTableNumber(D33,Table_Fertiliser_ChemicalCompounds[Fertiliser type f],Table_Fertiliser_ChemicalCompounds[FNinorganic f])</f>
        <v>0</v>
      </c>
      <c r="G33" s="29" cm="1">
        <f t="array" ref="G33">Fertiliser_Equations_InorganicN2O.VEERG_5_1_1_1__2_MassOfNitrogenInInorganicFertiliser(E33,F33)</f>
        <v>0</v>
      </c>
      <c r="I33" s="32"/>
      <c r="M33" s="48" t="s">
        <v>80</v>
      </c>
      <c r="N33" s="17"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9" t="str">
        <v>Double superphosphate</v>
      </c>
      <c r="E34" s="2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9" cm="1">
        <f t="array" ref="F34">Common_InputFunctions.Utility_LookupValueInTableNumber(D34,Table_Fertiliser_ChemicalCompounds[Fertiliser type f],Table_Fertiliser_ChemicalCompounds[FNinorganic f])</f>
        <v>0</v>
      </c>
      <c r="G34" s="29" cm="1">
        <f t="array" ref="G34">Fertiliser_Equations_InorganicN2O.VEERG_5_1_1_1__2_MassOfNitrogenInInorganicFertiliser(E34,F34)</f>
        <v>0</v>
      </c>
      <c r="I34" s="32"/>
    </row>
    <row r="35" spans="1:23" ht="20.100000000000001" customHeight="1" x14ac:dyDescent="0.25">
      <c r="D35" s="29" t="str">
        <v>Single superphosphate (SSP)</v>
      </c>
      <c r="E35" s="2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9" cm="1">
        <f t="array" ref="F35">Common_InputFunctions.Utility_LookupValueInTableNumber(D35,Table_Fertiliser_ChemicalCompounds[Fertiliser type f],Table_Fertiliser_ChemicalCompounds[FNinorganic f])</f>
        <v>0</v>
      </c>
      <c r="G35" s="29" cm="1">
        <f t="array" ref="G35">Fertiliser_Equations_InorganicN2O.VEERG_5_1_1_1__2_MassOfNitrogenInInorganicFertiliser(E35,F35)</f>
        <v>0</v>
      </c>
      <c r="I35" s="32"/>
      <c r="M35" s="65" t="str" cm="1">
        <f t="array" ref="M35:N36">_xlfn.CHOOSECOLS(Fertiliser_Equations_InorganicN2O.VEERG_5_1_1_2__3_EmissionFactorCotton_Arguments(), 1, 2)</f>
        <v>N_fjCotton</v>
      </c>
      <c r="N35" s="66" t="str">
        <v>application rate of inorganic fertiliser type f in the cotton crop</v>
      </c>
      <c r="O35" s="120"/>
      <c r="P35" s="66" t="str" cm="1">
        <f t="array" ref="P35:Q36">_xlfn.CHOOSECOLS(Fertiliser_Equations_InorganicN2O.VEERG_5_1_1_2__3_EmissionFactorCotton_Arguments(), 3,4)</f>
        <v>kg N/ha</v>
      </c>
      <c r="Q35" s="54" t="str">
        <v>Input</v>
      </c>
      <c r="R35" s="121" t="str" cm="1">
        <f t="array" aca="1" ref="R35" ca="1">HYPERLINK(Common_InputFunctions.Utility_SourceHyperlink($M$41), $M$41)</f>
        <v>M2_Table_FertApplications</v>
      </c>
      <c r="S35" s="123"/>
    </row>
    <row r="36" spans="1:23" ht="20.100000000000001" customHeight="1" x14ac:dyDescent="0.25">
      <c r="D36" s="29" t="str">
        <v>Ammonia</v>
      </c>
      <c r="E36" s="2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9" cm="1">
        <f t="array" ref="F36">Common_InputFunctions.Utility_LookupValueInTableNumber(D36,Table_Fertiliser_ChemicalCompounds[Fertiliser type f],Table_Fertiliser_ChemicalCompounds[FNinorganic f])</f>
        <v>0.82350000000000001</v>
      </c>
      <c r="G36" s="29" cm="1">
        <f t="array" ref="G36">Fertiliser_Equations_InorganicN2O.VEERG_5_1_1_1__2_MassOfNitrogenInInorganicFertiliser(E36,F36)</f>
        <v>4117.5</v>
      </c>
      <c r="I36" s="32"/>
      <c r="M36" s="65" t="str">
        <v>f</v>
      </c>
      <c r="N36" s="66" t="str">
        <v>Inorganic fertiliser type</v>
      </c>
      <c r="O36" s="120"/>
      <c r="P36" s="66" t="str">
        <v/>
      </c>
      <c r="Q36" s="55" t="str">
        <v>Constant</v>
      </c>
      <c r="R36" s="66" t="s">
        <v>352</v>
      </c>
      <c r="S36" s="123"/>
    </row>
    <row r="37" spans="1:23" ht="20.100000000000001" customHeight="1" x14ac:dyDescent="0.25">
      <c r="A37" s="243" t="s">
        <v>1</v>
      </c>
      <c r="D37" s="29" t="str">
        <v>Calcium nitrate</v>
      </c>
      <c r="E37" s="2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9" cm="1">
        <f t="array" ref="F37">Common_InputFunctions.Utility_LookupValueInTableNumber(D37,Table_Fertiliser_ChemicalCompounds[Fertiliser type f],Table_Fertiliser_ChemicalCompounds[FNinorganic f])</f>
        <v>0.155</v>
      </c>
      <c r="G37" s="29" cm="1">
        <f t="array" ref="G37">Fertiliser_Equations_InorganicN2O.VEERG_5_1_1_1__2_MassOfNitrogenInInorganicFertiliser(E37,F37)</f>
        <v>775</v>
      </c>
      <c r="H37" s="48"/>
      <c r="I37" s="32"/>
    </row>
    <row r="38" spans="1:23" ht="20.100000000000001" customHeight="1" x14ac:dyDescent="0.25">
      <c r="A38" s="5" t="str">
        <f>HYPERLINK("#'Constants - Pasture Beef'!A1", "Constants - Pasture Beef")</f>
        <v>Constants - Pasture Beef</v>
      </c>
      <c r="N38" s="43"/>
      <c r="O38" s="43"/>
      <c r="P38" s="43"/>
    </row>
    <row r="39" spans="1:23" ht="20.100000000000001" customHeight="1" x14ac:dyDescent="0.25">
      <c r="A39" s="5" t="str">
        <f>HYPERLINK("#'Constants - Ag Residue'!A1", "Constants - Ag residue")</f>
        <v>Constants - Ag residue</v>
      </c>
      <c r="C39" s="61"/>
      <c r="D39" s="61"/>
      <c r="E39" s="61"/>
      <c r="F39" s="61"/>
      <c r="G39" s="61"/>
      <c r="H39" s="61"/>
      <c r="I39" s="61"/>
      <c r="J39" s="61"/>
      <c r="M39" s="43" t="s">
        <v>359</v>
      </c>
    </row>
    <row r="40" spans="1:23" ht="20.100000000000001" customHeight="1" x14ac:dyDescent="0.25">
      <c r="A40" s="5" t="str">
        <f>HYPERLINK("#'Constants - Livestock'!A1", "Constants - Livestock")</f>
        <v>Constants -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46" t="str" cm="1">
        <f t="array" ref="D41">Fertiliser_Equations_InorganicN2O.VEERG_5_1_1_1__1_InorganicFertiliserApplicationN2OEmissions_Source()</f>
        <v>VEERG 2026: 5.1.1.1, Equation (1)</v>
      </c>
      <c r="M41" s="57" t="s">
        <v>360</v>
      </c>
      <c r="T41" s="72" t="s">
        <v>361</v>
      </c>
    </row>
    <row r="42" spans="1:23" ht="20.100000000000001" customHeight="1" x14ac:dyDescent="0.25">
      <c r="A42" s="5" t="str">
        <f>HYPERLINK("#'Constants - Fertiliser'!A1", "Constants - Fertiliser")</f>
        <v>Constants - Fertiliser</v>
      </c>
      <c r="D42" s="47" t="s">
        <v>77</v>
      </c>
      <c r="E42" s="47" t="str" cm="1">
        <f t="array" aca="1" ref="E42" ca="1">Common_InputFunctions.Utility_DisplayFunctionName($E$60)</f>
        <v>=Fertiliser_Equations_InorganicN2O.VEERG_5_1_1_1__1_InorganicFertiliserApplicationN2OEmissions</v>
      </c>
      <c r="F42" s="32"/>
      <c r="M42" s="58" t="s">
        <v>362</v>
      </c>
    </row>
    <row r="43" spans="1:23" ht="20.100000000000001" customHeight="1" x14ac:dyDescent="0.25">
      <c r="A43" s="5" t="str">
        <f>HYPERLINK("#'Constants - Fuel'!A1", "Constants - Fuel")</f>
        <v>Constants - Fuel</v>
      </c>
      <c r="F43" s="32"/>
      <c r="O43" s="124" t="s">
        <v>363</v>
      </c>
      <c r="P43" s="124" t="s">
        <v>284</v>
      </c>
      <c r="Q43" s="124" t="s">
        <v>364</v>
      </c>
      <c r="R43" s="124" t="str">
        <f>$N$10</f>
        <v>kg N2O-N/kg N applied</v>
      </c>
      <c r="S43" s="124" t="str">
        <f>$N$21</f>
        <v>kg N2O-N/kg N applied</v>
      </c>
      <c r="T43" s="124" t="s">
        <v>363</v>
      </c>
      <c r="U43" s="124" t="s">
        <v>364</v>
      </c>
      <c r="V43" s="124" t="str">
        <f>$N$33</f>
        <v>kg N2O-N/kg N applied</v>
      </c>
      <c r="W43" s="124" t="s">
        <v>365</v>
      </c>
    </row>
    <row r="44" spans="1:23" ht="20.100000000000001" customHeight="1" x14ac:dyDescent="0.25">
      <c r="A44" s="5" t="str">
        <f>HYPERLINK("#'Constants - Common'!A1", "Constants - Common")</f>
        <v>Constants - Common</v>
      </c>
      <c r="F44" s="32"/>
      <c r="M44" s="59" t="s">
        <v>366</v>
      </c>
      <c r="N44" s="60" t="s">
        <v>366</v>
      </c>
      <c r="O44" s="60" t="s">
        <v>367</v>
      </c>
      <c r="P44" s="60" t="s">
        <v>368</v>
      </c>
      <c r="Q44" s="59" t="s">
        <v>369</v>
      </c>
      <c r="R44" s="59" t="str">
        <f>N9</f>
        <v>EF_fjIrrigatedMaizeN2O</v>
      </c>
      <c r="S44" s="59" t="str">
        <f>N20</f>
        <v>EF_fjNonIrrigatedGrainsN2O</v>
      </c>
      <c r="T44" s="59" t="s">
        <v>370</v>
      </c>
      <c r="U44" s="59" t="s">
        <v>371</v>
      </c>
      <c r="V44" s="59" t="str">
        <f>N32</f>
        <v>EF_fjCottonN2O</v>
      </c>
      <c r="W44" s="59" t="s">
        <v>372</v>
      </c>
    </row>
    <row r="45" spans="1:23" ht="20.100000000000001" customHeight="1" x14ac:dyDescent="0.25">
      <c r="A45" s="5" t="str">
        <f>HYPERLINK("#'Acknowledgements'!A1", "Acknowledgements")</f>
        <v>Acknowledgements</v>
      </c>
      <c r="F45" s="32"/>
      <c r="M45" s="29" t="s">
        <v>373</v>
      </c>
      <c r="N45" s="29" t="str" cm="1">
        <f t="array" ref="N45:N49">Table_Input_InorganicFertiliser_Brands[Product (select)]</f>
        <v>Aqua Finish</v>
      </c>
      <c r="O45" s="29" cm="1">
        <f t="array" ref="O45:O49">Table_Input_InorganicFertiliser_Brands[N application rate (kg/ha)]</f>
        <v>3.2759999999999998</v>
      </c>
      <c r="P45" s="29" cm="1">
        <f t="array" ref="P45:P49">Table_Input_InorganicFertiliser_Brands[Application area (ha)]</f>
        <v>100</v>
      </c>
      <c r="Q45" s="29">
        <f>O45*P45</f>
        <v>327.59999999999997</v>
      </c>
      <c r="R45" s="29" cm="1">
        <f t="array" ref="R45">IF(O45&gt;0, Fertiliser_Equations_InorganicN2O.VEERG_5_1_1_2__1_EmissionFactorIrrigatedMaize(O45), 0)</f>
        <v>-1.2741640000000002E-3</v>
      </c>
      <c r="S45" s="29" cm="1">
        <f t="array" ref="S45">IF(O45&gt;0, Fertiliser_Equations_InorganicN2O.VEERG_5_1_1_2__2_EmissionFactorNonIrrigatedGrainsHighRainfall(O45), 0)</f>
        <v>1.0267E-3</v>
      </c>
      <c r="T45" s="29">
        <f>IF(O45&gt;0, MIN(300, O45), 0)</f>
        <v>3.2759999999999998</v>
      </c>
      <c r="U45" s="29">
        <f>P45*T45</f>
        <v>327.59999999999997</v>
      </c>
      <c r="V45" s="29" cm="1">
        <f t="array" ref="V45">IF(O45&gt;0, Fertiliser_Equations_InorganicN2O.VEERG_5_1_1_2__3_EmissionFactorCotton(T45), 0)</f>
        <v>2.902753508679765E-5</v>
      </c>
      <c r="W45" s="2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48" t="s">
        <v>79</v>
      </c>
      <c r="E46" s="1" t="str" cm="1">
        <f t="array" ref="E46">Fertiliser_Equations_InorganicN2O.VEERG_5_1_1_1__1_InorganicFertiliserApplicationN2OEmissions_Variable()</f>
        <v>E_N2O</v>
      </c>
      <c r="F46" s="32"/>
      <c r="M46" s="29" t="s">
        <v>373</v>
      </c>
      <c r="N46" s="29" t="str">
        <v>CalPhos</v>
      </c>
      <c r="O46" s="29">
        <v>0</v>
      </c>
      <c r="P46" s="29">
        <v>100</v>
      </c>
      <c r="Q46" s="29">
        <f>O46*P46</f>
        <v>0</v>
      </c>
      <c r="R46" s="29" cm="1">
        <f t="array" ref="R46">IF(O46&gt;0, Fertiliser_Equations_InorganicN2O.VEERG_5_1_1_2__1_EmissionFactorIrrigatedMaize(O46), 0)</f>
        <v>0</v>
      </c>
      <c r="S46" s="29" cm="1">
        <f t="array" ref="S46">IF(O46&gt;0, Fertiliser_Equations_InorganicN2O.VEERG_5_1_1_2__2_EmissionFactorNonIrrigatedGrainsHighRainfall(O46), 0)</f>
        <v>0</v>
      </c>
      <c r="T46" s="29">
        <f t="shared" ref="T46:T54" si="0">IF(O46&gt;0, MIN(300, O46), 0)</f>
        <v>0</v>
      </c>
      <c r="U46" s="29">
        <f t="shared" ref="U46:U54" si="1">P46*T46</f>
        <v>0</v>
      </c>
      <c r="V46" s="29" cm="1">
        <f t="array" ref="V46">IF(O46&gt;0, Fertiliser_Equations_InorganicN2O.VEERG_5_1_1_2__3_EmissionFactorCotton(T46), 0)</f>
        <v>0</v>
      </c>
      <c r="W46" s="2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48" t="s">
        <v>80</v>
      </c>
      <c r="E47" s="17" t="str" cm="1">
        <f t="array" ref="E47">Fertiliser_Equations_InorganicN2O.VEERG_5_1_1_1__1_InorganicFertiliserApplicationN2OEmissions_Unit()</f>
        <v>t N2O</v>
      </c>
      <c r="F47" s="32"/>
      <c r="M47" s="29" t="s">
        <v>373</v>
      </c>
      <c r="N47" s="29" t="str">
        <v>CalPhos</v>
      </c>
      <c r="O47" s="29">
        <v>0</v>
      </c>
      <c r="P47" s="29">
        <v>100</v>
      </c>
      <c r="Q47" s="29">
        <f t="shared" ref="Q47:Q54" si="2">O47*P47</f>
        <v>0</v>
      </c>
      <c r="R47" s="29" cm="1">
        <f t="array" ref="R47">IF(O47&gt;0, Fertiliser_Equations_InorganicN2O.VEERG_5_1_1_2__1_EmissionFactorIrrigatedMaize(O47), 0)</f>
        <v>0</v>
      </c>
      <c r="S47" s="29" cm="1">
        <f t="array" ref="S47">IF(O47&gt;0, Fertiliser_Equations_InorganicN2O.VEERG_5_1_1_2__2_EmissionFactorNonIrrigatedGrainsHighRainfall(O47), 0)</f>
        <v>0</v>
      </c>
      <c r="T47" s="29">
        <f t="shared" si="0"/>
        <v>0</v>
      </c>
      <c r="U47" s="29">
        <f t="shared" si="1"/>
        <v>0</v>
      </c>
      <c r="V47" s="29" cm="1">
        <f t="array" ref="V47">IF(O47&gt;0, Fertiliser_Equations_InorganicN2O.VEERG_5_1_1_2__3_EmissionFactorCotton(T47), 0)</f>
        <v>0</v>
      </c>
      <c r="W47" s="2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32"/>
      <c r="M48" s="29" t="s">
        <v>373</v>
      </c>
      <c r="N48" s="29" t="str">
        <v>Aqua Grow</v>
      </c>
      <c r="O48" s="29">
        <v>12.096</v>
      </c>
      <c r="P48" s="29">
        <v>100</v>
      </c>
      <c r="Q48" s="29">
        <f t="shared" si="2"/>
        <v>1209.5999999999999</v>
      </c>
      <c r="R48" s="29" cm="1">
        <f t="array" ref="R48">IF(O48&gt;0, Fertiliser_Equations_InorganicN2O.VEERG_5_1_1_2__1_EmissionFactorIrrigatedMaize(O48), 0)</f>
        <v>-7.3614399999999999E-4</v>
      </c>
      <c r="S48" s="29" cm="1">
        <f t="array" ref="S48">IF(O48&gt;0, Fertiliser_Equations_InorganicN2O.VEERG_5_1_1_2__2_EmissionFactorNonIrrigatedGrainsHighRainfall(O48), 0)</f>
        <v>1.6881999999999999E-3</v>
      </c>
      <c r="T48" s="29">
        <f t="shared" si="0"/>
        <v>12.096</v>
      </c>
      <c r="U48" s="29">
        <f t="shared" si="1"/>
        <v>1209.5999999999999</v>
      </c>
      <c r="V48" s="29" cm="1">
        <f t="array" ref="V48">IF(O48&gt;0, Fertiliser_Equations_InorganicN2O.VEERG_5_1_1_2__3_EmissionFactorCotton(T48), 0)</f>
        <v>2.903266653082426E-5</v>
      </c>
      <c r="W48" s="2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65" t="str" cm="1">
        <f t="array" ref="D49:E55">_xlfn.CHOOSECOLS(Fertiliser_Equations_InorganicN2O.VEERG_5_1_1_1__1_InorganicFertiliserApplicationN2OEmissions_Arguments(), 1, 2)</f>
        <v>MN_jf</v>
      </c>
      <c r="E49" s="66" t="str">
        <v>mass of nitrogen in inorganic fertiliser type f applied to production system j</v>
      </c>
      <c r="F49" s="120"/>
      <c r="G49" s="65" t="str" cm="1">
        <f t="array" ref="G49:H55">_xlfn.CHOOSECOLS(Fertiliser_Equations_InorganicN2O.VEERG_5_1_1_1__1_InorganicFertiliserApplicationN2OEmissions_Arguments(), 3,4)</f>
        <v>kg N</v>
      </c>
      <c r="H49" s="55" t="str">
        <v>Calculated from 5.1.1.1 (2)</v>
      </c>
      <c r="I49" s="56" t="str" cm="1">
        <f t="array" aca="1" ref="I49" ca="1">HYPERLINK(Common_InputFunctions.Utility_SourceHyperlink(D16), D16)</f>
        <v>Table_MN_j_f</v>
      </c>
      <c r="M49" s="29" t="s">
        <v>373</v>
      </c>
      <c r="N49" s="29" t="str">
        <v>Aqua NitroCal</v>
      </c>
      <c r="O49" s="29">
        <v>19.8</v>
      </c>
      <c r="P49" s="29">
        <v>100</v>
      </c>
      <c r="Q49" s="29">
        <f t="shared" si="2"/>
        <v>1980</v>
      </c>
      <c r="R49" s="29" cm="1">
        <f t="array" ref="R49">IF(O49&gt;0, Fertiliser_Equations_InorganicN2O.VEERG_5_1_1_2__1_EmissionFactorIrrigatedMaize(O49), 0)</f>
        <v>-2.6619999999999991E-4</v>
      </c>
      <c r="S49" s="29" cm="1">
        <f t="array" ref="S49">IF(O49&gt;0, Fertiliser_Equations_InorganicN2O.VEERG_5_1_1_2__2_EmissionFactorNonIrrigatedGrainsHighRainfall(O49), 0)</f>
        <v>2.2660000000000002E-3</v>
      </c>
      <c r="T49" s="29">
        <f t="shared" si="0"/>
        <v>19.8</v>
      </c>
      <c r="U49" s="29">
        <f t="shared" si="1"/>
        <v>1980</v>
      </c>
      <c r="V49" s="29" cm="1">
        <f t="array" ref="V49">IF(O49&gt;0, Fertiliser_Equations_InorganicN2O.VEERG_5_1_1_2__3_EmissionFactorCotton(T49), 0)</f>
        <v>2.9038198888180622E-5</v>
      </c>
      <c r="W49" s="2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65" t="str">
        <v>EF_jN2O</v>
      </c>
      <c r="E50" s="66" t="str">
        <v>emission factor for nitrous oxide for inorganic fertilisers</v>
      </c>
      <c r="F50" s="120"/>
      <c r="G50" s="65" t="str">
        <v>kg N2O-N/kg N applied</v>
      </c>
      <c r="H50" s="55" t="str">
        <v>Constant</v>
      </c>
      <c r="I50" s="65">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9" t="s">
        <v>374</v>
      </c>
      <c r="N50" s="29" t="str" cm="1">
        <f t="array" ref="N50:N52">Table_Input_InorganicFertiliser_Custom[Custom blend name]</f>
        <v>My first custom blend</v>
      </c>
      <c r="O50" s="29" cm="1">
        <f t="array" ref="O50:O52">Table_Input_InorganicFertiliser_Custom[N application rate (kg/ha)]</f>
        <v>7.75</v>
      </c>
      <c r="P50" s="29" cm="1">
        <f t="array" ref="P50:P52">Table_Input_InorganicFertiliser_Custom[Application area (ha)]</f>
        <v>100</v>
      </c>
      <c r="Q50" s="29">
        <f t="shared" si="2"/>
        <v>775</v>
      </c>
      <c r="R50" s="29" cm="1">
        <f t="array" ref="R50">IF(O50&gt;0, Fertiliser_Equations_InorganicN2O.VEERG_5_1_1_2__1_EmissionFactorIrrigatedMaize(O50), 0)</f>
        <v>-1.00125E-3</v>
      </c>
      <c r="S50" s="29" cm="1">
        <f t="array" ref="S50">IF(O50&gt;0, Fertiliser_Equations_InorganicN2O.VEERG_5_1_1_2__2_EmissionFactorNonIrrigatedGrainsHighRainfall(O50), 0)</f>
        <v>1.36225E-3</v>
      </c>
      <c r="T50" s="29">
        <f t="shared" si="0"/>
        <v>7.75</v>
      </c>
      <c r="U50" s="29">
        <f t="shared" si="1"/>
        <v>775</v>
      </c>
      <c r="V50" s="29" cm="1">
        <f t="array" ref="V50">IF(O50&gt;0, Fertiliser_Equations_InorganicN2O.VEERG_5_1_1_2__3_EmissionFactorCotton(T50), 0)</f>
        <v>2.9029995329592254E-5</v>
      </c>
      <c r="W50" s="2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65" t="str">
        <v>C_N2O</v>
      </c>
      <c r="E51" s="66" t="str">
        <v>factor to convert elemental mass of nitrous oxide to molecular mass</v>
      </c>
      <c r="F51" s="120"/>
      <c r="G51" s="65" t="str">
        <v/>
      </c>
      <c r="H51" s="55" t="str">
        <v>Constant</v>
      </c>
      <c r="I51" s="65">
        <f>Common_InputFunctions.Utility_LookupValueInTableNumber("N2O",Table_GasToMolecularConversionFactor[Gas],Table_GasToMolecularConversionFactor[Conversion factor combined])</f>
        <v>1.5714285714285714</v>
      </c>
      <c r="M51" s="29" t="s">
        <v>374</v>
      </c>
      <c r="N51" s="29" t="str">
        <v>My second custom blend</v>
      </c>
      <c r="O51" s="29">
        <v>46</v>
      </c>
      <c r="P51" s="29">
        <v>100</v>
      </c>
      <c r="Q51" s="29">
        <f t="shared" si="2"/>
        <v>4600</v>
      </c>
      <c r="R51" s="29" cm="1">
        <f t="array" ref="R51">IF(O51&gt;0, Fertiliser_Equations_InorganicN2O.VEERG_5_1_1_2__1_EmissionFactorIrrigatedMaize(O51), 0)</f>
        <v>1.3320000000000001E-3</v>
      </c>
      <c r="S51" s="29" cm="1">
        <f t="array" ref="S51">IF(O51&gt;0, Fertiliser_Equations_InorganicN2O.VEERG_5_1_1_2__2_EmissionFactorNonIrrigatedGrainsHighRainfall(O51), 0)</f>
        <v>4.2309999999999995E-3</v>
      </c>
      <c r="T51" s="29">
        <f t="shared" si="0"/>
        <v>46</v>
      </c>
      <c r="U51" s="29">
        <f t="shared" si="1"/>
        <v>4600</v>
      </c>
      <c r="V51" s="29" cm="1">
        <f t="array" ref="V51">IF(O51&gt;0, Fertiliser_Equations_InorganicN2O.VEERG_5_1_1_2__3_EmissionFactorCotton(T51), 0)</f>
        <v>2.9068248573243379E-5</v>
      </c>
      <c r="W51" s="2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65" t="str">
        <v>j</v>
      </c>
      <c r="E52" s="66" t="str">
        <v>Production system</v>
      </c>
      <c r="F52" s="120"/>
      <c r="G52" s="65" t="str">
        <v/>
      </c>
      <c r="H52" s="54" t="str">
        <v>Input</v>
      </c>
      <c r="I52" s="65" t="str">
        <f>X_Cell_Fertiliser_ProductionSystem</f>
        <v>Crop</v>
      </c>
      <c r="M52" s="29" t="s">
        <v>374</v>
      </c>
      <c r="N52" s="29" t="str">
        <v>My third custom blend</v>
      </c>
      <c r="O52" s="29">
        <v>41.174999999999997</v>
      </c>
      <c r="P52" s="29">
        <v>100</v>
      </c>
      <c r="Q52" s="29">
        <f t="shared" si="2"/>
        <v>4117.5</v>
      </c>
      <c r="R52" s="29" cm="1">
        <f t="array" ref="R52">IF(O52&gt;0, Fertiliser_Equations_InorganicN2O.VEERG_5_1_1_2__1_EmissionFactorIrrigatedMaize(O52), 0)</f>
        <v>1.0376749999999998E-3</v>
      </c>
      <c r="S52" s="29" cm="1">
        <f t="array" ref="S52">IF(O52&gt;0, Fertiliser_Equations_InorganicN2O.VEERG_5_1_1_2__2_EmissionFactorNonIrrigatedGrainsHighRainfall(O52), 0)</f>
        <v>3.8691250000000002E-3</v>
      </c>
      <c r="T52" s="29">
        <f t="shared" si="0"/>
        <v>41.174999999999997</v>
      </c>
      <c r="U52" s="29">
        <f t="shared" si="1"/>
        <v>4117.5</v>
      </c>
      <c r="V52" s="29" cm="1">
        <f t="array" ref="V52">IF(O52&gt;0, Fertiliser_Equations_InorganicN2O.VEERG_5_1_1_2__3_EmissionFactorCotton(T52), 0)</f>
        <v>2.9061000580963132E-5</v>
      </c>
      <c r="W52" s="2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65" t="str">
        <v>f</v>
      </c>
      <c r="E53" s="66" t="str">
        <v>Inorganic fertiliser type</v>
      </c>
      <c r="F53" s="120"/>
      <c r="G53" s="65" t="str">
        <v/>
      </c>
      <c r="H53" s="55" t="str">
        <v>Constant</v>
      </c>
      <c r="I53" s="65" t="str">
        <f>"See " &amp; D57</f>
        <v>See M1_Table_E_N2O</v>
      </c>
      <c r="M53" s="29" t="s">
        <v>374</v>
      </c>
      <c r="N53" s="29"/>
      <c r="O53" s="29"/>
      <c r="P53" s="29"/>
      <c r="Q53" s="29">
        <f t="shared" si="2"/>
        <v>0</v>
      </c>
      <c r="R53" s="29" cm="1">
        <f t="array" ref="R53">IF(O53&gt;0, Fertiliser_Equations_InorganicN2O.VEERG_5_1_1_2__1_EmissionFactorIrrigatedMaize(O53), 0)</f>
        <v>0</v>
      </c>
      <c r="S53" s="29" cm="1">
        <f t="array" ref="S53">IF(O53&gt;0, Fertiliser_Equations_InorganicN2O.VEERG_5_1_1_2__2_EmissionFactorNonIrrigatedGrainsHighRainfall(O53), 0)</f>
        <v>0</v>
      </c>
      <c r="T53" s="29">
        <f t="shared" si="0"/>
        <v>0</v>
      </c>
      <c r="U53" s="29">
        <f t="shared" si="1"/>
        <v>0</v>
      </c>
      <c r="V53" s="29" cm="1">
        <f t="array" ref="V53">IF(O53&gt;0, Fertiliser_Equations_InorganicN2O.VEERG_5_1_1_2__3_EmissionFactorCotton(T53), 0)</f>
        <v>0</v>
      </c>
      <c r="W53" s="2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65" t="str">
        <v>ir</v>
      </c>
      <c r="E54" s="66" t="str">
        <v>irrigation method</v>
      </c>
      <c r="F54" s="120"/>
      <c r="G54" s="65" t="str">
        <v/>
      </c>
      <c r="H54" s="54" t="str">
        <v>Input</v>
      </c>
      <c r="I54" s="65" t="str">
        <f>X_Cell_Fertiliser_IrrigationMethod</f>
        <v>Sprinkler irrigation</v>
      </c>
      <c r="M54" s="29" t="s">
        <v>374</v>
      </c>
      <c r="N54" s="29"/>
      <c r="O54" s="29"/>
      <c r="P54" s="29"/>
      <c r="Q54" s="29">
        <f t="shared" si="2"/>
        <v>0</v>
      </c>
      <c r="R54" s="29" cm="1">
        <f t="array" ref="R54">IF(O54&gt;0, Fertiliser_Equations_InorganicN2O.VEERG_5_1_1_2__1_EmissionFactorIrrigatedMaize(O54), 0)</f>
        <v>0</v>
      </c>
      <c r="S54" s="29" cm="1">
        <f t="array" ref="S54">IF(O54&gt;0, Fertiliser_Equations_InorganicN2O.VEERG_5_1_1_2__2_EmissionFactorNonIrrigatedGrainsHighRainfall(O54), 0)</f>
        <v>0</v>
      </c>
      <c r="T54" s="29">
        <f t="shared" si="0"/>
        <v>0</v>
      </c>
      <c r="U54" s="29">
        <f t="shared" si="1"/>
        <v>0</v>
      </c>
      <c r="V54" s="29" cm="1">
        <f t="array" ref="V54">IF(O54&gt;0, Fertiliser_Equations_InorganicN2O.VEERG_5_1_1_2__3_EmissionFactorCotton(T54), 0)</f>
        <v>0</v>
      </c>
      <c r="W54" s="2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65" t="str">
        <v>z</v>
      </c>
      <c r="E55" s="66" t="str">
        <v>rainfall zone</v>
      </c>
      <c r="F55" s="120"/>
      <c r="G55" s="65" t="str">
        <v/>
      </c>
      <c r="H55" s="54" t="str">
        <v>Input</v>
      </c>
      <c r="I55" s="65" t="str">
        <f>X_Cell_Site_RainfallZone</f>
        <v>High rainfall</v>
      </c>
    </row>
    <row r="56" spans="4:24" ht="20.100000000000001" customHeight="1" x14ac:dyDescent="0.25">
      <c r="F56" s="32"/>
    </row>
    <row r="57" spans="4:24" ht="20.100000000000001" customHeight="1" x14ac:dyDescent="0.25">
      <c r="D57" s="57" t="s">
        <v>375</v>
      </c>
      <c r="F57" s="32"/>
      <c r="L57" s="61"/>
      <c r="M57" s="61"/>
      <c r="N57" s="61"/>
      <c r="O57" s="61"/>
      <c r="P57" s="61"/>
      <c r="Q57" s="61"/>
      <c r="R57" s="61"/>
      <c r="S57" s="61"/>
      <c r="T57" s="61"/>
      <c r="U57" s="61"/>
      <c r="V57" s="61"/>
      <c r="W57" s="61"/>
      <c r="X57" s="61"/>
    </row>
    <row r="58" spans="4:24" ht="20.100000000000001" customHeight="1" x14ac:dyDescent="0.25">
      <c r="D58" s="58" t="s">
        <v>376</v>
      </c>
      <c r="F58" s="32"/>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59" t="s">
        <v>355</v>
      </c>
      <c r="E59" s="59" t="s">
        <v>377</v>
      </c>
      <c r="M59" s="46" t="str" cm="1">
        <f t="array" ref="M59">Fertiliser_Equations_InorganicN2O.VEERG_5_1_1_1__1_InorganicFertiliserApplicationN2OEmissions_Source()</f>
        <v>VEERG 2026: 5.1.1.1, Equation (1)</v>
      </c>
    </row>
    <row r="60" spans="4:24" ht="20.100000000000001" customHeight="1" x14ac:dyDescent="0.25">
      <c r="D60" s="29" t="str" cm="1">
        <f t="array" ref="D60:D78">Table_Fertiliser_ChemicalCompounds[Fertiliser type f]</f>
        <v>Monoammonium phosphate (MAP)</v>
      </c>
      <c r="E60" s="29" cm="1">
        <f t="array" ref="E60">Fertiliser_Equations_InorganicN2O.VEERG_5_1_1_1__1_InorganicFertiliserApplicationN2OEmissions(G19,$I$50,$I$51)</f>
        <v>0</v>
      </c>
      <c r="F60" s="32" t="str">
        <f>E47</f>
        <v>t N2O</v>
      </c>
      <c r="M60" s="47" t="s">
        <v>77</v>
      </c>
      <c r="N60" s="47" t="str" cm="1">
        <f t="array" aca="1" ref="N60" ca="1">Common_InputFunctions.Utility_DisplayFunctionName($E$60)</f>
        <v>=Fertiliser_Equations_InorganicN2O.VEERG_5_1_1_1__1_InorganicFertiliserApplicationN2OEmissions</v>
      </c>
    </row>
    <row r="61" spans="4:24" ht="20.100000000000001" customHeight="1" x14ac:dyDescent="0.25">
      <c r="D61" s="29" t="str">
        <v>Diammonium phosphate (DAP)</v>
      </c>
      <c r="E61" s="29" cm="1">
        <f t="array" ref="E61">Fertiliser_Equations_InorganicN2O.VEERG_5_1_1_1__1_InorganicFertiliserApplicationN2OEmissions(G20,$I$50,$I$51)</f>
        <v>0</v>
      </c>
    </row>
    <row r="62" spans="4:24" ht="20.100000000000001" customHeight="1" x14ac:dyDescent="0.25">
      <c r="D62" s="29" t="str">
        <v>Urea</v>
      </c>
      <c r="E62" s="29" cm="1">
        <f t="array" ref="E62">Fertiliser_Equations_InorganicN2O.VEERG_5_1_1_1__1_InorganicFertiliserApplicationN2OEmissions(G21,$I$50,$I$51)</f>
        <v>5.0599999999999999E-2</v>
      </c>
    </row>
    <row r="63" spans="4:24" ht="20.100000000000001" customHeight="1" x14ac:dyDescent="0.25">
      <c r="D63" s="29" t="str">
        <v>Sulphate of ammonia (SOA)</v>
      </c>
      <c r="E63" s="29" cm="1">
        <f t="array" ref="E63">Fertiliser_Equations_InorganicN2O.VEERG_5_1_1_1__1_InorganicFertiliserApplicationN2OEmissions(G22,$I$50,$I$51)</f>
        <v>0</v>
      </c>
    </row>
    <row r="64" spans="4:24" ht="20.100000000000001" customHeight="1" x14ac:dyDescent="0.25">
      <c r="D64" s="29" t="str">
        <v>Urea-ammonium nitrate (UAN)</v>
      </c>
      <c r="E64" s="29" cm="1">
        <f t="array" ref="E64">Fertiliser_Equations_InorganicN2O.VEERG_5_1_1_1__1_InorganicFertiliserApplicationN2OEmissions(G23,$I$50,$I$51)</f>
        <v>0</v>
      </c>
      <c r="M64" s="48" t="s">
        <v>79</v>
      </c>
      <c r="N64" s="1" t="str" cm="1">
        <f t="array" ref="N64">Fertiliser_Equations_InorganicN2O.VEERG_5_1_1_1__1_InorganicFertiliserApplicationN2OEmissions_Variable()</f>
        <v>E_N2O</v>
      </c>
    </row>
    <row r="65" spans="4:19" ht="20.100000000000001" customHeight="1" x14ac:dyDescent="0.25">
      <c r="D65" s="29" t="str">
        <v>Ammonium nitrate (AN)</v>
      </c>
      <c r="E65" s="29" cm="1">
        <f t="array" ref="E65">Fertiliser_Equations_InorganicN2O.VEERG_5_1_1_1__1_InorganicFertiliserApplicationN2OEmissions(G24,$I$50,$I$51)</f>
        <v>0</v>
      </c>
      <c r="M65" s="48" t="s">
        <v>80</v>
      </c>
      <c r="N65" s="17" t="str" cm="1">
        <f t="array" ref="N65">Fertiliser_Equations_InorganicN2O.VEERG_5_1_1_1__1_InorganicFertiliserApplicationN2OEmissions_Unit()</f>
        <v>t N2O</v>
      </c>
    </row>
    <row r="66" spans="4:19" ht="20.100000000000001" customHeight="1" x14ac:dyDescent="0.25">
      <c r="D66" s="29" t="str">
        <v>Calcium ammonium nitrate (CAN)</v>
      </c>
      <c r="E66" s="29" cm="1">
        <f t="array" ref="E66">Fertiliser_Equations_InorganicN2O.VEERG_5_1_1_1__1_InorganicFertiliserApplicationN2OEmissions(G25,$I$50,$I$51)</f>
        <v>0</v>
      </c>
    </row>
    <row r="67" spans="4:19" ht="20.100000000000001" customHeight="1" x14ac:dyDescent="0.25">
      <c r="D67" s="29" t="str">
        <v>Nitrogen - Ammoniacal</v>
      </c>
      <c r="E67" s="29" cm="1">
        <f t="array" ref="E67">Fertiliser_Equations_InorganicN2O.VEERG_5_1_1_1__1_InorganicFertiliserApplicationN2OEmissions(G26,$I$50,$I$51)</f>
        <v>0</v>
      </c>
      <c r="M67" s="65" t="str" cm="1">
        <f t="array" ref="M67:N74">_xlfn.CHOOSECOLS(Fertiliser_Equations_InorganicN2O.VEERG_5_1_1_1__1_InorganicFertiliserApplicationN2OEmissions_Arguments_Method2(), 1, 2)</f>
        <v>MN_jf</v>
      </c>
      <c r="N67" s="66" t="str">
        <v>mass of nitrogen in inorganic fertiliser type f applied to production system j</v>
      </c>
      <c r="O67" s="120"/>
      <c r="P67" s="123"/>
      <c r="Q67" s="65" t="str" cm="1">
        <f t="array" ref="Q67:R74">_xlfn.CHOOSECOLS(Fertiliser_Equations_InorganicN2O.VEERG_5_1_1_1__1_InorganicFertiliserApplicationN2OEmissions_Arguments_Method2(), 3,4)</f>
        <v>kg N</v>
      </c>
      <c r="R67" s="55" t="str">
        <v>Calculated from 5.1.1.1 (2)</v>
      </c>
      <c r="S67" s="56" t="str" cm="1">
        <f t="array" aca="1" ref="S67" ca="1">HYPERLINK(Common_InputFunctions.Utility_SourceHyperlink(M41), M41)</f>
        <v>M2_Table_FertApplications</v>
      </c>
    </row>
    <row r="68" spans="4:19" ht="20.100000000000001" customHeight="1" x14ac:dyDescent="0.25">
      <c r="D68" s="29" t="str">
        <v>Nitrogen - Nitrate</v>
      </c>
      <c r="E68" s="29" cm="1">
        <f t="array" ref="E68">Fertiliser_Equations_InorganicN2O.VEERG_5_1_1_1__1_InorganicFertiliserApplicationN2OEmissions(G27,$I$50,$I$51)</f>
        <v>2.1779999999999997E-2</v>
      </c>
      <c r="M68" s="65" t="str">
        <v>EF_jN2O</v>
      </c>
      <c r="N68" s="66" t="str">
        <v>emission factor for nitrous oxide for inorganic fertilisers</v>
      </c>
      <c r="O68" s="120"/>
      <c r="P68" s="123"/>
      <c r="Q68" s="65" t="str">
        <v>kg N2O-N/kg N applied</v>
      </c>
      <c r="R68" s="55" t="str">
        <v>Calculated from 5.1.1.2 (1)(2)(3)</v>
      </c>
      <c r="S68" s="65" t="str" cm="1">
        <f t="array" ref="S68">_xlfn.IFS(
  AND(S70="crop", S71="grains", S73="not irrigated", S74="high rainfall"), $S$44,
  AND(S70="Crop", S71="maize", S73&lt;&gt;"not irrigated"), $R$44,
  AND(S70="Crop", S71="cotton"), $V$44,
  TRUE, $W$44
)</f>
        <v>EF_jN2O</v>
      </c>
    </row>
    <row r="69" spans="4:19" ht="20.100000000000001" customHeight="1" x14ac:dyDescent="0.25">
      <c r="D69" s="29" t="str">
        <v>Nitrogen - Generic</v>
      </c>
      <c r="E69" s="29" cm="1">
        <f t="array" ref="E69">Fertiliser_Equations_InorganicN2O.VEERG_5_1_1_1__1_InorganicFertiliserApplicationN2OEmissions(G28,$I$50,$I$51)</f>
        <v>1.6909200000000003E-2</v>
      </c>
      <c r="M69" s="65" t="str">
        <v>C_N2O</v>
      </c>
      <c r="N69" s="66" t="str">
        <v>factor to convert elemental mass of nitrous oxide to molecular mass</v>
      </c>
      <c r="O69" s="120"/>
      <c r="P69" s="123"/>
      <c r="Q69" s="65" t="str">
        <v/>
      </c>
      <c r="R69" s="55" t="str">
        <v>Constant</v>
      </c>
      <c r="S69" s="65">
        <f>Common_InputFunctions.Utility_LookupValueInTableNumber("N2O",Table_GasToMolecularConversionFactor[Gas],Table_GasToMolecularConversionFactor[Conversion factor combined])</f>
        <v>1.5714285714285714</v>
      </c>
    </row>
    <row r="70" spans="4:19" ht="20.100000000000001" customHeight="1" x14ac:dyDescent="0.25">
      <c r="D70" s="29" t="str">
        <v>Phosphorus - Generic</v>
      </c>
      <c r="E70" s="29" cm="1">
        <f t="array" ref="E70">Fertiliser_Equations_InorganicN2O.VEERG_5_1_1_1__1_InorganicFertiliserApplicationN2OEmissions(G29,$I$50,$I$51)</f>
        <v>0</v>
      </c>
      <c r="M70" s="65" t="str">
        <v>j</v>
      </c>
      <c r="N70" s="66" t="str">
        <v>Production system</v>
      </c>
      <c r="O70" s="120"/>
      <c r="P70" s="123"/>
      <c r="Q70" s="65" t="str">
        <v/>
      </c>
      <c r="R70" s="54" t="str">
        <v>Input</v>
      </c>
      <c r="S70" s="65" t="str">
        <f>X_Cell_Fertiliser_ProductionSystem</f>
        <v>Crop</v>
      </c>
    </row>
    <row r="71" spans="4:19" ht="20.100000000000001" customHeight="1" x14ac:dyDescent="0.25">
      <c r="D71" s="29" t="str">
        <v>Potassium - Generic</v>
      </c>
      <c r="E71" s="29" cm="1">
        <f t="array" ref="E71">Fertiliser_Equations_InorganicN2O.VEERG_5_1_1_1__1_InorganicFertiliserApplicationN2OEmissions(G30,$I$50,$I$51)</f>
        <v>0</v>
      </c>
      <c r="M71" s="65" t="str">
        <v>c</v>
      </c>
      <c r="N71" s="66" t="str">
        <v>Crop type</v>
      </c>
      <c r="O71" s="120"/>
      <c r="P71" s="123"/>
      <c r="Q71" s="65" t="str">
        <v/>
      </c>
      <c r="R71" s="54" t="str">
        <v>Input</v>
      </c>
      <c r="S71" s="65" t="str">
        <f>X_Cell_Fertiliser_CropType</f>
        <v>Grains</v>
      </c>
    </row>
    <row r="72" spans="4:19" ht="20.100000000000001" customHeight="1" x14ac:dyDescent="0.25">
      <c r="D72" s="29" t="str">
        <v>Sulfur - Generic</v>
      </c>
      <c r="E72" s="29" cm="1">
        <f t="array" ref="E72">Fertiliser_Equations_InorganicN2O.VEERG_5_1_1_1__1_InorganicFertiliserApplicationN2OEmissions(G31,$I$50,$I$51)</f>
        <v>0</v>
      </c>
      <c r="M72" s="65" t="str">
        <v>f</v>
      </c>
      <c r="N72" s="66" t="str">
        <v>Inorganic fertiliser type</v>
      </c>
      <c r="O72" s="120"/>
      <c r="P72" s="123"/>
      <c r="Q72" s="65" t="str">
        <v/>
      </c>
      <c r="R72" s="55" t="str">
        <v>Constant</v>
      </c>
      <c r="S72" s="65" t="s">
        <v>378</v>
      </c>
    </row>
    <row r="73" spans="4:19" ht="20.100000000000001" customHeight="1" x14ac:dyDescent="0.25">
      <c r="D73" s="29" t="str">
        <v>Zinc - Generic</v>
      </c>
      <c r="E73" s="29" cm="1">
        <f t="array" ref="E73">Fertiliser_Equations_InorganicN2O.VEERG_5_1_1_1__1_InorganicFertiliserApplicationN2OEmissions(G32,$I$50,$I$51)</f>
        <v>0</v>
      </c>
      <c r="M73" s="65" t="str">
        <v>ir</v>
      </c>
      <c r="N73" s="66" t="str">
        <v>irrigation method</v>
      </c>
      <c r="O73" s="120"/>
      <c r="P73" s="123"/>
      <c r="Q73" s="65" t="str">
        <v/>
      </c>
      <c r="R73" s="54" t="str">
        <v>Input</v>
      </c>
      <c r="S73" s="65" t="str">
        <f>X_Cell_Fertiliser_IrrigationMethod</f>
        <v>Sprinkler irrigation</v>
      </c>
    </row>
    <row r="74" spans="4:19" ht="20.100000000000001" customHeight="1" x14ac:dyDescent="0.25">
      <c r="D74" s="29" t="str">
        <v>Muriate of potash (MOP)</v>
      </c>
      <c r="E74" s="29" cm="1">
        <f t="array" ref="E74">Fertiliser_Equations_InorganicN2O.VEERG_5_1_1_1__1_InorganicFertiliserApplicationN2OEmissions(G33,$I$50,$I$51)</f>
        <v>0</v>
      </c>
      <c r="M74" s="66" t="str">
        <v>z</v>
      </c>
      <c r="N74" s="66" t="str">
        <v>rainfall zone</v>
      </c>
      <c r="O74" s="120"/>
      <c r="P74" s="120"/>
      <c r="Q74" s="65" t="str">
        <v/>
      </c>
      <c r="R74" s="54" t="str">
        <v>Input</v>
      </c>
      <c r="S74" s="65" t="str">
        <f>X_Cell_Site_RainfallZone</f>
        <v>High rainfall</v>
      </c>
    </row>
    <row r="75" spans="4:19" ht="20.100000000000001" customHeight="1" x14ac:dyDescent="0.25">
      <c r="D75" s="29" t="str">
        <v>Double superphosphate</v>
      </c>
      <c r="E75" s="29" cm="1">
        <f t="array" ref="E75">Fertiliser_Equations_InorganicN2O.VEERG_5_1_1_1__1_InorganicFertiliserApplicationN2OEmissions(G34,$I$50,$I$51)</f>
        <v>0</v>
      </c>
    </row>
    <row r="76" spans="4:19" ht="20.100000000000001" customHeight="1" x14ac:dyDescent="0.25">
      <c r="D76" s="29" t="str">
        <v>Single superphosphate (SSP)</v>
      </c>
      <c r="E76" s="29" cm="1">
        <f t="array" ref="E76">Fertiliser_Equations_InorganicN2O.VEERG_5_1_1_1__1_InorganicFertiliserApplicationN2OEmissions(G35,$I$50,$I$51)</f>
        <v>0</v>
      </c>
      <c r="M76" s="59" t="s">
        <v>366</v>
      </c>
      <c r="N76" s="59" t="s">
        <v>366</v>
      </c>
      <c r="O76" s="59" t="s">
        <v>379</v>
      </c>
      <c r="P76" s="59" t="s">
        <v>377</v>
      </c>
    </row>
    <row r="77" spans="4:19" ht="20.100000000000001" customHeight="1" x14ac:dyDescent="0.25">
      <c r="D77" s="29" t="str">
        <v>Ammonia</v>
      </c>
      <c r="E77" s="29" cm="1">
        <f t="array" ref="E77">Fertiliser_Equations_InorganicN2O.VEERG_5_1_1_1__1_InorganicFertiliserApplicationN2OEmissions(G36,$I$50,$I$51)</f>
        <v>4.5292500000000006E-2</v>
      </c>
      <c r="M77" s="29" t="s">
        <v>373</v>
      </c>
      <c r="N77" s="29" t="str" cm="1">
        <f t="array" ref="N77:N81">Table_Input_InorganicFertiliser_Brands[Product (select)]</f>
        <v>Aqua Finish</v>
      </c>
      <c r="O77" s="29" cm="1">
        <f t="array" ref="O77">_xlfn.XLOOKUP(N77,$N$45:$N$54,_xlfn.XLOOKUP($S$68,$R$44:$W$44,$R$45:$W$54), "")</f>
        <v>7.0000000000000001E-3</v>
      </c>
      <c r="P77" s="29" cm="1">
        <f t="array" ref="P77">Fertiliser_Equations_InorganicN2O.VEERG_5_1_1_1__1_InorganicFertiliserApplicationN2OEmissions(Q45,O77,$S$69)</f>
        <v>3.6035999999999993E-3</v>
      </c>
    </row>
    <row r="78" spans="4:19" ht="20.100000000000001" customHeight="1" x14ac:dyDescent="0.25">
      <c r="D78" s="29" t="str">
        <v>Calcium nitrate</v>
      </c>
      <c r="E78" s="29" cm="1">
        <f t="array" ref="E78">Fertiliser_Equations_InorganicN2O.VEERG_5_1_1_1__1_InorganicFertiliserApplicationN2OEmissions(G37,$I$50,$I$51)</f>
        <v>8.5250000000000013E-3</v>
      </c>
      <c r="M78" s="29" t="s">
        <v>373</v>
      </c>
      <c r="N78" s="29" t="str">
        <v>CalPhos</v>
      </c>
      <c r="O78" s="29" cm="1">
        <f t="array" ref="O78">_xlfn.XLOOKUP(N78,$N$45:$N$54,_xlfn.XLOOKUP($S$68,$R$44:$W$44,$R$45:$W$54), FALSE)</f>
        <v>0</v>
      </c>
      <c r="P78" s="29" cm="1">
        <f t="array" ref="P78">Fertiliser_Equations_InorganicN2O.VEERG_5_1_1_1__1_InorganicFertiliserApplicationN2OEmissions(Q46,O78,$S$69)</f>
        <v>0</v>
      </c>
    </row>
    <row r="79" spans="4:19" ht="20.100000000000001" customHeight="1" x14ac:dyDescent="0.25">
      <c r="M79" s="29" t="s">
        <v>373</v>
      </c>
      <c r="N79" s="29" t="str">
        <v>CalPhos</v>
      </c>
      <c r="O79" s="29" cm="1">
        <f t="array" ref="O79">_xlfn.XLOOKUP(N79,$N$45:$N$54,_xlfn.XLOOKUP($S$68,$R$44:$W$44,$R$45:$W$54))</f>
        <v>0</v>
      </c>
      <c r="P79" s="29" cm="1">
        <f t="array" ref="P79">Fertiliser_Equations_InorganicN2O.VEERG_5_1_1_1__1_InorganicFertiliserApplicationN2OEmissions(Q47,O79,$S$69)</f>
        <v>0</v>
      </c>
    </row>
    <row r="80" spans="4:19" ht="20.100000000000001" customHeight="1" x14ac:dyDescent="0.25">
      <c r="D80" s="62" t="s">
        <v>380</v>
      </c>
      <c r="E80" s="63">
        <f>SUM(E60:E78)</f>
        <v>0.1431067</v>
      </c>
      <c r="F80" s="64" t="str">
        <f>$E$47</f>
        <v>t N2O</v>
      </c>
      <c r="M80" s="29" t="s">
        <v>373</v>
      </c>
      <c r="N80" s="29" t="str">
        <v>Aqua Grow</v>
      </c>
      <c r="O80" s="29" cm="1">
        <f t="array" ref="O80">_xlfn.XLOOKUP(N80,$N$45:$N$54,_xlfn.XLOOKUP($S$68,$R$44:$W$44,$R$45:$W$54))</f>
        <v>7.0000000000000001E-3</v>
      </c>
      <c r="P80" s="29" cm="1">
        <f t="array" ref="P80">Fertiliser_Equations_InorganicN2O.VEERG_5_1_1_1__1_InorganicFertiliserApplicationN2OEmissions(Q48,O80,$S$69)</f>
        <v>1.3305600000000001E-2</v>
      </c>
    </row>
    <row r="81" spans="4:16" ht="20.100000000000001" customHeight="1" x14ac:dyDescent="0.25">
      <c r="M81" s="29" t="s">
        <v>373</v>
      </c>
      <c r="N81" s="29" t="str">
        <v>Aqua NitroCal</v>
      </c>
      <c r="O81" s="29" cm="1">
        <f t="array" ref="O81">_xlfn.XLOOKUP(N81,$N$45:$N$54,_xlfn.XLOOKUP($S$68,$R$44:$W$44,$R$45:$W$54))</f>
        <v>7.0000000000000001E-3</v>
      </c>
      <c r="P81" s="29" cm="1">
        <f t="array" ref="P81">Fertiliser_Equations_InorganicN2O.VEERG_5_1_1_1__1_InorganicFertiliserApplicationN2OEmissions(Q49,O81,$S$69)</f>
        <v>2.1779999999999997E-2</v>
      </c>
    </row>
    <row r="82" spans="4:16" ht="20.100000000000001" customHeight="1" x14ac:dyDescent="0.25">
      <c r="D82" s="65" t="str" cm="1">
        <f t="array" ref="D82:E83">Common_Equations.Common_ConvertN2OToCO2e_Arguments()</f>
        <v>EN2O</v>
      </c>
      <c r="E82" s="66" t="str">
        <v>Nitrous oxide emissions (t N2O)</v>
      </c>
      <c r="F82" s="67"/>
      <c r="G82" s="29">
        <f>E80</f>
        <v>0.1431067</v>
      </c>
      <c r="M82" s="29" t="s">
        <v>374</v>
      </c>
      <c r="N82" s="29" t="str" cm="1">
        <f t="array" ref="N82:N84">Table_Input_InorganicFertiliser_Custom[Custom blend name]</f>
        <v>My first custom blend</v>
      </c>
      <c r="O82" s="29" cm="1">
        <f t="array" ref="O82">_xlfn.XLOOKUP(N82,$N$45:$N$54,_xlfn.XLOOKUP($S$68,$R$44:$W$44,$R$45:$W$54))</f>
        <v>7.0000000000000001E-3</v>
      </c>
      <c r="P82" s="29" cm="1">
        <f t="array" ref="P82">Fertiliser_Equations_InorganicN2O.VEERG_5_1_1_1__1_InorganicFertiliserApplicationN2OEmissions(Q50,O82,$S$69)</f>
        <v>8.5250000000000013E-3</v>
      </c>
    </row>
    <row r="83" spans="4:16" ht="20.100000000000001" customHeight="1" x14ac:dyDescent="0.25">
      <c r="D83" s="65" t="str">
        <v>GWPN2O</v>
      </c>
      <c r="E83" s="66" t="str">
        <v>Global warming potential for nitrous oxide (t CO2-e / t N2O)</v>
      </c>
      <c r="F83" s="67"/>
      <c r="G83" s="29">
        <f>Common_InputFunctions.Utility_LookupValueInTableNumber("N2O",Table_GWPData[Gas],Table_GWPData[CO2-e factor])</f>
        <v>265</v>
      </c>
      <c r="M83" s="29" t="s">
        <v>374</v>
      </c>
      <c r="N83" s="29" t="str">
        <v>My second custom blend</v>
      </c>
      <c r="O83" s="29" cm="1">
        <f t="array" ref="O83">_xlfn.XLOOKUP(N83,$N$45:$N$54,_xlfn.XLOOKUP($S$68,$R$44:$W$44,$R$45:$W$54))</f>
        <v>7.0000000000000001E-3</v>
      </c>
      <c r="P83" s="29" cm="1">
        <f t="array" ref="P83">Fertiliser_Equations_InorganicN2O.VEERG_5_1_1_1__1_InorganicFertiliserApplicationN2OEmissions(Q51,O83,$S$69)</f>
        <v>5.0599999999999999E-2</v>
      </c>
    </row>
    <row r="84" spans="4:16" ht="20.100000000000001" customHeight="1" x14ac:dyDescent="0.25">
      <c r="M84" s="29" t="s">
        <v>374</v>
      </c>
      <c r="N84" s="29" t="str">
        <v>My third custom blend</v>
      </c>
      <c r="O84" s="29" cm="1">
        <f t="array" ref="O84">_xlfn.XLOOKUP(N84,$N$45:$N$54,_xlfn.XLOOKUP($S$68,$R$44:$W$44,$R$45:$W$54))</f>
        <v>7.0000000000000001E-3</v>
      </c>
      <c r="P84" s="29" cm="1">
        <f t="array" ref="P84">Fertiliser_Equations_InorganicN2O.VEERG_5_1_1_1__1_InorganicFertiliserApplicationN2OEmissions(Q52,O84,$S$69)</f>
        <v>4.5292500000000006E-2</v>
      </c>
    </row>
    <row r="85" spans="4:16" ht="20.100000000000001" customHeight="1" x14ac:dyDescent="0.25">
      <c r="D85" s="61" t="s">
        <v>120</v>
      </c>
      <c r="E85" s="61" cm="1">
        <f t="array" ref="E85">Common_Equations.Common_ConvertN2OToCO2e(G82,G83)</f>
        <v>37.923275500000003</v>
      </c>
      <c r="F85" s="19" t="str" cm="1">
        <f t="array" ref="F85">Common_Equations.Common_ConvertN2OToCO2e_Unit()</f>
        <v>t CO2e</v>
      </c>
      <c r="M85" s="29" t="s">
        <v>374</v>
      </c>
      <c r="N85" s="29"/>
      <c r="O85" s="29" cm="1">
        <f t="array" ref="O85">_xlfn.XLOOKUP(N85,$N$45:$N$54,_xlfn.XLOOKUP($S$68,$R$44:$W$44,$R$45:$W$54))</f>
        <v>0</v>
      </c>
      <c r="P85" s="29" cm="1">
        <f t="array" ref="P85">Fertiliser_Equations_InorganicN2O.VEERG_5_1_1_1__1_InorganicFertiliserApplicationN2OEmissions(Q53,O85,$S$69)</f>
        <v>0</v>
      </c>
    </row>
    <row r="86" spans="4:16" ht="20.100000000000001" customHeight="1" x14ac:dyDescent="0.25">
      <c r="M86" s="29" t="s">
        <v>374</v>
      </c>
      <c r="N86" s="29"/>
      <c r="O86" s="29" cm="1">
        <f t="array" ref="O86">_xlfn.XLOOKUP(N86,$N$45:$N$54,_xlfn.XLOOKUP($S$68,$R$44:$W$44,$R$45:$W$54))</f>
        <v>0</v>
      </c>
      <c r="P86" s="2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62" t="s">
        <v>380</v>
      </c>
      <c r="N88" s="63">
        <f>SUM(P77:P86)</f>
        <v>0.1431067</v>
      </c>
      <c r="O88" s="64" t="str">
        <f>$E$47</f>
        <v>t N2O</v>
      </c>
    </row>
    <row r="89" spans="4:16" ht="20.100000000000001" customHeight="1" x14ac:dyDescent="0.25"/>
    <row r="90" spans="4:16" ht="20.100000000000001" customHeight="1" x14ac:dyDescent="0.25">
      <c r="M90" s="65" t="str" cm="1">
        <f t="array" ref="M90:N91">Common_Equations.Common_ConvertN2OToCO2e_Arguments()</f>
        <v>EN2O</v>
      </c>
      <c r="N90" s="66" t="str">
        <v>Nitrous oxide emissions (t N2O)</v>
      </c>
      <c r="O90" s="67"/>
      <c r="P90" s="29">
        <f>N88</f>
        <v>0.1431067</v>
      </c>
    </row>
    <row r="91" spans="4:16" ht="20.100000000000001" customHeight="1" x14ac:dyDescent="0.25">
      <c r="M91" s="65" t="str">
        <v>GWPN2O</v>
      </c>
      <c r="N91" s="66" t="str">
        <v>Global warming potential for nitrous oxide (t CO2-e / t N2O)</v>
      </c>
      <c r="O91" s="67"/>
      <c r="P91" s="29">
        <f>Common_InputFunctions.Utility_LookupValueInTableNumber("N2O",Table_GWPData[Gas],Table_GWPData[CO2-e factor])</f>
        <v>265</v>
      </c>
    </row>
    <row r="92" spans="4:16" ht="20.100000000000001" customHeight="1" x14ac:dyDescent="0.25"/>
    <row r="93" spans="4:16" ht="20.100000000000001" customHeight="1" x14ac:dyDescent="0.25">
      <c r="M93" s="61" t="s">
        <v>120</v>
      </c>
      <c r="N93" s="61" cm="1">
        <f t="array" ref="N93">Common_Equations.Common_ConvertN2OToCO2e(P90,P91)</f>
        <v>37.923275500000003</v>
      </c>
      <c r="O93" s="19"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37EA29D6-4067-46AC-86FD-695398F0198E}"/>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A773-14F3-4DCF-A7DE-EF5ECF76C622}">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381</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46" t="str" cm="1">
        <f t="array" ref="D6">Fertiliser_Equations_InorganicCO2.VEERG_5_1_1_3__2_MassOfUreaInInorganicFertiliser_Source()</f>
        <v>VEERG 2026: 5.1.1.3, Equation (2)</v>
      </c>
    </row>
    <row r="7" spans="1:21" ht="20.100000000000001" customHeight="1" x14ac:dyDescent="0.25">
      <c r="A7" s="7" t="s">
        <v>0</v>
      </c>
      <c r="D7" s="47" t="s">
        <v>77</v>
      </c>
      <c r="E7" s="47"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48" t="s">
        <v>79</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48" t="s">
        <v>80</v>
      </c>
      <c r="E11" s="17"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65" t="str" cm="1">
        <f t="array" ref="D13:E14">_xlfn.CHOOSECOLS(Fertiliser_Equations_InorganicCO2.VEERG_5_1_1_3__2_MassOfUreaInInorganicFertiliser_Arguments(), 1, 2)</f>
        <v>TM_jf</v>
      </c>
      <c r="E13" s="66" t="str">
        <v>total mass of inorganic fertiliser type f applied to production system j</v>
      </c>
      <c r="F13" s="123"/>
      <c r="G13" s="65" t="str" cm="1">
        <f t="array" ref="G13:H14">_xlfn.CHOOSECOLS(Fertiliser_Equations_InorganicCO2.VEERG_5_1_1_3__2_MassOfUreaInInorganicFertiliser_Arguments(), 3, 4)</f>
        <v>kg</v>
      </c>
      <c r="H13" s="54" t="str">
        <v>Input</v>
      </c>
      <c r="I13" s="56" t="str" cm="1">
        <f t="array" aca="1" ref="I13" ca="1">HYPERLINK(Common_InputFunctions.Utility_SourceHyperlink($D$16), $D$16)</f>
        <v>Table_MU_j_f</v>
      </c>
    </row>
    <row r="14" spans="1:21" ht="20.100000000000001" customHeight="1" x14ac:dyDescent="0.25">
      <c r="A14" s="5" t="str">
        <f>HYPERLINK("#'Input - Fuel'!A1", "Fuel")</f>
        <v>Fuel</v>
      </c>
      <c r="D14" s="65" t="str">
        <v>FU_f</v>
      </c>
      <c r="E14" s="66" t="str">
        <v>fraction of urea in fertiliser type f</v>
      </c>
      <c r="F14" s="123"/>
      <c r="G14" s="65" t="str">
        <v>kg urea/kg</v>
      </c>
      <c r="H14" s="55" t="str">
        <v>Lookup</v>
      </c>
      <c r="I14" s="56"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57" t="s">
        <v>382</v>
      </c>
    </row>
    <row r="17" spans="1:7" ht="20.100000000000001" customHeight="1" x14ac:dyDescent="0.25">
      <c r="D17" s="58" t="s">
        <v>383</v>
      </c>
    </row>
    <row r="18" spans="1:7" ht="20.100000000000001" customHeight="1" x14ac:dyDescent="0.25">
      <c r="A18" s="6" t="s">
        <v>3</v>
      </c>
      <c r="D18" s="59" t="s">
        <v>355</v>
      </c>
      <c r="E18" s="60" t="s">
        <v>356</v>
      </c>
      <c r="F18" s="59" t="s">
        <v>384</v>
      </c>
      <c r="G18" s="59" t="s">
        <v>385</v>
      </c>
    </row>
    <row r="19" spans="1:7" ht="20.100000000000001" customHeight="1" x14ac:dyDescent="0.25">
      <c r="A19" s="5" t="str">
        <f>HYPERLINK("#'3.2.1.1-2 Enteric Methane'!A1", "3.2.1.1-2 Enteric methane")</f>
        <v>3.2.1.1-2 Enteric methane</v>
      </c>
      <c r="D19" s="29" t="str" cm="1">
        <f t="array" ref="D19:D37">Table_Fertiliser_ChemicalCompounds[Fertiliser type f]</f>
        <v>Monoammonium phosphate (MAP)</v>
      </c>
      <c r="E19" s="2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9" cm="1">
        <f t="array" ref="F19">Common_InputFunctions.Utility_LookupValueInTableNumber(D19,Table_Fertiliser_ChemicalCompounds[Fertiliser type f],Table_Fertiliser_ChemicalCompounds[FU f])</f>
        <v>0</v>
      </c>
      <c r="G19" s="29"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9" t="str">
        <v>Diammonium phosphate (DAP)</v>
      </c>
      <c r="E20" s="2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9" cm="1">
        <f t="array" ref="F20">Common_InputFunctions.Utility_LookupValueInTableNumber(D20,Table_Fertiliser_ChemicalCompounds[Fertiliser type f],Table_Fertiliser_ChemicalCompounds[FU f])</f>
        <v>0</v>
      </c>
      <c r="G20" s="29"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9" t="str">
        <v>Urea</v>
      </c>
      <c r="E21" s="2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9" cm="1">
        <f t="array" ref="F21">Common_InputFunctions.Utility_LookupValueInTableNumber(D21,Table_Fertiliser_ChemicalCompounds[Fertiliser type f],Table_Fertiliser_ChemicalCompounds[FU f])</f>
        <v>1</v>
      </c>
      <c r="G21" s="29"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9" t="str">
        <v>Sulphate of ammonia (SOA)</v>
      </c>
      <c r="E22" s="2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9" cm="1">
        <f t="array" ref="F22">Common_InputFunctions.Utility_LookupValueInTableNumber(D22,Table_Fertiliser_ChemicalCompounds[Fertiliser type f],Table_Fertiliser_ChemicalCompounds[FU f])</f>
        <v>0</v>
      </c>
      <c r="G22" s="29"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9" t="str">
        <v>Urea-ammonium nitrate (UAN)</v>
      </c>
      <c r="E23" s="2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9" cm="1">
        <f t="array" ref="F23">Common_InputFunctions.Utility_LookupValueInTableNumber(D23,Table_Fertiliser_ChemicalCompounds[Fertiliser type f],Table_Fertiliser_ChemicalCompounds[FU f])</f>
        <v>0.35</v>
      </c>
      <c r="G23" s="29"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9" t="str">
        <v>Ammonium nitrate (AN)</v>
      </c>
      <c r="E24" s="2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9" cm="1">
        <f t="array" ref="F24">Common_InputFunctions.Utility_LookupValueInTableNumber(D24,Table_Fertiliser_ChemicalCompounds[Fertiliser type f],Table_Fertiliser_ChemicalCompounds[FU f])</f>
        <v>0</v>
      </c>
      <c r="G24" s="29" cm="1">
        <f t="array" ref="G24">Fertiliser_Equations_InorganicCO2.VEERG_5_1_1_3__2_MassOfUreaInInorganicFertiliser(E24,F24)</f>
        <v>0</v>
      </c>
    </row>
    <row r="25" spans="1:7" ht="20.100000000000001" customHeight="1" x14ac:dyDescent="0.25">
      <c r="A25" s="49" t="str">
        <f>HYPERLINK("#'5.1.1.3-4 Inorganic fert CO2'!A1", "5.1.1.3-4 Inorganic fert CO2")</f>
        <v>5.1.1.3-4 Inorganic fert CO2</v>
      </c>
      <c r="D25" s="29" t="str">
        <v>Calcium ammonium nitrate (CAN)</v>
      </c>
      <c r="E25" s="2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9" cm="1">
        <f t="array" ref="F25">Common_InputFunctions.Utility_LookupValueInTableNumber(D25,Table_Fertiliser_ChemicalCompounds[Fertiliser type f],Table_Fertiliser_ChemicalCompounds[FU f])</f>
        <v>0</v>
      </c>
      <c r="G25" s="29"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9" t="str">
        <v>Nitrogen - Ammoniacal</v>
      </c>
      <c r="E26" s="2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9" cm="1">
        <f t="array" ref="F26">Common_InputFunctions.Utility_LookupValueInTableNumber(D26,Table_Fertiliser_ChemicalCompounds[Fertiliser type f],Table_Fertiliser_ChemicalCompounds[FU f])</f>
        <v>0</v>
      </c>
      <c r="G26" s="29" cm="1">
        <f t="array" ref="G26">Fertiliser_Equations_InorganicCO2.VEERG_5_1_1_3__2_MassOfUreaInInorganicFertiliser(E26,F26)</f>
        <v>0</v>
      </c>
    </row>
    <row r="27" spans="1:7" ht="20.100000000000001" customHeight="1" x14ac:dyDescent="0.25">
      <c r="A27" s="5" t="str">
        <f>HYPERLINK("#'5.3.1.1-2 Lime CO2'!A1", "5.3.1.1-2 Lime CO2")</f>
        <v>5.3.1.1-2 Lime CO2</v>
      </c>
      <c r="D27" s="29" t="str">
        <v>Nitrogen - Nitrate</v>
      </c>
      <c r="E27" s="2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9" cm="1">
        <f t="array" ref="F27">Common_InputFunctions.Utility_LookupValueInTableNumber(D27,Table_Fertiliser_ChemicalCompounds[Fertiliser type f],Table_Fertiliser_ChemicalCompounds[FU f])</f>
        <v>0</v>
      </c>
      <c r="G27" s="29"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9" t="str">
        <v>Nitrogen - Generic</v>
      </c>
      <c r="E28" s="2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9" cm="1">
        <f t="array" ref="F28">Common_InputFunctions.Utility_LookupValueInTableNumber(D28,Table_Fertiliser_ChemicalCompounds[Fertiliser type f],Table_Fertiliser_ChemicalCompounds[FU f])</f>
        <v>0</v>
      </c>
      <c r="G28" s="29"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9" t="str">
        <v>Phosphorus - Generic</v>
      </c>
      <c r="E29" s="2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9" cm="1">
        <f t="array" ref="F29">Common_InputFunctions.Utility_LookupValueInTableNumber(D29,Table_Fertiliser_ChemicalCompounds[Fertiliser type f],Table_Fertiliser_ChemicalCompounds[FU f])</f>
        <v>0</v>
      </c>
      <c r="G29" s="29"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9" t="str">
        <v>Potassium - Generic</v>
      </c>
      <c r="E30" s="2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9" cm="1">
        <f t="array" ref="F30">Common_InputFunctions.Utility_LookupValueInTableNumber(D30,Table_Fertiliser_ChemicalCompounds[Fertiliser type f],Table_Fertiliser_ChemicalCompounds[FU f])</f>
        <v>0</v>
      </c>
      <c r="G30" s="29"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9" t="str">
        <v>Sulfur - Generic</v>
      </c>
      <c r="E31" s="2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9" cm="1">
        <f t="array" ref="F31">Common_InputFunctions.Utility_LookupValueInTableNumber(D31,Table_Fertiliser_ChemicalCompounds[Fertiliser type f],Table_Fertiliser_ChemicalCompounds[FU f])</f>
        <v>0</v>
      </c>
      <c r="G31" s="29"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9" t="str">
        <v>Zinc - Generic</v>
      </c>
      <c r="E32" s="2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9" cm="1">
        <f t="array" ref="F32">Common_InputFunctions.Utility_LookupValueInTableNumber(D32,Table_Fertiliser_ChemicalCompounds[Fertiliser type f],Table_Fertiliser_ChemicalCompounds[FU f])</f>
        <v>0</v>
      </c>
      <c r="G32" s="29"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9" t="str">
        <v>Muriate of potash (MOP)</v>
      </c>
      <c r="E33" s="2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9" cm="1">
        <f t="array" ref="F33">Common_InputFunctions.Utility_LookupValueInTableNumber(D33,Table_Fertiliser_ChemicalCompounds[Fertiliser type f],Table_Fertiliser_ChemicalCompounds[FU f])</f>
        <v>0</v>
      </c>
      <c r="G33" s="29"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9" t="str">
        <v>Double superphosphate</v>
      </c>
      <c r="E34" s="2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9" cm="1">
        <f t="array" ref="F34">Common_InputFunctions.Utility_LookupValueInTableNumber(D34,Table_Fertiliser_ChemicalCompounds[Fertiliser type f],Table_Fertiliser_ChemicalCompounds[FU f])</f>
        <v>0</v>
      </c>
      <c r="G34" s="29" cm="1">
        <f t="array" ref="G34">Fertiliser_Equations_InorganicCO2.VEERG_5_1_1_3__2_MassOfUreaInInorganicFertiliser(E34,F34)</f>
        <v>0</v>
      </c>
    </row>
    <row r="35" spans="1:12" ht="20.100000000000001" customHeight="1" x14ac:dyDescent="0.25">
      <c r="D35" s="29" t="str">
        <v>Single superphosphate (SSP)</v>
      </c>
      <c r="E35" s="2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9" cm="1">
        <f t="array" ref="F35">Common_InputFunctions.Utility_LookupValueInTableNumber(D35,Table_Fertiliser_ChemicalCompounds[Fertiliser type f],Table_Fertiliser_ChemicalCompounds[FU f])</f>
        <v>0</v>
      </c>
      <c r="G35" s="29" cm="1">
        <f t="array" ref="G35">Fertiliser_Equations_InorganicCO2.VEERG_5_1_1_3__2_MassOfUreaInInorganicFertiliser(E35,F35)</f>
        <v>0</v>
      </c>
    </row>
    <row r="36" spans="1:12" ht="20.100000000000001" customHeight="1" x14ac:dyDescent="0.25">
      <c r="D36" s="29" t="str">
        <v>Ammonia</v>
      </c>
      <c r="E36" s="2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9" cm="1">
        <f t="array" ref="F36">Common_InputFunctions.Utility_LookupValueInTableNumber(D36,Table_Fertiliser_ChemicalCompounds[Fertiliser type f],Table_Fertiliser_ChemicalCompounds[FU f])</f>
        <v>0</v>
      </c>
      <c r="G36" s="29" cm="1">
        <f t="array" ref="G36">Fertiliser_Equations_InorganicCO2.VEERG_5_1_1_3__2_MassOfUreaInInorganicFertiliser(E36,F36)</f>
        <v>0</v>
      </c>
    </row>
    <row r="37" spans="1:12" ht="20.100000000000001" customHeight="1" x14ac:dyDescent="0.25">
      <c r="A37" s="243" t="s">
        <v>1</v>
      </c>
      <c r="D37" s="29" t="str">
        <v>Calcium nitrate</v>
      </c>
      <c r="E37" s="2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9" cm="1">
        <f t="array" ref="F37">Common_InputFunctions.Utility_LookupValueInTableNumber(D37,Table_Fertiliser_ChemicalCompounds[Fertiliser type f],Table_Fertiliser_ChemicalCompounds[FU f])</f>
        <v>0</v>
      </c>
      <c r="G37" s="29"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c r="C40" s="61"/>
      <c r="D40" s="61"/>
      <c r="E40" s="61"/>
      <c r="F40" s="61"/>
      <c r="G40" s="61"/>
      <c r="H40" s="61"/>
      <c r="I40" s="61"/>
      <c r="J40" s="61"/>
      <c r="K40" s="61"/>
      <c r="L40" s="61"/>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46"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47" t="s">
        <v>77</v>
      </c>
      <c r="E43" s="47"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48" t="s">
        <v>79</v>
      </c>
      <c r="E46" s="1" t="str" cm="1">
        <f t="array" ref="E46">Fertiliser_Equations_InorganicCO2.VEERG_5_1_1_3__1_InorganicFertiliserApplicationCO2Emissions_Variable()</f>
        <v>E_CO2</v>
      </c>
    </row>
    <row r="47" spans="1:12" ht="20.100000000000001" customHeight="1" x14ac:dyDescent="0.25">
      <c r="D47" s="48" t="s">
        <v>80</v>
      </c>
      <c r="E47" s="17"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65" t="str" cm="1">
        <f t="array" ref="D49:E53">_xlfn.CHOOSECOLS(Fertiliser_Equations_InorganicCO2.VEERG_5_1_1_3__1_InorganicFertiliserApplicationCO2Emissions_Arguments(), 1, 2)</f>
        <v>MU_jf</v>
      </c>
      <c r="E49" s="66" t="str">
        <v>mass of urea of inorganic fertiliser type f applied to production system j</v>
      </c>
      <c r="F49" s="123"/>
      <c r="G49" s="65" t="str" cm="1">
        <f t="array" ref="G49:H53">_xlfn.CHOOSECOLS(Fertiliser_Equations_InorganicCO2.VEERG_5_1_1_3__1_InorganicFertiliserApplicationCO2Emissions_Arguments(), 3,4)</f>
        <v>kg urea</v>
      </c>
      <c r="H49" s="55" t="str">
        <v>Calculated</v>
      </c>
      <c r="I49" s="56" t="str" cm="1">
        <f t="array" aca="1" ref="I49" ca="1">HYPERLINK(Common_InputFunctions.Utility_SourceHyperlink($D$16), $D$16)</f>
        <v>Table_MU_j_f</v>
      </c>
    </row>
    <row r="50" spans="4:9" ht="20.100000000000001" customHeight="1" x14ac:dyDescent="0.25">
      <c r="D50" s="65" t="str">
        <v>EF_ureaCO2</v>
      </c>
      <c r="E50" s="66" t="str">
        <v>emission factor for carbon emissions from urea-based fertilisers</v>
      </c>
      <c r="F50" s="123"/>
      <c r="G50" s="65" t="str">
        <v>kg C/kg urea</v>
      </c>
      <c r="H50" s="55" t="str">
        <v>Constant</v>
      </c>
      <c r="I50" s="65">
        <f>'Constants - Fertiliser'!$E$60</f>
        <v>0.2</v>
      </c>
    </row>
    <row r="51" spans="4:9" ht="20.100000000000001" customHeight="1" x14ac:dyDescent="0.25">
      <c r="D51" s="65" t="str">
        <v>C_CO2</v>
      </c>
      <c r="E51" s="66" t="str">
        <v>factor to convert elemental mass of carbon to molecular mass of carbon dioxide</v>
      </c>
      <c r="F51" s="123"/>
      <c r="G51" s="65" t="str">
        <v/>
      </c>
      <c r="H51" s="55" t="str">
        <v>Constant</v>
      </c>
      <c r="I51" s="65">
        <f>Common_InputFunctions.Utility_LookupValueInTableNumber("CO2",Table_GasToMolecularConversionFactor[Gas], Table_GasToMolecularConversionFactor[Conversion factor combined])</f>
        <v>3.6666666666666665</v>
      </c>
    </row>
    <row r="52" spans="4:9" ht="20.100000000000001" customHeight="1" x14ac:dyDescent="0.25">
      <c r="D52" s="65" t="str">
        <v>j</v>
      </c>
      <c r="E52" s="66" t="str">
        <v>Production system</v>
      </c>
      <c r="F52" s="123"/>
      <c r="G52" s="65" t="str">
        <v/>
      </c>
      <c r="H52" s="54" t="str">
        <v>Input</v>
      </c>
      <c r="I52" s="65" t="str">
        <f>X_Cell_Fertiliser_ProductionSystem</f>
        <v>Crop</v>
      </c>
    </row>
    <row r="53" spans="4:9" ht="20.100000000000001" customHeight="1" x14ac:dyDescent="0.25">
      <c r="D53" s="65" t="str">
        <v>f</v>
      </c>
      <c r="E53" s="66" t="str">
        <v>Inorganic fertiliser type</v>
      </c>
      <c r="F53" s="123"/>
      <c r="G53" s="65" t="str">
        <v/>
      </c>
      <c r="H53" s="55" t="str">
        <v>Lookup</v>
      </c>
      <c r="I53" s="56" t="str" cm="1">
        <f t="array" aca="1" ref="I53" ca="1">HYPERLINK(Common_InputFunctions.Utility_SourceHyperlink($D$16), $D$16)</f>
        <v>Table_MU_j_f</v>
      </c>
    </row>
    <row r="54" spans="4:9" ht="20.100000000000001" customHeight="1" x14ac:dyDescent="0.25"/>
    <row r="55" spans="4:9" ht="20.100000000000001" customHeight="1" x14ac:dyDescent="0.25">
      <c r="D55" s="57" t="s">
        <v>386</v>
      </c>
    </row>
    <row r="56" spans="4:9" ht="20.100000000000001" customHeight="1" x14ac:dyDescent="0.25">
      <c r="D56" s="58" t="s">
        <v>387</v>
      </c>
    </row>
    <row r="57" spans="4:9" ht="20.100000000000001" customHeight="1" x14ac:dyDescent="0.25">
      <c r="D57" s="59" t="s">
        <v>355</v>
      </c>
      <c r="E57" s="59" t="s">
        <v>377</v>
      </c>
    </row>
    <row r="58" spans="4:9" ht="20.100000000000001" customHeight="1" x14ac:dyDescent="0.25">
      <c r="D58" s="29" t="str" cm="1">
        <f t="array" ref="D58:D76">Table_Fertiliser_ChemicalCompounds[Fertiliser type f]</f>
        <v>Monoammonium phosphate (MAP)</v>
      </c>
      <c r="E58" s="29" cm="1">
        <f t="array" ref="E58">Fertiliser_Equations_InorganicCO2.VEERG_5_1_1_3__1_InorganicFertiliserApplicationCO2Emissions(G19,$I$50,$I$51)</f>
        <v>0</v>
      </c>
      <c r="F58" s="32" t="str">
        <f>$E$47</f>
        <v>t CO2</v>
      </c>
    </row>
    <row r="59" spans="4:9" ht="20.100000000000001" customHeight="1" x14ac:dyDescent="0.25">
      <c r="D59" s="29" t="str">
        <v>Diammonium phosphate (DAP)</v>
      </c>
      <c r="E59" s="29" cm="1">
        <f t="array" ref="E59">Fertiliser_Equations_InorganicCO2.VEERG_5_1_1_3__1_InorganicFertiliserApplicationCO2Emissions(G20,$I$50,$I$51)</f>
        <v>0</v>
      </c>
    </row>
    <row r="60" spans="4:9" ht="20.100000000000001" customHeight="1" x14ac:dyDescent="0.25">
      <c r="D60" s="29" t="str">
        <v>Urea</v>
      </c>
      <c r="E60" s="29" cm="1">
        <f t="array" ref="E60">Fertiliser_Equations_InorganicCO2.VEERG_5_1_1_3__1_InorganicFertiliserApplicationCO2Emissions(G21,$I$50,$I$51)</f>
        <v>7.333333333333333</v>
      </c>
    </row>
    <row r="61" spans="4:9" ht="20.100000000000001" customHeight="1" x14ac:dyDescent="0.25">
      <c r="D61" s="29" t="str">
        <v>Sulphate of ammonia (SOA)</v>
      </c>
      <c r="E61" s="29" cm="1">
        <f t="array" ref="E61">Fertiliser_Equations_InorganicCO2.VEERG_5_1_1_3__1_InorganicFertiliserApplicationCO2Emissions(G22,$I$50,$I$51)</f>
        <v>0</v>
      </c>
    </row>
    <row r="62" spans="4:9" ht="20.100000000000001" customHeight="1" x14ac:dyDescent="0.25">
      <c r="D62" s="29" t="str">
        <v>Urea-ammonium nitrate (UAN)</v>
      </c>
      <c r="E62" s="29" cm="1">
        <f t="array" ref="E62">Fertiliser_Equations_InorganicCO2.VEERG_5_1_1_3__1_InorganicFertiliserApplicationCO2Emissions(G23,$I$50,$I$51)</f>
        <v>0</v>
      </c>
    </row>
    <row r="63" spans="4:9" ht="20.100000000000001" customHeight="1" x14ac:dyDescent="0.25">
      <c r="D63" s="29" t="str">
        <v>Ammonium nitrate (AN)</v>
      </c>
      <c r="E63" s="29" cm="1">
        <f t="array" ref="E63">Fertiliser_Equations_InorganicCO2.VEERG_5_1_1_3__1_InorganicFertiliserApplicationCO2Emissions(G24,$I$50,$I$51)</f>
        <v>0</v>
      </c>
    </row>
    <row r="64" spans="4:9" ht="20.100000000000001" customHeight="1" x14ac:dyDescent="0.25">
      <c r="D64" s="29" t="str">
        <v>Calcium ammonium nitrate (CAN)</v>
      </c>
      <c r="E64" s="29" cm="1">
        <f t="array" ref="E64">Fertiliser_Equations_InorganicCO2.VEERG_5_1_1_3__1_InorganicFertiliserApplicationCO2Emissions(G25,$I$50,$I$51)</f>
        <v>0</v>
      </c>
    </row>
    <row r="65" spans="4:6" ht="20.100000000000001" customHeight="1" x14ac:dyDescent="0.25">
      <c r="D65" s="29" t="str">
        <v>Nitrogen - Ammoniacal</v>
      </c>
      <c r="E65" s="29" cm="1">
        <f t="array" ref="E65">Fertiliser_Equations_InorganicCO2.VEERG_5_1_1_3__1_InorganicFertiliserApplicationCO2Emissions(G26,$I$50,$I$51)</f>
        <v>0</v>
      </c>
    </row>
    <row r="66" spans="4:6" ht="20.100000000000001" customHeight="1" x14ac:dyDescent="0.25">
      <c r="D66" s="29" t="str">
        <v>Nitrogen - Nitrate</v>
      </c>
      <c r="E66" s="29" cm="1">
        <f t="array" ref="E66">Fertiliser_Equations_InorganicCO2.VEERG_5_1_1_3__1_InorganicFertiliserApplicationCO2Emissions(G27,$I$50,$I$51)</f>
        <v>0</v>
      </c>
    </row>
    <row r="67" spans="4:6" ht="20.100000000000001" customHeight="1" x14ac:dyDescent="0.25">
      <c r="D67" s="29" t="str">
        <v>Nitrogen - Generic</v>
      </c>
      <c r="E67" s="29" cm="1">
        <f t="array" ref="E67">Fertiliser_Equations_InorganicCO2.VEERG_5_1_1_3__1_InorganicFertiliserApplicationCO2Emissions(G28,$I$50,$I$51)</f>
        <v>0</v>
      </c>
    </row>
    <row r="68" spans="4:6" ht="20.100000000000001" customHeight="1" x14ac:dyDescent="0.25">
      <c r="D68" s="29" t="str">
        <v>Phosphorus - Generic</v>
      </c>
      <c r="E68" s="29" cm="1">
        <f t="array" ref="E68">Fertiliser_Equations_InorganicCO2.VEERG_5_1_1_3__1_InorganicFertiliserApplicationCO2Emissions(G29,$I$50,$I$51)</f>
        <v>0</v>
      </c>
    </row>
    <row r="69" spans="4:6" ht="20.100000000000001" customHeight="1" x14ac:dyDescent="0.25">
      <c r="D69" s="29" t="str">
        <v>Potassium - Generic</v>
      </c>
      <c r="E69" s="29" cm="1">
        <f t="array" ref="E69">Fertiliser_Equations_InorganicCO2.VEERG_5_1_1_3__1_InorganicFertiliserApplicationCO2Emissions(G30,$I$50,$I$51)</f>
        <v>0</v>
      </c>
    </row>
    <row r="70" spans="4:6" ht="20.100000000000001" customHeight="1" x14ac:dyDescent="0.25">
      <c r="D70" s="29" t="str">
        <v>Sulfur - Generic</v>
      </c>
      <c r="E70" s="29" cm="1">
        <f t="array" ref="E70">Fertiliser_Equations_InorganicCO2.VEERG_5_1_1_3__1_InorganicFertiliserApplicationCO2Emissions(G31,$I$50,$I$51)</f>
        <v>0</v>
      </c>
    </row>
    <row r="71" spans="4:6" ht="20.100000000000001" customHeight="1" x14ac:dyDescent="0.25">
      <c r="D71" s="29" t="str">
        <v>Zinc - Generic</v>
      </c>
      <c r="E71" s="29" cm="1">
        <f t="array" ref="E71">Fertiliser_Equations_InorganicCO2.VEERG_5_1_1_3__1_InorganicFertiliserApplicationCO2Emissions(G32,$I$50,$I$51)</f>
        <v>0</v>
      </c>
    </row>
    <row r="72" spans="4:6" ht="20.100000000000001" customHeight="1" x14ac:dyDescent="0.25">
      <c r="D72" s="29" t="str">
        <v>Muriate of potash (MOP)</v>
      </c>
      <c r="E72" s="29" cm="1">
        <f t="array" ref="E72">Fertiliser_Equations_InorganicCO2.VEERG_5_1_1_3__1_InorganicFertiliserApplicationCO2Emissions(G33,$I$50,$I$51)</f>
        <v>0</v>
      </c>
    </row>
    <row r="73" spans="4:6" ht="20.100000000000001" customHeight="1" x14ac:dyDescent="0.25">
      <c r="D73" s="29" t="str">
        <v>Double superphosphate</v>
      </c>
      <c r="E73" s="29" cm="1">
        <f t="array" ref="E73">Fertiliser_Equations_InorganicCO2.VEERG_5_1_1_3__1_InorganicFertiliserApplicationCO2Emissions(G34,$I$50,$I$51)</f>
        <v>0</v>
      </c>
    </row>
    <row r="74" spans="4:6" ht="20.100000000000001" customHeight="1" x14ac:dyDescent="0.25">
      <c r="D74" s="29" t="str">
        <v>Single superphosphate (SSP)</v>
      </c>
      <c r="E74" s="29" cm="1">
        <f t="array" ref="E74">Fertiliser_Equations_InorganicCO2.VEERG_5_1_1_3__1_InorganicFertiliserApplicationCO2Emissions(G35,$I$50,$I$51)</f>
        <v>0</v>
      </c>
    </row>
    <row r="75" spans="4:6" ht="20.100000000000001" customHeight="1" x14ac:dyDescent="0.25">
      <c r="D75" s="29" t="str">
        <v>Ammonia</v>
      </c>
      <c r="E75" s="29" cm="1">
        <f t="array" ref="E75">Fertiliser_Equations_InorganicCO2.VEERG_5_1_1_3__1_InorganicFertiliserApplicationCO2Emissions(G36,$I$50,$I$51)</f>
        <v>0</v>
      </c>
    </row>
    <row r="76" spans="4:6" ht="20.100000000000001" customHeight="1" x14ac:dyDescent="0.25">
      <c r="D76" s="29" t="str">
        <v>Calcium nitrate</v>
      </c>
      <c r="E76" s="29" cm="1">
        <f t="array" ref="E76">Fertiliser_Equations_InorganicCO2.VEERG_5_1_1_3__1_InorganicFertiliserApplicationCO2Emissions(G37,$I$50,$I$51)</f>
        <v>0</v>
      </c>
    </row>
    <row r="77" spans="4:6" ht="20.100000000000001" customHeight="1" x14ac:dyDescent="0.25"/>
    <row r="78" spans="4:6" ht="20.100000000000001" customHeight="1" x14ac:dyDescent="0.25">
      <c r="D78" s="62" t="s">
        <v>388</v>
      </c>
      <c r="E78" s="63">
        <f>SUM(E58:E76)</f>
        <v>7.333333333333333</v>
      </c>
      <c r="F78" s="6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28619-FDC9-4E84-989B-AF6E4F3AF023}">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389</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46" t="str" cm="1">
        <f t="array" ref="D6">Fertiliser_Equations_OrganicN2O.VEERG_5_2_1_1__2_MassOfNitrogenInOrganicFertiliser_Source()</f>
        <v>VEERG 2026: 5.2.1.1, Equation (2)</v>
      </c>
    </row>
    <row r="7" spans="1:21" ht="20.100000000000001" customHeight="1" x14ac:dyDescent="0.25">
      <c r="A7" s="7" t="s">
        <v>0</v>
      </c>
      <c r="D7" s="47" t="s">
        <v>77</v>
      </c>
      <c r="E7" s="47"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48" t="s">
        <v>79</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48" t="s">
        <v>80</v>
      </c>
      <c r="E11" s="17"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65" t="str" cm="1">
        <f t="array" ref="D13:E15">_xlfn.CHOOSECOLS(Fertiliser_Equations_OrganicN2O.VEERG_5_2_1_1__2_MassOfNitrogenInOrganicFertiliser_Arguments(), 1, 2)</f>
        <v>M_organicjf</v>
      </c>
      <c r="E13" s="66" t="str">
        <v>mass of organic fertiliser type f applied to production system j</v>
      </c>
      <c r="F13" s="123"/>
      <c r="G13" s="50" t="str" cm="1">
        <f t="array" ref="G13:H15">_xlfn.CHOOSECOLS(Fertiliser_Equations_OrganicN2O.VEERG_5_2_1_1__2_MassOfNitrogenInOrganicFertiliser_Arguments(), 3,4)</f>
        <v>kg</v>
      </c>
      <c r="H13" s="54" t="str">
        <v>Input</v>
      </c>
      <c r="I13" s="56" t="str" cm="1">
        <f t="array" aca="1" ref="I13" ca="1">HYPERLINK(Common_InputFunctions.Utility_SourceHyperlink($D$17), $D$17)</f>
        <v>Table_MNSoil_j_f</v>
      </c>
    </row>
    <row r="14" spans="1:21" ht="20.100000000000001" customHeight="1" x14ac:dyDescent="0.25">
      <c r="A14" s="5" t="str">
        <f>HYPERLINK("#'Input - Fuel'!A1", "Fuel")</f>
        <v>Fuel</v>
      </c>
      <c r="D14" s="65" t="str">
        <v>FN_organicf</v>
      </c>
      <c r="E14" s="66" t="str">
        <v>nitrogen fraction of organic fertiliser type f</v>
      </c>
      <c r="F14" s="123"/>
      <c r="G14" s="50" t="str">
        <v>kg N/kg</v>
      </c>
      <c r="H14" s="54" t="str">
        <v>Input</v>
      </c>
      <c r="I14" s="56" t="str" cm="1">
        <f t="array" aca="1" ref="I14" ca="1">HYPERLINK(Common_InputFunctions.Utility_SourceHyperlink($D$17), $D$17)</f>
        <v>Table_MNSoil_j_f</v>
      </c>
    </row>
    <row r="15" spans="1:21" ht="20.100000000000001" customHeight="1" x14ac:dyDescent="0.25">
      <c r="A15" s="5" t="str">
        <f>HYPERLINK("#'Input - Electricity'!A1", "Electricity")</f>
        <v>Electricity</v>
      </c>
      <c r="D15" s="65" t="str">
        <v>f</v>
      </c>
      <c r="E15" s="66" t="str">
        <v>Organic fertiliser type</v>
      </c>
      <c r="F15" s="123"/>
      <c r="G15" s="50" t="str">
        <v/>
      </c>
      <c r="H15" s="54" t="str">
        <v>Input</v>
      </c>
      <c r="I15" s="56" t="str" cm="1">
        <f t="array" aca="1" ref="I15" ca="1">HYPERLINK(Common_InputFunctions.Utility_SourceHyperlink($D$17), $D$17)</f>
        <v>Table_MNSoil_j_f</v>
      </c>
    </row>
    <row r="16" spans="1:21" ht="20.100000000000001" customHeight="1" x14ac:dyDescent="0.25"/>
    <row r="17" spans="1:10" ht="20.100000000000001" customHeight="1" x14ac:dyDescent="0.25">
      <c r="D17" s="57" t="s">
        <v>390</v>
      </c>
    </row>
    <row r="18" spans="1:10" ht="20.100000000000001" customHeight="1" x14ac:dyDescent="0.25">
      <c r="A18" s="6" t="s">
        <v>3</v>
      </c>
      <c r="D18" s="58" t="s">
        <v>391</v>
      </c>
    </row>
    <row r="19" spans="1:10" ht="20.100000000000001" customHeight="1" x14ac:dyDescent="0.25">
      <c r="A19" s="5" t="str">
        <f>HYPERLINK("#'3.2.1.1-2 Enteric Methane'!A1", "3.2.1.1-2 Enteric methane")</f>
        <v>3.2.1.1-2 Enteric methane</v>
      </c>
      <c r="D19" s="60" t="s">
        <v>392</v>
      </c>
      <c r="E19" s="60" t="s">
        <v>393</v>
      </c>
      <c r="F19" s="60" t="s">
        <v>293</v>
      </c>
      <c r="G19" s="125" t="s">
        <v>394</v>
      </c>
      <c r="H19" s="125" t="s">
        <v>395</v>
      </c>
      <c r="I19" s="125" t="s">
        <v>396</v>
      </c>
    </row>
    <row r="20" spans="1:10" ht="20.100000000000001" customHeight="1" x14ac:dyDescent="0.25">
      <c r="A20" s="5" t="str">
        <f>HYPERLINK("#'4.2.1.1-2 Methane'!A1", "4.2.1.1-2 Manure methane")</f>
        <v>4.2.1.1-2 Manure methane</v>
      </c>
      <c r="D20" s="29" t="str" cm="1">
        <f t="array" ref="D20:D22">Table_Input_OrganicFertiliser[Organic fertiliser type (select)]</f>
        <v>Manure - Other</v>
      </c>
      <c r="E20" s="126" cm="1">
        <f t="array" ref="E20:E22">Table_Input_OrganicFertiliser[Amount applied (kg/hectare)]</f>
        <v>10</v>
      </c>
      <c r="F20" s="126" cm="1">
        <f t="array" ref="F20:F22">Table_Input_OrganicFertiliser[Application area (ha)]</f>
        <v>100</v>
      </c>
      <c r="G20" s="29" cm="1">
        <f t="array" ref="G20:G22">Table_Input_OrganicFertiliser[Amount applied (kg/hectare)]*Table_Input_OrganicFertiliser[Application area (ha)]</f>
        <v>1000</v>
      </c>
      <c r="H20" s="127" cm="1">
        <f t="array" ref="H20:H22">Table_Input_OrganicFertiliser[Percentage of N in fertiliser]</f>
        <v>0.3</v>
      </c>
      <c r="I20" s="29"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9" t="str">
        <v>Manure - Poultry</v>
      </c>
      <c r="E21" s="29">
        <v>10</v>
      </c>
      <c r="F21" s="29">
        <v>100</v>
      </c>
      <c r="G21" s="29">
        <v>1000</v>
      </c>
      <c r="H21" s="29">
        <v>0.25</v>
      </c>
      <c r="I21" s="29"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9" t="str">
        <v>Other organic fertiliser</v>
      </c>
      <c r="E22" s="29">
        <v>10</v>
      </c>
      <c r="F22" s="29">
        <v>100</v>
      </c>
      <c r="G22" s="29">
        <v>1000</v>
      </c>
      <c r="H22" s="29">
        <v>0.16</v>
      </c>
      <c r="I22" s="29"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9"/>
      <c r="E23" s="29"/>
      <c r="F23" s="29"/>
      <c r="G23" s="29"/>
      <c r="H23" s="29"/>
      <c r="I23" s="29"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9"/>
      <c r="E24" s="29"/>
      <c r="F24" s="29"/>
      <c r="G24" s="29"/>
      <c r="H24" s="29"/>
      <c r="I24" s="29"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9"/>
      <c r="E25" s="29"/>
      <c r="F25" s="29"/>
      <c r="G25" s="29"/>
      <c r="H25" s="29"/>
      <c r="I25" s="29" cm="1">
        <f t="array" ref="I25">Fertiliser_Equations_Organic.VEERG_5_2_1_1__2_MassOfNitrogenInOrganicFertiliser(G25,H25)</f>
        <v>0</v>
      </c>
    </row>
    <row r="26" spans="1:10" ht="20.100000000000001" customHeight="1" x14ac:dyDescent="0.25">
      <c r="A26" s="49" t="str">
        <f>HYPERLINK("#'5.2.1.1-2 Organic Fert N2O'!A1", "5.2.1.1-2 Organic fert N2O")</f>
        <v>5.2.1.1-2 Organic fert N2O</v>
      </c>
      <c r="D26" s="29"/>
      <c r="E26" s="29"/>
      <c r="F26" s="29"/>
      <c r="G26" s="29"/>
      <c r="H26" s="29"/>
      <c r="I26" s="29" cm="1">
        <f t="array" ref="I26">Fertiliser_Equations_Organic.VEERG_5_2_1_1__2_MassOfNitrogenInOrganicFertiliser(G26,H26)</f>
        <v>0</v>
      </c>
    </row>
    <row r="27" spans="1:10" ht="20.100000000000001" customHeight="1" x14ac:dyDescent="0.25">
      <c r="A27" s="5" t="str">
        <f>HYPERLINK("#'5.3.1.1-2 Lime CO2'!A1", "5.3.1.1-2 Lime CO2")</f>
        <v>5.3.1.1-2 Lime CO2</v>
      </c>
      <c r="D27" s="29"/>
      <c r="E27" s="29"/>
      <c r="F27" s="29"/>
      <c r="G27" s="29"/>
      <c r="H27" s="29"/>
      <c r="I27" s="29"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9"/>
      <c r="E28" s="29"/>
      <c r="F28" s="29"/>
      <c r="G28" s="29"/>
      <c r="H28" s="29"/>
      <c r="I28" s="29"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9"/>
      <c r="E29" s="29"/>
      <c r="F29" s="29"/>
      <c r="G29" s="29"/>
      <c r="H29" s="29"/>
      <c r="I29" s="29"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9"/>
      <c r="E30" s="29"/>
      <c r="F30" s="29"/>
      <c r="G30" s="29"/>
      <c r="H30" s="29"/>
      <c r="I30" s="29"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28"/>
      <c r="E31" s="128"/>
      <c r="F31" s="128"/>
      <c r="G31" s="128"/>
      <c r="H31" s="128"/>
      <c r="I31" s="128"/>
      <c r="J31" s="128"/>
    </row>
    <row r="32" spans="1:10" ht="20.100000000000001" customHeight="1" x14ac:dyDescent="0.25">
      <c r="A32" s="5" t="str">
        <f>HYPERLINK("#'8.1.1.1-2 Transport fuel'!A1", "8.1.1.1-2 Transport fuel")</f>
        <v>8.1.1.1-2 Transport fuel</v>
      </c>
      <c r="D32" s="75" t="s">
        <v>397</v>
      </c>
      <c r="E32" s="75">
        <f>SUM(I20:I30)</f>
        <v>710</v>
      </c>
      <c r="F32" s="129" t="str">
        <f>$E$11</f>
        <v>kg N</v>
      </c>
      <c r="G32" s="128"/>
      <c r="H32" s="128"/>
      <c r="I32" s="128"/>
      <c r="J32" s="128"/>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30"/>
      <c r="D35" s="130"/>
      <c r="E35" s="130"/>
      <c r="F35" s="130"/>
      <c r="G35" s="130"/>
      <c r="H35" s="130"/>
      <c r="I35" s="130"/>
      <c r="J35" s="130"/>
      <c r="K35" s="130"/>
      <c r="L35" s="130"/>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43" t="s">
        <v>1</v>
      </c>
      <c r="D37" s="46"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47" t="s">
        <v>77</v>
      </c>
      <c r="E38" s="47"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row>
    <row r="41" spans="1:12" ht="20.100000000000001" customHeight="1" x14ac:dyDescent="0.25">
      <c r="A41" s="5" t="str">
        <f>HYPERLINK("#'Constants - Electricity'!A1", "Constants - Electricity")</f>
        <v>Constants - Electricity</v>
      </c>
      <c r="D41" s="48" t="s">
        <v>79</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48" t="s">
        <v>80</v>
      </c>
      <c r="E42" s="17"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50" t="str" cm="1">
        <f t="array" ref="D44:E48">_xlfn.CHOOSECOLS(Fertiliser_Equations_OrganicN2O.VEERG_5_2_1_1__1_OrganicFertiliserApplicationN2OEmissions_Arguments(), 1, 2)</f>
        <v>MNSoil_jf</v>
      </c>
      <c r="E44" s="51" t="str">
        <v>mass of nitrogen in organic fertiliser type f applied to production system j</v>
      </c>
      <c r="F44" s="52"/>
      <c r="G44" s="52"/>
      <c r="H44" s="53"/>
      <c r="I44" s="50" t="str" cm="1">
        <f t="array" ref="I44:J48">_xlfn.CHOOSECOLS(Fertiliser_Equations_OrganicN2O.VEERG_5_2_1_1__1_OrganicFertiliserApplicationN2OEmissions_Arguments(), 3,4)</f>
        <v>kg N</v>
      </c>
      <c r="J44" s="55" t="str">
        <v>Calculated from 5.2.1.1 (2)</v>
      </c>
      <c r="K44" s="50">
        <f>$E$32</f>
        <v>710</v>
      </c>
    </row>
    <row r="45" spans="1:12" ht="20.100000000000001" customHeight="1" x14ac:dyDescent="0.25">
      <c r="A45" s="5" t="str">
        <f>HYPERLINK("#'Acknowledgements'!A1", "Acknowledgements")</f>
        <v>Acknowledgements</v>
      </c>
      <c r="D45" s="50" t="str">
        <v>EF_N2Oi</v>
      </c>
      <c r="E45" s="51" t="str">
        <v>emission factor for direct nitrous oxide emissions from organic fertiliser applied to soils and aquatic systems in climate zone i</v>
      </c>
      <c r="F45" s="52"/>
      <c r="G45" s="52"/>
      <c r="H45" s="53"/>
      <c r="I45" s="50" t="str">
        <v>kg N2O-N/kg N</v>
      </c>
      <c r="J45" s="55" t="str">
        <v>Lookup</v>
      </c>
      <c r="K45" s="5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HYPERLINK("#'Overview'!A1", "Overview")</f>
        <v>Overview</v>
      </c>
      <c r="D46" s="50" t="str">
        <v>C_N2O</v>
      </c>
      <c r="E46" s="51" t="str">
        <v>factor to convert elemental mass of nitrous oxide to molecular mass</v>
      </c>
      <c r="F46" s="52"/>
      <c r="G46" s="52"/>
      <c r="H46" s="53"/>
      <c r="I46" s="50" t="str">
        <v/>
      </c>
      <c r="J46" s="55" t="str">
        <v>Constant</v>
      </c>
      <c r="K46" s="65">
        <f>Common_InputFunctions.Utility_LookupValueInTableNumber("N2O",Table_GasToMolecularConversionFactor[Gas],Table_GasToMolecularConversionFactor[Conversion factor combined])</f>
        <v>1.5714285714285714</v>
      </c>
    </row>
    <row r="47" spans="1:12" ht="20.100000000000001" customHeight="1" x14ac:dyDescent="0.25">
      <c r="D47" s="50" t="str">
        <v>j</v>
      </c>
      <c r="E47" s="51" t="str">
        <v>Production system</v>
      </c>
      <c r="F47" s="52"/>
      <c r="G47" s="52"/>
      <c r="H47" s="53"/>
      <c r="I47" s="50" t="str">
        <v/>
      </c>
      <c r="J47" s="54" t="str">
        <v>Input</v>
      </c>
      <c r="K47" s="50" t="str">
        <f>X_Cell_Fertiliser_ProductionSystem</f>
        <v>Crop</v>
      </c>
    </row>
    <row r="48" spans="1:12" ht="20.100000000000001" customHeight="1" x14ac:dyDescent="0.25">
      <c r="D48" s="50" t="str">
        <v>i</v>
      </c>
      <c r="E48" s="51" t="str">
        <v>Wet or dry climate zone</v>
      </c>
      <c r="F48" s="52"/>
      <c r="G48" s="52"/>
      <c r="H48" s="53"/>
      <c r="I48" s="50" t="str">
        <v/>
      </c>
      <c r="J48" s="54" t="str">
        <v>Input</v>
      </c>
      <c r="K48" s="50" t="str">
        <f>X_Cell_Site_WetOrDryClimateZone</f>
        <v>Dry climate zone</v>
      </c>
    </row>
    <row r="49" spans="4:7" ht="20.100000000000001" customHeight="1" x14ac:dyDescent="0.25"/>
    <row r="50" spans="4:7" ht="20.100000000000001" customHeight="1" x14ac:dyDescent="0.25">
      <c r="D50" s="62" t="s">
        <v>380</v>
      </c>
      <c r="E50" s="63" cm="1">
        <f t="array" ref="E50">Fertiliser_Equations_OrganicN2O.VEERG_5_2_1_1__1_OrganicFertiliserApplicationN2OEmissions(K44,K45,K46)</f>
        <v>5.5785714285714293E-3</v>
      </c>
      <c r="F50" s="64" t="str">
        <f>$E$42</f>
        <v>t N2O</v>
      </c>
    </row>
    <row r="51" spans="4:7" ht="20.100000000000001" customHeight="1" x14ac:dyDescent="0.25"/>
    <row r="52" spans="4:7" ht="20.100000000000001" customHeight="1" x14ac:dyDescent="0.25">
      <c r="D52" s="65" t="str" cm="1">
        <f t="array" ref="D52:E53">Common_Equations.Common_ConvertN2OToCO2e_Arguments()</f>
        <v>EN2O</v>
      </c>
      <c r="E52" s="66" t="str">
        <v>Nitrous oxide emissions (t N2O)</v>
      </c>
      <c r="F52" s="67"/>
      <c r="G52" s="29">
        <f>E50</f>
        <v>5.5785714285714293E-3</v>
      </c>
    </row>
    <row r="53" spans="4:7" ht="20.100000000000001" customHeight="1" x14ac:dyDescent="0.25">
      <c r="D53" s="65" t="str">
        <v>GWPN2O</v>
      </c>
      <c r="E53" s="66" t="str">
        <v>Global warming potential for nitrous oxide (t CO2-e / t N2O)</v>
      </c>
      <c r="F53" s="67"/>
      <c r="G53" s="29">
        <f>Common_InputFunctions.Utility_LookupValueInTableNumber("N2O",Table_GWPData[Gas],Table_GWPData[CO2-e factor])</f>
        <v>265</v>
      </c>
    </row>
    <row r="54" spans="4:7" ht="20.100000000000001" customHeight="1" x14ac:dyDescent="0.25"/>
    <row r="55" spans="4:7" ht="20.100000000000001" customHeight="1" x14ac:dyDescent="0.25">
      <c r="D55" s="61" t="s">
        <v>120</v>
      </c>
      <c r="E55" s="61" cm="1">
        <f t="array" ref="E55">Common_Equations.Common_ConvertN2OToCO2e(G52,G53)</f>
        <v>1.4783214285714288</v>
      </c>
      <c r="F55" s="19"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776C5-2FA1-4110-BC4C-938BBED929B2}">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398</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46" t="str" cm="1">
        <f t="array" ref="D6">Fertiliser_Equations_Lime.VEERG_5_3_1_1__1_LimeApplicationCO2Emissions_Source()</f>
        <v>VEERG 2026: 5.3.1.1, Equation (1)</v>
      </c>
    </row>
    <row r="7" spans="1:21" ht="20.100000000000001" customHeight="1" x14ac:dyDescent="0.25">
      <c r="A7" s="7" t="s">
        <v>0</v>
      </c>
      <c r="D7" s="47" t="s">
        <v>77</v>
      </c>
      <c r="E7" s="47"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48" t="s">
        <v>79</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48" t="s">
        <v>80</v>
      </c>
      <c r="E11" s="17"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50" t="str" cm="1">
        <f t="array" ref="D13:E20">_xlfn.CHOOSECOLS(Fertiliser_Equations_Lime.VEERG_5_3_1_1__1_LimeApplicationCO2Emissions_Arguments(), 1, 2)</f>
        <v>M_lime</v>
      </c>
      <c r="E13" s="51" t="str">
        <v>total mass of lime applied to production system</v>
      </c>
      <c r="F13" s="53"/>
      <c r="G13" s="50" t="str" cm="1">
        <f t="array" ref="G13:H20">_xlfn.CHOOSECOLS(Fertiliser_Equations_Lime.VEERG_5_3_1_1__1_LimeApplicationCO2Emissions_Arguments(), 3,4)</f>
        <v>kg</v>
      </c>
      <c r="H13" s="54" t="str">
        <v>Input</v>
      </c>
      <c r="I13" s="56" t="str" cm="1">
        <f t="array" aca="1" ref="I13" ca="1">HYPERLINK(Common_InputFunctions.Utility_SourceHyperlink($D$22), $D$22)</f>
        <v>Table_E_lime</v>
      </c>
    </row>
    <row r="14" spans="1:21" ht="20.100000000000001" customHeight="1" x14ac:dyDescent="0.25">
      <c r="A14" s="5" t="str">
        <f>HYPERLINK("#'Input - Fuel'!A1", "Fuel")</f>
        <v>Fuel</v>
      </c>
      <c r="D14" s="50" t="str">
        <v>FracLime</v>
      </c>
      <c r="E14" s="51" t="str">
        <v>fraction of lime as limestone (CaCO3)</v>
      </c>
      <c r="F14" s="53"/>
      <c r="G14" s="50" t="str">
        <v>fraction</v>
      </c>
      <c r="H14" s="54" t="str">
        <v>Input</v>
      </c>
      <c r="I14" s="56" t="str" cm="1">
        <f t="array" aca="1" ref="I14" ca="1">HYPERLINK(Common_InputFunctions.Utility_SourceHyperlink($D$22), $D$22)</f>
        <v>Table_E_lime</v>
      </c>
    </row>
    <row r="15" spans="1:21" ht="20.100000000000001" customHeight="1" x14ac:dyDescent="0.25">
      <c r="A15" s="5" t="str">
        <f>HYPERLINK("#'Input - Electricity'!A1", "Electricity")</f>
        <v>Electricity</v>
      </c>
      <c r="D15" s="50" t="str">
        <v>P_lime</v>
      </c>
      <c r="E15" s="51" t="str">
        <v>fractional purity of limestone</v>
      </c>
      <c r="F15" s="53"/>
      <c r="G15" s="50" t="str">
        <v>fraction</v>
      </c>
      <c r="H15" s="55" t="str">
        <v>Constant</v>
      </c>
      <c r="I15" s="50">
        <f>'Constants - Fertiliser'!$E$66</f>
        <v>0.9</v>
      </c>
    </row>
    <row r="16" spans="1:21" ht="20.100000000000001" customHeight="1" x14ac:dyDescent="0.25">
      <c r="D16" s="50" t="str">
        <v>EF_lime</v>
      </c>
      <c r="E16" s="51" t="str">
        <v>emission factor for limestone fraction of lime</v>
      </c>
      <c r="F16" s="53"/>
      <c r="G16" s="50" t="str">
        <v>kg C/kg</v>
      </c>
      <c r="H16" s="55" t="str">
        <v>Constant</v>
      </c>
      <c r="I16" s="50">
        <f>'Constants - Fertiliser'!$F$66</f>
        <v>0.12</v>
      </c>
    </row>
    <row r="17" spans="1:9" ht="20.100000000000001" customHeight="1" x14ac:dyDescent="0.25">
      <c r="D17" s="50" t="str">
        <v>FracDol</v>
      </c>
      <c r="E17" s="51" t="str">
        <v>fraction of lime as dolomite</v>
      </c>
      <c r="F17" s="53"/>
      <c r="G17" s="50" t="str">
        <v>fraction</v>
      </c>
      <c r="H17" s="54" t="str">
        <v>Input</v>
      </c>
      <c r="I17" s="56" t="str" cm="1">
        <f t="array" aca="1" ref="I17" ca="1">HYPERLINK(Common_InputFunctions.Utility_SourceHyperlink($D$22), $D$22)</f>
        <v>Table_E_lime</v>
      </c>
    </row>
    <row r="18" spans="1:9" ht="20.100000000000001" customHeight="1" x14ac:dyDescent="0.25">
      <c r="A18" s="6" t="s">
        <v>3</v>
      </c>
      <c r="D18" s="50" t="str">
        <v>P_dol</v>
      </c>
      <c r="E18" s="51" t="str">
        <v>fractional purity of dolomite</v>
      </c>
      <c r="F18" s="53"/>
      <c r="G18" s="50" t="str">
        <v>fraction</v>
      </c>
      <c r="H18" s="55" t="str">
        <v>Constant</v>
      </c>
      <c r="I18" s="50">
        <f>'Constants - Fertiliser'!$E$67</f>
        <v>0.95</v>
      </c>
    </row>
    <row r="19" spans="1:9" ht="20.100000000000001" customHeight="1" x14ac:dyDescent="0.25">
      <c r="A19" s="5" t="str">
        <f>HYPERLINK("#'3.2.1.1-2 Enteric Methane'!A1", "3.2.1.1-2 Enteric methane")</f>
        <v>3.2.1.1-2 Enteric methane</v>
      </c>
      <c r="D19" s="50" t="str">
        <v>EF_dol</v>
      </c>
      <c r="E19" s="51" t="str">
        <v>emission factor for dolomite fraction of lime</v>
      </c>
      <c r="F19" s="53"/>
      <c r="G19" s="50" t="str">
        <v>kg C/kg</v>
      </c>
      <c r="H19" s="55" t="str">
        <v>Constant</v>
      </c>
      <c r="I19" s="50">
        <f>'Constants - Fertiliser'!$F$67</f>
        <v>0.13</v>
      </c>
    </row>
    <row r="20" spans="1:9" ht="20.100000000000001" customHeight="1" x14ac:dyDescent="0.25">
      <c r="A20" s="5" t="str">
        <f>HYPERLINK("#'4.2.1.1-2 Methane'!A1", "4.2.1.1-2 Manure methane")</f>
        <v>4.2.1.1-2 Manure methane</v>
      </c>
      <c r="D20" s="50" t="str">
        <v>C_CO2</v>
      </c>
      <c r="E20" s="51" t="str">
        <v>factor to convert elemental mass of carbon dioxide to molecular mass</v>
      </c>
      <c r="F20" s="53"/>
      <c r="G20" s="50" t="str">
        <v/>
      </c>
      <c r="H20" s="55" t="str">
        <v>Constant</v>
      </c>
      <c r="I20" s="65">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57" t="s">
        <v>399</v>
      </c>
    </row>
    <row r="23" spans="1:9" ht="20.100000000000001" customHeight="1" x14ac:dyDescent="0.25">
      <c r="A23" s="5" t="str">
        <f>HYPERLINK("#'4.2.1.7-8 Soil leach runoff'!A1", "4.2.1.7-8 Soil leach &amp; runoff")</f>
        <v>4.2.1.7-8 Soil leach &amp; runoff</v>
      </c>
      <c r="D23" s="58" t="s">
        <v>400</v>
      </c>
    </row>
    <row r="24" spans="1:9" ht="20.100000000000001" customHeight="1" x14ac:dyDescent="0.25">
      <c r="A24" s="5" t="str">
        <f>HYPERLINK("#'5.1.1.1-2 Inorganic fert N2O'!A1", "5.1.1.1-2 Inorganic fert N2O")</f>
        <v>5.1.1.1-2 Inorganic fert N2O</v>
      </c>
      <c r="D24" s="60" t="s">
        <v>401</v>
      </c>
      <c r="E24" s="60" t="s">
        <v>402</v>
      </c>
      <c r="F24" s="60" t="s">
        <v>403</v>
      </c>
      <c r="G24" s="60" t="s">
        <v>404</v>
      </c>
      <c r="H24" s="59" t="s">
        <v>405</v>
      </c>
    </row>
    <row r="25" spans="1:9" ht="20.100000000000001" customHeight="1" x14ac:dyDescent="0.25">
      <c r="A25" s="5" t="str">
        <f>HYPERLINK("#'5.1.1.3-4 Inorganic fert CO2'!A1", "5.1.1.3-4 Inorganic fert CO2")</f>
        <v>5.1.1.3-4 Inorganic fert CO2</v>
      </c>
      <c r="D25" s="29" t="str" cm="1">
        <f t="array" ref="D25:D27">Table_Input_Lime[Product]</f>
        <v>Lime product 1</v>
      </c>
      <c r="E25" s="131" cm="1">
        <f t="array" ref="E25:E27">Table_Input_Lime[Total amount applied (t)]*10^3</f>
        <v>100000</v>
      </c>
      <c r="F25" s="132" cm="1">
        <f t="array" ref="F25:F27">Table_Input_Lime[Percent Lime CaCO3]</f>
        <v>0.8</v>
      </c>
      <c r="G25" s="132" cm="1">
        <f t="array" ref="G25:G27">Table_Input_Lime[Percent Dolomite CaMg(CO3)2]</f>
        <v>0.1</v>
      </c>
      <c r="H25" s="29"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9" t="str">
        <v>Lime product 2</v>
      </c>
      <c r="E26" s="29">
        <v>100000</v>
      </c>
      <c r="F26" s="29">
        <v>1</v>
      </c>
      <c r="G26" s="29">
        <v>0</v>
      </c>
      <c r="H26" s="29" cm="1">
        <f t="array" ref="H26">Fertiliser_Equations_Lime.VEERG_5_3_1_1__1_LimeApplicationCO2Emissions(E26,F26,$I$15,$I$16,G26,$I$18,$I$19,$I$20)</f>
        <v>39.6</v>
      </c>
    </row>
    <row r="27" spans="1:9" ht="20.100000000000001" customHeight="1" x14ac:dyDescent="0.25">
      <c r="A27" s="49" t="str">
        <f>HYPERLINK("#'5.3.1.1-2 Lime CO2'!A1", "5.3.1.1-2 Lime CO2")</f>
        <v>5.3.1.1-2 Lime CO2</v>
      </c>
      <c r="D27" s="29" t="str">
        <v>Lime product 3</v>
      </c>
      <c r="E27" s="29">
        <v>100000</v>
      </c>
      <c r="F27" s="29">
        <v>0</v>
      </c>
      <c r="G27" s="29">
        <v>0</v>
      </c>
      <c r="H27" s="29"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9"/>
      <c r="E28" s="29"/>
      <c r="F28" s="29"/>
      <c r="G28" s="29"/>
      <c r="H28" s="29"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9"/>
      <c r="E29" s="29"/>
      <c r="F29" s="29"/>
      <c r="G29" s="29"/>
      <c r="H29" s="29"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62" t="s">
        <v>406</v>
      </c>
      <c r="E31" s="63">
        <f>SUM(H25:H29)</f>
        <v>75.808333333333337</v>
      </c>
      <c r="F31" s="133" t="s">
        <v>407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Livestock'!A1", "Constants - Livestock")</f>
        <v>Constants -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21CDA-839F-46DF-956A-B3D5DBAE2381}">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44" customFormat="1" ht="30" customHeight="1" x14ac:dyDescent="0.35">
      <c r="A1" s="18" t="e" vm="1">
        <v>#VALUE!</v>
      </c>
      <c r="C1" s="44" t="s">
        <v>408</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L3" s="45"/>
      <c r="N3" s="45"/>
      <c r="O3" s="45" t="s">
        <v>76</v>
      </c>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46" t="str" cm="1">
        <f t="array" ref="D6">Fertiliser_Equations_AtmosphericDeposition.VEERG_5_4_1_1__2_MassOfNitrogenVolatilisedFromInorganicFertiliser_Source()</f>
        <v>VEERG 2026: 5.4.1.1, Equation (2)</v>
      </c>
    </row>
    <row r="7" spans="1:21" ht="20.100000000000001" customHeight="1" x14ac:dyDescent="0.25">
      <c r="A7" s="7" t="s">
        <v>0</v>
      </c>
      <c r="D7" s="47" t="s">
        <v>77</v>
      </c>
      <c r="E7" s="47"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48" t="s">
        <v>79</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48" t="s">
        <v>80</v>
      </c>
      <c r="E11" s="17"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50" t="str" cm="1">
        <f t="array" ref="D13:E14">_xlfn.CHOOSECOLS(Fertiliser_Equations_AtmosphericDeposition.VEERG_5_4_1_1__2_MassOfNitrogenVolatilisedFromInorganicFertiliser_Arguments(), 1, 2)</f>
        <v>MN_jf</v>
      </c>
      <c r="E13" s="51" t="str">
        <v>mass of nitrogen in inorganic fertiliser applied</v>
      </c>
      <c r="F13" s="53"/>
      <c r="G13" s="50" t="str" cm="1">
        <f t="array" ref="G13:H14">_xlfn.CHOOSECOLS(Fertiliser_Equations_AtmosphericDeposition.VEERG_5_4_1_1__2_MassOfNitrogenVolatilisedFromInorganicFertiliser_Arguments(), 3,4)</f>
        <v>kg N</v>
      </c>
      <c r="H13" s="55" t="str">
        <v>Calculated from 5.1.1.1 (2)</v>
      </c>
      <c r="I13" s="56" t="str" cm="1">
        <f t="array" aca="1" ref="I13" ca="1">HYPERLINK(Common_InputFunctions.Utility_SourceHyperlink($D$16),$D$16)</f>
        <v>Table_M_vol_inorganic_j_f</v>
      </c>
    </row>
    <row r="14" spans="1:21" ht="20.100000000000001" customHeight="1" x14ac:dyDescent="0.25">
      <c r="A14" s="5" t="str">
        <f>HYPERLINK("#'Input - Fuel'!A1", "Fuel")</f>
        <v>Fuel</v>
      </c>
      <c r="D14" s="50" t="str">
        <v>FracGASF_f</v>
      </c>
      <c r="E14" s="51" t="str">
        <v>fraction of inorganic fertiliser that volatilises</v>
      </c>
      <c r="F14" s="53"/>
      <c r="G14" s="50" t="str">
        <v>(kg NH3-N + NOx-N)/kg N</v>
      </c>
      <c r="H14" s="55" t="str">
        <v>Constant</v>
      </c>
      <c r="I14" s="56"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57" t="s">
        <v>409</v>
      </c>
    </row>
    <row r="17" spans="1:8" ht="20.100000000000001" customHeight="1" x14ac:dyDescent="0.25">
      <c r="D17" s="58" t="s">
        <v>410</v>
      </c>
    </row>
    <row r="18" spans="1:8" ht="20.100000000000001" customHeight="1" x14ac:dyDescent="0.25">
      <c r="A18" s="6" t="s">
        <v>3</v>
      </c>
      <c r="D18" s="59" t="s">
        <v>411</v>
      </c>
      <c r="E18" s="59" t="s">
        <v>412</v>
      </c>
      <c r="F18" s="59" t="s">
        <v>413</v>
      </c>
      <c r="G18" s="134" t="s">
        <v>414</v>
      </c>
      <c r="H18" s="134" t="s">
        <v>415</v>
      </c>
    </row>
    <row r="19" spans="1:8" ht="20.100000000000001" customHeight="1" x14ac:dyDescent="0.25">
      <c r="A19" s="5" t="str">
        <f>HYPERLINK("#'3.2.1.1-2 Enteric Methane'!A1", "3.2.1.1-2 Enteric methane")</f>
        <v>3.2.1.1-2 Enteric methane</v>
      </c>
      <c r="D19" s="29" t="str" cm="1">
        <f t="array" ref="D19:D37">Table_Fertiliser_ChemicalCompounds[Fertiliser type f]</f>
        <v>Monoammonium phosphate (MAP)</v>
      </c>
      <c r="E19" s="29">
        <f>INDEX(Table_MN_j_f,2,4)</f>
        <v>0</v>
      </c>
      <c r="F19" s="29" t="str" cm="1">
        <f t="array" ref="F19">Common_InputFunctions.Utility_LookupValueInTable(D19, Table_Fertiliser_ChemicalCompounds[Fertiliser type f],Table_Fertiliser_ChemicalCompounds[Basis])</f>
        <v>Ammonium-based fertilisers</v>
      </c>
      <c r="G19" s="29" cm="1">
        <f t="array" ref="G19">Common_InputFunctions.Utility_LookupValueInTableNumber(F19, Table_SourceData_Fertiliser_FracGASF[Fertiliser type f],Table_SourceData_Fertiliser_FracGASF[FracGASF f])</f>
        <v>0.08</v>
      </c>
      <c r="H19" s="29"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9" t="str">
        <v>Diammonium phosphate (DAP)</v>
      </c>
      <c r="E20" s="29">
        <f>INDEX(Table_MN_j_f,3,4)</f>
        <v>0</v>
      </c>
      <c r="F20" s="29" t="str" cm="1">
        <f t="array" ref="F20">Common_InputFunctions.Utility_LookupValueInTable(D20, Table_Fertiliser_ChemicalCompounds[Fertiliser type f],Table_Fertiliser_ChemicalCompounds[Basis])</f>
        <v>Ammonium-based fertilisers</v>
      </c>
      <c r="G20" s="29" cm="1">
        <f t="array" ref="G20">Common_InputFunctions.Utility_LookupValueInTableNumber(F20, Table_SourceData_Fertiliser_FracGASF[Fertiliser type f],Table_SourceData_Fertiliser_FracGASF[FracGASF f])</f>
        <v>0.08</v>
      </c>
      <c r="H20" s="29"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9" t="str">
        <v>Urea</v>
      </c>
      <c r="E21" s="29">
        <f>INDEX(Table_MN_j_f,4,4)</f>
        <v>4600</v>
      </c>
      <c r="F21" s="29" t="str" cm="1">
        <f t="array" ref="F21">Common_InputFunctions.Utility_LookupValueInTable(D21, Table_Fertiliser_ChemicalCompounds[Fertiliser type f],Table_Fertiliser_ChemicalCompounds[Basis])</f>
        <v>Urea-based fertilisers</v>
      </c>
      <c r="G21" s="29" cm="1">
        <f t="array" ref="G21">Common_InputFunctions.Utility_LookupValueInTableNumber(F21, Table_SourceData_Fertiliser_FracGASF[Fertiliser type f],Table_SourceData_Fertiliser_FracGASF[FracGASF f])</f>
        <v>0.15</v>
      </c>
      <c r="H21" s="29"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9" t="str">
        <v>Sulphate of ammonia (SOA)</v>
      </c>
      <c r="E22" s="29">
        <f>INDEX(Table_MN_j_f,5,4)</f>
        <v>0</v>
      </c>
      <c r="F22" s="29" t="str" cm="1">
        <f t="array" ref="F22">Common_InputFunctions.Utility_LookupValueInTable(D22, Table_Fertiliser_ChemicalCompounds[Fertiliser type f],Table_Fertiliser_ChemicalCompounds[Basis])</f>
        <v>Ammonium-based fertilisers</v>
      </c>
      <c r="G22" s="29" cm="1">
        <f t="array" ref="G22">Common_InputFunctions.Utility_LookupValueInTableNumber(F22, Table_SourceData_Fertiliser_FracGASF[Fertiliser type f],Table_SourceData_Fertiliser_FracGASF[FracGASF f])</f>
        <v>0.08</v>
      </c>
      <c r="H22" s="29"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9" t="str">
        <v>Urea-ammonium nitrate (UAN)</v>
      </c>
      <c r="E23" s="29">
        <f>INDEX(Table_MN_j_f,6,4)</f>
        <v>0</v>
      </c>
      <c r="F23" s="29" t="str" cm="1">
        <f t="array" ref="F23">Common_InputFunctions.Utility_LookupValueInTable(D23, Table_Fertiliser_ChemicalCompounds[Fertiliser type f],Table_Fertiliser_ChemicalCompounds[Basis])</f>
        <v>Urea-based fertilisers</v>
      </c>
      <c r="G23" s="29" cm="1">
        <f t="array" ref="G23">Common_InputFunctions.Utility_LookupValueInTableNumber(F23, Table_SourceData_Fertiliser_FracGASF[Fertiliser type f],Table_SourceData_Fertiliser_FracGASF[FracGASF f])</f>
        <v>0.15</v>
      </c>
      <c r="H23" s="29"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9" t="str">
        <v>Ammonium nitrate (AN)</v>
      </c>
      <c r="E24" s="29">
        <f>INDEX(Table_MN_j_f,7,4)</f>
        <v>0</v>
      </c>
      <c r="F24" s="29" t="str" cm="1">
        <f t="array" ref="F24">Common_InputFunctions.Utility_LookupValueInTable(D24, Table_Fertiliser_ChemicalCompounds[Fertiliser type f],Table_Fertiliser_ChemicalCompounds[Basis])</f>
        <v>Ammonium-nitrate based fertilisers</v>
      </c>
      <c r="G24" s="29" cm="1">
        <f t="array" ref="G24">Common_InputFunctions.Utility_LookupValueInTableNumber(F24, Table_SourceData_Fertiliser_FracGASF[Fertiliser type f],Table_SourceData_Fertiliser_FracGASF[FracGASF f])</f>
        <v>0.05</v>
      </c>
      <c r="H24" s="29"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9" t="str">
        <v>Calcium ammonium nitrate (CAN)</v>
      </c>
      <c r="E25" s="29">
        <f>INDEX(Table_MN_j_f,8,4)</f>
        <v>0</v>
      </c>
      <c r="F25" s="29" t="str" cm="1">
        <f t="array" ref="F25">Common_InputFunctions.Utility_LookupValueInTable(D25, Table_Fertiliser_ChemicalCompounds[Fertiliser type f],Table_Fertiliser_ChemicalCompounds[Basis])</f>
        <v>Ammonium-nitrate based fertilisers</v>
      </c>
      <c r="G25" s="29" cm="1">
        <f t="array" ref="G25">Common_InputFunctions.Utility_LookupValueInTableNumber(F25, Table_SourceData_Fertiliser_FracGASF[Fertiliser type f],Table_SourceData_Fertiliser_FracGASF[FracGASF f])</f>
        <v>0.05</v>
      </c>
      <c r="H25" s="29"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9" t="str">
        <v>Nitrogen - Ammoniacal</v>
      </c>
      <c r="E26" s="29">
        <f>INDEX(Table_MN_j_f,9,4)</f>
        <v>0</v>
      </c>
      <c r="F26" s="29" t="str" cm="1">
        <f t="array" ref="F26">Common_InputFunctions.Utility_LookupValueInTable(D26, Table_Fertiliser_ChemicalCompounds[Fertiliser type f],Table_Fertiliser_ChemicalCompounds[Basis])</f>
        <v>Ammonium-based fertilisers</v>
      </c>
      <c r="G26" s="29" cm="1">
        <f t="array" ref="G26">Common_InputFunctions.Utility_LookupValueInTableNumber(F26, Table_SourceData_Fertiliser_FracGASF[Fertiliser type f],Table_SourceData_Fertiliser_FracGASF[FracGASF f])</f>
        <v>0.08</v>
      </c>
      <c r="H26" s="29"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9" t="str">
        <v>Nitrogen - Nitrate</v>
      </c>
      <c r="E27" s="29">
        <f>INDEX(Table_MN_j_f,10,4)</f>
        <v>1980</v>
      </c>
      <c r="F27" s="29" t="str" cm="1">
        <f t="array" ref="F27">Common_InputFunctions.Utility_LookupValueInTable(D27, Table_Fertiliser_ChemicalCompounds[Fertiliser type f],Table_Fertiliser_ChemicalCompounds[Basis])</f>
        <v>Nitrate-based fertilisers</v>
      </c>
      <c r="G27" s="29" cm="1">
        <f t="array" ref="G27">Common_InputFunctions.Utility_LookupValueInTableNumber(F27, Table_SourceData_Fertiliser_FracGASF[Fertiliser type f],Table_SourceData_Fertiliser_FracGASF[FracGASF f])</f>
        <v>0.01</v>
      </c>
      <c r="H27" s="29" cm="1">
        <f t="array" ref="H27">Fertiliser_Equations_AtmosphericDeposition.VEERG_5_4_1_1__2_MassOfNitrogenVolatilisedFromInorganicFertiliser(E27,G27)</f>
        <v>19.8</v>
      </c>
    </row>
    <row r="28" spans="1:8" ht="20.100000000000001" customHeight="1" x14ac:dyDescent="0.25">
      <c r="A28" s="49" t="str">
        <f>HYPERLINK("#'5.4.1.1-4 Atmos deposition'!A1", "5.4.1.1-4 Atmos. deposition")</f>
        <v>5.4.1.1-4 Atmos. deposition</v>
      </c>
      <c r="D28" s="29" t="str">
        <v>Nitrogen - Generic</v>
      </c>
      <c r="E28" s="29">
        <f>INDEX(Table_MN_j_f,11,4)</f>
        <v>1537.2</v>
      </c>
      <c r="F28" s="29" t="str" cm="1">
        <f t="array" ref="F28">Common_InputFunctions.Utility_LookupValueInTable(D28, Table_Fertiliser_ChemicalCompounds[Fertiliser type f],Table_Fertiliser_ChemicalCompounds[Basis])</f>
        <v>Urea-based fertilisers</v>
      </c>
      <c r="G28" s="29" cm="1">
        <f t="array" ref="G28">Common_InputFunctions.Utility_LookupValueInTableNumber(F28, Table_SourceData_Fertiliser_FracGASF[Fertiliser type f],Table_SourceData_Fertiliser_FracGASF[FracGASF f])</f>
        <v>0.15</v>
      </c>
      <c r="H28" s="29"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9" t="str">
        <v>Phosphorus - Generic</v>
      </c>
      <c r="E29" s="29">
        <f>INDEX(Table_MN_j_f,12,4)</f>
        <v>0</v>
      </c>
      <c r="F29" s="29" t="str" cm="1">
        <f t="array" ref="F29">Common_InputFunctions.Utility_LookupValueInTable(D29, Table_Fertiliser_ChemicalCompounds[Fertiliser type f],Table_Fertiliser_ChemicalCompounds[Basis])</f>
        <v>Other fertilisers</v>
      </c>
      <c r="G29" s="29" cm="1">
        <f t="array" ref="G29">Common_InputFunctions.Utility_LookupValueInTableNumber(F29, Table_SourceData_Fertiliser_FracGASF[Fertiliser type f],Table_SourceData_Fertiliser_FracGASF[FracGASF f])</f>
        <v>0.11</v>
      </c>
      <c r="H29" s="29"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9" t="str">
        <v>Potassium - Generic</v>
      </c>
      <c r="E30" s="29">
        <f>INDEX(Table_MN_j_f,13,4)</f>
        <v>0</v>
      </c>
      <c r="F30" s="29" t="str" cm="1">
        <f t="array" ref="F30">Common_InputFunctions.Utility_LookupValueInTable(D30, Table_Fertiliser_ChemicalCompounds[Fertiliser type f],Table_Fertiliser_ChemicalCompounds[Basis])</f>
        <v>Other fertilisers</v>
      </c>
      <c r="G30" s="29" cm="1">
        <f t="array" ref="G30">Common_InputFunctions.Utility_LookupValueInTableNumber(F30, Table_SourceData_Fertiliser_FracGASF[Fertiliser type f],Table_SourceData_Fertiliser_FracGASF[FracGASF f])</f>
        <v>0.11</v>
      </c>
      <c r="H30" s="29"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9" t="str">
        <v>Sulfur - Generic</v>
      </c>
      <c r="E31" s="29">
        <f>INDEX(Table_MN_j_f,14,4)</f>
        <v>0</v>
      </c>
      <c r="F31" s="29" t="str" cm="1">
        <f t="array" ref="F31">Common_InputFunctions.Utility_LookupValueInTable(D31, Table_Fertiliser_ChemicalCompounds[Fertiliser type f],Table_Fertiliser_ChemicalCompounds[Basis])</f>
        <v>Other fertilisers</v>
      </c>
      <c r="G31" s="29" cm="1">
        <f t="array" ref="G31">Common_InputFunctions.Utility_LookupValueInTableNumber(F31, Table_SourceData_Fertiliser_FracGASF[Fertiliser type f],Table_SourceData_Fertiliser_FracGASF[FracGASF f])</f>
        <v>0.11</v>
      </c>
      <c r="H31" s="29"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9" t="str">
        <v>Zinc - Generic</v>
      </c>
      <c r="E32" s="29">
        <f>INDEX(Table_MN_j_f,15,4)</f>
        <v>0</v>
      </c>
      <c r="F32" s="29" t="str" cm="1">
        <f t="array" ref="F32">Common_InputFunctions.Utility_LookupValueInTable(D32, Table_Fertiliser_ChemicalCompounds[Fertiliser type f],Table_Fertiliser_ChemicalCompounds[Basis])</f>
        <v>Other fertilisers</v>
      </c>
      <c r="G32" s="29" cm="1">
        <f t="array" ref="G32">Common_InputFunctions.Utility_LookupValueInTableNumber(F32, Table_SourceData_Fertiliser_FracGASF[Fertiliser type f],Table_SourceData_Fertiliser_FracGASF[FracGASF f])</f>
        <v>0.11</v>
      </c>
      <c r="H32" s="29"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9" t="str">
        <v>Muriate of potash (MOP)</v>
      </c>
      <c r="E33" s="29">
        <f>INDEX(Table_MN_j_f,16,4)</f>
        <v>0</v>
      </c>
      <c r="F33" s="29" t="str" cm="1">
        <f t="array" ref="F33">Common_InputFunctions.Utility_LookupValueInTable(D33, Table_Fertiliser_ChemicalCompounds[Fertiliser type f],Table_Fertiliser_ChemicalCompounds[Basis])</f>
        <v>Other fertilisers</v>
      </c>
      <c r="G33" s="29" cm="1">
        <f t="array" ref="G33">Common_InputFunctions.Utility_LookupValueInTableNumber(F33, Table_SourceData_Fertiliser_FracGASF[Fertiliser type f],Table_SourceData_Fertiliser_FracGASF[FracGASF f])</f>
        <v>0.11</v>
      </c>
      <c r="H33" s="29"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9" t="str">
        <v>Double superphosphate</v>
      </c>
      <c r="E34" s="29">
        <f>INDEX(Table_MN_j_f,17,4)</f>
        <v>0</v>
      </c>
      <c r="F34" s="29" t="str" cm="1">
        <f t="array" ref="F34">Common_InputFunctions.Utility_LookupValueInTable(D34, Table_Fertiliser_ChemicalCompounds[Fertiliser type f],Table_Fertiliser_ChemicalCompounds[Basis])</f>
        <v>Other fertilisers</v>
      </c>
      <c r="G34" s="29" cm="1">
        <f t="array" ref="G34">Common_InputFunctions.Utility_LookupValueInTableNumber(F34, Table_SourceData_Fertiliser_FracGASF[Fertiliser type f],Table_SourceData_Fertiliser_FracGASF[FracGASF f])</f>
        <v>0.11</v>
      </c>
      <c r="H34" s="29" cm="1">
        <f t="array" ref="H34">Fertiliser_Equations_AtmosphericDeposition.VEERG_5_4_1_1__2_MassOfNitrogenVolatilisedFromInorganicFertiliser(E34,G34)</f>
        <v>0</v>
      </c>
    </row>
    <row r="35" spans="1:12" ht="20.100000000000001" customHeight="1" x14ac:dyDescent="0.25">
      <c r="D35" s="29" t="str">
        <v>Single superphosphate (SSP)</v>
      </c>
      <c r="E35" s="29">
        <f>INDEX(Table_MN_j_f,18,4)</f>
        <v>0</v>
      </c>
      <c r="F35" s="29" t="str" cm="1">
        <f t="array" ref="F35">Common_InputFunctions.Utility_LookupValueInTable(D35, Table_Fertiliser_ChemicalCompounds[Fertiliser type f],Table_Fertiliser_ChemicalCompounds[Basis])</f>
        <v>Other fertilisers</v>
      </c>
      <c r="G35" s="29" cm="1">
        <f t="array" ref="G35">Common_InputFunctions.Utility_LookupValueInTableNumber(F35, Table_SourceData_Fertiliser_FracGASF[Fertiliser type f],Table_SourceData_Fertiliser_FracGASF[FracGASF f])</f>
        <v>0.11</v>
      </c>
      <c r="H35" s="29" cm="1">
        <f t="array" ref="H35">Fertiliser_Equations_AtmosphericDeposition.VEERG_5_4_1_1__2_MassOfNitrogenVolatilisedFromInorganicFertiliser(E35,G35)</f>
        <v>0</v>
      </c>
    </row>
    <row r="36" spans="1:12" ht="20.100000000000001" customHeight="1" x14ac:dyDescent="0.25">
      <c r="D36" s="29" t="str">
        <v>Ammonia</v>
      </c>
      <c r="E36" s="29">
        <f>INDEX(Table_MN_j_f,19,4)</f>
        <v>4117.5</v>
      </c>
      <c r="F36" s="29" t="str" cm="1">
        <f t="array" ref="F36">Common_InputFunctions.Utility_LookupValueInTable(D36, Table_Fertiliser_ChemicalCompounds[Fertiliser type f],Table_Fertiliser_ChemicalCompounds[Basis])</f>
        <v>Ammonium-based fertilisers</v>
      </c>
      <c r="G36" s="29" cm="1">
        <f t="array" ref="G36">Common_InputFunctions.Utility_LookupValueInTableNumber(F36, Table_SourceData_Fertiliser_FracGASF[Fertiliser type f],Table_SourceData_Fertiliser_FracGASF[FracGASF f])</f>
        <v>0.08</v>
      </c>
      <c r="H36" s="29" cm="1">
        <f t="array" ref="H36">Fertiliser_Equations_AtmosphericDeposition.VEERG_5_4_1_1__2_MassOfNitrogenVolatilisedFromInorganicFertiliser(E36,G36)</f>
        <v>329.40000000000003</v>
      </c>
    </row>
    <row r="37" spans="1:12" ht="20.100000000000001" customHeight="1" x14ac:dyDescent="0.25">
      <c r="A37" s="243" t="s">
        <v>1</v>
      </c>
      <c r="D37" s="29" t="str">
        <v>Calcium nitrate</v>
      </c>
      <c r="E37" s="29">
        <f>INDEX(Table_MN_j_f,20,4)</f>
        <v>775</v>
      </c>
      <c r="F37" s="29" t="str" cm="1">
        <f t="array" ref="F37">Common_InputFunctions.Utility_LookupValueInTable(D37, Table_Fertiliser_ChemicalCompounds[Fertiliser type f],Table_Fertiliser_ChemicalCompounds[Basis])</f>
        <v>Nitrate-based fertilisers</v>
      </c>
      <c r="G37" s="29" cm="1">
        <f t="array" ref="G37">Common_InputFunctions.Utility_LookupValueInTableNumber(F37, Table_SourceData_Fertiliser_FracGASF[Fertiliser type f],Table_SourceData_Fertiliser_FracGASF[FracGASF f])</f>
        <v>0.01</v>
      </c>
      <c r="H37" s="29"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Livestock'!A1", "Constants - Livestock")</f>
        <v>Constants - Livestock</v>
      </c>
      <c r="C40" s="130"/>
      <c r="D40" s="130"/>
      <c r="E40" s="130"/>
      <c r="F40" s="130"/>
      <c r="G40" s="130"/>
      <c r="H40" s="130"/>
      <c r="I40" s="130"/>
      <c r="J40" s="130"/>
      <c r="K40" s="130"/>
      <c r="L40" s="130"/>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46"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47" t="s">
        <v>77</v>
      </c>
      <c r="E43" s="4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48" t="s">
        <v>79</v>
      </c>
      <c r="E46" s="1" t="str" cm="1">
        <f t="array" ref="E46">Fertiliser_Equations_AtmosphericDeposition.VEERG_5_4_1_1__1_InorganicFertiliserAtmosphericDepositionN2OEmissions_Variable()</f>
        <v>E_adinorganic</v>
      </c>
    </row>
    <row r="47" spans="1:12" ht="20.100000000000001" customHeight="1" x14ac:dyDescent="0.25">
      <c r="D47" s="48" t="s">
        <v>80</v>
      </c>
      <c r="E47" s="17"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50" t="str" cm="1">
        <f t="array" ref="D49:E54">_xlfn.CHOOSECOLS(Fertiliser_Equations_AtmosphericDeposition.VEERG_5_4_1_1__1_InorganicFertiliserAtmosphericDepositionN2OEmissions_Arguments(), 1, 2)</f>
        <v>M_volinorganicjf</v>
      </c>
      <c r="E49" s="51" t="str">
        <v>mass of nitrogen volatilised from inorganic fertiliser applied to production system</v>
      </c>
      <c r="F49" s="52"/>
      <c r="G49" s="53"/>
      <c r="H49" s="50" t="str" cm="1">
        <f t="array" ref="H49:I54">_xlfn.CHOOSECOLS(Fertiliser_Equations_AtmosphericDeposition.VEERG_5_4_1_1__1_InorganicFertiliserAtmosphericDepositionN2OEmissions_Arguments(), 3,4)</f>
        <v>kg N</v>
      </c>
      <c r="I49" s="55" t="str">
        <v>Calculated from 5.4.1.1 (2)</v>
      </c>
      <c r="J49" s="56" t="str" cm="1">
        <f t="array" aca="1" ref="J49" ca="1">HYPERLINK(Common_InputFunctions.Utility_SourceHyperlink($D$16),$D$16)</f>
        <v>Table_M_vol_inorganic_j_f</v>
      </c>
    </row>
    <row r="50" spans="4:10" ht="20.100000000000001" customHeight="1" x14ac:dyDescent="0.25">
      <c r="D50" s="50" t="str">
        <v>EF_N2Oj</v>
      </c>
      <c r="E50" s="51" t="str">
        <v>emission factor for atmospheric deposition</v>
      </c>
      <c r="F50" s="52"/>
      <c r="G50" s="53"/>
      <c r="H50" s="50" t="str">
        <v>kg N2O-N/kg N</v>
      </c>
      <c r="I50" s="55" t="str">
        <v>Constant</v>
      </c>
      <c r="J50" s="5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50" t="str">
        <v>C_N2O</v>
      </c>
      <c r="E51" s="51" t="str">
        <v>factor to convert elemental mass of nitrous oxide to molecular mass</v>
      </c>
      <c r="F51" s="52"/>
      <c r="G51" s="53"/>
      <c r="H51" s="50" t="str">
        <v/>
      </c>
      <c r="I51" s="55" t="str">
        <v>Constant</v>
      </c>
      <c r="J51" s="65">
        <f>Common_InputFunctions.Utility_LookupValueInTableNumber("N2O",Table_GasToMolecularConversionFactor[Gas],Table_GasToMolecularConversionFactor[Conversion factor combined])</f>
        <v>1.5714285714285714</v>
      </c>
    </row>
    <row r="52" spans="4:10" ht="20.100000000000001" customHeight="1" x14ac:dyDescent="0.25">
      <c r="D52" s="50" t="str">
        <v>j</v>
      </c>
      <c r="E52" s="51" t="str">
        <v>Production system</v>
      </c>
      <c r="F52" s="52"/>
      <c r="G52" s="53"/>
      <c r="H52" s="50" t="str">
        <v/>
      </c>
      <c r="I52" s="54" t="str">
        <v>Input</v>
      </c>
      <c r="J52" s="50" t="str">
        <f>X_Cell_Fertiliser_ProductionSystem</f>
        <v>Crop</v>
      </c>
    </row>
    <row r="53" spans="4:10" ht="20.100000000000001" customHeight="1" x14ac:dyDescent="0.25">
      <c r="D53" s="50" t="str">
        <v>ir</v>
      </c>
      <c r="E53" s="51" t="str">
        <v>irrigation method</v>
      </c>
      <c r="F53" s="52"/>
      <c r="G53" s="53"/>
      <c r="H53" s="50" t="str">
        <v/>
      </c>
      <c r="I53" s="54" t="str">
        <v>Input</v>
      </c>
      <c r="J53" s="50" t="str">
        <f>X_Cell_Fertiliser_IrrigationMethod</f>
        <v>Sprinkler irrigation</v>
      </c>
    </row>
    <row r="54" spans="4:10" ht="20.100000000000001" customHeight="1" x14ac:dyDescent="0.25">
      <c r="D54" s="50" t="str">
        <v>r</v>
      </c>
      <c r="E54" s="51" t="str">
        <v>rainfall region</v>
      </c>
      <c r="F54" s="52"/>
      <c r="G54" s="53"/>
      <c r="H54" s="50" t="str">
        <v/>
      </c>
      <c r="I54" s="54" t="str">
        <v>Input</v>
      </c>
      <c r="J54" s="50" t="str">
        <f>X_Cell_Site_RainfallZone</f>
        <v>High rainfall</v>
      </c>
    </row>
    <row r="55" spans="4:10" ht="20.100000000000001" customHeight="1" x14ac:dyDescent="0.25"/>
    <row r="56" spans="4:10" ht="20.100000000000001" customHeight="1" x14ac:dyDescent="0.25">
      <c r="D56" s="57" t="s">
        <v>416</v>
      </c>
    </row>
    <row r="57" spans="4:10" ht="20.100000000000001" customHeight="1" x14ac:dyDescent="0.25">
      <c r="D57" s="58" t="s">
        <v>417</v>
      </c>
    </row>
    <row r="58" spans="4:10" ht="20.100000000000001" customHeight="1" x14ac:dyDescent="0.25">
      <c r="D58" s="59" t="s">
        <v>411</v>
      </c>
      <c r="E58" s="134" t="s">
        <v>415</v>
      </c>
      <c r="F58" s="134" t="s">
        <v>418</v>
      </c>
    </row>
    <row r="59" spans="4:10" ht="20.100000000000001" customHeight="1" x14ac:dyDescent="0.25">
      <c r="D59" s="29" t="str" cm="1">
        <f t="array" ref="D59:D77">Table_Fertiliser_ChemicalCompounds[Fertiliser type f]</f>
        <v>Monoammonium phosphate (MAP)</v>
      </c>
      <c r="E59" s="29">
        <f t="shared" ref="E59:E77" si="0">H19</f>
        <v>0</v>
      </c>
      <c r="F59" s="29" cm="1">
        <f t="array" ref="F59">Fertiliser_Equations_AtmosphericDeposition.VEERG_5_4_1_1__1_InorganicFertiliserAtmosphericDepositionN2OEmissions(E59,$J$50,$J$51)</f>
        <v>0</v>
      </c>
      <c r="G59" s="32" t="str">
        <f>E47</f>
        <v>t N2O</v>
      </c>
    </row>
    <row r="60" spans="4:10" ht="20.100000000000001" customHeight="1" x14ac:dyDescent="0.25">
      <c r="D60" s="29" t="str">
        <v>Diammonium phosphate (DAP)</v>
      </c>
      <c r="E60" s="29">
        <f t="shared" si="0"/>
        <v>0</v>
      </c>
      <c r="F60" s="29" cm="1">
        <f t="array" ref="F60">Fertiliser_Equations_AtmosphericDeposition.VEERG_5_4_1_1__1_InorganicFertiliserAtmosphericDepositionN2OEmissions(E60,$J$50,$J$51)</f>
        <v>0</v>
      </c>
    </row>
    <row r="61" spans="4:10" ht="20.100000000000001" customHeight="1" x14ac:dyDescent="0.25">
      <c r="D61" s="29" t="str">
        <v>Urea</v>
      </c>
      <c r="E61" s="29">
        <f t="shared" si="0"/>
        <v>690</v>
      </c>
      <c r="F61" s="29" cm="1">
        <f t="array" ref="F61">Fertiliser_Equations_AtmosphericDeposition.VEERG_5_4_1_1__1_InorganicFertiliserAtmosphericDepositionN2OEmissions(E61,$J$50,$J$51)</f>
        <v>7.5900000000000004E-3</v>
      </c>
    </row>
    <row r="62" spans="4:10" ht="20.100000000000001" customHeight="1" x14ac:dyDescent="0.25">
      <c r="D62" s="29" t="str">
        <v>Sulphate of ammonia (SOA)</v>
      </c>
      <c r="E62" s="29">
        <f t="shared" si="0"/>
        <v>0</v>
      </c>
      <c r="F62" s="29" cm="1">
        <f t="array" ref="F62">Fertiliser_Equations_AtmosphericDeposition.VEERG_5_4_1_1__1_InorganicFertiliserAtmosphericDepositionN2OEmissions(E62,$J$50,$J$51)</f>
        <v>0</v>
      </c>
    </row>
    <row r="63" spans="4:10" ht="20.100000000000001" customHeight="1" x14ac:dyDescent="0.25">
      <c r="D63" s="29" t="str">
        <v>Urea-ammonium nitrate (UAN)</v>
      </c>
      <c r="E63" s="29">
        <f t="shared" si="0"/>
        <v>0</v>
      </c>
      <c r="F63" s="29" cm="1">
        <f t="array" ref="F63">Fertiliser_Equations_AtmosphericDeposition.VEERG_5_4_1_1__1_InorganicFertiliserAtmosphericDepositionN2OEmissions(E63,$J$50,$J$51)</f>
        <v>0</v>
      </c>
    </row>
    <row r="64" spans="4:10" ht="20.100000000000001" customHeight="1" x14ac:dyDescent="0.25">
      <c r="D64" s="29" t="str">
        <v>Ammonium nitrate (AN)</v>
      </c>
      <c r="E64" s="29">
        <f t="shared" si="0"/>
        <v>0</v>
      </c>
      <c r="F64" s="29" cm="1">
        <f t="array" ref="F64">Fertiliser_Equations_AtmosphericDeposition.VEERG_5_4_1_1__1_InorganicFertiliserAtmosphericDepositionN2OEmissions(E64,$J$50,$J$51)</f>
        <v>0</v>
      </c>
    </row>
    <row r="65" spans="4:6" ht="20.100000000000001" customHeight="1" x14ac:dyDescent="0.25">
      <c r="D65" s="29" t="str">
        <v>Calcium ammonium nitrate (CAN)</v>
      </c>
      <c r="E65" s="29">
        <f t="shared" si="0"/>
        <v>0</v>
      </c>
      <c r="F65" s="29" cm="1">
        <f t="array" ref="F65">Fertiliser_Equations_AtmosphericDeposition.VEERG_5_4_1_1__1_InorganicFertiliserAtmosphericDepositionN2OEmissions(E65,$J$50,$J$51)</f>
        <v>0</v>
      </c>
    </row>
    <row r="66" spans="4:6" ht="20.100000000000001" customHeight="1" x14ac:dyDescent="0.25">
      <c r="D66" s="29" t="str">
        <v>Nitrogen - Ammoniacal</v>
      </c>
      <c r="E66" s="29">
        <f t="shared" si="0"/>
        <v>0</v>
      </c>
      <c r="F66" s="29" cm="1">
        <f t="array" ref="F66">Fertiliser_Equations_AtmosphericDeposition.VEERG_5_4_1_1__1_InorganicFertiliserAtmosphericDepositionN2OEmissions(E66,$J$50,$J$51)</f>
        <v>0</v>
      </c>
    </row>
    <row r="67" spans="4:6" ht="20.100000000000001" customHeight="1" x14ac:dyDescent="0.25">
      <c r="D67" s="29" t="str">
        <v>Nitrogen - Nitrate</v>
      </c>
      <c r="E67" s="29">
        <f t="shared" si="0"/>
        <v>19.8</v>
      </c>
      <c r="F67" s="29" cm="1">
        <f t="array" ref="F67">Fertiliser_Equations_AtmosphericDeposition.VEERG_5_4_1_1__1_InorganicFertiliserAtmosphericDepositionN2OEmissions(E67,$J$50,$J$51)</f>
        <v>2.1780000000000001E-4</v>
      </c>
    </row>
    <row r="68" spans="4:6" ht="20.100000000000001" customHeight="1" x14ac:dyDescent="0.25">
      <c r="D68" s="29" t="str">
        <v>Nitrogen - Generic</v>
      </c>
      <c r="E68" s="29">
        <f t="shared" si="0"/>
        <v>230.57999999999998</v>
      </c>
      <c r="F68" s="29" cm="1">
        <f t="array" ref="F68">Fertiliser_Equations_AtmosphericDeposition.VEERG_5_4_1_1__1_InorganicFertiliserAtmosphericDepositionN2OEmissions(E68,$J$50,$J$51)</f>
        <v>2.53638E-3</v>
      </c>
    </row>
    <row r="69" spans="4:6" ht="20.100000000000001" customHeight="1" x14ac:dyDescent="0.25">
      <c r="D69" s="29" t="str">
        <v>Phosphorus - Generic</v>
      </c>
      <c r="E69" s="29">
        <f t="shared" si="0"/>
        <v>0</v>
      </c>
      <c r="F69" s="29" cm="1">
        <f t="array" ref="F69">Fertiliser_Equations_AtmosphericDeposition.VEERG_5_4_1_1__1_InorganicFertiliserAtmosphericDepositionN2OEmissions(E69,$J$50,$J$51)</f>
        <v>0</v>
      </c>
    </row>
    <row r="70" spans="4:6" ht="20.100000000000001" customHeight="1" x14ac:dyDescent="0.25">
      <c r="D70" s="29" t="str">
        <v>Potassium - Generic</v>
      </c>
      <c r="E70" s="29">
        <f t="shared" si="0"/>
        <v>0</v>
      </c>
      <c r="F70" s="29" cm="1">
        <f t="array" ref="F70">Fertiliser_Equations_AtmosphericDeposition.VEERG_5_4_1_1__1_InorganicFertiliserAtmosphericDepositionN2OEmissions(E70,$J$50,$J$51)</f>
        <v>0</v>
      </c>
    </row>
    <row r="71" spans="4:6" ht="20.100000000000001" customHeight="1" x14ac:dyDescent="0.25">
      <c r="D71" s="29" t="str">
        <v>Sulfur - Generic</v>
      </c>
      <c r="E71" s="29">
        <f t="shared" si="0"/>
        <v>0</v>
      </c>
      <c r="F71" s="29" cm="1">
        <f t="array" ref="F71">Fertiliser_Equations_AtmosphericDeposition.VEERG_5_4_1_1__1_InorganicFertiliserAtmosphericDepositionN2OEmissions(E71,$J$50,$J$51)</f>
        <v>0</v>
      </c>
    </row>
    <row r="72" spans="4:6" ht="20.100000000000001" customHeight="1" x14ac:dyDescent="0.25">
      <c r="D72" s="29" t="str">
        <v>Zinc - Generic</v>
      </c>
      <c r="E72" s="29">
        <f t="shared" si="0"/>
        <v>0</v>
      </c>
      <c r="F72" s="29" cm="1">
        <f t="array" ref="F72">Fertiliser_Equations_AtmosphericDeposition.VEERG_5_4_1_1__1_InorganicFertiliserAtmosphericDepositionN2OEmissions(E72,$J$50,$J$51)</f>
        <v>0</v>
      </c>
    </row>
    <row r="73" spans="4:6" ht="20.100000000000001" customHeight="1" x14ac:dyDescent="0.25">
      <c r="D73" s="29" t="str">
        <v>Muriate of potash (MOP)</v>
      </c>
      <c r="E73" s="29">
        <f t="shared" si="0"/>
        <v>0</v>
      </c>
      <c r="F73" s="29" cm="1">
        <f t="array" ref="F73">Fertiliser_Equations_AtmosphericDeposition.VEERG_5_4_1_1__1_InorganicFertiliserAtmosphericDepositionN2OEmissions(E73,$J$50,$J$51)</f>
        <v>0</v>
      </c>
    </row>
    <row r="74" spans="4:6" ht="20.100000000000001" customHeight="1" x14ac:dyDescent="0.25">
      <c r="D74" s="29" t="str">
        <v>Double superphosphate</v>
      </c>
      <c r="E74" s="29">
        <f t="shared" si="0"/>
        <v>0</v>
      </c>
      <c r="F74" s="29" cm="1">
        <f t="array" ref="F74">Fertiliser_Equations_AtmosphericDeposition.VEERG_5_4_1_1__1_InorganicFertiliserAtmosphericDepositionN2OEmissions(E74,$J$50,$J$51)</f>
        <v>0</v>
      </c>
    </row>
    <row r="75" spans="4:6" ht="20.100000000000001" customHeight="1" x14ac:dyDescent="0.25">
      <c r="D75" s="29" t="str">
        <v>Single superphosphate (SSP)</v>
      </c>
      <c r="E75" s="29">
        <f t="shared" si="0"/>
        <v>0</v>
      </c>
      <c r="F75" s="29" cm="1">
        <f t="array" ref="F75">Fertiliser_Equations_AtmosphericDeposition.VEERG_5_4_1_1__1_InorganicFertiliserAtmosphericDepositionN2OEmissions(E75,$J$50,$J$51)</f>
        <v>0</v>
      </c>
    </row>
    <row r="76" spans="4:6" ht="20.100000000000001" customHeight="1" x14ac:dyDescent="0.25">
      <c r="D76" s="29" t="str">
        <v>Ammonia</v>
      </c>
      <c r="E76" s="29">
        <f t="shared" si="0"/>
        <v>329.40000000000003</v>
      </c>
      <c r="F76" s="29" cm="1">
        <f t="array" ref="F76">Fertiliser_Equations_AtmosphericDeposition.VEERG_5_4_1_1__1_InorganicFertiliserAtmosphericDepositionN2OEmissions(E76,$J$50,$J$51)</f>
        <v>3.6234000000000001E-3</v>
      </c>
    </row>
    <row r="77" spans="4:6" ht="20.100000000000001" customHeight="1" x14ac:dyDescent="0.25">
      <c r="D77" s="29" t="str">
        <v>Calcium nitrate</v>
      </c>
      <c r="E77" s="29">
        <f t="shared" si="0"/>
        <v>7.75</v>
      </c>
      <c r="F77" s="2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62" t="s">
        <v>419</v>
      </c>
      <c r="E79" s="63">
        <f>SUM(F59:F77)</f>
        <v>1.4052830000000001E-2</v>
      </c>
      <c r="F79" s="64" t="str">
        <f>$E$47</f>
        <v>t N2O</v>
      </c>
    </row>
    <row r="80" spans="4:6" ht="20.100000000000001" customHeight="1" x14ac:dyDescent="0.25"/>
    <row r="81" spans="3:12" ht="20.100000000000001" customHeight="1" x14ac:dyDescent="0.25">
      <c r="D81" s="65" t="str" cm="1">
        <f t="array" ref="D81:E82">Common_Equations.Common_ConvertN2OToCO2e_Arguments()</f>
        <v>EN2O</v>
      </c>
      <c r="E81" s="66" t="str">
        <v>Nitrous oxide emissions (t N2O)</v>
      </c>
      <c r="F81" s="67"/>
      <c r="G81" s="29">
        <f>E79</f>
        <v>1.4052830000000001E-2</v>
      </c>
    </row>
    <row r="82" spans="3:12" ht="20.100000000000001" customHeight="1" x14ac:dyDescent="0.25">
      <c r="D82" s="65" t="str">
        <v>GWPN2O</v>
      </c>
      <c r="E82" s="66" t="str">
        <v>Global warming potential for nitrous oxide (t CO2-e / t N2O)</v>
      </c>
      <c r="F82" s="67"/>
      <c r="G82" s="29">
        <f>Common_InputFunctions.Utility_LookupValueInTableNumber("N2O",Table_GWPData[Gas],Table_GWPData[CO2-e factor])</f>
        <v>265</v>
      </c>
    </row>
    <row r="83" spans="3:12" ht="20.100000000000001" customHeight="1" x14ac:dyDescent="0.25"/>
    <row r="84" spans="3:12" ht="20.100000000000001" customHeight="1" x14ac:dyDescent="0.25">
      <c r="D84" s="61" t="s">
        <v>120</v>
      </c>
      <c r="E84" s="61" cm="1">
        <f t="array" ref="E84">Common_Equations.Common_ConvertN2OToCO2e(G81,G82)</f>
        <v>3.7239999500000001</v>
      </c>
      <c r="F84" s="19"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30"/>
      <c r="D87" s="130"/>
      <c r="E87" s="130"/>
      <c r="F87" s="130"/>
      <c r="G87" s="130"/>
      <c r="H87" s="130"/>
      <c r="I87" s="130"/>
      <c r="J87" s="130"/>
      <c r="K87" s="130"/>
      <c r="L87" s="13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46" t="str" cm="1">
        <f t="array" ref="D89">Fertiliser_Equations_AtmosphericDeposition.VEERG_5_4_1_3__2_MassOfNitrogenVolatilisedFromOrganicFertiliser_Source()</f>
        <v>VEERG 2026: 5.4.1.3, Equation (2)</v>
      </c>
    </row>
    <row r="90" spans="3:12" ht="20.100000000000001" customHeight="1" x14ac:dyDescent="0.25">
      <c r="D90" s="47" t="s">
        <v>77</v>
      </c>
      <c r="E90" s="47"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48" t="s">
        <v>79</v>
      </c>
      <c r="E93" s="1" t="str" cm="1">
        <f t="array" ref="E93">Fertiliser_Equations_AtmosphericDeposition.VEERG_5_4_1_3__2_MassOfNitrogenVolatilisedFromOrganicFertiliser_Variable()</f>
        <v>M_volorganicjf</v>
      </c>
    </row>
    <row r="94" spans="3:12" ht="20.100000000000001" customHeight="1" x14ac:dyDescent="0.25">
      <c r="D94" s="48" t="s">
        <v>80</v>
      </c>
      <c r="E94" s="17"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50" t="str" cm="1">
        <f t="array" ref="D96:E97">_xlfn.CHOOSECOLS(Fertiliser_Equations_AtmosphericDeposition.VEERG_5_4_1_3__2_MassOfNitrogenVolatilisedFromOrganicFertiliser_Arguments(), 1, 2)</f>
        <v>MNSoil_jf</v>
      </c>
      <c r="E96" s="50" t="str">
        <v>mass of nitrogen in organic fertiliser type f applied to production system j</v>
      </c>
      <c r="F96" s="50"/>
      <c r="G96" s="50" t="str" cm="1">
        <f t="array" ref="G96:H97">_xlfn.CHOOSECOLS(Fertiliser_Equations_AtmosphericDeposition.VEERG_5_4_1_3__2_MassOfNitrogenVolatilisedFromOrganicFertiliser_Arguments(), 3,4)</f>
        <v>kg N</v>
      </c>
      <c r="H96" s="55" t="str">
        <v>Calculated from 5.2.1.1 (2)</v>
      </c>
      <c r="I96" s="56" t="str" cm="1">
        <f t="array" aca="1" ref="I96" ca="1">HYPERLINK(Common_InputFunctions.Utility_SourceHyperlink($D$99), $D$99)</f>
        <v>Table_M_vol_organic_j_f</v>
      </c>
    </row>
    <row r="97" spans="4:9" ht="20.100000000000001" customHeight="1" x14ac:dyDescent="0.25">
      <c r="D97" s="50" t="str">
        <v>FracGASM_soil</v>
      </c>
      <c r="E97" s="50" t="str">
        <v>fraction of organic fertiliser N that volatilises</v>
      </c>
      <c r="F97" s="50"/>
      <c r="G97" s="50" t="str">
        <v>(kg NH3-N + NOx-N)/kg N</v>
      </c>
      <c r="H97" s="55" t="str">
        <v>Constant</v>
      </c>
      <c r="I97" s="50">
        <f>'Constants - Fertiliser'!$E$73</f>
        <v>0.21</v>
      </c>
    </row>
    <row r="98" spans="4:9" ht="20.100000000000001" customHeight="1" x14ac:dyDescent="0.25"/>
    <row r="99" spans="4:9" ht="20.100000000000001" customHeight="1" x14ac:dyDescent="0.25">
      <c r="D99" s="57" t="s">
        <v>420</v>
      </c>
    </row>
    <row r="100" spans="4:9" ht="20.100000000000001" customHeight="1" x14ac:dyDescent="0.25">
      <c r="D100" s="58" t="s">
        <v>421</v>
      </c>
    </row>
    <row r="101" spans="4:9" ht="20.100000000000001" customHeight="1" x14ac:dyDescent="0.25">
      <c r="D101" s="60" t="s">
        <v>392</v>
      </c>
      <c r="E101" s="125" t="s">
        <v>396</v>
      </c>
      <c r="F101" s="125" t="s">
        <v>422</v>
      </c>
    </row>
    <row r="102" spans="4:9" ht="20.100000000000001" customHeight="1" x14ac:dyDescent="0.25">
      <c r="D102" s="29" t="str" cm="1">
        <f t="array" ref="D102:D104">Table_Input_OrganicFertiliser[Organic fertiliser type (select)]</f>
        <v>Manure - Other</v>
      </c>
      <c r="E102" s="29">
        <f>INDEX(Table_MNSoil_j_f,2,6)</f>
        <v>300</v>
      </c>
      <c r="F102" s="29" cm="1">
        <f t="array" ref="F102">Fertiliser_Equations_AtmosphericDeposition.VEERG_5_4_1_3__2_MassOfNitrogenVolatilisedFromOrganicFertiliser(E102,$I$97)</f>
        <v>63</v>
      </c>
      <c r="G102" s="32" t="str">
        <f>$E$94</f>
        <v>kg N</v>
      </c>
    </row>
    <row r="103" spans="4:9" ht="20.100000000000001" customHeight="1" x14ac:dyDescent="0.25">
      <c r="D103" s="29" t="str">
        <v>Manure - Poultry</v>
      </c>
      <c r="E103" s="29">
        <f>INDEX(Table_MNSoil_j_f,3,6)</f>
        <v>250</v>
      </c>
      <c r="F103" s="29" cm="1">
        <f t="array" ref="F103">Fertiliser_Equations_AtmosphericDeposition.VEERG_5_4_1_3__2_MassOfNitrogenVolatilisedFromOrganicFertiliser(E103,$I$97)</f>
        <v>52.5</v>
      </c>
    </row>
    <row r="104" spans="4:9" ht="20.100000000000001" customHeight="1" x14ac:dyDescent="0.25">
      <c r="D104" s="29" t="str">
        <v>Other organic fertiliser</v>
      </c>
      <c r="E104" s="29">
        <f>INDEX(Table_MNSoil_j_f,4,6)</f>
        <v>160</v>
      </c>
      <c r="F104" s="29" cm="1">
        <f t="array" ref="F104">Fertiliser_Equations_AtmosphericDeposition.VEERG_5_4_1_3__2_MassOfNitrogenVolatilisedFromOrganicFertiliser(E104,$I$97)</f>
        <v>33.6</v>
      </c>
    </row>
    <row r="105" spans="4:9" ht="20.100000000000001" customHeight="1" x14ac:dyDescent="0.25">
      <c r="D105" s="29"/>
      <c r="E105" s="29">
        <f>'5.2.1.1-2 Organic Fert N2O'!I23</f>
        <v>0</v>
      </c>
      <c r="F105" s="29" cm="1">
        <f t="array" ref="F105">Fertiliser_Equations_AtmosphericDeposition.VEERG_5_4_1_3__2_MassOfNitrogenVolatilisedFromOrganicFertiliser(E105,$I$97)</f>
        <v>0</v>
      </c>
    </row>
    <row r="106" spans="4:9" ht="20.100000000000001" customHeight="1" x14ac:dyDescent="0.25">
      <c r="D106" s="29"/>
      <c r="E106" s="29">
        <f>'5.2.1.1-2 Organic Fert N2O'!I24</f>
        <v>0</v>
      </c>
      <c r="F106" s="29" cm="1">
        <f t="array" ref="F106">Fertiliser_Equations_AtmosphericDeposition.VEERG_5_4_1_3__2_MassOfNitrogenVolatilisedFromOrganicFertiliser(E106,$I$97)</f>
        <v>0</v>
      </c>
    </row>
    <row r="107" spans="4:9" ht="20.100000000000001" customHeight="1" x14ac:dyDescent="0.25">
      <c r="D107" s="29"/>
      <c r="E107" s="29">
        <f>'5.2.1.1-2 Organic Fert N2O'!I25</f>
        <v>0</v>
      </c>
      <c r="F107" s="29" cm="1">
        <f t="array" ref="F107">Fertiliser_Equations_AtmosphericDeposition.VEERG_5_4_1_3__2_MassOfNitrogenVolatilisedFromOrganicFertiliser(E107,$I$97)</f>
        <v>0</v>
      </c>
    </row>
    <row r="108" spans="4:9" ht="20.100000000000001" customHeight="1" x14ac:dyDescent="0.25">
      <c r="D108" s="29"/>
      <c r="E108" s="29">
        <f>'5.2.1.1-2 Organic Fert N2O'!I26</f>
        <v>0</v>
      </c>
      <c r="F108" s="29" cm="1">
        <f t="array" ref="F108">Fertiliser_Equations_AtmosphericDeposition.VEERG_5_4_1_3__2_MassOfNitrogenVolatilisedFromOrganicFertiliser(E108,$I$97)</f>
        <v>0</v>
      </c>
    </row>
    <row r="109" spans="4:9" ht="20.100000000000001" customHeight="1" x14ac:dyDescent="0.25">
      <c r="D109" s="29"/>
      <c r="E109" s="29">
        <f>'5.2.1.1-2 Organic Fert N2O'!I27</f>
        <v>0</v>
      </c>
      <c r="F109" s="29" cm="1">
        <f t="array" ref="F109">Fertiliser_Equations_AtmosphericDeposition.VEERG_5_4_1_3__2_MassOfNitrogenVolatilisedFromOrganicFertiliser(E109,$I$97)</f>
        <v>0</v>
      </c>
    </row>
    <row r="110" spans="4:9" ht="20.100000000000001" customHeight="1" x14ac:dyDescent="0.25">
      <c r="D110" s="29"/>
      <c r="E110" s="29">
        <f>'5.2.1.1-2 Organic Fert N2O'!I28</f>
        <v>0</v>
      </c>
      <c r="F110" s="29" cm="1">
        <f t="array" ref="F110">Fertiliser_Equations_AtmosphericDeposition.VEERG_5_4_1_3__2_MassOfNitrogenVolatilisedFromOrganicFertiliser(E110,$I$97)</f>
        <v>0</v>
      </c>
    </row>
    <row r="111" spans="4:9" ht="20.100000000000001" customHeight="1" x14ac:dyDescent="0.25">
      <c r="D111" s="29"/>
      <c r="E111" s="29">
        <f>'5.2.1.1-2 Organic Fert N2O'!I29</f>
        <v>0</v>
      </c>
      <c r="F111" s="29" cm="1">
        <f t="array" ref="F111">Fertiliser_Equations_AtmosphericDeposition.VEERG_5_4_1_3__2_MassOfNitrogenVolatilisedFromOrganicFertiliser(E111,$I$97)</f>
        <v>0</v>
      </c>
    </row>
    <row r="112" spans="4:9" ht="20.100000000000001" customHeight="1" x14ac:dyDescent="0.25">
      <c r="D112" s="29"/>
      <c r="E112" s="29">
        <f>'5.2.1.1-2 Organic Fert N2O'!I30</f>
        <v>0</v>
      </c>
      <c r="F112" s="2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30"/>
      <c r="D115" s="130"/>
      <c r="E115" s="130"/>
      <c r="F115" s="130"/>
      <c r="G115" s="130"/>
      <c r="H115" s="130"/>
      <c r="I115" s="130"/>
      <c r="J115" s="130"/>
      <c r="K115" s="130"/>
      <c r="L115" s="13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46" t="str" cm="1">
        <f t="array" ref="D117">Fertiliser_Equations_AtmosphericDeposition.VEERG_5_4_1_3__1_OrganicFertiliserAtmosphericDepositionN2OEmissions_Source()</f>
        <v>VEERG 2026: 5.4.1.3, Equation (1)</v>
      </c>
    </row>
    <row r="118" spans="3:12" ht="20.100000000000001" customHeight="1" x14ac:dyDescent="0.25">
      <c r="D118" s="47" t="s">
        <v>77</v>
      </c>
      <c r="E118" s="47"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48" t="s">
        <v>79</v>
      </c>
      <c r="E121" s="1" t="str" cm="1">
        <f t="array" ref="E121">Fertiliser_Equations_AtmosphericDeposition.VEERG_5_4_1_3__1_OrganicFertiliserAtmosphericDepositionN2OEmissions_Variable()</f>
        <v>E_adorganic</v>
      </c>
    </row>
    <row r="122" spans="3:12" ht="20.100000000000001" customHeight="1" x14ac:dyDescent="0.25">
      <c r="D122" s="48" t="s">
        <v>80</v>
      </c>
      <c r="E122" s="17"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50" t="str" cm="1">
        <f t="array" ref="D124:E129">_xlfn.CHOOSECOLS(Fertiliser_Equations_AtmosphericDeposition.VEERG_5_4_1_3__1_OrganicFertiliserAtmosphericDepositionN2OEmissions_Arguments(), 1, 2)</f>
        <v>M_volorganicjf</v>
      </c>
      <c r="E124" s="51" t="str">
        <v>mass of nitrogen volatilised from organic fertiliser applied to production system</v>
      </c>
      <c r="F124" s="53"/>
      <c r="G124" s="50" t="str" cm="1">
        <f t="array" ref="G124:H129">_xlfn.CHOOSECOLS(Fertiliser_Equations_AtmosphericDeposition.VEERG_5_4_1_3__1_OrganicFertiliserAtmosphericDepositionN2OEmissions_Arguments(), 3,4)</f>
        <v>kg N</v>
      </c>
      <c r="H124" s="55" t="str">
        <v>Calculated from 5.4.1.3 (2)</v>
      </c>
      <c r="I124" s="56" t="str" cm="1">
        <f t="array" aca="1" ref="I124" ca="1">HYPERLINK(Common_InputFunctions.Utility_SourceHyperlink($D$99), $D$99)</f>
        <v>Table_M_vol_organic_j_f</v>
      </c>
    </row>
    <row r="125" spans="3:12" ht="20.100000000000001" customHeight="1" x14ac:dyDescent="0.25">
      <c r="D125" s="50" t="str">
        <v>EF_N2Oj</v>
      </c>
      <c r="E125" s="51" t="str">
        <v>emission factor for atmospheric deposition in production system j</v>
      </c>
      <c r="F125" s="53"/>
      <c r="G125" s="50" t="str">
        <v>kg N2O-N/kg N</v>
      </c>
      <c r="H125" s="55" t="str">
        <v>Constant</v>
      </c>
      <c r="I125" s="5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50" t="str">
        <v>C_N2O</v>
      </c>
      <c r="E126" s="51" t="str">
        <v>factor to convert elemental mass of nitrous oxide to molecular mass</v>
      </c>
      <c r="F126" s="53"/>
      <c r="G126" s="50" t="str">
        <v/>
      </c>
      <c r="H126" s="55" t="str">
        <v>Constant</v>
      </c>
      <c r="I126" s="65">
        <f>Common_InputFunctions.Utility_LookupValueInTableNumber("N2O",Table_GasToMolecularConversionFactor[Gas],Table_GasToMolecularConversionFactor[Conversion factor combined])</f>
        <v>1.5714285714285714</v>
      </c>
    </row>
    <row r="127" spans="3:12" ht="20.100000000000001" customHeight="1" x14ac:dyDescent="0.25">
      <c r="D127" s="50" t="str">
        <v>j</v>
      </c>
      <c r="E127" s="51" t="str">
        <v>Production system</v>
      </c>
      <c r="F127" s="53"/>
      <c r="G127" s="50" t="str">
        <v/>
      </c>
      <c r="H127" s="54" t="str">
        <v>Input</v>
      </c>
      <c r="I127" s="50" t="str">
        <f>X_Cell_Fertiliser_ProductionSystem</f>
        <v>Crop</v>
      </c>
    </row>
    <row r="128" spans="3:12" ht="20.100000000000001" customHeight="1" x14ac:dyDescent="0.25">
      <c r="D128" s="50" t="str">
        <v>ir</v>
      </c>
      <c r="E128" s="51" t="str">
        <v>irrigation method</v>
      </c>
      <c r="F128" s="53"/>
      <c r="G128" s="50" t="str">
        <v/>
      </c>
      <c r="H128" s="54" t="str">
        <v>Input</v>
      </c>
      <c r="I128" s="50" t="str">
        <f>X_Cell_Fertiliser_IrrigationMethod</f>
        <v>Sprinkler irrigation</v>
      </c>
    </row>
    <row r="129" spans="4:9" ht="20.100000000000001" customHeight="1" x14ac:dyDescent="0.25">
      <c r="D129" s="50" t="str">
        <v>r</v>
      </c>
      <c r="E129" s="51" t="str">
        <v>rainfall region</v>
      </c>
      <c r="F129" s="53"/>
      <c r="G129" s="50" t="str">
        <v/>
      </c>
      <c r="H129" s="54" t="str">
        <v>Input</v>
      </c>
      <c r="I129" s="50" t="str">
        <f>X_Cell_Site_RainfallZone</f>
        <v>High rainfall</v>
      </c>
    </row>
    <row r="130" spans="4:9" ht="20.100000000000001" customHeight="1" x14ac:dyDescent="0.25"/>
    <row r="131" spans="4:9" ht="20.100000000000001" customHeight="1" x14ac:dyDescent="0.25">
      <c r="D131" s="57" t="s">
        <v>423</v>
      </c>
    </row>
    <row r="132" spans="4:9" ht="20.100000000000001" customHeight="1" x14ac:dyDescent="0.25">
      <c r="D132" s="58" t="s">
        <v>424</v>
      </c>
    </row>
    <row r="133" spans="4:9" ht="20.100000000000001" customHeight="1" x14ac:dyDescent="0.25">
      <c r="D133" s="60" t="s">
        <v>392</v>
      </c>
      <c r="E133" s="125" t="s">
        <v>422</v>
      </c>
      <c r="F133" s="125" t="s">
        <v>425</v>
      </c>
    </row>
    <row r="134" spans="4:9" ht="20.100000000000001" customHeight="1" x14ac:dyDescent="0.25">
      <c r="D134" s="29" t="str" cm="1">
        <f t="array" ref="D134:D136">Table_Input_OrganicFertiliser[Organic fertiliser type (select)]</f>
        <v>Manure - Other</v>
      </c>
      <c r="E134" s="29">
        <f>F102</f>
        <v>63</v>
      </c>
      <c r="F134" s="29" cm="1">
        <f t="array" ref="F134">Fertiliser_Equations_AtmosphericDeposition.VEERG_5_4_1_3__1_OrganicFertiliserAtmosphericDepositionN2OEmissions(E134,$I$125,$I$126)</f>
        <v>6.9299999999999993E-4</v>
      </c>
    </row>
    <row r="135" spans="4:9" ht="20.100000000000001" customHeight="1" x14ac:dyDescent="0.25">
      <c r="D135" s="29" t="str">
        <v>Manure - Poultry</v>
      </c>
      <c r="E135" s="29">
        <f t="shared" ref="E135:E144" si="1">F103</f>
        <v>52.5</v>
      </c>
      <c r="F135" s="29" cm="1">
        <f t="array" ref="F135">Fertiliser_Equations_AtmosphericDeposition.VEERG_5_4_1_3__1_OrganicFertiliserAtmosphericDepositionN2OEmissions(E135,$I$125,$I$126)</f>
        <v>5.775E-4</v>
      </c>
    </row>
    <row r="136" spans="4:9" ht="20.100000000000001" customHeight="1" x14ac:dyDescent="0.25">
      <c r="D136" s="29" t="str">
        <v>Other organic fertiliser</v>
      </c>
      <c r="E136" s="29">
        <f t="shared" si="1"/>
        <v>33.6</v>
      </c>
      <c r="F136" s="29" cm="1">
        <f t="array" ref="F136">Fertiliser_Equations_AtmosphericDeposition.VEERG_5_4_1_3__1_OrganicFertiliserAtmosphericDepositionN2OEmissions(E136,$I$125,$I$126)</f>
        <v>3.6960000000000004E-4</v>
      </c>
    </row>
    <row r="137" spans="4:9" ht="20.100000000000001" customHeight="1" x14ac:dyDescent="0.25">
      <c r="D137" s="29"/>
      <c r="E137" s="29">
        <f t="shared" si="1"/>
        <v>0</v>
      </c>
      <c r="F137" s="29" cm="1">
        <f t="array" ref="F137">Fertiliser_Equations_AtmosphericDeposition.VEERG_5_4_1_3__1_OrganicFertiliserAtmosphericDepositionN2OEmissions(E137,$I$125,$I$126)</f>
        <v>0</v>
      </c>
    </row>
    <row r="138" spans="4:9" ht="20.100000000000001" customHeight="1" x14ac:dyDescent="0.25">
      <c r="D138" s="29"/>
      <c r="E138" s="29">
        <f t="shared" si="1"/>
        <v>0</v>
      </c>
      <c r="F138" s="29" cm="1">
        <f t="array" ref="F138">Fertiliser_Equations_AtmosphericDeposition.VEERG_5_4_1_3__1_OrganicFertiliserAtmosphericDepositionN2OEmissions(E138,$I$125,$I$126)</f>
        <v>0</v>
      </c>
    </row>
    <row r="139" spans="4:9" ht="20.100000000000001" customHeight="1" x14ac:dyDescent="0.25">
      <c r="D139" s="29"/>
      <c r="E139" s="29">
        <f t="shared" si="1"/>
        <v>0</v>
      </c>
      <c r="F139" s="29" cm="1">
        <f t="array" ref="F139">Fertiliser_Equations_AtmosphericDeposition.VEERG_5_4_1_3__1_OrganicFertiliserAtmosphericDepositionN2OEmissions(E139,$I$125,$I$126)</f>
        <v>0</v>
      </c>
    </row>
    <row r="140" spans="4:9" ht="20.100000000000001" customHeight="1" x14ac:dyDescent="0.25">
      <c r="D140" s="29"/>
      <c r="E140" s="29">
        <f t="shared" si="1"/>
        <v>0</v>
      </c>
      <c r="F140" s="29" cm="1">
        <f t="array" ref="F140">Fertiliser_Equations_AtmosphericDeposition.VEERG_5_4_1_3__1_OrganicFertiliserAtmosphericDepositionN2OEmissions(E140,$I$125,$I$126)</f>
        <v>0</v>
      </c>
    </row>
    <row r="141" spans="4:9" ht="20.100000000000001" customHeight="1" x14ac:dyDescent="0.25">
      <c r="D141" s="29"/>
      <c r="E141" s="29">
        <f t="shared" si="1"/>
        <v>0</v>
      </c>
      <c r="F141" s="29" cm="1">
        <f t="array" ref="F141">Fertiliser_Equations_AtmosphericDeposition.VEERG_5_4_1_3__1_OrganicFertiliserAtmosphericDepositionN2OEmissions(E141,$I$125,$I$126)</f>
        <v>0</v>
      </c>
    </row>
    <row r="142" spans="4:9" ht="20.100000000000001" customHeight="1" x14ac:dyDescent="0.25">
      <c r="D142" s="29"/>
      <c r="E142" s="29">
        <f t="shared" si="1"/>
        <v>0</v>
      </c>
      <c r="F142" s="29" cm="1">
        <f t="array" ref="F142">Fertiliser_Equations_AtmosphericDeposition.VEERG_5_4_1_3__1_OrganicFertiliserAtmosphericDepositionN2OEmissions(E142,$I$125,$I$126)</f>
        <v>0</v>
      </c>
    </row>
    <row r="143" spans="4:9" ht="20.100000000000001" customHeight="1" x14ac:dyDescent="0.25">
      <c r="D143" s="29"/>
      <c r="E143" s="29">
        <f t="shared" si="1"/>
        <v>0</v>
      </c>
      <c r="F143" s="29" cm="1">
        <f t="array" ref="F143">Fertiliser_Equations_AtmosphericDeposition.VEERG_5_4_1_3__1_OrganicFertiliserAtmosphericDepositionN2OEmissions(E143,$I$125,$I$126)</f>
        <v>0</v>
      </c>
    </row>
    <row r="144" spans="4:9" ht="20.100000000000001" customHeight="1" x14ac:dyDescent="0.25">
      <c r="D144" s="29"/>
      <c r="E144" s="29">
        <f t="shared" si="1"/>
        <v>0</v>
      </c>
      <c r="F144" s="2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62" t="s">
        <v>426</v>
      </c>
      <c r="E146" s="63">
        <f>SUM(F134:F144)</f>
        <v>1.6401E-3</v>
      </c>
      <c r="F146" s="64" t="str">
        <f>$E$122</f>
        <v>t N2O</v>
      </c>
    </row>
    <row r="147" spans="4:7" ht="20.100000000000001" customHeight="1" x14ac:dyDescent="0.25"/>
    <row r="148" spans="4:7" ht="20.100000000000001" customHeight="1" x14ac:dyDescent="0.25">
      <c r="D148" s="65" t="str" cm="1">
        <f t="array" ref="D148:E149">Common_Equations.Common_ConvertN2OToCO2e_Arguments()</f>
        <v>EN2O</v>
      </c>
      <c r="E148" s="66" t="str">
        <v>Nitrous oxide emissions (t N2O)</v>
      </c>
      <c r="F148" s="67"/>
      <c r="G148" s="29">
        <f>E146</f>
        <v>1.6401E-3</v>
      </c>
    </row>
    <row r="149" spans="4:7" ht="20.100000000000001" customHeight="1" x14ac:dyDescent="0.25">
      <c r="D149" s="65" t="str">
        <v>GWPN2O</v>
      </c>
      <c r="E149" s="66" t="str">
        <v>Global warming potential for nitrous oxide (t CO2-e / t N2O)</v>
      </c>
      <c r="F149" s="67"/>
      <c r="G149" s="29">
        <f>Common_InputFunctions.Utility_LookupValueInTableNumber("N2O",Table_GWPData[Gas],Table_GWPData[CO2-e factor])</f>
        <v>265</v>
      </c>
    </row>
    <row r="150" spans="4:7" ht="20.100000000000001" customHeight="1" x14ac:dyDescent="0.25"/>
    <row r="151" spans="4:7" ht="20.100000000000001" customHeight="1" x14ac:dyDescent="0.25">
      <c r="D151" s="61" t="s">
        <v>120</v>
      </c>
      <c r="E151" s="61" cm="1">
        <f t="array" ref="E151">Common_Equations.Common_ConvertN2OToCO2e(G148,G149)</f>
        <v>0.43462650000000003</v>
      </c>
      <c r="F151" s="19"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4A801-BD0D-4D65-A8B1-97A1DA8083FF}">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4" customFormat="1" ht="30" customHeight="1" x14ac:dyDescent="0.35">
      <c r="A1" s="18" t="e" vm="1">
        <v>#VALUE!</v>
      </c>
      <c r="C1" s="44" t="s">
        <v>427</v>
      </c>
    </row>
    <row r="2" spans="1:20" s="3" customFormat="1" ht="20.100000000000001" customHeight="1" x14ac:dyDescent="0.25">
      <c r="A2"/>
    </row>
    <row r="3" spans="1:20"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46" t="str" cm="1">
        <f t="array" ref="D6">Fertiliser_Equations_LeachingAndRunoff.VEERG_5_5_1_1__2_MassOfNitrogenLeachedFromInorganicFertiliser_Source()</f>
        <v>VEERG 2026: 5.5, Equation (2)</v>
      </c>
    </row>
    <row r="7" spans="1:20" ht="20.100000000000001" customHeight="1" x14ac:dyDescent="0.25">
      <c r="A7" s="7" t="s">
        <v>0</v>
      </c>
      <c r="D7" s="47" t="s">
        <v>77</v>
      </c>
      <c r="E7" s="47"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48" t="s">
        <v>79</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48" t="s">
        <v>80</v>
      </c>
      <c r="E11" s="17"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50" t="str" cm="1">
        <f t="array" ref="D13:E18">_xlfn.CHOOSECOLS(Fertiliser_Equations_LeachingAndRunoff.VEERG_5_5_1_1__2_MassOfNitrogenLeachedFromInorganicFertiliser_Arguments(), 1, 2)</f>
        <v>MN_jf</v>
      </c>
      <c r="E13" s="51" t="str">
        <v>mass of nitrogen in inorganic fertiliser</v>
      </c>
      <c r="F13" s="53"/>
      <c r="G13" s="50" t="str" cm="1">
        <f t="array" ref="G13:H18">_xlfn.CHOOSECOLS(Fertiliser_Equations_LeachingAndRunoff.VEERG_5_5_1_1__2_MassOfNitrogenLeachedFromInorganicFertiliser_Arguments(), 3,4)</f>
        <v>kg N</v>
      </c>
      <c r="H13" s="55" t="str">
        <v>Calculated from 5.1.1.1 (2)</v>
      </c>
      <c r="I13" s="56" t="str" cm="1">
        <f t="array" aca="1" ref="I13" ca="1">HYPERLINK(Common_InputFunctions.Utility_SourceHyperlink(D20), D20)</f>
        <v>Table_M_leach_inorganic_j</v>
      </c>
    </row>
    <row r="14" spans="1:20" ht="20.100000000000001" customHeight="1" x14ac:dyDescent="0.25">
      <c r="A14" s="5" t="str">
        <f>HYPERLINK("#'Input - Fuel'!A1", "Fuel")</f>
        <v>Fuel</v>
      </c>
      <c r="D14" s="50" t="str">
        <v>FracWETj</v>
      </c>
      <c r="E14" s="51" t="str">
        <v>fraction of N available for leaching and runoff</v>
      </c>
      <c r="F14" s="53"/>
      <c r="G14" s="50" t="str">
        <v>fraction</v>
      </c>
      <c r="H14" s="55" t="str">
        <v>Constant</v>
      </c>
      <c r="I14" s="50">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50" t="str">
        <v>FracLEACH</v>
      </c>
      <c r="E15" s="51" t="str">
        <v>fraction of N that is lost through leaching and runoff</v>
      </c>
      <c r="F15" s="53"/>
      <c r="G15" s="50" t="str">
        <v>fraction</v>
      </c>
      <c r="H15" s="55" t="str">
        <v>Constant</v>
      </c>
      <c r="I15" s="50">
        <f>'Constants - Fertiliser'!$E$78</f>
        <v>0.24</v>
      </c>
    </row>
    <row r="16" spans="1:20" ht="20.100000000000001" customHeight="1" x14ac:dyDescent="0.25">
      <c r="D16" s="50" t="str">
        <v>z</v>
      </c>
      <c r="E16" s="51" t="str">
        <v>location in leaching zone</v>
      </c>
      <c r="F16" s="53"/>
      <c r="G16" s="50" t="str">
        <v/>
      </c>
      <c r="H16" s="54" t="str">
        <v>Input</v>
      </c>
      <c r="I16" s="50" t="str">
        <f>X_Cell_Site_LeachingZone</f>
        <v>NO - Not in leaching zone</v>
      </c>
    </row>
    <row r="17" spans="1:9" ht="20.100000000000001" customHeight="1" x14ac:dyDescent="0.25">
      <c r="D17" s="50" t="str">
        <v>j</v>
      </c>
      <c r="E17" s="51" t="str">
        <v>production system</v>
      </c>
      <c r="F17" s="53"/>
      <c r="G17" s="50" t="str">
        <v/>
      </c>
      <c r="H17" s="54" t="str">
        <v>Input</v>
      </c>
      <c r="I17" s="50" t="str">
        <f>X_Cell_Fertiliser_ProductionSystem</f>
        <v>Crop</v>
      </c>
    </row>
    <row r="18" spans="1:9" ht="20.100000000000001" customHeight="1" x14ac:dyDescent="0.25">
      <c r="A18" s="6" t="s">
        <v>3</v>
      </c>
      <c r="D18" s="50" t="str">
        <v>ir</v>
      </c>
      <c r="E18" s="51" t="str">
        <v>irrigation method</v>
      </c>
      <c r="F18" s="53"/>
      <c r="G18" s="50" t="str">
        <v/>
      </c>
      <c r="H18" s="54" t="str">
        <v>Input</v>
      </c>
      <c r="I18" s="50"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57" t="s">
        <v>428</v>
      </c>
    </row>
    <row r="21" spans="1:9" ht="20.100000000000001" customHeight="1" x14ac:dyDescent="0.25">
      <c r="A21" s="5" t="str">
        <f>HYPERLINK("#'4.2.1.3-4 Soil direct N20'!A1", "4.2.1.3-4 Soil direct N2O")</f>
        <v>4.2.1.3-4 Soil direct N2O</v>
      </c>
      <c r="D21" s="58" t="s">
        <v>429</v>
      </c>
    </row>
    <row r="22" spans="1:9" ht="20.100000000000001" customHeight="1" x14ac:dyDescent="0.25">
      <c r="A22" s="5" t="str">
        <f>HYPERLINK("#'4.2.1.5-6 Soil Atmos Dep'!A1", "4.2.1.5-6 Soil atm. deposition")</f>
        <v>4.2.1.5-6 Soil atm. deposition</v>
      </c>
      <c r="D22" s="59" t="s">
        <v>355</v>
      </c>
      <c r="E22" s="59" t="s">
        <v>412</v>
      </c>
      <c r="F22" s="59" t="s">
        <v>430</v>
      </c>
    </row>
    <row r="23" spans="1:9" ht="20.100000000000001" customHeight="1" x14ac:dyDescent="0.25">
      <c r="A23" s="5" t="str">
        <f>HYPERLINK("#'4.2.1.7-8 Soil leach runoff'!A1", "4.2.1.7-8 Soil leach &amp; runoff")</f>
        <v>4.2.1.7-8 Soil leach &amp; runoff</v>
      </c>
      <c r="D23" s="29" t="str" cm="1">
        <f t="array" ref="D23:D41">Table_Fertiliser_ChemicalCompounds[Fertiliser type f]</f>
        <v>Monoammonium phosphate (MAP)</v>
      </c>
      <c r="E23" s="29">
        <f>INDEX(Table_MN_j_f,2,4)</f>
        <v>0</v>
      </c>
      <c r="F23" s="29"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9" t="str">
        <v>Diammonium phosphate (DAP)</v>
      </c>
      <c r="E24" s="29">
        <f>INDEX(Table_MN_j_f,3,4)</f>
        <v>0</v>
      </c>
      <c r="F24" s="29"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9" t="str">
        <v>Urea</v>
      </c>
      <c r="E25" s="29">
        <f>INDEX(Table_MN_j_f,4,4)</f>
        <v>4600</v>
      </c>
      <c r="F25" s="29"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9" t="str">
        <v>Sulphate of ammonia (SOA)</v>
      </c>
      <c r="E26" s="29">
        <f>INDEX(Table_MN_j_f,5,4)</f>
        <v>0</v>
      </c>
      <c r="F26" s="29"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9" t="str">
        <v>Urea-ammonium nitrate (UAN)</v>
      </c>
      <c r="E27" s="29">
        <f>INDEX(Table_MN_j_f,6,4)</f>
        <v>0</v>
      </c>
      <c r="F27" s="29"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9" t="str">
        <v>Ammonium nitrate (AN)</v>
      </c>
      <c r="E28" s="29">
        <f>INDEX(Table_MN_j_f,7,4)</f>
        <v>0</v>
      </c>
      <c r="F28" s="29" cm="1">
        <f t="array" ref="F28">Fertiliser_Equations_LeachingAndRunoff.VEERG_5_5_1_1__2_MassOfNitrogenLeachedFromInorganicFertiliser(E28, $I$14, $I$15)</f>
        <v>0</v>
      </c>
    </row>
    <row r="29" spans="1:9" ht="20.100000000000001" customHeight="1" x14ac:dyDescent="0.25">
      <c r="A29" s="49" t="str">
        <f>HYPERLINK("#'5.5.1.1-2 Leaching and runoff'!A1", "5.5.1.1-2 Leaching &amp; runoff")</f>
        <v>5.5.1.1-2 Leaching &amp; runoff</v>
      </c>
      <c r="D29" s="29" t="str">
        <v>Calcium ammonium nitrate (CAN)</v>
      </c>
      <c r="E29" s="29">
        <f>INDEX(Table_MN_j_f,8,4)</f>
        <v>0</v>
      </c>
      <c r="F29" s="29"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9" t="str">
        <v>Nitrogen - Ammoniacal</v>
      </c>
      <c r="E30" s="29">
        <f>INDEX(Table_MN_j_f,9,4)</f>
        <v>0</v>
      </c>
      <c r="F30" s="29"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9" t="str">
        <v>Nitrogen - Nitrate</v>
      </c>
      <c r="E31" s="29">
        <f>INDEX(Table_MN_j_f,10,4)</f>
        <v>1980</v>
      </c>
      <c r="F31" s="29"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9" t="str">
        <v>Nitrogen - Generic</v>
      </c>
      <c r="E32" s="29">
        <f>INDEX(Table_MN_j_f,11,4)</f>
        <v>1537.2</v>
      </c>
      <c r="F32" s="29"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9" t="str">
        <v>Phosphorus - Generic</v>
      </c>
      <c r="E33" s="29">
        <f>INDEX(Table_MN_j_f,12,4)</f>
        <v>0</v>
      </c>
      <c r="F33" s="29"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9" t="str">
        <v>Potassium - Generic</v>
      </c>
      <c r="E34" s="29">
        <f>INDEX(Table_MN_j_f,13,4)</f>
        <v>0</v>
      </c>
      <c r="F34" s="29" cm="1">
        <f t="array" ref="F34">Fertiliser_Equations_LeachingAndRunoff.VEERG_5_5_1_1__2_MassOfNitrogenLeachedFromInorganicFertiliser(E34, $I$14, $I$15)</f>
        <v>0</v>
      </c>
    </row>
    <row r="35" spans="1:11" ht="20.100000000000001" customHeight="1" x14ac:dyDescent="0.25">
      <c r="D35" s="29" t="str">
        <v>Sulfur - Generic</v>
      </c>
      <c r="E35" s="29">
        <f>INDEX(Table_MN_j_f,14,4)</f>
        <v>0</v>
      </c>
      <c r="F35" s="29" cm="1">
        <f t="array" ref="F35">Fertiliser_Equations_LeachingAndRunoff.VEERG_5_5_1_1__2_MassOfNitrogenLeachedFromInorganicFertiliser(E35, $I$14, $I$15)</f>
        <v>0</v>
      </c>
    </row>
    <row r="36" spans="1:11" ht="20.100000000000001" customHeight="1" x14ac:dyDescent="0.25">
      <c r="D36" s="29" t="str">
        <v>Zinc - Generic</v>
      </c>
      <c r="E36" s="29">
        <f>INDEX(Table_MN_j_f,15,4)</f>
        <v>0</v>
      </c>
      <c r="F36" s="29" cm="1">
        <f t="array" ref="F36">Fertiliser_Equations_LeachingAndRunoff.VEERG_5_5_1_1__2_MassOfNitrogenLeachedFromInorganicFertiliser(E36, $I$14, $I$15)</f>
        <v>0</v>
      </c>
    </row>
    <row r="37" spans="1:11" ht="20.100000000000001" customHeight="1" x14ac:dyDescent="0.25">
      <c r="A37" s="243" t="s">
        <v>1</v>
      </c>
      <c r="D37" s="29" t="str">
        <v>Muriate of potash (MOP)</v>
      </c>
      <c r="E37" s="29">
        <f>INDEX(Table_MN_j_f,16,4)</f>
        <v>0</v>
      </c>
      <c r="F37" s="29"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9" t="str">
        <v>Double superphosphate</v>
      </c>
      <c r="E38" s="29">
        <f>INDEX(Table_MN_j_f,17,4)</f>
        <v>0</v>
      </c>
      <c r="F38" s="29"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9" t="str">
        <v>Single superphosphate (SSP)</v>
      </c>
      <c r="E39" s="29">
        <f>INDEX(Table_MN_j_f,18,4)</f>
        <v>0</v>
      </c>
      <c r="F39" s="29" cm="1">
        <f t="array" ref="F39">Fertiliser_Equations_LeachingAndRunoff.VEERG_5_5_1_1__2_MassOfNitrogenLeachedFromInorganicFertiliser(E39, $I$14, $I$15)</f>
        <v>0</v>
      </c>
    </row>
    <row r="40" spans="1:11" ht="20.100000000000001" customHeight="1" x14ac:dyDescent="0.25">
      <c r="A40" s="5" t="str">
        <f>HYPERLINK("#'Constants - Livestock'!A1", "Constants - Livestock")</f>
        <v>Constants - Livestock</v>
      </c>
      <c r="D40" s="29" t="str">
        <v>Ammonia</v>
      </c>
      <c r="E40" s="29">
        <f>INDEX(Table_MN_j_f,19,4)</f>
        <v>4117.5</v>
      </c>
      <c r="F40" s="29"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9" t="str">
        <v>Calcium nitrate</v>
      </c>
      <c r="E41" s="29">
        <f>INDEX(Table_MN_j_f,20,4)</f>
        <v>775</v>
      </c>
      <c r="F41" s="29"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75" t="s">
        <v>431</v>
      </c>
      <c r="E43" s="61">
        <f>SUM(F23:F41)</f>
        <v>3122.328</v>
      </c>
      <c r="F43" s="19"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35"/>
      <c r="D45" s="135"/>
      <c r="E45" s="135"/>
      <c r="F45" s="135"/>
      <c r="G45" s="135"/>
      <c r="H45" s="135"/>
      <c r="I45" s="135"/>
      <c r="J45" s="135"/>
      <c r="K45" s="135"/>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46" t="str" cm="1">
        <f t="array" ref="D48">Fertiliser_Equations_LeachingAndRunoff.VEERG_5_5_1_1__3_MassOfNitrogenLeachedFromOrganicFertiliser_Source()</f>
        <v>VEERG 2026: 5.5, Equation (3)</v>
      </c>
    </row>
    <row r="49" spans="4:9" ht="20.100000000000001" customHeight="1" x14ac:dyDescent="0.25">
      <c r="D49" s="47" t="s">
        <v>77</v>
      </c>
      <c r="E49" s="47"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48" t="s">
        <v>79</v>
      </c>
      <c r="E52" s="1" t="str" cm="1">
        <f t="array" ref="E52">Fertiliser_Equations_LeachingAndRunoff.VEERG_5_5_1_1__3_MassOfNitrogenLeachedFromOrganicFertiliser_Variable()</f>
        <v>M_leachorganicj</v>
      </c>
    </row>
    <row r="53" spans="4:9" ht="20.100000000000001" customHeight="1" x14ac:dyDescent="0.25">
      <c r="D53" s="48" t="s">
        <v>80</v>
      </c>
      <c r="E53" s="17"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50" t="str" cm="1">
        <f t="array" ref="D55:E60">_xlfn.CHOOSECOLS(Fertiliser_Equations_LeachingAndRunoff.VEERG_5_5_1_1__3_MassOfNitrogenLeachedFromOrganicFertiliser_Arguments(), 1, 2)</f>
        <v>MNSoil_jf</v>
      </c>
      <c r="E55" s="51" t="str">
        <v>mass of nitrogen in organic fertiliser</v>
      </c>
      <c r="F55" s="53"/>
      <c r="G55" s="50" t="str" cm="1">
        <f t="array" ref="G55:H60">_xlfn.CHOOSECOLS(Fertiliser_Equations_LeachingAndRunoff.VEERG_5_5_1_1__3_MassOfNitrogenLeachedFromOrganicFertiliser_Arguments(), 3,4)</f>
        <v>kg N</v>
      </c>
      <c r="H55" s="55" t="str">
        <v>Calculated from 5.2.1.1 (2)</v>
      </c>
      <c r="I55" s="56" t="str" cm="1">
        <f t="array" aca="1" ref="I55" ca="1">HYPERLINK(Common_InputFunctions.Utility_SourceHyperlink(D62), D62)</f>
        <v>Table_M_leach_organic_j</v>
      </c>
    </row>
    <row r="56" spans="4:9" ht="20.100000000000001" customHeight="1" x14ac:dyDescent="0.25">
      <c r="D56" s="50" t="str">
        <v>FracWETj</v>
      </c>
      <c r="E56" s="51" t="str">
        <v>fraction of N available for leaching and runoff</v>
      </c>
      <c r="F56" s="53"/>
      <c r="G56" s="50" t="str">
        <v>fraction</v>
      </c>
      <c r="H56" s="55" t="str">
        <v>Constant</v>
      </c>
      <c r="I56" s="50">
        <f>Common_InputFunctions.CommonCropping_GetFracWET(I58,I60,#REF!,#REF!,Table_SourceData_FracWETIrrigation[Irrigation type i],Table_SourceData_FracWETIrrigation[FracWET])</f>
        <v>1</v>
      </c>
    </row>
    <row r="57" spans="4:9" ht="20.100000000000001" customHeight="1" x14ac:dyDescent="0.25">
      <c r="D57" s="50" t="str">
        <v>FracLEACH</v>
      </c>
      <c r="E57" s="51" t="str">
        <v>fraction of N that is lost through leaching and runoff</v>
      </c>
      <c r="F57" s="53"/>
      <c r="G57" s="50" t="str">
        <v>fraction</v>
      </c>
      <c r="H57" s="55" t="str">
        <v>Constant</v>
      </c>
      <c r="I57" s="50">
        <f>'Constants - Fertiliser'!$E$78</f>
        <v>0.24</v>
      </c>
    </row>
    <row r="58" spans="4:9" ht="20.100000000000001" customHeight="1" x14ac:dyDescent="0.25">
      <c r="D58" s="50" t="str">
        <v>z</v>
      </c>
      <c r="E58" s="51" t="str">
        <v>location in leaching zone</v>
      </c>
      <c r="F58" s="53"/>
      <c r="G58" s="50" t="str">
        <v/>
      </c>
      <c r="H58" s="54" t="str">
        <v>Input</v>
      </c>
      <c r="I58" s="50" t="str">
        <f>X_Cell_Site_LeachingZone</f>
        <v>NO - Not in leaching zone</v>
      </c>
    </row>
    <row r="59" spans="4:9" ht="20.100000000000001" customHeight="1" x14ac:dyDescent="0.25">
      <c r="D59" s="50" t="str">
        <v>j</v>
      </c>
      <c r="E59" s="51" t="str">
        <v>production system</v>
      </c>
      <c r="F59" s="53"/>
      <c r="G59" s="50" t="str">
        <v/>
      </c>
      <c r="H59" s="54" t="str">
        <v>Input</v>
      </c>
      <c r="I59" s="50" t="str">
        <f>X_Cell_Fertiliser_ProductionSystem</f>
        <v>Crop</v>
      </c>
    </row>
    <row r="60" spans="4:9" ht="20.100000000000001" customHeight="1" x14ac:dyDescent="0.25">
      <c r="D60" s="50" t="str">
        <v>ir</v>
      </c>
      <c r="E60" s="51" t="str">
        <v>irrigation method</v>
      </c>
      <c r="F60" s="53"/>
      <c r="G60" s="50" t="str">
        <v/>
      </c>
      <c r="H60" s="54" t="str">
        <v>Input</v>
      </c>
      <c r="I60" s="50" t="str">
        <f>X_Cell_Fertiliser_IrrigationMethod</f>
        <v>Sprinkler irrigation</v>
      </c>
    </row>
    <row r="61" spans="4:9" ht="20.100000000000001" customHeight="1" x14ac:dyDescent="0.25"/>
    <row r="62" spans="4:9" ht="20.100000000000001" customHeight="1" x14ac:dyDescent="0.25">
      <c r="D62" s="57" t="s">
        <v>432</v>
      </c>
    </row>
    <row r="63" spans="4:9" ht="20.100000000000001" customHeight="1" x14ac:dyDescent="0.25">
      <c r="D63" s="58" t="s">
        <v>433</v>
      </c>
    </row>
    <row r="64" spans="4:9" ht="20.100000000000001" customHeight="1" x14ac:dyDescent="0.25">
      <c r="D64" s="60" t="s">
        <v>392</v>
      </c>
      <c r="E64" s="136" t="s">
        <v>396</v>
      </c>
      <c r="F64" s="59" t="s">
        <v>434</v>
      </c>
    </row>
    <row r="65" spans="3:11" ht="20.100000000000001" customHeight="1" x14ac:dyDescent="0.25">
      <c r="D65" s="29" t="str">
        <f>INDEX(Table_MNSoil_j_f,2,1)</f>
        <v>Manure - Other</v>
      </c>
      <c r="E65" s="29">
        <f>INDEX(Table_MNSoil_j_f,2,6)</f>
        <v>300</v>
      </c>
      <c r="F65" s="29" cm="1">
        <f t="array" ref="F65">Fertiliser_Equations_LeachingAndRunoff.VEERG_5_5_1_1__3_MassOfNitrogenLeachedFromOrganicFertiliser(E65,$I$56, $I$57)</f>
        <v>72</v>
      </c>
    </row>
    <row r="66" spans="3:11" ht="20.100000000000001" customHeight="1" x14ac:dyDescent="0.25">
      <c r="D66" s="29" t="str">
        <f>INDEX(Table_MNSoil_j_f,3,1)</f>
        <v>Manure - Poultry</v>
      </c>
      <c r="E66" s="29">
        <f>INDEX(Table_MNSoil_j_f,3,6)</f>
        <v>250</v>
      </c>
      <c r="F66" s="29" cm="1">
        <f t="array" ref="F66">Fertiliser_Equations_LeachingAndRunoff.VEERG_5_5_1_1__3_MassOfNitrogenLeachedFromOrganicFertiliser(E66,$I$56, $I$57)</f>
        <v>60</v>
      </c>
    </row>
    <row r="67" spans="3:11" ht="20.100000000000001" customHeight="1" x14ac:dyDescent="0.25">
      <c r="D67" s="29" t="str">
        <f>INDEX(Table_MNSoil_j_f,4,1)</f>
        <v>Other organic fertiliser</v>
      </c>
      <c r="E67" s="29">
        <f>INDEX(Table_MNSoil_j_f,4,6)</f>
        <v>160</v>
      </c>
      <c r="F67" s="29" cm="1">
        <f t="array" ref="F67">Fertiliser_Equations_LeachingAndRunoff.VEERG_5_5_1_1__3_MassOfNitrogenLeachedFromOrganicFertiliser(E67,$I$56, $I$57)</f>
        <v>38.4</v>
      </c>
    </row>
    <row r="68" spans="3:11" ht="20.100000000000001" customHeight="1" x14ac:dyDescent="0.25">
      <c r="D68" s="29">
        <f>'5.2.1.1-2 Organic Fert N2O'!D23</f>
        <v>0</v>
      </c>
      <c r="E68" s="29">
        <f>'5.2.1.1-2 Organic Fert N2O'!I23</f>
        <v>0</v>
      </c>
      <c r="F68" s="29" cm="1">
        <f t="array" ref="F68">Fertiliser_Equations_LeachingAndRunoff.VEERG_5_5_1_1__3_MassOfNitrogenLeachedFromOrganicFertiliser(E68,$I$56, $I$57)</f>
        <v>0</v>
      </c>
    </row>
    <row r="69" spans="3:11" ht="20.100000000000001" customHeight="1" x14ac:dyDescent="0.25">
      <c r="D69" s="29">
        <f>'5.2.1.1-2 Organic Fert N2O'!D24</f>
        <v>0</v>
      </c>
      <c r="E69" s="29">
        <f>'5.2.1.1-2 Organic Fert N2O'!I24</f>
        <v>0</v>
      </c>
      <c r="F69" s="29" cm="1">
        <f t="array" ref="F69">Fertiliser_Equations_LeachingAndRunoff.VEERG_5_5_1_1__3_MassOfNitrogenLeachedFromOrganicFertiliser(E69,$I$56, $I$57)</f>
        <v>0</v>
      </c>
    </row>
    <row r="70" spans="3:11" ht="20.100000000000001" customHeight="1" x14ac:dyDescent="0.25">
      <c r="D70" s="29">
        <f>'5.2.1.1-2 Organic Fert N2O'!D25</f>
        <v>0</v>
      </c>
      <c r="E70" s="29">
        <f>'5.2.1.1-2 Organic Fert N2O'!I25</f>
        <v>0</v>
      </c>
      <c r="F70" s="29" cm="1">
        <f t="array" ref="F70">Fertiliser_Equations_LeachingAndRunoff.VEERG_5_5_1_1__3_MassOfNitrogenLeachedFromOrganicFertiliser(E70,$I$56, $I$57)</f>
        <v>0</v>
      </c>
    </row>
    <row r="71" spans="3:11" ht="20.100000000000001" customHeight="1" x14ac:dyDescent="0.25">
      <c r="D71" s="29">
        <f>'5.2.1.1-2 Organic Fert N2O'!D26</f>
        <v>0</v>
      </c>
      <c r="E71" s="29">
        <f>'5.2.1.1-2 Organic Fert N2O'!I26</f>
        <v>0</v>
      </c>
      <c r="F71" s="29" cm="1">
        <f t="array" ref="F71">Fertiliser_Equations_LeachingAndRunoff.VEERG_5_5_1_1__3_MassOfNitrogenLeachedFromOrganicFertiliser(E71,$I$56, $I$57)</f>
        <v>0</v>
      </c>
    </row>
    <row r="72" spans="3:11" ht="20.100000000000001" customHeight="1" x14ac:dyDescent="0.25">
      <c r="D72" s="29">
        <f>'5.2.1.1-2 Organic Fert N2O'!D27</f>
        <v>0</v>
      </c>
      <c r="E72" s="29">
        <f>'5.2.1.1-2 Organic Fert N2O'!I27</f>
        <v>0</v>
      </c>
      <c r="F72" s="29" cm="1">
        <f t="array" ref="F72">Fertiliser_Equations_LeachingAndRunoff.VEERG_5_5_1_1__3_MassOfNitrogenLeachedFromOrganicFertiliser(E72,$I$56, $I$57)</f>
        <v>0</v>
      </c>
    </row>
    <row r="73" spans="3:11" ht="20.100000000000001" customHeight="1" x14ac:dyDescent="0.25">
      <c r="D73" s="29">
        <f>'5.2.1.1-2 Organic Fert N2O'!D28</f>
        <v>0</v>
      </c>
      <c r="E73" s="29">
        <f>'5.2.1.1-2 Organic Fert N2O'!I28</f>
        <v>0</v>
      </c>
      <c r="F73" s="29" cm="1">
        <f t="array" ref="F73">Fertiliser_Equations_LeachingAndRunoff.VEERG_5_5_1_1__3_MassOfNitrogenLeachedFromOrganicFertiliser(E73,$I$56, $I$57)</f>
        <v>0</v>
      </c>
    </row>
    <row r="74" spans="3:11" ht="20.100000000000001" customHeight="1" x14ac:dyDescent="0.25">
      <c r="D74" s="29">
        <f>'5.2.1.1-2 Organic Fert N2O'!D29</f>
        <v>0</v>
      </c>
      <c r="E74" s="29">
        <f>'5.2.1.1-2 Organic Fert N2O'!I29</f>
        <v>0</v>
      </c>
      <c r="F74" s="29" cm="1">
        <f t="array" ref="F74">Fertiliser_Equations_LeachingAndRunoff.VEERG_5_5_1_1__3_MassOfNitrogenLeachedFromOrganicFertiliser(E74,$I$56, $I$57)</f>
        <v>0</v>
      </c>
    </row>
    <row r="75" spans="3:11" ht="20.100000000000001" customHeight="1" x14ac:dyDescent="0.25">
      <c r="D75" s="29">
        <f>'5.2.1.1-2 Organic Fert N2O'!D30</f>
        <v>0</v>
      </c>
      <c r="E75" s="29">
        <f>'5.2.1.1-2 Organic Fert N2O'!I30</f>
        <v>0</v>
      </c>
      <c r="F75" s="2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75" t="s">
        <v>435</v>
      </c>
      <c r="E77" s="61">
        <f>SUM(F65:F75)</f>
        <v>170.4</v>
      </c>
      <c r="F77" s="19" t="str">
        <f>$E$53</f>
        <v>kg N</v>
      </c>
    </row>
    <row r="78" spans="3:11" ht="20.100000000000001" customHeight="1" x14ac:dyDescent="0.25"/>
    <row r="79" spans="3:11" ht="20.100000000000001" customHeight="1" x14ac:dyDescent="0.25">
      <c r="C79" s="135"/>
      <c r="D79" s="135"/>
      <c r="E79" s="135"/>
      <c r="F79" s="135"/>
      <c r="G79" s="135"/>
      <c r="H79" s="135"/>
      <c r="I79" s="135"/>
      <c r="J79" s="135"/>
      <c r="K79" s="13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46" t="str" cm="1">
        <f t="array" ref="D82">Fertiliser_Equations_LeachingAndRunoff.VEERG_5_5_1_1__1_FertiliserLeachingAndRunoffN2OEmissions_Source()</f>
        <v>VEERG 2026: 5.5, Equation (1)</v>
      </c>
    </row>
    <row r="83" spans="4:10" ht="20.100000000000001" customHeight="1" x14ac:dyDescent="0.25">
      <c r="D83" s="47" t="s">
        <v>77</v>
      </c>
      <c r="E83" s="47"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48" t="s">
        <v>79</v>
      </c>
      <c r="E86" s="1" t="str" cm="1">
        <f t="array" ref="E86">Fertiliser_Equations_LeachingAndRunoff.VEERG_5_5_1_1__1_FertiliserLeachingAndRunoffN2OEmissions_Variable()</f>
        <v>E_fertleach</v>
      </c>
    </row>
    <row r="87" spans="4:10" ht="20.100000000000001" customHeight="1" x14ac:dyDescent="0.25">
      <c r="D87" s="48" t="s">
        <v>80</v>
      </c>
      <c r="E87" s="17"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50" t="str" cm="1">
        <f t="array" ref="D89:E92">_xlfn.CHOOSECOLS(Fertiliser_Equations_LeachingAndRunoff.VEERG_5_5_1_1__1_FertiliserLeachingAndRunoffN2OEmissions_Arguments(), 1, 2)</f>
        <v>M_leachinorganicj</v>
      </c>
      <c r="E89" s="51" t="str">
        <v>mass of nitrogen lost through leaching and runoff from inorganic fertiliser application in production system j</v>
      </c>
      <c r="F89" s="52"/>
      <c r="G89" s="53"/>
      <c r="H89" s="50" t="str" cm="1">
        <f t="array" ref="H89:I92">_xlfn.CHOOSECOLS(Fertiliser_Equations_LeachingAndRunoff.VEERG_5_5_1_1__1_FertiliserLeachingAndRunoffN2OEmissions_Arguments(), 3,4)</f>
        <v>kg N</v>
      </c>
      <c r="I89" s="55" t="str">
        <v>Calculated from 5.5.1.1 (2)</v>
      </c>
      <c r="J89" s="50">
        <f>$E$43</f>
        <v>3122.328</v>
      </c>
    </row>
    <row r="90" spans="4:10" ht="20.100000000000001" customHeight="1" x14ac:dyDescent="0.25">
      <c r="D90" s="50" t="str">
        <v>M_leachorganicj</v>
      </c>
      <c r="E90" s="51" t="str">
        <v>mass of nitrogen lost through leaching and runoff from organic fertiliser application</v>
      </c>
      <c r="F90" s="52"/>
      <c r="G90" s="53"/>
      <c r="H90" s="50" t="str">
        <v>kg N</v>
      </c>
      <c r="I90" s="55" t="str">
        <v>Calculated from 5.5.1.1 (3)</v>
      </c>
      <c r="J90" s="50">
        <f>$E$77</f>
        <v>170.4</v>
      </c>
    </row>
    <row r="91" spans="4:10" ht="20.100000000000001" customHeight="1" x14ac:dyDescent="0.25">
      <c r="D91" s="50" t="str">
        <v>EF_leach</v>
      </c>
      <c r="E91" s="51" t="str">
        <v>emission factor for nitrogen leaching and runoff</v>
      </c>
      <c r="F91" s="52"/>
      <c r="G91" s="53"/>
      <c r="H91" s="50" t="str">
        <v>kg N2O-N/kg N</v>
      </c>
      <c r="I91" s="55" t="str">
        <v>Constant</v>
      </c>
      <c r="J91" s="50">
        <f>'Constants - Fertiliser'!$E$83</f>
        <v>1.0999999999999999E-2</v>
      </c>
    </row>
    <row r="92" spans="4:10" ht="20.100000000000001" customHeight="1" x14ac:dyDescent="0.25">
      <c r="D92" s="50" t="str">
        <v>C_N2O</v>
      </c>
      <c r="E92" s="51" t="str">
        <v>factor to convert elemental mass of nitrous oxide to molecular mass</v>
      </c>
      <c r="F92" s="52"/>
      <c r="G92" s="53"/>
      <c r="H92" s="50" t="str">
        <v/>
      </c>
      <c r="I92" s="55" t="str">
        <v>Constant</v>
      </c>
      <c r="J92" s="65">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62" t="s">
        <v>436</v>
      </c>
      <c r="E94" s="63" cm="1">
        <f t="array" ref="E94">Fertiliser_Equations_LeachingAndRunoff.VEERG_5_5_1_1__1_FertiliserLeachingAndRunoffN2OEmissions(J89,J90,J91,J92)</f>
        <v>5.6917155428571425E-2</v>
      </c>
      <c r="F94" s="64" t="str">
        <f>$E$87</f>
        <v>t N2O</v>
      </c>
    </row>
    <row r="95" spans="4:10" ht="20.100000000000001" customHeight="1" x14ac:dyDescent="0.25"/>
    <row r="96" spans="4:10" ht="20.100000000000001" customHeight="1" x14ac:dyDescent="0.25">
      <c r="D96" s="65" t="str" cm="1">
        <f t="array" ref="D96:E97">Common_Equations.Common_ConvertN2OToCO2e_Arguments()</f>
        <v>EN2O</v>
      </c>
      <c r="E96" s="66" t="str">
        <v>Nitrous oxide emissions (t N2O)</v>
      </c>
      <c r="F96" s="67"/>
      <c r="G96" s="29">
        <f>E94</f>
        <v>5.6917155428571425E-2</v>
      </c>
    </row>
    <row r="97" spans="4:7" ht="20.100000000000001" customHeight="1" x14ac:dyDescent="0.25">
      <c r="D97" s="65" t="str">
        <v>GWPN2O</v>
      </c>
      <c r="E97" s="66" t="str">
        <v>Global warming potential for nitrous oxide (t CO2-e / t N2O)</v>
      </c>
      <c r="F97" s="67"/>
      <c r="G97" s="29">
        <f>Common_InputFunctions.Utility_LookupValueInTableNumber("N2O",Table_GWPData[Gas],Table_GWPData[CO2-e factor])</f>
        <v>265</v>
      </c>
    </row>
    <row r="98" spans="4:7" ht="20.100000000000001" customHeight="1" x14ac:dyDescent="0.25"/>
    <row r="99" spans="4:7" ht="20.100000000000001" customHeight="1" x14ac:dyDescent="0.25">
      <c r="D99" s="61" t="s">
        <v>120</v>
      </c>
      <c r="E99" s="61" cm="1">
        <f t="array" ref="E99">Common_Equations.Common_ConvertN2OToCO2e(G96,G97)</f>
        <v>15.083046188571428</v>
      </c>
      <c r="F99" s="19"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AE000-9442-4B4C-8AFB-D30A3AF8B368}">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44" customFormat="1" ht="30" customHeight="1" x14ac:dyDescent="0.35">
      <c r="A1" s="18" t="e" vm="1">
        <v>#VALUE!</v>
      </c>
      <c r="C1" s="44" t="s">
        <v>629</v>
      </c>
    </row>
    <row r="2" spans="1:21" s="3" customFormat="1" ht="20.100000000000001" customHeight="1" x14ac:dyDescent="0.25">
      <c r="A2"/>
    </row>
    <row r="3" spans="1:21"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c r="U3" s="45"/>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46" t="str" cm="1">
        <f t="array" ref="D6">AgResidue_Equations_PastureResidue.VEERG_6_2_1_1__2__MassOfNitrogenInPastureResidues_Source()</f>
        <v>VEERG 2026: 6.2.1.1, Equation (2)</v>
      </c>
    </row>
    <row r="7" spans="1:21" ht="20.100000000000001" customHeight="1" x14ac:dyDescent="0.25">
      <c r="A7" s="7" t="s">
        <v>0</v>
      </c>
      <c r="D7" s="47" t="s">
        <v>77</v>
      </c>
      <c r="E7" s="47"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27" t="s">
        <v>79</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27" t="s">
        <v>80</v>
      </c>
      <c r="E11" s="17"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50" t="str" cm="1">
        <f t="array" ref="D13:E19">_xlfn.CHOOSECOLS(AgResidue_Equations_PastureResidue.VEERG_6_2_1_1__2__MassOfNitrogenInPastureResidues_Arguments(), 1, 2)</f>
        <v>A_p</v>
      </c>
      <c r="E13" s="51" t="str">
        <v>area of pasture renewed or removed</v>
      </c>
      <c r="F13" s="52"/>
      <c r="G13" s="53"/>
      <c r="H13" s="50" t="str" cm="1">
        <f t="array" ref="H13:I19">_xlfn.CHOOSECOLS(AgResidue_Equations_PastureResidue.VEERG_6_2_1_1__2__MassOfNitrogenInPastureResidues_Arguments(), 3,4)</f>
        <v>ha</v>
      </c>
      <c r="I13" s="54" t="str">
        <v>Input</v>
      </c>
      <c r="J13" s="50">
        <f>X_Cell_Pasture_AreaRemovedOrRenewed</f>
        <v>500</v>
      </c>
      <c r="N13" s="50" t="str" cm="1">
        <f t="array" ref="N13:O19">_xlfn.CHOOSECOLS(AgResidue_Equations_PastureResidue.VEERG_6_2_1_1__2__MassOfNitrogenInPastureResidues_Arguments_Method2(), 1, 2)</f>
        <v>A_p</v>
      </c>
      <c r="O13" s="51" t="str">
        <v>area of pasture renewed or removed</v>
      </c>
      <c r="P13" s="52"/>
      <c r="Q13" s="53"/>
      <c r="R13" s="50" t="str" cm="1">
        <f t="array" ref="R13:S19">_xlfn.CHOOSECOLS(AgResidue_Equations_PastureResidue.VEERG_6_2_1_1__2__MassOfNitrogenInPastureResidues_Arguments_Method2(), 3,4)</f>
        <v>ha</v>
      </c>
      <c r="S13" s="54" t="str">
        <v>Input</v>
      </c>
      <c r="T13" s="50"/>
    </row>
    <row r="14" spans="1:21" ht="20.100000000000001" customHeight="1" x14ac:dyDescent="0.25">
      <c r="A14" s="5" t="str">
        <f>HYPERLINK("#'Input - Fuel'!A1", "Fuel")</f>
        <v>Fuel</v>
      </c>
      <c r="D14" s="50" t="str">
        <v>Y_p</v>
      </c>
      <c r="E14" s="51" t="str">
        <v>average yield of pasture crop</v>
      </c>
      <c r="F14" s="52"/>
      <c r="G14" s="53"/>
      <c r="H14" s="50" t="str">
        <v>t DM/ha</v>
      </c>
      <c r="I14" s="55" t="str">
        <v>Constant</v>
      </c>
      <c r="J14" s="50" cm="1">
        <f t="array" ref="J14">Common_InputFunctions.Utility_LookupValueInTableNumber($J$19,Table_SourceData_PastureAttributes[Pasture type],Table_SourceData_PastureAttributes[Average Yield (t DM ha) Yp])</f>
        <v>8.34</v>
      </c>
      <c r="N14" s="50" t="str">
        <v>Y_p</v>
      </c>
      <c r="O14" s="51" t="str">
        <v>average yield of pasture crop</v>
      </c>
      <c r="P14" s="52"/>
      <c r="Q14" s="53"/>
      <c r="R14" s="50" t="str">
        <v>t DM/ha</v>
      </c>
      <c r="S14" s="54" t="str">
        <v>Input</v>
      </c>
      <c r="T14" s="50">
        <f>X_Cell_Pasture_YieldPerHectare</f>
        <v>8.34</v>
      </c>
    </row>
    <row r="15" spans="1:21" ht="20.100000000000001" customHeight="1" x14ac:dyDescent="0.25">
      <c r="A15" s="5" t="str">
        <f>HYPERLINK("#'Input - Electricity'!A1", "Electricity")</f>
        <v>Electricity</v>
      </c>
      <c r="D15" s="50" t="str">
        <v>NC_AGp</v>
      </c>
      <c r="E15" s="51" t="str">
        <v>N content of above-ground pasture residue</v>
      </c>
      <c r="F15" s="52"/>
      <c r="G15" s="53"/>
      <c r="H15" s="50" t="str">
        <v>kg N/kg DM</v>
      </c>
      <c r="I15" s="55" t="str">
        <v>Constant</v>
      </c>
      <c r="J15" s="50" cm="1">
        <f t="array" ref="J15">Common_InputFunctions.Utility_LookupValueInTableNumber($J$19,Table_SourceData_PastureAttributes[Pasture type],Table_SourceData_PastureAttributes[N content Above-ground NCAGp])</f>
        <v>2.5000000000000001E-2</v>
      </c>
      <c r="N15" s="50" t="str">
        <v>NC_AGp</v>
      </c>
      <c r="O15" s="51" t="str">
        <v>N content of above-ground pasture residue</v>
      </c>
      <c r="P15" s="52"/>
      <c r="Q15" s="53"/>
      <c r="R15" s="50" t="str">
        <v>kg N/kg DM</v>
      </c>
      <c r="S15" s="55" t="str">
        <v>Constant</v>
      </c>
      <c r="T15" s="50"/>
    </row>
    <row r="16" spans="1:21" ht="20.100000000000001" customHeight="1" x14ac:dyDescent="0.25">
      <c r="D16" s="50" t="str">
        <v>R_BGp</v>
      </c>
      <c r="E16" s="51" t="str">
        <v>below-ground residue to above-ground residue ratio for pasture crop</v>
      </c>
      <c r="F16" s="52"/>
      <c r="G16" s="53"/>
      <c r="H16" s="50" t="str">
        <v/>
      </c>
      <c r="I16" s="55" t="str">
        <v>Constant</v>
      </c>
      <c r="J16" s="50" cm="1">
        <f t="array" ref="J16">Common_InputFunctions.Utility_LookupValueInTableNumber($J$19,Table_SourceData_PastureAttributes[Pasture type],Table_SourceData_PastureAttributes[Below-ground: above-ground residue ratio RBGp])</f>
        <v>0.8</v>
      </c>
      <c r="N16" s="50" t="str">
        <v>R_BGp</v>
      </c>
      <c r="O16" s="51" t="str">
        <v>below-ground residue to above-ground residue ratio for pasture crop</v>
      </c>
      <c r="P16" s="52"/>
      <c r="Q16" s="53"/>
      <c r="R16" s="50" t="str">
        <v/>
      </c>
      <c r="S16" s="55" t="str">
        <v>Constant</v>
      </c>
      <c r="T16" s="50"/>
    </row>
    <row r="17" spans="1:21" ht="20.100000000000001" customHeight="1" x14ac:dyDescent="0.25">
      <c r="D17" s="50" t="str">
        <v>NC_BGp</v>
      </c>
      <c r="E17" s="51" t="str">
        <v>N content of below-ground pasture crop residue</v>
      </c>
      <c r="F17" s="52"/>
      <c r="G17" s="53"/>
      <c r="H17" s="50" t="str">
        <v>kg N/kg DM</v>
      </c>
      <c r="I17" s="55" t="str">
        <v>Constant</v>
      </c>
      <c r="J17" s="50" cm="1">
        <f t="array" ref="J17">Common_InputFunctions.Utility_LookupValueInTableNumber($J$19,Table_SourceData_PastureAttributes[Pasture type],Table_SourceData_PastureAttributes[N content Below-ground NCBGp])</f>
        <v>1.6E-2</v>
      </c>
      <c r="N17" s="50" t="str">
        <v>NC_BGp</v>
      </c>
      <c r="O17" s="51" t="str">
        <v>N content of below-ground pasture crop residue</v>
      </c>
      <c r="P17" s="52"/>
      <c r="Q17" s="53"/>
      <c r="R17" s="50" t="str">
        <v>kg N/kg DM</v>
      </c>
      <c r="S17" s="55" t="str">
        <v>Constant</v>
      </c>
      <c r="T17" s="50"/>
    </row>
    <row r="18" spans="1:21" ht="20.100000000000001" customHeight="1" x14ac:dyDescent="0.25">
      <c r="A18" s="6" t="s">
        <v>3</v>
      </c>
      <c r="D18" s="50" t="str">
        <v>FFOD_p</v>
      </c>
      <c r="E18" s="51" t="str">
        <v>fraction of pasture yield that is removed</v>
      </c>
      <c r="F18" s="52"/>
      <c r="G18" s="53"/>
      <c r="H18" s="50" t="str">
        <v>fraction</v>
      </c>
      <c r="I18" s="55" t="str">
        <v>Constant</v>
      </c>
      <c r="J18" s="50" cm="1">
        <f t="array" ref="J18">Common_InputFunctions.Utility_LookupValueInTableNumber($J$19,Table_SourceData_PastureAttributes[Pasture type],Table_SourceData_PastureAttributes[Fraction of pasture yield that is removed FFODp])</f>
        <v>0.8</v>
      </c>
      <c r="N18" s="50" t="str">
        <v>FFOD_p</v>
      </c>
      <c r="O18" s="51" t="str">
        <v>fraction of pasture yield that is removed</v>
      </c>
      <c r="P18" s="52"/>
      <c r="Q18" s="53"/>
      <c r="R18" s="50" t="str">
        <v>fraction</v>
      </c>
      <c r="S18" s="55" t="str">
        <v>Constant</v>
      </c>
      <c r="T18" s="50"/>
    </row>
    <row r="19" spans="1:21" ht="20.100000000000001" customHeight="1" x14ac:dyDescent="0.25">
      <c r="A19" s="5" t="str">
        <f>HYPERLINK("#'3.2.1.1-2 Enteric Methane'!A1", "3.2.1.1-2 Enteric methane")</f>
        <v>3.2.1.1-2 Enteric methane</v>
      </c>
      <c r="D19" s="50" t="str">
        <v>p</v>
      </c>
      <c r="E19" s="51" t="str">
        <v>Pasture type</v>
      </c>
      <c r="F19" s="52"/>
      <c r="G19" s="53"/>
      <c r="H19" s="50" t="str">
        <v/>
      </c>
      <c r="I19" s="54" t="str">
        <v>Input</v>
      </c>
      <c r="J19" s="50" t="str">
        <f>X_Cell_Pasture_PastureType</f>
        <v>Grass clover mixture</v>
      </c>
      <c r="N19" s="50" t="str">
        <v>p</v>
      </c>
      <c r="O19" s="51" t="str">
        <v>Pasture type</v>
      </c>
      <c r="P19" s="52"/>
      <c r="Q19" s="53"/>
      <c r="R19" s="50" t="str">
        <v/>
      </c>
      <c r="S19" s="54" t="str">
        <v>Input</v>
      </c>
      <c r="T19" s="50"/>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75" t="s">
        <v>630</v>
      </c>
      <c r="E21" s="61" cm="1">
        <f t="array" ref="E21">AgResidue_Equations_PastureResidue.VEERG_6_2_1_1__2__MassOfNitrogenInPastureResidues(J13,J14,J18,J15,J16,J17)</f>
        <v>7.4226E-2</v>
      </c>
      <c r="F21" s="19" t="str" cm="1">
        <f t="array" ref="F21">AgResidue_Equations_PastureResidue.VEERG_6_2_1_1__2__MassOfNitrogenInPastureResidues_Unit()</f>
        <v>kg N</v>
      </c>
      <c r="N21" s="75" t="s">
        <v>630</v>
      </c>
      <c r="O21" s="61" cm="1">
        <f t="array" ref="O21">AgResidue_Equations_PastureResidue.VEERG_6_2_1_1__2__MassOfNitrogenInPastureResidues(J13,T14,J18,J15,J16,J17)</f>
        <v>7.4226E-2</v>
      </c>
      <c r="P21" s="19"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61"/>
      <c r="D24" s="61"/>
      <c r="E24" s="61"/>
      <c r="F24" s="61"/>
      <c r="G24" s="61"/>
      <c r="H24" s="61"/>
      <c r="I24" s="61"/>
      <c r="J24" s="61"/>
      <c r="K24" s="61"/>
      <c r="M24" s="61"/>
      <c r="N24" s="61"/>
      <c r="O24" s="61"/>
      <c r="P24" s="61"/>
      <c r="Q24" s="61"/>
      <c r="R24" s="61"/>
      <c r="S24" s="61"/>
      <c r="T24" s="61"/>
      <c r="U24" s="61"/>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46" t="str" cm="1">
        <f t="array" ref="D26">AgResidue_Equations_PastureResidue.VEERG_6_2_1_1__1__NitrousOxideEmissionsFromPastureResidues_Source()</f>
        <v>VEERG 2026: 6.2.1.1, Equation (1)</v>
      </c>
      <c r="N26" s="46"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47" t="s">
        <v>77</v>
      </c>
      <c r="E27" s="47" t="str" cm="1">
        <f t="array" aca="1" ref="E27" ca="1">Common_InputFunctions.Utility_DisplayFunctionName(E40)</f>
        <v>=AgResidue_Equations_PastureResidue.VEERG_6_2_1_1__1__NitrousOxideEmissionsFromPastureResidues</v>
      </c>
      <c r="N27" s="47" t="s">
        <v>77</v>
      </c>
      <c r="O27" s="47"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49" t="str">
        <f>HYPERLINK("#'6.2.1.1-2 Pasture residue N2O'!A1", "6.2.1.1-2 Pasture residue N2O")</f>
        <v>6.2.1.1-2 Pasture residue N2O</v>
      </c>
      <c r="D30" s="27" t="s">
        <v>79</v>
      </c>
      <c r="E30" s="1" t="str" cm="1">
        <f t="array" ref="E30">AgResidue_Equations_PastureResidue.VEERG_6_2_1_1__1__NitrousOxideEmissionsFromPastureResidues_Variable()</f>
        <v>EN2O</v>
      </c>
      <c r="N30" s="27" t="s">
        <v>79</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27" t="s">
        <v>80</v>
      </c>
      <c r="E31" s="17" t="str" cm="1">
        <f t="array" ref="E31">AgResidue_Equations_PastureResidue.VEERG_6_2_1_1__1__NitrousOxideEmissionsFromPastureResidues_Unit()</f>
        <v>t N2O</v>
      </c>
      <c r="N31" s="27" t="s">
        <v>80</v>
      </c>
      <c r="O31" s="17"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50" t="str" cm="1">
        <f t="array" ref="D33:E37">_xlfn.CHOOSECOLS(AgResidue_Equations_PastureResidue.VEERG_6_2_1_1__1__NitrousOxideEmissionsFromPastureResidues_Arguments(), 1, 2)</f>
        <v>M_p</v>
      </c>
      <c r="E33" s="51" t="str">
        <v>mass of nitrogen in pasture p residues returned to the soil</v>
      </c>
      <c r="F33" s="52"/>
      <c r="G33" s="53"/>
      <c r="H33" s="50" t="str" cm="1">
        <f t="array" ref="H33:I37">_xlfn.CHOOSECOLS(AgResidue_Equations_PastureResidue.VEERG_6_2_1_1__1__NitrousOxideEmissionsFromPastureResidues_Arguments(), 3,4)</f>
        <v>kg N</v>
      </c>
      <c r="I33" s="55" t="str">
        <v>Calculated from 6.2.1.1 (2)</v>
      </c>
      <c r="J33" s="50">
        <f>$E$21</f>
        <v>7.4226E-2</v>
      </c>
      <c r="N33" s="50" t="str" cm="1">
        <f t="array" ref="N33:O37">_xlfn.CHOOSECOLS(AgResidue_Equations_PastureResidue.VEERG_6_2_1_1__1__NitrousOxideEmissionsFromPastureResidues_Arguments(), 1, 2)</f>
        <v>M_p</v>
      </c>
      <c r="O33" s="51" t="str">
        <v>mass of nitrogen in pasture p residues returned to the soil</v>
      </c>
      <c r="P33" s="52"/>
      <c r="Q33" s="53"/>
      <c r="R33" s="50" t="str" cm="1">
        <f t="array" ref="R33:S37">_xlfn.CHOOSECOLS(AgResidue_Equations_PastureResidue.VEERG_6_2_1_1__1__NitrousOxideEmissionsFromPastureResidues_Arguments(), 3,4)</f>
        <v>kg N</v>
      </c>
      <c r="S33" s="55" t="str">
        <v>Calculated from 6.2.1.1 (2)</v>
      </c>
      <c r="T33" s="50">
        <f>$O$21</f>
        <v>7.4226E-2</v>
      </c>
    </row>
    <row r="34" spans="1:20" ht="20.100000000000001" customHeight="1" x14ac:dyDescent="0.25">
      <c r="A34" s="5" t="str">
        <f>HYPERLINK("#'14.1.1-2 Purchased electricity'!A1", "14.1.1-2 Purchased electricity")</f>
        <v>14.1.1-2 Purchased electricity</v>
      </c>
      <c r="D34" s="50" t="str">
        <v>EF_Ni</v>
      </c>
      <c r="E34" s="51" t="str">
        <v>emission factor for crop residues returned to the soil in climate zone i</v>
      </c>
      <c r="F34" s="52"/>
      <c r="G34" s="53"/>
      <c r="H34" s="50" t="str">
        <v>kg N2O-N/kg N</v>
      </c>
      <c r="I34" s="55" t="str">
        <v>Constant</v>
      </c>
      <c r="J34" s="50" cm="1">
        <f t="array" ref="J34">Common_InputFunctions.Utility_LookupValueInTableNumber(J37,Table_SourceData_N2OEFOrganicFert[Climate zone type i],Table_SourceData_N2OEFOrganicFert[EF i N2O])</f>
        <v>5.0000000000000001E-3</v>
      </c>
      <c r="N34" s="50" t="str">
        <v>EF_Ni</v>
      </c>
      <c r="O34" s="51" t="str">
        <v>emission factor for crop residues returned to the soil in climate zone i</v>
      </c>
      <c r="P34" s="52"/>
      <c r="Q34" s="53"/>
      <c r="R34" s="50" t="str">
        <v>kg N2O-N/kg N</v>
      </c>
      <c r="S34" s="55" t="str">
        <v>Constant</v>
      </c>
      <c r="T34" s="50"/>
    </row>
    <row r="35" spans="1:20" ht="20.100000000000001" customHeight="1" x14ac:dyDescent="0.25">
      <c r="D35" s="50" t="str">
        <v>C_N2O</v>
      </c>
      <c r="E35" s="51" t="str">
        <v>factor to convert elemental mass of nitrous oxide to molecular mass</v>
      </c>
      <c r="F35" s="52"/>
      <c r="G35" s="53"/>
      <c r="H35" s="50" t="str">
        <v>dimensionless</v>
      </c>
      <c r="I35" s="55" t="str">
        <v>Constant</v>
      </c>
      <c r="J35" s="50">
        <f>Common_InputFunctions.Utility_LookupValueInTableNumber("N2O",Table_GasToMolecularConversionFactor[Gas],Table_GasToMolecularConversionFactor[Conversion factor combined])</f>
        <v>1.5714285714285714</v>
      </c>
      <c r="N35" s="50" t="str">
        <v>C_N2O</v>
      </c>
      <c r="O35" s="51" t="str">
        <v>factor to convert elemental mass of nitrous oxide to molecular mass</v>
      </c>
      <c r="P35" s="52"/>
      <c r="Q35" s="53"/>
      <c r="R35" s="50" t="str">
        <v>dimensionless</v>
      </c>
      <c r="S35" s="55" t="str">
        <v>Constant</v>
      </c>
      <c r="T35" s="50"/>
    </row>
    <row r="36" spans="1:20" ht="20.100000000000001" customHeight="1" x14ac:dyDescent="0.25">
      <c r="D36" s="50" t="str">
        <v>p</v>
      </c>
      <c r="E36" s="51" t="str">
        <v>Pasture type</v>
      </c>
      <c r="F36" s="52"/>
      <c r="G36" s="53"/>
      <c r="H36" s="50" t="str">
        <v/>
      </c>
      <c r="I36" s="54" t="str">
        <v>Input</v>
      </c>
      <c r="J36" s="50" t="str">
        <f>X_Cell_Pasture_PastureType</f>
        <v>Grass clover mixture</v>
      </c>
      <c r="N36" s="50" t="str">
        <v>p</v>
      </c>
      <c r="O36" s="51" t="str">
        <v>Pasture type</v>
      </c>
      <c r="P36" s="52"/>
      <c r="Q36" s="53"/>
      <c r="R36" s="50" t="str">
        <v/>
      </c>
      <c r="S36" s="54" t="str">
        <v>Input</v>
      </c>
      <c r="T36" s="50"/>
    </row>
    <row r="37" spans="1:20" ht="20.100000000000001" customHeight="1" x14ac:dyDescent="0.25">
      <c r="A37" s="243" t="s">
        <v>1</v>
      </c>
      <c r="D37" s="50" t="str">
        <v>i</v>
      </c>
      <c r="E37" s="51" t="str">
        <v>Wet or dry climate zone</v>
      </c>
      <c r="F37" s="52"/>
      <c r="G37" s="53"/>
      <c r="H37" s="50" t="str">
        <v/>
      </c>
      <c r="I37" s="54" t="str">
        <v>Input</v>
      </c>
      <c r="J37" s="50" t="str">
        <f>X_Cell_Site_WetOrDryClimateZone</f>
        <v>Dry climate zone</v>
      </c>
      <c r="N37" s="50" t="str">
        <v>i</v>
      </c>
      <c r="O37" s="51" t="str">
        <v>Wet or dry climate zone</v>
      </c>
      <c r="P37" s="52"/>
      <c r="Q37" s="53"/>
      <c r="R37" s="50" t="str">
        <v/>
      </c>
      <c r="S37" s="54" t="str">
        <v>Input</v>
      </c>
      <c r="T37" s="50"/>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Livestock'!A1", "Constants - Livestock")</f>
        <v>Constants - Livestock</v>
      </c>
      <c r="D40" s="62" t="s">
        <v>380</v>
      </c>
      <c r="E40" s="63" cm="1">
        <f t="array" ref="E40">AgResidue_Equations_PastureResidue.VEERG_6_2_1_1__1__NitrousOxideEmissionsFromPastureResidues(J33,J34,J35)</f>
        <v>5.8320428571428569E-7</v>
      </c>
      <c r="F40" s="64" t="str" cm="1">
        <f t="array" ref="F40">AgResidue_Equations_PastureResidue.VEERG_6_2_1_1__1__NitrousOxideEmissionsFromPastureResidues_Unit()</f>
        <v>t N2O</v>
      </c>
      <c r="N40" s="62" t="s">
        <v>380</v>
      </c>
      <c r="O40" s="63" cm="1">
        <f t="array" ref="O40">AgResidue_Equations_PastureResidue.VEERG_6_2_1_1__1__NitrousOxideEmissionsFromPastureResidues(T33,J34,J35)</f>
        <v>5.8320428571428569E-7</v>
      </c>
      <c r="P40" s="64"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65" t="str" cm="1">
        <f t="array" ref="D42:E43">Common_Equations.Common_ConvertN2OToCO2e_Arguments()</f>
        <v>EN2O</v>
      </c>
      <c r="E42" s="66" t="str">
        <v>Nitrous oxide emissions (t N2O)</v>
      </c>
      <c r="F42" s="123"/>
      <c r="G42" s="65">
        <f>E40</f>
        <v>5.8320428571428569E-7</v>
      </c>
      <c r="N42" s="65" t="str" cm="1">
        <f t="array" ref="N42:O43">Common_Equations.Common_ConvertN2OToCO2e_Arguments()</f>
        <v>EN2O</v>
      </c>
      <c r="O42" s="66" t="str">
        <v>Nitrous oxide emissions (t N2O)</v>
      </c>
      <c r="P42" s="123"/>
      <c r="Q42" s="65">
        <f>O40</f>
        <v>5.8320428571428569E-7</v>
      </c>
    </row>
    <row r="43" spans="1:20" ht="20.100000000000001" customHeight="1" x14ac:dyDescent="0.25">
      <c r="A43" s="5" t="str">
        <f>HYPERLINK("#'Constants - Fuel'!A1", "Constants - Fuel")</f>
        <v>Constants - Fuel</v>
      </c>
      <c r="D43" s="65" t="str">
        <v>GWPN2O</v>
      </c>
      <c r="E43" s="66" t="str">
        <v>Global warming potential for nitrous oxide (t CO2-e / t N2O)</v>
      </c>
      <c r="F43" s="123"/>
      <c r="G43" s="29">
        <f>Common_InputFunctions.Utility_LookupValueInTableNumber("N2O",Table_GWPData[Gas],Table_GWPData[CO2-e factor])</f>
        <v>265</v>
      </c>
      <c r="N43" s="65" t="str">
        <v>GWPN2O</v>
      </c>
      <c r="O43" s="66" t="str">
        <v>Global warming potential for nitrous oxide (t CO2-e / t N2O)</v>
      </c>
      <c r="P43" s="123"/>
      <c r="Q43" s="29">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631</v>
      </c>
      <c r="E45" s="1" cm="1">
        <f t="array" ref="E45">Common_Equations.Common_ConvertN2OToCO2e(G42,G43)</f>
        <v>1.545491357142857E-4</v>
      </c>
      <c r="F45" s="17" t="str" cm="1">
        <f t="array" ref="F45">Common_Equations.Common_ConvertN2OToCO2e_Unit()</f>
        <v>t CO2e</v>
      </c>
      <c r="N45" s="1" t="s">
        <v>631</v>
      </c>
      <c r="O45" s="1" cm="1">
        <f t="array" ref="O45">Common_Equations.Common_ConvertN2OToCO2e(Q42,Q43)</f>
        <v>1.545491357142857E-4</v>
      </c>
      <c r="P45" s="17"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346B5-6CC2-4020-A9EC-B3E826BABEB4}">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44" customFormat="1" ht="30" customHeight="1" x14ac:dyDescent="0.35">
      <c r="A1" s="18" t="e" vm="1">
        <v>#VALUE!</v>
      </c>
      <c r="C1" s="44" t="s">
        <v>632</v>
      </c>
    </row>
    <row r="2" spans="1:20" s="3" customFormat="1" ht="20.100000000000001" customHeight="1" x14ac:dyDescent="0.25">
      <c r="A2"/>
    </row>
    <row r="3" spans="1:20" ht="20.100000000000001" customHeight="1" x14ac:dyDescent="0.25">
      <c r="A3" s="5" t="str">
        <f>HYPERLINK("#'Home'!A1", "Home")</f>
        <v>Home</v>
      </c>
      <c r="C3" s="45"/>
      <c r="D3" s="45" t="s">
        <v>75</v>
      </c>
      <c r="E3" s="45"/>
      <c r="F3" s="45"/>
      <c r="G3" s="45"/>
      <c r="H3" s="45"/>
      <c r="I3" s="45"/>
      <c r="J3" s="45"/>
      <c r="K3" s="45"/>
      <c r="M3" s="45"/>
      <c r="N3" s="45" t="s">
        <v>76</v>
      </c>
      <c r="O3" s="45"/>
      <c r="P3" s="45"/>
      <c r="Q3" s="45"/>
      <c r="R3" s="45"/>
      <c r="S3" s="45"/>
      <c r="T3" s="45"/>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46"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47" t="s">
        <v>77</v>
      </c>
      <c r="E7" s="47" t="str" cm="1">
        <f t="array" aca="1" ref="E7" ca="1">Common_InputFunctions.Utility_DisplayFunctionName(I25)</f>
        <v>=AgResidue_Equations_Leaching.VEERG_6_3_1_1__2__MassOfNitrogenLostThroughLeachingAndRunoff</v>
      </c>
      <c r="F7" s="47"/>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79</v>
      </c>
      <c r="E10" s="8" t="str" cm="1">
        <f t="array" ref="E10">AgResidue_Equations_Leaching.VEERG_6_3_1_1__2__MassOfNitrogenLostThroughLeachingAndRunoff_Variable()</f>
        <v>M_leachcp</v>
      </c>
      <c r="F10" s="8"/>
      <c r="G10" s="46"/>
      <c r="H10" s="8"/>
      <c r="I10" s="8"/>
      <c r="J10" s="8"/>
      <c r="K10" s="8"/>
    </row>
    <row r="11" spans="1:20" ht="20.100000000000001" customHeight="1" x14ac:dyDescent="0.25">
      <c r="A11" s="5" t="str">
        <f>HYPERLINK("#'Input - Pasture Beef (Enteric)'!A1", "Pasture Beef (Enteric)")</f>
        <v>Pasture Beef (Enteric)</v>
      </c>
      <c r="C11" s="8"/>
      <c r="D11" s="12" t="s">
        <v>80</v>
      </c>
      <c r="E11" s="17"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50" t="str" cm="1">
        <f t="array" ref="D13:E19">_xlfn.CHOOSECOLS(AgResidue_Equations_Leaching.VEERG_6_3_1_1__2__MassOfNitrogenLostThroughLeachingAndRunoff_Arguments(), 1,2)</f>
        <v>M_cp</v>
      </c>
      <c r="E13" s="51" t="str">
        <v>mass of nitrogen in crop residues c or pasture residues p applied to soils</v>
      </c>
      <c r="F13" s="52"/>
      <c r="G13" s="53"/>
      <c r="H13" s="50" t="str" cm="1">
        <f t="array" ref="H13:I19">_xlfn.CHOOSECOLS(AgResidue_Equations_Leaching.VEERG_6_3_1_1__2__MassOfNitrogenLostThroughLeachingAndRunoff_Arguments(), 3,4)</f>
        <v>kg N</v>
      </c>
      <c r="I13" s="55" t="str">
        <v>Calc from 6.1.1.1 (2) and 6.2.1.1 (2)</v>
      </c>
      <c r="J13" s="56" t="str" cm="1">
        <f t="array" aca="1" ref="J13" ca="1">HYPERLINK(Common_InputFunctions.Utility_SourceHyperlink($D$21), $D$21)</f>
        <v>M1_Table_M_leach_cp</v>
      </c>
      <c r="K13" s="8"/>
    </row>
    <row r="14" spans="1:20" ht="20.100000000000001" customHeight="1" x14ac:dyDescent="0.25">
      <c r="A14" s="5" t="str">
        <f>HYPERLINK("#'Input - Fuel'!A1", "Fuel")</f>
        <v>Fuel</v>
      </c>
      <c r="C14" s="8"/>
      <c r="D14" s="50" t="str">
        <v>FracWET_j</v>
      </c>
      <c r="E14" s="51" t="str">
        <v>fraction of N that is available for leaching and runoff from the leaching zone z and irrigation type ir</v>
      </c>
      <c r="F14" s="52"/>
      <c r="G14" s="53"/>
      <c r="H14" s="50" t="str">
        <v>fraction</v>
      </c>
      <c r="I14" s="55" t="str">
        <v>Constant</v>
      </c>
      <c r="J14" s="56"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50" t="str">
        <v>FracLEACH</v>
      </c>
      <c r="E15" s="51" t="str">
        <v>fraction of N that is lost through leaching and runoff</v>
      </c>
      <c r="F15" s="52"/>
      <c r="G15" s="53"/>
      <c r="H15" s="50" t="str">
        <v>fraction</v>
      </c>
      <c r="I15" s="55" t="str">
        <v>Constant</v>
      </c>
      <c r="J15" s="50">
        <f>'Constants - Common'!$E$164</f>
        <v>0.24</v>
      </c>
      <c r="K15" s="8"/>
    </row>
    <row r="16" spans="1:20" ht="20.100000000000001" customHeight="1" x14ac:dyDescent="0.25">
      <c r="C16" s="8"/>
      <c r="D16" s="50" t="str">
        <v>z</v>
      </c>
      <c r="E16" s="51" t="str">
        <v>Location in leaching zone</v>
      </c>
      <c r="F16" s="52"/>
      <c r="G16" s="53"/>
      <c r="H16" s="50" t="str">
        <v/>
      </c>
      <c r="I16" s="54" t="str">
        <v>Input</v>
      </c>
      <c r="J16" s="56" t="str" cm="1">
        <f t="array" aca="1" ref="J16" ca="1">HYPERLINK(Common_InputFunctions.Utility_SourceHyperlink($D$21), $D$21)</f>
        <v>M1_Table_M_leach_cp</v>
      </c>
      <c r="K16" s="8"/>
    </row>
    <row r="17" spans="1:20" ht="20.100000000000001" customHeight="1" x14ac:dyDescent="0.25">
      <c r="C17" s="8"/>
      <c r="D17" s="50" t="str">
        <v>c</v>
      </c>
      <c r="E17" s="51" t="str">
        <v>Crop residue type</v>
      </c>
      <c r="F17" s="52"/>
      <c r="G17" s="53"/>
      <c r="H17" s="50" t="str">
        <v/>
      </c>
      <c r="I17" s="54" t="str">
        <v>Input</v>
      </c>
      <c r="J17" s="50" t="s">
        <v>633</v>
      </c>
      <c r="K17" s="8"/>
    </row>
    <row r="18" spans="1:20" ht="20.100000000000001" customHeight="1" x14ac:dyDescent="0.25">
      <c r="A18" s="6" t="s">
        <v>3</v>
      </c>
      <c r="C18" s="8"/>
      <c r="D18" s="50" t="str">
        <v>p</v>
      </c>
      <c r="E18" s="51" t="str">
        <v>Pasture residue type</v>
      </c>
      <c r="F18" s="52"/>
      <c r="G18" s="53"/>
      <c r="H18" s="50" t="str">
        <v/>
      </c>
      <c r="I18" s="54" t="str">
        <v>Input</v>
      </c>
      <c r="J18" s="50" t="str">
        <f>X_Cell_Pasture_PastureType</f>
        <v>Grass clover mixture</v>
      </c>
      <c r="K18" s="8"/>
    </row>
    <row r="19" spans="1:20" ht="20.100000000000001" customHeight="1" x14ac:dyDescent="0.25">
      <c r="A19" s="5" t="str">
        <f>HYPERLINK("#'3.2.1.1-2 Enteric Methane'!A1", "3.2.1.1-2 Enteric methane")</f>
        <v>3.2.1.1-2 Enteric methane</v>
      </c>
      <c r="C19" s="8"/>
      <c r="D19" s="50" t="str">
        <v>ir</v>
      </c>
      <c r="E19" s="51" t="str">
        <v>Irrigation type</v>
      </c>
      <c r="F19" s="52"/>
      <c r="G19" s="53"/>
      <c r="H19" s="50" t="str">
        <v/>
      </c>
      <c r="I19" s="54" t="str">
        <v>Input</v>
      </c>
      <c r="J19" s="56"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57" t="s">
        <v>634</v>
      </c>
      <c r="E21" s="8"/>
      <c r="F21" s="8"/>
      <c r="G21" s="8"/>
      <c r="H21" s="8"/>
      <c r="I21" s="8"/>
      <c r="J21" s="8"/>
      <c r="K21" s="8"/>
      <c r="N21" s="57" t="s">
        <v>635</v>
      </c>
      <c r="O21" s="8"/>
      <c r="P21" s="8"/>
      <c r="Q21" s="8"/>
      <c r="R21" s="8"/>
      <c r="S21" s="8"/>
    </row>
    <row r="22" spans="1:20" ht="20.100000000000001" customHeight="1" x14ac:dyDescent="0.25">
      <c r="A22" s="5" t="str">
        <f>HYPERLINK("#'4.2.1.5-6 Soil Atmos Dep'!A1", "4.2.1.5-6 Soil atm. deposition")</f>
        <v>4.2.1.5-6 Soil atm. deposition</v>
      </c>
      <c r="C22" s="8"/>
      <c r="D22" s="58" t="s">
        <v>636</v>
      </c>
      <c r="E22" s="8"/>
      <c r="F22" s="8"/>
      <c r="G22" s="8"/>
      <c r="H22" s="8"/>
      <c r="I22" s="8"/>
      <c r="J22" s="8"/>
      <c r="K22" s="8"/>
      <c r="N22" s="58" t="s">
        <v>637</v>
      </c>
      <c r="O22" s="8"/>
      <c r="P22" s="8"/>
      <c r="Q22" s="8"/>
      <c r="R22" s="8"/>
      <c r="S22" s="8"/>
    </row>
    <row r="23" spans="1:20" ht="20.100000000000001" customHeight="1" x14ac:dyDescent="0.25">
      <c r="A23" s="5" t="str">
        <f>HYPERLINK("#'4.2.1.7-8 Soil leach runoff'!A1", "4.2.1.7-8 Soil leach &amp; runoff")</f>
        <v>4.2.1.7-8 Soil leach &amp; runoff</v>
      </c>
      <c r="C23" s="8"/>
      <c r="D23" s="60" t="s">
        <v>638</v>
      </c>
      <c r="E23" s="59" t="s">
        <v>639</v>
      </c>
      <c r="F23" s="60" t="s">
        <v>640</v>
      </c>
      <c r="G23" s="60" t="s">
        <v>641</v>
      </c>
      <c r="H23" s="59" t="s">
        <v>642</v>
      </c>
      <c r="I23" s="59" t="s">
        <v>643</v>
      </c>
      <c r="J23" s="8"/>
      <c r="K23" s="8"/>
      <c r="N23" s="60" t="s">
        <v>638</v>
      </c>
      <c r="O23" s="59" t="s">
        <v>639</v>
      </c>
      <c r="P23" s="60" t="s">
        <v>640</v>
      </c>
      <c r="Q23" s="60" t="s">
        <v>641</v>
      </c>
      <c r="R23" s="59" t="s">
        <v>642</v>
      </c>
      <c r="S23" s="59" t="s">
        <v>643</v>
      </c>
    </row>
    <row r="24" spans="1:20" ht="20.100000000000001" customHeight="1" x14ac:dyDescent="0.25">
      <c r="A24" s="5" t="str">
        <f>HYPERLINK("#'5.1.1.1-2 Inorganic fert N2O'!A1", "5.1.1.1-2 Inorganic fert N2O")</f>
        <v>5.1.1.1-2 Inorganic fert N2O</v>
      </c>
      <c r="D24" s="29" t="s">
        <v>280</v>
      </c>
      <c r="E24" s="29" t="s">
        <v>633</v>
      </c>
      <c r="F24" s="29" t="s">
        <v>633</v>
      </c>
      <c r="G24" s="29" t="s">
        <v>633</v>
      </c>
      <c r="H24" s="29" t="s">
        <v>633</v>
      </c>
      <c r="I24" s="29" t="s">
        <v>633</v>
      </c>
      <c r="N24" s="29"/>
      <c r="O24" s="29" t="s">
        <v>633</v>
      </c>
      <c r="P24" s="29"/>
      <c r="Q24" s="29"/>
      <c r="R24" s="29"/>
      <c r="S24" s="29" t="s">
        <v>633</v>
      </c>
    </row>
    <row r="25" spans="1:20" ht="20.100000000000001" customHeight="1" x14ac:dyDescent="0.25">
      <c r="A25" s="5" t="str">
        <f>HYPERLINK("#'5.1.1.3-4 Inorganic fert CO2'!A1", "5.1.1.3-4 Inorganic fert CO2")</f>
        <v>5.1.1.3-4 Inorganic fert CO2</v>
      </c>
      <c r="D25" s="29" t="s">
        <v>72</v>
      </c>
      <c r="E25" s="29">
        <f>'6.2.1.1-2 Pasture residue N2O'!$E$21</f>
        <v>7.4226E-2</v>
      </c>
      <c r="F25" s="29" t="str">
        <f>X_Cell_Pasture_IrrigationMethod</f>
        <v>Surface irrigation</v>
      </c>
      <c r="G25" s="29" t="str">
        <f>X_Cell_Site_LeachingZone</f>
        <v>NO - Not in leaching zone</v>
      </c>
      <c r="H25" s="29">
        <f>CommonCropping_InputFunctions.CommonCropping_GetFracWET(G25,F25,Table_SourceData_FracWET[Is in leaching zone],Table_SourceData_FracWET[FracWET], Table_SourceData_FracWETIrrigation[Irrigation type i],Table_SourceData_FracWETIrrigation[FracWET])</f>
        <v>1</v>
      </c>
      <c r="I25" s="29" cm="1">
        <f t="array" ref="I25">AgResidue_Equations_Leaching.VEERG_6_3_1_1__2__MassOfNitrogenLostThroughLeachingAndRunoff(E25,H25,$J$15)</f>
        <v>1.7814239999999999E-2</v>
      </c>
      <c r="N25" s="29"/>
      <c r="O25" s="29">
        <f>'6.2.1.1-2 Pasture residue N2O'!$O$21</f>
        <v>7.4226E-2</v>
      </c>
      <c r="P25" s="29"/>
      <c r="Q25" s="29"/>
      <c r="R25" s="29"/>
      <c r="S25" s="29"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192"/>
      <c r="D27" s="192"/>
      <c r="E27" s="192"/>
      <c r="F27" s="192"/>
      <c r="G27" s="192"/>
      <c r="H27" s="192"/>
      <c r="I27" s="192"/>
      <c r="J27" s="192"/>
      <c r="K27" s="192"/>
      <c r="M27" s="192"/>
      <c r="N27" s="192"/>
      <c r="O27" s="192"/>
      <c r="P27" s="192"/>
      <c r="Q27" s="192"/>
      <c r="R27" s="192"/>
      <c r="S27" s="192"/>
      <c r="T27" s="192"/>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193"/>
      <c r="G28" s="8"/>
      <c r="H28" s="8"/>
      <c r="I28" s="8"/>
      <c r="J28" s="8"/>
      <c r="K28" s="8"/>
    </row>
    <row r="29" spans="1:20" ht="20.100000000000001" customHeight="1" x14ac:dyDescent="0.25">
      <c r="A29" s="5" t="str">
        <f>HYPERLINK("#'5.5.1.1-2 Leaching and runoff'!A1", "5.5.1.1-2 Leaching &amp; runoff")</f>
        <v>5.5.1.1-2 Leaching &amp; runoff</v>
      </c>
      <c r="C29" s="8"/>
      <c r="D29" s="46"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47" t="s">
        <v>77</v>
      </c>
      <c r="E30" s="47"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49"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46"/>
      <c r="G32" s="8"/>
      <c r="H32" s="8"/>
      <c r="I32" s="8"/>
      <c r="J32" s="8"/>
      <c r="K32" s="8"/>
    </row>
    <row r="33" spans="1:17" ht="20.100000000000001" customHeight="1" x14ac:dyDescent="0.25">
      <c r="A33" s="5" t="str">
        <f>HYPERLINK("#'8.2.1.1-2 Stationary fuel'!A1", "8.2.1.1-2 Stationary fuel")</f>
        <v>8.2.1.1-2 Stationary fuel</v>
      </c>
      <c r="C33" s="8"/>
      <c r="D33" s="12" t="s">
        <v>79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80</v>
      </c>
      <c r="E34" s="17"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50" t="str" cm="1">
        <f t="array" ref="D36:E40">_xlfn.CHOOSECOLS(AgResidue_Equations_Leaching.VEERG_6_3_1_1__1__LeachingAndRunoffEmissionsCropAndPastureResidue_Arguments(),1,2)</f>
        <v>M_leachcp</v>
      </c>
      <c r="E36" s="51" t="str">
        <v>mass of nitrogen lost through leaching and runoff from the crop residue c or pasture residue p</v>
      </c>
      <c r="F36" s="52"/>
      <c r="G36" s="53"/>
      <c r="H36" s="50" t="str" cm="1">
        <f t="array" ref="H36:I40">_xlfn.CHOOSECOLS(AgResidue_Equations_Leaching.VEERG_6_3_1_1__1__LeachingAndRunoffEmissionsCropAndPastureResidue_Arguments(),3,4)</f>
        <v>kg N</v>
      </c>
      <c r="I36" s="55" t="str">
        <v>Calculated from 6.3.1.1 (2)</v>
      </c>
      <c r="J36" s="50" t="str" cm="1">
        <f t="array" aca="1" ref="J36" ca="1">HYPERLINK(Common_InputFunctions.Utility_SourceHyperlink($D$21), $D$21)</f>
        <v>M1_Table_M_leach_cp</v>
      </c>
      <c r="K36" s="8"/>
    </row>
    <row r="37" spans="1:17" ht="20.100000000000001" customHeight="1" x14ac:dyDescent="0.25">
      <c r="A37" s="243" t="s">
        <v>1</v>
      </c>
      <c r="C37" s="8"/>
      <c r="D37" s="50" t="str">
        <v>EF_leach</v>
      </c>
      <c r="E37" s="51" t="str">
        <v>emission factor for leaching and runoff</v>
      </c>
      <c r="F37" s="52"/>
      <c r="G37" s="53"/>
      <c r="H37" s="50" t="str">
        <v>kg N2O-N/kg N</v>
      </c>
      <c r="I37" s="55" t="str">
        <v>Constant</v>
      </c>
      <c r="J37" s="50">
        <f>'Constants - Common'!$E$170</f>
        <v>1.0999999999999999E-2</v>
      </c>
      <c r="K37" s="8"/>
    </row>
    <row r="38" spans="1:17" ht="20.100000000000001" customHeight="1" x14ac:dyDescent="0.25">
      <c r="A38" s="5" t="str">
        <f>HYPERLINK("#'Constants - Pasture Beef'!A1", "Constants - Pasture Beef")</f>
        <v>Constants - Pasture Beef</v>
      </c>
      <c r="C38" s="8"/>
      <c r="D38" s="50" t="str">
        <v>C_N2O</v>
      </c>
      <c r="E38" s="51" t="str">
        <v>factor to convert elemental mass of nitrous oxide to molecular mass</v>
      </c>
      <c r="F38" s="52"/>
      <c r="G38" s="53"/>
      <c r="H38" s="50" t="str">
        <v>dimensionless</v>
      </c>
      <c r="I38" s="55" t="str">
        <v>Constant</v>
      </c>
      <c r="J38" s="50">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50" t="str">
        <v>c</v>
      </c>
      <c r="E39" s="51" t="str">
        <v>Crop residue type</v>
      </c>
      <c r="F39" s="52"/>
      <c r="G39" s="53"/>
      <c r="H39" s="50" t="str">
        <v/>
      </c>
      <c r="I39" s="54" t="str">
        <v>Input</v>
      </c>
      <c r="J39" s="50" t="s">
        <v>633</v>
      </c>
      <c r="K39" s="8"/>
    </row>
    <row r="40" spans="1:17" ht="20.100000000000001" customHeight="1" x14ac:dyDescent="0.25">
      <c r="A40" s="5" t="str">
        <f>HYPERLINK("#'Constants - Livestock'!A1", "Constants - Livestock")</f>
        <v>Constants - Livestock</v>
      </c>
      <c r="C40" s="8"/>
      <c r="D40" s="50" t="str">
        <v>p</v>
      </c>
      <c r="E40" s="51" t="str">
        <v>Pasture residue type</v>
      </c>
      <c r="F40" s="52"/>
      <c r="G40" s="53"/>
      <c r="H40" s="50" t="str">
        <v/>
      </c>
      <c r="I40" s="54" t="str">
        <v>Input</v>
      </c>
      <c r="J40" s="50"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57" t="s">
        <v>375</v>
      </c>
      <c r="E42" s="8"/>
      <c r="F42" s="8"/>
      <c r="G42" s="8"/>
      <c r="H42" s="8"/>
      <c r="I42" s="8"/>
      <c r="J42" s="8"/>
      <c r="K42" s="8"/>
      <c r="N42" s="57" t="s">
        <v>375</v>
      </c>
      <c r="O42" s="8"/>
      <c r="P42" s="8"/>
      <c r="Q42" s="8"/>
    </row>
    <row r="43" spans="1:17" ht="20.100000000000001" customHeight="1" x14ac:dyDescent="0.25">
      <c r="A43" s="5" t="str">
        <f>HYPERLINK("#'Constants - Fuel'!A1", "Constants - Fuel")</f>
        <v>Constants - Fuel</v>
      </c>
      <c r="C43" s="8"/>
      <c r="D43" s="58" t="s">
        <v>644</v>
      </c>
      <c r="E43" s="8"/>
      <c r="F43" s="8"/>
      <c r="G43" s="8"/>
      <c r="H43" s="8"/>
      <c r="I43" s="8"/>
      <c r="J43" s="8"/>
      <c r="K43" s="8"/>
      <c r="N43" s="58" t="s">
        <v>644</v>
      </c>
      <c r="O43" s="8"/>
      <c r="P43" s="8"/>
      <c r="Q43" s="8"/>
    </row>
    <row r="44" spans="1:17" ht="20.100000000000001" customHeight="1" x14ac:dyDescent="0.25">
      <c r="A44" s="5" t="str">
        <f>HYPERLINK("#'Constants - Common'!A1", "Constants - Common")</f>
        <v>Constants - Common</v>
      </c>
      <c r="C44" s="8"/>
      <c r="D44" s="59" t="s">
        <v>643</v>
      </c>
      <c r="E44" s="59" t="s">
        <v>645</v>
      </c>
      <c r="F44" s="8"/>
      <c r="G44" s="8"/>
      <c r="H44" s="8"/>
      <c r="I44" s="8"/>
      <c r="J44" s="8"/>
      <c r="K44" s="8"/>
      <c r="N44" s="59" t="s">
        <v>643</v>
      </c>
      <c r="O44" s="59" t="s">
        <v>645</v>
      </c>
      <c r="P44" s="8"/>
      <c r="Q44" s="8"/>
    </row>
    <row r="45" spans="1:17" ht="20.100000000000001" customHeight="1" x14ac:dyDescent="0.25">
      <c r="A45" s="5" t="str">
        <f>HYPERLINK("#'Acknowledgements'!A1", "Acknowledgements")</f>
        <v>Acknowledgements</v>
      </c>
      <c r="C45" s="8"/>
      <c r="D45" s="29" t="str">
        <f>I24</f>
        <v>N/A</v>
      </c>
      <c r="E45" s="29" t="s">
        <v>633</v>
      </c>
      <c r="F45" s="8"/>
      <c r="G45" s="8"/>
      <c r="H45" s="8"/>
      <c r="I45" s="8"/>
      <c r="J45" s="8"/>
      <c r="K45" s="8"/>
      <c r="N45" s="29" t="str">
        <f>S24</f>
        <v>N/A</v>
      </c>
      <c r="O45" s="29" t="s">
        <v>633</v>
      </c>
      <c r="P45" s="8"/>
      <c r="Q45" s="8"/>
    </row>
    <row r="46" spans="1:17" ht="20.100000000000001" customHeight="1" x14ac:dyDescent="0.25">
      <c r="A46" s="5" t="str">
        <f>HYPERLINK("#'Overview'!A1", "Overview")</f>
        <v>Overview</v>
      </c>
      <c r="C46" s="8"/>
      <c r="D46" s="29">
        <f>I25</f>
        <v>1.7814239999999999E-2</v>
      </c>
      <c r="E46" s="29" cm="1">
        <f t="array" ref="E46">AgResidue_Equations_Leaching.VEERG_6_3_1_1__1__LeachingAndRunoffEmissionsCropAndPastureResidue(D46,$J$37,$J$38)</f>
        <v>3.0793186285714277E-7</v>
      </c>
      <c r="F46" s="8"/>
      <c r="G46" s="8"/>
      <c r="H46" s="8"/>
      <c r="I46" s="8"/>
      <c r="J46" s="8"/>
      <c r="K46" s="8"/>
      <c r="N46" s="29">
        <f>S25</f>
        <v>1.7814239999999999E-2</v>
      </c>
      <c r="O46" s="29"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194" t="s">
        <v>646</v>
      </c>
      <c r="E48" s="195">
        <f>SUM(E45:E46)</f>
        <v>3.0793186285714277E-7</v>
      </c>
      <c r="F48" s="64" t="str">
        <f>$E$34</f>
        <v>t N2O</v>
      </c>
      <c r="G48" s="8"/>
      <c r="H48" s="8"/>
      <c r="I48" s="8"/>
      <c r="J48" s="8"/>
      <c r="K48" s="8"/>
      <c r="N48" s="194" t="s">
        <v>646</v>
      </c>
      <c r="O48" s="195">
        <f>SUM(O45:O46)</f>
        <v>3.0793186285714277E-7</v>
      </c>
      <c r="P48" s="64" t="str">
        <f>$E$34</f>
        <v>t N2O</v>
      </c>
      <c r="Q48" s="8"/>
    </row>
    <row r="49" spans="4:17" ht="20.100000000000001" customHeight="1" x14ac:dyDescent="0.25">
      <c r="D49" s="8"/>
      <c r="E49" s="8"/>
      <c r="F49" s="8"/>
      <c r="G49" s="8"/>
      <c r="N49" s="8"/>
      <c r="O49" s="8"/>
      <c r="P49" s="8"/>
      <c r="Q49" s="8"/>
    </row>
    <row r="50" spans="4:17" ht="20.100000000000001" customHeight="1" x14ac:dyDescent="0.25">
      <c r="D50" s="65" t="str" cm="1">
        <f t="array" ref="D50:E51">Common_Equations.Common_ConvertN2OToCO2e_Arguments()</f>
        <v>EN2O</v>
      </c>
      <c r="E50" s="66" t="str">
        <v>Nitrous oxide emissions (t N2O)</v>
      </c>
      <c r="F50" s="67"/>
      <c r="G50" s="29">
        <f>E48</f>
        <v>3.0793186285714277E-7</v>
      </c>
      <c r="N50" s="65" t="str" cm="1">
        <f t="array" ref="N50:O51">Common_Equations.Common_ConvertN2OToCO2e_Arguments()</f>
        <v>EN2O</v>
      </c>
      <c r="O50" s="66" t="str">
        <v>Nitrous oxide emissions (t N2O)</v>
      </c>
      <c r="P50" s="67"/>
      <c r="Q50" s="29">
        <f>O48</f>
        <v>3.0793186285714277E-7</v>
      </c>
    </row>
    <row r="51" spans="4:17" ht="20.100000000000001" customHeight="1" x14ac:dyDescent="0.25">
      <c r="D51" s="65" t="str">
        <v>GWPN2O</v>
      </c>
      <c r="E51" s="66" t="str">
        <v>Global warming potential for nitrous oxide (t CO2-e / t N2O)</v>
      </c>
      <c r="F51" s="67"/>
      <c r="G51" s="29">
        <f>Common_InputFunctions.Utility_LookupValueInTableNumber("N2O",Table_GWPData[Gas],Table_GWPData[CO2-e factor])</f>
        <v>265</v>
      </c>
      <c r="H51" s="8"/>
      <c r="I51" s="8"/>
      <c r="N51" s="65" t="str">
        <v>GWPN2O</v>
      </c>
      <c r="O51" s="66" t="str">
        <v>Global warming potential for nitrous oxide (t CO2-e / t N2O)</v>
      </c>
      <c r="P51" s="67"/>
      <c r="Q51" s="29">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61" t="s">
        <v>120</v>
      </c>
      <c r="E53" s="61" cm="1">
        <f t="array" ref="E53">Common_Equations.Common_ConvertN2OToCO2e(G50,G51)</f>
        <v>8.1601943657142831E-5</v>
      </c>
      <c r="F53" s="19" t="str" cm="1">
        <f t="array" ref="F53">Common_Equations.Common_ConvertN2OToCO2e_Unit()</f>
        <v>t CO2e</v>
      </c>
      <c r="I53" s="8"/>
      <c r="N53" s="61" t="s">
        <v>120</v>
      </c>
      <c r="O53" s="61" cm="1">
        <f t="array" ref="O53">Common_Equations.Common_ConvertN2OToCO2e(Q50,Q51)</f>
        <v>8.1601943657142831E-5</v>
      </c>
      <c r="P53" s="19"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71157-5CAB-4E2B-935F-17B61A5E4843}">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44" customFormat="1" ht="30" customHeight="1" x14ac:dyDescent="0.35">
      <c r="A1" s="18" t="e" vm="1">
        <v>#VALUE!</v>
      </c>
      <c r="C1" s="44" t="s">
        <v>537</v>
      </c>
    </row>
    <row r="2" spans="1:18" s="3" customFormat="1" ht="20.100000000000001" customHeight="1" x14ac:dyDescent="0.25">
      <c r="A2"/>
    </row>
    <row r="3" spans="1:18" ht="20.100000000000001" customHeight="1" x14ac:dyDescent="0.25">
      <c r="A3" s="5" t="str">
        <f>HYPERLINK("#'Home'!A1", "Home")</f>
        <v>Home</v>
      </c>
      <c r="C3" s="45"/>
      <c r="D3" s="45" t="s">
        <v>75</v>
      </c>
      <c r="E3" s="45"/>
      <c r="F3" s="45"/>
      <c r="G3" s="45"/>
      <c r="H3" s="45"/>
      <c r="I3" s="45"/>
      <c r="J3" s="45"/>
      <c r="K3" s="45"/>
      <c r="L3" s="45"/>
      <c r="M3" s="45"/>
      <c r="N3" s="45"/>
      <c r="O3" s="45"/>
      <c r="P3" s="45"/>
      <c r="Q3" s="45"/>
      <c r="R3" s="45"/>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28"/>
      <c r="P5" s="128"/>
      <c r="Q5" s="128"/>
    </row>
    <row r="6" spans="1:18" ht="20.100000000000001" customHeight="1" x14ac:dyDescent="0.25">
      <c r="D6" s="46" t="str" cm="1">
        <f t="array" ref="D6">Fuel_Equations.VEERG_8_1_1_1__1_FuelCombustionTransport_Source()</f>
        <v>VEERG 2026: 8.1.1.1, Equation (1)</v>
      </c>
      <c r="K6" s="46" t="str" cm="1">
        <f t="array" ref="K6">Scope3_Equations.VEERG_15_11_1_1__2_UpstreamTransportFuelEmissions_Source()</f>
        <v>VEERG 2026: 15.11.1.1, Equation (2)</v>
      </c>
      <c r="O6" s="128"/>
      <c r="P6" s="128"/>
      <c r="Q6" s="128"/>
    </row>
    <row r="7" spans="1:18" ht="20.100000000000001" customHeight="1" x14ac:dyDescent="0.25">
      <c r="A7" s="7" t="s">
        <v>0</v>
      </c>
      <c r="D7" s="47" t="s">
        <v>77</v>
      </c>
      <c r="E7" s="47" t="str" cm="1">
        <f t="array" aca="1" ref="E7" ca="1">Common_InputFunctions.Utility_DisplayFunctionName(N25)</f>
        <v>=Fuel_Equations.VEERG_8_1_1_1__1_FuelCombustionTransport</v>
      </c>
      <c r="K7" s="47" t="s">
        <v>77</v>
      </c>
      <c r="L7" s="47" t="str" cm="1">
        <f t="array" aca="1" ref="L7" ca="1">Common_InputFunctions.Utility_DisplayFunctionName(Q25)</f>
        <v>=Scope3_Equations.VEERG_15_11_1_1__2_UpstreamTransportFuelEmissions</v>
      </c>
      <c r="O7" s="128"/>
      <c r="P7" s="128"/>
      <c r="Q7" s="128"/>
    </row>
    <row r="8" spans="1:18" ht="20.100000000000001" customHeight="1" x14ac:dyDescent="0.25">
      <c r="A8" s="5" t="str">
        <f>HYPERLINK("#'Input - Enterprise'!A1", "Enterprise")</f>
        <v>Enterprise</v>
      </c>
      <c r="E8" s="47"/>
      <c r="L8" s="47"/>
      <c r="O8" s="128"/>
      <c r="P8" s="128"/>
      <c r="Q8" s="128"/>
    </row>
    <row r="9" spans="1:18" ht="20.100000000000001" customHeight="1" x14ac:dyDescent="0.25">
      <c r="A9" s="5" t="str">
        <f>HYPERLINK("#'Input - Site'!A1", "Site")</f>
        <v>Site</v>
      </c>
      <c r="G9" s="46"/>
      <c r="O9" s="128"/>
      <c r="P9" s="128"/>
      <c r="Q9" s="128"/>
    </row>
    <row r="10" spans="1:18" ht="20.100000000000001" customHeight="1" x14ac:dyDescent="0.25">
      <c r="A10" s="5" t="str">
        <f>HYPERLINK("#'Input - Pasture Beef'!A1", "Pasture Beef")</f>
        <v>Pasture Beef</v>
      </c>
      <c r="O10" s="128"/>
      <c r="P10" s="128"/>
      <c r="Q10" s="128"/>
    </row>
    <row r="11" spans="1:18" ht="20.100000000000001" customHeight="1" x14ac:dyDescent="0.25">
      <c r="A11" s="5" t="str">
        <f>HYPERLINK("#'Input - Pasture Beef (Enteric)'!A1", "Pasture Beef (Enteric)")</f>
        <v>Pasture Beef (Enteric)</v>
      </c>
      <c r="D11" s="48" t="s">
        <v>79</v>
      </c>
      <c r="E11" s="1" t="str" cm="1">
        <f t="array" ref="E11">Fuel_Equations.VEERG_8_1_1_1__1_FuelCombustionTransport_Variable()</f>
        <v>E_g</v>
      </c>
      <c r="K11" s="48" t="s">
        <v>79</v>
      </c>
      <c r="L11" s="1" t="str" cm="1">
        <f t="array" ref="L11">Scope3_Equations.VEERG_15_11_1_1__2_UpstreamTransportFuelEmissions_Variable()</f>
        <v>E_WTTtransq</v>
      </c>
      <c r="O11" s="128"/>
      <c r="P11" s="128"/>
      <c r="Q11" s="128"/>
    </row>
    <row r="12" spans="1:18" ht="20.100000000000001" customHeight="1" x14ac:dyDescent="0.25">
      <c r="A12" s="5" t="str">
        <f>HYPERLINK("#'Input - Pasture'!A1", "Pasture")</f>
        <v>Pasture</v>
      </c>
      <c r="D12" s="48" t="s">
        <v>80</v>
      </c>
      <c r="E12" s="17" t="str" cm="1">
        <f t="array" ref="E12">Fuel_Equations.VEERG_8_1_1_1__1_FuelCombustionTransport_Unit()</f>
        <v>t CO2-e</v>
      </c>
      <c r="K12" s="48" t="s">
        <v>80</v>
      </c>
      <c r="L12" s="17"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50" t="str" cm="1">
        <f t="array" ref="D14:E20">_xlfn.CHOOSECOLS(Fuel_Equations.VEERG_8_1_1_1__1_FuelCombustionTransport_Arguments(), 1,2)</f>
        <v>Q_Transtq</v>
      </c>
      <c r="E14" s="51" t="str">
        <v>Amount of fuel type q combusted for transport energy purposes</v>
      </c>
      <c r="F14" s="53"/>
      <c r="G14" s="50" t="str" cm="1">
        <f t="array" ref="G14:H20">_xlfn.CHOOSECOLS(Fuel_Equations.VEERG_8_1_1_1__1_FuelCombustionTransport_Arguments(), 3,4)</f>
        <v>Varies based on fuel type: kL, m3, GJ</v>
      </c>
      <c r="H14" s="54" t="str">
        <v>Input</v>
      </c>
      <c r="I14" s="56" t="str" cm="1">
        <f t="array" aca="1" ref="I14" ca="1">HYPERLINK(Common_InputFunctions.Utility_SourceHyperlink($D$22), $D$22)</f>
        <v>Table_E_g</v>
      </c>
      <c r="K14" s="50" t="str" cm="1">
        <f t="array" ref="K14:L16">_xlfn.CHOOSECOLS(Scope3_Equations.VEERG_15_11_1_1__2_UpstreamTransportFuelEmissions_Arguments(),1,2)</f>
        <v>Q_Transq</v>
      </c>
      <c r="L14" s="50" t="str">
        <v>amount of fuel q combusted for transport energy purposes</v>
      </c>
      <c r="M14" s="50"/>
      <c r="N14" s="50" t="str" cm="1">
        <f t="array" ref="N14:O16">_xlfn.CHOOSECOLS(Scope3_Equations.VEERG_15_11_1_1__2_UpstreamTransportFuelEmissions_Arguments(),3,4)</f>
        <v>kL</v>
      </c>
      <c r="O14" s="54" t="str">
        <v>Input</v>
      </c>
      <c r="P14" s="56" t="str" cm="1">
        <f t="array" aca="1" ref="P14" ca="1">HYPERLINK(Common_InputFunctions.Utility_SourceHyperlink($D$22), $D$22)</f>
        <v>Table_E_g</v>
      </c>
      <c r="Q14" s="128"/>
    </row>
    <row r="15" spans="1:18" ht="20.100000000000001" customHeight="1" x14ac:dyDescent="0.25">
      <c r="A15" s="5" t="str">
        <f>HYPERLINK("#'Input - Electricity'!A1", "Electricity")</f>
        <v>Electricity</v>
      </c>
      <c r="D15" s="50" t="str">
        <v>EC_Transq</v>
      </c>
      <c r="E15" s="51" t="str">
        <v>Energy content factor for transport energy purposes</v>
      </c>
      <c r="F15" s="53"/>
      <c r="G15" s="50" t="str">
        <v>GJ / unit of fuel</v>
      </c>
      <c r="H15" s="55" t="str">
        <v>Constant</v>
      </c>
      <c r="I15" s="56" t="str" cm="1">
        <f t="array" aca="1" ref="I15" ca="1">HYPERLINK(Common_InputFunctions.Utility_SourceHyperlink($D$22), $D$22)</f>
        <v>Table_E_g</v>
      </c>
      <c r="K15" s="50" t="str">
        <v>EC_Transq</v>
      </c>
      <c r="L15" s="50" t="str">
        <v>energy content factor for transport energy purposes</v>
      </c>
      <c r="M15" s="50"/>
      <c r="N15" s="50" t="str">
        <v>GJ/kL or GJ/m3</v>
      </c>
      <c r="O15" s="55" t="str">
        <v>Constant</v>
      </c>
      <c r="P15" s="56" t="str" cm="1">
        <f t="array" aca="1" ref="P15" ca="1">HYPERLINK(Common_InputFunctions.Utility_SourceHyperlink($D$22), $D$22)</f>
        <v>Table_E_g</v>
      </c>
      <c r="Q15" s="128"/>
    </row>
    <row r="16" spans="1:18" ht="20.100000000000001" customHeight="1" x14ac:dyDescent="0.25">
      <c r="D16" s="50" t="str">
        <v>EF_Trans1tqg</v>
      </c>
      <c r="E16" s="51" t="str">
        <v>Scope 1 emission factor for transport energy purposes for each greenhouse gas</v>
      </c>
      <c r="F16" s="53"/>
      <c r="G16" s="50" t="str">
        <v>kg CO2e / GJ</v>
      </c>
      <c r="H16" s="55" t="str">
        <v>Constant</v>
      </c>
      <c r="I16" s="56" t="str" cm="1">
        <f t="array" aca="1" ref="I16" ca="1">HYPERLINK(Common_InputFunctions.Utility_SourceHyperlink($D$22), $D$22)</f>
        <v>Table_E_g</v>
      </c>
      <c r="K16" s="50" t="str">
        <v>EF_Trans3q</v>
      </c>
      <c r="L16" s="50" t="str">
        <v>scope 3 emission factor for transport energy purposes</v>
      </c>
      <c r="M16" s="50"/>
      <c r="N16" s="50" t="str">
        <v>kg CO2e/GJ</v>
      </c>
      <c r="O16" s="55" t="str">
        <v>Constant</v>
      </c>
      <c r="P16" s="56" t="str" cm="1">
        <f t="array" aca="1" ref="P16" ca="1">HYPERLINK(Common_InputFunctions.Utility_SourceHyperlink($D$22), $D$22)</f>
        <v>Table_E_g</v>
      </c>
      <c r="Q16" s="128"/>
    </row>
    <row r="17" spans="1:17" ht="20.100000000000001" customHeight="1" x14ac:dyDescent="0.25">
      <c r="D17" s="50" t="str">
        <v>q</v>
      </c>
      <c r="E17" s="51" t="str">
        <v>Fuel type</v>
      </c>
      <c r="F17" s="53"/>
      <c r="G17" s="50" t="str">
        <v/>
      </c>
      <c r="H17" s="55" t="str">
        <v>Constant</v>
      </c>
      <c r="I17" s="56"/>
      <c r="J17" s="128"/>
      <c r="P17" s="128"/>
      <c r="Q17" s="128"/>
    </row>
    <row r="18" spans="1:17" ht="20.100000000000001" customHeight="1" x14ac:dyDescent="0.25">
      <c r="A18" s="6" t="s">
        <v>3</v>
      </c>
      <c r="D18" s="50" t="str">
        <v>Trans</v>
      </c>
      <c r="E18" s="51" t="str">
        <v>Transport combustion</v>
      </c>
      <c r="F18" s="53"/>
      <c r="G18" s="50" t="str">
        <v/>
      </c>
      <c r="H18" s="55" t="str">
        <v>Constant</v>
      </c>
      <c r="I18" s="56"/>
      <c r="J18" s="128"/>
      <c r="L18" s="128"/>
      <c r="M18" s="128"/>
      <c r="N18" s="128"/>
      <c r="O18" s="128"/>
      <c r="P18" s="128"/>
      <c r="Q18" s="128"/>
    </row>
    <row r="19" spans="1:17" ht="20.100000000000001" customHeight="1" x14ac:dyDescent="0.25">
      <c r="A19" s="5" t="str">
        <f>HYPERLINK("#'3.2.1.1-2 Enteric Methane'!A1", "3.2.1.1-2 Enteric methane")</f>
        <v>3.2.1.1-2 Enteric methane</v>
      </c>
      <c r="D19" s="50" t="str">
        <v>g</v>
      </c>
      <c r="E19" s="51" t="str">
        <v>Greenhouse gas</v>
      </c>
      <c r="F19" s="53"/>
      <c r="G19" s="50" t="str">
        <v/>
      </c>
      <c r="H19" s="55" t="str">
        <v>Constant</v>
      </c>
      <c r="I19" s="56"/>
      <c r="J19" s="128"/>
      <c r="L19" s="128"/>
      <c r="M19" s="128"/>
      <c r="N19" s="128"/>
      <c r="O19" s="128"/>
      <c r="P19" s="128"/>
      <c r="Q19" s="128"/>
    </row>
    <row r="20" spans="1:17" ht="20.100000000000001" customHeight="1" x14ac:dyDescent="0.25">
      <c r="A20" s="5" t="str">
        <f>HYPERLINK("#'4.2.1.1-2 Methane'!A1", "4.2.1.1-2 Manure methane")</f>
        <v>4.2.1.1-2 Manure methane</v>
      </c>
      <c r="D20" s="50" t="str">
        <v>1</v>
      </c>
      <c r="E20" s="51" t="str">
        <v>Scope 1</v>
      </c>
      <c r="F20" s="53"/>
      <c r="G20" s="50" t="str">
        <v/>
      </c>
      <c r="H20" s="55" t="str">
        <v>Constant</v>
      </c>
      <c r="I20" s="56"/>
      <c r="J20" s="128"/>
      <c r="L20" s="128"/>
      <c r="M20" s="128"/>
      <c r="N20" s="128"/>
      <c r="O20" s="128"/>
      <c r="P20" s="128"/>
      <c r="Q20" s="128"/>
    </row>
    <row r="21" spans="1:17" ht="20.100000000000001" customHeight="1" x14ac:dyDescent="0.25">
      <c r="A21" s="5" t="str">
        <f>HYPERLINK("#'4.2.1.3-4 Soil direct N20'!A1", "4.2.1.3-4 Soil direct N2O")</f>
        <v>4.2.1.3-4 Soil direct N2O</v>
      </c>
      <c r="O21" s="128"/>
      <c r="P21" s="128"/>
      <c r="Q21" s="128"/>
    </row>
    <row r="22" spans="1:17" ht="20.100000000000001" customHeight="1" x14ac:dyDescent="0.25">
      <c r="A22" s="5" t="str">
        <f>HYPERLINK("#'4.2.1.5-6 Soil Atmos Dep'!A1", "4.2.1.5-6 Soil atm. deposition")</f>
        <v>4.2.1.5-6 Soil atm. deposition</v>
      </c>
      <c r="D22" s="57" t="s">
        <v>538</v>
      </c>
    </row>
    <row r="23" spans="1:17" ht="20.100000000000001" customHeight="1" x14ac:dyDescent="0.25">
      <c r="A23" s="5" t="str">
        <f>HYPERLINK("#'4.2.1.7-8 Soil leach runoff'!A1", "4.2.1.7-8 Soil leach &amp; runoff")</f>
        <v>4.2.1.7-8 Soil leach &amp; runoff</v>
      </c>
      <c r="D23" s="58" t="s">
        <v>539</v>
      </c>
    </row>
    <row r="24" spans="1:17" ht="20.100000000000001" customHeight="1" x14ac:dyDescent="0.25">
      <c r="A24" s="5" t="str">
        <f>HYPERLINK("#'5.1.1.1-2 Inorganic fert N2O'!A1", "5.1.1.1-2 Inorganic fert N2O")</f>
        <v>5.1.1.1-2 Inorganic fert N2O</v>
      </c>
      <c r="D24" s="59" t="s">
        <v>540</v>
      </c>
      <c r="E24" s="59" t="s">
        <v>541</v>
      </c>
      <c r="F24" s="59" t="s">
        <v>542</v>
      </c>
      <c r="G24" s="59" t="s">
        <v>543</v>
      </c>
      <c r="H24" s="59" t="s">
        <v>544</v>
      </c>
      <c r="I24" s="59" t="s">
        <v>545</v>
      </c>
      <c r="J24" s="59" t="s">
        <v>546</v>
      </c>
      <c r="K24" s="59" t="s">
        <v>547</v>
      </c>
      <c r="L24" s="60" t="s">
        <v>548</v>
      </c>
      <c r="M24" s="59" t="s">
        <v>549</v>
      </c>
      <c r="N24" s="59" t="s">
        <v>550</v>
      </c>
      <c r="O24" s="59" t="s">
        <v>551</v>
      </c>
      <c r="P24" s="59" t="s">
        <v>552</v>
      </c>
      <c r="Q24" s="59" t="s">
        <v>553</v>
      </c>
    </row>
    <row r="25" spans="1:17" ht="20.100000000000001" customHeight="1" x14ac:dyDescent="0.25">
      <c r="A25" s="5" t="str">
        <f>HYPERLINK("#'5.1.1.3-4 Inorganic fert CO2'!A1", "5.1.1.3-4 Inorganic fert CO2")</f>
        <v>5.1.1.3-4 Inorganic fert CO2</v>
      </c>
      <c r="D25" s="27" t="str">
        <f>Table_FuelTypesPerUse[[#Headers],[Cars and light commercial vehicles]]</f>
        <v>Cars and light commercial vehicles</v>
      </c>
      <c r="E25" s="153" t="str">
        <f>'Constants - Fuel'!$E$10</f>
        <v>Gasoline</v>
      </c>
      <c r="F25" s="153" t="str">
        <f>'Constants - Fuel'!G131</f>
        <v>Petrol</v>
      </c>
      <c r="G25" s="29" cm="1">
        <f t="array" ref="G25">IFERROR(_xlfn.XLOOKUP(1, (Table_Fuel_EFs_Transport[Fuel combusted]=$E25)*(Table_Fuel_EFs_Transport[Transport type]=$D$25), Table_Fuel_EFs_Transport[Energy Content Factor (GJ per unit of fuel)]), 0)</f>
        <v>34.200000000000003</v>
      </c>
      <c r="H25" s="29" cm="1">
        <f t="array" ref="H25">IFERROR(_xlfn.XLOOKUP(1, (Table_Fuel_EFs_Transport[Fuel combusted]=$E25)*(Table_Fuel_EFs_Transport[Transport type]=$D$25), Table_Fuel_EFs_Transport[Scope 1 Emission Factor (kg CO2 - e / GJ) CO2]), 0)</f>
        <v>67.400000000000006</v>
      </c>
      <c r="I25" s="29" cm="1">
        <f t="array" ref="I25">IFERROR(_xlfn.XLOOKUP(1, (Table_Fuel_EFs_Transport[Fuel combusted]=$E25)*(Table_Fuel_EFs_Transport[Transport type]=$D$25), Table_Fuel_EFs_Transport[Scope 1 Emission Factor (kg CO2 - e / GJ) CH4]), 0)</f>
        <v>0.02</v>
      </c>
      <c r="J25" s="29" cm="1">
        <f t="array" ref="J25">IFERROR(_xlfn.XLOOKUP(1, (Table_Fuel_EFs_Transport[Fuel combusted]=$E25)*(Table_Fuel_EFs_Transport[Transport type]=$D$25), Table_Fuel_EFs_Transport[Scope 1 Emission Factor (kg CO2 - e / GJ) N2O]), 0)</f>
        <v>0.2</v>
      </c>
      <c r="K25" s="29" cm="1">
        <f t="array" ref="K25">IFERROR(_xlfn.XLOOKUP(1, (Table_Fuel_EFs_Transport[Fuel combusted]=$E25)*(Table_Fuel_EFs_Transport[Transport type]=$D$25), Table_Fuel_EFs_Transport[Scope 3 Emission Factor (kg CO2 - e / GJ)]), 0)</f>
        <v>17.2</v>
      </c>
      <c r="L25" s="132" cm="1">
        <f t="array" ref="L25">Fuel_InputFunctions.Fuel_TotalConsumption(Table_Input_Fuel[Amount consumed], Table_Input_Fuel[Fuel use (select)], D25, Table_Input_Fuel[Fuel type (select)],F25)</f>
        <v>0</v>
      </c>
      <c r="M25" s="132" t="str" cm="1">
        <f t="array" ref="M25">Common_InputFunctions.Utility_LookupValueInTable(F25,Table_FuelTypes_Units[Fuel type],Table_FuelTypes_Units[Unit])</f>
        <v>kL</v>
      </c>
      <c r="N25" s="154" cm="1">
        <f t="array" ref="N25">Fuel_Equations.VEERG_8_1_1_1__1_FuelCombustionTransport($L25,$G25,$H25)</f>
        <v>0</v>
      </c>
      <c r="O25" s="154" cm="1">
        <f t="array" ref="O25">Fuel_Equations.VEERG_8_1_1_1__1_FuelCombustionTransport($L25,$G25,$I25)</f>
        <v>0</v>
      </c>
      <c r="P25" s="154" cm="1">
        <f t="array" ref="P25">Fuel_Equations.VEERG_8_1_1_1__1_FuelCombustionTransport($L25,$G25,$J25)</f>
        <v>0</v>
      </c>
      <c r="Q25" s="154"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155" t="str">
        <f t="shared" ref="D26:D32" si="0">$D$25</f>
        <v>Cars and light commercial vehicles</v>
      </c>
      <c r="E26" s="153" t="str">
        <f>'Constants - Fuel'!$E$11</f>
        <v>Diesel oil</v>
      </c>
      <c r="F26" s="153" t="str">
        <f>'Constants - Fuel'!G132</f>
        <v>Diesel</v>
      </c>
      <c r="G26" s="29" cm="1">
        <f t="array" ref="G26">IFERROR(_xlfn.XLOOKUP(1, (Table_Fuel_EFs_Transport[Fuel combusted]=$E26)*(Table_Fuel_EFs_Transport[Transport type]=$D$25), Table_Fuel_EFs_Transport[Energy Content Factor (GJ per unit of fuel)]), 0)</f>
        <v>38.6</v>
      </c>
      <c r="H26" s="29" cm="1">
        <f t="array" ref="H26">IFERROR(_xlfn.XLOOKUP(1, (Table_Fuel_EFs_Transport[Fuel combusted]=$E26)*(Table_Fuel_EFs_Transport[Transport type]=$D$25), Table_Fuel_EFs_Transport[Scope 1 Emission Factor (kg CO2 - e / GJ) CO2]), 0)</f>
        <v>69.900000000000006</v>
      </c>
      <c r="I26" s="29" cm="1">
        <f t="array" ref="I26">IFERROR(_xlfn.XLOOKUP(1, (Table_Fuel_EFs_Transport[Fuel combusted]=$E26)*(Table_Fuel_EFs_Transport[Transport type]=$D$25), Table_Fuel_EFs_Transport[Scope 1 Emission Factor (kg CO2 - e / GJ) CH4]), 0)</f>
        <v>0.01</v>
      </c>
      <c r="J26" s="29" cm="1">
        <f t="array" ref="J26">IFERROR(_xlfn.XLOOKUP(1, (Table_Fuel_EFs_Transport[Fuel combusted]=$E26)*(Table_Fuel_EFs_Transport[Transport type]=$D$25), Table_Fuel_EFs_Transport[Scope 1 Emission Factor (kg CO2 - e / GJ) N2O]), 0)</f>
        <v>0.5</v>
      </c>
      <c r="K26" s="29" cm="1">
        <f t="array" ref="K26">IFERROR(_xlfn.XLOOKUP(1, (Table_Fuel_EFs_Transport[Fuel combusted]=$E26)*(Table_Fuel_EFs_Transport[Transport type]=$D$25), Table_Fuel_EFs_Transport[Scope 3 Emission Factor (kg CO2 - e / GJ)]), 0)</f>
        <v>17.3</v>
      </c>
      <c r="L26" s="132" cm="1">
        <f t="array" ref="L26">Fuel_InputFunctions.Fuel_TotalConsumption(Table_Input_Fuel[Amount consumed], Table_Input_Fuel[Fuel use (select)], D26, Table_Input_Fuel[Fuel type (select)],F26)</f>
        <v>10</v>
      </c>
      <c r="M26" s="132" t="str" cm="1">
        <f t="array" ref="M26">Common_InputFunctions.Utility_LookupValueInTable(F26,Table_FuelTypes_Units[Fuel type],Table_FuelTypes_Units[Unit])</f>
        <v>kL</v>
      </c>
      <c r="N26" s="154" cm="1">
        <f t="array" ref="N26">Fuel_Equations.VEERG_8_1_1_1__1_FuelCombustionTransport($L26,$G26,$H26)</f>
        <v>26.981400000000001</v>
      </c>
      <c r="O26" s="154" cm="1">
        <f t="array" ref="O26">Fuel_Equations.VEERG_8_1_1_1__1_FuelCombustionTransport($L26,$G26,$I26)</f>
        <v>3.8600000000000001E-3</v>
      </c>
      <c r="P26" s="154" cm="1">
        <f t="array" ref="P26">Fuel_Equations.VEERG_8_1_1_1__1_FuelCombustionTransport($L26,$G26,$J26)</f>
        <v>0.193</v>
      </c>
      <c r="Q26" s="154" cm="1">
        <f t="array" ref="Q26">Scope3_Equations.VEERG_15_11_1_1__2_UpstreamTransportFuelEmissions(L26,G26,K26)</f>
        <v>6.6778000000000004</v>
      </c>
    </row>
    <row r="27" spans="1:17" ht="20.100000000000001" customHeight="1" x14ac:dyDescent="0.25">
      <c r="A27" s="5" t="str">
        <f>HYPERLINK("#'5.3.1.1-2 Lime CO2'!A1", "5.3.1.1-2 Lime CO2")</f>
        <v>5.3.1.1-2 Lime CO2</v>
      </c>
      <c r="D27" s="155" t="str">
        <f t="shared" si="0"/>
        <v>Cars and light commercial vehicles</v>
      </c>
      <c r="E27" s="153" t="str">
        <f>'Constants - Fuel'!$E$12</f>
        <v>Liquefied petroleum gas (LPG)</v>
      </c>
      <c r="F27" s="153" t="str">
        <f>'Constants - Fuel'!G133</f>
        <v>Liquefied petroleum gas (LPG)</v>
      </c>
      <c r="G27" s="29" cm="1">
        <f t="array" ref="G27">IFERROR(_xlfn.XLOOKUP(1, (Table_Fuel_EFs_Transport[Fuel combusted]=$E27)*(Table_Fuel_EFs_Transport[Transport type]=$D$25), Table_Fuel_EFs_Transport[Energy Content Factor (GJ per unit of fuel)]), 0)</f>
        <v>26.2</v>
      </c>
      <c r="H27" s="29" cm="1">
        <f t="array" ref="H27">IFERROR(_xlfn.XLOOKUP(1, (Table_Fuel_EFs_Transport[Fuel combusted]=$E27)*(Table_Fuel_EFs_Transport[Transport type]=$D$25), Table_Fuel_EFs_Transport[Scope 1 Emission Factor (kg CO2 - e / GJ) CO2]), 0)</f>
        <v>60.2</v>
      </c>
      <c r="I27" s="29" cm="1">
        <f t="array" ref="I27">IFERROR(_xlfn.XLOOKUP(1, (Table_Fuel_EFs_Transport[Fuel combusted]=$E27)*(Table_Fuel_EFs_Transport[Transport type]=$D$25), Table_Fuel_EFs_Transport[Scope 1 Emission Factor (kg CO2 - e / GJ) CH4]), 0)</f>
        <v>0.5</v>
      </c>
      <c r="J27" s="29" cm="1">
        <f t="array" ref="J27">IFERROR(_xlfn.XLOOKUP(1, (Table_Fuel_EFs_Transport[Fuel combusted]=$E27)*(Table_Fuel_EFs_Transport[Transport type]=$D$25), Table_Fuel_EFs_Transport[Scope 1 Emission Factor (kg CO2 - e / GJ) N2O]), 0)</f>
        <v>0.3</v>
      </c>
      <c r="K27" s="29" cm="1">
        <f t="array" ref="K27">IFERROR(_xlfn.XLOOKUP(1, (Table_Fuel_EFs_Transport[Fuel combusted]=$E27)*(Table_Fuel_EFs_Transport[Transport type]=$D$25), Table_Fuel_EFs_Transport[Scope 3 Emission Factor (kg CO2 - e / GJ)]), 0)</f>
        <v>20.2</v>
      </c>
      <c r="L27" s="132" cm="1">
        <f t="array" ref="L27">Fuel_InputFunctions.Fuel_TotalConsumption(Table_Input_Fuel[Amount consumed], Table_Input_Fuel[Fuel use (select)], D27, Table_Input_Fuel[Fuel type (select)],F27)</f>
        <v>0</v>
      </c>
      <c r="M27" s="132" t="str" cm="1">
        <f t="array" ref="M27">Common_InputFunctions.Utility_LookupValueInTable(F27,Table_FuelTypes_Units[Fuel type],Table_FuelTypes_Units[Unit])</f>
        <v>kL</v>
      </c>
      <c r="N27" s="154" cm="1">
        <f t="array" ref="N27">Fuel_Equations.VEERG_8_1_1_1__1_FuelCombustionTransport($L27,$G27,$H27)</f>
        <v>0</v>
      </c>
      <c r="O27" s="154" cm="1">
        <f t="array" ref="O27">Fuel_Equations.VEERG_8_1_1_1__1_FuelCombustionTransport($L27,$G27,$I27)</f>
        <v>0</v>
      </c>
      <c r="P27" s="154" cm="1">
        <f t="array" ref="P27">Fuel_Equations.VEERG_8_1_1_1__1_FuelCombustionTransport($L27,$G27,$J27)</f>
        <v>0</v>
      </c>
      <c r="Q27" s="154"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155" t="str">
        <f t="shared" si="0"/>
        <v>Cars and light commercial vehicles</v>
      </c>
      <c r="E28" s="153" t="str">
        <f>'Constants - Fuel'!$E$13</f>
        <v>Fuel oil</v>
      </c>
      <c r="F28" s="153" t="str">
        <f>'Constants - Fuel'!G134</f>
        <v>Fuel oil</v>
      </c>
      <c r="G28" s="29" cm="1">
        <f t="array" ref="G28">IFERROR(_xlfn.XLOOKUP(1, (Table_Fuel_EFs_Transport[Fuel combusted]=$E28)*(Table_Fuel_EFs_Transport[Transport type]=$D$25), Table_Fuel_EFs_Transport[Energy Content Factor (GJ per unit of fuel)]), 0)</f>
        <v>39.700000000000003</v>
      </c>
      <c r="H28" s="29" cm="1">
        <f t="array" ref="H28">IFERROR(_xlfn.XLOOKUP(1, (Table_Fuel_EFs_Transport[Fuel combusted]=$E28)*(Table_Fuel_EFs_Transport[Transport type]=$D$25), Table_Fuel_EFs_Transport[Scope 1 Emission Factor (kg CO2 - e / GJ) CO2]), 0)</f>
        <v>73.599999999999994</v>
      </c>
      <c r="I28" s="29" cm="1">
        <f t="array" ref="I28">IFERROR(_xlfn.XLOOKUP(1, (Table_Fuel_EFs_Transport[Fuel combusted]=$E28)*(Table_Fuel_EFs_Transport[Transport type]=$D$25), Table_Fuel_EFs_Transport[Scope 1 Emission Factor (kg CO2 - e / GJ) CH4]), 0)</f>
        <v>0.08</v>
      </c>
      <c r="J28" s="29" cm="1">
        <f t="array" ref="J28">IFERROR(_xlfn.XLOOKUP(1, (Table_Fuel_EFs_Transport[Fuel combusted]=$E28)*(Table_Fuel_EFs_Transport[Transport type]=$D$25), Table_Fuel_EFs_Transport[Scope 1 Emission Factor (kg CO2 - e / GJ) N2O]), 0)</f>
        <v>0.5</v>
      </c>
      <c r="K28" s="29" cm="1">
        <f t="array" ref="K28">IFERROR(_xlfn.XLOOKUP(1, (Table_Fuel_EFs_Transport[Fuel combusted]=$E28)*(Table_Fuel_EFs_Transport[Transport type]=$D$25), Table_Fuel_EFs_Transport[Scope 3 Emission Factor (kg CO2 - e / GJ)]), 0)</f>
        <v>18</v>
      </c>
      <c r="L28" s="132" cm="1">
        <f t="array" ref="L28">Fuel_InputFunctions.Fuel_TotalConsumption(Table_Input_Fuel[Amount consumed], Table_Input_Fuel[Fuel use (select)], D28, Table_Input_Fuel[Fuel type (select)],F28)</f>
        <v>0</v>
      </c>
      <c r="M28" s="132" t="str" cm="1">
        <f t="array" ref="M28">Common_InputFunctions.Utility_LookupValueInTable(F28,Table_FuelTypes_Units[Fuel type],Table_FuelTypes_Units[Unit])</f>
        <v>kL</v>
      </c>
      <c r="N28" s="154" cm="1">
        <f t="array" ref="N28">Fuel_Equations.VEERG_8_1_1_1__1_FuelCombustionTransport($L28,$G28,$H28)</f>
        <v>0</v>
      </c>
      <c r="O28" s="154" cm="1">
        <f t="array" ref="O28">Fuel_Equations.VEERG_8_1_1_1__1_FuelCombustionTransport($L28,$G28,$I28)</f>
        <v>0</v>
      </c>
      <c r="P28" s="154" cm="1">
        <f t="array" ref="P28">Fuel_Equations.VEERG_8_1_1_1__1_FuelCombustionTransport($L28,$G28,$J28)</f>
        <v>0</v>
      </c>
      <c r="Q28" s="154"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155" t="str">
        <f t="shared" si="0"/>
        <v>Cars and light commercial vehicles</v>
      </c>
      <c r="E29" s="153" t="str">
        <f>'Constants - Fuel'!$E$14</f>
        <v>Ethanol</v>
      </c>
      <c r="F29" s="153" t="str">
        <f>'Constants - Fuel'!G135</f>
        <v>Ethanol</v>
      </c>
      <c r="G29" s="29" cm="1">
        <f t="array" ref="G29">IFERROR(_xlfn.XLOOKUP(1, (Table_Fuel_EFs_Transport[Fuel combusted]=$E29)*(Table_Fuel_EFs_Transport[Transport type]=$D$25), Table_Fuel_EFs_Transport[Energy Content Factor (GJ per unit of fuel)]), 0)</f>
        <v>23.4</v>
      </c>
      <c r="H29" s="29" cm="1">
        <f t="array" ref="H29">IFERROR(_xlfn.XLOOKUP(1, (Table_Fuel_EFs_Transport[Fuel combusted]=$E29)*(Table_Fuel_EFs_Transport[Transport type]=$D$25), Table_Fuel_EFs_Transport[Scope 1 Emission Factor (kg CO2 - e / GJ) CO2]), 0)</f>
        <v>0</v>
      </c>
      <c r="I29" s="29" cm="1">
        <f t="array" ref="I29">IFERROR(_xlfn.XLOOKUP(1, (Table_Fuel_EFs_Transport[Fuel combusted]=$E29)*(Table_Fuel_EFs_Transport[Transport type]=$D$25), Table_Fuel_EFs_Transport[Scope 1 Emission Factor (kg CO2 - e / GJ) CH4]), 0)</f>
        <v>0.2</v>
      </c>
      <c r="J29" s="29" cm="1">
        <f t="array" ref="J29">IFERROR(_xlfn.XLOOKUP(1, (Table_Fuel_EFs_Transport[Fuel combusted]=$E29)*(Table_Fuel_EFs_Transport[Transport type]=$D$25), Table_Fuel_EFs_Transport[Scope 1 Emission Factor (kg CO2 - e / GJ) N2O]), 0)</f>
        <v>0.2</v>
      </c>
      <c r="K29" s="29" t="str" cm="1">
        <f t="array" ref="K29">IFERROR(_xlfn.XLOOKUP(1, (Table_Fuel_EFs_Transport[Fuel combusted]=$E29)*(Table_Fuel_EFs_Transport[Transport type]=$D$25), Table_Fuel_EFs_Transport[Scope 3 Emission Factor (kg CO2 - e / GJ)]), 0)</f>
        <v>NE</v>
      </c>
      <c r="L29" s="132" cm="1">
        <f t="array" ref="L29">Fuel_InputFunctions.Fuel_TotalConsumption(Table_Input_Fuel[Amount consumed], Table_Input_Fuel[Fuel use (select)], D29, Table_Input_Fuel[Fuel type (select)],F29)</f>
        <v>0</v>
      </c>
      <c r="M29" s="132" t="str" cm="1">
        <f t="array" ref="M29">Common_InputFunctions.Utility_LookupValueInTable(F29,Table_FuelTypes_Units[Fuel type],Table_FuelTypes_Units[Unit])</f>
        <v>kL</v>
      </c>
      <c r="N29" s="154" cm="1">
        <f t="array" ref="N29">Fuel_Equations.VEERG_8_1_1_1__1_FuelCombustionTransport($L29,$G29,$H29)</f>
        <v>0</v>
      </c>
      <c r="O29" s="154" cm="1">
        <f t="array" ref="O29">Fuel_Equations.VEERG_8_1_1_1__1_FuelCombustionTransport($L29,$G29,$I29)</f>
        <v>0</v>
      </c>
      <c r="P29" s="154" cm="1">
        <f t="array" ref="P29">Fuel_Equations.VEERG_8_1_1_1__1_FuelCombustionTransport($L29,$G29,$J29)</f>
        <v>0</v>
      </c>
      <c r="Q29" s="154"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155" t="str">
        <f t="shared" si="0"/>
        <v>Cars and light commercial vehicles</v>
      </c>
      <c r="E30" s="153" t="str">
        <f>'Constants - Fuel'!$E$15</f>
        <v>Biodiesel</v>
      </c>
      <c r="F30" s="153" t="str">
        <f>'Constants - Fuel'!G136</f>
        <v>Biodiesel</v>
      </c>
      <c r="G30" s="29" cm="1">
        <f t="array" ref="G30">IFERROR(_xlfn.XLOOKUP(1, (Table_Fuel_EFs_Transport[Fuel combusted]=$E30)*(Table_Fuel_EFs_Transport[Transport type]=$D$25), Table_Fuel_EFs_Transport[Energy Content Factor (GJ per unit of fuel)]), 0)</f>
        <v>34.6</v>
      </c>
      <c r="H30" s="29" cm="1">
        <f t="array" ref="H30">IFERROR(_xlfn.XLOOKUP(1, (Table_Fuel_EFs_Transport[Fuel combusted]=$E30)*(Table_Fuel_EFs_Transport[Transport type]=$D$25), Table_Fuel_EFs_Transport[Scope 1 Emission Factor (kg CO2 - e / GJ) CO2]), 0)</f>
        <v>0</v>
      </c>
      <c r="I30" s="29" cm="1">
        <f t="array" ref="I30">IFERROR(_xlfn.XLOOKUP(1, (Table_Fuel_EFs_Transport[Fuel combusted]=$E30)*(Table_Fuel_EFs_Transport[Transport type]=$D$25), Table_Fuel_EFs_Transport[Scope 1 Emission Factor (kg CO2 - e / GJ) CH4]), 0)</f>
        <v>0.8</v>
      </c>
      <c r="J30" s="29" cm="1">
        <f t="array" ref="J30">IFERROR(_xlfn.XLOOKUP(1, (Table_Fuel_EFs_Transport[Fuel combusted]=$E30)*(Table_Fuel_EFs_Transport[Transport type]=$D$25), Table_Fuel_EFs_Transport[Scope 1 Emission Factor (kg CO2 - e / GJ) N2O]), 0)</f>
        <v>1.7</v>
      </c>
      <c r="K30" s="29" t="str" cm="1">
        <f t="array" ref="K30">IFERROR(_xlfn.XLOOKUP(1, (Table_Fuel_EFs_Transport[Fuel combusted]=$E30)*(Table_Fuel_EFs_Transport[Transport type]=$D$25), Table_Fuel_EFs_Transport[Scope 3 Emission Factor (kg CO2 - e / GJ)]), 0)</f>
        <v>NE</v>
      </c>
      <c r="L30" s="132" cm="1">
        <f t="array" ref="L30">Fuel_InputFunctions.Fuel_TotalConsumption(Table_Input_Fuel[Amount consumed], Table_Input_Fuel[Fuel use (select)], D30, Table_Input_Fuel[Fuel type (select)],F30)</f>
        <v>0</v>
      </c>
      <c r="M30" s="132" t="str" cm="1">
        <f t="array" ref="M30">Common_InputFunctions.Utility_LookupValueInTable(F30,Table_FuelTypes_Units[Fuel type],Table_FuelTypes_Units[Unit])</f>
        <v>kL</v>
      </c>
      <c r="N30" s="154" cm="1">
        <f t="array" ref="N30">Fuel_Equations.VEERG_8_1_1_1__1_FuelCombustionTransport($L30,$G30,$H30)</f>
        <v>0</v>
      </c>
      <c r="O30" s="154" cm="1">
        <f t="array" ref="O30">Fuel_Equations.VEERG_8_1_1_1__1_FuelCombustionTransport($L30,$G30,$I30)</f>
        <v>0</v>
      </c>
      <c r="P30" s="154" cm="1">
        <f t="array" ref="P30">Fuel_Equations.VEERG_8_1_1_1__1_FuelCombustionTransport($L30,$G30,$J30)</f>
        <v>0</v>
      </c>
      <c r="Q30" s="154"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155" t="str">
        <f t="shared" si="0"/>
        <v>Cars and light commercial vehicles</v>
      </c>
      <c r="E31" s="153" t="str">
        <f>'Constants - Fuel'!$E$16</f>
        <v>Renewable diesel</v>
      </c>
      <c r="F31" s="153" t="str">
        <f>'Constants - Fuel'!G137</f>
        <v>Renewable diesel</v>
      </c>
      <c r="G31" s="29" cm="1">
        <f t="array" ref="G31">IFERROR(_xlfn.XLOOKUP(1, (Table_Fuel_EFs_Transport[Fuel combusted]=$E31)*(Table_Fuel_EFs_Transport[Transport type]=$D$25), Table_Fuel_EFs_Transport[Energy Content Factor (GJ per unit of fuel)]), 0)</f>
        <v>38.6</v>
      </c>
      <c r="H31" s="29" cm="1">
        <f t="array" ref="H31">IFERROR(_xlfn.XLOOKUP(1, (Table_Fuel_EFs_Transport[Fuel combusted]=$E31)*(Table_Fuel_EFs_Transport[Transport type]=$D$25), Table_Fuel_EFs_Transport[Scope 1 Emission Factor (kg CO2 - e / GJ) CO2]), 0)</f>
        <v>0</v>
      </c>
      <c r="I31" s="29" cm="1">
        <f t="array" ref="I31">IFERROR(_xlfn.XLOOKUP(1, (Table_Fuel_EFs_Transport[Fuel combusted]=$E31)*(Table_Fuel_EFs_Transport[Transport type]=$D$25), Table_Fuel_EFs_Transport[Scope 1 Emission Factor (kg CO2 - e / GJ) CH4]), 0)</f>
        <v>0.01</v>
      </c>
      <c r="J31" s="29" cm="1">
        <f t="array" ref="J31">IFERROR(_xlfn.XLOOKUP(1, (Table_Fuel_EFs_Transport[Fuel combusted]=$E31)*(Table_Fuel_EFs_Transport[Transport type]=$D$25), Table_Fuel_EFs_Transport[Scope 1 Emission Factor (kg CO2 - e / GJ) N2O]), 0)</f>
        <v>0.5</v>
      </c>
      <c r="K31" s="29" t="str" cm="1">
        <f t="array" ref="K31">IFERROR(_xlfn.XLOOKUP(1, (Table_Fuel_EFs_Transport[Fuel combusted]=$E31)*(Table_Fuel_EFs_Transport[Transport type]=$D$25), Table_Fuel_EFs_Transport[Scope 3 Emission Factor (kg CO2 - e / GJ)]), 0)</f>
        <v>NE</v>
      </c>
      <c r="L31" s="132" cm="1">
        <f t="array" ref="L31">Fuel_InputFunctions.Fuel_TotalConsumption(Table_Input_Fuel[Amount consumed], Table_Input_Fuel[Fuel use (select)], D31, Table_Input_Fuel[Fuel type (select)],F31)</f>
        <v>0</v>
      </c>
      <c r="M31" s="132" t="str" cm="1">
        <f t="array" ref="M31">Common_InputFunctions.Utility_LookupValueInTable(F31,Table_FuelTypes_Units[Fuel type],Table_FuelTypes_Units[Unit])</f>
        <v>kL</v>
      </c>
      <c r="N31" s="154" cm="1">
        <f t="array" ref="N31">Fuel_Equations.VEERG_8_1_1_1__1_FuelCombustionTransport($L31,$G31,$H31)</f>
        <v>0</v>
      </c>
      <c r="O31" s="154" cm="1">
        <f t="array" ref="O31">Fuel_Equations.VEERG_8_1_1_1__1_FuelCombustionTransport($L31,$G31,$I31)</f>
        <v>0</v>
      </c>
      <c r="P31" s="154" cm="1">
        <f t="array" ref="P31">Fuel_Equations.VEERG_8_1_1_1__1_FuelCombustionTransport($L31,$G31,$J31)</f>
        <v>0</v>
      </c>
      <c r="Q31" s="154" cm="1">
        <f t="array" ref="Q31">Scope3_Equations.VEERG_15_11_1_1__2_UpstreamTransportFuelEmissions(L31,G31,IF(ISNUMBER(K31),K31,0))</f>
        <v>0</v>
      </c>
    </row>
    <row r="32" spans="1:17" ht="20.100000000000001" customHeight="1" x14ac:dyDescent="0.25">
      <c r="A32" s="49" t="str">
        <f>HYPERLINK("#'8.1.1.1-2 Transport fuel'!A1", "8.1.1.1-2 Transport fuel")</f>
        <v>8.1.1.1-2 Transport fuel</v>
      </c>
      <c r="D32" s="155" t="str">
        <f t="shared" si="0"/>
        <v>Cars and light commercial vehicles</v>
      </c>
      <c r="E32" s="153" t="str">
        <f>'Constants - Fuel'!$E$17</f>
        <v>Other biofuels</v>
      </c>
      <c r="F32" s="153" t="str">
        <f>'Constants - Fuel'!G138</f>
        <v>Other biofuels</v>
      </c>
      <c r="G32" s="29" cm="1">
        <f t="array" ref="G32">IFERROR(_xlfn.XLOOKUP(1, (Table_Fuel_EFs_Transport[Fuel combusted]=$E32)*(Table_Fuel_EFs_Transport[Transport type]=$D$25), Table_Fuel_EFs_Transport[Energy Content Factor (GJ per unit of fuel)]), 0)</f>
        <v>23.4</v>
      </c>
      <c r="H32" s="29" cm="1">
        <f t="array" ref="H32">IFERROR(_xlfn.XLOOKUP(1, (Table_Fuel_EFs_Transport[Fuel combusted]=$E32)*(Table_Fuel_EFs_Transport[Transport type]=$D$25), Table_Fuel_EFs_Transport[Scope 1 Emission Factor (kg CO2 - e / GJ) CO2]), 0)</f>
        <v>0</v>
      </c>
      <c r="I32" s="29" cm="1">
        <f t="array" ref="I32">IFERROR(_xlfn.XLOOKUP(1, (Table_Fuel_EFs_Transport[Fuel combusted]=$E32)*(Table_Fuel_EFs_Transport[Transport type]=$D$25), Table_Fuel_EFs_Transport[Scope 1 Emission Factor (kg CO2 - e / GJ) CH4]), 0)</f>
        <v>0.8</v>
      </c>
      <c r="J32" s="29" cm="1">
        <f t="array" ref="J32">IFERROR(_xlfn.XLOOKUP(1, (Table_Fuel_EFs_Transport[Fuel combusted]=$E32)*(Table_Fuel_EFs_Transport[Transport type]=$D$25), Table_Fuel_EFs_Transport[Scope 1 Emission Factor (kg CO2 - e / GJ) N2O]), 0)</f>
        <v>1.7</v>
      </c>
      <c r="K32" s="151" t="str" cm="1">
        <f t="array" ref="K32">IFERROR(_xlfn.XLOOKUP(1, (Table_Fuel_EFs_Transport[Fuel combusted]=$E32)*(Table_Fuel_EFs_Transport[Transport type]=$D$25), Table_Fuel_EFs_Transport[Scope 3 Emission Factor (kg CO2 - e / GJ)]), 0)</f>
        <v>NE</v>
      </c>
      <c r="L32" s="156" cm="1">
        <f t="array" ref="L32">Fuel_InputFunctions.Fuel_TotalConsumption(Table_Input_Fuel[Amount consumed], Table_Input_Fuel[Fuel use (select)], D32, Table_Input_Fuel[Fuel type (select)],F32)</f>
        <v>0</v>
      </c>
      <c r="M32" s="132" t="str" cm="1">
        <f t="array" ref="M32">Common_InputFunctions.Utility_LookupValueInTable(F32,Table_FuelTypes_Units[Fuel type],Table_FuelTypes_Units[Unit])</f>
        <v>kL</v>
      </c>
      <c r="N32" s="157" cm="1">
        <f t="array" ref="N32">Fuel_Equations.VEERG_8_1_1_1__1_FuelCombustionTransport($L32,$G32,$H32)</f>
        <v>0</v>
      </c>
      <c r="O32" s="157" cm="1">
        <f t="array" ref="O32">Fuel_Equations.VEERG_8_1_1_1__1_FuelCombustionTransport($L32,$G32,$I32)</f>
        <v>0</v>
      </c>
      <c r="P32" s="157" cm="1">
        <f t="array" ref="P32">Fuel_Equations.VEERG_8_1_1_1__1_FuelCombustionTransport($L32,$G32,$J32)</f>
        <v>0</v>
      </c>
      <c r="Q32" s="154"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58" t="str">
        <f>Table_FuelTypesPerUse[[#Headers],[Off-road Agriculture and forestry equipment]]</f>
        <v>Off-road Agriculture and forestry equipment</v>
      </c>
      <c r="E33" s="159" t="str">
        <f>'Constants - Fuel'!$E$11</f>
        <v>Diesel oil</v>
      </c>
      <c r="F33" s="159" t="str">
        <f>'Constants - Fuel'!H131</f>
        <v>Diesel</v>
      </c>
      <c r="G33" s="160" cm="1">
        <f t="array" ref="G33">IFERROR(_xlfn.XLOOKUP(1, (Table_Fuel_EFs_Transport[Fuel combusted]=$E33)*(Table_Fuel_EFs_Transport[Transport type]=$D$33), Table_Fuel_EFs_Transport[Energy Content Factor (GJ per unit of fuel)]), 0)</f>
        <v>38.6</v>
      </c>
      <c r="H33" s="160" cm="1">
        <f t="array" ref="H33">IFERROR(_xlfn.XLOOKUP(1, (Table_Fuel_EFs_Transport[Fuel combusted]=$E33)*(Table_Fuel_EFs_Transport[Transport type]=$D$33), Table_Fuel_EFs_Transport[Scope 1 Emission Factor (kg CO2 - e / GJ) CO2]), 0)</f>
        <v>69.900000000000006</v>
      </c>
      <c r="I33" s="160" cm="1">
        <f t="array" ref="I33">IFERROR(_xlfn.XLOOKUP(1, (Table_Fuel_EFs_Transport[Fuel combusted]=$E33)*(Table_Fuel_EFs_Transport[Transport type]=$D$33), Table_Fuel_EFs_Transport[Scope 1 Emission Factor (kg CO2 - e / GJ) CH4]), 0)</f>
        <v>0.3</v>
      </c>
      <c r="J33" s="160" cm="1">
        <f t="array" ref="J33">IFERROR(_xlfn.XLOOKUP(1, (Table_Fuel_EFs_Transport[Fuel combusted]=$E33)*(Table_Fuel_EFs_Transport[Transport type]=$D$33), Table_Fuel_EFs_Transport[Scope 1 Emission Factor (kg CO2 - e / GJ) N2O]), 0)</f>
        <v>0.5</v>
      </c>
      <c r="K33" s="161" cm="1">
        <f t="array" ref="K33">IFERROR(_xlfn.XLOOKUP(1, (Table_Fuel_EFs_Transport[Fuel combusted]=$E33)*(Table_Fuel_EFs_Transport[Transport type]=$D$25), Table_Fuel_EFs_Transport[Scope 3 Emission Factor (kg CO2 - e / GJ)]), 0)</f>
        <v>17.3</v>
      </c>
      <c r="L33" s="162" cm="1">
        <f t="array" ref="L33">Fuel_InputFunctions.Fuel_TotalConsumption(Table_Input_Fuel[Amount consumed], Table_Input_Fuel[Fuel use (select)], D33, Table_Input_Fuel[Fuel type (select)],F33)</f>
        <v>10</v>
      </c>
      <c r="M33" s="163" t="str" cm="1">
        <f t="array" ref="M33">Common_InputFunctions.Utility_LookupValueInTable(F33,Table_FuelTypes_Units[Fuel type],Table_FuelTypes_Units[Unit])</f>
        <v>kL</v>
      </c>
      <c r="N33" s="164" cm="1">
        <f t="array" ref="N33">Fuel_Equations.VEERG_8_1_1_1__1_FuelCombustionTransport($L33,$G33,$H33)</f>
        <v>26.981400000000001</v>
      </c>
      <c r="O33" s="164" cm="1">
        <f t="array" ref="O33">Fuel_Equations.VEERG_8_1_1_1__1_FuelCombustionTransport($L33,$G33,$I33)</f>
        <v>0.1158</v>
      </c>
      <c r="P33" s="164" cm="1">
        <f t="array" ref="P33">Fuel_Equations.VEERG_8_1_1_1__1_FuelCombustionTransport($L33,$G33,$J33)</f>
        <v>0.193</v>
      </c>
      <c r="Q33" s="165"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158" t="str">
        <f>Table_FuelTypesPerUse[[#Headers],[Aviation]]</f>
        <v>Aviation</v>
      </c>
      <c r="E34" s="159" t="str">
        <f>'Constants - Fuel'!$E$28</f>
        <v>Gasoline for use as fuel in an aircraft</v>
      </c>
      <c r="F34" s="159" t="str">
        <f>'Constants - Fuel'!$F$131</f>
        <v>Avgas</v>
      </c>
      <c r="G34" s="166" cm="1">
        <f t="array" ref="G34">IFERROR(_xlfn.XLOOKUP(1, (Table_Fuel_EFs_Transport[Fuel combusted]=$E34)*(Table_Fuel_EFs_Transport[Transport type]=$D$34), Table_Fuel_EFs_Transport[Energy Content Factor (GJ per unit of fuel)]), 0)</f>
        <v>33.1</v>
      </c>
      <c r="H34" s="166" cm="1">
        <f t="array" ref="H34">IFERROR(_xlfn.XLOOKUP(1, (Table_Fuel_EFs_Transport[Fuel combusted]=$E34)*(Table_Fuel_EFs_Transport[Transport type]=$D$34), Table_Fuel_EFs_Transport[Scope 1 Emission Factor (kg CO2 - e / GJ) CO2]), 0)</f>
        <v>67</v>
      </c>
      <c r="I34" s="166" cm="1">
        <f t="array" ref="I34">IFERROR(_xlfn.XLOOKUP(1, (Table_Fuel_EFs_Transport[Fuel combusted]=$E34)*(Table_Fuel_EFs_Transport[Transport type]=$D$34), Table_Fuel_EFs_Transport[Scope 1 Emission Factor (kg CO2 - e / GJ) CH4]), 0)</f>
        <v>0.06</v>
      </c>
      <c r="J34" s="166" cm="1">
        <f t="array" ref="J34">IFERROR(_xlfn.XLOOKUP(1, (Table_Fuel_EFs_Transport[Fuel combusted]=$E34)*(Table_Fuel_EFs_Transport[Transport type]=$D$34), Table_Fuel_EFs_Transport[Scope 1 Emission Factor (kg CO2 - e / GJ) N2O]), 0)</f>
        <v>0.6</v>
      </c>
      <c r="K34" s="166" cm="1">
        <f t="array" ref="K34">IFERROR(_xlfn.XLOOKUP(1, (Table_Fuel_EFs_Transport[Fuel combusted]=$E34)*(Table_Fuel_EFs_Transport[Transport type]=$D$25), Table_Fuel_EFs_Transport[Scope 3 Emission Factor (kg CO2 - e / GJ)]), 0)</f>
        <v>0</v>
      </c>
      <c r="L34" s="163" cm="1">
        <f t="array" ref="L34">Fuel_InputFunctions.Fuel_TotalConsumption(Table_Input_Fuel[Amount consumed], Table_Input_Fuel[Fuel use (select)], D34, Table_Input_Fuel[Fuel type (select)],F34)</f>
        <v>0</v>
      </c>
      <c r="M34" s="163" t="str" cm="1">
        <f t="array" ref="M34">Common_InputFunctions.Utility_LookupValueInTable(F34,Table_FuelTypes_Units[Fuel type],Table_FuelTypes_Units[Unit])</f>
        <v>kL</v>
      </c>
      <c r="N34" s="164" cm="1">
        <f t="array" ref="N34">Fuel_Equations.VEERG_8_1_1_1__1_FuelCombustionTransport($L34,$G34,$H34)</f>
        <v>0</v>
      </c>
      <c r="O34" s="164" cm="1">
        <f t="array" ref="O34">Fuel_Equations.VEERG_8_1_1_1__1_FuelCombustionTransport($L34,$G34,$I34)</f>
        <v>0</v>
      </c>
      <c r="P34" s="164" cm="1">
        <f t="array" ref="P34">Fuel_Equations.VEERG_8_1_1_1__1_FuelCombustionTransport($L34,$G34,$J34)</f>
        <v>0</v>
      </c>
      <c r="Q34" s="164" cm="1">
        <f t="array" ref="Q34">Scope3_Equations.VEERG_15_11_1_1__2_UpstreamTransportFuelEmissions(L34,G34,K34)</f>
        <v>0</v>
      </c>
    </row>
    <row r="35" spans="1:17" ht="20.100000000000001" customHeight="1" x14ac:dyDescent="0.25">
      <c r="D35" s="155" t="str">
        <f>$D$34</f>
        <v>Aviation</v>
      </c>
      <c r="E35" s="153" t="str">
        <f>'Constants - Fuel'!$E$29</f>
        <v>Kerosene for use as fuel in an aircraft</v>
      </c>
      <c r="F35" s="153" t="str">
        <f>'Constants - Fuel'!$F$132</f>
        <v>Jet A1, Jet B</v>
      </c>
      <c r="G35" s="29" cm="1">
        <f t="array" ref="G35">IFERROR(_xlfn.XLOOKUP(1, (Table_Fuel_EFs_Transport[Fuel combusted]=$E35)*(Table_Fuel_EFs_Transport[Transport type]=$D$34), Table_Fuel_EFs_Transport[Energy Content Factor (GJ per unit of fuel)]), 0)</f>
        <v>36.799999999999997</v>
      </c>
      <c r="H35" s="29" cm="1">
        <f t="array" ref="H35">IFERROR(_xlfn.XLOOKUP(1, (Table_Fuel_EFs_Transport[Fuel combusted]=$E35)*(Table_Fuel_EFs_Transport[Transport type]=$D$34), Table_Fuel_EFs_Transport[Scope 1 Emission Factor (kg CO2 - e / GJ) CO2]), 0)</f>
        <v>69.599999999999994</v>
      </c>
      <c r="I35" s="29" cm="1">
        <f t="array" ref="I35">IFERROR(_xlfn.XLOOKUP(1, (Table_Fuel_EFs_Transport[Fuel combusted]=$E35)*(Table_Fuel_EFs_Transport[Transport type]=$D$34), Table_Fuel_EFs_Transport[Scope 1 Emission Factor (kg CO2 - e / GJ) CH4]), 0)</f>
        <v>0.01</v>
      </c>
      <c r="J35" s="29" cm="1">
        <f t="array" ref="J35">IFERROR(_xlfn.XLOOKUP(1, (Table_Fuel_EFs_Transport[Fuel combusted]=$E35)*(Table_Fuel_EFs_Transport[Transport type]=$D$34), Table_Fuel_EFs_Transport[Scope 1 Emission Factor (kg CO2 - e / GJ) N2O]), 0)</f>
        <v>0.6</v>
      </c>
      <c r="K35" s="29" cm="1">
        <f t="array" ref="K35">IFERROR(_xlfn.XLOOKUP(1, (Table_Fuel_EFs_Transport[Fuel combusted]=$E35)*(Table_Fuel_EFs_Transport[Transport type]=$D$25), Table_Fuel_EFs_Transport[Scope 3 Emission Factor (kg CO2 - e / GJ)]), 0)</f>
        <v>0</v>
      </c>
      <c r="L35" s="132" cm="1">
        <f t="array" ref="L35">Fuel_InputFunctions.Fuel_TotalConsumption(Table_Input_Fuel[Amount consumed], Table_Input_Fuel[Fuel use (select)], D35, Table_Input_Fuel[Fuel type (select)],F35)</f>
        <v>0</v>
      </c>
      <c r="M35" s="132" t="str" cm="1">
        <f t="array" ref="M35">Common_InputFunctions.Utility_LookupValueInTable(F35,Table_FuelTypes_Units[Fuel type],Table_FuelTypes_Units[Unit])</f>
        <v>kL</v>
      </c>
      <c r="N35" s="154" cm="1">
        <f t="array" ref="N35">Fuel_Equations.VEERG_8_1_1_1__1_FuelCombustionTransport($L35,$G35,$H35)</f>
        <v>0</v>
      </c>
      <c r="O35" s="154" cm="1">
        <f t="array" ref="O35">Fuel_Equations.VEERG_8_1_1_1__1_FuelCombustionTransport($L35,$G35,$I35)</f>
        <v>0</v>
      </c>
      <c r="P35" s="154" cm="1">
        <f t="array" ref="P35">Fuel_Equations.VEERG_8_1_1_1__1_FuelCombustionTransport($L35,$G35,$J35)</f>
        <v>0</v>
      </c>
      <c r="Q35" s="154" cm="1">
        <f t="array" ref="Q35">Scope3_Equations.VEERG_15_11_1_1__2_UpstreamTransportFuelEmissions(L35,G35,K35)</f>
        <v>0</v>
      </c>
    </row>
    <row r="36" spans="1:17" ht="20.100000000000001" customHeight="1" x14ac:dyDescent="0.25">
      <c r="D36" s="155" t="str">
        <f>$D$34</f>
        <v>Aviation</v>
      </c>
      <c r="E36" s="153" t="str">
        <f>'Constants - Fuel'!$E$30</f>
        <v>Renewable aviation kerosene</v>
      </c>
      <c r="F36" s="153" t="str">
        <f>'Constants - Fuel'!$F$133</f>
        <v>Renewable aviation kerosene</v>
      </c>
      <c r="G36" s="151" cm="1">
        <f t="array" ref="G36">IFERROR(_xlfn.XLOOKUP(1, (Table_Fuel_EFs_Transport[Fuel combusted]=$E36)*(Table_Fuel_EFs_Transport[Transport type]=$D$34), Table_Fuel_EFs_Transport[Energy Content Factor (GJ per unit of fuel)]), 0)</f>
        <v>36.799999999999997</v>
      </c>
      <c r="H36" s="151" cm="1">
        <f t="array" ref="H36">IFERROR(_xlfn.XLOOKUP(1, (Table_Fuel_EFs_Transport[Fuel combusted]=$E36)*(Table_Fuel_EFs_Transport[Transport type]=$D$34), Table_Fuel_EFs_Transport[Scope 1 Emission Factor (kg CO2 - e / GJ) CO2]), 0)</f>
        <v>0</v>
      </c>
      <c r="I36" s="151" cm="1">
        <f t="array" ref="I36">IFERROR(_xlfn.XLOOKUP(1, (Table_Fuel_EFs_Transport[Fuel combusted]=$E36)*(Table_Fuel_EFs_Transport[Transport type]=$D$34), Table_Fuel_EFs_Transport[Scope 1 Emission Factor (kg CO2 - e / GJ) CH4]), 0)</f>
        <v>0.01</v>
      </c>
      <c r="J36" s="151" cm="1">
        <f t="array" ref="J36">IFERROR(_xlfn.XLOOKUP(1, (Table_Fuel_EFs_Transport[Fuel combusted]=$E36)*(Table_Fuel_EFs_Transport[Transport type]=$D$34), Table_Fuel_EFs_Transport[Scope 1 Emission Factor (kg CO2 - e / GJ) N2O]), 0)</f>
        <v>0.6</v>
      </c>
      <c r="K36" s="151" cm="1">
        <f t="array" ref="K36">IFERROR(_xlfn.XLOOKUP(1, (Table_Fuel_EFs_Transport[Fuel combusted]=$E36)*(Table_Fuel_EFs_Transport[Transport type]=$D$25), Table_Fuel_EFs_Transport[Scope 3 Emission Factor (kg CO2 - e / GJ)]), 0)</f>
        <v>0</v>
      </c>
      <c r="L36" s="156" cm="1">
        <f t="array" ref="L36">Fuel_InputFunctions.Fuel_TotalConsumption(Table_Input_Fuel[Amount consumed], Table_Input_Fuel[Fuel use (select)], D36, Table_Input_Fuel[Fuel type (select)],F36)</f>
        <v>0</v>
      </c>
      <c r="M36" s="132" t="str" cm="1">
        <f t="array" ref="M36">Common_InputFunctions.Utility_LookupValueInTable(F36,Table_FuelTypes_Units[Fuel type],Table_FuelTypes_Units[Unit])</f>
        <v>kL</v>
      </c>
      <c r="N36" s="154" cm="1">
        <f t="array" ref="N36">Fuel_Equations.VEERG_8_1_1_1__1_FuelCombustionTransport($L36,$G36,$H36)</f>
        <v>0</v>
      </c>
      <c r="O36" s="154" cm="1">
        <f t="array" ref="O36">Fuel_Equations.VEERG_8_1_1_1__1_FuelCombustionTransport($L36,$G36,$I36)</f>
        <v>0</v>
      </c>
      <c r="P36" s="154" cm="1">
        <f t="array" ref="P36">Fuel_Equations.VEERG_8_1_1_1__1_FuelCombustionTransport($L36,$G36,$J36)</f>
        <v>0</v>
      </c>
      <c r="Q36" s="157" cm="1">
        <f t="array" ref="Q36">Scope3_Equations.VEERG_15_11_1_1__2_UpstreamTransportFuelEmissions(L36,G36,K36)</f>
        <v>0</v>
      </c>
    </row>
    <row r="37" spans="1:17" ht="20.100000000000001" customHeight="1" x14ac:dyDescent="0.25">
      <c r="A37" s="243" t="s">
        <v>1</v>
      </c>
      <c r="D37" s="158" t="str">
        <f>Table_FuelTypesPerUse[[#Headers],[Vessels]]</f>
        <v>Vessels</v>
      </c>
      <c r="E37" s="159" t="str">
        <f>'Constants - Fuel'!$E$10</f>
        <v>Gasoline</v>
      </c>
      <c r="F37" s="159" t="str">
        <f>'Constants - Fuel'!$I$131</f>
        <v>Petrol</v>
      </c>
      <c r="G37" s="166" cm="1">
        <f t="array" ref="G37">IFERROR(_xlfn.XLOOKUP(1, (Table_Fuel_EFs_Transport[Fuel combusted]=$E37)*(Table_Fuel_EFs_Transport[Transport type]=$D$37), Table_Fuel_EFs_Transport[Energy Content Factor (GJ per unit of fuel)]), 0)</f>
        <v>34.200000000000003</v>
      </c>
      <c r="H37" s="166" cm="1">
        <f t="array" ref="H37">IFERROR(_xlfn.XLOOKUP(1, (Table_Fuel_EFs_Transport[Fuel combusted]=$E37)*(Table_Fuel_EFs_Transport[Transport type]=$D$37), Table_Fuel_EFs_Transport[Scope 1 Emission Factor (kg CO2 - e / GJ) CO2]), 0)</f>
        <v>67.400000000000006</v>
      </c>
      <c r="I37" s="166" cm="1">
        <f t="array" ref="I37">IFERROR(_xlfn.XLOOKUP(1, (Table_Fuel_EFs_Transport[Fuel combusted]=$E37)*(Table_Fuel_EFs_Transport[Transport type]=$D$37), Table_Fuel_EFs_Transport[Scope 1 Emission Factor (kg CO2 - e / GJ) CH4]), 0)</f>
        <v>10.1</v>
      </c>
      <c r="J37" s="166" cm="1">
        <f t="array" ref="J37">IFERROR(_xlfn.XLOOKUP(1, (Table_Fuel_EFs_Transport[Fuel combusted]=$E37)*(Table_Fuel_EFs_Transport[Transport type]=$D$37), Table_Fuel_EFs_Transport[Scope 1 Emission Factor (kg CO2 - e / GJ) N2O]), 0)</f>
        <v>0.3</v>
      </c>
      <c r="K37" s="166" cm="1">
        <f t="array" ref="K37">IFERROR(_xlfn.XLOOKUP(1, (Table_Fuel_EFs_Transport[Fuel combusted]=$E37)*(Table_Fuel_EFs_Transport[Transport type]=$D$25), Table_Fuel_EFs_Transport[Scope 3 Emission Factor (kg CO2 - e / GJ)]), 0)</f>
        <v>17.2</v>
      </c>
      <c r="L37" s="163" cm="1">
        <f t="array" ref="L37">Fuel_InputFunctions.Fuel_TotalConsumption(Table_Input_Fuel[Amount consumed], Table_Input_Fuel[Fuel use (select)], D37, Table_Input_Fuel[Fuel type (select)],F37)</f>
        <v>0</v>
      </c>
      <c r="M37" s="167" t="str" cm="1">
        <f t="array" ref="M37">Common_InputFunctions.Utility_LookupValueInTable(F37,Table_FuelTypes_Units[Fuel type],Table_FuelTypes_Units[Unit])</f>
        <v>kL</v>
      </c>
      <c r="N37" s="164" cm="1">
        <f t="array" ref="N37">Fuel_Equations.VEERG_8_1_1_1__1_FuelCombustionTransport($L37,$G37,$H37)</f>
        <v>0</v>
      </c>
      <c r="O37" s="164" cm="1">
        <f t="array" ref="O37">Fuel_Equations.VEERG_8_1_1_1__1_FuelCombustionTransport($L37,$G37,$I37)</f>
        <v>0</v>
      </c>
      <c r="P37" s="164" cm="1">
        <f t="array" ref="P37">Fuel_Equations.VEERG_8_1_1_1__1_FuelCombustionTransport($L37,$G37,$J37)</f>
        <v>0</v>
      </c>
      <c r="Q37" s="164"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155" t="str">
        <f>$D$37</f>
        <v>Vessels</v>
      </c>
      <c r="E38" s="153" t="str">
        <f>'Constants - Fuel'!$E$11</f>
        <v>Diesel oil</v>
      </c>
      <c r="F38" s="153" t="str">
        <f>'Constants - Fuel'!$I$132</f>
        <v>Diesel</v>
      </c>
      <c r="G38" s="29" cm="1">
        <f t="array" ref="G38">IFERROR(_xlfn.XLOOKUP(1, (Table_Fuel_EFs_Transport[Fuel combusted]=$E38)*(Table_Fuel_EFs_Transport[Transport type]=$D$37), Table_Fuel_EFs_Transport[Energy Content Factor (GJ per unit of fuel)]), 0)</f>
        <v>38.6</v>
      </c>
      <c r="H38" s="29" cm="1">
        <f t="array" ref="H38">IFERROR(_xlfn.XLOOKUP(1, (Table_Fuel_EFs_Transport[Fuel combusted]=$E38)*(Table_Fuel_EFs_Transport[Transport type]=$D$37), Table_Fuel_EFs_Transport[Scope 1 Emission Factor (kg CO2 - e / GJ) CO2]), 0)</f>
        <v>69.900000000000006</v>
      </c>
      <c r="I38" s="29" cm="1">
        <f t="array" ref="I38">IFERROR(_xlfn.XLOOKUP(1, (Table_Fuel_EFs_Transport[Fuel combusted]=$E38)*(Table_Fuel_EFs_Transport[Transport type]=$D$37), Table_Fuel_EFs_Transport[Scope 1 Emission Factor (kg CO2 - e / GJ) CH4]), 0)</f>
        <v>0.2</v>
      </c>
      <c r="J38" s="29" cm="1">
        <f t="array" ref="J38">IFERROR(_xlfn.XLOOKUP(1, (Table_Fuel_EFs_Transport[Fuel combusted]=$E38)*(Table_Fuel_EFs_Transport[Transport type]=$D$37), Table_Fuel_EFs_Transport[Scope 1 Emission Factor (kg CO2 - e / GJ) N2O]), 0)</f>
        <v>0.5</v>
      </c>
      <c r="K38" s="29" cm="1">
        <f t="array" ref="K38">IFERROR(_xlfn.XLOOKUP(1, (Table_Fuel_EFs_Transport[Fuel combusted]=$E38)*(Table_Fuel_EFs_Transport[Transport type]=$D$25), Table_Fuel_EFs_Transport[Scope 3 Emission Factor (kg CO2 - e / GJ)]), 0)</f>
        <v>17.3</v>
      </c>
      <c r="L38" s="132" cm="1">
        <f t="array" ref="L38">Fuel_InputFunctions.Fuel_TotalConsumption(Table_Input_Fuel[Amount consumed], Table_Input_Fuel[Fuel use (select)], D38, Table_Input_Fuel[Fuel type (select)],F38)</f>
        <v>0</v>
      </c>
      <c r="M38" s="132" t="str" cm="1">
        <f t="array" ref="M38">Common_InputFunctions.Utility_LookupValueInTable(F38,Table_FuelTypes_Units[Fuel type],Table_FuelTypes_Units[Unit])</f>
        <v>kL</v>
      </c>
      <c r="N38" s="154" cm="1">
        <f t="array" ref="N38">Fuel_Equations.VEERG_8_1_1_1__1_FuelCombustionTransport($L38,$G38,$H38)</f>
        <v>0</v>
      </c>
      <c r="O38" s="154" cm="1">
        <f t="array" ref="O38">Fuel_Equations.VEERG_8_1_1_1__1_FuelCombustionTransport($L38,$G38,$I38)</f>
        <v>0</v>
      </c>
      <c r="P38" s="154" cm="1">
        <f t="array" ref="P38">Fuel_Equations.VEERG_8_1_1_1__1_FuelCombustionTransport($L38,$G38,$J38)</f>
        <v>0</v>
      </c>
      <c r="Q38" s="154"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155" t="str">
        <f>$D$37</f>
        <v>Vessels</v>
      </c>
      <c r="E39" s="153" t="str">
        <f>'Constants - Fuel'!E33</f>
        <v>Fuel Oil</v>
      </c>
      <c r="F39" s="153" t="str">
        <f>'Constants - Fuel'!$I$133</f>
        <v>Fuel oil</v>
      </c>
      <c r="G39" s="29" cm="1">
        <f t="array" ref="G39">IFERROR(_xlfn.XLOOKUP(1, (Table_Fuel_EFs_Transport[Fuel combusted]=$E39)*(Table_Fuel_EFs_Transport[Transport type]=$D$37), Table_Fuel_EFs_Transport[Energy Content Factor (GJ per unit of fuel)]), 0)</f>
        <v>39.700000000000003</v>
      </c>
      <c r="H39" s="29" cm="1">
        <f t="array" ref="H39">IFERROR(_xlfn.XLOOKUP(1, (Table_Fuel_EFs_Transport[Fuel combusted]=$E39)*(Table_Fuel_EFs_Transport[Transport type]=$D$37), Table_Fuel_EFs_Transport[Scope 1 Emission Factor (kg CO2 - e / GJ) CO2]), 0)</f>
        <v>73.599999999999994</v>
      </c>
      <c r="I39" s="29" cm="1">
        <f t="array" ref="I39">IFERROR(_xlfn.XLOOKUP(1, (Table_Fuel_EFs_Transport[Fuel combusted]=$E39)*(Table_Fuel_EFs_Transport[Transport type]=$D$37), Table_Fuel_EFs_Transport[Scope 1 Emission Factor (kg CO2 - e / GJ) CH4]), 0)</f>
        <v>0.2</v>
      </c>
      <c r="J39" s="29" cm="1">
        <f t="array" ref="J39">IFERROR(_xlfn.XLOOKUP(1, (Table_Fuel_EFs_Transport[Fuel combusted]=$E39)*(Table_Fuel_EFs_Transport[Transport type]=$D$37), Table_Fuel_EFs_Transport[Scope 1 Emission Factor (kg CO2 - e / GJ) N2O]), 0)</f>
        <v>0.5</v>
      </c>
      <c r="K39" s="29" cm="1">
        <f t="array" ref="K39">IFERROR(_xlfn.XLOOKUP(1, (Table_Fuel_EFs_Transport[Fuel combusted]=$E39)*(Table_Fuel_EFs_Transport[Transport type]=$D$25), Table_Fuel_EFs_Transport[Scope 3 Emission Factor (kg CO2 - e / GJ)]), 0)</f>
        <v>18</v>
      </c>
      <c r="L39" s="132" cm="1">
        <f t="array" ref="L39">Fuel_InputFunctions.Fuel_TotalConsumption(Table_Input_Fuel[Amount consumed], Table_Input_Fuel[Fuel use (select)], D39, Table_Input_Fuel[Fuel type (select)],F39)</f>
        <v>10</v>
      </c>
      <c r="M39" s="132" t="str" cm="1">
        <f t="array" ref="M39">Common_InputFunctions.Utility_LookupValueInTable(F39,Table_FuelTypes_Units[Fuel type],Table_FuelTypes_Units[Unit])</f>
        <v>kL</v>
      </c>
      <c r="N39" s="154" cm="1">
        <f t="array" ref="N39">Fuel_Equations.VEERG_8_1_1_1__1_FuelCombustionTransport($L39,$G39,$H39)</f>
        <v>29.219199999999997</v>
      </c>
      <c r="O39" s="154" cm="1">
        <f t="array" ref="O39">Fuel_Equations.VEERG_8_1_1_1__1_FuelCombustionTransport($L39,$G39,$I39)</f>
        <v>7.9400000000000012E-2</v>
      </c>
      <c r="P39" s="154" cm="1">
        <f t="array" ref="P39">Fuel_Equations.VEERG_8_1_1_1__1_FuelCombustionTransport($L39,$G39,$J39)</f>
        <v>0.19850000000000001</v>
      </c>
      <c r="Q39" s="154" cm="1">
        <f t="array" ref="Q39">Scope3_Equations.VEERG_15_11_1_1__2_UpstreamTransportFuelEmissions(L39,G39,K39)</f>
        <v>7.1459999999999999</v>
      </c>
    </row>
    <row r="40" spans="1:17" ht="20.100000000000001" customHeight="1" x14ac:dyDescent="0.25">
      <c r="A40" s="5" t="str">
        <f>HYPERLINK("#'Constants - Livestock'!A1", "Constants - Livestock")</f>
        <v>Constants - Livestock</v>
      </c>
      <c r="H40" s="128"/>
      <c r="I40" s="128"/>
      <c r="J40" s="128"/>
      <c r="L40" s="128"/>
      <c r="M40" s="128"/>
      <c r="N40" s="128"/>
      <c r="O40" s="128"/>
      <c r="P40" s="128"/>
      <c r="Q40" s="128"/>
    </row>
    <row r="41" spans="1:17" ht="20.100000000000001" customHeight="1" x14ac:dyDescent="0.25">
      <c r="A41" s="5" t="str">
        <f>HYPERLINK("#'Constants - Electricity'!A1", "Constants - Electricity")</f>
        <v>Constants - Electricity</v>
      </c>
      <c r="H41" s="128"/>
      <c r="I41" s="128"/>
      <c r="J41" s="128"/>
      <c r="L41" s="128"/>
      <c r="M41" s="128"/>
      <c r="N41" s="128"/>
      <c r="O41" s="128"/>
      <c r="P41" s="128"/>
      <c r="Q41" s="128"/>
    </row>
    <row r="42" spans="1:17" ht="20.100000000000001" customHeight="1" x14ac:dyDescent="0.25">
      <c r="A42" s="5" t="str">
        <f>HYPERLINK("#'Constants - Fertiliser'!A1", "Constants - Fertiliser")</f>
        <v>Constants - Fertiliser</v>
      </c>
      <c r="D42" s="168" t="str">
        <f>"Total scope 1 - " &amp; D25</f>
        <v>Total scope 1 - Cars and light commercial vehicles</v>
      </c>
      <c r="E42" s="169"/>
      <c r="F42" s="170"/>
    </row>
    <row r="43" spans="1:17" ht="20.100000000000001" customHeight="1" x14ac:dyDescent="0.25">
      <c r="A43" s="5" t="str">
        <f>HYPERLINK("#'Constants - Fuel'!A1", "Constants - Fuel")</f>
        <v>Constants - Fuel</v>
      </c>
      <c r="D43" s="27" t="s">
        <v>554</v>
      </c>
      <c r="E43" s="171">
        <f>SUM(N25:N32)</f>
        <v>26.981400000000001</v>
      </c>
      <c r="F43" s="32" t="str">
        <f>$E$12</f>
        <v>t CO2-e</v>
      </c>
    </row>
    <row r="44" spans="1:17" ht="20.100000000000001" customHeight="1" x14ac:dyDescent="0.25">
      <c r="A44" s="5" t="str">
        <f>HYPERLINK("#'Constants - Common'!A1", "Constants - Common")</f>
        <v>Constants - Common</v>
      </c>
      <c r="D44" s="27" t="s">
        <v>555</v>
      </c>
      <c r="E44" s="171">
        <f>SUM(O25:O32)</f>
        <v>3.8600000000000001E-3</v>
      </c>
      <c r="F44" s="32" t="str">
        <f t="shared" ref="F44:F46" si="1">$E$12</f>
        <v>t CO2-e</v>
      </c>
    </row>
    <row r="45" spans="1:17" ht="20.100000000000001" customHeight="1" x14ac:dyDescent="0.25">
      <c r="A45" s="5" t="str">
        <f>HYPERLINK("#'Acknowledgements'!A1", "Acknowledgements")</f>
        <v>Acknowledgements</v>
      </c>
      <c r="D45" s="27" t="s">
        <v>556</v>
      </c>
      <c r="E45" s="171">
        <f>SUM(P25:P32)</f>
        <v>0.193</v>
      </c>
      <c r="F45" s="32" t="str">
        <f t="shared" si="1"/>
        <v>t CO2-e</v>
      </c>
    </row>
    <row r="46" spans="1:17" ht="20.100000000000001" customHeight="1" x14ac:dyDescent="0.25">
      <c r="A46" s="5" t="str">
        <f>HYPERLINK("#'Overview'!A1", "Overview")</f>
        <v>Overview</v>
      </c>
      <c r="D46" s="27" t="s">
        <v>557</v>
      </c>
      <c r="E46" s="171">
        <f>SUM(Q25:Q32)</f>
        <v>6.6778000000000004</v>
      </c>
      <c r="F46" s="32" t="str">
        <f t="shared" si="1"/>
        <v>t CO2-e</v>
      </c>
    </row>
    <row r="47" spans="1:17" ht="20.100000000000001" customHeight="1" x14ac:dyDescent="0.25">
      <c r="D47" s="128"/>
      <c r="E47" s="128"/>
      <c r="F47" s="128"/>
    </row>
    <row r="48" spans="1:17" ht="20.100000000000001" customHeight="1" x14ac:dyDescent="0.25">
      <c r="D48" s="168" t="str">
        <f>"Total scope 1 - " &amp; D33</f>
        <v>Total scope 1 - Off-road Agriculture and forestry equipment</v>
      </c>
      <c r="E48" s="172"/>
      <c r="F48" s="170"/>
      <c r="H48" s="128"/>
      <c r="I48" s="128"/>
      <c r="J48" s="128"/>
      <c r="L48" s="128"/>
      <c r="M48" s="128"/>
      <c r="N48" s="128"/>
      <c r="O48" s="128"/>
      <c r="P48" s="128"/>
      <c r="Q48" s="128"/>
    </row>
    <row r="49" spans="4:17" ht="20.100000000000001" customHeight="1" x14ac:dyDescent="0.25">
      <c r="D49" s="27" t="s">
        <v>554</v>
      </c>
      <c r="E49" s="171">
        <f>SUM(N33:N33)</f>
        <v>26.981400000000001</v>
      </c>
      <c r="F49" s="32" t="str">
        <f t="shared" ref="F49:F52" si="2">$E$12</f>
        <v>t CO2-e</v>
      </c>
      <c r="H49" s="128"/>
      <c r="I49" s="128"/>
      <c r="J49" s="128"/>
      <c r="L49" s="128"/>
      <c r="M49" s="128"/>
      <c r="N49" s="128"/>
      <c r="O49" s="128"/>
      <c r="P49" s="128"/>
      <c r="Q49" s="128"/>
    </row>
    <row r="50" spans="4:17" ht="20.100000000000001" customHeight="1" x14ac:dyDescent="0.25">
      <c r="D50" s="27" t="s">
        <v>555</v>
      </c>
      <c r="E50" s="171">
        <f>SUM(O33:O33)</f>
        <v>0.1158</v>
      </c>
      <c r="F50" s="32" t="str">
        <f t="shared" si="2"/>
        <v>t CO2-e</v>
      </c>
      <c r="H50" s="128"/>
      <c r="I50" s="128"/>
      <c r="J50" s="128"/>
      <c r="L50" s="128"/>
      <c r="M50" s="128"/>
      <c r="N50" s="128"/>
      <c r="O50" s="128"/>
      <c r="P50" s="128"/>
      <c r="Q50" s="128"/>
    </row>
    <row r="51" spans="4:17" ht="20.100000000000001" customHeight="1" x14ac:dyDescent="0.25">
      <c r="D51" s="27" t="s">
        <v>556</v>
      </c>
      <c r="E51" s="171">
        <f>SUM(P33:P33)</f>
        <v>0.193</v>
      </c>
      <c r="F51" s="32" t="str">
        <f t="shared" si="2"/>
        <v>t CO2-e</v>
      </c>
      <c r="H51" s="128"/>
      <c r="I51" s="128"/>
      <c r="J51" s="128"/>
      <c r="L51" s="128"/>
      <c r="M51" s="128"/>
      <c r="N51" s="128"/>
      <c r="O51" s="128"/>
      <c r="P51" s="128"/>
      <c r="Q51" s="128"/>
    </row>
    <row r="52" spans="4:17" ht="20.100000000000001" customHeight="1" x14ac:dyDescent="0.25">
      <c r="D52" s="27" t="s">
        <v>557</v>
      </c>
      <c r="E52" s="171">
        <f>SUM(Q33)</f>
        <v>6.6778000000000004</v>
      </c>
      <c r="F52" s="32" t="str">
        <f t="shared" si="2"/>
        <v>t CO2-e</v>
      </c>
      <c r="H52" s="128"/>
      <c r="I52" s="128"/>
      <c r="J52" s="128"/>
      <c r="L52" s="128"/>
      <c r="M52" s="128"/>
      <c r="N52" s="128"/>
      <c r="O52" s="128"/>
      <c r="P52" s="128"/>
      <c r="Q52" s="128"/>
    </row>
    <row r="53" spans="4:17" ht="20.100000000000001" customHeight="1" x14ac:dyDescent="0.25">
      <c r="D53" s="128"/>
      <c r="E53" s="173"/>
      <c r="F53" s="128"/>
      <c r="G53" s="128"/>
      <c r="H53" s="128"/>
      <c r="I53" s="128"/>
      <c r="J53" s="128"/>
      <c r="L53" s="128"/>
      <c r="M53" s="128"/>
      <c r="N53" s="128"/>
      <c r="O53" s="128"/>
      <c r="P53" s="128"/>
      <c r="Q53" s="128"/>
    </row>
    <row r="54" spans="4:17" ht="20.100000000000001" customHeight="1" x14ac:dyDescent="0.25">
      <c r="D54" s="168" t="str">
        <f>"Total scope 1 - " &amp; D34</f>
        <v>Total scope 1 - Aviation</v>
      </c>
      <c r="E54" s="172"/>
      <c r="F54" s="170"/>
      <c r="G54" s="128"/>
      <c r="H54" s="128"/>
      <c r="I54" s="128"/>
      <c r="J54" s="128"/>
      <c r="L54" s="128"/>
      <c r="M54" s="128"/>
      <c r="N54" s="128"/>
      <c r="O54" s="128"/>
      <c r="P54" s="128"/>
      <c r="Q54" s="128"/>
    </row>
    <row r="55" spans="4:17" ht="20.100000000000001" customHeight="1" x14ac:dyDescent="0.25">
      <c r="D55" s="27" t="s">
        <v>554</v>
      </c>
      <c r="E55" s="171">
        <f>SUM(N34:N36)</f>
        <v>0</v>
      </c>
      <c r="F55" s="32" t="str">
        <f t="shared" ref="F55:F58" si="3">$E$12</f>
        <v>t CO2-e</v>
      </c>
      <c r="G55" s="128"/>
      <c r="H55" s="128"/>
      <c r="I55" s="128"/>
      <c r="J55" s="128"/>
      <c r="L55" s="128"/>
      <c r="M55" s="128"/>
      <c r="N55" s="128"/>
      <c r="O55" s="128"/>
      <c r="P55" s="128"/>
      <c r="Q55" s="128"/>
    </row>
    <row r="56" spans="4:17" ht="20.100000000000001" customHeight="1" x14ac:dyDescent="0.25">
      <c r="D56" s="27" t="s">
        <v>555</v>
      </c>
      <c r="E56" s="171">
        <f>SUM(O34:O36)</f>
        <v>0</v>
      </c>
      <c r="F56" s="32" t="str">
        <f t="shared" si="3"/>
        <v>t CO2-e</v>
      </c>
      <c r="G56" s="128"/>
      <c r="H56" s="128"/>
      <c r="I56" s="128"/>
      <c r="J56" s="128"/>
      <c r="L56" s="128"/>
      <c r="M56" s="128"/>
      <c r="N56" s="128"/>
      <c r="O56" s="128"/>
      <c r="P56" s="128"/>
      <c r="Q56" s="128"/>
    </row>
    <row r="57" spans="4:17" ht="20.100000000000001" customHeight="1" x14ac:dyDescent="0.25">
      <c r="D57" s="27" t="s">
        <v>556</v>
      </c>
      <c r="E57" s="171">
        <f>SUM(P34:P36)</f>
        <v>0</v>
      </c>
      <c r="F57" s="32" t="str">
        <f t="shared" si="3"/>
        <v>t CO2-e</v>
      </c>
      <c r="G57" s="128"/>
      <c r="H57" s="128"/>
      <c r="I57" s="128"/>
      <c r="J57" s="128"/>
      <c r="L57" s="128"/>
      <c r="M57" s="128"/>
      <c r="N57" s="128"/>
      <c r="O57" s="128"/>
      <c r="P57" s="128"/>
      <c r="Q57" s="128"/>
    </row>
    <row r="58" spans="4:17" ht="20.100000000000001" customHeight="1" x14ac:dyDescent="0.25">
      <c r="D58" s="27" t="s">
        <v>557</v>
      </c>
      <c r="E58" s="171">
        <f>SUM(Q34:Q36)</f>
        <v>0</v>
      </c>
      <c r="F58" s="32" t="str">
        <f t="shared" si="3"/>
        <v>t CO2-e</v>
      </c>
      <c r="G58" s="128"/>
      <c r="H58" s="128"/>
      <c r="I58" s="128"/>
      <c r="J58" s="128"/>
      <c r="L58" s="128"/>
      <c r="M58" s="128"/>
      <c r="N58" s="128"/>
      <c r="O58" s="128"/>
      <c r="P58" s="128"/>
      <c r="Q58" s="128"/>
    </row>
    <row r="59" spans="4:17" ht="20.100000000000001" customHeight="1" x14ac:dyDescent="0.25">
      <c r="D59" s="128"/>
      <c r="E59" s="173"/>
      <c r="F59" s="128"/>
      <c r="G59" s="128"/>
      <c r="H59" s="128"/>
      <c r="I59" s="128"/>
      <c r="J59" s="128"/>
      <c r="L59" s="128"/>
      <c r="M59" s="128"/>
      <c r="N59" s="128"/>
      <c r="O59" s="128"/>
      <c r="P59" s="128"/>
      <c r="Q59" s="128"/>
    </row>
    <row r="60" spans="4:17" ht="20.100000000000001" customHeight="1" x14ac:dyDescent="0.25">
      <c r="D60" s="168" t="str">
        <f>"Total scope 1 - " &amp; D37</f>
        <v>Total scope 1 - Vessels</v>
      </c>
      <c r="E60" s="172"/>
      <c r="F60" s="170"/>
      <c r="G60" s="128"/>
      <c r="H60" s="128"/>
      <c r="I60" s="128"/>
      <c r="J60" s="128"/>
      <c r="L60" s="128"/>
      <c r="M60" s="128"/>
      <c r="N60" s="128"/>
      <c r="O60" s="128"/>
      <c r="P60" s="128"/>
      <c r="Q60" s="128"/>
    </row>
    <row r="61" spans="4:17" ht="20.100000000000001" customHeight="1" x14ac:dyDescent="0.25">
      <c r="D61" s="27" t="s">
        <v>554</v>
      </c>
      <c r="E61" s="171">
        <f>SUM(N37:N39)</f>
        <v>29.219199999999997</v>
      </c>
      <c r="F61" s="32" t="str">
        <f t="shared" ref="F61:F64" si="4">$E$12</f>
        <v>t CO2-e</v>
      </c>
      <c r="G61" s="128"/>
      <c r="H61" s="128"/>
      <c r="I61" s="128"/>
      <c r="J61" s="128"/>
      <c r="L61" s="128"/>
      <c r="M61" s="128"/>
      <c r="N61" s="128"/>
      <c r="O61" s="128"/>
      <c r="P61" s="128"/>
      <c r="Q61" s="128"/>
    </row>
    <row r="62" spans="4:17" ht="20.100000000000001" customHeight="1" x14ac:dyDescent="0.25">
      <c r="D62" s="27" t="s">
        <v>555</v>
      </c>
      <c r="E62" s="171">
        <f>SUM(O37:O39)</f>
        <v>7.9400000000000012E-2</v>
      </c>
      <c r="F62" s="32" t="str">
        <f t="shared" si="4"/>
        <v>t CO2-e</v>
      </c>
      <c r="G62" s="128"/>
      <c r="H62" s="128"/>
      <c r="I62" s="128"/>
      <c r="J62" s="128"/>
      <c r="L62" s="128"/>
      <c r="M62" s="128"/>
      <c r="N62" s="128"/>
      <c r="O62" s="128"/>
      <c r="P62" s="128"/>
      <c r="Q62" s="128"/>
    </row>
    <row r="63" spans="4:17" ht="20.100000000000001" customHeight="1" x14ac:dyDescent="0.25">
      <c r="D63" s="27" t="s">
        <v>556</v>
      </c>
      <c r="E63" s="171">
        <f>SUM(P37:P39)</f>
        <v>0.19850000000000001</v>
      </c>
      <c r="F63" s="32" t="str">
        <f t="shared" si="4"/>
        <v>t CO2-e</v>
      </c>
      <c r="G63" s="128"/>
      <c r="H63" s="128"/>
      <c r="I63" s="128"/>
      <c r="J63" s="128"/>
      <c r="L63" s="128"/>
      <c r="M63" s="128"/>
      <c r="N63" s="128"/>
      <c r="O63" s="128"/>
      <c r="P63" s="128"/>
      <c r="Q63" s="128"/>
    </row>
    <row r="64" spans="4:17" ht="20.100000000000001" customHeight="1" x14ac:dyDescent="0.25">
      <c r="D64" s="27" t="s">
        <v>557</v>
      </c>
      <c r="E64" s="171">
        <f>SUM(Q37:Q39)</f>
        <v>7.1459999999999999</v>
      </c>
      <c r="F64" s="32" t="str">
        <f t="shared" si="4"/>
        <v>t CO2-e</v>
      </c>
      <c r="G64" s="128"/>
      <c r="H64" s="128"/>
      <c r="I64" s="128"/>
      <c r="J64" s="128"/>
      <c r="L64" s="128"/>
      <c r="M64" s="128"/>
      <c r="N64" s="128"/>
      <c r="O64" s="128"/>
      <c r="P64" s="128"/>
      <c r="Q64" s="128"/>
    </row>
    <row r="65" spans="4:17" ht="20.100000000000001" customHeight="1" x14ac:dyDescent="0.25">
      <c r="G65" s="128"/>
      <c r="H65" s="128"/>
      <c r="I65" s="128"/>
      <c r="J65" s="128"/>
      <c r="L65" s="128"/>
      <c r="M65" s="128"/>
      <c r="N65" s="128"/>
      <c r="O65" s="128"/>
      <c r="P65" s="128"/>
      <c r="Q65" s="128"/>
    </row>
    <row r="66" spans="4:17" ht="20.100000000000001" customHeight="1" x14ac:dyDescent="0.25">
      <c r="D66" s="168" t="s">
        <v>558</v>
      </c>
      <c r="E66" s="174"/>
      <c r="F66" s="170"/>
      <c r="G66" s="128"/>
      <c r="H66" s="128"/>
      <c r="I66" s="128"/>
      <c r="J66" s="128"/>
      <c r="L66" s="128"/>
      <c r="M66" s="128"/>
      <c r="N66" s="128"/>
      <c r="O66" s="128"/>
      <c r="P66" s="128"/>
      <c r="Q66" s="128"/>
    </row>
    <row r="67" spans="4:17" ht="20.100000000000001" customHeight="1" x14ac:dyDescent="0.25">
      <c r="D67" s="27" t="s">
        <v>554</v>
      </c>
      <c r="E67" s="171">
        <f>E43+E49+E55+E61</f>
        <v>83.182000000000002</v>
      </c>
      <c r="F67" s="32" t="str">
        <f t="shared" ref="F67:F70" si="5">$E$12</f>
        <v>t CO2-e</v>
      </c>
      <c r="G67" s="128"/>
    </row>
    <row r="68" spans="4:17" ht="20.100000000000001" customHeight="1" x14ac:dyDescent="0.25">
      <c r="D68" s="27" t="s">
        <v>555</v>
      </c>
      <c r="E68" s="171">
        <f t="shared" ref="E68:E70" si="6">E44+E50+E56+E62</f>
        <v>0.19906000000000001</v>
      </c>
      <c r="F68" s="32" t="str">
        <f t="shared" si="5"/>
        <v>t CO2-e</v>
      </c>
      <c r="G68" s="128"/>
    </row>
    <row r="69" spans="4:17" ht="20.100000000000001" customHeight="1" x14ac:dyDescent="0.25">
      <c r="D69" s="27" t="s">
        <v>556</v>
      </c>
      <c r="E69" s="171">
        <f t="shared" si="6"/>
        <v>0.58450000000000002</v>
      </c>
      <c r="F69" s="32" t="str">
        <f t="shared" si="5"/>
        <v>t CO2-e</v>
      </c>
      <c r="G69" s="128"/>
    </row>
    <row r="70" spans="4:17" ht="20.100000000000001" customHeight="1" x14ac:dyDescent="0.25">
      <c r="D70" s="27" t="s">
        <v>557</v>
      </c>
      <c r="E70" s="171">
        <f t="shared" si="6"/>
        <v>20.5016</v>
      </c>
      <c r="F70" s="32" t="str">
        <f t="shared" si="5"/>
        <v>t CO2-e</v>
      </c>
      <c r="G70" s="128"/>
    </row>
    <row r="71" spans="4:17" ht="20.100000000000001" customHeight="1" x14ac:dyDescent="0.25">
      <c r="G71" s="12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5B0C2193-B4A9-4C61-BA4B-4E3E8201919C}"/>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C1AA3-AF8D-4431-AB65-7EB0C0D6CB0E}">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44" customFormat="1" ht="30" customHeight="1" x14ac:dyDescent="0.35">
      <c r="A1" s="18" t="e" vm="1">
        <v>#VALUE!</v>
      </c>
      <c r="C1" s="44" t="s">
        <v>559</v>
      </c>
    </row>
    <row r="2" spans="1:18" s="3" customFormat="1" ht="20.100000000000001" customHeight="1" x14ac:dyDescent="0.25">
      <c r="A2"/>
    </row>
    <row r="3" spans="1:18" ht="20.100000000000001" customHeight="1" x14ac:dyDescent="0.25">
      <c r="A3" s="5" t="str">
        <f>HYPERLINK("#'Home'!A1", "Home")</f>
        <v>Home</v>
      </c>
      <c r="C3" s="45"/>
      <c r="D3" s="45" t="s">
        <v>75</v>
      </c>
      <c r="E3" s="45"/>
      <c r="F3" s="45"/>
      <c r="G3" s="45"/>
      <c r="H3" s="45"/>
      <c r="I3" s="45"/>
      <c r="J3" s="45"/>
      <c r="K3" s="45"/>
      <c r="L3" s="45"/>
      <c r="M3" s="45"/>
      <c r="N3" s="45"/>
      <c r="O3" s="45"/>
      <c r="P3" s="45"/>
      <c r="Q3" s="45"/>
      <c r="R3" s="45"/>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28"/>
      <c r="P5" s="128"/>
      <c r="Q5" s="128"/>
      <c r="R5" s="128"/>
    </row>
    <row r="6" spans="1:18" ht="20.100000000000001" customHeight="1" x14ac:dyDescent="0.25">
      <c r="D6" s="46" t="str" cm="1">
        <f t="array" ref="D6">Fuel_Equations.VEERG_8_2_1_1__1_FuelCombustionStationary_Source()</f>
        <v>VEERG 2026: 8.2.1.1, Equation (1)</v>
      </c>
      <c r="K6" s="46" t="str" cm="1">
        <f t="array" ref="K6">Scope3_Equations.VEERG_15_11_1_1__3_UpstreamStationaryFuelEmissions_Source()</f>
        <v>VEERG 2026: 15.11.1.1, Equation (3)</v>
      </c>
      <c r="O6" s="128"/>
      <c r="P6" s="128"/>
      <c r="Q6" s="128"/>
      <c r="R6" s="128"/>
    </row>
    <row r="7" spans="1:18" ht="20.100000000000001" customHeight="1" x14ac:dyDescent="0.25">
      <c r="A7" s="7" t="s">
        <v>0</v>
      </c>
      <c r="D7" s="47" t="s">
        <v>77</v>
      </c>
      <c r="E7" s="47" t="str" cm="1">
        <f t="array" aca="1" ref="E7" ca="1">Common_InputFunctions.Utility_DisplayFunctionName(N25)</f>
        <v>=Fuel_Equations.VEERG_8_2_1_1__1_FuelCombustionStationary</v>
      </c>
      <c r="K7" s="71" t="str" cm="1">
        <f t="array" ref="K7">Scope3_Equations.VEERG_15_11_1_1__3_UpstreamStationaryFuelEmissions_Variation()</f>
        <v>VARIATION ON SOURCE: Added 'state' and 'metro/non-metro' arguments as gaseous scope 3 EFs are state and metro/non-metro location-based.</v>
      </c>
      <c r="O7" s="128"/>
      <c r="P7" s="128"/>
      <c r="Q7" s="128"/>
      <c r="R7" s="128"/>
    </row>
    <row r="8" spans="1:18" ht="20.100000000000001" customHeight="1" x14ac:dyDescent="0.25">
      <c r="A8" s="5" t="str">
        <f>HYPERLINK("#'Input - Enterprise'!A1", "Enterprise")</f>
        <v>Enterprise</v>
      </c>
      <c r="K8" s="47" t="s">
        <v>77</v>
      </c>
      <c r="L8" s="47" t="str" cm="1">
        <f t="array" aca="1" ref="L8" ca="1">Common_InputFunctions.Utility_DisplayFunctionName(Q25)</f>
        <v>=Fuel_Equations.VEERG_8_2_1_1__1_FuelCombustionStationary</v>
      </c>
      <c r="O8" s="128"/>
      <c r="P8" s="128"/>
      <c r="Q8" s="128"/>
      <c r="R8" s="128"/>
    </row>
    <row r="9" spans="1:18" ht="20.100000000000001" customHeight="1" x14ac:dyDescent="0.25">
      <c r="A9" s="5" t="str">
        <f>HYPERLINK("#'Input - Site'!A1", "Site")</f>
        <v>Site</v>
      </c>
      <c r="G9" s="46"/>
      <c r="O9" s="128"/>
      <c r="P9" s="128"/>
      <c r="Q9" s="128"/>
      <c r="R9" s="128"/>
    </row>
    <row r="10" spans="1:18" ht="20.100000000000001" customHeight="1" x14ac:dyDescent="0.25">
      <c r="A10" s="5" t="str">
        <f>HYPERLINK("#'Input - Pasture Beef'!A1", "Pasture Beef")</f>
        <v>Pasture Beef</v>
      </c>
      <c r="O10" s="128"/>
      <c r="P10" s="128"/>
      <c r="Q10" s="128"/>
      <c r="R10" s="128"/>
    </row>
    <row r="11" spans="1:18" ht="20.100000000000001" customHeight="1" x14ac:dyDescent="0.25">
      <c r="A11" s="5" t="str">
        <f>HYPERLINK("#'Input - Pasture Beef (Enteric)'!A1", "Pasture Beef (Enteric)")</f>
        <v>Pasture Beef (Enteric)</v>
      </c>
      <c r="D11" s="48" t="s">
        <v>79</v>
      </c>
      <c r="E11" s="1" t="str" cm="1">
        <f t="array" ref="E11">Fuel_Equations.VEERG_8_2_1_1__1_FuelCombustionStationary_Variable()</f>
        <v>E_g</v>
      </c>
      <c r="K11" s="48" t="s">
        <v>79</v>
      </c>
      <c r="L11" s="1" t="str" cm="1">
        <f t="array" ref="L11">Scope3_Equations.VEERG_15_11_1_1__3_UpstreamStationaryFuelEmissions_Variable()</f>
        <v>E_WTTSCq</v>
      </c>
      <c r="O11" s="128"/>
      <c r="P11" s="128"/>
      <c r="Q11" s="128"/>
      <c r="R11" s="128"/>
    </row>
    <row r="12" spans="1:18" ht="20.100000000000001" customHeight="1" x14ac:dyDescent="0.25">
      <c r="A12" s="5" t="str">
        <f>HYPERLINK("#'Input - Pasture'!A1", "Pasture")</f>
        <v>Pasture</v>
      </c>
      <c r="D12" s="48" t="s">
        <v>80</v>
      </c>
      <c r="E12" s="17" t="str" cm="1">
        <f t="array" ref="E12">Fuel_Equations.VEERG_8_2_1_1__1_FuelCombustionStationary_Unit()</f>
        <v>t CO2-e</v>
      </c>
      <c r="K12" s="48" t="s">
        <v>80</v>
      </c>
      <c r="L12" s="17"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50" t="str" cm="1">
        <f t="array" ref="D14:E20">_xlfn.CHOOSECOLS(Fuel_Equations.VEERG_8_2_1_1__1_FuelCombustionStationary_Arguments(), 1,2)</f>
        <v>Q_SCq</v>
      </c>
      <c r="E14" s="51" t="str">
        <v>Amount of fuel type q used for stationary combustion operations</v>
      </c>
      <c r="F14" s="53"/>
      <c r="G14" s="50" t="str" cm="1">
        <f t="array" ref="G14:H20">_xlfn.CHOOSECOLS(Fuel_Equations.VEERG_8_2_1_1__1_FuelCombustionStationary_Arguments(), 3,4)</f>
        <v>Varies based on fuel type: kL, m3, GJ</v>
      </c>
      <c r="H14" s="54" t="str">
        <v>Input</v>
      </c>
      <c r="I14" s="56" t="str" cm="1">
        <f t="array" aca="1" ref="I14" ca="1">HYPERLINK(Common_InputFunctions.Utility_SourceHyperlink($D$22), $D$22)</f>
        <v>Table_E_g</v>
      </c>
      <c r="K14" s="50" t="str" cm="1">
        <f t="array" ref="K14:L18">_xlfn.CHOOSECOLS(Scope3_Equations.VEERG_15_11_1_1__3_UpstreamStationaryFuelEmissions_Arguments(),1,2)</f>
        <v>Q_SCq</v>
      </c>
      <c r="L14" s="50" t="str">
        <v>amount of fuel q used for stationary combustion operations</v>
      </c>
      <c r="M14" s="50"/>
      <c r="N14" s="50" t="str" cm="1">
        <f t="array" ref="N14:O18">_xlfn.CHOOSECOLS(Scope3_Equations.VEERG_15_11_1_1__3_UpstreamStationaryFuelEmissions_Arguments(),3,4)</f>
        <v>kL</v>
      </c>
      <c r="O14" s="54" t="str">
        <v>Input</v>
      </c>
      <c r="P14" s="56" t="str" cm="1">
        <f t="array" aca="1" ref="P14" ca="1">HYPERLINK(Common_InputFunctions.Utility_SourceHyperlink($D$22), $D$22)</f>
        <v>Table_E_g</v>
      </c>
      <c r="Q14" s="128"/>
    </row>
    <row r="15" spans="1:18" ht="20.100000000000001" customHeight="1" x14ac:dyDescent="0.25">
      <c r="A15" s="5" t="str">
        <f>HYPERLINK("#'Input - Electricity'!A1", "Electricity")</f>
        <v>Electricity</v>
      </c>
      <c r="D15" s="50" t="str">
        <v>EC_SCq</v>
      </c>
      <c r="E15" s="51" t="str">
        <v>Energy content factor for stationary combustion operations</v>
      </c>
      <c r="F15" s="53"/>
      <c r="G15" s="50" t="str">
        <v>GJ / unit of fuel</v>
      </c>
      <c r="H15" s="55" t="str">
        <v>Constant</v>
      </c>
      <c r="I15" s="56" t="str" cm="1">
        <f t="array" aca="1" ref="I15" ca="1">HYPERLINK(Common_InputFunctions.Utility_SourceHyperlink($D$22), $D$22)</f>
        <v>Table_E_g</v>
      </c>
      <c r="K15" s="50" t="str">
        <v>EC_SCq</v>
      </c>
      <c r="L15" s="50" t="str">
        <v>energy content factor for stationary combustion operations</v>
      </c>
      <c r="M15" s="50"/>
      <c r="N15" s="50" t="str">
        <v>GJ/kL</v>
      </c>
      <c r="O15" s="55" t="str">
        <v>Constant</v>
      </c>
      <c r="P15" s="56" t="str" cm="1">
        <f t="array" aca="1" ref="P15" ca="1">HYPERLINK(Common_InputFunctions.Utility_SourceHyperlink($D$22), $D$22)</f>
        <v>Table_E_g</v>
      </c>
      <c r="Q15" s="128"/>
    </row>
    <row r="16" spans="1:18" ht="20.100000000000001" customHeight="1" x14ac:dyDescent="0.25">
      <c r="D16" s="50" t="str">
        <v>EF_SC1qg</v>
      </c>
      <c r="E16" s="51" t="str">
        <v>Scope 1 emission factor for stationary combustion for each greenhouse gas</v>
      </c>
      <c r="F16" s="53"/>
      <c r="G16" s="50" t="str">
        <v>kg CO2e / GJ</v>
      </c>
      <c r="H16" s="55" t="str">
        <v>Constant</v>
      </c>
      <c r="I16" s="56" t="str" cm="1">
        <f t="array" aca="1" ref="I16" ca="1">HYPERLINK(Common_InputFunctions.Utility_SourceHyperlink($D$22), $D$22)</f>
        <v>Table_E_g</v>
      </c>
      <c r="K16" s="50" t="str">
        <v>EF_SC3q</v>
      </c>
      <c r="L16" s="50" t="str">
        <v>scope 3 emission factor for stationary combustion operations</v>
      </c>
      <c r="M16" s="50"/>
      <c r="N16" s="50" t="str">
        <v>kg CO2e/GJ</v>
      </c>
      <c r="O16" s="55" t="str">
        <v>Constant</v>
      </c>
      <c r="P16" s="56" t="str" cm="1">
        <f t="array" aca="1" ref="P16" ca="1">HYPERLINK(Common_InputFunctions.Utility_SourceHyperlink($D$22), $D$22)</f>
        <v>Table_E_g</v>
      </c>
      <c r="Q16" s="128"/>
    </row>
    <row r="17" spans="1:17" ht="20.100000000000001" customHeight="1" x14ac:dyDescent="0.25">
      <c r="D17" s="50" t="str">
        <v>q</v>
      </c>
      <c r="E17" s="51" t="str">
        <v>Fuel type</v>
      </c>
      <c r="F17" s="53"/>
      <c r="G17" s="50" t="str">
        <v/>
      </c>
      <c r="H17" s="55" t="str">
        <v>Constant</v>
      </c>
      <c r="I17" s="56"/>
      <c r="J17" s="128"/>
      <c r="K17" s="50" t="str">
        <v>i</v>
      </c>
      <c r="L17" s="51" t="str">
        <v>state</v>
      </c>
      <c r="M17" s="53"/>
      <c r="N17" s="50" t="str">
        <v/>
      </c>
      <c r="O17" s="54" t="str">
        <v>Input</v>
      </c>
      <c r="P17" s="50" t="str">
        <f>X_Cell_Site_State</f>
        <v>Western Australia</v>
      </c>
      <c r="Q17" s="128"/>
    </row>
    <row r="18" spans="1:17" ht="20.100000000000001" customHeight="1" x14ac:dyDescent="0.25">
      <c r="A18" s="6" t="s">
        <v>3</v>
      </c>
      <c r="D18" s="50" t="str">
        <v>SC</v>
      </c>
      <c r="E18" s="51" t="str">
        <v>Stationary combustion</v>
      </c>
      <c r="F18" s="53"/>
      <c r="G18" s="50" t="str">
        <v/>
      </c>
      <c r="H18" s="55" t="str">
        <v>Constant</v>
      </c>
      <c r="I18" s="56"/>
      <c r="J18" s="128"/>
      <c r="K18" s="50" t="str">
        <v>m</v>
      </c>
      <c r="L18" s="51" t="str">
        <v>metropolitan/non-metropolitan location</v>
      </c>
      <c r="M18" s="53"/>
      <c r="N18" s="50" t="str">
        <v/>
      </c>
      <c r="O18" s="54" t="str">
        <v>Input</v>
      </c>
      <c r="P18" s="50" t="str">
        <f>X_Cell_Fuel_IsMetroLocation</f>
        <v>Metro</v>
      </c>
      <c r="Q18" s="128"/>
    </row>
    <row r="19" spans="1:17" ht="20.100000000000001" customHeight="1" x14ac:dyDescent="0.25">
      <c r="A19" s="5" t="str">
        <f>HYPERLINK("#'3.2.1.1-2 Enteric Methane'!A1", "3.2.1.1-2 Enteric methane")</f>
        <v>3.2.1.1-2 Enteric methane</v>
      </c>
      <c r="D19" s="50" t="str">
        <v>g</v>
      </c>
      <c r="E19" s="51" t="str">
        <v>Greenhouse gas</v>
      </c>
      <c r="F19" s="53"/>
      <c r="G19" s="50" t="str">
        <v/>
      </c>
      <c r="H19" s="55" t="str">
        <v>Constant</v>
      </c>
      <c r="I19" s="56"/>
      <c r="J19" s="128"/>
      <c r="L19" s="128"/>
      <c r="N19" s="128"/>
      <c r="O19" s="128"/>
      <c r="P19" s="128"/>
      <c r="Q19" s="128"/>
    </row>
    <row r="20" spans="1:17" ht="20.100000000000001" customHeight="1" x14ac:dyDescent="0.25">
      <c r="A20" s="5" t="str">
        <f>HYPERLINK("#'4.2.1.1-2 Methane'!A1", "4.2.1.1-2 Manure methane")</f>
        <v>4.2.1.1-2 Manure methane</v>
      </c>
      <c r="D20" s="50" t="str">
        <v>1</v>
      </c>
      <c r="E20" s="51" t="str">
        <v>Scope 1</v>
      </c>
      <c r="F20" s="53"/>
      <c r="G20" s="50" t="str">
        <v/>
      </c>
      <c r="H20" s="55" t="str">
        <v>Constant</v>
      </c>
      <c r="I20" s="56"/>
      <c r="J20" s="128"/>
      <c r="L20" s="128"/>
      <c r="N20" s="128"/>
      <c r="O20" s="128"/>
      <c r="P20" s="128"/>
      <c r="Q20" s="128"/>
    </row>
    <row r="21" spans="1:17" ht="20.100000000000001" customHeight="1" x14ac:dyDescent="0.25">
      <c r="A21" s="5" t="str">
        <f>HYPERLINK("#'4.2.1.3-4 Soil direct N20'!A1", "4.2.1.3-4 Soil direct N2O")</f>
        <v>4.2.1.3-4 Soil direct N2O</v>
      </c>
      <c r="O21" s="128"/>
      <c r="P21" s="128"/>
      <c r="Q21" s="128"/>
    </row>
    <row r="22" spans="1:17" ht="20.100000000000001" customHeight="1" x14ac:dyDescent="0.25">
      <c r="A22" s="5" t="str">
        <f>HYPERLINK("#'4.2.1.5-6 Soil Atmos Dep'!A1", "4.2.1.5-6 Soil atm. deposition")</f>
        <v>4.2.1.5-6 Soil atm. deposition</v>
      </c>
      <c r="D22" s="57" t="s">
        <v>538</v>
      </c>
    </row>
    <row r="23" spans="1:17" ht="20.100000000000001" customHeight="1" x14ac:dyDescent="0.25">
      <c r="A23" s="5" t="str">
        <f>HYPERLINK("#'4.2.1.7-8 Soil leach runoff'!A1", "4.2.1.7-8 Soil leach &amp; runoff")</f>
        <v>4.2.1.7-8 Soil leach &amp; runoff</v>
      </c>
      <c r="D23" s="58" t="s">
        <v>560</v>
      </c>
    </row>
    <row r="24" spans="1:17" ht="20.100000000000001" customHeight="1" x14ac:dyDescent="0.25">
      <c r="A24" s="5" t="str">
        <f>HYPERLINK("#'5.1.1.1-2 Inorganic fert N2O'!A1", "5.1.1.1-2 Inorganic fert N2O")</f>
        <v>5.1.1.1-2 Inorganic fert N2O</v>
      </c>
      <c r="D24" s="59" t="s">
        <v>540</v>
      </c>
      <c r="E24" s="59" t="s">
        <v>541</v>
      </c>
      <c r="F24" s="59" t="s">
        <v>542</v>
      </c>
      <c r="G24" s="59" t="s">
        <v>561</v>
      </c>
      <c r="H24" s="59" t="s">
        <v>562</v>
      </c>
      <c r="I24" s="59" t="s">
        <v>563</v>
      </c>
      <c r="J24" s="59" t="s">
        <v>564</v>
      </c>
      <c r="K24" s="59" t="s">
        <v>565</v>
      </c>
      <c r="L24" s="60" t="s">
        <v>566</v>
      </c>
      <c r="M24" s="59" t="s">
        <v>549</v>
      </c>
      <c r="N24" s="59" t="s">
        <v>550</v>
      </c>
      <c r="O24" s="59" t="s">
        <v>551</v>
      </c>
      <c r="P24" s="59" t="s">
        <v>552</v>
      </c>
      <c r="Q24" s="59" t="s">
        <v>567</v>
      </c>
    </row>
    <row r="25" spans="1:17" ht="20.100000000000001" customHeight="1" x14ac:dyDescent="0.25">
      <c r="A25" s="5" t="str">
        <f>HYPERLINK("#'5.1.1.3-4 Inorganic fert CO2'!A1", "5.1.1.3-4 Inorganic fert CO2")</f>
        <v>5.1.1.3-4 Inorganic fert CO2</v>
      </c>
      <c r="D25" s="27" t="str">
        <f>Table_FuelTypesPerUse[[#Headers],[Generators]]</f>
        <v>Generators</v>
      </c>
      <c r="E25" s="153" t="str">
        <f>'Constants - Fuel'!$D$58</f>
        <v>Automotive gasoline / petrol (other than for use as fuel in an aircraft)</v>
      </c>
      <c r="F25" s="153" t="str">
        <f>'Constants - Fuel'!D131</f>
        <v>Petrol</v>
      </c>
      <c r="G25" s="29">
        <f>IFERROR(_xlfn.XLOOKUP($E25, Table_Fuel_EFs_StationaryLiquid[Fuel combusted], Table_Fuel_EFs_StationaryLiquid[Energy Content Factor (GJ per unit of fuel)]),0)</f>
        <v>34.200000000000003</v>
      </c>
      <c r="H25" s="29">
        <f>IFERROR(_xlfn.XLOOKUP($E25, Table_Fuel_EFs_StationaryLiquid[Fuel combusted], Table_Fuel_EFs_StationaryLiquid[Scope 1 Emission Factor (kg CO2 - e / GJ) CO2]),0)</f>
        <v>67.400000000000006</v>
      </c>
      <c r="I25" s="29">
        <f>IFERROR(_xlfn.XLOOKUP($E25, Table_Fuel_EFs_StationaryLiquid[Fuel combusted], Table_Fuel_EFs_StationaryLiquid[Scope 1 Emission Factor (kg CO2 - e / GJ) CH4]),0)</f>
        <v>0.2</v>
      </c>
      <c r="J25" s="29">
        <f>IFERROR(_xlfn.XLOOKUP($E25, Table_Fuel_EFs_StationaryLiquid[Fuel combusted], Table_Fuel_EFs_StationaryLiquid[Scope 1 Emission Factor (kg CO2 - e / GJ) N2O]),0)</f>
        <v>0.2</v>
      </c>
      <c r="K25" s="29">
        <f>IFERROR(_xlfn.XLOOKUP($E25, Table_Fuel_EFs_StationaryLiquid[Fuel combusted], Table_Fuel_EFs_StationaryLiquid[Scope 3 Emission Factor (kg CO2 - e / GJ)]),0)</f>
        <v>17.2</v>
      </c>
      <c r="L25" s="132" cm="1">
        <f t="array" ref="L25">Fuel_InputFunctions.Fuel_TotalConsumption(Table_Input_Fuel[Amount consumed], Table_Input_Fuel[Fuel use (select)], D25, Table_Input_Fuel[Fuel type (select)],F25)</f>
        <v>0</v>
      </c>
      <c r="M25" s="132" t="str" cm="1">
        <f t="array" ref="M25">Common_InputFunctions.Utility_LookupValueInTable(F25,Table_FuelTypes_Units[Fuel type],Table_FuelTypes_Units[Unit])</f>
        <v>kL</v>
      </c>
      <c r="N25" s="175" cm="1">
        <f t="array" ref="N25">Fuel_Equations.VEERG_8_2_1_1__1_FuelCombustionStationary($L25,$G25,H25)</f>
        <v>0</v>
      </c>
      <c r="O25" s="175" cm="1">
        <f t="array" ref="O25">Fuel_Equations.VEERG_8_2_1_1__1_FuelCombustionStationary($L25,$G25,I25)</f>
        <v>0</v>
      </c>
      <c r="P25" s="175" cm="1">
        <f t="array" ref="P25">Fuel_Equations.VEERG_8_2_1_1__1_FuelCombustionStationary($L25,$G25,J25)</f>
        <v>0</v>
      </c>
      <c r="Q25" s="175"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155" t="str">
        <f t="shared" ref="D26:D31" si="0">$D$25</f>
        <v>Generators</v>
      </c>
      <c r="E26" s="153" t="str">
        <f>'Constants - Fuel'!$D$63</f>
        <v>Diesel oil</v>
      </c>
      <c r="F26" s="153" t="str">
        <f>'Constants - Fuel'!D132</f>
        <v>Diesel</v>
      </c>
      <c r="G26" s="29">
        <f>IFERROR(_xlfn.XLOOKUP($E26, Table_Fuel_EFs_StationaryLiquid[Fuel combusted], Table_Fuel_EFs_StationaryLiquid[Energy Content Factor (GJ per unit of fuel)]),0)</f>
        <v>38.6</v>
      </c>
      <c r="H26" s="29">
        <f>IFERROR(_xlfn.XLOOKUP($E26, Table_Fuel_EFs_StationaryLiquid[Fuel combusted], Table_Fuel_EFs_StationaryLiquid[Scope 1 Emission Factor (kg CO2 - e / GJ) CO2]),0)</f>
        <v>69.900000000000006</v>
      </c>
      <c r="I26" s="29">
        <f>IFERROR(_xlfn.XLOOKUP($E26, Table_Fuel_EFs_StationaryLiquid[Fuel combusted], Table_Fuel_EFs_StationaryLiquid[Scope 1 Emission Factor (kg CO2 - e / GJ) CH4]),0)</f>
        <v>0.1</v>
      </c>
      <c r="J26" s="29">
        <f>IFERROR(_xlfn.XLOOKUP($E26, Table_Fuel_EFs_StationaryLiquid[Fuel combusted], Table_Fuel_EFs_StationaryLiquid[Scope 1 Emission Factor (kg CO2 - e / GJ) N2O]),0)</f>
        <v>0.2</v>
      </c>
      <c r="K26" s="29">
        <f>IFERROR(_xlfn.XLOOKUP($E26, Table_Fuel_EFs_StationaryLiquid[Fuel combusted], Table_Fuel_EFs_StationaryLiquid[Scope 3 Emission Factor (kg CO2 - e / GJ)]),0)</f>
        <v>17.3</v>
      </c>
      <c r="L26" s="132" cm="1">
        <f t="array" ref="L26">Fuel_InputFunctions.Fuel_TotalConsumption(Table_Input_Fuel[Amount consumed], Table_Input_Fuel[Fuel use (select)], D26, Table_Input_Fuel[Fuel type (select)],F26)</f>
        <v>0</v>
      </c>
      <c r="M26" s="132" t="str" cm="1">
        <f t="array" ref="M26">Common_InputFunctions.Utility_LookupValueInTable(F26,Table_FuelTypes_Units[Fuel type],Table_FuelTypes_Units[Unit])</f>
        <v>kL</v>
      </c>
      <c r="N26" s="175" cm="1">
        <f t="array" ref="N26">Fuel_Equations.VEERG_8_2_1_1__1_FuelCombustionStationary($L26,$G26,H26)</f>
        <v>0</v>
      </c>
      <c r="O26" s="175" cm="1">
        <f t="array" ref="O26">Fuel_Equations.VEERG_8_2_1_1__1_FuelCombustionStationary($L26,$G26,I26)</f>
        <v>0</v>
      </c>
      <c r="P26" s="175" cm="1">
        <f t="array" ref="P26">Fuel_Equations.VEERG_8_2_1_1__1_FuelCombustionStationary($L26,$G26,J26)</f>
        <v>0</v>
      </c>
      <c r="Q26" s="175" cm="1">
        <f t="array" ref="Q26">Fuel_Equations.VEERG_8_2_1_1__1_FuelCombustionStationary($L26,$G26,IF(ISNUMBER(K26), K26, 0))</f>
        <v>0</v>
      </c>
    </row>
    <row r="27" spans="1:17" ht="20.100000000000001" customHeight="1" x14ac:dyDescent="0.25">
      <c r="A27" s="5" t="str">
        <f>HYPERLINK("#'5.3.1.1-2 Lime CO2'!A1", "5.3.1.1-2 Lime CO2")</f>
        <v>5.3.1.1-2 Lime CO2</v>
      </c>
      <c r="D27" s="155" t="str">
        <f t="shared" si="0"/>
        <v>Generators</v>
      </c>
      <c r="E27" s="153" t="str">
        <f>'Constants - Fuel'!$D$67</f>
        <v>Liquefied petroleum gas (LPG)</v>
      </c>
      <c r="F27" s="153" t="str">
        <f>'Constants - Fuel'!D133</f>
        <v>Liquefied petroleum gas (LPG)</v>
      </c>
      <c r="G27" s="29">
        <f>IFERROR(_xlfn.XLOOKUP($E27, Table_Fuel_EFs_StationaryLiquid[Fuel combusted], Table_Fuel_EFs_StationaryLiquid[Energy Content Factor (GJ per unit of fuel)]),0)</f>
        <v>25.7</v>
      </c>
      <c r="H27" s="29">
        <f>IFERROR(_xlfn.XLOOKUP($E27, Table_Fuel_EFs_StationaryLiquid[Fuel combusted], Table_Fuel_EFs_StationaryLiquid[Scope 1 Emission Factor (kg CO2 - e / GJ) CO2]),0)</f>
        <v>60.2</v>
      </c>
      <c r="I27" s="29">
        <f>IFERROR(_xlfn.XLOOKUP($E27, Table_Fuel_EFs_StationaryLiquid[Fuel combusted], Table_Fuel_EFs_StationaryLiquid[Scope 1 Emission Factor (kg CO2 - e / GJ) CH4]),0)</f>
        <v>0.2</v>
      </c>
      <c r="J27" s="29">
        <f>IFERROR(_xlfn.XLOOKUP($E27, Table_Fuel_EFs_StationaryLiquid[Fuel combusted], Table_Fuel_EFs_StationaryLiquid[Scope 1 Emission Factor (kg CO2 - e / GJ) N2O]),0)</f>
        <v>0.2</v>
      </c>
      <c r="K27" s="29">
        <f>IFERROR(_xlfn.XLOOKUP($E27, Table_Fuel_EFs_StationaryLiquid[Fuel combusted], Table_Fuel_EFs_StationaryLiquid[Scope 3 Emission Factor (kg CO2 - e / GJ)]),0)</f>
        <v>20.2</v>
      </c>
      <c r="L27" s="132" cm="1">
        <f t="array" ref="L27">Fuel_InputFunctions.Fuel_TotalConsumption(Table_Input_Fuel[Amount consumed], Table_Input_Fuel[Fuel use (select)], D27, Table_Input_Fuel[Fuel type (select)],F27)</f>
        <v>0</v>
      </c>
      <c r="M27" s="132" t="str" cm="1">
        <f t="array" ref="M27">Common_InputFunctions.Utility_LookupValueInTable(F27,Table_FuelTypes_Units[Fuel type],Table_FuelTypes_Units[Unit])</f>
        <v>kL</v>
      </c>
      <c r="N27" s="175" cm="1">
        <f t="array" ref="N27">Fuel_Equations.VEERG_8_2_1_1__1_FuelCombustionStationary($L27,$G27,H27)</f>
        <v>0</v>
      </c>
      <c r="O27" s="175" cm="1">
        <f t="array" ref="O27">Fuel_Equations.VEERG_8_2_1_1__1_FuelCombustionStationary($L27,$G27,I27)</f>
        <v>0</v>
      </c>
      <c r="P27" s="175" cm="1">
        <f t="array" ref="P27">Fuel_Equations.VEERG_8_2_1_1__1_FuelCombustionStationary($L27,$G27,J27)</f>
        <v>0</v>
      </c>
      <c r="Q27" s="175"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155" t="str">
        <f t="shared" si="0"/>
        <v>Generators</v>
      </c>
      <c r="E28" s="153" t="str">
        <f>'Constants - Fuel'!$D$73</f>
        <v>Biodiesel</v>
      </c>
      <c r="F28" s="153" t="str">
        <f>'Constants - Fuel'!D134</f>
        <v>Biodiesel</v>
      </c>
      <c r="G28" s="29">
        <f>IFERROR(_xlfn.XLOOKUP($E28, Table_Fuel_EFs_StationaryLiquid[Fuel combusted], Table_Fuel_EFs_StationaryLiquid[Energy Content Factor (GJ per unit of fuel)]),0)</f>
        <v>34.6</v>
      </c>
      <c r="H28" s="29">
        <f>IFERROR(_xlfn.XLOOKUP($E28, Table_Fuel_EFs_StationaryLiquid[Fuel combusted], Table_Fuel_EFs_StationaryLiquid[Scope 1 Emission Factor (kg CO2 - e / GJ) CO2]),0)</f>
        <v>0</v>
      </c>
      <c r="I28" s="29">
        <f>IFERROR(_xlfn.XLOOKUP($E28, Table_Fuel_EFs_StationaryLiquid[Fuel combusted], Table_Fuel_EFs_StationaryLiquid[Scope 1 Emission Factor (kg CO2 - e / GJ) CH4]),0)</f>
        <v>0.08</v>
      </c>
      <c r="J28" s="29">
        <f>IFERROR(_xlfn.XLOOKUP($E28, Table_Fuel_EFs_StationaryLiquid[Fuel combusted], Table_Fuel_EFs_StationaryLiquid[Scope 1 Emission Factor (kg CO2 - e / GJ) N2O]),0)</f>
        <v>0.2</v>
      </c>
      <c r="K28" s="29" t="str">
        <f>IFERROR(_xlfn.XLOOKUP($E28, Table_Fuel_EFs_StationaryLiquid[Fuel combusted], Table_Fuel_EFs_StationaryLiquid[Scope 3 Emission Factor (kg CO2 - e / GJ)]),0)</f>
        <v>NE</v>
      </c>
      <c r="L28" s="132" cm="1">
        <f t="array" ref="L28">Fuel_InputFunctions.Fuel_TotalConsumption(Table_Input_Fuel[Amount consumed], Table_Input_Fuel[Fuel use (select)], D28, Table_Input_Fuel[Fuel type (select)],F28)</f>
        <v>0</v>
      </c>
      <c r="M28" s="132" t="str" cm="1">
        <f t="array" ref="M28">Common_InputFunctions.Utility_LookupValueInTable(F28,Table_FuelTypes_Units[Fuel type],Table_FuelTypes_Units[Unit])</f>
        <v>kL</v>
      </c>
      <c r="N28" s="175" cm="1">
        <f t="array" ref="N28">Fuel_Equations.VEERG_8_2_1_1__1_FuelCombustionStationary($L28,$G28,H28)</f>
        <v>0</v>
      </c>
      <c r="O28" s="175" cm="1">
        <f t="array" ref="O28">Fuel_Equations.VEERG_8_2_1_1__1_FuelCombustionStationary($L28,$G28,I28)</f>
        <v>0</v>
      </c>
      <c r="P28" s="175" cm="1">
        <f t="array" ref="P28">Fuel_Equations.VEERG_8_2_1_1__1_FuelCombustionStationary($L28,$G28,J28)</f>
        <v>0</v>
      </c>
      <c r="Q28" s="175"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155" t="str">
        <f t="shared" si="0"/>
        <v>Generators</v>
      </c>
      <c r="E29" s="153" t="str">
        <f>'Constants - Fuel'!$D$74</f>
        <v>Ethanol for use as a fuel in an internal combustion engine</v>
      </c>
      <c r="F29" s="153" t="str">
        <f>'Constants - Fuel'!D135</f>
        <v>Ethanol</v>
      </c>
      <c r="G29" s="29">
        <f>IFERROR(_xlfn.XLOOKUP($E29, Table_Fuel_EFs_StationaryLiquid[Fuel combusted], Table_Fuel_EFs_StationaryLiquid[Energy Content Factor (GJ per unit of fuel)]),0)</f>
        <v>23.4</v>
      </c>
      <c r="H29" s="29">
        <f>IFERROR(_xlfn.XLOOKUP($E29, Table_Fuel_EFs_StationaryLiquid[Fuel combusted], Table_Fuel_EFs_StationaryLiquid[Scope 1 Emission Factor (kg CO2 - e / GJ) CO2]),0)</f>
        <v>0</v>
      </c>
      <c r="I29" s="29">
        <f>IFERROR(_xlfn.XLOOKUP($E29, Table_Fuel_EFs_StationaryLiquid[Fuel combusted], Table_Fuel_EFs_StationaryLiquid[Scope 1 Emission Factor (kg CO2 - e / GJ) CH4]),0)</f>
        <v>0.08</v>
      </c>
      <c r="J29" s="29">
        <f>IFERROR(_xlfn.XLOOKUP($E29, Table_Fuel_EFs_StationaryLiquid[Fuel combusted], Table_Fuel_EFs_StationaryLiquid[Scope 1 Emission Factor (kg CO2 - e / GJ) N2O]),0)</f>
        <v>0.2</v>
      </c>
      <c r="K29" s="29" t="str">
        <f>IFERROR(_xlfn.XLOOKUP($E29, Table_Fuel_EFs_StationaryLiquid[Fuel combusted], Table_Fuel_EFs_StationaryLiquid[Scope 3 Emission Factor (kg CO2 - e / GJ)]),0)</f>
        <v>NE</v>
      </c>
      <c r="L29" s="132" cm="1">
        <f t="array" ref="L29">Fuel_InputFunctions.Fuel_TotalConsumption(Table_Input_Fuel[Amount consumed], Table_Input_Fuel[Fuel use (select)], D29, Table_Input_Fuel[Fuel type (select)],F29)</f>
        <v>0</v>
      </c>
      <c r="M29" s="132" t="str" cm="1">
        <f t="array" ref="M29">Common_InputFunctions.Utility_LookupValueInTable(F29,Table_FuelTypes_Units[Fuel type],Table_FuelTypes_Units[Unit])</f>
        <v>kL</v>
      </c>
      <c r="N29" s="175" cm="1">
        <f t="array" ref="N29">Fuel_Equations.VEERG_8_2_1_1__1_FuelCombustionStationary($L29,$G29,H29)</f>
        <v>0</v>
      </c>
      <c r="O29" s="175" cm="1">
        <f t="array" ref="O29">Fuel_Equations.VEERG_8_2_1_1__1_FuelCombustionStationary($L29,$G29,I29)</f>
        <v>0</v>
      </c>
      <c r="P29" s="175" cm="1">
        <f t="array" ref="P29">Fuel_Equations.VEERG_8_2_1_1__1_FuelCombustionStationary($L29,$G29,J29)</f>
        <v>0</v>
      </c>
      <c r="Q29" s="175"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155" t="str">
        <f t="shared" si="0"/>
        <v>Generators</v>
      </c>
      <c r="E30" s="153" t="str">
        <f>'Constants - Fuel'!$D$75</f>
        <v>Biofuels other than those mentioned in the items above and below</v>
      </c>
      <c r="F30" s="153" t="str">
        <f>'Constants - Fuel'!D136</f>
        <v>Other biofuels</v>
      </c>
      <c r="G30" s="29">
        <f>IFERROR(_xlfn.XLOOKUP($E30, Table_Fuel_EFs_StationaryLiquid[Fuel combusted], Table_Fuel_EFs_StationaryLiquid[Energy Content Factor (GJ per unit of fuel)]),0)</f>
        <v>23.4</v>
      </c>
      <c r="H30" s="29">
        <f>IFERROR(_xlfn.XLOOKUP($E30, Table_Fuel_EFs_StationaryLiquid[Fuel combusted], Table_Fuel_EFs_StationaryLiquid[Scope 1 Emission Factor (kg CO2 - e / GJ) CO2]),0)</f>
        <v>0</v>
      </c>
      <c r="I30" s="29">
        <f>IFERROR(_xlfn.XLOOKUP($E30, Table_Fuel_EFs_StationaryLiquid[Fuel combusted], Table_Fuel_EFs_StationaryLiquid[Scope 1 Emission Factor (kg CO2 - e / GJ) CH4]),0)</f>
        <v>0.08</v>
      </c>
      <c r="J30" s="29">
        <f>IFERROR(_xlfn.XLOOKUP($E30, Table_Fuel_EFs_StationaryLiquid[Fuel combusted], Table_Fuel_EFs_StationaryLiquid[Scope 1 Emission Factor (kg CO2 - e / GJ) N2O]),0)</f>
        <v>0.2</v>
      </c>
      <c r="K30" s="29" t="str">
        <f>IFERROR(_xlfn.XLOOKUP($E30, Table_Fuel_EFs_StationaryLiquid[Fuel combusted], Table_Fuel_EFs_StationaryLiquid[Scope 3 Emission Factor (kg CO2 - e / GJ)]),0)</f>
        <v>NE</v>
      </c>
      <c r="L30" s="132" cm="1">
        <f t="array" ref="L30">Fuel_InputFunctions.Fuel_TotalConsumption(Table_Input_Fuel[Amount consumed], Table_Input_Fuel[Fuel use (select)], D30, Table_Input_Fuel[Fuel type (select)],F30)</f>
        <v>0</v>
      </c>
      <c r="M30" s="132" t="str" cm="1">
        <f t="array" ref="M30">Common_InputFunctions.Utility_LookupValueInTable(F30,Table_FuelTypes_Units[Fuel type],Table_FuelTypes_Units[Unit])</f>
        <v>kL</v>
      </c>
      <c r="N30" s="175" cm="1">
        <f t="array" ref="N30">Fuel_Equations.VEERG_8_2_1_1__1_FuelCombustionStationary($L30,$G30,H30)</f>
        <v>0</v>
      </c>
      <c r="O30" s="175" cm="1">
        <f t="array" ref="O30">Fuel_Equations.VEERG_8_2_1_1__1_FuelCombustionStationary($L30,$G30,I30)</f>
        <v>0</v>
      </c>
      <c r="P30" s="175" cm="1">
        <f t="array" ref="P30">Fuel_Equations.VEERG_8_2_1_1__1_FuelCombustionStationary($L30,$G30,J30)</f>
        <v>0</v>
      </c>
      <c r="Q30" s="175"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155" t="str">
        <f t="shared" si="0"/>
        <v>Generators</v>
      </c>
      <c r="E31" s="153" t="str">
        <f>'Constants - Fuel'!$D$77</f>
        <v>Renewable diesel</v>
      </c>
      <c r="F31" s="153" t="str">
        <f>'Constants - Fuel'!D137</f>
        <v>Renewable diesel</v>
      </c>
      <c r="G31" s="151">
        <f>IFERROR(_xlfn.XLOOKUP($E31, Table_Fuel_EFs_StationaryLiquid[Fuel combusted], Table_Fuel_EFs_StationaryLiquid[Energy Content Factor (GJ per unit of fuel)]),0)</f>
        <v>38.6</v>
      </c>
      <c r="H31" s="151">
        <f>IFERROR(_xlfn.XLOOKUP($E31, Table_Fuel_EFs_StationaryLiquid[Fuel combusted], Table_Fuel_EFs_StationaryLiquid[Scope 1 Emission Factor (kg CO2 - e / GJ) CO2]),0)</f>
        <v>0</v>
      </c>
      <c r="I31" s="151">
        <f>IFERROR(_xlfn.XLOOKUP($E31, Table_Fuel_EFs_StationaryLiquid[Fuel combusted], Table_Fuel_EFs_StationaryLiquid[Scope 1 Emission Factor (kg CO2 - e / GJ) CH4]),0)</f>
        <v>0.1</v>
      </c>
      <c r="J31" s="151">
        <f>IFERROR(_xlfn.XLOOKUP($E31, Table_Fuel_EFs_StationaryLiquid[Fuel combusted], Table_Fuel_EFs_StationaryLiquid[Scope 1 Emission Factor (kg CO2 - e / GJ) N2O]),0)</f>
        <v>0.2</v>
      </c>
      <c r="K31" s="151" t="str">
        <f>IFERROR(_xlfn.XLOOKUP($E31, Table_Fuel_EFs_StationaryLiquid[Fuel combusted], Table_Fuel_EFs_StationaryLiquid[Scope 3 Emission Factor (kg CO2 - e / GJ)]),0)</f>
        <v>NE</v>
      </c>
      <c r="L31" s="156" cm="1">
        <f t="array" ref="L31">Fuel_InputFunctions.Fuel_TotalConsumption(Table_Input_Fuel[Amount consumed], Table_Input_Fuel[Fuel use (select)], D31, Table_Input_Fuel[Fuel type (select)],F31)</f>
        <v>0</v>
      </c>
      <c r="M31" s="156" t="str" cm="1">
        <f t="array" ref="M31">Common_InputFunctions.Utility_LookupValueInTable(F31,Table_FuelTypes_Units[Fuel type],Table_FuelTypes_Units[Unit])</f>
        <v>kL</v>
      </c>
      <c r="N31" s="176" cm="1">
        <f t="array" ref="N31">Fuel_Equations.VEERG_8_2_1_1__1_FuelCombustionStationary($L31,$G31,H31)</f>
        <v>0</v>
      </c>
      <c r="O31" s="176" cm="1">
        <f t="array" ref="O31">Fuel_Equations.VEERG_8_2_1_1__1_FuelCombustionStationary($L31,$G31,I31)</f>
        <v>0</v>
      </c>
      <c r="P31" s="176" cm="1">
        <f t="array" ref="P31">Fuel_Equations.VEERG_8_2_1_1__1_FuelCombustionStationary($L31,$G31,J31)</f>
        <v>0</v>
      </c>
      <c r="Q31" s="176"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58" t="str">
        <f>Table_FuelTypesPerUse[[#Headers],[Power standalone machinery or heating]]</f>
        <v>Power standalone machinery or heating</v>
      </c>
      <c r="E32" s="159" t="str">
        <f>'Constants - Fuel'!$D$58</f>
        <v>Automotive gasoline / petrol (other than for use as fuel in an aircraft)</v>
      </c>
      <c r="F32" s="159" t="str">
        <f>'Constants - Fuel'!E131</f>
        <v>Petrol</v>
      </c>
      <c r="G32" s="166">
        <f>IFERROR(_xlfn.XLOOKUP($E32, Table_Fuel_EFs_StationaryLiquid[Fuel combusted], Table_Fuel_EFs_StationaryLiquid[Energy Content Factor (GJ per unit of fuel)]),0)</f>
        <v>34.200000000000003</v>
      </c>
      <c r="H32" s="166">
        <f>IFERROR(_xlfn.XLOOKUP($E32, Table_Fuel_EFs_StationaryLiquid[Fuel combusted], Table_Fuel_EFs_StationaryLiquid[Scope 1 Emission Factor (kg CO2 - e / GJ) CO2]),0)</f>
        <v>67.400000000000006</v>
      </c>
      <c r="I32" s="166">
        <f>IFERROR(_xlfn.XLOOKUP($E32, Table_Fuel_EFs_StationaryLiquid[Fuel combusted], Table_Fuel_EFs_StationaryLiquid[Scope 1 Emission Factor (kg CO2 - e / GJ) CH4]),0)</f>
        <v>0.2</v>
      </c>
      <c r="J32" s="166">
        <f>IFERROR(_xlfn.XLOOKUP($E32, Table_Fuel_EFs_StationaryLiquid[Fuel combusted], Table_Fuel_EFs_StationaryLiquid[Scope 1 Emission Factor (kg CO2 - e / GJ) N2O]),0)</f>
        <v>0.2</v>
      </c>
      <c r="K32" s="166">
        <f>IFERROR(_xlfn.XLOOKUP($E32, Table_Fuel_EFs_StationaryLiquid[Fuel combusted], Table_Fuel_EFs_StationaryLiquid[Scope 3 Emission Factor (kg CO2 - e / GJ)]),0)</f>
        <v>17.2</v>
      </c>
      <c r="L32" s="162" cm="1">
        <f t="array" ref="L32">Fuel_InputFunctions.Fuel_TotalConsumption(Table_Input_Fuel[Amount consumed], Table_Input_Fuel[Fuel use (select)], D32, Table_Input_Fuel[Fuel type (select)],F32)</f>
        <v>10</v>
      </c>
      <c r="M32" s="163" t="str" cm="1">
        <f t="array" ref="M32">Common_InputFunctions.Utility_LookupValueInTable(F32,Table_FuelTypes_Units[Fuel type],Table_FuelTypes_Units[Unit])</f>
        <v>kL</v>
      </c>
      <c r="N32" s="177" cm="1">
        <f t="array" ref="N32">Fuel_Equations.VEERG_8_2_1_1__1_FuelCombustionStationary($L32,$G32,H32)</f>
        <v>23.050800000000002</v>
      </c>
      <c r="O32" s="177" cm="1">
        <f t="array" ref="O32">Fuel_Equations.VEERG_8_2_1_1__1_FuelCombustionStationary($L32,$G32,I32)</f>
        <v>6.8400000000000002E-2</v>
      </c>
      <c r="P32" s="177" cm="1">
        <f t="array" ref="P32">Fuel_Equations.VEERG_8_2_1_1__1_FuelCombustionStationary($L32,$G32,J32)</f>
        <v>6.8400000000000002E-2</v>
      </c>
      <c r="Q32" s="177" cm="1">
        <f t="array" ref="Q32">Fuel_Equations.VEERG_8_2_1_1__1_FuelCombustionStationary($L32,$G32,IF(ISNUMBER(K32), K32, 0))</f>
        <v>5.8823999999999996</v>
      </c>
    </row>
    <row r="33" spans="1:17" ht="20.100000000000001" customHeight="1" x14ac:dyDescent="0.25">
      <c r="A33" s="49" t="str">
        <f>HYPERLINK("#'8.2.1.1-2 Stationary fuel'!A1", "8.2.1.1-2 Stationary fuel")</f>
        <v>8.2.1.1-2 Stationary fuel</v>
      </c>
      <c r="D33" s="155" t="str">
        <f t="shared" ref="D33:D40" si="1">$D$32</f>
        <v>Power standalone machinery or heating</v>
      </c>
      <c r="E33" s="153" t="str">
        <f>'Constants - Fuel'!$D$63</f>
        <v>Diesel oil</v>
      </c>
      <c r="F33" s="153" t="str">
        <f>'Constants - Fuel'!E132</f>
        <v>Diesel</v>
      </c>
      <c r="G33" s="29">
        <f>IFERROR(_xlfn.XLOOKUP($E33, Table_Fuel_EFs_StationaryLiquid[Fuel combusted], Table_Fuel_EFs_StationaryLiquid[Energy Content Factor (GJ per unit of fuel)]),0)</f>
        <v>38.6</v>
      </c>
      <c r="H33" s="29">
        <f>IFERROR(_xlfn.XLOOKUP($E33, Table_Fuel_EFs_StationaryLiquid[Fuel combusted], Table_Fuel_EFs_StationaryLiquid[Scope 1 Emission Factor (kg CO2 - e / GJ) CO2]),0)</f>
        <v>69.900000000000006</v>
      </c>
      <c r="I33" s="29">
        <f>IFERROR(_xlfn.XLOOKUP($E33, Table_Fuel_EFs_StationaryLiquid[Fuel combusted], Table_Fuel_EFs_StationaryLiquid[Scope 1 Emission Factor (kg CO2 - e / GJ) CH4]),0)</f>
        <v>0.1</v>
      </c>
      <c r="J33" s="29">
        <f>IFERROR(_xlfn.XLOOKUP($E33, Table_Fuel_EFs_StationaryLiquid[Fuel combusted], Table_Fuel_EFs_StationaryLiquid[Scope 1 Emission Factor (kg CO2 - e / GJ) N2O]),0)</f>
        <v>0.2</v>
      </c>
      <c r="K33" s="29">
        <f>IFERROR(_xlfn.XLOOKUP($E33, Table_Fuel_EFs_StationaryLiquid[Fuel combusted], Table_Fuel_EFs_StationaryLiquid[Scope 3 Emission Factor (kg CO2 - e / GJ)]),0)</f>
        <v>17.3</v>
      </c>
      <c r="L33" s="29" cm="1">
        <f t="array" ref="L33">Fuel_InputFunctions.Fuel_TotalConsumption(Table_Input_Fuel[Amount consumed], Table_Input_Fuel[Fuel use (select)], D33, Table_Input_Fuel[Fuel type (select)],F33)</f>
        <v>0</v>
      </c>
      <c r="M33" s="29" t="str" cm="1">
        <f t="array" ref="M33">Common_InputFunctions.Utility_LookupValueInTable(F33,Table_FuelTypes_Units[Fuel type],Table_FuelTypes_Units[Unit])</f>
        <v>kL</v>
      </c>
      <c r="N33" s="175" cm="1">
        <f t="array" ref="N33">Fuel_Equations.VEERG_8_2_1_1__1_FuelCombustionStationary($L33,$G33,H33)</f>
        <v>0</v>
      </c>
      <c r="O33" s="175" cm="1">
        <f t="array" ref="O33">Fuel_Equations.VEERG_8_2_1_1__1_FuelCombustionStationary($L33,$G33,I33)</f>
        <v>0</v>
      </c>
      <c r="P33" s="175" cm="1">
        <f t="array" ref="P33">Fuel_Equations.VEERG_8_2_1_1__1_FuelCombustionStationary($L33,$G33,J33)</f>
        <v>0</v>
      </c>
      <c r="Q33" s="175"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155" t="str">
        <f t="shared" si="1"/>
        <v>Power standalone machinery or heating</v>
      </c>
      <c r="E34" s="153" t="str">
        <f>'Constants - Fuel'!$D$67</f>
        <v>Liquefied petroleum gas (LPG)</v>
      </c>
      <c r="F34" s="153" t="str">
        <f>'Constants - Fuel'!E133</f>
        <v>Liquefied petroleum gas (LPG)</v>
      </c>
      <c r="G34" s="29">
        <f>IFERROR(_xlfn.XLOOKUP($E34, Table_Fuel_EFs_StationaryLiquid[Fuel combusted], Table_Fuel_EFs_StationaryLiquid[Energy Content Factor (GJ per unit of fuel)]),0)</f>
        <v>25.7</v>
      </c>
      <c r="H34" s="29">
        <f>IFERROR(_xlfn.XLOOKUP($E34, Table_Fuel_EFs_StationaryLiquid[Fuel combusted], Table_Fuel_EFs_StationaryLiquid[Scope 1 Emission Factor (kg CO2 - e / GJ) CO2]),0)</f>
        <v>60.2</v>
      </c>
      <c r="I34" s="29">
        <f>IFERROR(_xlfn.XLOOKUP($E34, Table_Fuel_EFs_StationaryLiquid[Fuel combusted], Table_Fuel_EFs_StationaryLiquid[Scope 1 Emission Factor (kg CO2 - e / GJ) CH4]),0)</f>
        <v>0.2</v>
      </c>
      <c r="J34" s="29">
        <f>IFERROR(_xlfn.XLOOKUP($E34, Table_Fuel_EFs_StationaryLiquid[Fuel combusted], Table_Fuel_EFs_StationaryLiquid[Scope 1 Emission Factor (kg CO2 - e / GJ) N2O]),0)</f>
        <v>0.2</v>
      </c>
      <c r="K34" s="29">
        <f>IFERROR(_xlfn.XLOOKUP($E34, Table_Fuel_EFs_StationaryLiquid[Fuel combusted], Table_Fuel_EFs_StationaryLiquid[Scope 3 Emission Factor (kg CO2 - e / GJ)]),0)</f>
        <v>20.2</v>
      </c>
      <c r="L34" s="29" cm="1">
        <f t="array" ref="L34">Fuel_InputFunctions.Fuel_TotalConsumption(Table_Input_Fuel[Amount consumed], Table_Input_Fuel[Fuel use (select)], D34, Table_Input_Fuel[Fuel type (select)],F34)</f>
        <v>0</v>
      </c>
      <c r="M34" s="29" t="str" cm="1">
        <f t="array" ref="M34">Common_InputFunctions.Utility_LookupValueInTable(F34,Table_FuelTypes_Units[Fuel type],Table_FuelTypes_Units[Unit])</f>
        <v>kL</v>
      </c>
      <c r="N34" s="175" cm="1">
        <f t="array" ref="N34">Fuel_Equations.VEERG_8_2_1_1__1_FuelCombustionStationary($L34,$G34,H34)</f>
        <v>0</v>
      </c>
      <c r="O34" s="175" cm="1">
        <f t="array" ref="O34">Fuel_Equations.VEERG_8_2_1_1__1_FuelCombustionStationary($L34,$G34,I34)</f>
        <v>0</v>
      </c>
      <c r="P34" s="175" cm="1">
        <f t="array" ref="P34">Fuel_Equations.VEERG_8_2_1_1__1_FuelCombustionStationary($L34,$G34,J34)</f>
        <v>0</v>
      </c>
      <c r="Q34" s="175" cm="1">
        <f t="array" ref="Q34">Fuel_Equations.VEERG_8_2_1_1__1_FuelCombustionStationary($L34,$G34,IF(ISNUMBER(K34), K34, 0))</f>
        <v>0</v>
      </c>
    </row>
    <row r="35" spans="1:17" ht="20.100000000000001" customHeight="1" x14ac:dyDescent="0.25">
      <c r="D35" s="155" t="str">
        <f t="shared" si="1"/>
        <v>Power standalone machinery or heating</v>
      </c>
      <c r="E35" s="153" t="str">
        <f>'Constants - Fuel'!$D$73</f>
        <v>Biodiesel</v>
      </c>
      <c r="F35" s="153" t="str">
        <f>'Constants - Fuel'!E134</f>
        <v>Biodiesel</v>
      </c>
      <c r="G35" s="29">
        <f>IFERROR(_xlfn.XLOOKUP($E35, Table_Fuel_EFs_StationaryLiquid[Fuel combusted], Table_Fuel_EFs_StationaryLiquid[Energy Content Factor (GJ per unit of fuel)]),0)</f>
        <v>34.6</v>
      </c>
      <c r="H35" s="29">
        <f>IFERROR(_xlfn.XLOOKUP($E35, Table_Fuel_EFs_StationaryLiquid[Fuel combusted], Table_Fuel_EFs_StationaryLiquid[Scope 1 Emission Factor (kg CO2 - e / GJ) CO2]),0)</f>
        <v>0</v>
      </c>
      <c r="I35" s="29">
        <f>IFERROR(_xlfn.XLOOKUP($E35, Table_Fuel_EFs_StationaryLiquid[Fuel combusted], Table_Fuel_EFs_StationaryLiquid[Scope 1 Emission Factor (kg CO2 - e / GJ) CH4]),0)</f>
        <v>0.08</v>
      </c>
      <c r="J35" s="29">
        <f>IFERROR(_xlfn.XLOOKUP($E35, Table_Fuel_EFs_StationaryLiquid[Fuel combusted], Table_Fuel_EFs_StationaryLiquid[Scope 1 Emission Factor (kg CO2 - e / GJ) N2O]),0)</f>
        <v>0.2</v>
      </c>
      <c r="K35" s="29" t="str">
        <f>IFERROR(_xlfn.XLOOKUP($E35, Table_Fuel_EFs_StationaryLiquid[Fuel combusted], Table_Fuel_EFs_StationaryLiquid[Scope 3 Emission Factor (kg CO2 - e / GJ)]),0)</f>
        <v>NE</v>
      </c>
      <c r="L35" s="29" cm="1">
        <f t="array" ref="L35">Fuel_InputFunctions.Fuel_TotalConsumption(Table_Input_Fuel[Amount consumed], Table_Input_Fuel[Fuel use (select)], D35, Table_Input_Fuel[Fuel type (select)],F35)</f>
        <v>0</v>
      </c>
      <c r="M35" s="29" t="str" cm="1">
        <f t="array" ref="M35">Common_InputFunctions.Utility_LookupValueInTable(F35,Table_FuelTypes_Units[Fuel type],Table_FuelTypes_Units[Unit])</f>
        <v>kL</v>
      </c>
      <c r="N35" s="175" cm="1">
        <f t="array" ref="N35">Fuel_Equations.VEERG_8_2_1_1__1_FuelCombustionStationary($L35,$G35,H35)</f>
        <v>0</v>
      </c>
      <c r="O35" s="175" cm="1">
        <f t="array" ref="O35">Fuel_Equations.VEERG_8_2_1_1__1_FuelCombustionStationary($L35,$G35,I35)</f>
        <v>0</v>
      </c>
      <c r="P35" s="175" cm="1">
        <f t="array" ref="P35">Fuel_Equations.VEERG_8_2_1_1__1_FuelCombustionStationary($L35,$G35,J35)</f>
        <v>0</v>
      </c>
      <c r="Q35" s="175" cm="1">
        <f t="array" ref="Q35">Fuel_Equations.VEERG_8_2_1_1__1_FuelCombustionStationary($L35,$G35,IF(ISNUMBER(K35), K35, 0))</f>
        <v>0</v>
      </c>
    </row>
    <row r="36" spans="1:17" ht="20.100000000000001" customHeight="1" x14ac:dyDescent="0.25">
      <c r="D36" s="155" t="str">
        <f t="shared" si="1"/>
        <v>Power standalone machinery or heating</v>
      </c>
      <c r="E36" s="153" t="str">
        <f>'Constants - Fuel'!$D$74</f>
        <v>Ethanol for use as a fuel in an internal combustion engine</v>
      </c>
      <c r="F36" s="153" t="str">
        <f>'Constants - Fuel'!E135</f>
        <v>Ethanol</v>
      </c>
      <c r="G36" s="29">
        <f>IFERROR(_xlfn.XLOOKUP($E36, Table_Fuel_EFs_StationaryLiquid[Fuel combusted], Table_Fuel_EFs_StationaryLiquid[Energy Content Factor (GJ per unit of fuel)]),0)</f>
        <v>23.4</v>
      </c>
      <c r="H36" s="29">
        <f>IFERROR(_xlfn.XLOOKUP($E36, Table_Fuel_EFs_StationaryLiquid[Fuel combusted], Table_Fuel_EFs_StationaryLiquid[Scope 1 Emission Factor (kg CO2 - e / GJ) CO2]),0)</f>
        <v>0</v>
      </c>
      <c r="I36" s="29">
        <f>IFERROR(_xlfn.XLOOKUP($E36, Table_Fuel_EFs_StationaryLiquid[Fuel combusted], Table_Fuel_EFs_StationaryLiquid[Scope 1 Emission Factor (kg CO2 - e / GJ) CH4]),0)</f>
        <v>0.08</v>
      </c>
      <c r="J36" s="29">
        <f>IFERROR(_xlfn.XLOOKUP($E36, Table_Fuel_EFs_StationaryLiquid[Fuel combusted], Table_Fuel_EFs_StationaryLiquid[Scope 1 Emission Factor (kg CO2 - e / GJ) N2O]),0)</f>
        <v>0.2</v>
      </c>
      <c r="K36" s="29" t="str">
        <f>IFERROR(_xlfn.XLOOKUP($E36, Table_Fuel_EFs_StationaryLiquid[Fuel combusted], Table_Fuel_EFs_StationaryLiquid[Scope 3 Emission Factor (kg CO2 - e / GJ)]),0)</f>
        <v>NE</v>
      </c>
      <c r="L36" s="29" cm="1">
        <f t="array" ref="L36">Fuel_InputFunctions.Fuel_TotalConsumption(Table_Input_Fuel[Amount consumed], Table_Input_Fuel[Fuel use (select)], D36, Table_Input_Fuel[Fuel type (select)],F36)</f>
        <v>0</v>
      </c>
      <c r="M36" s="29" t="str" cm="1">
        <f t="array" ref="M36">Common_InputFunctions.Utility_LookupValueInTable(F36,Table_FuelTypes_Units[Fuel type],Table_FuelTypes_Units[Unit])</f>
        <v>kL</v>
      </c>
      <c r="N36" s="175" cm="1">
        <f t="array" ref="N36">Fuel_Equations.VEERG_8_2_1_1__1_FuelCombustionStationary($L36,$G36,H36)</f>
        <v>0</v>
      </c>
      <c r="O36" s="175" cm="1">
        <f t="array" ref="O36">Fuel_Equations.VEERG_8_2_1_1__1_FuelCombustionStationary($L36,$G36,I36)</f>
        <v>0</v>
      </c>
      <c r="P36" s="175" cm="1">
        <f t="array" ref="P36">Fuel_Equations.VEERG_8_2_1_1__1_FuelCombustionStationary($L36,$G36,J36)</f>
        <v>0</v>
      </c>
      <c r="Q36" s="175" cm="1">
        <f t="array" ref="Q36">Fuel_Equations.VEERG_8_2_1_1__1_FuelCombustionStationary($L36,$G36,IF(ISNUMBER(K36), K36, 0))</f>
        <v>0</v>
      </c>
    </row>
    <row r="37" spans="1:17" ht="20.100000000000001" customHeight="1" x14ac:dyDescent="0.25">
      <c r="A37" s="243" t="s">
        <v>1</v>
      </c>
      <c r="D37" s="155" t="str">
        <f t="shared" si="1"/>
        <v>Power standalone machinery or heating</v>
      </c>
      <c r="E37" s="153" t="str">
        <f>'Constants - Fuel'!$D$75</f>
        <v>Biofuels other than those mentioned in the items above and below</v>
      </c>
      <c r="F37" s="153" t="str">
        <f>'Constants - Fuel'!E136</f>
        <v>Other biofuels</v>
      </c>
      <c r="G37" s="29">
        <f>IFERROR(_xlfn.XLOOKUP($E37, Table_Fuel_EFs_StationaryLiquid[Fuel combusted], Table_Fuel_EFs_StationaryLiquid[Energy Content Factor (GJ per unit of fuel)]),0)</f>
        <v>23.4</v>
      </c>
      <c r="H37" s="29">
        <f>IFERROR(_xlfn.XLOOKUP($E37, Table_Fuel_EFs_StationaryLiquid[Fuel combusted], Table_Fuel_EFs_StationaryLiquid[Scope 1 Emission Factor (kg CO2 - e / GJ) CO2]),0)</f>
        <v>0</v>
      </c>
      <c r="I37" s="29">
        <f>IFERROR(_xlfn.XLOOKUP($E37, Table_Fuel_EFs_StationaryLiquid[Fuel combusted], Table_Fuel_EFs_StationaryLiquid[Scope 1 Emission Factor (kg CO2 - e / GJ) CH4]),0)</f>
        <v>0.08</v>
      </c>
      <c r="J37" s="29">
        <f>IFERROR(_xlfn.XLOOKUP($E37, Table_Fuel_EFs_StationaryLiquid[Fuel combusted], Table_Fuel_EFs_StationaryLiquid[Scope 1 Emission Factor (kg CO2 - e / GJ) N2O]),0)</f>
        <v>0.2</v>
      </c>
      <c r="K37" s="29" t="str">
        <f>IFERROR(_xlfn.XLOOKUP($E37, Table_Fuel_EFs_StationaryLiquid[Fuel combusted], Table_Fuel_EFs_StationaryLiquid[Scope 3 Emission Factor (kg CO2 - e / GJ)]),0)</f>
        <v>NE</v>
      </c>
      <c r="L37" s="29" cm="1">
        <f t="array" ref="L37">Fuel_InputFunctions.Fuel_TotalConsumption(Table_Input_Fuel[Amount consumed], Table_Input_Fuel[Fuel use (select)], D37, Table_Input_Fuel[Fuel type (select)],F37)</f>
        <v>0</v>
      </c>
      <c r="M37" s="29" t="str" cm="1">
        <f t="array" ref="M37">Common_InputFunctions.Utility_LookupValueInTable(F37,Table_FuelTypes_Units[Fuel type],Table_FuelTypes_Units[Unit])</f>
        <v>kL</v>
      </c>
      <c r="N37" s="175" cm="1">
        <f t="array" ref="N37">Fuel_Equations.VEERG_8_2_1_1__1_FuelCombustionStationary($L37,$G37,H37)</f>
        <v>0</v>
      </c>
      <c r="O37" s="175" cm="1">
        <f t="array" ref="O37">Fuel_Equations.VEERG_8_2_1_1__1_FuelCombustionStationary($L37,$G37,I37)</f>
        <v>0</v>
      </c>
      <c r="P37" s="175" cm="1">
        <f t="array" ref="P37">Fuel_Equations.VEERG_8_2_1_1__1_FuelCombustionStationary($L37,$G37,J37)</f>
        <v>0</v>
      </c>
      <c r="Q37" s="175"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155" t="str">
        <f t="shared" si="1"/>
        <v>Power standalone machinery or heating</v>
      </c>
      <c r="E38" s="153" t="str">
        <f>'Constants - Fuel'!$D$77</f>
        <v>Renewable diesel</v>
      </c>
      <c r="F38" s="153" t="str">
        <f>'Constants - Fuel'!E137</f>
        <v>Renewable diesel</v>
      </c>
      <c r="G38" s="29">
        <f>IFERROR(_xlfn.XLOOKUP($E38, Table_Fuel_EFs_StationaryLiquid[Fuel combusted], Table_Fuel_EFs_StationaryLiquid[Energy Content Factor (GJ per unit of fuel)]),0)</f>
        <v>38.6</v>
      </c>
      <c r="H38" s="29">
        <f>IFERROR(_xlfn.XLOOKUP($E38, Table_Fuel_EFs_StationaryLiquid[Fuel combusted], Table_Fuel_EFs_StationaryLiquid[Scope 1 Emission Factor (kg CO2 - e / GJ) CO2]),0)</f>
        <v>0</v>
      </c>
      <c r="I38" s="29">
        <f>IFERROR(_xlfn.XLOOKUP($E38, Table_Fuel_EFs_StationaryLiquid[Fuel combusted], Table_Fuel_EFs_StationaryLiquid[Scope 1 Emission Factor (kg CO2 - e / GJ) CH4]),0)</f>
        <v>0.1</v>
      </c>
      <c r="J38" s="29">
        <f>IFERROR(_xlfn.XLOOKUP($E38, Table_Fuel_EFs_StationaryLiquid[Fuel combusted], Table_Fuel_EFs_StationaryLiquid[Scope 1 Emission Factor (kg CO2 - e / GJ) N2O]),0)</f>
        <v>0.2</v>
      </c>
      <c r="K38" s="29" t="str">
        <f>IFERROR(_xlfn.XLOOKUP($E38, Table_Fuel_EFs_StationaryLiquid[Fuel combusted], Table_Fuel_EFs_StationaryLiquid[Scope 3 Emission Factor (kg CO2 - e / GJ)]),0)</f>
        <v>NE</v>
      </c>
      <c r="L38" s="29" cm="1">
        <f t="array" ref="L38">Fuel_InputFunctions.Fuel_TotalConsumption(Table_Input_Fuel[Amount consumed], Table_Input_Fuel[Fuel use (select)], D38, Table_Input_Fuel[Fuel type (select)],F38)</f>
        <v>0</v>
      </c>
      <c r="M38" s="29" t="str" cm="1">
        <f t="array" ref="M38">Common_InputFunctions.Utility_LookupValueInTable(F38,Table_FuelTypes_Units[Fuel type],Table_FuelTypes_Units[Unit])</f>
        <v>kL</v>
      </c>
      <c r="N38" s="175" cm="1">
        <f t="array" ref="N38">Fuel_Equations.VEERG_8_2_1_1__1_FuelCombustionStationary($L38,$G38,H38)</f>
        <v>0</v>
      </c>
      <c r="O38" s="175" cm="1">
        <f t="array" ref="O38">Fuel_Equations.VEERG_8_2_1_1__1_FuelCombustionStationary($L38,$G38,I38)</f>
        <v>0</v>
      </c>
      <c r="P38" s="175" cm="1">
        <f t="array" ref="P38">Fuel_Equations.VEERG_8_2_1_1__1_FuelCombustionStationary($L38,$G38,J38)</f>
        <v>0</v>
      </c>
      <c r="Q38" s="175"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155" t="str">
        <f t="shared" si="1"/>
        <v>Power standalone machinery or heating</v>
      </c>
      <c r="E39" s="153" t="str">
        <f>'Constants - Fuel'!$D$103</f>
        <v>Natural gas distributed in a pipeline - Gigajoules</v>
      </c>
      <c r="F39" s="153" t="str">
        <f>'Constants - Fuel'!E138</f>
        <v>Natural gas (via pipeline) in GJ</v>
      </c>
      <c r="G39" s="29">
        <f>IFERROR(_xlfn.XLOOKUP($E39, Table_Fuel_EFs_StationaryGaseous[Fuel combusted], Table_Fuel_EFs_StationaryGaseous[Energy Content Factor (GJ per unit of fuel)]),0)</f>
        <v>1</v>
      </c>
      <c r="H39" s="29">
        <f>IFERROR(_xlfn.XLOOKUP($E39, Table_Fuel_EFs_StationaryGaseous[Fuel combusted], Table_Fuel_EFs_StationaryGaseous[Scope 1 Emission Factor (kg CO2 - e / GJ) CO2]),0)</f>
        <v>51.4</v>
      </c>
      <c r="I39" s="29">
        <f>IFERROR(_xlfn.XLOOKUP($E39, Table_Fuel_EFs_StationaryGaseous[Fuel combusted], Table_Fuel_EFs_StationaryGaseous[Scope 1 Emission Factor (kg CO2 - e / GJ) CH4]),0)</f>
        <v>0.1</v>
      </c>
      <c r="J39" s="29">
        <f>IFERROR(_xlfn.XLOOKUP($E39, Table_Fuel_EFs_StationaryGaseous[Fuel combusted], Table_Fuel_EFs_StationaryGaseous[Scope 1 Emission Factor (kg CO2 - e / GJ) N2O]),0)</f>
        <v>0.03</v>
      </c>
      <c r="K39" s="29" cm="1">
        <f t="array" ref="K39">IFERROR(Common_InputFunctions.Utility_LookupValueInTableOneColumnAndHeader($P$17,$P$18,Table_Fuel_EFs_StationaryGaseous34[State or territory],Table_Fuel_EFs_StationaryGaseous34[#Headers],Table_Fuel_EFs_StationaryGaseous34[#Data]),0)</f>
        <v>4.0999999999999996</v>
      </c>
      <c r="L39" s="132" cm="1">
        <f t="array" ref="L39">Fuel_InputFunctions.Fuel_TotalConsumption(Table_Input_Fuel[Amount consumed], Table_Input_Fuel[Fuel use (select)], D39, Table_Input_Fuel[Fuel type (select)],F39)</f>
        <v>0</v>
      </c>
      <c r="M39" s="132" t="str" cm="1">
        <f t="array" ref="M39">Common_InputFunctions.Utility_LookupValueInTable(F39,Table_FuelTypes_Units[Fuel type],Table_FuelTypes_Units[Unit])</f>
        <v>GJ</v>
      </c>
      <c r="N39" s="175" cm="1">
        <f t="array" ref="N39">Fuel_Equations.VEERG_8_2_1_1__1_FuelCombustionStationary($L39,$G39,H39)</f>
        <v>0</v>
      </c>
      <c r="O39" s="175" cm="1">
        <f t="array" ref="O39">Fuel_Equations.VEERG_8_2_1_1__1_FuelCombustionStationary($L39,$G39,I39)</f>
        <v>0</v>
      </c>
      <c r="P39" s="175" cm="1">
        <f t="array" ref="P39">Fuel_Equations.VEERG_8_2_1_1__1_FuelCombustionStationary($L39,$G39,J39)</f>
        <v>0</v>
      </c>
      <c r="Q39" s="175" cm="1">
        <f t="array" ref="Q39">Fuel_Equations.VEERG_8_2_1_1__1_FuelCombustionStationary($L39,$G39,IF(ISNUMBER(K39), K39, 0))</f>
        <v>0</v>
      </c>
    </row>
    <row r="40" spans="1:17" ht="20.100000000000001" customHeight="1" x14ac:dyDescent="0.25">
      <c r="A40" s="5" t="str">
        <f>HYPERLINK("#'Constants - Livestock'!A1", "Constants - Livestock")</f>
        <v>Constants - Livestock</v>
      </c>
      <c r="D40" s="155" t="str">
        <f t="shared" si="1"/>
        <v>Power standalone machinery or heating</v>
      </c>
      <c r="E40" s="153" t="str">
        <f>'Constants - Fuel'!$D$104</f>
        <v>Town gas - Gigajoules</v>
      </c>
      <c r="F40" s="153" t="str">
        <f>'Constants - Fuel'!E139</f>
        <v>Town gas in GJ</v>
      </c>
      <c r="G40" s="29">
        <f>IFERROR(_xlfn.XLOOKUP($E40, Table_Fuel_EFs_StationaryGaseous[Fuel combusted], Table_Fuel_EFs_StationaryGaseous[Energy Content Factor (GJ per unit of fuel)]),0)</f>
        <v>1</v>
      </c>
      <c r="H40" s="29">
        <f>IFERROR(_xlfn.XLOOKUP($E40, Table_Fuel_EFs_StationaryGaseous[Fuel combusted], Table_Fuel_EFs_StationaryGaseous[Scope 1 Emission Factor (kg CO2 - e / GJ) CO2]),0)</f>
        <v>60.2</v>
      </c>
      <c r="I40" s="29">
        <f>IFERROR(_xlfn.XLOOKUP($E40, Table_Fuel_EFs_StationaryGaseous[Fuel combusted], Table_Fuel_EFs_StationaryGaseous[Scope 1 Emission Factor (kg CO2 - e / GJ) CH4]),0)</f>
        <v>0.04</v>
      </c>
      <c r="J40" s="29">
        <f>IFERROR(_xlfn.XLOOKUP($E40, Table_Fuel_EFs_StationaryGaseous[Fuel combusted], Table_Fuel_EFs_StationaryGaseous[Scope 1 Emission Factor (kg CO2 - e / GJ) N2O]),0)</f>
        <v>0.03</v>
      </c>
      <c r="K40" s="29" cm="1">
        <f t="array" ref="K40">IFERROR(Common_InputFunctions.Utility_LookupValueInTableOneColumnAndHeader($P$17,$P$18,Table_Fuel_EFs_StationaryGaseous34[State or territory],Table_Fuel_EFs_StationaryGaseous34[#Headers],Table_Fuel_EFs_StationaryGaseous34[#Data]),0)</f>
        <v>4.0999999999999996</v>
      </c>
      <c r="L40" s="132" cm="1">
        <f t="array" ref="L40">Fuel_InputFunctions.Fuel_TotalConsumption(Table_Input_Fuel[Amount consumed], Table_Input_Fuel[Fuel use (select)], D40, Table_Input_Fuel[Fuel type (select)],F40)</f>
        <v>100</v>
      </c>
      <c r="M40" s="132" t="str" cm="1">
        <f t="array" ref="M40">Common_InputFunctions.Utility_LookupValueInTable(F40,Table_FuelTypes_Units[Fuel type],Table_FuelTypes_Units[Unit])</f>
        <v>GJ</v>
      </c>
      <c r="N40" s="175" cm="1">
        <f t="array" ref="N40">Fuel_Equations.VEERG_8_2_1_1__1_FuelCombustionStationary($L40,$G40,H40)</f>
        <v>6.0200000000000005</v>
      </c>
      <c r="O40" s="175" cm="1">
        <f t="array" ref="O40">Fuel_Equations.VEERG_8_2_1_1__1_FuelCombustionStationary($L40,$G40,I40)</f>
        <v>4.0000000000000001E-3</v>
      </c>
      <c r="P40" s="175" cm="1">
        <f t="array" ref="P40">Fuel_Equations.VEERG_8_2_1_1__1_FuelCombustionStationary($L40,$G40,J40)</f>
        <v>3.0000000000000001E-3</v>
      </c>
      <c r="Q40" s="175" cm="1">
        <f t="array" ref="Q40">Fuel_Equations.VEERG_8_2_1_1__1_FuelCombustionStationary($L40,$G40,IF(ISNUMBER(K40), K40, 0))</f>
        <v>0.41</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168" t="str">
        <f>"Total scope 1 - " &amp; D25</f>
        <v>Total scope 1 - Generators</v>
      </c>
      <c r="E42" s="169"/>
      <c r="F42" s="170"/>
    </row>
    <row r="43" spans="1:17" ht="20.100000000000001" customHeight="1" x14ac:dyDescent="0.25">
      <c r="A43" s="5" t="str">
        <f>HYPERLINK("#'Constants - Fuel'!A1", "Constants - Fuel")</f>
        <v>Constants - Fuel</v>
      </c>
      <c r="D43" s="27" t="s">
        <v>554</v>
      </c>
      <c r="E43" s="171">
        <f>SUM(N25:N31)</f>
        <v>0</v>
      </c>
      <c r="F43" s="32" t="str">
        <f>$E$12</f>
        <v>t CO2-e</v>
      </c>
    </row>
    <row r="44" spans="1:17" ht="20.100000000000001" customHeight="1" x14ac:dyDescent="0.25">
      <c r="A44" s="5" t="str">
        <f>HYPERLINK("#'Constants - Common'!A1", "Constants - Common")</f>
        <v>Constants - Common</v>
      </c>
      <c r="D44" s="27" t="s">
        <v>555</v>
      </c>
      <c r="E44" s="171">
        <f>SUM(O25:O31)</f>
        <v>0</v>
      </c>
      <c r="F44" s="32" t="str">
        <f t="shared" ref="F44:F46" si="2">$E$12</f>
        <v>t CO2-e</v>
      </c>
    </row>
    <row r="45" spans="1:17" ht="20.100000000000001" customHeight="1" x14ac:dyDescent="0.25">
      <c r="A45" s="5" t="str">
        <f>HYPERLINK("#'Acknowledgements'!A1", "Acknowledgements")</f>
        <v>Acknowledgements</v>
      </c>
      <c r="D45" s="27" t="s">
        <v>556</v>
      </c>
      <c r="E45" s="171">
        <f>SUM(P25:P31)</f>
        <v>0</v>
      </c>
      <c r="F45" s="32" t="str">
        <f t="shared" si="2"/>
        <v>t CO2-e</v>
      </c>
    </row>
    <row r="46" spans="1:17" ht="20.100000000000001" customHeight="1" x14ac:dyDescent="0.25">
      <c r="A46" s="5" t="str">
        <f>HYPERLINK("#'Overview'!A1", "Overview")</f>
        <v>Overview</v>
      </c>
      <c r="D46" s="27" t="s">
        <v>557</v>
      </c>
      <c r="E46" s="171">
        <f>SUM(Q25:Q31)</f>
        <v>0</v>
      </c>
      <c r="F46" s="32" t="str">
        <f t="shared" si="2"/>
        <v>t CO2-e</v>
      </c>
    </row>
    <row r="47" spans="1:17" ht="20.100000000000001" customHeight="1" x14ac:dyDescent="0.25">
      <c r="H47" s="128"/>
      <c r="I47" s="128"/>
      <c r="J47" s="128"/>
      <c r="L47" s="128"/>
      <c r="N47" s="128"/>
      <c r="O47" s="128"/>
      <c r="P47" s="128"/>
      <c r="Q47" s="128"/>
    </row>
    <row r="48" spans="1:17" ht="20.100000000000001" customHeight="1" x14ac:dyDescent="0.25">
      <c r="D48" s="168" t="str">
        <f>"Total scope 1 - " &amp; D32</f>
        <v>Total scope 1 - Power standalone machinery or heating</v>
      </c>
      <c r="E48" s="172"/>
      <c r="F48" s="170"/>
      <c r="H48" s="128"/>
      <c r="I48" s="128"/>
      <c r="J48" s="128"/>
      <c r="L48" s="128"/>
      <c r="N48" s="128"/>
      <c r="O48" s="128"/>
      <c r="P48" s="128"/>
      <c r="Q48" s="128"/>
    </row>
    <row r="49" spans="4:17" ht="20.100000000000001" customHeight="1" x14ac:dyDescent="0.25">
      <c r="D49" s="27" t="s">
        <v>554</v>
      </c>
      <c r="E49" s="171">
        <f>SUM(N32:N40)</f>
        <v>29.070800000000002</v>
      </c>
      <c r="F49" s="32" t="str">
        <f t="shared" ref="F49:F52" si="3">$E$12</f>
        <v>t CO2-e</v>
      </c>
      <c r="H49" s="128"/>
      <c r="I49" s="128"/>
      <c r="J49" s="128"/>
      <c r="L49" s="128"/>
      <c r="N49" s="128"/>
      <c r="O49" s="128"/>
      <c r="P49" s="128"/>
      <c r="Q49" s="128"/>
    </row>
    <row r="50" spans="4:17" ht="20.100000000000001" customHeight="1" x14ac:dyDescent="0.25">
      <c r="D50" s="27" t="s">
        <v>555</v>
      </c>
      <c r="E50" s="171">
        <f>SUM(O32:O40)</f>
        <v>7.2400000000000006E-2</v>
      </c>
      <c r="F50" s="32" t="str">
        <f t="shared" si="3"/>
        <v>t CO2-e</v>
      </c>
      <c r="H50" s="128"/>
      <c r="I50" s="128"/>
      <c r="J50" s="128"/>
      <c r="L50" s="128"/>
      <c r="N50" s="128"/>
      <c r="O50" s="128"/>
      <c r="P50" s="128"/>
      <c r="Q50" s="128"/>
    </row>
    <row r="51" spans="4:17" ht="20.100000000000001" customHeight="1" x14ac:dyDescent="0.25">
      <c r="D51" s="27" t="s">
        <v>556</v>
      </c>
      <c r="E51" s="171">
        <f>SUM(P32:P40)</f>
        <v>7.1400000000000005E-2</v>
      </c>
      <c r="F51" s="32" t="str">
        <f t="shared" si="3"/>
        <v>t CO2-e</v>
      </c>
      <c r="H51" s="128"/>
      <c r="I51" s="128"/>
      <c r="J51" s="128"/>
      <c r="L51" s="128"/>
      <c r="N51" s="128"/>
      <c r="O51" s="128"/>
      <c r="P51" s="128"/>
      <c r="Q51" s="128"/>
    </row>
    <row r="52" spans="4:17" ht="20.100000000000001" customHeight="1" x14ac:dyDescent="0.25">
      <c r="D52" s="27" t="s">
        <v>557</v>
      </c>
      <c r="E52" s="171">
        <f>SUM(Q32:Q40)</f>
        <v>6.2923999999999998</v>
      </c>
      <c r="F52" s="32" t="str">
        <f t="shared" si="3"/>
        <v>t CO2-e</v>
      </c>
      <c r="G52" s="128"/>
      <c r="H52" s="128"/>
      <c r="I52" s="128"/>
      <c r="J52" s="128"/>
      <c r="L52" s="128"/>
      <c r="N52" s="128"/>
      <c r="O52" s="128"/>
      <c r="P52" s="128"/>
      <c r="Q52" s="128"/>
    </row>
    <row r="53" spans="4:17" ht="20.100000000000001" customHeight="1" x14ac:dyDescent="0.25">
      <c r="G53" s="128"/>
      <c r="H53" s="128"/>
      <c r="I53" s="128"/>
      <c r="J53" s="128"/>
      <c r="L53" s="128"/>
      <c r="N53" s="128"/>
      <c r="O53" s="128"/>
      <c r="P53" s="128"/>
      <c r="Q53" s="128"/>
    </row>
    <row r="54" spans="4:17" ht="20.100000000000001" customHeight="1" x14ac:dyDescent="0.25">
      <c r="D54" s="168" t="s">
        <v>568</v>
      </c>
      <c r="E54" s="172"/>
      <c r="F54" s="170"/>
      <c r="G54" s="128"/>
      <c r="H54" s="128"/>
      <c r="I54" s="128"/>
      <c r="J54" s="128"/>
      <c r="L54" s="128"/>
      <c r="N54" s="128"/>
      <c r="O54" s="128"/>
      <c r="P54" s="128"/>
      <c r="Q54" s="128"/>
    </row>
    <row r="55" spans="4:17" ht="20.100000000000001" customHeight="1" x14ac:dyDescent="0.25">
      <c r="D55" s="27" t="s">
        <v>554</v>
      </c>
      <c r="E55" s="171">
        <f>E43+E49</f>
        <v>29.070800000000002</v>
      </c>
      <c r="F55" s="32" t="str">
        <f t="shared" ref="F55:F58" si="4">$E$12</f>
        <v>t CO2-e</v>
      </c>
      <c r="G55" s="128"/>
      <c r="H55" s="128"/>
      <c r="I55" s="128"/>
      <c r="J55" s="128"/>
      <c r="L55" s="128"/>
      <c r="N55" s="128"/>
      <c r="O55" s="128"/>
      <c r="P55" s="128"/>
      <c r="Q55" s="128"/>
    </row>
    <row r="56" spans="4:17" ht="20.100000000000001" customHeight="1" x14ac:dyDescent="0.25">
      <c r="D56" s="27" t="s">
        <v>555</v>
      </c>
      <c r="E56" s="171">
        <f>E44+E50</f>
        <v>7.2400000000000006E-2</v>
      </c>
      <c r="F56" s="32" t="str">
        <f t="shared" si="4"/>
        <v>t CO2-e</v>
      </c>
      <c r="H56" s="128"/>
    </row>
    <row r="57" spans="4:17" ht="20.100000000000001" customHeight="1" x14ac:dyDescent="0.25">
      <c r="D57" s="27" t="s">
        <v>556</v>
      </c>
      <c r="E57" s="171">
        <f>E45+E51</f>
        <v>7.1400000000000005E-2</v>
      </c>
      <c r="F57" s="32" t="str">
        <f t="shared" si="4"/>
        <v>t CO2-e</v>
      </c>
      <c r="G57" s="128"/>
      <c r="H57" s="128"/>
      <c r="I57" s="128"/>
      <c r="J57" s="128"/>
      <c r="L57" s="128"/>
      <c r="N57" s="128"/>
      <c r="O57" s="128"/>
      <c r="P57" s="128"/>
      <c r="Q57" s="128"/>
    </row>
    <row r="58" spans="4:17" ht="20.100000000000001" customHeight="1" x14ac:dyDescent="0.25">
      <c r="D58" s="27" t="s">
        <v>557</v>
      </c>
      <c r="E58" s="171">
        <f>E46+E52</f>
        <v>6.2923999999999998</v>
      </c>
      <c r="F58" s="32" t="str">
        <f t="shared" si="4"/>
        <v>t CO2-e</v>
      </c>
      <c r="G58" s="128"/>
      <c r="H58" s="128"/>
      <c r="I58" s="128"/>
      <c r="J58" s="128"/>
      <c r="L58" s="128"/>
      <c r="N58" s="128"/>
      <c r="O58" s="128"/>
      <c r="P58" s="128"/>
      <c r="Q58" s="128"/>
    </row>
    <row r="59" spans="4:17" ht="20.100000000000001" customHeight="1" x14ac:dyDescent="0.25">
      <c r="G59" s="128"/>
      <c r="H59" s="128"/>
      <c r="I59" s="128"/>
      <c r="J59" s="128"/>
      <c r="L59" s="128"/>
      <c r="N59" s="128"/>
      <c r="O59" s="128"/>
      <c r="P59" s="128"/>
      <c r="Q59" s="128"/>
    </row>
    <row r="60" spans="4:17" ht="20.100000000000001" customHeight="1" x14ac:dyDescent="0.25">
      <c r="G60" s="128"/>
      <c r="H60" s="128"/>
      <c r="I60" s="128"/>
      <c r="J60" s="128"/>
      <c r="L60" s="128"/>
      <c r="N60" s="128"/>
      <c r="O60" s="128"/>
      <c r="P60" s="128"/>
      <c r="Q60" s="128"/>
    </row>
    <row r="61" spans="4:17" ht="20.100000000000001" customHeight="1" x14ac:dyDescent="0.25">
      <c r="G61" s="128"/>
      <c r="H61" s="128"/>
      <c r="I61" s="128"/>
      <c r="J61" s="128"/>
      <c r="L61" s="128"/>
      <c r="N61" s="128"/>
      <c r="O61" s="128"/>
      <c r="P61" s="128"/>
      <c r="Q61" s="128"/>
    </row>
    <row r="62" spans="4:17" ht="20.100000000000001" customHeight="1" x14ac:dyDescent="0.25">
      <c r="G62" s="128"/>
      <c r="H62" s="128"/>
      <c r="I62" s="128"/>
      <c r="J62" s="128"/>
      <c r="L62" s="128"/>
      <c r="N62" s="128"/>
      <c r="O62" s="128"/>
      <c r="P62" s="128"/>
      <c r="Q62" s="128"/>
    </row>
    <row r="63" spans="4:17" ht="20.100000000000001" customHeight="1" x14ac:dyDescent="0.25">
      <c r="G63" s="128"/>
      <c r="H63" s="128"/>
      <c r="I63" s="128"/>
      <c r="J63" s="128"/>
      <c r="L63" s="128"/>
      <c r="N63" s="128"/>
      <c r="O63" s="128"/>
      <c r="P63" s="128"/>
      <c r="Q63" s="128"/>
    </row>
    <row r="64" spans="4:17" ht="20.100000000000001" customHeight="1" x14ac:dyDescent="0.25">
      <c r="G64" s="128"/>
      <c r="H64" s="128"/>
      <c r="I64" s="128"/>
      <c r="J64" s="128"/>
      <c r="L64" s="128"/>
      <c r="N64" s="128"/>
      <c r="O64" s="128"/>
      <c r="P64" s="128"/>
      <c r="Q64" s="128"/>
    </row>
    <row r="65" spans="7:17" ht="20.100000000000001" customHeight="1" x14ac:dyDescent="0.25">
      <c r="G65" s="128"/>
      <c r="H65" s="128"/>
      <c r="I65" s="128"/>
      <c r="J65" s="128"/>
      <c r="L65" s="128"/>
      <c r="N65" s="128"/>
      <c r="O65" s="128"/>
      <c r="P65" s="128"/>
      <c r="Q65" s="128"/>
    </row>
    <row r="66" spans="7:17" ht="20.100000000000001" customHeight="1" x14ac:dyDescent="0.25">
      <c r="G66" s="128"/>
      <c r="H66" s="128"/>
      <c r="I66" s="128"/>
      <c r="J66" s="128"/>
      <c r="L66" s="128"/>
      <c r="N66" s="128"/>
      <c r="O66" s="128"/>
      <c r="P66" s="128"/>
      <c r="Q66" s="128"/>
    </row>
    <row r="67" spans="7:17" ht="20.100000000000001" customHeight="1" x14ac:dyDescent="0.25">
      <c r="G67" s="128"/>
    </row>
    <row r="68" spans="7:17" ht="20.100000000000001" customHeight="1" x14ac:dyDescent="0.25">
      <c r="G68" s="128"/>
    </row>
    <row r="69" spans="7:17" ht="20.100000000000001" customHeight="1" x14ac:dyDescent="0.25">
      <c r="G69" s="128"/>
    </row>
    <row r="70" spans="7:17" ht="20.100000000000001" customHeight="1" x14ac:dyDescent="0.25">
      <c r="G70" s="128"/>
    </row>
    <row r="71" spans="7:17" ht="20.100000000000001" customHeight="1" x14ac:dyDescent="0.25">
      <c r="G71" s="12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12456-E024-4A87-B710-FF306D2D7404}">
  <dimension ref="A1:K342"/>
  <sheetViews>
    <sheetView showGridLines="0" topLeftCell="C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44" customFormat="1" ht="30" customHeight="1" x14ac:dyDescent="0.35">
      <c r="A1" s="18" t="e" vm="1">
        <v>#VALUE!</v>
      </c>
      <c r="C1" s="44" t="s">
        <v>504</v>
      </c>
    </row>
    <row r="2" spans="1:11" s="3" customFormat="1" ht="20.100000000000001" customHeight="1" x14ac:dyDescent="0.25">
      <c r="A2"/>
    </row>
    <row r="3" spans="1:11" ht="20.100000000000001" customHeight="1" x14ac:dyDescent="0.25">
      <c r="A3" s="5" t="str">
        <f>HYPERLINK("#'Home'!A1", "Home")</f>
        <v>Home</v>
      </c>
      <c r="C3" s="45"/>
      <c r="D3" s="45" t="s">
        <v>75</v>
      </c>
      <c r="E3" s="45"/>
      <c r="F3" s="45"/>
      <c r="G3" s="45"/>
      <c r="H3" s="45"/>
      <c r="I3" s="45"/>
      <c r="J3" s="45"/>
      <c r="K3" s="45"/>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46" t="str" cm="1">
        <f t="array" ref="D6">Electricity_Equations.VEERG_14_1_1__1_LocationBasedScopeElectricityEmissions_Source()</f>
        <v>VEERG 2026: 14.1.1, Equation (1)</v>
      </c>
    </row>
    <row r="7" spans="1:11" ht="20.100000000000001" customHeight="1" x14ac:dyDescent="0.25">
      <c r="A7" s="7" t="s">
        <v>0</v>
      </c>
      <c r="D7" s="71"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47" t="s">
        <v>77</v>
      </c>
      <c r="E8" s="47"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48" t="s">
        <v>79</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48" t="s">
        <v>80</v>
      </c>
      <c r="E12" s="17"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50" t="str" cm="1">
        <f t="array" ref="D14:E16">_xlfn.CHOOSECOLS(Electricity_Equations.VEERG_14_1_1__1_LocationBasedScopeElectricityEmissions_Arguments(),1,2)</f>
        <v>Q_elec</v>
      </c>
      <c r="E14" s="51" t="str">
        <v>amount of electricity purchased from the grid</v>
      </c>
      <c r="F14" s="53"/>
      <c r="G14" s="50" t="str" cm="1">
        <f t="array" ref="G14:H16">_xlfn.CHOOSECOLS(Electricity_Equations.VEERG_14_1_1__1_LocationBasedScopeElectricityEmissions_Arguments(),3,4)</f>
        <v>kWh</v>
      </c>
      <c r="H14" s="54" t="str">
        <v>Input</v>
      </c>
      <c r="I14" s="51">
        <f>X_Cell_Electricity_Location_AmountPurchasedInkWh</f>
        <v>30000</v>
      </c>
      <c r="J14" s="53"/>
    </row>
    <row r="15" spans="1:11" ht="20.100000000000001" customHeight="1" x14ac:dyDescent="0.25">
      <c r="A15" s="5" t="str">
        <f>HYPERLINK("#'Input - Electricity'!A1", "Electricity")</f>
        <v>Electricity</v>
      </c>
      <c r="D15" s="50" t="str">
        <v>EF_2elec</v>
      </c>
      <c r="E15" s="51" t="str">
        <v>location-based Scope 2 emission factor for electricity</v>
      </c>
      <c r="F15" s="53"/>
      <c r="G15" s="50" t="str">
        <v>kg CO2e/kWh</v>
      </c>
      <c r="H15" s="55" t="str">
        <v>Constant</v>
      </c>
      <c r="I15" s="51" cm="1">
        <f t="array" ref="I15">Common_InputFunctions.Utility_LookupValueInTableNumber(I16,Table_SourceData_ElectricityEFs[State, Territory or grid description],Table_SourceData_ElectricityEFs[Scope 2 Emission Factors (kg CO2-e/kWh)])</f>
        <v>0.56000000000000005</v>
      </c>
      <c r="J15" s="53"/>
    </row>
    <row r="16" spans="1:11" ht="20.100000000000001" customHeight="1" x14ac:dyDescent="0.25">
      <c r="D16" s="50" t="str">
        <v>g</v>
      </c>
      <c r="E16" s="51" t="str">
        <v>Grid electricity was purchased from</v>
      </c>
      <c r="F16" s="53"/>
      <c r="G16" s="50" t="str">
        <v/>
      </c>
      <c r="H16" s="54" t="str">
        <v>Input</v>
      </c>
      <c r="I16" s="51" t="str">
        <f>X_Cell_Electricity_Location_GridElectricityPurchasedFrom</f>
        <v>Western Australia - North Western Interconnected System (NWIS)</v>
      </c>
      <c r="J16" s="53"/>
    </row>
    <row r="17" spans="1:11" ht="20.100000000000001" customHeight="1" x14ac:dyDescent="0.25"/>
    <row r="18" spans="1:11" ht="20.100000000000001" customHeight="1" x14ac:dyDescent="0.25">
      <c r="A18" s="6" t="s">
        <v>3</v>
      </c>
      <c r="D18" s="62" t="s">
        <v>505</v>
      </c>
      <c r="E18" s="63" cm="1">
        <f t="array" ref="E18">Electricity_Equations.VEERG_14_1_1__1_LocationBasedScopeElectricityEmissions(I14,I15)</f>
        <v>16.8</v>
      </c>
      <c r="F18" s="64"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61"/>
      <c r="D21" s="61"/>
      <c r="E21" s="61"/>
      <c r="F21" s="61"/>
      <c r="G21" s="61"/>
      <c r="H21" s="61"/>
      <c r="I21" s="61"/>
      <c r="J21" s="61"/>
      <c r="K21" s="61"/>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46"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71"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47" t="s">
        <v>77</v>
      </c>
      <c r="E25" s="47"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48" t="s">
        <v>79</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48" t="s">
        <v>80</v>
      </c>
      <c r="E29" s="17"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50" t="str" cm="1">
        <f t="array" ref="D31:E37">_xlfn.CHOOSECOLS(Electricity_Equations.VEERG_14_1_2__1_MarketBasedScopeElectricityEmissions_Arguments(),1,2)</f>
        <v>Q_elec</v>
      </c>
      <c r="E31" s="51" t="str">
        <v>amount of electricity purchased from the grid</v>
      </c>
      <c r="F31" s="52"/>
      <c r="G31" s="52"/>
      <c r="H31" s="50" t="str" cm="1">
        <f t="array" ref="H31:I37">_xlfn.CHOOSECOLS(Electricity_Equations.VEERG_14_1_2__1_MarketBasedScopeElectricityEmissions_Arguments(),3,4)</f>
        <v>kWh</v>
      </c>
      <c r="I31" s="54" t="str">
        <v>Input</v>
      </c>
      <c r="J31" s="50">
        <f>X_Cell_Electricity_Market_AmountPurchasedExcludingGreenPower</f>
        <v>30000</v>
      </c>
    </row>
    <row r="32" spans="1:11" ht="20.100000000000001" customHeight="1" x14ac:dyDescent="0.25">
      <c r="A32" s="5" t="str">
        <f>HYPERLINK("#'8.1.1.1-2 Transport fuel'!A1", "8.1.1.1-2 Transport fuel")</f>
        <v>8.1.1.1-2 Transport fuel</v>
      </c>
      <c r="D32" s="50" t="str">
        <v>RPP</v>
      </c>
      <c r="E32" s="51" t="str">
        <v>Renewable Power Percentage under the Large-scale Renewable Energy Target (LRET)</v>
      </c>
      <c r="F32" s="52"/>
      <c r="G32" s="52"/>
      <c r="H32" s="50" t="str">
        <v>per cent</v>
      </c>
      <c r="I32" s="54" t="str">
        <v>Input</v>
      </c>
      <c r="J32" s="145">
        <f>X_Cell_Electricity_Market_RenewablePowerPercentage</f>
        <v>0.1</v>
      </c>
    </row>
    <row r="33" spans="1:10" ht="20.100000000000001" customHeight="1" x14ac:dyDescent="0.25">
      <c r="A33" s="5" t="str">
        <f>HYPERLINK("#'8.2.1.1-2 Stationary fuel'!A1", "8.2.1.1-2 Stationary fuel")</f>
        <v>8.2.1.1-2 Stationary fuel</v>
      </c>
      <c r="D33" s="50" t="str">
        <v>JRPP</v>
      </c>
      <c r="E33" s="51" t="str">
        <v>jurisdictional renewable power percentage for the applicable period (ACT only)</v>
      </c>
      <c r="F33" s="52"/>
      <c r="G33" s="52"/>
      <c r="H33" s="50" t="str">
        <v>per cent</v>
      </c>
      <c r="I33" s="54" t="str">
        <v>Input</v>
      </c>
      <c r="J33" s="145" t="str">
        <f>IF(J37="ACT", X_Cell_Electricity_Market_JurisdictionalRenewablePowerPercentage, "N/A")</f>
        <v>N/A</v>
      </c>
    </row>
    <row r="34" spans="1:10" ht="20.100000000000001" customHeight="1" x14ac:dyDescent="0.25">
      <c r="A34" s="49" t="str">
        <f>HYPERLINK("#'14.1.1-2 Purchased electricity'!A1", "14.1.1-2 Purchased electricity")</f>
        <v>14.1.1-2 Purchased electricity</v>
      </c>
      <c r="D34" s="50" t="str">
        <v>REC_surrendered</v>
      </c>
      <c r="E34" s="51" t="str">
        <v>Renewable Energy Certificates voluntarily surrendered in the reporting year</v>
      </c>
      <c r="F34" s="52"/>
      <c r="G34" s="52"/>
      <c r="H34" s="50" t="str">
        <v>MWh</v>
      </c>
      <c r="I34" s="54" t="str">
        <v>Input</v>
      </c>
      <c r="J34" s="50">
        <f>(X_Cell_Electricity_Market_AmountPurchasedGreenPower*10^-3)+X_Cell_TotalElegibleVoluntarilySurrenderedRECs</f>
        <v>20</v>
      </c>
    </row>
    <row r="35" spans="1:10" ht="20.100000000000001" customHeight="1" x14ac:dyDescent="0.25">
      <c r="D35" s="50" t="str">
        <v>REC_onsite</v>
      </c>
      <c r="E35" s="51" t="str">
        <v>Renewable Energy Certificates issued for electricity produced on-site during the year and consumed by the entity</v>
      </c>
      <c r="F35" s="52"/>
      <c r="G35" s="52"/>
      <c r="H35" s="50" t="str">
        <v>MWh</v>
      </c>
      <c r="I35" s="54" t="str">
        <v>Input</v>
      </c>
      <c r="J35" s="50">
        <f>X_Cell_TotalElegibleRECsForElectricityProducedOnSite</f>
        <v>11</v>
      </c>
    </row>
    <row r="36" spans="1:10" ht="20.100000000000001" customHeight="1" x14ac:dyDescent="0.25">
      <c r="D36" s="50" t="str">
        <v>EF_RMF2elec</v>
      </c>
      <c r="E36" s="51" t="str">
        <v>Scope 2 residual mix emission factor for electricity</v>
      </c>
      <c r="F36" s="52"/>
      <c r="G36" s="52"/>
      <c r="H36" s="50" t="str">
        <v>kg CO2e/kWh</v>
      </c>
      <c r="I36" s="55" t="str">
        <v>Constant</v>
      </c>
      <c r="J36" s="50" cm="1">
        <f t="array" ref="J36">Table_SourceData_ElectricityEFsMarketBased[Scope 2 EF (kg CO2-e/kWh)]</f>
        <v>0.81</v>
      </c>
    </row>
    <row r="37" spans="1:10" ht="20.100000000000001" customHeight="1" x14ac:dyDescent="0.25">
      <c r="A37" s="243" t="s">
        <v>1</v>
      </c>
      <c r="D37" s="50" t="str">
        <v>i</v>
      </c>
      <c r="E37" s="51" t="str">
        <v>state</v>
      </c>
      <c r="F37" s="52"/>
      <c r="G37" s="53"/>
      <c r="H37" s="50" t="str">
        <v/>
      </c>
      <c r="I37" s="54" t="str">
        <v>Input</v>
      </c>
      <c r="J37" s="50" t="str">
        <f>X_Cell_Site_State</f>
        <v>Western Australia</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62" t="s">
        <v>505</v>
      </c>
      <c r="E39" s="63" cm="1">
        <f t="array" ref="E39">Electricity_Equations.VEERG_14_1_2__1_MarketBasedScopeElectricityEmissionsVariation(J31,J32,IF(ISNUMBER(J33), J33, 0),J34,J35,J36)</f>
        <v>14.580000000000002</v>
      </c>
      <c r="F39" s="64" t="str">
        <f>E29</f>
        <v>t CO2e</v>
      </c>
    </row>
    <row r="40" spans="1:10" ht="20.100000000000001" customHeight="1" x14ac:dyDescent="0.25">
      <c r="A40" s="5" t="str">
        <f>HYPERLINK("#'Constants - Livestock'!A1", "Constants - Livestock")</f>
        <v>Constants - Livestock</v>
      </c>
      <c r="H40" s="1" t="s">
        <v>500</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0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81061F1A-641A-4EC2-8BC1-01E3094D8FFB}"/>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4C929-826C-4706-B6FB-0D453A9C0B7D}">
  <dimension ref="A1:V454"/>
  <sheetViews>
    <sheetView showGridLines="0" topLeftCell="A34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44" customFormat="1" ht="30" customHeight="1" x14ac:dyDescent="0.35">
      <c r="A1" s="18" t="e" vm="1">
        <v>#VALUE!</v>
      </c>
      <c r="C1" s="44" t="s">
        <v>123</v>
      </c>
    </row>
    <row r="2" spans="1:21" s="3" customFormat="1" ht="20.100000000000001" customHeight="1" x14ac:dyDescent="0.25">
      <c r="A2"/>
    </row>
    <row r="3" spans="1:21"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row>
    <row r="4" spans="1:21" ht="20.100000000000001" customHeight="1" x14ac:dyDescent="0.25">
      <c r="A4" s="5" t="str">
        <f>HYPERLINK("#'Results'!A1", "Results")</f>
        <v>Results</v>
      </c>
      <c r="M4" s="8"/>
    </row>
    <row r="5" spans="1:21" ht="20.100000000000001" customHeight="1" x14ac:dyDescent="0.25">
      <c r="D5" s="2" t="s">
        <v>124</v>
      </c>
      <c r="G5" s="2" t="s">
        <v>125</v>
      </c>
      <c r="M5" s="1" t="s">
        <v>126</v>
      </c>
      <c r="O5" s="1" t="s">
        <v>127</v>
      </c>
      <c r="Q5" s="1" t="s">
        <v>128</v>
      </c>
      <c r="S5" s="1" t="s">
        <v>129</v>
      </c>
    </row>
    <row r="6" spans="1:21" ht="20.100000000000001" customHeight="1" x14ac:dyDescent="0.25">
      <c r="M6" s="1"/>
    </row>
    <row r="7" spans="1:21" ht="20.100000000000001" customHeight="1" x14ac:dyDescent="0.25">
      <c r="A7" s="7" t="s">
        <v>0</v>
      </c>
      <c r="D7" s="68" t="s">
        <v>130</v>
      </c>
      <c r="G7" s="68" t="s">
        <v>131</v>
      </c>
      <c r="M7" t="s">
        <v>132</v>
      </c>
      <c r="O7" s="68" t="s">
        <v>132</v>
      </c>
      <c r="Q7" s="68" t="s">
        <v>132</v>
      </c>
      <c r="S7" s="68" t="s">
        <v>132</v>
      </c>
    </row>
    <row r="8" spans="1:21" ht="20.100000000000001" customHeight="1" x14ac:dyDescent="0.25">
      <c r="A8" s="5" t="str">
        <f>HYPERLINK("#'Input - Enterprise'!A1", "Enterprise")</f>
        <v>Enterprise</v>
      </c>
      <c r="D8" s="68" t="str">
        <f>'Constants - Common'!$F$187</f>
        <v>Pasture</v>
      </c>
      <c r="G8" s="68" t="s">
        <v>73</v>
      </c>
      <c r="M8" s="68" t="s">
        <v>24</v>
      </c>
      <c r="O8" s="68" t="s">
        <v>133</v>
      </c>
      <c r="Q8" s="68" t="s">
        <v>134</v>
      </c>
      <c r="S8" s="68" t="s">
        <v>135</v>
      </c>
    </row>
    <row r="9" spans="1:21" ht="20.100000000000001" customHeight="1" x14ac:dyDescent="0.25">
      <c r="A9" s="5" t="str">
        <f>HYPERLINK("#'Input - Site'!A1", "Site")</f>
        <v>Site</v>
      </c>
      <c r="D9" s="1" t="str">
        <f>'Constants - Common'!$F$188</f>
        <v>Crop</v>
      </c>
      <c r="G9" s="68" t="s">
        <v>136</v>
      </c>
      <c r="M9" s="68" t="s">
        <v>137</v>
      </c>
      <c r="O9" s="68" t="s">
        <v>138</v>
      </c>
      <c r="Q9" s="68" t="s">
        <v>139</v>
      </c>
    </row>
    <row r="10" spans="1:21" ht="20.100000000000001" customHeight="1" x14ac:dyDescent="0.25">
      <c r="A10" s="5" t="str">
        <f>HYPERLINK("#'Input - Pasture Beef'!A1", "Pasture Beef")</f>
        <v>Pasture Beef</v>
      </c>
      <c r="G10" s="1" t="s">
        <v>140</v>
      </c>
      <c r="M10" s="68" t="s">
        <v>141</v>
      </c>
      <c r="O10" s="68" t="s">
        <v>142</v>
      </c>
      <c r="Q10" s="68" t="s">
        <v>143</v>
      </c>
      <c r="S10" s="1" t="s">
        <v>144</v>
      </c>
    </row>
    <row r="11" spans="1:21" ht="20.100000000000001" customHeight="1" x14ac:dyDescent="0.25">
      <c r="A11" s="5" t="str">
        <f>HYPERLINK("#'Input - Pasture Beef (Enteric)'!A1", "Pasture Beef (Enteric)")</f>
        <v>Pasture Beef (Enteric)</v>
      </c>
      <c r="G11" s="1" t="s">
        <v>145</v>
      </c>
      <c r="M11" s="1"/>
      <c r="Q11" s="68" t="s">
        <v>146</v>
      </c>
    </row>
    <row r="12" spans="1:21" ht="20.100000000000001" customHeight="1" x14ac:dyDescent="0.25">
      <c r="A12" s="5" t="str">
        <f>HYPERLINK("#'Input - Pasture'!A1", "Pasture")</f>
        <v>Pasture</v>
      </c>
      <c r="G12" s="1" t="s">
        <v>147</v>
      </c>
      <c r="M12" s="1"/>
      <c r="S12" s="68" t="s">
        <v>132</v>
      </c>
    </row>
    <row r="13" spans="1:21" ht="20.100000000000001" customHeight="1" x14ac:dyDescent="0.25">
      <c r="A13" s="5" t="str">
        <f>HYPERLINK("#'Input - Fertiliser'!A1", "Fertiliser")</f>
        <v>Fertiliser</v>
      </c>
      <c r="M13" s="1"/>
      <c r="S13" s="68" t="s">
        <v>135</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46" t="str" cm="1">
        <f t="array" ref="D15">SourceData_PastureBeef.SourceData_PastureBeef_Liveweight_Source()</f>
        <v>VEERG 2026: Table A.1.2.1</v>
      </c>
      <c r="M15" s="1"/>
      <c r="S15" s="1" t="s">
        <v>148</v>
      </c>
    </row>
    <row r="16" spans="1:21" ht="20.100000000000001" customHeight="1" x14ac:dyDescent="0.25">
      <c r="D16" s="1" t="str" cm="1">
        <f t="array" ref="D16">SourceData_PastureBeef.SourceData_PastureBeef_Liveweight_Variable()</f>
        <v>Wjkl</v>
      </c>
      <c r="M16" s="1"/>
    </row>
    <row r="17" spans="1:19" ht="20.100000000000001" customHeight="1" x14ac:dyDescent="0.25">
      <c r="D17" s="17" t="str" cm="1">
        <f t="array" ref="D17">SourceData_PastureBeef.SourceData_PastureBeef_Liveweight_Unit()</f>
        <v>kg</v>
      </c>
      <c r="M17" s="1"/>
      <c r="S17" s="68" t="s">
        <v>132</v>
      </c>
    </row>
    <row r="18" spans="1:19" ht="20.100000000000001" customHeight="1" x14ac:dyDescent="0.25">
      <c r="A18" s="6" t="s">
        <v>3</v>
      </c>
      <c r="D18" s="68" t="s">
        <v>22</v>
      </c>
      <c r="E18" s="68" t="s">
        <v>132</v>
      </c>
      <c r="F18" s="68" t="s">
        <v>84</v>
      </c>
      <c r="G18" s="68" t="s">
        <v>149</v>
      </c>
      <c r="H18" s="68" t="s">
        <v>150</v>
      </c>
      <c r="I18" s="68" t="s">
        <v>151</v>
      </c>
      <c r="J18" s="68" t="s">
        <v>152</v>
      </c>
      <c r="K18" s="68" t="s">
        <v>153</v>
      </c>
      <c r="L18" s="68" t="s">
        <v>154</v>
      </c>
      <c r="M18" s="68" t="s">
        <v>155</v>
      </c>
      <c r="S18" s="68" t="s">
        <v>135</v>
      </c>
    </row>
    <row r="19" spans="1:19" ht="20.100000000000001" customHeight="1" x14ac:dyDescent="0.25">
      <c r="A19" s="5" t="str">
        <f>HYPERLINK("#'3.2.1.1-2 Enteric Methane'!A1", "3.2.1.1-2 Enteric methane")</f>
        <v>3.2.1.1-2 Enteric methane</v>
      </c>
      <c r="D19" s="68" t="str" cm="1">
        <f t="array" ref="D19">Common_InputFunctions.Utility_DisplayArrayInTable(SourceData_PastureBeef.SourceData_PastureBeef_Liveweight_Data(), Table_SourceData_PastureBeef_Liveweight[[#Headers],[State]], 0)</f>
        <v>ACT/NSW</v>
      </c>
      <c r="E19" s="68" t="str" cm="1">
        <f t="array" ref="E19">Common_InputFunctions.Utility_DisplayArrayInTable(SourceData_PastureBeef.SourceData_PastureBeef_Liveweight_Data(), Table_SourceData_PastureBeef_Liveweight[[#Headers],[State]], 0)</f>
        <v>n/a</v>
      </c>
      <c r="F19" s="68" t="str" cm="1">
        <f t="array" ref="F19">Common_InputFunctions.Utility_DisplayArrayInTable(SourceData_PastureBeef.SourceData_PastureBeef_Liveweight_Data(), Table_SourceData_PastureBeef_Liveweight[[#Headers],[State]], 0)</f>
        <v>Spring</v>
      </c>
      <c r="G19" s="68" cm="1">
        <f t="array" ref="G19">Common_InputFunctions.Utility_DisplayArrayInTable(SourceData_PastureBeef.SourceData_PastureBeef_Liveweight_Data(), Table_SourceData_PastureBeef_Liveweight[[#Headers],[State]], 0)</f>
        <v>80</v>
      </c>
      <c r="H19" s="68" cm="1">
        <f t="array" ref="H19">Common_InputFunctions.Utility_DisplayArrayInTable(SourceData_PastureBeef.SourceData_PastureBeef_Liveweight_Data(), Table_SourceData_PastureBeef_Liveweight[[#Headers],[State]], 0)</f>
        <v>480</v>
      </c>
      <c r="I19" s="68" cm="1">
        <f t="array" ref="I19">Common_InputFunctions.Utility_DisplayArrayInTable(SourceData_PastureBeef.SourceData_PastureBeef_Liveweight_Data(), Table_SourceData_PastureBeef_Liveweight[[#Headers],[State]], 0)</f>
        <v>75</v>
      </c>
      <c r="J19" s="68" cm="1">
        <f t="array" ref="J19">Common_InputFunctions.Utility_DisplayArrayInTable(SourceData_PastureBeef.SourceData_PastureBeef_Liveweight_Data(), Table_SourceData_PastureBeef_Liveweight[[#Headers],[State]], 0)</f>
        <v>300</v>
      </c>
      <c r="K19" s="68" cm="1">
        <f t="array" ref="K19">Common_InputFunctions.Utility_DisplayArrayInTable(SourceData_PastureBeef.SourceData_PastureBeef_Liveweight_Data(), Table_SourceData_PastureBeef_Liveweight[[#Headers],[State]], 0)</f>
        <v>440</v>
      </c>
      <c r="L19" s="68" cm="1">
        <f t="array" ref="L19">Common_InputFunctions.Utility_DisplayArrayInTable(SourceData_PastureBeef.SourceData_PastureBeef_Liveweight_Data(), Table_SourceData_PastureBeef_Liveweight[[#Headers],[State]], 0)</f>
        <v>75</v>
      </c>
      <c r="M19" s="68" cm="1">
        <f t="array" ref="M19">Common_InputFunctions.Utility_DisplayArrayInTable(SourceData_PastureBeef.SourceData_PastureBeef_Liveweight_Data(), Table_SourceData_PastureBeef_Liveweight[[#Headers],[State]], 0)</f>
        <v>380</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68" t="str" cm="1">
        <f t="array" ref="E20">Common_InputFunctions.Utility_DisplayArrayInTable(SourceData_PastureBeef.SourceData_PastureBeef_Liveweight_Data(), Table_SourceData_PastureBeef_Liveweight[[#Headers],[State]], 0)</f>
        <v>n/a</v>
      </c>
      <c r="F20" s="68" t="str" cm="1">
        <f t="array" ref="F20">Common_InputFunctions.Utility_DisplayArrayInTable(SourceData_PastureBeef.SourceData_PastureBeef_Liveweight_Data(), Table_SourceData_PastureBeef_Liveweight[[#Headers],[State]], 0)</f>
        <v>Summer</v>
      </c>
      <c r="G20" s="68" cm="1">
        <f t="array" ref="G20">Common_InputFunctions.Utility_DisplayArrayInTable(SourceData_PastureBeef.SourceData_PastureBeef_Liveweight_Data(), Table_SourceData_PastureBeef_Liveweight[[#Headers],[State]], 0)</f>
        <v>170</v>
      </c>
      <c r="H20" s="68" cm="1">
        <f t="array" ref="H20">Common_InputFunctions.Utility_DisplayArrayInTable(SourceData_PastureBeef.SourceData_PastureBeef_Liveweight_Data(), Table_SourceData_PastureBeef_Liveweight[[#Headers],[State]], 0)</f>
        <v>520</v>
      </c>
      <c r="I20" s="68" cm="1">
        <f t="array" ref="I20">Common_InputFunctions.Utility_DisplayArrayInTable(SourceData_PastureBeef.SourceData_PastureBeef_Liveweight_Data(), Table_SourceData_PastureBeef_Liveweight[[#Headers],[State]], 0)</f>
        <v>160</v>
      </c>
      <c r="J20" s="68" cm="1">
        <f t="array" ref="J20">Common_InputFunctions.Utility_DisplayArrayInTable(SourceData_PastureBeef.SourceData_PastureBeef_Liveweight_Data(), Table_SourceData_PastureBeef_Liveweight[[#Headers],[State]], 0)</f>
        <v>360</v>
      </c>
      <c r="K20" s="68" cm="1">
        <f t="array" ref="K20">Common_InputFunctions.Utility_DisplayArrayInTable(SourceData_PastureBeef.SourceData_PastureBeef_Liveweight_Data(), Table_SourceData_PastureBeef_Liveweight[[#Headers],[State]], 0)</f>
        <v>470</v>
      </c>
      <c r="L20" s="68" cm="1">
        <f t="array" ref="L20">Common_InputFunctions.Utility_DisplayArrayInTable(SourceData_PastureBeef.SourceData_PastureBeef_Liveweight_Data(), Table_SourceData_PastureBeef_Liveweight[[#Headers],[State]], 0)</f>
        <v>160</v>
      </c>
      <c r="M20" s="68" cm="1">
        <f t="array" ref="M20">Common_InputFunctions.Utility_DisplayArrayInTable(SourceData_PastureBeef.SourceData_PastureBeef_Liveweight_Data(), Table_SourceData_PastureBeef_Liveweight[[#Headers],[State]], 0)</f>
        <v>420</v>
      </c>
      <c r="S20" s="1" t="s">
        <v>156</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68" t="str" cm="1">
        <f t="array" ref="E21">Common_InputFunctions.Utility_DisplayArrayInTable(SourceData_PastureBeef.SourceData_PastureBeef_Liveweight_Data(), Table_SourceData_PastureBeef_Liveweight[[#Headers],[State]], 0)</f>
        <v>n/a</v>
      </c>
      <c r="F21" s="68" t="str" cm="1">
        <f t="array" ref="F21">Common_InputFunctions.Utility_DisplayArrayInTable(SourceData_PastureBeef.SourceData_PastureBeef_Liveweight_Data(), Table_SourceData_PastureBeef_Liveweight[[#Headers],[State]], 0)</f>
        <v>Autumn</v>
      </c>
      <c r="G21" s="68" cm="1">
        <f t="array" ref="G21">Common_InputFunctions.Utility_DisplayArrayInTable(SourceData_PastureBeef.SourceData_PastureBeef_Liveweight_Data(), Table_SourceData_PastureBeef_Liveweight[[#Headers],[State]], 0)</f>
        <v>240</v>
      </c>
      <c r="H21" s="68" cm="1">
        <f t="array" ref="H21">Common_InputFunctions.Utility_DisplayArrayInTable(SourceData_PastureBeef.SourceData_PastureBeef_Liveweight_Data(), Table_SourceData_PastureBeef_Liveweight[[#Headers],[State]], 0)</f>
        <v>550</v>
      </c>
      <c r="I21" s="68" cm="1">
        <f t="array" ref="I21">Common_InputFunctions.Utility_DisplayArrayInTable(SourceData_PastureBeef.SourceData_PastureBeef_Liveweight_Data(), Table_SourceData_PastureBeef_Liveweight[[#Headers],[State]], 0)</f>
        <v>220</v>
      </c>
      <c r="J21" s="68" cm="1">
        <f t="array" ref="J21">Common_InputFunctions.Utility_DisplayArrayInTable(SourceData_PastureBeef.SourceData_PastureBeef_Liveweight_Data(), Table_SourceData_PastureBeef_Liveweight[[#Headers],[State]], 0)</f>
        <v>390</v>
      </c>
      <c r="K21" s="68" cm="1">
        <f t="array" ref="K21">Common_InputFunctions.Utility_DisplayArrayInTable(SourceData_PastureBeef.SourceData_PastureBeef_Liveweight_Data(), Table_SourceData_PastureBeef_Liveweight[[#Headers],[State]], 0)</f>
        <v>490</v>
      </c>
      <c r="L21" s="68" cm="1">
        <f t="array" ref="L21">Common_InputFunctions.Utility_DisplayArrayInTable(SourceData_PastureBeef.SourceData_PastureBeef_Liveweight_Data(), Table_SourceData_PastureBeef_Liveweight[[#Headers],[State]], 0)</f>
        <v>220</v>
      </c>
      <c r="M21" s="68" cm="1">
        <f t="array" ref="M21">Common_InputFunctions.Utility_DisplayArrayInTable(SourceData_PastureBeef.SourceData_PastureBeef_Liveweight_Data(), Table_SourceData_PastureBeef_Liveweight[[#Headers],[State]], 0)</f>
        <v>450</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68" t="str" cm="1">
        <f t="array" ref="E22">Common_InputFunctions.Utility_DisplayArrayInTable(SourceData_PastureBeef.SourceData_PastureBeef_Liveweight_Data(), Table_SourceData_PastureBeef_Liveweight[[#Headers],[State]], 0)</f>
        <v>n/a</v>
      </c>
      <c r="F22" s="68" t="str" cm="1">
        <f t="array" ref="F22">Common_InputFunctions.Utility_DisplayArrayInTable(SourceData_PastureBeef.SourceData_PastureBeef_Liveweight_Data(), Table_SourceData_PastureBeef_Liveweight[[#Headers],[State]], 0)</f>
        <v>Winter</v>
      </c>
      <c r="G22" s="68" cm="1">
        <f t="array" ref="G22">Common_InputFunctions.Utility_DisplayArrayInTable(SourceData_PastureBeef.SourceData_PastureBeef_Liveweight_Data(), Table_SourceData_PastureBeef_Liveweight[[#Headers],[State]], 0)</f>
        <v>280</v>
      </c>
      <c r="H22" s="68" cm="1">
        <f t="array" ref="H22">Common_InputFunctions.Utility_DisplayArrayInTable(SourceData_PastureBeef.SourceData_PastureBeef_Liveweight_Data(), Table_SourceData_PastureBeef_Liveweight[[#Headers],[State]], 0)</f>
        <v>560</v>
      </c>
      <c r="I22" s="68" cm="1">
        <f t="array" ref="I22">Common_InputFunctions.Utility_DisplayArrayInTable(SourceData_PastureBeef.SourceData_PastureBeef_Liveweight_Data(), Table_SourceData_PastureBeef_Liveweight[[#Headers],[State]], 0)</f>
        <v>260</v>
      </c>
      <c r="J22" s="68" cm="1">
        <f t="array" ref="J22">Common_InputFunctions.Utility_DisplayArrayInTable(SourceData_PastureBeef.SourceData_PastureBeef_Liveweight_Data(), Table_SourceData_PastureBeef_Liveweight[[#Headers],[State]], 0)</f>
        <v>410</v>
      </c>
      <c r="K22" s="68" cm="1">
        <f t="array" ref="K22">Common_InputFunctions.Utility_DisplayArrayInTable(SourceData_PastureBeef.SourceData_PastureBeef_Liveweight_Data(), Table_SourceData_PastureBeef_Liveweight[[#Headers],[State]], 0)</f>
        <v>500</v>
      </c>
      <c r="L22" s="68" cm="1">
        <f t="array" ref="L22">Common_InputFunctions.Utility_DisplayArrayInTable(SourceData_PastureBeef.SourceData_PastureBeef_Liveweight_Data(), Table_SourceData_PastureBeef_Liveweight[[#Headers],[State]], 0)</f>
        <v>260</v>
      </c>
      <c r="M22" s="68" cm="1">
        <f t="array" ref="M22">Common_InputFunctions.Utility_DisplayArrayInTable(SourceData_PastureBeef.SourceData_PastureBeef_Liveweight_Data(), Table_SourceData_PastureBeef_Liveweight[[#Headers],[State]], 0)</f>
        <v>460</v>
      </c>
      <c r="S22" s="68" t="s">
        <v>132</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68" t="str" cm="1">
        <f t="array" ref="E23">Common_InputFunctions.Utility_DisplayArrayInTable(SourceData_PastureBeef.SourceData_PastureBeef_Liveweight_Data(), Table_SourceData_PastureBeef_Liveweight[[#Headers],[State]], 0)</f>
        <v>n/a</v>
      </c>
      <c r="F23" s="68" t="str" cm="1">
        <f t="array" ref="F23">Common_InputFunctions.Utility_DisplayArrayInTable(SourceData_PastureBeef.SourceData_PastureBeef_Liveweight_Data(), Table_SourceData_PastureBeef_Liveweight[[#Headers],[State]], 0)</f>
        <v>Spring</v>
      </c>
      <c r="G23" s="68" cm="1">
        <f t="array" ref="G23">Common_InputFunctions.Utility_DisplayArrayInTable(SourceData_PastureBeef.SourceData_PastureBeef_Liveweight_Data(), Table_SourceData_PastureBeef_Liveweight[[#Headers],[State]], 0)</f>
        <v>250</v>
      </c>
      <c r="H23" s="68" cm="1">
        <f t="array" ref="H23">Common_InputFunctions.Utility_DisplayArrayInTable(SourceData_PastureBeef.SourceData_PastureBeef_Liveweight_Data(), Table_SourceData_PastureBeef_Liveweight[[#Headers],[State]], 0)</f>
        <v>800</v>
      </c>
      <c r="I23" s="68" cm="1">
        <f t="array" ref="I23">Common_InputFunctions.Utility_DisplayArrayInTable(SourceData_PastureBeef.SourceData_PastureBeef_Liveweight_Data(), Table_SourceData_PastureBeef_Liveweight[[#Headers],[State]], 0)</f>
        <v>220</v>
      </c>
      <c r="J23" s="68" cm="1">
        <f t="array" ref="J23">Common_InputFunctions.Utility_DisplayArrayInTable(SourceData_PastureBeef.SourceData_PastureBeef_Liveweight_Data(), Table_SourceData_PastureBeef_Liveweight[[#Headers],[State]], 0)</f>
        <v>400</v>
      </c>
      <c r="K23" s="68" cm="1">
        <f t="array" ref="K23">Common_InputFunctions.Utility_DisplayArrayInTable(SourceData_PastureBeef.SourceData_PastureBeef_Liveweight_Data(), Table_SourceData_PastureBeef_Liveweight[[#Headers],[State]], 0)</f>
        <v>500</v>
      </c>
      <c r="L23" s="68" cm="1">
        <f t="array" ref="L23">Common_InputFunctions.Utility_DisplayArrayInTable(SourceData_PastureBeef.SourceData_PastureBeef_Liveweight_Data(), Table_SourceData_PastureBeef_Liveweight[[#Headers],[State]], 0)</f>
        <v>230</v>
      </c>
      <c r="M23" s="68" cm="1">
        <f t="array" ref="M23">Common_InputFunctions.Utility_DisplayArrayInTable(SourceData_PastureBeef.SourceData_PastureBeef_Liveweight_Data(), Table_SourceData_PastureBeef_Liveweight[[#Headers],[State]], 0)</f>
        <v>420</v>
      </c>
      <c r="S23" s="68" t="s">
        <v>135</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68" t="str" cm="1">
        <f t="array" ref="E24">Common_InputFunctions.Utility_DisplayArrayInTable(SourceData_PastureBeef.SourceData_PastureBeef_Liveweight_Data(), Table_SourceData_PastureBeef_Liveweight[[#Headers],[State]], 0)</f>
        <v>n/a</v>
      </c>
      <c r="F24" s="68" t="str" cm="1">
        <f t="array" ref="F24">Common_InputFunctions.Utility_DisplayArrayInTable(SourceData_PastureBeef.SourceData_PastureBeef_Liveweight_Data(), Table_SourceData_PastureBeef_Liveweight[[#Headers],[State]], 0)</f>
        <v>Summer</v>
      </c>
      <c r="G24" s="68" cm="1">
        <f t="array" ref="G24">Common_InputFunctions.Utility_DisplayArrayInTable(SourceData_PastureBeef.SourceData_PastureBeef_Liveweight_Data(), Table_SourceData_PastureBeef_Liveweight[[#Headers],[State]], 0)</f>
        <v>320</v>
      </c>
      <c r="H24" s="68" cm="1">
        <f t="array" ref="H24">Common_InputFunctions.Utility_DisplayArrayInTable(SourceData_PastureBeef.SourceData_PastureBeef_Liveweight_Data(), Table_SourceData_PastureBeef_Liveweight[[#Headers],[State]], 0)</f>
        <v>800</v>
      </c>
      <c r="I24" s="68" cm="1">
        <f t="array" ref="I24">Common_InputFunctions.Utility_DisplayArrayInTable(SourceData_PastureBeef.SourceData_PastureBeef_Liveweight_Data(), Table_SourceData_PastureBeef_Liveweight[[#Headers],[State]], 0)</f>
        <v>280</v>
      </c>
      <c r="J24" s="68" cm="1">
        <f t="array" ref="J24">Common_InputFunctions.Utility_DisplayArrayInTable(SourceData_PastureBeef.SourceData_PastureBeef_Liveweight_Data(), Table_SourceData_PastureBeef_Liveweight[[#Headers],[State]], 0)</f>
        <v>420</v>
      </c>
      <c r="K24" s="68" cm="1">
        <f t="array" ref="K24">Common_InputFunctions.Utility_DisplayArrayInTable(SourceData_PastureBeef.SourceData_PastureBeef_Liveweight_Data(), Table_SourceData_PastureBeef_Liveweight[[#Headers],[State]], 0)</f>
        <v>500</v>
      </c>
      <c r="L24" s="68" cm="1">
        <f t="array" ref="L24">Common_InputFunctions.Utility_DisplayArrayInTable(SourceData_PastureBeef.SourceData_PastureBeef_Liveweight_Data(), Table_SourceData_PastureBeef_Liveweight[[#Headers],[State]], 0)</f>
        <v>290</v>
      </c>
      <c r="M24" s="68" cm="1">
        <f t="array" ref="M24">Common_InputFunctions.Utility_DisplayArrayInTable(SourceData_PastureBeef.SourceData_PastureBeef_Liveweight_Data(), Table_SourceData_PastureBeef_Liveweight[[#Headers],[State]], 0)</f>
        <v>420</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68" t="str" cm="1">
        <f t="array" ref="E25">Common_InputFunctions.Utility_DisplayArrayInTable(SourceData_PastureBeef.SourceData_PastureBeef_Liveweight_Data(), Table_SourceData_PastureBeef_Liveweight[[#Headers],[State]], 0)</f>
        <v>n/a</v>
      </c>
      <c r="F25" s="68" t="str" cm="1">
        <f t="array" ref="F25">Common_InputFunctions.Utility_DisplayArrayInTable(SourceData_PastureBeef.SourceData_PastureBeef_Liveweight_Data(), Table_SourceData_PastureBeef_Liveweight[[#Headers],[State]], 0)</f>
        <v>Autumn</v>
      </c>
      <c r="G25" s="68" cm="1">
        <f t="array" ref="G25">Common_InputFunctions.Utility_DisplayArrayInTable(SourceData_PastureBeef.SourceData_PastureBeef_Liveweight_Data(), Table_SourceData_PastureBeef_Liveweight[[#Headers],[State]], 0)</f>
        <v>80</v>
      </c>
      <c r="H25" s="68" cm="1">
        <f t="array" ref="H25">Common_InputFunctions.Utility_DisplayArrayInTable(SourceData_PastureBeef.SourceData_PastureBeef_Liveweight_Data(), Table_SourceData_PastureBeef_Liveweight[[#Headers],[State]], 0)</f>
        <v>700</v>
      </c>
      <c r="I25" s="68" cm="1">
        <f t="array" ref="I25">Common_InputFunctions.Utility_DisplayArrayInTable(SourceData_PastureBeef.SourceData_PastureBeef_Liveweight_Data(), Table_SourceData_PastureBeef_Liveweight[[#Headers],[State]], 0)</f>
        <v>70</v>
      </c>
      <c r="J25" s="68" cm="1">
        <f t="array" ref="J25">Common_InputFunctions.Utility_DisplayArrayInTable(SourceData_PastureBeef.SourceData_PastureBeef_Liveweight_Data(), Table_SourceData_PastureBeef_Liveweight[[#Headers],[State]], 0)</f>
        <v>300</v>
      </c>
      <c r="K25" s="68" cm="1">
        <f t="array" ref="K25">Common_InputFunctions.Utility_DisplayArrayInTable(SourceData_PastureBeef.SourceData_PastureBeef_Liveweight_Data(), Table_SourceData_PastureBeef_Liveweight[[#Headers],[State]], 0)</f>
        <v>450</v>
      </c>
      <c r="L25" s="68" cm="1">
        <f t="array" ref="L25">Common_InputFunctions.Utility_DisplayArrayInTable(SourceData_PastureBeef.SourceData_PastureBeef_Liveweight_Data(), Table_SourceData_PastureBeef_Liveweight[[#Headers],[State]], 0)</f>
        <v>75</v>
      </c>
      <c r="M25" s="68" cm="1">
        <f t="array" ref="M25">Common_InputFunctions.Utility_DisplayArrayInTable(SourceData_PastureBeef.SourceData_PastureBeef_Liveweight_Data(), Table_SourceData_PastureBeef_Liveweight[[#Headers],[State]], 0)</f>
        <v>400</v>
      </c>
      <c r="S25" s="1" t="s">
        <v>157</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68" t="str" cm="1">
        <f t="array" ref="E26">Common_InputFunctions.Utility_DisplayArrayInTable(SourceData_PastureBeef.SourceData_PastureBeef_Liveweight_Data(), Table_SourceData_PastureBeef_Liveweight[[#Headers],[State]], 0)</f>
        <v>n/a</v>
      </c>
      <c r="F26" s="68" t="str" cm="1">
        <f t="array" ref="F26">Common_InputFunctions.Utility_DisplayArrayInTable(SourceData_PastureBeef.SourceData_PastureBeef_Liveweight_Data(), Table_SourceData_PastureBeef_Liveweight[[#Headers],[State]], 0)</f>
        <v>Winter</v>
      </c>
      <c r="G26" s="68" cm="1">
        <f t="array" ref="G26">Common_InputFunctions.Utility_DisplayArrayInTable(SourceData_PastureBeef.SourceData_PastureBeef_Liveweight_Data(), Table_SourceData_PastureBeef_Liveweight[[#Headers],[State]], 0)</f>
        <v>160</v>
      </c>
      <c r="H26" s="68" cm="1">
        <f t="array" ref="H26">Common_InputFunctions.Utility_DisplayArrayInTable(SourceData_PastureBeef.SourceData_PastureBeef_Liveweight_Data(), Table_SourceData_PastureBeef_Liveweight[[#Headers],[State]], 0)</f>
        <v>700</v>
      </c>
      <c r="I26" s="68" cm="1">
        <f t="array" ref="I26">Common_InputFunctions.Utility_DisplayArrayInTable(SourceData_PastureBeef.SourceData_PastureBeef_Liveweight_Data(), Table_SourceData_PastureBeef_Liveweight[[#Headers],[State]], 0)</f>
        <v>140</v>
      </c>
      <c r="J26" s="68" cm="1">
        <f t="array" ref="J26">Common_InputFunctions.Utility_DisplayArrayInTable(SourceData_PastureBeef.SourceData_PastureBeef_Liveweight_Data(), Table_SourceData_PastureBeef_Liveweight[[#Headers],[State]], 0)</f>
        <v>350</v>
      </c>
      <c r="K26" s="68" cm="1">
        <f t="array" ref="K26">Common_InputFunctions.Utility_DisplayArrayInTable(SourceData_PastureBeef.SourceData_PastureBeef_Liveweight_Data(), Table_SourceData_PastureBeef_Liveweight[[#Headers],[State]], 0)</f>
        <v>450</v>
      </c>
      <c r="L26" s="68" cm="1">
        <f t="array" ref="L26">Common_InputFunctions.Utility_DisplayArrayInTable(SourceData_PastureBeef.SourceData_PastureBeef_Liveweight_Data(), Table_SourceData_PastureBeef_Liveweight[[#Headers],[State]], 0)</f>
        <v>150</v>
      </c>
      <c r="M26" s="68" cm="1">
        <f t="array" ref="M26">Common_InputFunctions.Utility_DisplayArrayInTable(SourceData_PastureBeef.SourceData_PastureBeef_Liveweight_Data(), Table_SourceData_PastureBeef_Liveweight[[#Headers],[State]], 0)</f>
        <v>400</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68" t="str" cm="1">
        <f t="array" ref="E27">Common_InputFunctions.Utility_DisplayArrayInTable(SourceData_PastureBeef.SourceData_PastureBeef_Liveweight_Data(), Table_SourceData_PastureBeef_Liveweight[[#Headers],[State]], 0)</f>
        <v>n/a</v>
      </c>
      <c r="F27" s="68" t="str" cm="1">
        <f t="array" ref="F27">Common_InputFunctions.Utility_DisplayArrayInTable(SourceData_PastureBeef.SourceData_PastureBeef_Liveweight_Data(), Table_SourceData_PastureBeef_Liveweight[[#Headers],[State]], 0)</f>
        <v>Spring</v>
      </c>
      <c r="G27" s="68" cm="1">
        <f t="array" ref="G27">Common_InputFunctions.Utility_DisplayArrayInTable(SourceData_PastureBeef.SourceData_PastureBeef_Liveweight_Data(), Table_SourceData_PastureBeef_Liveweight[[#Headers],[State]], 0)</f>
        <v>105</v>
      </c>
      <c r="H27" s="68" cm="1">
        <f t="array" ref="H27">Common_InputFunctions.Utility_DisplayArrayInTable(SourceData_PastureBeef.SourceData_PastureBeef_Liveweight_Data(), Table_SourceData_PastureBeef_Liveweight[[#Headers],[State]], 0)</f>
        <v>700</v>
      </c>
      <c r="I27" s="68" cm="1">
        <f t="array" ref="I27">Common_InputFunctions.Utility_DisplayArrayInTable(SourceData_PastureBeef.SourceData_PastureBeef_Liveweight_Data(), Table_SourceData_PastureBeef_Liveweight[[#Headers],[State]], 0)</f>
        <v>85</v>
      </c>
      <c r="J27" s="68" cm="1">
        <f t="array" ref="J27">Common_InputFunctions.Utility_DisplayArrayInTable(SourceData_PastureBeef.SourceData_PastureBeef_Liveweight_Data(), Table_SourceData_PastureBeef_Liveweight[[#Headers],[State]], 0)</f>
        <v>300</v>
      </c>
      <c r="K27" s="68" cm="1">
        <f t="array" ref="K27">Common_InputFunctions.Utility_DisplayArrayInTable(SourceData_PastureBeef.SourceData_PastureBeef_Liveweight_Data(), Table_SourceData_PastureBeef_Liveweight[[#Headers],[State]], 0)</f>
        <v>490</v>
      </c>
      <c r="L27" s="68" cm="1">
        <f t="array" ref="L27">Common_InputFunctions.Utility_DisplayArrayInTable(SourceData_PastureBeef.SourceData_PastureBeef_Liveweight_Data(), Table_SourceData_PastureBeef_Liveweight[[#Headers],[State]], 0)</f>
        <v>90</v>
      </c>
      <c r="M27" s="68" cm="1">
        <f t="array" ref="M27">Common_InputFunctions.Utility_DisplayArrayInTable(SourceData_PastureBeef.SourceData_PastureBeef_Liveweight_Data(), Table_SourceData_PastureBeef_Liveweight[[#Headers],[State]], 0)</f>
        <v>480</v>
      </c>
      <c r="S27" s="68" t="s">
        <v>132</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68" t="str" cm="1">
        <f t="array" ref="E28">Common_InputFunctions.Utility_DisplayArrayInTable(SourceData_PastureBeef.SourceData_PastureBeef_Liveweight_Data(), Table_SourceData_PastureBeef_Liveweight[[#Headers],[State]], 0)</f>
        <v>n/a</v>
      </c>
      <c r="F28" s="68" t="str" cm="1">
        <f t="array" ref="F28">Common_InputFunctions.Utility_DisplayArrayInTable(SourceData_PastureBeef.SourceData_PastureBeef_Liveweight_Data(), Table_SourceData_PastureBeef_Liveweight[[#Headers],[State]], 0)</f>
        <v>Summer</v>
      </c>
      <c r="G28" s="68" cm="1">
        <f t="array" ref="G28">Common_InputFunctions.Utility_DisplayArrayInTable(SourceData_PastureBeef.SourceData_PastureBeef_Liveweight_Data(), Table_SourceData_PastureBeef_Liveweight[[#Headers],[State]], 0)</f>
        <v>480</v>
      </c>
      <c r="H28" s="68" cm="1">
        <f t="array" ref="H28">Common_InputFunctions.Utility_DisplayArrayInTable(SourceData_PastureBeef.SourceData_PastureBeef_Liveweight_Data(), Table_SourceData_PastureBeef_Liveweight[[#Headers],[State]], 0)</f>
        <v>750</v>
      </c>
      <c r="I28" s="68" cm="1">
        <f t="array" ref="I28">Common_InputFunctions.Utility_DisplayArrayInTable(SourceData_PastureBeef.SourceData_PastureBeef_Liveweight_Data(), Table_SourceData_PastureBeef_Liveweight[[#Headers],[State]], 0)</f>
        <v>150</v>
      </c>
      <c r="J28" s="68" cm="1">
        <f t="array" ref="J28">Common_InputFunctions.Utility_DisplayArrayInTable(SourceData_PastureBeef.SourceData_PastureBeef_Liveweight_Data(), Table_SourceData_PastureBeef_Liveweight[[#Headers],[State]], 0)</f>
        <v>350</v>
      </c>
      <c r="K28" s="68" cm="1">
        <f t="array" ref="K28">Common_InputFunctions.Utility_DisplayArrayInTable(SourceData_PastureBeef.SourceData_PastureBeef_Liveweight_Data(), Table_SourceData_PastureBeef_Liveweight[[#Headers],[State]], 0)</f>
        <v>530</v>
      </c>
      <c r="L28" s="68" cm="1">
        <f t="array" ref="L28">Common_InputFunctions.Utility_DisplayArrayInTable(SourceData_PastureBeef.SourceData_PastureBeef_Liveweight_Data(), Table_SourceData_PastureBeef_Liveweight[[#Headers],[State]], 0)</f>
        <v>160</v>
      </c>
      <c r="M28" s="68" cm="1">
        <f t="array" ref="M28">Common_InputFunctions.Utility_DisplayArrayInTable(SourceData_PastureBeef.SourceData_PastureBeef_Liveweight_Data(), Table_SourceData_PastureBeef_Liveweight[[#Headers],[State]], 0)</f>
        <v>460</v>
      </c>
      <c r="S28" s="68" t="s">
        <v>135</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68" t="str" cm="1">
        <f t="array" ref="E29">Common_InputFunctions.Utility_DisplayArrayInTable(SourceData_PastureBeef.SourceData_PastureBeef_Liveweight_Data(), Table_SourceData_PastureBeef_Liveweight[[#Headers],[State]], 0)</f>
        <v>n/a</v>
      </c>
      <c r="F29" s="68" t="str" cm="1">
        <f t="array" ref="F29">Common_InputFunctions.Utility_DisplayArrayInTable(SourceData_PastureBeef.SourceData_PastureBeef_Liveweight_Data(), Table_SourceData_PastureBeef_Liveweight[[#Headers],[State]], 0)</f>
        <v>Autumn</v>
      </c>
      <c r="G29" s="68" cm="1">
        <f t="array" ref="G29">Common_InputFunctions.Utility_DisplayArrayInTable(SourceData_PastureBeef.SourceData_PastureBeef_Liveweight_Data(), Table_SourceData_PastureBeef_Liveweight[[#Headers],[State]], 0)</f>
        <v>250</v>
      </c>
      <c r="H29" s="68" cm="1">
        <f t="array" ref="H29">Common_InputFunctions.Utility_DisplayArrayInTable(SourceData_PastureBeef.SourceData_PastureBeef_Liveweight_Data(), Table_SourceData_PastureBeef_Liveweight[[#Headers],[State]], 0)</f>
        <v>725</v>
      </c>
      <c r="I29" s="68" cm="1">
        <f t="array" ref="I29">Common_InputFunctions.Utility_DisplayArrayInTable(SourceData_PastureBeef.SourceData_PastureBeef_Liveweight_Data(), Table_SourceData_PastureBeef_Liveweight[[#Headers],[State]], 0)</f>
        <v>200</v>
      </c>
      <c r="J29" s="68" cm="1">
        <f t="array" ref="J29">Common_InputFunctions.Utility_DisplayArrayInTable(SourceData_PastureBeef.SourceData_PastureBeef_Liveweight_Data(), Table_SourceData_PastureBeef_Liveweight[[#Headers],[State]], 0)</f>
        <v>360</v>
      </c>
      <c r="K29" s="68" cm="1">
        <f t="array" ref="K29">Common_InputFunctions.Utility_DisplayArrayInTable(SourceData_PastureBeef.SourceData_PastureBeef_Liveweight_Data(), Table_SourceData_PastureBeef_Liveweight[[#Headers],[State]], 0)</f>
        <v>500</v>
      </c>
      <c r="L29" s="68" cm="1">
        <f t="array" ref="L29">Common_InputFunctions.Utility_DisplayArrayInTable(SourceData_PastureBeef.SourceData_PastureBeef_Liveweight_Data(), Table_SourceData_PastureBeef_Liveweight[[#Headers],[State]], 0)</f>
        <v>215</v>
      </c>
      <c r="M29" s="68"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68" t="str" cm="1">
        <f t="array" ref="E30">Common_InputFunctions.Utility_DisplayArrayInTable(SourceData_PastureBeef.SourceData_PastureBeef_Liveweight_Data(), Table_SourceData_PastureBeef_Liveweight[[#Headers],[State]], 0)</f>
        <v>n/a</v>
      </c>
      <c r="F30" s="68" t="str" cm="1">
        <f t="array" ref="F30">Common_InputFunctions.Utility_DisplayArrayInTable(SourceData_PastureBeef.SourceData_PastureBeef_Liveweight_Data(), Table_SourceData_PastureBeef_Liveweight[[#Headers],[State]], 0)</f>
        <v>Winter</v>
      </c>
      <c r="G30" s="68" cm="1">
        <f t="array" ref="G30">Common_InputFunctions.Utility_DisplayArrayInTable(SourceData_PastureBeef.SourceData_PastureBeef_Liveweight_Data(), Table_SourceData_PastureBeef_Liveweight[[#Headers],[State]], 0)</f>
        <v>260</v>
      </c>
      <c r="H30" s="68" cm="1">
        <f t="array" ref="H30">Common_InputFunctions.Utility_DisplayArrayInTable(SourceData_PastureBeef.SourceData_PastureBeef_Liveweight_Data(), Table_SourceData_PastureBeef_Liveweight[[#Headers],[State]], 0)</f>
        <v>700</v>
      </c>
      <c r="I30" s="68" cm="1">
        <f t="array" ref="I30">Common_InputFunctions.Utility_DisplayArrayInTable(SourceData_PastureBeef.SourceData_PastureBeef_Liveweight_Data(), Table_SourceData_PastureBeef_Liveweight[[#Headers],[State]], 0)</f>
        <v>210</v>
      </c>
      <c r="J30" s="68" cm="1">
        <f t="array" ref="J30">Common_InputFunctions.Utility_DisplayArrayInTable(SourceData_PastureBeef.SourceData_PastureBeef_Liveweight_Data(), Table_SourceData_PastureBeef_Liveweight[[#Headers],[State]], 0)</f>
        <v>380</v>
      </c>
      <c r="K30" s="68" cm="1">
        <f t="array" ref="K30">Common_InputFunctions.Utility_DisplayArrayInTable(SourceData_PastureBeef.SourceData_PastureBeef_Liveweight_Data(), Table_SourceData_PastureBeef_Liveweight[[#Headers],[State]], 0)</f>
        <v>460</v>
      </c>
      <c r="L30" s="68" cm="1">
        <f t="array" ref="L30">Common_InputFunctions.Utility_DisplayArrayInTable(SourceData_PastureBeef.SourceData_PastureBeef_Liveweight_Data(), Table_SourceData_PastureBeef_Liveweight[[#Headers],[State]], 0)</f>
        <v>230</v>
      </c>
      <c r="M30" s="68"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68" t="str" cm="1">
        <f t="array" ref="E31">Common_InputFunctions.Utility_DisplayArrayInTable(SourceData_PastureBeef.SourceData_PastureBeef_Liveweight_Data(), Table_SourceData_PastureBeef_Liveweight[[#Headers],[State]], 0)</f>
        <v>n/a</v>
      </c>
      <c r="F31" s="68" t="str" cm="1">
        <f t="array" ref="F31">Common_InputFunctions.Utility_DisplayArrayInTable(SourceData_PastureBeef.SourceData_PastureBeef_Liveweight_Data(), Table_SourceData_PastureBeef_Liveweight[[#Headers],[State]], 0)</f>
        <v>Spring</v>
      </c>
      <c r="G31" s="68" cm="1">
        <f t="array" ref="G31">Common_InputFunctions.Utility_DisplayArrayInTable(SourceData_PastureBeef.SourceData_PastureBeef_Liveweight_Data(), Table_SourceData_PastureBeef_Liveweight[[#Headers],[State]], 0)</f>
        <v>250</v>
      </c>
      <c r="H31" s="68" cm="1">
        <f t="array" ref="H31">Common_InputFunctions.Utility_DisplayArrayInTable(SourceData_PastureBeef.SourceData_PastureBeef_Liveweight_Data(), Table_SourceData_PastureBeef_Liveweight[[#Headers],[State]], 0)</f>
        <v>820</v>
      </c>
      <c r="I31" s="68" cm="1">
        <f t="array" ref="I31">Common_InputFunctions.Utility_DisplayArrayInTable(SourceData_PastureBeef.SourceData_PastureBeef_Liveweight_Data(), Table_SourceData_PastureBeef_Liveweight[[#Headers],[State]], 0)</f>
        <v>240</v>
      </c>
      <c r="J31" s="68" cm="1">
        <f t="array" ref="J31">Common_InputFunctions.Utility_DisplayArrayInTable(SourceData_PastureBeef.SourceData_PastureBeef_Liveweight_Data(), Table_SourceData_PastureBeef_Liveweight[[#Headers],[State]], 0)</f>
        <v>410</v>
      </c>
      <c r="K31" s="68" cm="1">
        <f t="array" ref="K31">Common_InputFunctions.Utility_DisplayArrayInTable(SourceData_PastureBeef.SourceData_PastureBeef_Liveweight_Data(), Table_SourceData_PastureBeef_Liveweight[[#Headers],[State]], 0)</f>
        <v>560</v>
      </c>
      <c r="L31" s="68" cm="1">
        <f t="array" ref="L31">Common_InputFunctions.Utility_DisplayArrayInTable(SourceData_PastureBeef.SourceData_PastureBeef_Liveweight_Data(), Table_SourceData_PastureBeef_Liveweight[[#Headers],[State]], 0)</f>
        <v>240</v>
      </c>
      <c r="M31" s="68" cm="1">
        <f t="array" ref="M31">Common_InputFunctions.Utility_DisplayArrayInTable(SourceData_PastureBeef.SourceData_PastureBeef_Liveweight_Data(), Table_SourceData_PastureBeef_Liveweight[[#Headers],[State]], 0)</f>
        <v>510</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68" t="str" cm="1">
        <f t="array" ref="E32">Common_InputFunctions.Utility_DisplayArrayInTable(SourceData_PastureBeef.SourceData_PastureBeef_Liveweight_Data(), Table_SourceData_PastureBeef_Liveweight[[#Headers],[State]], 0)</f>
        <v>n/a</v>
      </c>
      <c r="F32" s="68" t="str" cm="1">
        <f t="array" ref="F32">Common_InputFunctions.Utility_DisplayArrayInTable(SourceData_PastureBeef.SourceData_PastureBeef_Liveweight_Data(), Table_SourceData_PastureBeef_Liveweight[[#Headers],[State]], 0)</f>
        <v>Summer</v>
      </c>
      <c r="G32" s="68" cm="1">
        <f t="array" ref="G32">Common_InputFunctions.Utility_DisplayArrayInTable(SourceData_PastureBeef.SourceData_PastureBeef_Liveweight_Data(), Table_SourceData_PastureBeef_Liveweight[[#Headers],[State]], 0)</f>
        <v>280</v>
      </c>
      <c r="H32" s="68" cm="1">
        <f t="array" ref="H32">Common_InputFunctions.Utility_DisplayArrayInTable(SourceData_PastureBeef.SourceData_PastureBeef_Liveweight_Data(), Table_SourceData_PastureBeef_Liveweight[[#Headers],[State]], 0)</f>
        <v>850</v>
      </c>
      <c r="I32" s="68" cm="1">
        <f t="array" ref="I32">Common_InputFunctions.Utility_DisplayArrayInTable(SourceData_PastureBeef.SourceData_PastureBeef_Liveweight_Data(), Table_SourceData_PastureBeef_Liveweight[[#Headers],[State]], 0)</f>
        <v>260</v>
      </c>
      <c r="J32" s="68" cm="1">
        <f t="array" ref="J32">Common_InputFunctions.Utility_DisplayArrayInTable(SourceData_PastureBeef.SourceData_PastureBeef_Liveweight_Data(), Table_SourceData_PastureBeef_Liveweight[[#Headers],[State]], 0)</f>
        <v>440</v>
      </c>
      <c r="K32" s="68" cm="1">
        <f t="array" ref="K32">Common_InputFunctions.Utility_DisplayArrayInTable(SourceData_PastureBeef.SourceData_PastureBeef_Liveweight_Data(), Table_SourceData_PastureBeef_Liveweight[[#Headers],[State]], 0)</f>
        <v>550</v>
      </c>
      <c r="L32" s="68" cm="1">
        <f t="array" ref="L32">Common_InputFunctions.Utility_DisplayArrayInTable(SourceData_PastureBeef.SourceData_PastureBeef_Liveweight_Data(), Table_SourceData_PastureBeef_Liveweight[[#Headers],[State]], 0)</f>
        <v>270</v>
      </c>
      <c r="M32" s="68" cm="1">
        <f t="array" ref="M32">Common_InputFunctions.Utility_DisplayArrayInTable(SourceData_PastureBeef.SourceData_PastureBeef_Liveweight_Data(), Table_SourceData_PastureBeef_Liveweight[[#Headers],[State]], 0)</f>
        <v>520</v>
      </c>
    </row>
    <row r="33" spans="1:13"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68" t="str" cm="1">
        <f t="array" ref="E33">Common_InputFunctions.Utility_DisplayArrayInTable(SourceData_PastureBeef.SourceData_PastureBeef_Liveweight_Data(), Table_SourceData_PastureBeef_Liveweight[[#Headers],[State]], 0)</f>
        <v>n/a</v>
      </c>
      <c r="F33" s="68" t="str" cm="1">
        <f t="array" ref="F33">Common_InputFunctions.Utility_DisplayArrayInTable(SourceData_PastureBeef.SourceData_PastureBeef_Liveweight_Data(), Table_SourceData_PastureBeef_Liveweight[[#Headers],[State]], 0)</f>
        <v>Autumn</v>
      </c>
      <c r="G33" s="68" cm="1">
        <f t="array" ref="G33">Common_InputFunctions.Utility_DisplayArrayInTable(SourceData_PastureBeef.SourceData_PastureBeef_Liveweight_Data(), Table_SourceData_PastureBeef_Liveweight[[#Headers],[State]], 0)</f>
        <v>100</v>
      </c>
      <c r="H33" s="68" cm="1">
        <f t="array" ref="H33">Common_InputFunctions.Utility_DisplayArrayInTable(SourceData_PastureBeef.SourceData_PastureBeef_Liveweight_Data(), Table_SourceData_PastureBeef_Liveweight[[#Headers],[State]], 0)</f>
        <v>700</v>
      </c>
      <c r="I33" s="68" cm="1">
        <f t="array" ref="I33">Common_InputFunctions.Utility_DisplayArrayInTable(SourceData_PastureBeef.SourceData_PastureBeef_Liveweight_Data(), Table_SourceData_PastureBeef_Liveweight[[#Headers],[State]], 0)</f>
        <v>95</v>
      </c>
      <c r="J33" s="68" cm="1">
        <f t="array" ref="J33">Common_InputFunctions.Utility_DisplayArrayInTable(SourceData_PastureBeef.SourceData_PastureBeef_Liveweight_Data(), Table_SourceData_PastureBeef_Liveweight[[#Headers],[State]], 0)</f>
        <v>300</v>
      </c>
      <c r="K33" s="68" cm="1">
        <f t="array" ref="K33">Common_InputFunctions.Utility_DisplayArrayInTable(SourceData_PastureBeef.SourceData_PastureBeef_Liveweight_Data(), Table_SourceData_PastureBeef_Liveweight[[#Headers],[State]], 0)</f>
        <v>450</v>
      </c>
      <c r="L33" s="68" cm="1">
        <f t="array" ref="L33">Common_InputFunctions.Utility_DisplayArrayInTable(SourceData_PastureBeef.SourceData_PastureBeef_Liveweight_Data(), Table_SourceData_PastureBeef_Liveweight[[#Headers],[State]], 0)</f>
        <v>95</v>
      </c>
      <c r="M33" s="68" cm="1">
        <f t="array" ref="M33">Common_InputFunctions.Utility_DisplayArrayInTable(SourceData_PastureBeef.SourceData_PastureBeef_Liveweight_Data(), Table_SourceData_PastureBeef_Liveweight[[#Headers],[State]], 0)</f>
        <v>410</v>
      </c>
    </row>
    <row r="34" spans="1:13"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68" t="str" cm="1">
        <f t="array" ref="E34">Common_InputFunctions.Utility_DisplayArrayInTable(SourceData_PastureBeef.SourceData_PastureBeef_Liveweight_Data(), Table_SourceData_PastureBeef_Liveweight[[#Headers],[State]], 0)</f>
        <v>n/a</v>
      </c>
      <c r="F34" s="68" t="str" cm="1">
        <f t="array" ref="F34">Common_InputFunctions.Utility_DisplayArrayInTable(SourceData_PastureBeef.SourceData_PastureBeef_Liveweight_Data(), Table_SourceData_PastureBeef_Liveweight[[#Headers],[State]], 0)</f>
        <v>Winter</v>
      </c>
      <c r="G34" s="68" cm="1">
        <f t="array" ref="G34">Common_InputFunctions.Utility_DisplayArrayInTable(SourceData_PastureBeef.SourceData_PastureBeef_Liveweight_Data(), Table_SourceData_PastureBeef_Liveweight[[#Headers],[State]], 0)</f>
        <v>150</v>
      </c>
      <c r="H34" s="68" cm="1">
        <f t="array" ref="H34">Common_InputFunctions.Utility_DisplayArrayInTable(SourceData_PastureBeef.SourceData_PastureBeef_Liveweight_Data(), Table_SourceData_PastureBeef_Liveweight[[#Headers],[State]], 0)</f>
        <v>720</v>
      </c>
      <c r="I34" s="68" cm="1">
        <f t="array" ref="I34">Common_InputFunctions.Utility_DisplayArrayInTable(SourceData_PastureBeef.SourceData_PastureBeef_Liveweight_Data(), Table_SourceData_PastureBeef_Liveweight[[#Headers],[State]], 0)</f>
        <v>140</v>
      </c>
      <c r="J34" s="68" cm="1">
        <f t="array" ref="J34">Common_InputFunctions.Utility_DisplayArrayInTable(SourceData_PastureBeef.SourceData_PastureBeef_Liveweight_Data(), Table_SourceData_PastureBeef_Liveweight[[#Headers],[State]], 0)</f>
        <v>320</v>
      </c>
      <c r="K34" s="68" cm="1">
        <f t="array" ref="K34">Common_InputFunctions.Utility_DisplayArrayInTable(SourceData_PastureBeef.SourceData_PastureBeef_Liveweight_Data(), Table_SourceData_PastureBeef_Liveweight[[#Headers],[State]], 0)</f>
        <v>470</v>
      </c>
      <c r="L34" s="68" cm="1">
        <f t="array" ref="L34">Common_InputFunctions.Utility_DisplayArrayInTable(SourceData_PastureBeef.SourceData_PastureBeef_Liveweight_Data(), Table_SourceData_PastureBeef_Liveweight[[#Headers],[State]], 0)</f>
        <v>140</v>
      </c>
      <c r="M34" s="68" cm="1">
        <f t="array" ref="M34">Common_InputFunctions.Utility_DisplayArrayInTable(SourceData_PastureBeef.SourceData_PastureBeef_Liveweight_Data(), Table_SourceData_PastureBeef_Liveweight[[#Headers],[State]], 0)</f>
        <v>440</v>
      </c>
    </row>
    <row r="35" spans="1: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68" t="str" cm="1">
        <f t="array" ref="E35">Common_InputFunctions.Utility_DisplayArrayInTable(SourceData_PastureBeef.SourceData_PastureBeef_Liveweight_Data(), Table_SourceData_PastureBeef_Liveweight[[#Headers],[State]], 0)</f>
        <v>South West</v>
      </c>
      <c r="F35" s="68" t="str" cm="1">
        <f t="array" ref="F35">Common_InputFunctions.Utility_DisplayArrayInTable(SourceData_PastureBeef.SourceData_PastureBeef_Liveweight_Data(), Table_SourceData_PastureBeef_Liveweight[[#Headers],[State]], 0)</f>
        <v>Spring</v>
      </c>
      <c r="G35" s="68" cm="1">
        <f t="array" ref="G35">Common_InputFunctions.Utility_DisplayArrayInTable(SourceData_PastureBeef.SourceData_PastureBeef_Liveweight_Data(), Table_SourceData_PastureBeef_Liveweight[[#Headers],[State]], 0)</f>
        <v>340</v>
      </c>
      <c r="H35" s="68" cm="1">
        <f t="array" ref="H35">Common_InputFunctions.Utility_DisplayArrayInTable(SourceData_PastureBeef.SourceData_PastureBeef_Liveweight_Data(), Table_SourceData_PastureBeef_Liveweight[[#Headers],[State]], 0)</f>
        <v>800</v>
      </c>
      <c r="I35" s="68" cm="1">
        <f t="array" ref="I35">Common_InputFunctions.Utility_DisplayArrayInTable(SourceData_PastureBeef.SourceData_PastureBeef_Liveweight_Data(), Table_SourceData_PastureBeef_Liveweight[[#Headers],[State]], 0)</f>
        <v>260</v>
      </c>
      <c r="J35" s="68" cm="1">
        <f t="array" ref="J35">Common_InputFunctions.Utility_DisplayArrayInTable(SourceData_PastureBeef.SourceData_PastureBeef_Liveweight_Data(), Table_SourceData_PastureBeef_Liveweight[[#Headers],[State]], 0)</f>
        <v>420</v>
      </c>
      <c r="K35" s="68" cm="1">
        <f t="array" ref="K35">Common_InputFunctions.Utility_DisplayArrayInTable(SourceData_PastureBeef.SourceData_PastureBeef_Liveweight_Data(), Table_SourceData_PastureBeef_Liveweight[[#Headers],[State]], 0)</f>
        <v>550</v>
      </c>
      <c r="L35" s="68" cm="1">
        <f t="array" ref="L35">Common_InputFunctions.Utility_DisplayArrayInTable(SourceData_PastureBeef.SourceData_PastureBeef_Liveweight_Data(), Table_SourceData_PastureBeef_Liveweight[[#Headers],[State]], 0)</f>
        <v>300</v>
      </c>
      <c r="M35" s="68" cm="1">
        <f t="array" ref="M35">Common_InputFunctions.Utility_DisplayArrayInTable(SourceData_PastureBeef.SourceData_PastureBeef_Liveweight_Data(), Table_SourceData_PastureBeef_Liveweight[[#Headers],[State]], 0)</f>
        <v>480</v>
      </c>
    </row>
    <row r="36" spans="1: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68" t="str" cm="1">
        <f t="array" ref="E36">Common_InputFunctions.Utility_DisplayArrayInTable(SourceData_PastureBeef.SourceData_PastureBeef_Liveweight_Data(), Table_SourceData_PastureBeef_Liveweight[[#Headers],[State]], 0)</f>
        <v>South West</v>
      </c>
      <c r="F36" s="68" t="str" cm="1">
        <f t="array" ref="F36">Common_InputFunctions.Utility_DisplayArrayInTable(SourceData_PastureBeef.SourceData_PastureBeef_Liveweight_Data(), Table_SourceData_PastureBeef_Liveweight[[#Headers],[State]], 0)</f>
        <v>Summer</v>
      </c>
      <c r="G36" s="68" cm="1">
        <f t="array" ref="G36">Common_InputFunctions.Utility_DisplayArrayInTable(SourceData_PastureBeef.SourceData_PastureBeef_Liveweight_Data(), Table_SourceData_PastureBeef_Liveweight[[#Headers],[State]], 0)</f>
        <v>380</v>
      </c>
      <c r="H36" s="68" cm="1">
        <f t="array" ref="H36">Common_InputFunctions.Utility_DisplayArrayInTable(SourceData_PastureBeef.SourceData_PastureBeef_Liveweight_Data(), Table_SourceData_PastureBeef_Liveweight[[#Headers],[State]], 0)</f>
        <v>780</v>
      </c>
      <c r="I36" s="68" cm="1">
        <f t="array" ref="I36">Common_InputFunctions.Utility_DisplayArrayInTable(SourceData_PastureBeef.SourceData_PastureBeef_Liveweight_Data(), Table_SourceData_PastureBeef_Liveweight[[#Headers],[State]], 0)</f>
        <v>300</v>
      </c>
      <c r="J36" s="68" cm="1">
        <f t="array" ref="J36">Common_InputFunctions.Utility_DisplayArrayInTable(SourceData_PastureBeef.SourceData_PastureBeef_Liveweight_Data(), Table_SourceData_PastureBeef_Liveweight[[#Headers],[State]], 0)</f>
        <v>450</v>
      </c>
      <c r="K36" s="68" cm="1">
        <f t="array" ref="K36">Common_InputFunctions.Utility_DisplayArrayInTable(SourceData_PastureBeef.SourceData_PastureBeef_Liveweight_Data(), Table_SourceData_PastureBeef_Liveweight[[#Headers],[State]], 0)</f>
        <v>530</v>
      </c>
      <c r="L36" s="68" cm="1">
        <f t="array" ref="L36">Common_InputFunctions.Utility_DisplayArrayInTable(SourceData_PastureBeef.SourceData_PastureBeef_Liveweight_Data(), Table_SourceData_PastureBeef_Liveweight[[#Headers],[State]], 0)</f>
        <v>340</v>
      </c>
      <c r="M36" s="68" cm="1">
        <f t="array" ref="M36">Common_InputFunctions.Utility_DisplayArrayInTable(SourceData_PastureBeef.SourceData_PastureBeef_Liveweight_Data(), Table_SourceData_PastureBeef_Liveweight[[#Headers],[State]], 0)</f>
        <v>470</v>
      </c>
    </row>
    <row r="37" spans="1:13" ht="20.100000000000001" customHeight="1" x14ac:dyDescent="0.25">
      <c r="A37" s="243" t="s">
        <v>1</v>
      </c>
      <c r="D37" s="1" t="str" cm="1">
        <f t="array" ref="D37">Common_InputFunctions.Utility_DisplayArrayInTable(SourceData_PastureBeef.SourceData_PastureBeef_Liveweight_Data(), Table_SourceData_PastureBeef_Liveweight[[#Headers],[State]], 0)</f>
        <v>Western Australia</v>
      </c>
      <c r="E37" s="68" t="str" cm="1">
        <f t="array" ref="E37">Common_InputFunctions.Utility_DisplayArrayInTable(SourceData_PastureBeef.SourceData_PastureBeef_Liveweight_Data(), Table_SourceData_PastureBeef_Liveweight[[#Headers],[State]], 0)</f>
        <v>South West</v>
      </c>
      <c r="F37" s="68" t="str" cm="1">
        <f t="array" ref="F37">Common_InputFunctions.Utility_DisplayArrayInTable(SourceData_PastureBeef.SourceData_PastureBeef_Liveweight_Data(), Table_SourceData_PastureBeef_Liveweight[[#Headers],[State]], 0)</f>
        <v>Autumn</v>
      </c>
      <c r="G37" s="68" cm="1">
        <f t="array" ref="G37">Common_InputFunctions.Utility_DisplayArrayInTable(SourceData_PastureBeef.SourceData_PastureBeef_Liveweight_Data(), Table_SourceData_PastureBeef_Liveweight[[#Headers],[State]], 0)</f>
        <v>100</v>
      </c>
      <c r="H37" s="68" cm="1">
        <f t="array" ref="H37">Common_InputFunctions.Utility_DisplayArrayInTable(SourceData_PastureBeef.SourceData_PastureBeef_Liveweight_Data(), Table_SourceData_PastureBeef_Liveweight[[#Headers],[State]], 0)</f>
        <v>680</v>
      </c>
      <c r="I37" s="68" cm="1">
        <f t="array" ref="I37">Common_InputFunctions.Utility_DisplayArrayInTable(SourceData_PastureBeef.SourceData_PastureBeef_Liveweight_Data(), Table_SourceData_PastureBeef_Liveweight[[#Headers],[State]], 0)</f>
        <v>80</v>
      </c>
      <c r="J37" s="68" cm="1">
        <f t="array" ref="J37">Common_InputFunctions.Utility_DisplayArrayInTable(SourceData_PastureBeef.SourceData_PastureBeef_Liveweight_Data(), Table_SourceData_PastureBeef_Liveweight[[#Headers],[State]], 0)</f>
        <v>320</v>
      </c>
      <c r="K37" s="68" cm="1">
        <f t="array" ref="K37">Common_InputFunctions.Utility_DisplayArrayInTable(SourceData_PastureBeef.SourceData_PastureBeef_Liveweight_Data(), Table_SourceData_PastureBeef_Liveweight[[#Headers],[State]], 0)</f>
        <v>480</v>
      </c>
      <c r="L37" s="68" cm="1">
        <f t="array" ref="L37">Common_InputFunctions.Utility_DisplayArrayInTable(SourceData_PastureBeef.SourceData_PastureBeef_Liveweight_Data(), Table_SourceData_PastureBeef_Liveweight[[#Headers],[State]], 0)</f>
        <v>100</v>
      </c>
      <c r="M37" s="68" cm="1">
        <f t="array" ref="M37">Common_InputFunctions.Utility_DisplayArrayInTable(SourceData_PastureBeef.SourceData_PastureBeef_Liveweight_Data(), Table_SourceData_PastureBeef_Liveweight[[#Headers],[State]], 0)</f>
        <v>340</v>
      </c>
    </row>
    <row r="38" spans="1:13" ht="20.100000000000001" customHeight="1" x14ac:dyDescent="0.25">
      <c r="A38" s="69"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68" t="str" cm="1">
        <f t="array" ref="E38">Common_InputFunctions.Utility_DisplayArrayInTable(SourceData_PastureBeef.SourceData_PastureBeef_Liveweight_Data(), Table_SourceData_PastureBeef_Liveweight[[#Headers],[State]], 0)</f>
        <v>South West</v>
      </c>
      <c r="F38" s="68" t="str" cm="1">
        <f t="array" ref="F38">Common_InputFunctions.Utility_DisplayArrayInTable(SourceData_PastureBeef.SourceData_PastureBeef_Liveweight_Data(), Table_SourceData_PastureBeef_Liveweight[[#Headers],[State]], 0)</f>
        <v>Winter</v>
      </c>
      <c r="G38" s="68" cm="1">
        <f t="array" ref="G38">Common_InputFunctions.Utility_DisplayArrayInTable(SourceData_PastureBeef.SourceData_PastureBeef_Liveweight_Data(), Table_SourceData_PastureBeef_Liveweight[[#Headers],[State]], 0)</f>
        <v>190</v>
      </c>
      <c r="H38" s="68" cm="1">
        <f t="array" ref="H38">Common_InputFunctions.Utility_DisplayArrayInTable(SourceData_PastureBeef.SourceData_PastureBeef_Liveweight_Data(), Table_SourceData_PastureBeef_Liveweight[[#Headers],[State]], 0)</f>
        <v>700</v>
      </c>
      <c r="I38" s="68" cm="1">
        <f t="array" ref="I38">Common_InputFunctions.Utility_DisplayArrayInTable(SourceData_PastureBeef.SourceData_PastureBeef_Liveweight_Data(), Table_SourceData_PastureBeef_Liveweight[[#Headers],[State]], 0)</f>
        <v>150</v>
      </c>
      <c r="J38" s="68" cm="1">
        <f t="array" ref="J38">Common_InputFunctions.Utility_DisplayArrayInTable(SourceData_PastureBeef.SourceData_PastureBeef_Liveweight_Data(), Table_SourceData_PastureBeef_Liveweight[[#Headers],[State]], 0)</f>
        <v>330</v>
      </c>
      <c r="K38" s="68" cm="1">
        <f t="array" ref="K38">Common_InputFunctions.Utility_DisplayArrayInTable(SourceData_PastureBeef.SourceData_PastureBeef_Liveweight_Data(), Table_SourceData_PastureBeef_Liveweight[[#Headers],[State]], 0)</f>
        <v>490</v>
      </c>
      <c r="L38" s="68" cm="1">
        <f t="array" ref="L38">Common_InputFunctions.Utility_DisplayArrayInTable(SourceData_PastureBeef.SourceData_PastureBeef_Liveweight_Data(), Table_SourceData_PastureBeef_Liveweight[[#Headers],[State]], 0)</f>
        <v>170</v>
      </c>
      <c r="M38" s="68" cm="1">
        <f t="array" ref="M38">Common_InputFunctions.Utility_DisplayArrayInTable(SourceData_PastureBeef.SourceData_PastureBeef_Liveweight_Data(), Table_SourceData_PastureBeef_Liveweight[[#Headers],[State]], 0)</f>
        <v>360</v>
      </c>
    </row>
    <row r="39" spans="1:13"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68" t="str" cm="1">
        <f t="array" ref="E39">Common_InputFunctions.Utility_DisplayArrayInTable(SourceData_PastureBeef.SourceData_PastureBeef_Liveweight_Data(), Table_SourceData_PastureBeef_Liveweight[[#Headers],[State]], 0)</f>
        <v>Pilbara</v>
      </c>
      <c r="F39" s="68" t="str" cm="1">
        <f t="array" ref="F39">Common_InputFunctions.Utility_DisplayArrayInTable(SourceData_PastureBeef.SourceData_PastureBeef_Liveweight_Data(), Table_SourceData_PastureBeef_Liveweight[[#Headers],[State]], 0)</f>
        <v>Spring</v>
      </c>
      <c r="G39" s="68" cm="1">
        <f t="array" ref="G39">Common_InputFunctions.Utility_DisplayArrayInTable(SourceData_PastureBeef.SourceData_PastureBeef_Liveweight_Data(), Table_SourceData_PastureBeef_Liveweight[[#Headers],[State]], 0)</f>
        <v>80</v>
      </c>
      <c r="H39" s="68" cm="1">
        <f t="array" ref="H39">Common_InputFunctions.Utility_DisplayArrayInTable(SourceData_PastureBeef.SourceData_PastureBeef_Liveweight_Data(), Table_SourceData_PastureBeef_Liveweight[[#Headers],[State]], 0)</f>
        <v>450</v>
      </c>
      <c r="I39" s="68" cm="1">
        <f t="array" ref="I39">Common_InputFunctions.Utility_DisplayArrayInTable(SourceData_PastureBeef.SourceData_PastureBeef_Liveweight_Data(), Table_SourceData_PastureBeef_Liveweight[[#Headers],[State]], 0)</f>
        <v>70</v>
      </c>
      <c r="J39" s="68" cm="1">
        <f t="array" ref="J39">Common_InputFunctions.Utility_DisplayArrayInTable(SourceData_PastureBeef.SourceData_PastureBeef_Liveweight_Data(), Table_SourceData_PastureBeef_Liveweight[[#Headers],[State]], 0)</f>
        <v>260</v>
      </c>
      <c r="K39" s="68" cm="1">
        <f t="array" ref="K39">Common_InputFunctions.Utility_DisplayArrayInTable(SourceData_PastureBeef.SourceData_PastureBeef_Liveweight_Data(), Table_SourceData_PastureBeef_Liveweight[[#Headers],[State]], 0)</f>
        <v>340</v>
      </c>
      <c r="L39" s="68" cm="1">
        <f t="array" ref="L39">Common_InputFunctions.Utility_DisplayArrayInTable(SourceData_PastureBeef.SourceData_PastureBeef_Liveweight_Data(), Table_SourceData_PastureBeef_Liveweight[[#Headers],[State]], 0)</f>
        <v>80</v>
      </c>
      <c r="M39" s="68" cm="1">
        <f t="array" ref="M39">Common_InputFunctions.Utility_DisplayArrayInTable(SourceData_PastureBeef.SourceData_PastureBeef_Liveweight_Data(), Table_SourceData_PastureBeef_Liveweight[[#Headers],[State]], 0)</f>
        <v>370</v>
      </c>
    </row>
    <row r="40" spans="1:13" ht="20.100000000000001" customHeight="1" x14ac:dyDescent="0.25">
      <c r="A40" s="5" t="str">
        <f>HYPERLINK("#'Constants - Livestock'!A1", "Constants - Livestock")</f>
        <v>Constants - Livestock</v>
      </c>
      <c r="D40" s="1" t="str" cm="1">
        <f t="array" ref="D40">Common_InputFunctions.Utility_DisplayArrayInTable(SourceData_PastureBeef.SourceData_PastureBeef_Liveweight_Data(), Table_SourceData_PastureBeef_Liveweight[[#Headers],[State]], 0)</f>
        <v>Western Australia</v>
      </c>
      <c r="E40" s="68" t="str" cm="1">
        <f t="array" ref="E40">Common_InputFunctions.Utility_DisplayArrayInTable(SourceData_PastureBeef.SourceData_PastureBeef_Liveweight_Data(), Table_SourceData_PastureBeef_Liveweight[[#Headers],[State]], 0)</f>
        <v>Pilbara</v>
      </c>
      <c r="F40" s="68" t="str" cm="1">
        <f t="array" ref="F40">Common_InputFunctions.Utility_DisplayArrayInTable(SourceData_PastureBeef.SourceData_PastureBeef_Liveweight_Data(), Table_SourceData_PastureBeef_Liveweight[[#Headers],[State]], 0)</f>
        <v>Summer</v>
      </c>
      <c r="G40" s="68" cm="1">
        <f t="array" ref="G40">Common_InputFunctions.Utility_DisplayArrayInTable(SourceData_PastureBeef.SourceData_PastureBeef_Liveweight_Data(), Table_SourceData_PastureBeef_Liveweight[[#Headers],[State]], 0)</f>
        <v>150</v>
      </c>
      <c r="H40" s="68" cm="1">
        <f t="array" ref="H40">Common_InputFunctions.Utility_DisplayArrayInTable(SourceData_PastureBeef.SourceData_PastureBeef_Liveweight_Data(), Table_SourceData_PastureBeef_Liveweight[[#Headers],[State]], 0)</f>
        <v>500</v>
      </c>
      <c r="I40" s="68" cm="1">
        <f t="array" ref="I40">Common_InputFunctions.Utility_DisplayArrayInTable(SourceData_PastureBeef.SourceData_PastureBeef_Liveweight_Data(), Table_SourceData_PastureBeef_Liveweight[[#Headers],[State]], 0)</f>
        <v>140</v>
      </c>
      <c r="J40" s="68" cm="1">
        <f t="array" ref="J40">Common_InputFunctions.Utility_DisplayArrayInTable(SourceData_PastureBeef.SourceData_PastureBeef_Liveweight_Data(), Table_SourceData_PastureBeef_Liveweight[[#Headers],[State]], 0)</f>
        <v>310</v>
      </c>
      <c r="K40" s="68" cm="1">
        <f t="array" ref="K40">Common_InputFunctions.Utility_DisplayArrayInTable(SourceData_PastureBeef.SourceData_PastureBeef_Liveweight_Data(), Table_SourceData_PastureBeef_Liveweight[[#Headers],[State]], 0)</f>
        <v>360</v>
      </c>
      <c r="L40" s="68" cm="1">
        <f t="array" ref="L40">Common_InputFunctions.Utility_DisplayArrayInTable(SourceData_PastureBeef.SourceData_PastureBeef_Liveweight_Data(), Table_SourceData_PastureBeef_Liveweight[[#Headers],[State]], 0)</f>
        <v>150</v>
      </c>
      <c r="M40" s="68" cm="1">
        <f t="array" ref="M40">Common_InputFunctions.Utility_DisplayArrayInTable(SourceData_PastureBeef.SourceData_PastureBeef_Liveweight_Data(), Table_SourceData_PastureBeef_Liveweight[[#Headers],[State]], 0)</f>
        <v>400</v>
      </c>
    </row>
    <row r="41" spans="1:13"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68" t="str" cm="1">
        <f t="array" ref="E41">Common_InputFunctions.Utility_DisplayArrayInTable(SourceData_PastureBeef.SourceData_PastureBeef_Liveweight_Data(), Table_SourceData_PastureBeef_Liveweight[[#Headers],[State]], 0)</f>
        <v>Pilbara</v>
      </c>
      <c r="F41" s="68" t="str" cm="1">
        <f t="array" ref="F41">Common_InputFunctions.Utility_DisplayArrayInTable(SourceData_PastureBeef.SourceData_PastureBeef_Liveweight_Data(), Table_SourceData_PastureBeef_Liveweight[[#Headers],[State]], 0)</f>
        <v>Autumn</v>
      </c>
      <c r="G41" s="68" cm="1">
        <f t="array" ref="G41">Common_InputFunctions.Utility_DisplayArrayInTable(SourceData_PastureBeef.SourceData_PastureBeef_Liveweight_Data(), Table_SourceData_PastureBeef_Liveweight[[#Headers],[State]], 0)</f>
        <v>230</v>
      </c>
      <c r="H41" s="68" cm="1">
        <f t="array" ref="H41">Common_InputFunctions.Utility_DisplayArrayInTable(SourceData_PastureBeef.SourceData_PastureBeef_Liveweight_Data(), Table_SourceData_PastureBeef_Liveweight[[#Headers],[State]], 0)</f>
        <v>550</v>
      </c>
      <c r="I41" s="68" cm="1">
        <f t="array" ref="I41">Common_InputFunctions.Utility_DisplayArrayInTable(SourceData_PastureBeef.SourceData_PastureBeef_Liveweight_Data(), Table_SourceData_PastureBeef_Liveweight[[#Headers],[State]], 0)</f>
        <v>220</v>
      </c>
      <c r="J41" s="68" cm="1">
        <f t="array" ref="J41">Common_InputFunctions.Utility_DisplayArrayInTable(SourceData_PastureBeef.SourceData_PastureBeef_Liveweight_Data(), Table_SourceData_PastureBeef_Liveweight[[#Headers],[State]], 0)</f>
        <v>330</v>
      </c>
      <c r="K41" s="68" cm="1">
        <f t="array" ref="K41">Common_InputFunctions.Utility_DisplayArrayInTable(SourceData_PastureBeef.SourceData_PastureBeef_Liveweight_Data(), Table_SourceData_PastureBeef_Liveweight[[#Headers],[State]], 0)</f>
        <v>380</v>
      </c>
      <c r="L41" s="68" cm="1">
        <f t="array" ref="L41">Common_InputFunctions.Utility_DisplayArrayInTable(SourceData_PastureBeef.SourceData_PastureBeef_Liveweight_Data(), Table_SourceData_PastureBeef_Liveweight[[#Headers],[State]], 0)</f>
        <v>230</v>
      </c>
      <c r="M41" s="68" cm="1">
        <f t="array" ref="M41">Common_InputFunctions.Utility_DisplayArrayInTable(SourceData_PastureBeef.SourceData_PastureBeef_Liveweight_Data(), Table_SourceData_PastureBeef_Liveweight[[#Headers],[State]], 0)</f>
        <v>420</v>
      </c>
    </row>
    <row r="42" spans="1:13"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68" t="str" cm="1">
        <f t="array" ref="E42">Common_InputFunctions.Utility_DisplayArrayInTable(SourceData_PastureBeef.SourceData_PastureBeef_Liveweight_Data(), Table_SourceData_PastureBeef_Liveweight[[#Headers],[State]], 0)</f>
        <v>Pilbara</v>
      </c>
      <c r="F42" s="68" t="str" cm="1">
        <f t="array" ref="F42">Common_InputFunctions.Utility_DisplayArrayInTable(SourceData_PastureBeef.SourceData_PastureBeef_Liveweight_Data(), Table_SourceData_PastureBeef_Liveweight[[#Headers],[State]], 0)</f>
        <v>Winter</v>
      </c>
      <c r="G42" s="68" cm="1">
        <f t="array" ref="G42">Common_InputFunctions.Utility_DisplayArrayInTable(SourceData_PastureBeef.SourceData_PastureBeef_Liveweight_Data(), Table_SourceData_PastureBeef_Liveweight[[#Headers],[State]], 0)</f>
        <v>250</v>
      </c>
      <c r="H42" s="68" cm="1">
        <f t="array" ref="H42">Common_InputFunctions.Utility_DisplayArrayInTable(SourceData_PastureBeef.SourceData_PastureBeef_Liveweight_Data(), Table_SourceData_PastureBeef_Liveweight[[#Headers],[State]], 0)</f>
        <v>500</v>
      </c>
      <c r="I42" s="68" cm="1">
        <f t="array" ref="I42">Common_InputFunctions.Utility_DisplayArrayInTable(SourceData_PastureBeef.SourceData_PastureBeef_Liveweight_Data(), Table_SourceData_PastureBeef_Liveweight[[#Headers],[State]], 0)</f>
        <v>240</v>
      </c>
      <c r="J42" s="68" cm="1">
        <f t="array" ref="J42">Common_InputFunctions.Utility_DisplayArrayInTable(SourceData_PastureBeef.SourceData_PastureBeef_Liveweight_Data(), Table_SourceData_PastureBeef_Liveweight[[#Headers],[State]], 0)</f>
        <v>340</v>
      </c>
      <c r="K42" s="68" cm="1">
        <f t="array" ref="K42">Common_InputFunctions.Utility_DisplayArrayInTable(SourceData_PastureBeef.SourceData_PastureBeef_Liveweight_Data(), Table_SourceData_PastureBeef_Liveweight[[#Headers],[State]], 0)</f>
        <v>360</v>
      </c>
      <c r="L42" s="68" cm="1">
        <f t="array" ref="L42">Common_InputFunctions.Utility_DisplayArrayInTable(SourceData_PastureBeef.SourceData_PastureBeef_Liveweight_Data(), Table_SourceData_PastureBeef_Liveweight[[#Headers],[State]], 0)</f>
        <v>250</v>
      </c>
      <c r="M42" s="68" cm="1">
        <f t="array" ref="M42">Common_InputFunctions.Utility_DisplayArrayInTable(SourceData_PastureBeef.SourceData_PastureBeef_Liveweight_Data(), Table_SourceData_PastureBeef_Liveweight[[#Headers],[State]], 0)</f>
        <v>390</v>
      </c>
    </row>
    <row r="43" spans="1:13"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68" t="str" cm="1">
        <f t="array" ref="E43">Common_InputFunctions.Utility_DisplayArrayInTable(SourceData_PastureBeef.SourceData_PastureBeef_Liveweight_Data(), Table_SourceData_PastureBeef_Liveweight[[#Headers],[State]], 0)</f>
        <v>Kimberley</v>
      </c>
      <c r="F43" s="68" t="str" cm="1">
        <f t="array" ref="F43">Common_InputFunctions.Utility_DisplayArrayInTable(SourceData_PastureBeef.SourceData_PastureBeef_Liveweight_Data(), Table_SourceData_PastureBeef_Liveweight[[#Headers],[State]], 0)</f>
        <v>Spring</v>
      </c>
      <c r="G43" s="68" cm="1">
        <f t="array" ref="G43">Common_InputFunctions.Utility_DisplayArrayInTable(SourceData_PastureBeef.SourceData_PastureBeef_Liveweight_Data(), Table_SourceData_PastureBeef_Liveweight[[#Headers],[State]], 0)</f>
        <v>220</v>
      </c>
      <c r="H43" s="68" cm="1">
        <f t="array" ref="H43">Common_InputFunctions.Utility_DisplayArrayInTable(SourceData_PastureBeef.SourceData_PastureBeef_Liveweight_Data(), Table_SourceData_PastureBeef_Liveweight[[#Headers],[State]], 0)</f>
        <v>500</v>
      </c>
      <c r="I43" s="68" cm="1">
        <f t="array" ref="I43">Common_InputFunctions.Utility_DisplayArrayInTable(SourceData_PastureBeef.SourceData_PastureBeef_Liveweight_Data(), Table_SourceData_PastureBeef_Liveweight[[#Headers],[State]], 0)</f>
        <v>180</v>
      </c>
      <c r="J43" s="68" cm="1">
        <f t="array" ref="J43">Common_InputFunctions.Utility_DisplayArrayInTable(SourceData_PastureBeef.SourceData_PastureBeef_Liveweight_Data(), Table_SourceData_PastureBeef_Liveweight[[#Headers],[State]], 0)</f>
        <v>300</v>
      </c>
      <c r="K43" s="68" cm="1">
        <f t="array" ref="K43">Common_InputFunctions.Utility_DisplayArrayInTable(SourceData_PastureBeef.SourceData_PastureBeef_Liveweight_Data(), Table_SourceData_PastureBeef_Liveweight[[#Headers],[State]], 0)</f>
        <v>320</v>
      </c>
      <c r="L43" s="68" cm="1">
        <f t="array" ref="L43">Common_InputFunctions.Utility_DisplayArrayInTable(SourceData_PastureBeef.SourceData_PastureBeef_Liveweight_Data(), Table_SourceData_PastureBeef_Liveweight[[#Headers],[State]], 0)</f>
        <v>210</v>
      </c>
      <c r="M43" s="68" cm="1">
        <f t="array" ref="M43">Common_InputFunctions.Utility_DisplayArrayInTable(SourceData_PastureBeef.SourceData_PastureBeef_Liveweight_Data(), Table_SourceData_PastureBeef_Liveweight[[#Headers],[State]], 0)</f>
        <v>340</v>
      </c>
    </row>
    <row r="44" spans="1:13"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68" t="str" cm="1">
        <f t="array" ref="E44">Common_InputFunctions.Utility_DisplayArrayInTable(SourceData_PastureBeef.SourceData_PastureBeef_Liveweight_Data(), Table_SourceData_PastureBeef_Liveweight[[#Headers],[State]], 0)</f>
        <v>Kimberley</v>
      </c>
      <c r="F44" s="68" t="str" cm="1">
        <f t="array" ref="F44">Common_InputFunctions.Utility_DisplayArrayInTable(SourceData_PastureBeef.SourceData_PastureBeef_Liveweight_Data(), Table_SourceData_PastureBeef_Liveweight[[#Headers],[State]], 0)</f>
        <v>Summer</v>
      </c>
      <c r="G44" s="68" cm="1">
        <f t="array" ref="G44">Common_InputFunctions.Utility_DisplayArrayInTable(SourceData_PastureBeef.SourceData_PastureBeef_Liveweight_Data(), Table_SourceData_PastureBeef_Liveweight[[#Headers],[State]], 0)</f>
        <v>110</v>
      </c>
      <c r="H44" s="68" cm="1">
        <f t="array" ref="H44">Common_InputFunctions.Utility_DisplayArrayInTable(SourceData_PastureBeef.SourceData_PastureBeef_Liveweight_Data(), Table_SourceData_PastureBeef_Liveweight[[#Headers],[State]], 0)</f>
        <v>550</v>
      </c>
      <c r="I44" s="68" cm="1">
        <f t="array" ref="I44">Common_InputFunctions.Utility_DisplayArrayInTable(SourceData_PastureBeef.SourceData_PastureBeef_Liveweight_Data(), Table_SourceData_PastureBeef_Liveweight[[#Headers],[State]], 0)</f>
        <v>90</v>
      </c>
      <c r="J44" s="68" cm="1">
        <f t="array" ref="J44">Common_InputFunctions.Utility_DisplayArrayInTable(SourceData_PastureBeef.SourceData_PastureBeef_Liveweight_Data(), Table_SourceData_PastureBeef_Liveweight[[#Headers],[State]], 0)</f>
        <v>220</v>
      </c>
      <c r="K44" s="68" cm="1">
        <f t="array" ref="K44">Common_InputFunctions.Utility_DisplayArrayInTable(SourceData_PastureBeef.SourceData_PastureBeef_Liveweight_Data(), Table_SourceData_PastureBeef_Liveweight[[#Headers],[State]], 0)</f>
        <v>380</v>
      </c>
      <c r="L44" s="68" cm="1">
        <f t="array" ref="L44">Common_InputFunctions.Utility_DisplayArrayInTable(SourceData_PastureBeef.SourceData_PastureBeef_Liveweight_Data(), Table_SourceData_PastureBeef_Liveweight[[#Headers],[State]], 0)</f>
        <v>100</v>
      </c>
      <c r="M44" s="68" cm="1">
        <f t="array" ref="M44">Common_InputFunctions.Utility_DisplayArrayInTable(SourceData_PastureBeef.SourceData_PastureBeef_Liveweight_Data(), Table_SourceData_PastureBeef_Liveweight[[#Headers],[State]], 0)</f>
        <v>390</v>
      </c>
    </row>
    <row r="45" spans="1:13"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68" t="str" cm="1">
        <f t="array" ref="E45">Common_InputFunctions.Utility_DisplayArrayInTable(SourceData_PastureBeef.SourceData_PastureBeef_Liveweight_Data(), Table_SourceData_PastureBeef_Liveweight[[#Headers],[State]], 0)</f>
        <v>Kimberley</v>
      </c>
      <c r="F45" s="68" t="str" cm="1">
        <f t="array" ref="F45">Common_InputFunctions.Utility_DisplayArrayInTable(SourceData_PastureBeef.SourceData_PastureBeef_Liveweight_Data(), Table_SourceData_PastureBeef_Liveweight[[#Headers],[State]], 0)</f>
        <v>Autumn</v>
      </c>
      <c r="G45" s="68" cm="1">
        <f t="array" ref="G45">Common_InputFunctions.Utility_DisplayArrayInTable(SourceData_PastureBeef.SourceData_PastureBeef_Liveweight_Data(), Table_SourceData_PastureBeef_Liveweight[[#Headers],[State]], 0)</f>
        <v>170</v>
      </c>
      <c r="H45" s="68" cm="1">
        <f t="array" ref="H45">Common_InputFunctions.Utility_DisplayArrayInTable(SourceData_PastureBeef.SourceData_PastureBeef_Liveweight_Data(), Table_SourceData_PastureBeef_Liveweight[[#Headers],[State]], 0)</f>
        <v>600</v>
      </c>
      <c r="I45" s="68" cm="1">
        <f t="array" ref="I45">Common_InputFunctions.Utility_DisplayArrayInTable(SourceData_PastureBeef.SourceData_PastureBeef_Liveweight_Data(), Table_SourceData_PastureBeef_Liveweight[[#Headers],[State]], 0)</f>
        <v>140</v>
      </c>
      <c r="J45" s="68" cm="1">
        <f t="array" ref="J45">Common_InputFunctions.Utility_DisplayArrayInTable(SourceData_PastureBeef.SourceData_PastureBeef_Liveweight_Data(), Table_SourceData_PastureBeef_Liveweight[[#Headers],[State]], 0)</f>
        <v>270</v>
      </c>
      <c r="K45" s="68" cm="1">
        <f t="array" ref="K45">Common_InputFunctions.Utility_DisplayArrayInTable(SourceData_PastureBeef.SourceData_PastureBeef_Liveweight_Data(), Table_SourceData_PastureBeef_Liveweight[[#Headers],[State]], 0)</f>
        <v>390</v>
      </c>
      <c r="L45" s="68" cm="1">
        <f t="array" ref="L45">Common_InputFunctions.Utility_DisplayArrayInTable(SourceData_PastureBeef.SourceData_PastureBeef_Liveweight_Data(), Table_SourceData_PastureBeef_Liveweight[[#Headers],[State]], 0)</f>
        <v>160</v>
      </c>
      <c r="M45" s="68" cm="1">
        <f t="array" ref="M45">Common_InputFunctions.Utility_DisplayArrayInTable(SourceData_PastureBeef.SourceData_PastureBeef_Liveweight_Data(), Table_SourceData_PastureBeef_Liveweight[[#Headers],[State]], 0)</f>
        <v>430</v>
      </c>
    </row>
    <row r="46" spans="1:13"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68" t="str" cm="1">
        <f t="array" ref="E46">Common_InputFunctions.Utility_DisplayArrayInTable(SourceData_PastureBeef.SourceData_PastureBeef_Liveweight_Data(), Table_SourceData_PastureBeef_Liveweight[[#Headers],[State]], 0)</f>
        <v>Kimberley</v>
      </c>
      <c r="F46" s="68" t="str" cm="1">
        <f t="array" ref="F46">Common_InputFunctions.Utility_DisplayArrayInTable(SourceData_PastureBeef.SourceData_PastureBeef_Liveweight_Data(), Table_SourceData_PastureBeef_Liveweight[[#Headers],[State]], 0)</f>
        <v>Winter</v>
      </c>
      <c r="G46" s="68" cm="1">
        <f t="array" ref="G46">Common_InputFunctions.Utility_DisplayArrayInTable(SourceData_PastureBeef.SourceData_PastureBeef_Liveweight_Data(), Table_SourceData_PastureBeef_Liveweight[[#Headers],[State]], 0)</f>
        <v>200</v>
      </c>
      <c r="H46" s="68" cm="1">
        <f t="array" ref="H46">Common_InputFunctions.Utility_DisplayArrayInTable(SourceData_PastureBeef.SourceData_PastureBeef_Liveweight_Data(), Table_SourceData_PastureBeef_Liveweight[[#Headers],[State]], 0)</f>
        <v>550</v>
      </c>
      <c r="I46" s="68" cm="1">
        <f t="array" ref="I46">Common_InputFunctions.Utility_DisplayArrayInTable(SourceData_PastureBeef.SourceData_PastureBeef_Liveweight_Data(), Table_SourceData_PastureBeef_Liveweight[[#Headers],[State]], 0)</f>
        <v>150</v>
      </c>
      <c r="J46" s="68" cm="1">
        <f t="array" ref="J46">Common_InputFunctions.Utility_DisplayArrayInTable(SourceData_PastureBeef.SourceData_PastureBeef_Liveweight_Data(), Table_SourceData_PastureBeef_Liveweight[[#Headers],[State]], 0)</f>
        <v>280</v>
      </c>
      <c r="K46" s="68" cm="1">
        <f t="array" ref="K46">Common_InputFunctions.Utility_DisplayArrayInTable(SourceData_PastureBeef.SourceData_PastureBeef_Liveweight_Data(), Table_SourceData_PastureBeef_Liveweight[[#Headers],[State]], 0)</f>
        <v>350</v>
      </c>
      <c r="L46" s="68" cm="1">
        <f t="array" ref="L46">Common_InputFunctions.Utility_DisplayArrayInTable(SourceData_PastureBeef.SourceData_PastureBeef_Liveweight_Data(), Table_SourceData_PastureBeef_Liveweight[[#Headers],[State]], 0)</f>
        <v>190</v>
      </c>
      <c r="M46" s="68" cm="1">
        <f t="array" ref="M46">Common_InputFunctions.Utility_DisplayArrayInTable(SourceData_PastureBeef.SourceData_PastureBeef_Liveweight_Data(), Table_SourceData_PastureBeef_Liveweight[[#Headers],[State]], 0)</f>
        <v>400</v>
      </c>
    </row>
    <row r="47" spans="1:13" ht="20.100000000000001" customHeight="1" x14ac:dyDescent="0.25">
      <c r="M47" s="1"/>
    </row>
    <row r="48" spans="1:13" ht="20.100000000000001" customHeight="1" x14ac:dyDescent="0.25">
      <c r="M48" s="1"/>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46"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7" t="str" cm="1">
        <f t="array" ref="D52">SourceData_PastureBeef.SourceData_PastureBeef_LiveweightNTQLD_Unit()</f>
        <v>kg</v>
      </c>
      <c r="M52" s="1"/>
    </row>
    <row r="53" spans="4:16" ht="20.100000000000001" customHeight="1" x14ac:dyDescent="0.25">
      <c r="D53" s="68" t="s">
        <v>22</v>
      </c>
      <c r="E53" s="68" t="s">
        <v>132</v>
      </c>
      <c r="F53" s="68" t="s">
        <v>84</v>
      </c>
      <c r="G53" s="68" t="s">
        <v>158</v>
      </c>
      <c r="H53" s="68" t="s">
        <v>159</v>
      </c>
      <c r="I53" s="68" t="s">
        <v>160</v>
      </c>
      <c r="J53" s="68" t="s">
        <v>161</v>
      </c>
      <c r="K53" s="68" t="s">
        <v>162</v>
      </c>
      <c r="L53" s="68" t="s">
        <v>163</v>
      </c>
      <c r="M53" s="68" t="s">
        <v>164</v>
      </c>
      <c r="N53" s="68" t="s">
        <v>165</v>
      </c>
      <c r="O53" s="68" t="s">
        <v>166</v>
      </c>
      <c r="P53" s="68" t="s">
        <v>167</v>
      </c>
    </row>
    <row r="54" spans="4:16" ht="20.100000000000001" customHeight="1" x14ac:dyDescent="0.25">
      <c r="D54" s="68" t="str" cm="1">
        <f t="array" ref="D54">Common_InputFunctions.Utility_DisplayArrayInTable(SourceData_PastureBeef.SourceData_PastureBeef_LiveweightNTQLD_Data(),Table_SourceData_PastureBeef_LiveweightNTQD[[#Headers],[State]], 0)</f>
        <v>Northern Territory</v>
      </c>
      <c r="E54" s="68" t="str" cm="1">
        <f t="array" ref="E54">Common_InputFunctions.Utility_DisplayArrayInTable(SourceData_PastureBeef.SourceData_PastureBeef_LiveweightNTQLD_Data(),Table_SourceData_PastureBeef_LiveweightNTQD[[#Headers],[State]], 0)</f>
        <v>Alice Springs</v>
      </c>
      <c r="F54" s="68" t="str" cm="1">
        <f t="array" ref="F54">Common_InputFunctions.Utility_DisplayArrayInTable(SourceData_PastureBeef.SourceData_PastureBeef_LiveweightNTQLD_Data(),Table_SourceData_PastureBeef_LiveweightNTQD[[#Headers],[State]], 0)</f>
        <v>Spring</v>
      </c>
      <c r="G54" s="68" cm="1">
        <f t="array" ref="G54">Common_InputFunctions.Utility_DisplayArrayInTable(SourceData_PastureBeef.SourceData_PastureBeef_LiveweightNTQLD_Data(),Table_SourceData_PastureBeef_LiveweightNTQD[[#Headers],[State]], 0)</f>
        <v>220</v>
      </c>
      <c r="H54" s="68" cm="1">
        <f t="array" ref="H54">Common_InputFunctions.Utility_DisplayArrayInTable(SourceData_PastureBeef.SourceData_PastureBeef_LiveweightNTQLD_Data(),Table_SourceData_PastureBeef_LiveweightNTQD[[#Headers],[State]], 0)</f>
        <v>706</v>
      </c>
      <c r="I54" s="68" cm="1">
        <f t="array" ref="I54">Common_InputFunctions.Utility_DisplayArrayInTable(SourceData_PastureBeef.SourceData_PastureBeef_LiveweightNTQLD_Data(),Table_SourceData_PastureBeef_LiveweightNTQD[[#Headers],[State]], 0)</f>
        <v>208</v>
      </c>
      <c r="J54" s="68" cm="1">
        <f t="array" ref="J54">Common_InputFunctions.Utility_DisplayArrayInTable(SourceData_PastureBeef.SourceData_PastureBeef_LiveweightNTQLD_Data(),Table_SourceData_PastureBeef_LiveweightNTQD[[#Headers],[State]], 0)</f>
        <v>323</v>
      </c>
      <c r="K54" s="68" cm="1">
        <f t="array" ref="K54">Common_InputFunctions.Utility_DisplayArrayInTable(SourceData_PastureBeef.SourceData_PastureBeef_LiveweightNTQLD_Data(),Table_SourceData_PastureBeef_LiveweightNTQD[[#Headers],[State]], 0)</f>
        <v>415</v>
      </c>
      <c r="L54" s="68" cm="1">
        <f t="array" ref="L54">Common_InputFunctions.Utility_DisplayArrayInTable(SourceData_PastureBeef.SourceData_PastureBeef_LiveweightNTQLD_Data(),Table_SourceData_PastureBeef_LiveweightNTQD[[#Headers],[State]], 0)</f>
        <v>467</v>
      </c>
      <c r="M54" s="68" cm="1">
        <f t="array" ref="M54">Common_InputFunctions.Utility_DisplayArrayInTable(SourceData_PastureBeef.SourceData_PastureBeef_LiveweightNTQLD_Data(),Table_SourceData_PastureBeef_LiveweightNTQD[[#Headers],[State]], 0)</f>
        <v>223</v>
      </c>
      <c r="N54" s="68" cm="1">
        <f t="array" ref="N54">Common_InputFunctions.Utility_DisplayArrayInTable(SourceData_PastureBeef.SourceData_PastureBeef_LiveweightNTQLD_Data(),Table_SourceData_PastureBeef_LiveweightNTQD[[#Headers],[State]], 0)</f>
        <v>371</v>
      </c>
      <c r="O54" s="68" cm="1">
        <f t="array" ref="O54">Common_InputFunctions.Utility_DisplayArrayInTable(SourceData_PastureBeef.SourceData_PastureBeef_LiveweightNTQLD_Data(),Table_SourceData_PastureBeef_LiveweightNTQD[[#Headers],[State]], 0)</f>
        <v>493</v>
      </c>
      <c r="P54" s="68"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68" t="str" cm="1">
        <f t="array" ref="E55">Common_InputFunctions.Utility_DisplayArrayInTable(SourceData_PastureBeef.SourceData_PastureBeef_LiveweightNTQLD_Data(),Table_SourceData_PastureBeef_LiveweightNTQD[[#Headers],[State]], 0)</f>
        <v>Alice Springs</v>
      </c>
      <c r="F55" s="68" t="str" cm="1">
        <f t="array" ref="F55">Common_InputFunctions.Utility_DisplayArrayInTable(SourceData_PastureBeef.SourceData_PastureBeef_LiveweightNTQLD_Data(),Table_SourceData_PastureBeef_LiveweightNTQD[[#Headers],[State]], 0)</f>
        <v>Summer</v>
      </c>
      <c r="G55" s="68" cm="1">
        <f t="array" ref="G55">Common_InputFunctions.Utility_DisplayArrayInTable(SourceData_PastureBeef.SourceData_PastureBeef_LiveweightNTQLD_Data(),Table_SourceData_PastureBeef_LiveweightNTQD[[#Headers],[State]], 0)</f>
        <v>110</v>
      </c>
      <c r="H55" s="68" cm="1">
        <f t="array" ref="H55">Common_InputFunctions.Utility_DisplayArrayInTable(SourceData_PastureBeef.SourceData_PastureBeef_LiveweightNTQLD_Data(),Table_SourceData_PastureBeef_LiveweightNTQD[[#Headers],[State]], 0)</f>
        <v>703</v>
      </c>
      <c r="I55" s="68" cm="1">
        <f t="array" ref="I55">Common_InputFunctions.Utility_DisplayArrayInTable(SourceData_PastureBeef.SourceData_PastureBeef_LiveweightNTQLD_Data(),Table_SourceData_PastureBeef_LiveweightNTQD[[#Headers],[State]], 0)</f>
        <v>112</v>
      </c>
      <c r="J55" s="68" cm="1">
        <f t="array" ref="J55">Common_InputFunctions.Utility_DisplayArrayInTable(SourceData_PastureBeef.SourceData_PastureBeef_LiveweightNTQLD_Data(),Table_SourceData_PastureBeef_LiveweightNTQD[[#Headers],[State]], 0)</f>
        <v>256</v>
      </c>
      <c r="K55" s="68" cm="1">
        <f t="array" ref="K55">Common_InputFunctions.Utility_DisplayArrayInTable(SourceData_PastureBeef.SourceData_PastureBeef_LiveweightNTQLD_Data(),Table_SourceData_PastureBeef_LiveweightNTQD[[#Headers],[State]], 0)</f>
        <v>368</v>
      </c>
      <c r="L55" s="68" cm="1">
        <f t="array" ref="L55">Common_InputFunctions.Utility_DisplayArrayInTable(SourceData_PastureBeef.SourceData_PastureBeef_LiveweightNTQLD_Data(),Table_SourceData_PastureBeef_LiveweightNTQD[[#Headers],[State]], 0)</f>
        <v>465</v>
      </c>
      <c r="M55" s="68" cm="1">
        <f t="array" ref="M55">Common_InputFunctions.Utility_DisplayArrayInTable(SourceData_PastureBeef.SourceData_PastureBeef_LiveweightNTQLD_Data(),Table_SourceData_PastureBeef_LiveweightNTQD[[#Headers],[State]], 0)</f>
        <v>108</v>
      </c>
      <c r="N55" s="68" cm="1">
        <f t="array" ref="N55">Common_InputFunctions.Utility_DisplayArrayInTable(SourceData_PastureBeef.SourceData_PastureBeef_LiveweightNTQLD_Data(),Table_SourceData_PastureBeef_LiveweightNTQD[[#Headers],[State]], 0)</f>
        <v>280</v>
      </c>
      <c r="O55" s="68" cm="1">
        <f t="array" ref="O55">Common_InputFunctions.Utility_DisplayArrayInTable(SourceData_PastureBeef.SourceData_PastureBeef_LiveweightNTQLD_Data(),Table_SourceData_PastureBeef_LiveweightNTQD[[#Headers],[State]], 0)</f>
        <v>421</v>
      </c>
      <c r="P55" s="68"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68" t="str" cm="1">
        <f t="array" ref="E56">Common_InputFunctions.Utility_DisplayArrayInTable(SourceData_PastureBeef.SourceData_PastureBeef_LiveweightNTQLD_Data(),Table_SourceData_PastureBeef_LiveweightNTQD[[#Headers],[State]], 0)</f>
        <v>Alice Springs</v>
      </c>
      <c r="F56" s="68" t="str" cm="1">
        <f t="array" ref="F56">Common_InputFunctions.Utility_DisplayArrayInTable(SourceData_PastureBeef.SourceData_PastureBeef_LiveweightNTQLD_Data(),Table_SourceData_PastureBeef_LiveweightNTQD[[#Headers],[State]], 0)</f>
        <v>Autumn</v>
      </c>
      <c r="G56" s="68" cm="1">
        <f t="array" ref="G56">Common_InputFunctions.Utility_DisplayArrayInTable(SourceData_PastureBeef.SourceData_PastureBeef_LiveweightNTQLD_Data(),Table_SourceData_PastureBeef_LiveweightNTQD[[#Headers],[State]], 0)</f>
        <v>170</v>
      </c>
      <c r="H56" s="68" cm="1">
        <f t="array" ref="H56">Common_InputFunctions.Utility_DisplayArrayInTable(SourceData_PastureBeef.SourceData_PastureBeef_LiveweightNTQLD_Data(),Table_SourceData_PastureBeef_LiveweightNTQD[[#Headers],[State]], 0)</f>
        <v>721</v>
      </c>
      <c r="I56" s="68" cm="1">
        <f t="array" ref="I56">Common_InputFunctions.Utility_DisplayArrayInTable(SourceData_PastureBeef.SourceData_PastureBeef_LiveweightNTQLD_Data(),Table_SourceData_PastureBeef_LiveweightNTQD[[#Headers],[State]], 0)</f>
        <v>169</v>
      </c>
      <c r="J56" s="68" cm="1">
        <f t="array" ref="J56">Common_InputFunctions.Utility_DisplayArrayInTable(SourceData_PastureBeef.SourceData_PastureBeef_LiveweightNTQLD_Data(),Table_SourceData_PastureBeef_LiveweightNTQD[[#Headers],[State]], 0)</f>
        <v>306</v>
      </c>
      <c r="K56" s="68" cm="1">
        <f t="array" ref="K56">Common_InputFunctions.Utility_DisplayArrayInTable(SourceData_PastureBeef.SourceData_PastureBeef_LiveweightNTQLD_Data(),Table_SourceData_PastureBeef_LiveweightNTQD[[#Headers],[State]], 0)</f>
        <v>392</v>
      </c>
      <c r="L56" s="68" cm="1">
        <f t="array" ref="L56">Common_InputFunctions.Utility_DisplayArrayInTable(SourceData_PastureBeef.SourceData_PastureBeef_LiveweightNTQLD_Data(),Table_SourceData_PastureBeef_LiveweightNTQD[[#Headers],[State]], 0)</f>
        <v>464</v>
      </c>
      <c r="M56" s="68" cm="1">
        <f t="array" ref="M56">Common_InputFunctions.Utility_DisplayArrayInTable(SourceData_PastureBeef.SourceData_PastureBeef_LiveweightNTQLD_Data(),Table_SourceData_PastureBeef_LiveweightNTQD[[#Headers],[State]], 0)</f>
        <v>176</v>
      </c>
      <c r="N56" s="68" cm="1">
        <f t="array" ref="N56">Common_InputFunctions.Utility_DisplayArrayInTable(SourceData_PastureBeef.SourceData_PastureBeef_LiveweightNTQLD_Data(),Table_SourceData_PastureBeef_LiveweightNTQD[[#Headers],[State]], 0)</f>
        <v>339</v>
      </c>
      <c r="O56" s="68" cm="1">
        <f t="array" ref="O56">Common_InputFunctions.Utility_DisplayArrayInTable(SourceData_PastureBeef.SourceData_PastureBeef_LiveweightNTQLD_Data(),Table_SourceData_PastureBeef_LiveweightNTQD[[#Headers],[State]], 0)</f>
        <v>470</v>
      </c>
      <c r="P56" s="68"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68" t="str" cm="1">
        <f t="array" ref="E57">Common_InputFunctions.Utility_DisplayArrayInTable(SourceData_PastureBeef.SourceData_PastureBeef_LiveweightNTQLD_Data(),Table_SourceData_PastureBeef_LiveweightNTQD[[#Headers],[State]], 0)</f>
        <v>Alice Springs</v>
      </c>
      <c r="F57" s="68" t="str" cm="1">
        <f t="array" ref="F57">Common_InputFunctions.Utility_DisplayArrayInTable(SourceData_PastureBeef.SourceData_PastureBeef_LiveweightNTQLD_Data(),Table_SourceData_PastureBeef_LiveweightNTQD[[#Headers],[State]], 0)</f>
        <v>Winter</v>
      </c>
      <c r="G57" s="68" cm="1">
        <f t="array" ref="G57">Common_InputFunctions.Utility_DisplayArrayInTable(SourceData_PastureBeef.SourceData_PastureBeef_LiveweightNTQLD_Data(),Table_SourceData_PastureBeef_LiveweightNTQD[[#Headers],[State]], 0)</f>
        <v>200</v>
      </c>
      <c r="H57" s="68" cm="1">
        <f t="array" ref="H57">Common_InputFunctions.Utility_DisplayArrayInTable(SourceData_PastureBeef.SourceData_PastureBeef_LiveweightNTQLD_Data(),Table_SourceData_PastureBeef_LiveweightNTQD[[#Headers],[State]], 0)</f>
        <v>727</v>
      </c>
      <c r="I57" s="68" cm="1">
        <f t="array" ref="I57">Common_InputFunctions.Utility_DisplayArrayInTable(SourceData_PastureBeef.SourceData_PastureBeef_LiveweightNTQLD_Data(),Table_SourceData_PastureBeef_LiveweightNTQD[[#Headers],[State]], 0)</f>
        <v>211</v>
      </c>
      <c r="J57" s="68" cm="1">
        <f t="array" ref="J57">Common_InputFunctions.Utility_DisplayArrayInTable(SourceData_PastureBeef.SourceData_PastureBeef_LiveweightNTQLD_Data(),Table_SourceData_PastureBeef_LiveweightNTQD[[#Headers],[State]], 0)</f>
        <v>338</v>
      </c>
      <c r="K57" s="68" cm="1">
        <f t="array" ref="K57">Common_InputFunctions.Utility_DisplayArrayInTable(SourceData_PastureBeef.SourceData_PastureBeef_LiveweightNTQLD_Data(),Table_SourceData_PastureBeef_LiveweightNTQD[[#Headers],[State]], 0)</f>
        <v>432</v>
      </c>
      <c r="L57" s="68" cm="1">
        <f t="array" ref="L57">Common_InputFunctions.Utility_DisplayArrayInTable(SourceData_PastureBeef.SourceData_PastureBeef_LiveweightNTQLD_Data(),Table_SourceData_PastureBeef_LiveweightNTQD[[#Headers],[State]], 0)</f>
        <v>492</v>
      </c>
      <c r="M57" s="68" cm="1">
        <f t="array" ref="M57">Common_InputFunctions.Utility_DisplayArrayInTable(SourceData_PastureBeef.SourceData_PastureBeef_LiveweightNTQLD_Data(),Table_SourceData_PastureBeef_LiveweightNTQD[[#Headers],[State]], 0)</f>
        <v>222</v>
      </c>
      <c r="N57" s="68" cm="1">
        <f t="array" ref="N57">Common_InputFunctions.Utility_DisplayArrayInTable(SourceData_PastureBeef.SourceData_PastureBeef_LiveweightNTQLD_Data(),Table_SourceData_PastureBeef_LiveweightNTQD[[#Headers],[State]], 0)</f>
        <v>377</v>
      </c>
      <c r="O57" s="68" cm="1">
        <f t="array" ref="O57">Common_InputFunctions.Utility_DisplayArrayInTable(SourceData_PastureBeef.SourceData_PastureBeef_LiveweightNTQLD_Data(),Table_SourceData_PastureBeef_LiveweightNTQD[[#Headers],[State]], 0)</f>
        <v>498</v>
      </c>
      <c r="P57" s="68"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68" t="str" cm="1">
        <f t="array" ref="E58">Common_InputFunctions.Utility_DisplayArrayInTable(SourceData_PastureBeef.SourceData_PastureBeef_LiveweightNTQLD_Data(),Table_SourceData_PastureBeef_LiveweightNTQD[[#Headers],[State]], 0)</f>
        <v>Barkly</v>
      </c>
      <c r="F58" s="68" t="str" cm="1">
        <f t="array" ref="F58">Common_InputFunctions.Utility_DisplayArrayInTable(SourceData_PastureBeef.SourceData_PastureBeef_LiveweightNTQLD_Data(),Table_SourceData_PastureBeef_LiveweightNTQD[[#Headers],[State]], 0)</f>
        <v>Spring</v>
      </c>
      <c r="G58" s="68" cm="1">
        <f t="array" ref="G58">Common_InputFunctions.Utility_DisplayArrayInTable(SourceData_PastureBeef.SourceData_PastureBeef_LiveweightNTQLD_Data(),Table_SourceData_PastureBeef_LiveweightNTQD[[#Headers],[State]], 0)</f>
        <v>220</v>
      </c>
      <c r="H58" s="68" cm="1">
        <f t="array" ref="H58">Common_InputFunctions.Utility_DisplayArrayInTable(SourceData_PastureBeef.SourceData_PastureBeef_LiveweightNTQLD_Data(),Table_SourceData_PastureBeef_LiveweightNTQD[[#Headers],[State]], 0)</f>
        <v>620</v>
      </c>
      <c r="I58" s="68" cm="1">
        <f t="array" ref="I58">Common_InputFunctions.Utility_DisplayArrayInTable(SourceData_PastureBeef.SourceData_PastureBeef_LiveweightNTQLD_Data(),Table_SourceData_PastureBeef_LiveweightNTQD[[#Headers],[State]], 0)</f>
        <v>227</v>
      </c>
      <c r="J58" s="68" cm="1">
        <f t="array" ref="J58">Common_InputFunctions.Utility_DisplayArrayInTable(SourceData_PastureBeef.SourceData_PastureBeef_LiveweightNTQLD_Data(),Table_SourceData_PastureBeef_LiveweightNTQD[[#Headers],[State]], 0)</f>
        <v>319</v>
      </c>
      <c r="K58" s="68" cm="1">
        <f t="array" ref="K58">Common_InputFunctions.Utility_DisplayArrayInTable(SourceData_PastureBeef.SourceData_PastureBeef_LiveweightNTQLD_Data(),Table_SourceData_PastureBeef_LiveweightNTQD[[#Headers],[State]], 0)</f>
        <v>398</v>
      </c>
      <c r="L58" s="68" cm="1">
        <f t="array" ref="L58">Common_InputFunctions.Utility_DisplayArrayInTable(SourceData_PastureBeef.SourceData_PastureBeef_LiveweightNTQLD_Data(),Table_SourceData_PastureBeef_LiveweightNTQD[[#Headers],[State]], 0)</f>
        <v>452</v>
      </c>
      <c r="M58" s="68" cm="1">
        <f t="array" ref="M58">Common_InputFunctions.Utility_DisplayArrayInTable(SourceData_PastureBeef.SourceData_PastureBeef_LiveweightNTQLD_Data(),Table_SourceData_PastureBeef_LiveweightNTQD[[#Headers],[State]], 0)</f>
        <v>216</v>
      </c>
      <c r="N58" s="68" cm="1">
        <f t="array" ref="N58">Common_InputFunctions.Utility_DisplayArrayInTable(SourceData_PastureBeef.SourceData_PastureBeef_LiveweightNTQLD_Data(),Table_SourceData_PastureBeef_LiveweightNTQD[[#Headers],[State]], 0)</f>
        <v>334</v>
      </c>
      <c r="O58" s="68" t="str" cm="1">
        <f t="array" ref="O58">Common_InputFunctions.Utility_DisplayArrayInTable(SourceData_PastureBeef.SourceData_PastureBeef_LiveweightNTQLD_Data(),Table_SourceData_PastureBeef_LiveweightNTQD[[#Headers],[State]], 0)</f>
        <v>NO</v>
      </c>
      <c r="P58" s="68"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68" t="str" cm="1">
        <f t="array" ref="E59">Common_InputFunctions.Utility_DisplayArrayInTable(SourceData_PastureBeef.SourceData_PastureBeef_LiveweightNTQLD_Data(),Table_SourceData_PastureBeef_LiveweightNTQD[[#Headers],[State]], 0)</f>
        <v>Barkly</v>
      </c>
      <c r="F59" s="68" t="str" cm="1">
        <f t="array" ref="F59">Common_InputFunctions.Utility_DisplayArrayInTable(SourceData_PastureBeef.SourceData_PastureBeef_LiveweightNTQLD_Data(),Table_SourceData_PastureBeef_LiveweightNTQD[[#Headers],[State]], 0)</f>
        <v>Summer</v>
      </c>
      <c r="G59" s="68" cm="1">
        <f t="array" ref="G59">Common_InputFunctions.Utility_DisplayArrayInTable(SourceData_PastureBeef.SourceData_PastureBeef_LiveweightNTQLD_Data(),Table_SourceData_PastureBeef_LiveweightNTQD[[#Headers],[State]], 0)</f>
        <v>110</v>
      </c>
      <c r="H59" s="68" cm="1">
        <f t="array" ref="H59">Common_InputFunctions.Utility_DisplayArrayInTable(SourceData_PastureBeef.SourceData_PastureBeef_LiveweightNTQLD_Data(),Table_SourceData_PastureBeef_LiveweightNTQD[[#Headers],[State]], 0)</f>
        <v>650</v>
      </c>
      <c r="I59" s="68" cm="1">
        <f t="array" ref="I59">Common_InputFunctions.Utility_DisplayArrayInTable(SourceData_PastureBeef.SourceData_PastureBeef_LiveweightNTQLD_Data(),Table_SourceData_PastureBeef_LiveweightNTQD[[#Headers],[State]], 0)</f>
        <v>108</v>
      </c>
      <c r="J59" s="68" cm="1">
        <f t="array" ref="J59">Common_InputFunctions.Utility_DisplayArrayInTable(SourceData_PastureBeef.SourceData_PastureBeef_LiveweightNTQLD_Data(),Table_SourceData_PastureBeef_LiveweightNTQD[[#Headers],[State]], 0)</f>
        <v>262</v>
      </c>
      <c r="K59" s="68" cm="1">
        <f t="array" ref="K59">Common_InputFunctions.Utility_DisplayArrayInTable(SourceData_PastureBeef.SourceData_PastureBeef_LiveweightNTQLD_Data(),Table_SourceData_PastureBeef_LiveweightNTQD[[#Headers],[State]], 0)</f>
        <v>346</v>
      </c>
      <c r="L59" s="68" cm="1">
        <f t="array" ref="L59">Common_InputFunctions.Utility_DisplayArrayInTable(SourceData_PastureBeef.SourceData_PastureBeef_LiveweightNTQLD_Data(),Table_SourceData_PastureBeef_LiveweightNTQD[[#Headers],[State]], 0)</f>
        <v>430</v>
      </c>
      <c r="M59" s="68" cm="1">
        <f t="array" ref="M59">Common_InputFunctions.Utility_DisplayArrayInTable(SourceData_PastureBeef.SourceData_PastureBeef_LiveweightNTQLD_Data(),Table_SourceData_PastureBeef_LiveweightNTQD[[#Headers],[State]], 0)</f>
        <v>111</v>
      </c>
      <c r="N59" s="68" cm="1">
        <f t="array" ref="N59">Common_InputFunctions.Utility_DisplayArrayInTable(SourceData_PastureBeef.SourceData_PastureBeef_LiveweightNTQLD_Data(),Table_SourceData_PastureBeef_LiveweightNTQD[[#Headers],[State]], 0)</f>
        <v>236</v>
      </c>
      <c r="O59" s="68" t="str" cm="1">
        <f t="array" ref="O59">Common_InputFunctions.Utility_DisplayArrayInTable(SourceData_PastureBeef.SourceData_PastureBeef_LiveweightNTQLD_Data(),Table_SourceData_PastureBeef_LiveweightNTQD[[#Headers],[State]], 0)</f>
        <v>NO</v>
      </c>
      <c r="P59" s="68"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68" t="str" cm="1">
        <f t="array" ref="E60">Common_InputFunctions.Utility_DisplayArrayInTable(SourceData_PastureBeef.SourceData_PastureBeef_LiveweightNTQLD_Data(),Table_SourceData_PastureBeef_LiveweightNTQD[[#Headers],[State]], 0)</f>
        <v>Barkly</v>
      </c>
      <c r="F60" s="68" t="str" cm="1">
        <f t="array" ref="F60">Common_InputFunctions.Utility_DisplayArrayInTable(SourceData_PastureBeef.SourceData_PastureBeef_LiveweightNTQLD_Data(),Table_SourceData_PastureBeef_LiveweightNTQD[[#Headers],[State]], 0)</f>
        <v>Autumn</v>
      </c>
      <c r="G60" s="68" cm="1">
        <f t="array" ref="G60">Common_InputFunctions.Utility_DisplayArrayInTable(SourceData_PastureBeef.SourceData_PastureBeef_LiveweightNTQLD_Data(),Table_SourceData_PastureBeef_LiveweightNTQD[[#Headers],[State]], 0)</f>
        <v>170</v>
      </c>
      <c r="H60" s="68" cm="1">
        <f t="array" ref="H60">Common_InputFunctions.Utility_DisplayArrayInTable(SourceData_PastureBeef.SourceData_PastureBeef_LiveweightNTQLD_Data(),Table_SourceData_PastureBeef_LiveweightNTQD[[#Headers],[State]], 0)</f>
        <v>670</v>
      </c>
      <c r="I60" s="68" cm="1">
        <f t="array" ref="I60">Common_InputFunctions.Utility_DisplayArrayInTable(SourceData_PastureBeef.SourceData_PastureBeef_LiveweightNTQLD_Data(),Table_SourceData_PastureBeef_LiveweightNTQD[[#Headers],[State]], 0)</f>
        <v>170</v>
      </c>
      <c r="J60" s="68" cm="1">
        <f t="array" ref="J60">Common_InputFunctions.Utility_DisplayArrayInTable(SourceData_PastureBeef.SourceData_PastureBeef_LiveweightNTQLD_Data(),Table_SourceData_PastureBeef_LiveweightNTQD[[#Headers],[State]], 0)</f>
        <v>266</v>
      </c>
      <c r="K60" s="68" cm="1">
        <f t="array" ref="K60">Common_InputFunctions.Utility_DisplayArrayInTable(SourceData_PastureBeef.SourceData_PastureBeef_LiveweightNTQLD_Data(),Table_SourceData_PastureBeef_LiveweightNTQD[[#Headers],[State]], 0)</f>
        <v>363</v>
      </c>
      <c r="L60" s="68" cm="1">
        <f t="array" ref="L60">Common_InputFunctions.Utility_DisplayArrayInTable(SourceData_PastureBeef.SourceData_PastureBeef_LiveweightNTQLD_Data(),Table_SourceData_PastureBeef_LiveweightNTQD[[#Headers],[State]], 0)</f>
        <v>444</v>
      </c>
      <c r="M60" s="68" cm="1">
        <f t="array" ref="M60">Common_InputFunctions.Utility_DisplayArrayInTable(SourceData_PastureBeef.SourceData_PastureBeef_LiveweightNTQLD_Data(),Table_SourceData_PastureBeef_LiveweightNTQD[[#Headers],[State]], 0)</f>
        <v>169</v>
      </c>
      <c r="N60" s="68" cm="1">
        <f t="array" ref="N60">Common_InputFunctions.Utility_DisplayArrayInTable(SourceData_PastureBeef.SourceData_PastureBeef_LiveweightNTQLD_Data(),Table_SourceData_PastureBeef_LiveweightNTQD[[#Headers],[State]], 0)</f>
        <v>282</v>
      </c>
      <c r="O60" s="68" t="str" cm="1">
        <f t="array" ref="O60">Common_InputFunctions.Utility_DisplayArrayInTable(SourceData_PastureBeef.SourceData_PastureBeef_LiveweightNTQLD_Data(),Table_SourceData_PastureBeef_LiveweightNTQD[[#Headers],[State]], 0)</f>
        <v>NO</v>
      </c>
      <c r="P60" s="68"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68" t="str" cm="1">
        <f t="array" ref="E61">Common_InputFunctions.Utility_DisplayArrayInTable(SourceData_PastureBeef.SourceData_PastureBeef_LiveweightNTQLD_Data(),Table_SourceData_PastureBeef_LiveweightNTQD[[#Headers],[State]], 0)</f>
        <v>Barkly</v>
      </c>
      <c r="F61" s="68" t="str" cm="1">
        <f t="array" ref="F61">Common_InputFunctions.Utility_DisplayArrayInTable(SourceData_PastureBeef.SourceData_PastureBeef_LiveweightNTQLD_Data(),Table_SourceData_PastureBeef_LiveweightNTQD[[#Headers],[State]], 0)</f>
        <v>Winter</v>
      </c>
      <c r="G61" s="68" cm="1">
        <f t="array" ref="G61">Common_InputFunctions.Utility_DisplayArrayInTable(SourceData_PastureBeef.SourceData_PastureBeef_LiveweightNTQLD_Data(),Table_SourceData_PastureBeef_LiveweightNTQD[[#Headers],[State]], 0)</f>
        <v>200</v>
      </c>
      <c r="H61" s="68" cm="1">
        <f t="array" ref="H61">Common_InputFunctions.Utility_DisplayArrayInTable(SourceData_PastureBeef.SourceData_PastureBeef_LiveweightNTQLD_Data(),Table_SourceData_PastureBeef_LiveweightNTQD[[#Headers],[State]], 0)</f>
        <v>660</v>
      </c>
      <c r="I61" s="68" cm="1">
        <f t="array" ref="I61">Common_InputFunctions.Utility_DisplayArrayInTable(SourceData_PastureBeef.SourceData_PastureBeef_LiveweightNTQLD_Data(),Table_SourceData_PastureBeef_LiveweightNTQD[[#Headers],[State]], 0)</f>
        <v>225</v>
      </c>
      <c r="J61" s="68" cm="1">
        <f t="array" ref="J61">Common_InputFunctions.Utility_DisplayArrayInTable(SourceData_PastureBeef.SourceData_PastureBeef_LiveweightNTQLD_Data(),Table_SourceData_PastureBeef_LiveweightNTQD[[#Headers],[State]], 0)</f>
        <v>307</v>
      </c>
      <c r="K61" s="68" cm="1">
        <f t="array" ref="K61">Common_InputFunctions.Utility_DisplayArrayInTable(SourceData_PastureBeef.SourceData_PastureBeef_LiveweightNTQLD_Data(),Table_SourceData_PastureBeef_LiveweightNTQD[[#Headers],[State]], 0)</f>
        <v>398</v>
      </c>
      <c r="L61" s="68" cm="1">
        <f t="array" ref="L61">Common_InputFunctions.Utility_DisplayArrayInTable(SourceData_PastureBeef.SourceData_PastureBeef_LiveweightNTQLD_Data(),Table_SourceData_PastureBeef_LiveweightNTQD[[#Headers],[State]], 0)</f>
        <v>452</v>
      </c>
      <c r="M61" s="68" cm="1">
        <f t="array" ref="M61">Common_InputFunctions.Utility_DisplayArrayInTable(SourceData_PastureBeef.SourceData_PastureBeef_LiveweightNTQLD_Data(),Table_SourceData_PastureBeef_LiveweightNTQD[[#Headers],[State]], 0)</f>
        <v>214</v>
      </c>
      <c r="N61" s="68" cm="1">
        <f t="array" ref="N61">Common_InputFunctions.Utility_DisplayArrayInTable(SourceData_PastureBeef.SourceData_PastureBeef_LiveweightNTQLD_Data(),Table_SourceData_PastureBeef_LiveweightNTQD[[#Headers],[State]], 0)</f>
        <v>326</v>
      </c>
      <c r="O61" s="68" t="str" cm="1">
        <f t="array" ref="O61">Common_InputFunctions.Utility_DisplayArrayInTable(SourceData_PastureBeef.SourceData_PastureBeef_LiveweightNTQLD_Data(),Table_SourceData_PastureBeef_LiveweightNTQD[[#Headers],[State]], 0)</f>
        <v>NO</v>
      </c>
      <c r="P61" s="68"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68" t="str" cm="1">
        <f t="array" ref="E62">Common_InputFunctions.Utility_DisplayArrayInTable(SourceData_PastureBeef.SourceData_PastureBeef_LiveweightNTQLD_Data(),Table_SourceData_PastureBeef_LiveweightNTQD[[#Headers],[State]], 0)</f>
        <v>Northern</v>
      </c>
      <c r="F62" s="68" t="str" cm="1">
        <f t="array" ref="F62">Common_InputFunctions.Utility_DisplayArrayInTable(SourceData_PastureBeef.SourceData_PastureBeef_LiveweightNTQLD_Data(),Table_SourceData_PastureBeef_LiveweightNTQD[[#Headers],[State]], 0)</f>
        <v>Spring</v>
      </c>
      <c r="G62" s="68" cm="1">
        <f t="array" ref="G62">Common_InputFunctions.Utility_DisplayArrayInTable(SourceData_PastureBeef.SourceData_PastureBeef_LiveweightNTQLD_Data(),Table_SourceData_PastureBeef_LiveweightNTQD[[#Headers],[State]], 0)</f>
        <v>220</v>
      </c>
      <c r="H62" s="68" cm="1">
        <f t="array" ref="H62">Common_InputFunctions.Utility_DisplayArrayInTable(SourceData_PastureBeef.SourceData_PastureBeef_LiveweightNTQLD_Data(),Table_SourceData_PastureBeef_LiveweightNTQD[[#Headers],[State]], 0)</f>
        <v>620</v>
      </c>
      <c r="I62" s="68" cm="1">
        <f t="array" ref="I62">Common_InputFunctions.Utility_DisplayArrayInTable(SourceData_PastureBeef.SourceData_PastureBeef_LiveweightNTQLD_Data(),Table_SourceData_PastureBeef_LiveweightNTQD[[#Headers],[State]], 0)</f>
        <v>177</v>
      </c>
      <c r="J62" s="68" cm="1">
        <f t="array" ref="J62">Common_InputFunctions.Utility_DisplayArrayInTable(SourceData_PastureBeef.SourceData_PastureBeef_LiveweightNTQLD_Data(),Table_SourceData_PastureBeef_LiveweightNTQD[[#Headers],[State]], 0)</f>
        <v>267</v>
      </c>
      <c r="K62" s="68" cm="1">
        <f t="array" ref="K62">Common_InputFunctions.Utility_DisplayArrayInTable(SourceData_PastureBeef.SourceData_PastureBeef_LiveweightNTQLD_Data(),Table_SourceData_PastureBeef_LiveweightNTQD[[#Headers],[State]], 0)</f>
        <v>365</v>
      </c>
      <c r="L62" s="68" cm="1">
        <f t="array" ref="L62">Common_InputFunctions.Utility_DisplayArrayInTable(SourceData_PastureBeef.SourceData_PastureBeef_LiveweightNTQLD_Data(),Table_SourceData_PastureBeef_LiveweightNTQD[[#Headers],[State]], 0)</f>
        <v>406</v>
      </c>
      <c r="M62" s="68" cm="1">
        <f t="array" ref="M62">Common_InputFunctions.Utility_DisplayArrayInTable(SourceData_PastureBeef.SourceData_PastureBeef_LiveweightNTQLD_Data(),Table_SourceData_PastureBeef_LiveweightNTQD[[#Headers],[State]], 0)</f>
        <v>231</v>
      </c>
      <c r="N62" s="68" cm="1">
        <f t="array" ref="N62">Common_InputFunctions.Utility_DisplayArrayInTable(SourceData_PastureBeef.SourceData_PastureBeef_LiveweightNTQLD_Data(),Table_SourceData_PastureBeef_LiveweightNTQD[[#Headers],[State]], 0)</f>
        <v>249</v>
      </c>
      <c r="O62" s="68" cm="1">
        <f t="array" ref="O62">Common_InputFunctions.Utility_DisplayArrayInTable(SourceData_PastureBeef.SourceData_PastureBeef_LiveweightNTQLD_Data(),Table_SourceData_PastureBeef_LiveweightNTQD[[#Headers],[State]], 0)</f>
        <v>324</v>
      </c>
      <c r="P62" s="68"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68" t="str" cm="1">
        <f t="array" ref="E63">Common_InputFunctions.Utility_DisplayArrayInTable(SourceData_PastureBeef.SourceData_PastureBeef_LiveweightNTQLD_Data(),Table_SourceData_PastureBeef_LiveweightNTQD[[#Headers],[State]], 0)</f>
        <v>Northern</v>
      </c>
      <c r="F63" s="68" t="str" cm="1">
        <f t="array" ref="F63">Common_InputFunctions.Utility_DisplayArrayInTable(SourceData_PastureBeef.SourceData_PastureBeef_LiveweightNTQLD_Data(),Table_SourceData_PastureBeef_LiveweightNTQD[[#Headers],[State]], 0)</f>
        <v>Summer</v>
      </c>
      <c r="G63" s="68" cm="1">
        <f t="array" ref="G63">Common_InputFunctions.Utility_DisplayArrayInTable(SourceData_PastureBeef.SourceData_PastureBeef_LiveweightNTQLD_Data(),Table_SourceData_PastureBeef_LiveweightNTQD[[#Headers],[State]], 0)</f>
        <v>110</v>
      </c>
      <c r="H63" s="68" cm="1">
        <f t="array" ref="H63">Common_InputFunctions.Utility_DisplayArrayInTable(SourceData_PastureBeef.SourceData_PastureBeef_LiveweightNTQLD_Data(),Table_SourceData_PastureBeef_LiveweightNTQD[[#Headers],[State]], 0)</f>
        <v>650</v>
      </c>
      <c r="I63" s="68" cm="1">
        <f t="array" ref="I63">Common_InputFunctions.Utility_DisplayArrayInTable(SourceData_PastureBeef.SourceData_PastureBeef_LiveweightNTQLD_Data(),Table_SourceData_PastureBeef_LiveweightNTQD[[#Headers],[State]], 0)</f>
        <v>102</v>
      </c>
      <c r="J63" s="68" cm="1">
        <f t="array" ref="J63">Common_InputFunctions.Utility_DisplayArrayInTable(SourceData_PastureBeef.SourceData_PastureBeef_LiveweightNTQLD_Data(),Table_SourceData_PastureBeef_LiveweightNTQD[[#Headers],[State]], 0)</f>
        <v>203</v>
      </c>
      <c r="K63" s="68" cm="1">
        <f t="array" ref="K63">Common_InputFunctions.Utility_DisplayArrayInTable(SourceData_PastureBeef.SourceData_PastureBeef_LiveweightNTQLD_Data(),Table_SourceData_PastureBeef_LiveweightNTQD[[#Headers],[State]], 0)</f>
        <v>299</v>
      </c>
      <c r="L63" s="68" cm="1">
        <f t="array" ref="L63">Common_InputFunctions.Utility_DisplayArrayInTable(SourceData_PastureBeef.SourceData_PastureBeef_LiveweightNTQLD_Data(),Table_SourceData_PastureBeef_LiveweightNTQD[[#Headers],[State]], 0)</f>
        <v>380</v>
      </c>
      <c r="M63" s="68" cm="1">
        <f t="array" ref="M63">Common_InputFunctions.Utility_DisplayArrayInTable(SourceData_PastureBeef.SourceData_PastureBeef_LiveweightNTQLD_Data(),Table_SourceData_PastureBeef_LiveweightNTQD[[#Headers],[State]], 0)</f>
        <v>102</v>
      </c>
      <c r="N63" s="68" cm="1">
        <f t="array" ref="N63">Common_InputFunctions.Utility_DisplayArrayInTable(SourceData_PastureBeef.SourceData_PastureBeef_LiveweightNTQLD_Data(),Table_SourceData_PastureBeef_LiveweightNTQD[[#Headers],[State]], 0)</f>
        <v>218</v>
      </c>
      <c r="O63" s="68" cm="1">
        <f t="array" ref="O63">Common_InputFunctions.Utility_DisplayArrayInTable(SourceData_PastureBeef.SourceData_PastureBeef_LiveweightNTQLD_Data(),Table_SourceData_PastureBeef_LiveweightNTQD[[#Headers],[State]], 0)</f>
        <v>263</v>
      </c>
      <c r="P63" s="68"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68" t="str" cm="1">
        <f t="array" ref="E64">Common_InputFunctions.Utility_DisplayArrayInTable(SourceData_PastureBeef.SourceData_PastureBeef_LiveweightNTQLD_Data(),Table_SourceData_PastureBeef_LiveweightNTQD[[#Headers],[State]], 0)</f>
        <v>Northern</v>
      </c>
      <c r="F64" s="68" t="str" cm="1">
        <f t="array" ref="F64">Common_InputFunctions.Utility_DisplayArrayInTable(SourceData_PastureBeef.SourceData_PastureBeef_LiveweightNTQLD_Data(),Table_SourceData_PastureBeef_LiveweightNTQD[[#Headers],[State]], 0)</f>
        <v>Autumn</v>
      </c>
      <c r="G64" s="68" cm="1">
        <f t="array" ref="G64">Common_InputFunctions.Utility_DisplayArrayInTable(SourceData_PastureBeef.SourceData_PastureBeef_LiveweightNTQLD_Data(),Table_SourceData_PastureBeef_LiveweightNTQD[[#Headers],[State]], 0)</f>
        <v>170</v>
      </c>
      <c r="H64" s="68" cm="1">
        <f t="array" ref="H64">Common_InputFunctions.Utility_DisplayArrayInTable(SourceData_PastureBeef.SourceData_PastureBeef_LiveweightNTQLD_Data(),Table_SourceData_PastureBeef_LiveweightNTQD[[#Headers],[State]], 0)</f>
        <v>670</v>
      </c>
      <c r="I64" s="68" cm="1">
        <f t="array" ref="I64">Common_InputFunctions.Utility_DisplayArrayInTable(SourceData_PastureBeef.SourceData_PastureBeef_LiveweightNTQLD_Data(),Table_SourceData_PastureBeef_LiveweightNTQD[[#Headers],[State]], 0)</f>
        <v>173</v>
      </c>
      <c r="J64" s="68" cm="1">
        <f t="array" ref="J64">Common_InputFunctions.Utility_DisplayArrayInTable(SourceData_PastureBeef.SourceData_PastureBeef_LiveweightNTQLD_Data(),Table_SourceData_PastureBeef_LiveweightNTQD[[#Headers],[State]], 0)</f>
        <v>250</v>
      </c>
      <c r="K64" s="68" cm="1">
        <f t="array" ref="K64">Common_InputFunctions.Utility_DisplayArrayInTable(SourceData_PastureBeef.SourceData_PastureBeef_LiveweightNTQLD_Data(),Table_SourceData_PastureBeef_LiveweightNTQD[[#Headers],[State]], 0)</f>
        <v>336</v>
      </c>
      <c r="L64" s="68" cm="1">
        <f t="array" ref="L64">Common_InputFunctions.Utility_DisplayArrayInTable(SourceData_PastureBeef.SourceData_PastureBeef_LiveweightNTQLD_Data(),Table_SourceData_PastureBeef_LiveweightNTQD[[#Headers],[State]], 0)</f>
        <v>414</v>
      </c>
      <c r="M64" s="68" cm="1">
        <f t="array" ref="M64">Common_InputFunctions.Utility_DisplayArrayInTable(SourceData_PastureBeef.SourceData_PastureBeef_LiveweightNTQLD_Data(),Table_SourceData_PastureBeef_LiveweightNTQD[[#Headers],[State]], 0)</f>
        <v>175</v>
      </c>
      <c r="N64" s="68" cm="1">
        <f t="array" ref="N64">Common_InputFunctions.Utility_DisplayArrayInTable(SourceData_PastureBeef.SourceData_PastureBeef_LiveweightNTQLD_Data(),Table_SourceData_PastureBeef_LiveweightNTQD[[#Headers],[State]], 0)</f>
        <v>243</v>
      </c>
      <c r="O64" s="68" cm="1">
        <f t="array" ref="O64">Common_InputFunctions.Utility_DisplayArrayInTable(SourceData_PastureBeef.SourceData_PastureBeef_LiveweightNTQLD_Data(),Table_SourceData_PastureBeef_LiveweightNTQD[[#Headers],[State]], 0)</f>
        <v>304</v>
      </c>
      <c r="P64" s="68"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68" t="str" cm="1">
        <f t="array" ref="E65">Common_InputFunctions.Utility_DisplayArrayInTable(SourceData_PastureBeef.SourceData_PastureBeef_LiveweightNTQLD_Data(),Table_SourceData_PastureBeef_LiveweightNTQD[[#Headers],[State]], 0)</f>
        <v>Northern</v>
      </c>
      <c r="F65" s="68" t="str" cm="1">
        <f t="array" ref="F65">Common_InputFunctions.Utility_DisplayArrayInTable(SourceData_PastureBeef.SourceData_PastureBeef_LiveweightNTQLD_Data(),Table_SourceData_PastureBeef_LiveweightNTQD[[#Headers],[State]], 0)</f>
        <v>Winter</v>
      </c>
      <c r="G65" s="68" cm="1">
        <f t="array" ref="G65">Common_InputFunctions.Utility_DisplayArrayInTable(SourceData_PastureBeef.SourceData_PastureBeef_LiveweightNTQLD_Data(),Table_SourceData_PastureBeef_LiveweightNTQD[[#Headers],[State]], 0)</f>
        <v>200</v>
      </c>
      <c r="H65" s="68" cm="1">
        <f t="array" ref="H65">Common_InputFunctions.Utility_DisplayArrayInTable(SourceData_PastureBeef.SourceData_PastureBeef_LiveweightNTQLD_Data(),Table_SourceData_PastureBeef_LiveweightNTQD[[#Headers],[State]], 0)</f>
        <v>660</v>
      </c>
      <c r="I65" s="68" cm="1">
        <f t="array" ref="I65">Common_InputFunctions.Utility_DisplayArrayInTable(SourceData_PastureBeef.SourceData_PastureBeef_LiveweightNTQLD_Data(),Table_SourceData_PastureBeef_LiveweightNTQD[[#Headers],[State]], 0)</f>
        <v>202</v>
      </c>
      <c r="J65" s="68" cm="1">
        <f t="array" ref="J65">Common_InputFunctions.Utility_DisplayArrayInTable(SourceData_PastureBeef.SourceData_PastureBeef_LiveweightNTQLD_Data(),Table_SourceData_PastureBeef_LiveweightNTQD[[#Headers],[State]], 0)</f>
        <v>272</v>
      </c>
      <c r="K65" s="68" cm="1">
        <f t="array" ref="K65">Common_InputFunctions.Utility_DisplayArrayInTable(SourceData_PastureBeef.SourceData_PastureBeef_LiveweightNTQLD_Data(),Table_SourceData_PastureBeef_LiveweightNTQD[[#Headers],[State]], 0)</f>
        <v>365</v>
      </c>
      <c r="L65" s="68" cm="1">
        <f t="array" ref="L65">Common_InputFunctions.Utility_DisplayArrayInTable(SourceData_PastureBeef.SourceData_PastureBeef_LiveweightNTQLD_Data(),Table_SourceData_PastureBeef_LiveweightNTQD[[#Headers],[State]], 0)</f>
        <v>390</v>
      </c>
      <c r="M65" s="68" cm="1">
        <f t="array" ref="M65">Common_InputFunctions.Utility_DisplayArrayInTable(SourceData_PastureBeef.SourceData_PastureBeef_LiveweightNTQLD_Data(),Table_SourceData_PastureBeef_LiveweightNTQD[[#Headers],[State]], 0)</f>
        <v>208</v>
      </c>
      <c r="N65" s="68" cm="1">
        <f t="array" ref="N65">Common_InputFunctions.Utility_DisplayArrayInTable(SourceData_PastureBeef.SourceData_PastureBeef_LiveweightNTQLD_Data(),Table_SourceData_PastureBeef_LiveweightNTQD[[#Headers],[State]], 0)</f>
        <v>260</v>
      </c>
      <c r="O65" s="68" cm="1">
        <f t="array" ref="O65">Common_InputFunctions.Utility_DisplayArrayInTable(SourceData_PastureBeef.SourceData_PastureBeef_LiveweightNTQLD_Data(),Table_SourceData_PastureBeef_LiveweightNTQD[[#Headers],[State]], 0)</f>
        <v>337</v>
      </c>
      <c r="P65" s="68"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68" t="str" cm="1">
        <f t="array" ref="E66">Common_InputFunctions.Utility_DisplayArrayInTable(SourceData_PastureBeef.SourceData_PastureBeef_LiveweightNTQLD_Data(),Table_SourceData_PastureBeef_LiveweightNTQD[[#Headers],[State]], 0)</f>
        <v>High</v>
      </c>
      <c r="F66" s="68" t="str" cm="1">
        <f t="array" ref="F66">Common_InputFunctions.Utility_DisplayArrayInTable(SourceData_PastureBeef.SourceData_PastureBeef_LiveweightNTQLD_Data(),Table_SourceData_PastureBeef_LiveweightNTQD[[#Headers],[State]], 0)</f>
        <v>Spring</v>
      </c>
      <c r="G66" s="68" cm="1">
        <f t="array" ref="G66">Common_InputFunctions.Utility_DisplayArrayInTable(SourceData_PastureBeef.SourceData_PastureBeef_LiveweightNTQLD_Data(),Table_SourceData_PastureBeef_LiveweightNTQD[[#Headers],[State]], 0)</f>
        <v>260</v>
      </c>
      <c r="H66" s="68" cm="1">
        <f t="array" ref="H66">Common_InputFunctions.Utility_DisplayArrayInTable(SourceData_PastureBeef.SourceData_PastureBeef_LiveweightNTQLD_Data(),Table_SourceData_PastureBeef_LiveweightNTQD[[#Headers],[State]], 0)</f>
        <v>705</v>
      </c>
      <c r="I66" s="68" cm="1">
        <f t="array" ref="I66">Common_InputFunctions.Utility_DisplayArrayInTable(SourceData_PastureBeef.SourceData_PastureBeef_LiveweightNTQLD_Data(),Table_SourceData_PastureBeef_LiveweightNTQD[[#Headers],[State]], 0)</f>
        <v>215</v>
      </c>
      <c r="J66" s="68" cm="1">
        <f t="array" ref="J66">Common_InputFunctions.Utility_DisplayArrayInTable(SourceData_PastureBeef.SourceData_PastureBeef_LiveweightNTQLD_Data(),Table_SourceData_PastureBeef_LiveweightNTQD[[#Headers],[State]], 0)</f>
        <v>302</v>
      </c>
      <c r="K66" s="68" cm="1">
        <f t="array" ref="K66">Common_InputFunctions.Utility_DisplayArrayInTable(SourceData_PastureBeef.SourceData_PastureBeef_LiveweightNTQLD_Data(),Table_SourceData_PastureBeef_LiveweightNTQD[[#Headers],[State]], 0)</f>
        <v>416</v>
      </c>
      <c r="L66" s="68" cm="1">
        <f t="array" ref="L66">Common_InputFunctions.Utility_DisplayArrayInTable(SourceData_PastureBeef.SourceData_PastureBeef_LiveweightNTQLD_Data(),Table_SourceData_PastureBeef_LiveweightNTQD[[#Headers],[State]], 0)</f>
        <v>519</v>
      </c>
      <c r="M66" s="68" cm="1">
        <f t="array" ref="M66">Common_InputFunctions.Utility_DisplayArrayInTable(SourceData_PastureBeef.SourceData_PastureBeef_LiveweightNTQLD_Data(),Table_SourceData_PastureBeef_LiveweightNTQD[[#Headers],[State]], 0)</f>
        <v>234</v>
      </c>
      <c r="N66" s="68" cm="1">
        <f t="array" ref="N66">Common_InputFunctions.Utility_DisplayArrayInTable(SourceData_PastureBeef.SourceData_PastureBeef_LiveweightNTQLD_Data(),Table_SourceData_PastureBeef_LiveweightNTQD[[#Headers],[State]], 0)</f>
        <v>455</v>
      </c>
      <c r="O66" s="68" cm="1">
        <f t="array" ref="O66">Common_InputFunctions.Utility_DisplayArrayInTable(SourceData_PastureBeef.SourceData_PastureBeef_LiveweightNTQLD_Data(),Table_SourceData_PastureBeef_LiveweightNTQD[[#Headers],[State]], 0)</f>
        <v>551</v>
      </c>
      <c r="P66" s="68"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68" t="str" cm="1">
        <f t="array" ref="E67">Common_InputFunctions.Utility_DisplayArrayInTable(SourceData_PastureBeef.SourceData_PastureBeef_LiveweightNTQLD_Data(),Table_SourceData_PastureBeef_LiveweightNTQD[[#Headers],[State]], 0)</f>
        <v>High</v>
      </c>
      <c r="F67" s="68" t="str" cm="1">
        <f t="array" ref="F67">Common_InputFunctions.Utility_DisplayArrayInTable(SourceData_PastureBeef.SourceData_PastureBeef_LiveweightNTQLD_Data(),Table_SourceData_PastureBeef_LiveweightNTQD[[#Headers],[State]], 0)</f>
        <v>Summer</v>
      </c>
      <c r="G67" s="68" cm="1">
        <f t="array" ref="G67">Common_InputFunctions.Utility_DisplayArrayInTable(SourceData_PastureBeef.SourceData_PastureBeef_LiveweightNTQLD_Data(),Table_SourceData_PastureBeef_LiveweightNTQD[[#Headers],[State]], 0)</f>
        <v>153</v>
      </c>
      <c r="H67" s="68" cm="1">
        <f t="array" ref="H67">Common_InputFunctions.Utility_DisplayArrayInTable(SourceData_PastureBeef.SourceData_PastureBeef_LiveweightNTQLD_Data(),Table_SourceData_PastureBeef_LiveweightNTQD[[#Headers],[State]], 0)</f>
        <v>703</v>
      </c>
      <c r="I67" s="68" cm="1">
        <f t="array" ref="I67">Common_InputFunctions.Utility_DisplayArrayInTable(SourceData_PastureBeef.SourceData_PastureBeef_LiveweightNTQLD_Data(),Table_SourceData_PastureBeef_LiveweightNTQD[[#Headers],[State]], 0)</f>
        <v>118</v>
      </c>
      <c r="J67" s="68" cm="1">
        <f t="array" ref="J67">Common_InputFunctions.Utility_DisplayArrayInTable(SourceData_PastureBeef.SourceData_PastureBeef_LiveweightNTQLD_Data(),Table_SourceData_PastureBeef_LiveweightNTQD[[#Headers],[State]], 0)</f>
        <v>277</v>
      </c>
      <c r="K67" s="68" cm="1">
        <f t="array" ref="K67">Common_InputFunctions.Utility_DisplayArrayInTable(SourceData_PastureBeef.SourceData_PastureBeef_LiveweightNTQLD_Data(),Table_SourceData_PastureBeef_LiveweightNTQD[[#Headers],[State]], 0)</f>
        <v>397</v>
      </c>
      <c r="L67" s="68" cm="1">
        <f t="array" ref="L67">Common_InputFunctions.Utility_DisplayArrayInTable(SourceData_PastureBeef.SourceData_PastureBeef_LiveweightNTQLD_Data(),Table_SourceData_PastureBeef_LiveweightNTQD[[#Headers],[State]], 0)</f>
        <v>483</v>
      </c>
      <c r="M67" s="68" cm="1">
        <f t="array" ref="M67">Common_InputFunctions.Utility_DisplayArrayInTable(SourceData_PastureBeef.SourceData_PastureBeef_LiveweightNTQLD_Data(),Table_SourceData_PastureBeef_LiveweightNTQD[[#Headers],[State]], 0)</f>
        <v>111</v>
      </c>
      <c r="N67" s="68" cm="1">
        <f t="array" ref="N67">Common_InputFunctions.Utility_DisplayArrayInTable(SourceData_PastureBeef.SourceData_PastureBeef_LiveweightNTQLD_Data(),Table_SourceData_PastureBeef_LiveweightNTQD[[#Headers],[State]], 0)</f>
        <v>304</v>
      </c>
      <c r="O67" s="68" cm="1">
        <f t="array" ref="O67">Common_InputFunctions.Utility_DisplayArrayInTable(SourceData_PastureBeef.SourceData_PastureBeef_LiveweightNTQLD_Data(),Table_SourceData_PastureBeef_LiveweightNTQD[[#Headers],[State]], 0)</f>
        <v>521</v>
      </c>
      <c r="P67" s="68"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68" t="str" cm="1">
        <f t="array" ref="E68">Common_InputFunctions.Utility_DisplayArrayInTable(SourceData_PastureBeef.SourceData_PastureBeef_LiveweightNTQLD_Data(),Table_SourceData_PastureBeef_LiveweightNTQD[[#Headers],[State]], 0)</f>
        <v>High</v>
      </c>
      <c r="F68" s="68" t="str" cm="1">
        <f t="array" ref="F68">Common_InputFunctions.Utility_DisplayArrayInTable(SourceData_PastureBeef.SourceData_PastureBeef_LiveweightNTQLD_Data(),Table_SourceData_PastureBeef_LiveweightNTQD[[#Headers],[State]], 0)</f>
        <v>Autumn</v>
      </c>
      <c r="G68" s="68" cm="1">
        <f t="array" ref="G68">Common_InputFunctions.Utility_DisplayArrayInTable(SourceData_PastureBeef.SourceData_PastureBeef_LiveweightNTQLD_Data(),Table_SourceData_PastureBeef_LiveweightNTQD[[#Headers],[State]], 0)</f>
        <v>168</v>
      </c>
      <c r="H68" s="68" cm="1">
        <f t="array" ref="H68">Common_InputFunctions.Utility_DisplayArrayInTable(SourceData_PastureBeef.SourceData_PastureBeef_LiveweightNTQLD_Data(),Table_SourceData_PastureBeef_LiveweightNTQD[[#Headers],[State]], 0)</f>
        <v>718</v>
      </c>
      <c r="I68" s="68" cm="1">
        <f t="array" ref="I68">Common_InputFunctions.Utility_DisplayArrayInTable(SourceData_PastureBeef.SourceData_PastureBeef_LiveweightNTQLD_Data(),Table_SourceData_PastureBeef_LiveweightNTQD[[#Headers],[State]], 0)</f>
        <v>191</v>
      </c>
      <c r="J68" s="68" cm="1">
        <f t="array" ref="J68">Common_InputFunctions.Utility_DisplayArrayInTable(SourceData_PastureBeef.SourceData_PastureBeef_LiveweightNTQLD_Data(),Table_SourceData_PastureBeef_LiveweightNTQD[[#Headers],[State]], 0)</f>
        <v>319</v>
      </c>
      <c r="K68" s="68" cm="1">
        <f t="array" ref="K68">Common_InputFunctions.Utility_DisplayArrayInTable(SourceData_PastureBeef.SourceData_PastureBeef_LiveweightNTQLD_Data(),Table_SourceData_PastureBeef_LiveweightNTQD[[#Headers],[State]], 0)</f>
        <v>440</v>
      </c>
      <c r="L68" s="68" cm="1">
        <f t="array" ref="L68">Common_InputFunctions.Utility_DisplayArrayInTable(SourceData_PastureBeef.SourceData_PastureBeef_LiveweightNTQLD_Data(),Table_SourceData_PastureBeef_LiveweightNTQD[[#Headers],[State]], 0)</f>
        <v>506</v>
      </c>
      <c r="M68" s="68" cm="1">
        <f t="array" ref="M68">Common_InputFunctions.Utility_DisplayArrayInTable(SourceData_PastureBeef.SourceData_PastureBeef_LiveweightNTQLD_Data(),Table_SourceData_PastureBeef_LiveweightNTQD[[#Headers],[State]], 0)</f>
        <v>188</v>
      </c>
      <c r="N68" s="68" cm="1">
        <f t="array" ref="N68">Common_InputFunctions.Utility_DisplayArrayInTable(SourceData_PastureBeef.SourceData_PastureBeef_LiveweightNTQLD_Data(),Table_SourceData_PastureBeef_LiveweightNTQD[[#Headers],[State]], 0)</f>
        <v>326</v>
      </c>
      <c r="O68" s="68" cm="1">
        <f t="array" ref="O68">Common_InputFunctions.Utility_DisplayArrayInTable(SourceData_PastureBeef.SourceData_PastureBeef_LiveweightNTQLD_Data(),Table_SourceData_PastureBeef_LiveweightNTQD[[#Headers],[State]], 0)</f>
        <v>520</v>
      </c>
      <c r="P68" s="68"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68" t="str" cm="1">
        <f t="array" ref="E69">Common_InputFunctions.Utility_DisplayArrayInTable(SourceData_PastureBeef.SourceData_PastureBeef_LiveweightNTQLD_Data(),Table_SourceData_PastureBeef_LiveweightNTQD[[#Headers],[State]], 0)</f>
        <v>High</v>
      </c>
      <c r="F69" s="68" t="str" cm="1">
        <f t="array" ref="F69">Common_InputFunctions.Utility_DisplayArrayInTable(SourceData_PastureBeef.SourceData_PastureBeef_LiveweightNTQLD_Data(),Table_SourceData_PastureBeef_LiveweightNTQD[[#Headers],[State]], 0)</f>
        <v>Winter</v>
      </c>
      <c r="G69" s="68" cm="1">
        <f t="array" ref="G69">Common_InputFunctions.Utility_DisplayArrayInTable(SourceData_PastureBeef.SourceData_PastureBeef_LiveweightNTQLD_Data(),Table_SourceData_PastureBeef_LiveweightNTQD[[#Headers],[State]], 0)</f>
        <v>235</v>
      </c>
      <c r="H69" s="68" cm="1">
        <f t="array" ref="H69">Common_InputFunctions.Utility_DisplayArrayInTable(SourceData_PastureBeef.SourceData_PastureBeef_LiveweightNTQLD_Data(),Table_SourceData_PastureBeef_LiveweightNTQD[[#Headers],[State]], 0)</f>
        <v>722</v>
      </c>
      <c r="I69" s="68" cm="1">
        <f t="array" ref="I69">Common_InputFunctions.Utility_DisplayArrayInTable(SourceData_PastureBeef.SourceData_PastureBeef_LiveweightNTQLD_Data(),Table_SourceData_PastureBeef_LiveweightNTQD[[#Headers],[State]], 0)</f>
        <v>207</v>
      </c>
      <c r="J69" s="68" cm="1">
        <f t="array" ref="J69">Common_InputFunctions.Utility_DisplayArrayInTable(SourceData_PastureBeef.SourceData_PastureBeef_LiveweightNTQLD_Data(),Table_SourceData_PastureBeef_LiveweightNTQD[[#Headers],[State]], 0)</f>
        <v>352</v>
      </c>
      <c r="K69" s="68" cm="1">
        <f t="array" ref="K69">Common_InputFunctions.Utility_DisplayArrayInTable(SourceData_PastureBeef.SourceData_PastureBeef_LiveweightNTQLD_Data(),Table_SourceData_PastureBeef_LiveweightNTQD[[#Headers],[State]], 0)</f>
        <v>470</v>
      </c>
      <c r="L69" s="68" cm="1">
        <f t="array" ref="L69">Common_InputFunctions.Utility_DisplayArrayInTable(SourceData_PastureBeef.SourceData_PastureBeef_LiveweightNTQLD_Data(),Table_SourceData_PastureBeef_LiveweightNTQD[[#Headers],[State]], 0)</f>
        <v>514</v>
      </c>
      <c r="M69" s="68" cm="1">
        <f t="array" ref="M69">Common_InputFunctions.Utility_DisplayArrayInTable(SourceData_PastureBeef.SourceData_PastureBeef_LiveweightNTQLD_Data(),Table_SourceData_PastureBeef_LiveweightNTQD[[#Headers],[State]], 0)</f>
        <v>209</v>
      </c>
      <c r="N69" s="68" cm="1">
        <f t="array" ref="N69">Common_InputFunctions.Utility_DisplayArrayInTable(SourceData_PastureBeef.SourceData_PastureBeef_LiveweightNTQLD_Data(),Table_SourceData_PastureBeef_LiveweightNTQD[[#Headers],[State]], 0)</f>
        <v>421</v>
      </c>
      <c r="O69" s="68" cm="1">
        <f t="array" ref="O69">Common_InputFunctions.Utility_DisplayArrayInTable(SourceData_PastureBeef.SourceData_PastureBeef_LiveweightNTQLD_Data(),Table_SourceData_PastureBeef_LiveweightNTQD[[#Headers],[State]], 0)</f>
        <v>512</v>
      </c>
      <c r="P69" s="68"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68" t="str" cm="1">
        <f t="array" ref="E70">Common_InputFunctions.Utility_DisplayArrayInTable(SourceData_PastureBeef.SourceData_PastureBeef_LiveweightNTQLD_Data(),Table_SourceData_PastureBeef_LiveweightNTQD[[#Headers],[State]], 0)</f>
        <v>Moderate/High</v>
      </c>
      <c r="F70" s="68" t="str" cm="1">
        <f t="array" ref="F70">Common_InputFunctions.Utility_DisplayArrayInTable(SourceData_PastureBeef.SourceData_PastureBeef_LiveweightNTQLD_Data(),Table_SourceData_PastureBeef_LiveweightNTQD[[#Headers],[State]], 0)</f>
        <v>Spring</v>
      </c>
      <c r="G70" s="68" cm="1">
        <f t="array" ref="G70">Common_InputFunctions.Utility_DisplayArrayInTable(SourceData_PastureBeef.SourceData_PastureBeef_LiveweightNTQLD_Data(),Table_SourceData_PastureBeef_LiveweightNTQD[[#Headers],[State]], 0)</f>
        <v>230</v>
      </c>
      <c r="H70" s="68" cm="1">
        <f t="array" ref="H70">Common_InputFunctions.Utility_DisplayArrayInTable(SourceData_PastureBeef.SourceData_PastureBeef_LiveweightNTQLD_Data(),Table_SourceData_PastureBeef_LiveweightNTQD[[#Headers],[State]], 0)</f>
        <v>674</v>
      </c>
      <c r="I70" s="68" cm="1">
        <f t="array" ref="I70">Common_InputFunctions.Utility_DisplayArrayInTable(SourceData_PastureBeef.SourceData_PastureBeef_LiveweightNTQLD_Data(),Table_SourceData_PastureBeef_LiveweightNTQD[[#Headers],[State]], 0)</f>
        <v>217</v>
      </c>
      <c r="J70" s="68" cm="1">
        <f t="array" ref="J70">Common_InputFunctions.Utility_DisplayArrayInTable(SourceData_PastureBeef.SourceData_PastureBeef_LiveweightNTQLD_Data(),Table_SourceData_PastureBeef_LiveweightNTQD[[#Headers],[State]], 0)</f>
        <v>344</v>
      </c>
      <c r="K70" s="68" cm="1">
        <f t="array" ref="K70">Common_InputFunctions.Utility_DisplayArrayInTable(SourceData_PastureBeef.SourceData_PastureBeef_LiveweightNTQLD_Data(),Table_SourceData_PastureBeef_LiveweightNTQD[[#Headers],[State]], 0)</f>
        <v>357</v>
      </c>
      <c r="L70" s="68" cm="1">
        <f t="array" ref="L70">Common_InputFunctions.Utility_DisplayArrayInTable(SourceData_PastureBeef.SourceData_PastureBeef_LiveweightNTQLD_Data(),Table_SourceData_PastureBeef_LiveweightNTQD[[#Headers],[State]], 0)</f>
        <v>467</v>
      </c>
      <c r="M70" s="68" cm="1">
        <f t="array" ref="M70">Common_InputFunctions.Utility_DisplayArrayInTable(SourceData_PastureBeef.SourceData_PastureBeef_LiveweightNTQLD_Data(),Table_SourceData_PastureBeef_LiveweightNTQD[[#Headers],[State]], 0)</f>
        <v>242</v>
      </c>
      <c r="N70" s="68" cm="1">
        <f t="array" ref="N70">Common_InputFunctions.Utility_DisplayArrayInTable(SourceData_PastureBeef.SourceData_PastureBeef_LiveweightNTQLD_Data(),Table_SourceData_PastureBeef_LiveweightNTQD[[#Headers],[State]], 0)</f>
        <v>370</v>
      </c>
      <c r="O70" s="68" cm="1">
        <f t="array" ref="O70">Common_InputFunctions.Utility_DisplayArrayInTable(SourceData_PastureBeef.SourceData_PastureBeef_LiveweightNTQLD_Data(),Table_SourceData_PastureBeef_LiveweightNTQD[[#Headers],[State]], 0)</f>
        <v>550</v>
      </c>
      <c r="P70" s="68"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68" t="str" cm="1">
        <f t="array" ref="E71">Common_InputFunctions.Utility_DisplayArrayInTable(SourceData_PastureBeef.SourceData_PastureBeef_LiveweightNTQLD_Data(),Table_SourceData_PastureBeef_LiveweightNTQD[[#Headers],[State]], 0)</f>
        <v>Moderate/High</v>
      </c>
      <c r="F71" s="68" t="str" cm="1">
        <f t="array" ref="F71">Common_InputFunctions.Utility_DisplayArrayInTable(SourceData_PastureBeef.SourceData_PastureBeef_LiveweightNTQLD_Data(),Table_SourceData_PastureBeef_LiveweightNTQD[[#Headers],[State]], 0)</f>
        <v>Summer</v>
      </c>
      <c r="G71" s="68" cm="1">
        <f t="array" ref="G71">Common_InputFunctions.Utility_DisplayArrayInTable(SourceData_PastureBeef.SourceData_PastureBeef_LiveweightNTQLD_Data(),Table_SourceData_PastureBeef_LiveweightNTQD[[#Headers],[State]], 0)</f>
        <v>113</v>
      </c>
      <c r="H71" s="68" cm="1">
        <f t="array" ref="H71">Common_InputFunctions.Utility_DisplayArrayInTable(SourceData_PastureBeef.SourceData_PastureBeef_LiveweightNTQLD_Data(),Table_SourceData_PastureBeef_LiveweightNTQD[[#Headers],[State]], 0)</f>
        <v>669</v>
      </c>
      <c r="I71" s="68" cm="1">
        <f t="array" ref="I71">Common_InputFunctions.Utility_DisplayArrayInTable(SourceData_PastureBeef.SourceData_PastureBeef_LiveweightNTQLD_Data(),Table_SourceData_PastureBeef_LiveweightNTQD[[#Headers],[State]], 0)</f>
        <v>113</v>
      </c>
      <c r="J71" s="68" cm="1">
        <f t="array" ref="J71">Common_InputFunctions.Utility_DisplayArrayInTable(SourceData_PastureBeef.SourceData_PastureBeef_LiveweightNTQLD_Data(),Table_SourceData_PastureBeef_LiveweightNTQD[[#Headers],[State]], 0)</f>
        <v>283</v>
      </c>
      <c r="K71" s="68" cm="1">
        <f t="array" ref="K71">Common_InputFunctions.Utility_DisplayArrayInTable(SourceData_PastureBeef.SourceData_PastureBeef_LiveweightNTQLD_Data(),Table_SourceData_PastureBeef_LiveweightNTQD[[#Headers],[State]], 0)</f>
        <v>361</v>
      </c>
      <c r="L71" s="68" cm="1">
        <f t="array" ref="L71">Common_InputFunctions.Utility_DisplayArrayInTable(SourceData_PastureBeef.SourceData_PastureBeef_LiveweightNTQLD_Data(),Table_SourceData_PastureBeef_LiveweightNTQD[[#Headers],[State]], 0)</f>
        <v>477</v>
      </c>
      <c r="M71" s="68" cm="1">
        <f t="array" ref="M71">Common_InputFunctions.Utility_DisplayArrayInTable(SourceData_PastureBeef.SourceData_PastureBeef_LiveweightNTQLD_Data(),Table_SourceData_PastureBeef_LiveweightNTQD[[#Headers],[State]], 0)</f>
        <v>120</v>
      </c>
      <c r="N71" s="68" cm="1">
        <f t="array" ref="N71">Common_InputFunctions.Utility_DisplayArrayInTable(SourceData_PastureBeef.SourceData_PastureBeef_LiveweightNTQLD_Data(),Table_SourceData_PastureBeef_LiveweightNTQD[[#Headers],[State]], 0)</f>
        <v>273</v>
      </c>
      <c r="O71" s="68" cm="1">
        <f t="array" ref="O71">Common_InputFunctions.Utility_DisplayArrayInTable(SourceData_PastureBeef.SourceData_PastureBeef_LiveweightNTQLD_Data(),Table_SourceData_PastureBeef_LiveweightNTQD[[#Headers],[State]], 0)</f>
        <v>545</v>
      </c>
      <c r="P71" s="68"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68" t="str" cm="1">
        <f t="array" ref="E72">Common_InputFunctions.Utility_DisplayArrayInTable(SourceData_PastureBeef.SourceData_PastureBeef_LiveweightNTQLD_Data(),Table_SourceData_PastureBeef_LiveweightNTQD[[#Headers],[State]], 0)</f>
        <v>Moderate/High</v>
      </c>
      <c r="F72" s="68" t="str" cm="1">
        <f t="array" ref="F72">Common_InputFunctions.Utility_DisplayArrayInTable(SourceData_PastureBeef.SourceData_PastureBeef_LiveweightNTQLD_Data(),Table_SourceData_PastureBeef_LiveweightNTQD[[#Headers],[State]], 0)</f>
        <v>Autumn</v>
      </c>
      <c r="G72" s="68" cm="1">
        <f t="array" ref="G72">Common_InputFunctions.Utility_DisplayArrayInTable(SourceData_PastureBeef.SourceData_PastureBeef_LiveweightNTQLD_Data(),Table_SourceData_PastureBeef_LiveweightNTQD[[#Headers],[State]], 0)</f>
        <v>172</v>
      </c>
      <c r="H72" s="68" cm="1">
        <f t="array" ref="H72">Common_InputFunctions.Utility_DisplayArrayInTable(SourceData_PastureBeef.SourceData_PastureBeef_LiveweightNTQLD_Data(),Table_SourceData_PastureBeef_LiveweightNTQD[[#Headers],[State]], 0)</f>
        <v>685</v>
      </c>
      <c r="I72" s="68" cm="1">
        <f t="array" ref="I72">Common_InputFunctions.Utility_DisplayArrayInTable(SourceData_PastureBeef.SourceData_PastureBeef_LiveweightNTQLD_Data(),Table_SourceData_PastureBeef_LiveweightNTQD[[#Headers],[State]], 0)</f>
        <v>172</v>
      </c>
      <c r="J72" s="68" cm="1">
        <f t="array" ref="J72">Common_InputFunctions.Utility_DisplayArrayInTable(SourceData_PastureBeef.SourceData_PastureBeef_LiveweightNTQLD_Data(),Table_SourceData_PastureBeef_LiveweightNTQD[[#Headers],[State]], 0)</f>
        <v>309</v>
      </c>
      <c r="K72" s="68" cm="1">
        <f t="array" ref="K72">Common_InputFunctions.Utility_DisplayArrayInTable(SourceData_PastureBeef.SourceData_PastureBeef_LiveweightNTQLD_Data(),Table_SourceData_PastureBeef_LiveweightNTQD[[#Headers],[State]], 0)</f>
        <v>376</v>
      </c>
      <c r="L72" s="68" cm="1">
        <f t="array" ref="L72">Common_InputFunctions.Utility_DisplayArrayInTable(SourceData_PastureBeef.SourceData_PastureBeef_LiveweightNTQLD_Data(),Table_SourceData_PastureBeef_LiveweightNTQD[[#Headers],[State]], 0)</f>
        <v>471</v>
      </c>
      <c r="M72" s="68" cm="1">
        <f t="array" ref="M72">Common_InputFunctions.Utility_DisplayArrayInTable(SourceData_PastureBeef.SourceData_PastureBeef_LiveweightNTQLD_Data(),Table_SourceData_PastureBeef_LiveweightNTQD[[#Headers],[State]], 0)</f>
        <v>238</v>
      </c>
      <c r="N72" s="68" cm="1">
        <f t="array" ref="N72">Common_InputFunctions.Utility_DisplayArrayInTable(SourceData_PastureBeef.SourceData_PastureBeef_LiveweightNTQLD_Data(),Table_SourceData_PastureBeef_LiveweightNTQD[[#Headers],[State]], 0)</f>
        <v>329</v>
      </c>
      <c r="O72" s="68" cm="1">
        <f t="array" ref="O72">Common_InputFunctions.Utility_DisplayArrayInTable(SourceData_PastureBeef.SourceData_PastureBeef_LiveweightNTQLD_Data(),Table_SourceData_PastureBeef_LiveweightNTQD[[#Headers],[State]], 0)</f>
        <v>573</v>
      </c>
      <c r="P72" s="68"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68" t="str" cm="1">
        <f t="array" ref="E73">Common_InputFunctions.Utility_DisplayArrayInTable(SourceData_PastureBeef.SourceData_PastureBeef_LiveweightNTQLD_Data(),Table_SourceData_PastureBeef_LiveweightNTQD[[#Headers],[State]], 0)</f>
        <v>Moderate/High</v>
      </c>
      <c r="F73" s="68" t="str" cm="1">
        <f t="array" ref="F73">Common_InputFunctions.Utility_DisplayArrayInTable(SourceData_PastureBeef.SourceData_PastureBeef_LiveweightNTQLD_Data(),Table_SourceData_PastureBeef_LiveweightNTQD[[#Headers],[State]], 0)</f>
        <v>Winter</v>
      </c>
      <c r="G73" s="68" cm="1">
        <f t="array" ref="G73">Common_InputFunctions.Utility_DisplayArrayInTable(SourceData_PastureBeef.SourceData_PastureBeef_LiveweightNTQLD_Data(),Table_SourceData_PastureBeef_LiveweightNTQD[[#Headers],[State]], 0)</f>
        <v>241</v>
      </c>
      <c r="H73" s="68" cm="1">
        <f t="array" ref="H73">Common_InputFunctions.Utility_DisplayArrayInTable(SourceData_PastureBeef.SourceData_PastureBeef_LiveweightNTQLD_Data(),Table_SourceData_PastureBeef_LiveweightNTQD[[#Headers],[State]], 0)</f>
        <v>692</v>
      </c>
      <c r="I73" s="68" cm="1">
        <f t="array" ref="I73">Common_InputFunctions.Utility_DisplayArrayInTable(SourceData_PastureBeef.SourceData_PastureBeef_LiveweightNTQLD_Data(),Table_SourceData_PastureBeef_LiveweightNTQD[[#Headers],[State]], 0)</f>
        <v>208</v>
      </c>
      <c r="J73" s="68" cm="1">
        <f t="array" ref="J73">Common_InputFunctions.Utility_DisplayArrayInTable(SourceData_PastureBeef.SourceData_PastureBeef_LiveweightNTQLD_Data(),Table_SourceData_PastureBeef_LiveweightNTQD[[#Headers],[State]], 0)</f>
        <v>344</v>
      </c>
      <c r="K73" s="68" cm="1">
        <f t="array" ref="K73">Common_InputFunctions.Utility_DisplayArrayInTable(SourceData_PastureBeef.SourceData_PastureBeef_LiveweightNTQLD_Data(),Table_SourceData_PastureBeef_LiveweightNTQD[[#Headers],[State]], 0)</f>
        <v>364</v>
      </c>
      <c r="L73" s="68" cm="1">
        <f t="array" ref="L73">Common_InputFunctions.Utility_DisplayArrayInTable(SourceData_PastureBeef.SourceData_PastureBeef_LiveweightNTQLD_Data(),Table_SourceData_PastureBeef_LiveweightNTQD[[#Headers],[State]], 0)</f>
        <v>484</v>
      </c>
      <c r="M73" s="68" cm="1">
        <f t="array" ref="M73">Common_InputFunctions.Utility_DisplayArrayInTable(SourceData_PastureBeef.SourceData_PastureBeef_LiveweightNTQLD_Data(),Table_SourceData_PastureBeef_LiveweightNTQD[[#Headers],[State]], 0)</f>
        <v>260</v>
      </c>
      <c r="N73" s="68" cm="1">
        <f t="array" ref="N73">Common_InputFunctions.Utility_DisplayArrayInTable(SourceData_PastureBeef.SourceData_PastureBeef_LiveweightNTQLD_Data(),Table_SourceData_PastureBeef_LiveweightNTQD[[#Headers],[State]], 0)</f>
        <v>350</v>
      </c>
      <c r="O73" s="68" cm="1">
        <f t="array" ref="O73">Common_InputFunctions.Utility_DisplayArrayInTable(SourceData_PastureBeef.SourceData_PastureBeef_LiveweightNTQLD_Data(),Table_SourceData_PastureBeef_LiveweightNTQD[[#Headers],[State]], 0)</f>
        <v>567</v>
      </c>
      <c r="P73" s="68"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68" t="str" cm="1">
        <f t="array" ref="E74">Common_InputFunctions.Utility_DisplayArrayInTable(SourceData_PastureBeef.SourceData_PastureBeef_LiveweightNTQLD_Data(),Table_SourceData_PastureBeef_LiveweightNTQD[[#Headers],[State]], 0)</f>
        <v>Moderate/Low</v>
      </c>
      <c r="F74" s="68" t="str" cm="1">
        <f t="array" ref="F74">Common_InputFunctions.Utility_DisplayArrayInTable(SourceData_PastureBeef.SourceData_PastureBeef_LiveweightNTQLD_Data(),Table_SourceData_PastureBeef_LiveweightNTQD[[#Headers],[State]], 0)</f>
        <v>Spring</v>
      </c>
      <c r="G74" s="68" cm="1">
        <f t="array" ref="G74">Common_InputFunctions.Utility_DisplayArrayInTable(SourceData_PastureBeef.SourceData_PastureBeef_LiveweightNTQLD_Data(),Table_SourceData_PastureBeef_LiveweightNTQD[[#Headers],[State]], 0)</f>
        <v>236</v>
      </c>
      <c r="H74" s="68" cm="1">
        <f t="array" ref="H74">Common_InputFunctions.Utility_DisplayArrayInTable(SourceData_PastureBeef.SourceData_PastureBeef_LiveweightNTQLD_Data(),Table_SourceData_PastureBeef_LiveweightNTQD[[#Headers],[State]], 0)</f>
        <v>674</v>
      </c>
      <c r="I74" s="68" cm="1">
        <f t="array" ref="I74">Common_InputFunctions.Utility_DisplayArrayInTable(SourceData_PastureBeef.SourceData_PastureBeef_LiveweightNTQLD_Data(),Table_SourceData_PastureBeef_LiveweightNTQD[[#Headers],[State]], 0)</f>
        <v>178</v>
      </c>
      <c r="J74" s="68" cm="1">
        <f t="array" ref="J74">Common_InputFunctions.Utility_DisplayArrayInTable(SourceData_PastureBeef.SourceData_PastureBeef_LiveweightNTQLD_Data(),Table_SourceData_PastureBeef_LiveweightNTQD[[#Headers],[State]], 0)</f>
        <v>310</v>
      </c>
      <c r="K74" s="68" cm="1">
        <f t="array" ref="K74">Common_InputFunctions.Utility_DisplayArrayInTable(SourceData_PastureBeef.SourceData_PastureBeef_LiveweightNTQLD_Data(),Table_SourceData_PastureBeef_LiveweightNTQD[[#Headers],[State]], 0)</f>
        <v>428</v>
      </c>
      <c r="L74" s="68" cm="1">
        <f t="array" ref="L74">Common_InputFunctions.Utility_DisplayArrayInTable(SourceData_PastureBeef.SourceData_PastureBeef_LiveweightNTQLD_Data(),Table_SourceData_PastureBeef_LiveweightNTQD[[#Headers],[State]], 0)</f>
        <v>466</v>
      </c>
      <c r="M74" s="68" cm="1">
        <f t="array" ref="M74">Common_InputFunctions.Utility_DisplayArrayInTable(SourceData_PastureBeef.SourceData_PastureBeef_LiveweightNTQLD_Data(),Table_SourceData_PastureBeef_LiveweightNTQD[[#Headers],[State]], 0)</f>
        <v>193</v>
      </c>
      <c r="N74" s="68" cm="1">
        <f t="array" ref="N74">Common_InputFunctions.Utility_DisplayArrayInTable(SourceData_PastureBeef.SourceData_PastureBeef_LiveweightNTQLD_Data(),Table_SourceData_PastureBeef_LiveweightNTQD[[#Headers],[State]], 0)</f>
        <v>370</v>
      </c>
      <c r="O74" s="68" cm="1">
        <f t="array" ref="O74">Common_InputFunctions.Utility_DisplayArrayInTable(SourceData_PastureBeef.SourceData_PastureBeef_LiveweightNTQLD_Data(),Table_SourceData_PastureBeef_LiveweightNTQD[[#Headers],[State]], 0)</f>
        <v>519</v>
      </c>
      <c r="P74" s="68"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68" t="str" cm="1">
        <f t="array" ref="E75">Common_InputFunctions.Utility_DisplayArrayInTable(SourceData_PastureBeef.SourceData_PastureBeef_LiveweightNTQLD_Data(),Table_SourceData_PastureBeef_LiveweightNTQD[[#Headers],[State]], 0)</f>
        <v>Moderate/Low</v>
      </c>
      <c r="F75" s="68" t="str" cm="1">
        <f t="array" ref="F75">Common_InputFunctions.Utility_DisplayArrayInTable(SourceData_PastureBeef.SourceData_PastureBeef_LiveweightNTQLD_Data(),Table_SourceData_PastureBeef_LiveweightNTQD[[#Headers],[State]], 0)</f>
        <v>Summer</v>
      </c>
      <c r="G75" s="68" cm="1">
        <f t="array" ref="G75">Common_InputFunctions.Utility_DisplayArrayInTable(SourceData_PastureBeef.SourceData_PastureBeef_LiveweightNTQLD_Data(),Table_SourceData_PastureBeef_LiveweightNTQD[[#Headers],[State]], 0)</f>
        <v>120</v>
      </c>
      <c r="H75" s="68" cm="1">
        <f t="array" ref="H75">Common_InputFunctions.Utility_DisplayArrayInTable(SourceData_PastureBeef.SourceData_PastureBeef_LiveweightNTQLD_Data(),Table_SourceData_PastureBeef_LiveweightNTQD[[#Headers],[State]], 0)</f>
        <v>669</v>
      </c>
      <c r="I75" s="68" cm="1">
        <f t="array" ref="I75">Common_InputFunctions.Utility_DisplayArrayInTable(SourceData_PastureBeef.SourceData_PastureBeef_LiveweightNTQLD_Data(),Table_SourceData_PastureBeef_LiveweightNTQD[[#Headers],[State]], 0)</f>
        <v>112</v>
      </c>
      <c r="J75" s="68" cm="1">
        <f t="array" ref="J75">Common_InputFunctions.Utility_DisplayArrayInTable(SourceData_PastureBeef.SourceData_PastureBeef_LiveweightNTQLD_Data(),Table_SourceData_PastureBeef_LiveweightNTQD[[#Headers],[State]], 0)</f>
        <v>250</v>
      </c>
      <c r="K75" s="68" cm="1">
        <f t="array" ref="K75">Common_InputFunctions.Utility_DisplayArrayInTable(SourceData_PastureBeef.SourceData_PastureBeef_LiveweightNTQLD_Data(),Table_SourceData_PastureBeef_LiveweightNTQD[[#Headers],[State]], 0)</f>
        <v>390</v>
      </c>
      <c r="L75" s="68" cm="1">
        <f t="array" ref="L75">Common_InputFunctions.Utility_DisplayArrayInTable(SourceData_PastureBeef.SourceData_PastureBeef_LiveweightNTQLD_Data(),Table_SourceData_PastureBeef_LiveweightNTQD[[#Headers],[State]], 0)</f>
        <v>448</v>
      </c>
      <c r="M75" s="68" cm="1">
        <f t="array" ref="M75">Common_InputFunctions.Utility_DisplayArrayInTable(SourceData_PastureBeef.SourceData_PastureBeef_LiveweightNTQLD_Data(),Table_SourceData_PastureBeef_LiveweightNTQD[[#Headers],[State]], 0)</f>
        <v>115</v>
      </c>
      <c r="N75" s="68" cm="1">
        <f t="array" ref="N75">Common_InputFunctions.Utility_DisplayArrayInTable(SourceData_PastureBeef.SourceData_PastureBeef_LiveweightNTQLD_Data(),Table_SourceData_PastureBeef_LiveweightNTQD[[#Headers],[State]], 0)</f>
        <v>273</v>
      </c>
      <c r="O75" s="68" cm="1">
        <f t="array" ref="O75">Common_InputFunctions.Utility_DisplayArrayInTable(SourceData_PastureBeef.SourceData_PastureBeef_LiveweightNTQLD_Data(),Table_SourceData_PastureBeef_LiveweightNTQD[[#Headers],[State]], 0)</f>
        <v>433</v>
      </c>
      <c r="P75" s="68"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68" t="str" cm="1">
        <f t="array" ref="E76">Common_InputFunctions.Utility_DisplayArrayInTable(SourceData_PastureBeef.SourceData_PastureBeef_LiveweightNTQLD_Data(),Table_SourceData_PastureBeef_LiveweightNTQD[[#Headers],[State]], 0)</f>
        <v>Moderate/Low</v>
      </c>
      <c r="F76" s="68" t="str" cm="1">
        <f t="array" ref="F76">Common_InputFunctions.Utility_DisplayArrayInTable(SourceData_PastureBeef.SourceData_PastureBeef_LiveweightNTQLD_Data(),Table_SourceData_PastureBeef_LiveweightNTQD[[#Headers],[State]], 0)</f>
        <v>Autumn</v>
      </c>
      <c r="G76" s="68" cm="1">
        <f t="array" ref="G76">Common_InputFunctions.Utility_DisplayArrayInTable(SourceData_PastureBeef.SourceData_PastureBeef_LiveweightNTQLD_Data(),Table_SourceData_PastureBeef_LiveweightNTQD[[#Headers],[State]], 0)</f>
        <v>125</v>
      </c>
      <c r="H76" s="68" cm="1">
        <f t="array" ref="H76">Common_InputFunctions.Utility_DisplayArrayInTable(SourceData_PastureBeef.SourceData_PastureBeef_LiveweightNTQLD_Data(),Table_SourceData_PastureBeef_LiveweightNTQD[[#Headers],[State]], 0)</f>
        <v>685</v>
      </c>
      <c r="I76" s="68" cm="1">
        <f t="array" ref="I76">Common_InputFunctions.Utility_DisplayArrayInTable(SourceData_PastureBeef.SourceData_PastureBeef_LiveweightNTQLD_Data(),Table_SourceData_PastureBeef_LiveweightNTQD[[#Headers],[State]], 0)</f>
        <v>140</v>
      </c>
      <c r="J76" s="68" cm="1">
        <f t="array" ref="J76">Common_InputFunctions.Utility_DisplayArrayInTable(SourceData_PastureBeef.SourceData_PastureBeef_LiveweightNTQLD_Data(),Table_SourceData_PastureBeef_LiveweightNTQD[[#Headers],[State]], 0)</f>
        <v>277</v>
      </c>
      <c r="K76" s="68" cm="1">
        <f t="array" ref="K76">Common_InputFunctions.Utility_DisplayArrayInTable(SourceData_PastureBeef.SourceData_PastureBeef_LiveweightNTQLD_Data(),Table_SourceData_PastureBeef_LiveweightNTQD[[#Headers],[State]], 0)</f>
        <v>407</v>
      </c>
      <c r="L76" s="68" cm="1">
        <f t="array" ref="L76">Common_InputFunctions.Utility_DisplayArrayInTable(SourceData_PastureBeef.SourceData_PastureBeef_LiveweightNTQLD_Data(),Table_SourceData_PastureBeef_LiveweightNTQD[[#Headers],[State]], 0)</f>
        <v>455</v>
      </c>
      <c r="M76" s="68" cm="1">
        <f t="array" ref="M76">Common_InputFunctions.Utility_DisplayArrayInTable(SourceData_PastureBeef.SourceData_PastureBeef_LiveweightNTQLD_Data(),Table_SourceData_PastureBeef_LiveweightNTQD[[#Headers],[State]], 0)</f>
        <v>141</v>
      </c>
      <c r="N76" s="68" cm="1">
        <f t="array" ref="N76">Common_InputFunctions.Utility_DisplayArrayInTable(SourceData_PastureBeef.SourceData_PastureBeef_LiveweightNTQLD_Data(),Table_SourceData_PastureBeef_LiveweightNTQD[[#Headers],[State]], 0)</f>
        <v>296</v>
      </c>
      <c r="O76" s="68" cm="1">
        <f t="array" ref="O76">Common_InputFunctions.Utility_DisplayArrayInTable(SourceData_PastureBeef.SourceData_PastureBeef_LiveweightNTQLD_Data(),Table_SourceData_PastureBeef_LiveweightNTQD[[#Headers],[State]], 0)</f>
        <v>445</v>
      </c>
      <c r="P76" s="68"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68" t="str" cm="1">
        <f t="array" ref="E77">Common_InputFunctions.Utility_DisplayArrayInTable(SourceData_PastureBeef.SourceData_PastureBeef_LiveweightNTQLD_Data(),Table_SourceData_PastureBeef_LiveweightNTQD[[#Headers],[State]], 0)</f>
        <v>Moderate/Low</v>
      </c>
      <c r="F77" s="68" t="str" cm="1">
        <f t="array" ref="F77">Common_InputFunctions.Utility_DisplayArrayInTable(SourceData_PastureBeef.SourceData_PastureBeef_LiveweightNTQLD_Data(),Table_SourceData_PastureBeef_LiveweightNTQD[[#Headers],[State]], 0)</f>
        <v>Winter</v>
      </c>
      <c r="G77" s="68" cm="1">
        <f t="array" ref="G77">Common_InputFunctions.Utility_DisplayArrayInTable(SourceData_PastureBeef.SourceData_PastureBeef_LiveweightNTQLD_Data(),Table_SourceData_PastureBeef_LiveweightNTQD[[#Headers],[State]], 0)</f>
        <v>180</v>
      </c>
      <c r="H77" s="68" cm="1">
        <f t="array" ref="H77">Common_InputFunctions.Utility_DisplayArrayInTable(SourceData_PastureBeef.SourceData_PastureBeef_LiveweightNTQLD_Data(),Table_SourceData_PastureBeef_LiveweightNTQD[[#Headers],[State]], 0)</f>
        <v>692</v>
      </c>
      <c r="I77" s="68" cm="1">
        <f t="array" ref="I77">Common_InputFunctions.Utility_DisplayArrayInTable(SourceData_PastureBeef.SourceData_PastureBeef_LiveweightNTQLD_Data(),Table_SourceData_PastureBeef_LiveweightNTQD[[#Headers],[State]], 0)</f>
        <v>183</v>
      </c>
      <c r="J77" s="68" cm="1">
        <f t="array" ref="J77">Common_InputFunctions.Utility_DisplayArrayInTable(SourceData_PastureBeef.SourceData_PastureBeef_LiveweightNTQLD_Data(),Table_SourceData_PastureBeef_LiveweightNTQD[[#Headers],[State]], 0)</f>
        <v>316</v>
      </c>
      <c r="K77" s="68" cm="1">
        <f t="array" ref="K77">Common_InputFunctions.Utility_DisplayArrayInTable(SourceData_PastureBeef.SourceData_PastureBeef_LiveweightNTQLD_Data(),Table_SourceData_PastureBeef_LiveweightNTQD[[#Headers],[State]], 0)</f>
        <v>438</v>
      </c>
      <c r="L77" s="68" cm="1">
        <f t="array" ref="L77">Common_InputFunctions.Utility_DisplayArrayInTable(SourceData_PastureBeef.SourceData_PastureBeef_LiveweightNTQLD_Data(),Table_SourceData_PastureBeef_LiveweightNTQD[[#Headers],[State]], 0)</f>
        <v>468</v>
      </c>
      <c r="M77" s="68" cm="1">
        <f t="array" ref="M77">Common_InputFunctions.Utility_DisplayArrayInTable(SourceData_PastureBeef.SourceData_PastureBeef_LiveweightNTQLD_Data(),Table_SourceData_PastureBeef_LiveweightNTQD[[#Headers],[State]], 0)</f>
        <v>189</v>
      </c>
      <c r="N77" s="68" cm="1">
        <f t="array" ref="N77">Common_InputFunctions.Utility_DisplayArrayInTable(SourceData_PastureBeef.SourceData_PastureBeef_LiveweightNTQLD_Data(),Table_SourceData_PastureBeef_LiveweightNTQD[[#Headers],[State]], 0)</f>
        <v>354</v>
      </c>
      <c r="O77" s="68" cm="1">
        <f t="array" ref="O77">Common_InputFunctions.Utility_DisplayArrayInTable(SourceData_PastureBeef.SourceData_PastureBeef_LiveweightNTQLD_Data(),Table_SourceData_PastureBeef_LiveweightNTQD[[#Headers],[State]], 0)</f>
        <v>500</v>
      </c>
      <c r="P77" s="68"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68" t="str" cm="1">
        <f t="array" ref="E78">Common_InputFunctions.Utility_DisplayArrayInTable(SourceData_PastureBeef.SourceData_PastureBeef_LiveweightNTQLD_Data(),Table_SourceData_PastureBeef_LiveweightNTQD[[#Headers],[State]], 0)</f>
        <v>Low</v>
      </c>
      <c r="F78" s="68" t="str" cm="1">
        <f t="array" ref="F78">Common_InputFunctions.Utility_DisplayArrayInTable(SourceData_PastureBeef.SourceData_PastureBeef_LiveweightNTQLD_Data(),Table_SourceData_PastureBeef_LiveweightNTQD[[#Headers],[State]], 0)</f>
        <v>Spring</v>
      </c>
      <c r="G78" s="68" cm="1">
        <f t="array" ref="G78">Common_InputFunctions.Utility_DisplayArrayInTable(SourceData_PastureBeef.SourceData_PastureBeef_LiveweightNTQLD_Data(),Table_SourceData_PastureBeef_LiveweightNTQD[[#Headers],[State]], 0)</f>
        <v>190</v>
      </c>
      <c r="H78" s="68" cm="1">
        <f t="array" ref="H78">Common_InputFunctions.Utility_DisplayArrayInTable(SourceData_PastureBeef.SourceData_PastureBeef_LiveweightNTQLD_Data(),Table_SourceData_PastureBeef_LiveweightNTQD[[#Headers],[State]], 0)</f>
        <v>617</v>
      </c>
      <c r="I78" s="68" cm="1">
        <f t="array" ref="I78">Common_InputFunctions.Utility_DisplayArrayInTable(SourceData_PastureBeef.SourceData_PastureBeef_LiveweightNTQLD_Data(),Table_SourceData_PastureBeef_LiveweightNTQD[[#Headers],[State]], 0)</f>
        <v>174</v>
      </c>
      <c r="J78" s="68" cm="1">
        <f t="array" ref="J78">Common_InputFunctions.Utility_DisplayArrayInTable(SourceData_PastureBeef.SourceData_PastureBeef_LiveweightNTQLD_Data(),Table_SourceData_PastureBeef_LiveweightNTQD[[#Headers],[State]], 0)</f>
        <v>265</v>
      </c>
      <c r="K78" s="68" cm="1">
        <f t="array" ref="K78">Common_InputFunctions.Utility_DisplayArrayInTable(SourceData_PastureBeef.SourceData_PastureBeef_LiveweightNTQLD_Data(),Table_SourceData_PastureBeef_LiveweightNTQD[[#Headers],[State]], 0)</f>
        <v>371</v>
      </c>
      <c r="L78" s="68" cm="1">
        <f t="array" ref="L78">Common_InputFunctions.Utility_DisplayArrayInTable(SourceData_PastureBeef.SourceData_PastureBeef_LiveweightNTQLD_Data(),Table_SourceData_PastureBeef_LiveweightNTQD[[#Headers],[State]], 0)</f>
        <v>415</v>
      </c>
      <c r="M78" s="68" cm="1">
        <f t="array" ref="M78">Common_InputFunctions.Utility_DisplayArrayInTable(SourceData_PastureBeef.SourceData_PastureBeef_LiveweightNTQLD_Data(),Table_SourceData_PastureBeef_LiveweightNTQD[[#Headers],[State]], 0)</f>
        <v>170</v>
      </c>
      <c r="N78" s="68" cm="1">
        <f t="array" ref="N78">Common_InputFunctions.Utility_DisplayArrayInTable(SourceData_PastureBeef.SourceData_PastureBeef_LiveweightNTQLD_Data(),Table_SourceData_PastureBeef_LiveweightNTQD[[#Headers],[State]], 0)</f>
        <v>272</v>
      </c>
      <c r="O78" s="68" cm="1">
        <f t="array" ref="O78">Common_InputFunctions.Utility_DisplayArrayInTable(SourceData_PastureBeef.SourceData_PastureBeef_LiveweightNTQLD_Data(),Table_SourceData_PastureBeef_LiveweightNTQD[[#Headers],[State]], 0)</f>
        <v>392</v>
      </c>
      <c r="P78" s="68"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68" t="str" cm="1">
        <f t="array" ref="E79">Common_InputFunctions.Utility_DisplayArrayInTable(SourceData_PastureBeef.SourceData_PastureBeef_LiveweightNTQLD_Data(),Table_SourceData_PastureBeef_LiveweightNTQD[[#Headers],[State]], 0)</f>
        <v>Low</v>
      </c>
      <c r="F79" s="68" t="str" cm="1">
        <f t="array" ref="F79">Common_InputFunctions.Utility_DisplayArrayInTable(SourceData_PastureBeef.SourceData_PastureBeef_LiveweightNTQLD_Data(),Table_SourceData_PastureBeef_LiveweightNTQD[[#Headers],[State]], 0)</f>
        <v>Summer</v>
      </c>
      <c r="G79" s="68" cm="1">
        <f t="array" ref="G79">Common_InputFunctions.Utility_DisplayArrayInTable(SourceData_PastureBeef.SourceData_PastureBeef_LiveweightNTQLD_Data(),Table_SourceData_PastureBeef_LiveweightNTQD[[#Headers],[State]], 0)</f>
        <v>119</v>
      </c>
      <c r="H79" s="68" cm="1">
        <f t="array" ref="H79">Common_InputFunctions.Utility_DisplayArrayInTable(SourceData_PastureBeef.SourceData_PastureBeef_LiveweightNTQLD_Data(),Table_SourceData_PastureBeef_LiveweightNTQD[[#Headers],[State]], 0)</f>
        <v>591</v>
      </c>
      <c r="I79" s="68" cm="1">
        <f t="array" ref="I79">Common_InputFunctions.Utility_DisplayArrayInTable(SourceData_PastureBeef.SourceData_PastureBeef_LiveweightNTQLD_Data(),Table_SourceData_PastureBeef_LiveweightNTQD[[#Headers],[State]], 0)</f>
        <v>140</v>
      </c>
      <c r="J79" s="68" cm="1">
        <f t="array" ref="J79">Common_InputFunctions.Utility_DisplayArrayInTable(SourceData_PastureBeef.SourceData_PastureBeef_LiveweightNTQLD_Data(),Table_SourceData_PastureBeef_LiveweightNTQD[[#Headers],[State]], 0)</f>
        <v>205</v>
      </c>
      <c r="K79" s="68" cm="1">
        <f t="array" ref="K79">Common_InputFunctions.Utility_DisplayArrayInTable(SourceData_PastureBeef.SourceData_PastureBeef_LiveweightNTQLD_Data(),Table_SourceData_PastureBeef_LiveweightNTQD[[#Headers],[State]], 0)</f>
        <v>310</v>
      </c>
      <c r="L79" s="68" cm="1">
        <f t="array" ref="L79">Common_InputFunctions.Utility_DisplayArrayInTable(SourceData_PastureBeef.SourceData_PastureBeef_LiveweightNTQLD_Data(),Table_SourceData_PastureBeef_LiveweightNTQD[[#Headers],[State]], 0)</f>
        <v>405</v>
      </c>
      <c r="M79" s="68" cm="1">
        <f t="array" ref="M79">Common_InputFunctions.Utility_DisplayArrayInTable(SourceData_PastureBeef.SourceData_PastureBeef_LiveweightNTQLD_Data(),Table_SourceData_PastureBeef_LiveweightNTQD[[#Headers],[State]], 0)</f>
        <v>133</v>
      </c>
      <c r="N79" s="68" cm="1">
        <f t="array" ref="N79">Common_InputFunctions.Utility_DisplayArrayInTable(SourceData_PastureBeef.SourceData_PastureBeef_LiveweightNTQLD_Data(),Table_SourceData_PastureBeef_LiveweightNTQD[[#Headers],[State]], 0)</f>
        <v>218</v>
      </c>
      <c r="O79" s="68" cm="1">
        <f t="array" ref="O79">Common_InputFunctions.Utility_DisplayArrayInTable(SourceData_PastureBeef.SourceData_PastureBeef_LiveweightNTQLD_Data(),Table_SourceData_PastureBeef_LiveweightNTQD[[#Headers],[State]], 0)</f>
        <v>315</v>
      </c>
      <c r="P79" s="68"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68" t="str" cm="1">
        <f t="array" ref="E80">Common_InputFunctions.Utility_DisplayArrayInTable(SourceData_PastureBeef.SourceData_PastureBeef_LiveweightNTQLD_Data(),Table_SourceData_PastureBeef_LiveweightNTQD[[#Headers],[State]], 0)</f>
        <v>Low</v>
      </c>
      <c r="F80" s="68" t="str" cm="1">
        <f t="array" ref="F80">Common_InputFunctions.Utility_DisplayArrayInTable(SourceData_PastureBeef.SourceData_PastureBeef_LiveweightNTQLD_Data(),Table_SourceData_PastureBeef_LiveweightNTQD[[#Headers],[State]], 0)</f>
        <v>Autumn</v>
      </c>
      <c r="G80" s="68" cm="1">
        <f t="array" ref="G80">Common_InputFunctions.Utility_DisplayArrayInTable(SourceData_PastureBeef.SourceData_PastureBeef_LiveweightNTQLD_Data(),Table_SourceData_PastureBeef_LiveweightNTQD[[#Headers],[State]], 0)</f>
        <v>175</v>
      </c>
      <c r="H80" s="68" cm="1">
        <f t="array" ref="H80">Common_InputFunctions.Utility_DisplayArrayInTable(SourceData_PastureBeef.SourceData_PastureBeef_LiveweightNTQLD_Data(),Table_SourceData_PastureBeef_LiveweightNTQD[[#Headers],[State]], 0)</f>
        <v>610</v>
      </c>
      <c r="I80" s="68" cm="1">
        <f t="array" ref="I80">Common_InputFunctions.Utility_DisplayArrayInTable(SourceData_PastureBeef.SourceData_PastureBeef_LiveweightNTQLD_Data(),Table_SourceData_PastureBeef_LiveweightNTQD[[#Headers],[State]], 0)</f>
        <v>163</v>
      </c>
      <c r="J80" s="68" cm="1">
        <f t="array" ref="J80">Common_InputFunctions.Utility_DisplayArrayInTable(SourceData_PastureBeef.SourceData_PastureBeef_LiveweightNTQLD_Data(),Table_SourceData_PastureBeef_LiveweightNTQD[[#Headers],[State]], 0)</f>
        <v>232</v>
      </c>
      <c r="K80" s="68" cm="1">
        <f t="array" ref="K80">Common_InputFunctions.Utility_DisplayArrayInTable(SourceData_PastureBeef.SourceData_PastureBeef_LiveweightNTQLD_Data(),Table_SourceData_PastureBeef_LiveweightNTQD[[#Headers],[State]], 0)</f>
        <v>351</v>
      </c>
      <c r="L80" s="68" cm="1">
        <f t="array" ref="L80">Common_InputFunctions.Utility_DisplayArrayInTable(SourceData_PastureBeef.SourceData_PastureBeef_LiveweightNTQLD_Data(),Table_SourceData_PastureBeef_LiveweightNTQD[[#Headers],[State]], 0)</f>
        <v>427</v>
      </c>
      <c r="M80" s="68" cm="1">
        <f t="array" ref="M80">Common_InputFunctions.Utility_DisplayArrayInTable(SourceData_PastureBeef.SourceData_PastureBeef_LiveweightNTQLD_Data(),Table_SourceData_PastureBeef_LiveweightNTQD[[#Headers],[State]], 0)</f>
        <v>146</v>
      </c>
      <c r="N80" s="68" cm="1">
        <f t="array" ref="N80">Common_InputFunctions.Utility_DisplayArrayInTable(SourceData_PastureBeef.SourceData_PastureBeef_LiveweightNTQLD_Data(),Table_SourceData_PastureBeef_LiveweightNTQD[[#Headers],[State]], 0)</f>
        <v>242</v>
      </c>
      <c r="O80" s="68" cm="1">
        <f t="array" ref="O80">Common_InputFunctions.Utility_DisplayArrayInTable(SourceData_PastureBeef.SourceData_PastureBeef_LiveweightNTQLD_Data(),Table_SourceData_PastureBeef_LiveweightNTQD[[#Headers],[State]], 0)</f>
        <v>320</v>
      </c>
      <c r="P80" s="68"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68" t="str" cm="1">
        <f t="array" ref="E81">Common_InputFunctions.Utility_DisplayArrayInTable(SourceData_PastureBeef.SourceData_PastureBeef_LiveweightNTQLD_Data(),Table_SourceData_PastureBeef_LiveweightNTQD[[#Headers],[State]], 0)</f>
        <v>Low</v>
      </c>
      <c r="F81" s="68" t="str" cm="1">
        <f t="array" ref="F81">Common_InputFunctions.Utility_DisplayArrayInTable(SourceData_PastureBeef.SourceData_PastureBeef_LiveweightNTQLD_Data(),Table_SourceData_PastureBeef_LiveweightNTQD[[#Headers],[State]], 0)</f>
        <v>Winter</v>
      </c>
      <c r="G81" s="68" cm="1">
        <f t="array" ref="G81">Common_InputFunctions.Utility_DisplayArrayInTable(SourceData_PastureBeef.SourceData_PastureBeef_LiveweightNTQLD_Data(),Table_SourceData_PastureBeef_LiveweightNTQD[[#Headers],[State]], 0)</f>
        <v>192</v>
      </c>
      <c r="H81" s="68" cm="1">
        <f t="array" ref="H81">Common_InputFunctions.Utility_DisplayArrayInTable(SourceData_PastureBeef.SourceData_PastureBeef_LiveweightNTQLD_Data(),Table_SourceData_PastureBeef_LiveweightNTQD[[#Headers],[State]], 0)</f>
        <v>615</v>
      </c>
      <c r="I81" s="68" cm="1">
        <f t="array" ref="I81">Common_InputFunctions.Utility_DisplayArrayInTable(SourceData_PastureBeef.SourceData_PastureBeef_LiveweightNTQLD_Data(),Table_SourceData_PastureBeef_LiveweightNTQD[[#Headers],[State]], 0)</f>
        <v>162</v>
      </c>
      <c r="J81" s="68" cm="1">
        <f t="array" ref="J81">Common_InputFunctions.Utility_DisplayArrayInTable(SourceData_PastureBeef.SourceData_PastureBeef_LiveweightNTQLD_Data(),Table_SourceData_PastureBeef_LiveweightNTQD[[#Headers],[State]], 0)</f>
        <v>255</v>
      </c>
      <c r="K81" s="68" cm="1">
        <f t="array" ref="K81">Common_InputFunctions.Utility_DisplayArrayInTable(SourceData_PastureBeef.SourceData_PastureBeef_LiveweightNTQLD_Data(),Table_SourceData_PastureBeef_LiveweightNTQD[[#Headers],[State]], 0)</f>
        <v>364</v>
      </c>
      <c r="L81" s="68" cm="1">
        <f t="array" ref="L81">Common_InputFunctions.Utility_DisplayArrayInTable(SourceData_PastureBeef.SourceData_PastureBeef_LiveweightNTQLD_Data(),Table_SourceData_PastureBeef_LiveweightNTQD[[#Headers],[State]], 0)</f>
        <v>420</v>
      </c>
      <c r="M81" s="68" cm="1">
        <f t="array" ref="M81">Common_InputFunctions.Utility_DisplayArrayInTable(SourceData_PastureBeef.SourceData_PastureBeef_LiveweightNTQLD_Data(),Table_SourceData_PastureBeef_LiveweightNTQD[[#Headers],[State]], 0)</f>
        <v>157</v>
      </c>
      <c r="N81" s="68" cm="1">
        <f t="array" ref="N81">Common_InputFunctions.Utility_DisplayArrayInTable(SourceData_PastureBeef.SourceData_PastureBeef_LiveweightNTQLD_Data(),Table_SourceData_PastureBeef_LiveweightNTQD[[#Headers],[State]], 0)</f>
        <v>261</v>
      </c>
      <c r="O81" s="68" cm="1">
        <f t="array" ref="O81">Common_InputFunctions.Utility_DisplayArrayInTable(SourceData_PastureBeef.SourceData_PastureBeef_LiveweightNTQLD_Data(),Table_SourceData_PastureBeef_LiveweightNTQD[[#Headers],[State]], 0)</f>
        <v>342</v>
      </c>
      <c r="P81" s="68"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168</v>
      </c>
      <c r="M84" s="1"/>
    </row>
    <row r="85" spans="4:22" ht="20.100000000000001" customHeight="1" x14ac:dyDescent="0.25">
      <c r="D85" s="68" t="s">
        <v>22</v>
      </c>
      <c r="E85" s="68" t="s">
        <v>132</v>
      </c>
      <c r="F85" s="68" t="s">
        <v>84</v>
      </c>
      <c r="G85" s="70" t="s">
        <v>31</v>
      </c>
      <c r="H85" s="70" t="s">
        <v>32</v>
      </c>
      <c r="I85" s="70" t="s">
        <v>33</v>
      </c>
      <c r="J85" s="70" t="s">
        <v>34</v>
      </c>
      <c r="K85" s="70" t="s">
        <v>35</v>
      </c>
      <c r="L85" s="70" t="s">
        <v>36</v>
      </c>
      <c r="M85" s="70" t="s">
        <v>37</v>
      </c>
      <c r="N85" s="70" t="s">
        <v>38</v>
      </c>
      <c r="O85" s="70" t="s">
        <v>39</v>
      </c>
      <c r="P85" s="70" t="s">
        <v>40</v>
      </c>
      <c r="V85" s="1"/>
    </row>
    <row r="86" spans="4:22" ht="20.100000000000001" customHeight="1" x14ac:dyDescent="0.25">
      <c r="D86" s="68" t="s">
        <v>169</v>
      </c>
      <c r="E86" s="68" t="s">
        <v>135</v>
      </c>
      <c r="F86" s="68" t="str">
        <f>F19</f>
        <v>Spring</v>
      </c>
      <c r="G86" s="68">
        <f>G19</f>
        <v>80</v>
      </c>
      <c r="H86" s="68">
        <f t="shared" ref="H86:K89" si="0">H19</f>
        <v>480</v>
      </c>
      <c r="I86" s="68">
        <f>I19</f>
        <v>75</v>
      </c>
      <c r="J86" s="68">
        <f>J19</f>
        <v>300</v>
      </c>
      <c r="K86" s="68">
        <f>K19</f>
        <v>440</v>
      </c>
      <c r="L86" s="68">
        <f>K19</f>
        <v>440</v>
      </c>
      <c r="M86" s="68">
        <f>L19</f>
        <v>75</v>
      </c>
      <c r="N86" s="68">
        <f>M19</f>
        <v>380</v>
      </c>
      <c r="O86" s="68">
        <f>M19</f>
        <v>380</v>
      </c>
      <c r="P86" s="68">
        <f>M19</f>
        <v>380</v>
      </c>
      <c r="V86" s="1"/>
    </row>
    <row r="87" spans="4:22" ht="20.100000000000001" customHeight="1" x14ac:dyDescent="0.25">
      <c r="D87" s="68" t="s">
        <v>169</v>
      </c>
      <c r="E87" s="68" t="s">
        <v>135</v>
      </c>
      <c r="F87" s="68" t="s">
        <v>43</v>
      </c>
      <c r="G87" s="68">
        <f t="shared" ref="G87:G89" si="1">G20</f>
        <v>170</v>
      </c>
      <c r="H87" s="68">
        <f t="shared" si="0"/>
        <v>520</v>
      </c>
      <c r="I87" s="68">
        <f t="shared" si="0"/>
        <v>160</v>
      </c>
      <c r="J87" s="68">
        <f t="shared" si="0"/>
        <v>360</v>
      </c>
      <c r="K87" s="68">
        <f t="shared" si="0"/>
        <v>470</v>
      </c>
      <c r="L87" s="68">
        <f t="shared" ref="L87:N89" si="2">K20</f>
        <v>470</v>
      </c>
      <c r="M87" s="68">
        <f t="shared" si="2"/>
        <v>160</v>
      </c>
      <c r="N87" s="68">
        <f t="shared" si="2"/>
        <v>420</v>
      </c>
      <c r="O87" s="68">
        <f t="shared" ref="O87:O89" si="3">M20</f>
        <v>420</v>
      </c>
      <c r="P87" s="68">
        <f t="shared" ref="P87:P89" si="4">M20</f>
        <v>420</v>
      </c>
      <c r="V87" s="1"/>
    </row>
    <row r="88" spans="4:22" ht="20.100000000000001" customHeight="1" x14ac:dyDescent="0.25">
      <c r="D88" s="68" t="s">
        <v>169</v>
      </c>
      <c r="E88" s="68" t="s">
        <v>135</v>
      </c>
      <c r="F88" s="68" t="s">
        <v>44</v>
      </c>
      <c r="G88" s="68">
        <f t="shared" si="1"/>
        <v>240</v>
      </c>
      <c r="H88" s="68">
        <f t="shared" si="0"/>
        <v>550</v>
      </c>
      <c r="I88" s="68">
        <f t="shared" si="0"/>
        <v>220</v>
      </c>
      <c r="J88" s="68">
        <f t="shared" si="0"/>
        <v>390</v>
      </c>
      <c r="K88" s="68">
        <f t="shared" si="0"/>
        <v>490</v>
      </c>
      <c r="L88" s="68">
        <f t="shared" si="2"/>
        <v>490</v>
      </c>
      <c r="M88" s="68">
        <f t="shared" si="2"/>
        <v>220</v>
      </c>
      <c r="N88" s="68">
        <f t="shared" si="2"/>
        <v>450</v>
      </c>
      <c r="O88" s="68">
        <f t="shared" si="3"/>
        <v>450</v>
      </c>
      <c r="P88" s="68">
        <f t="shared" si="4"/>
        <v>450</v>
      </c>
      <c r="V88" s="1"/>
    </row>
    <row r="89" spans="4:22" ht="20.100000000000001" customHeight="1" x14ac:dyDescent="0.25">
      <c r="D89" s="68" t="s">
        <v>169</v>
      </c>
      <c r="E89" s="68" t="s">
        <v>135</v>
      </c>
      <c r="F89" s="68" t="s">
        <v>45</v>
      </c>
      <c r="G89" s="68">
        <f t="shared" si="1"/>
        <v>280</v>
      </c>
      <c r="H89" s="68">
        <f t="shared" si="0"/>
        <v>560</v>
      </c>
      <c r="I89" s="68">
        <f t="shared" si="0"/>
        <v>260</v>
      </c>
      <c r="J89" s="68">
        <f t="shared" si="0"/>
        <v>410</v>
      </c>
      <c r="K89" s="68">
        <f t="shared" si="0"/>
        <v>500</v>
      </c>
      <c r="L89" s="68">
        <f t="shared" si="2"/>
        <v>500</v>
      </c>
      <c r="M89" s="68">
        <f t="shared" si="2"/>
        <v>260</v>
      </c>
      <c r="N89" s="68">
        <f t="shared" si="2"/>
        <v>460</v>
      </c>
      <c r="O89" s="68">
        <f t="shared" si="3"/>
        <v>460</v>
      </c>
      <c r="P89" s="68">
        <f t="shared" si="4"/>
        <v>460</v>
      </c>
      <c r="V89" s="1"/>
    </row>
    <row r="90" spans="4:22" ht="20.100000000000001" customHeight="1" x14ac:dyDescent="0.25">
      <c r="D90" s="68" t="s">
        <v>170</v>
      </c>
      <c r="E90" s="68" t="s">
        <v>135</v>
      </c>
      <c r="F90" s="68" t="str">
        <f>F23</f>
        <v>Spring</v>
      </c>
      <c r="G90" s="68">
        <f>G19</f>
        <v>80</v>
      </c>
      <c r="H90" s="68">
        <f t="shared" ref="H90:J90" si="5">H19</f>
        <v>480</v>
      </c>
      <c r="I90" s="68">
        <f t="shared" si="5"/>
        <v>75</v>
      </c>
      <c r="J90" s="68">
        <f t="shared" si="5"/>
        <v>300</v>
      </c>
      <c r="K90" s="68">
        <f>K19</f>
        <v>440</v>
      </c>
      <c r="L90" s="68">
        <f>K19</f>
        <v>440</v>
      </c>
      <c r="M90" s="68">
        <f>L19</f>
        <v>75</v>
      </c>
      <c r="N90" s="68">
        <f>M19</f>
        <v>380</v>
      </c>
      <c r="O90" s="68">
        <f>M19</f>
        <v>380</v>
      </c>
      <c r="P90" s="68">
        <f>M19</f>
        <v>380</v>
      </c>
      <c r="V90" s="1"/>
    </row>
    <row r="91" spans="4:22" ht="20.100000000000001" customHeight="1" x14ac:dyDescent="0.25">
      <c r="D91" s="68" t="s">
        <v>170</v>
      </c>
      <c r="E91" s="68" t="s">
        <v>135</v>
      </c>
      <c r="F91" s="68" t="s">
        <v>43</v>
      </c>
      <c r="G91" s="68">
        <f t="shared" ref="G91:K94" si="6">G20</f>
        <v>170</v>
      </c>
      <c r="H91" s="68">
        <f t="shared" si="6"/>
        <v>520</v>
      </c>
      <c r="I91" s="68">
        <f t="shared" si="6"/>
        <v>160</v>
      </c>
      <c r="J91" s="68">
        <f t="shared" si="6"/>
        <v>360</v>
      </c>
      <c r="K91" s="68">
        <f t="shared" si="6"/>
        <v>470</v>
      </c>
      <c r="L91" s="68">
        <f t="shared" ref="L91:N105" si="7">K20</f>
        <v>470</v>
      </c>
      <c r="M91" s="68">
        <f t="shared" si="7"/>
        <v>160</v>
      </c>
      <c r="N91" s="68">
        <f t="shared" si="7"/>
        <v>420</v>
      </c>
      <c r="O91" s="68">
        <f t="shared" ref="O91:O93" si="8">M20</f>
        <v>420</v>
      </c>
      <c r="P91" s="68">
        <f t="shared" ref="P91:P93" si="9">M20</f>
        <v>420</v>
      </c>
    </row>
    <row r="92" spans="4:22" ht="20.100000000000001" customHeight="1" x14ac:dyDescent="0.25">
      <c r="D92" s="68" t="s">
        <v>170</v>
      </c>
      <c r="E92" s="68" t="s">
        <v>135</v>
      </c>
      <c r="F92" s="68" t="s">
        <v>44</v>
      </c>
      <c r="G92" s="68">
        <f t="shared" si="6"/>
        <v>240</v>
      </c>
      <c r="H92" s="68">
        <f t="shared" si="6"/>
        <v>550</v>
      </c>
      <c r="I92" s="68">
        <f t="shared" si="6"/>
        <v>220</v>
      </c>
      <c r="J92" s="68">
        <f t="shared" si="6"/>
        <v>390</v>
      </c>
      <c r="K92" s="68">
        <f t="shared" si="6"/>
        <v>490</v>
      </c>
      <c r="L92" s="68">
        <f t="shared" si="7"/>
        <v>490</v>
      </c>
      <c r="M92" s="68">
        <f t="shared" si="7"/>
        <v>220</v>
      </c>
      <c r="N92" s="68">
        <f t="shared" si="7"/>
        <v>450</v>
      </c>
      <c r="O92" s="68">
        <f t="shared" si="8"/>
        <v>450</v>
      </c>
      <c r="P92" s="68">
        <f t="shared" si="9"/>
        <v>450</v>
      </c>
    </row>
    <row r="93" spans="4:22" ht="20.100000000000001" customHeight="1" x14ac:dyDescent="0.25">
      <c r="D93" s="68" t="s">
        <v>170</v>
      </c>
      <c r="E93" s="68" t="s">
        <v>135</v>
      </c>
      <c r="F93" s="68" t="s">
        <v>45</v>
      </c>
      <c r="G93" s="68">
        <f t="shared" si="6"/>
        <v>280</v>
      </c>
      <c r="H93" s="68">
        <f t="shared" si="6"/>
        <v>560</v>
      </c>
      <c r="I93" s="68">
        <f t="shared" si="6"/>
        <v>260</v>
      </c>
      <c r="J93" s="68">
        <f t="shared" si="6"/>
        <v>410</v>
      </c>
      <c r="K93" s="68">
        <f t="shared" si="6"/>
        <v>500</v>
      </c>
      <c r="L93" s="68">
        <f t="shared" si="7"/>
        <v>500</v>
      </c>
      <c r="M93" s="68">
        <f t="shared" si="7"/>
        <v>260</v>
      </c>
      <c r="N93" s="68">
        <f t="shared" si="7"/>
        <v>460</v>
      </c>
      <c r="O93" s="68">
        <f t="shared" si="8"/>
        <v>460</v>
      </c>
      <c r="P93" s="68">
        <f t="shared" si="9"/>
        <v>460</v>
      </c>
    </row>
    <row r="94" spans="4:22" ht="20.100000000000001" customHeight="1" x14ac:dyDescent="0.25">
      <c r="D94" s="68" t="s">
        <v>171</v>
      </c>
      <c r="E94" s="68" t="s">
        <v>135</v>
      </c>
      <c r="F94" s="68" t="str">
        <f>F27</f>
        <v>Spring</v>
      </c>
      <c r="G94" s="68">
        <f>G23</f>
        <v>250</v>
      </c>
      <c r="H94" s="68">
        <f t="shared" si="6"/>
        <v>800</v>
      </c>
      <c r="I94" s="68">
        <f t="shared" si="6"/>
        <v>220</v>
      </c>
      <c r="J94" s="68">
        <f>J23</f>
        <v>400</v>
      </c>
      <c r="K94" s="68">
        <f>K23</f>
        <v>500</v>
      </c>
      <c r="L94" s="68">
        <f>K23</f>
        <v>500</v>
      </c>
      <c r="M94" s="68">
        <f>L23</f>
        <v>230</v>
      </c>
      <c r="N94" s="68">
        <f>M23</f>
        <v>420</v>
      </c>
      <c r="O94" s="68">
        <f>M23</f>
        <v>420</v>
      </c>
      <c r="P94" s="68">
        <f>M23</f>
        <v>420</v>
      </c>
    </row>
    <row r="95" spans="4:22" ht="20.100000000000001" customHeight="1" x14ac:dyDescent="0.25">
      <c r="D95" s="68" t="s">
        <v>171</v>
      </c>
      <c r="E95" s="68" t="s">
        <v>135</v>
      </c>
      <c r="F95" s="68" t="s">
        <v>43</v>
      </c>
      <c r="G95" s="68">
        <f t="shared" ref="G95:K98" si="10">G24</f>
        <v>320</v>
      </c>
      <c r="H95" s="68">
        <f t="shared" si="10"/>
        <v>800</v>
      </c>
      <c r="I95" s="68">
        <f t="shared" si="10"/>
        <v>280</v>
      </c>
      <c r="J95" s="68">
        <f t="shared" si="10"/>
        <v>420</v>
      </c>
      <c r="K95" s="68">
        <f t="shared" si="10"/>
        <v>500</v>
      </c>
      <c r="L95" s="68">
        <f t="shared" ref="L95:M97" si="11">K24</f>
        <v>500</v>
      </c>
      <c r="M95" s="68">
        <f t="shared" si="11"/>
        <v>290</v>
      </c>
      <c r="N95" s="68">
        <f t="shared" si="7"/>
        <v>420</v>
      </c>
      <c r="O95" s="68">
        <f t="shared" ref="O95:O97" si="12">M24</f>
        <v>420</v>
      </c>
      <c r="P95" s="68">
        <f t="shared" ref="P95:P97" si="13">M24</f>
        <v>420</v>
      </c>
    </row>
    <row r="96" spans="4:22" ht="20.100000000000001" customHeight="1" x14ac:dyDescent="0.25">
      <c r="D96" s="68" t="s">
        <v>171</v>
      </c>
      <c r="E96" s="68" t="s">
        <v>135</v>
      </c>
      <c r="F96" s="68" t="s">
        <v>44</v>
      </c>
      <c r="G96" s="68">
        <f t="shared" si="10"/>
        <v>80</v>
      </c>
      <c r="H96" s="68">
        <f t="shared" si="10"/>
        <v>700</v>
      </c>
      <c r="I96" s="68">
        <f t="shared" si="10"/>
        <v>70</v>
      </c>
      <c r="J96" s="68">
        <f t="shared" si="10"/>
        <v>300</v>
      </c>
      <c r="K96" s="68">
        <f t="shared" si="10"/>
        <v>450</v>
      </c>
      <c r="L96" s="68">
        <f t="shared" si="11"/>
        <v>450</v>
      </c>
      <c r="M96" s="68">
        <f t="shared" si="11"/>
        <v>75</v>
      </c>
      <c r="N96" s="68">
        <f t="shared" si="7"/>
        <v>400</v>
      </c>
      <c r="O96" s="68">
        <f t="shared" si="12"/>
        <v>400</v>
      </c>
      <c r="P96" s="68">
        <f t="shared" si="13"/>
        <v>400</v>
      </c>
    </row>
    <row r="97" spans="4:16" ht="20.100000000000001" customHeight="1" x14ac:dyDescent="0.25">
      <c r="D97" s="68" t="s">
        <v>171</v>
      </c>
      <c r="E97" s="68" t="s">
        <v>135</v>
      </c>
      <c r="F97" s="68" t="s">
        <v>45</v>
      </c>
      <c r="G97" s="68">
        <f t="shared" si="10"/>
        <v>160</v>
      </c>
      <c r="H97" s="68">
        <f t="shared" si="10"/>
        <v>700</v>
      </c>
      <c r="I97" s="68">
        <f t="shared" si="10"/>
        <v>140</v>
      </c>
      <c r="J97" s="68">
        <f t="shared" si="10"/>
        <v>350</v>
      </c>
      <c r="K97" s="68">
        <f t="shared" si="10"/>
        <v>450</v>
      </c>
      <c r="L97" s="68">
        <f t="shared" si="11"/>
        <v>450</v>
      </c>
      <c r="M97" s="68">
        <f t="shared" si="11"/>
        <v>150</v>
      </c>
      <c r="N97" s="68">
        <f t="shared" si="7"/>
        <v>400</v>
      </c>
      <c r="O97" s="68">
        <f t="shared" si="12"/>
        <v>400</v>
      </c>
      <c r="P97" s="68">
        <f t="shared" si="13"/>
        <v>400</v>
      </c>
    </row>
    <row r="98" spans="4:16" ht="20.100000000000001" customHeight="1" x14ac:dyDescent="0.25">
      <c r="D98" s="68" t="s">
        <v>172</v>
      </c>
      <c r="E98" s="68" t="s">
        <v>135</v>
      </c>
      <c r="F98" s="68" t="str">
        <f>F31</f>
        <v>Spring</v>
      </c>
      <c r="G98" s="68">
        <f>G27</f>
        <v>105</v>
      </c>
      <c r="H98" s="68">
        <f t="shared" si="10"/>
        <v>700</v>
      </c>
      <c r="I98" s="68">
        <f t="shared" si="10"/>
        <v>85</v>
      </c>
      <c r="J98" s="68">
        <f t="shared" si="10"/>
        <v>300</v>
      </c>
      <c r="K98" s="68">
        <f t="shared" si="10"/>
        <v>490</v>
      </c>
      <c r="L98" s="68">
        <f>K27</f>
        <v>490</v>
      </c>
      <c r="M98" s="68">
        <f>L27</f>
        <v>90</v>
      </c>
      <c r="N98" s="68">
        <f>M27</f>
        <v>480</v>
      </c>
      <c r="O98" s="68">
        <f>M27</f>
        <v>480</v>
      </c>
      <c r="P98" s="68">
        <f>M27</f>
        <v>480</v>
      </c>
    </row>
    <row r="99" spans="4:16" ht="20.100000000000001" customHeight="1" x14ac:dyDescent="0.25">
      <c r="D99" s="68" t="s">
        <v>172</v>
      </c>
      <c r="E99" s="68" t="s">
        <v>135</v>
      </c>
      <c r="F99" s="68" t="s">
        <v>43</v>
      </c>
      <c r="G99" s="68">
        <f t="shared" ref="G99:K102" si="14">G28</f>
        <v>480</v>
      </c>
      <c r="H99" s="68">
        <f t="shared" si="14"/>
        <v>750</v>
      </c>
      <c r="I99" s="68">
        <f t="shared" si="14"/>
        <v>150</v>
      </c>
      <c r="J99" s="68">
        <f t="shared" si="14"/>
        <v>350</v>
      </c>
      <c r="K99" s="68">
        <f t="shared" si="14"/>
        <v>530</v>
      </c>
      <c r="L99" s="68">
        <f t="shared" ref="L99:M101" si="15">K28</f>
        <v>530</v>
      </c>
      <c r="M99" s="68">
        <f t="shared" si="15"/>
        <v>160</v>
      </c>
      <c r="N99" s="68">
        <f t="shared" si="7"/>
        <v>460</v>
      </c>
      <c r="O99" s="68">
        <f t="shared" ref="O99:O101" si="16">M28</f>
        <v>460</v>
      </c>
      <c r="P99" s="68">
        <f t="shared" ref="P99:P101" si="17">M28</f>
        <v>460</v>
      </c>
    </row>
    <row r="100" spans="4:16" ht="20.100000000000001" customHeight="1" x14ac:dyDescent="0.25">
      <c r="D100" s="68" t="s">
        <v>172</v>
      </c>
      <c r="E100" s="68" t="s">
        <v>135</v>
      </c>
      <c r="F100" s="68" t="s">
        <v>44</v>
      </c>
      <c r="G100" s="68">
        <f t="shared" si="14"/>
        <v>250</v>
      </c>
      <c r="H100" s="68">
        <f t="shared" si="14"/>
        <v>725</v>
      </c>
      <c r="I100" s="68">
        <f t="shared" si="14"/>
        <v>200</v>
      </c>
      <c r="J100" s="68">
        <f t="shared" si="14"/>
        <v>360</v>
      </c>
      <c r="K100" s="68">
        <f t="shared" si="14"/>
        <v>500</v>
      </c>
      <c r="L100" s="68">
        <f t="shared" si="15"/>
        <v>500</v>
      </c>
      <c r="M100" s="68">
        <f t="shared" si="15"/>
        <v>215</v>
      </c>
      <c r="N100" s="68">
        <f t="shared" si="7"/>
        <v>490</v>
      </c>
      <c r="O100" s="68">
        <f t="shared" si="16"/>
        <v>490</v>
      </c>
      <c r="P100" s="68">
        <f t="shared" si="17"/>
        <v>490</v>
      </c>
    </row>
    <row r="101" spans="4:16" ht="20.100000000000001" customHeight="1" x14ac:dyDescent="0.25">
      <c r="D101" s="68" t="s">
        <v>172</v>
      </c>
      <c r="E101" s="68" t="s">
        <v>135</v>
      </c>
      <c r="F101" s="68" t="s">
        <v>45</v>
      </c>
      <c r="G101" s="68">
        <f t="shared" si="14"/>
        <v>260</v>
      </c>
      <c r="H101" s="68">
        <f t="shared" si="14"/>
        <v>700</v>
      </c>
      <c r="I101" s="68">
        <f t="shared" si="14"/>
        <v>210</v>
      </c>
      <c r="J101" s="68">
        <f t="shared" si="14"/>
        <v>380</v>
      </c>
      <c r="K101" s="68">
        <f t="shared" si="14"/>
        <v>460</v>
      </c>
      <c r="L101" s="68">
        <f t="shared" si="15"/>
        <v>460</v>
      </c>
      <c r="M101" s="68">
        <f t="shared" si="15"/>
        <v>230</v>
      </c>
      <c r="N101" s="68">
        <f t="shared" si="7"/>
        <v>470</v>
      </c>
      <c r="O101" s="68">
        <f t="shared" si="16"/>
        <v>470</v>
      </c>
      <c r="P101" s="68">
        <f t="shared" si="17"/>
        <v>470</v>
      </c>
    </row>
    <row r="102" spans="4:16" ht="20.100000000000001" customHeight="1" x14ac:dyDescent="0.25">
      <c r="D102" s="68" t="s">
        <v>173</v>
      </c>
      <c r="E102" s="68" t="s">
        <v>135</v>
      </c>
      <c r="F102" s="68" t="str">
        <f>F35</f>
        <v>Spring</v>
      </c>
      <c r="G102" s="68">
        <f>G31</f>
        <v>250</v>
      </c>
      <c r="H102" s="68">
        <f t="shared" si="14"/>
        <v>820</v>
      </c>
      <c r="I102" s="68">
        <f t="shared" si="14"/>
        <v>240</v>
      </c>
      <c r="J102" s="68">
        <f t="shared" si="14"/>
        <v>410</v>
      </c>
      <c r="K102" s="68">
        <f>K31</f>
        <v>560</v>
      </c>
      <c r="L102" s="68">
        <f>K31</f>
        <v>560</v>
      </c>
      <c r="M102" s="68">
        <f>L31</f>
        <v>240</v>
      </c>
      <c r="N102" s="68">
        <f>M31</f>
        <v>510</v>
      </c>
      <c r="O102" s="68">
        <f>M31</f>
        <v>510</v>
      </c>
      <c r="P102" s="68">
        <f>M31</f>
        <v>510</v>
      </c>
    </row>
    <row r="103" spans="4:16" ht="20.100000000000001" customHeight="1" x14ac:dyDescent="0.25">
      <c r="D103" s="68" t="s">
        <v>173</v>
      </c>
      <c r="E103" s="68" t="s">
        <v>135</v>
      </c>
      <c r="F103" s="68" t="s">
        <v>43</v>
      </c>
      <c r="G103" s="68">
        <f t="shared" ref="G103:K105" si="18">G32</f>
        <v>280</v>
      </c>
      <c r="H103" s="68">
        <f t="shared" si="18"/>
        <v>850</v>
      </c>
      <c r="I103" s="68">
        <f t="shared" si="18"/>
        <v>260</v>
      </c>
      <c r="J103" s="68">
        <f t="shared" si="18"/>
        <v>440</v>
      </c>
      <c r="K103" s="68">
        <f t="shared" si="18"/>
        <v>550</v>
      </c>
      <c r="L103" s="68">
        <f t="shared" ref="L103:M105" si="19">K32</f>
        <v>550</v>
      </c>
      <c r="M103" s="68">
        <f t="shared" si="19"/>
        <v>270</v>
      </c>
      <c r="N103" s="68">
        <f t="shared" si="7"/>
        <v>520</v>
      </c>
      <c r="O103" s="68">
        <f t="shared" ref="O103:O105" si="20">M32</f>
        <v>520</v>
      </c>
      <c r="P103" s="68">
        <f t="shared" ref="P103:P105" si="21">M32</f>
        <v>520</v>
      </c>
    </row>
    <row r="104" spans="4:16" ht="20.100000000000001" customHeight="1" x14ac:dyDescent="0.25">
      <c r="D104" s="68" t="s">
        <v>173</v>
      </c>
      <c r="E104" s="68" t="s">
        <v>135</v>
      </c>
      <c r="F104" s="68" t="s">
        <v>44</v>
      </c>
      <c r="G104" s="68">
        <f t="shared" si="18"/>
        <v>100</v>
      </c>
      <c r="H104" s="68">
        <f t="shared" si="18"/>
        <v>700</v>
      </c>
      <c r="I104" s="68">
        <f t="shared" si="18"/>
        <v>95</v>
      </c>
      <c r="J104" s="68">
        <f t="shared" si="18"/>
        <v>300</v>
      </c>
      <c r="K104" s="68">
        <f t="shared" si="18"/>
        <v>450</v>
      </c>
      <c r="L104" s="68">
        <f t="shared" si="19"/>
        <v>450</v>
      </c>
      <c r="M104" s="68">
        <f t="shared" si="19"/>
        <v>95</v>
      </c>
      <c r="N104" s="68">
        <f t="shared" si="7"/>
        <v>410</v>
      </c>
      <c r="O104" s="68">
        <f t="shared" si="20"/>
        <v>410</v>
      </c>
      <c r="P104" s="68">
        <f t="shared" si="21"/>
        <v>410</v>
      </c>
    </row>
    <row r="105" spans="4:16" ht="20.100000000000001" customHeight="1" x14ac:dyDescent="0.25">
      <c r="D105" s="68" t="s">
        <v>173</v>
      </c>
      <c r="E105" s="68" t="s">
        <v>135</v>
      </c>
      <c r="F105" s="68" t="s">
        <v>45</v>
      </c>
      <c r="G105" s="68">
        <f t="shared" si="18"/>
        <v>150</v>
      </c>
      <c r="H105" s="68">
        <f t="shared" si="18"/>
        <v>720</v>
      </c>
      <c r="I105" s="68">
        <f t="shared" si="18"/>
        <v>140</v>
      </c>
      <c r="J105" s="68">
        <f t="shared" si="18"/>
        <v>320</v>
      </c>
      <c r="K105" s="68">
        <f t="shared" si="18"/>
        <v>470</v>
      </c>
      <c r="L105" s="68">
        <f t="shared" si="19"/>
        <v>470</v>
      </c>
      <c r="M105" s="68">
        <f t="shared" si="19"/>
        <v>140</v>
      </c>
      <c r="N105" s="68">
        <f t="shared" si="7"/>
        <v>440</v>
      </c>
      <c r="O105" s="68">
        <f t="shared" si="20"/>
        <v>440</v>
      </c>
      <c r="P105" s="68">
        <f t="shared" si="21"/>
        <v>440</v>
      </c>
    </row>
    <row r="106" spans="4:16" ht="20.100000000000001" customHeight="1" x14ac:dyDescent="0.25">
      <c r="D106" s="68" t="s">
        <v>174</v>
      </c>
      <c r="E106" s="68" t="str">
        <f>E35</f>
        <v>South West</v>
      </c>
      <c r="F106" s="68" t="str">
        <f t="shared" ref="F106:K106" si="22">F35</f>
        <v>Spring</v>
      </c>
      <c r="G106" s="68">
        <f t="shared" si="22"/>
        <v>340</v>
      </c>
      <c r="H106" s="68">
        <f t="shared" si="22"/>
        <v>800</v>
      </c>
      <c r="I106" s="68">
        <f t="shared" si="22"/>
        <v>260</v>
      </c>
      <c r="J106" s="68">
        <f t="shared" si="22"/>
        <v>420</v>
      </c>
      <c r="K106" s="68">
        <f t="shared" si="22"/>
        <v>550</v>
      </c>
      <c r="L106" s="68">
        <f>K35</f>
        <v>550</v>
      </c>
      <c r="M106" s="68">
        <f>L35</f>
        <v>300</v>
      </c>
      <c r="N106" s="68">
        <f>M35</f>
        <v>480</v>
      </c>
      <c r="O106" s="68">
        <f>M35</f>
        <v>480</v>
      </c>
      <c r="P106" s="68">
        <f>M35</f>
        <v>480</v>
      </c>
    </row>
    <row r="107" spans="4:16" ht="20.100000000000001" customHeight="1" x14ac:dyDescent="0.25">
      <c r="D107" s="68" t="s">
        <v>174</v>
      </c>
      <c r="E107" s="68" t="str">
        <f t="shared" ref="E107:K117" si="23">E36</f>
        <v>South West</v>
      </c>
      <c r="F107" s="68" t="str">
        <f t="shared" si="23"/>
        <v>Summer</v>
      </c>
      <c r="G107" s="68">
        <f t="shared" si="23"/>
        <v>380</v>
      </c>
      <c r="H107" s="68">
        <f t="shared" si="23"/>
        <v>780</v>
      </c>
      <c r="I107" s="68">
        <f t="shared" si="23"/>
        <v>300</v>
      </c>
      <c r="J107" s="68">
        <f t="shared" si="23"/>
        <v>450</v>
      </c>
      <c r="K107" s="68">
        <f t="shared" si="23"/>
        <v>530</v>
      </c>
      <c r="L107" s="68">
        <f t="shared" ref="L107:N117" si="24">K36</f>
        <v>530</v>
      </c>
      <c r="M107" s="68">
        <f t="shared" si="24"/>
        <v>340</v>
      </c>
      <c r="N107" s="68">
        <f t="shared" si="24"/>
        <v>470</v>
      </c>
      <c r="O107" s="68">
        <f t="shared" ref="O107:O117" si="25">M36</f>
        <v>470</v>
      </c>
      <c r="P107" s="68">
        <f t="shared" ref="P107:P117" si="26">M36</f>
        <v>470</v>
      </c>
    </row>
    <row r="108" spans="4:16" ht="20.100000000000001" customHeight="1" x14ac:dyDescent="0.25">
      <c r="D108" s="68" t="s">
        <v>174</v>
      </c>
      <c r="E108" s="68" t="str">
        <f t="shared" si="23"/>
        <v>South West</v>
      </c>
      <c r="F108" s="68" t="str">
        <f t="shared" si="23"/>
        <v>Autumn</v>
      </c>
      <c r="G108" s="68">
        <f t="shared" si="23"/>
        <v>100</v>
      </c>
      <c r="H108" s="68">
        <f t="shared" si="23"/>
        <v>680</v>
      </c>
      <c r="I108" s="68">
        <f t="shared" si="23"/>
        <v>80</v>
      </c>
      <c r="J108" s="68">
        <f t="shared" si="23"/>
        <v>320</v>
      </c>
      <c r="K108" s="68">
        <f t="shared" si="23"/>
        <v>480</v>
      </c>
      <c r="L108" s="68">
        <f t="shared" si="24"/>
        <v>480</v>
      </c>
      <c r="M108" s="68">
        <f t="shared" si="24"/>
        <v>100</v>
      </c>
      <c r="N108" s="68">
        <f t="shared" si="24"/>
        <v>340</v>
      </c>
      <c r="O108" s="68">
        <f t="shared" si="25"/>
        <v>340</v>
      </c>
      <c r="P108" s="68">
        <f t="shared" si="26"/>
        <v>340</v>
      </c>
    </row>
    <row r="109" spans="4:16" ht="20.100000000000001" customHeight="1" x14ac:dyDescent="0.25">
      <c r="D109" s="68" t="s">
        <v>174</v>
      </c>
      <c r="E109" s="68" t="str">
        <f t="shared" si="23"/>
        <v>South West</v>
      </c>
      <c r="F109" s="68" t="str">
        <f t="shared" si="23"/>
        <v>Winter</v>
      </c>
      <c r="G109" s="68">
        <f t="shared" si="23"/>
        <v>190</v>
      </c>
      <c r="H109" s="68">
        <f t="shared" si="23"/>
        <v>700</v>
      </c>
      <c r="I109" s="68">
        <f t="shared" si="23"/>
        <v>150</v>
      </c>
      <c r="J109" s="68">
        <f t="shared" si="23"/>
        <v>330</v>
      </c>
      <c r="K109" s="68">
        <f t="shared" si="23"/>
        <v>490</v>
      </c>
      <c r="L109" s="68">
        <f t="shared" si="24"/>
        <v>490</v>
      </c>
      <c r="M109" s="68">
        <f t="shared" si="24"/>
        <v>170</v>
      </c>
      <c r="N109" s="68">
        <f t="shared" si="24"/>
        <v>360</v>
      </c>
      <c r="O109" s="68">
        <f t="shared" si="25"/>
        <v>360</v>
      </c>
      <c r="P109" s="68">
        <f t="shared" si="26"/>
        <v>360</v>
      </c>
    </row>
    <row r="110" spans="4:16" ht="20.100000000000001" customHeight="1" x14ac:dyDescent="0.25">
      <c r="D110" s="68" t="s">
        <v>174</v>
      </c>
      <c r="E110" s="68" t="str">
        <f t="shared" si="23"/>
        <v>Pilbara</v>
      </c>
      <c r="F110" s="68" t="str">
        <f t="shared" si="23"/>
        <v>Spring</v>
      </c>
      <c r="G110" s="68">
        <f t="shared" si="23"/>
        <v>80</v>
      </c>
      <c r="H110" s="68">
        <f t="shared" si="23"/>
        <v>450</v>
      </c>
      <c r="I110" s="68">
        <f t="shared" si="23"/>
        <v>70</v>
      </c>
      <c r="J110" s="68">
        <f t="shared" si="23"/>
        <v>260</v>
      </c>
      <c r="K110" s="68">
        <f t="shared" si="23"/>
        <v>340</v>
      </c>
      <c r="L110" s="68">
        <f t="shared" si="24"/>
        <v>340</v>
      </c>
      <c r="M110" s="68">
        <f t="shared" si="24"/>
        <v>80</v>
      </c>
      <c r="N110" s="68">
        <f t="shared" si="24"/>
        <v>370</v>
      </c>
      <c r="O110" s="68">
        <f t="shared" si="25"/>
        <v>370</v>
      </c>
      <c r="P110" s="68">
        <f t="shared" si="26"/>
        <v>370</v>
      </c>
    </row>
    <row r="111" spans="4:16" ht="20.100000000000001" customHeight="1" x14ac:dyDescent="0.25">
      <c r="D111" s="68" t="s">
        <v>174</v>
      </c>
      <c r="E111" s="68" t="str">
        <f t="shared" si="23"/>
        <v>Pilbara</v>
      </c>
      <c r="F111" s="68" t="str">
        <f t="shared" si="23"/>
        <v>Summer</v>
      </c>
      <c r="G111" s="68">
        <f t="shared" si="23"/>
        <v>150</v>
      </c>
      <c r="H111" s="68">
        <f t="shared" si="23"/>
        <v>500</v>
      </c>
      <c r="I111" s="68">
        <f t="shared" si="23"/>
        <v>140</v>
      </c>
      <c r="J111" s="68">
        <f t="shared" si="23"/>
        <v>310</v>
      </c>
      <c r="K111" s="68">
        <f t="shared" si="23"/>
        <v>360</v>
      </c>
      <c r="L111" s="68">
        <f t="shared" si="24"/>
        <v>360</v>
      </c>
      <c r="M111" s="68">
        <f t="shared" si="24"/>
        <v>150</v>
      </c>
      <c r="N111" s="68">
        <f t="shared" si="24"/>
        <v>400</v>
      </c>
      <c r="O111" s="68">
        <f t="shared" si="25"/>
        <v>400</v>
      </c>
      <c r="P111" s="68">
        <f t="shared" si="26"/>
        <v>400</v>
      </c>
    </row>
    <row r="112" spans="4:16" ht="20.100000000000001" customHeight="1" x14ac:dyDescent="0.25">
      <c r="D112" s="68" t="s">
        <v>174</v>
      </c>
      <c r="E112" s="68" t="str">
        <f t="shared" si="23"/>
        <v>Pilbara</v>
      </c>
      <c r="F112" s="68" t="str">
        <f t="shared" si="23"/>
        <v>Autumn</v>
      </c>
      <c r="G112" s="68">
        <f t="shared" si="23"/>
        <v>230</v>
      </c>
      <c r="H112" s="68">
        <f t="shared" si="23"/>
        <v>550</v>
      </c>
      <c r="I112" s="68">
        <f t="shared" si="23"/>
        <v>220</v>
      </c>
      <c r="J112" s="68">
        <f t="shared" si="23"/>
        <v>330</v>
      </c>
      <c r="K112" s="68">
        <f t="shared" si="23"/>
        <v>380</v>
      </c>
      <c r="L112" s="68">
        <f t="shared" si="24"/>
        <v>380</v>
      </c>
      <c r="M112" s="68">
        <f t="shared" si="24"/>
        <v>230</v>
      </c>
      <c r="N112" s="68">
        <f t="shared" si="24"/>
        <v>420</v>
      </c>
      <c r="O112" s="68">
        <f t="shared" si="25"/>
        <v>420</v>
      </c>
      <c r="P112" s="68">
        <f t="shared" si="26"/>
        <v>420</v>
      </c>
    </row>
    <row r="113" spans="4:22" ht="20.100000000000001" customHeight="1" x14ac:dyDescent="0.25">
      <c r="D113" s="68" t="s">
        <v>174</v>
      </c>
      <c r="E113" s="68" t="str">
        <f t="shared" si="23"/>
        <v>Pilbara</v>
      </c>
      <c r="F113" s="68" t="str">
        <f t="shared" si="23"/>
        <v>Winter</v>
      </c>
      <c r="G113" s="68">
        <f t="shared" si="23"/>
        <v>250</v>
      </c>
      <c r="H113" s="68">
        <f t="shared" si="23"/>
        <v>500</v>
      </c>
      <c r="I113" s="68">
        <f t="shared" si="23"/>
        <v>240</v>
      </c>
      <c r="J113" s="68">
        <f t="shared" si="23"/>
        <v>340</v>
      </c>
      <c r="K113" s="68">
        <f t="shared" si="23"/>
        <v>360</v>
      </c>
      <c r="L113" s="68">
        <f t="shared" si="24"/>
        <v>360</v>
      </c>
      <c r="M113" s="68">
        <f t="shared" si="24"/>
        <v>250</v>
      </c>
      <c r="N113" s="68">
        <f t="shared" si="24"/>
        <v>390</v>
      </c>
      <c r="O113" s="68">
        <f t="shared" si="25"/>
        <v>390</v>
      </c>
      <c r="P113" s="68">
        <f t="shared" si="26"/>
        <v>390</v>
      </c>
    </row>
    <row r="114" spans="4:22" ht="20.100000000000001" customHeight="1" x14ac:dyDescent="0.25">
      <c r="D114" s="68" t="s">
        <v>174</v>
      </c>
      <c r="E114" s="68" t="str">
        <f t="shared" si="23"/>
        <v>Kimberley</v>
      </c>
      <c r="F114" s="68" t="str">
        <f t="shared" si="23"/>
        <v>Spring</v>
      </c>
      <c r="G114" s="68">
        <f t="shared" si="23"/>
        <v>220</v>
      </c>
      <c r="H114" s="68">
        <f t="shared" si="23"/>
        <v>500</v>
      </c>
      <c r="I114" s="68">
        <f t="shared" si="23"/>
        <v>180</v>
      </c>
      <c r="J114" s="68">
        <f t="shared" si="23"/>
        <v>300</v>
      </c>
      <c r="K114" s="68">
        <f t="shared" si="23"/>
        <v>320</v>
      </c>
      <c r="L114" s="68">
        <f t="shared" si="24"/>
        <v>320</v>
      </c>
      <c r="M114" s="68">
        <f t="shared" si="24"/>
        <v>210</v>
      </c>
      <c r="N114" s="68">
        <f t="shared" si="24"/>
        <v>340</v>
      </c>
      <c r="O114" s="68">
        <f t="shared" si="25"/>
        <v>340</v>
      </c>
      <c r="P114" s="68">
        <f t="shared" si="26"/>
        <v>340</v>
      </c>
    </row>
    <row r="115" spans="4:22" ht="20.100000000000001" customHeight="1" x14ac:dyDescent="0.25">
      <c r="D115" s="68" t="s">
        <v>174</v>
      </c>
      <c r="E115" s="68" t="str">
        <f t="shared" si="23"/>
        <v>Kimberley</v>
      </c>
      <c r="F115" s="68" t="str">
        <f t="shared" si="23"/>
        <v>Summer</v>
      </c>
      <c r="G115" s="68">
        <f t="shared" si="23"/>
        <v>110</v>
      </c>
      <c r="H115" s="68">
        <f t="shared" si="23"/>
        <v>550</v>
      </c>
      <c r="I115" s="68">
        <f t="shared" si="23"/>
        <v>90</v>
      </c>
      <c r="J115" s="68">
        <f t="shared" si="23"/>
        <v>220</v>
      </c>
      <c r="K115" s="68">
        <f t="shared" si="23"/>
        <v>380</v>
      </c>
      <c r="L115" s="68">
        <f t="shared" si="24"/>
        <v>380</v>
      </c>
      <c r="M115" s="68">
        <f t="shared" si="24"/>
        <v>100</v>
      </c>
      <c r="N115" s="68">
        <f t="shared" si="24"/>
        <v>390</v>
      </c>
      <c r="O115" s="68">
        <f t="shared" si="25"/>
        <v>390</v>
      </c>
      <c r="P115" s="68">
        <f t="shared" si="26"/>
        <v>390</v>
      </c>
      <c r="V115" s="1"/>
    </row>
    <row r="116" spans="4:22" ht="20.100000000000001" customHeight="1" x14ac:dyDescent="0.25">
      <c r="D116" s="68" t="s">
        <v>174</v>
      </c>
      <c r="E116" s="68" t="str">
        <f t="shared" si="23"/>
        <v>Kimberley</v>
      </c>
      <c r="F116" s="68" t="str">
        <f t="shared" si="23"/>
        <v>Autumn</v>
      </c>
      <c r="G116" s="68">
        <f t="shared" si="23"/>
        <v>170</v>
      </c>
      <c r="H116" s="68">
        <f t="shared" si="23"/>
        <v>600</v>
      </c>
      <c r="I116" s="68">
        <f t="shared" si="23"/>
        <v>140</v>
      </c>
      <c r="J116" s="68">
        <f t="shared" si="23"/>
        <v>270</v>
      </c>
      <c r="K116" s="68">
        <f t="shared" si="23"/>
        <v>390</v>
      </c>
      <c r="L116" s="68">
        <f t="shared" si="24"/>
        <v>390</v>
      </c>
      <c r="M116" s="68">
        <f t="shared" si="24"/>
        <v>160</v>
      </c>
      <c r="N116" s="68">
        <f t="shared" si="24"/>
        <v>430</v>
      </c>
      <c r="O116" s="68">
        <f t="shared" si="25"/>
        <v>430</v>
      </c>
      <c r="P116" s="68">
        <f t="shared" si="26"/>
        <v>430</v>
      </c>
      <c r="V116" s="1"/>
    </row>
    <row r="117" spans="4:22" ht="20.100000000000001" customHeight="1" x14ac:dyDescent="0.25">
      <c r="D117" s="68" t="s">
        <v>174</v>
      </c>
      <c r="E117" s="68" t="str">
        <f t="shared" si="23"/>
        <v>Kimberley</v>
      </c>
      <c r="F117" s="68" t="str">
        <f t="shared" si="23"/>
        <v>Winter</v>
      </c>
      <c r="G117" s="68">
        <f t="shared" si="23"/>
        <v>200</v>
      </c>
      <c r="H117" s="68">
        <f t="shared" si="23"/>
        <v>550</v>
      </c>
      <c r="I117" s="68">
        <f t="shared" si="23"/>
        <v>150</v>
      </c>
      <c r="J117" s="68">
        <f t="shared" si="23"/>
        <v>280</v>
      </c>
      <c r="K117" s="68">
        <f t="shared" si="23"/>
        <v>350</v>
      </c>
      <c r="L117" s="68">
        <f t="shared" si="24"/>
        <v>350</v>
      </c>
      <c r="M117" s="68">
        <f t="shared" si="24"/>
        <v>190</v>
      </c>
      <c r="N117" s="68">
        <f t="shared" si="24"/>
        <v>400</v>
      </c>
      <c r="O117" s="68">
        <f t="shared" si="25"/>
        <v>400</v>
      </c>
      <c r="P117" s="68">
        <f t="shared" si="26"/>
        <v>400</v>
      </c>
      <c r="V117" s="1"/>
    </row>
    <row r="118" spans="4:22" ht="20.100000000000001" customHeight="1" x14ac:dyDescent="0.25">
      <c r="D118" s="68" t="s">
        <v>175</v>
      </c>
      <c r="E118" s="68" t="str">
        <f>E54</f>
        <v>Alice Springs</v>
      </c>
      <c r="F118" s="68" t="str">
        <f t="shared" ref="F118:P118" si="27">F54</f>
        <v>Spring</v>
      </c>
      <c r="G118" s="68">
        <f t="shared" si="27"/>
        <v>220</v>
      </c>
      <c r="H118" s="68">
        <f t="shared" si="27"/>
        <v>706</v>
      </c>
      <c r="I118" s="68">
        <f t="shared" si="27"/>
        <v>208</v>
      </c>
      <c r="J118" s="68">
        <f t="shared" si="27"/>
        <v>323</v>
      </c>
      <c r="K118" s="68">
        <f t="shared" si="27"/>
        <v>415</v>
      </c>
      <c r="L118" s="68">
        <f t="shared" si="27"/>
        <v>467</v>
      </c>
      <c r="M118" s="68">
        <f t="shared" si="27"/>
        <v>223</v>
      </c>
      <c r="N118" s="68">
        <f t="shared" si="27"/>
        <v>371</v>
      </c>
      <c r="O118" s="68">
        <f t="shared" si="27"/>
        <v>493</v>
      </c>
      <c r="P118" s="68">
        <f t="shared" si="27"/>
        <v>585</v>
      </c>
    </row>
    <row r="119" spans="4:22" ht="20.100000000000001" customHeight="1" x14ac:dyDescent="0.25">
      <c r="D119" s="68" t="s">
        <v>175</v>
      </c>
      <c r="E119" s="68" t="str">
        <f t="shared" ref="E119:P134" si="28">E55</f>
        <v>Alice Springs</v>
      </c>
      <c r="F119" s="68" t="str">
        <f t="shared" si="28"/>
        <v>Summer</v>
      </c>
      <c r="G119" s="68">
        <f t="shared" si="28"/>
        <v>110</v>
      </c>
      <c r="H119" s="68">
        <f t="shared" si="28"/>
        <v>703</v>
      </c>
      <c r="I119" s="68">
        <f t="shared" si="28"/>
        <v>112</v>
      </c>
      <c r="J119" s="68">
        <f t="shared" si="28"/>
        <v>256</v>
      </c>
      <c r="K119" s="68">
        <f t="shared" si="28"/>
        <v>368</v>
      </c>
      <c r="L119" s="68">
        <f t="shared" si="28"/>
        <v>465</v>
      </c>
      <c r="M119" s="68">
        <f t="shared" si="28"/>
        <v>108</v>
      </c>
      <c r="N119" s="68">
        <f t="shared" si="28"/>
        <v>280</v>
      </c>
      <c r="O119" s="68">
        <f t="shared" si="28"/>
        <v>421</v>
      </c>
      <c r="P119" s="68">
        <f t="shared" si="28"/>
        <v>543</v>
      </c>
    </row>
    <row r="120" spans="4:22" ht="20.100000000000001" customHeight="1" x14ac:dyDescent="0.25">
      <c r="D120" s="68" t="s">
        <v>175</v>
      </c>
      <c r="E120" s="68" t="str">
        <f t="shared" si="28"/>
        <v>Alice Springs</v>
      </c>
      <c r="F120" s="68" t="str">
        <f t="shared" si="28"/>
        <v>Autumn</v>
      </c>
      <c r="G120" s="68">
        <f t="shared" si="28"/>
        <v>170</v>
      </c>
      <c r="H120" s="68">
        <f t="shared" si="28"/>
        <v>721</v>
      </c>
      <c r="I120" s="68">
        <f t="shared" si="28"/>
        <v>169</v>
      </c>
      <c r="J120" s="68">
        <f t="shared" si="28"/>
        <v>306</v>
      </c>
      <c r="K120" s="68">
        <f t="shared" si="28"/>
        <v>392</v>
      </c>
      <c r="L120" s="68">
        <f t="shared" si="28"/>
        <v>464</v>
      </c>
      <c r="M120" s="68">
        <f t="shared" si="28"/>
        <v>176</v>
      </c>
      <c r="N120" s="68">
        <f t="shared" si="28"/>
        <v>339</v>
      </c>
      <c r="O120" s="68">
        <f t="shared" si="28"/>
        <v>470</v>
      </c>
      <c r="P120" s="68">
        <f t="shared" si="28"/>
        <v>580</v>
      </c>
    </row>
    <row r="121" spans="4:22" ht="20.100000000000001" customHeight="1" x14ac:dyDescent="0.25">
      <c r="D121" s="68" t="s">
        <v>175</v>
      </c>
      <c r="E121" s="68" t="str">
        <f t="shared" si="28"/>
        <v>Alice Springs</v>
      </c>
      <c r="F121" s="68" t="str">
        <f t="shared" si="28"/>
        <v>Winter</v>
      </c>
      <c r="G121" s="68">
        <f t="shared" si="28"/>
        <v>200</v>
      </c>
      <c r="H121" s="68">
        <f t="shared" si="28"/>
        <v>727</v>
      </c>
      <c r="I121" s="68">
        <f t="shared" si="28"/>
        <v>211</v>
      </c>
      <c r="J121" s="68">
        <f t="shared" si="28"/>
        <v>338</v>
      </c>
      <c r="K121" s="68">
        <f t="shared" si="28"/>
        <v>432</v>
      </c>
      <c r="L121" s="68">
        <f t="shared" si="28"/>
        <v>492</v>
      </c>
      <c r="M121" s="68">
        <f t="shared" si="28"/>
        <v>222</v>
      </c>
      <c r="N121" s="68">
        <f t="shared" si="28"/>
        <v>377</v>
      </c>
      <c r="O121" s="68">
        <f t="shared" si="28"/>
        <v>498</v>
      </c>
      <c r="P121" s="68">
        <f t="shared" si="28"/>
        <v>590</v>
      </c>
    </row>
    <row r="122" spans="4:22" ht="20.100000000000001" customHeight="1" x14ac:dyDescent="0.25">
      <c r="D122" s="68" t="s">
        <v>175</v>
      </c>
      <c r="E122" s="68" t="str">
        <f t="shared" si="28"/>
        <v>Barkly</v>
      </c>
      <c r="F122" s="68" t="str">
        <f t="shared" si="28"/>
        <v>Spring</v>
      </c>
      <c r="G122" s="68">
        <f t="shared" si="28"/>
        <v>220</v>
      </c>
      <c r="H122" s="68">
        <f t="shared" si="28"/>
        <v>620</v>
      </c>
      <c r="I122" s="68">
        <f t="shared" si="28"/>
        <v>227</v>
      </c>
      <c r="J122" s="68">
        <f t="shared" si="28"/>
        <v>319</v>
      </c>
      <c r="K122" s="68">
        <f t="shared" si="28"/>
        <v>398</v>
      </c>
      <c r="L122" s="68">
        <f t="shared" si="28"/>
        <v>452</v>
      </c>
      <c r="M122" s="68">
        <f t="shared" si="28"/>
        <v>216</v>
      </c>
      <c r="N122" s="68">
        <f t="shared" si="28"/>
        <v>334</v>
      </c>
      <c r="O122" s="68" t="str">
        <f t="shared" si="28"/>
        <v>NO</v>
      </c>
      <c r="P122" s="68" t="str">
        <f t="shared" si="28"/>
        <v>NO</v>
      </c>
    </row>
    <row r="123" spans="4:22" ht="20.100000000000001" customHeight="1" x14ac:dyDescent="0.25">
      <c r="D123" s="68" t="s">
        <v>175</v>
      </c>
      <c r="E123" s="68" t="str">
        <f t="shared" si="28"/>
        <v>Barkly</v>
      </c>
      <c r="F123" s="68" t="str">
        <f t="shared" si="28"/>
        <v>Summer</v>
      </c>
      <c r="G123" s="68">
        <f t="shared" si="28"/>
        <v>110</v>
      </c>
      <c r="H123" s="68">
        <f t="shared" si="28"/>
        <v>650</v>
      </c>
      <c r="I123" s="68">
        <f t="shared" si="28"/>
        <v>108</v>
      </c>
      <c r="J123" s="68">
        <f t="shared" si="28"/>
        <v>262</v>
      </c>
      <c r="K123" s="68">
        <f t="shared" si="28"/>
        <v>346</v>
      </c>
      <c r="L123" s="68">
        <f t="shared" si="28"/>
        <v>430</v>
      </c>
      <c r="M123" s="68">
        <f t="shared" si="28"/>
        <v>111</v>
      </c>
      <c r="N123" s="68">
        <f t="shared" si="28"/>
        <v>236</v>
      </c>
      <c r="O123" s="68" t="str">
        <f t="shared" si="28"/>
        <v>NO</v>
      </c>
      <c r="P123" s="68" t="str">
        <f t="shared" si="28"/>
        <v>NO</v>
      </c>
    </row>
    <row r="124" spans="4:22" ht="20.100000000000001" customHeight="1" x14ac:dyDescent="0.25">
      <c r="D124" s="68" t="s">
        <v>175</v>
      </c>
      <c r="E124" s="68" t="str">
        <f t="shared" si="28"/>
        <v>Barkly</v>
      </c>
      <c r="F124" s="68" t="str">
        <f t="shared" si="28"/>
        <v>Autumn</v>
      </c>
      <c r="G124" s="68">
        <f t="shared" si="28"/>
        <v>170</v>
      </c>
      <c r="H124" s="68">
        <f t="shared" si="28"/>
        <v>670</v>
      </c>
      <c r="I124" s="68">
        <f t="shared" si="28"/>
        <v>170</v>
      </c>
      <c r="J124" s="68">
        <f t="shared" si="28"/>
        <v>266</v>
      </c>
      <c r="K124" s="68">
        <f t="shared" si="28"/>
        <v>363</v>
      </c>
      <c r="L124" s="68">
        <f t="shared" si="28"/>
        <v>444</v>
      </c>
      <c r="M124" s="68">
        <f t="shared" si="28"/>
        <v>169</v>
      </c>
      <c r="N124" s="68">
        <f t="shared" si="28"/>
        <v>282</v>
      </c>
      <c r="O124" s="68" t="str">
        <f t="shared" si="28"/>
        <v>NO</v>
      </c>
      <c r="P124" s="68" t="str">
        <f t="shared" si="28"/>
        <v>NO</v>
      </c>
    </row>
    <row r="125" spans="4:22" ht="20.100000000000001" customHeight="1" x14ac:dyDescent="0.25">
      <c r="D125" s="68" t="s">
        <v>175</v>
      </c>
      <c r="E125" s="68" t="str">
        <f t="shared" si="28"/>
        <v>Barkly</v>
      </c>
      <c r="F125" s="68" t="str">
        <f t="shared" si="28"/>
        <v>Winter</v>
      </c>
      <c r="G125" s="68">
        <f t="shared" si="28"/>
        <v>200</v>
      </c>
      <c r="H125" s="68">
        <f t="shared" si="28"/>
        <v>660</v>
      </c>
      <c r="I125" s="68">
        <f t="shared" si="28"/>
        <v>225</v>
      </c>
      <c r="J125" s="68">
        <f t="shared" si="28"/>
        <v>307</v>
      </c>
      <c r="K125" s="68">
        <f t="shared" si="28"/>
        <v>398</v>
      </c>
      <c r="L125" s="68">
        <f t="shared" si="28"/>
        <v>452</v>
      </c>
      <c r="M125" s="68">
        <f t="shared" si="28"/>
        <v>214</v>
      </c>
      <c r="N125" s="68">
        <f t="shared" si="28"/>
        <v>326</v>
      </c>
      <c r="O125" s="68" t="str">
        <f t="shared" si="28"/>
        <v>NO</v>
      </c>
      <c r="P125" s="68" t="str">
        <f t="shared" si="28"/>
        <v>NO</v>
      </c>
      <c r="V125" s="1"/>
    </row>
    <row r="126" spans="4:22" ht="20.100000000000001" customHeight="1" x14ac:dyDescent="0.25">
      <c r="D126" s="68" t="s">
        <v>175</v>
      </c>
      <c r="E126" s="68" t="str">
        <f t="shared" si="28"/>
        <v>Northern</v>
      </c>
      <c r="F126" s="68" t="str">
        <f t="shared" si="28"/>
        <v>Spring</v>
      </c>
      <c r="G126" s="68">
        <f t="shared" si="28"/>
        <v>220</v>
      </c>
      <c r="H126" s="68">
        <f t="shared" si="28"/>
        <v>620</v>
      </c>
      <c r="I126" s="68">
        <f t="shared" si="28"/>
        <v>177</v>
      </c>
      <c r="J126" s="68">
        <f t="shared" si="28"/>
        <v>267</v>
      </c>
      <c r="K126" s="68">
        <f t="shared" si="28"/>
        <v>365</v>
      </c>
      <c r="L126" s="68">
        <f t="shared" si="28"/>
        <v>406</v>
      </c>
      <c r="M126" s="68">
        <f t="shared" si="28"/>
        <v>231</v>
      </c>
      <c r="N126" s="68">
        <f t="shared" si="28"/>
        <v>249</v>
      </c>
      <c r="O126" s="68">
        <f t="shared" si="28"/>
        <v>324</v>
      </c>
      <c r="P126" s="68" t="str">
        <f t="shared" si="28"/>
        <v>NO</v>
      </c>
      <c r="V126" s="1"/>
    </row>
    <row r="127" spans="4:22" ht="20.100000000000001" customHeight="1" x14ac:dyDescent="0.25">
      <c r="D127" s="68" t="s">
        <v>175</v>
      </c>
      <c r="E127" s="68" t="str">
        <f t="shared" si="28"/>
        <v>Northern</v>
      </c>
      <c r="F127" s="68" t="str">
        <f t="shared" si="28"/>
        <v>Summer</v>
      </c>
      <c r="G127" s="68">
        <f t="shared" si="28"/>
        <v>110</v>
      </c>
      <c r="H127" s="68">
        <f t="shared" si="28"/>
        <v>650</v>
      </c>
      <c r="I127" s="68">
        <f t="shared" si="28"/>
        <v>102</v>
      </c>
      <c r="J127" s="68">
        <f t="shared" si="28"/>
        <v>203</v>
      </c>
      <c r="K127" s="68">
        <f t="shared" si="28"/>
        <v>299</v>
      </c>
      <c r="L127" s="68">
        <f t="shared" si="28"/>
        <v>380</v>
      </c>
      <c r="M127" s="68">
        <f t="shared" si="28"/>
        <v>102</v>
      </c>
      <c r="N127" s="68">
        <f t="shared" si="28"/>
        <v>218</v>
      </c>
      <c r="O127" s="68">
        <f t="shared" si="28"/>
        <v>263</v>
      </c>
      <c r="P127" s="68" t="str">
        <f t="shared" si="28"/>
        <v>NO</v>
      </c>
      <c r="V127" s="1"/>
    </row>
    <row r="128" spans="4:22" ht="20.100000000000001" customHeight="1" x14ac:dyDescent="0.25">
      <c r="D128" s="68" t="s">
        <v>175</v>
      </c>
      <c r="E128" s="68" t="str">
        <f t="shared" si="28"/>
        <v>Northern</v>
      </c>
      <c r="F128" s="68" t="str">
        <f t="shared" si="28"/>
        <v>Autumn</v>
      </c>
      <c r="G128" s="68">
        <f t="shared" si="28"/>
        <v>170</v>
      </c>
      <c r="H128" s="68">
        <f t="shared" si="28"/>
        <v>670</v>
      </c>
      <c r="I128" s="68">
        <f t="shared" si="28"/>
        <v>173</v>
      </c>
      <c r="J128" s="68">
        <f t="shared" si="28"/>
        <v>250</v>
      </c>
      <c r="K128" s="68">
        <f t="shared" si="28"/>
        <v>336</v>
      </c>
      <c r="L128" s="68">
        <f t="shared" si="28"/>
        <v>414</v>
      </c>
      <c r="M128" s="68">
        <f t="shared" si="28"/>
        <v>175</v>
      </c>
      <c r="N128" s="68">
        <f t="shared" si="28"/>
        <v>243</v>
      </c>
      <c r="O128" s="68">
        <f t="shared" si="28"/>
        <v>304</v>
      </c>
      <c r="P128" s="68" t="str">
        <f t="shared" si="28"/>
        <v>NO</v>
      </c>
      <c r="V128" s="1"/>
    </row>
    <row r="129" spans="4:22" ht="20.100000000000001" customHeight="1" x14ac:dyDescent="0.25">
      <c r="D129" s="68" t="s">
        <v>175</v>
      </c>
      <c r="E129" s="68" t="str">
        <f t="shared" si="28"/>
        <v>Northern</v>
      </c>
      <c r="F129" s="68" t="str">
        <f t="shared" si="28"/>
        <v>Winter</v>
      </c>
      <c r="G129" s="68">
        <f t="shared" si="28"/>
        <v>200</v>
      </c>
      <c r="H129" s="68">
        <f t="shared" si="28"/>
        <v>660</v>
      </c>
      <c r="I129" s="68">
        <f t="shared" si="28"/>
        <v>202</v>
      </c>
      <c r="J129" s="68">
        <f t="shared" si="28"/>
        <v>272</v>
      </c>
      <c r="K129" s="68">
        <f t="shared" si="28"/>
        <v>365</v>
      </c>
      <c r="L129" s="68">
        <f t="shared" si="28"/>
        <v>390</v>
      </c>
      <c r="M129" s="68">
        <f t="shared" si="28"/>
        <v>208</v>
      </c>
      <c r="N129" s="68">
        <f t="shared" si="28"/>
        <v>260</v>
      </c>
      <c r="O129" s="68">
        <f t="shared" si="28"/>
        <v>337</v>
      </c>
      <c r="P129" s="68" t="str">
        <f t="shared" si="28"/>
        <v>NO</v>
      </c>
      <c r="V129" s="1"/>
    </row>
    <row r="130" spans="4:22" ht="20.100000000000001" customHeight="1" x14ac:dyDescent="0.25">
      <c r="D130" s="68" t="s">
        <v>176</v>
      </c>
      <c r="E130" s="68" t="str">
        <f t="shared" si="28"/>
        <v>High</v>
      </c>
      <c r="F130" s="68" t="str">
        <f t="shared" si="28"/>
        <v>Spring</v>
      </c>
      <c r="G130" s="68">
        <f t="shared" si="28"/>
        <v>260</v>
      </c>
      <c r="H130" s="68">
        <f t="shared" si="28"/>
        <v>705</v>
      </c>
      <c r="I130" s="68">
        <f t="shared" si="28"/>
        <v>215</v>
      </c>
      <c r="J130" s="68">
        <f t="shared" si="28"/>
        <v>302</v>
      </c>
      <c r="K130" s="68">
        <f t="shared" si="28"/>
        <v>416</v>
      </c>
      <c r="L130" s="68">
        <f t="shared" si="28"/>
        <v>519</v>
      </c>
      <c r="M130" s="68">
        <f t="shared" si="28"/>
        <v>234</v>
      </c>
      <c r="N130" s="68">
        <f t="shared" si="28"/>
        <v>455</v>
      </c>
      <c r="O130" s="68">
        <f t="shared" si="28"/>
        <v>551</v>
      </c>
      <c r="P130" s="68">
        <f t="shared" si="28"/>
        <v>660</v>
      </c>
      <c r="V130" s="1"/>
    </row>
    <row r="131" spans="4:22" ht="20.100000000000001" customHeight="1" x14ac:dyDescent="0.25">
      <c r="D131" s="68" t="s">
        <v>176</v>
      </c>
      <c r="E131" s="68" t="str">
        <f t="shared" si="28"/>
        <v>High</v>
      </c>
      <c r="F131" s="68" t="str">
        <f t="shared" si="28"/>
        <v>Summer</v>
      </c>
      <c r="G131" s="68">
        <f t="shared" si="28"/>
        <v>153</v>
      </c>
      <c r="H131" s="68">
        <f t="shared" si="28"/>
        <v>703</v>
      </c>
      <c r="I131" s="68">
        <f t="shared" si="28"/>
        <v>118</v>
      </c>
      <c r="J131" s="68">
        <f t="shared" si="28"/>
        <v>277</v>
      </c>
      <c r="K131" s="68">
        <f t="shared" si="28"/>
        <v>397</v>
      </c>
      <c r="L131" s="68">
        <f t="shared" si="28"/>
        <v>483</v>
      </c>
      <c r="M131" s="68">
        <f t="shared" si="28"/>
        <v>111</v>
      </c>
      <c r="N131" s="68">
        <f t="shared" si="28"/>
        <v>304</v>
      </c>
      <c r="O131" s="68">
        <f t="shared" si="28"/>
        <v>521</v>
      </c>
      <c r="P131" s="68">
        <f t="shared" si="28"/>
        <v>547</v>
      </c>
    </row>
    <row r="132" spans="4:22" ht="20.100000000000001" customHeight="1" x14ac:dyDescent="0.25">
      <c r="D132" s="68" t="s">
        <v>176</v>
      </c>
      <c r="E132" s="68" t="str">
        <f t="shared" si="28"/>
        <v>High</v>
      </c>
      <c r="F132" s="68" t="str">
        <f t="shared" si="28"/>
        <v>Autumn</v>
      </c>
      <c r="G132" s="68">
        <f t="shared" si="28"/>
        <v>168</v>
      </c>
      <c r="H132" s="68">
        <f t="shared" si="28"/>
        <v>718</v>
      </c>
      <c r="I132" s="68">
        <f t="shared" si="28"/>
        <v>191</v>
      </c>
      <c r="J132" s="68">
        <f t="shared" si="28"/>
        <v>319</v>
      </c>
      <c r="K132" s="68">
        <f t="shared" si="28"/>
        <v>440</v>
      </c>
      <c r="L132" s="68">
        <f t="shared" si="28"/>
        <v>506</v>
      </c>
      <c r="M132" s="68">
        <f t="shared" si="28"/>
        <v>188</v>
      </c>
      <c r="N132" s="68">
        <f t="shared" si="28"/>
        <v>326</v>
      </c>
      <c r="O132" s="68">
        <f t="shared" si="28"/>
        <v>520</v>
      </c>
      <c r="P132" s="68">
        <f t="shared" si="28"/>
        <v>582</v>
      </c>
    </row>
    <row r="133" spans="4:22" ht="20.100000000000001" customHeight="1" x14ac:dyDescent="0.25">
      <c r="D133" s="68" t="s">
        <v>176</v>
      </c>
      <c r="E133" s="68" t="str">
        <f t="shared" si="28"/>
        <v>High</v>
      </c>
      <c r="F133" s="68" t="str">
        <f t="shared" si="28"/>
        <v>Winter</v>
      </c>
      <c r="G133" s="68">
        <f t="shared" si="28"/>
        <v>235</v>
      </c>
      <c r="H133" s="68">
        <f t="shared" si="28"/>
        <v>722</v>
      </c>
      <c r="I133" s="68">
        <f t="shared" si="28"/>
        <v>207</v>
      </c>
      <c r="J133" s="68">
        <f t="shared" si="28"/>
        <v>352</v>
      </c>
      <c r="K133" s="68">
        <f t="shared" si="28"/>
        <v>470</v>
      </c>
      <c r="L133" s="68">
        <f t="shared" si="28"/>
        <v>514</v>
      </c>
      <c r="M133" s="68">
        <f t="shared" si="28"/>
        <v>209</v>
      </c>
      <c r="N133" s="68">
        <f t="shared" si="28"/>
        <v>421</v>
      </c>
      <c r="O133" s="68">
        <f t="shared" si="28"/>
        <v>512</v>
      </c>
      <c r="P133" s="68">
        <f t="shared" si="28"/>
        <v>605</v>
      </c>
    </row>
    <row r="134" spans="4:22" ht="20.100000000000001" customHeight="1" x14ac:dyDescent="0.25">
      <c r="D134" s="68" t="s">
        <v>176</v>
      </c>
      <c r="E134" s="68" t="str">
        <f t="shared" si="28"/>
        <v>Moderate/High</v>
      </c>
      <c r="F134" s="68" t="str">
        <f t="shared" si="28"/>
        <v>Spring</v>
      </c>
      <c r="G134" s="68">
        <f t="shared" si="28"/>
        <v>230</v>
      </c>
      <c r="H134" s="68">
        <f t="shared" si="28"/>
        <v>674</v>
      </c>
      <c r="I134" s="68">
        <f t="shared" si="28"/>
        <v>217</v>
      </c>
      <c r="J134" s="68">
        <f t="shared" si="28"/>
        <v>344</v>
      </c>
      <c r="K134" s="68">
        <f t="shared" si="28"/>
        <v>357</v>
      </c>
      <c r="L134" s="68">
        <f t="shared" si="28"/>
        <v>467</v>
      </c>
      <c r="M134" s="68">
        <f t="shared" si="28"/>
        <v>242</v>
      </c>
      <c r="N134" s="68">
        <f t="shared" si="28"/>
        <v>370</v>
      </c>
      <c r="O134" s="68">
        <f t="shared" si="28"/>
        <v>550</v>
      </c>
      <c r="P134" s="68">
        <f t="shared" si="28"/>
        <v>620</v>
      </c>
    </row>
    <row r="135" spans="4:22" ht="20.100000000000001" customHeight="1" x14ac:dyDescent="0.25">
      <c r="D135" s="68" t="s">
        <v>176</v>
      </c>
      <c r="E135" s="68" t="str">
        <f t="shared" ref="E135:P145" si="29">E71</f>
        <v>Moderate/High</v>
      </c>
      <c r="F135" s="68" t="str">
        <f t="shared" si="29"/>
        <v>Summer</v>
      </c>
      <c r="G135" s="68">
        <f t="shared" si="29"/>
        <v>113</v>
      </c>
      <c r="H135" s="68">
        <f t="shared" si="29"/>
        <v>669</v>
      </c>
      <c r="I135" s="68">
        <f t="shared" si="29"/>
        <v>113</v>
      </c>
      <c r="J135" s="68">
        <f t="shared" si="29"/>
        <v>283</v>
      </c>
      <c r="K135" s="68">
        <f t="shared" si="29"/>
        <v>361</v>
      </c>
      <c r="L135" s="68">
        <f t="shared" si="29"/>
        <v>477</v>
      </c>
      <c r="M135" s="68">
        <f t="shared" si="29"/>
        <v>120</v>
      </c>
      <c r="N135" s="68">
        <f t="shared" si="29"/>
        <v>273</v>
      </c>
      <c r="O135" s="68">
        <f t="shared" si="29"/>
        <v>545</v>
      </c>
      <c r="P135" s="68">
        <f t="shared" si="29"/>
        <v>553</v>
      </c>
    </row>
    <row r="136" spans="4:22" ht="20.100000000000001" customHeight="1" x14ac:dyDescent="0.25">
      <c r="D136" s="68" t="s">
        <v>176</v>
      </c>
      <c r="E136" s="68" t="str">
        <f t="shared" si="29"/>
        <v>Moderate/High</v>
      </c>
      <c r="F136" s="68" t="str">
        <f t="shared" si="29"/>
        <v>Autumn</v>
      </c>
      <c r="G136" s="68">
        <f t="shared" si="29"/>
        <v>172</v>
      </c>
      <c r="H136" s="68">
        <f t="shared" si="29"/>
        <v>685</v>
      </c>
      <c r="I136" s="68">
        <f t="shared" si="29"/>
        <v>172</v>
      </c>
      <c r="J136" s="68">
        <f t="shared" si="29"/>
        <v>309</v>
      </c>
      <c r="K136" s="68">
        <f t="shared" si="29"/>
        <v>376</v>
      </c>
      <c r="L136" s="68">
        <f t="shared" si="29"/>
        <v>471</v>
      </c>
      <c r="M136" s="68">
        <f t="shared" si="29"/>
        <v>238</v>
      </c>
      <c r="N136" s="68">
        <f t="shared" si="29"/>
        <v>329</v>
      </c>
      <c r="O136" s="68">
        <f t="shared" si="29"/>
        <v>573</v>
      </c>
      <c r="P136" s="68">
        <f t="shared" si="29"/>
        <v>620</v>
      </c>
    </row>
    <row r="137" spans="4:22" ht="20.100000000000001" customHeight="1" x14ac:dyDescent="0.25">
      <c r="D137" s="68" t="s">
        <v>176</v>
      </c>
      <c r="E137" s="68" t="str">
        <f t="shared" si="29"/>
        <v>Moderate/High</v>
      </c>
      <c r="F137" s="68" t="str">
        <f t="shared" si="29"/>
        <v>Winter</v>
      </c>
      <c r="G137" s="68">
        <f t="shared" si="29"/>
        <v>241</v>
      </c>
      <c r="H137" s="68">
        <f t="shared" si="29"/>
        <v>692</v>
      </c>
      <c r="I137" s="68">
        <f t="shared" si="29"/>
        <v>208</v>
      </c>
      <c r="J137" s="68">
        <f t="shared" si="29"/>
        <v>344</v>
      </c>
      <c r="K137" s="68">
        <f t="shared" si="29"/>
        <v>364</v>
      </c>
      <c r="L137" s="68">
        <f t="shared" si="29"/>
        <v>484</v>
      </c>
      <c r="M137" s="68">
        <f t="shared" si="29"/>
        <v>260</v>
      </c>
      <c r="N137" s="68">
        <f t="shared" si="29"/>
        <v>350</v>
      </c>
      <c r="O137" s="68">
        <f t="shared" si="29"/>
        <v>567</v>
      </c>
      <c r="P137" s="68">
        <f t="shared" si="29"/>
        <v>620</v>
      </c>
    </row>
    <row r="138" spans="4:22" ht="20.100000000000001" customHeight="1" x14ac:dyDescent="0.25">
      <c r="D138" s="68" t="s">
        <v>176</v>
      </c>
      <c r="E138" s="68" t="str">
        <f t="shared" si="29"/>
        <v>Moderate/Low</v>
      </c>
      <c r="F138" s="68" t="str">
        <f t="shared" si="29"/>
        <v>Spring</v>
      </c>
      <c r="G138" s="68">
        <f t="shared" si="29"/>
        <v>236</v>
      </c>
      <c r="H138" s="68">
        <f t="shared" si="29"/>
        <v>674</v>
      </c>
      <c r="I138" s="68">
        <f t="shared" si="29"/>
        <v>178</v>
      </c>
      <c r="J138" s="68">
        <f t="shared" si="29"/>
        <v>310</v>
      </c>
      <c r="K138" s="68">
        <f t="shared" si="29"/>
        <v>428</v>
      </c>
      <c r="L138" s="68">
        <f t="shared" si="29"/>
        <v>466</v>
      </c>
      <c r="M138" s="68">
        <f t="shared" si="29"/>
        <v>193</v>
      </c>
      <c r="N138" s="68">
        <f t="shared" si="29"/>
        <v>370</v>
      </c>
      <c r="O138" s="68">
        <f t="shared" si="29"/>
        <v>519</v>
      </c>
      <c r="P138" s="68">
        <f t="shared" si="29"/>
        <v>565</v>
      </c>
    </row>
    <row r="139" spans="4:22" ht="20.100000000000001" customHeight="1" x14ac:dyDescent="0.25">
      <c r="D139" s="68" t="s">
        <v>176</v>
      </c>
      <c r="E139" s="68" t="str">
        <f t="shared" si="29"/>
        <v>Moderate/Low</v>
      </c>
      <c r="F139" s="68" t="str">
        <f t="shared" si="29"/>
        <v>Summer</v>
      </c>
      <c r="G139" s="68">
        <f t="shared" si="29"/>
        <v>120</v>
      </c>
      <c r="H139" s="68">
        <f t="shared" si="29"/>
        <v>669</v>
      </c>
      <c r="I139" s="68">
        <f t="shared" si="29"/>
        <v>112</v>
      </c>
      <c r="J139" s="68">
        <f t="shared" si="29"/>
        <v>250</v>
      </c>
      <c r="K139" s="68">
        <f t="shared" si="29"/>
        <v>390</v>
      </c>
      <c r="L139" s="68">
        <f t="shared" si="29"/>
        <v>448</v>
      </c>
      <c r="M139" s="68">
        <f t="shared" si="29"/>
        <v>115</v>
      </c>
      <c r="N139" s="68">
        <f t="shared" si="29"/>
        <v>273</v>
      </c>
      <c r="O139" s="68">
        <f t="shared" si="29"/>
        <v>433</v>
      </c>
      <c r="P139" s="68">
        <f t="shared" si="29"/>
        <v>556</v>
      </c>
    </row>
    <row r="140" spans="4:22" ht="20.100000000000001" customHeight="1" x14ac:dyDescent="0.25">
      <c r="D140" s="68" t="s">
        <v>176</v>
      </c>
      <c r="E140" s="68" t="str">
        <f t="shared" si="29"/>
        <v>Moderate/Low</v>
      </c>
      <c r="F140" s="68" t="str">
        <f t="shared" si="29"/>
        <v>Autumn</v>
      </c>
      <c r="G140" s="68">
        <f t="shared" si="29"/>
        <v>125</v>
      </c>
      <c r="H140" s="68">
        <f t="shared" si="29"/>
        <v>685</v>
      </c>
      <c r="I140" s="68">
        <f t="shared" si="29"/>
        <v>140</v>
      </c>
      <c r="J140" s="68">
        <f t="shared" si="29"/>
        <v>277</v>
      </c>
      <c r="K140" s="68">
        <f t="shared" si="29"/>
        <v>407</v>
      </c>
      <c r="L140" s="68">
        <f t="shared" si="29"/>
        <v>455</v>
      </c>
      <c r="M140" s="68">
        <f t="shared" si="29"/>
        <v>141</v>
      </c>
      <c r="N140" s="68">
        <f t="shared" si="29"/>
        <v>296</v>
      </c>
      <c r="O140" s="68">
        <f t="shared" si="29"/>
        <v>445</v>
      </c>
      <c r="P140" s="68">
        <f t="shared" si="29"/>
        <v>593</v>
      </c>
    </row>
    <row r="141" spans="4:22" ht="20.100000000000001" customHeight="1" x14ac:dyDescent="0.25">
      <c r="D141" s="68" t="s">
        <v>176</v>
      </c>
      <c r="E141" s="68" t="str">
        <f t="shared" si="29"/>
        <v>Moderate/Low</v>
      </c>
      <c r="F141" s="68" t="str">
        <f t="shared" si="29"/>
        <v>Winter</v>
      </c>
      <c r="G141" s="68">
        <f t="shared" si="29"/>
        <v>180</v>
      </c>
      <c r="H141" s="68">
        <f t="shared" si="29"/>
        <v>692</v>
      </c>
      <c r="I141" s="68">
        <f t="shared" si="29"/>
        <v>183</v>
      </c>
      <c r="J141" s="68">
        <f t="shared" si="29"/>
        <v>316</v>
      </c>
      <c r="K141" s="68">
        <f t="shared" si="29"/>
        <v>438</v>
      </c>
      <c r="L141" s="68">
        <f t="shared" si="29"/>
        <v>468</v>
      </c>
      <c r="M141" s="68">
        <f t="shared" si="29"/>
        <v>189</v>
      </c>
      <c r="N141" s="68">
        <f t="shared" si="29"/>
        <v>354</v>
      </c>
      <c r="O141" s="68">
        <f t="shared" si="29"/>
        <v>500</v>
      </c>
      <c r="P141" s="68">
        <f t="shared" si="29"/>
        <v>553</v>
      </c>
    </row>
    <row r="142" spans="4:22" ht="20.100000000000001" customHeight="1" x14ac:dyDescent="0.25">
      <c r="D142" s="68" t="s">
        <v>176</v>
      </c>
      <c r="E142" s="68" t="str">
        <f t="shared" si="29"/>
        <v>Low</v>
      </c>
      <c r="F142" s="68" t="str">
        <f t="shared" si="29"/>
        <v>Spring</v>
      </c>
      <c r="G142" s="68">
        <f t="shared" si="29"/>
        <v>190</v>
      </c>
      <c r="H142" s="68">
        <f t="shared" si="29"/>
        <v>617</v>
      </c>
      <c r="I142" s="68">
        <f t="shared" si="29"/>
        <v>174</v>
      </c>
      <c r="J142" s="68">
        <f t="shared" si="29"/>
        <v>265</v>
      </c>
      <c r="K142" s="68">
        <f t="shared" si="29"/>
        <v>371</v>
      </c>
      <c r="L142" s="68">
        <f t="shared" si="29"/>
        <v>415</v>
      </c>
      <c r="M142" s="68">
        <f t="shared" si="29"/>
        <v>170</v>
      </c>
      <c r="N142" s="68">
        <f t="shared" si="29"/>
        <v>272</v>
      </c>
      <c r="O142" s="68">
        <f t="shared" si="29"/>
        <v>392</v>
      </c>
      <c r="P142" s="68">
        <f t="shared" si="29"/>
        <v>531</v>
      </c>
    </row>
    <row r="143" spans="4:22" ht="20.100000000000001" customHeight="1" x14ac:dyDescent="0.25">
      <c r="D143" s="68" t="s">
        <v>176</v>
      </c>
      <c r="E143" s="68" t="str">
        <f t="shared" si="29"/>
        <v>Low</v>
      </c>
      <c r="F143" s="68" t="str">
        <f t="shared" si="29"/>
        <v>Summer</v>
      </c>
      <c r="G143" s="68">
        <f t="shared" si="29"/>
        <v>119</v>
      </c>
      <c r="H143" s="68">
        <f t="shared" si="29"/>
        <v>591</v>
      </c>
      <c r="I143" s="68">
        <f t="shared" si="29"/>
        <v>140</v>
      </c>
      <c r="J143" s="68">
        <f t="shared" si="29"/>
        <v>205</v>
      </c>
      <c r="K143" s="68">
        <f t="shared" si="29"/>
        <v>310</v>
      </c>
      <c r="L143" s="68">
        <f t="shared" si="29"/>
        <v>405</v>
      </c>
      <c r="M143" s="68">
        <f t="shared" si="29"/>
        <v>133</v>
      </c>
      <c r="N143" s="68">
        <f t="shared" si="29"/>
        <v>218</v>
      </c>
      <c r="O143" s="68">
        <f t="shared" si="29"/>
        <v>315</v>
      </c>
      <c r="P143" s="68">
        <f t="shared" si="29"/>
        <v>445</v>
      </c>
    </row>
    <row r="144" spans="4:22" ht="20.100000000000001" customHeight="1" x14ac:dyDescent="0.25">
      <c r="D144" s="68" t="s">
        <v>176</v>
      </c>
      <c r="E144" s="68" t="str">
        <f t="shared" si="29"/>
        <v>Low</v>
      </c>
      <c r="F144" s="68" t="str">
        <f t="shared" si="29"/>
        <v>Autumn</v>
      </c>
      <c r="G144" s="68">
        <f t="shared" si="29"/>
        <v>175</v>
      </c>
      <c r="H144" s="68">
        <f t="shared" si="29"/>
        <v>610</v>
      </c>
      <c r="I144" s="68">
        <f t="shared" si="29"/>
        <v>163</v>
      </c>
      <c r="J144" s="68">
        <f t="shared" si="29"/>
        <v>232</v>
      </c>
      <c r="K144" s="68">
        <f t="shared" si="29"/>
        <v>351</v>
      </c>
      <c r="L144" s="68">
        <f t="shared" si="29"/>
        <v>427</v>
      </c>
      <c r="M144" s="68">
        <f t="shared" si="29"/>
        <v>146</v>
      </c>
      <c r="N144" s="68">
        <f t="shared" si="29"/>
        <v>242</v>
      </c>
      <c r="O144" s="68">
        <f t="shared" si="29"/>
        <v>320</v>
      </c>
      <c r="P144" s="68">
        <f t="shared" si="29"/>
        <v>471</v>
      </c>
    </row>
    <row r="145" spans="4:16" ht="20.100000000000001" customHeight="1" x14ac:dyDescent="0.25">
      <c r="D145" s="68" t="s">
        <v>176</v>
      </c>
      <c r="E145" s="68" t="str">
        <f t="shared" si="29"/>
        <v>Low</v>
      </c>
      <c r="F145" s="68" t="str">
        <f t="shared" si="29"/>
        <v>Winter</v>
      </c>
      <c r="G145" s="68">
        <f t="shared" si="29"/>
        <v>192</v>
      </c>
      <c r="H145" s="68">
        <f t="shared" si="29"/>
        <v>615</v>
      </c>
      <c r="I145" s="68">
        <f t="shared" si="29"/>
        <v>162</v>
      </c>
      <c r="J145" s="68">
        <f t="shared" si="29"/>
        <v>255</v>
      </c>
      <c r="K145" s="68">
        <f t="shared" si="29"/>
        <v>364</v>
      </c>
      <c r="L145" s="68">
        <f t="shared" si="29"/>
        <v>420</v>
      </c>
      <c r="M145" s="68">
        <f t="shared" si="29"/>
        <v>157</v>
      </c>
      <c r="N145" s="68">
        <f t="shared" si="29"/>
        <v>261</v>
      </c>
      <c r="O145" s="68">
        <f t="shared" si="29"/>
        <v>342</v>
      </c>
      <c r="P145" s="68">
        <f t="shared" si="29"/>
        <v>484</v>
      </c>
    </row>
    <row r="146" spans="4:16" ht="20.100000000000001" customHeight="1" x14ac:dyDescent="0.25">
      <c r="D146" s="1" t="s">
        <v>177</v>
      </c>
      <c r="E146" s="1" t="s">
        <v>135</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177</v>
      </c>
      <c r="E147" s="1" t="s">
        <v>135</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177</v>
      </c>
      <c r="E148" s="1" t="s">
        <v>135</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177</v>
      </c>
      <c r="E149" s="1" t="s">
        <v>135</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46"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7" t="str" cm="1">
        <f t="array" ref="D153">SourceData_PastureBeef.SourceData_PastureBeef_LiveweightGain_Unit()</f>
        <v>kg</v>
      </c>
      <c r="M153" s="1"/>
    </row>
    <row r="154" spans="4:16" ht="20.100000000000001" customHeight="1" x14ac:dyDescent="0.25">
      <c r="D154" s="68" t="s">
        <v>22</v>
      </c>
      <c r="E154" s="68" t="s">
        <v>132</v>
      </c>
      <c r="F154" s="68" t="s">
        <v>84</v>
      </c>
      <c r="G154" s="68" t="s">
        <v>158</v>
      </c>
      <c r="H154" s="68" t="s">
        <v>159</v>
      </c>
      <c r="I154" s="68" t="s">
        <v>178</v>
      </c>
      <c r="J154" s="68" t="s">
        <v>152</v>
      </c>
      <c r="K154" s="68" t="s">
        <v>179</v>
      </c>
      <c r="L154" s="68" t="s">
        <v>164</v>
      </c>
      <c r="M154" s="68" t="s">
        <v>180</v>
      </c>
    </row>
    <row r="155" spans="4:16" ht="20.100000000000001" customHeight="1" x14ac:dyDescent="0.25">
      <c r="D155" s="68" t="str" cm="1">
        <f t="array" ref="D155">Common_InputFunctions.Utility_DisplayArrayInTable(SourceData_PastureBeef.SourceData_PastureBeef_LiveweightGain_Data(), Table_SourceData_PastureBeef_LiveweightGain[[#Headers],[State]],0)</f>
        <v>ACT/NSW</v>
      </c>
      <c r="E155" s="68" t="str" cm="1">
        <f t="array" ref="E155">Common_InputFunctions.Utility_DisplayArrayInTable(SourceData_PastureBeef.SourceData_PastureBeef_LiveweightGain_Data(), Table_SourceData_PastureBeef_LiveweightGain[[#Headers],[State]],0)</f>
        <v>n/a</v>
      </c>
      <c r="F155" s="68" t="str" cm="1">
        <f t="array" ref="F155">Common_InputFunctions.Utility_DisplayArrayInTable(SourceData_PastureBeef.SourceData_PastureBeef_LiveweightGain_Data(), Table_SourceData_PastureBeef_LiveweightGain[[#Headers],[State]],0)</f>
        <v>Spring</v>
      </c>
      <c r="G155" s="68" cm="1">
        <f t="array" ref="G155">Common_InputFunctions.Utility_DisplayArrayInTable(SourceData_PastureBeef.SourceData_PastureBeef_LiveweightGain_Data(), Table_SourceData_PastureBeef_LiveweightGain[[#Headers],[State]],0)</f>
        <v>0.5</v>
      </c>
      <c r="H155" s="68" cm="1">
        <f t="array" ref="H155">Common_InputFunctions.Utility_DisplayArrayInTable(SourceData_PastureBeef.SourceData_PastureBeef_LiveweightGain_Data(), Table_SourceData_PastureBeef_LiveweightGain[[#Headers],[State]],0)</f>
        <v>0.2</v>
      </c>
      <c r="I155" s="68" cm="1">
        <f t="array" ref="I155">Common_InputFunctions.Utility_DisplayArrayInTable(SourceData_PastureBeef.SourceData_PastureBeef_LiveweightGain_Data(), Table_SourceData_PastureBeef_LiveweightGain[[#Headers],[State]],0)</f>
        <v>0.5</v>
      </c>
      <c r="J155" s="68" cm="1">
        <f t="array" ref="J155">Common_InputFunctions.Utility_DisplayArrayInTable(SourceData_PastureBeef.SourceData_PastureBeef_LiveweightGain_Data(), Table_SourceData_PastureBeef_LiveweightGain[[#Headers],[State]],0)</f>
        <v>0.4</v>
      </c>
      <c r="K155" s="68" cm="1">
        <f t="array" ref="K155">Common_InputFunctions.Utility_DisplayArrayInTable(SourceData_PastureBeef.SourceData_PastureBeef_LiveweightGain_Data(), Table_SourceData_PastureBeef_LiveweightGain[[#Headers],[State]],0)</f>
        <v>0.3</v>
      </c>
      <c r="L155" s="68" cm="1">
        <f t="array" ref="L155">Common_InputFunctions.Utility_DisplayArrayInTable(SourceData_PastureBeef.SourceData_PastureBeef_LiveweightGain_Data(), Table_SourceData_PastureBeef_LiveweightGain[[#Headers],[State]],0)</f>
        <v>0.5</v>
      </c>
      <c r="M155" s="68"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68" t="str" cm="1">
        <f t="array" ref="E156">Common_InputFunctions.Utility_DisplayArrayInTable(SourceData_PastureBeef.SourceData_PastureBeef_LiveweightGain_Data(), Table_SourceData_PastureBeef_LiveweightGain[[#Headers],[State]],0)</f>
        <v>n/a</v>
      </c>
      <c r="F156" s="68" t="str" cm="1">
        <f t="array" ref="F156">Common_InputFunctions.Utility_DisplayArrayInTable(SourceData_PastureBeef.SourceData_PastureBeef_LiveweightGain_Data(), Table_SourceData_PastureBeef_LiveweightGain[[#Headers],[State]],0)</f>
        <v>Summer</v>
      </c>
      <c r="G156" s="68" cm="1">
        <f t="array" ref="G156">Common_InputFunctions.Utility_DisplayArrayInTable(SourceData_PastureBeef.SourceData_PastureBeef_LiveweightGain_Data(), Table_SourceData_PastureBeef_LiveweightGain[[#Headers],[State]],0)</f>
        <v>1</v>
      </c>
      <c r="H156" s="68" cm="1">
        <f t="array" ref="H156">Common_InputFunctions.Utility_DisplayArrayInTable(SourceData_PastureBeef.SourceData_PastureBeef_LiveweightGain_Data(), Table_SourceData_PastureBeef_LiveweightGain[[#Headers],[State]],0)</f>
        <v>0.4</v>
      </c>
      <c r="I156" s="68" cm="1">
        <f t="array" ref="I156">Common_InputFunctions.Utility_DisplayArrayInTable(SourceData_PastureBeef.SourceData_PastureBeef_LiveweightGain_Data(), Table_SourceData_PastureBeef_LiveweightGain[[#Headers],[State]],0)</f>
        <v>0.9</v>
      </c>
      <c r="J156" s="68" cm="1">
        <f t="array" ref="J156">Common_InputFunctions.Utility_DisplayArrayInTable(SourceData_PastureBeef.SourceData_PastureBeef_LiveweightGain_Data(), Table_SourceData_PastureBeef_LiveweightGain[[#Headers],[State]],0)</f>
        <v>0.7</v>
      </c>
      <c r="K156" s="68" cm="1">
        <f t="array" ref="K156">Common_InputFunctions.Utility_DisplayArrayInTable(SourceData_PastureBeef.SourceData_PastureBeef_LiveweightGain_Data(), Table_SourceData_PastureBeef_LiveweightGain[[#Headers],[State]],0)</f>
        <v>0.3</v>
      </c>
      <c r="L156" s="68" cm="1">
        <f t="array" ref="L156">Common_InputFunctions.Utility_DisplayArrayInTable(SourceData_PastureBeef.SourceData_PastureBeef_LiveweightGain_Data(), Table_SourceData_PastureBeef_LiveweightGain[[#Headers],[State]],0)</f>
        <v>0.9</v>
      </c>
      <c r="M156" s="68"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68" t="str" cm="1">
        <f t="array" ref="E157">Common_InputFunctions.Utility_DisplayArrayInTable(SourceData_PastureBeef.SourceData_PastureBeef_LiveweightGain_Data(), Table_SourceData_PastureBeef_LiveweightGain[[#Headers],[State]],0)</f>
        <v>n/a</v>
      </c>
      <c r="F157" s="68" t="str" cm="1">
        <f t="array" ref="F157">Common_InputFunctions.Utility_DisplayArrayInTable(SourceData_PastureBeef.SourceData_PastureBeef_LiveweightGain_Data(), Table_SourceData_PastureBeef_LiveweightGain[[#Headers],[State]],0)</f>
        <v>Autumn</v>
      </c>
      <c r="G157" s="68" cm="1">
        <f t="array" ref="G157">Common_InputFunctions.Utility_DisplayArrayInTable(SourceData_PastureBeef.SourceData_PastureBeef_LiveweightGain_Data(), Table_SourceData_PastureBeef_LiveweightGain[[#Headers],[State]],0)</f>
        <v>0.8</v>
      </c>
      <c r="H157" s="68" cm="1">
        <f t="array" ref="H157">Common_InputFunctions.Utility_DisplayArrayInTable(SourceData_PastureBeef.SourceData_PastureBeef_LiveweightGain_Data(), Table_SourceData_PastureBeef_LiveweightGain[[#Headers],[State]],0)</f>
        <v>0.3</v>
      </c>
      <c r="I157" s="68" cm="1">
        <f t="array" ref="I157">Common_InputFunctions.Utility_DisplayArrayInTable(SourceData_PastureBeef.SourceData_PastureBeef_LiveweightGain_Data(), Table_SourceData_PastureBeef_LiveweightGain[[#Headers],[State]],0)</f>
        <v>0.7</v>
      </c>
      <c r="J157" s="68" cm="1">
        <f t="array" ref="J157">Common_InputFunctions.Utility_DisplayArrayInTable(SourceData_PastureBeef.SourceData_PastureBeef_LiveweightGain_Data(), Table_SourceData_PastureBeef_LiveweightGain[[#Headers],[State]],0)</f>
        <v>0.3</v>
      </c>
      <c r="K157" s="68" cm="1">
        <f t="array" ref="K157">Common_InputFunctions.Utility_DisplayArrayInTable(SourceData_PastureBeef.SourceData_PastureBeef_LiveweightGain_Data(), Table_SourceData_PastureBeef_LiveweightGain[[#Headers],[State]],0)</f>
        <v>0.2</v>
      </c>
      <c r="L157" s="68" cm="1">
        <f t="array" ref="L157">Common_InputFunctions.Utility_DisplayArrayInTable(SourceData_PastureBeef.SourceData_PastureBeef_LiveweightGain_Data(), Table_SourceData_PastureBeef_LiveweightGain[[#Headers],[State]],0)</f>
        <v>0.7</v>
      </c>
      <c r="M157" s="68"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68" t="str" cm="1">
        <f t="array" ref="E158">Common_InputFunctions.Utility_DisplayArrayInTable(SourceData_PastureBeef.SourceData_PastureBeef_LiveweightGain_Data(), Table_SourceData_PastureBeef_LiveweightGain[[#Headers],[State]],0)</f>
        <v>n/a</v>
      </c>
      <c r="F158" s="68" t="str" cm="1">
        <f t="array" ref="F158">Common_InputFunctions.Utility_DisplayArrayInTable(SourceData_PastureBeef.SourceData_PastureBeef_LiveweightGain_Data(), Table_SourceData_PastureBeef_LiveweightGain[[#Headers],[State]],0)</f>
        <v>Winter</v>
      </c>
      <c r="G158" s="68" cm="1">
        <f t="array" ref="G158">Common_InputFunctions.Utility_DisplayArrayInTable(SourceData_PastureBeef.SourceData_PastureBeef_LiveweightGain_Data(), Table_SourceData_PastureBeef_LiveweightGain[[#Headers],[State]],0)</f>
        <v>0.4</v>
      </c>
      <c r="H158" s="68" cm="1">
        <f t="array" ref="H158">Common_InputFunctions.Utility_DisplayArrayInTable(SourceData_PastureBeef.SourceData_PastureBeef_LiveweightGain_Data(), Table_SourceData_PastureBeef_LiveweightGain[[#Headers],[State]],0)</f>
        <v>0.1</v>
      </c>
      <c r="I158" s="68" cm="1">
        <f t="array" ref="I158">Common_InputFunctions.Utility_DisplayArrayInTable(SourceData_PastureBeef.SourceData_PastureBeef_LiveweightGain_Data(), Table_SourceData_PastureBeef_LiveweightGain[[#Headers],[State]],0)</f>
        <v>0.4</v>
      </c>
      <c r="J158" s="68" cm="1">
        <f t="array" ref="J158">Common_InputFunctions.Utility_DisplayArrayInTable(SourceData_PastureBeef.SourceData_PastureBeef_LiveweightGain_Data(), Table_SourceData_PastureBeef_LiveweightGain[[#Headers],[State]],0)</f>
        <v>0.2</v>
      </c>
      <c r="K158" s="68" cm="1">
        <f t="array" ref="K158">Common_InputFunctions.Utility_DisplayArrayInTable(SourceData_PastureBeef.SourceData_PastureBeef_LiveweightGain_Data(), Table_SourceData_PastureBeef_LiveweightGain[[#Headers],[State]],0)</f>
        <v>0.1</v>
      </c>
      <c r="L158" s="68" cm="1">
        <f t="array" ref="L158">Common_InputFunctions.Utility_DisplayArrayInTable(SourceData_PastureBeef.SourceData_PastureBeef_LiveweightGain_Data(), Table_SourceData_PastureBeef_LiveweightGain[[#Headers],[State]],0)</f>
        <v>0.4</v>
      </c>
      <c r="M158" s="68"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68" t="str" cm="1">
        <f t="array" ref="E159">Common_InputFunctions.Utility_DisplayArrayInTable(SourceData_PastureBeef.SourceData_PastureBeef_LiveweightGain_Data(), Table_SourceData_PastureBeef_LiveweightGain[[#Headers],[State]],0)</f>
        <v>n/a</v>
      </c>
      <c r="F159" s="68" t="str" cm="1">
        <f t="array" ref="F159">Common_InputFunctions.Utility_DisplayArrayInTable(SourceData_PastureBeef.SourceData_PastureBeef_LiveweightGain_Data(), Table_SourceData_PastureBeef_LiveweightGain[[#Headers],[State]],0)</f>
        <v>Spring</v>
      </c>
      <c r="G159" s="68" cm="1">
        <f t="array" ref="G159">Common_InputFunctions.Utility_DisplayArrayInTable(SourceData_PastureBeef.SourceData_PastureBeef_LiveweightGain_Data(), Table_SourceData_PastureBeef_LiveweightGain[[#Headers],[State]],0)</f>
        <v>0.99</v>
      </c>
      <c r="H159" s="68" cm="1">
        <f t="array" ref="H159">Common_InputFunctions.Utility_DisplayArrayInTable(SourceData_PastureBeef.SourceData_PastureBeef_LiveweightGain_Data(), Table_SourceData_PastureBeef_LiveweightGain[[#Headers],[State]],0)</f>
        <v>1.1000000000000001</v>
      </c>
      <c r="I159" s="68" cm="1">
        <f t="array" ref="I159">Common_InputFunctions.Utility_DisplayArrayInTable(SourceData_PastureBeef.SourceData_PastureBeef_LiveweightGain_Data(), Table_SourceData_PastureBeef_LiveweightGain[[#Headers],[State]],0)</f>
        <v>0.88</v>
      </c>
      <c r="J159" s="68" cm="1">
        <f t="array" ref="J159">Common_InputFunctions.Utility_DisplayArrayInTable(SourceData_PastureBeef.SourceData_PastureBeef_LiveweightGain_Data(), Table_SourceData_PastureBeef_LiveweightGain[[#Headers],[State]],0)</f>
        <v>0.55000000000000004</v>
      </c>
      <c r="K159" s="68" cm="1">
        <f t="array" ref="K159">Common_InputFunctions.Utility_DisplayArrayInTable(SourceData_PastureBeef.SourceData_PastureBeef_LiveweightGain_Data(), Table_SourceData_PastureBeef_LiveweightGain[[#Headers],[State]],0)</f>
        <v>0.55000000000000004</v>
      </c>
      <c r="L159" s="68" cm="1">
        <f t="array" ref="L159">Common_InputFunctions.Utility_DisplayArrayInTable(SourceData_PastureBeef.SourceData_PastureBeef_LiveweightGain_Data(), Table_SourceData_PastureBeef_LiveweightGain[[#Headers],[State]],0)</f>
        <v>0.88</v>
      </c>
      <c r="M159" s="68"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68" t="str" cm="1">
        <f t="array" ref="E160">Common_InputFunctions.Utility_DisplayArrayInTable(SourceData_PastureBeef.SourceData_PastureBeef_LiveweightGain_Data(), Table_SourceData_PastureBeef_LiveweightGain[[#Headers],[State]],0)</f>
        <v>n/a</v>
      </c>
      <c r="F160" s="68" t="str" cm="1">
        <f t="array" ref="F160">Common_InputFunctions.Utility_DisplayArrayInTable(SourceData_PastureBeef.SourceData_PastureBeef_LiveweightGain_Data(), Table_SourceData_PastureBeef_LiveweightGain[[#Headers],[State]],0)</f>
        <v>Summer</v>
      </c>
      <c r="G160" s="68" cm="1">
        <f t="array" ref="G160">Common_InputFunctions.Utility_DisplayArrayInTable(SourceData_PastureBeef.SourceData_PastureBeef_LiveweightGain_Data(), Table_SourceData_PastureBeef_LiveweightGain[[#Headers],[State]],0)</f>
        <v>0.77</v>
      </c>
      <c r="H160" s="68" cm="1">
        <f t="array" ref="H160">Common_InputFunctions.Utility_DisplayArrayInTable(SourceData_PastureBeef.SourceData_PastureBeef_LiveweightGain_Data(), Table_SourceData_PastureBeef_LiveweightGain[[#Headers],[State]],0)</f>
        <v>0</v>
      </c>
      <c r="I160" s="68" cm="1">
        <f t="array" ref="I160">Common_InputFunctions.Utility_DisplayArrayInTable(SourceData_PastureBeef.SourceData_PastureBeef_LiveweightGain_Data(), Table_SourceData_PastureBeef_LiveweightGain[[#Headers],[State]],0)</f>
        <v>0.66</v>
      </c>
      <c r="J160" s="68" cm="1">
        <f t="array" ref="J160">Common_InputFunctions.Utility_DisplayArrayInTable(SourceData_PastureBeef.SourceData_PastureBeef_LiveweightGain_Data(), Table_SourceData_PastureBeef_LiveweightGain[[#Headers],[State]],0)</f>
        <v>0.22</v>
      </c>
      <c r="K160" s="68" cm="1">
        <f t="array" ref="K160">Common_InputFunctions.Utility_DisplayArrayInTable(SourceData_PastureBeef.SourceData_PastureBeef_LiveweightGain_Data(), Table_SourceData_PastureBeef_LiveweightGain[[#Headers],[State]],0)</f>
        <v>0</v>
      </c>
      <c r="L160" s="68" cm="1">
        <f t="array" ref="L160">Common_InputFunctions.Utility_DisplayArrayInTable(SourceData_PastureBeef.SourceData_PastureBeef_LiveweightGain_Data(), Table_SourceData_PastureBeef_LiveweightGain[[#Headers],[State]],0)</f>
        <v>0.66</v>
      </c>
      <c r="M160" s="68"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68" t="str" cm="1">
        <f t="array" ref="E161">Common_InputFunctions.Utility_DisplayArrayInTable(SourceData_PastureBeef.SourceData_PastureBeef_LiveweightGain_Data(), Table_SourceData_PastureBeef_LiveweightGain[[#Headers],[State]],0)</f>
        <v>n/a</v>
      </c>
      <c r="F161" s="68" t="str" cm="1">
        <f t="array" ref="F161">Common_InputFunctions.Utility_DisplayArrayInTable(SourceData_PastureBeef.SourceData_PastureBeef_LiveweightGain_Data(), Table_SourceData_PastureBeef_LiveweightGain[[#Headers],[State]],0)</f>
        <v>Autumn</v>
      </c>
      <c r="G161" s="68" cm="1">
        <f t="array" ref="G161">Common_InputFunctions.Utility_DisplayArrayInTable(SourceData_PastureBeef.SourceData_PastureBeef_LiveweightGain_Data(), Table_SourceData_PastureBeef_LiveweightGain[[#Headers],[State]],0)</f>
        <v>0.9</v>
      </c>
      <c r="H161" s="68" cm="1">
        <f t="array" ref="H161">Common_InputFunctions.Utility_DisplayArrayInTable(SourceData_PastureBeef.SourceData_PastureBeef_LiveweightGain_Data(), Table_SourceData_PastureBeef_LiveweightGain[[#Headers],[State]],0)</f>
        <v>-1.1000000000000001</v>
      </c>
      <c r="I161" s="68" cm="1">
        <f t="array" ref="I161">Common_InputFunctions.Utility_DisplayArrayInTable(SourceData_PastureBeef.SourceData_PastureBeef_LiveweightGain_Data(), Table_SourceData_PastureBeef_LiveweightGain[[#Headers],[State]],0)</f>
        <v>0.7</v>
      </c>
      <c r="J161" s="68" cm="1">
        <f t="array" ref="J161">Common_InputFunctions.Utility_DisplayArrayInTable(SourceData_PastureBeef.SourceData_PastureBeef_LiveweightGain_Data(), Table_SourceData_PastureBeef_LiveweightGain[[#Headers],[State]],0)</f>
        <v>0.22</v>
      </c>
      <c r="K161" s="68" cm="1">
        <f t="array" ref="K161">Common_InputFunctions.Utility_DisplayArrayInTable(SourceData_PastureBeef.SourceData_PastureBeef_LiveweightGain_Data(), Table_SourceData_PastureBeef_LiveweightGain[[#Headers],[State]],0)</f>
        <v>-0.55000000000000004</v>
      </c>
      <c r="L161" s="68" cm="1">
        <f t="array" ref="L161">Common_InputFunctions.Utility_DisplayArrayInTable(SourceData_PastureBeef.SourceData_PastureBeef_LiveweightGain_Data(), Table_SourceData_PastureBeef_LiveweightGain[[#Headers],[State]],0)</f>
        <v>0.8</v>
      </c>
      <c r="M161" s="68"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68" t="str" cm="1">
        <f t="array" ref="E162">Common_InputFunctions.Utility_DisplayArrayInTable(SourceData_PastureBeef.SourceData_PastureBeef_LiveweightGain_Data(), Table_SourceData_PastureBeef_LiveweightGain[[#Headers],[State]],0)</f>
        <v>n/a</v>
      </c>
      <c r="F162" s="68" t="str" cm="1">
        <f t="array" ref="F162">Common_InputFunctions.Utility_DisplayArrayInTable(SourceData_PastureBeef.SourceData_PastureBeef_LiveweightGain_Data(), Table_SourceData_PastureBeef_LiveweightGain[[#Headers],[State]],0)</f>
        <v>Winter</v>
      </c>
      <c r="G162" s="68" cm="1">
        <f t="array" ref="G162">Common_InputFunctions.Utility_DisplayArrayInTable(SourceData_PastureBeef.SourceData_PastureBeef_LiveweightGain_Data(), Table_SourceData_PastureBeef_LiveweightGain[[#Headers],[State]],0)</f>
        <v>0.88</v>
      </c>
      <c r="H162" s="68" cm="1">
        <f t="array" ref="H162">Common_InputFunctions.Utility_DisplayArrayInTable(SourceData_PastureBeef.SourceData_PastureBeef_LiveweightGain_Data(), Table_SourceData_PastureBeef_LiveweightGain[[#Headers],[State]],0)</f>
        <v>0</v>
      </c>
      <c r="I162" s="68" cm="1">
        <f t="array" ref="I162">Common_InputFunctions.Utility_DisplayArrayInTable(SourceData_PastureBeef.SourceData_PastureBeef_LiveweightGain_Data(), Table_SourceData_PastureBeef_LiveweightGain[[#Headers],[State]],0)</f>
        <v>0.77</v>
      </c>
      <c r="J162" s="68" cm="1">
        <f t="array" ref="J162">Common_InputFunctions.Utility_DisplayArrayInTable(SourceData_PastureBeef.SourceData_PastureBeef_LiveweightGain_Data(), Table_SourceData_PastureBeef_LiveweightGain[[#Headers],[State]],0)</f>
        <v>0.55000000000000004</v>
      </c>
      <c r="K162" s="68" cm="1">
        <f t="array" ref="K162">Common_InputFunctions.Utility_DisplayArrayInTable(SourceData_PastureBeef.SourceData_PastureBeef_LiveweightGain_Data(), Table_SourceData_PastureBeef_LiveweightGain[[#Headers],[State]],0)</f>
        <v>0</v>
      </c>
      <c r="L162" s="68" cm="1">
        <f t="array" ref="L162">Common_InputFunctions.Utility_DisplayArrayInTable(SourceData_PastureBeef.SourceData_PastureBeef_LiveweightGain_Data(), Table_SourceData_PastureBeef_LiveweightGain[[#Headers],[State]],0)</f>
        <v>0.82</v>
      </c>
      <c r="M162" s="68"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68" t="str" cm="1">
        <f t="array" ref="E163">Common_InputFunctions.Utility_DisplayArrayInTable(SourceData_PastureBeef.SourceData_PastureBeef_LiveweightGain_Data(), Table_SourceData_PastureBeef_LiveweightGain[[#Headers],[State]],0)</f>
        <v>n/a</v>
      </c>
      <c r="F163" s="68" t="str" cm="1">
        <f t="array" ref="F163">Common_InputFunctions.Utility_DisplayArrayInTable(SourceData_PastureBeef.SourceData_PastureBeef_LiveweightGain_Data(), Table_SourceData_PastureBeef_LiveweightGain[[#Headers],[State]],0)</f>
        <v>Spring</v>
      </c>
      <c r="G163" s="68" cm="1">
        <f t="array" ref="G163">Common_InputFunctions.Utility_DisplayArrayInTable(SourceData_PastureBeef.SourceData_PastureBeef_LiveweightGain_Data(), Table_SourceData_PastureBeef_LiveweightGain[[#Headers],[State]],0)</f>
        <v>1</v>
      </c>
      <c r="H163" s="68" cm="1">
        <f t="array" ref="H163">Common_InputFunctions.Utility_DisplayArrayInTable(SourceData_PastureBeef.SourceData_PastureBeef_LiveweightGain_Data(), Table_SourceData_PastureBeef_LiveweightGain[[#Headers],[State]],0)</f>
        <v>0.5</v>
      </c>
      <c r="I163" s="68" cm="1">
        <f t="array" ref="I163">Common_InputFunctions.Utility_DisplayArrayInTable(SourceData_PastureBeef.SourceData_PastureBeef_LiveweightGain_Data(), Table_SourceData_PastureBeef_LiveweightGain[[#Headers],[State]],0)</f>
        <v>1</v>
      </c>
      <c r="J163" s="68" cm="1">
        <f t="array" ref="J163">Common_InputFunctions.Utility_DisplayArrayInTable(SourceData_PastureBeef.SourceData_PastureBeef_LiveweightGain_Data(), Table_SourceData_PastureBeef_LiveweightGain[[#Headers],[State]],0)</f>
        <v>1</v>
      </c>
      <c r="K163" s="68" cm="1">
        <f t="array" ref="K163">Common_InputFunctions.Utility_DisplayArrayInTable(SourceData_PastureBeef.SourceData_PastureBeef_LiveweightGain_Data(), Table_SourceData_PastureBeef_LiveweightGain[[#Headers],[State]],0)</f>
        <v>-0.44</v>
      </c>
      <c r="L163" s="68" cm="1">
        <f t="array" ref="L163">Common_InputFunctions.Utility_DisplayArrayInTable(SourceData_PastureBeef.SourceData_PastureBeef_LiveweightGain_Data(), Table_SourceData_PastureBeef_LiveweightGain[[#Headers],[State]],0)</f>
        <v>1</v>
      </c>
      <c r="M163" s="68"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68" t="str" cm="1">
        <f t="array" ref="E164">Common_InputFunctions.Utility_DisplayArrayInTable(SourceData_PastureBeef.SourceData_PastureBeef_LiveweightGain_Data(), Table_SourceData_PastureBeef_LiveweightGain[[#Headers],[State]],0)</f>
        <v>n/a</v>
      </c>
      <c r="F164" s="68" t="str" cm="1">
        <f t="array" ref="F164">Common_InputFunctions.Utility_DisplayArrayInTable(SourceData_PastureBeef.SourceData_PastureBeef_LiveweightGain_Data(), Table_SourceData_PastureBeef_LiveweightGain[[#Headers],[State]],0)</f>
        <v>Summer</v>
      </c>
      <c r="G164" s="68" cm="1">
        <f t="array" ref="G164">Common_InputFunctions.Utility_DisplayArrayInTable(SourceData_PastureBeef.SourceData_PastureBeef_LiveweightGain_Data(), Table_SourceData_PastureBeef_LiveweightGain[[#Headers],[State]],0)</f>
        <v>0.82</v>
      </c>
      <c r="H164" s="68" cm="1">
        <f t="array" ref="H164">Common_InputFunctions.Utility_DisplayArrayInTable(SourceData_PastureBeef.SourceData_PastureBeef_LiveweightGain_Data(), Table_SourceData_PastureBeef_LiveweightGain[[#Headers],[State]],0)</f>
        <v>0.55000000000000004</v>
      </c>
      <c r="I164" s="68" cm="1">
        <f t="array" ref="I164">Common_InputFunctions.Utility_DisplayArrayInTable(SourceData_PastureBeef.SourceData_PastureBeef_LiveweightGain_Data(), Table_SourceData_PastureBeef_LiveweightGain[[#Headers],[State]],0)</f>
        <v>0.71</v>
      </c>
      <c r="J164" s="68" cm="1">
        <f t="array" ref="J164">Common_InputFunctions.Utility_DisplayArrayInTable(SourceData_PastureBeef.SourceData_PastureBeef_LiveweightGain_Data(), Table_SourceData_PastureBeef_LiveweightGain[[#Headers],[State]],0)</f>
        <v>0.55000000000000004</v>
      </c>
      <c r="K164" s="68" cm="1">
        <f t="array" ref="K164">Common_InputFunctions.Utility_DisplayArrayInTable(SourceData_PastureBeef.SourceData_PastureBeef_LiveweightGain_Data(), Table_SourceData_PastureBeef_LiveweightGain[[#Headers],[State]],0)</f>
        <v>0.99</v>
      </c>
      <c r="L164" s="68" cm="1">
        <f t="array" ref="L164">Common_InputFunctions.Utility_DisplayArrayInTable(SourceData_PastureBeef.SourceData_PastureBeef_LiveweightGain_Data(), Table_SourceData_PastureBeef_LiveweightGain[[#Headers],[State]],0)</f>
        <v>0.77</v>
      </c>
      <c r="M164" s="68"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68" t="str" cm="1">
        <f t="array" ref="E165">Common_InputFunctions.Utility_DisplayArrayInTable(SourceData_PastureBeef.SourceData_PastureBeef_LiveweightGain_Data(), Table_SourceData_PastureBeef_LiveweightGain[[#Headers],[State]],0)</f>
        <v>n/a</v>
      </c>
      <c r="F165" s="68" t="str" cm="1">
        <f t="array" ref="F165">Common_InputFunctions.Utility_DisplayArrayInTable(SourceData_PastureBeef.SourceData_PastureBeef_LiveweightGain_Data(), Table_SourceData_PastureBeef_LiveweightGain[[#Headers],[State]],0)</f>
        <v>Autumn</v>
      </c>
      <c r="G165" s="68" cm="1">
        <f t="array" ref="G165">Common_InputFunctions.Utility_DisplayArrayInTable(SourceData_PastureBeef.SourceData_PastureBeef_LiveweightGain_Data(), Table_SourceData_PastureBeef_LiveweightGain[[#Headers],[State]],0)</f>
        <v>0.77</v>
      </c>
      <c r="H165" s="68" cm="1">
        <f t="array" ref="H165">Common_InputFunctions.Utility_DisplayArrayInTable(SourceData_PastureBeef.SourceData_PastureBeef_LiveweightGain_Data(), Table_SourceData_PastureBeef_LiveweightGain[[#Headers],[State]],0)</f>
        <v>0.5</v>
      </c>
      <c r="I165" s="68" cm="1">
        <f t="array" ref="I165">Common_InputFunctions.Utility_DisplayArrayInTable(SourceData_PastureBeef.SourceData_PastureBeef_LiveweightGain_Data(), Table_SourceData_PastureBeef_LiveweightGain[[#Headers],[State]],0)</f>
        <v>0.55000000000000004</v>
      </c>
      <c r="J165" s="68" cm="1">
        <f t="array" ref="J165">Common_InputFunctions.Utility_DisplayArrayInTable(SourceData_PastureBeef.SourceData_PastureBeef_LiveweightGain_Data(), Table_SourceData_PastureBeef_LiveweightGain[[#Headers],[State]],0)</f>
        <v>0.11</v>
      </c>
      <c r="K165" s="68" cm="1">
        <f t="array" ref="K165">Common_InputFunctions.Utility_DisplayArrayInTable(SourceData_PastureBeef.SourceData_PastureBeef_LiveweightGain_Data(), Table_SourceData_PastureBeef_LiveweightGain[[#Headers],[State]],0)</f>
        <v>-0.33</v>
      </c>
      <c r="L165" s="68" cm="1">
        <f t="array" ref="L165">Common_InputFunctions.Utility_DisplayArrayInTable(SourceData_PastureBeef.SourceData_PastureBeef_LiveweightGain_Data(), Table_SourceData_PastureBeef_LiveweightGain[[#Headers],[State]],0)</f>
        <v>0.6</v>
      </c>
      <c r="M165" s="68"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68" t="str" cm="1">
        <f t="array" ref="E166">Common_InputFunctions.Utility_DisplayArrayInTable(SourceData_PastureBeef.SourceData_PastureBeef_LiveweightGain_Data(), Table_SourceData_PastureBeef_LiveweightGain[[#Headers],[State]],0)</f>
        <v>n/a</v>
      </c>
      <c r="F166" s="68" t="str" cm="1">
        <f t="array" ref="F166">Common_InputFunctions.Utility_DisplayArrayInTable(SourceData_PastureBeef.SourceData_PastureBeef_LiveweightGain_Data(), Table_SourceData_PastureBeef_LiveweightGain[[#Headers],[State]],0)</f>
        <v>Winter</v>
      </c>
      <c r="G166" s="68" cm="1">
        <f t="array" ref="G166">Common_InputFunctions.Utility_DisplayArrayInTable(SourceData_PastureBeef.SourceData_PastureBeef_LiveweightGain_Data(), Table_SourceData_PastureBeef_LiveweightGain[[#Headers],[State]],0)</f>
        <v>0.11</v>
      </c>
      <c r="H166" s="68" cm="1">
        <f t="array" ref="H166">Common_InputFunctions.Utility_DisplayArrayInTable(SourceData_PastureBeef.SourceData_PastureBeef_LiveweightGain_Data(), Table_SourceData_PastureBeef_LiveweightGain[[#Headers],[State]],0)</f>
        <v>-0.27</v>
      </c>
      <c r="I166" s="68" cm="1">
        <f t="array" ref="I166">Common_InputFunctions.Utility_DisplayArrayInTable(SourceData_PastureBeef.SourceData_PastureBeef_LiveweightGain_Data(), Table_SourceData_PastureBeef_LiveweightGain[[#Headers],[State]],0)</f>
        <v>0.11</v>
      </c>
      <c r="J166" s="68" cm="1">
        <f t="array" ref="J166">Common_InputFunctions.Utility_DisplayArrayInTable(SourceData_PastureBeef.SourceData_PastureBeef_LiveweightGain_Data(), Table_SourceData_PastureBeef_LiveweightGain[[#Headers],[State]],0)</f>
        <v>0.22</v>
      </c>
      <c r="K166" s="68" cm="1">
        <f t="array" ref="K166">Common_InputFunctions.Utility_DisplayArrayInTable(SourceData_PastureBeef.SourceData_PastureBeef_LiveweightGain_Data(), Table_SourceData_PastureBeef_LiveweightGain[[#Headers],[State]],0)</f>
        <v>-0.44</v>
      </c>
      <c r="L166" s="68" cm="1">
        <f t="array" ref="L166">Common_InputFunctions.Utility_DisplayArrayInTable(SourceData_PastureBeef.SourceData_PastureBeef_LiveweightGain_Data(), Table_SourceData_PastureBeef_LiveweightGain[[#Headers],[State]],0)</f>
        <v>0.16</v>
      </c>
      <c r="M166" s="68"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68" t="str" cm="1">
        <f t="array" ref="E167">Common_InputFunctions.Utility_DisplayArrayInTable(SourceData_PastureBeef.SourceData_PastureBeef_LiveweightGain_Data(), Table_SourceData_PastureBeef_LiveweightGain[[#Headers],[State]],0)</f>
        <v>n/a</v>
      </c>
      <c r="F167" s="68" t="str" cm="1">
        <f t="array" ref="F167">Common_InputFunctions.Utility_DisplayArrayInTable(SourceData_PastureBeef.SourceData_PastureBeef_LiveweightGain_Data(), Table_SourceData_PastureBeef_LiveweightGain[[#Headers],[State]],0)</f>
        <v>Spring</v>
      </c>
      <c r="G167" s="68" cm="1">
        <f t="array" ref="G167">Common_InputFunctions.Utility_DisplayArrayInTable(SourceData_PastureBeef.SourceData_PastureBeef_LiveweightGain_Data(), Table_SourceData_PastureBeef_LiveweightGain[[#Headers],[State]],0)</f>
        <v>1.1000000000000001</v>
      </c>
      <c r="H167" s="68" cm="1">
        <f t="array" ref="H167">Common_InputFunctions.Utility_DisplayArrayInTable(SourceData_PastureBeef.SourceData_PastureBeef_LiveweightGain_Data(), Table_SourceData_PastureBeef_LiveweightGain[[#Headers],[State]],0)</f>
        <v>1.1000000000000001</v>
      </c>
      <c r="I167" s="68" cm="1">
        <f t="array" ref="I167">Common_InputFunctions.Utility_DisplayArrayInTable(SourceData_PastureBeef.SourceData_PastureBeef_LiveweightGain_Data(), Table_SourceData_PastureBeef_LiveweightGain[[#Headers],[State]],0)</f>
        <v>1.1000000000000001</v>
      </c>
      <c r="J167" s="68" cm="1">
        <f t="array" ref="J167">Common_InputFunctions.Utility_DisplayArrayInTable(SourceData_PastureBeef.SourceData_PastureBeef_LiveweightGain_Data(), Table_SourceData_PastureBeef_LiveweightGain[[#Headers],[State]],0)</f>
        <v>0.99</v>
      </c>
      <c r="K167" s="68" cm="1">
        <f t="array" ref="K167">Common_InputFunctions.Utility_DisplayArrayInTable(SourceData_PastureBeef.SourceData_PastureBeef_LiveweightGain_Data(), Table_SourceData_PastureBeef_LiveweightGain[[#Headers],[State]],0)</f>
        <v>0.99</v>
      </c>
      <c r="L167" s="68" cm="1">
        <f t="array" ref="L167">Common_InputFunctions.Utility_DisplayArrayInTable(SourceData_PastureBeef.SourceData_PastureBeef_LiveweightGain_Data(), Table_SourceData_PastureBeef_LiveweightGain[[#Headers],[State]],0)</f>
        <v>1.1000000000000001</v>
      </c>
      <c r="M167" s="68"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68" t="str" cm="1">
        <f t="array" ref="E168">Common_InputFunctions.Utility_DisplayArrayInTable(SourceData_PastureBeef.SourceData_PastureBeef_LiveweightGain_Data(), Table_SourceData_PastureBeef_LiveweightGain[[#Headers],[State]],0)</f>
        <v>n/a</v>
      </c>
      <c r="F168" s="68" t="str" cm="1">
        <f t="array" ref="F168">Common_InputFunctions.Utility_DisplayArrayInTable(SourceData_PastureBeef.SourceData_PastureBeef_LiveweightGain_Data(), Table_SourceData_PastureBeef_LiveweightGain[[#Headers],[State]],0)</f>
        <v>Summer</v>
      </c>
      <c r="G168" s="68" cm="1">
        <f t="array" ref="G168">Common_InputFunctions.Utility_DisplayArrayInTable(SourceData_PastureBeef.SourceData_PastureBeef_LiveweightGain_Data(), Table_SourceData_PastureBeef_LiveweightGain[[#Headers],[State]],0)</f>
        <v>0.33</v>
      </c>
      <c r="H168" s="68" cm="1">
        <f t="array" ref="H168">Common_InputFunctions.Utility_DisplayArrayInTable(SourceData_PastureBeef.SourceData_PastureBeef_LiveweightGain_Data(), Table_SourceData_PastureBeef_LiveweightGain[[#Headers],[State]],0)</f>
        <v>0.33</v>
      </c>
      <c r="I168" s="68" cm="1">
        <f t="array" ref="I168">Common_InputFunctions.Utility_DisplayArrayInTable(SourceData_PastureBeef.SourceData_PastureBeef_LiveweightGain_Data(), Table_SourceData_PastureBeef_LiveweightGain[[#Headers],[State]],0)</f>
        <v>0.22</v>
      </c>
      <c r="J168" s="68" cm="1">
        <f t="array" ref="J168">Common_InputFunctions.Utility_DisplayArrayInTable(SourceData_PastureBeef.SourceData_PastureBeef_LiveweightGain_Data(), Table_SourceData_PastureBeef_LiveweightGain[[#Headers],[State]],0)</f>
        <v>0.33</v>
      </c>
      <c r="K168" s="68" cm="1">
        <f t="array" ref="K168">Common_InputFunctions.Utility_DisplayArrayInTable(SourceData_PastureBeef.SourceData_PastureBeef_LiveweightGain_Data(), Table_SourceData_PastureBeef_LiveweightGain[[#Headers],[State]],0)</f>
        <v>-0.1</v>
      </c>
      <c r="L168" s="68" cm="1">
        <f t="array" ref="L168">Common_InputFunctions.Utility_DisplayArrayInTable(SourceData_PastureBeef.SourceData_PastureBeef_LiveweightGain_Data(), Table_SourceData_PastureBeef_LiveweightGain[[#Headers],[State]],0)</f>
        <v>0.33</v>
      </c>
      <c r="M168" s="68"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68" t="str" cm="1">
        <f t="array" ref="E169">Common_InputFunctions.Utility_DisplayArrayInTable(SourceData_PastureBeef.SourceData_PastureBeef_LiveweightGain_Data(), Table_SourceData_PastureBeef_LiveweightGain[[#Headers],[State]],0)</f>
        <v>n/a</v>
      </c>
      <c r="F169" s="68" t="str" cm="1">
        <f t="array" ref="F169">Common_InputFunctions.Utility_DisplayArrayInTable(SourceData_PastureBeef.SourceData_PastureBeef_LiveweightGain_Data(), Table_SourceData_PastureBeef_LiveweightGain[[#Headers],[State]],0)</f>
        <v>Autumn</v>
      </c>
      <c r="G169" s="68" cm="1">
        <f t="array" ref="G169">Common_InputFunctions.Utility_DisplayArrayInTable(SourceData_PastureBeef.SourceData_PastureBeef_LiveweightGain_Data(), Table_SourceData_PastureBeef_LiveweightGain[[#Headers],[State]],0)</f>
        <v>0.5</v>
      </c>
      <c r="H169" s="68" cm="1">
        <f t="array" ref="H169">Common_InputFunctions.Utility_DisplayArrayInTable(SourceData_PastureBeef.SourceData_PastureBeef_LiveweightGain_Data(), Table_SourceData_PastureBeef_LiveweightGain[[#Headers],[State]],0)</f>
        <v>0.2</v>
      </c>
      <c r="I169" s="68" cm="1">
        <f t="array" ref="I169">Common_InputFunctions.Utility_DisplayArrayInTable(SourceData_PastureBeef.SourceData_PastureBeef_LiveweightGain_Data(), Table_SourceData_PastureBeef_LiveweightGain[[#Headers],[State]],0)</f>
        <v>0.55000000000000004</v>
      </c>
      <c r="J169" s="68" cm="1">
        <f t="array" ref="J169">Common_InputFunctions.Utility_DisplayArrayInTable(SourceData_PastureBeef.SourceData_PastureBeef_LiveweightGain_Data(), Table_SourceData_PastureBeef_LiveweightGain[[#Headers],[State]],0)</f>
        <v>0.44</v>
      </c>
      <c r="K169" s="68" cm="1">
        <f t="array" ref="K169">Common_InputFunctions.Utility_DisplayArrayInTable(SourceData_PastureBeef.SourceData_PastureBeef_LiveweightGain_Data(), Table_SourceData_PastureBeef_LiveweightGain[[#Headers],[State]],0)</f>
        <v>0.2</v>
      </c>
      <c r="L169" s="68" cm="1">
        <f t="array" ref="L169">Common_InputFunctions.Utility_DisplayArrayInTable(SourceData_PastureBeef.SourceData_PastureBeef_LiveweightGain_Data(), Table_SourceData_PastureBeef_LiveweightGain[[#Headers],[State]],0)</f>
        <v>0.55000000000000004</v>
      </c>
      <c r="M169" s="68"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68" t="str" cm="1">
        <f t="array" ref="E170">Common_InputFunctions.Utility_DisplayArrayInTable(SourceData_PastureBeef.SourceData_PastureBeef_LiveweightGain_Data(), Table_SourceData_PastureBeef_LiveweightGain[[#Headers],[State]],0)</f>
        <v>n/a</v>
      </c>
      <c r="F170" s="68" t="str" cm="1">
        <f t="array" ref="F170">Common_InputFunctions.Utility_DisplayArrayInTable(SourceData_PastureBeef.SourceData_PastureBeef_LiveweightGain_Data(), Table_SourceData_PastureBeef_LiveweightGain[[#Headers],[State]],0)</f>
        <v>Winter</v>
      </c>
      <c r="G170" s="68" cm="1">
        <f t="array" ref="G170">Common_InputFunctions.Utility_DisplayArrayInTable(SourceData_PastureBeef.SourceData_PastureBeef_LiveweightGain_Data(), Table_SourceData_PastureBeef_LiveweightGain[[#Headers],[State]],0)</f>
        <v>0.55000000000000004</v>
      </c>
      <c r="H170" s="68" cm="1">
        <f t="array" ref="H170">Common_InputFunctions.Utility_DisplayArrayInTable(SourceData_PastureBeef.SourceData_PastureBeef_LiveweightGain_Data(), Table_SourceData_PastureBeef_LiveweightGain[[#Headers],[State]],0)</f>
        <v>0.22</v>
      </c>
      <c r="I170" s="68" cm="1">
        <f t="array" ref="I170">Common_InputFunctions.Utility_DisplayArrayInTable(SourceData_PastureBeef.SourceData_PastureBeef_LiveweightGain_Data(), Table_SourceData_PastureBeef_LiveweightGain[[#Headers],[State]],0)</f>
        <v>0.49</v>
      </c>
      <c r="J170" s="68" cm="1">
        <f t="array" ref="J170">Common_InputFunctions.Utility_DisplayArrayInTable(SourceData_PastureBeef.SourceData_PastureBeef_LiveweightGain_Data(), Table_SourceData_PastureBeef_LiveweightGain[[#Headers],[State]],0)</f>
        <v>0.22</v>
      </c>
      <c r="K170" s="68" cm="1">
        <f t="array" ref="K170">Common_InputFunctions.Utility_DisplayArrayInTable(SourceData_PastureBeef.SourceData_PastureBeef_LiveweightGain_Data(), Table_SourceData_PastureBeef_LiveweightGain[[#Headers],[State]],0)</f>
        <v>0.22</v>
      </c>
      <c r="L170" s="68" cm="1">
        <f t="array" ref="L170">Common_InputFunctions.Utility_DisplayArrayInTable(SourceData_PastureBeef.SourceData_PastureBeef_LiveweightGain_Data(), Table_SourceData_PastureBeef_LiveweightGain[[#Headers],[State]],0)</f>
        <v>0.49</v>
      </c>
      <c r="M170" s="68"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68" t="str" cm="1">
        <f t="array" ref="E171">Common_InputFunctions.Utility_DisplayArrayInTable(SourceData_PastureBeef.SourceData_PastureBeef_LiveweightGain_Data(), Table_SourceData_PastureBeef_LiveweightGain[[#Headers],[State]],0)</f>
        <v>South West</v>
      </c>
      <c r="F171" s="68" t="str" cm="1">
        <f t="array" ref="F171">Common_InputFunctions.Utility_DisplayArrayInTable(SourceData_PastureBeef.SourceData_PastureBeef_LiveweightGain_Data(), Table_SourceData_PastureBeef_LiveweightGain[[#Headers],[State]],0)</f>
        <v>Spring</v>
      </c>
      <c r="G171" s="68" cm="1">
        <f t="array" ref="G171">Common_InputFunctions.Utility_DisplayArrayInTable(SourceData_PastureBeef.SourceData_PastureBeef_LiveweightGain_Data(), Table_SourceData_PastureBeef_LiveweightGain[[#Headers],[State]],0)</f>
        <v>1.64</v>
      </c>
      <c r="H171" s="68" cm="1">
        <f t="array" ref="H171">Common_InputFunctions.Utility_DisplayArrayInTable(SourceData_PastureBeef.SourceData_PastureBeef_LiveweightGain_Data(), Table_SourceData_PastureBeef_LiveweightGain[[#Headers],[State]],0)</f>
        <v>1.1000000000000001</v>
      </c>
      <c r="I171" s="68" cm="1">
        <f t="array" ref="I171">Common_InputFunctions.Utility_DisplayArrayInTable(SourceData_PastureBeef.SourceData_PastureBeef_LiveweightGain_Data(), Table_SourceData_PastureBeef_LiveweightGain[[#Headers],[State]],0)</f>
        <v>1.21</v>
      </c>
      <c r="J171" s="68" cm="1">
        <f t="array" ref="J171">Common_InputFunctions.Utility_DisplayArrayInTable(SourceData_PastureBeef.SourceData_PastureBeef_LiveweightGain_Data(), Table_SourceData_PastureBeef_LiveweightGain[[#Headers],[State]],0)</f>
        <v>0.99</v>
      </c>
      <c r="K171" s="68" cm="1">
        <f t="array" ref="K171">Common_InputFunctions.Utility_DisplayArrayInTable(SourceData_PastureBeef.SourceData_PastureBeef_LiveweightGain_Data(), Table_SourceData_PastureBeef_LiveweightGain[[#Headers],[State]],0)</f>
        <v>0.66</v>
      </c>
      <c r="L171" s="68" cm="1">
        <f t="array" ref="L171">Common_InputFunctions.Utility_DisplayArrayInTable(SourceData_PastureBeef.SourceData_PastureBeef_LiveweightGain_Data(), Table_SourceData_PastureBeef_LiveweightGain[[#Headers],[State]],0)</f>
        <v>1.42</v>
      </c>
      <c r="M171" s="68"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68" t="str" cm="1">
        <f t="array" ref="E172">Common_InputFunctions.Utility_DisplayArrayInTable(SourceData_PastureBeef.SourceData_PastureBeef_LiveweightGain_Data(), Table_SourceData_PastureBeef_LiveweightGain[[#Headers],[State]],0)</f>
        <v>South West</v>
      </c>
      <c r="F172" s="68" t="str" cm="1">
        <f t="array" ref="F172">Common_InputFunctions.Utility_DisplayArrayInTable(SourceData_PastureBeef.SourceData_PastureBeef_LiveweightGain_Data(), Table_SourceData_PastureBeef_LiveweightGain[[#Headers],[State]],0)</f>
        <v>Summer</v>
      </c>
      <c r="G172" s="68" cm="1">
        <f t="array" ref="G172">Common_InputFunctions.Utility_DisplayArrayInTable(SourceData_PastureBeef.SourceData_PastureBeef_LiveweightGain_Data(), Table_SourceData_PastureBeef_LiveweightGain[[#Headers],[State]],0)</f>
        <v>0.44</v>
      </c>
      <c r="H172" s="68" cm="1">
        <f t="array" ref="H172">Common_InputFunctions.Utility_DisplayArrayInTable(SourceData_PastureBeef.SourceData_PastureBeef_LiveweightGain_Data(), Table_SourceData_PastureBeef_LiveweightGain[[#Headers],[State]],0)</f>
        <v>-0.22</v>
      </c>
      <c r="I172" s="68" cm="1">
        <f t="array" ref="I172">Common_InputFunctions.Utility_DisplayArrayInTable(SourceData_PastureBeef.SourceData_PastureBeef_LiveweightGain_Data(), Table_SourceData_PastureBeef_LiveweightGain[[#Headers],[State]],0)</f>
        <v>0.44</v>
      </c>
      <c r="J172" s="68" cm="1">
        <f t="array" ref="J172">Common_InputFunctions.Utility_DisplayArrayInTable(SourceData_PastureBeef.SourceData_PastureBeef_LiveweightGain_Data(), Table_SourceData_PastureBeef_LiveweightGain[[#Headers],[State]],0)</f>
        <v>0.33</v>
      </c>
      <c r="K172" s="68" cm="1">
        <f t="array" ref="K172">Common_InputFunctions.Utility_DisplayArrayInTable(SourceData_PastureBeef.SourceData_PastureBeef_LiveweightGain_Data(), Table_SourceData_PastureBeef_LiveweightGain[[#Headers],[State]],0)</f>
        <v>-0.22</v>
      </c>
      <c r="L172" s="68" cm="1">
        <f t="array" ref="L172">Common_InputFunctions.Utility_DisplayArrayInTable(SourceData_PastureBeef.SourceData_PastureBeef_LiveweightGain_Data(), Table_SourceData_PastureBeef_LiveweightGain[[#Headers],[State]],0)</f>
        <v>0.44</v>
      </c>
      <c r="M172" s="68"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68" t="str" cm="1">
        <f t="array" ref="E173">Common_InputFunctions.Utility_DisplayArrayInTable(SourceData_PastureBeef.SourceData_PastureBeef_LiveweightGain_Data(), Table_SourceData_PastureBeef_LiveweightGain[[#Headers],[State]],0)</f>
        <v>South West</v>
      </c>
      <c r="F173" s="68" t="str" cm="1">
        <f t="array" ref="F173">Common_InputFunctions.Utility_DisplayArrayInTable(SourceData_PastureBeef.SourceData_PastureBeef_LiveweightGain_Data(), Table_SourceData_PastureBeef_LiveweightGain[[#Headers],[State]],0)</f>
        <v>Autumn</v>
      </c>
      <c r="G173" s="68" cm="1">
        <f t="array" ref="G173">Common_InputFunctions.Utility_DisplayArrayInTable(SourceData_PastureBeef.SourceData_PastureBeef_LiveweightGain_Data(), Table_SourceData_PastureBeef_LiveweightGain[[#Headers],[State]],0)</f>
        <v>0.6</v>
      </c>
      <c r="H173" s="68" cm="1">
        <f t="array" ref="H173">Common_InputFunctions.Utility_DisplayArrayInTable(SourceData_PastureBeef.SourceData_PastureBeef_LiveweightGain_Data(), Table_SourceData_PastureBeef_LiveweightGain[[#Headers],[State]],0)</f>
        <v>0</v>
      </c>
      <c r="I173" s="68" cm="1">
        <f t="array" ref="I173">Common_InputFunctions.Utility_DisplayArrayInTable(SourceData_PastureBeef.SourceData_PastureBeef_LiveweightGain_Data(), Table_SourceData_PastureBeef_LiveweightGain[[#Headers],[State]],0)</f>
        <v>0.6</v>
      </c>
      <c r="J173" s="68" cm="1">
        <f t="array" ref="J173">Common_InputFunctions.Utility_DisplayArrayInTable(SourceData_PastureBeef.SourceData_PastureBeef_LiveweightGain_Data(), Table_SourceData_PastureBeef_LiveweightGain[[#Headers],[State]],0)</f>
        <v>0.22</v>
      </c>
      <c r="K173" s="68" cm="1">
        <f t="array" ref="K173">Common_InputFunctions.Utility_DisplayArrayInTable(SourceData_PastureBeef.SourceData_PastureBeef_LiveweightGain_Data(), Table_SourceData_PastureBeef_LiveweightGain[[#Headers],[State]],0)</f>
        <v>-0.55000000000000004</v>
      </c>
      <c r="L173" s="68" cm="1">
        <f t="array" ref="L173">Common_InputFunctions.Utility_DisplayArrayInTable(SourceData_PastureBeef.SourceData_PastureBeef_LiveweightGain_Data(), Table_SourceData_PastureBeef_LiveweightGain[[#Headers],[State]],0)</f>
        <v>0.6</v>
      </c>
      <c r="M173" s="68"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68" t="str" cm="1">
        <f t="array" ref="E174">Common_InputFunctions.Utility_DisplayArrayInTable(SourceData_PastureBeef.SourceData_PastureBeef_LiveweightGain_Data(), Table_SourceData_PastureBeef_LiveweightGain[[#Headers],[State]],0)</f>
        <v>South West</v>
      </c>
      <c r="F174" s="68" t="str" cm="1">
        <f t="array" ref="F174">Common_InputFunctions.Utility_DisplayArrayInTable(SourceData_PastureBeef.SourceData_PastureBeef_LiveweightGain_Data(), Table_SourceData_PastureBeef_LiveweightGain[[#Headers],[State]],0)</f>
        <v>Winter</v>
      </c>
      <c r="G174" s="68" cm="1">
        <f t="array" ref="G174">Common_InputFunctions.Utility_DisplayArrayInTable(SourceData_PastureBeef.SourceData_PastureBeef_LiveweightGain_Data(), Table_SourceData_PastureBeef_LiveweightGain[[#Headers],[State]],0)</f>
        <v>0.99</v>
      </c>
      <c r="H174" s="68" cm="1">
        <f t="array" ref="H174">Common_InputFunctions.Utility_DisplayArrayInTable(SourceData_PastureBeef.SourceData_PastureBeef_LiveweightGain_Data(), Table_SourceData_PastureBeef_LiveweightGain[[#Headers],[State]],0)</f>
        <v>0.22</v>
      </c>
      <c r="I174" s="68" cm="1">
        <f t="array" ref="I174">Common_InputFunctions.Utility_DisplayArrayInTable(SourceData_PastureBeef.SourceData_PastureBeef_LiveweightGain_Data(), Table_SourceData_PastureBeef_LiveweightGain[[#Headers],[State]],0)</f>
        <v>0.77</v>
      </c>
      <c r="J174" s="68" cm="1">
        <f t="array" ref="J174">Common_InputFunctions.Utility_DisplayArrayInTable(SourceData_PastureBeef.SourceData_PastureBeef_LiveweightGain_Data(), Table_SourceData_PastureBeef_LiveweightGain[[#Headers],[State]],0)</f>
        <v>0.11</v>
      </c>
      <c r="K174" s="68" cm="1">
        <f t="array" ref="K174">Common_InputFunctions.Utility_DisplayArrayInTable(SourceData_PastureBeef.SourceData_PastureBeef_LiveweightGain_Data(), Table_SourceData_PastureBeef_LiveweightGain[[#Headers],[State]],0)</f>
        <v>0.11</v>
      </c>
      <c r="L174" s="68" cm="1">
        <f t="array" ref="L174">Common_InputFunctions.Utility_DisplayArrayInTable(SourceData_PastureBeef.SourceData_PastureBeef_LiveweightGain_Data(), Table_SourceData_PastureBeef_LiveweightGain[[#Headers],[State]],0)</f>
        <v>0.77</v>
      </c>
      <c r="M174" s="68"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68" t="str" cm="1">
        <f t="array" ref="E175">Common_InputFunctions.Utility_DisplayArrayInTable(SourceData_PastureBeef.SourceData_PastureBeef_LiveweightGain_Data(), Table_SourceData_PastureBeef_LiveweightGain[[#Headers],[State]],0)</f>
        <v>Pilbara</v>
      </c>
      <c r="F175" s="68" t="str" cm="1">
        <f t="array" ref="F175">Common_InputFunctions.Utility_DisplayArrayInTable(SourceData_PastureBeef.SourceData_PastureBeef_LiveweightGain_Data(), Table_SourceData_PastureBeef_LiveweightGain[[#Headers],[State]],0)</f>
        <v>Spring</v>
      </c>
      <c r="G175" s="68" cm="1">
        <f t="array" ref="G175">Common_InputFunctions.Utility_DisplayArrayInTable(SourceData_PastureBeef.SourceData_PastureBeef_LiveweightGain_Data(), Table_SourceData_PastureBeef_LiveweightGain[[#Headers],[State]],0)</f>
        <v>0.7</v>
      </c>
      <c r="H175" s="68" cm="1">
        <f t="array" ref="H175">Common_InputFunctions.Utility_DisplayArrayInTable(SourceData_PastureBeef.SourceData_PastureBeef_LiveweightGain_Data(), Table_SourceData_PastureBeef_LiveweightGain[[#Headers],[State]],0)</f>
        <v>-0.55000000000000004</v>
      </c>
      <c r="I175" s="68" cm="1">
        <f t="array" ref="I175">Common_InputFunctions.Utility_DisplayArrayInTable(SourceData_PastureBeef.SourceData_PastureBeef_LiveweightGain_Data(), Table_SourceData_PastureBeef_LiveweightGain[[#Headers],[State]],0)</f>
        <v>0.7</v>
      </c>
      <c r="J175" s="68" cm="1">
        <f t="array" ref="J175">Common_InputFunctions.Utility_DisplayArrayInTable(SourceData_PastureBeef.SourceData_PastureBeef_LiveweightGain_Data(), Table_SourceData_PastureBeef_LiveweightGain[[#Headers],[State]],0)</f>
        <v>0.22</v>
      </c>
      <c r="K175" s="68" cm="1">
        <f t="array" ref="K175">Common_InputFunctions.Utility_DisplayArrayInTable(SourceData_PastureBeef.SourceData_PastureBeef_LiveweightGain_Data(), Table_SourceData_PastureBeef_LiveweightGain[[#Headers],[State]],0)</f>
        <v>-0.22</v>
      </c>
      <c r="L175" s="68" cm="1">
        <f t="array" ref="L175">Common_InputFunctions.Utility_DisplayArrayInTable(SourceData_PastureBeef.SourceData_PastureBeef_LiveweightGain_Data(), Table_SourceData_PastureBeef_LiveweightGain[[#Headers],[State]],0)</f>
        <v>0.7</v>
      </c>
      <c r="M175" s="68"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68" t="str" cm="1">
        <f t="array" ref="E176">Common_InputFunctions.Utility_DisplayArrayInTable(SourceData_PastureBeef.SourceData_PastureBeef_LiveweightGain_Data(), Table_SourceData_PastureBeef_LiveweightGain[[#Headers],[State]],0)</f>
        <v>Pilbara</v>
      </c>
      <c r="F176" s="68" t="str" cm="1">
        <f t="array" ref="F176">Common_InputFunctions.Utility_DisplayArrayInTable(SourceData_PastureBeef.SourceData_PastureBeef_LiveweightGain_Data(), Table_SourceData_PastureBeef_LiveweightGain[[#Headers],[State]],0)</f>
        <v>Summer</v>
      </c>
      <c r="G176" s="68" cm="1">
        <f t="array" ref="G176">Common_InputFunctions.Utility_DisplayArrayInTable(SourceData_PastureBeef.SourceData_PastureBeef_LiveweightGain_Data(), Table_SourceData_PastureBeef_LiveweightGain[[#Headers],[State]],0)</f>
        <v>0.77</v>
      </c>
      <c r="H176" s="68" cm="1">
        <f t="array" ref="H176">Common_InputFunctions.Utility_DisplayArrayInTable(SourceData_PastureBeef.SourceData_PastureBeef_LiveweightGain_Data(), Table_SourceData_PastureBeef_LiveweightGain[[#Headers],[State]],0)</f>
        <v>0.55000000000000004</v>
      </c>
      <c r="I176" s="68" cm="1">
        <f t="array" ref="I176">Common_InputFunctions.Utility_DisplayArrayInTable(SourceData_PastureBeef.SourceData_PastureBeef_LiveweightGain_Data(), Table_SourceData_PastureBeef_LiveweightGain[[#Headers],[State]],0)</f>
        <v>0.77</v>
      </c>
      <c r="J176" s="68" cm="1">
        <f t="array" ref="J176">Common_InputFunctions.Utility_DisplayArrayInTable(SourceData_PastureBeef.SourceData_PastureBeef_LiveweightGain_Data(), Table_SourceData_PastureBeef_LiveweightGain[[#Headers],[State]],0)</f>
        <v>0.66</v>
      </c>
      <c r="K176" s="68" cm="1">
        <f t="array" ref="K176">Common_InputFunctions.Utility_DisplayArrayInTable(SourceData_PastureBeef.SourceData_PastureBeef_LiveweightGain_Data(), Table_SourceData_PastureBeef_LiveweightGain[[#Headers],[State]],0)</f>
        <v>0.55000000000000004</v>
      </c>
      <c r="L176" s="68" cm="1">
        <f t="array" ref="L176">Common_InputFunctions.Utility_DisplayArrayInTable(SourceData_PastureBeef.SourceData_PastureBeef_LiveweightGain_Data(), Table_SourceData_PastureBeef_LiveweightGain[[#Headers],[State]],0)</f>
        <v>0.77</v>
      </c>
      <c r="M176" s="68"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68" t="str" cm="1">
        <f t="array" ref="E177">Common_InputFunctions.Utility_DisplayArrayInTable(SourceData_PastureBeef.SourceData_PastureBeef_LiveweightGain_Data(), Table_SourceData_PastureBeef_LiveweightGain[[#Headers],[State]],0)</f>
        <v>Pilbara</v>
      </c>
      <c r="F177" s="68" t="str" cm="1">
        <f t="array" ref="F177">Common_InputFunctions.Utility_DisplayArrayInTable(SourceData_PastureBeef.SourceData_PastureBeef_LiveweightGain_Data(), Table_SourceData_PastureBeef_LiveweightGain[[#Headers],[State]],0)</f>
        <v>Autumn</v>
      </c>
      <c r="G177" s="68" cm="1">
        <f t="array" ref="G177">Common_InputFunctions.Utility_DisplayArrayInTable(SourceData_PastureBeef.SourceData_PastureBeef_LiveweightGain_Data(), Table_SourceData_PastureBeef_LiveweightGain[[#Headers],[State]],0)</f>
        <v>0.88</v>
      </c>
      <c r="H177" s="68" cm="1">
        <f t="array" ref="H177">Common_InputFunctions.Utility_DisplayArrayInTable(SourceData_PastureBeef.SourceData_PastureBeef_LiveweightGain_Data(), Table_SourceData_PastureBeef_LiveweightGain[[#Headers],[State]],0)</f>
        <v>0.55000000000000004</v>
      </c>
      <c r="I177" s="68" cm="1">
        <f t="array" ref="I177">Common_InputFunctions.Utility_DisplayArrayInTable(SourceData_PastureBeef.SourceData_PastureBeef_LiveweightGain_Data(), Table_SourceData_PastureBeef_LiveweightGain[[#Headers],[State]],0)</f>
        <v>0.88</v>
      </c>
      <c r="J177" s="68" cm="1">
        <f t="array" ref="J177">Common_InputFunctions.Utility_DisplayArrayInTable(SourceData_PastureBeef.SourceData_PastureBeef_LiveweightGain_Data(), Table_SourceData_PastureBeef_LiveweightGain[[#Headers],[State]],0)</f>
        <v>0.22</v>
      </c>
      <c r="K177" s="68" cm="1">
        <f t="array" ref="K177">Common_InputFunctions.Utility_DisplayArrayInTable(SourceData_PastureBeef.SourceData_PastureBeef_LiveweightGain_Data(), Table_SourceData_PastureBeef_LiveweightGain[[#Headers],[State]],0)</f>
        <v>0.22</v>
      </c>
      <c r="L177" s="68" cm="1">
        <f t="array" ref="L177">Common_InputFunctions.Utility_DisplayArrayInTable(SourceData_PastureBeef.SourceData_PastureBeef_LiveweightGain_Data(), Table_SourceData_PastureBeef_LiveweightGain[[#Headers],[State]],0)</f>
        <v>0.88</v>
      </c>
      <c r="M177" s="68"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68" t="str" cm="1">
        <f t="array" ref="E178">Common_InputFunctions.Utility_DisplayArrayInTable(SourceData_PastureBeef.SourceData_PastureBeef_LiveweightGain_Data(), Table_SourceData_PastureBeef_LiveweightGain[[#Headers],[State]],0)</f>
        <v>Pilbara</v>
      </c>
      <c r="F178" s="68" t="str" cm="1">
        <f t="array" ref="F178">Common_InputFunctions.Utility_DisplayArrayInTable(SourceData_PastureBeef.SourceData_PastureBeef_LiveweightGain_Data(), Table_SourceData_PastureBeef_LiveweightGain[[#Headers],[State]],0)</f>
        <v>Winter</v>
      </c>
      <c r="G178" s="68" cm="1">
        <f t="array" ref="G178">Common_InputFunctions.Utility_DisplayArrayInTable(SourceData_PastureBeef.SourceData_PastureBeef_LiveweightGain_Data(), Table_SourceData_PastureBeef_LiveweightGain[[#Headers],[State]],0)</f>
        <v>0.22</v>
      </c>
      <c r="H178" s="68" cm="1">
        <f t="array" ref="H178">Common_InputFunctions.Utility_DisplayArrayInTable(SourceData_PastureBeef.SourceData_PastureBeef_LiveweightGain_Data(), Table_SourceData_PastureBeef_LiveweightGain[[#Headers],[State]],0)</f>
        <v>-0.55000000000000004</v>
      </c>
      <c r="I178" s="68" cm="1">
        <f t="array" ref="I178">Common_InputFunctions.Utility_DisplayArrayInTable(SourceData_PastureBeef.SourceData_PastureBeef_LiveweightGain_Data(), Table_SourceData_PastureBeef_LiveweightGain[[#Headers],[State]],0)</f>
        <v>0.22</v>
      </c>
      <c r="J178" s="68" cm="1">
        <f t="array" ref="J178">Common_InputFunctions.Utility_DisplayArrayInTable(SourceData_PastureBeef.SourceData_PastureBeef_LiveweightGain_Data(), Table_SourceData_PastureBeef_LiveweightGain[[#Headers],[State]],0)</f>
        <v>0.11</v>
      </c>
      <c r="K178" s="68" cm="1">
        <f t="array" ref="K178">Common_InputFunctions.Utility_DisplayArrayInTable(SourceData_PastureBeef.SourceData_PastureBeef_LiveweightGain_Data(), Table_SourceData_PastureBeef_LiveweightGain[[#Headers],[State]],0)</f>
        <v>-0.22</v>
      </c>
      <c r="L178" s="68" cm="1">
        <f t="array" ref="L178">Common_InputFunctions.Utility_DisplayArrayInTable(SourceData_PastureBeef.SourceData_PastureBeef_LiveweightGain_Data(), Table_SourceData_PastureBeef_LiveweightGain[[#Headers],[State]],0)</f>
        <v>0.22</v>
      </c>
      <c r="M178" s="68"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68" t="str" cm="1">
        <f t="array" ref="E179">Common_InputFunctions.Utility_DisplayArrayInTable(SourceData_PastureBeef.SourceData_PastureBeef_LiveweightGain_Data(), Table_SourceData_PastureBeef_LiveweightGain[[#Headers],[State]],0)</f>
        <v>Kimberley</v>
      </c>
      <c r="F179" s="68" t="str" cm="1">
        <f t="array" ref="F179">Common_InputFunctions.Utility_DisplayArrayInTable(SourceData_PastureBeef.SourceData_PastureBeef_LiveweightGain_Data(), Table_SourceData_PastureBeef_LiveweightGain[[#Headers],[State]],0)</f>
        <v>Spring</v>
      </c>
      <c r="G179" s="68" cm="1">
        <f t="array" ref="G179">Common_InputFunctions.Utility_DisplayArrayInTable(SourceData_PastureBeef.SourceData_PastureBeef_LiveweightGain_Data(), Table_SourceData_PastureBeef_LiveweightGain[[#Headers],[State]],0)</f>
        <v>0.22</v>
      </c>
      <c r="H179" s="68" cm="1">
        <f t="array" ref="H179">Common_InputFunctions.Utility_DisplayArrayInTable(SourceData_PastureBeef.SourceData_PastureBeef_LiveweightGain_Data(), Table_SourceData_PastureBeef_LiveweightGain[[#Headers],[State]],0)</f>
        <v>-0.55000000000000004</v>
      </c>
      <c r="I179" s="68" cm="1">
        <f t="array" ref="I179">Common_InputFunctions.Utility_DisplayArrayInTable(SourceData_PastureBeef.SourceData_PastureBeef_LiveweightGain_Data(), Table_SourceData_PastureBeef_LiveweightGain[[#Headers],[State]],0)</f>
        <v>0.33</v>
      </c>
      <c r="J179" s="68" cm="1">
        <f t="array" ref="J179">Common_InputFunctions.Utility_DisplayArrayInTable(SourceData_PastureBeef.SourceData_PastureBeef_LiveweightGain_Data(), Table_SourceData_PastureBeef_LiveweightGain[[#Headers],[State]],0)</f>
        <v>0.22</v>
      </c>
      <c r="K179" s="68" cm="1">
        <f t="array" ref="K179">Common_InputFunctions.Utility_DisplayArrayInTable(SourceData_PastureBeef.SourceData_PastureBeef_LiveweightGain_Data(), Table_SourceData_PastureBeef_LiveweightGain[[#Headers],[State]],0)</f>
        <v>-0.33</v>
      </c>
      <c r="L179" s="68" cm="1">
        <f t="array" ref="L179">Common_InputFunctions.Utility_DisplayArrayInTable(SourceData_PastureBeef.SourceData_PastureBeef_LiveweightGain_Data(), Table_SourceData_PastureBeef_LiveweightGain[[#Headers],[State]],0)</f>
        <v>0.22</v>
      </c>
      <c r="M179" s="68"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68" t="str" cm="1">
        <f t="array" ref="E180">Common_InputFunctions.Utility_DisplayArrayInTable(SourceData_PastureBeef.SourceData_PastureBeef_LiveweightGain_Data(), Table_SourceData_PastureBeef_LiveweightGain[[#Headers],[State]],0)</f>
        <v>Kimberley</v>
      </c>
      <c r="F180" s="68" t="str" cm="1">
        <f t="array" ref="F180">Common_InputFunctions.Utility_DisplayArrayInTable(SourceData_PastureBeef.SourceData_PastureBeef_LiveweightGain_Data(), Table_SourceData_PastureBeef_LiveweightGain[[#Headers],[State]],0)</f>
        <v>Summer</v>
      </c>
      <c r="G180" s="68" cm="1">
        <f t="array" ref="G180">Common_InputFunctions.Utility_DisplayArrayInTable(SourceData_PastureBeef.SourceData_PastureBeef_LiveweightGain_Data(), Table_SourceData_PastureBeef_LiveweightGain[[#Headers],[State]],0)</f>
        <v>0.8</v>
      </c>
      <c r="H180" s="68" cm="1">
        <f t="array" ref="H180">Common_InputFunctions.Utility_DisplayArrayInTable(SourceData_PastureBeef.SourceData_PastureBeef_LiveweightGain_Data(), Table_SourceData_PastureBeef_LiveweightGain[[#Headers],[State]],0)</f>
        <v>0.55000000000000004</v>
      </c>
      <c r="I180" s="68" cm="1">
        <f t="array" ref="I180">Common_InputFunctions.Utility_DisplayArrayInTable(SourceData_PastureBeef.SourceData_PastureBeef_LiveweightGain_Data(), Table_SourceData_PastureBeef_LiveweightGain[[#Headers],[State]],0)</f>
        <v>0.7</v>
      </c>
      <c r="J180" s="68" cm="1">
        <f t="array" ref="J180">Common_InputFunctions.Utility_DisplayArrayInTable(SourceData_PastureBeef.SourceData_PastureBeef_LiveweightGain_Data(), Table_SourceData_PastureBeef_LiveweightGain[[#Headers],[State]],0)</f>
        <v>0.44</v>
      </c>
      <c r="K180" s="68" cm="1">
        <f t="array" ref="K180">Common_InputFunctions.Utility_DisplayArrayInTable(SourceData_PastureBeef.SourceData_PastureBeef_LiveweightGain_Data(), Table_SourceData_PastureBeef_LiveweightGain[[#Headers],[State]],0)</f>
        <v>0.66</v>
      </c>
      <c r="L180" s="68" cm="1">
        <f t="array" ref="L180">Common_InputFunctions.Utility_DisplayArrayInTable(SourceData_PastureBeef.SourceData_PastureBeef_LiveweightGain_Data(), Table_SourceData_PastureBeef_LiveweightGain[[#Headers],[State]],0)</f>
        <v>0.8</v>
      </c>
      <c r="M180" s="68"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68" t="str" cm="1">
        <f t="array" ref="E181">Common_InputFunctions.Utility_DisplayArrayInTable(SourceData_PastureBeef.SourceData_PastureBeef_LiveweightGain_Data(), Table_SourceData_PastureBeef_LiveweightGain[[#Headers],[State]],0)</f>
        <v>Kimberley</v>
      </c>
      <c r="F181" s="68" t="str" cm="1">
        <f t="array" ref="F181">Common_InputFunctions.Utility_DisplayArrayInTable(SourceData_PastureBeef.SourceData_PastureBeef_LiveweightGain_Data(), Table_SourceData_PastureBeef_LiveweightGain[[#Headers],[State]],0)</f>
        <v>Autumn</v>
      </c>
      <c r="G181" s="68" cm="1">
        <f t="array" ref="G181">Common_InputFunctions.Utility_DisplayArrayInTable(SourceData_PastureBeef.SourceData_PastureBeef_LiveweightGain_Data(), Table_SourceData_PastureBeef_LiveweightGain[[#Headers],[State]],0)</f>
        <v>0.66</v>
      </c>
      <c r="H181" s="68" cm="1">
        <f t="array" ref="H181">Common_InputFunctions.Utility_DisplayArrayInTable(SourceData_PastureBeef.SourceData_PastureBeef_LiveweightGain_Data(), Table_SourceData_PastureBeef_LiveweightGain[[#Headers],[State]],0)</f>
        <v>0.55000000000000004</v>
      </c>
      <c r="I181" s="68" cm="1">
        <f t="array" ref="I181">Common_InputFunctions.Utility_DisplayArrayInTable(SourceData_PastureBeef.SourceData_PastureBeef_LiveweightGain_Data(), Table_SourceData_PastureBeef_LiveweightGain[[#Headers],[State]],0)</f>
        <v>0.55000000000000004</v>
      </c>
      <c r="J181" s="68" cm="1">
        <f t="array" ref="J181">Common_InputFunctions.Utility_DisplayArrayInTable(SourceData_PastureBeef.SourceData_PastureBeef_LiveweightGain_Data(), Table_SourceData_PastureBeef_LiveweightGain[[#Headers],[State]],0)</f>
        <v>0.55000000000000004</v>
      </c>
      <c r="K181" s="68" cm="1">
        <f t="array" ref="K181">Common_InputFunctions.Utility_DisplayArrayInTable(SourceData_PastureBeef.SourceData_PastureBeef_LiveweightGain_Data(), Table_SourceData_PastureBeef_LiveweightGain[[#Headers],[State]],0)</f>
        <v>0.11</v>
      </c>
      <c r="L181" s="68" cm="1">
        <f t="array" ref="L181">Common_InputFunctions.Utility_DisplayArrayInTable(SourceData_PastureBeef.SourceData_PastureBeef_LiveweightGain_Data(), Table_SourceData_PastureBeef_LiveweightGain[[#Headers],[State]],0)</f>
        <v>0.66</v>
      </c>
      <c r="M181" s="68"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68" t="str" cm="1">
        <f t="array" ref="E182">Common_InputFunctions.Utility_DisplayArrayInTable(SourceData_PastureBeef.SourceData_PastureBeef_LiveweightGain_Data(), Table_SourceData_PastureBeef_LiveweightGain[[#Headers],[State]],0)</f>
        <v>Kimberley</v>
      </c>
      <c r="F182" s="68" t="str" cm="1">
        <f t="array" ref="F182">Common_InputFunctions.Utility_DisplayArrayInTable(SourceData_PastureBeef.SourceData_PastureBeef_LiveweightGain_Data(), Table_SourceData_PastureBeef_LiveweightGain[[#Headers],[State]],0)</f>
        <v>Winter</v>
      </c>
      <c r="G182" s="68" cm="1">
        <f t="array" ref="G182">Common_InputFunctions.Utility_DisplayArrayInTable(SourceData_PastureBeef.SourceData_PastureBeef_LiveweightGain_Data(), Table_SourceData_PastureBeef_LiveweightGain[[#Headers],[State]],0)</f>
        <v>0.33</v>
      </c>
      <c r="H182" s="68" cm="1">
        <f t="array" ref="H182">Common_InputFunctions.Utility_DisplayArrayInTable(SourceData_PastureBeef.SourceData_PastureBeef_LiveweightGain_Data(), Table_SourceData_PastureBeef_LiveweightGain[[#Headers],[State]],0)</f>
        <v>-0.55000000000000004</v>
      </c>
      <c r="I182" s="68" cm="1">
        <f t="array" ref="I182">Common_InputFunctions.Utility_DisplayArrayInTable(SourceData_PastureBeef.SourceData_PastureBeef_LiveweightGain_Data(), Table_SourceData_PastureBeef_LiveweightGain[[#Headers],[State]],0)</f>
        <v>0.11</v>
      </c>
      <c r="J182" s="68" cm="1">
        <f t="array" ref="J182">Common_InputFunctions.Utility_DisplayArrayInTable(SourceData_PastureBeef.SourceData_PastureBeef_LiveweightGain_Data(), Table_SourceData_PastureBeef_LiveweightGain[[#Headers],[State]],0)</f>
        <v>0.11</v>
      </c>
      <c r="K182" s="68" cm="1">
        <f t="array" ref="K182">Common_InputFunctions.Utility_DisplayArrayInTable(SourceData_PastureBeef.SourceData_PastureBeef_LiveweightGain_Data(), Table_SourceData_PastureBeef_LiveweightGain[[#Headers],[State]],0)</f>
        <v>-0.44</v>
      </c>
      <c r="L182" s="68" cm="1">
        <f t="array" ref="L182">Common_InputFunctions.Utility_DisplayArrayInTable(SourceData_PastureBeef.SourceData_PastureBeef_LiveweightGain_Data(), Table_SourceData_PastureBeef_LiveweightGain[[#Headers],[State]],0)</f>
        <v>0.33</v>
      </c>
      <c r="M182" s="68"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46"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7" t="str" cm="1">
        <f t="array" ref="D188">SourceData_PastureBeef.SourceData_PastureBeef_LiveweightGainNTQLD_Unit()</f>
        <v>kg</v>
      </c>
      <c r="M188" s="1"/>
    </row>
    <row r="189" spans="4:16" x14ac:dyDescent="0.25">
      <c r="D189" s="68" t="s">
        <v>22</v>
      </c>
      <c r="E189" s="68" t="s">
        <v>132</v>
      </c>
      <c r="F189" s="68" t="s">
        <v>84</v>
      </c>
      <c r="G189" s="68" t="s">
        <v>158</v>
      </c>
      <c r="H189" s="68" t="s">
        <v>159</v>
      </c>
      <c r="I189" s="68" t="s">
        <v>178</v>
      </c>
      <c r="J189" s="68" t="s">
        <v>152</v>
      </c>
      <c r="K189" s="68" t="s">
        <v>181</v>
      </c>
      <c r="L189" s="68" t="s">
        <v>182</v>
      </c>
      <c r="M189" s="68" t="s">
        <v>164</v>
      </c>
      <c r="N189" s="68" t="s">
        <v>165</v>
      </c>
      <c r="O189" s="68" t="s">
        <v>166</v>
      </c>
      <c r="P189" s="68" t="s">
        <v>167</v>
      </c>
    </row>
    <row r="190" spans="4:16" x14ac:dyDescent="0.25">
      <c r="D190" s="68" t="str" cm="1">
        <f t="array" ref="D190">Common_InputFunctions.Utility_DisplayArrayInTable(SourceData_PastureBeef.SourceData_PastureBeef_LiveweightGainNTQLD_Data(),Table_SourceData_PastureBeef_LiveweightGainNTQLD[[#Headers],[State]],0)</f>
        <v>Northern Territory</v>
      </c>
      <c r="E190" s="68" t="str" cm="1">
        <f t="array" ref="E190">Common_InputFunctions.Utility_DisplayArrayInTable(SourceData_PastureBeef.SourceData_PastureBeef_LiveweightGainNTQLD_Data(),Table_SourceData_PastureBeef_LiveweightGainNTQLD[[#Headers],[State]],0)</f>
        <v>Alice Springs</v>
      </c>
      <c r="F190" s="68" t="str" cm="1">
        <f t="array" ref="F190">Common_InputFunctions.Utility_DisplayArrayInTable(SourceData_PastureBeef.SourceData_PastureBeef_LiveweightGainNTQLD_Data(),Table_SourceData_PastureBeef_LiveweightGainNTQLD[[#Headers],[State]],0)</f>
        <v>Spring</v>
      </c>
      <c r="G190" s="68" cm="1">
        <f t="array" ref="G190">Common_InputFunctions.Utility_DisplayArrayInTable(SourceData_PastureBeef.SourceData_PastureBeef_LiveweightGainNTQLD_Data(),Table_SourceData_PastureBeef_LiveweightGainNTQLD[[#Headers],[State]],0)</f>
        <v>0.22</v>
      </c>
      <c r="H190" s="68" cm="1">
        <f t="array" ref="H190">Common_InputFunctions.Utility_DisplayArrayInTable(SourceData_PastureBeef.SourceData_PastureBeef_LiveweightGainNTQLD_Data(),Table_SourceData_PastureBeef_LiveweightGainNTQLD[[#Headers],[State]],0)</f>
        <v>-0.23</v>
      </c>
      <c r="I190" s="68" cm="1">
        <f t="array" ref="I190">Common_InputFunctions.Utility_DisplayArrayInTable(SourceData_PastureBeef.SourceData_PastureBeef_LiveweightGainNTQLD_Data(),Table_SourceData_PastureBeef_LiveweightGainNTQLD[[#Headers],[State]],0)</f>
        <v>0.25</v>
      </c>
      <c r="J190" s="68" cm="1">
        <f t="array" ref="J190">Common_InputFunctions.Utility_DisplayArrayInTable(SourceData_PastureBeef.SourceData_PastureBeef_LiveweightGainNTQLD_Data(),Table_SourceData_PastureBeef_LiveweightGainNTQLD[[#Headers],[State]],0)</f>
        <v>0.17</v>
      </c>
      <c r="K190" s="68" cm="1">
        <f t="array" ref="K190">Common_InputFunctions.Utility_DisplayArrayInTable(SourceData_PastureBeef.SourceData_PastureBeef_LiveweightGainNTQLD_Data(),Table_SourceData_PastureBeef_LiveweightGainNTQLD[[#Headers],[State]],0)</f>
        <v>0.18</v>
      </c>
      <c r="L190" s="68" cm="1">
        <f t="array" ref="L190">Common_InputFunctions.Utility_DisplayArrayInTable(SourceData_PastureBeef.SourceData_PastureBeef_LiveweightGainNTQLD_Data(),Table_SourceData_PastureBeef_LiveweightGainNTQLD[[#Headers],[State]],0)</f>
        <v>-0.28000000000000003</v>
      </c>
      <c r="M190" s="68" cm="1">
        <f t="array" ref="M190">Common_InputFunctions.Utility_DisplayArrayInTable(SourceData_PastureBeef.SourceData_PastureBeef_LiveweightGainNTQLD_Data(),Table_SourceData_PastureBeef_LiveweightGainNTQLD[[#Headers],[State]],0)</f>
        <v>0.32</v>
      </c>
      <c r="N190" s="68" cm="1">
        <f t="array" ref="N190">Common_InputFunctions.Utility_DisplayArrayInTable(SourceData_PastureBeef.SourceData_PastureBeef_LiveweightGainNTQLD_Data(),Table_SourceData_PastureBeef_LiveweightGainNTQLD[[#Headers],[State]],0)</f>
        <v>0.24</v>
      </c>
      <c r="O190" s="68" cm="1">
        <f t="array" ref="O190">Common_InputFunctions.Utility_DisplayArrayInTable(SourceData_PastureBeef.SourceData_PastureBeef_LiveweightGainNTQLD_Data(),Table_SourceData_PastureBeef_LiveweightGainNTQLD[[#Headers],[State]],0)</f>
        <v>0.25</v>
      </c>
      <c r="P190" s="68"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68" t="str" cm="1">
        <f t="array" ref="E191">Common_InputFunctions.Utility_DisplayArrayInTable(SourceData_PastureBeef.SourceData_PastureBeef_LiveweightGainNTQLD_Data(),Table_SourceData_PastureBeef_LiveweightGainNTQLD[[#Headers],[State]],0)</f>
        <v>Alice Springs</v>
      </c>
      <c r="F191" s="68" t="str" cm="1">
        <f t="array" ref="F191">Common_InputFunctions.Utility_DisplayArrayInTable(SourceData_PastureBeef.SourceData_PastureBeef_LiveweightGainNTQLD_Data(),Table_SourceData_PastureBeef_LiveweightGainNTQLD[[#Headers],[State]],0)</f>
        <v>Summer</v>
      </c>
      <c r="G191" s="68" cm="1">
        <f t="array" ref="G191">Common_InputFunctions.Utility_DisplayArrayInTable(SourceData_PastureBeef.SourceData_PastureBeef_LiveweightGainNTQLD_Data(),Table_SourceData_PastureBeef_LiveweightGainNTQLD[[#Headers],[State]],0)</f>
        <v>0.66</v>
      </c>
      <c r="H191" s="68" cm="1">
        <f t="array" ref="H191">Common_InputFunctions.Utility_DisplayArrayInTable(SourceData_PastureBeef.SourceData_PastureBeef_LiveweightGainNTQLD_Data(),Table_SourceData_PastureBeef_LiveweightGainNTQLD[[#Headers],[State]],0)</f>
        <v>0.2</v>
      </c>
      <c r="I191" s="68" cm="1">
        <f t="array" ref="I191">Common_InputFunctions.Utility_DisplayArrayInTable(SourceData_PastureBeef.SourceData_PastureBeef_LiveweightGainNTQLD_Data(),Table_SourceData_PastureBeef_LiveweightGainNTQLD[[#Headers],[State]],0)</f>
        <v>0.62</v>
      </c>
      <c r="J191" s="68" cm="1">
        <f t="array" ref="J191">Common_InputFunctions.Utility_DisplayArrayInTable(SourceData_PastureBeef.SourceData_PastureBeef_LiveweightGainNTQLD_Data(),Table_SourceData_PastureBeef_LiveweightGainNTQLD[[#Headers],[State]],0)</f>
        <v>0.54</v>
      </c>
      <c r="K191" s="68" cm="1">
        <f t="array" ref="K191">Common_InputFunctions.Utility_DisplayArrayInTable(SourceData_PastureBeef.SourceData_PastureBeef_LiveweightGainNTQLD_Data(),Table_SourceData_PastureBeef_LiveweightGainNTQLD[[#Headers],[State]],0)</f>
        <v>0.38</v>
      </c>
      <c r="L191" s="68" cm="1">
        <f t="array" ref="L191">Common_InputFunctions.Utility_DisplayArrayInTable(SourceData_PastureBeef.SourceData_PastureBeef_LiveweightGainNTQLD_Data(),Table_SourceData_PastureBeef_LiveweightGainNTQLD[[#Headers],[State]],0)</f>
        <v>0.27</v>
      </c>
      <c r="M191" s="68" cm="1">
        <f t="array" ref="M191">Common_InputFunctions.Utility_DisplayArrayInTable(SourceData_PastureBeef.SourceData_PastureBeef_LiveweightGainNTQLD_Data(),Table_SourceData_PastureBeef_LiveweightGainNTQLD[[#Headers],[State]],0)</f>
        <v>0.75</v>
      </c>
      <c r="N191" s="68" cm="1">
        <f t="array" ref="N191">Common_InputFunctions.Utility_DisplayArrayInTable(SourceData_PastureBeef.SourceData_PastureBeef_LiveweightGainNTQLD_Data(),Table_SourceData_PastureBeef_LiveweightGainNTQLD[[#Headers],[State]],0)</f>
        <v>0.64</v>
      </c>
      <c r="O191" s="68" cm="1">
        <f t="array" ref="O191">Common_InputFunctions.Utility_DisplayArrayInTable(SourceData_PastureBeef.SourceData_PastureBeef_LiveweightGainNTQLD_Data(),Table_SourceData_PastureBeef_LiveweightGainNTQLD[[#Headers],[State]],0)</f>
        <v>0.55000000000000004</v>
      </c>
      <c r="P191" s="68"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68" t="str" cm="1">
        <f t="array" ref="E192">Common_InputFunctions.Utility_DisplayArrayInTable(SourceData_PastureBeef.SourceData_PastureBeef_LiveweightGainNTQLD_Data(),Table_SourceData_PastureBeef_LiveweightGainNTQLD[[#Headers],[State]],0)</f>
        <v>Alice Springs</v>
      </c>
      <c r="F192" s="68" t="str" cm="1">
        <f t="array" ref="F192">Common_InputFunctions.Utility_DisplayArrayInTable(SourceData_PastureBeef.SourceData_PastureBeef_LiveweightGainNTQLD_Data(),Table_SourceData_PastureBeef_LiveweightGainNTQLD[[#Headers],[State]],0)</f>
        <v>Autumn</v>
      </c>
      <c r="G192" s="68" cm="1">
        <f t="array" ref="G192">Common_InputFunctions.Utility_DisplayArrayInTable(SourceData_PastureBeef.SourceData_PastureBeef_LiveweightGainNTQLD_Data(),Table_SourceData_PastureBeef_LiveweightGainNTQLD[[#Headers],[State]],0)</f>
        <v>0.49</v>
      </c>
      <c r="H192" s="68" cm="1">
        <f t="array" ref="H192">Common_InputFunctions.Utility_DisplayArrayInTable(SourceData_PastureBeef.SourceData_PastureBeef_LiveweightGainNTQLD_Data(),Table_SourceData_PastureBeef_LiveweightGainNTQLD[[#Headers],[State]],0)</f>
        <v>0.13</v>
      </c>
      <c r="I192" s="68" cm="1">
        <f t="array" ref="I192">Common_InputFunctions.Utility_DisplayArrayInTable(SourceData_PastureBeef.SourceData_PastureBeef_LiveweightGainNTQLD_Data(),Table_SourceData_PastureBeef_LiveweightGainNTQLD[[#Headers],[State]],0)</f>
        <v>0.54</v>
      </c>
      <c r="J192" s="68" cm="1">
        <f t="array" ref="J192">Common_InputFunctions.Utility_DisplayArrayInTable(SourceData_PastureBeef.SourceData_PastureBeef_LiveweightGainNTQLD_Data(),Table_SourceData_PastureBeef_LiveweightGainNTQLD[[#Headers],[State]],0)</f>
        <v>0.45</v>
      </c>
      <c r="K192" s="68" cm="1">
        <f t="array" ref="K192">Common_InputFunctions.Utility_DisplayArrayInTable(SourceData_PastureBeef.SourceData_PastureBeef_LiveweightGainNTQLD_Data(),Table_SourceData_PastureBeef_LiveweightGainNTQLD[[#Headers],[State]],0)</f>
        <v>0.35</v>
      </c>
      <c r="L192" s="68" cm="1">
        <f t="array" ref="L192">Common_InputFunctions.Utility_DisplayArrayInTable(SourceData_PastureBeef.SourceData_PastureBeef_LiveweightGainNTQLD_Data(),Table_SourceData_PastureBeef_LiveweightGainNTQLD[[#Headers],[State]],0)</f>
        <v>0.15</v>
      </c>
      <c r="M192" s="68" cm="1">
        <f t="array" ref="M192">Common_InputFunctions.Utility_DisplayArrayInTable(SourceData_PastureBeef.SourceData_PastureBeef_LiveweightGainNTQLD_Data(),Table_SourceData_PastureBeef_LiveweightGainNTQLD[[#Headers],[State]],0)</f>
        <v>0.63</v>
      </c>
      <c r="N192" s="68" cm="1">
        <f t="array" ref="N192">Common_InputFunctions.Utility_DisplayArrayInTable(SourceData_PastureBeef.SourceData_PastureBeef_LiveweightGainNTQLD_Data(),Table_SourceData_PastureBeef_LiveweightGainNTQLD[[#Headers],[State]],0)</f>
        <v>0.54</v>
      </c>
      <c r="O192" s="68" cm="1">
        <f t="array" ref="O192">Common_InputFunctions.Utility_DisplayArrayInTable(SourceData_PastureBeef.SourceData_PastureBeef_LiveweightGainNTQLD_Data(),Table_SourceData_PastureBeef_LiveweightGainNTQLD[[#Headers],[State]],0)</f>
        <v>0.42</v>
      </c>
      <c r="P192" s="68"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68" t="str" cm="1">
        <f t="array" ref="E193">Common_InputFunctions.Utility_DisplayArrayInTable(SourceData_PastureBeef.SourceData_PastureBeef_LiveweightGainNTQLD_Data(),Table_SourceData_PastureBeef_LiveweightGainNTQLD[[#Headers],[State]],0)</f>
        <v>Alice Springs</v>
      </c>
      <c r="F193" s="68" t="str" cm="1">
        <f t="array" ref="F193">Common_InputFunctions.Utility_DisplayArrayInTable(SourceData_PastureBeef.SourceData_PastureBeef_LiveweightGainNTQLD_Data(),Table_SourceData_PastureBeef_LiveweightGainNTQLD[[#Headers],[State]],0)</f>
        <v>Winter</v>
      </c>
      <c r="G193" s="68" cm="1">
        <f t="array" ref="G193">Common_InputFunctions.Utility_DisplayArrayInTable(SourceData_PastureBeef.SourceData_PastureBeef_LiveweightGainNTQLD_Data(),Table_SourceData_PastureBeef_LiveweightGainNTQLD[[#Headers],[State]],0)</f>
        <v>0.27</v>
      </c>
      <c r="H193" s="68" cm="1">
        <f t="array" ref="H193">Common_InputFunctions.Utility_DisplayArrayInTable(SourceData_PastureBeef.SourceData_PastureBeef_LiveweightGainNTQLD_Data(),Table_SourceData_PastureBeef_LiveweightGainNTQLD[[#Headers],[State]],0)</f>
        <v>-0.8</v>
      </c>
      <c r="I193" s="68" cm="1">
        <f t="array" ref="I193">Common_InputFunctions.Utility_DisplayArrayInTable(SourceData_PastureBeef.SourceData_PastureBeef_LiveweightGainNTQLD_Data(),Table_SourceData_PastureBeef_LiveweightGainNTQLD[[#Headers],[State]],0)</f>
        <v>0.22</v>
      </c>
      <c r="J193" s="68" cm="1">
        <f t="array" ref="J193">Common_InputFunctions.Utility_DisplayArrayInTable(SourceData_PastureBeef.SourceData_PastureBeef_LiveweightGainNTQLD_Data(),Table_SourceData_PastureBeef_LiveweightGainNTQLD[[#Headers],[State]],0)</f>
        <v>0.09</v>
      </c>
      <c r="K193" s="68" cm="1">
        <f t="array" ref="K193">Common_InputFunctions.Utility_DisplayArrayInTable(SourceData_PastureBeef.SourceData_PastureBeef_LiveweightGainNTQLD_Data(),Table_SourceData_PastureBeef_LiveweightGainNTQLD[[#Headers],[State]],0)</f>
        <v>0.12</v>
      </c>
      <c r="L193" s="68" cm="1">
        <f t="array" ref="L193">Common_InputFunctions.Utility_DisplayArrayInTable(SourceData_PastureBeef.SourceData_PastureBeef_LiveweightGainNTQLD_Data(),Table_SourceData_PastureBeef_LiveweightGainNTQLD[[#Headers],[State]],0)</f>
        <v>0.02</v>
      </c>
      <c r="M193" s="68" cm="1">
        <f t="array" ref="M193">Common_InputFunctions.Utility_DisplayArrayInTable(SourceData_PastureBeef.SourceData_PastureBeef_LiveweightGainNTQLD_Data(),Table_SourceData_PastureBeef_LiveweightGainNTQLD[[#Headers],[State]],0)</f>
        <v>0.25</v>
      </c>
      <c r="N193" s="68" cm="1">
        <f t="array" ref="N193">Common_InputFunctions.Utility_DisplayArrayInTable(SourceData_PastureBeef.SourceData_PastureBeef_LiveweightGainNTQLD_Data(),Table_SourceData_PastureBeef_LiveweightGainNTQLD[[#Headers],[State]],0)</f>
        <v>0.18</v>
      </c>
      <c r="O193" s="68" cm="1">
        <f t="array" ref="O193">Common_InputFunctions.Utility_DisplayArrayInTable(SourceData_PastureBeef.SourceData_PastureBeef_LiveweightGainNTQLD_Data(),Table_SourceData_PastureBeef_LiveweightGainNTQLD[[#Headers],[State]],0)</f>
        <v>0.12</v>
      </c>
      <c r="P193" s="68"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68" t="str" cm="1">
        <f t="array" ref="E194">Common_InputFunctions.Utility_DisplayArrayInTable(SourceData_PastureBeef.SourceData_PastureBeef_LiveweightGainNTQLD_Data(),Table_SourceData_PastureBeef_LiveweightGainNTQLD[[#Headers],[State]],0)</f>
        <v>Barkly</v>
      </c>
      <c r="F194" s="68" t="str" cm="1">
        <f t="array" ref="F194">Common_InputFunctions.Utility_DisplayArrayInTable(SourceData_PastureBeef.SourceData_PastureBeef_LiveweightGainNTQLD_Data(),Table_SourceData_PastureBeef_LiveweightGainNTQLD[[#Headers],[State]],0)</f>
        <v>Spring</v>
      </c>
      <c r="G194" s="68" cm="1">
        <f t="array" ref="G194">Common_InputFunctions.Utility_DisplayArrayInTable(SourceData_PastureBeef.SourceData_PastureBeef_LiveweightGainNTQLD_Data(),Table_SourceData_PastureBeef_LiveweightGainNTQLD[[#Headers],[State]],0)</f>
        <v>0.22</v>
      </c>
      <c r="H194" s="68" cm="1">
        <f t="array" ref="H194">Common_InputFunctions.Utility_DisplayArrayInTable(SourceData_PastureBeef.SourceData_PastureBeef_LiveweightGainNTQLD_Data(),Table_SourceData_PastureBeef_LiveweightGainNTQLD[[#Headers],[State]],0)</f>
        <v>-0.44</v>
      </c>
      <c r="I194" s="68" cm="1">
        <f t="array" ref="I194">Common_InputFunctions.Utility_DisplayArrayInTable(SourceData_PastureBeef.SourceData_PastureBeef_LiveweightGainNTQLD_Data(),Table_SourceData_PastureBeef_LiveweightGainNTQLD[[#Headers],[State]],0)</f>
        <v>0.2</v>
      </c>
      <c r="J194" s="68" cm="1">
        <f t="array" ref="J194">Common_InputFunctions.Utility_DisplayArrayInTable(SourceData_PastureBeef.SourceData_PastureBeef_LiveweightGainNTQLD_Data(),Table_SourceData_PastureBeef_LiveweightGainNTQLD[[#Headers],[State]],0)</f>
        <v>0.21</v>
      </c>
      <c r="K194" s="68" cm="1">
        <f t="array" ref="K194">Common_InputFunctions.Utility_DisplayArrayInTable(SourceData_PastureBeef.SourceData_PastureBeef_LiveweightGainNTQLD_Data(),Table_SourceData_PastureBeef_LiveweightGainNTQLD[[#Headers],[State]],0)</f>
        <v>0.18</v>
      </c>
      <c r="L194" s="68" cm="1">
        <f t="array" ref="L194">Common_InputFunctions.Utility_DisplayArrayInTable(SourceData_PastureBeef.SourceData_PastureBeef_LiveweightGainNTQLD_Data(),Table_SourceData_PastureBeef_LiveweightGainNTQLD[[#Headers],[State]],0)</f>
        <v>0.01</v>
      </c>
      <c r="M194" s="68" cm="1">
        <f t="array" ref="M194">Common_InputFunctions.Utility_DisplayArrayInTable(SourceData_PastureBeef.SourceData_PastureBeef_LiveweightGainNTQLD_Data(),Table_SourceData_PastureBeef_LiveweightGainNTQLD[[#Headers],[State]],0)</f>
        <v>0.12</v>
      </c>
      <c r="N194" s="68" cm="1">
        <f t="array" ref="N194">Common_InputFunctions.Utility_DisplayArrayInTable(SourceData_PastureBeef.SourceData_PastureBeef_LiveweightGainNTQLD_Data(),Table_SourceData_PastureBeef_LiveweightGainNTQLD[[#Headers],[State]],0)</f>
        <v>0.09</v>
      </c>
      <c r="O194" s="68" t="str" cm="1">
        <f t="array" ref="O194">Common_InputFunctions.Utility_DisplayArrayInTable(SourceData_PastureBeef.SourceData_PastureBeef_LiveweightGainNTQLD_Data(),Table_SourceData_PastureBeef_LiveweightGainNTQLD[[#Headers],[State]],0)</f>
        <v>NO</v>
      </c>
      <c r="P194" s="68"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68" t="str" cm="1">
        <f t="array" ref="E195">Common_InputFunctions.Utility_DisplayArrayInTable(SourceData_PastureBeef.SourceData_PastureBeef_LiveweightGainNTQLD_Data(),Table_SourceData_PastureBeef_LiveweightGainNTQLD[[#Headers],[State]],0)</f>
        <v>Barkly</v>
      </c>
      <c r="F195" s="68" t="str" cm="1">
        <f t="array" ref="F195">Common_InputFunctions.Utility_DisplayArrayInTable(SourceData_PastureBeef.SourceData_PastureBeef_LiveweightGainNTQLD_Data(),Table_SourceData_PastureBeef_LiveweightGainNTQLD[[#Headers],[State]],0)</f>
        <v>Summer</v>
      </c>
      <c r="G195" s="68" cm="1">
        <f t="array" ref="G195">Common_InputFunctions.Utility_DisplayArrayInTable(SourceData_PastureBeef.SourceData_PastureBeef_LiveweightGainNTQLD_Data(),Table_SourceData_PastureBeef_LiveweightGainNTQLD[[#Headers],[State]],0)</f>
        <v>0.66</v>
      </c>
      <c r="H195" s="68" cm="1">
        <f t="array" ref="H195">Common_InputFunctions.Utility_DisplayArrayInTable(SourceData_PastureBeef.SourceData_PastureBeef_LiveweightGainNTQLD_Data(),Table_SourceData_PastureBeef_LiveweightGainNTQLD[[#Headers],[State]],0)</f>
        <v>0.22</v>
      </c>
      <c r="I195" s="68" cm="1">
        <f t="array" ref="I195">Common_InputFunctions.Utility_DisplayArrayInTable(SourceData_PastureBeef.SourceData_PastureBeef_LiveweightGainNTQLD_Data(),Table_SourceData_PastureBeef_LiveweightGainNTQLD[[#Headers],[State]],0)</f>
        <v>0.68</v>
      </c>
      <c r="J195" s="68" cm="1">
        <f t="array" ref="J195">Common_InputFunctions.Utility_DisplayArrayInTable(SourceData_PastureBeef.SourceData_PastureBeef_LiveweightGainNTQLD_Data(),Table_SourceData_PastureBeef_LiveweightGainNTQLD[[#Headers],[State]],0)</f>
        <v>0.22</v>
      </c>
      <c r="K195" s="68" cm="1">
        <f t="array" ref="K195">Common_InputFunctions.Utility_DisplayArrayInTable(SourceData_PastureBeef.SourceData_PastureBeef_LiveweightGainNTQLD_Data(),Table_SourceData_PastureBeef_LiveweightGainNTQLD[[#Headers],[State]],0)</f>
        <v>0.24</v>
      </c>
      <c r="L195" s="68" cm="1">
        <f t="array" ref="L195">Common_InputFunctions.Utility_DisplayArrayInTable(SourceData_PastureBeef.SourceData_PastureBeef_LiveweightGainNTQLD_Data(),Table_SourceData_PastureBeef_LiveweightGainNTQLD[[#Headers],[State]],0)</f>
        <v>0.25</v>
      </c>
      <c r="M195" s="68" cm="1">
        <f t="array" ref="M195">Common_InputFunctions.Utility_DisplayArrayInTable(SourceData_PastureBeef.SourceData_PastureBeef_LiveweightGainNTQLD_Data(),Table_SourceData_PastureBeef_LiveweightGainNTQLD[[#Headers],[State]],0)</f>
        <v>0.64</v>
      </c>
      <c r="N195" s="68" cm="1">
        <f t="array" ref="N195">Common_InputFunctions.Utility_DisplayArrayInTable(SourceData_PastureBeef.SourceData_PastureBeef_LiveweightGainNTQLD_Data(),Table_SourceData_PastureBeef_LiveweightGainNTQLD[[#Headers],[State]],0)</f>
        <v>0.37</v>
      </c>
      <c r="O195" s="68" t="str" cm="1">
        <f t="array" ref="O195">Common_InputFunctions.Utility_DisplayArrayInTable(SourceData_PastureBeef.SourceData_PastureBeef_LiveweightGainNTQLD_Data(),Table_SourceData_PastureBeef_LiveweightGainNTQLD[[#Headers],[State]],0)</f>
        <v>NO</v>
      </c>
      <c r="P195" s="68"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68" t="str" cm="1">
        <f t="array" ref="E196">Common_InputFunctions.Utility_DisplayArrayInTable(SourceData_PastureBeef.SourceData_PastureBeef_LiveweightGainNTQLD_Data(),Table_SourceData_PastureBeef_LiveweightGainNTQLD[[#Headers],[State]],0)</f>
        <v>Barkly</v>
      </c>
      <c r="F196" s="68" t="str" cm="1">
        <f t="array" ref="F196">Common_InputFunctions.Utility_DisplayArrayInTable(SourceData_PastureBeef.SourceData_PastureBeef_LiveweightGainNTQLD_Data(),Table_SourceData_PastureBeef_LiveweightGainNTQLD[[#Headers],[State]],0)</f>
        <v>Autumn</v>
      </c>
      <c r="G196" s="68" cm="1">
        <f t="array" ref="G196">Common_InputFunctions.Utility_DisplayArrayInTable(SourceData_PastureBeef.SourceData_PastureBeef_LiveweightGainNTQLD_Data(),Table_SourceData_PastureBeef_LiveweightGainNTQLD[[#Headers],[State]],0)</f>
        <v>0.49</v>
      </c>
      <c r="H196" s="68" cm="1">
        <f t="array" ref="H196">Common_InputFunctions.Utility_DisplayArrayInTable(SourceData_PastureBeef.SourceData_PastureBeef_LiveweightGainNTQLD_Data(),Table_SourceData_PastureBeef_LiveweightGainNTQLD[[#Headers],[State]],0)</f>
        <v>0.05</v>
      </c>
      <c r="I196" s="68" cm="1">
        <f t="array" ref="I196">Common_InputFunctions.Utility_DisplayArrayInTable(SourceData_PastureBeef.SourceData_PastureBeef_LiveweightGainNTQLD_Data(),Table_SourceData_PastureBeef_LiveweightGainNTQLD[[#Headers],[State]],0)</f>
        <v>0.64</v>
      </c>
      <c r="J196" s="68" cm="1">
        <f t="array" ref="J196">Common_InputFunctions.Utility_DisplayArrayInTable(SourceData_PastureBeef.SourceData_PastureBeef_LiveweightGainNTQLD_Data(),Table_SourceData_PastureBeef_LiveweightGainNTQLD[[#Headers],[State]],0)</f>
        <v>0.25</v>
      </c>
      <c r="K196" s="68" cm="1">
        <f t="array" ref="K196">Common_InputFunctions.Utility_DisplayArrayInTable(SourceData_PastureBeef.SourceData_PastureBeef_LiveweightGainNTQLD_Data(),Table_SourceData_PastureBeef_LiveweightGainNTQLD[[#Headers],[State]],0)</f>
        <v>0.28999999999999998</v>
      </c>
      <c r="L196" s="68" cm="1">
        <f t="array" ref="L196">Common_InputFunctions.Utility_DisplayArrayInTable(SourceData_PastureBeef.SourceData_PastureBeef_LiveweightGainNTQLD_Data(),Table_SourceData_PastureBeef_LiveweightGainNTQLD[[#Headers],[State]],0)</f>
        <v>0.12</v>
      </c>
      <c r="M196" s="68" cm="1">
        <f t="array" ref="M196">Common_InputFunctions.Utility_DisplayArrayInTable(SourceData_PastureBeef.SourceData_PastureBeef_LiveweightGainNTQLD_Data(),Table_SourceData_PastureBeef_LiveweightGainNTQLD[[#Headers],[State]],0)</f>
        <v>0.56999999999999995</v>
      </c>
      <c r="N196" s="68" cm="1">
        <f t="array" ref="N196">Common_InputFunctions.Utility_DisplayArrayInTable(SourceData_PastureBeef.SourceData_PastureBeef_LiveweightGainNTQLD_Data(),Table_SourceData_PastureBeef_LiveweightGainNTQLD[[#Headers],[State]],0)</f>
        <v>0.49</v>
      </c>
      <c r="O196" s="68" t="str" cm="1">
        <f t="array" ref="O196">Common_InputFunctions.Utility_DisplayArrayInTable(SourceData_PastureBeef.SourceData_PastureBeef_LiveweightGainNTQLD_Data(),Table_SourceData_PastureBeef_LiveweightGainNTQLD[[#Headers],[State]],0)</f>
        <v>NO</v>
      </c>
      <c r="P196" s="68"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68" t="str" cm="1">
        <f t="array" ref="E197">Common_InputFunctions.Utility_DisplayArrayInTable(SourceData_PastureBeef.SourceData_PastureBeef_LiveweightGainNTQLD_Data(),Table_SourceData_PastureBeef_LiveweightGainNTQLD[[#Headers],[State]],0)</f>
        <v>Barkly</v>
      </c>
      <c r="F197" s="68" t="str" cm="1">
        <f t="array" ref="F197">Common_InputFunctions.Utility_DisplayArrayInTable(SourceData_PastureBeef.SourceData_PastureBeef_LiveweightGainNTQLD_Data(),Table_SourceData_PastureBeef_LiveweightGainNTQLD[[#Headers],[State]],0)</f>
        <v>Winter</v>
      </c>
      <c r="G197" s="68" cm="1">
        <f t="array" ref="G197">Common_InputFunctions.Utility_DisplayArrayInTable(SourceData_PastureBeef.SourceData_PastureBeef_LiveweightGainNTQLD_Data(),Table_SourceData_PastureBeef_LiveweightGainNTQLD[[#Headers],[State]],0)</f>
        <v>0.27</v>
      </c>
      <c r="H197" s="68" cm="1">
        <f t="array" ref="H197">Common_InputFunctions.Utility_DisplayArrayInTable(SourceData_PastureBeef.SourceData_PastureBeef_LiveweightGainNTQLD_Data(),Table_SourceData_PastureBeef_LiveweightGainNTQLD[[#Headers],[State]],0)</f>
        <v>-0.27</v>
      </c>
      <c r="I197" s="68" cm="1">
        <f t="array" ref="I197">Common_InputFunctions.Utility_DisplayArrayInTable(SourceData_PastureBeef.SourceData_PastureBeef_LiveweightGainNTQLD_Data(),Table_SourceData_PastureBeef_LiveweightGainNTQLD[[#Headers],[State]],0)</f>
        <v>0.31</v>
      </c>
      <c r="J197" s="68" cm="1">
        <f t="array" ref="J197">Common_InputFunctions.Utility_DisplayArrayInTable(SourceData_PastureBeef.SourceData_PastureBeef_LiveweightGainNTQLD_Data(),Table_SourceData_PastureBeef_LiveweightGainNTQLD[[#Headers],[State]],0)</f>
        <v>0.28999999999999998</v>
      </c>
      <c r="K197" s="68" cm="1">
        <f t="array" ref="K197">Common_InputFunctions.Utility_DisplayArrayInTable(SourceData_PastureBeef.SourceData_PastureBeef_LiveweightGainNTQLD_Data(),Table_SourceData_PastureBeef_LiveweightGainNTQLD[[#Headers],[State]],0)</f>
        <v>0.19</v>
      </c>
      <c r="L197" s="68" cm="1">
        <f t="array" ref="L197">Common_InputFunctions.Utility_DisplayArrayInTable(SourceData_PastureBeef.SourceData_PastureBeef_LiveweightGainNTQLD_Data(),Table_SourceData_PastureBeef_LiveweightGainNTQLD[[#Headers],[State]],0)</f>
        <v>0.04</v>
      </c>
      <c r="M197" s="68" cm="1">
        <f t="array" ref="M197">Common_InputFunctions.Utility_DisplayArrayInTable(SourceData_PastureBeef.SourceData_PastureBeef_LiveweightGainNTQLD_Data(),Table_SourceData_PastureBeef_LiveweightGainNTQLD[[#Headers],[State]],0)</f>
        <v>0.26</v>
      </c>
      <c r="N197" s="68" cm="1">
        <f t="array" ref="N197">Common_InputFunctions.Utility_DisplayArrayInTable(SourceData_PastureBeef.SourceData_PastureBeef_LiveweightGainNTQLD_Data(),Table_SourceData_PastureBeef_LiveweightGainNTQLD[[#Headers],[State]],0)</f>
        <v>0.28000000000000003</v>
      </c>
      <c r="O197" s="68" t="str" cm="1">
        <f t="array" ref="O197">Common_InputFunctions.Utility_DisplayArrayInTable(SourceData_PastureBeef.SourceData_PastureBeef_LiveweightGainNTQLD_Data(),Table_SourceData_PastureBeef_LiveweightGainNTQLD[[#Headers],[State]],0)</f>
        <v>NO</v>
      </c>
      <c r="P197" s="68"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68" t="str" cm="1">
        <f t="array" ref="E198">Common_InputFunctions.Utility_DisplayArrayInTable(SourceData_PastureBeef.SourceData_PastureBeef_LiveweightGainNTQLD_Data(),Table_SourceData_PastureBeef_LiveweightGainNTQLD[[#Headers],[State]],0)</f>
        <v>Northern</v>
      </c>
      <c r="F198" s="68" t="str" cm="1">
        <f t="array" ref="F198">Common_InputFunctions.Utility_DisplayArrayInTable(SourceData_PastureBeef.SourceData_PastureBeef_LiveweightGainNTQLD_Data(),Table_SourceData_PastureBeef_LiveweightGainNTQLD[[#Headers],[State]],0)</f>
        <v>Spring</v>
      </c>
      <c r="G198" s="68" cm="1">
        <f t="array" ref="G198">Common_InputFunctions.Utility_DisplayArrayInTable(SourceData_PastureBeef.SourceData_PastureBeef_LiveweightGainNTQLD_Data(),Table_SourceData_PastureBeef_LiveweightGainNTQLD[[#Headers],[State]],0)</f>
        <v>0.22</v>
      </c>
      <c r="H198" s="68" cm="1">
        <f t="array" ref="H198">Common_InputFunctions.Utility_DisplayArrayInTable(SourceData_PastureBeef.SourceData_PastureBeef_LiveweightGainNTQLD_Data(),Table_SourceData_PastureBeef_LiveweightGainNTQLD[[#Headers],[State]],0)</f>
        <v>-0.44</v>
      </c>
      <c r="I198" s="68" cm="1">
        <f t="array" ref="I198">Common_InputFunctions.Utility_DisplayArrayInTable(SourceData_PastureBeef.SourceData_PastureBeef_LiveweightGainNTQLD_Data(),Table_SourceData_PastureBeef_LiveweightGainNTQLD[[#Headers],[State]],0)</f>
        <v>0</v>
      </c>
      <c r="J198" s="68" cm="1">
        <f t="array" ref="J198">Common_InputFunctions.Utility_DisplayArrayInTable(SourceData_PastureBeef.SourceData_PastureBeef_LiveweightGainNTQLD_Data(),Table_SourceData_PastureBeef_LiveweightGainNTQLD[[#Headers],[State]],0)</f>
        <v>0.15</v>
      </c>
      <c r="K198" s="68" cm="1">
        <f t="array" ref="K198">Common_InputFunctions.Utility_DisplayArrayInTable(SourceData_PastureBeef.SourceData_PastureBeef_LiveweightGainNTQLD_Data(),Table_SourceData_PastureBeef_LiveweightGainNTQLD[[#Headers],[State]],0)</f>
        <v>0.08</v>
      </c>
      <c r="L198" s="68" cm="1">
        <f t="array" ref="L198">Common_InputFunctions.Utility_DisplayArrayInTable(SourceData_PastureBeef.SourceData_PastureBeef_LiveweightGainNTQLD_Data(),Table_SourceData_PastureBeef_LiveweightGainNTQLD[[#Headers],[State]],0)</f>
        <v>0.17</v>
      </c>
      <c r="M198" s="68" cm="1">
        <f t="array" ref="M198">Common_InputFunctions.Utility_DisplayArrayInTable(SourceData_PastureBeef.SourceData_PastureBeef_LiveweightGainNTQLD_Data(),Table_SourceData_PastureBeef_LiveweightGainNTQLD[[#Headers],[State]],0)</f>
        <v>0.06</v>
      </c>
      <c r="N198" s="68" cm="1">
        <f t="array" ref="N198">Common_InputFunctions.Utility_DisplayArrayInTable(SourceData_PastureBeef.SourceData_PastureBeef_LiveweightGainNTQLD_Data(),Table_SourceData_PastureBeef_LiveweightGainNTQLD[[#Headers],[State]],0)</f>
        <v>0.02</v>
      </c>
      <c r="O198" s="68" cm="1">
        <f t="array" ref="O198">Common_InputFunctions.Utility_DisplayArrayInTable(SourceData_PastureBeef.SourceData_PastureBeef_LiveweightGainNTQLD_Data(),Table_SourceData_PastureBeef_LiveweightGainNTQLD[[#Headers],[State]],0)</f>
        <v>-0.14000000000000001</v>
      </c>
      <c r="P198" s="68"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68" t="str" cm="1">
        <f t="array" ref="E199">Common_InputFunctions.Utility_DisplayArrayInTable(SourceData_PastureBeef.SourceData_PastureBeef_LiveweightGainNTQLD_Data(),Table_SourceData_PastureBeef_LiveweightGainNTQLD[[#Headers],[State]],0)</f>
        <v>Northern</v>
      </c>
      <c r="F199" s="68" t="str" cm="1">
        <f t="array" ref="F199">Common_InputFunctions.Utility_DisplayArrayInTable(SourceData_PastureBeef.SourceData_PastureBeef_LiveweightGainNTQLD_Data(),Table_SourceData_PastureBeef_LiveweightGainNTQLD[[#Headers],[State]],0)</f>
        <v>Summer</v>
      </c>
      <c r="G199" s="68" cm="1">
        <f t="array" ref="G199">Common_InputFunctions.Utility_DisplayArrayInTable(SourceData_PastureBeef.SourceData_PastureBeef_LiveweightGainNTQLD_Data(),Table_SourceData_PastureBeef_LiveweightGainNTQLD[[#Headers],[State]],0)</f>
        <v>0.66</v>
      </c>
      <c r="H199" s="68" cm="1">
        <f t="array" ref="H199">Common_InputFunctions.Utility_DisplayArrayInTable(SourceData_PastureBeef.SourceData_PastureBeef_LiveweightGainNTQLD_Data(),Table_SourceData_PastureBeef_LiveweightGainNTQLD[[#Headers],[State]],0)</f>
        <v>0.22</v>
      </c>
      <c r="I199" s="68" cm="1">
        <f t="array" ref="I199">Common_InputFunctions.Utility_DisplayArrayInTable(SourceData_PastureBeef.SourceData_PastureBeef_LiveweightGainNTQLD_Data(),Table_SourceData_PastureBeef_LiveweightGainNTQLD[[#Headers],[State]],0)</f>
        <v>0.79</v>
      </c>
      <c r="J199" s="68" cm="1">
        <f t="array" ref="J199">Common_InputFunctions.Utility_DisplayArrayInTable(SourceData_PastureBeef.SourceData_PastureBeef_LiveweightGainNTQLD_Data(),Table_SourceData_PastureBeef_LiveweightGainNTQLD[[#Headers],[State]],0)</f>
        <v>0.4</v>
      </c>
      <c r="K199" s="68" cm="1">
        <f t="array" ref="K199">Common_InputFunctions.Utility_DisplayArrayInTable(SourceData_PastureBeef.SourceData_PastureBeef_LiveweightGainNTQLD_Data(),Table_SourceData_PastureBeef_LiveweightGainNTQLD[[#Headers],[State]],0)</f>
        <v>0.38</v>
      </c>
      <c r="L199" s="68" cm="1">
        <f t="array" ref="L199">Common_InputFunctions.Utility_DisplayArrayInTable(SourceData_PastureBeef.SourceData_PastureBeef_LiveweightGainNTQLD_Data(),Table_SourceData_PastureBeef_LiveweightGainNTQLD[[#Headers],[State]],0)</f>
        <v>0.27</v>
      </c>
      <c r="M199" s="68" cm="1">
        <f t="array" ref="M199">Common_InputFunctions.Utility_DisplayArrayInTable(SourceData_PastureBeef.SourceData_PastureBeef_LiveweightGainNTQLD_Data(),Table_SourceData_PastureBeef_LiveweightGainNTQLD[[#Headers],[State]],0)</f>
        <v>0.8</v>
      </c>
      <c r="N199" s="68" cm="1">
        <f t="array" ref="N199">Common_InputFunctions.Utility_DisplayArrayInTable(SourceData_PastureBeef.SourceData_PastureBeef_LiveweightGainNTQLD_Data(),Table_SourceData_PastureBeef_LiveweightGainNTQLD[[#Headers],[State]],0)</f>
        <v>0.16</v>
      </c>
      <c r="O199" s="68" cm="1">
        <f t="array" ref="O199">Common_InputFunctions.Utility_DisplayArrayInTable(SourceData_PastureBeef.SourceData_PastureBeef_LiveweightGainNTQLD_Data(),Table_SourceData_PastureBeef_LiveweightGainNTQLD[[#Headers],[State]],0)</f>
        <v>0.3</v>
      </c>
      <c r="P199" s="68"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68" t="str" cm="1">
        <f t="array" ref="E200">Common_InputFunctions.Utility_DisplayArrayInTable(SourceData_PastureBeef.SourceData_PastureBeef_LiveweightGainNTQLD_Data(),Table_SourceData_PastureBeef_LiveweightGainNTQLD[[#Headers],[State]],0)</f>
        <v>Northern</v>
      </c>
      <c r="F200" s="68" t="str" cm="1">
        <f t="array" ref="F200">Common_InputFunctions.Utility_DisplayArrayInTable(SourceData_PastureBeef.SourceData_PastureBeef_LiveweightGainNTQLD_Data(),Table_SourceData_PastureBeef_LiveweightGainNTQLD[[#Headers],[State]],0)</f>
        <v>Autumn</v>
      </c>
      <c r="G200" s="68" cm="1">
        <f t="array" ref="G200">Common_InputFunctions.Utility_DisplayArrayInTable(SourceData_PastureBeef.SourceData_PastureBeef_LiveweightGainNTQLD_Data(),Table_SourceData_PastureBeef_LiveweightGainNTQLD[[#Headers],[State]],0)</f>
        <v>0.49</v>
      </c>
      <c r="H200" s="68" cm="1">
        <f t="array" ref="H200">Common_InputFunctions.Utility_DisplayArrayInTable(SourceData_PastureBeef.SourceData_PastureBeef_LiveweightGainNTQLD_Data(),Table_SourceData_PastureBeef_LiveweightGainNTQLD[[#Headers],[State]],0)</f>
        <v>0.05</v>
      </c>
      <c r="I200" s="68" cm="1">
        <f t="array" ref="I200">Common_InputFunctions.Utility_DisplayArrayInTable(SourceData_PastureBeef.SourceData_PastureBeef_LiveweightGainNTQLD_Data(),Table_SourceData_PastureBeef_LiveweightGainNTQLD[[#Headers],[State]],0)</f>
        <v>0.55000000000000004</v>
      </c>
      <c r="J200" s="68" cm="1">
        <f t="array" ref="J200">Common_InputFunctions.Utility_DisplayArrayInTable(SourceData_PastureBeef.SourceData_PastureBeef_LiveweightGainNTQLD_Data(),Table_SourceData_PastureBeef_LiveweightGainNTQLD[[#Headers],[State]],0)</f>
        <v>0.38</v>
      </c>
      <c r="K200" s="68" cm="1">
        <f t="array" ref="K200">Common_InputFunctions.Utility_DisplayArrayInTable(SourceData_PastureBeef.SourceData_PastureBeef_LiveweightGainNTQLD_Data(),Table_SourceData_PastureBeef_LiveweightGainNTQLD[[#Headers],[State]],0)</f>
        <v>0.36</v>
      </c>
      <c r="L200" s="68" cm="1">
        <f t="array" ref="L200">Common_InputFunctions.Utility_DisplayArrayInTable(SourceData_PastureBeef.SourceData_PastureBeef_LiveweightGainNTQLD_Data(),Table_SourceData_PastureBeef_LiveweightGainNTQLD[[#Headers],[State]],0)</f>
        <v>0.06</v>
      </c>
      <c r="M200" s="68" cm="1">
        <f t="array" ref="M200">Common_InputFunctions.Utility_DisplayArrayInTable(SourceData_PastureBeef.SourceData_PastureBeef_LiveweightGainNTQLD_Data(),Table_SourceData_PastureBeef_LiveweightGainNTQLD[[#Headers],[State]],0)</f>
        <v>0.57999999999999996</v>
      </c>
      <c r="N200" s="68" cm="1">
        <f t="array" ref="N200">Common_InputFunctions.Utility_DisplayArrayInTable(SourceData_PastureBeef.SourceData_PastureBeef_LiveweightGainNTQLD_Data(),Table_SourceData_PastureBeef_LiveweightGainNTQLD[[#Headers],[State]],0)</f>
        <v>0.23</v>
      </c>
      <c r="O200" s="68" cm="1">
        <f t="array" ref="O200">Common_InputFunctions.Utility_DisplayArrayInTable(SourceData_PastureBeef.SourceData_PastureBeef_LiveweightGainNTQLD_Data(),Table_SourceData_PastureBeef_LiveweightGainNTQLD[[#Headers],[State]],0)</f>
        <v>0.4</v>
      </c>
      <c r="P200" s="68"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68" t="str" cm="1">
        <f t="array" ref="E201">Common_InputFunctions.Utility_DisplayArrayInTable(SourceData_PastureBeef.SourceData_PastureBeef_LiveweightGainNTQLD_Data(),Table_SourceData_PastureBeef_LiveweightGainNTQLD[[#Headers],[State]],0)</f>
        <v>Northern</v>
      </c>
      <c r="F201" s="68" t="str" cm="1">
        <f t="array" ref="F201">Common_InputFunctions.Utility_DisplayArrayInTable(SourceData_PastureBeef.SourceData_PastureBeef_LiveweightGainNTQLD_Data(),Table_SourceData_PastureBeef_LiveweightGainNTQLD[[#Headers],[State]],0)</f>
        <v>Winter</v>
      </c>
      <c r="G201" s="68" cm="1">
        <f t="array" ref="G201">Common_InputFunctions.Utility_DisplayArrayInTable(SourceData_PastureBeef.SourceData_PastureBeef_LiveweightGainNTQLD_Data(),Table_SourceData_PastureBeef_LiveweightGainNTQLD[[#Headers],[State]],0)</f>
        <v>0.27</v>
      </c>
      <c r="H201" s="68" cm="1">
        <f t="array" ref="H201">Common_InputFunctions.Utility_DisplayArrayInTable(SourceData_PastureBeef.SourceData_PastureBeef_LiveweightGainNTQLD_Data(),Table_SourceData_PastureBeef_LiveweightGainNTQLD[[#Headers],[State]],0)</f>
        <v>-0.27</v>
      </c>
      <c r="I201" s="68" cm="1">
        <f t="array" ref="I201">Common_InputFunctions.Utility_DisplayArrayInTable(SourceData_PastureBeef.SourceData_PastureBeef_LiveweightGainNTQLD_Data(),Table_SourceData_PastureBeef_LiveweightGainNTQLD[[#Headers],[State]],0)</f>
        <v>0.02</v>
      </c>
      <c r="J201" s="68" cm="1">
        <f t="array" ref="J201">Common_InputFunctions.Utility_DisplayArrayInTable(SourceData_PastureBeef.SourceData_PastureBeef_LiveweightGainNTQLD_Data(),Table_SourceData_PastureBeef_LiveweightGainNTQLD[[#Headers],[State]],0)</f>
        <v>0.09</v>
      </c>
      <c r="K201" s="68" cm="1">
        <f t="array" ref="K201">Common_InputFunctions.Utility_DisplayArrayInTable(SourceData_PastureBeef.SourceData_PastureBeef_LiveweightGainNTQLD_Data(),Table_SourceData_PastureBeef_LiveweightGainNTQLD[[#Headers],[State]],0)</f>
        <v>0.16</v>
      </c>
      <c r="L201" s="68" cm="1">
        <f t="array" ref="L201">Common_InputFunctions.Utility_DisplayArrayInTable(SourceData_PastureBeef.SourceData_PastureBeef_LiveweightGainNTQLD_Data(),Table_SourceData_PastureBeef_LiveweightGainNTQLD[[#Headers],[State]],0)</f>
        <v>-0.04</v>
      </c>
      <c r="M201" s="68" cm="1">
        <f t="array" ref="M201">Common_InputFunctions.Utility_DisplayArrayInTable(SourceData_PastureBeef.SourceData_PastureBeef_LiveweightGainNTQLD_Data(),Table_SourceData_PastureBeef_LiveweightGainNTQLD[[#Headers],[State]],0)</f>
        <v>0.21</v>
      </c>
      <c r="N201" s="68" cm="1">
        <f t="array" ref="N201">Common_InputFunctions.Utility_DisplayArrayInTable(SourceData_PastureBeef.SourceData_PastureBeef_LiveweightGainNTQLD_Data(),Table_SourceData_PastureBeef_LiveweightGainNTQLD[[#Headers],[State]],0)</f>
        <v>0.03</v>
      </c>
      <c r="O201" s="68" cm="1">
        <f t="array" ref="O201">Common_InputFunctions.Utility_DisplayArrayInTable(SourceData_PastureBeef.SourceData_PastureBeef_LiveweightGainNTQLD_Data(),Table_SourceData_PastureBeef_LiveweightGainNTQLD[[#Headers],[State]],0)</f>
        <v>0.11</v>
      </c>
      <c r="P201" s="68"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68" t="str" cm="1">
        <f t="array" ref="E202">Common_InputFunctions.Utility_DisplayArrayInTable(SourceData_PastureBeef.SourceData_PastureBeef_LiveweightGainNTQLD_Data(),Table_SourceData_PastureBeef_LiveweightGainNTQLD[[#Headers],[State]],0)</f>
        <v>High</v>
      </c>
      <c r="F202" s="68" t="str" cm="1">
        <f t="array" ref="F202">Common_InputFunctions.Utility_DisplayArrayInTable(SourceData_PastureBeef.SourceData_PastureBeef_LiveweightGainNTQLD_Data(),Table_SourceData_PastureBeef_LiveweightGainNTQLD[[#Headers],[State]],0)</f>
        <v>Spring</v>
      </c>
      <c r="G202" s="68" cm="1">
        <f t="array" ref="G202">Common_InputFunctions.Utility_DisplayArrayInTable(SourceData_PastureBeef.SourceData_PastureBeef_LiveweightGainNTQLD_Data(),Table_SourceData_PastureBeef_LiveweightGainNTQLD[[#Headers],[State]],0)</f>
        <v>0.27</v>
      </c>
      <c r="H202" s="68" cm="1">
        <f t="array" ref="H202">Common_InputFunctions.Utility_DisplayArrayInTable(SourceData_PastureBeef.SourceData_PastureBeef_LiveweightGainNTQLD_Data(),Table_SourceData_PastureBeef_LiveweightGainNTQLD[[#Headers],[State]],0)</f>
        <v>-0.19</v>
      </c>
      <c r="I202" s="68" cm="1">
        <f t="array" ref="I202">Common_InputFunctions.Utility_DisplayArrayInTable(SourceData_PastureBeef.SourceData_PastureBeef_LiveweightGainNTQLD_Data(),Table_SourceData_PastureBeef_LiveweightGainNTQLD[[#Headers],[State]],0)</f>
        <v>0.38</v>
      </c>
      <c r="J202" s="68" cm="1">
        <f t="array" ref="J202">Common_InputFunctions.Utility_DisplayArrayInTable(SourceData_PastureBeef.SourceData_PastureBeef_LiveweightGainNTQLD_Data(),Table_SourceData_PastureBeef_LiveweightGainNTQLD[[#Headers],[State]],0)</f>
        <v>0.25</v>
      </c>
      <c r="K202" s="68" cm="1">
        <f t="array" ref="K202">Common_InputFunctions.Utility_DisplayArrayInTable(SourceData_PastureBeef.SourceData_PastureBeef_LiveweightGainNTQLD_Data(),Table_SourceData_PastureBeef_LiveweightGainNTQLD[[#Headers],[State]],0)</f>
        <v>7.0000000000000007E-2</v>
      </c>
      <c r="L202" s="68" cm="1">
        <f t="array" ref="L202">Common_InputFunctions.Utility_DisplayArrayInTable(SourceData_PastureBeef.SourceData_PastureBeef_LiveweightGainNTQLD_Data(),Table_SourceData_PastureBeef_LiveweightGainNTQLD[[#Headers],[State]],0)</f>
        <v>0.05</v>
      </c>
      <c r="M202" s="68" cm="1">
        <f t="array" ref="M202">Common_InputFunctions.Utility_DisplayArrayInTable(SourceData_PastureBeef.SourceData_PastureBeef_LiveweightGainNTQLD_Data(),Table_SourceData_PastureBeef_LiveweightGainNTQLD[[#Headers],[State]],0)</f>
        <v>0.52</v>
      </c>
      <c r="N202" s="68" cm="1">
        <f t="array" ref="N202">Common_InputFunctions.Utility_DisplayArrayInTable(SourceData_PastureBeef.SourceData_PastureBeef_LiveweightGainNTQLD_Data(),Table_SourceData_PastureBeef_LiveweightGainNTQLD[[#Headers],[State]],0)</f>
        <v>0.55000000000000004</v>
      </c>
      <c r="O202" s="68" cm="1">
        <f t="array" ref="O202">Common_InputFunctions.Utility_DisplayArrayInTable(SourceData_PastureBeef.SourceData_PastureBeef_LiveweightGainNTQLD_Data(),Table_SourceData_PastureBeef_LiveweightGainNTQLD[[#Headers],[State]],0)</f>
        <v>0.19</v>
      </c>
      <c r="P202" s="68"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68" t="str" cm="1">
        <f t="array" ref="E203">Common_InputFunctions.Utility_DisplayArrayInTable(SourceData_PastureBeef.SourceData_PastureBeef_LiveweightGainNTQLD_Data(),Table_SourceData_PastureBeef_LiveweightGainNTQLD[[#Headers],[State]],0)</f>
        <v>High</v>
      </c>
      <c r="F203" s="68" t="str" cm="1">
        <f t="array" ref="F203">Common_InputFunctions.Utility_DisplayArrayInTable(SourceData_PastureBeef.SourceData_PastureBeef_LiveweightGainNTQLD_Data(),Table_SourceData_PastureBeef_LiveweightGainNTQLD[[#Headers],[State]],0)</f>
        <v>Summer</v>
      </c>
      <c r="G203" s="68" cm="1">
        <f t="array" ref="G203">Common_InputFunctions.Utility_DisplayArrayInTable(SourceData_PastureBeef.SourceData_PastureBeef_LiveweightGainNTQLD_Data(),Table_SourceData_PastureBeef_LiveweightGainNTQLD[[#Headers],[State]],0)</f>
        <v>0.16</v>
      </c>
      <c r="H203" s="68" cm="1">
        <f t="array" ref="H203">Common_InputFunctions.Utility_DisplayArrayInTable(SourceData_PastureBeef.SourceData_PastureBeef_LiveweightGainNTQLD_Data(),Table_SourceData_PastureBeef_LiveweightGainNTQLD[[#Headers],[State]],0)</f>
        <v>0.16</v>
      </c>
      <c r="I203" s="68" cm="1">
        <f t="array" ref="I203">Common_InputFunctions.Utility_DisplayArrayInTable(SourceData_PastureBeef.SourceData_PastureBeef_LiveweightGainNTQLD_Data(),Table_SourceData_PastureBeef_LiveweightGainNTQLD[[#Headers],[State]],0)</f>
        <v>0.8</v>
      </c>
      <c r="J203" s="68" cm="1">
        <f t="array" ref="J203">Common_InputFunctions.Utility_DisplayArrayInTable(SourceData_PastureBeef.SourceData_PastureBeef_LiveweightGainNTQLD_Data(),Table_SourceData_PastureBeef_LiveweightGainNTQLD[[#Headers],[State]],0)</f>
        <v>0.56999999999999995</v>
      </c>
      <c r="K203" s="68" cm="1">
        <f t="array" ref="K203">Common_InputFunctions.Utility_DisplayArrayInTable(SourceData_PastureBeef.SourceData_PastureBeef_LiveweightGainNTQLD_Data(),Table_SourceData_PastureBeef_LiveweightGainNTQLD[[#Headers],[State]],0)</f>
        <v>0.76</v>
      </c>
      <c r="L203" s="68" cm="1">
        <f t="array" ref="L203">Common_InputFunctions.Utility_DisplayArrayInTable(SourceData_PastureBeef.SourceData_PastureBeef_LiveweightGainNTQLD_Data(),Table_SourceData_PastureBeef_LiveweightGainNTQLD[[#Headers],[State]],0)</f>
        <v>0.49</v>
      </c>
      <c r="M203" s="68" cm="1">
        <f t="array" ref="M203">Common_InputFunctions.Utility_DisplayArrayInTable(SourceData_PastureBeef.SourceData_PastureBeef_LiveweightGainNTQLD_Data(),Table_SourceData_PastureBeef_LiveweightGainNTQLD[[#Headers],[State]],0)</f>
        <v>0.84</v>
      </c>
      <c r="N203" s="68" cm="1">
        <f t="array" ref="N203">Common_InputFunctions.Utility_DisplayArrayInTable(SourceData_PastureBeef.SourceData_PastureBeef_LiveweightGainNTQLD_Data(),Table_SourceData_PastureBeef_LiveweightGainNTQLD[[#Headers],[State]],0)</f>
        <v>0.51</v>
      </c>
      <c r="O203" s="68" cm="1">
        <f t="array" ref="O203">Common_InputFunctions.Utility_DisplayArrayInTable(SourceData_PastureBeef.SourceData_PastureBeef_LiveweightGainNTQLD_Data(),Table_SourceData_PastureBeef_LiveweightGainNTQLD[[#Headers],[State]],0)</f>
        <v>0.36</v>
      </c>
      <c r="P203" s="68"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68" t="str" cm="1">
        <f t="array" ref="E204">Common_InputFunctions.Utility_DisplayArrayInTable(SourceData_PastureBeef.SourceData_PastureBeef_LiveweightGainNTQLD_Data(),Table_SourceData_PastureBeef_LiveweightGainNTQLD[[#Headers],[State]],0)</f>
        <v>High</v>
      </c>
      <c r="F204" s="68" t="str" cm="1">
        <f t="array" ref="F204">Common_InputFunctions.Utility_DisplayArrayInTable(SourceData_PastureBeef.SourceData_PastureBeef_LiveweightGainNTQLD_Data(),Table_SourceData_PastureBeef_LiveweightGainNTQLD[[#Headers],[State]],0)</f>
        <v>Autumn</v>
      </c>
      <c r="G204" s="68" cm="1">
        <f t="array" ref="G204">Common_InputFunctions.Utility_DisplayArrayInTable(SourceData_PastureBeef.SourceData_PastureBeef_LiveweightGainNTQLD_Data(),Table_SourceData_PastureBeef_LiveweightGainNTQLD[[#Headers],[State]],0)</f>
        <v>0.45</v>
      </c>
      <c r="H204" s="68" cm="1">
        <f t="array" ref="H204">Common_InputFunctions.Utility_DisplayArrayInTable(SourceData_PastureBeef.SourceData_PastureBeef_LiveweightGainNTQLD_Data(),Table_SourceData_PastureBeef_LiveweightGainNTQLD[[#Headers],[State]],0)</f>
        <v>0.1</v>
      </c>
      <c r="I204" s="68" cm="1">
        <f t="array" ref="I204">Common_InputFunctions.Utility_DisplayArrayInTable(SourceData_PastureBeef.SourceData_PastureBeef_LiveweightGainNTQLD_Data(),Table_SourceData_PastureBeef_LiveweightGainNTQLD[[#Headers],[State]],0)</f>
        <v>0.49</v>
      </c>
      <c r="J204" s="68" cm="1">
        <f t="array" ref="J204">Common_InputFunctions.Utility_DisplayArrayInTable(SourceData_PastureBeef.SourceData_PastureBeef_LiveweightGainNTQLD_Data(),Table_SourceData_PastureBeef_LiveweightGainNTQLD[[#Headers],[State]],0)</f>
        <v>0.41</v>
      </c>
      <c r="K204" s="68" cm="1">
        <f t="array" ref="K204">Common_InputFunctions.Utility_DisplayArrayInTable(SourceData_PastureBeef.SourceData_PastureBeef_LiveweightGainNTQLD_Data(),Table_SourceData_PastureBeef_LiveweightGainNTQLD[[#Headers],[State]],0)</f>
        <v>0.4</v>
      </c>
      <c r="L204" s="68" cm="1">
        <f t="array" ref="L204">Common_InputFunctions.Utility_DisplayArrayInTable(SourceData_PastureBeef.SourceData_PastureBeef_LiveweightGainNTQLD_Data(),Table_SourceData_PastureBeef_LiveweightGainNTQLD[[#Headers],[State]],0)</f>
        <v>0.17</v>
      </c>
      <c r="M204" s="68" cm="1">
        <f t="array" ref="M204">Common_InputFunctions.Utility_DisplayArrayInTable(SourceData_PastureBeef.SourceData_PastureBeef_LiveweightGainNTQLD_Data(),Table_SourceData_PastureBeef_LiveweightGainNTQLD[[#Headers],[State]],0)</f>
        <v>0.54</v>
      </c>
      <c r="N204" s="68" cm="1">
        <f t="array" ref="N204">Common_InputFunctions.Utility_DisplayArrayInTable(SourceData_PastureBeef.SourceData_PastureBeef_LiveweightGainNTQLD_Data(),Table_SourceData_PastureBeef_LiveweightGainNTQLD[[#Headers],[State]],0)</f>
        <v>0.64</v>
      </c>
      <c r="O204" s="68" cm="1">
        <f t="array" ref="O204">Common_InputFunctions.Utility_DisplayArrayInTable(SourceData_PastureBeef.SourceData_PastureBeef_LiveweightGainNTQLD_Data(),Table_SourceData_PastureBeef_LiveweightGainNTQLD[[#Headers],[State]],0)</f>
        <v>-0.05</v>
      </c>
      <c r="P204" s="68"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68" t="str" cm="1">
        <f t="array" ref="E205">Common_InputFunctions.Utility_DisplayArrayInTable(SourceData_PastureBeef.SourceData_PastureBeef_LiveweightGainNTQLD_Data(),Table_SourceData_PastureBeef_LiveweightGainNTQLD[[#Headers],[State]],0)</f>
        <v>High</v>
      </c>
      <c r="F205" s="68" t="str" cm="1">
        <f t="array" ref="F205">Common_InputFunctions.Utility_DisplayArrayInTable(SourceData_PastureBeef.SourceData_PastureBeef_LiveweightGainNTQLD_Data(),Table_SourceData_PastureBeef_LiveweightGainNTQLD[[#Headers],[State]],0)</f>
        <v>Winter</v>
      </c>
      <c r="G205" s="68" cm="1">
        <f t="array" ref="G205">Common_InputFunctions.Utility_DisplayArrayInTable(SourceData_PastureBeef.SourceData_PastureBeef_LiveweightGainNTQLD_Data(),Table_SourceData_PastureBeef_LiveweightGainNTQLD[[#Headers],[State]],0)</f>
        <v>0.51</v>
      </c>
      <c r="H205" s="68" cm="1">
        <f t="array" ref="H205">Common_InputFunctions.Utility_DisplayArrayInTable(SourceData_PastureBeef.SourceData_PastureBeef_LiveweightGainNTQLD_Data(),Table_SourceData_PastureBeef_LiveweightGainNTQLD[[#Headers],[State]],0)</f>
        <v>-7.0000000000000007E-2</v>
      </c>
      <c r="I205" s="68" cm="1">
        <f t="array" ref="I205">Common_InputFunctions.Utility_DisplayArrayInTable(SourceData_PastureBeef.SourceData_PastureBeef_LiveweightGainNTQLD_Data(),Table_SourceData_PastureBeef_LiveweightGainNTQLD[[#Headers],[State]],0)</f>
        <v>0.13</v>
      </c>
      <c r="J205" s="68" cm="1">
        <f t="array" ref="J205">Common_InputFunctions.Utility_DisplayArrayInTable(SourceData_PastureBeef.SourceData_PastureBeef_LiveweightGainNTQLD_Data(),Table_SourceData_PastureBeef_LiveweightGainNTQLD[[#Headers],[State]],0)</f>
        <v>-0.09</v>
      </c>
      <c r="K205" s="68" cm="1">
        <f t="array" ref="K205">Common_InputFunctions.Utility_DisplayArrayInTable(SourceData_PastureBeef.SourceData_PastureBeef_LiveweightGainNTQLD_Data(),Table_SourceData_PastureBeef_LiveweightGainNTQLD[[#Headers],[State]],0)</f>
        <v>-0.13</v>
      </c>
      <c r="L205" s="68" cm="1">
        <f t="array" ref="L205">Common_InputFunctions.Utility_DisplayArrayInTable(SourceData_PastureBeef.SourceData_PastureBeef_LiveweightGainNTQLD_Data(),Table_SourceData_PastureBeef_LiveweightGainNTQLD[[#Headers],[State]],0)</f>
        <v>7.0000000000000007E-2</v>
      </c>
      <c r="M205" s="68" cm="1">
        <f t="array" ref="M205">Common_InputFunctions.Utility_DisplayArrayInTable(SourceData_PastureBeef.SourceData_PastureBeef_LiveweightGainNTQLD_Data(),Table_SourceData_PastureBeef_LiveweightGainNTQLD[[#Headers],[State]],0)</f>
        <v>0.25</v>
      </c>
      <c r="N205" s="68" cm="1">
        <f t="array" ref="N205">Common_InputFunctions.Utility_DisplayArrayInTable(SourceData_PastureBeef.SourceData_PastureBeef_LiveweightGainNTQLD_Data(),Table_SourceData_PastureBeef_LiveweightGainNTQLD[[#Headers],[State]],0)</f>
        <v>0.71</v>
      </c>
      <c r="O205" s="68" cm="1">
        <f t="array" ref="O205">Common_InputFunctions.Utility_DisplayArrayInTable(SourceData_PastureBeef.SourceData_PastureBeef_LiveweightGainNTQLD_Data(),Table_SourceData_PastureBeef_LiveweightGainNTQLD[[#Headers],[State]],0)</f>
        <v>0.17</v>
      </c>
      <c r="P205" s="68"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68" t="str" cm="1">
        <f t="array" ref="E206">Common_InputFunctions.Utility_DisplayArrayInTable(SourceData_PastureBeef.SourceData_PastureBeef_LiveweightGainNTQLD_Data(),Table_SourceData_PastureBeef_LiveweightGainNTQLD[[#Headers],[State]],0)</f>
        <v>Moderate/High</v>
      </c>
      <c r="F206" s="68" t="str" cm="1">
        <f t="array" ref="F206">Common_InputFunctions.Utility_DisplayArrayInTable(SourceData_PastureBeef.SourceData_PastureBeef_LiveweightGainNTQLD_Data(),Table_SourceData_PastureBeef_LiveweightGainNTQLD[[#Headers],[State]],0)</f>
        <v>Spring</v>
      </c>
      <c r="G206" s="68" cm="1">
        <f t="array" ref="G206">Common_InputFunctions.Utility_DisplayArrayInTable(SourceData_PastureBeef.SourceData_PastureBeef_LiveweightGainNTQLD_Data(),Table_SourceData_PastureBeef_LiveweightGainNTQLD[[#Headers],[State]],0)</f>
        <v>-0.12</v>
      </c>
      <c r="H206" s="68" cm="1">
        <f t="array" ref="H206">Common_InputFunctions.Utility_DisplayArrayInTable(SourceData_PastureBeef.SourceData_PastureBeef_LiveweightGainNTQLD_Data(),Table_SourceData_PastureBeef_LiveweightGainNTQLD[[#Headers],[State]],0)</f>
        <v>-0.19</v>
      </c>
      <c r="I206" s="68" cm="1">
        <f t="array" ref="I206">Common_InputFunctions.Utility_DisplayArrayInTable(SourceData_PastureBeef.SourceData_PastureBeef_LiveweightGainNTQLD_Data(),Table_SourceData_PastureBeef_LiveweightGainNTQLD[[#Headers],[State]],0)</f>
        <v>0.41</v>
      </c>
      <c r="J206" s="68" cm="1">
        <f t="array" ref="J206">Common_InputFunctions.Utility_DisplayArrayInTable(SourceData_PastureBeef.SourceData_PastureBeef_LiveweightGainNTQLD_Data(),Table_SourceData_PastureBeef_LiveweightGainNTQLD[[#Headers],[State]],0)</f>
        <v>0.09</v>
      </c>
      <c r="K206" s="68" cm="1">
        <f t="array" ref="K206">Common_InputFunctions.Utility_DisplayArrayInTable(SourceData_PastureBeef.SourceData_PastureBeef_LiveweightGainNTQLD_Data(),Table_SourceData_PastureBeef_LiveweightGainNTQLD[[#Headers],[State]],0)</f>
        <v>0.41</v>
      </c>
      <c r="L206" s="68" cm="1">
        <f t="array" ref="L206">Common_InputFunctions.Utility_DisplayArrayInTable(SourceData_PastureBeef.SourceData_PastureBeef_LiveweightGainNTQLD_Data(),Table_SourceData_PastureBeef_LiveweightGainNTQLD[[#Headers],[State]],0)</f>
        <v>-0.19</v>
      </c>
      <c r="M206" s="68" cm="1">
        <f t="array" ref="M206">Common_InputFunctions.Utility_DisplayArrayInTable(SourceData_PastureBeef.SourceData_PastureBeef_LiveweightGainNTQLD_Data(),Table_SourceData_PastureBeef_LiveweightGainNTQLD[[#Headers],[State]],0)</f>
        <v>7.0000000000000007E-2</v>
      </c>
      <c r="N206" s="68" cm="1">
        <f t="array" ref="N206">Common_InputFunctions.Utility_DisplayArrayInTable(SourceData_PastureBeef.SourceData_PastureBeef_LiveweightGainNTQLD_Data(),Table_SourceData_PastureBeef_LiveweightGainNTQLD[[#Headers],[State]],0)</f>
        <v>1.07</v>
      </c>
      <c r="O206" s="68" cm="1">
        <f t="array" ref="O206">Common_InputFunctions.Utility_DisplayArrayInTable(SourceData_PastureBeef.SourceData_PastureBeef_LiveweightGainNTQLD_Data(),Table_SourceData_PastureBeef_LiveweightGainNTQLD[[#Headers],[State]],0)</f>
        <v>-0.08</v>
      </c>
      <c r="P206" s="68"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68" t="str" cm="1">
        <f t="array" ref="E207">Common_InputFunctions.Utility_DisplayArrayInTable(SourceData_PastureBeef.SourceData_PastureBeef_LiveweightGainNTQLD_Data(),Table_SourceData_PastureBeef_LiveweightGainNTQLD[[#Headers],[State]],0)</f>
        <v>Moderate/High</v>
      </c>
      <c r="F207" s="68" t="str" cm="1">
        <f t="array" ref="F207">Common_InputFunctions.Utility_DisplayArrayInTable(SourceData_PastureBeef.SourceData_PastureBeef_LiveweightGainNTQLD_Data(),Table_SourceData_PastureBeef_LiveweightGainNTQLD[[#Headers],[State]],0)</f>
        <v>Summer</v>
      </c>
      <c r="G207" s="68" cm="1">
        <f t="array" ref="G207">Common_InputFunctions.Utility_DisplayArrayInTable(SourceData_PastureBeef.SourceData_PastureBeef_LiveweightGainNTQLD_Data(),Table_SourceData_PastureBeef_LiveweightGainNTQLD[[#Headers],[State]],0)</f>
        <v>0.65</v>
      </c>
      <c r="H207" s="68" cm="1">
        <f t="array" ref="H207">Common_InputFunctions.Utility_DisplayArrayInTable(SourceData_PastureBeef.SourceData_PastureBeef_LiveweightGainNTQLD_Data(),Table_SourceData_PastureBeef_LiveweightGainNTQLD[[#Headers],[State]],0)</f>
        <v>0.19</v>
      </c>
      <c r="I207" s="68" cm="1">
        <f t="array" ref="I207">Common_InputFunctions.Utility_DisplayArrayInTable(SourceData_PastureBeef.SourceData_PastureBeef_LiveweightGainNTQLD_Data(),Table_SourceData_PastureBeef_LiveweightGainNTQLD[[#Headers],[State]],0)</f>
        <v>0.65</v>
      </c>
      <c r="J207" s="68" cm="1">
        <f t="array" ref="J207">Common_InputFunctions.Utility_DisplayArrayInTable(SourceData_PastureBeef.SourceData_PastureBeef_LiveweightGainNTQLD_Data(),Table_SourceData_PastureBeef_LiveweightGainNTQLD[[#Headers],[State]],0)</f>
        <v>0.51</v>
      </c>
      <c r="K207" s="68" cm="1">
        <f t="array" ref="K207">Common_InputFunctions.Utility_DisplayArrayInTable(SourceData_PastureBeef.SourceData_PastureBeef_LiveweightGainNTQLD_Data(),Table_SourceData_PastureBeef_LiveweightGainNTQLD[[#Headers],[State]],0)</f>
        <v>0.18</v>
      </c>
      <c r="L207" s="68" cm="1">
        <f t="array" ref="L207">Common_InputFunctions.Utility_DisplayArrayInTable(SourceData_PastureBeef.SourceData_PastureBeef_LiveweightGainNTQLD_Data(),Table_SourceData_PastureBeef_LiveweightGainNTQLD[[#Headers],[State]],0)</f>
        <v>0.63</v>
      </c>
      <c r="M207" s="68" cm="1">
        <f t="array" ref="M207">Common_InputFunctions.Utility_DisplayArrayInTable(SourceData_PastureBeef.SourceData_PastureBeef_LiveweightGainNTQLD_Data(),Table_SourceData_PastureBeef_LiveweightGainNTQLD[[#Headers],[State]],0)</f>
        <v>1.3</v>
      </c>
      <c r="N207" s="68" cm="1">
        <f t="array" ref="N207">Common_InputFunctions.Utility_DisplayArrayInTable(SourceData_PastureBeef.SourceData_PastureBeef_LiveweightGainNTQLD_Data(),Table_SourceData_PastureBeef_LiveweightGainNTQLD[[#Headers],[State]],0)</f>
        <v>0.48</v>
      </c>
      <c r="O207" s="68" cm="1">
        <f t="array" ref="O207">Common_InputFunctions.Utility_DisplayArrayInTable(SourceData_PastureBeef.SourceData_PastureBeef_LiveweightGainNTQLD_Data(),Table_SourceData_PastureBeef_LiveweightGainNTQLD[[#Headers],[State]],0)</f>
        <v>1.1200000000000001</v>
      </c>
      <c r="P207" s="68"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68" t="str" cm="1">
        <f t="array" ref="E208">Common_InputFunctions.Utility_DisplayArrayInTable(SourceData_PastureBeef.SourceData_PastureBeef_LiveweightGainNTQLD_Data(),Table_SourceData_PastureBeef_LiveweightGainNTQLD[[#Headers],[State]],0)</f>
        <v>Moderate/High</v>
      </c>
      <c r="F208" s="68" t="str" cm="1">
        <f t="array" ref="F208">Common_InputFunctions.Utility_DisplayArrayInTable(SourceData_PastureBeef.SourceData_PastureBeef_LiveweightGainNTQLD_Data(),Table_SourceData_PastureBeef_LiveweightGainNTQLD[[#Headers],[State]],0)</f>
        <v>Autumn</v>
      </c>
      <c r="G208" s="68" cm="1">
        <f t="array" ref="G208">Common_InputFunctions.Utility_DisplayArrayInTable(SourceData_PastureBeef.SourceData_PastureBeef_LiveweightGainNTQLD_Data(),Table_SourceData_PastureBeef_LiveweightGainNTQLD[[#Headers],[State]],0)</f>
        <v>0.7</v>
      </c>
      <c r="H208" s="68" cm="1">
        <f t="array" ref="H208">Common_InputFunctions.Utility_DisplayArrayInTable(SourceData_PastureBeef.SourceData_PastureBeef_LiveweightGainNTQLD_Data(),Table_SourceData_PastureBeef_LiveweightGainNTQLD[[#Headers],[State]],0)</f>
        <v>0.13</v>
      </c>
      <c r="I208" s="68" cm="1">
        <f t="array" ref="I208">Common_InputFunctions.Utility_DisplayArrayInTable(SourceData_PastureBeef.SourceData_PastureBeef_LiveweightGainNTQLD_Data(),Table_SourceData_PastureBeef_LiveweightGainNTQLD[[#Headers],[State]],0)</f>
        <v>0.52</v>
      </c>
      <c r="J208" s="68" cm="1">
        <f t="array" ref="J208">Common_InputFunctions.Utility_DisplayArrayInTable(SourceData_PastureBeef.SourceData_PastureBeef_LiveweightGainNTQLD_Data(),Table_SourceData_PastureBeef_LiveweightGainNTQLD[[#Headers],[State]],0)</f>
        <v>0.34</v>
      </c>
      <c r="K208" s="68" cm="1">
        <f t="array" ref="K208">Common_InputFunctions.Utility_DisplayArrayInTable(SourceData_PastureBeef.SourceData_PastureBeef_LiveweightGainNTQLD_Data(),Table_SourceData_PastureBeef_LiveweightGainNTQLD[[#Headers],[State]],0)</f>
        <v>0.02</v>
      </c>
      <c r="L208" s="68" cm="1">
        <f t="array" ref="L208">Common_InputFunctions.Utility_DisplayArrayInTable(SourceData_PastureBeef.SourceData_PastureBeef_LiveweightGainNTQLD_Data(),Table_SourceData_PastureBeef_LiveweightGainNTQLD[[#Headers],[State]],0)</f>
        <v>0.04</v>
      </c>
      <c r="M208" s="68" cm="1">
        <f t="array" ref="M208">Common_InputFunctions.Utility_DisplayArrayInTable(SourceData_PastureBeef.SourceData_PastureBeef_LiveweightGainNTQLD_Data(),Table_SourceData_PastureBeef_LiveweightGainNTQLD[[#Headers],[State]],0)</f>
        <v>0.77</v>
      </c>
      <c r="N208" s="68" cm="1">
        <f t="array" ref="N208">Common_InputFunctions.Utility_DisplayArrayInTable(SourceData_PastureBeef.SourceData_PastureBeef_LiveweightGainNTQLD_Data(),Table_SourceData_PastureBeef_LiveweightGainNTQLD[[#Headers],[State]],0)</f>
        <v>0.42</v>
      </c>
      <c r="O208" s="68" cm="1">
        <f t="array" ref="O208">Common_InputFunctions.Utility_DisplayArrayInTable(SourceData_PastureBeef.SourceData_PastureBeef_LiveweightGainNTQLD_Data(),Table_SourceData_PastureBeef_LiveweightGainNTQLD[[#Headers],[State]],0)</f>
        <v>0.12</v>
      </c>
      <c r="P208" s="68"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68" t="str" cm="1">
        <f t="array" ref="E209">Common_InputFunctions.Utility_DisplayArrayInTable(SourceData_PastureBeef.SourceData_PastureBeef_LiveweightGainNTQLD_Data(),Table_SourceData_PastureBeef_LiveweightGainNTQLD[[#Headers],[State]],0)</f>
        <v>Moderate/High</v>
      </c>
      <c r="F209" s="68" t="str" cm="1">
        <f t="array" ref="F209">Common_InputFunctions.Utility_DisplayArrayInTable(SourceData_PastureBeef.SourceData_PastureBeef_LiveweightGainNTQLD_Data(),Table_SourceData_PastureBeef_LiveweightGainNTQLD[[#Headers],[State]],0)</f>
        <v>Winter</v>
      </c>
      <c r="G209" s="68" cm="1">
        <f t="array" ref="G209">Common_InputFunctions.Utility_DisplayArrayInTable(SourceData_PastureBeef.SourceData_PastureBeef_LiveweightGainNTQLD_Data(),Table_SourceData_PastureBeef_LiveweightGainNTQLD[[#Headers],[State]],0)</f>
        <v>0.32</v>
      </c>
      <c r="H209" s="68" cm="1">
        <f t="array" ref="H209">Common_InputFunctions.Utility_DisplayArrayInTable(SourceData_PastureBeef.SourceData_PastureBeef_LiveweightGainNTQLD_Data(),Table_SourceData_PastureBeef_LiveweightGainNTQLD[[#Headers],[State]],0)</f>
        <v>-0.06</v>
      </c>
      <c r="I209" s="68" cm="1">
        <f t="array" ref="I209">Common_InputFunctions.Utility_DisplayArrayInTable(SourceData_PastureBeef.SourceData_PastureBeef_LiveweightGainNTQLD_Data(),Table_SourceData_PastureBeef_LiveweightGainNTQLD[[#Headers],[State]],0)</f>
        <v>0.25</v>
      </c>
      <c r="J209" s="68" cm="1">
        <f t="array" ref="J209">Common_InputFunctions.Utility_DisplayArrayInTable(SourceData_PastureBeef.SourceData_PastureBeef_LiveweightGainNTQLD_Data(),Table_SourceData_PastureBeef_LiveweightGainNTQLD[[#Headers],[State]],0)</f>
        <v>0.19</v>
      </c>
      <c r="K209" s="68" cm="1">
        <f t="array" ref="K209">Common_InputFunctions.Utility_DisplayArrayInTable(SourceData_PastureBeef.SourceData_PastureBeef_LiveweightGainNTQLD_Data(),Table_SourceData_PastureBeef_LiveweightGainNTQLD[[#Headers],[State]],0)</f>
        <v>-0.1</v>
      </c>
      <c r="L209" s="68" cm="1">
        <f t="array" ref="L209">Common_InputFunctions.Utility_DisplayArrayInTable(SourceData_PastureBeef.SourceData_PastureBeef_LiveweightGainNTQLD_Data(),Table_SourceData_PastureBeef_LiveweightGainNTQLD[[#Headers],[State]],0)</f>
        <v>-0.02</v>
      </c>
      <c r="M209" s="68" cm="1">
        <f t="array" ref="M209">Common_InputFunctions.Utility_DisplayArrayInTable(SourceData_PastureBeef.SourceData_PastureBeef_LiveweightGainNTQLD_Data(),Table_SourceData_PastureBeef_LiveweightGainNTQLD[[#Headers],[State]],0)</f>
        <v>0.02</v>
      </c>
      <c r="N209" s="68" cm="1">
        <f t="array" ref="N209">Common_InputFunctions.Utility_DisplayArrayInTable(SourceData_PastureBeef.SourceData_PastureBeef_LiveweightGainNTQLD_Data(),Table_SourceData_PastureBeef_LiveweightGainNTQLD[[#Headers],[State]],0)</f>
        <v>0.23</v>
      </c>
      <c r="O209" s="68" cm="1">
        <f t="array" ref="O209">Common_InputFunctions.Utility_DisplayArrayInTable(SourceData_PastureBeef.SourceData_PastureBeef_LiveweightGainNTQLD_Data(),Table_SourceData_PastureBeef_LiveweightGainNTQLD[[#Headers],[State]],0)</f>
        <v>-0.13</v>
      </c>
      <c r="P209" s="68"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68" t="str" cm="1">
        <f t="array" ref="E210">Common_InputFunctions.Utility_DisplayArrayInTable(SourceData_PastureBeef.SourceData_PastureBeef_LiveweightGainNTQLD_Data(),Table_SourceData_PastureBeef_LiveweightGainNTQLD[[#Headers],[State]],0)</f>
        <v>Moderate/Low</v>
      </c>
      <c r="F210" s="68" t="str" cm="1">
        <f t="array" ref="F210">Common_InputFunctions.Utility_DisplayArrayInTable(SourceData_PastureBeef.SourceData_PastureBeef_LiveweightGainNTQLD_Data(),Table_SourceData_PastureBeef_LiveweightGainNTQLD[[#Headers],[State]],0)</f>
        <v>Spring</v>
      </c>
      <c r="G210" s="68" cm="1">
        <f t="array" ref="G210">Common_InputFunctions.Utility_DisplayArrayInTable(SourceData_PastureBeef.SourceData_PastureBeef_LiveweightGainNTQLD_Data(),Table_SourceData_PastureBeef_LiveweightGainNTQLD[[#Headers],[State]],0)</f>
        <v>0.62</v>
      </c>
      <c r="H210" s="68" cm="1">
        <f t="array" ref="H210">Common_InputFunctions.Utility_DisplayArrayInTable(SourceData_PastureBeef.SourceData_PastureBeef_LiveweightGainNTQLD_Data(),Table_SourceData_PastureBeef_LiveweightGainNTQLD[[#Headers],[State]],0)</f>
        <v>-0.19</v>
      </c>
      <c r="I210" s="68" cm="1">
        <f t="array" ref="I210">Common_InputFunctions.Utility_DisplayArrayInTable(SourceData_PastureBeef.SourceData_PastureBeef_LiveweightGainNTQLD_Data(),Table_SourceData_PastureBeef_LiveweightGainNTQLD[[#Headers],[State]],0)</f>
        <v>0.37</v>
      </c>
      <c r="J210" s="68" cm="1">
        <f t="array" ref="J210">Common_InputFunctions.Utility_DisplayArrayInTable(SourceData_PastureBeef.SourceData_PastureBeef_LiveweightGainNTQLD_Data(),Table_SourceData_PastureBeef_LiveweightGainNTQLD[[#Headers],[State]],0)</f>
        <v>0.41</v>
      </c>
      <c r="K210" s="68" cm="1">
        <f t="array" ref="K210">Common_InputFunctions.Utility_DisplayArrayInTable(SourceData_PastureBeef.SourceData_PastureBeef_LiveweightGainNTQLD_Data(),Table_SourceData_PastureBeef_LiveweightGainNTQLD[[#Headers],[State]],0)</f>
        <v>0.06</v>
      </c>
      <c r="L210" s="68" cm="1">
        <f t="array" ref="L210">Common_InputFunctions.Utility_DisplayArrayInTable(SourceData_PastureBeef.SourceData_PastureBeef_LiveweightGainNTQLD_Data(),Table_SourceData_PastureBeef_LiveweightGainNTQLD[[#Headers],[State]],0)</f>
        <v>-0.02</v>
      </c>
      <c r="M210" s="68" cm="1">
        <f t="array" ref="M210">Common_InputFunctions.Utility_DisplayArrayInTable(SourceData_PastureBeef.SourceData_PastureBeef_LiveweightGainNTQLD_Data(),Table_SourceData_PastureBeef_LiveweightGainNTQLD[[#Headers],[State]],0)</f>
        <v>0.47</v>
      </c>
      <c r="N210" s="68" cm="1">
        <f t="array" ref="N210">Common_InputFunctions.Utility_DisplayArrayInTable(SourceData_PastureBeef.SourceData_PastureBeef_LiveweightGainNTQLD_Data(),Table_SourceData_PastureBeef_LiveweightGainNTQLD[[#Headers],[State]],0)</f>
        <v>0.44</v>
      </c>
      <c r="O210" s="68" cm="1">
        <f t="array" ref="O210">Common_InputFunctions.Utility_DisplayArrayInTable(SourceData_PastureBeef.SourceData_PastureBeef_LiveweightGainNTQLD_Data(),Table_SourceData_PastureBeef_LiveweightGainNTQLD[[#Headers],[State]],0)</f>
        <v>0.3</v>
      </c>
      <c r="P210" s="68"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68" t="str" cm="1">
        <f t="array" ref="E211">Common_InputFunctions.Utility_DisplayArrayInTable(SourceData_PastureBeef.SourceData_PastureBeef_LiveweightGainNTQLD_Data(),Table_SourceData_PastureBeef_LiveweightGainNTQLD[[#Headers],[State]],0)</f>
        <v>Moderate/Low</v>
      </c>
      <c r="F211" s="68" t="str" cm="1">
        <f t="array" ref="F211">Common_InputFunctions.Utility_DisplayArrayInTable(SourceData_PastureBeef.SourceData_PastureBeef_LiveweightGainNTQLD_Data(),Table_SourceData_PastureBeef_LiveweightGainNTQLD[[#Headers],[State]],0)</f>
        <v>Summer</v>
      </c>
      <c r="G211" s="68" cm="1">
        <f t="array" ref="G211">Common_InputFunctions.Utility_DisplayArrayInTable(SourceData_PastureBeef.SourceData_PastureBeef_LiveweightGainNTQLD_Data(),Table_SourceData_PastureBeef_LiveweightGainNTQLD[[#Headers],[State]],0)</f>
        <v>0.05</v>
      </c>
      <c r="H211" s="68" cm="1">
        <f t="array" ref="H211">Common_InputFunctions.Utility_DisplayArrayInTable(SourceData_PastureBeef.SourceData_PastureBeef_LiveweightGainNTQLD_Data(),Table_SourceData_PastureBeef_LiveweightGainNTQLD[[#Headers],[State]],0)</f>
        <v>0.19</v>
      </c>
      <c r="I211" s="68" cm="1">
        <f t="array" ref="I211">Common_InputFunctions.Utility_DisplayArrayInTable(SourceData_PastureBeef.SourceData_PastureBeef_LiveweightGainNTQLD_Data(),Table_SourceData_PastureBeef_LiveweightGainNTQLD[[#Headers],[State]],0)</f>
        <v>0.31</v>
      </c>
      <c r="J211" s="68" cm="1">
        <f t="array" ref="J211">Common_InputFunctions.Utility_DisplayArrayInTable(SourceData_PastureBeef.SourceData_PastureBeef_LiveweightGainNTQLD_Data(),Table_SourceData_PastureBeef_LiveweightGainNTQLD[[#Headers],[State]],0)</f>
        <v>0.54</v>
      </c>
      <c r="K211" s="68" cm="1">
        <f t="array" ref="K211">Common_InputFunctions.Utility_DisplayArrayInTable(SourceData_PastureBeef.SourceData_PastureBeef_LiveweightGainNTQLD_Data(),Table_SourceData_PastureBeef_LiveweightGainNTQLD[[#Headers],[State]],0)</f>
        <v>0.53</v>
      </c>
      <c r="L211" s="68" cm="1">
        <f t="array" ref="L211">Common_InputFunctions.Utility_DisplayArrayInTable(SourceData_PastureBeef.SourceData_PastureBeef_LiveweightGainNTQLD_Data(),Table_SourceData_PastureBeef_LiveweightGainNTQLD[[#Headers],[State]],0)</f>
        <v>0.15</v>
      </c>
      <c r="M211" s="68" cm="1">
        <f t="array" ref="M211">Common_InputFunctions.Utility_DisplayArrayInTable(SourceData_PastureBeef.SourceData_PastureBeef_LiveweightGainNTQLD_Data(),Table_SourceData_PastureBeef_LiveweightGainNTQLD[[#Headers],[State]],0)</f>
        <v>0.28000000000000003</v>
      </c>
      <c r="N211" s="68" cm="1">
        <f t="array" ref="N211">Common_InputFunctions.Utility_DisplayArrayInTable(SourceData_PastureBeef.SourceData_PastureBeef_LiveweightGainNTQLD_Data(),Table_SourceData_PastureBeef_LiveweightGainNTQLD[[#Headers],[State]],0)</f>
        <v>0.56999999999999995</v>
      </c>
      <c r="O211" s="68" cm="1">
        <f t="array" ref="O211">Common_InputFunctions.Utility_DisplayArrayInTable(SourceData_PastureBeef.SourceData_PastureBeef_LiveweightGainNTQLD_Data(),Table_SourceData_PastureBeef_LiveweightGainNTQLD[[#Headers],[State]],0)</f>
        <v>0.42</v>
      </c>
      <c r="P211" s="68"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68" t="str" cm="1">
        <f t="array" ref="E212">Common_InputFunctions.Utility_DisplayArrayInTable(SourceData_PastureBeef.SourceData_PastureBeef_LiveweightGainNTQLD_Data(),Table_SourceData_PastureBeef_LiveweightGainNTQLD[[#Headers],[State]],0)</f>
        <v>Moderate/Low</v>
      </c>
      <c r="F212" s="68" t="str" cm="1">
        <f t="array" ref="F212">Common_InputFunctions.Utility_DisplayArrayInTable(SourceData_PastureBeef.SourceData_PastureBeef_LiveweightGainNTQLD_Data(),Table_SourceData_PastureBeef_LiveweightGainNTQLD[[#Headers],[State]],0)</f>
        <v>Autumn</v>
      </c>
      <c r="G212" s="68" cm="1">
        <f t="array" ref="G212">Common_InputFunctions.Utility_DisplayArrayInTable(SourceData_PastureBeef.SourceData_PastureBeef_LiveweightGainNTQLD_Data(),Table_SourceData_PastureBeef_LiveweightGainNTQLD[[#Headers],[State]],0)</f>
        <v>0.33</v>
      </c>
      <c r="H212" s="68" cm="1">
        <f t="array" ref="H212">Common_InputFunctions.Utility_DisplayArrayInTable(SourceData_PastureBeef.SourceData_PastureBeef_LiveweightGainNTQLD_Data(),Table_SourceData_PastureBeef_LiveweightGainNTQLD[[#Headers],[State]],0)</f>
        <v>0.13</v>
      </c>
      <c r="I212" s="68" cm="1">
        <f t="array" ref="I212">Common_InputFunctions.Utility_DisplayArrayInTable(SourceData_PastureBeef.SourceData_PastureBeef_LiveweightGainNTQLD_Data(),Table_SourceData_PastureBeef_LiveweightGainNTQLD[[#Headers],[State]],0)</f>
        <v>0.39</v>
      </c>
      <c r="J212" s="68" cm="1">
        <f t="array" ref="J212">Common_InputFunctions.Utility_DisplayArrayInTable(SourceData_PastureBeef.SourceData_PastureBeef_LiveweightGainNTQLD_Data(),Table_SourceData_PastureBeef_LiveweightGainNTQLD[[#Headers],[State]],0)</f>
        <v>0.36</v>
      </c>
      <c r="K212" s="68" cm="1">
        <f t="array" ref="K212">Common_InputFunctions.Utility_DisplayArrayInTable(SourceData_PastureBeef.SourceData_PastureBeef_LiveweightGainNTQLD_Data(),Table_SourceData_PastureBeef_LiveweightGainNTQLD[[#Headers],[State]],0)</f>
        <v>0.26</v>
      </c>
      <c r="L212" s="68" cm="1">
        <f t="array" ref="L212">Common_InputFunctions.Utility_DisplayArrayInTable(SourceData_PastureBeef.SourceData_PastureBeef_LiveweightGainNTQLD_Data(),Table_SourceData_PastureBeef_LiveweightGainNTQLD[[#Headers],[State]],0)</f>
        <v>0.11</v>
      </c>
      <c r="M212" s="68" cm="1">
        <f t="array" ref="M212">Common_InputFunctions.Utility_DisplayArrayInTable(SourceData_PastureBeef.SourceData_PastureBeef_LiveweightGainNTQLD_Data(),Table_SourceData_PastureBeef_LiveweightGainNTQLD[[#Headers],[State]],0)</f>
        <v>0.4</v>
      </c>
      <c r="N212" s="68" cm="1">
        <f t="array" ref="N212">Common_InputFunctions.Utility_DisplayArrayInTable(SourceData_PastureBeef.SourceData_PastureBeef_LiveweightGainNTQLD_Data(),Table_SourceData_PastureBeef_LiveweightGainNTQLD[[#Headers],[State]],0)</f>
        <v>0.44</v>
      </c>
      <c r="O212" s="68" cm="1">
        <f t="array" ref="O212">Common_InputFunctions.Utility_DisplayArrayInTable(SourceData_PastureBeef.SourceData_PastureBeef_LiveweightGainNTQLD_Data(),Table_SourceData_PastureBeef_LiveweightGainNTQLD[[#Headers],[State]],0)</f>
        <v>0.37</v>
      </c>
      <c r="P212" s="68"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68" t="str" cm="1">
        <f t="array" ref="E213">Common_InputFunctions.Utility_DisplayArrayInTable(SourceData_PastureBeef.SourceData_PastureBeef_LiveweightGainNTQLD_Data(),Table_SourceData_PastureBeef_LiveweightGainNTQLD[[#Headers],[State]],0)</f>
        <v>Moderate/Low</v>
      </c>
      <c r="F213" s="68" t="str" cm="1">
        <f t="array" ref="F213">Common_InputFunctions.Utility_DisplayArrayInTable(SourceData_PastureBeef.SourceData_PastureBeef_LiveweightGainNTQLD_Data(),Table_SourceData_PastureBeef_LiveweightGainNTQLD[[#Headers],[State]],0)</f>
        <v>Winter</v>
      </c>
      <c r="G213" s="68" cm="1">
        <f t="array" ref="G213">Common_InputFunctions.Utility_DisplayArrayInTable(SourceData_PastureBeef.SourceData_PastureBeef_LiveweightGainNTQLD_Data(),Table_SourceData_PastureBeef_LiveweightGainNTQLD[[#Headers],[State]],0)</f>
        <v>0.61</v>
      </c>
      <c r="H213" s="68" cm="1">
        <f t="array" ref="H213">Common_InputFunctions.Utility_DisplayArrayInTable(SourceData_PastureBeef.SourceData_PastureBeef_LiveweightGainNTQLD_Data(),Table_SourceData_PastureBeef_LiveweightGainNTQLD[[#Headers],[State]],0)</f>
        <v>-0.06</v>
      </c>
      <c r="I213" s="68" cm="1">
        <f t="array" ref="I213">Common_InputFunctions.Utility_DisplayArrayInTable(SourceData_PastureBeef.SourceData_PastureBeef_LiveweightGainNTQLD_Data(),Table_SourceData_PastureBeef_LiveweightGainNTQLD[[#Headers],[State]],0)</f>
        <v>0.21</v>
      </c>
      <c r="J213" s="68" cm="1">
        <f t="array" ref="J213">Common_InputFunctions.Utility_DisplayArrayInTable(SourceData_PastureBeef.SourceData_PastureBeef_LiveweightGainNTQLD_Data(),Table_SourceData_PastureBeef_LiveweightGainNTQLD[[#Headers],[State]],0)</f>
        <v>0.18</v>
      </c>
      <c r="K213" s="68" cm="1">
        <f t="array" ref="K213">Common_InputFunctions.Utility_DisplayArrayInTable(SourceData_PastureBeef.SourceData_PastureBeef_LiveweightGainNTQLD_Data(),Table_SourceData_PastureBeef_LiveweightGainNTQLD[[#Headers],[State]],0)</f>
        <v>0.12</v>
      </c>
      <c r="L213" s="68" cm="1">
        <f t="array" ref="L213">Common_InputFunctions.Utility_DisplayArrayInTable(SourceData_PastureBeef.SourceData_PastureBeef_LiveweightGainNTQLD_Data(),Table_SourceData_PastureBeef_LiveweightGainNTQLD[[#Headers],[State]],0)</f>
        <v>0.06</v>
      </c>
      <c r="M213" s="68" cm="1">
        <f t="array" ref="M213">Common_InputFunctions.Utility_DisplayArrayInTable(SourceData_PastureBeef.SourceData_PastureBeef_LiveweightGainNTQLD_Data(),Table_SourceData_PastureBeef_LiveweightGainNTQLD[[#Headers],[State]],0)</f>
        <v>0.28999999999999998</v>
      </c>
      <c r="N213" s="68" cm="1">
        <f t="array" ref="N213">Common_InputFunctions.Utility_DisplayArrayInTable(SourceData_PastureBeef.SourceData_PastureBeef_LiveweightGainNTQLD_Data(),Table_SourceData_PastureBeef_LiveweightGainNTQLD[[#Headers],[State]],0)</f>
        <v>0.41</v>
      </c>
      <c r="O213" s="68" cm="1">
        <f t="array" ref="O213">Common_InputFunctions.Utility_DisplayArrayInTable(SourceData_PastureBeef.SourceData_PastureBeef_LiveweightGainNTQLD_Data(),Table_SourceData_PastureBeef_LiveweightGainNTQLD[[#Headers],[State]],0)</f>
        <v>0.41</v>
      </c>
      <c r="P213" s="68"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68" t="str" cm="1">
        <f t="array" ref="E214">Common_InputFunctions.Utility_DisplayArrayInTable(SourceData_PastureBeef.SourceData_PastureBeef_LiveweightGainNTQLD_Data(),Table_SourceData_PastureBeef_LiveweightGainNTQLD[[#Headers],[State]],0)</f>
        <v>Low</v>
      </c>
      <c r="F214" s="68" t="str" cm="1">
        <f t="array" ref="F214">Common_InputFunctions.Utility_DisplayArrayInTable(SourceData_PastureBeef.SourceData_PastureBeef_LiveweightGainNTQLD_Data(),Table_SourceData_PastureBeef_LiveweightGainNTQLD[[#Headers],[State]],0)</f>
        <v>Spring</v>
      </c>
      <c r="G214" s="68" cm="1">
        <f t="array" ref="G214">Common_InputFunctions.Utility_DisplayArrayInTable(SourceData_PastureBeef.SourceData_PastureBeef_LiveweightGainNTQLD_Data(),Table_SourceData_PastureBeef_LiveweightGainNTQLD[[#Headers],[State]],0)</f>
        <v>-0.2</v>
      </c>
      <c r="H214" s="68" cm="1">
        <f t="array" ref="H214">Common_InputFunctions.Utility_DisplayArrayInTable(SourceData_PastureBeef.SourceData_PastureBeef_LiveweightGainNTQLD_Data(),Table_SourceData_PastureBeef_LiveweightGainNTQLD[[#Headers],[State]],0)</f>
        <v>0.02</v>
      </c>
      <c r="I214" s="68" cm="1">
        <f t="array" ref="I214">Common_InputFunctions.Utility_DisplayArrayInTable(SourceData_PastureBeef.SourceData_PastureBeef_LiveweightGainNTQLD_Data(),Table_SourceData_PastureBeef_LiveweightGainNTQLD[[#Headers],[State]],0)</f>
        <v>0.24</v>
      </c>
      <c r="J214" s="68" cm="1">
        <f t="array" ref="J214">Common_InputFunctions.Utility_DisplayArrayInTable(SourceData_PastureBeef.SourceData_PastureBeef_LiveweightGainNTQLD_Data(),Table_SourceData_PastureBeef_LiveweightGainNTQLD[[#Headers],[State]],0)</f>
        <v>0.3</v>
      </c>
      <c r="K214" s="68" cm="1">
        <f t="array" ref="K214">Common_InputFunctions.Utility_DisplayArrayInTable(SourceData_PastureBeef.SourceData_PastureBeef_LiveweightGainNTQLD_Data(),Table_SourceData_PastureBeef_LiveweightGainNTQLD[[#Headers],[State]],0)</f>
        <v>0.23</v>
      </c>
      <c r="L214" s="68" cm="1">
        <f t="array" ref="L214">Common_InputFunctions.Utility_DisplayArrayInTable(SourceData_PastureBeef.SourceData_PastureBeef_LiveweightGainNTQLD_Data(),Table_SourceData_PastureBeef_LiveweightGainNTQLD[[#Headers],[State]],0)</f>
        <v>-0.05</v>
      </c>
      <c r="M214" s="68" cm="1">
        <f t="array" ref="M214">Common_InputFunctions.Utility_DisplayArrayInTable(SourceData_PastureBeef.SourceData_PastureBeef_LiveweightGainNTQLD_Data(),Table_SourceData_PastureBeef_LiveweightGainNTQLD[[#Headers],[State]],0)</f>
        <v>0.34</v>
      </c>
      <c r="N214" s="68" cm="1">
        <f t="array" ref="N214">Common_InputFunctions.Utility_DisplayArrayInTable(SourceData_PastureBeef.SourceData_PastureBeef_LiveweightGainNTQLD_Data(),Table_SourceData_PastureBeef_LiveweightGainNTQLD[[#Headers],[State]],0)</f>
        <v>0.3</v>
      </c>
      <c r="O214" s="68" cm="1">
        <f t="array" ref="O214">Common_InputFunctions.Utility_DisplayArrayInTable(SourceData_PastureBeef.SourceData_PastureBeef_LiveweightGainNTQLD_Data(),Table_SourceData_PastureBeef_LiveweightGainNTQLD[[#Headers],[State]],0)</f>
        <v>0.56999999999999995</v>
      </c>
      <c r="P214" s="68"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68" t="str" cm="1">
        <f t="array" ref="E215">Common_InputFunctions.Utility_DisplayArrayInTable(SourceData_PastureBeef.SourceData_PastureBeef_LiveweightGainNTQLD_Data(),Table_SourceData_PastureBeef_LiveweightGainNTQLD[[#Headers],[State]],0)</f>
        <v>Low</v>
      </c>
      <c r="F215" s="68" t="str" cm="1">
        <f t="array" ref="F215">Common_InputFunctions.Utility_DisplayArrayInTable(SourceData_PastureBeef.SourceData_PastureBeef_LiveweightGainNTQLD_Data(),Table_SourceData_PastureBeef_LiveweightGainNTQLD[[#Headers],[State]],0)</f>
        <v>Summer</v>
      </c>
      <c r="G215" s="68" cm="1">
        <f t="array" ref="G215">Common_InputFunctions.Utility_DisplayArrayInTable(SourceData_PastureBeef.SourceData_PastureBeef_LiveweightGainNTQLD_Data(),Table_SourceData_PastureBeef_LiveweightGainNTQLD[[#Headers],[State]],0)</f>
        <v>0.62</v>
      </c>
      <c r="H215" s="68" cm="1">
        <f t="array" ref="H215">Common_InputFunctions.Utility_DisplayArrayInTable(SourceData_PastureBeef.SourceData_PastureBeef_LiveweightGainNTQLD_Data(),Table_SourceData_PastureBeef_LiveweightGainNTQLD[[#Headers],[State]],0)</f>
        <v>0.21</v>
      </c>
      <c r="I215" s="68" cm="1">
        <f t="array" ref="I215">Common_InputFunctions.Utility_DisplayArrayInTable(SourceData_PastureBeef.SourceData_PastureBeef_LiveweightGainNTQLD_Data(),Table_SourceData_PastureBeef_LiveweightGainNTQLD[[#Headers],[State]],0)</f>
        <v>0.25</v>
      </c>
      <c r="J215" s="68" cm="1">
        <f t="array" ref="J215">Common_InputFunctions.Utility_DisplayArrayInTable(SourceData_PastureBeef.SourceData_PastureBeef_LiveweightGainNTQLD_Data(),Table_SourceData_PastureBeef_LiveweightGainNTQLD[[#Headers],[State]],0)</f>
        <v>0.32</v>
      </c>
      <c r="K215" s="68" cm="1">
        <f t="array" ref="K215">Common_InputFunctions.Utility_DisplayArrayInTable(SourceData_PastureBeef.SourceData_PastureBeef_LiveweightGainNTQLD_Data(),Table_SourceData_PastureBeef_LiveweightGainNTQLD[[#Headers],[State]],0)</f>
        <v>0.47</v>
      </c>
      <c r="L215" s="68" cm="1">
        <f t="array" ref="L215">Common_InputFunctions.Utility_DisplayArrayInTable(SourceData_PastureBeef.SourceData_PastureBeef_LiveweightGainNTQLD_Data(),Table_SourceData_PastureBeef_LiveweightGainNTQLD[[#Headers],[State]],0)</f>
        <v>0.31</v>
      </c>
      <c r="M215" s="68" cm="1">
        <f t="array" ref="M215">Common_InputFunctions.Utility_DisplayArrayInTable(SourceData_PastureBeef.SourceData_PastureBeef_LiveweightGainNTQLD_Data(),Table_SourceData_PastureBeef_LiveweightGainNTQLD[[#Headers],[State]],0)</f>
        <v>0.14000000000000001</v>
      </c>
      <c r="N215" s="68" cm="1">
        <f t="array" ref="N215">Common_InputFunctions.Utility_DisplayArrayInTable(SourceData_PastureBeef.SourceData_PastureBeef_LiveweightGainNTQLD_Data(),Table_SourceData_PastureBeef_LiveweightGainNTQLD[[#Headers],[State]],0)</f>
        <v>0.4</v>
      </c>
      <c r="O215" s="68" cm="1">
        <f t="array" ref="O215">Common_InputFunctions.Utility_DisplayArrayInTable(SourceData_PastureBeef.SourceData_PastureBeef_LiveweightGainNTQLD_Data(),Table_SourceData_PastureBeef_LiveweightGainNTQLD[[#Headers],[State]],0)</f>
        <v>0.26</v>
      </c>
      <c r="P215" s="68"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68" t="str" cm="1">
        <f t="array" ref="E216">Common_InputFunctions.Utility_DisplayArrayInTable(SourceData_PastureBeef.SourceData_PastureBeef_LiveweightGainNTQLD_Data(),Table_SourceData_PastureBeef_LiveweightGainNTQLD[[#Headers],[State]],0)</f>
        <v>Low</v>
      </c>
      <c r="F216" s="68" t="str" cm="1">
        <f t="array" ref="F216">Common_InputFunctions.Utility_DisplayArrayInTable(SourceData_PastureBeef.SourceData_PastureBeef_LiveweightGainNTQLD_Data(),Table_SourceData_PastureBeef_LiveweightGainNTQLD[[#Headers],[State]],0)</f>
        <v>Autumn</v>
      </c>
      <c r="G216" s="68" cm="1">
        <f t="array" ref="G216">Common_InputFunctions.Utility_DisplayArrayInTable(SourceData_PastureBeef.SourceData_PastureBeef_LiveweightGainNTQLD_Data(),Table_SourceData_PastureBeef_LiveweightGainNTQLD[[#Headers],[State]],0)</f>
        <v>0.4</v>
      </c>
      <c r="H216" s="68" cm="1">
        <f t="array" ref="H216">Common_InputFunctions.Utility_DisplayArrayInTable(SourceData_PastureBeef.SourceData_PastureBeef_LiveweightGainNTQLD_Data(),Table_SourceData_PastureBeef_LiveweightGainNTQLD[[#Headers],[State]],0)</f>
        <v>0.13</v>
      </c>
      <c r="I216" s="68" cm="1">
        <f t="array" ref="I216">Common_InputFunctions.Utility_DisplayArrayInTable(SourceData_PastureBeef.SourceData_PastureBeef_LiveweightGainNTQLD_Data(),Table_SourceData_PastureBeef_LiveweightGainNTQLD[[#Headers],[State]],0)</f>
        <v>0.12</v>
      </c>
      <c r="J216" s="68" cm="1">
        <f t="array" ref="J216">Common_InputFunctions.Utility_DisplayArrayInTable(SourceData_PastureBeef.SourceData_PastureBeef_LiveweightGainNTQLD_Data(),Table_SourceData_PastureBeef_LiveweightGainNTQLD[[#Headers],[State]],0)</f>
        <v>0.27</v>
      </c>
      <c r="K216" s="68" cm="1">
        <f t="array" ref="K216">Common_InputFunctions.Utility_DisplayArrayInTable(SourceData_PastureBeef.SourceData_PastureBeef_LiveweightGainNTQLD_Data(),Table_SourceData_PastureBeef_LiveweightGainNTQLD[[#Headers],[State]],0)</f>
        <v>0.3</v>
      </c>
      <c r="L216" s="68" cm="1">
        <f t="array" ref="L216">Common_InputFunctions.Utility_DisplayArrayInTable(SourceData_PastureBeef.SourceData_PastureBeef_LiveweightGainNTQLD_Data(),Table_SourceData_PastureBeef_LiveweightGainNTQLD[[#Headers],[State]],0)</f>
        <v>0.08</v>
      </c>
      <c r="M216" s="68" cm="1">
        <f t="array" ref="M216">Common_InputFunctions.Utility_DisplayArrayInTable(SourceData_PastureBeef.SourceData_PastureBeef_LiveweightGainNTQLD_Data(),Table_SourceData_PastureBeef_LiveweightGainNTQLD[[#Headers],[State]],0)</f>
        <v>0.13</v>
      </c>
      <c r="N216" s="68" cm="1">
        <f t="array" ref="N216">Common_InputFunctions.Utility_DisplayArrayInTable(SourceData_PastureBeef.SourceData_PastureBeef_LiveweightGainNTQLD_Data(),Table_SourceData_PastureBeef_LiveweightGainNTQLD[[#Headers],[State]],0)</f>
        <v>0.24</v>
      </c>
      <c r="O216" s="68" cm="1">
        <f t="array" ref="O216">Common_InputFunctions.Utility_DisplayArrayInTable(SourceData_PastureBeef.SourceData_PastureBeef_LiveweightGainNTQLD_Data(),Table_SourceData_PastureBeef_LiveweightGainNTQLD[[#Headers],[State]],0)</f>
        <v>0.15</v>
      </c>
      <c r="P216" s="68"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68" t="str" cm="1">
        <f t="array" ref="E217">Common_InputFunctions.Utility_DisplayArrayInTable(SourceData_PastureBeef.SourceData_PastureBeef_LiveweightGainNTQLD_Data(),Table_SourceData_PastureBeef_LiveweightGainNTQLD[[#Headers],[State]],0)</f>
        <v>Low</v>
      </c>
      <c r="F217" s="68" t="str" cm="1">
        <f t="array" ref="F217">Common_InputFunctions.Utility_DisplayArrayInTable(SourceData_PastureBeef.SourceData_PastureBeef_LiveweightGainNTQLD_Data(),Table_SourceData_PastureBeef_LiveweightGainNTQLD[[#Headers],[State]],0)</f>
        <v>Winter</v>
      </c>
      <c r="G217" s="68" cm="1">
        <f t="array" ref="G217">Common_InputFunctions.Utility_DisplayArrayInTable(SourceData_PastureBeef.SourceData_PastureBeef_LiveweightGainNTQLD_Data(),Table_SourceData_PastureBeef_LiveweightGainNTQLD[[#Headers],[State]],0)</f>
        <v>0.08</v>
      </c>
      <c r="H217" s="68" cm="1">
        <f t="array" ref="H217">Common_InputFunctions.Utility_DisplayArrayInTable(SourceData_PastureBeef.SourceData_PastureBeef_LiveweightGainNTQLD_Data(),Table_SourceData_PastureBeef_LiveweightGainNTQLD[[#Headers],[State]],0)</f>
        <v>0.04</v>
      </c>
      <c r="I217" s="68" cm="1">
        <f t="array" ref="I217">Common_InputFunctions.Utility_DisplayArrayInTable(SourceData_PastureBeef.SourceData_PastureBeef_LiveweightGainNTQLD_Data(),Table_SourceData_PastureBeef_LiveweightGainNTQLD[[#Headers],[State]],0)</f>
        <v>0.06</v>
      </c>
      <c r="J217" s="68" cm="1">
        <f t="array" ref="J217">Common_InputFunctions.Utility_DisplayArrayInTable(SourceData_PastureBeef.SourceData_PastureBeef_LiveweightGainNTQLD_Data(),Table_SourceData_PastureBeef_LiveweightGainNTQLD[[#Headers],[State]],0)</f>
        <v>0.18</v>
      </c>
      <c r="K217" s="68" cm="1">
        <f t="array" ref="K217">Common_InputFunctions.Utility_DisplayArrayInTable(SourceData_PastureBeef.SourceData_PastureBeef_LiveweightGainNTQLD_Data(),Table_SourceData_PastureBeef_LiveweightGainNTQLD[[#Headers],[State]],0)</f>
        <v>0.11</v>
      </c>
      <c r="L217" s="68" cm="1">
        <f t="array" ref="L217">Common_InputFunctions.Utility_DisplayArrayInTable(SourceData_PastureBeef.SourceData_PastureBeef_LiveweightGainNTQLD_Data(),Table_SourceData_PastureBeef_LiveweightGainNTQLD[[#Headers],[State]],0)</f>
        <v>-7.0000000000000007E-2</v>
      </c>
      <c r="M217" s="68" cm="1">
        <f t="array" ref="M217">Common_InputFunctions.Utility_DisplayArrayInTable(SourceData_PastureBeef.SourceData_PastureBeef_LiveweightGainNTQLD_Data(),Table_SourceData_PastureBeef_LiveweightGainNTQLD[[#Headers],[State]],0)</f>
        <v>0.13</v>
      </c>
      <c r="N217" s="68" cm="1">
        <f t="array" ref="N217">Common_InputFunctions.Utility_DisplayArrayInTable(SourceData_PastureBeef.SourceData_PastureBeef_LiveweightGainNTQLD_Data(),Table_SourceData_PastureBeef_LiveweightGainNTQLD[[#Headers],[State]],0)</f>
        <v>0.16</v>
      </c>
      <c r="O217" s="68" cm="1">
        <f t="array" ref="O217">Common_InputFunctions.Utility_DisplayArrayInTable(SourceData_PastureBeef.SourceData_PastureBeef_LiveweightGainNTQLD_Data(),Table_SourceData_PastureBeef_LiveweightGainNTQLD[[#Headers],[State]],0)</f>
        <v>0.4</v>
      </c>
      <c r="P217" s="68"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168</v>
      </c>
      <c r="M220" s="1"/>
    </row>
    <row r="221" spans="4:16" x14ac:dyDescent="0.25">
      <c r="M221" s="1"/>
    </row>
    <row r="222" spans="4:16" x14ac:dyDescent="0.25">
      <c r="D222" s="68" t="s">
        <v>22</v>
      </c>
      <c r="E222" s="68" t="s">
        <v>132</v>
      </c>
      <c r="F222" s="68" t="s">
        <v>84</v>
      </c>
      <c r="G222" s="70" t="s">
        <v>31</v>
      </c>
      <c r="H222" s="70" t="s">
        <v>32</v>
      </c>
      <c r="I222" s="70" t="s">
        <v>33</v>
      </c>
      <c r="J222" s="70" t="s">
        <v>34</v>
      </c>
      <c r="K222" s="70" t="s">
        <v>35</v>
      </c>
      <c r="L222" s="70" t="s">
        <v>36</v>
      </c>
      <c r="M222" s="70" t="s">
        <v>37</v>
      </c>
      <c r="N222" s="70" t="s">
        <v>38</v>
      </c>
      <c r="O222" s="70" t="s">
        <v>39</v>
      </c>
      <c r="P222" s="70" t="s">
        <v>40</v>
      </c>
    </row>
    <row r="223" spans="4:16" x14ac:dyDescent="0.25">
      <c r="D223" s="68" t="s">
        <v>169</v>
      </c>
      <c r="E223" s="68" t="s">
        <v>135</v>
      </c>
      <c r="F223" s="68" t="str">
        <f>F155</f>
        <v>Spring</v>
      </c>
      <c r="G223" s="68">
        <f>G155</f>
        <v>0.5</v>
      </c>
      <c r="H223" s="68">
        <f t="shared" ref="H223:J223" si="31">H155</f>
        <v>0.2</v>
      </c>
      <c r="I223" s="68">
        <f t="shared" si="31"/>
        <v>0.5</v>
      </c>
      <c r="J223" s="68">
        <f t="shared" si="31"/>
        <v>0.4</v>
      </c>
      <c r="K223" s="68">
        <f>K155</f>
        <v>0.3</v>
      </c>
      <c r="L223" s="68">
        <f>K155</f>
        <v>0.3</v>
      </c>
      <c r="M223" s="68">
        <f>L155</f>
        <v>0.5</v>
      </c>
      <c r="N223" s="68">
        <f>M155</f>
        <v>0.4</v>
      </c>
      <c r="O223" s="68">
        <f>M155</f>
        <v>0.4</v>
      </c>
      <c r="P223" s="68">
        <f>M155</f>
        <v>0.4</v>
      </c>
    </row>
    <row r="224" spans="4:16" x14ac:dyDescent="0.25">
      <c r="D224" s="68" t="s">
        <v>169</v>
      </c>
      <c r="E224" s="68" t="s">
        <v>135</v>
      </c>
      <c r="F224" s="68" t="str">
        <f t="shared" ref="F224:K226" si="32">F156</f>
        <v>Summer</v>
      </c>
      <c r="G224" s="68">
        <f t="shared" si="32"/>
        <v>1</v>
      </c>
      <c r="H224" s="68">
        <f t="shared" si="32"/>
        <v>0.4</v>
      </c>
      <c r="I224" s="68">
        <f t="shared" si="32"/>
        <v>0.9</v>
      </c>
      <c r="J224" s="68">
        <f t="shared" si="32"/>
        <v>0.7</v>
      </c>
      <c r="K224" s="68">
        <f t="shared" si="32"/>
        <v>0.3</v>
      </c>
      <c r="L224" s="68">
        <f t="shared" ref="L224:N226" si="33">K156</f>
        <v>0.3</v>
      </c>
      <c r="M224" s="68">
        <f t="shared" si="33"/>
        <v>0.9</v>
      </c>
      <c r="N224" s="68">
        <f t="shared" si="33"/>
        <v>0.4</v>
      </c>
      <c r="O224" s="68">
        <f t="shared" ref="O224:O226" si="34">M156</f>
        <v>0.4</v>
      </c>
      <c r="P224" s="68">
        <f t="shared" ref="P224:P226" si="35">M156</f>
        <v>0.4</v>
      </c>
    </row>
    <row r="225" spans="4:16" x14ac:dyDescent="0.25">
      <c r="D225" s="68" t="s">
        <v>169</v>
      </c>
      <c r="E225" s="68" t="s">
        <v>135</v>
      </c>
      <c r="F225" s="68" t="str">
        <f t="shared" si="32"/>
        <v>Autumn</v>
      </c>
      <c r="G225" s="68">
        <f t="shared" si="32"/>
        <v>0.8</v>
      </c>
      <c r="H225" s="68">
        <f t="shared" si="32"/>
        <v>0.3</v>
      </c>
      <c r="I225" s="68">
        <f t="shared" si="32"/>
        <v>0.7</v>
      </c>
      <c r="J225" s="68">
        <f t="shared" si="32"/>
        <v>0.3</v>
      </c>
      <c r="K225" s="68">
        <f t="shared" si="32"/>
        <v>0.2</v>
      </c>
      <c r="L225" s="68">
        <f t="shared" si="33"/>
        <v>0.2</v>
      </c>
      <c r="M225" s="68">
        <f t="shared" si="33"/>
        <v>0.7</v>
      </c>
      <c r="N225" s="68">
        <f t="shared" si="33"/>
        <v>0.3</v>
      </c>
      <c r="O225" s="68">
        <f t="shared" si="34"/>
        <v>0.3</v>
      </c>
      <c r="P225" s="68">
        <f t="shared" si="35"/>
        <v>0.3</v>
      </c>
    </row>
    <row r="226" spans="4:16" x14ac:dyDescent="0.25">
      <c r="D226" s="68" t="s">
        <v>169</v>
      </c>
      <c r="E226" s="68" t="s">
        <v>135</v>
      </c>
      <c r="F226" s="68" t="str">
        <f t="shared" si="32"/>
        <v>Winter</v>
      </c>
      <c r="G226" s="68">
        <f t="shared" si="32"/>
        <v>0.4</v>
      </c>
      <c r="H226" s="68">
        <f t="shared" si="32"/>
        <v>0.1</v>
      </c>
      <c r="I226" s="68">
        <f t="shared" si="32"/>
        <v>0.4</v>
      </c>
      <c r="J226" s="68">
        <f t="shared" si="32"/>
        <v>0.2</v>
      </c>
      <c r="K226" s="68">
        <f t="shared" si="32"/>
        <v>0.1</v>
      </c>
      <c r="L226" s="68">
        <f t="shared" si="33"/>
        <v>0.1</v>
      </c>
      <c r="M226" s="68">
        <f t="shared" si="33"/>
        <v>0.4</v>
      </c>
      <c r="N226" s="68">
        <f t="shared" si="33"/>
        <v>0.1</v>
      </c>
      <c r="O226" s="68">
        <f t="shared" si="34"/>
        <v>0.1</v>
      </c>
      <c r="P226" s="68">
        <f t="shared" si="35"/>
        <v>0.1</v>
      </c>
    </row>
    <row r="227" spans="4:16" x14ac:dyDescent="0.25">
      <c r="D227" s="68" t="s">
        <v>170</v>
      </c>
      <c r="E227" s="68" t="s">
        <v>135</v>
      </c>
      <c r="F227" s="68" t="str">
        <f>F155</f>
        <v>Spring</v>
      </c>
      <c r="G227" s="68">
        <f>G155</f>
        <v>0.5</v>
      </c>
      <c r="H227" s="68">
        <f t="shared" ref="H227:J227" si="36">H155</f>
        <v>0.2</v>
      </c>
      <c r="I227" s="68">
        <f t="shared" si="36"/>
        <v>0.5</v>
      </c>
      <c r="J227" s="68">
        <f t="shared" si="36"/>
        <v>0.4</v>
      </c>
      <c r="K227" s="68">
        <f>K155</f>
        <v>0.3</v>
      </c>
      <c r="L227" s="68">
        <f>K155</f>
        <v>0.3</v>
      </c>
      <c r="M227" s="68">
        <f t="shared" ref="M227" si="37">L155</f>
        <v>0.5</v>
      </c>
      <c r="N227" s="68">
        <f>M155</f>
        <v>0.4</v>
      </c>
      <c r="O227" s="68">
        <f>M155</f>
        <v>0.4</v>
      </c>
      <c r="P227" s="68">
        <f>M155</f>
        <v>0.4</v>
      </c>
    </row>
    <row r="228" spans="4:16" x14ac:dyDescent="0.25">
      <c r="D228" s="68" t="s">
        <v>170</v>
      </c>
      <c r="E228" s="68" t="s">
        <v>135</v>
      </c>
      <c r="F228" s="68" t="str">
        <f t="shared" ref="F228:K231" si="38">F156</f>
        <v>Summer</v>
      </c>
      <c r="G228" s="68">
        <f t="shared" si="38"/>
        <v>1</v>
      </c>
      <c r="H228" s="68">
        <f t="shared" si="38"/>
        <v>0.4</v>
      </c>
      <c r="I228" s="68">
        <f t="shared" si="38"/>
        <v>0.9</v>
      </c>
      <c r="J228" s="68">
        <f t="shared" si="38"/>
        <v>0.7</v>
      </c>
      <c r="K228" s="68">
        <f t="shared" si="38"/>
        <v>0.3</v>
      </c>
      <c r="L228" s="68">
        <f t="shared" ref="L228:N231" si="39">K156</f>
        <v>0.3</v>
      </c>
      <c r="M228" s="68">
        <f t="shared" si="39"/>
        <v>0.9</v>
      </c>
      <c r="N228" s="68">
        <f t="shared" si="39"/>
        <v>0.4</v>
      </c>
      <c r="O228" s="68">
        <f t="shared" ref="O228:O230" si="40">M156</f>
        <v>0.4</v>
      </c>
      <c r="P228" s="68">
        <f t="shared" ref="P228:P230" si="41">M156</f>
        <v>0.4</v>
      </c>
    </row>
    <row r="229" spans="4:16" x14ac:dyDescent="0.25">
      <c r="D229" s="68" t="s">
        <v>170</v>
      </c>
      <c r="E229" s="68" t="s">
        <v>135</v>
      </c>
      <c r="F229" s="68" t="str">
        <f t="shared" si="38"/>
        <v>Autumn</v>
      </c>
      <c r="G229" s="68">
        <f t="shared" si="38"/>
        <v>0.8</v>
      </c>
      <c r="H229" s="68">
        <f t="shared" si="38"/>
        <v>0.3</v>
      </c>
      <c r="I229" s="68">
        <f t="shared" si="38"/>
        <v>0.7</v>
      </c>
      <c r="J229" s="68">
        <f t="shared" si="38"/>
        <v>0.3</v>
      </c>
      <c r="K229" s="68">
        <f t="shared" si="38"/>
        <v>0.2</v>
      </c>
      <c r="L229" s="68">
        <f t="shared" si="39"/>
        <v>0.2</v>
      </c>
      <c r="M229" s="68">
        <f t="shared" si="39"/>
        <v>0.7</v>
      </c>
      <c r="N229" s="68">
        <f t="shared" si="39"/>
        <v>0.3</v>
      </c>
      <c r="O229" s="68">
        <f t="shared" si="40"/>
        <v>0.3</v>
      </c>
      <c r="P229" s="68">
        <f t="shared" si="41"/>
        <v>0.3</v>
      </c>
    </row>
    <row r="230" spans="4:16" x14ac:dyDescent="0.25">
      <c r="D230" s="68" t="s">
        <v>170</v>
      </c>
      <c r="E230" s="68" t="s">
        <v>135</v>
      </c>
      <c r="F230" s="68" t="str">
        <f t="shared" si="38"/>
        <v>Winter</v>
      </c>
      <c r="G230" s="68">
        <f t="shared" si="38"/>
        <v>0.4</v>
      </c>
      <c r="H230" s="68">
        <f t="shared" si="38"/>
        <v>0.1</v>
      </c>
      <c r="I230" s="68">
        <f t="shared" si="38"/>
        <v>0.4</v>
      </c>
      <c r="J230" s="68">
        <f t="shared" si="38"/>
        <v>0.2</v>
      </c>
      <c r="K230" s="68">
        <f t="shared" si="38"/>
        <v>0.1</v>
      </c>
      <c r="L230" s="68">
        <f t="shared" si="39"/>
        <v>0.1</v>
      </c>
      <c r="M230" s="68">
        <f t="shared" si="39"/>
        <v>0.4</v>
      </c>
      <c r="N230" s="68">
        <f t="shared" si="39"/>
        <v>0.1</v>
      </c>
      <c r="O230" s="68">
        <f t="shared" si="40"/>
        <v>0.1</v>
      </c>
      <c r="P230" s="68">
        <f t="shared" si="41"/>
        <v>0.1</v>
      </c>
    </row>
    <row r="231" spans="4:16" x14ac:dyDescent="0.25">
      <c r="D231" s="68" t="s">
        <v>171</v>
      </c>
      <c r="E231" s="68" t="s">
        <v>135</v>
      </c>
      <c r="F231" s="68" t="str">
        <f>F159</f>
        <v>Spring</v>
      </c>
      <c r="G231" s="68">
        <f>G159</f>
        <v>0.99</v>
      </c>
      <c r="H231" s="68">
        <f t="shared" si="38"/>
        <v>1.1000000000000001</v>
      </c>
      <c r="I231" s="68">
        <f t="shared" si="38"/>
        <v>0.88</v>
      </c>
      <c r="J231" s="68">
        <f t="shared" si="38"/>
        <v>0.55000000000000004</v>
      </c>
      <c r="K231" s="68">
        <f>K159</f>
        <v>0.55000000000000004</v>
      </c>
      <c r="L231" s="68">
        <f>K159</f>
        <v>0.55000000000000004</v>
      </c>
      <c r="M231" s="68">
        <f t="shared" si="39"/>
        <v>0.88</v>
      </c>
      <c r="N231" s="68">
        <f>M159</f>
        <v>0.22</v>
      </c>
      <c r="O231" s="68">
        <f>M159</f>
        <v>0.22</v>
      </c>
      <c r="P231" s="68">
        <f>M159</f>
        <v>0.22</v>
      </c>
    </row>
    <row r="232" spans="4:16" x14ac:dyDescent="0.25">
      <c r="D232" s="68" t="s">
        <v>171</v>
      </c>
      <c r="E232" s="68" t="s">
        <v>135</v>
      </c>
      <c r="F232" s="68" t="str">
        <f t="shared" ref="F232:K247" si="42">F160</f>
        <v>Summer</v>
      </c>
      <c r="G232" s="68">
        <f t="shared" si="42"/>
        <v>0.77</v>
      </c>
      <c r="H232" s="68">
        <f t="shared" si="42"/>
        <v>0</v>
      </c>
      <c r="I232" s="68">
        <f t="shared" si="42"/>
        <v>0.66</v>
      </c>
      <c r="J232" s="68">
        <f t="shared" si="42"/>
        <v>0.22</v>
      </c>
      <c r="K232" s="68">
        <f t="shared" si="42"/>
        <v>0</v>
      </c>
      <c r="L232" s="68">
        <f t="shared" ref="L232:N247" si="43">K160</f>
        <v>0</v>
      </c>
      <c r="M232" s="68">
        <f t="shared" si="43"/>
        <v>0.66</v>
      </c>
      <c r="N232" s="68">
        <f t="shared" si="43"/>
        <v>0</v>
      </c>
      <c r="O232" s="68">
        <f t="shared" ref="O232:O254" si="44">M160</f>
        <v>0</v>
      </c>
      <c r="P232" s="68">
        <f t="shared" ref="P232:P254" si="45">M160</f>
        <v>0</v>
      </c>
    </row>
    <row r="233" spans="4:16" x14ac:dyDescent="0.25">
      <c r="D233" s="68" t="s">
        <v>171</v>
      </c>
      <c r="E233" s="68" t="s">
        <v>135</v>
      </c>
      <c r="F233" s="68" t="str">
        <f t="shared" si="42"/>
        <v>Autumn</v>
      </c>
      <c r="G233" s="68">
        <f t="shared" si="42"/>
        <v>0.9</v>
      </c>
      <c r="H233" s="68">
        <f t="shared" si="42"/>
        <v>-1.1000000000000001</v>
      </c>
      <c r="I233" s="68">
        <f t="shared" si="42"/>
        <v>0.7</v>
      </c>
      <c r="J233" s="68">
        <f t="shared" si="42"/>
        <v>0.22</v>
      </c>
      <c r="K233" s="68">
        <f t="shared" si="42"/>
        <v>-0.55000000000000004</v>
      </c>
      <c r="L233" s="68">
        <f t="shared" si="43"/>
        <v>-0.55000000000000004</v>
      </c>
      <c r="M233" s="68">
        <f t="shared" si="43"/>
        <v>0.8</v>
      </c>
      <c r="N233" s="68">
        <f t="shared" si="43"/>
        <v>-0.22</v>
      </c>
      <c r="O233" s="68">
        <f t="shared" si="44"/>
        <v>-0.22</v>
      </c>
      <c r="P233" s="68">
        <f t="shared" si="45"/>
        <v>-0.22</v>
      </c>
    </row>
    <row r="234" spans="4:16" x14ac:dyDescent="0.25">
      <c r="D234" s="68" t="s">
        <v>171</v>
      </c>
      <c r="E234" s="68" t="s">
        <v>135</v>
      </c>
      <c r="F234" s="68" t="str">
        <f t="shared" si="42"/>
        <v>Winter</v>
      </c>
      <c r="G234" s="68">
        <f t="shared" si="42"/>
        <v>0.88</v>
      </c>
      <c r="H234" s="68">
        <f t="shared" si="42"/>
        <v>0</v>
      </c>
      <c r="I234" s="68">
        <f t="shared" si="42"/>
        <v>0.77</v>
      </c>
      <c r="J234" s="68">
        <f t="shared" si="42"/>
        <v>0.55000000000000004</v>
      </c>
      <c r="K234" s="68">
        <f t="shared" si="42"/>
        <v>0</v>
      </c>
      <c r="L234" s="68">
        <f t="shared" si="43"/>
        <v>0</v>
      </c>
      <c r="M234" s="68">
        <f t="shared" si="43"/>
        <v>0.82</v>
      </c>
      <c r="N234" s="68">
        <f t="shared" si="43"/>
        <v>0</v>
      </c>
      <c r="O234" s="68">
        <f t="shared" si="44"/>
        <v>0</v>
      </c>
      <c r="P234" s="68">
        <f t="shared" si="45"/>
        <v>0</v>
      </c>
    </row>
    <row r="235" spans="4:16" x14ac:dyDescent="0.25">
      <c r="D235" s="68" t="s">
        <v>172</v>
      </c>
      <c r="E235" s="68" t="s">
        <v>135</v>
      </c>
      <c r="F235" s="68" t="str">
        <f t="shared" si="42"/>
        <v>Spring</v>
      </c>
      <c r="G235" s="68">
        <f t="shared" si="42"/>
        <v>1</v>
      </c>
      <c r="H235" s="68">
        <f t="shared" si="42"/>
        <v>0.5</v>
      </c>
      <c r="I235" s="68">
        <f t="shared" si="42"/>
        <v>1</v>
      </c>
      <c r="J235" s="68">
        <f t="shared" si="42"/>
        <v>1</v>
      </c>
      <c r="K235" s="68">
        <f t="shared" si="42"/>
        <v>-0.44</v>
      </c>
      <c r="L235" s="68">
        <f t="shared" si="43"/>
        <v>-0.44</v>
      </c>
      <c r="M235" s="68">
        <f t="shared" si="43"/>
        <v>1</v>
      </c>
      <c r="N235" s="68">
        <f t="shared" si="43"/>
        <v>0.5</v>
      </c>
      <c r="O235" s="68">
        <f t="shared" si="44"/>
        <v>0.5</v>
      </c>
      <c r="P235" s="68">
        <f t="shared" si="45"/>
        <v>0.5</v>
      </c>
    </row>
    <row r="236" spans="4:16" x14ac:dyDescent="0.25">
      <c r="D236" s="68" t="s">
        <v>172</v>
      </c>
      <c r="E236" s="68" t="s">
        <v>135</v>
      </c>
      <c r="F236" s="68" t="str">
        <f t="shared" si="42"/>
        <v>Summer</v>
      </c>
      <c r="G236" s="68">
        <f t="shared" si="42"/>
        <v>0.82</v>
      </c>
      <c r="H236" s="68">
        <f t="shared" si="42"/>
        <v>0.55000000000000004</v>
      </c>
      <c r="I236" s="68">
        <f t="shared" si="42"/>
        <v>0.71</v>
      </c>
      <c r="J236" s="68">
        <f t="shared" si="42"/>
        <v>0.55000000000000004</v>
      </c>
      <c r="K236" s="68">
        <f t="shared" si="42"/>
        <v>0.99</v>
      </c>
      <c r="L236" s="68">
        <f t="shared" si="43"/>
        <v>0.99</v>
      </c>
      <c r="M236" s="68">
        <f t="shared" si="43"/>
        <v>0.77</v>
      </c>
      <c r="N236" s="68">
        <f t="shared" si="43"/>
        <v>0.5</v>
      </c>
      <c r="O236" s="68">
        <f t="shared" si="44"/>
        <v>0.5</v>
      </c>
      <c r="P236" s="68">
        <f t="shared" si="45"/>
        <v>0.5</v>
      </c>
    </row>
    <row r="237" spans="4:16" x14ac:dyDescent="0.25">
      <c r="D237" s="68" t="s">
        <v>172</v>
      </c>
      <c r="E237" s="68" t="s">
        <v>135</v>
      </c>
      <c r="F237" s="68" t="str">
        <f t="shared" si="42"/>
        <v>Autumn</v>
      </c>
      <c r="G237" s="68">
        <f t="shared" si="42"/>
        <v>0.77</v>
      </c>
      <c r="H237" s="68">
        <f t="shared" si="42"/>
        <v>0.5</v>
      </c>
      <c r="I237" s="68">
        <f t="shared" si="42"/>
        <v>0.55000000000000004</v>
      </c>
      <c r="J237" s="68">
        <f t="shared" si="42"/>
        <v>0.11</v>
      </c>
      <c r="K237" s="68">
        <f t="shared" si="42"/>
        <v>-0.33</v>
      </c>
      <c r="L237" s="68">
        <f t="shared" si="43"/>
        <v>-0.33</v>
      </c>
      <c r="M237" s="68">
        <f t="shared" si="43"/>
        <v>0.6</v>
      </c>
      <c r="N237" s="68">
        <f t="shared" si="43"/>
        <v>0.33</v>
      </c>
      <c r="O237" s="68">
        <f t="shared" si="44"/>
        <v>0.33</v>
      </c>
      <c r="P237" s="68">
        <f t="shared" si="45"/>
        <v>0.33</v>
      </c>
    </row>
    <row r="238" spans="4:16" x14ac:dyDescent="0.25">
      <c r="D238" s="68" t="s">
        <v>172</v>
      </c>
      <c r="E238" s="68" t="s">
        <v>135</v>
      </c>
      <c r="F238" s="68" t="str">
        <f t="shared" si="42"/>
        <v>Winter</v>
      </c>
      <c r="G238" s="68">
        <f t="shared" si="42"/>
        <v>0.11</v>
      </c>
      <c r="H238" s="68">
        <f t="shared" si="42"/>
        <v>-0.27</v>
      </c>
      <c r="I238" s="68">
        <f t="shared" si="42"/>
        <v>0.11</v>
      </c>
      <c r="J238" s="68">
        <f t="shared" si="42"/>
        <v>0.22</v>
      </c>
      <c r="K238" s="68">
        <f t="shared" si="42"/>
        <v>-0.44</v>
      </c>
      <c r="L238" s="68">
        <f t="shared" si="43"/>
        <v>-0.44</v>
      </c>
      <c r="M238" s="68">
        <f t="shared" si="43"/>
        <v>0.16</v>
      </c>
      <c r="N238" s="68">
        <f t="shared" si="43"/>
        <v>-0.22</v>
      </c>
      <c r="O238" s="68">
        <f t="shared" si="44"/>
        <v>-0.22</v>
      </c>
      <c r="P238" s="68">
        <f t="shared" si="45"/>
        <v>-0.22</v>
      </c>
    </row>
    <row r="239" spans="4:16" x14ac:dyDescent="0.25">
      <c r="D239" s="68" t="s">
        <v>173</v>
      </c>
      <c r="E239" s="68" t="s">
        <v>135</v>
      </c>
      <c r="F239" s="68" t="str">
        <f t="shared" si="42"/>
        <v>Spring</v>
      </c>
      <c r="G239" s="68">
        <f t="shared" si="42"/>
        <v>1.1000000000000001</v>
      </c>
      <c r="H239" s="68">
        <f t="shared" si="42"/>
        <v>1.1000000000000001</v>
      </c>
      <c r="I239" s="68">
        <f t="shared" si="42"/>
        <v>1.1000000000000001</v>
      </c>
      <c r="J239" s="68">
        <f t="shared" si="42"/>
        <v>0.99</v>
      </c>
      <c r="K239" s="68">
        <f t="shared" si="42"/>
        <v>0.99</v>
      </c>
      <c r="L239" s="68">
        <f t="shared" si="43"/>
        <v>0.99</v>
      </c>
      <c r="M239" s="68">
        <f t="shared" si="43"/>
        <v>1.1000000000000001</v>
      </c>
      <c r="N239" s="68">
        <f t="shared" si="43"/>
        <v>0.77</v>
      </c>
      <c r="O239" s="68">
        <f t="shared" si="44"/>
        <v>0.77</v>
      </c>
      <c r="P239" s="68">
        <f t="shared" si="45"/>
        <v>0.77</v>
      </c>
    </row>
    <row r="240" spans="4:16" x14ac:dyDescent="0.25">
      <c r="D240" s="68" t="s">
        <v>173</v>
      </c>
      <c r="E240" s="68" t="s">
        <v>135</v>
      </c>
      <c r="F240" s="68" t="str">
        <f t="shared" si="42"/>
        <v>Summer</v>
      </c>
      <c r="G240" s="68">
        <f t="shared" si="42"/>
        <v>0.33</v>
      </c>
      <c r="H240" s="68">
        <f t="shared" si="42"/>
        <v>0.33</v>
      </c>
      <c r="I240" s="68">
        <f t="shared" si="42"/>
        <v>0.22</v>
      </c>
      <c r="J240" s="68">
        <f t="shared" si="42"/>
        <v>0.33</v>
      </c>
      <c r="K240" s="68">
        <f t="shared" si="42"/>
        <v>-0.1</v>
      </c>
      <c r="L240" s="68">
        <f t="shared" si="43"/>
        <v>-0.1</v>
      </c>
      <c r="M240" s="68">
        <f t="shared" si="43"/>
        <v>0.33</v>
      </c>
      <c r="N240" s="68">
        <f t="shared" si="43"/>
        <v>0.11</v>
      </c>
      <c r="O240" s="68">
        <f t="shared" si="44"/>
        <v>0.11</v>
      </c>
      <c r="P240" s="68">
        <f t="shared" si="45"/>
        <v>0.11</v>
      </c>
    </row>
    <row r="241" spans="4:16" x14ac:dyDescent="0.25">
      <c r="D241" s="68" t="s">
        <v>173</v>
      </c>
      <c r="E241" s="68" t="s">
        <v>135</v>
      </c>
      <c r="F241" s="68" t="str">
        <f t="shared" si="42"/>
        <v>Autumn</v>
      </c>
      <c r="G241" s="68">
        <f t="shared" si="42"/>
        <v>0.5</v>
      </c>
      <c r="H241" s="68">
        <f t="shared" si="42"/>
        <v>0.2</v>
      </c>
      <c r="I241" s="68">
        <f t="shared" si="42"/>
        <v>0.55000000000000004</v>
      </c>
      <c r="J241" s="68">
        <f t="shared" si="42"/>
        <v>0.44</v>
      </c>
      <c r="K241" s="68">
        <f t="shared" si="42"/>
        <v>0.2</v>
      </c>
      <c r="L241" s="68">
        <f t="shared" si="43"/>
        <v>0.2</v>
      </c>
      <c r="M241" s="68">
        <f t="shared" si="43"/>
        <v>0.55000000000000004</v>
      </c>
      <c r="N241" s="68">
        <f t="shared" si="43"/>
        <v>0.2</v>
      </c>
      <c r="O241" s="68">
        <f t="shared" si="44"/>
        <v>0.2</v>
      </c>
      <c r="P241" s="68">
        <f t="shared" si="45"/>
        <v>0.2</v>
      </c>
    </row>
    <row r="242" spans="4:16" x14ac:dyDescent="0.25">
      <c r="D242" s="68" t="s">
        <v>173</v>
      </c>
      <c r="E242" s="68" t="s">
        <v>135</v>
      </c>
      <c r="F242" s="68" t="str">
        <f t="shared" si="42"/>
        <v>Winter</v>
      </c>
      <c r="G242" s="68">
        <f t="shared" si="42"/>
        <v>0.55000000000000004</v>
      </c>
      <c r="H242" s="68">
        <f t="shared" si="42"/>
        <v>0.22</v>
      </c>
      <c r="I242" s="68">
        <f t="shared" si="42"/>
        <v>0.49</v>
      </c>
      <c r="J242" s="68">
        <f t="shared" si="42"/>
        <v>0.22</v>
      </c>
      <c r="K242" s="68">
        <f t="shared" si="42"/>
        <v>0.22</v>
      </c>
      <c r="L242" s="68">
        <f t="shared" si="43"/>
        <v>0.22</v>
      </c>
      <c r="M242" s="68">
        <f t="shared" si="43"/>
        <v>0.49</v>
      </c>
      <c r="N242" s="68">
        <f t="shared" si="43"/>
        <v>0.33</v>
      </c>
      <c r="O242" s="68">
        <f t="shared" si="44"/>
        <v>0.33</v>
      </c>
      <c r="P242" s="68">
        <f t="shared" si="45"/>
        <v>0.33</v>
      </c>
    </row>
    <row r="243" spans="4:16" x14ac:dyDescent="0.25">
      <c r="D243" s="68" t="s">
        <v>174</v>
      </c>
      <c r="E243" s="68" t="str">
        <f>E171</f>
        <v>South West</v>
      </c>
      <c r="F243" s="68" t="str">
        <f t="shared" si="42"/>
        <v>Spring</v>
      </c>
      <c r="G243" s="68">
        <f t="shared" si="42"/>
        <v>1.64</v>
      </c>
      <c r="H243" s="68">
        <f t="shared" si="42"/>
        <v>1.1000000000000001</v>
      </c>
      <c r="I243" s="68">
        <f t="shared" si="42"/>
        <v>1.21</v>
      </c>
      <c r="J243" s="68">
        <f t="shared" si="42"/>
        <v>0.99</v>
      </c>
      <c r="K243" s="68">
        <f t="shared" si="42"/>
        <v>0.66</v>
      </c>
      <c r="L243" s="68">
        <f t="shared" si="43"/>
        <v>0.66</v>
      </c>
      <c r="M243" s="68">
        <f t="shared" si="43"/>
        <v>1.42</v>
      </c>
      <c r="N243" s="68">
        <f t="shared" si="43"/>
        <v>1.1000000000000001</v>
      </c>
      <c r="O243" s="68">
        <f t="shared" si="44"/>
        <v>1.1000000000000001</v>
      </c>
      <c r="P243" s="68">
        <f t="shared" si="45"/>
        <v>1.1000000000000001</v>
      </c>
    </row>
    <row r="244" spans="4:16" x14ac:dyDescent="0.25">
      <c r="D244" s="68" t="s">
        <v>174</v>
      </c>
      <c r="E244" s="68" t="str">
        <f t="shared" ref="E244:K254" si="46">E172</f>
        <v>South West</v>
      </c>
      <c r="F244" s="68" t="str">
        <f t="shared" si="42"/>
        <v>Summer</v>
      </c>
      <c r="G244" s="68">
        <f t="shared" si="42"/>
        <v>0.44</v>
      </c>
      <c r="H244" s="68">
        <f t="shared" si="42"/>
        <v>-0.22</v>
      </c>
      <c r="I244" s="68">
        <f t="shared" si="42"/>
        <v>0.44</v>
      </c>
      <c r="J244" s="68">
        <f t="shared" si="42"/>
        <v>0.33</v>
      </c>
      <c r="K244" s="68">
        <f t="shared" si="42"/>
        <v>-0.22</v>
      </c>
      <c r="L244" s="68">
        <f t="shared" si="43"/>
        <v>-0.22</v>
      </c>
      <c r="M244" s="68">
        <f t="shared" si="43"/>
        <v>0.44</v>
      </c>
      <c r="N244" s="68">
        <f t="shared" si="43"/>
        <v>-0.11</v>
      </c>
      <c r="O244" s="68">
        <f t="shared" si="44"/>
        <v>-0.11</v>
      </c>
      <c r="P244" s="68">
        <f t="shared" si="45"/>
        <v>-0.11</v>
      </c>
    </row>
    <row r="245" spans="4:16" x14ac:dyDescent="0.25">
      <c r="D245" s="68" t="s">
        <v>174</v>
      </c>
      <c r="E245" s="68" t="str">
        <f t="shared" si="46"/>
        <v>South West</v>
      </c>
      <c r="F245" s="68" t="str">
        <f t="shared" si="42"/>
        <v>Autumn</v>
      </c>
      <c r="G245" s="68">
        <f t="shared" si="42"/>
        <v>0.6</v>
      </c>
      <c r="H245" s="68">
        <f t="shared" si="42"/>
        <v>0</v>
      </c>
      <c r="I245" s="68">
        <f t="shared" si="42"/>
        <v>0.6</v>
      </c>
      <c r="J245" s="68">
        <f t="shared" si="42"/>
        <v>0.22</v>
      </c>
      <c r="K245" s="68">
        <f t="shared" si="42"/>
        <v>-0.55000000000000004</v>
      </c>
      <c r="L245" s="68">
        <f t="shared" si="43"/>
        <v>-0.55000000000000004</v>
      </c>
      <c r="M245" s="68">
        <f t="shared" si="43"/>
        <v>0.6</v>
      </c>
      <c r="N245" s="68">
        <f t="shared" si="43"/>
        <v>0</v>
      </c>
      <c r="O245" s="68">
        <f t="shared" si="44"/>
        <v>0</v>
      </c>
      <c r="P245" s="68">
        <f t="shared" si="45"/>
        <v>0</v>
      </c>
    </row>
    <row r="246" spans="4:16" x14ac:dyDescent="0.25">
      <c r="D246" s="68" t="s">
        <v>174</v>
      </c>
      <c r="E246" s="68" t="str">
        <f t="shared" si="46"/>
        <v>South West</v>
      </c>
      <c r="F246" s="68" t="str">
        <f t="shared" si="42"/>
        <v>Winter</v>
      </c>
      <c r="G246" s="68">
        <f t="shared" si="42"/>
        <v>0.99</v>
      </c>
      <c r="H246" s="68">
        <f t="shared" si="42"/>
        <v>0.22</v>
      </c>
      <c r="I246" s="68">
        <f t="shared" si="42"/>
        <v>0.77</v>
      </c>
      <c r="J246" s="68">
        <f t="shared" si="42"/>
        <v>0.11</v>
      </c>
      <c r="K246" s="68">
        <f t="shared" si="42"/>
        <v>0.11</v>
      </c>
      <c r="L246" s="68">
        <f t="shared" si="43"/>
        <v>0.11</v>
      </c>
      <c r="M246" s="68">
        <f t="shared" si="43"/>
        <v>0.77</v>
      </c>
      <c r="N246" s="68">
        <f t="shared" si="43"/>
        <v>0.44</v>
      </c>
      <c r="O246" s="68">
        <f t="shared" si="44"/>
        <v>0.44</v>
      </c>
      <c r="P246" s="68">
        <f t="shared" si="45"/>
        <v>0.44</v>
      </c>
    </row>
    <row r="247" spans="4:16" x14ac:dyDescent="0.25">
      <c r="D247" s="68" t="s">
        <v>174</v>
      </c>
      <c r="E247" s="68" t="str">
        <f t="shared" si="46"/>
        <v>Pilbara</v>
      </c>
      <c r="F247" s="68" t="str">
        <f t="shared" si="42"/>
        <v>Spring</v>
      </c>
      <c r="G247" s="68">
        <f t="shared" si="42"/>
        <v>0.7</v>
      </c>
      <c r="H247" s="68">
        <f t="shared" si="42"/>
        <v>-0.55000000000000004</v>
      </c>
      <c r="I247" s="68">
        <f t="shared" si="42"/>
        <v>0.7</v>
      </c>
      <c r="J247" s="68">
        <f t="shared" si="42"/>
        <v>0.22</v>
      </c>
      <c r="K247" s="68">
        <f t="shared" si="42"/>
        <v>-0.22</v>
      </c>
      <c r="L247" s="68">
        <f t="shared" si="43"/>
        <v>-0.22</v>
      </c>
      <c r="M247" s="68">
        <f t="shared" si="43"/>
        <v>0.7</v>
      </c>
      <c r="N247" s="68">
        <f t="shared" si="43"/>
        <v>-0.22</v>
      </c>
      <c r="O247" s="68">
        <f t="shared" si="44"/>
        <v>-0.22</v>
      </c>
      <c r="P247" s="68">
        <f t="shared" si="45"/>
        <v>-0.22</v>
      </c>
    </row>
    <row r="248" spans="4:16" x14ac:dyDescent="0.25">
      <c r="D248" s="68" t="s">
        <v>174</v>
      </c>
      <c r="E248" s="68" t="str">
        <f t="shared" si="46"/>
        <v>Pilbara</v>
      </c>
      <c r="F248" s="68" t="str">
        <f t="shared" si="46"/>
        <v>Summer</v>
      </c>
      <c r="G248" s="68">
        <f t="shared" si="46"/>
        <v>0.77</v>
      </c>
      <c r="H248" s="68">
        <f t="shared" si="46"/>
        <v>0.55000000000000004</v>
      </c>
      <c r="I248" s="68">
        <f t="shared" si="46"/>
        <v>0.77</v>
      </c>
      <c r="J248" s="68">
        <f t="shared" si="46"/>
        <v>0.66</v>
      </c>
      <c r="K248" s="68">
        <f t="shared" si="46"/>
        <v>0.55000000000000004</v>
      </c>
      <c r="L248" s="68">
        <f t="shared" ref="L248:N254" si="47">K176</f>
        <v>0.55000000000000004</v>
      </c>
      <c r="M248" s="68">
        <f t="shared" si="47"/>
        <v>0.77</v>
      </c>
      <c r="N248" s="68">
        <f t="shared" si="47"/>
        <v>0.33</v>
      </c>
      <c r="O248" s="68">
        <f t="shared" si="44"/>
        <v>0.33</v>
      </c>
      <c r="P248" s="68">
        <f t="shared" si="45"/>
        <v>0.33</v>
      </c>
    </row>
    <row r="249" spans="4:16" x14ac:dyDescent="0.25">
      <c r="D249" s="68" t="s">
        <v>174</v>
      </c>
      <c r="E249" s="68" t="str">
        <f t="shared" si="46"/>
        <v>Pilbara</v>
      </c>
      <c r="F249" s="68" t="str">
        <f t="shared" si="46"/>
        <v>Autumn</v>
      </c>
      <c r="G249" s="68">
        <f t="shared" si="46"/>
        <v>0.88</v>
      </c>
      <c r="H249" s="68">
        <f t="shared" si="46"/>
        <v>0.55000000000000004</v>
      </c>
      <c r="I249" s="68">
        <f t="shared" si="46"/>
        <v>0.88</v>
      </c>
      <c r="J249" s="68">
        <f t="shared" si="46"/>
        <v>0.22</v>
      </c>
      <c r="K249" s="68">
        <f t="shared" si="46"/>
        <v>0.22</v>
      </c>
      <c r="L249" s="68">
        <f t="shared" si="47"/>
        <v>0.22</v>
      </c>
      <c r="M249" s="68">
        <f t="shared" si="47"/>
        <v>0.88</v>
      </c>
      <c r="N249" s="68">
        <f t="shared" si="47"/>
        <v>0.22</v>
      </c>
      <c r="O249" s="68">
        <f t="shared" si="44"/>
        <v>0.22</v>
      </c>
      <c r="P249" s="68">
        <f t="shared" si="45"/>
        <v>0.22</v>
      </c>
    </row>
    <row r="250" spans="4:16" x14ac:dyDescent="0.25">
      <c r="D250" s="68" t="s">
        <v>174</v>
      </c>
      <c r="E250" s="68" t="str">
        <f t="shared" si="46"/>
        <v>Pilbara</v>
      </c>
      <c r="F250" s="68" t="str">
        <f t="shared" si="46"/>
        <v>Winter</v>
      </c>
      <c r="G250" s="68">
        <f t="shared" si="46"/>
        <v>0.22</v>
      </c>
      <c r="H250" s="68">
        <f t="shared" si="46"/>
        <v>-0.55000000000000004</v>
      </c>
      <c r="I250" s="68">
        <f t="shared" si="46"/>
        <v>0.22</v>
      </c>
      <c r="J250" s="68">
        <f t="shared" si="46"/>
        <v>0.11</v>
      </c>
      <c r="K250" s="68">
        <f t="shared" si="46"/>
        <v>-0.22</v>
      </c>
      <c r="L250" s="68">
        <f t="shared" si="47"/>
        <v>-0.22</v>
      </c>
      <c r="M250" s="68">
        <f t="shared" si="47"/>
        <v>0.22</v>
      </c>
      <c r="N250" s="68">
        <f t="shared" si="47"/>
        <v>-0.33</v>
      </c>
      <c r="O250" s="68">
        <f t="shared" si="44"/>
        <v>-0.33</v>
      </c>
      <c r="P250" s="68">
        <f t="shared" si="45"/>
        <v>-0.33</v>
      </c>
    </row>
    <row r="251" spans="4:16" x14ac:dyDescent="0.25">
      <c r="D251" s="68" t="s">
        <v>174</v>
      </c>
      <c r="E251" s="68" t="str">
        <f t="shared" si="46"/>
        <v>Kimberley</v>
      </c>
      <c r="F251" s="68" t="str">
        <f t="shared" si="46"/>
        <v>Spring</v>
      </c>
      <c r="G251" s="68">
        <f t="shared" si="46"/>
        <v>0.22</v>
      </c>
      <c r="H251" s="68">
        <f t="shared" si="46"/>
        <v>-0.55000000000000004</v>
      </c>
      <c r="I251" s="68">
        <f t="shared" si="46"/>
        <v>0.33</v>
      </c>
      <c r="J251" s="68">
        <f t="shared" si="46"/>
        <v>0.22</v>
      </c>
      <c r="K251" s="68">
        <f t="shared" si="46"/>
        <v>-0.33</v>
      </c>
      <c r="L251" s="68">
        <f t="shared" si="47"/>
        <v>-0.33</v>
      </c>
      <c r="M251" s="68">
        <f t="shared" si="47"/>
        <v>0.22</v>
      </c>
      <c r="N251" s="68">
        <f t="shared" si="47"/>
        <v>-0.55000000000000004</v>
      </c>
      <c r="O251" s="68">
        <f t="shared" si="44"/>
        <v>-0.55000000000000004</v>
      </c>
      <c r="P251" s="68">
        <f t="shared" si="45"/>
        <v>-0.55000000000000004</v>
      </c>
    </row>
    <row r="252" spans="4:16" x14ac:dyDescent="0.25">
      <c r="D252" s="68" t="s">
        <v>174</v>
      </c>
      <c r="E252" s="68" t="str">
        <f t="shared" si="46"/>
        <v>Kimberley</v>
      </c>
      <c r="F252" s="68" t="str">
        <f t="shared" si="46"/>
        <v>Summer</v>
      </c>
      <c r="G252" s="68">
        <f t="shared" si="46"/>
        <v>0.8</v>
      </c>
      <c r="H252" s="68">
        <f t="shared" si="46"/>
        <v>0.55000000000000004</v>
      </c>
      <c r="I252" s="68">
        <f t="shared" si="46"/>
        <v>0.7</v>
      </c>
      <c r="J252" s="68">
        <f t="shared" si="46"/>
        <v>0.44</v>
      </c>
      <c r="K252" s="68">
        <f t="shared" si="46"/>
        <v>0.66</v>
      </c>
      <c r="L252" s="68">
        <f t="shared" si="47"/>
        <v>0.66</v>
      </c>
      <c r="M252" s="68">
        <f t="shared" si="47"/>
        <v>0.8</v>
      </c>
      <c r="N252" s="68">
        <f t="shared" si="47"/>
        <v>0.55000000000000004</v>
      </c>
      <c r="O252" s="68">
        <f t="shared" si="44"/>
        <v>0.55000000000000004</v>
      </c>
      <c r="P252" s="68">
        <f t="shared" si="45"/>
        <v>0.55000000000000004</v>
      </c>
    </row>
    <row r="253" spans="4:16" x14ac:dyDescent="0.25">
      <c r="D253" s="68" t="s">
        <v>174</v>
      </c>
      <c r="E253" s="68" t="str">
        <f t="shared" si="46"/>
        <v>Kimberley</v>
      </c>
      <c r="F253" s="68" t="str">
        <f t="shared" si="46"/>
        <v>Autumn</v>
      </c>
      <c r="G253" s="68">
        <f t="shared" si="46"/>
        <v>0.66</v>
      </c>
      <c r="H253" s="68">
        <f t="shared" si="46"/>
        <v>0.55000000000000004</v>
      </c>
      <c r="I253" s="68">
        <f t="shared" si="46"/>
        <v>0.55000000000000004</v>
      </c>
      <c r="J253" s="68">
        <f t="shared" si="46"/>
        <v>0.55000000000000004</v>
      </c>
      <c r="K253" s="68">
        <f t="shared" si="46"/>
        <v>0.11</v>
      </c>
      <c r="L253" s="68">
        <f t="shared" si="47"/>
        <v>0.11</v>
      </c>
      <c r="M253" s="68">
        <f t="shared" si="47"/>
        <v>0.66</v>
      </c>
      <c r="N253" s="68">
        <f t="shared" si="47"/>
        <v>0.55000000000000004</v>
      </c>
      <c r="O253" s="68">
        <f t="shared" si="44"/>
        <v>0.55000000000000004</v>
      </c>
      <c r="P253" s="68">
        <f t="shared" si="45"/>
        <v>0.55000000000000004</v>
      </c>
    </row>
    <row r="254" spans="4:16" x14ac:dyDescent="0.25">
      <c r="D254" s="68" t="s">
        <v>174</v>
      </c>
      <c r="E254" s="68" t="str">
        <f t="shared" si="46"/>
        <v>Kimberley</v>
      </c>
      <c r="F254" s="68" t="str">
        <f t="shared" si="46"/>
        <v>Winter</v>
      </c>
      <c r="G254" s="68">
        <f t="shared" si="46"/>
        <v>0.33</v>
      </c>
      <c r="H254" s="68">
        <f t="shared" si="46"/>
        <v>-0.55000000000000004</v>
      </c>
      <c r="I254" s="68">
        <f t="shared" si="46"/>
        <v>0.11</v>
      </c>
      <c r="J254" s="68">
        <f t="shared" si="46"/>
        <v>0.11</v>
      </c>
      <c r="K254" s="68">
        <f t="shared" si="46"/>
        <v>-0.44</v>
      </c>
      <c r="L254" s="68">
        <f t="shared" si="47"/>
        <v>-0.44</v>
      </c>
      <c r="M254" s="68">
        <f t="shared" si="47"/>
        <v>0.33</v>
      </c>
      <c r="N254" s="68">
        <f t="shared" si="47"/>
        <v>-0.55000000000000004</v>
      </c>
      <c r="O254" s="68">
        <f t="shared" si="44"/>
        <v>-0.55000000000000004</v>
      </c>
      <c r="P254" s="68">
        <f t="shared" si="45"/>
        <v>-0.55000000000000004</v>
      </c>
    </row>
    <row r="255" spans="4:16" x14ac:dyDescent="0.25">
      <c r="D255" s="68" t="s">
        <v>175</v>
      </c>
      <c r="E255" s="68" t="str">
        <f>E190</f>
        <v>Alice Springs</v>
      </c>
      <c r="F255" s="68" t="str">
        <f>F190</f>
        <v>Spring</v>
      </c>
      <c r="G255" s="68">
        <f>G190</f>
        <v>0.22</v>
      </c>
      <c r="H255" s="68">
        <f t="shared" ref="H255:P255" si="48">H190</f>
        <v>-0.23</v>
      </c>
      <c r="I255" s="68">
        <f t="shared" si="48"/>
        <v>0.25</v>
      </c>
      <c r="J255" s="68">
        <f t="shared" si="48"/>
        <v>0.17</v>
      </c>
      <c r="K255" s="68">
        <f t="shared" si="48"/>
        <v>0.18</v>
      </c>
      <c r="L255" s="68">
        <f t="shared" si="48"/>
        <v>-0.28000000000000003</v>
      </c>
      <c r="M255" s="68">
        <f t="shared" si="48"/>
        <v>0.32</v>
      </c>
      <c r="N255" s="68">
        <f t="shared" si="48"/>
        <v>0.24</v>
      </c>
      <c r="O255" s="68">
        <f t="shared" si="48"/>
        <v>0.25</v>
      </c>
      <c r="P255" s="68">
        <f t="shared" si="48"/>
        <v>-0.05</v>
      </c>
    </row>
    <row r="256" spans="4:16" x14ac:dyDescent="0.25">
      <c r="D256" s="68" t="s">
        <v>175</v>
      </c>
      <c r="E256" s="68" t="str">
        <f t="shared" ref="E256:P271" si="49">E191</f>
        <v>Alice Springs</v>
      </c>
      <c r="F256" s="68" t="str">
        <f t="shared" si="49"/>
        <v>Summer</v>
      </c>
      <c r="G256" s="68">
        <f t="shared" si="49"/>
        <v>0.66</v>
      </c>
      <c r="H256" s="68">
        <f t="shared" si="49"/>
        <v>0.2</v>
      </c>
      <c r="I256" s="68">
        <f t="shared" si="49"/>
        <v>0.62</v>
      </c>
      <c r="J256" s="68">
        <f t="shared" si="49"/>
        <v>0.54</v>
      </c>
      <c r="K256" s="68">
        <f t="shared" si="49"/>
        <v>0.38</v>
      </c>
      <c r="L256" s="68">
        <f t="shared" si="49"/>
        <v>0.27</v>
      </c>
      <c r="M256" s="68">
        <f t="shared" si="49"/>
        <v>0.75</v>
      </c>
      <c r="N256" s="68">
        <f t="shared" si="49"/>
        <v>0.64</v>
      </c>
      <c r="O256" s="68">
        <f t="shared" si="49"/>
        <v>0.55000000000000004</v>
      </c>
      <c r="P256" s="68">
        <f t="shared" si="49"/>
        <v>0.48</v>
      </c>
    </row>
    <row r="257" spans="4:16" x14ac:dyDescent="0.25">
      <c r="D257" s="68" t="s">
        <v>175</v>
      </c>
      <c r="E257" s="68" t="str">
        <f t="shared" si="49"/>
        <v>Alice Springs</v>
      </c>
      <c r="F257" s="68" t="str">
        <f t="shared" si="49"/>
        <v>Autumn</v>
      </c>
      <c r="G257" s="68">
        <f t="shared" si="49"/>
        <v>0.49</v>
      </c>
      <c r="H257" s="68">
        <f t="shared" si="49"/>
        <v>0.13</v>
      </c>
      <c r="I257" s="68">
        <f t="shared" si="49"/>
        <v>0.54</v>
      </c>
      <c r="J257" s="68">
        <f t="shared" si="49"/>
        <v>0.45</v>
      </c>
      <c r="K257" s="68">
        <f t="shared" si="49"/>
        <v>0.35</v>
      </c>
      <c r="L257" s="68">
        <f t="shared" si="49"/>
        <v>0.15</v>
      </c>
      <c r="M257" s="68">
        <f t="shared" si="49"/>
        <v>0.63</v>
      </c>
      <c r="N257" s="68">
        <f t="shared" si="49"/>
        <v>0.54</v>
      </c>
      <c r="O257" s="68">
        <f t="shared" si="49"/>
        <v>0.42</v>
      </c>
      <c r="P257" s="68">
        <f t="shared" si="49"/>
        <v>0.26</v>
      </c>
    </row>
    <row r="258" spans="4:16" x14ac:dyDescent="0.25">
      <c r="D258" s="68" t="s">
        <v>175</v>
      </c>
      <c r="E258" s="68" t="str">
        <f t="shared" si="49"/>
        <v>Alice Springs</v>
      </c>
      <c r="F258" s="68" t="str">
        <f t="shared" si="49"/>
        <v>Winter</v>
      </c>
      <c r="G258" s="68">
        <f t="shared" si="49"/>
        <v>0.27</v>
      </c>
      <c r="H258" s="68">
        <f t="shared" si="49"/>
        <v>-0.8</v>
      </c>
      <c r="I258" s="68">
        <f t="shared" si="49"/>
        <v>0.22</v>
      </c>
      <c r="J258" s="68">
        <f t="shared" si="49"/>
        <v>0.09</v>
      </c>
      <c r="K258" s="68">
        <f t="shared" si="49"/>
        <v>0.12</v>
      </c>
      <c r="L258" s="68">
        <f t="shared" si="49"/>
        <v>0.02</v>
      </c>
      <c r="M258" s="68">
        <f t="shared" si="49"/>
        <v>0.25</v>
      </c>
      <c r="N258" s="68">
        <f t="shared" si="49"/>
        <v>0.18</v>
      </c>
      <c r="O258" s="68">
        <f t="shared" si="49"/>
        <v>0.12</v>
      </c>
      <c r="P258" s="68">
        <f t="shared" si="49"/>
        <v>0.03</v>
      </c>
    </row>
    <row r="259" spans="4:16" x14ac:dyDescent="0.25">
      <c r="D259" s="68" t="s">
        <v>175</v>
      </c>
      <c r="E259" s="68" t="str">
        <f t="shared" si="49"/>
        <v>Barkly</v>
      </c>
      <c r="F259" s="68" t="str">
        <f t="shared" si="49"/>
        <v>Spring</v>
      </c>
      <c r="G259" s="68">
        <f t="shared" si="49"/>
        <v>0.22</v>
      </c>
      <c r="H259" s="68">
        <f t="shared" si="49"/>
        <v>-0.44</v>
      </c>
      <c r="I259" s="68">
        <f t="shared" si="49"/>
        <v>0.2</v>
      </c>
      <c r="J259" s="68">
        <f t="shared" si="49"/>
        <v>0.21</v>
      </c>
      <c r="K259" s="68">
        <f t="shared" si="49"/>
        <v>0.18</v>
      </c>
      <c r="L259" s="68">
        <f t="shared" si="49"/>
        <v>0.01</v>
      </c>
      <c r="M259" s="68">
        <f t="shared" si="49"/>
        <v>0.12</v>
      </c>
      <c r="N259" s="68">
        <f t="shared" si="49"/>
        <v>0.09</v>
      </c>
      <c r="O259" s="68" t="str">
        <f t="shared" si="49"/>
        <v>NO</v>
      </c>
      <c r="P259" s="68" t="str">
        <f t="shared" si="49"/>
        <v>NO</v>
      </c>
    </row>
    <row r="260" spans="4:16" x14ac:dyDescent="0.25">
      <c r="D260" s="68" t="s">
        <v>175</v>
      </c>
      <c r="E260" s="68" t="str">
        <f t="shared" si="49"/>
        <v>Barkly</v>
      </c>
      <c r="F260" s="68" t="str">
        <f t="shared" si="49"/>
        <v>Summer</v>
      </c>
      <c r="G260" s="68">
        <f t="shared" si="49"/>
        <v>0.66</v>
      </c>
      <c r="H260" s="68">
        <f t="shared" si="49"/>
        <v>0.22</v>
      </c>
      <c r="I260" s="68">
        <f t="shared" si="49"/>
        <v>0.68</v>
      </c>
      <c r="J260" s="68">
        <f t="shared" si="49"/>
        <v>0.22</v>
      </c>
      <c r="K260" s="68">
        <f t="shared" si="49"/>
        <v>0.24</v>
      </c>
      <c r="L260" s="68">
        <f t="shared" si="49"/>
        <v>0.25</v>
      </c>
      <c r="M260" s="68">
        <f t="shared" si="49"/>
        <v>0.64</v>
      </c>
      <c r="N260" s="68">
        <f t="shared" si="49"/>
        <v>0.37</v>
      </c>
      <c r="O260" s="68" t="str">
        <f t="shared" si="49"/>
        <v>NO</v>
      </c>
      <c r="P260" s="68" t="str">
        <f t="shared" si="49"/>
        <v>NO</v>
      </c>
    </row>
    <row r="261" spans="4:16" x14ac:dyDescent="0.25">
      <c r="D261" s="68" t="s">
        <v>175</v>
      </c>
      <c r="E261" s="68" t="str">
        <f t="shared" si="49"/>
        <v>Barkly</v>
      </c>
      <c r="F261" s="68" t="str">
        <f t="shared" si="49"/>
        <v>Autumn</v>
      </c>
      <c r="G261" s="68">
        <f t="shared" si="49"/>
        <v>0.49</v>
      </c>
      <c r="H261" s="68">
        <f t="shared" si="49"/>
        <v>0.05</v>
      </c>
      <c r="I261" s="68">
        <f t="shared" si="49"/>
        <v>0.64</v>
      </c>
      <c r="J261" s="68">
        <f t="shared" si="49"/>
        <v>0.25</v>
      </c>
      <c r="K261" s="68">
        <f t="shared" si="49"/>
        <v>0.28999999999999998</v>
      </c>
      <c r="L261" s="68">
        <f t="shared" si="49"/>
        <v>0.12</v>
      </c>
      <c r="M261" s="68">
        <f t="shared" si="49"/>
        <v>0.56999999999999995</v>
      </c>
      <c r="N261" s="68">
        <f t="shared" si="49"/>
        <v>0.49</v>
      </c>
      <c r="O261" s="68" t="str">
        <f t="shared" si="49"/>
        <v>NO</v>
      </c>
      <c r="P261" s="68" t="str">
        <f t="shared" si="49"/>
        <v>NO</v>
      </c>
    </row>
    <row r="262" spans="4:16" x14ac:dyDescent="0.25">
      <c r="D262" s="68" t="s">
        <v>175</v>
      </c>
      <c r="E262" s="68" t="str">
        <f t="shared" si="49"/>
        <v>Barkly</v>
      </c>
      <c r="F262" s="68" t="str">
        <f t="shared" si="49"/>
        <v>Winter</v>
      </c>
      <c r="G262" s="68">
        <f t="shared" si="49"/>
        <v>0.27</v>
      </c>
      <c r="H262" s="68">
        <f t="shared" si="49"/>
        <v>-0.27</v>
      </c>
      <c r="I262" s="68">
        <f t="shared" si="49"/>
        <v>0.31</v>
      </c>
      <c r="J262" s="68">
        <f t="shared" si="49"/>
        <v>0.28999999999999998</v>
      </c>
      <c r="K262" s="68">
        <f t="shared" si="49"/>
        <v>0.19</v>
      </c>
      <c r="L262" s="68">
        <f t="shared" si="49"/>
        <v>0.04</v>
      </c>
      <c r="M262" s="68">
        <f t="shared" si="49"/>
        <v>0.26</v>
      </c>
      <c r="N262" s="68">
        <f t="shared" si="49"/>
        <v>0.28000000000000003</v>
      </c>
      <c r="O262" s="68" t="str">
        <f t="shared" si="49"/>
        <v>NO</v>
      </c>
      <c r="P262" s="68" t="str">
        <f t="shared" si="49"/>
        <v>NO</v>
      </c>
    </row>
    <row r="263" spans="4:16" x14ac:dyDescent="0.25">
      <c r="D263" s="68" t="s">
        <v>175</v>
      </c>
      <c r="E263" s="68" t="str">
        <f t="shared" si="49"/>
        <v>Northern</v>
      </c>
      <c r="F263" s="68" t="str">
        <f t="shared" si="49"/>
        <v>Spring</v>
      </c>
      <c r="G263" s="68">
        <f t="shared" si="49"/>
        <v>0.22</v>
      </c>
      <c r="H263" s="68">
        <f t="shared" si="49"/>
        <v>-0.44</v>
      </c>
      <c r="I263" s="68">
        <f t="shared" si="49"/>
        <v>0</v>
      </c>
      <c r="J263" s="68">
        <f t="shared" si="49"/>
        <v>0.15</v>
      </c>
      <c r="K263" s="68">
        <f t="shared" si="49"/>
        <v>0.08</v>
      </c>
      <c r="L263" s="68">
        <f t="shared" si="49"/>
        <v>0.17</v>
      </c>
      <c r="M263" s="68">
        <f t="shared" si="49"/>
        <v>0.06</v>
      </c>
      <c r="N263" s="68">
        <f t="shared" si="49"/>
        <v>0.02</v>
      </c>
      <c r="O263" s="68">
        <f t="shared" si="49"/>
        <v>-0.14000000000000001</v>
      </c>
      <c r="P263" s="68" t="str">
        <f t="shared" si="49"/>
        <v>NO</v>
      </c>
    </row>
    <row r="264" spans="4:16" x14ac:dyDescent="0.25">
      <c r="D264" s="68" t="s">
        <v>175</v>
      </c>
      <c r="E264" s="68" t="str">
        <f t="shared" si="49"/>
        <v>Northern</v>
      </c>
      <c r="F264" s="68" t="str">
        <f t="shared" si="49"/>
        <v>Summer</v>
      </c>
      <c r="G264" s="68">
        <f t="shared" si="49"/>
        <v>0.66</v>
      </c>
      <c r="H264" s="68">
        <f t="shared" si="49"/>
        <v>0.22</v>
      </c>
      <c r="I264" s="68">
        <f t="shared" si="49"/>
        <v>0.79</v>
      </c>
      <c r="J264" s="68">
        <f t="shared" si="49"/>
        <v>0.4</v>
      </c>
      <c r="K264" s="68">
        <f t="shared" si="49"/>
        <v>0.38</v>
      </c>
      <c r="L264" s="68">
        <f t="shared" si="49"/>
        <v>0.27</v>
      </c>
      <c r="M264" s="68">
        <f t="shared" si="49"/>
        <v>0.8</v>
      </c>
      <c r="N264" s="68">
        <f t="shared" si="49"/>
        <v>0.16</v>
      </c>
      <c r="O264" s="68">
        <f t="shared" si="49"/>
        <v>0.3</v>
      </c>
      <c r="P264" s="68" t="str">
        <f t="shared" si="49"/>
        <v>NO</v>
      </c>
    </row>
    <row r="265" spans="4:16" x14ac:dyDescent="0.25">
      <c r="D265" s="68" t="s">
        <v>175</v>
      </c>
      <c r="E265" s="68" t="str">
        <f t="shared" si="49"/>
        <v>Northern</v>
      </c>
      <c r="F265" s="68" t="str">
        <f t="shared" si="49"/>
        <v>Autumn</v>
      </c>
      <c r="G265" s="68">
        <f t="shared" si="49"/>
        <v>0.49</v>
      </c>
      <c r="H265" s="68">
        <f t="shared" si="49"/>
        <v>0.05</v>
      </c>
      <c r="I265" s="68">
        <f t="shared" si="49"/>
        <v>0.55000000000000004</v>
      </c>
      <c r="J265" s="68">
        <f t="shared" si="49"/>
        <v>0.38</v>
      </c>
      <c r="K265" s="68">
        <f t="shared" si="49"/>
        <v>0.36</v>
      </c>
      <c r="L265" s="68">
        <f t="shared" si="49"/>
        <v>0.06</v>
      </c>
      <c r="M265" s="68">
        <f t="shared" si="49"/>
        <v>0.57999999999999996</v>
      </c>
      <c r="N265" s="68">
        <f t="shared" si="49"/>
        <v>0.23</v>
      </c>
      <c r="O265" s="68">
        <f t="shared" si="49"/>
        <v>0.4</v>
      </c>
      <c r="P265" s="68" t="str">
        <f t="shared" si="49"/>
        <v>NO</v>
      </c>
    </row>
    <row r="266" spans="4:16" x14ac:dyDescent="0.25">
      <c r="D266" s="68" t="s">
        <v>175</v>
      </c>
      <c r="E266" s="68" t="str">
        <f t="shared" si="49"/>
        <v>Northern</v>
      </c>
      <c r="F266" s="68" t="str">
        <f t="shared" si="49"/>
        <v>Winter</v>
      </c>
      <c r="G266" s="68">
        <f t="shared" si="49"/>
        <v>0.27</v>
      </c>
      <c r="H266" s="68">
        <f t="shared" si="49"/>
        <v>-0.27</v>
      </c>
      <c r="I266" s="68">
        <f t="shared" si="49"/>
        <v>0.02</v>
      </c>
      <c r="J266" s="68">
        <f t="shared" si="49"/>
        <v>0.09</v>
      </c>
      <c r="K266" s="68">
        <f t="shared" si="49"/>
        <v>0.16</v>
      </c>
      <c r="L266" s="68">
        <f t="shared" si="49"/>
        <v>-0.04</v>
      </c>
      <c r="M266" s="68">
        <f t="shared" si="49"/>
        <v>0.21</v>
      </c>
      <c r="N266" s="68">
        <f t="shared" si="49"/>
        <v>0.03</v>
      </c>
      <c r="O266" s="68">
        <f t="shared" si="49"/>
        <v>0.11</v>
      </c>
      <c r="P266" s="68" t="str">
        <f t="shared" si="49"/>
        <v>NO</v>
      </c>
    </row>
    <row r="267" spans="4:16" x14ac:dyDescent="0.25">
      <c r="D267" s="68" t="s">
        <v>176</v>
      </c>
      <c r="E267" s="68" t="str">
        <f t="shared" si="49"/>
        <v>High</v>
      </c>
      <c r="F267" s="68" t="str">
        <f t="shared" si="49"/>
        <v>Spring</v>
      </c>
      <c r="G267" s="68">
        <f t="shared" si="49"/>
        <v>0.27</v>
      </c>
      <c r="H267" s="68">
        <f t="shared" si="49"/>
        <v>-0.19</v>
      </c>
      <c r="I267" s="68">
        <f t="shared" si="49"/>
        <v>0.38</v>
      </c>
      <c r="J267" s="68">
        <f t="shared" si="49"/>
        <v>0.25</v>
      </c>
      <c r="K267" s="68">
        <f t="shared" si="49"/>
        <v>7.0000000000000007E-2</v>
      </c>
      <c r="L267" s="68">
        <f t="shared" si="49"/>
        <v>0.05</v>
      </c>
      <c r="M267" s="68">
        <f t="shared" si="49"/>
        <v>0.52</v>
      </c>
      <c r="N267" s="68">
        <f t="shared" si="49"/>
        <v>0.55000000000000004</v>
      </c>
      <c r="O267" s="68">
        <f t="shared" si="49"/>
        <v>0.19</v>
      </c>
      <c r="P267" s="68">
        <f t="shared" si="49"/>
        <v>0.6</v>
      </c>
    </row>
    <row r="268" spans="4:16" x14ac:dyDescent="0.25">
      <c r="D268" s="68" t="s">
        <v>176</v>
      </c>
      <c r="E268" s="68" t="str">
        <f t="shared" si="49"/>
        <v>High</v>
      </c>
      <c r="F268" s="68" t="str">
        <f t="shared" si="49"/>
        <v>Summer</v>
      </c>
      <c r="G268" s="68">
        <f t="shared" si="49"/>
        <v>0.16</v>
      </c>
      <c r="H268" s="68">
        <f t="shared" si="49"/>
        <v>0.16</v>
      </c>
      <c r="I268" s="68">
        <f t="shared" si="49"/>
        <v>0.8</v>
      </c>
      <c r="J268" s="68">
        <f t="shared" si="49"/>
        <v>0.56999999999999995</v>
      </c>
      <c r="K268" s="68">
        <f t="shared" si="49"/>
        <v>0.76</v>
      </c>
      <c r="L268" s="68">
        <f t="shared" si="49"/>
        <v>0.49</v>
      </c>
      <c r="M268" s="68">
        <f t="shared" si="49"/>
        <v>0.84</v>
      </c>
      <c r="N268" s="68">
        <f t="shared" si="49"/>
        <v>0.51</v>
      </c>
      <c r="O268" s="68">
        <f t="shared" si="49"/>
        <v>0.36</v>
      </c>
      <c r="P268" s="68">
        <f t="shared" si="49"/>
        <v>0.17</v>
      </c>
    </row>
    <row r="269" spans="4:16" x14ac:dyDescent="0.25">
      <c r="D269" s="68" t="s">
        <v>176</v>
      </c>
      <c r="E269" s="68" t="str">
        <f t="shared" si="49"/>
        <v>High</v>
      </c>
      <c r="F269" s="68" t="str">
        <f t="shared" si="49"/>
        <v>Autumn</v>
      </c>
      <c r="G269" s="68">
        <f t="shared" si="49"/>
        <v>0.45</v>
      </c>
      <c r="H269" s="68">
        <f t="shared" si="49"/>
        <v>0.1</v>
      </c>
      <c r="I269" s="68">
        <f t="shared" si="49"/>
        <v>0.49</v>
      </c>
      <c r="J269" s="68">
        <f t="shared" si="49"/>
        <v>0.41</v>
      </c>
      <c r="K269" s="68">
        <f t="shared" si="49"/>
        <v>0.4</v>
      </c>
      <c r="L269" s="68">
        <f t="shared" si="49"/>
        <v>0.17</v>
      </c>
      <c r="M269" s="68">
        <f t="shared" si="49"/>
        <v>0.54</v>
      </c>
      <c r="N269" s="68">
        <f t="shared" si="49"/>
        <v>0.64</v>
      </c>
      <c r="O269" s="68">
        <f t="shared" si="49"/>
        <v>-0.05</v>
      </c>
      <c r="P269" s="68">
        <f t="shared" si="49"/>
        <v>0.32</v>
      </c>
    </row>
    <row r="270" spans="4:16" x14ac:dyDescent="0.25">
      <c r="D270" s="68" t="s">
        <v>176</v>
      </c>
      <c r="E270" s="68" t="str">
        <f t="shared" si="49"/>
        <v>High</v>
      </c>
      <c r="F270" s="68" t="str">
        <f t="shared" si="49"/>
        <v>Winter</v>
      </c>
      <c r="G270" s="68">
        <f t="shared" si="49"/>
        <v>0.51</v>
      </c>
      <c r="H270" s="68">
        <f t="shared" si="49"/>
        <v>-7.0000000000000007E-2</v>
      </c>
      <c r="I270" s="68">
        <f t="shared" si="49"/>
        <v>0.13</v>
      </c>
      <c r="J270" s="68">
        <f t="shared" si="49"/>
        <v>-0.09</v>
      </c>
      <c r="K270" s="68">
        <f t="shared" si="49"/>
        <v>-0.13</v>
      </c>
      <c r="L270" s="68">
        <f t="shared" si="49"/>
        <v>7.0000000000000007E-2</v>
      </c>
      <c r="M270" s="68">
        <f t="shared" si="49"/>
        <v>0.25</v>
      </c>
      <c r="N270" s="68">
        <f t="shared" si="49"/>
        <v>0.71</v>
      </c>
      <c r="O270" s="68">
        <f t="shared" si="49"/>
        <v>0.17</v>
      </c>
      <c r="P270" s="68">
        <f t="shared" si="49"/>
        <v>0.43</v>
      </c>
    </row>
    <row r="271" spans="4:16" x14ac:dyDescent="0.25">
      <c r="D271" s="68" t="s">
        <v>176</v>
      </c>
      <c r="E271" s="68" t="str">
        <f t="shared" si="49"/>
        <v>Moderate/High</v>
      </c>
      <c r="F271" s="68" t="str">
        <f t="shared" si="49"/>
        <v>Spring</v>
      </c>
      <c r="G271" s="68">
        <f t="shared" si="49"/>
        <v>-0.12</v>
      </c>
      <c r="H271" s="68">
        <f t="shared" si="49"/>
        <v>-0.19</v>
      </c>
      <c r="I271" s="68">
        <f t="shared" si="49"/>
        <v>0.41</v>
      </c>
      <c r="J271" s="68">
        <f t="shared" si="49"/>
        <v>0.09</v>
      </c>
      <c r="K271" s="68">
        <f t="shared" si="49"/>
        <v>0.41</v>
      </c>
      <c r="L271" s="68">
        <f t="shared" si="49"/>
        <v>-0.19</v>
      </c>
      <c r="M271" s="68">
        <f t="shared" si="49"/>
        <v>7.0000000000000007E-2</v>
      </c>
      <c r="N271" s="68">
        <f t="shared" si="49"/>
        <v>1.07</v>
      </c>
      <c r="O271" s="68">
        <f t="shared" si="49"/>
        <v>-0.08</v>
      </c>
      <c r="P271" s="68">
        <f t="shared" si="49"/>
        <v>0</v>
      </c>
    </row>
    <row r="272" spans="4:16" x14ac:dyDescent="0.25">
      <c r="D272" s="68" t="s">
        <v>176</v>
      </c>
      <c r="E272" s="68" t="str">
        <f t="shared" ref="E272:P282" si="50">E207</f>
        <v>Moderate/High</v>
      </c>
      <c r="F272" s="68" t="str">
        <f t="shared" si="50"/>
        <v>Summer</v>
      </c>
      <c r="G272" s="68">
        <f t="shared" si="50"/>
        <v>0.65</v>
      </c>
      <c r="H272" s="68">
        <f t="shared" si="50"/>
        <v>0.19</v>
      </c>
      <c r="I272" s="68">
        <f t="shared" si="50"/>
        <v>0.65</v>
      </c>
      <c r="J272" s="68">
        <f t="shared" si="50"/>
        <v>0.51</v>
      </c>
      <c r="K272" s="68">
        <f t="shared" si="50"/>
        <v>0.18</v>
      </c>
      <c r="L272" s="68">
        <f t="shared" si="50"/>
        <v>0.63</v>
      </c>
      <c r="M272" s="68">
        <f t="shared" si="50"/>
        <v>1.3</v>
      </c>
      <c r="N272" s="68">
        <f t="shared" si="50"/>
        <v>0.48</v>
      </c>
      <c r="O272" s="68">
        <f t="shared" si="50"/>
        <v>1.1200000000000001</v>
      </c>
      <c r="P272" s="68">
        <f t="shared" si="50"/>
        <v>0.38</v>
      </c>
    </row>
    <row r="273" spans="4:16" x14ac:dyDescent="0.25">
      <c r="D273" s="68" t="s">
        <v>176</v>
      </c>
      <c r="E273" s="68" t="str">
        <f t="shared" si="50"/>
        <v>Moderate/High</v>
      </c>
      <c r="F273" s="68" t="str">
        <f t="shared" si="50"/>
        <v>Autumn</v>
      </c>
      <c r="G273" s="68">
        <f t="shared" si="50"/>
        <v>0.7</v>
      </c>
      <c r="H273" s="68">
        <f t="shared" si="50"/>
        <v>0.13</v>
      </c>
      <c r="I273" s="68">
        <f t="shared" si="50"/>
        <v>0.52</v>
      </c>
      <c r="J273" s="68">
        <f t="shared" si="50"/>
        <v>0.34</v>
      </c>
      <c r="K273" s="68">
        <f t="shared" si="50"/>
        <v>0.02</v>
      </c>
      <c r="L273" s="68">
        <f t="shared" si="50"/>
        <v>0.04</v>
      </c>
      <c r="M273" s="68">
        <f t="shared" si="50"/>
        <v>0.77</v>
      </c>
      <c r="N273" s="68">
        <f t="shared" si="50"/>
        <v>0.42</v>
      </c>
      <c r="O273" s="68">
        <f t="shared" si="50"/>
        <v>0.12</v>
      </c>
      <c r="P273" s="68">
        <f t="shared" si="50"/>
        <v>0.74</v>
      </c>
    </row>
    <row r="274" spans="4:16" x14ac:dyDescent="0.25">
      <c r="D274" s="68" t="s">
        <v>176</v>
      </c>
      <c r="E274" s="68" t="str">
        <f t="shared" si="50"/>
        <v>Moderate/High</v>
      </c>
      <c r="F274" s="68" t="str">
        <f t="shared" si="50"/>
        <v>Winter</v>
      </c>
      <c r="G274" s="68">
        <f t="shared" si="50"/>
        <v>0.32</v>
      </c>
      <c r="H274" s="68">
        <f t="shared" si="50"/>
        <v>-0.06</v>
      </c>
      <c r="I274" s="68">
        <f t="shared" si="50"/>
        <v>0.25</v>
      </c>
      <c r="J274" s="68">
        <f t="shared" si="50"/>
        <v>0.19</v>
      </c>
      <c r="K274" s="68">
        <f t="shared" si="50"/>
        <v>-0.1</v>
      </c>
      <c r="L274" s="68">
        <f t="shared" si="50"/>
        <v>-0.02</v>
      </c>
      <c r="M274" s="68">
        <f t="shared" si="50"/>
        <v>0.02</v>
      </c>
      <c r="N274" s="68">
        <f t="shared" si="50"/>
        <v>0.23</v>
      </c>
      <c r="O274" s="68">
        <f t="shared" si="50"/>
        <v>-0.13</v>
      </c>
      <c r="P274" s="68">
        <f t="shared" si="50"/>
        <v>0</v>
      </c>
    </row>
    <row r="275" spans="4:16" x14ac:dyDescent="0.25">
      <c r="D275" s="68" t="s">
        <v>176</v>
      </c>
      <c r="E275" s="68" t="str">
        <f t="shared" si="50"/>
        <v>Moderate/Low</v>
      </c>
      <c r="F275" s="68" t="str">
        <f t="shared" si="50"/>
        <v>Spring</v>
      </c>
      <c r="G275" s="68">
        <f t="shared" si="50"/>
        <v>0.62</v>
      </c>
      <c r="H275" s="68">
        <f t="shared" si="50"/>
        <v>-0.19</v>
      </c>
      <c r="I275" s="68">
        <f t="shared" si="50"/>
        <v>0.37</v>
      </c>
      <c r="J275" s="68">
        <f t="shared" si="50"/>
        <v>0.41</v>
      </c>
      <c r="K275" s="68">
        <f t="shared" si="50"/>
        <v>0.06</v>
      </c>
      <c r="L275" s="68">
        <f t="shared" si="50"/>
        <v>-0.02</v>
      </c>
      <c r="M275" s="68">
        <f t="shared" si="50"/>
        <v>0.47</v>
      </c>
      <c r="N275" s="68">
        <f t="shared" si="50"/>
        <v>0.44</v>
      </c>
      <c r="O275" s="68">
        <f t="shared" si="50"/>
        <v>0.3</v>
      </c>
      <c r="P275" s="68">
        <f t="shared" si="50"/>
        <v>0.13</v>
      </c>
    </row>
    <row r="276" spans="4:16" x14ac:dyDescent="0.25">
      <c r="D276" s="68" t="s">
        <v>176</v>
      </c>
      <c r="E276" s="68" t="str">
        <f t="shared" si="50"/>
        <v>Moderate/Low</v>
      </c>
      <c r="F276" s="68" t="str">
        <f t="shared" si="50"/>
        <v>Summer</v>
      </c>
      <c r="G276" s="68">
        <f t="shared" si="50"/>
        <v>0.05</v>
      </c>
      <c r="H276" s="68">
        <f t="shared" si="50"/>
        <v>0.19</v>
      </c>
      <c r="I276" s="68">
        <f t="shared" si="50"/>
        <v>0.31</v>
      </c>
      <c r="J276" s="68">
        <f t="shared" si="50"/>
        <v>0.54</v>
      </c>
      <c r="K276" s="68">
        <f t="shared" si="50"/>
        <v>0.53</v>
      </c>
      <c r="L276" s="68">
        <f t="shared" si="50"/>
        <v>0.15</v>
      </c>
      <c r="M276" s="68">
        <f t="shared" si="50"/>
        <v>0.28000000000000003</v>
      </c>
      <c r="N276" s="68">
        <f t="shared" si="50"/>
        <v>0.56999999999999995</v>
      </c>
      <c r="O276" s="68">
        <f t="shared" si="50"/>
        <v>0.42</v>
      </c>
      <c r="P276" s="68">
        <f t="shared" si="50"/>
        <v>0.4</v>
      </c>
    </row>
    <row r="277" spans="4:16" x14ac:dyDescent="0.25">
      <c r="D277" s="68" t="s">
        <v>176</v>
      </c>
      <c r="E277" s="68" t="str">
        <f t="shared" si="50"/>
        <v>Moderate/Low</v>
      </c>
      <c r="F277" s="68" t="str">
        <f t="shared" si="50"/>
        <v>Autumn</v>
      </c>
      <c r="G277" s="68">
        <f t="shared" si="50"/>
        <v>0.33</v>
      </c>
      <c r="H277" s="68">
        <f t="shared" si="50"/>
        <v>0.13</v>
      </c>
      <c r="I277" s="68">
        <f t="shared" si="50"/>
        <v>0.39</v>
      </c>
      <c r="J277" s="68">
        <f t="shared" si="50"/>
        <v>0.36</v>
      </c>
      <c r="K277" s="68">
        <f t="shared" si="50"/>
        <v>0.26</v>
      </c>
      <c r="L277" s="68">
        <f t="shared" si="50"/>
        <v>0.11</v>
      </c>
      <c r="M277" s="68">
        <f t="shared" si="50"/>
        <v>0.4</v>
      </c>
      <c r="N277" s="68">
        <f t="shared" si="50"/>
        <v>0.44</v>
      </c>
      <c r="O277" s="68">
        <f t="shared" si="50"/>
        <v>0.37</v>
      </c>
      <c r="P277" s="68">
        <f t="shared" si="50"/>
        <v>-0.01</v>
      </c>
    </row>
    <row r="278" spans="4:16" x14ac:dyDescent="0.25">
      <c r="D278" s="68" t="s">
        <v>176</v>
      </c>
      <c r="E278" s="68" t="str">
        <f t="shared" si="50"/>
        <v>Moderate/Low</v>
      </c>
      <c r="F278" s="68" t="str">
        <f t="shared" si="50"/>
        <v>Winter</v>
      </c>
      <c r="G278" s="68">
        <f t="shared" si="50"/>
        <v>0.61</v>
      </c>
      <c r="H278" s="68">
        <f t="shared" si="50"/>
        <v>-0.06</v>
      </c>
      <c r="I278" s="68">
        <f t="shared" si="50"/>
        <v>0.21</v>
      </c>
      <c r="J278" s="68">
        <f t="shared" si="50"/>
        <v>0.18</v>
      </c>
      <c r="K278" s="68">
        <f t="shared" si="50"/>
        <v>0.12</v>
      </c>
      <c r="L278" s="68">
        <f t="shared" si="50"/>
        <v>0.06</v>
      </c>
      <c r="M278" s="68">
        <f t="shared" si="50"/>
        <v>0.28999999999999998</v>
      </c>
      <c r="N278" s="68">
        <f t="shared" si="50"/>
        <v>0.41</v>
      </c>
      <c r="O278" s="68">
        <f t="shared" si="50"/>
        <v>0.41</v>
      </c>
      <c r="P278" s="68">
        <f t="shared" si="50"/>
        <v>-0.15</v>
      </c>
    </row>
    <row r="279" spans="4:16" x14ac:dyDescent="0.25">
      <c r="D279" s="68" t="s">
        <v>176</v>
      </c>
      <c r="E279" s="68" t="str">
        <f t="shared" si="50"/>
        <v>Low</v>
      </c>
      <c r="F279" s="68" t="str">
        <f t="shared" si="50"/>
        <v>Spring</v>
      </c>
      <c r="G279" s="68">
        <f t="shared" si="50"/>
        <v>-0.2</v>
      </c>
      <c r="H279" s="68">
        <f t="shared" si="50"/>
        <v>0.02</v>
      </c>
      <c r="I279" s="68">
        <f t="shared" si="50"/>
        <v>0.24</v>
      </c>
      <c r="J279" s="68">
        <f t="shared" si="50"/>
        <v>0.3</v>
      </c>
      <c r="K279" s="68">
        <f t="shared" si="50"/>
        <v>0.23</v>
      </c>
      <c r="L279" s="68">
        <f t="shared" si="50"/>
        <v>-0.05</v>
      </c>
      <c r="M279" s="68">
        <f t="shared" si="50"/>
        <v>0.34</v>
      </c>
      <c r="N279" s="68">
        <f t="shared" si="50"/>
        <v>0.3</v>
      </c>
      <c r="O279" s="68">
        <f t="shared" si="50"/>
        <v>0.56999999999999995</v>
      </c>
      <c r="P279" s="68">
        <f t="shared" si="50"/>
        <v>0.52</v>
      </c>
    </row>
    <row r="280" spans="4:16" x14ac:dyDescent="0.25">
      <c r="D280" s="68" t="s">
        <v>176</v>
      </c>
      <c r="E280" s="68" t="str">
        <f t="shared" si="50"/>
        <v>Low</v>
      </c>
      <c r="F280" s="68" t="str">
        <f t="shared" si="50"/>
        <v>Summer</v>
      </c>
      <c r="G280" s="68">
        <f t="shared" si="50"/>
        <v>0.62</v>
      </c>
      <c r="H280" s="68">
        <f t="shared" si="50"/>
        <v>0.21</v>
      </c>
      <c r="I280" s="68">
        <f t="shared" si="50"/>
        <v>0.25</v>
      </c>
      <c r="J280" s="68">
        <f t="shared" si="50"/>
        <v>0.32</v>
      </c>
      <c r="K280" s="68">
        <f t="shared" si="50"/>
        <v>0.47</v>
      </c>
      <c r="L280" s="68">
        <f t="shared" si="50"/>
        <v>0.31</v>
      </c>
      <c r="M280" s="68">
        <f t="shared" si="50"/>
        <v>0.14000000000000001</v>
      </c>
      <c r="N280" s="68">
        <f t="shared" si="50"/>
        <v>0.4</v>
      </c>
      <c r="O280" s="68">
        <f t="shared" si="50"/>
        <v>0.26</v>
      </c>
      <c r="P280" s="68">
        <f t="shared" si="50"/>
        <v>0.43</v>
      </c>
    </row>
    <row r="281" spans="4:16" x14ac:dyDescent="0.25">
      <c r="D281" s="68" t="s">
        <v>176</v>
      </c>
      <c r="E281" s="68" t="str">
        <f t="shared" si="50"/>
        <v>Low</v>
      </c>
      <c r="F281" s="68" t="str">
        <f t="shared" si="50"/>
        <v>Autumn</v>
      </c>
      <c r="G281" s="68">
        <f t="shared" si="50"/>
        <v>0.4</v>
      </c>
      <c r="H281" s="68">
        <f t="shared" si="50"/>
        <v>0.13</v>
      </c>
      <c r="I281" s="68">
        <f t="shared" si="50"/>
        <v>0.12</v>
      </c>
      <c r="J281" s="68">
        <f t="shared" si="50"/>
        <v>0.27</v>
      </c>
      <c r="K281" s="68">
        <f t="shared" si="50"/>
        <v>0.3</v>
      </c>
      <c r="L281" s="68">
        <f t="shared" si="50"/>
        <v>0.08</v>
      </c>
      <c r="M281" s="68">
        <f t="shared" si="50"/>
        <v>0.13</v>
      </c>
      <c r="N281" s="68">
        <f t="shared" si="50"/>
        <v>0.24</v>
      </c>
      <c r="O281" s="68">
        <f t="shared" si="50"/>
        <v>0.15</v>
      </c>
      <c r="P281" s="68">
        <f t="shared" si="50"/>
        <v>0.21</v>
      </c>
    </row>
    <row r="282" spans="4:16" x14ac:dyDescent="0.25">
      <c r="D282" s="68" t="s">
        <v>176</v>
      </c>
      <c r="E282" s="68" t="str">
        <f t="shared" si="50"/>
        <v>Low</v>
      </c>
      <c r="F282" s="68" t="str">
        <f t="shared" si="50"/>
        <v>Winter</v>
      </c>
      <c r="G282" s="68">
        <f t="shared" si="50"/>
        <v>0.08</v>
      </c>
      <c r="H282" s="68">
        <f t="shared" si="50"/>
        <v>0.04</v>
      </c>
      <c r="I282" s="68">
        <f t="shared" si="50"/>
        <v>0.06</v>
      </c>
      <c r="J282" s="68">
        <f t="shared" si="50"/>
        <v>0.18</v>
      </c>
      <c r="K282" s="68">
        <f t="shared" si="50"/>
        <v>0.11</v>
      </c>
      <c r="L282" s="68">
        <f t="shared" si="50"/>
        <v>-7.0000000000000007E-2</v>
      </c>
      <c r="M282" s="68">
        <f t="shared" si="50"/>
        <v>0.13</v>
      </c>
      <c r="N282" s="68">
        <f t="shared" si="50"/>
        <v>0.16</v>
      </c>
      <c r="O282" s="68">
        <f t="shared" si="50"/>
        <v>0.4</v>
      </c>
      <c r="P282" s="68">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46"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7" t="str" cm="1">
        <f t="array" ref="D288">SourceData_PastureBeef.SourceData_PastureBeef_DryMatterDigestibility_Unit()</f>
        <v>fraction</v>
      </c>
      <c r="M288" s="8"/>
    </row>
    <row r="289" spans="4:13" x14ac:dyDescent="0.25">
      <c r="D289" s="71"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68" t="s">
        <v>22</v>
      </c>
      <c r="E290" s="68" t="s">
        <v>132</v>
      </c>
      <c r="F290" s="68" t="s">
        <v>41</v>
      </c>
      <c r="G290" s="68" t="s">
        <v>43</v>
      </c>
      <c r="H290" s="68" t="s">
        <v>44</v>
      </c>
      <c r="I290" s="68" t="s">
        <v>45</v>
      </c>
      <c r="M290" s="8"/>
    </row>
    <row r="291" spans="4:13" x14ac:dyDescent="0.25">
      <c r="D291" s="68" t="str" cm="1">
        <f t="array" ref="D291">Common_InputFunctions.Utility_DisplayArrayInTable(SourceData_PastureBeef.SourceData_PastureBeef_DryMatterDigestibility_Data(), Table_SourceData_PastureBeef_DryMatterDigestibility[[#Headers],[State]], 0)</f>
        <v>ACT</v>
      </c>
      <c r="E291" s="68" t="str" cm="1">
        <f t="array" ref="E291">Common_InputFunctions.Utility_DisplayArrayInTable(SourceData_PastureBeef.SourceData_PastureBeef_DryMatterDigestibility_Data(), Table_SourceData_PastureBeef_DryMatterDigestibility[[#Headers],[State]], 0)</f>
        <v>n/a</v>
      </c>
      <c r="F291" s="68" cm="1">
        <f t="array" ref="F291">Common_InputFunctions.Utility_DisplayArrayInTable(SourceData_PastureBeef.SourceData_PastureBeef_DryMatterDigestibility_Data(), Table_SourceData_PastureBeef_DryMatterDigestibility[[#Headers],[State]], 0)</f>
        <v>0.55000000000000004</v>
      </c>
      <c r="G291" s="68" cm="1">
        <f t="array" ref="G291">Common_InputFunctions.Utility_DisplayArrayInTable(SourceData_PastureBeef.SourceData_PastureBeef_DryMatterDigestibility_Data(), Table_SourceData_PastureBeef_DryMatterDigestibility[[#Headers],[State]], 0)</f>
        <v>0.65</v>
      </c>
      <c r="H291" s="68" cm="1">
        <f t="array" ref="H291">Common_InputFunctions.Utility_DisplayArrayInTable(SourceData_PastureBeef.SourceData_PastureBeef_DryMatterDigestibility_Data(), Table_SourceData_PastureBeef_DryMatterDigestibility[[#Headers],[State]], 0)</f>
        <v>0.6</v>
      </c>
      <c r="I291" s="68"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68" t="str" cm="1">
        <f t="array" ref="E292">Common_InputFunctions.Utility_DisplayArrayInTable(SourceData_PastureBeef.SourceData_PastureBeef_DryMatterDigestibility_Data(), Table_SourceData_PastureBeef_DryMatterDigestibility[[#Headers],[State]], 0)</f>
        <v>n/a</v>
      </c>
      <c r="F292" s="68" cm="1">
        <f t="array" ref="F292">Common_InputFunctions.Utility_DisplayArrayInTable(SourceData_PastureBeef.SourceData_PastureBeef_DryMatterDigestibility_Data(), Table_SourceData_PastureBeef_DryMatterDigestibility[[#Headers],[State]], 0)</f>
        <v>0.55000000000000004</v>
      </c>
      <c r="G292" s="68" cm="1">
        <f t="array" ref="G292">Common_InputFunctions.Utility_DisplayArrayInTable(SourceData_PastureBeef.SourceData_PastureBeef_DryMatterDigestibility_Data(), Table_SourceData_PastureBeef_DryMatterDigestibility[[#Headers],[State]], 0)</f>
        <v>0.65</v>
      </c>
      <c r="H292" s="68" cm="1">
        <f t="array" ref="H292">Common_InputFunctions.Utility_DisplayArrayInTable(SourceData_PastureBeef.SourceData_PastureBeef_DryMatterDigestibility_Data(), Table_SourceData_PastureBeef_DryMatterDigestibility[[#Headers],[State]], 0)</f>
        <v>0.6</v>
      </c>
      <c r="I292" s="68"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68" t="str" cm="1">
        <f t="array" ref="E293">Common_InputFunctions.Utility_DisplayArrayInTable(SourceData_PastureBeef.SourceData_PastureBeef_DryMatterDigestibility_Data(), Table_SourceData_PastureBeef_DryMatterDigestibility[[#Headers],[State]], 0)</f>
        <v>Alice Springs</v>
      </c>
      <c r="F293" s="68" cm="1">
        <f t="array" ref="F293">Common_InputFunctions.Utility_DisplayArrayInTable(SourceData_PastureBeef.SourceData_PastureBeef_DryMatterDigestibility_Data(), Table_SourceData_PastureBeef_DryMatterDigestibility[[#Headers],[State]], 0)</f>
        <v>0.55000000000000004</v>
      </c>
      <c r="G293" s="68" cm="1">
        <f t="array" ref="G293">Common_InputFunctions.Utility_DisplayArrayInTable(SourceData_PastureBeef.SourceData_PastureBeef_DryMatterDigestibility_Data(), Table_SourceData_PastureBeef_DryMatterDigestibility[[#Headers],[State]], 0)</f>
        <v>0.61</v>
      </c>
      <c r="H293" s="68" cm="1">
        <f t="array" ref="H293">Common_InputFunctions.Utility_DisplayArrayInTable(SourceData_PastureBeef.SourceData_PastureBeef_DryMatterDigestibility_Data(), Table_SourceData_PastureBeef_DryMatterDigestibility[[#Headers],[State]], 0)</f>
        <v>0.56999999999999995</v>
      </c>
      <c r="I293" s="68"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68" t="str" cm="1">
        <f t="array" ref="E294">Common_InputFunctions.Utility_DisplayArrayInTable(SourceData_PastureBeef.SourceData_PastureBeef_DryMatterDigestibility_Data(), Table_SourceData_PastureBeef_DryMatterDigestibility[[#Headers],[State]], 0)</f>
        <v>Barkly</v>
      </c>
      <c r="F294" s="68" cm="1">
        <f t="array" ref="F294">Common_InputFunctions.Utility_DisplayArrayInTable(SourceData_PastureBeef.SourceData_PastureBeef_DryMatterDigestibility_Data(), Table_SourceData_PastureBeef_DryMatterDigestibility[[#Headers],[State]], 0)</f>
        <v>0.55000000000000004</v>
      </c>
      <c r="G294" s="68" cm="1">
        <f t="array" ref="G294">Common_InputFunctions.Utility_DisplayArrayInTable(SourceData_PastureBeef.SourceData_PastureBeef_DryMatterDigestibility_Data(), Table_SourceData_PastureBeef_DryMatterDigestibility[[#Headers],[State]], 0)</f>
        <v>0.61</v>
      </c>
      <c r="H294" s="68" cm="1">
        <f t="array" ref="H294">Common_InputFunctions.Utility_DisplayArrayInTable(SourceData_PastureBeef.SourceData_PastureBeef_DryMatterDigestibility_Data(), Table_SourceData_PastureBeef_DryMatterDigestibility[[#Headers],[State]], 0)</f>
        <v>0.56999999999999995</v>
      </c>
      <c r="I294" s="68"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68" t="str" cm="1">
        <f t="array" ref="E295">Common_InputFunctions.Utility_DisplayArrayInTable(SourceData_PastureBeef.SourceData_PastureBeef_DryMatterDigestibility_Data(), Table_SourceData_PastureBeef_DryMatterDigestibility[[#Headers],[State]], 0)</f>
        <v>Northern</v>
      </c>
      <c r="F295" s="68" cm="1">
        <f t="array" ref="F295">Common_InputFunctions.Utility_DisplayArrayInTable(SourceData_PastureBeef.SourceData_PastureBeef_DryMatterDigestibility_Data(), Table_SourceData_PastureBeef_DryMatterDigestibility[[#Headers],[State]], 0)</f>
        <v>0.55000000000000004</v>
      </c>
      <c r="G295" s="68" cm="1">
        <f t="array" ref="G295">Common_InputFunctions.Utility_DisplayArrayInTable(SourceData_PastureBeef.SourceData_PastureBeef_DryMatterDigestibility_Data(), Table_SourceData_PastureBeef_DryMatterDigestibility[[#Headers],[State]], 0)</f>
        <v>0.61</v>
      </c>
      <c r="H295" s="68" cm="1">
        <f t="array" ref="H295">Common_InputFunctions.Utility_DisplayArrayInTable(SourceData_PastureBeef.SourceData_PastureBeef_DryMatterDigestibility_Data(), Table_SourceData_PastureBeef_DryMatterDigestibility[[#Headers],[State]], 0)</f>
        <v>0.56999999999999995</v>
      </c>
      <c r="I295" s="68"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68" t="str" cm="1">
        <f t="array" ref="E296">Common_InputFunctions.Utility_DisplayArrayInTable(SourceData_PastureBeef.SourceData_PastureBeef_DryMatterDigestibility_Data(), Table_SourceData_PastureBeef_DryMatterDigestibility[[#Headers],[State]], 0)</f>
        <v>High</v>
      </c>
      <c r="F296" s="68" cm="1">
        <f t="array" ref="F296">Common_InputFunctions.Utility_DisplayArrayInTable(SourceData_PastureBeef.SourceData_PastureBeef_DryMatterDigestibility_Data(), Table_SourceData_PastureBeef_DryMatterDigestibility[[#Headers],[State]], 0)</f>
        <v>0.53</v>
      </c>
      <c r="G296" s="68" cm="1">
        <f t="array" ref="G296">Common_InputFunctions.Utility_DisplayArrayInTable(SourceData_PastureBeef.SourceData_PastureBeef_DryMatterDigestibility_Data(), Table_SourceData_PastureBeef_DryMatterDigestibility[[#Headers],[State]], 0)</f>
        <v>0.56999999999999995</v>
      </c>
      <c r="H296" s="68" cm="1">
        <f t="array" ref="H296">Common_InputFunctions.Utility_DisplayArrayInTable(SourceData_PastureBeef.SourceData_PastureBeef_DryMatterDigestibility_Data(), Table_SourceData_PastureBeef_DryMatterDigestibility[[#Headers],[State]], 0)</f>
        <v>0.55000000000000004</v>
      </c>
      <c r="I296" s="68"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68" t="str" cm="1">
        <f t="array" ref="E297">Common_InputFunctions.Utility_DisplayArrayInTable(SourceData_PastureBeef.SourceData_PastureBeef_DryMatterDigestibility_Data(), Table_SourceData_PastureBeef_DryMatterDigestibility[[#Headers],[State]], 0)</f>
        <v>Moderate/High</v>
      </c>
      <c r="F297" s="68" cm="1">
        <f t="array" ref="F297">Common_InputFunctions.Utility_DisplayArrayInTable(SourceData_PastureBeef.SourceData_PastureBeef_DryMatterDigestibility_Data(), Table_SourceData_PastureBeef_DryMatterDigestibility[[#Headers],[State]], 0)</f>
        <v>0.53</v>
      </c>
      <c r="G297" s="68" cm="1">
        <f t="array" ref="G297">Common_InputFunctions.Utility_DisplayArrayInTable(SourceData_PastureBeef.SourceData_PastureBeef_DryMatterDigestibility_Data(), Table_SourceData_PastureBeef_DryMatterDigestibility[[#Headers],[State]], 0)</f>
        <v>0.56999999999999995</v>
      </c>
      <c r="H297" s="68" cm="1">
        <f t="array" ref="H297">Common_InputFunctions.Utility_DisplayArrayInTable(SourceData_PastureBeef.SourceData_PastureBeef_DryMatterDigestibility_Data(), Table_SourceData_PastureBeef_DryMatterDigestibility[[#Headers],[State]], 0)</f>
        <v>0.55000000000000004</v>
      </c>
      <c r="I297" s="68"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68" t="str" cm="1">
        <f t="array" ref="E298">Common_InputFunctions.Utility_DisplayArrayInTable(SourceData_PastureBeef.SourceData_PastureBeef_DryMatterDigestibility_Data(), Table_SourceData_PastureBeef_DryMatterDigestibility[[#Headers],[State]], 0)</f>
        <v>Moderate/Low</v>
      </c>
      <c r="F298" s="68" cm="1">
        <f t="array" ref="F298">Common_InputFunctions.Utility_DisplayArrayInTable(SourceData_PastureBeef.SourceData_PastureBeef_DryMatterDigestibility_Data(), Table_SourceData_PastureBeef_DryMatterDigestibility[[#Headers],[State]], 0)</f>
        <v>0.53</v>
      </c>
      <c r="G298" s="68" cm="1">
        <f t="array" ref="G298">Common_InputFunctions.Utility_DisplayArrayInTable(SourceData_PastureBeef.SourceData_PastureBeef_DryMatterDigestibility_Data(), Table_SourceData_PastureBeef_DryMatterDigestibility[[#Headers],[State]], 0)</f>
        <v>0.56999999999999995</v>
      </c>
      <c r="H298" s="68" cm="1">
        <f t="array" ref="H298">Common_InputFunctions.Utility_DisplayArrayInTable(SourceData_PastureBeef.SourceData_PastureBeef_DryMatterDigestibility_Data(), Table_SourceData_PastureBeef_DryMatterDigestibility[[#Headers],[State]], 0)</f>
        <v>0.55000000000000004</v>
      </c>
      <c r="I298" s="68"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68" t="str" cm="1">
        <f t="array" ref="E299">Common_InputFunctions.Utility_DisplayArrayInTable(SourceData_PastureBeef.SourceData_PastureBeef_DryMatterDigestibility_Data(), Table_SourceData_PastureBeef_DryMatterDigestibility[[#Headers],[State]], 0)</f>
        <v>Low</v>
      </c>
      <c r="F299" s="68" cm="1">
        <f t="array" ref="F299">Common_InputFunctions.Utility_DisplayArrayInTable(SourceData_PastureBeef.SourceData_PastureBeef_DryMatterDigestibility_Data(), Table_SourceData_PastureBeef_DryMatterDigestibility[[#Headers],[State]], 0)</f>
        <v>0.53</v>
      </c>
      <c r="G299" s="68" cm="1">
        <f t="array" ref="G299">Common_InputFunctions.Utility_DisplayArrayInTable(SourceData_PastureBeef.SourceData_PastureBeef_DryMatterDigestibility_Data(), Table_SourceData_PastureBeef_DryMatterDigestibility[[#Headers],[State]], 0)</f>
        <v>0.56999999999999995</v>
      </c>
      <c r="H299" s="68" cm="1">
        <f t="array" ref="H299">Common_InputFunctions.Utility_DisplayArrayInTable(SourceData_PastureBeef.SourceData_PastureBeef_DryMatterDigestibility_Data(), Table_SourceData_PastureBeef_DryMatterDigestibility[[#Headers],[State]], 0)</f>
        <v>0.55000000000000004</v>
      </c>
      <c r="I299" s="68"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68" t="str" cm="1">
        <f t="array" ref="E300">Common_InputFunctions.Utility_DisplayArrayInTable(SourceData_PastureBeef.SourceData_PastureBeef_DryMatterDigestibility_Data(), Table_SourceData_PastureBeef_DryMatterDigestibility[[#Headers],[State]], 0)</f>
        <v>n/a</v>
      </c>
      <c r="F300" s="68" cm="1">
        <f t="array" ref="F300">Common_InputFunctions.Utility_DisplayArrayInTable(SourceData_PastureBeef.SourceData_PastureBeef_DryMatterDigestibility_Data(), Table_SourceData_PastureBeef_DryMatterDigestibility[[#Headers],[State]], 0)</f>
        <v>0.7</v>
      </c>
      <c r="G300" s="68" cm="1">
        <f t="array" ref="G300">Common_InputFunctions.Utility_DisplayArrayInTable(SourceData_PastureBeef.SourceData_PastureBeef_DryMatterDigestibility_Data(), Table_SourceData_PastureBeef_DryMatterDigestibility[[#Headers],[State]], 0)</f>
        <v>0.55000000000000004</v>
      </c>
      <c r="H300" s="68" cm="1">
        <f t="array" ref="H300">Common_InputFunctions.Utility_DisplayArrayInTable(SourceData_PastureBeef.SourceData_PastureBeef_DryMatterDigestibility_Data(), Table_SourceData_PastureBeef_DryMatterDigestibility[[#Headers],[State]], 0)</f>
        <v>0.55000000000000004</v>
      </c>
      <c r="I300" s="68"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68" t="str" cm="1">
        <f t="array" ref="E301">Common_InputFunctions.Utility_DisplayArrayInTable(SourceData_PastureBeef.SourceData_PastureBeef_DryMatterDigestibility_Data(), Table_SourceData_PastureBeef_DryMatterDigestibility[[#Headers],[State]], 0)</f>
        <v>n/a</v>
      </c>
      <c r="F301" s="68" cm="1">
        <f t="array" ref="F301">Common_InputFunctions.Utility_DisplayArrayInTable(SourceData_PastureBeef.SourceData_PastureBeef_DryMatterDigestibility_Data(), Table_SourceData_PastureBeef_DryMatterDigestibility[[#Headers],[State]], 0)</f>
        <v>0.75</v>
      </c>
      <c r="G301" s="68" cm="1">
        <f t="array" ref="G301">Common_InputFunctions.Utility_DisplayArrayInTable(SourceData_PastureBeef.SourceData_PastureBeef_DryMatterDigestibility_Data(), Table_SourceData_PastureBeef_DryMatterDigestibility[[#Headers],[State]], 0)</f>
        <v>0.6</v>
      </c>
      <c r="H301" s="68" cm="1">
        <f t="array" ref="H301">Common_InputFunctions.Utility_DisplayArrayInTable(SourceData_PastureBeef.SourceData_PastureBeef_DryMatterDigestibility_Data(), Table_SourceData_PastureBeef_DryMatterDigestibility[[#Headers],[State]], 0)</f>
        <v>0.7</v>
      </c>
      <c r="I301" s="68"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68" t="str" cm="1">
        <f t="array" ref="E302">Common_InputFunctions.Utility_DisplayArrayInTable(SourceData_PastureBeef.SourceData_PastureBeef_DryMatterDigestibility_Data(), Table_SourceData_PastureBeef_DryMatterDigestibility[[#Headers],[State]], 0)</f>
        <v>n/a</v>
      </c>
      <c r="F302" s="68" cm="1">
        <f t="array" ref="F302">Common_InputFunctions.Utility_DisplayArrayInTable(SourceData_PastureBeef.SourceData_PastureBeef_DryMatterDigestibility_Data(), Table_SourceData_PastureBeef_DryMatterDigestibility[[#Headers],[State]], 0)</f>
        <v>0.8</v>
      </c>
      <c r="G302" s="68" cm="1">
        <f t="array" ref="G302">Common_InputFunctions.Utility_DisplayArrayInTable(SourceData_PastureBeef.SourceData_PastureBeef_DryMatterDigestibility_Data(), Table_SourceData_PastureBeef_DryMatterDigestibility[[#Headers],[State]], 0)</f>
        <v>0.55000000000000004</v>
      </c>
      <c r="H302" s="68" cm="1">
        <f t="array" ref="H302">Common_InputFunctions.Utility_DisplayArrayInTable(SourceData_PastureBeef.SourceData_PastureBeef_DryMatterDigestibility_Data(), Table_SourceData_PastureBeef_DryMatterDigestibility[[#Headers],[State]], 0)</f>
        <v>0.6</v>
      </c>
      <c r="I302" s="68"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68" t="str" cm="1">
        <f t="array" ref="E303">Common_InputFunctions.Utility_DisplayArrayInTable(SourceData_PastureBeef.SourceData_PastureBeef_DryMatterDigestibility_Data(), Table_SourceData_PastureBeef_DryMatterDigestibility[[#Headers],[State]], 0)</f>
        <v>South West</v>
      </c>
      <c r="F303" s="68" cm="1">
        <f t="array" ref="F303">Common_InputFunctions.Utility_DisplayArrayInTable(SourceData_PastureBeef.SourceData_PastureBeef_DryMatterDigestibility_Data(), Table_SourceData_PastureBeef_DryMatterDigestibility[[#Headers],[State]], 0)</f>
        <v>0.8</v>
      </c>
      <c r="G303" s="68" cm="1">
        <f t="array" ref="G303">Common_InputFunctions.Utility_DisplayArrayInTable(SourceData_PastureBeef.SourceData_PastureBeef_DryMatterDigestibility_Data(), Table_SourceData_PastureBeef_DryMatterDigestibility[[#Headers],[State]], 0)</f>
        <v>0.57999999999999996</v>
      </c>
      <c r="H303" s="68" cm="1">
        <f t="array" ref="H303">Common_InputFunctions.Utility_DisplayArrayInTable(SourceData_PastureBeef.SourceData_PastureBeef_DryMatterDigestibility_Data(), Table_SourceData_PastureBeef_DryMatterDigestibility[[#Headers],[State]], 0)</f>
        <v>0.5</v>
      </c>
      <c r="I303" s="68"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68" t="str" cm="1">
        <f t="array" ref="E304">Common_InputFunctions.Utility_DisplayArrayInTable(SourceData_PastureBeef.SourceData_PastureBeef_DryMatterDigestibility_Data(), Table_SourceData_PastureBeef_DryMatterDigestibility[[#Headers],[State]], 0)</f>
        <v>Pilbara</v>
      </c>
      <c r="F304" s="68" cm="1">
        <f t="array" ref="F304">Common_InputFunctions.Utility_DisplayArrayInTable(SourceData_PastureBeef.SourceData_PastureBeef_DryMatterDigestibility_Data(), Table_SourceData_PastureBeef_DryMatterDigestibility[[#Headers],[State]], 0)</f>
        <v>0.4</v>
      </c>
      <c r="G304" s="68" cm="1">
        <f t="array" ref="G304">Common_InputFunctions.Utility_DisplayArrayInTable(SourceData_PastureBeef.SourceData_PastureBeef_DryMatterDigestibility_Data(), Table_SourceData_PastureBeef_DryMatterDigestibility[[#Headers],[State]], 0)</f>
        <v>0.65</v>
      </c>
      <c r="H304" s="68" cm="1">
        <f t="array" ref="H304">Common_InputFunctions.Utility_DisplayArrayInTable(SourceData_PastureBeef.SourceData_PastureBeef_DryMatterDigestibility_Data(), Table_SourceData_PastureBeef_DryMatterDigestibility[[#Headers],[State]], 0)</f>
        <v>0.55000000000000004</v>
      </c>
      <c r="I304" s="68"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68" t="str" cm="1">
        <f t="array" ref="E305">Common_InputFunctions.Utility_DisplayArrayInTable(SourceData_PastureBeef.SourceData_PastureBeef_DryMatterDigestibility_Data(), Table_SourceData_PastureBeef_DryMatterDigestibility[[#Headers],[State]], 0)</f>
        <v>Kimberley</v>
      </c>
      <c r="F305" s="68" cm="1">
        <f t="array" ref="F305">Common_InputFunctions.Utility_DisplayArrayInTable(SourceData_PastureBeef.SourceData_PastureBeef_DryMatterDigestibility_Data(), Table_SourceData_PastureBeef_DryMatterDigestibility[[#Headers],[State]], 0)</f>
        <v>0.4</v>
      </c>
      <c r="G305" s="68" cm="1">
        <f t="array" ref="G305">Common_InputFunctions.Utility_DisplayArrayInTable(SourceData_PastureBeef.SourceData_PastureBeef_DryMatterDigestibility_Data(), Table_SourceData_PastureBeef_DryMatterDigestibility[[#Headers],[State]], 0)</f>
        <v>0.65</v>
      </c>
      <c r="H305" s="68" cm="1">
        <f t="array" ref="H305">Common_InputFunctions.Utility_DisplayArrayInTable(SourceData_PastureBeef.SourceData_PastureBeef_DryMatterDigestibility_Data(), Table_SourceData_PastureBeef_DryMatterDigestibility[[#Headers],[State]], 0)</f>
        <v>0.55000000000000004</v>
      </c>
      <c r="I305" s="68"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46"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7" t="str" cm="1">
        <f t="array" ref="D311">SourceData_PastureBeef.SourceData_PastureBeef_CrudeProteinContent_Unit()</f>
        <v>fraction</v>
      </c>
      <c r="M311" s="8"/>
    </row>
    <row r="312" spans="4:13" x14ac:dyDescent="0.25">
      <c r="D312" s="71"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68" t="s">
        <v>22</v>
      </c>
      <c r="E313" s="68" t="s">
        <v>132</v>
      </c>
      <c r="F313" s="68" t="s">
        <v>41</v>
      </c>
      <c r="G313" s="68" t="s">
        <v>43</v>
      </c>
      <c r="H313" s="68" t="s">
        <v>44</v>
      </c>
      <c r="I313" s="68" t="s">
        <v>45</v>
      </c>
      <c r="M313" s="8"/>
    </row>
    <row r="314" spans="4:13" x14ac:dyDescent="0.25">
      <c r="D314" s="68" t="str" cm="1">
        <f t="array" ref="D314">Common_InputFunctions.Utility_DisplayArrayInTable(SourceData_PastureBeef.SourceData_PastureBeef_CrudeProteinContent_Data(), Table_SourceData_PastureBeef_CrudeProtein[[#Headers],[State]], 0)</f>
        <v>ACT</v>
      </c>
      <c r="E314" s="68" t="str" cm="1">
        <f t="array" ref="E314">Common_InputFunctions.Utility_DisplayArrayInTable(SourceData_PastureBeef.SourceData_PastureBeef_CrudeProteinContent_Data(), Table_SourceData_PastureBeef_CrudeProtein[[#Headers],[State]], 0)</f>
        <v>n/a</v>
      </c>
      <c r="F314" s="68" cm="1">
        <f t="array" ref="F314">Common_InputFunctions.Utility_DisplayArrayInTable(SourceData_PastureBeef.SourceData_PastureBeef_CrudeProteinContent_Data(), Table_SourceData_PastureBeef_CrudeProtein[[#Headers],[State]], 0)</f>
        <v>7.0000000000000007E-2</v>
      </c>
      <c r="G314" s="68" cm="1">
        <f t="array" ref="G314">Common_InputFunctions.Utility_DisplayArrayInTable(SourceData_PastureBeef.SourceData_PastureBeef_CrudeProteinContent_Data(), Table_SourceData_PastureBeef_CrudeProtein[[#Headers],[State]], 0)</f>
        <v>0.13</v>
      </c>
      <c r="H314" s="68" cm="1">
        <f t="array" ref="H314">Common_InputFunctions.Utility_DisplayArrayInTable(SourceData_PastureBeef.SourceData_PastureBeef_CrudeProteinContent_Data(), Table_SourceData_PastureBeef_CrudeProtein[[#Headers],[State]], 0)</f>
        <v>0.1</v>
      </c>
      <c r="I314" s="68" cm="1">
        <f t="array" ref="I314">Common_InputFunctions.Utility_DisplayArrayInTable(SourceData_PastureBeef.SourceData_PastureBeef_CrudeProteinContent_Data(), Table_SourceData_PastureBeef_CrudeProtein[[#Headers],[State]], 0)</f>
        <v>0.06</v>
      </c>
      <c r="M314" s="8"/>
    </row>
    <row r="315" spans="4:13" x14ac:dyDescent="0.25">
      <c r="D315" s="68" t="str" cm="1">
        <f t="array" ref="D315">Common_InputFunctions.Utility_DisplayArrayInTable(SourceData_PastureBeef.SourceData_PastureBeef_CrudeProteinContent_Data(), Table_SourceData_PastureBeef_CrudeProtein[[#Headers],[State]], 0)</f>
        <v>NSW</v>
      </c>
      <c r="E315" s="68" t="str" cm="1">
        <f t="array" ref="E315">Common_InputFunctions.Utility_DisplayArrayInTable(SourceData_PastureBeef.SourceData_PastureBeef_CrudeProteinContent_Data(), Table_SourceData_PastureBeef_CrudeProtein[[#Headers],[State]], 0)</f>
        <v>n/a</v>
      </c>
      <c r="F315" s="68" cm="1">
        <f t="array" ref="F315">Common_InputFunctions.Utility_DisplayArrayInTable(SourceData_PastureBeef.SourceData_PastureBeef_CrudeProteinContent_Data(), Table_SourceData_PastureBeef_CrudeProtein[[#Headers],[State]], 0)</f>
        <v>7.0000000000000007E-2</v>
      </c>
      <c r="G315" s="68" cm="1">
        <f t="array" ref="G315">Common_InputFunctions.Utility_DisplayArrayInTable(SourceData_PastureBeef.SourceData_PastureBeef_CrudeProteinContent_Data(), Table_SourceData_PastureBeef_CrudeProtein[[#Headers],[State]], 0)</f>
        <v>0.13</v>
      </c>
      <c r="H315" s="68" cm="1">
        <f t="array" ref="H315">Common_InputFunctions.Utility_DisplayArrayInTable(SourceData_PastureBeef.SourceData_PastureBeef_CrudeProteinContent_Data(), Table_SourceData_PastureBeef_CrudeProtein[[#Headers],[State]], 0)</f>
        <v>0.1</v>
      </c>
      <c r="I315" s="68" cm="1">
        <f t="array" ref="I315">Common_InputFunctions.Utility_DisplayArrayInTable(SourceData_PastureBeef.SourceData_PastureBeef_CrudeProteinContent_Data(), Table_SourceData_PastureBeef_CrudeProtein[[#Headers],[State]], 0)</f>
        <v>0.06</v>
      </c>
      <c r="M315" s="8"/>
    </row>
    <row r="316" spans="4:13" x14ac:dyDescent="0.25">
      <c r="D316" s="68" t="str" cm="1">
        <f t="array" ref="D316">Common_InputFunctions.Utility_DisplayArrayInTable(SourceData_PastureBeef.SourceData_PastureBeef_CrudeProteinContent_Data(), Table_SourceData_PastureBeef_CrudeProtein[[#Headers],[State]], 0)</f>
        <v>NT</v>
      </c>
      <c r="E316" s="68" t="str" cm="1">
        <f t="array" ref="E316">Common_InputFunctions.Utility_DisplayArrayInTable(SourceData_PastureBeef.SourceData_PastureBeef_CrudeProteinContent_Data(), Table_SourceData_PastureBeef_CrudeProtein[[#Headers],[State]], 0)</f>
        <v>Alice Springs</v>
      </c>
      <c r="F316" s="68" cm="1">
        <f t="array" ref="F316">Common_InputFunctions.Utility_DisplayArrayInTable(SourceData_PastureBeef.SourceData_PastureBeef_CrudeProteinContent_Data(), Table_SourceData_PastureBeef_CrudeProtein[[#Headers],[State]], 0)</f>
        <v>5.8000000000000003E-2</v>
      </c>
      <c r="G316" s="68" cm="1">
        <f t="array" ref="G316">Common_InputFunctions.Utility_DisplayArrayInTable(SourceData_PastureBeef.SourceData_PastureBeef_CrudeProteinContent_Data(), Table_SourceData_PastureBeef_CrudeProtein[[#Headers],[State]], 0)</f>
        <v>9.1999999999999998E-2</v>
      </c>
      <c r="H316" s="68" cm="1">
        <f t="array" ref="H316">Common_InputFunctions.Utility_DisplayArrayInTable(SourceData_PastureBeef.SourceData_PastureBeef_CrudeProteinContent_Data(), Table_SourceData_PastureBeef_CrudeProtein[[#Headers],[State]], 0)</f>
        <v>7.4999999999999997E-2</v>
      </c>
      <c r="I316" s="68"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68" t="str" cm="1">
        <f t="array" ref="D317">Common_InputFunctions.Utility_DisplayArrayInTable(SourceData_PastureBeef.SourceData_PastureBeef_CrudeProteinContent_Data(), Table_SourceData_PastureBeef_CrudeProtein[[#Headers],[State]], 0)</f>
        <v>NT</v>
      </c>
      <c r="E317" s="68" t="str" cm="1">
        <f t="array" ref="E317">Common_InputFunctions.Utility_DisplayArrayInTable(SourceData_PastureBeef.SourceData_PastureBeef_CrudeProteinContent_Data(), Table_SourceData_PastureBeef_CrudeProtein[[#Headers],[State]], 0)</f>
        <v>Barkly</v>
      </c>
      <c r="F317" s="68" cm="1">
        <f t="array" ref="F317">Common_InputFunctions.Utility_DisplayArrayInTable(SourceData_PastureBeef.SourceData_PastureBeef_CrudeProteinContent_Data(), Table_SourceData_PastureBeef_CrudeProtein[[#Headers],[State]], 0)</f>
        <v>5.8000000000000003E-2</v>
      </c>
      <c r="G317" s="68" cm="1">
        <f t="array" ref="G317">Common_InputFunctions.Utility_DisplayArrayInTable(SourceData_PastureBeef.SourceData_PastureBeef_CrudeProteinContent_Data(), Table_SourceData_PastureBeef_CrudeProtein[[#Headers],[State]], 0)</f>
        <v>9.1999999999999998E-2</v>
      </c>
      <c r="H317" s="68" cm="1">
        <f t="array" ref="H317">Common_InputFunctions.Utility_DisplayArrayInTable(SourceData_PastureBeef.SourceData_PastureBeef_CrudeProteinContent_Data(), Table_SourceData_PastureBeef_CrudeProtein[[#Headers],[State]], 0)</f>
        <v>7.4999999999999997E-2</v>
      </c>
      <c r="I317" s="68"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68" t="str" cm="1">
        <f t="array" ref="D318">Common_InputFunctions.Utility_DisplayArrayInTable(SourceData_PastureBeef.SourceData_PastureBeef_CrudeProteinContent_Data(), Table_SourceData_PastureBeef_CrudeProtein[[#Headers],[State]], 0)</f>
        <v>NT</v>
      </c>
      <c r="E318" s="68" t="str" cm="1">
        <f t="array" ref="E318">Common_InputFunctions.Utility_DisplayArrayInTable(SourceData_PastureBeef.SourceData_PastureBeef_CrudeProteinContent_Data(), Table_SourceData_PastureBeef_CrudeProtein[[#Headers],[State]], 0)</f>
        <v>Northern</v>
      </c>
      <c r="F318" s="68" cm="1">
        <f t="array" ref="F318">Common_InputFunctions.Utility_DisplayArrayInTable(SourceData_PastureBeef.SourceData_PastureBeef_CrudeProteinContent_Data(), Table_SourceData_PastureBeef_CrudeProtein[[#Headers],[State]], 0)</f>
        <v>5.8000000000000003E-2</v>
      </c>
      <c r="G318" s="68" cm="1">
        <f t="array" ref="G318">Common_InputFunctions.Utility_DisplayArrayInTable(SourceData_PastureBeef.SourceData_PastureBeef_CrudeProteinContent_Data(), Table_SourceData_PastureBeef_CrudeProtein[[#Headers],[State]], 0)</f>
        <v>9.1999999999999998E-2</v>
      </c>
      <c r="H318" s="68" cm="1">
        <f t="array" ref="H318">Common_InputFunctions.Utility_DisplayArrayInTable(SourceData_PastureBeef.SourceData_PastureBeef_CrudeProteinContent_Data(), Table_SourceData_PastureBeef_CrudeProtein[[#Headers],[State]], 0)</f>
        <v>7.4999999999999997E-2</v>
      </c>
      <c r="I318" s="68"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68" t="str" cm="1">
        <f t="array" ref="D319">Common_InputFunctions.Utility_DisplayArrayInTable(SourceData_PastureBeef.SourceData_PastureBeef_CrudeProteinContent_Data(), Table_SourceData_PastureBeef_CrudeProtein[[#Headers],[State]], 0)</f>
        <v>QLD</v>
      </c>
      <c r="E319" s="68" t="str" cm="1">
        <f t="array" ref="E319">Common_InputFunctions.Utility_DisplayArrayInTable(SourceData_PastureBeef.SourceData_PastureBeef_CrudeProteinContent_Data(), Table_SourceData_PastureBeef_CrudeProtein[[#Headers],[State]], 0)</f>
        <v>High</v>
      </c>
      <c r="F319" s="68" cm="1">
        <f t="array" ref="F319">Common_InputFunctions.Utility_DisplayArrayInTable(SourceData_PastureBeef.SourceData_PastureBeef_CrudeProteinContent_Data(), Table_SourceData_PastureBeef_CrudeProtein[[#Headers],[State]], 0)</f>
        <v>7.1999999999999995E-2</v>
      </c>
      <c r="G319" s="68" cm="1">
        <f t="array" ref="G319">Common_InputFunctions.Utility_DisplayArrayInTable(SourceData_PastureBeef.SourceData_PastureBeef_CrudeProteinContent_Data(), Table_SourceData_PastureBeef_CrudeProtein[[#Headers],[State]], 0)</f>
        <v>9.9000000000000005E-2</v>
      </c>
      <c r="H319" s="68" cm="1">
        <f t="array" ref="H319">Common_InputFunctions.Utility_DisplayArrayInTable(SourceData_PastureBeef.SourceData_PastureBeef_CrudeProteinContent_Data(), Table_SourceData_PastureBeef_CrudeProtein[[#Headers],[State]], 0)</f>
        <v>7.8E-2</v>
      </c>
      <c r="I319" s="68"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68" t="str" cm="1">
        <f t="array" ref="D320">Common_InputFunctions.Utility_DisplayArrayInTable(SourceData_PastureBeef.SourceData_PastureBeef_CrudeProteinContent_Data(), Table_SourceData_PastureBeef_CrudeProtein[[#Headers],[State]], 0)</f>
        <v>QLD</v>
      </c>
      <c r="E320" s="68" t="str" cm="1">
        <f t="array" ref="E320">Common_InputFunctions.Utility_DisplayArrayInTable(SourceData_PastureBeef.SourceData_PastureBeef_CrudeProteinContent_Data(), Table_SourceData_PastureBeef_CrudeProtein[[#Headers],[State]], 0)</f>
        <v>Moderate/High</v>
      </c>
      <c r="F320" s="68" cm="1">
        <f t="array" ref="F320">Common_InputFunctions.Utility_DisplayArrayInTable(SourceData_PastureBeef.SourceData_PastureBeef_CrudeProteinContent_Data(), Table_SourceData_PastureBeef_CrudeProtein[[#Headers],[State]], 0)</f>
        <v>7.1999999999999995E-2</v>
      </c>
      <c r="G320" s="68" cm="1">
        <f t="array" ref="G320">Common_InputFunctions.Utility_DisplayArrayInTable(SourceData_PastureBeef.SourceData_PastureBeef_CrudeProteinContent_Data(), Table_SourceData_PastureBeef_CrudeProtein[[#Headers],[State]], 0)</f>
        <v>9.9000000000000005E-2</v>
      </c>
      <c r="H320" s="68" cm="1">
        <f t="array" ref="H320">Common_InputFunctions.Utility_DisplayArrayInTable(SourceData_PastureBeef.SourceData_PastureBeef_CrudeProteinContent_Data(), Table_SourceData_PastureBeef_CrudeProtein[[#Headers],[State]], 0)</f>
        <v>7.8E-2</v>
      </c>
      <c r="I320" s="68"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68" t="str" cm="1">
        <f t="array" ref="D321">Common_InputFunctions.Utility_DisplayArrayInTable(SourceData_PastureBeef.SourceData_PastureBeef_CrudeProteinContent_Data(), Table_SourceData_PastureBeef_CrudeProtein[[#Headers],[State]], 0)</f>
        <v>QLD</v>
      </c>
      <c r="E321" s="68" t="str" cm="1">
        <f t="array" ref="E321">Common_InputFunctions.Utility_DisplayArrayInTable(SourceData_PastureBeef.SourceData_PastureBeef_CrudeProteinContent_Data(), Table_SourceData_PastureBeef_CrudeProtein[[#Headers],[State]], 0)</f>
        <v>Moderate/Low</v>
      </c>
      <c r="F321" s="68" cm="1">
        <f t="array" ref="F321">Common_InputFunctions.Utility_DisplayArrayInTable(SourceData_PastureBeef.SourceData_PastureBeef_CrudeProteinContent_Data(), Table_SourceData_PastureBeef_CrudeProtein[[#Headers],[State]], 0)</f>
        <v>7.1999999999999995E-2</v>
      </c>
      <c r="G321" s="68" cm="1">
        <f t="array" ref="G321">Common_InputFunctions.Utility_DisplayArrayInTable(SourceData_PastureBeef.SourceData_PastureBeef_CrudeProteinContent_Data(), Table_SourceData_PastureBeef_CrudeProtein[[#Headers],[State]], 0)</f>
        <v>9.9000000000000005E-2</v>
      </c>
      <c r="H321" s="68" cm="1">
        <f t="array" ref="H321">Common_InputFunctions.Utility_DisplayArrayInTable(SourceData_PastureBeef.SourceData_PastureBeef_CrudeProteinContent_Data(), Table_SourceData_PastureBeef_CrudeProtein[[#Headers],[State]], 0)</f>
        <v>7.8E-2</v>
      </c>
      <c r="I321" s="68"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68" t="str" cm="1">
        <f t="array" ref="D322">Common_InputFunctions.Utility_DisplayArrayInTable(SourceData_PastureBeef.SourceData_PastureBeef_CrudeProteinContent_Data(), Table_SourceData_PastureBeef_CrudeProtein[[#Headers],[State]], 0)</f>
        <v>QLD</v>
      </c>
      <c r="E322" s="68" t="str" cm="1">
        <f t="array" ref="E322">Common_InputFunctions.Utility_DisplayArrayInTable(SourceData_PastureBeef.SourceData_PastureBeef_CrudeProteinContent_Data(), Table_SourceData_PastureBeef_CrudeProtein[[#Headers],[State]], 0)</f>
        <v>Low</v>
      </c>
      <c r="F322" s="68" cm="1">
        <f t="array" ref="F322">Common_InputFunctions.Utility_DisplayArrayInTable(SourceData_PastureBeef.SourceData_PastureBeef_CrudeProteinContent_Data(), Table_SourceData_PastureBeef_CrudeProtein[[#Headers],[State]], 0)</f>
        <v>7.1999999999999995E-2</v>
      </c>
      <c r="G322" s="68" cm="1">
        <f t="array" ref="G322">Common_InputFunctions.Utility_DisplayArrayInTable(SourceData_PastureBeef.SourceData_PastureBeef_CrudeProteinContent_Data(), Table_SourceData_PastureBeef_CrudeProtein[[#Headers],[State]], 0)</f>
        <v>9.9000000000000005E-2</v>
      </c>
      <c r="H322" s="68" cm="1">
        <f t="array" ref="H322">Common_InputFunctions.Utility_DisplayArrayInTable(SourceData_PastureBeef.SourceData_PastureBeef_CrudeProteinContent_Data(), Table_SourceData_PastureBeef_CrudeProtein[[#Headers],[State]], 0)</f>
        <v>7.8E-2</v>
      </c>
      <c r="I322" s="68"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68" t="str" cm="1">
        <f t="array" ref="D323">Common_InputFunctions.Utility_DisplayArrayInTable(SourceData_PastureBeef.SourceData_PastureBeef_CrudeProteinContent_Data(), Table_SourceData_PastureBeef_CrudeProtein[[#Headers],[State]], 0)</f>
        <v>SA</v>
      </c>
      <c r="E323" s="68" t="str" cm="1">
        <f t="array" ref="E323">Common_InputFunctions.Utility_DisplayArrayInTable(SourceData_PastureBeef.SourceData_PastureBeef_CrudeProteinContent_Data(), Table_SourceData_PastureBeef_CrudeProtein[[#Headers],[State]], 0)</f>
        <v>n/a</v>
      </c>
      <c r="F323" s="68" cm="1">
        <f t="array" ref="F323">Common_InputFunctions.Utility_DisplayArrayInTable(SourceData_PastureBeef.SourceData_PastureBeef_CrudeProteinContent_Data(), Table_SourceData_PastureBeef_CrudeProtein[[#Headers],[State]], 0)</f>
        <v>0.16</v>
      </c>
      <c r="G323" s="68" cm="1">
        <f t="array" ref="G323">Common_InputFunctions.Utility_DisplayArrayInTable(SourceData_PastureBeef.SourceData_PastureBeef_CrudeProteinContent_Data(), Table_SourceData_PastureBeef_CrudeProtein[[#Headers],[State]], 0)</f>
        <v>7.0000000000000007E-2</v>
      </c>
      <c r="H323" s="68" cm="1">
        <f t="array" ref="H323">Common_InputFunctions.Utility_DisplayArrayInTable(SourceData_PastureBeef.SourceData_PastureBeef_CrudeProteinContent_Data(), Table_SourceData_PastureBeef_CrudeProtein[[#Headers],[State]], 0)</f>
        <v>0.09</v>
      </c>
      <c r="I323" s="68" cm="1">
        <f t="array" ref="I323">Common_InputFunctions.Utility_DisplayArrayInTable(SourceData_PastureBeef.SourceData_PastureBeef_CrudeProteinContent_Data(), Table_SourceData_PastureBeef_CrudeProtein[[#Headers],[State]], 0)</f>
        <v>0.2</v>
      </c>
      <c r="M323" s="1"/>
    </row>
    <row r="324" spans="4:13" x14ac:dyDescent="0.25">
      <c r="D324" s="68" t="str" cm="1">
        <f t="array" ref="D324">Common_InputFunctions.Utility_DisplayArrayInTable(SourceData_PastureBeef.SourceData_PastureBeef_CrudeProteinContent_Data(), Table_SourceData_PastureBeef_CrudeProtein[[#Headers],[State]], 0)</f>
        <v>TAS</v>
      </c>
      <c r="E324" s="68" t="str" cm="1">
        <f t="array" ref="E324">Common_InputFunctions.Utility_DisplayArrayInTable(SourceData_PastureBeef.SourceData_PastureBeef_CrudeProteinContent_Data(), Table_SourceData_PastureBeef_CrudeProtein[[#Headers],[State]], 0)</f>
        <v>n/a</v>
      </c>
      <c r="F324" s="68" cm="1">
        <f t="array" ref="F324">Common_InputFunctions.Utility_DisplayArrayInTable(SourceData_PastureBeef.SourceData_PastureBeef_CrudeProteinContent_Data(), Table_SourceData_PastureBeef_CrudeProtein[[#Headers],[State]], 0)</f>
        <v>0.2</v>
      </c>
      <c r="G324" s="68" cm="1">
        <f t="array" ref="G324">Common_InputFunctions.Utility_DisplayArrayInTable(SourceData_PastureBeef.SourceData_PastureBeef_CrudeProteinContent_Data(), Table_SourceData_PastureBeef_CrudeProtein[[#Headers],[State]], 0)</f>
        <v>0.1</v>
      </c>
      <c r="H324" s="68" cm="1">
        <f t="array" ref="H324">Common_InputFunctions.Utility_DisplayArrayInTable(SourceData_PastureBeef.SourceData_PastureBeef_CrudeProteinContent_Data(), Table_SourceData_PastureBeef_CrudeProtein[[#Headers],[State]], 0)</f>
        <v>0.16</v>
      </c>
      <c r="I324" s="68" cm="1">
        <f t="array" ref="I324">Common_InputFunctions.Utility_DisplayArrayInTable(SourceData_PastureBeef.SourceData_PastureBeef_CrudeProteinContent_Data(), Table_SourceData_PastureBeef_CrudeProtein[[#Headers],[State]], 0)</f>
        <v>0.2</v>
      </c>
      <c r="M324" s="1"/>
    </row>
    <row r="325" spans="4:13" x14ac:dyDescent="0.25">
      <c r="D325" s="68" t="str" cm="1">
        <f t="array" ref="D325">Common_InputFunctions.Utility_DisplayArrayInTable(SourceData_PastureBeef.SourceData_PastureBeef_CrudeProteinContent_Data(), Table_SourceData_PastureBeef_CrudeProtein[[#Headers],[State]], 0)</f>
        <v>VIC</v>
      </c>
      <c r="E325" s="68" t="str" cm="1">
        <f t="array" ref="E325">Common_InputFunctions.Utility_DisplayArrayInTable(SourceData_PastureBeef.SourceData_PastureBeef_CrudeProteinContent_Data(), Table_SourceData_PastureBeef_CrudeProtein[[#Headers],[State]], 0)</f>
        <v>n/a</v>
      </c>
      <c r="F325" s="68" cm="1">
        <f t="array" ref="F325">Common_InputFunctions.Utility_DisplayArrayInTable(SourceData_PastureBeef.SourceData_PastureBeef_CrudeProteinContent_Data(), Table_SourceData_PastureBeef_CrudeProtein[[#Headers],[State]], 0)</f>
        <v>0.25</v>
      </c>
      <c r="G325" s="68" cm="1">
        <f t="array" ref="G325">Common_InputFunctions.Utility_DisplayArrayInTable(SourceData_PastureBeef.SourceData_PastureBeef_CrudeProteinContent_Data(), Table_SourceData_PastureBeef_CrudeProtein[[#Headers],[State]], 0)</f>
        <v>7.0000000000000007E-2</v>
      </c>
      <c r="H325" s="68" cm="1">
        <f t="array" ref="H325">Common_InputFunctions.Utility_DisplayArrayInTable(SourceData_PastureBeef.SourceData_PastureBeef_CrudeProteinContent_Data(), Table_SourceData_PastureBeef_CrudeProtein[[#Headers],[State]], 0)</f>
        <v>0.1</v>
      </c>
      <c r="I325" s="68" cm="1">
        <f t="array" ref="I325">Common_InputFunctions.Utility_DisplayArrayInTable(SourceData_PastureBeef.SourceData_PastureBeef_CrudeProteinContent_Data(), Table_SourceData_PastureBeef_CrudeProtein[[#Headers],[State]], 0)</f>
        <v>0.21</v>
      </c>
      <c r="M325" s="1"/>
    </row>
    <row r="326" spans="4:13" x14ac:dyDescent="0.25">
      <c r="D326" s="68" t="str" cm="1">
        <f t="array" ref="D326">Common_InputFunctions.Utility_DisplayArrayInTable(SourceData_PastureBeef.SourceData_PastureBeef_CrudeProteinContent_Data(), Table_SourceData_PastureBeef_CrudeProtein[[#Headers],[State]], 0)</f>
        <v>WA</v>
      </c>
      <c r="E326" s="68" t="str" cm="1">
        <f t="array" ref="E326">Common_InputFunctions.Utility_DisplayArrayInTable(SourceData_PastureBeef.SourceData_PastureBeef_CrudeProteinContent_Data(), Table_SourceData_PastureBeef_CrudeProtein[[#Headers],[State]], 0)</f>
        <v>South West</v>
      </c>
      <c r="F326" s="68" cm="1">
        <f t="array" ref="F326">Common_InputFunctions.Utility_DisplayArrayInTable(SourceData_PastureBeef.SourceData_PastureBeef_CrudeProteinContent_Data(), Table_SourceData_PastureBeef_CrudeProtein[[#Headers],[State]], 0)</f>
        <v>0.2</v>
      </c>
      <c r="G326" s="68" cm="1">
        <f t="array" ref="G326">Common_InputFunctions.Utility_DisplayArrayInTable(SourceData_PastureBeef.SourceData_PastureBeef_CrudeProteinContent_Data(), Table_SourceData_PastureBeef_CrudeProtein[[#Headers],[State]], 0)</f>
        <v>0.09</v>
      </c>
      <c r="H326" s="68" cm="1">
        <f t="array" ref="H326">Common_InputFunctions.Utility_DisplayArrayInTable(SourceData_PastureBeef.SourceData_PastureBeef_CrudeProteinContent_Data(), Table_SourceData_PastureBeef_CrudeProtein[[#Headers],[State]], 0)</f>
        <v>0.06</v>
      </c>
      <c r="I326" s="68" cm="1">
        <f t="array" ref="I326">Common_InputFunctions.Utility_DisplayArrayInTable(SourceData_PastureBeef.SourceData_PastureBeef_CrudeProteinContent_Data(), Table_SourceData_PastureBeef_CrudeProtein[[#Headers],[State]], 0)</f>
        <v>0.2</v>
      </c>
      <c r="M326" s="1"/>
    </row>
    <row r="327" spans="4:13" x14ac:dyDescent="0.25">
      <c r="D327" s="68" t="str" cm="1">
        <f t="array" ref="D327">Common_InputFunctions.Utility_DisplayArrayInTable(SourceData_PastureBeef.SourceData_PastureBeef_CrudeProteinContent_Data(), Table_SourceData_PastureBeef_CrudeProtein[[#Headers],[State]], 0)</f>
        <v>WA</v>
      </c>
      <c r="E327" s="68" t="str" cm="1">
        <f t="array" ref="E327">Common_InputFunctions.Utility_DisplayArrayInTable(SourceData_PastureBeef.SourceData_PastureBeef_CrudeProteinContent_Data(), Table_SourceData_PastureBeef_CrudeProtein[[#Headers],[State]], 0)</f>
        <v>Pilbara</v>
      </c>
      <c r="F327" s="68" cm="1">
        <f t="array" ref="F327">Common_InputFunctions.Utility_DisplayArrayInTable(SourceData_PastureBeef.SourceData_PastureBeef_CrudeProteinContent_Data(), Table_SourceData_PastureBeef_CrudeProtein[[#Headers],[State]], 0)</f>
        <v>0.04</v>
      </c>
      <c r="G327" s="68" cm="1">
        <f t="array" ref="G327">Common_InputFunctions.Utility_DisplayArrayInTable(SourceData_PastureBeef.SourceData_PastureBeef_CrudeProteinContent_Data(), Table_SourceData_PastureBeef_CrudeProtein[[#Headers],[State]], 0)</f>
        <v>0.12</v>
      </c>
      <c r="H327" s="68" cm="1">
        <f t="array" ref="H327">Common_InputFunctions.Utility_DisplayArrayInTable(SourceData_PastureBeef.SourceData_PastureBeef_CrudeProteinContent_Data(), Table_SourceData_PastureBeef_CrudeProtein[[#Headers],[State]], 0)</f>
        <v>0.09</v>
      </c>
      <c r="I327" s="68" cm="1">
        <f t="array" ref="I327">Common_InputFunctions.Utility_DisplayArrayInTable(SourceData_PastureBeef.SourceData_PastureBeef_CrudeProteinContent_Data(), Table_SourceData_PastureBeef_CrudeProtein[[#Headers],[State]], 0)</f>
        <v>0.06</v>
      </c>
      <c r="M327" s="1"/>
    </row>
    <row r="328" spans="4:13" x14ac:dyDescent="0.25">
      <c r="D328" s="68" t="str" cm="1">
        <f t="array" ref="D328">Common_InputFunctions.Utility_DisplayArrayInTable(SourceData_PastureBeef.SourceData_PastureBeef_CrudeProteinContent_Data(), Table_SourceData_PastureBeef_CrudeProtein[[#Headers],[State]], 0)</f>
        <v>WA</v>
      </c>
      <c r="E328" s="68" t="str" cm="1">
        <f t="array" ref="E328">Common_InputFunctions.Utility_DisplayArrayInTable(SourceData_PastureBeef.SourceData_PastureBeef_CrudeProteinContent_Data(), Table_SourceData_PastureBeef_CrudeProtein[[#Headers],[State]], 0)</f>
        <v>Kimberley</v>
      </c>
      <c r="F328" s="68" cm="1">
        <f t="array" ref="F328">Common_InputFunctions.Utility_DisplayArrayInTable(SourceData_PastureBeef.SourceData_PastureBeef_CrudeProteinContent_Data(), Table_SourceData_PastureBeef_CrudeProtein[[#Headers],[State]], 0)</f>
        <v>0.04</v>
      </c>
      <c r="G328" s="68" cm="1">
        <f t="array" ref="G328">Common_InputFunctions.Utility_DisplayArrayInTable(SourceData_PastureBeef.SourceData_PastureBeef_CrudeProteinContent_Data(), Table_SourceData_PastureBeef_CrudeProtein[[#Headers],[State]], 0)</f>
        <v>0.12</v>
      </c>
      <c r="H328" s="68" cm="1">
        <f t="array" ref="H328">Common_InputFunctions.Utility_DisplayArrayInTable(SourceData_PastureBeef.SourceData_PastureBeef_CrudeProteinContent_Data(), Table_SourceData_PastureBeef_CrudeProtein[[#Headers],[State]], 0)</f>
        <v>0.09</v>
      </c>
      <c r="I328" s="68"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46"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71" t="s">
        <v>183</v>
      </c>
      <c r="M333" s="1"/>
    </row>
    <row r="334" spans="4:13" x14ac:dyDescent="0.25">
      <c r="D334" s="68" t="s">
        <v>184</v>
      </c>
      <c r="E334" s="68" t="s">
        <v>84</v>
      </c>
      <c r="F334" s="68" t="s">
        <v>185</v>
      </c>
      <c r="G334" s="68" t="s">
        <v>186</v>
      </c>
      <c r="I334" s="68" t="s">
        <v>184</v>
      </c>
      <c r="J334" s="68" t="s">
        <v>84</v>
      </c>
      <c r="K334" s="68" t="s">
        <v>185</v>
      </c>
      <c r="L334" s="68" t="s">
        <v>186</v>
      </c>
      <c r="M334" s="1"/>
    </row>
    <row r="335" spans="4:13" x14ac:dyDescent="0.25">
      <c r="D335" s="68" t="str" cm="1">
        <f t="array" ref="D335">Common_InputFunctions.Utility_DisplayArrayInTable(SourceData_PastureBeef.SourceData_PastureBeef_FeedAdjustmentAndMilkProduction_Data(), Table_SourceData_PastureBeef_FeedIntakeAdjustment[[#Headers],[Breed]], 0)</f>
        <v>Hereford or Shorthorn breeds</v>
      </c>
      <c r="E335" s="68" t="str" cm="1">
        <f t="array" ref="E335">Common_InputFunctions.Utility_DisplayArrayInTable(SourceData_PastureBeef.SourceData_PastureBeef_FeedAdjustmentAndMilkProduction_Data(), Table_SourceData_PastureBeef_FeedIntakeAdjustment[[#Headers],[Breed]], 0)</f>
        <v>Spring</v>
      </c>
      <c r="F335" s="68" cm="1">
        <f t="array" ref="F335">Common_InputFunctions.Utility_DisplayArrayInTable(SourceData_PastureBeef.SourceData_PastureBeef_FeedAdjustmentAndMilkProduction_Data(), Table_SourceData_PastureBeef_FeedIntakeAdjustment[[#Headers],[Breed]], 0)</f>
        <v>1.3</v>
      </c>
      <c r="G335" s="68" cm="1">
        <f t="array" ref="G335">Common_InputFunctions.Utility_DisplayArrayInTable(SourceData_PastureBeef.SourceData_PastureBeef_FeedAdjustmentAndMilkProduction_Data(), Table_SourceData_PastureBeef_FeedIntakeAdjustment[[#Headers],[Breed]], 0)</f>
        <v>6</v>
      </c>
      <c r="I335" s="68" t="str">
        <f>Table_SourceData_PastureBeef_FeedIntakeAdjustment[[#This Row],[Breed]]</f>
        <v>Hereford or Shorthorn breeds</v>
      </c>
      <c r="J335" s="68" t="s">
        <v>55</v>
      </c>
      <c r="K335" s="68">
        <f>Table_SourceData_PastureBeef_FeedIntakeAdjustment[[#This Row],[Feed adjustment]]</f>
        <v>1.3</v>
      </c>
      <c r="L335" s="68">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68" t="str" cm="1">
        <f t="array" ref="E336">Common_InputFunctions.Utility_DisplayArrayInTable(SourceData_PastureBeef.SourceData_PastureBeef_FeedAdjustmentAndMilkProduction_Data(), Table_SourceData_PastureBeef_FeedIntakeAdjustment[[#Headers],[Breed]], 0)</f>
        <v>Summer</v>
      </c>
      <c r="F336" s="68" cm="1">
        <f t="array" ref="F336">Common_InputFunctions.Utility_DisplayArrayInTable(SourceData_PastureBeef.SourceData_PastureBeef_FeedAdjustmentAndMilkProduction_Data(), Table_SourceData_PastureBeef_FeedIntakeAdjustment[[#Headers],[Breed]], 0)</f>
        <v>1.1000000000000001</v>
      </c>
      <c r="G336" s="68"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68" t="s">
        <v>187</v>
      </c>
      <c r="K336" s="68">
        <f>Table_SourceData_PastureBeef_FeedIntakeAdjustment[[#This Row],[Feed adjustment]]</f>
        <v>1.1000000000000001</v>
      </c>
      <c r="L336" s="68">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68" t="str" cm="1">
        <f t="array" ref="E337">Common_InputFunctions.Utility_DisplayArrayInTable(SourceData_PastureBeef.SourceData_PastureBeef_FeedAdjustmentAndMilkProduction_Data(), Table_SourceData_PastureBeef_FeedIntakeAdjustment[[#Headers],[Breed]], 0)</f>
        <v>Autumn</v>
      </c>
      <c r="F337" s="68" cm="1">
        <f t="array" ref="F337">Common_InputFunctions.Utility_DisplayArrayInTable(SourceData_PastureBeef.SourceData_PastureBeef_FeedAdjustmentAndMilkProduction_Data(), Table_SourceData_PastureBeef_FeedIntakeAdjustment[[#Headers],[Breed]], 0)</f>
        <v>0</v>
      </c>
      <c r="G337" s="68"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68" t="s">
        <v>55</v>
      </c>
      <c r="K337" s="68">
        <f>F340</f>
        <v>1.3</v>
      </c>
      <c r="L337" s="68">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68" t="str" cm="1">
        <f t="array" ref="E338">Common_InputFunctions.Utility_DisplayArrayInTable(SourceData_PastureBeef.SourceData_PastureBeef_FeedAdjustmentAndMilkProduction_Data(), Table_SourceData_PastureBeef_FeedIntakeAdjustment[[#Headers],[Breed]], 0)</f>
        <v>Winter</v>
      </c>
      <c r="F338" s="68" cm="1">
        <f t="array" ref="F338">Common_InputFunctions.Utility_DisplayArrayInTable(SourceData_PastureBeef.SourceData_PastureBeef_FeedAdjustmentAndMilkProduction_Data(), Table_SourceData_PastureBeef_FeedIntakeAdjustment[[#Headers],[Breed]], 0)</f>
        <v>0</v>
      </c>
      <c r="G338" s="68"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68" t="s">
        <v>187</v>
      </c>
      <c r="K338" s="68">
        <f t="shared" ref="K338" si="52">F341</f>
        <v>1.1000000000000001</v>
      </c>
      <c r="L338" s="68">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68" t="str" cm="1">
        <f t="array" ref="E339">Common_InputFunctions.Utility_DisplayArrayInTable(SourceData_PastureBeef.SourceData_PastureBeef_FeedAdjustmentAndMilkProduction_Data(), Table_SourceData_PastureBeef_FeedIntakeAdjustment[[#Headers],[Breed]], 0)</f>
        <v>Spring</v>
      </c>
      <c r="F339" s="68" cm="1">
        <f t="array" ref="F339">Common_InputFunctions.Utility_DisplayArrayInTable(SourceData_PastureBeef.SourceData_PastureBeef_FeedAdjustmentAndMilkProduction_Data(), Table_SourceData_PastureBeef_FeedIntakeAdjustment[[#Headers],[Breed]], 0)</f>
        <v>0</v>
      </c>
      <c r="G339" s="68"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68" t="str" cm="1">
        <f t="array" ref="E340">Common_InputFunctions.Utility_DisplayArrayInTable(SourceData_PastureBeef.SourceData_PastureBeef_FeedAdjustmentAndMilkProduction_Data(), Table_SourceData_PastureBeef_FeedIntakeAdjustment[[#Headers],[Breed]], 0)</f>
        <v>Summer</v>
      </c>
      <c r="F340" s="68" cm="1">
        <f t="array" ref="F340">Common_InputFunctions.Utility_DisplayArrayInTable(SourceData_PastureBeef.SourceData_PastureBeef_FeedAdjustmentAndMilkProduction_Data(), Table_SourceData_PastureBeef_FeedIntakeAdjustment[[#Headers],[Breed]], 0)</f>
        <v>1.3</v>
      </c>
      <c r="G340" s="68"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68" t="str" cm="1">
        <f t="array" ref="E341">Common_InputFunctions.Utility_DisplayArrayInTable(SourceData_PastureBeef.SourceData_PastureBeef_FeedAdjustmentAndMilkProduction_Data(), Table_SourceData_PastureBeef_FeedIntakeAdjustment[[#Headers],[Breed]], 0)</f>
        <v>Autumn</v>
      </c>
      <c r="F341" s="68" cm="1">
        <f t="array" ref="F341">Common_InputFunctions.Utility_DisplayArrayInTable(SourceData_PastureBeef.SourceData_PastureBeef_FeedAdjustmentAndMilkProduction_Data(), Table_SourceData_PastureBeef_FeedIntakeAdjustment[[#Headers],[Breed]], 0)</f>
        <v>1.1000000000000001</v>
      </c>
      <c r="G341" s="68"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68" t="str" cm="1">
        <f t="array" ref="E342">Common_InputFunctions.Utility_DisplayArrayInTable(SourceData_PastureBeef.SourceData_PastureBeef_FeedAdjustmentAndMilkProduction_Data(), Table_SourceData_PastureBeef_FeedIntakeAdjustment[[#Headers],[Breed]], 0)</f>
        <v>Winter</v>
      </c>
      <c r="F342" s="68" cm="1">
        <f t="array" ref="F342">Common_InputFunctions.Utility_DisplayArrayInTable(SourceData_PastureBeef.SourceData_PastureBeef_FeedAdjustmentAndMilkProduction_Data(), Table_SourceData_PastureBeef_FeedIntakeAdjustment[[#Headers],[Breed]], 0)</f>
        <v>0</v>
      </c>
      <c r="G342" s="68"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46"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7" t="str" cm="1">
        <f t="array" ref="D348">SourceData_PastureBeef.SourceData_PastureBeef_StandardReferenceWeights_Unit()</f>
        <v>kg</v>
      </c>
      <c r="M348" s="1"/>
    </row>
    <row r="349" spans="4:13" x14ac:dyDescent="0.25">
      <c r="D349" s="71" t="str" cm="1">
        <f t="array" ref="D349">SourceData_PastureBeef.SourceData_PastureBeef_StandardReferenceWeights_Variation()</f>
        <v>VARIATION ON SOURCE: Split ACT and NSW into separate rows. Added 'State abbreviation' column to aid lookup.</v>
      </c>
      <c r="M349" s="1"/>
    </row>
    <row r="350" spans="4:13" x14ac:dyDescent="0.25">
      <c r="D350" s="68" t="s">
        <v>22</v>
      </c>
      <c r="E350" s="68" t="s">
        <v>188</v>
      </c>
      <c r="F350" s="68" t="s">
        <v>189</v>
      </c>
      <c r="G350" s="68" t="s">
        <v>160</v>
      </c>
      <c r="H350" s="68" t="s">
        <v>161</v>
      </c>
      <c r="I350" s="68" t="s">
        <v>190</v>
      </c>
      <c r="J350" s="68" t="s">
        <v>164</v>
      </c>
      <c r="K350" s="68" t="s">
        <v>180</v>
      </c>
      <c r="L350" s="68" t="s">
        <v>191</v>
      </c>
      <c r="M350" s="1"/>
    </row>
    <row r="351" spans="4:13" x14ac:dyDescent="0.25">
      <c r="D351" s="68" t="str" cm="1">
        <f t="array" ref="D351">Common_InputFunctions.Utility_DisplayArrayInTable(SourceData_PastureBeef.SourceData_PastureBeef_StandardReferenceWeights_Data(), Table_SourceData_PastureBeef_StandardReferenceWeights[[#Headers],[State]], 0)</f>
        <v>ACT</v>
      </c>
      <c r="E351" s="68" cm="1">
        <f t="array" ref="E351">Common_InputFunctions.Utility_DisplayArrayInTable(SourceData_PastureBeef.SourceData_PastureBeef_StandardReferenceWeights_Data(), Table_SourceData_PastureBeef_StandardReferenceWeights[[#Headers],[State]], 0)</f>
        <v>700</v>
      </c>
      <c r="F351" s="68" cm="1">
        <f t="array" ref="F351">Common_InputFunctions.Utility_DisplayArrayInTable(SourceData_PastureBeef.SourceData_PastureBeef_StandardReferenceWeights_Data(), Table_SourceData_PastureBeef_StandardReferenceWeights[[#Headers],[State]], 0)</f>
        <v>700</v>
      </c>
      <c r="G351" s="68" cm="1">
        <f t="array" ref="G351">Common_InputFunctions.Utility_DisplayArrayInTable(SourceData_PastureBeef.SourceData_PastureBeef_StandardReferenceWeights_Data(), Table_SourceData_PastureBeef_StandardReferenceWeights[[#Headers],[State]], 0)</f>
        <v>500</v>
      </c>
      <c r="H351" s="68" cm="1">
        <f t="array" ref="H351">Common_InputFunctions.Utility_DisplayArrayInTable(SourceData_PastureBeef.SourceData_PastureBeef_StandardReferenceWeights_Data(), Table_SourceData_PastureBeef_StandardReferenceWeights[[#Headers],[State]], 0)</f>
        <v>500</v>
      </c>
      <c r="I351" s="68" cm="1">
        <f t="array" ref="I351">Common_InputFunctions.Utility_DisplayArrayInTable(SourceData_PastureBeef.SourceData_PastureBeef_StandardReferenceWeights_Data(), Table_SourceData_PastureBeef_StandardReferenceWeights[[#Headers],[State]], 0)</f>
        <v>500</v>
      </c>
      <c r="J351" s="68" cm="1">
        <f t="array" ref="J351">Common_InputFunctions.Utility_DisplayArrayInTable(SourceData_PastureBeef.SourceData_PastureBeef_StandardReferenceWeights_Data(), Table_SourceData_PastureBeef_StandardReferenceWeights[[#Headers],[State]], 0)</f>
        <v>600</v>
      </c>
      <c r="K351" s="68" cm="1">
        <f t="array" ref="K351">Common_InputFunctions.Utility_DisplayArrayInTable(SourceData_PastureBeef.SourceData_PastureBeef_StandardReferenceWeights_Data(), Table_SourceData_PastureBeef_StandardReferenceWeights[[#Headers],[State]], 0)</f>
        <v>600</v>
      </c>
      <c r="L351" s="68"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68" cm="1">
        <f t="array" ref="E352">Common_InputFunctions.Utility_DisplayArrayInTable(SourceData_PastureBeef.SourceData_PastureBeef_StandardReferenceWeights_Data(), Table_SourceData_PastureBeef_StandardReferenceWeights[[#Headers],[State]], 0)</f>
        <v>700</v>
      </c>
      <c r="F352" s="68" cm="1">
        <f t="array" ref="F352">Common_InputFunctions.Utility_DisplayArrayInTable(SourceData_PastureBeef.SourceData_PastureBeef_StandardReferenceWeights_Data(), Table_SourceData_PastureBeef_StandardReferenceWeights[[#Headers],[State]], 0)</f>
        <v>700</v>
      </c>
      <c r="G352" s="68" cm="1">
        <f t="array" ref="G352">Common_InputFunctions.Utility_DisplayArrayInTable(SourceData_PastureBeef.SourceData_PastureBeef_StandardReferenceWeights_Data(), Table_SourceData_PastureBeef_StandardReferenceWeights[[#Headers],[State]], 0)</f>
        <v>500</v>
      </c>
      <c r="H352" s="68" cm="1">
        <f t="array" ref="H352">Common_InputFunctions.Utility_DisplayArrayInTable(SourceData_PastureBeef.SourceData_PastureBeef_StandardReferenceWeights_Data(), Table_SourceData_PastureBeef_StandardReferenceWeights[[#Headers],[State]], 0)</f>
        <v>500</v>
      </c>
      <c r="I352" s="68" cm="1">
        <f t="array" ref="I352">Common_InputFunctions.Utility_DisplayArrayInTable(SourceData_PastureBeef.SourceData_PastureBeef_StandardReferenceWeights_Data(), Table_SourceData_PastureBeef_StandardReferenceWeights[[#Headers],[State]], 0)</f>
        <v>500</v>
      </c>
      <c r="J352" s="68" cm="1">
        <f t="array" ref="J352">Common_InputFunctions.Utility_DisplayArrayInTable(SourceData_PastureBeef.SourceData_PastureBeef_StandardReferenceWeights_Data(), Table_SourceData_PastureBeef_StandardReferenceWeights[[#Headers],[State]], 0)</f>
        <v>600</v>
      </c>
      <c r="K352" s="68" cm="1">
        <f t="array" ref="K352">Common_InputFunctions.Utility_DisplayArrayInTable(SourceData_PastureBeef.SourceData_PastureBeef_StandardReferenceWeights_Data(), Table_SourceData_PastureBeef_StandardReferenceWeights[[#Headers],[State]], 0)</f>
        <v>600</v>
      </c>
      <c r="L352" s="68"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68" cm="1">
        <f t="array" ref="E353">Common_InputFunctions.Utility_DisplayArrayInTable(SourceData_PastureBeef.SourceData_PastureBeef_StandardReferenceWeights_Data(), Table_SourceData_PastureBeef_StandardReferenceWeights[[#Headers],[State]], 0)</f>
        <v>770</v>
      </c>
      <c r="F353" s="68" cm="1">
        <f t="array" ref="F353">Common_InputFunctions.Utility_DisplayArrayInTable(SourceData_PastureBeef.SourceData_PastureBeef_StandardReferenceWeights_Data(), Table_SourceData_PastureBeef_StandardReferenceWeights[[#Headers],[State]], 0)</f>
        <v>770</v>
      </c>
      <c r="G353" s="68" cm="1">
        <f t="array" ref="G353">Common_InputFunctions.Utility_DisplayArrayInTable(SourceData_PastureBeef.SourceData_PastureBeef_StandardReferenceWeights_Data(), Table_SourceData_PastureBeef_StandardReferenceWeights[[#Headers],[State]], 0)</f>
        <v>550</v>
      </c>
      <c r="H353" s="68" cm="1">
        <f t="array" ref="H353">Common_InputFunctions.Utility_DisplayArrayInTable(SourceData_PastureBeef.SourceData_PastureBeef_StandardReferenceWeights_Data(), Table_SourceData_PastureBeef_StandardReferenceWeights[[#Headers],[State]], 0)</f>
        <v>550</v>
      </c>
      <c r="I353" s="68" cm="1">
        <f t="array" ref="I353">Common_InputFunctions.Utility_DisplayArrayInTable(SourceData_PastureBeef.SourceData_PastureBeef_StandardReferenceWeights_Data(), Table_SourceData_PastureBeef_StandardReferenceWeights[[#Headers],[State]], 0)</f>
        <v>550</v>
      </c>
      <c r="J353" s="68" cm="1">
        <f t="array" ref="J353">Common_InputFunctions.Utility_DisplayArrayInTable(SourceData_PastureBeef.SourceData_PastureBeef_StandardReferenceWeights_Data(), Table_SourceData_PastureBeef_StandardReferenceWeights[[#Headers],[State]], 0)</f>
        <v>660</v>
      </c>
      <c r="K353" s="68" cm="1">
        <f t="array" ref="K353">Common_InputFunctions.Utility_DisplayArrayInTable(SourceData_PastureBeef.SourceData_PastureBeef_StandardReferenceWeights_Data(), Table_SourceData_PastureBeef_StandardReferenceWeights[[#Headers],[State]], 0)</f>
        <v>660</v>
      </c>
      <c r="L353" s="68"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68" cm="1">
        <f t="array" ref="E354">Common_InputFunctions.Utility_DisplayArrayInTable(SourceData_PastureBeef.SourceData_PastureBeef_StandardReferenceWeights_Data(), Table_SourceData_PastureBeef_StandardReferenceWeights[[#Headers],[State]], 0)</f>
        <v>770</v>
      </c>
      <c r="F354" s="68" cm="1">
        <f t="array" ref="F354">Common_InputFunctions.Utility_DisplayArrayInTable(SourceData_PastureBeef.SourceData_PastureBeef_StandardReferenceWeights_Data(), Table_SourceData_PastureBeef_StandardReferenceWeights[[#Headers],[State]], 0)</f>
        <v>770</v>
      </c>
      <c r="G354" s="68" cm="1">
        <f t="array" ref="G354">Common_InputFunctions.Utility_DisplayArrayInTable(SourceData_PastureBeef.SourceData_PastureBeef_StandardReferenceWeights_Data(), Table_SourceData_PastureBeef_StandardReferenceWeights[[#Headers],[State]], 0)</f>
        <v>550</v>
      </c>
      <c r="H354" s="68" cm="1">
        <f t="array" ref="H354">Common_InputFunctions.Utility_DisplayArrayInTable(SourceData_PastureBeef.SourceData_PastureBeef_StandardReferenceWeights_Data(), Table_SourceData_PastureBeef_StandardReferenceWeights[[#Headers],[State]], 0)</f>
        <v>550</v>
      </c>
      <c r="I354" s="68" cm="1">
        <f t="array" ref="I354">Common_InputFunctions.Utility_DisplayArrayInTable(SourceData_PastureBeef.SourceData_PastureBeef_StandardReferenceWeights_Data(), Table_SourceData_PastureBeef_StandardReferenceWeights[[#Headers],[State]], 0)</f>
        <v>550</v>
      </c>
      <c r="J354" s="68" cm="1">
        <f t="array" ref="J354">Common_InputFunctions.Utility_DisplayArrayInTable(SourceData_PastureBeef.SourceData_PastureBeef_StandardReferenceWeights_Data(), Table_SourceData_PastureBeef_StandardReferenceWeights[[#Headers],[State]], 0)</f>
        <v>660</v>
      </c>
      <c r="K354" s="68" cm="1">
        <f t="array" ref="K354">Common_InputFunctions.Utility_DisplayArrayInTable(SourceData_PastureBeef.SourceData_PastureBeef_StandardReferenceWeights_Data(), Table_SourceData_PastureBeef_StandardReferenceWeights[[#Headers],[State]], 0)</f>
        <v>660</v>
      </c>
      <c r="L354" s="68"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68" cm="1">
        <f t="array" ref="E355">Common_InputFunctions.Utility_DisplayArrayInTable(SourceData_PastureBeef.SourceData_PastureBeef_StandardReferenceWeights_Data(), Table_SourceData_PastureBeef_StandardReferenceWeights[[#Headers],[State]], 0)</f>
        <v>770</v>
      </c>
      <c r="F355" s="68" cm="1">
        <f t="array" ref="F355">Common_InputFunctions.Utility_DisplayArrayInTable(SourceData_PastureBeef.SourceData_PastureBeef_StandardReferenceWeights_Data(), Table_SourceData_PastureBeef_StandardReferenceWeights[[#Headers],[State]], 0)</f>
        <v>770</v>
      </c>
      <c r="G355" s="68" cm="1">
        <f t="array" ref="G355">Common_InputFunctions.Utility_DisplayArrayInTable(SourceData_PastureBeef.SourceData_PastureBeef_StandardReferenceWeights_Data(), Table_SourceData_PastureBeef_StandardReferenceWeights[[#Headers],[State]], 0)</f>
        <v>550</v>
      </c>
      <c r="H355" s="68" cm="1">
        <f t="array" ref="H355">Common_InputFunctions.Utility_DisplayArrayInTable(SourceData_PastureBeef.SourceData_PastureBeef_StandardReferenceWeights_Data(), Table_SourceData_PastureBeef_StandardReferenceWeights[[#Headers],[State]], 0)</f>
        <v>550</v>
      </c>
      <c r="I355" s="68" cm="1">
        <f t="array" ref="I355">Common_InputFunctions.Utility_DisplayArrayInTable(SourceData_PastureBeef.SourceData_PastureBeef_StandardReferenceWeights_Data(), Table_SourceData_PastureBeef_StandardReferenceWeights[[#Headers],[State]], 0)</f>
        <v>550</v>
      </c>
      <c r="J355" s="68" cm="1">
        <f t="array" ref="J355">Common_InputFunctions.Utility_DisplayArrayInTable(SourceData_PastureBeef.SourceData_PastureBeef_StandardReferenceWeights_Data(), Table_SourceData_PastureBeef_StandardReferenceWeights[[#Headers],[State]], 0)</f>
        <v>660</v>
      </c>
      <c r="K355" s="68" cm="1">
        <f t="array" ref="K355">Common_InputFunctions.Utility_DisplayArrayInTable(SourceData_PastureBeef.SourceData_PastureBeef_StandardReferenceWeights_Data(), Table_SourceData_PastureBeef_StandardReferenceWeights[[#Headers],[State]], 0)</f>
        <v>660</v>
      </c>
      <c r="L355" s="68"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68" cm="1">
        <f t="array" ref="E356">Common_InputFunctions.Utility_DisplayArrayInTable(SourceData_PastureBeef.SourceData_PastureBeef_StandardReferenceWeights_Data(), Table_SourceData_PastureBeef_StandardReferenceWeights[[#Headers],[State]], 0)</f>
        <v>770</v>
      </c>
      <c r="F356" s="68" cm="1">
        <f t="array" ref="F356">Common_InputFunctions.Utility_DisplayArrayInTable(SourceData_PastureBeef.SourceData_PastureBeef_StandardReferenceWeights_Data(), Table_SourceData_PastureBeef_StandardReferenceWeights[[#Headers],[State]], 0)</f>
        <v>770</v>
      </c>
      <c r="G356" s="68" cm="1">
        <f t="array" ref="G356">Common_InputFunctions.Utility_DisplayArrayInTable(SourceData_PastureBeef.SourceData_PastureBeef_StandardReferenceWeights_Data(), Table_SourceData_PastureBeef_StandardReferenceWeights[[#Headers],[State]], 0)</f>
        <v>550</v>
      </c>
      <c r="H356" s="68" cm="1">
        <f t="array" ref="H356">Common_InputFunctions.Utility_DisplayArrayInTable(SourceData_PastureBeef.SourceData_PastureBeef_StandardReferenceWeights_Data(), Table_SourceData_PastureBeef_StandardReferenceWeights[[#Headers],[State]], 0)</f>
        <v>550</v>
      </c>
      <c r="I356" s="68" cm="1">
        <f t="array" ref="I356">Common_InputFunctions.Utility_DisplayArrayInTable(SourceData_PastureBeef.SourceData_PastureBeef_StandardReferenceWeights_Data(), Table_SourceData_PastureBeef_StandardReferenceWeights[[#Headers],[State]], 0)</f>
        <v>550</v>
      </c>
      <c r="J356" s="68" cm="1">
        <f t="array" ref="J356">Common_InputFunctions.Utility_DisplayArrayInTable(SourceData_PastureBeef.SourceData_PastureBeef_StandardReferenceWeights_Data(), Table_SourceData_PastureBeef_StandardReferenceWeights[[#Headers],[State]], 0)</f>
        <v>660</v>
      </c>
      <c r="K356" s="68" cm="1">
        <f t="array" ref="K356">Common_InputFunctions.Utility_DisplayArrayInTable(SourceData_PastureBeef.SourceData_PastureBeef_StandardReferenceWeights_Data(), Table_SourceData_PastureBeef_StandardReferenceWeights[[#Headers],[State]], 0)</f>
        <v>660</v>
      </c>
      <c r="L356" s="68"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68" cm="1">
        <f t="array" ref="E357">Common_InputFunctions.Utility_DisplayArrayInTable(SourceData_PastureBeef.SourceData_PastureBeef_StandardReferenceWeights_Data(), Table_SourceData_PastureBeef_StandardReferenceWeights[[#Headers],[State]], 0)</f>
        <v>770</v>
      </c>
      <c r="F357" s="68" cm="1">
        <f t="array" ref="F357">Common_InputFunctions.Utility_DisplayArrayInTable(SourceData_PastureBeef.SourceData_PastureBeef_StandardReferenceWeights_Data(), Table_SourceData_PastureBeef_StandardReferenceWeights[[#Headers],[State]], 0)</f>
        <v>770</v>
      </c>
      <c r="G357" s="68" cm="1">
        <f t="array" ref="G357">Common_InputFunctions.Utility_DisplayArrayInTable(SourceData_PastureBeef.SourceData_PastureBeef_StandardReferenceWeights_Data(), Table_SourceData_PastureBeef_StandardReferenceWeights[[#Headers],[State]], 0)</f>
        <v>550</v>
      </c>
      <c r="H357" s="68" cm="1">
        <f t="array" ref="H357">Common_InputFunctions.Utility_DisplayArrayInTable(SourceData_PastureBeef.SourceData_PastureBeef_StandardReferenceWeights_Data(), Table_SourceData_PastureBeef_StandardReferenceWeights[[#Headers],[State]], 0)</f>
        <v>550</v>
      </c>
      <c r="I357" s="68" cm="1">
        <f t="array" ref="I357">Common_InputFunctions.Utility_DisplayArrayInTable(SourceData_PastureBeef.SourceData_PastureBeef_StandardReferenceWeights_Data(), Table_SourceData_PastureBeef_StandardReferenceWeights[[#Headers],[State]], 0)</f>
        <v>550</v>
      </c>
      <c r="J357" s="68" cm="1">
        <f t="array" ref="J357">Common_InputFunctions.Utility_DisplayArrayInTable(SourceData_PastureBeef.SourceData_PastureBeef_StandardReferenceWeights_Data(), Table_SourceData_PastureBeef_StandardReferenceWeights[[#Headers],[State]], 0)</f>
        <v>660</v>
      </c>
      <c r="K357" s="68" cm="1">
        <f t="array" ref="K357">Common_InputFunctions.Utility_DisplayArrayInTable(SourceData_PastureBeef.SourceData_PastureBeef_StandardReferenceWeights_Data(), Table_SourceData_PastureBeef_StandardReferenceWeights[[#Headers],[State]], 0)</f>
        <v>660</v>
      </c>
      <c r="L357" s="68"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68" cm="1">
        <f t="array" ref="E358">Common_InputFunctions.Utility_DisplayArrayInTable(SourceData_PastureBeef.SourceData_PastureBeef_StandardReferenceWeights_Data(), Table_SourceData_PastureBeef_StandardReferenceWeights[[#Headers],[State]], 0)</f>
        <v>770</v>
      </c>
      <c r="F358" s="68" cm="1">
        <f t="array" ref="F358">Common_InputFunctions.Utility_DisplayArrayInTable(SourceData_PastureBeef.SourceData_PastureBeef_StandardReferenceWeights_Data(), Table_SourceData_PastureBeef_StandardReferenceWeights[[#Headers],[State]], 0)</f>
        <v>770</v>
      </c>
      <c r="G358" s="68" cm="1">
        <f t="array" ref="G358">Common_InputFunctions.Utility_DisplayArrayInTable(SourceData_PastureBeef.SourceData_PastureBeef_StandardReferenceWeights_Data(), Table_SourceData_PastureBeef_StandardReferenceWeights[[#Headers],[State]], 0)</f>
        <v>550</v>
      </c>
      <c r="H358" s="68" cm="1">
        <f t="array" ref="H358">Common_InputFunctions.Utility_DisplayArrayInTable(SourceData_PastureBeef.SourceData_PastureBeef_StandardReferenceWeights_Data(), Table_SourceData_PastureBeef_StandardReferenceWeights[[#Headers],[State]], 0)</f>
        <v>550</v>
      </c>
      <c r="I358" s="68" cm="1">
        <f t="array" ref="I358">Common_InputFunctions.Utility_DisplayArrayInTable(SourceData_PastureBeef.SourceData_PastureBeef_StandardReferenceWeights_Data(), Table_SourceData_PastureBeef_StandardReferenceWeights[[#Headers],[State]], 0)</f>
        <v>550</v>
      </c>
      <c r="J358" s="68" cm="1">
        <f t="array" ref="J358">Common_InputFunctions.Utility_DisplayArrayInTable(SourceData_PastureBeef.SourceData_PastureBeef_StandardReferenceWeights_Data(), Table_SourceData_PastureBeef_StandardReferenceWeights[[#Headers],[State]], 0)</f>
        <v>660</v>
      </c>
      <c r="K358" s="68" cm="1">
        <f t="array" ref="K358">Common_InputFunctions.Utility_DisplayArrayInTable(SourceData_PastureBeef.SourceData_PastureBeef_StandardReferenceWeights_Data(), Table_SourceData_PastureBeef_StandardReferenceWeights[[#Headers],[State]], 0)</f>
        <v>660</v>
      </c>
      <c r="L358" s="68"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68" t="s">
        <v>22</v>
      </c>
      <c r="E361" s="70" t="s">
        <v>31</v>
      </c>
      <c r="F361" s="70" t="s">
        <v>32</v>
      </c>
      <c r="G361" s="70" t="s">
        <v>33</v>
      </c>
      <c r="H361" s="70" t="s">
        <v>34</v>
      </c>
      <c r="I361" s="70" t="s">
        <v>35</v>
      </c>
      <c r="J361" s="70" t="s">
        <v>36</v>
      </c>
      <c r="K361" s="70" t="s">
        <v>37</v>
      </c>
      <c r="L361" s="70" t="s">
        <v>38</v>
      </c>
      <c r="M361" s="70" t="s">
        <v>39</v>
      </c>
      <c r="N361" s="70" t="s">
        <v>40</v>
      </c>
      <c r="O361" s="68" t="s">
        <v>191</v>
      </c>
    </row>
    <row r="362" spans="4:15" x14ac:dyDescent="0.25">
      <c r="D362" s="68" t="str">
        <f>D351</f>
        <v>ACT</v>
      </c>
      <c r="E362" s="68">
        <f t="shared" ref="E362:H362" si="53">E351</f>
        <v>700</v>
      </c>
      <c r="F362" s="68">
        <f t="shared" si="53"/>
        <v>700</v>
      </c>
      <c r="G362" s="68">
        <f t="shared" si="53"/>
        <v>500</v>
      </c>
      <c r="H362" s="68">
        <f t="shared" si="53"/>
        <v>500</v>
      </c>
      <c r="I362" s="68">
        <f>I351</f>
        <v>500</v>
      </c>
      <c r="J362" s="68">
        <f>I351</f>
        <v>500</v>
      </c>
      <c r="K362" s="68">
        <f t="shared" ref="K362" si="54">J351</f>
        <v>600</v>
      </c>
      <c r="L362" s="68">
        <f>K351</f>
        <v>600</v>
      </c>
      <c r="M362" s="68">
        <f>K351</f>
        <v>600</v>
      </c>
      <c r="N362" s="68">
        <f>K351</f>
        <v>600</v>
      </c>
      <c r="O362" s="68" t="str">
        <f>L351</f>
        <v>ACT</v>
      </c>
    </row>
    <row r="363" spans="4:15" x14ac:dyDescent="0.25">
      <c r="D363" s="68" t="str">
        <f t="shared" ref="D363:I369" si="55">D352</f>
        <v>NSW</v>
      </c>
      <c r="E363" s="68">
        <f t="shared" si="55"/>
        <v>700</v>
      </c>
      <c r="F363" s="68">
        <f t="shared" si="55"/>
        <v>700</v>
      </c>
      <c r="G363" s="68">
        <f t="shared" si="55"/>
        <v>500</v>
      </c>
      <c r="H363" s="68">
        <f t="shared" si="55"/>
        <v>500</v>
      </c>
      <c r="I363" s="68">
        <f t="shared" si="55"/>
        <v>500</v>
      </c>
      <c r="J363" s="68">
        <f t="shared" ref="J363:L369" si="56">I352</f>
        <v>500</v>
      </c>
      <c r="K363" s="68">
        <f t="shared" si="56"/>
        <v>600</v>
      </c>
      <c r="L363" s="68">
        <f t="shared" si="56"/>
        <v>600</v>
      </c>
      <c r="M363" s="68">
        <f t="shared" ref="M363:M369" si="57">K352</f>
        <v>600</v>
      </c>
      <c r="N363" s="68">
        <f t="shared" ref="N363:O369" si="58">K352</f>
        <v>600</v>
      </c>
      <c r="O363" s="68" t="str">
        <f t="shared" si="58"/>
        <v>NSW</v>
      </c>
    </row>
    <row r="364" spans="4:15" x14ac:dyDescent="0.25">
      <c r="D364" s="68" t="str">
        <f t="shared" si="55"/>
        <v>Northern Territory</v>
      </c>
      <c r="E364" s="68">
        <f t="shared" si="55"/>
        <v>770</v>
      </c>
      <c r="F364" s="68">
        <f t="shared" si="55"/>
        <v>770</v>
      </c>
      <c r="G364" s="68">
        <f t="shared" si="55"/>
        <v>550</v>
      </c>
      <c r="H364" s="68">
        <f t="shared" si="55"/>
        <v>550</v>
      </c>
      <c r="I364" s="68">
        <f t="shared" si="55"/>
        <v>550</v>
      </c>
      <c r="J364" s="68">
        <f t="shared" si="56"/>
        <v>550</v>
      </c>
      <c r="K364" s="68">
        <f t="shared" si="56"/>
        <v>660</v>
      </c>
      <c r="L364" s="68">
        <f t="shared" si="56"/>
        <v>660</v>
      </c>
      <c r="M364" s="68">
        <f t="shared" si="57"/>
        <v>660</v>
      </c>
      <c r="N364" s="68">
        <f t="shared" si="58"/>
        <v>660</v>
      </c>
      <c r="O364" s="68" t="str">
        <f t="shared" si="58"/>
        <v>NT</v>
      </c>
    </row>
    <row r="365" spans="4:15" x14ac:dyDescent="0.25">
      <c r="D365" s="68" t="str">
        <f t="shared" si="55"/>
        <v>Queensland</v>
      </c>
      <c r="E365" s="68">
        <f t="shared" si="55"/>
        <v>770</v>
      </c>
      <c r="F365" s="68">
        <f t="shared" si="55"/>
        <v>770</v>
      </c>
      <c r="G365" s="68">
        <f t="shared" si="55"/>
        <v>550</v>
      </c>
      <c r="H365" s="68">
        <f t="shared" si="55"/>
        <v>550</v>
      </c>
      <c r="I365" s="68">
        <f t="shared" si="55"/>
        <v>550</v>
      </c>
      <c r="J365" s="68">
        <f t="shared" si="56"/>
        <v>550</v>
      </c>
      <c r="K365" s="68">
        <f t="shared" si="56"/>
        <v>660</v>
      </c>
      <c r="L365" s="68">
        <f t="shared" si="56"/>
        <v>660</v>
      </c>
      <c r="M365" s="68">
        <f t="shared" si="57"/>
        <v>660</v>
      </c>
      <c r="N365" s="68">
        <f t="shared" si="58"/>
        <v>660</v>
      </c>
      <c r="O365" s="68" t="str">
        <f t="shared" si="58"/>
        <v>QLD</v>
      </c>
    </row>
    <row r="366" spans="4:15" x14ac:dyDescent="0.25">
      <c r="D366" s="68" t="str">
        <f t="shared" si="55"/>
        <v>South Australia</v>
      </c>
      <c r="E366" s="68">
        <f t="shared" si="55"/>
        <v>770</v>
      </c>
      <c r="F366" s="68">
        <f t="shared" si="55"/>
        <v>770</v>
      </c>
      <c r="G366" s="68">
        <f t="shared" si="55"/>
        <v>550</v>
      </c>
      <c r="H366" s="68">
        <f t="shared" si="55"/>
        <v>550</v>
      </c>
      <c r="I366" s="68">
        <f t="shared" si="55"/>
        <v>550</v>
      </c>
      <c r="J366" s="68">
        <f t="shared" si="56"/>
        <v>550</v>
      </c>
      <c r="K366" s="68">
        <f t="shared" si="56"/>
        <v>660</v>
      </c>
      <c r="L366" s="68">
        <f t="shared" si="56"/>
        <v>660</v>
      </c>
      <c r="M366" s="68">
        <f t="shared" si="57"/>
        <v>660</v>
      </c>
      <c r="N366" s="68">
        <f t="shared" si="58"/>
        <v>660</v>
      </c>
      <c r="O366" s="68" t="str">
        <f t="shared" si="58"/>
        <v>SA</v>
      </c>
    </row>
    <row r="367" spans="4:15" x14ac:dyDescent="0.25">
      <c r="D367" s="68" t="str">
        <f t="shared" si="55"/>
        <v>Tasmania</v>
      </c>
      <c r="E367" s="68">
        <f t="shared" si="55"/>
        <v>770</v>
      </c>
      <c r="F367" s="68">
        <f t="shared" si="55"/>
        <v>770</v>
      </c>
      <c r="G367" s="68">
        <f t="shared" si="55"/>
        <v>550</v>
      </c>
      <c r="H367" s="68">
        <f t="shared" si="55"/>
        <v>550</v>
      </c>
      <c r="I367" s="68">
        <f t="shared" si="55"/>
        <v>550</v>
      </c>
      <c r="J367" s="68">
        <f t="shared" si="56"/>
        <v>550</v>
      </c>
      <c r="K367" s="68">
        <f t="shared" si="56"/>
        <v>660</v>
      </c>
      <c r="L367" s="68">
        <f t="shared" si="56"/>
        <v>660</v>
      </c>
      <c r="M367" s="68">
        <f t="shared" si="57"/>
        <v>660</v>
      </c>
      <c r="N367" s="68">
        <f t="shared" si="58"/>
        <v>660</v>
      </c>
      <c r="O367" s="68" t="str">
        <f t="shared" si="58"/>
        <v>TAS</v>
      </c>
    </row>
    <row r="368" spans="4:15" x14ac:dyDescent="0.25">
      <c r="D368" s="68" t="str">
        <f t="shared" si="55"/>
        <v>Victoria</v>
      </c>
      <c r="E368" s="68">
        <f t="shared" si="55"/>
        <v>770</v>
      </c>
      <c r="F368" s="68">
        <f t="shared" si="55"/>
        <v>770</v>
      </c>
      <c r="G368" s="68">
        <f t="shared" si="55"/>
        <v>550</v>
      </c>
      <c r="H368" s="68">
        <f t="shared" si="55"/>
        <v>550</v>
      </c>
      <c r="I368" s="68">
        <f t="shared" si="55"/>
        <v>550</v>
      </c>
      <c r="J368" s="68">
        <f t="shared" si="56"/>
        <v>550</v>
      </c>
      <c r="K368" s="68">
        <f t="shared" si="56"/>
        <v>660</v>
      </c>
      <c r="L368" s="68">
        <f t="shared" si="56"/>
        <v>660</v>
      </c>
      <c r="M368" s="68">
        <f t="shared" si="57"/>
        <v>660</v>
      </c>
      <c r="N368" s="68">
        <f t="shared" si="58"/>
        <v>660</v>
      </c>
      <c r="O368" s="68" t="str">
        <f t="shared" si="58"/>
        <v>VIC</v>
      </c>
    </row>
    <row r="369" spans="4:15" x14ac:dyDescent="0.25">
      <c r="D369" s="68" t="str">
        <f t="shared" si="55"/>
        <v>Western Australia</v>
      </c>
      <c r="E369" s="68">
        <f t="shared" si="55"/>
        <v>770</v>
      </c>
      <c r="F369" s="68">
        <f t="shared" si="55"/>
        <v>770</v>
      </c>
      <c r="G369" s="68">
        <f t="shared" si="55"/>
        <v>550</v>
      </c>
      <c r="H369" s="68">
        <f t="shared" si="55"/>
        <v>550</v>
      </c>
      <c r="I369" s="68">
        <f t="shared" si="55"/>
        <v>550</v>
      </c>
      <c r="J369" s="68">
        <f t="shared" si="56"/>
        <v>550</v>
      </c>
      <c r="K369" s="68">
        <f t="shared" si="56"/>
        <v>660</v>
      </c>
      <c r="L369" s="68">
        <f t="shared" si="56"/>
        <v>660</v>
      </c>
      <c r="M369" s="68">
        <f t="shared" si="57"/>
        <v>660</v>
      </c>
      <c r="N369" s="68">
        <f t="shared" si="58"/>
        <v>660</v>
      </c>
      <c r="O369" s="68"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46"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7" t="str" cm="1">
        <f t="array" ref="D375">SourceData_PastureBeef.SourceData_PastureBeef_FractionOfManureToMMS_Unit()</f>
        <v>fraction</v>
      </c>
      <c r="E375" s="72" t="s">
        <v>192</v>
      </c>
      <c r="M375" s="1"/>
    </row>
    <row r="376" spans="4:15" x14ac:dyDescent="0.25">
      <c r="D376" s="71" t="str" cm="1">
        <f t="array" ref="D376">SourceData_PastureBeef.SourceData_PastureBeef_FractionOfManureToMMS_Variation()</f>
        <v>VARIATION ON SOURCE: Removed comma from 'Pasture range and paddock' to aid lookup</v>
      </c>
      <c r="M376" s="1"/>
    </row>
    <row r="377" spans="4:15" x14ac:dyDescent="0.25">
      <c r="D377" s="68" t="s">
        <v>22</v>
      </c>
      <c r="E377" s="68" t="s">
        <v>132</v>
      </c>
      <c r="F377" s="68" t="s">
        <v>69</v>
      </c>
      <c r="G377" s="68" t="s">
        <v>193</v>
      </c>
      <c r="M377" s="1"/>
    </row>
    <row r="378" spans="4:15" x14ac:dyDescent="0.25">
      <c r="D378" s="68" t="str" cm="1">
        <f t="array" ref="D378">Common_InputFunctions.Utility_DisplayArrayInTable(SourceData_PastureBeef.SourceData_PastureBeef_FractionOfManureToMMS_Data(),Table_SourceData_PastureBeef_FractionManureToMMS[[#Headers],[State]], 0)</f>
        <v>ACT</v>
      </c>
      <c r="E378" s="68" t="str" cm="1">
        <f t="array" ref="E378">Common_InputFunctions.Utility_DisplayArrayInTable(SourceData_PastureBeef.SourceData_PastureBeef_FractionOfManureToMMS_Data(),Table_SourceData_PastureBeef_FractionManureToMMS[[#Headers],[State]], 0)</f>
        <v>n/a</v>
      </c>
      <c r="F378" s="68" cm="1">
        <f t="array" ref="F378">Common_InputFunctions.Utility_DisplayArrayInTable(SourceData_PastureBeef.SourceData_PastureBeef_FractionOfManureToMMS_Data(),Table_SourceData_PastureBeef_FractionManureToMMS[[#Headers],[State]], 0)</f>
        <v>99.191999999999993</v>
      </c>
      <c r="G378" s="68"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68" t="str" cm="1">
        <f t="array" ref="E379">Common_InputFunctions.Utility_DisplayArrayInTable(SourceData_PastureBeef.SourceData_PastureBeef_FractionOfManureToMMS_Data(),Table_SourceData_PastureBeef_FractionManureToMMS[[#Headers],[State]], 0)</f>
        <v>n/a</v>
      </c>
      <c r="F379" s="68" cm="1">
        <f t="array" ref="F379">Common_InputFunctions.Utility_DisplayArrayInTable(SourceData_PastureBeef.SourceData_PastureBeef_FractionOfManureToMMS_Data(),Table_SourceData_PastureBeef_FractionManureToMMS[[#Headers],[State]], 0)</f>
        <v>99.451999999999998</v>
      </c>
      <c r="G379" s="68"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68" t="str" cm="1">
        <f t="array" ref="E380">Common_InputFunctions.Utility_DisplayArrayInTable(SourceData_PastureBeef.SourceData_PastureBeef_FractionOfManureToMMS_Data(),Table_SourceData_PastureBeef_FractionManureToMMS[[#Headers],[State]], 0)</f>
        <v>n/a</v>
      </c>
      <c r="F380" s="68" cm="1">
        <f t="array" ref="F380">Common_InputFunctions.Utility_DisplayArrayInTable(SourceData_PastureBeef.SourceData_PastureBeef_FractionOfManureToMMS_Data(),Table_SourceData_PastureBeef_FractionManureToMMS[[#Headers],[State]], 0)</f>
        <v>99.759</v>
      </c>
      <c r="G380" s="68"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68" t="str" cm="1">
        <f t="array" ref="E381">Common_InputFunctions.Utility_DisplayArrayInTable(SourceData_PastureBeef.SourceData_PastureBeef_FractionOfManureToMMS_Data(),Table_SourceData_PastureBeef_FractionManureToMMS[[#Headers],[State]], 0)</f>
        <v>n/a</v>
      </c>
      <c r="F381" s="68" cm="1">
        <f t="array" ref="F381">Common_InputFunctions.Utility_DisplayArrayInTable(SourceData_PastureBeef.SourceData_PastureBeef_FractionOfManureToMMS_Data(),Table_SourceData_PastureBeef_FractionManureToMMS[[#Headers],[State]], 0)</f>
        <v>99.122</v>
      </c>
      <c r="G381" s="68"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68" t="str" cm="1">
        <f t="array" ref="E382">Common_InputFunctions.Utility_DisplayArrayInTable(SourceData_PastureBeef.SourceData_PastureBeef_FractionOfManureToMMS_Data(),Table_SourceData_PastureBeef_FractionManureToMMS[[#Headers],[State]], 0)</f>
        <v>n/a</v>
      </c>
      <c r="F382" s="68" cm="1">
        <f t="array" ref="F382">Common_InputFunctions.Utility_DisplayArrayInTable(SourceData_PastureBeef.SourceData_PastureBeef_FractionOfManureToMMS_Data(),Table_SourceData_PastureBeef_FractionManureToMMS[[#Headers],[State]], 0)</f>
        <v>98.894000000000005</v>
      </c>
      <c r="G382" s="68"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68" t="str" cm="1">
        <f t="array" ref="E383">Common_InputFunctions.Utility_DisplayArrayInTable(SourceData_PastureBeef.SourceData_PastureBeef_FractionOfManureToMMS_Data(),Table_SourceData_PastureBeef_FractionManureToMMS[[#Headers],[State]], 0)</f>
        <v>South West</v>
      </c>
      <c r="F383" s="68" cm="1">
        <f t="array" ref="F383">Common_InputFunctions.Utility_DisplayArrayInTable(SourceData_PastureBeef.SourceData_PastureBeef_FractionOfManureToMMS_Data(),Table_SourceData_PastureBeef_FractionManureToMMS[[#Headers],[State]], 0)</f>
        <v>99.622</v>
      </c>
      <c r="G383" s="68"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68" t="str" cm="1">
        <f t="array" ref="E384">Common_InputFunctions.Utility_DisplayArrayInTable(SourceData_PastureBeef.SourceData_PastureBeef_FractionOfManureToMMS_Data(),Table_SourceData_PastureBeef_FractionManureToMMS[[#Headers],[State]], 0)</f>
        <v>Pilbara</v>
      </c>
      <c r="F384" s="68" cm="1">
        <f t="array" ref="F384">Common_InputFunctions.Utility_DisplayArrayInTable(SourceData_PastureBeef.SourceData_PastureBeef_FractionOfManureToMMS_Data(),Table_SourceData_PastureBeef_FractionManureToMMS[[#Headers],[State]], 0)</f>
        <v>99.998999999999995</v>
      </c>
      <c r="G384" s="68"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68" t="str" cm="1">
        <f t="array" ref="E385">Common_InputFunctions.Utility_DisplayArrayInTable(SourceData_PastureBeef.SourceData_PastureBeef_FractionOfManureToMMS_Data(),Table_SourceData_PastureBeef_FractionManureToMMS[[#Headers],[State]], 0)</f>
        <v>Kimberley</v>
      </c>
      <c r="F385" s="68" cm="1">
        <f t="array" ref="F385">Common_InputFunctions.Utility_DisplayArrayInTable(SourceData_PastureBeef.SourceData_PastureBeef_FractionOfManureToMMS_Data(),Table_SourceData_PastureBeef_FractionManureToMMS[[#Headers],[State]], 0)</f>
        <v>99.998999999999995</v>
      </c>
      <c r="G385" s="68"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68" t="str" cm="1">
        <f t="array" ref="E386">Common_InputFunctions.Utility_DisplayArrayInTable(SourceData_PastureBeef.SourceData_PastureBeef_FractionOfManureToMMS_Data(),Table_SourceData_PastureBeef_FractionManureToMMS[[#Headers],[State]], 0)</f>
        <v>Alice Springs</v>
      </c>
      <c r="F386" s="68" cm="1">
        <f t="array" ref="F386">Common_InputFunctions.Utility_DisplayArrayInTable(SourceData_PastureBeef.SourceData_PastureBeef_FractionOfManureToMMS_Data(),Table_SourceData_PastureBeef_FractionManureToMMS[[#Headers],[State]], 0)</f>
        <v>99.998999999999995</v>
      </c>
      <c r="G386" s="68"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68" t="str" cm="1">
        <f t="array" ref="E387">Common_InputFunctions.Utility_DisplayArrayInTable(SourceData_PastureBeef.SourceData_PastureBeef_FractionOfManureToMMS_Data(),Table_SourceData_PastureBeef_FractionManureToMMS[[#Headers],[State]], 0)</f>
        <v>Barkly</v>
      </c>
      <c r="F387" s="68" cm="1">
        <f t="array" ref="F387">Common_InputFunctions.Utility_DisplayArrayInTable(SourceData_PastureBeef.SourceData_PastureBeef_FractionOfManureToMMS_Data(),Table_SourceData_PastureBeef_FractionManureToMMS[[#Headers],[State]], 0)</f>
        <v>99.994</v>
      </c>
      <c r="G387" s="68"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68" t="str" cm="1">
        <f t="array" ref="E388">Common_InputFunctions.Utility_DisplayArrayInTable(SourceData_PastureBeef.SourceData_PastureBeef_FractionOfManureToMMS_Data(),Table_SourceData_PastureBeef_FractionManureToMMS[[#Headers],[State]], 0)</f>
        <v>Northern</v>
      </c>
      <c r="F388" s="68" cm="1">
        <f t="array" ref="F388">Common_InputFunctions.Utility_DisplayArrayInTable(SourceData_PastureBeef.SourceData_PastureBeef_FractionOfManureToMMS_Data(),Table_SourceData_PastureBeef_FractionManureToMMS[[#Headers],[State]], 0)</f>
        <v>99.998999999999995</v>
      </c>
      <c r="G388" s="68"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68" t="str" cm="1">
        <f t="array" ref="E389">Common_InputFunctions.Utility_DisplayArrayInTable(SourceData_PastureBeef.SourceData_PastureBeef_FractionOfManureToMMS_Data(),Table_SourceData_PastureBeef_FractionManureToMMS[[#Headers],[State]], 0)</f>
        <v>High</v>
      </c>
      <c r="F389" s="68" cm="1">
        <f t="array" ref="F389">Common_InputFunctions.Utility_DisplayArrayInTable(SourceData_PastureBeef.SourceData_PastureBeef_FractionOfManureToMMS_Data(),Table_SourceData_PastureBeef_FractionManureToMMS[[#Headers],[State]], 0)</f>
        <v>99.772999999999996</v>
      </c>
      <c r="G389" s="68"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68" t="str" cm="1">
        <f t="array" ref="E390">Common_InputFunctions.Utility_DisplayArrayInTable(SourceData_PastureBeef.SourceData_PastureBeef_FractionOfManureToMMS_Data(),Table_SourceData_PastureBeef_FractionManureToMMS[[#Headers],[State]], 0)</f>
        <v>Moderate/High</v>
      </c>
      <c r="F390" s="68" cm="1">
        <f t="array" ref="F390">Common_InputFunctions.Utility_DisplayArrayInTable(SourceData_PastureBeef.SourceData_PastureBeef_FractionOfManureToMMS_Data(),Table_SourceData_PastureBeef_FractionManureToMMS[[#Headers],[State]], 0)</f>
        <v>99.897999999999996</v>
      </c>
      <c r="G390" s="68"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68" t="str" cm="1">
        <f t="array" ref="E391">Common_InputFunctions.Utility_DisplayArrayInTable(SourceData_PastureBeef.SourceData_PastureBeef_FractionOfManureToMMS_Data(),Table_SourceData_PastureBeef_FractionManureToMMS[[#Headers],[State]], 0)</f>
        <v>Moderate/Low</v>
      </c>
      <c r="F391" s="68" cm="1">
        <f t="array" ref="F391">Common_InputFunctions.Utility_DisplayArrayInTable(SourceData_PastureBeef.SourceData_PastureBeef_FractionOfManureToMMS_Data(),Table_SourceData_PastureBeef_FractionManureToMMS[[#Headers],[State]], 0)</f>
        <v>99.978999999999999</v>
      </c>
      <c r="G391" s="68"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68" t="str" cm="1">
        <f t="array" ref="E392">Common_InputFunctions.Utility_DisplayArrayInTable(SourceData_PastureBeef.SourceData_PastureBeef_FractionOfManureToMMS_Data(),Table_SourceData_PastureBeef_FractionManureToMMS[[#Headers],[State]], 0)</f>
        <v>Low</v>
      </c>
      <c r="F392" s="68" cm="1">
        <f t="array" ref="F392">Common_InputFunctions.Utility_DisplayArrayInTable(SourceData_PastureBeef.SourceData_PastureBeef_FractionOfManureToMMS_Data(),Table_SourceData_PastureBeef_FractionManureToMMS[[#Headers],[State]], 0)</f>
        <v>99.977000000000004</v>
      </c>
      <c r="G392" s="68"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46"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7" t="str" cm="1">
        <f t="array" ref="D398">SourceData_PastureBeef.SourceData_PastureBeef_MethaneConversionFactorPerRegion_Unit()</f>
        <v>fraction</v>
      </c>
      <c r="M398" s="1"/>
    </row>
    <row r="399" spans="4:13" x14ac:dyDescent="0.25">
      <c r="D399" s="71" t="str" cm="1">
        <f t="array" ref="D399">SourceData_PastureBeef.SourceData_PastureBeef_MethaneConversionFactorPerRegion_Variation()</f>
        <v>VARIATION ON SOURCE: Removed comma from 'Pasture range and paddock' to aid lookup</v>
      </c>
      <c r="M399" s="1"/>
    </row>
    <row r="400" spans="4:13" x14ac:dyDescent="0.25">
      <c r="D400" s="68" t="s">
        <v>22</v>
      </c>
      <c r="E400" s="68" t="s">
        <v>132</v>
      </c>
      <c r="F400" s="68" t="s">
        <v>69</v>
      </c>
      <c r="G400" s="68" t="s">
        <v>193</v>
      </c>
      <c r="M400" s="1"/>
    </row>
    <row r="401" spans="4:13" x14ac:dyDescent="0.25">
      <c r="D401" s="68" t="str" cm="1">
        <f t="array" ref="D401">Common_InputFunctions.Utility_DisplayArrayInTable(SourceData_PastureBeef.SourceData_PastureBeef_MethaneConversionFactorPerRegion_Data(), Table_SourceData_PastureBeef_MethaneConversionFactor[[#Headers],[State]], 0)</f>
        <v>ACT</v>
      </c>
      <c r="E401" s="68" t="str" cm="1">
        <f t="array" ref="E401">Common_InputFunctions.Utility_DisplayArrayInTable(SourceData_PastureBeef.SourceData_PastureBeef_MethaneConversionFactorPerRegion_Data(), Table_SourceData_PastureBeef_MethaneConversionFactor[[#Headers],[State]], 0)</f>
        <v>n/a</v>
      </c>
      <c r="F401" s="68" cm="1">
        <f t="array" ref="F401">Common_InputFunctions.Utility_DisplayArrayInTable(SourceData_PastureBeef.SourceData_PastureBeef_MethaneConversionFactorPerRegion_Data(), Table_SourceData_PastureBeef_MethaneConversionFactor[[#Headers],[State]], 0)</f>
        <v>4.7000000000000002E-3</v>
      </c>
      <c r="G401" s="68"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68" t="str" cm="1">
        <f t="array" ref="D402">Common_InputFunctions.Utility_DisplayArrayInTable(SourceData_PastureBeef.SourceData_PastureBeef_MethaneConversionFactorPerRegion_Data(), Table_SourceData_PastureBeef_MethaneConversionFactor[[#Headers],[State]], 0)</f>
        <v>NSW</v>
      </c>
      <c r="E402" s="68" t="str" cm="1">
        <f t="array" ref="E402">Common_InputFunctions.Utility_DisplayArrayInTable(SourceData_PastureBeef.SourceData_PastureBeef_MethaneConversionFactorPerRegion_Data(), Table_SourceData_PastureBeef_MethaneConversionFactor[[#Headers],[State]], 0)</f>
        <v>n/a</v>
      </c>
      <c r="F402" s="68" cm="1">
        <f t="array" ref="F402">Common_InputFunctions.Utility_DisplayArrayInTable(SourceData_PastureBeef.SourceData_PastureBeef_MethaneConversionFactorPerRegion_Data(), Table_SourceData_PastureBeef_MethaneConversionFactor[[#Headers],[State]], 0)</f>
        <v>4.7000000000000002E-3</v>
      </c>
      <c r="G402" s="68"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68" t="str" cm="1">
        <f t="array" ref="D403">Common_InputFunctions.Utility_DisplayArrayInTable(SourceData_PastureBeef.SourceData_PastureBeef_MethaneConversionFactorPerRegion_Data(), Table_SourceData_PastureBeef_MethaneConversionFactor[[#Headers],[State]], 0)</f>
        <v>SA</v>
      </c>
      <c r="E403" s="68" t="str" cm="1">
        <f t="array" ref="E403">Common_InputFunctions.Utility_DisplayArrayInTable(SourceData_PastureBeef.SourceData_PastureBeef_MethaneConversionFactorPerRegion_Data(), Table_SourceData_PastureBeef_MethaneConversionFactor[[#Headers],[State]], 0)</f>
        <v>n/a</v>
      </c>
      <c r="F403" s="68" cm="1">
        <f t="array" ref="F403">Common_InputFunctions.Utility_DisplayArrayInTable(SourceData_PastureBeef.SourceData_PastureBeef_MethaneConversionFactorPerRegion_Data(), Table_SourceData_PastureBeef_MethaneConversionFactor[[#Headers],[State]], 0)</f>
        <v>4.7000000000000002E-3</v>
      </c>
      <c r="G403" s="68"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68" t="str" cm="1">
        <f t="array" ref="D404">Common_InputFunctions.Utility_DisplayArrayInTable(SourceData_PastureBeef.SourceData_PastureBeef_MethaneConversionFactorPerRegion_Data(), Table_SourceData_PastureBeef_MethaneConversionFactor[[#Headers],[State]], 0)</f>
        <v>TAS</v>
      </c>
      <c r="E404" s="68" t="str" cm="1">
        <f t="array" ref="E404">Common_InputFunctions.Utility_DisplayArrayInTable(SourceData_PastureBeef.SourceData_PastureBeef_MethaneConversionFactorPerRegion_Data(), Table_SourceData_PastureBeef_MethaneConversionFactor[[#Headers],[State]], 0)</f>
        <v>n/a</v>
      </c>
      <c r="F404" s="68" cm="1">
        <f t="array" ref="F404">Common_InputFunctions.Utility_DisplayArrayInTable(SourceData_PastureBeef.SourceData_PastureBeef_MethaneConversionFactorPerRegion_Data(), Table_SourceData_PastureBeef_MethaneConversionFactor[[#Headers],[State]], 0)</f>
        <v>4.7000000000000002E-3</v>
      </c>
      <c r="G404" s="68"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68" t="str" cm="1">
        <f t="array" ref="D405">Common_InputFunctions.Utility_DisplayArrayInTable(SourceData_PastureBeef.SourceData_PastureBeef_MethaneConversionFactorPerRegion_Data(), Table_SourceData_PastureBeef_MethaneConversionFactor[[#Headers],[State]], 0)</f>
        <v>VIC</v>
      </c>
      <c r="E405" s="68" t="str" cm="1">
        <f t="array" ref="E405">Common_InputFunctions.Utility_DisplayArrayInTable(SourceData_PastureBeef.SourceData_PastureBeef_MethaneConversionFactorPerRegion_Data(), Table_SourceData_PastureBeef_MethaneConversionFactor[[#Headers],[State]], 0)</f>
        <v>n/a</v>
      </c>
      <c r="F405" s="68" cm="1">
        <f t="array" ref="F405">Common_InputFunctions.Utility_DisplayArrayInTable(SourceData_PastureBeef.SourceData_PastureBeef_MethaneConversionFactorPerRegion_Data(), Table_SourceData_PastureBeef_MethaneConversionFactor[[#Headers],[State]], 0)</f>
        <v>4.7000000000000002E-3</v>
      </c>
      <c r="G405" s="68"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68" t="str" cm="1">
        <f t="array" ref="D406">Common_InputFunctions.Utility_DisplayArrayInTable(SourceData_PastureBeef.SourceData_PastureBeef_MethaneConversionFactorPerRegion_Data(), Table_SourceData_PastureBeef_MethaneConversionFactor[[#Headers],[State]], 0)</f>
        <v>WA</v>
      </c>
      <c r="E406" s="68" t="str" cm="1">
        <f t="array" ref="E406">Common_InputFunctions.Utility_DisplayArrayInTable(SourceData_PastureBeef.SourceData_PastureBeef_MethaneConversionFactorPerRegion_Data(), Table_SourceData_PastureBeef_MethaneConversionFactor[[#Headers],[State]], 0)</f>
        <v>South West</v>
      </c>
      <c r="F406" s="68" cm="1">
        <f t="array" ref="F406">Common_InputFunctions.Utility_DisplayArrayInTable(SourceData_PastureBeef.SourceData_PastureBeef_MethaneConversionFactorPerRegion_Data(), Table_SourceData_PastureBeef_MethaneConversionFactor[[#Headers],[State]], 0)</f>
        <v>4.7000000000000002E-3</v>
      </c>
      <c r="G406" s="68"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68" t="str" cm="1">
        <f t="array" ref="D407">Common_InputFunctions.Utility_DisplayArrayInTable(SourceData_PastureBeef.SourceData_PastureBeef_MethaneConversionFactorPerRegion_Data(), Table_SourceData_PastureBeef_MethaneConversionFactor[[#Headers],[State]], 0)</f>
        <v>WA</v>
      </c>
      <c r="E407" s="68" t="str" cm="1">
        <f t="array" ref="E407">Common_InputFunctions.Utility_DisplayArrayInTable(SourceData_PastureBeef.SourceData_PastureBeef_MethaneConversionFactorPerRegion_Data(), Table_SourceData_PastureBeef_MethaneConversionFactor[[#Headers],[State]], 0)</f>
        <v>Pilbara</v>
      </c>
      <c r="F407" s="68" cm="1">
        <f t="array" ref="F407">Common_InputFunctions.Utility_DisplayArrayInTable(SourceData_PastureBeef.SourceData_PastureBeef_MethaneConversionFactorPerRegion_Data(), Table_SourceData_PastureBeef_MethaneConversionFactor[[#Headers],[State]], 0)</f>
        <v>4.7000000000000002E-3</v>
      </c>
      <c r="G407" s="68"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68" t="str" cm="1">
        <f t="array" ref="D408">Common_InputFunctions.Utility_DisplayArrayInTable(SourceData_PastureBeef.SourceData_PastureBeef_MethaneConversionFactorPerRegion_Data(), Table_SourceData_PastureBeef_MethaneConversionFactor[[#Headers],[State]], 0)</f>
        <v>WA</v>
      </c>
      <c r="E408" s="68" t="str" cm="1">
        <f t="array" ref="E408">Common_InputFunctions.Utility_DisplayArrayInTable(SourceData_PastureBeef.SourceData_PastureBeef_MethaneConversionFactorPerRegion_Data(), Table_SourceData_PastureBeef_MethaneConversionFactor[[#Headers],[State]], 0)</f>
        <v>Kimberley</v>
      </c>
      <c r="F408" s="68" cm="1">
        <f t="array" ref="F408">Common_InputFunctions.Utility_DisplayArrayInTable(SourceData_PastureBeef.SourceData_PastureBeef_MethaneConversionFactorPerRegion_Data(), Table_SourceData_PastureBeef_MethaneConversionFactor[[#Headers],[State]], 0)</f>
        <v>4.7000000000000002E-3</v>
      </c>
      <c r="G408" s="68"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68" t="str" cm="1">
        <f t="array" ref="D409">Common_InputFunctions.Utility_DisplayArrayInTable(SourceData_PastureBeef.SourceData_PastureBeef_MethaneConversionFactorPerRegion_Data(), Table_SourceData_PastureBeef_MethaneConversionFactor[[#Headers],[State]], 0)</f>
        <v>NT</v>
      </c>
      <c r="E409" s="68" t="str" cm="1">
        <f t="array" ref="E409">Common_InputFunctions.Utility_DisplayArrayInTable(SourceData_PastureBeef.SourceData_PastureBeef_MethaneConversionFactorPerRegion_Data(), Table_SourceData_PastureBeef_MethaneConversionFactor[[#Headers],[State]], 0)</f>
        <v>Alice Springs</v>
      </c>
      <c r="F409" s="68" cm="1">
        <f t="array" ref="F409">Common_InputFunctions.Utility_DisplayArrayInTable(SourceData_PastureBeef.SourceData_PastureBeef_MethaneConversionFactorPerRegion_Data(), Table_SourceData_PastureBeef_MethaneConversionFactor[[#Headers],[State]], 0)</f>
        <v>4.7000000000000002E-3</v>
      </c>
      <c r="G409" s="68"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68" t="str" cm="1">
        <f t="array" ref="D410">Common_InputFunctions.Utility_DisplayArrayInTable(SourceData_PastureBeef.SourceData_PastureBeef_MethaneConversionFactorPerRegion_Data(), Table_SourceData_PastureBeef_MethaneConversionFactor[[#Headers],[State]], 0)</f>
        <v>NT</v>
      </c>
      <c r="E410" s="68" t="str" cm="1">
        <f t="array" ref="E410">Common_InputFunctions.Utility_DisplayArrayInTable(SourceData_PastureBeef.SourceData_PastureBeef_MethaneConversionFactorPerRegion_Data(), Table_SourceData_PastureBeef_MethaneConversionFactor[[#Headers],[State]], 0)</f>
        <v>Barkly</v>
      </c>
      <c r="F410" s="68" cm="1">
        <f t="array" ref="F410">Common_InputFunctions.Utility_DisplayArrayInTable(SourceData_PastureBeef.SourceData_PastureBeef_MethaneConversionFactorPerRegion_Data(), Table_SourceData_PastureBeef_MethaneConversionFactor[[#Headers],[State]], 0)</f>
        <v>4.7000000000000002E-3</v>
      </c>
      <c r="G410" s="68"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68" t="str" cm="1">
        <f t="array" ref="D411">Common_InputFunctions.Utility_DisplayArrayInTable(SourceData_PastureBeef.SourceData_PastureBeef_MethaneConversionFactorPerRegion_Data(), Table_SourceData_PastureBeef_MethaneConversionFactor[[#Headers],[State]], 0)</f>
        <v>NT</v>
      </c>
      <c r="E411" s="68" t="str" cm="1">
        <f t="array" ref="E411">Common_InputFunctions.Utility_DisplayArrayInTable(SourceData_PastureBeef.SourceData_PastureBeef_MethaneConversionFactorPerRegion_Data(), Table_SourceData_PastureBeef_MethaneConversionFactor[[#Headers],[State]], 0)</f>
        <v>Northern</v>
      </c>
      <c r="F411" s="68" cm="1">
        <f t="array" ref="F411">Common_InputFunctions.Utility_DisplayArrayInTable(SourceData_PastureBeef.SourceData_PastureBeef_MethaneConversionFactorPerRegion_Data(), Table_SourceData_PastureBeef_MethaneConversionFactor[[#Headers],[State]], 0)</f>
        <v>4.7000000000000002E-3</v>
      </c>
      <c r="G411" s="68"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68" t="str" cm="1">
        <f t="array" ref="D412">Common_InputFunctions.Utility_DisplayArrayInTable(SourceData_PastureBeef.SourceData_PastureBeef_MethaneConversionFactorPerRegion_Data(), Table_SourceData_PastureBeef_MethaneConversionFactor[[#Headers],[State]], 0)</f>
        <v>QLD</v>
      </c>
      <c r="E412" s="68" t="str" cm="1">
        <f t="array" ref="E412">Common_InputFunctions.Utility_DisplayArrayInTable(SourceData_PastureBeef.SourceData_PastureBeef_MethaneConversionFactorPerRegion_Data(), Table_SourceData_PastureBeef_MethaneConversionFactor[[#Headers],[State]], 0)</f>
        <v>High</v>
      </c>
      <c r="F412" s="68" cm="1">
        <f t="array" ref="F412">Common_InputFunctions.Utility_DisplayArrayInTable(SourceData_PastureBeef.SourceData_PastureBeef_MethaneConversionFactorPerRegion_Data(), Table_SourceData_PastureBeef_MethaneConversionFactor[[#Headers],[State]], 0)</f>
        <v>4.7000000000000002E-3</v>
      </c>
      <c r="G412" s="68"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68" t="str" cm="1">
        <f t="array" ref="D413">Common_InputFunctions.Utility_DisplayArrayInTable(SourceData_PastureBeef.SourceData_PastureBeef_MethaneConversionFactorPerRegion_Data(), Table_SourceData_PastureBeef_MethaneConversionFactor[[#Headers],[State]], 0)</f>
        <v>QLD</v>
      </c>
      <c r="E413" s="68" t="str" cm="1">
        <f t="array" ref="E413">Common_InputFunctions.Utility_DisplayArrayInTable(SourceData_PastureBeef.SourceData_PastureBeef_MethaneConversionFactorPerRegion_Data(), Table_SourceData_PastureBeef_MethaneConversionFactor[[#Headers],[State]], 0)</f>
        <v>Moderate/High</v>
      </c>
      <c r="F413" s="68" cm="1">
        <f t="array" ref="F413">Common_InputFunctions.Utility_DisplayArrayInTable(SourceData_PastureBeef.SourceData_PastureBeef_MethaneConversionFactorPerRegion_Data(), Table_SourceData_PastureBeef_MethaneConversionFactor[[#Headers],[State]], 0)</f>
        <v>4.7000000000000002E-3</v>
      </c>
      <c r="G413" s="68"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68" t="str" cm="1">
        <f t="array" ref="D414">Common_InputFunctions.Utility_DisplayArrayInTable(SourceData_PastureBeef.SourceData_PastureBeef_MethaneConversionFactorPerRegion_Data(), Table_SourceData_PastureBeef_MethaneConversionFactor[[#Headers],[State]], 0)</f>
        <v>QLD</v>
      </c>
      <c r="E414" s="68" t="str" cm="1">
        <f t="array" ref="E414">Common_InputFunctions.Utility_DisplayArrayInTable(SourceData_PastureBeef.SourceData_PastureBeef_MethaneConversionFactorPerRegion_Data(), Table_SourceData_PastureBeef_MethaneConversionFactor[[#Headers],[State]], 0)</f>
        <v>Moderate/Low</v>
      </c>
      <c r="F414" s="68" cm="1">
        <f t="array" ref="F414">Common_InputFunctions.Utility_DisplayArrayInTable(SourceData_PastureBeef.SourceData_PastureBeef_MethaneConversionFactorPerRegion_Data(), Table_SourceData_PastureBeef_MethaneConversionFactor[[#Headers],[State]], 0)</f>
        <v>4.7000000000000002E-3</v>
      </c>
      <c r="G414" s="68"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68" t="str" cm="1">
        <f t="array" ref="D415">Common_InputFunctions.Utility_DisplayArrayInTable(SourceData_PastureBeef.SourceData_PastureBeef_MethaneConversionFactorPerRegion_Data(), Table_SourceData_PastureBeef_MethaneConversionFactor[[#Headers],[State]], 0)</f>
        <v>QLD</v>
      </c>
      <c r="E415" s="68" t="str" cm="1">
        <f t="array" ref="E415">Common_InputFunctions.Utility_DisplayArrayInTable(SourceData_PastureBeef.SourceData_PastureBeef_MethaneConversionFactorPerRegion_Data(), Table_SourceData_PastureBeef_MethaneConversionFactor[[#Headers],[State]], 0)</f>
        <v>Low</v>
      </c>
      <c r="F415" s="68" cm="1">
        <f t="array" ref="F415">Common_InputFunctions.Utility_DisplayArrayInTable(SourceData_PastureBeef.SourceData_PastureBeef_MethaneConversionFactorPerRegion_Data(), Table_SourceData_PastureBeef_MethaneConversionFactor[[#Headers],[State]], 0)</f>
        <v>4.7000000000000002E-3</v>
      </c>
      <c r="G415" s="68"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46"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7" t="str" cm="1">
        <f t="array" ref="D421">SourceData_PastureBeef.SourceData_PastureBeef_AshContentOfFeedIntake_Unit()</f>
        <v>fraction</v>
      </c>
      <c r="M421" s="1"/>
    </row>
    <row r="422" spans="4:13" x14ac:dyDescent="0.25">
      <c r="D422" s="4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46"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7" t="str" cm="1">
        <f t="array" ref="D427">SourceData_PastureBeef.SourceData_PastureBeef_MethaneEmissionsPotential_Unit()</f>
        <v>m3 CH4 / kg VS</v>
      </c>
      <c r="M427" s="1"/>
    </row>
    <row r="428" spans="4:13" x14ac:dyDescent="0.25">
      <c r="D428" s="4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46"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7" t="str" cm="1">
        <f t="array" ref="D433">SourceData_PastureBeef.SourceData_PastureBeef_FracGASMSoil_Unit()</f>
        <v>fraction</v>
      </c>
      <c r="M433" s="1"/>
    </row>
    <row r="434" spans="4:13" x14ac:dyDescent="0.25">
      <c r="D434" s="4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46"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7" t="str" cm="1">
        <f t="array" ref="D439">SourceData_PastureBeef.SourceData_PastureBeef_FracLEACH_Unit()</f>
        <v>fraction</v>
      </c>
      <c r="M439" s="1"/>
    </row>
    <row r="440" spans="4:13" x14ac:dyDescent="0.25">
      <c r="D440" s="48"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193B5-E783-4274-A957-D719D3C8066E}">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4" customFormat="1" ht="30" customHeight="1" x14ac:dyDescent="0.35">
      <c r="A1" s="18" t="e" vm="1">
        <v>#VALUE!</v>
      </c>
      <c r="C1" s="44" t="s">
        <v>647</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196" t="s">
        <v>648</v>
      </c>
      <c r="E7" s="196" t="s">
        <v>649</v>
      </c>
      <c r="F7" s="196" t="s">
        <v>650</v>
      </c>
      <c r="G7" s="196" t="s">
        <v>651</v>
      </c>
      <c r="H7" s="196" t="s">
        <v>652</v>
      </c>
      <c r="I7" s="196" t="s">
        <v>653</v>
      </c>
      <c r="J7" s="196" t="s">
        <v>654</v>
      </c>
      <c r="K7" s="196" t="s">
        <v>655</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46" t="str" cm="1">
        <f t="array" ref="D16">Agresidue_SourceData.CropAttributes_Source()</f>
        <v>VEERG 2026: Table A.2.1.1: Crop attributes</v>
      </c>
      <c r="E16" s="8"/>
      <c r="F16" s="8"/>
      <c r="G16" s="8"/>
      <c r="H16" s="8"/>
      <c r="I16" s="8"/>
      <c r="J16" s="8"/>
      <c r="K16" s="8"/>
      <c r="L16" s="8"/>
    </row>
    <row r="17" spans="1:14" ht="20.100000000000001" customHeight="1" x14ac:dyDescent="0.25">
      <c r="D17" s="71"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3</v>
      </c>
      <c r="D18" s="8"/>
      <c r="E18" s="8"/>
      <c r="F18" s="8"/>
      <c r="G18" s="8"/>
      <c r="H18" s="8"/>
      <c r="I18" s="8"/>
      <c r="J18" s="8"/>
      <c r="K18" s="8"/>
      <c r="L18" s="8"/>
    </row>
    <row r="19" spans="1:14" ht="20.100000000000001" customHeight="1" x14ac:dyDescent="0.25">
      <c r="A19" s="5" t="str">
        <f>HYPERLINK("#'3.2.1.1-2 Enteric Methane'!A1", "3.2.1.1-2 Enteric methane")</f>
        <v>3.2.1.1-2 Enteric methane</v>
      </c>
      <c r="D19" t="s">
        <v>281</v>
      </c>
      <c r="E19" t="s">
        <v>656</v>
      </c>
      <c r="F19" t="s">
        <v>657</v>
      </c>
      <c r="G19" t="s">
        <v>658</v>
      </c>
      <c r="H19" t="s">
        <v>659</v>
      </c>
      <c r="I19" t="s">
        <v>660</v>
      </c>
      <c r="J19" t="s">
        <v>661</v>
      </c>
      <c r="K19" t="s">
        <v>662</v>
      </c>
      <c r="L19" t="s">
        <v>663</v>
      </c>
      <c r="N19" s="2" t="s">
        <v>125</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68" t="s">
        <v>131</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68" t="s">
        <v>73</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68" t="s">
        <v>136</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140</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145</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147</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43"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69"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Livestock'!A1", "Constants - Livestock")</f>
        <v>Constants - Livestock</v>
      </c>
      <c r="D40" s="2" t="str" cm="1">
        <f t="array" ref="D40">Agresidue_SourceData.N2OEFOrganicFertiliser_Title()</f>
        <v>Emission factor for organic fertiliser and crop residues returned to the soil</v>
      </c>
      <c r="E40" s="27"/>
      <c r="F40" s="27"/>
      <c r="G40" s="8"/>
      <c r="H40" s="8"/>
      <c r="I40" s="8"/>
      <c r="J40" s="8"/>
      <c r="K40" s="8"/>
      <c r="L40" s="8"/>
    </row>
    <row r="41" spans="1:13" ht="20.100000000000001" customHeight="1" x14ac:dyDescent="0.25">
      <c r="A41" s="5" t="str">
        <f>HYPERLINK("#'Constants - Electricity'!A1", "Constants - Electricity")</f>
        <v>Constants - Electricity</v>
      </c>
      <c r="D41" s="46" t="str" cm="1">
        <f t="array" ref="D41">Agresidue_SourceData.N2OEFOrganicFertiliser_Source()</f>
        <v>VEERG 2026: Table A.2.1.4</v>
      </c>
      <c r="E41" s="27"/>
      <c r="F41" s="27"/>
      <c r="G41" s="8"/>
      <c r="H41" s="8"/>
      <c r="I41" s="8"/>
      <c r="J41" s="8"/>
      <c r="K41" s="8"/>
      <c r="L41" s="8"/>
    </row>
    <row r="42" spans="1:13" ht="20.100000000000001" customHeight="1" x14ac:dyDescent="0.25">
      <c r="A42" s="5" t="str">
        <f>HYPERLINK("#'Constants - Fertiliser'!A1", "Constants - Fertiliser")</f>
        <v>Constants - Fertiliser</v>
      </c>
      <c r="D42" s="46"/>
      <c r="E42" s="27"/>
      <c r="F42" s="27"/>
      <c r="H42" s="8"/>
      <c r="I42" s="8"/>
      <c r="M42" s="27"/>
    </row>
    <row r="43" spans="1:13" ht="20.100000000000001" customHeight="1" x14ac:dyDescent="0.25">
      <c r="A43" s="5" t="str">
        <f>HYPERLINK("#'Constants - Fuel'!A1", "Constants - Fuel")</f>
        <v>Constants - Fuel</v>
      </c>
      <c r="D43" s="137" t="s">
        <v>664</v>
      </c>
      <c r="E43" s="137" t="s">
        <v>665</v>
      </c>
      <c r="F43" s="27"/>
      <c r="H43" s="8"/>
      <c r="I43" s="8"/>
      <c r="M43" s="27"/>
    </row>
    <row r="44" spans="1:13" ht="20.100000000000001" customHeight="1" x14ac:dyDescent="0.25">
      <c r="A44" s="5" t="str">
        <f>HYPERLINK("#'Constants - Common'!A1", "Constants - Common")</f>
        <v>Constants - Common</v>
      </c>
      <c r="D44" s="197" t="str" cm="1">
        <f t="array" ref="D44">Common_InputFunctions.Utility_DisplayArrayInTable(Agresidue_SourceData.N2OEFOrganicFertiliser_Data(), Table_SourceData_N2OEFOrganicFert[[#Headers],[Climate zone type i]], 0)</f>
        <v>Wet climate zone</v>
      </c>
      <c r="E44" s="197" cm="1">
        <f t="array" ref="E44">Common_InputFunctions.Utility_DisplayArrayInTable(Agresidue_SourceData.N2OEFOrganicFertiliser_Data(), Table_SourceData_N2OEFOrganicFert[[#Headers],[Climate zone type i]], 0)</f>
        <v>6.0000000000000001E-3</v>
      </c>
      <c r="F44" s="27"/>
      <c r="H44" s="8"/>
      <c r="I44" s="8"/>
      <c r="M44" s="27"/>
    </row>
    <row r="45" spans="1:13" ht="20.100000000000001" customHeight="1" x14ac:dyDescent="0.25">
      <c r="A45" s="5" t="str">
        <f>HYPERLINK("#'Acknowledgements'!A1", "Acknowledgements")</f>
        <v>Acknowledgements</v>
      </c>
      <c r="D45" s="197" t="str" cm="1">
        <f t="array" ref="D45">Common_InputFunctions.Utility_DisplayArrayInTable(Agresidue_SourceData.N2OEFOrganicFertiliser_Data(), Table_SourceData_N2OEFOrganicFert[[#Headers],[Climate zone type i]], 0)</f>
        <v>Dry climate zone</v>
      </c>
      <c r="E45" s="197" cm="1">
        <f t="array" ref="E45">Common_InputFunctions.Utility_DisplayArrayInTable(Agresidue_SourceData.N2OEFOrganicFertiliser_Data(), Table_SourceData_N2OEFOrganicFert[[#Headers],[Climate zone type i]], 0)</f>
        <v>5.0000000000000001E-3</v>
      </c>
      <c r="F45" s="27"/>
      <c r="H45" s="8"/>
      <c r="I45" s="8"/>
      <c r="M45" s="27"/>
    </row>
    <row r="46" spans="1:13" ht="20.100000000000001" customHeight="1" x14ac:dyDescent="0.25">
      <c r="A46" s="5" t="str">
        <f>HYPERLINK("#'Overview'!A1", "Overview")</f>
        <v>Overview</v>
      </c>
      <c r="H46" s="8"/>
      <c r="I46" s="8"/>
      <c r="M46" s="27"/>
    </row>
    <row r="47" spans="1:13" ht="20.100000000000001" customHeight="1" x14ac:dyDescent="0.25">
      <c r="M47" s="27"/>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46"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68" t="s">
        <v>615</v>
      </c>
      <c r="E51" s="68" t="s">
        <v>666</v>
      </c>
      <c r="F51" s="68" t="s">
        <v>667</v>
      </c>
      <c r="G51" s="68" t="s">
        <v>668</v>
      </c>
      <c r="H51" s="68" t="s">
        <v>669</v>
      </c>
      <c r="I51" s="68" t="s">
        <v>670</v>
      </c>
      <c r="K51" s="8"/>
      <c r="L51" s="8"/>
    </row>
    <row r="52" spans="4:12" ht="20.100000000000001" customHeight="1" x14ac:dyDescent="0.25">
      <c r="D52" s="68" t="str" cm="1">
        <f t="array" ref="D52">Common_InputFunctions.Utility_DisplayArrayInTable(Agresidue_SourceData.PastureAttributes_Data(), Table_SourceData_PastureAttributes[[#Headers],[Pasture type]], 0)</f>
        <v>Annual grass</v>
      </c>
      <c r="E52" s="68" cm="1">
        <f t="array" ref="E52">Common_InputFunctions.Utility_DisplayArrayInTable(Agresidue_SourceData.PastureAttributes_Data(), Table_SourceData_PastureAttributes[[#Headers],[Pasture type]], 0)</f>
        <v>4.41</v>
      </c>
      <c r="F52" s="68" cm="1">
        <f t="array" ref="F52">Common_InputFunctions.Utility_DisplayArrayInTable(Agresidue_SourceData.PastureAttributes_Data(), Table_SourceData_PastureAttributes[[#Headers],[Pasture type]], 0)</f>
        <v>0.4</v>
      </c>
      <c r="G52" s="68" cm="1">
        <f t="array" ref="G52">Common_InputFunctions.Utility_DisplayArrayInTable(Agresidue_SourceData.PastureAttributes_Data(), Table_SourceData_PastureAttributes[[#Headers],[Pasture type]], 0)</f>
        <v>1.4999999999999999E-2</v>
      </c>
      <c r="H52" s="68" cm="1">
        <f t="array" ref="H52">Common_InputFunctions.Utility_DisplayArrayInTable(Agresidue_SourceData.PastureAttributes_Data(), Table_SourceData_PastureAttributes[[#Headers],[Pasture type]], 0)</f>
        <v>1.2E-2</v>
      </c>
      <c r="I52" s="68" cm="1">
        <f t="array" ref="I52">Common_InputFunctions.Utility_DisplayArrayInTable(Agresidue_SourceData.PastureAttributes_Data(), Table_SourceData_PastureAttributes[[#Headers],[Pasture type]], 0)</f>
        <v>0.8</v>
      </c>
      <c r="L52" s="8"/>
    </row>
    <row r="53" spans="4:12" ht="20.100000000000001" customHeight="1" x14ac:dyDescent="0.25">
      <c r="D53" s="68" t="str" cm="1">
        <f t="array" ref="D53">Common_InputFunctions.Utility_DisplayArrayInTable(Agresidue_SourceData.PastureAttributes_Data(), Table_SourceData_PastureAttributes[[#Headers],[Pasture type]], 0)</f>
        <v>Grass clover mixture</v>
      </c>
      <c r="E53" s="68" cm="1">
        <f t="array" ref="E53">Common_InputFunctions.Utility_DisplayArrayInTable(Agresidue_SourceData.PastureAttributes_Data(), Table_SourceData_PastureAttributes[[#Headers],[Pasture type]], 0)</f>
        <v>8.34</v>
      </c>
      <c r="F53" s="68" cm="1">
        <f t="array" ref="F53">Common_InputFunctions.Utility_DisplayArrayInTable(Agresidue_SourceData.PastureAttributes_Data(), Table_SourceData_PastureAttributes[[#Headers],[Pasture type]], 0)</f>
        <v>0.8</v>
      </c>
      <c r="G53" s="68" cm="1">
        <f t="array" ref="G53">Common_InputFunctions.Utility_DisplayArrayInTable(Agresidue_SourceData.PastureAttributes_Data(), Table_SourceData_PastureAttributes[[#Headers],[Pasture type]], 0)</f>
        <v>2.5000000000000001E-2</v>
      </c>
      <c r="H53" s="68" cm="1">
        <f t="array" ref="H53">Common_InputFunctions.Utility_DisplayArrayInTable(Agresidue_SourceData.PastureAttributes_Data(), Table_SourceData_PastureAttributes[[#Headers],[Pasture type]], 0)</f>
        <v>1.6E-2</v>
      </c>
      <c r="I53" s="68" cm="1">
        <f t="array" ref="I53">Common_InputFunctions.Utility_DisplayArrayInTable(Agresidue_SourceData.PastureAttributes_Data(), Table_SourceData_PastureAttributes[[#Headers],[Pasture type]], 0)</f>
        <v>0.8</v>
      </c>
      <c r="L53" s="8"/>
    </row>
    <row r="54" spans="4:12" ht="20.100000000000001" customHeight="1" x14ac:dyDescent="0.25">
      <c r="D54" s="68" t="str" cm="1">
        <f t="array" ref="D54">Common_InputFunctions.Utility_DisplayArrayInTable(Agresidue_SourceData.PastureAttributes_Data(), Table_SourceData_PastureAttributes[[#Headers],[Pasture type]], 0)</f>
        <v>Lucerne</v>
      </c>
      <c r="E54" s="68" cm="1">
        <f t="array" ref="E54">Common_InputFunctions.Utility_DisplayArrayInTable(Agresidue_SourceData.PastureAttributes_Data(), Table_SourceData_PastureAttributes[[#Headers],[Pasture type]], 0)</f>
        <v>8.6199999999999992</v>
      </c>
      <c r="F54" s="68" cm="1">
        <f t="array" ref="F54">Common_InputFunctions.Utility_DisplayArrayInTable(Agresidue_SourceData.PastureAttributes_Data(), Table_SourceData_PastureAttributes[[#Headers],[Pasture type]], 0)</f>
        <v>0.4</v>
      </c>
      <c r="G54" s="68" cm="1">
        <f t="array" ref="G54">Common_InputFunctions.Utility_DisplayArrayInTable(Agresidue_SourceData.PastureAttributes_Data(), Table_SourceData_PastureAttributes[[#Headers],[Pasture type]], 0)</f>
        <v>2.7E-2</v>
      </c>
      <c r="H54" s="68" cm="1">
        <f t="array" ref="H54">Common_InputFunctions.Utility_DisplayArrayInTable(Agresidue_SourceData.PastureAttributes_Data(), Table_SourceData_PastureAttributes[[#Headers],[Pasture type]], 0)</f>
        <v>1.9E-2</v>
      </c>
      <c r="I54" s="68" cm="1">
        <f t="array" ref="I54">Common_InputFunctions.Utility_DisplayArrayInTable(Agresidue_SourceData.PastureAttributes_Data(), Table_SourceData_PastureAttributes[[#Headers],[Pasture type]], 0)</f>
        <v>0.8</v>
      </c>
    </row>
    <row r="55" spans="4:12" ht="20.100000000000001" customHeight="1" x14ac:dyDescent="0.25">
      <c r="D55" s="68" t="str" cm="1">
        <f t="array" ref="D55">Common_InputFunctions.Utility_DisplayArrayInTable(Agresidue_SourceData.PastureAttributes_Data(), Table_SourceData_PastureAttributes[[#Headers],[Pasture type]], 0)</f>
        <v>Other legume</v>
      </c>
      <c r="E55" s="68" cm="1">
        <f t="array" ref="E55">Common_InputFunctions.Utility_DisplayArrayInTable(Agresidue_SourceData.PastureAttributes_Data(), Table_SourceData_PastureAttributes[[#Headers],[Pasture type]], 0)</f>
        <v>5.62</v>
      </c>
      <c r="F55" s="68" cm="1">
        <f t="array" ref="F55">Common_InputFunctions.Utility_DisplayArrayInTable(Agresidue_SourceData.PastureAttributes_Data(), Table_SourceData_PastureAttributes[[#Headers],[Pasture type]], 0)</f>
        <v>0.4</v>
      </c>
      <c r="G55" s="68" cm="1">
        <f t="array" ref="G55">Common_InputFunctions.Utility_DisplayArrayInTable(Agresidue_SourceData.PastureAttributes_Data(), Table_SourceData_PastureAttributes[[#Headers],[Pasture type]], 0)</f>
        <v>2.7E-2</v>
      </c>
      <c r="H55" s="68" cm="1">
        <f t="array" ref="H55">Common_InputFunctions.Utility_DisplayArrayInTable(Agresidue_SourceData.PastureAttributes_Data(), Table_SourceData_PastureAttributes[[#Headers],[Pasture type]], 0)</f>
        <v>2.1999999999999999E-2</v>
      </c>
      <c r="I55" s="68" cm="1">
        <f t="array" ref="I55">Common_InputFunctions.Utility_DisplayArrayInTable(Agresidue_SourceData.PastureAttributes_Data(), Table_SourceData_PastureAttributes[[#Headers],[Pasture type]], 0)</f>
        <v>0.8</v>
      </c>
    </row>
    <row r="56" spans="4:12" ht="20.100000000000001" customHeight="1" x14ac:dyDescent="0.25">
      <c r="D56" s="68" t="str" cm="1">
        <f t="array" ref="D56">Common_InputFunctions.Utility_DisplayArrayInTable(Agresidue_SourceData.PastureAttributes_Data(), Table_SourceData_PastureAttributes[[#Headers],[Pasture type]], 0)</f>
        <v>Perennial pasture</v>
      </c>
      <c r="E56" s="68" cm="1">
        <f t="array" ref="E56">Common_InputFunctions.Utility_DisplayArrayInTable(Agresidue_SourceData.PastureAttributes_Data(), Table_SourceData_PastureAttributes[[#Headers],[Pasture type]], 0)</f>
        <v>8.35</v>
      </c>
      <c r="F56" s="68" cm="1">
        <f t="array" ref="F56">Common_InputFunctions.Utility_DisplayArrayInTable(Agresidue_SourceData.PastureAttributes_Data(), Table_SourceData_PastureAttributes[[#Headers],[Pasture type]], 0)</f>
        <v>0.8</v>
      </c>
      <c r="G56" s="68" cm="1">
        <f t="array" ref="G56">Common_InputFunctions.Utility_DisplayArrayInTable(Agresidue_SourceData.PastureAttributes_Data(), Table_SourceData_PastureAttributes[[#Headers],[Pasture type]], 0)</f>
        <v>1.4999999999999999E-2</v>
      </c>
      <c r="H56" s="68" cm="1">
        <f t="array" ref="H56">Common_InputFunctions.Utility_DisplayArrayInTable(Agresidue_SourceData.PastureAttributes_Data(), Table_SourceData_PastureAttributes[[#Headers],[Pasture type]], 0)</f>
        <v>1.2E-2</v>
      </c>
      <c r="I56" s="68"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46"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68" t="s">
        <v>671</v>
      </c>
      <c r="E62" s="68" t="s">
        <v>672</v>
      </c>
      <c r="F62" s="68" t="s">
        <v>673</v>
      </c>
    </row>
    <row r="63" spans="4:12" ht="20.100000000000001" customHeight="1" x14ac:dyDescent="0.25">
      <c r="D63" s="68" t="str" cm="1">
        <f t="array" ref="D63">Common_InputFunctions.Utility_DisplayArrayInTable(AgResidues_SourceData.BurningOfAgriculturalResiduesEFs_Data(), Table_SourceData_BurningResidueEFs[[#Headers],[Gas species]], 0)</f>
        <v>CH4</v>
      </c>
      <c r="E63" s="68" cm="1">
        <f t="array" ref="E63">Common_InputFunctions.Utility_DisplayArrayInTable(AgResidues_SourceData.BurningOfAgriculturalResiduesEFs_Data(), Table_SourceData_BurningResidueEFs[[#Headers],[Gas species]], 0)</f>
        <v>3.5000000000000001E-3</v>
      </c>
      <c r="F63" s="68"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68" cm="1">
        <f t="array" ref="E64">Common_InputFunctions.Utility_DisplayArrayInTable(AgResidues_SourceData.BurningOfAgriculturalResiduesEFs_Data(), Table_SourceData_BurningResidueEFs[[#Headers],[Gas species]], 0)</f>
        <v>7.6E-3</v>
      </c>
      <c r="F64" s="68"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68" cm="1">
        <f t="array" ref="E65">Common_InputFunctions.Utility_DisplayArrayInTable(AgResidues_SourceData.BurningOfAgriculturalResiduesEFs_Data(), Table_SourceData_BurningResidueEFs[[#Headers],[Gas species]], 0)</f>
        <v>0.21</v>
      </c>
      <c r="F65" s="68"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68" cm="1">
        <f t="array" ref="E66">Common_InputFunctions.Utility_DisplayArrayInTable(AgResidues_SourceData.BurningOfAgriculturalResiduesEFs_Data(), Table_SourceData_BurningResidueEFs[[#Headers],[Gas species]], 0)</f>
        <v>7.8E-2</v>
      </c>
      <c r="F66" s="68"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68" cm="1">
        <f t="array" ref="E67">Common_InputFunctions.Utility_DisplayArrayInTable(AgResidues_SourceData.BurningOfAgriculturalResiduesEFs_Data(), Table_SourceData_BurningResidueEFs[[#Headers],[Gas species]], 0)</f>
        <v>9.1000000000000004E-3</v>
      </c>
      <c r="F67" s="68"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46"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674</v>
      </c>
      <c r="E73" t="s">
        <v>22</v>
      </c>
      <c r="F73" t="s">
        <v>675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71"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674</v>
      </c>
      <c r="E92" t="s">
        <v>22</v>
      </c>
      <c r="F92" t="s">
        <v>675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8B0C3-AB14-41EF-8B49-0727B2C18B0A}">
  <dimension ref="A1:M63"/>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8" t="e" vm="1">
        <v>#VALUE!</v>
      </c>
      <c r="C1" s="44" t="s">
        <v>676</v>
      </c>
      <c r="D1" s="44"/>
      <c r="E1" s="44"/>
      <c r="F1" s="44"/>
      <c r="G1" s="44"/>
      <c r="H1" s="44"/>
      <c r="I1" s="44"/>
      <c r="J1" s="44"/>
      <c r="K1" s="44"/>
      <c r="L1" s="44"/>
      <c r="M1" s="44"/>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45"/>
      <c r="D3" s="45"/>
      <c r="E3" s="45"/>
      <c r="F3" s="45"/>
      <c r="G3" s="45"/>
      <c r="H3" s="45"/>
      <c r="I3" s="45"/>
      <c r="J3" s="45"/>
      <c r="K3" s="45"/>
      <c r="L3" s="45"/>
      <c r="M3" s="45"/>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27"/>
      <c r="F6" s="27"/>
      <c r="G6" s="27"/>
      <c r="H6" s="27"/>
    </row>
    <row r="7" spans="1:13" ht="20.100000000000001" customHeight="1" x14ac:dyDescent="0.25">
      <c r="A7" s="7" t="s">
        <v>0</v>
      </c>
      <c r="D7" s="27" t="str" cm="1">
        <f t="array" ref="D7">CommonLivestock_SourceData.SourceData_Livestock_Common_SymbolsMMS_Vairable()</f>
        <v>MMS</v>
      </c>
      <c r="E7" s="27"/>
      <c r="F7" s="27"/>
      <c r="G7" s="27"/>
      <c r="H7" s="27"/>
    </row>
    <row r="8" spans="1:13" ht="20.100000000000001" customHeight="1" x14ac:dyDescent="0.25">
      <c r="A8" s="5" t="str">
        <f>HYPERLINK("#'Input - Enterprise'!A1", "Enterprise")</f>
        <v>Enterprise</v>
      </c>
      <c r="D8" s="46" t="str" cm="1">
        <f t="array" ref="D8">CommonLivestock_SourceData.SourceData_Livestock_Common_SymbolsMMS_Source()</f>
        <v>National Inventory Report 2023 Volume 1: Table 5.12</v>
      </c>
      <c r="E8" s="27"/>
      <c r="F8" s="27"/>
      <c r="G8" s="27"/>
      <c r="H8" s="27"/>
    </row>
    <row r="9" spans="1:13" ht="20.100000000000001" customHeight="1" x14ac:dyDescent="0.25">
      <c r="A9" s="5" t="str">
        <f>HYPERLINK("#'Input - Site'!A1", "Site")</f>
        <v>Site</v>
      </c>
      <c r="D9" s="197" t="s">
        <v>677</v>
      </c>
      <c r="E9" s="68" t="s">
        <v>67</v>
      </c>
      <c r="F9" s="68" t="s">
        <v>678</v>
      </c>
      <c r="G9" s="27"/>
    </row>
    <row r="10" spans="1:13" ht="20.100000000000001" customHeight="1" x14ac:dyDescent="0.25">
      <c r="A10" s="5" t="str">
        <f>HYPERLINK("#'Input - Pasture Beef'!A1", "Pasture Beef")</f>
        <v>Pasture Beef</v>
      </c>
      <c r="D10" s="197" t="str" cm="1">
        <f t="array" ref="D10">Common_InputFunctions.Utility_DisplayArrayInTable(CommonLivestock_SourceData.SourceData_Livestock_Common_SymbolsMMS_Data(), Table_Data_MMSSymbols[[#Headers],[Symbol]], 0)</f>
        <v>1</v>
      </c>
      <c r="E10" s="197" t="str" cm="1">
        <f t="array" ref="E10">Common_InputFunctions.Utility_DisplayArrayInTable(CommonLivestock_SourceData.SourceData_Livestock_Common_SymbolsMMS_Data(), Table_Data_MMSSymbols[[#Headers],[Symbol]], 0)</f>
        <v>Anaerobic lagoon</v>
      </c>
      <c r="F10" s="197" t="str" cm="1">
        <f t="array" ref="F10">Common_InputFunctions.Utility_DisplayArrayInTable(CommonLivestock_SourceData.SourceData_Livestock_Common_SymbolsMMS_Data(), Table_Data_MMSSymbols[[#Headers],[Symbol]], 0)</f>
        <v>Anaerobic lagoon (m=1)</v>
      </c>
      <c r="G10" s="27"/>
    </row>
    <row r="11" spans="1:13" ht="20.100000000000001" customHeight="1" x14ac:dyDescent="0.25">
      <c r="A11" s="5" t="str">
        <f>HYPERLINK("#'Input - Pasture Beef (Enteric)'!A1", "Pasture Beef (Enteric)")</f>
        <v>Pasture Beef (Enteric)</v>
      </c>
      <c r="D11" s="197" t="str" cm="1">
        <f t="array" ref="D11">Common_InputFunctions.Utility_DisplayArrayInTable(CommonLivestock_SourceData.SourceData_Livestock_Common_SymbolsMMS_Data(), Table_Data_MMSSymbols[[#Headers],[Symbol]], 0)</f>
        <v>2</v>
      </c>
      <c r="E11" s="197" t="str" cm="1">
        <f t="array" ref="E11">Common_InputFunctions.Utility_DisplayArrayInTable(CommonLivestock_SourceData.SourceData_Livestock_Common_SymbolsMMS_Data(), Table_Data_MMSSymbols[[#Headers],[Symbol]], 0)</f>
        <v>Liquid systems</v>
      </c>
      <c r="F11" s="197" t="str" cm="1">
        <f t="array" ref="F11">Common_InputFunctions.Utility_DisplayArrayInTable(CommonLivestock_SourceData.SourceData_Livestock_Common_SymbolsMMS_Data(), Table_Data_MMSSymbols[[#Headers],[Symbol]], 0)</f>
        <v>Liquid systems (m=2)</v>
      </c>
      <c r="G11" s="27"/>
    </row>
    <row r="12" spans="1:13" ht="20.100000000000001" customHeight="1" x14ac:dyDescent="0.25">
      <c r="A12" s="5" t="str">
        <f>HYPERLINK("#'Input - Pasture'!A1", "Pasture")</f>
        <v>Pasture</v>
      </c>
      <c r="D12" s="68" t="str" cm="1">
        <f t="array" ref="D12">Common_InputFunctions.Utility_DisplayArrayInTable(CommonLivestock_SourceData.SourceData_Livestock_Common_SymbolsMMS_Data(), Table_Data_MMSSymbols[[#Headers],[Symbol]], 0)</f>
        <v>3</v>
      </c>
      <c r="E12" s="68" t="str" cm="1">
        <f t="array" ref="E12">Common_InputFunctions.Utility_DisplayArrayInTable(CommonLivestock_SourceData.SourceData_Livestock_Common_SymbolsMMS_Data(), Table_Data_MMSSymbols[[#Headers],[Symbol]], 0)</f>
        <v>Daily spread</v>
      </c>
      <c r="F12" s="68" t="str" cm="1">
        <f t="array" ref="F12">Common_InputFunctions.Utility_DisplayArrayInTable(CommonLivestock_SourceData.SourceData_Livestock_Common_SymbolsMMS_Data(), Table_Data_MMSSymbols[[#Headers],[Symbol]], 0)</f>
        <v>Daily spread (m=3)</v>
      </c>
      <c r="G12" s="27"/>
    </row>
    <row r="13" spans="1:13" ht="20.100000000000001" customHeight="1" x14ac:dyDescent="0.25">
      <c r="A13" s="5" t="str">
        <f>HYPERLINK("#'Input - Fertiliser'!A1", "Fertiliser")</f>
        <v>Fertiliser</v>
      </c>
      <c r="D13" s="68" t="str" cm="1">
        <f t="array" ref="D13">Common_InputFunctions.Utility_DisplayArrayInTable(CommonLivestock_SourceData.SourceData_Livestock_Common_SymbolsMMS_Data(), Table_Data_MMSSymbols[[#Headers],[Symbol]], 0)</f>
        <v>3a</v>
      </c>
      <c r="E13" s="68" t="str" cm="1">
        <f t="array" ref="E13">Common_InputFunctions.Utility_DisplayArrayInTable(CommonLivestock_SourceData.SourceData_Livestock_Common_SymbolsMMS_Data(), Table_Data_MMSSymbols[[#Headers],[Symbol]], 0)</f>
        <v>Sump and dispersal system</v>
      </c>
      <c r="F13" s="68" t="str" cm="1">
        <f t="array" ref="F13">Common_InputFunctions.Utility_DisplayArrayInTable(CommonLivestock_SourceData.SourceData_Livestock_Common_SymbolsMMS_Data(), Table_Data_MMSSymbols[[#Headers],[Symbol]], 0)</f>
        <v>Sump and dispersal system (m=3a)</v>
      </c>
      <c r="G13" s="27"/>
    </row>
    <row r="14" spans="1:13" ht="20.100000000000001" customHeight="1" x14ac:dyDescent="0.25">
      <c r="A14" s="5" t="str">
        <f>HYPERLINK("#'Input - Fuel'!A1", "Fuel")</f>
        <v>Fuel</v>
      </c>
      <c r="D14" s="68" t="str" cm="1">
        <f t="array" ref="D14">Common_InputFunctions.Utility_DisplayArrayInTable(CommonLivestock_SourceData.SourceData_Livestock_Common_SymbolsMMS_Data(), Table_Data_MMSSymbols[[#Headers],[Symbol]], 0)</f>
        <v>3b</v>
      </c>
      <c r="E14" s="68" t="str" cm="1">
        <f t="array" ref="E14">Common_InputFunctions.Utility_DisplayArrayInTable(CommonLivestock_SourceData.SourceData_Livestock_Common_SymbolsMMS_Data(), Table_Data_MMSSymbols[[#Headers],[Symbol]], 0)</f>
        <v>Drains to paddock</v>
      </c>
      <c r="F14" s="68" t="str" cm="1">
        <f t="array" ref="F14">Common_InputFunctions.Utility_DisplayArrayInTable(CommonLivestock_SourceData.SourceData_Livestock_Common_SymbolsMMS_Data(), Table_Data_MMSSymbols[[#Headers],[Symbol]], 0)</f>
        <v>Drains to paddock (m=3b)</v>
      </c>
      <c r="G14" s="27"/>
    </row>
    <row r="15" spans="1:13" ht="20.100000000000001" customHeight="1" x14ac:dyDescent="0.25">
      <c r="A15" s="5" t="str">
        <f>HYPERLINK("#'Input - Electricity'!A1", "Electricity")</f>
        <v>Electricity</v>
      </c>
      <c r="D15" s="68" t="str" cm="1">
        <f t="array" ref="D15">Common_InputFunctions.Utility_DisplayArrayInTable(CommonLivestock_SourceData.SourceData_Livestock_Common_SymbolsMMS_Data(), Table_Data_MMSSymbols[[#Headers],[Symbol]], 0)</f>
        <v>4</v>
      </c>
      <c r="E15" s="68" t="str" cm="1">
        <f t="array" ref="E15">Common_InputFunctions.Utility_DisplayArrayInTable(CommonLivestock_SourceData.SourceData_Livestock_Common_SymbolsMMS_Data(), Table_Data_MMSSymbols[[#Headers],[Symbol]], 0)</f>
        <v>Solid storage</v>
      </c>
      <c r="F15" s="68" t="str" cm="1">
        <f t="array" ref="F15">Common_InputFunctions.Utility_DisplayArrayInTable(CommonLivestock_SourceData.SourceData_Livestock_Common_SymbolsMMS_Data(), Table_Data_MMSSymbols[[#Headers],[Symbol]], 0)</f>
        <v>Solid storage (m=4)</v>
      </c>
      <c r="G15" s="27"/>
    </row>
    <row r="16" spans="1:13" ht="20.100000000000001" customHeight="1" x14ac:dyDescent="0.25">
      <c r="D16" s="68" t="str" cm="1">
        <f t="array" ref="D16">Common_InputFunctions.Utility_DisplayArrayInTable(CommonLivestock_SourceData.SourceData_Livestock_Common_SymbolsMMS_Data(), Table_Data_MMSSymbols[[#Headers],[Symbol]], 0)</f>
        <v>5</v>
      </c>
      <c r="E16" s="68" t="str" cm="1">
        <f t="array" ref="E16">Common_InputFunctions.Utility_DisplayArrayInTable(CommonLivestock_SourceData.SourceData_Livestock_Common_SymbolsMMS_Data(), Table_Data_MMSSymbols[[#Headers],[Symbol]], 0)</f>
        <v>Drylot (feed pad)</v>
      </c>
      <c r="F16" s="68" t="str" cm="1">
        <f t="array" ref="F16">Common_InputFunctions.Utility_DisplayArrayInTable(CommonLivestock_SourceData.SourceData_Livestock_Common_SymbolsMMS_Data(), Table_Data_MMSSymbols[[#Headers],[Symbol]], 0)</f>
        <v>Drylot (feed pad) (m=5)</v>
      </c>
      <c r="G16" s="27"/>
    </row>
    <row r="17" spans="1:8" ht="20.100000000000001" customHeight="1" x14ac:dyDescent="0.25">
      <c r="D17" s="68" t="str" cm="1">
        <f t="array" ref="D17">Common_InputFunctions.Utility_DisplayArrayInTable(CommonLivestock_SourceData.SourceData_Livestock_Common_SymbolsMMS_Data(), Table_Data_MMSSymbols[[#Headers],[Symbol]], 0)</f>
        <v>6</v>
      </c>
      <c r="E17" s="68" t="str" cm="1">
        <f t="array" ref="E17">Common_InputFunctions.Utility_DisplayArrayInTable(CommonLivestock_SourceData.SourceData_Livestock_Common_SymbolsMMS_Data(), Table_Data_MMSSymbols[[#Headers],[Symbol]], 0)</f>
        <v>Composting (passive windrow)</v>
      </c>
      <c r="F17" s="68" t="str" cm="1">
        <f t="array" ref="F17">Common_InputFunctions.Utility_DisplayArrayInTable(CommonLivestock_SourceData.SourceData_Livestock_Common_SymbolsMMS_Data(), Table_Data_MMSSymbols[[#Headers],[Symbol]], 0)</f>
        <v>Composting (passive windrow) (m=6)</v>
      </c>
      <c r="G17" s="27"/>
    </row>
    <row r="18" spans="1:8" ht="20.100000000000001" customHeight="1" x14ac:dyDescent="0.25">
      <c r="A18" s="6" t="s">
        <v>3</v>
      </c>
      <c r="D18" s="68" t="str" cm="1">
        <f t="array" ref="D18">Common_InputFunctions.Utility_DisplayArrayInTable(CommonLivestock_SourceData.SourceData_Livestock_Common_SymbolsMMS_Data(), Table_Data_MMSSymbols[[#Headers],[Symbol]], 0)</f>
        <v>7</v>
      </c>
      <c r="E18" s="68" t="str" cm="1">
        <f t="array" ref="E18">Common_InputFunctions.Utility_DisplayArrayInTable(CommonLivestock_SourceData.SourceData_Livestock_Common_SymbolsMMS_Data(), Table_Data_MMSSymbols[[#Headers],[Symbol]], 0)</f>
        <v>Digester / covered lagoons</v>
      </c>
      <c r="F18" s="68" t="str" cm="1">
        <f t="array" ref="F18">Common_InputFunctions.Utility_DisplayArrayInTable(CommonLivestock_SourceData.SourceData_Livestock_Common_SymbolsMMS_Data(), Table_Data_MMSSymbols[[#Headers],[Symbol]], 0)</f>
        <v>Digester / covered lagoons (m=7)</v>
      </c>
      <c r="G18" s="27"/>
    </row>
    <row r="19" spans="1:8" ht="20.100000000000001" customHeight="1" x14ac:dyDescent="0.25">
      <c r="A19" s="5" t="str">
        <f>HYPERLINK("#'3.2.1.1-2 Enteric Methane'!A1", "3.2.1.1-2 Enteric methane")</f>
        <v>3.2.1.1-2 Enteric methane</v>
      </c>
      <c r="D19" s="68" t="str" cm="1">
        <f t="array" ref="D19">Common_InputFunctions.Utility_DisplayArrayInTable(CommonLivestock_SourceData.SourceData_Livestock_Common_SymbolsMMS_Data(), Table_Data_MMSSymbols[[#Headers],[Symbol]], 0)</f>
        <v>8</v>
      </c>
      <c r="E19" s="68" t="str" cm="1">
        <f t="array" ref="E19">Common_InputFunctions.Utility_DisplayArrayInTable(CommonLivestock_SourceData.SourceData_Livestock_Common_SymbolsMMS_Data(), Table_Data_MMSSymbols[[#Headers],[Symbol]], 0)</f>
        <v>Deep litter</v>
      </c>
      <c r="F19" s="68" t="str" cm="1">
        <f t="array" ref="F19">Common_InputFunctions.Utility_DisplayArrayInTable(CommonLivestock_SourceData.SourceData_Livestock_Common_SymbolsMMS_Data(), Table_Data_MMSSymbols[[#Headers],[Symbol]], 0)</f>
        <v>Deep litter (m=8)</v>
      </c>
      <c r="G19" s="27"/>
    </row>
    <row r="20" spans="1:8" ht="20.100000000000001" customHeight="1" x14ac:dyDescent="0.25">
      <c r="A20" s="5" t="str">
        <f>HYPERLINK("#'4.2.1.1-2 Methane'!A1", "4.2.1.1-2 Manure methane")</f>
        <v>4.2.1.1-2 Manure methane</v>
      </c>
      <c r="D20" s="68" t="str" cm="1">
        <f t="array" ref="D20">Common_InputFunctions.Utility_DisplayArrayInTable(CommonLivestock_SourceData.SourceData_Livestock_Common_SymbolsMMS_Data(), Table_Data_MMSSymbols[[#Headers],[Symbol]], 0)</f>
        <v>9</v>
      </c>
      <c r="E20" s="68" t="str" cm="1">
        <f t="array" ref="E20">Common_InputFunctions.Utility_DisplayArrayInTable(CommonLivestock_SourceData.SourceData_Livestock_Common_SymbolsMMS_Data(), Table_Data_MMSSymbols[[#Headers],[Symbol]], 0)</f>
        <v>Pit storage</v>
      </c>
      <c r="F20" s="68" t="str" cm="1">
        <f t="array" ref="F20">Common_InputFunctions.Utility_DisplayArrayInTable(CommonLivestock_SourceData.SourceData_Livestock_Common_SymbolsMMS_Data(), Table_Data_MMSSymbols[[#Headers],[Symbol]], 0)</f>
        <v>Pit storage (m=9)</v>
      </c>
      <c r="G20" s="27"/>
    </row>
    <row r="21" spans="1:8" ht="20.100000000000001" customHeight="1" x14ac:dyDescent="0.25">
      <c r="A21" s="5" t="str">
        <f>HYPERLINK("#'4.2.1.3-4 Soil direct N20'!A1", "4.2.1.3-4 Soil direct N2O")</f>
        <v>4.2.1.3-4 Soil direct N2O</v>
      </c>
      <c r="D21" s="68" t="str" cm="1">
        <f t="array" ref="D21">Common_InputFunctions.Utility_DisplayArrayInTable(CommonLivestock_SourceData.SourceData_Livestock_Common_SymbolsMMS_Data(), Table_Data_MMSSymbols[[#Headers],[Symbol]], 0)</f>
        <v>10</v>
      </c>
      <c r="E21" s="68" t="str" cm="1">
        <f t="array" ref="E21">Common_InputFunctions.Utility_DisplayArrayInTable(CommonLivestock_SourceData.SourceData_Livestock_Common_SymbolsMMS_Data(), Table_Data_MMSSymbols[[#Headers],[Symbol]], 0)</f>
        <v>Poultry manure with bedding</v>
      </c>
      <c r="F21" s="68" t="str" cm="1">
        <f t="array" ref="F21">Common_InputFunctions.Utility_DisplayArrayInTable(CommonLivestock_SourceData.SourceData_Livestock_Common_SymbolsMMS_Data(), Table_Data_MMSSymbols[[#Headers],[Symbol]], 0)</f>
        <v>Poultry manure with bedding (m=10)</v>
      </c>
      <c r="G21" s="27"/>
    </row>
    <row r="22" spans="1:8" ht="20.100000000000001" customHeight="1" x14ac:dyDescent="0.25">
      <c r="A22" s="5" t="str">
        <f>HYPERLINK("#'4.2.1.5-6 Soil Atmos Dep'!A1", "4.2.1.5-6 Soil atm. deposition")</f>
        <v>4.2.1.5-6 Soil atm. deposition</v>
      </c>
      <c r="D22" s="68" t="str" cm="1">
        <f t="array" ref="D22">Common_InputFunctions.Utility_DisplayArrayInTable(CommonLivestock_SourceData.SourceData_Livestock_Common_SymbolsMMS_Data(), Table_Data_MMSSymbols[[#Headers],[Symbol]], 0)</f>
        <v>11</v>
      </c>
      <c r="E22" s="68" t="str" cm="1">
        <f t="array" ref="E22">Common_InputFunctions.Utility_DisplayArrayInTable(CommonLivestock_SourceData.SourceData_Livestock_Common_SymbolsMMS_Data(), Table_Data_MMSSymbols[[#Headers],[Symbol]], 0)</f>
        <v>Poultry manure without bedding</v>
      </c>
      <c r="F22" s="68" t="str" cm="1">
        <f t="array" ref="F22">Common_InputFunctions.Utility_DisplayArrayInTable(CommonLivestock_SourceData.SourceData_Livestock_Common_SymbolsMMS_Data(), Table_Data_MMSSymbols[[#Headers],[Symbol]], 0)</f>
        <v>Poultry manure without bedding (m=11)</v>
      </c>
      <c r="G22" s="27"/>
    </row>
    <row r="23" spans="1:8" ht="20.100000000000001" customHeight="1" x14ac:dyDescent="0.25">
      <c r="A23" s="5" t="str">
        <f>HYPERLINK("#'4.2.1.7-8 Soil leach runoff'!A1", "4.2.1.7-8 Soil leach &amp; runoff")</f>
        <v>4.2.1.7-8 Soil leach &amp; runoff</v>
      </c>
      <c r="D23" s="68" t="str" cm="1">
        <f t="array" ref="D23">Common_InputFunctions.Utility_DisplayArrayInTable(CommonLivestock_SourceData.SourceData_Livestock_Common_SymbolsMMS_Data(), Table_Data_MMSSymbols[[#Headers],[Symbol]], 0)</f>
        <v>11a</v>
      </c>
      <c r="E23" s="68" t="str" cm="1">
        <f t="array" ref="E23">Common_InputFunctions.Utility_DisplayArrayInTable(CommonLivestock_SourceData.SourceData_Livestock_Common_SymbolsMMS_Data(), Table_Data_MMSSymbols[[#Headers],[Symbol]], 0)</f>
        <v>Belt manure removal</v>
      </c>
      <c r="F23" s="68" t="str" cm="1">
        <f t="array" ref="F23">Common_InputFunctions.Utility_DisplayArrayInTable(CommonLivestock_SourceData.SourceData_Livestock_Common_SymbolsMMS_Data(), Table_Data_MMSSymbols[[#Headers],[Symbol]], 0)</f>
        <v>Belt manure removal (m=11a)</v>
      </c>
      <c r="G23" s="27"/>
    </row>
    <row r="24" spans="1:8" ht="20.100000000000001" customHeight="1" x14ac:dyDescent="0.25">
      <c r="A24" s="5" t="str">
        <f>HYPERLINK("#'5.1.1.1-2 Inorganic fert N2O'!A1", "5.1.1.1-2 Inorganic fert N2O")</f>
        <v>5.1.1.1-2 Inorganic fert N2O</v>
      </c>
      <c r="D24" s="68" t="str" cm="1">
        <f t="array" ref="D24">Common_InputFunctions.Utility_DisplayArrayInTable(CommonLivestock_SourceData.SourceData_Livestock_Common_SymbolsMMS_Data(), Table_Data_MMSSymbols[[#Headers],[Symbol]], 0)</f>
        <v>11b</v>
      </c>
      <c r="E24" s="68" t="str" cm="1">
        <f t="array" ref="E24">Common_InputFunctions.Utility_DisplayArrayInTable(CommonLivestock_SourceData.SourceData_Livestock_Common_SymbolsMMS_Data(), Table_Data_MMSSymbols[[#Headers],[Symbol]], 0)</f>
        <v>Manure stored in house</v>
      </c>
      <c r="F24" s="68" t="str" cm="1">
        <f t="array" ref="F24">Common_InputFunctions.Utility_DisplayArrayInTable(CommonLivestock_SourceData.SourceData_Livestock_Common_SymbolsMMS_Data(), Table_Data_MMSSymbols[[#Headers],[Symbol]], 0)</f>
        <v>Manure stored in house (m=11b)</v>
      </c>
      <c r="G24" s="27"/>
    </row>
    <row r="25" spans="1:8" ht="20.100000000000001" customHeight="1" x14ac:dyDescent="0.25">
      <c r="A25" s="5" t="str">
        <f>HYPERLINK("#'5.1.1.3-4 Inorganic fert CO2'!A1", "5.1.1.3-4 Inorganic fert CO2")</f>
        <v>5.1.1.3-4 Inorganic fert CO2</v>
      </c>
      <c r="D25" s="68" t="str" cm="1">
        <f t="array" ref="D25">Common_InputFunctions.Utility_DisplayArrayInTable(CommonLivestock_SourceData.SourceData_Livestock_Common_SymbolsMMS_Data(), Table_Data_MMSSymbols[[#Headers],[Symbol]], 0)</f>
        <v>12</v>
      </c>
      <c r="E25" s="68" t="str" cm="1">
        <f t="array" ref="E25">Common_InputFunctions.Utility_DisplayArrayInTable(CommonLivestock_SourceData.SourceData_Livestock_Common_SymbolsMMS_Data(), Table_Data_MMSSymbols[[#Headers],[Symbol]], 0)</f>
        <v>Direct processing</v>
      </c>
      <c r="F25" s="68" t="str" cm="1">
        <f t="array" ref="F25">Common_InputFunctions.Utility_DisplayArrayInTable(CommonLivestock_SourceData.SourceData_Livestock_Common_SymbolsMMS_Data(), Table_Data_MMSSymbols[[#Headers],[Symbol]], 0)</f>
        <v>Direct processing (m=12)</v>
      </c>
      <c r="G25" s="27"/>
    </row>
    <row r="26" spans="1:8" ht="20.100000000000001" customHeight="1" x14ac:dyDescent="0.25">
      <c r="A26" s="5" t="str">
        <f>HYPERLINK("#'5.2.1.1-2 Organic Fert N2O'!A1", "5.2.1.1-2 Organic fert N2O")</f>
        <v>5.2.1.1-2 Organic fert N2O</v>
      </c>
      <c r="D26" s="68" t="str" cm="1">
        <f t="array" ref="D26">Common_InputFunctions.Utility_DisplayArrayInTable(CommonLivestock_SourceData.SourceData_Livestock_Common_SymbolsMMS_Data(), Table_Data_MMSSymbols[[#Headers],[Symbol]], 0)</f>
        <v>13</v>
      </c>
      <c r="E26" s="68" t="str" cm="1">
        <f t="array" ref="E26">Common_InputFunctions.Utility_DisplayArrayInTable(CommonLivestock_SourceData.SourceData_Livestock_Common_SymbolsMMS_Data(), Table_Data_MMSSymbols[[#Headers],[Symbol]], 0)</f>
        <v>Direct application</v>
      </c>
      <c r="F26" s="68" t="str" cm="1">
        <f t="array" ref="F26">Common_InputFunctions.Utility_DisplayArrayInTable(CommonLivestock_SourceData.SourceData_Livestock_Common_SymbolsMMS_Data(), Table_Data_MMSSymbols[[#Headers],[Symbol]], 0)</f>
        <v>Direct application (m=13)</v>
      </c>
      <c r="G26" s="27"/>
    </row>
    <row r="27" spans="1:8" ht="20.100000000000001" customHeight="1" x14ac:dyDescent="0.25">
      <c r="A27" s="5" t="str">
        <f>HYPERLINK("#'5.3.1.1-2 Lime CO2'!A1", "5.3.1.1-2 Lime CO2")</f>
        <v>5.3.1.1-2 Lime CO2</v>
      </c>
      <c r="D27" s="68" t="str" cm="1">
        <f t="array" ref="D27">Common_InputFunctions.Utility_DisplayArrayInTable(CommonLivestock_SourceData.SourceData_Livestock_Common_SymbolsMMS_Data(), Table_Data_MMSSymbols[[#Headers],[Symbol]], 0)</f>
        <v>14</v>
      </c>
      <c r="E27" s="68" t="str" cm="1">
        <f t="array" ref="E27">Common_InputFunctions.Utility_DisplayArrayInTable(CommonLivestock_SourceData.SourceData_Livestock_Common_SymbolsMMS_Data(), Table_Data_MMSSymbols[[#Headers],[Symbol]], 0)</f>
        <v>Pasture range and paddock</v>
      </c>
      <c r="F27" s="68" t="str" cm="1">
        <f t="array" ref="F27">Common_InputFunctions.Utility_DisplayArrayInTable(CommonLivestock_SourceData.SourceData_Livestock_Common_SymbolsMMS_Data(), Table_Data_MMSSymbols[[#Headers],[Symbol]], 0)</f>
        <v>Pasture range and paddock (m=14)</v>
      </c>
      <c r="G27" s="27"/>
    </row>
    <row r="28" spans="1:8" ht="20.100000000000001" customHeight="1" x14ac:dyDescent="0.25">
      <c r="A28" s="5" t="str">
        <f>HYPERLINK("#'5.4.1.1-4 Atmos deposition'!A1", "5.4.1.1-4 Atmos. deposition")</f>
        <v>5.4.1.1-4 Atmos. deposition</v>
      </c>
      <c r="G28" s="27"/>
      <c r="H28" s="27"/>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69" t="str">
        <f>HYPERLINK("#'Constants - Livestock'!A1", "Constants - Livestock")</f>
        <v>Constants -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9F4CE-94E4-45B1-AA80-5B48C20454B6}">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4" customFormat="1" ht="30" customHeight="1" x14ac:dyDescent="0.35">
      <c r="A1" s="18" t="e" vm="1">
        <v>#VALUE!</v>
      </c>
      <c r="C1" s="44" t="s">
        <v>506</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46" t="str" cm="1">
        <f t="array" ref="D6">Electricity_SourceData.Electricity_Scope2Scope3LocationBased_Source()</f>
        <v>Australian National Greenhouse Accounts Factors 2025 - Table 1</v>
      </c>
      <c r="E6" s="8"/>
      <c r="F6" s="8"/>
    </row>
    <row r="7" spans="1:35" ht="20.100000000000001" customHeight="1" x14ac:dyDescent="0.25">
      <c r="A7" s="7" t="s">
        <v>0</v>
      </c>
      <c r="D7" s="71"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46" t="s">
        <v>507</v>
      </c>
      <c r="E9" s="146" t="s">
        <v>508</v>
      </c>
      <c r="F9" s="146" t="s">
        <v>509</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3</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46"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37" t="s">
        <v>507</v>
      </c>
      <c r="E24" s="137" t="s">
        <v>510</v>
      </c>
      <c r="F24" s="137" t="s">
        <v>511</v>
      </c>
      <c r="G24" s="137" t="s">
        <v>512</v>
      </c>
      <c r="H24" s="137" t="s">
        <v>513</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3"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Livestock'!A1", "Constants - Livestock")</f>
        <v>Constants - Livestock</v>
      </c>
    </row>
    <row r="41" spans="1:1" ht="20.100000000000001" customHeight="1" x14ac:dyDescent="0.25">
      <c r="A41" s="69"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67588-21FF-4399-9645-F6ECD5B1D372}">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44" customFormat="1" ht="30" customHeight="1" x14ac:dyDescent="0.35">
      <c r="A1" s="18" t="e" vm="1">
        <v>#VALUE!</v>
      </c>
      <c r="C1" s="44" t="s">
        <v>437</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28"/>
      <c r="F5" s="128"/>
      <c r="G5" s="128"/>
      <c r="H5" s="128"/>
      <c r="I5" s="128"/>
      <c r="J5" s="128"/>
    </row>
    <row r="6" spans="1:35" ht="20.100000000000001" customHeight="1" x14ac:dyDescent="0.25">
      <c r="D6" s="46"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71" t="str" cm="1">
        <f t="array" ref="D7:D18">Fertiliser_SourceData.Fertiliser_ChemicalCompoundElements_Variation()</f>
        <v>VARIATION ON SOURCE</v>
      </c>
    </row>
    <row r="8" spans="1:35" ht="20.100000000000001" customHeight="1" x14ac:dyDescent="0.25">
      <c r="A8" s="5" t="str">
        <f>HYPERLINK("#'Input - Enterprise'!A1", "Enterprise")</f>
        <v>Enterprise</v>
      </c>
      <c r="D8" s="71"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71" t="str">
        <v>Added extra fertiliser types and generic chemical compounds to allow for custom NPKS blends</v>
      </c>
    </row>
    <row r="10" spans="1:35" ht="20.100000000000001" customHeight="1" x14ac:dyDescent="0.25">
      <c r="A10" s="5" t="str">
        <f>HYPERLINK("#'Input - Pasture Beef'!A1", "Pasture Beef")</f>
        <v>Pasture Beef</v>
      </c>
      <c r="D10" s="71" t="str">
        <v>Added extra 'Scope 3 definition' column to allow mapping with scope 3 data</v>
      </c>
    </row>
    <row r="11" spans="1:35" ht="20.100000000000001" customHeight="1" x14ac:dyDescent="0.25">
      <c r="A11" s="5" t="str">
        <f>HYPERLINK("#'Input - Pasture Beef (Enteric)'!A1", "Pasture Beef (Enteric)")</f>
        <v>Pasture Beef (Enteric)</v>
      </c>
      <c r="D11" s="71" t="str">
        <v>Added 'Source' column</v>
      </c>
    </row>
    <row r="12" spans="1:35" ht="20.100000000000001" customHeight="1" x14ac:dyDescent="0.25">
      <c r="A12" s="5" t="str">
        <f>HYPERLINK("#'Input - Pasture'!A1", "Pasture")</f>
        <v>Pasture</v>
      </c>
      <c r="D12" s="71" t="str">
        <v>Combined data from Table A.2.2.3 and Table A.2.2.4 into one table to aid lookup.</v>
      </c>
    </row>
    <row r="13" spans="1:35" ht="20.100000000000001" customHeight="1" x14ac:dyDescent="0.25">
      <c r="A13" s="5" t="str">
        <f>HYPERLINK("#'Input - Fertiliser'!A1", "Fertiliser")</f>
        <v>Fertiliser</v>
      </c>
      <c r="D13" s="71" t="str">
        <v>Excluded 'References' column</v>
      </c>
    </row>
    <row r="14" spans="1:35" ht="20.100000000000001" customHeight="1" x14ac:dyDescent="0.25">
      <c r="A14" s="5" t="str">
        <f>HYPERLINK("#'Input - Fuel'!A1", "Fuel")</f>
        <v>Fuel</v>
      </c>
      <c r="D14" s="71" t="str">
        <v>Excluded 'Ammonium sulfate' as it is a duplicate of 'Sulphate of ammonia (SOA)'</v>
      </c>
    </row>
    <row r="15" spans="1:35" ht="20.100000000000001" customHeight="1" x14ac:dyDescent="0.25">
      <c r="A15" s="5" t="str">
        <f>HYPERLINK("#'Input - Electricity'!A1", "Electricity")</f>
        <v>Electricity</v>
      </c>
      <c r="D15" s="71" t="str">
        <v>Excluded 'Calcium nitrate' as no scope 3 value available.</v>
      </c>
    </row>
    <row r="16" spans="1:35" ht="20.100000000000001" customHeight="1" x14ac:dyDescent="0.25">
      <c r="D16" s="71" t="str">
        <v>Set 'Nitrogen - Generic' basis as 'Urea-based fertilisers, as urea is the most commonly used form of nitrogen in Australian fertilisers</v>
      </c>
    </row>
    <row r="17" spans="1:22" ht="20.100000000000001" customHeight="1" x14ac:dyDescent="0.25">
      <c r="D17" s="71"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3</v>
      </c>
      <c r="D18" s="71" t="str">
        <v>Ammonia has an FN value of 0.8235 based on (14/17)x100, where 14 is the mass of nitrogen in ammonia and 17 is the molar mass of ammonia.</v>
      </c>
      <c r="K18" s="46" t="str" cm="1">
        <f t="array" ref="K18">Fertiliser_SourceData.Fertiliser_FractionNCommonFertilisers_Source()</f>
        <v>VEERG 2026: Table A.2.2.3</v>
      </c>
      <c r="Q18" s="46" t="str" cm="1">
        <f t="array" ref="Q18">Fertiliser_SourceData.Fertiliser_FractionUreaCommonFertilisers_Source()</f>
        <v>VEERG 2026: Table A.2.2.4</v>
      </c>
      <c r="V18" s="46"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355</v>
      </c>
      <c r="E19" t="s">
        <v>438</v>
      </c>
      <c r="F19" t="s">
        <v>439</v>
      </c>
      <c r="G19" t="s">
        <v>413</v>
      </c>
      <c r="H19" t="s">
        <v>440</v>
      </c>
      <c r="I19" t="s">
        <v>441</v>
      </c>
      <c r="K19" s="68" t="s">
        <v>355</v>
      </c>
      <c r="L19" s="68" t="s">
        <v>438</v>
      </c>
      <c r="Q19" s="68" t="s">
        <v>355</v>
      </c>
      <c r="R19" s="68" t="s">
        <v>438</v>
      </c>
      <c r="V19" s="68" t="s">
        <v>441</v>
      </c>
    </row>
    <row r="20" spans="1:22" ht="20.100000000000001" customHeight="1" x14ac:dyDescent="0.25">
      <c r="A20" s="5" t="str">
        <f>HYPERLINK("#'4.2.1.1-2 Methane'!A1", "4.2.1.1-2 Manure methane")</f>
        <v>4.2.1.1-2 Manure methane</v>
      </c>
      <c r="D20" s="137" t="str" cm="1">
        <f t="array" ref="D20">Common_InputFunctions.Utility_DisplayArrayInTable(Fertiliser_SourceData.Fertiliser_ChemicalCompoundElements_Data(),Table_Fertiliser_ChemicalCompounds[[#Headers],[Fertiliser type f]], 0)</f>
        <v>Monoammonium phosphate (MAP)</v>
      </c>
      <c r="E20" s="137" cm="1">
        <f t="array" ref="E20">Common_InputFunctions.Utility_DisplayArrayInTable(Fertiliser_SourceData.Fertiliser_ChemicalCompoundElements_Data(),Table_Fertiliser_ChemicalCompounds[[#Headers],[Fertiliser type f]], 0)</f>
        <v>0.1</v>
      </c>
      <c r="F20" s="137" cm="1">
        <f t="array" ref="F20">Common_InputFunctions.Utility_DisplayArrayInTable(Fertiliser_SourceData.Fertiliser_ChemicalCompoundElements_Data(),Table_Fertiliser_ChemicalCompounds[[#Headers],[Fertiliser type f]], 0)</f>
        <v>0</v>
      </c>
      <c r="G20" s="137" t="str" cm="1">
        <f t="array" ref="G20">Common_InputFunctions.Utility_DisplayArrayInTable(Fertiliser_SourceData.Fertiliser_ChemicalCompoundElements_Data(),Table_Fertiliser_ChemicalCompounds[[#Headers],[Fertiliser type f]], 0)</f>
        <v>Ammonium-based fertilisers</v>
      </c>
      <c r="H20" s="137" t="str" cm="1">
        <f t="array" ref="H20">Common_InputFunctions.Utility_DisplayArrayInTable(Fertiliser_SourceData.Fertiliser_ChemicalCompoundElements_Data(),Table_Fertiliser_ChemicalCompounds[[#Headers],[Fertiliser type f]], 0)</f>
        <v>Monoammonium phosphate (MAP)</v>
      </c>
      <c r="I20" s="137" t="str" cm="1">
        <f t="array" ref="I20">Common_InputFunctions.Utility_DisplayArrayInTable(Fertiliser_SourceData.Fertiliser_ChemicalCompoundElements_Data(),Table_Fertiliser_ChemicalCompounds[[#Headers],[Fertiliser type f]], 0)</f>
        <v>VEERG</v>
      </c>
      <c r="K20" s="68" t="str" cm="1">
        <f t="array" ref="K20">Common_InputFunctions.Utility_DisplayArrayInTable(Fertiliser_SourceData.Fertiliser_FractionNCommonFertilisers_Data(), Table2[[#Headers],[Fertiliser type f]], 0)</f>
        <v>Monoammonium phosphate (MAP)</v>
      </c>
      <c r="L20" s="68" cm="1">
        <f t="array" ref="L20">Common_InputFunctions.Utility_DisplayArrayInTable(Fertiliser_SourceData.Fertiliser_FractionNCommonFertilisers_Data(), Table2[[#Headers],[Fertiliser type f]], 0)</f>
        <v>0.1</v>
      </c>
      <c r="Q20" s="68" t="str" cm="1">
        <f t="array" ref="Q20">Common_InputFunctions.Utility_DisplayArrayInTable(Fertiliser_SourceData.Fertiliser_FractionUreaCommonFertilisers_Data(), Table28[[#Headers],[Fertiliser type f]], 0)</f>
        <v>Monoammonium phosphate (MAP)</v>
      </c>
      <c r="R20" s="68" cm="1">
        <f t="array" ref="R20">Common_InputFunctions.Utility_DisplayArrayInTable(Fertiliser_SourceData.Fertiliser_FractionUreaCommonFertilisers_Data(), Table28[[#Headers],[Fertiliser type f]], 0)</f>
        <v>0</v>
      </c>
      <c r="V20" s="68"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37" t="str" cm="1">
        <f t="array" ref="D21">Common_InputFunctions.Utility_DisplayArrayInTable(Fertiliser_SourceData.Fertiliser_ChemicalCompoundElements_Data(),Table_Fertiliser_ChemicalCompounds[[#Headers],[Fertiliser type f]], 0)</f>
        <v>Diammonium phosphate (DAP)</v>
      </c>
      <c r="E21" s="137" cm="1">
        <f t="array" ref="E21">Common_InputFunctions.Utility_DisplayArrayInTable(Fertiliser_SourceData.Fertiliser_ChemicalCompoundElements_Data(),Table_Fertiliser_ChemicalCompounds[[#Headers],[Fertiliser type f]], 0)</f>
        <v>0.18</v>
      </c>
      <c r="F21" s="137" cm="1">
        <f t="array" ref="F21">Common_InputFunctions.Utility_DisplayArrayInTable(Fertiliser_SourceData.Fertiliser_ChemicalCompoundElements_Data(),Table_Fertiliser_ChemicalCompounds[[#Headers],[Fertiliser type f]], 0)</f>
        <v>0</v>
      </c>
      <c r="G21" s="137" t="str" cm="1">
        <f t="array" ref="G21">Common_InputFunctions.Utility_DisplayArrayInTable(Fertiliser_SourceData.Fertiliser_ChemicalCompoundElements_Data(),Table_Fertiliser_ChemicalCompounds[[#Headers],[Fertiliser type f]], 0)</f>
        <v>Ammonium-based fertilisers</v>
      </c>
      <c r="H21" s="137" t="str" cm="1">
        <f t="array" ref="H21">Common_InputFunctions.Utility_DisplayArrayInTable(Fertiliser_SourceData.Fertiliser_ChemicalCompoundElements_Data(),Table_Fertiliser_ChemicalCompounds[[#Headers],[Fertiliser type f]], 0)</f>
        <v>Diammonium phosphate (DAP)</v>
      </c>
      <c r="I21" s="137" t="str" cm="1">
        <f t="array" ref="I21">Common_InputFunctions.Utility_DisplayArrayInTable(Fertiliser_SourceData.Fertiliser_ChemicalCompoundElements_Data(),Table_Fertiliser_ChemicalCompounds[[#Headers],[Fertiliser type f]], 0)</f>
        <v>VEERG</v>
      </c>
      <c r="K21" s="68" t="str" cm="1">
        <f t="array" ref="K21">Common_InputFunctions.Utility_DisplayArrayInTable(Fertiliser_SourceData.Fertiliser_FractionNCommonFertilisers_Data(), Table2[[#Headers],[Fertiliser type f]], 0)</f>
        <v>Diammonium phosphate (DAP)</v>
      </c>
      <c r="L21" s="68" cm="1">
        <f t="array" ref="L21">Common_InputFunctions.Utility_DisplayArrayInTable(Fertiliser_SourceData.Fertiliser_FractionNCommonFertilisers_Data(), Table2[[#Headers],[Fertiliser type f]], 0)</f>
        <v>0.18</v>
      </c>
      <c r="Q21" s="68" t="str" cm="1">
        <f t="array" ref="Q21">Common_InputFunctions.Utility_DisplayArrayInTable(Fertiliser_SourceData.Fertiliser_FractionUreaCommonFertilisers_Data(), Table28[[#Headers],[Fertiliser type f]], 0)</f>
        <v>Diammonium phosphate (DAP)</v>
      </c>
      <c r="R21" s="68" cm="1">
        <f t="array" ref="R21">Common_InputFunctions.Utility_DisplayArrayInTable(Fertiliser_SourceData.Fertiliser_FractionUreaCommonFertilisers_Data(), Table28[[#Headers],[Fertiliser type f]], 0)</f>
        <v>0</v>
      </c>
      <c r="V21" s="68"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37" t="str" cm="1">
        <f t="array" ref="D22">Common_InputFunctions.Utility_DisplayArrayInTable(Fertiliser_SourceData.Fertiliser_ChemicalCompoundElements_Data(),Table_Fertiliser_ChemicalCompounds[[#Headers],[Fertiliser type f]], 0)</f>
        <v>Urea</v>
      </c>
      <c r="E22" s="137" cm="1">
        <f t="array" ref="E22">Common_InputFunctions.Utility_DisplayArrayInTable(Fertiliser_SourceData.Fertiliser_ChemicalCompoundElements_Data(),Table_Fertiliser_ChemicalCompounds[[#Headers],[Fertiliser type f]], 0)</f>
        <v>0.46</v>
      </c>
      <c r="F22" s="137" cm="1">
        <f t="array" ref="F22">Common_InputFunctions.Utility_DisplayArrayInTable(Fertiliser_SourceData.Fertiliser_ChemicalCompoundElements_Data(),Table_Fertiliser_ChemicalCompounds[[#Headers],[Fertiliser type f]], 0)</f>
        <v>1</v>
      </c>
      <c r="G22" s="137" t="str" cm="1">
        <f t="array" ref="G22">Common_InputFunctions.Utility_DisplayArrayInTable(Fertiliser_SourceData.Fertiliser_ChemicalCompoundElements_Data(),Table_Fertiliser_ChemicalCompounds[[#Headers],[Fertiliser type f]], 0)</f>
        <v>Urea-based fertilisers</v>
      </c>
      <c r="H22" s="137" t="str" cm="1">
        <f t="array" ref="H22">Common_InputFunctions.Utility_DisplayArrayInTable(Fertiliser_SourceData.Fertiliser_ChemicalCompoundElements_Data(),Table_Fertiliser_ChemicalCompounds[[#Headers],[Fertiliser type f]], 0)</f>
        <v>Urea</v>
      </c>
      <c r="I22" s="137" t="str" cm="1">
        <f t="array" ref="I22">Common_InputFunctions.Utility_DisplayArrayInTable(Fertiliser_SourceData.Fertiliser_ChemicalCompoundElements_Data(),Table_Fertiliser_ChemicalCompounds[[#Headers],[Fertiliser type f]], 0)</f>
        <v>VEERG</v>
      </c>
      <c r="K22" s="68" t="str" cm="1">
        <f t="array" ref="K22">Common_InputFunctions.Utility_DisplayArrayInTable(Fertiliser_SourceData.Fertiliser_FractionNCommonFertilisers_Data(), Table2[[#Headers],[Fertiliser type f]], 0)</f>
        <v>Urea</v>
      </c>
      <c r="L22" s="68" cm="1">
        <f t="array" ref="L22">Common_InputFunctions.Utility_DisplayArrayInTable(Fertiliser_SourceData.Fertiliser_FractionNCommonFertilisers_Data(), Table2[[#Headers],[Fertiliser type f]], 0)</f>
        <v>0.46</v>
      </c>
      <c r="Q22" s="68" t="str" cm="1">
        <f t="array" ref="Q22">Common_InputFunctions.Utility_DisplayArrayInTable(Fertiliser_SourceData.Fertiliser_FractionUreaCommonFertilisers_Data(), Table28[[#Headers],[Fertiliser type f]], 0)</f>
        <v>Urea</v>
      </c>
      <c r="R22" s="68" cm="1">
        <f t="array" ref="R22">Common_InputFunctions.Utility_DisplayArrayInTable(Fertiliser_SourceData.Fertiliser_FractionUreaCommonFertilisers_Data(), Table28[[#Headers],[Fertiliser type f]], 0)</f>
        <v>1</v>
      </c>
      <c r="V22" s="68"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37" t="str" cm="1">
        <f t="array" ref="D23">Common_InputFunctions.Utility_DisplayArrayInTable(Fertiliser_SourceData.Fertiliser_ChemicalCompoundElements_Data(),Table_Fertiliser_ChemicalCompounds[[#Headers],[Fertiliser type f]], 0)</f>
        <v>Sulphate of ammonia (SOA)</v>
      </c>
      <c r="E23" s="137" cm="1">
        <f t="array" ref="E23">Common_InputFunctions.Utility_DisplayArrayInTable(Fertiliser_SourceData.Fertiliser_ChemicalCompoundElements_Data(),Table_Fertiliser_ChemicalCompounds[[#Headers],[Fertiliser type f]], 0)</f>
        <v>0.21</v>
      </c>
      <c r="F23" s="137" cm="1">
        <f t="array" ref="F23">Common_InputFunctions.Utility_DisplayArrayInTable(Fertiliser_SourceData.Fertiliser_ChemicalCompoundElements_Data(),Table_Fertiliser_ChemicalCompounds[[#Headers],[Fertiliser type f]], 0)</f>
        <v>0</v>
      </c>
      <c r="G23" s="137" t="str" cm="1">
        <f t="array" ref="G23">Common_InputFunctions.Utility_DisplayArrayInTable(Fertiliser_SourceData.Fertiliser_ChemicalCompoundElements_Data(),Table_Fertiliser_ChemicalCompounds[[#Headers],[Fertiliser type f]], 0)</f>
        <v>Ammonium-based fertilisers</v>
      </c>
      <c r="H23" s="137" t="str" cm="1">
        <f t="array" ref="H23">Common_InputFunctions.Utility_DisplayArrayInTable(Fertiliser_SourceData.Fertiliser_ChemicalCompoundElements_Data(),Table_Fertiliser_ChemicalCompounds[[#Headers],[Fertiliser type f]], 0)</f>
        <v>Sulphate of ammonia (SOA)</v>
      </c>
      <c r="I23" s="137" t="str" cm="1">
        <f t="array" ref="I23">Common_InputFunctions.Utility_DisplayArrayInTable(Fertiliser_SourceData.Fertiliser_ChemicalCompoundElements_Data(),Table_Fertiliser_ChemicalCompounds[[#Headers],[Fertiliser type f]], 0)</f>
        <v>VEERG</v>
      </c>
      <c r="K23" s="68" t="str" cm="1">
        <f t="array" ref="K23">Common_InputFunctions.Utility_DisplayArrayInTable(Fertiliser_SourceData.Fertiliser_FractionNCommonFertilisers_Data(), Table2[[#Headers],[Fertiliser type f]], 0)</f>
        <v>Sulphate of ammonia (SOA)</v>
      </c>
      <c r="L23" s="68" cm="1">
        <f t="array" ref="L23">Common_InputFunctions.Utility_DisplayArrayInTable(Fertiliser_SourceData.Fertiliser_FractionNCommonFertilisers_Data(), Table2[[#Headers],[Fertiliser type f]], 0)</f>
        <v>0.21</v>
      </c>
      <c r="Q23" s="68" t="str" cm="1">
        <f t="array" ref="Q23">Common_InputFunctions.Utility_DisplayArrayInTable(Fertiliser_SourceData.Fertiliser_FractionUreaCommonFertilisers_Data(), Table28[[#Headers],[Fertiliser type f]], 0)</f>
        <v>Sulphate of ammonia (SOA)</v>
      </c>
      <c r="R23" s="68" cm="1">
        <f t="array" ref="R23">Common_InputFunctions.Utility_DisplayArrayInTable(Fertiliser_SourceData.Fertiliser_FractionUreaCommonFertilisers_Data(), Table28[[#Headers],[Fertiliser type f]], 0)</f>
        <v>0</v>
      </c>
      <c r="V23" s="68"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37" t="str" cm="1">
        <f t="array" ref="D24">Common_InputFunctions.Utility_DisplayArrayInTable(Fertiliser_SourceData.Fertiliser_ChemicalCompoundElements_Data(),Table_Fertiliser_ChemicalCompounds[[#Headers],[Fertiliser type f]], 0)</f>
        <v>Urea-ammonium nitrate (UAN)</v>
      </c>
      <c r="E24" s="137" cm="1">
        <f t="array" ref="E24">Common_InputFunctions.Utility_DisplayArrayInTable(Fertiliser_SourceData.Fertiliser_ChemicalCompoundElements_Data(),Table_Fertiliser_ChemicalCompounds[[#Headers],[Fertiliser type f]], 0)</f>
        <v>0.32</v>
      </c>
      <c r="F24" s="137" cm="1">
        <f t="array" ref="F24">Common_InputFunctions.Utility_DisplayArrayInTable(Fertiliser_SourceData.Fertiliser_ChemicalCompoundElements_Data(),Table_Fertiliser_ChemicalCompounds[[#Headers],[Fertiliser type f]], 0)</f>
        <v>0.35</v>
      </c>
      <c r="G24" s="137" t="str" cm="1">
        <f t="array" ref="G24">Common_InputFunctions.Utility_DisplayArrayInTable(Fertiliser_SourceData.Fertiliser_ChemicalCompoundElements_Data(),Table_Fertiliser_ChemicalCompounds[[#Headers],[Fertiliser type f]], 0)</f>
        <v>Urea-based fertilisers</v>
      </c>
      <c r="H24" s="137" t="str" cm="1">
        <f t="array" ref="H24">Common_InputFunctions.Utility_DisplayArrayInTable(Fertiliser_SourceData.Fertiliser_ChemicalCompoundElements_Data(),Table_Fertiliser_ChemicalCompounds[[#Headers],[Fertiliser type f]], 0)</f>
        <v>Urea-ammonium nitrate (UAN)</v>
      </c>
      <c r="I24" s="137" t="str" cm="1">
        <f t="array" ref="I24">Common_InputFunctions.Utility_DisplayArrayInTable(Fertiliser_SourceData.Fertiliser_ChemicalCompoundElements_Data(),Table_Fertiliser_ChemicalCompounds[[#Headers],[Fertiliser type f]], 0)</f>
        <v>VEERG</v>
      </c>
      <c r="K24" s="68" t="str" cm="1">
        <f t="array" ref="K24">Common_InputFunctions.Utility_DisplayArrayInTable(Fertiliser_SourceData.Fertiliser_FractionNCommonFertilisers_Data(), Table2[[#Headers],[Fertiliser type f]], 0)</f>
        <v>Urea-ammonium nitrate (UAN)</v>
      </c>
      <c r="L24" s="68" cm="1">
        <f t="array" ref="L24">Common_InputFunctions.Utility_DisplayArrayInTable(Fertiliser_SourceData.Fertiliser_FractionNCommonFertilisers_Data(), Table2[[#Headers],[Fertiliser type f]], 0)</f>
        <v>0.32</v>
      </c>
      <c r="Q24" s="68" t="str" cm="1">
        <f t="array" ref="Q24">Common_InputFunctions.Utility_DisplayArrayInTable(Fertiliser_SourceData.Fertiliser_FractionUreaCommonFertilisers_Data(), Table28[[#Headers],[Fertiliser type f]], 0)</f>
        <v>Urea-ammonium nitrate (UAN)</v>
      </c>
      <c r="R24" s="68"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37" t="str" cm="1">
        <f t="array" ref="D25">Common_InputFunctions.Utility_DisplayArrayInTable(Fertiliser_SourceData.Fertiliser_ChemicalCompoundElements_Data(),Table_Fertiliser_ChemicalCompounds[[#Headers],[Fertiliser type f]], 0)</f>
        <v>Ammonium nitrate (AN)</v>
      </c>
      <c r="E25" s="137" cm="1">
        <f t="array" ref="E25">Common_InputFunctions.Utility_DisplayArrayInTable(Fertiliser_SourceData.Fertiliser_ChemicalCompoundElements_Data(),Table_Fertiliser_ChemicalCompounds[[#Headers],[Fertiliser type f]], 0)</f>
        <v>0.33700000000000002</v>
      </c>
      <c r="F25" s="137" cm="1">
        <f t="array" ref="F25">Common_InputFunctions.Utility_DisplayArrayInTable(Fertiliser_SourceData.Fertiliser_ChemicalCompoundElements_Data(),Table_Fertiliser_ChemicalCompounds[[#Headers],[Fertiliser type f]], 0)</f>
        <v>0</v>
      </c>
      <c r="G25" s="137" t="str" cm="1">
        <f t="array" ref="G25">Common_InputFunctions.Utility_DisplayArrayInTable(Fertiliser_SourceData.Fertiliser_ChemicalCompoundElements_Data(),Table_Fertiliser_ChemicalCompounds[[#Headers],[Fertiliser type f]], 0)</f>
        <v>Ammonium-nitrate based fertilisers</v>
      </c>
      <c r="H25" s="137" t="str" cm="1">
        <f t="array" ref="H25">Common_InputFunctions.Utility_DisplayArrayInTable(Fertiliser_SourceData.Fertiliser_ChemicalCompoundElements_Data(),Table_Fertiliser_ChemicalCompounds[[#Headers],[Fertiliser type f]], 0)</f>
        <v>Ammonium nitrate (AN)</v>
      </c>
      <c r="I25" s="137" t="str" cm="1">
        <f t="array" ref="I25">Common_InputFunctions.Utility_DisplayArrayInTable(Fertiliser_SourceData.Fertiliser_ChemicalCompoundElements_Data(),Table_Fertiliser_ChemicalCompounds[[#Headers],[Fertiliser type f]], 0)</f>
        <v>VEERG</v>
      </c>
      <c r="K25" s="68" t="str" cm="1">
        <f t="array" ref="K25">Common_InputFunctions.Utility_DisplayArrayInTable(Fertiliser_SourceData.Fertiliser_FractionNCommonFertilisers_Data(), Table2[[#Headers],[Fertiliser type f]], 0)</f>
        <v>Ammonium nitrate (AN)</v>
      </c>
      <c r="L25" s="68" cm="1">
        <f t="array" ref="L25">Common_InputFunctions.Utility_DisplayArrayInTable(Fertiliser_SourceData.Fertiliser_FractionNCommonFertilisers_Data(), Table2[[#Headers],[Fertiliser type f]], 0)</f>
        <v>0.33700000000000002</v>
      </c>
      <c r="Q25" s="68" t="str" cm="1">
        <f t="array" ref="Q25">Common_InputFunctions.Utility_DisplayArrayInTable(Fertiliser_SourceData.Fertiliser_FractionUreaCommonFertilisers_Data(), Table28[[#Headers],[Fertiliser type f]], 0)</f>
        <v>Ammonium nitrate (AN)</v>
      </c>
      <c r="R25" s="68"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37" t="str" cm="1">
        <f t="array" ref="D26">Common_InputFunctions.Utility_DisplayArrayInTable(Fertiliser_SourceData.Fertiliser_ChemicalCompoundElements_Data(),Table_Fertiliser_ChemicalCompounds[[#Headers],[Fertiliser type f]], 0)</f>
        <v>Calcium ammonium nitrate (CAN)</v>
      </c>
      <c r="E26" s="137" cm="1">
        <f t="array" ref="E26">Common_InputFunctions.Utility_DisplayArrayInTable(Fertiliser_SourceData.Fertiliser_ChemicalCompoundElements_Data(),Table_Fertiliser_ChemicalCompounds[[#Headers],[Fertiliser type f]], 0)</f>
        <v>0.27</v>
      </c>
      <c r="F26" s="137" cm="1">
        <f t="array" ref="F26">Common_InputFunctions.Utility_DisplayArrayInTable(Fertiliser_SourceData.Fertiliser_ChemicalCompoundElements_Data(),Table_Fertiliser_ChemicalCompounds[[#Headers],[Fertiliser type f]], 0)</f>
        <v>0</v>
      </c>
      <c r="G26" s="137" t="str" cm="1">
        <f t="array" ref="G26">Common_InputFunctions.Utility_DisplayArrayInTable(Fertiliser_SourceData.Fertiliser_ChemicalCompoundElements_Data(),Table_Fertiliser_ChemicalCompounds[[#Headers],[Fertiliser type f]], 0)</f>
        <v>Ammonium-nitrate based fertilisers</v>
      </c>
      <c r="H26" s="137" t="str" cm="1">
        <f t="array" ref="H26">Common_InputFunctions.Utility_DisplayArrayInTable(Fertiliser_SourceData.Fertiliser_ChemicalCompoundElements_Data(),Table_Fertiliser_ChemicalCompounds[[#Headers],[Fertiliser type f]], 0)</f>
        <v>Calcium ammonium nitrate (CAN)</v>
      </c>
      <c r="I26" s="137" t="str" cm="1">
        <f t="array" ref="I26">Common_InputFunctions.Utility_DisplayArrayInTable(Fertiliser_SourceData.Fertiliser_ChemicalCompoundElements_Data(),Table_Fertiliser_ChemicalCompounds[[#Headers],[Fertiliser type f]], 0)</f>
        <v>VEERG</v>
      </c>
      <c r="K26" s="68" t="str" cm="1">
        <f t="array" ref="K26">Common_InputFunctions.Utility_DisplayArrayInTable(Fertiliser_SourceData.Fertiliser_FractionNCommonFertilisers_Data(), Table2[[#Headers],[Fertiliser type f]], 0)</f>
        <v>Calcium ammonium nitrate (CAN)</v>
      </c>
      <c r="L26" s="68" cm="1">
        <f t="array" ref="L26">Common_InputFunctions.Utility_DisplayArrayInTable(Fertiliser_SourceData.Fertiliser_FractionNCommonFertilisers_Data(), Table2[[#Headers],[Fertiliser type f]], 0)</f>
        <v>0.27</v>
      </c>
      <c r="Q26" s="68" t="str" cm="1">
        <f t="array" ref="Q26">Common_InputFunctions.Utility_DisplayArrayInTable(Fertiliser_SourceData.Fertiliser_FractionUreaCommonFertilisers_Data(), Table28[[#Headers],[Fertiliser type f]], 0)</f>
        <v>Calcium ammonium nitrate (CAN)</v>
      </c>
      <c r="R26" s="68"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37" t="str" cm="1">
        <f t="array" ref="D27">Common_InputFunctions.Utility_DisplayArrayInTable(Fertiliser_SourceData.Fertiliser_ChemicalCompoundElements_Data(),Table_Fertiliser_ChemicalCompounds[[#Headers],[Fertiliser type f]], 0)</f>
        <v>Nitrogen - Ammoniacal</v>
      </c>
      <c r="E27" s="137" cm="1">
        <f t="array" ref="E27">Common_InputFunctions.Utility_DisplayArrayInTable(Fertiliser_SourceData.Fertiliser_ChemicalCompoundElements_Data(),Table_Fertiliser_ChemicalCompounds[[#Headers],[Fertiliser type f]], 0)</f>
        <v>1</v>
      </c>
      <c r="F27" s="137" cm="1">
        <f t="array" ref="F27">Common_InputFunctions.Utility_DisplayArrayInTable(Fertiliser_SourceData.Fertiliser_ChemicalCompoundElements_Data(),Table_Fertiliser_ChemicalCompounds[[#Headers],[Fertiliser type f]], 0)</f>
        <v>0</v>
      </c>
      <c r="G27" s="137" t="str" cm="1">
        <f t="array" ref="G27">Common_InputFunctions.Utility_DisplayArrayInTable(Fertiliser_SourceData.Fertiliser_ChemicalCompoundElements_Data(),Table_Fertiliser_ChemicalCompounds[[#Headers],[Fertiliser type f]], 0)</f>
        <v>Ammonium-based fertilisers</v>
      </c>
      <c r="H27" s="137" t="str" cm="1">
        <f t="array" ref="H27">Common_InputFunctions.Utility_DisplayArrayInTable(Fertiliser_SourceData.Fertiliser_ChemicalCompoundElements_Data(),Table_Fertiliser_ChemicalCompounds[[#Headers],[Fertiliser type f]], 0)</f>
        <v>Nitrogen - Ammoniacal</v>
      </c>
      <c r="I27" s="137" t="str" cm="1">
        <f t="array" ref="I27">Common_InputFunctions.Utility_DisplayArrayInTable(Fertiliser_SourceData.Fertiliser_ChemicalCompoundElements_Data(),Table_Fertiliser_ChemicalCompounds[[#Headers],[Fertiliser type f]], 0)</f>
        <v>LifeCycles</v>
      </c>
      <c r="K27" s="68" t="str" cm="1">
        <f t="array" ref="K27">Common_InputFunctions.Utility_DisplayArrayInTable(Fertiliser_SourceData.Fertiliser_FractionNCommonFertilisers_Data(), Table2[[#Headers],[Fertiliser type f]], 0)</f>
        <v>Ammonium Sulfate</v>
      </c>
      <c r="L27" s="68" cm="1">
        <f t="array" ref="L27">Common_InputFunctions.Utility_DisplayArrayInTable(Fertiliser_SourceData.Fertiliser_FractionNCommonFertilisers_Data(), Table2[[#Headers],[Fertiliser type f]], 0)</f>
        <v>0.21</v>
      </c>
      <c r="Q27" s="68" t="str" cm="1">
        <f t="array" ref="Q27">Common_InputFunctions.Utility_DisplayArrayInTable(Fertiliser_SourceData.Fertiliser_FractionUreaCommonFertilisers_Data(), Table28[[#Headers],[Fertiliser type f]], 0)</f>
        <v>Ammonium Sulfate</v>
      </c>
      <c r="R27" s="68"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37" t="str" cm="1">
        <f t="array" ref="D28">Common_InputFunctions.Utility_DisplayArrayInTable(Fertiliser_SourceData.Fertiliser_ChemicalCompoundElements_Data(),Table_Fertiliser_ChemicalCompounds[[#Headers],[Fertiliser type f]], 0)</f>
        <v>Nitrogen - Nitrate</v>
      </c>
      <c r="E28" s="137" cm="1">
        <f t="array" ref="E28">Common_InputFunctions.Utility_DisplayArrayInTable(Fertiliser_SourceData.Fertiliser_ChemicalCompoundElements_Data(),Table_Fertiliser_ChemicalCompounds[[#Headers],[Fertiliser type f]], 0)</f>
        <v>1</v>
      </c>
      <c r="F28" s="137" cm="1">
        <f t="array" ref="F28">Common_InputFunctions.Utility_DisplayArrayInTable(Fertiliser_SourceData.Fertiliser_ChemicalCompoundElements_Data(),Table_Fertiliser_ChemicalCompounds[[#Headers],[Fertiliser type f]], 0)</f>
        <v>0</v>
      </c>
      <c r="G28" s="137" t="str" cm="1">
        <f t="array" ref="G28">Common_InputFunctions.Utility_DisplayArrayInTable(Fertiliser_SourceData.Fertiliser_ChemicalCompoundElements_Data(),Table_Fertiliser_ChemicalCompounds[[#Headers],[Fertiliser type f]], 0)</f>
        <v>Nitrate-based fertilisers</v>
      </c>
      <c r="H28" s="137" t="str" cm="1">
        <f t="array" ref="H28">Common_InputFunctions.Utility_DisplayArrayInTable(Fertiliser_SourceData.Fertiliser_ChemicalCompoundElements_Data(),Table_Fertiliser_ChemicalCompounds[[#Headers],[Fertiliser type f]], 0)</f>
        <v>Nitrogen from Nitrate</v>
      </c>
      <c r="I28" s="137" t="str" cm="1">
        <f t="array" ref="I28">Common_InputFunctions.Utility_DisplayArrayInTable(Fertiliser_SourceData.Fertiliser_ChemicalCompoundElements_Data(),Table_Fertiliser_ChemicalCompounds[[#Headers],[Fertiliser type f]], 0)</f>
        <v>LifeCycles</v>
      </c>
      <c r="K28" s="68" t="str" cm="1">
        <f t="array" ref="K28">Common_InputFunctions.Utility_DisplayArrayInTable(Fertiliser_SourceData.Fertiliser_FractionNCommonFertilisers_Data(), Table2[[#Headers],[Fertiliser type f]], 0)</f>
        <v>Calcium Nitrate</v>
      </c>
      <c r="L28" s="68" cm="1">
        <f t="array" ref="L28">Common_InputFunctions.Utility_DisplayArrayInTable(Fertiliser_SourceData.Fertiliser_FractionNCommonFertilisers_Data(), Table2[[#Headers],[Fertiliser type f]], 0)</f>
        <v>0.155</v>
      </c>
      <c r="Q28" s="68" t="str" cm="1">
        <f t="array" ref="Q28">Common_InputFunctions.Utility_DisplayArrayInTable(Fertiliser_SourceData.Fertiliser_FractionUreaCommonFertilisers_Data(), Table28[[#Headers],[Fertiliser type f]], 0)</f>
        <v>Calcium Nitrate</v>
      </c>
      <c r="R28" s="68"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37" t="str" cm="1">
        <f t="array" ref="D29">Common_InputFunctions.Utility_DisplayArrayInTable(Fertiliser_SourceData.Fertiliser_ChemicalCompoundElements_Data(),Table_Fertiliser_ChemicalCompounds[[#Headers],[Fertiliser type f]], 0)</f>
        <v>Nitrogen - Generic</v>
      </c>
      <c r="E29" s="137" cm="1">
        <f t="array" ref="E29">Common_InputFunctions.Utility_DisplayArrayInTable(Fertiliser_SourceData.Fertiliser_ChemicalCompoundElements_Data(),Table_Fertiliser_ChemicalCompounds[[#Headers],[Fertiliser type f]], 0)</f>
        <v>1</v>
      </c>
      <c r="F29" s="137" cm="1">
        <f t="array" ref="F29">Common_InputFunctions.Utility_DisplayArrayInTable(Fertiliser_SourceData.Fertiliser_ChemicalCompoundElements_Data(),Table_Fertiliser_ChemicalCompounds[[#Headers],[Fertiliser type f]], 0)</f>
        <v>0</v>
      </c>
      <c r="G29" s="137" t="str" cm="1">
        <f t="array" ref="G29">Common_InputFunctions.Utility_DisplayArrayInTable(Fertiliser_SourceData.Fertiliser_ChemicalCompoundElements_Data(),Table_Fertiliser_ChemicalCompounds[[#Headers],[Fertiliser type f]], 0)</f>
        <v>Urea-based fertilisers</v>
      </c>
      <c r="H29" s="137" t="str" cm="1">
        <f t="array" ref="H29">Common_InputFunctions.Utility_DisplayArrayInTable(Fertiliser_SourceData.Fertiliser_ChemicalCompoundElements_Data(),Table_Fertiliser_ChemicalCompounds[[#Headers],[Fertiliser type f]], 0)</f>
        <v>Nitrogen from fertiliser</v>
      </c>
      <c r="I29" s="13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37" t="str" cm="1">
        <f t="array" ref="D30">Common_InputFunctions.Utility_DisplayArrayInTable(Fertiliser_SourceData.Fertiliser_ChemicalCompoundElements_Data(),Table_Fertiliser_ChemicalCompounds[[#Headers],[Fertiliser type f]], 0)</f>
        <v>Phosphorus - Generic</v>
      </c>
      <c r="E30" s="137" cm="1">
        <f t="array" ref="E30">Common_InputFunctions.Utility_DisplayArrayInTable(Fertiliser_SourceData.Fertiliser_ChemicalCompoundElements_Data(),Table_Fertiliser_ChemicalCompounds[[#Headers],[Fertiliser type f]], 0)</f>
        <v>0</v>
      </c>
      <c r="F30" s="137" cm="1">
        <f t="array" ref="F30">Common_InputFunctions.Utility_DisplayArrayInTable(Fertiliser_SourceData.Fertiliser_ChemicalCompoundElements_Data(),Table_Fertiliser_ChemicalCompounds[[#Headers],[Fertiliser type f]], 0)</f>
        <v>0</v>
      </c>
      <c r="G30" s="137" t="str" cm="1">
        <f t="array" ref="G30">Common_InputFunctions.Utility_DisplayArrayInTable(Fertiliser_SourceData.Fertiliser_ChemicalCompoundElements_Data(),Table_Fertiliser_ChemicalCompounds[[#Headers],[Fertiliser type f]], 0)</f>
        <v>Other fertilisers</v>
      </c>
      <c r="H30" s="137" t="str" cm="1">
        <f t="array" ref="H30">Common_InputFunctions.Utility_DisplayArrayInTable(Fertiliser_SourceData.Fertiliser_ChemicalCompoundElements_Data(),Table_Fertiliser_ChemicalCompounds[[#Headers],[Fertiliser type f]], 0)</f>
        <v>Phosphorus from fertiliser</v>
      </c>
      <c r="I30" s="13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37" t="str" cm="1">
        <f t="array" ref="D31">Common_InputFunctions.Utility_DisplayArrayInTable(Fertiliser_SourceData.Fertiliser_ChemicalCompoundElements_Data(),Table_Fertiliser_ChemicalCompounds[[#Headers],[Fertiliser type f]], 0)</f>
        <v>Potassium - Generic</v>
      </c>
      <c r="E31" s="137" cm="1">
        <f t="array" ref="E31">Common_InputFunctions.Utility_DisplayArrayInTable(Fertiliser_SourceData.Fertiliser_ChemicalCompoundElements_Data(),Table_Fertiliser_ChemicalCompounds[[#Headers],[Fertiliser type f]], 0)</f>
        <v>0</v>
      </c>
      <c r="F31" s="137" cm="1">
        <f t="array" ref="F31">Common_InputFunctions.Utility_DisplayArrayInTable(Fertiliser_SourceData.Fertiliser_ChemicalCompoundElements_Data(),Table_Fertiliser_ChemicalCompounds[[#Headers],[Fertiliser type f]], 0)</f>
        <v>0</v>
      </c>
      <c r="G31" s="137" t="str" cm="1">
        <f t="array" ref="G31">Common_InputFunctions.Utility_DisplayArrayInTable(Fertiliser_SourceData.Fertiliser_ChemicalCompoundElements_Data(),Table_Fertiliser_ChemicalCompounds[[#Headers],[Fertiliser type f]], 0)</f>
        <v>Other fertilisers</v>
      </c>
      <c r="H31" s="137" t="str" cm="1">
        <f t="array" ref="H31">Common_InputFunctions.Utility_DisplayArrayInTable(Fertiliser_SourceData.Fertiliser_ChemicalCompoundElements_Data(),Table_Fertiliser_ChemicalCompounds[[#Headers],[Fertiliser type f]], 0)</f>
        <v>Potassium from fertiliser</v>
      </c>
      <c r="I31" s="13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37" t="str" cm="1">
        <f t="array" ref="D32">Common_InputFunctions.Utility_DisplayArrayInTable(Fertiliser_SourceData.Fertiliser_ChemicalCompoundElements_Data(),Table_Fertiliser_ChemicalCompounds[[#Headers],[Fertiliser type f]], 0)</f>
        <v>Sulfur - Generic</v>
      </c>
      <c r="E32" s="137" cm="1">
        <f t="array" ref="E32">Common_InputFunctions.Utility_DisplayArrayInTable(Fertiliser_SourceData.Fertiliser_ChemicalCompoundElements_Data(),Table_Fertiliser_ChemicalCompounds[[#Headers],[Fertiliser type f]], 0)</f>
        <v>0</v>
      </c>
      <c r="F32" s="137" cm="1">
        <f t="array" ref="F32">Common_InputFunctions.Utility_DisplayArrayInTable(Fertiliser_SourceData.Fertiliser_ChemicalCompoundElements_Data(),Table_Fertiliser_ChemicalCompounds[[#Headers],[Fertiliser type f]], 0)</f>
        <v>0</v>
      </c>
      <c r="G32" s="137" t="str" cm="1">
        <f t="array" ref="G32">Common_InputFunctions.Utility_DisplayArrayInTable(Fertiliser_SourceData.Fertiliser_ChemicalCompoundElements_Data(),Table_Fertiliser_ChemicalCompounds[[#Headers],[Fertiliser type f]], 0)</f>
        <v>Other fertilisers</v>
      </c>
      <c r="H32" s="137" t="str" cm="1">
        <f t="array" ref="H32">Common_InputFunctions.Utility_DisplayArrayInTable(Fertiliser_SourceData.Fertiliser_ChemicalCompoundElements_Data(),Table_Fertiliser_ChemicalCompounds[[#Headers],[Fertiliser type f]], 0)</f>
        <v>Sulfur from fertiliser</v>
      </c>
      <c r="I32" s="13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37" t="str" cm="1">
        <f t="array" ref="D33">Common_InputFunctions.Utility_DisplayArrayInTable(Fertiliser_SourceData.Fertiliser_ChemicalCompoundElements_Data(),Table_Fertiliser_ChemicalCompounds[[#Headers],[Fertiliser type f]], 0)</f>
        <v>Zinc - Generic</v>
      </c>
      <c r="E33" s="137" cm="1">
        <f t="array" ref="E33">Common_InputFunctions.Utility_DisplayArrayInTable(Fertiliser_SourceData.Fertiliser_ChemicalCompoundElements_Data(),Table_Fertiliser_ChemicalCompounds[[#Headers],[Fertiliser type f]], 0)</f>
        <v>0</v>
      </c>
      <c r="F33" s="137" cm="1">
        <f t="array" ref="F33">Common_InputFunctions.Utility_DisplayArrayInTable(Fertiliser_SourceData.Fertiliser_ChemicalCompoundElements_Data(),Table_Fertiliser_ChemicalCompounds[[#Headers],[Fertiliser type f]], 0)</f>
        <v>0</v>
      </c>
      <c r="G33" s="137" t="str" cm="1">
        <f t="array" ref="G33">Common_InputFunctions.Utility_DisplayArrayInTable(Fertiliser_SourceData.Fertiliser_ChemicalCompoundElements_Data(),Table_Fertiliser_ChemicalCompounds[[#Headers],[Fertiliser type f]], 0)</f>
        <v>Other fertilisers</v>
      </c>
      <c r="H33" s="137" t="str" cm="1">
        <f t="array" ref="H33">Common_InputFunctions.Utility_DisplayArrayInTable(Fertiliser_SourceData.Fertiliser_ChemicalCompoundElements_Data(),Table_Fertiliser_ChemicalCompounds[[#Headers],[Fertiliser type f]], 0)</f>
        <v>Zinc from fertiliser</v>
      </c>
      <c r="I33" s="13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37" t="str" cm="1">
        <f t="array" ref="D34">Common_InputFunctions.Utility_DisplayArrayInTable(Fertiliser_SourceData.Fertiliser_ChemicalCompoundElements_Data(),Table_Fertiliser_ChemicalCompounds[[#Headers],[Fertiliser type f]], 0)</f>
        <v>Muriate of potash (MOP)</v>
      </c>
      <c r="E34" s="137" cm="1">
        <f t="array" ref="E34">Common_InputFunctions.Utility_DisplayArrayInTable(Fertiliser_SourceData.Fertiliser_ChemicalCompoundElements_Data(),Table_Fertiliser_ChemicalCompounds[[#Headers],[Fertiliser type f]], 0)</f>
        <v>0</v>
      </c>
      <c r="F34" s="137" cm="1">
        <f t="array" ref="F34">Common_InputFunctions.Utility_DisplayArrayInTable(Fertiliser_SourceData.Fertiliser_ChemicalCompoundElements_Data(),Table_Fertiliser_ChemicalCompounds[[#Headers],[Fertiliser type f]], 0)</f>
        <v>0</v>
      </c>
      <c r="G34" s="137" t="str" cm="1">
        <f t="array" ref="G34">Common_InputFunctions.Utility_DisplayArrayInTable(Fertiliser_SourceData.Fertiliser_ChemicalCompoundElements_Data(),Table_Fertiliser_ChemicalCompounds[[#Headers],[Fertiliser type f]], 0)</f>
        <v>Other fertilisers</v>
      </c>
      <c r="H34" s="137" t="str" cm="1">
        <f t="array" ref="H34">Common_InputFunctions.Utility_DisplayArrayInTable(Fertiliser_SourceData.Fertiliser_ChemicalCompoundElements_Data(),Table_Fertiliser_ChemicalCompounds[[#Headers],[Fertiliser type f]], 0)</f>
        <v>Muriate of potash (MOP)</v>
      </c>
      <c r="I34" s="13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37" t="str" cm="1">
        <f t="array" ref="D35">Common_InputFunctions.Utility_DisplayArrayInTable(Fertiliser_SourceData.Fertiliser_ChemicalCompoundElements_Data(),Table_Fertiliser_ChemicalCompounds[[#Headers],[Fertiliser type f]], 0)</f>
        <v>Double superphosphate</v>
      </c>
      <c r="E35" s="137" cm="1">
        <f t="array" ref="E35">Common_InputFunctions.Utility_DisplayArrayInTable(Fertiliser_SourceData.Fertiliser_ChemicalCompoundElements_Data(),Table_Fertiliser_ChemicalCompounds[[#Headers],[Fertiliser type f]], 0)</f>
        <v>0</v>
      </c>
      <c r="F35" s="137" cm="1">
        <f t="array" ref="F35">Common_InputFunctions.Utility_DisplayArrayInTable(Fertiliser_SourceData.Fertiliser_ChemicalCompoundElements_Data(),Table_Fertiliser_ChemicalCompounds[[#Headers],[Fertiliser type f]], 0)</f>
        <v>0</v>
      </c>
      <c r="G35" s="137" t="str" cm="1">
        <f t="array" ref="G35">Common_InputFunctions.Utility_DisplayArrayInTable(Fertiliser_SourceData.Fertiliser_ChemicalCompoundElements_Data(),Table_Fertiliser_ChemicalCompounds[[#Headers],[Fertiliser type f]], 0)</f>
        <v>Other fertilisers</v>
      </c>
      <c r="H35" s="137" t="str" cm="1">
        <f t="array" ref="H35">Common_InputFunctions.Utility_DisplayArrayInTable(Fertiliser_SourceData.Fertiliser_ChemicalCompoundElements_Data(),Table_Fertiliser_ChemicalCompounds[[#Headers],[Fertiliser type f]], 0)</f>
        <v>Double superphosphate</v>
      </c>
      <c r="I35" s="13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37" t="str" cm="1">
        <f t="array" ref="D36">Common_InputFunctions.Utility_DisplayArrayInTable(Fertiliser_SourceData.Fertiliser_ChemicalCompoundElements_Data(),Table_Fertiliser_ChemicalCompounds[[#Headers],[Fertiliser type f]], 0)</f>
        <v>Single superphosphate (SSP)</v>
      </c>
      <c r="E36" s="137" cm="1">
        <f t="array" ref="E36">Common_InputFunctions.Utility_DisplayArrayInTable(Fertiliser_SourceData.Fertiliser_ChemicalCompoundElements_Data(),Table_Fertiliser_ChemicalCompounds[[#Headers],[Fertiliser type f]], 0)</f>
        <v>0</v>
      </c>
      <c r="F36" s="137" cm="1">
        <f t="array" ref="F36">Common_InputFunctions.Utility_DisplayArrayInTable(Fertiliser_SourceData.Fertiliser_ChemicalCompoundElements_Data(),Table_Fertiliser_ChemicalCompounds[[#Headers],[Fertiliser type f]], 0)</f>
        <v>0</v>
      </c>
      <c r="G36" s="137" t="str" cm="1">
        <f t="array" ref="G36">Common_InputFunctions.Utility_DisplayArrayInTable(Fertiliser_SourceData.Fertiliser_ChemicalCompoundElements_Data(),Table_Fertiliser_ChemicalCompounds[[#Headers],[Fertiliser type f]], 0)</f>
        <v>Other fertilisers</v>
      </c>
      <c r="H36" s="137" t="str" cm="1">
        <f t="array" ref="H36">Common_InputFunctions.Utility_DisplayArrayInTable(Fertiliser_SourceData.Fertiliser_ChemicalCompoundElements_Data(),Table_Fertiliser_ChemicalCompounds[[#Headers],[Fertiliser type f]], 0)</f>
        <v>Single superphosphate (SSP)</v>
      </c>
      <c r="I36" s="13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43" t="s">
        <v>1</v>
      </c>
      <c r="D37" s="137" t="str" cm="1">
        <f t="array" ref="D37">Common_InputFunctions.Utility_DisplayArrayInTable(Fertiliser_SourceData.Fertiliser_ChemicalCompoundElements_Data(),Table_Fertiliser_ChemicalCompounds[[#Headers],[Fertiliser type f]], 0)</f>
        <v>Ammonia</v>
      </c>
      <c r="E37" s="137" cm="1">
        <f t="array" ref="E37">Common_InputFunctions.Utility_DisplayArrayInTable(Fertiliser_SourceData.Fertiliser_ChemicalCompoundElements_Data(),Table_Fertiliser_ChemicalCompounds[[#Headers],[Fertiliser type f]], 0)</f>
        <v>0.82350000000000001</v>
      </c>
      <c r="F37" s="137" cm="1">
        <f t="array" ref="F37">Common_InputFunctions.Utility_DisplayArrayInTable(Fertiliser_SourceData.Fertiliser_ChemicalCompoundElements_Data(),Table_Fertiliser_ChemicalCompounds[[#Headers],[Fertiliser type f]], 0)</f>
        <v>0</v>
      </c>
      <c r="G37" s="137" t="str" cm="1">
        <f t="array" ref="G37">Common_InputFunctions.Utility_DisplayArrayInTable(Fertiliser_SourceData.Fertiliser_ChemicalCompoundElements_Data(),Table_Fertiliser_ChemicalCompounds[[#Headers],[Fertiliser type f]], 0)</f>
        <v>Ammonium-based fertilisers</v>
      </c>
      <c r="H37" s="137" t="str" cm="1">
        <f t="array" ref="H37">Common_InputFunctions.Utility_DisplayArrayInTable(Fertiliser_SourceData.Fertiliser_ChemicalCompoundElements_Data(),Table_Fertiliser_ChemicalCompounds[[#Headers],[Fertiliser type f]], 0)</f>
        <v>Ammonia</v>
      </c>
      <c r="I37" s="13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68" t="str" cm="1">
        <f t="array" ref="D38">Common_InputFunctions.Utility_DisplayArrayInTable(Fertiliser_SourceData.Fertiliser_ChemicalCompoundElements_Data(),Table_Fertiliser_ChemicalCompounds[[#Headers],[Fertiliser type f]], 0)</f>
        <v>Calcium nitrate</v>
      </c>
      <c r="E38" s="68" cm="1">
        <f t="array" ref="E38">Common_InputFunctions.Utility_DisplayArrayInTable(Fertiliser_SourceData.Fertiliser_ChemicalCompoundElements_Data(),Table_Fertiliser_ChemicalCompounds[[#Headers],[Fertiliser type f]], 0)</f>
        <v>0.155</v>
      </c>
      <c r="F38" s="68" cm="1">
        <f t="array" ref="F38">Common_InputFunctions.Utility_DisplayArrayInTable(Fertiliser_SourceData.Fertiliser_ChemicalCompoundElements_Data(),Table_Fertiliser_ChemicalCompounds[[#Headers],[Fertiliser type f]], 0)</f>
        <v>0</v>
      </c>
      <c r="G38" s="68" t="str" cm="1">
        <f t="array" ref="G38">Common_InputFunctions.Utility_DisplayArrayInTable(Fertiliser_SourceData.Fertiliser_ChemicalCompoundElements_Data(),Table_Fertiliser_ChemicalCompounds[[#Headers],[Fertiliser type f]], 0)</f>
        <v>Nitrate-based fertilisers</v>
      </c>
      <c r="H38" s="68" t="str" cm="1">
        <f t="array" ref="H38">Common_InputFunctions.Utility_DisplayArrayInTable(Fertiliser_SourceData.Fertiliser_ChemicalCompoundElements_Data(),Table_Fertiliser_ChemicalCompounds[[#Headers],[Fertiliser type f]], 0)</f>
        <v>Calcium nitrate</v>
      </c>
      <c r="I38" s="6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Livestock'!A1", "Constants - Livestock")</f>
        <v>Constants - Livestock</v>
      </c>
      <c r="D40" s="2" t="s">
        <v>442</v>
      </c>
      <c r="F40" s="2" t="s">
        <v>443</v>
      </c>
      <c r="H40" s="2" t="s">
        <v>125</v>
      </c>
      <c r="J40" s="2" t="s">
        <v>444</v>
      </c>
    </row>
    <row r="41" spans="1:10" ht="20.100000000000001" customHeight="1" x14ac:dyDescent="0.25">
      <c r="A41" s="5" t="str">
        <f>HYPERLINK("#'Constants - Electricity'!A1", "Constants - Electricity")</f>
        <v>Constants - Electricity</v>
      </c>
      <c r="D41" s="68" t="s">
        <v>130</v>
      </c>
      <c r="F41" s="68" t="s">
        <v>130</v>
      </c>
      <c r="H41" s="68" t="s">
        <v>131</v>
      </c>
      <c r="J41" s="68" t="s">
        <v>445</v>
      </c>
    </row>
    <row r="42" spans="1:10" ht="20.100000000000001" customHeight="1" x14ac:dyDescent="0.25">
      <c r="A42" s="69" t="str">
        <f>HYPERLINK("#'Constants - Fertiliser'!A1", "Constants - Fertiliser")</f>
        <v>Constants - Fertiliser</v>
      </c>
      <c r="D42" s="68" t="s">
        <v>72</v>
      </c>
      <c r="F42" s="68" t="s">
        <v>72</v>
      </c>
      <c r="H42" s="68" t="s">
        <v>73</v>
      </c>
      <c r="J42" s="68" t="s">
        <v>446</v>
      </c>
    </row>
    <row r="43" spans="1:10" ht="20.100000000000001" customHeight="1" x14ac:dyDescent="0.25">
      <c r="A43" s="5" t="str">
        <f>HYPERLINK("#'Constants - Fuel'!A1", "Constants - Fuel")</f>
        <v>Constants - Fuel</v>
      </c>
      <c r="D43" s="1" t="s">
        <v>280</v>
      </c>
      <c r="F43" s="1" t="s">
        <v>282</v>
      </c>
      <c r="H43" s="68" t="s">
        <v>136</v>
      </c>
      <c r="J43" s="1" t="s">
        <v>349</v>
      </c>
    </row>
    <row r="44" spans="1:10" ht="20.100000000000001" customHeight="1" x14ac:dyDescent="0.25">
      <c r="A44" s="5" t="str">
        <f>HYPERLINK("#'Constants - Common'!A1", "Constants - Common")</f>
        <v>Constants - Common</v>
      </c>
      <c r="F44" s="1" t="s">
        <v>447</v>
      </c>
      <c r="H44" s="1" t="s">
        <v>140</v>
      </c>
      <c r="J44" s="1" t="s">
        <v>448</v>
      </c>
    </row>
    <row r="45" spans="1:10" ht="20.100000000000001" customHeight="1" x14ac:dyDescent="0.25">
      <c r="A45" s="5" t="str">
        <f>HYPERLINK("#'Acknowledgements'!A1", "Acknowledgements")</f>
        <v>Acknowledgements</v>
      </c>
      <c r="F45" s="1" t="s">
        <v>449</v>
      </c>
      <c r="H45" s="1" t="s">
        <v>145</v>
      </c>
      <c r="J45" s="1" t="s">
        <v>348</v>
      </c>
    </row>
    <row r="46" spans="1:10" ht="20.100000000000001" customHeight="1" x14ac:dyDescent="0.25">
      <c r="A46" s="5" t="str">
        <f>HYPERLINK("#'Overview'!A1", "Overview")</f>
        <v>Overview</v>
      </c>
      <c r="H46" s="1" t="s">
        <v>147</v>
      </c>
      <c r="J46" s="1" t="s">
        <v>350</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28"/>
    </row>
    <row r="49" spans="4:8" ht="20.100000000000001" customHeight="1" x14ac:dyDescent="0.25">
      <c r="D49" s="46" t="str" cm="1">
        <f t="array" ref="D49">Fertiliser_SourceData.Fertiliser_FracGASF_Source()</f>
        <v>Table A.2.2.6: Fraction of inorganic fertiliser f that volatilises as NH3 and NOx ((kg NH3â€“N + NOxâ€“N)/kg N) (FracGASFf)</v>
      </c>
      <c r="G49" s="128"/>
    </row>
    <row r="50" spans="4:8" ht="20.100000000000001" customHeight="1" x14ac:dyDescent="0.25">
      <c r="D50" s="68" t="s">
        <v>355</v>
      </c>
      <c r="E50" s="68" t="s">
        <v>450</v>
      </c>
      <c r="G50" s="128"/>
    </row>
    <row r="51" spans="4:8" ht="20.100000000000001" customHeight="1" x14ac:dyDescent="0.25">
      <c r="D51" s="68" t="str" cm="1">
        <f t="array" ref="D51">Common_InputFunctions.Utility_DisplayArrayInTable(Fertiliser_SourceData.Fertiliser_FracGASF_Data(), Table_SourceData_Fertiliser_FracGASF[[#Headers],[Fertiliser type f]], 0)</f>
        <v>Urea-based fertilisers</v>
      </c>
      <c r="E51" s="68" cm="1">
        <f t="array" ref="E51">Common_InputFunctions.Utility_DisplayArrayInTable(Fertiliser_SourceData.Fertiliser_FracGASF_Data(), Table_SourceData_Fertiliser_FracGASF[[#Headers],[Fertiliser type f]], 0)</f>
        <v>0.15</v>
      </c>
      <c r="G51" s="12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68" cm="1">
        <f t="array" ref="E52">Common_InputFunctions.Utility_DisplayArrayInTable(Fertiliser_SourceData.Fertiliser_FracGASF_Data(), Table_SourceData_Fertiliser_FracGASF[[#Headers],[Fertiliser type f]], 0)</f>
        <v>0.08</v>
      </c>
      <c r="G52" s="12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68" cm="1">
        <f t="array" ref="E53">Common_InputFunctions.Utility_DisplayArrayInTable(Fertiliser_SourceData.Fertiliser_FracGASF_Data(), Table_SourceData_Fertiliser_FracGASF[[#Headers],[Fertiliser type f]], 0)</f>
        <v>0.01</v>
      </c>
      <c r="G53" s="12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68" cm="1">
        <f t="array" ref="E54">Common_InputFunctions.Utility_DisplayArrayInTable(Fertiliser_SourceData.Fertiliser_FracGASF_Data(), Table_SourceData_Fertiliser_FracGASF[[#Headers],[Fertiliser type f]], 0)</f>
        <v>0.05</v>
      </c>
      <c r="G54" s="128"/>
      <c r="H54" s="12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68" cm="1">
        <f t="array" ref="E55">Common_InputFunctions.Utility_DisplayArrayInTable(Fertiliser_SourceData.Fertiliser_FracGASF_Data(), Table_SourceData_Fertiliser_FracGASF[[#Headers],[Fertiliser type f]], 0)</f>
        <v>0.11</v>
      </c>
      <c r="G55" s="128"/>
      <c r="H55" s="128"/>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46" t="str" cm="1">
        <f t="array" ref="D59">Fertiliser_SourceData.Fertiliser_EFUreaCO2_Source()</f>
        <v>VEERG 2026: 5.1.2.2 Constant Parameters</v>
      </c>
    </row>
    <row r="60" spans="4:8" ht="20.100000000000001" customHeight="1" x14ac:dyDescent="0.25">
      <c r="D60" s="48" t="str" cm="1">
        <f t="array" ref="D60">Fertiliser_SourceData.Fertiliser_EFUreaCO2_Variable()</f>
        <v>EFureaCO2</v>
      </c>
      <c r="E60" s="1" cm="1">
        <f t="array" ref="E60">Fertiliser_SourceData.Fertiliser_EFUreaCO2_Data()</f>
        <v>0.2</v>
      </c>
      <c r="F60" s="17"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46" t="str" cm="1">
        <f t="array" ref="D64">Fertiliser_SourceData.Fertiliser_LimeDolomiteGypsumConstants_Source()</f>
        <v>VEERG 2026: 5.3.2.3 Constant Parameters</v>
      </c>
    </row>
    <row r="65" spans="4:6" ht="20.100000000000001" customHeight="1" x14ac:dyDescent="0.25">
      <c r="D65" s="68" t="s">
        <v>401</v>
      </c>
      <c r="E65" s="68" t="s">
        <v>451</v>
      </c>
      <c r="F65" s="68" t="s">
        <v>452</v>
      </c>
    </row>
    <row r="66" spans="4:6" ht="20.100000000000001" customHeight="1" x14ac:dyDescent="0.25">
      <c r="D66" s="68" t="str" cm="1">
        <f t="array" ref="D66">Common_InputFunctions.Utility_DisplayArrayInTable(Fertiliser_SourceData.Fertiliser_LimeDolomiteGypsumConstants_Data(), Table_SourceData_Fertiliser_LimeDolomiteConstants[[#Headers],[Element]], 0)</f>
        <v>Lime (Calcium carbonate)</v>
      </c>
      <c r="E66" s="68" cm="1">
        <f t="array" ref="E66">Common_InputFunctions.Utility_DisplayArrayInTable(Fertiliser_SourceData.Fertiliser_LimeDolomiteGypsumConstants_Data(), Table_SourceData_Fertiliser_LimeDolomiteConstants[[#Headers],[Element]], 0)</f>
        <v>0.9</v>
      </c>
      <c r="F66" s="68"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68" cm="1">
        <f t="array" ref="E67">Common_InputFunctions.Utility_DisplayArrayInTable(Fertiliser_SourceData.Fertiliser_LimeDolomiteGypsumConstants_Data(), Table_SourceData_Fertiliser_LimeDolomiteConstants[[#Headers],[Element]], 0)</f>
        <v>0.95</v>
      </c>
      <c r="F67" s="68"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68" cm="1">
        <f t="array" ref="E68">Common_InputFunctions.Utility_DisplayArrayInTable(Fertiliser_SourceData.Fertiliser_LimeDolomiteGypsumConstants_Data(), Table_SourceData_Fertiliser_LimeDolomiteConstants[[#Headers],[Element]], 0)</f>
        <v>0</v>
      </c>
      <c r="F68" s="68"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46" t="str" cm="1">
        <f t="array" ref="D72">Fertiliser_SourceData.Fertiliser_FracGASMSoil_Source()</f>
        <v>VEERG 2026: 5.4.2.3 Constant Parameters</v>
      </c>
    </row>
    <row r="73" spans="4:6" ht="20.100000000000001" customHeight="1" x14ac:dyDescent="0.25">
      <c r="D73" s="48" t="str" cm="1">
        <f t="array" ref="D73">Fertiliser_SourceData.Fertiliser_FracGASMSoil_Variable()</f>
        <v>FracGASMsoil</v>
      </c>
      <c r="E73" s="1" cm="1">
        <f t="array" ref="E73">Fertiliser_SourceData.Fertiliser_FracGASMSoil_Data()</f>
        <v>0.21</v>
      </c>
      <c r="F73" s="17"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46" t="str" cm="1">
        <f t="array" ref="D77">Fertiliser_SourceData.Fertiliser_FracLEACH_Source()</f>
        <v>VEERG 2026: 5.5.2.3 Constant Parameters</v>
      </c>
    </row>
    <row r="78" spans="4:6" ht="20.100000000000001" customHeight="1" x14ac:dyDescent="0.25">
      <c r="D78" s="48" t="str" cm="1">
        <f t="array" ref="D78">Fertiliser_SourceData.Fertiliser_FracLEACH_Variable()</f>
        <v>FracLEACH</v>
      </c>
      <c r="E78" s="1" cm="1">
        <f t="array" ref="E78">Fertiliser_SourceData.Fertiliser_FracLEACH_Data()</f>
        <v>0.24</v>
      </c>
      <c r="F78" s="17"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46" t="str" cm="1">
        <f t="array" ref="D82">Fertiliser_SourceData.Fertiliser_EFLeach_Source()</f>
        <v>VEERG 2026: 5.5.2.3 Constant Parameters</v>
      </c>
    </row>
    <row r="83" spans="4:31" ht="20.100000000000001" customHeight="1" x14ac:dyDescent="0.25">
      <c r="D83" s="48" t="str" cm="1">
        <f t="array" ref="D83">Fertiliser_SourceData.Fertiliser_EFLeach_Variable()</f>
        <v>EFLeach</v>
      </c>
      <c r="E83" s="1" cm="1">
        <f t="array" ref="E83">Fertiliser_SourceData.Fertiliser_EFLeach_Data()</f>
        <v>1.0999999999999999E-2</v>
      </c>
      <c r="F83" s="17"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453</v>
      </c>
    </row>
    <row r="87" spans="4:31" ht="20.100000000000001" customHeight="1" x14ac:dyDescent="0.25">
      <c r="D87" s="2" t="s">
        <v>454</v>
      </c>
      <c r="E87" s="128"/>
      <c r="F87" s="128"/>
      <c r="G87" s="128"/>
      <c r="H87" s="128"/>
      <c r="I87" s="128"/>
      <c r="J87" s="128"/>
      <c r="K87" s="128"/>
      <c r="L87" s="128"/>
      <c r="N87" s="128" t="s">
        <v>453</v>
      </c>
      <c r="O87" s="128"/>
      <c r="P87" s="128"/>
      <c r="Q87" s="128"/>
      <c r="R87" s="128"/>
      <c r="S87" s="128"/>
      <c r="T87" s="128"/>
      <c r="U87" s="128"/>
    </row>
    <row r="88" spans="4:31" ht="20.100000000000001" customHeight="1" x14ac:dyDescent="0.25">
      <c r="D88" s="128"/>
    </row>
    <row r="89" spans="4:31" ht="20.100000000000001" customHeight="1" x14ac:dyDescent="0.25">
      <c r="D89" s="138" t="s">
        <v>455</v>
      </c>
      <c r="E89" s="68" t="s">
        <v>456</v>
      </c>
      <c r="F89" s="68" t="s">
        <v>457</v>
      </c>
      <c r="G89" s="91" t="s">
        <v>458</v>
      </c>
      <c r="H89" s="91" t="s">
        <v>80</v>
      </c>
      <c r="I89" s="91" t="s">
        <v>459</v>
      </c>
      <c r="J89" s="91" t="s">
        <v>308</v>
      </c>
      <c r="K89" s="91" t="s">
        <v>309</v>
      </c>
      <c r="L89" s="91" t="s">
        <v>295</v>
      </c>
      <c r="M89" s="91" t="s">
        <v>296</v>
      </c>
      <c r="N89" s="91" t="s">
        <v>297</v>
      </c>
      <c r="O89" s="68" t="s">
        <v>298</v>
      </c>
      <c r="P89" s="68" t="s">
        <v>299</v>
      </c>
      <c r="Q89" s="68" t="s">
        <v>300</v>
      </c>
      <c r="R89" s="91" t="s">
        <v>301</v>
      </c>
      <c r="S89" s="91" t="s">
        <v>302</v>
      </c>
      <c r="T89" s="68" t="s">
        <v>303</v>
      </c>
      <c r="U89" s="91" t="s">
        <v>304</v>
      </c>
      <c r="V89" s="91" t="s">
        <v>305</v>
      </c>
      <c r="W89" s="91" t="s">
        <v>306</v>
      </c>
      <c r="X89" s="91" t="s">
        <v>460</v>
      </c>
      <c r="Y89" s="91" t="s">
        <v>461</v>
      </c>
      <c r="Z89" s="68" t="s">
        <v>462</v>
      </c>
      <c r="AA89" s="68" t="s">
        <v>463</v>
      </c>
      <c r="AB89" s="68" t="s">
        <v>464</v>
      </c>
      <c r="AC89" s="68" t="s">
        <v>465</v>
      </c>
      <c r="AD89" s="68" t="s">
        <v>466</v>
      </c>
      <c r="AE89" s="68" t="s">
        <v>467</v>
      </c>
    </row>
    <row r="90" spans="4:31" ht="20.100000000000001" customHeight="1" x14ac:dyDescent="0.25">
      <c r="D90" s="137" t="str" cm="1">
        <f t="array" ref="D90">Common_InputFunctions.Utility_DisplayArrayInTable(Fertiliser_SourceData.Fertiliser_Products_Data1(),FertiliserProducts[[#Headers],[Include or Exclude]], -1)</f>
        <v>Include</v>
      </c>
      <c r="E90" s="137" t="str" cm="1">
        <f t="array" ref="E90">Common_InputFunctions.Utility_DisplayArrayInTable(Fertiliser_SourceData.Fertiliser_Products_Data1(),FertiliserProducts[[#Headers],[Include or Exclude]], 0)</f>
        <v/>
      </c>
      <c r="F90" s="137" t="str" cm="1">
        <f t="array" ref="F90">Common_InputFunctions.Utility_DisplayArrayInTable(Fertiliser_SourceData.Fertiliser_Products_Data1(),FertiliserProducts[[#Headers],[Include or Exclude]], 0)</f>
        <v>Campbells fertilisers Australia</v>
      </c>
      <c r="G90" s="137" t="str" cm="1">
        <f t="array" ref="G90">Common_InputFunctions.Utility_DisplayArrayInTable(Fertiliser_SourceData.Fertiliser_Products_Data1(),FertiliserProducts[[#Headers],[Include or Exclude]], 0)</f>
        <v>Aqua Finish</v>
      </c>
      <c r="H90" s="137" t="str" cm="1">
        <f t="array" ref="H90">Common_InputFunctions.Utility_DisplayArrayInTable(Fertiliser_SourceData.Fertiliser_Products_Data1(),FertiliserProducts[[#Headers],[Include or Exclude]], 0,4)</f>
        <v>L</v>
      </c>
      <c r="I90" s="137" cm="1">
        <f t="array" ref="I90">Common_InputFunctions.Utility_DisplayArrayInTable(Fertiliser_SourceData.Fertiliser_Products_Data1(),FertiliserProducts[[#Headers],[Include or Exclude]], 0,4)</f>
        <v>1.26</v>
      </c>
      <c r="J90" s="137" t="str" cm="1">
        <f t="array" ref="J90">Common_InputFunctions.Utility_DisplayArrayInTable(Fertiliser_SourceData.Fertiliser_Products_Data1(),FertiliserProducts[[#Headers],[Include or Exclude]], 0,4)</f>
        <v/>
      </c>
      <c r="K90" s="137" t="str" cm="1">
        <f t="array" ref="K90">Common_InputFunctions.Utility_DisplayArrayInTable(Fertiliser_SourceData.Fertiliser_Products_Data1(),FertiliserProducts[[#Headers],[Include or Exclude]], 0,4)</f>
        <v/>
      </c>
      <c r="L90" s="137" t="str" cm="1">
        <f t="array" ref="L90">Common_InputFunctions.Utility_DisplayArrayInTable(Fertiliser_SourceData.Fertiliser_Products_Data1(),FertiliserProducts[[#Headers],[Include or Exclude]], 0,4)</f>
        <v>Potassium - Generic</v>
      </c>
      <c r="M90" s="137" cm="1">
        <f t="array" ref="M90">Common_InputFunctions.Utility_DisplayArrayInTable(Fertiliser_SourceData.Fertiliser_Products_Data1(),FertiliserProducts[[#Headers],[Include or Exclude]], 0,4)</f>
        <v>0.22500000000000001</v>
      </c>
      <c r="N90" s="137" t="str" cm="1">
        <f t="array" ref="N90">Common_InputFunctions.Utility_DisplayArrayInTable(Fertiliser_SourceData.Fertiliser_Products_Data1(),FertiliserProducts[[#Headers],[Include or Exclude]], 0,4)</f>
        <v>Phosphorus - Generic</v>
      </c>
      <c r="O90" s="137" cm="1">
        <f t="array" ref="O90">Common_InputFunctions.Utility_DisplayArrayInTable(Fertiliser_SourceData.Fertiliser_Products_Data1(),FertiliserProducts[[#Headers],[Include or Exclude]], 0,4)</f>
        <v>0.04</v>
      </c>
      <c r="P90" s="137" t="str" cm="1">
        <f t="array" ref="P90">Common_InputFunctions.Utility_DisplayArrayInTable(Fertiliser_SourceData.Fertiliser_Products_Data1(),FertiliserProducts[[#Headers],[Include or Exclude]], 0,4)</f>
        <v>Nitrogen - Generic</v>
      </c>
      <c r="Q90" s="137" cm="1">
        <f t="array" ref="Q90">Common_InputFunctions.Utility_DisplayArrayInTable(Fertiliser_SourceData.Fertiliser_Products_Data1(),FertiliserProducts[[#Headers],[Include or Exclude]], 0,4)</f>
        <v>2.5999999999999999E-2</v>
      </c>
      <c r="R90" s="137" t="str" cm="1">
        <f t="array" ref="R90">Common_InputFunctions.Utility_DisplayArrayInTable(Fertiliser_SourceData.Fertiliser_Products_Data1(),FertiliserProducts[[#Headers],[Include or Exclude]], 0,4)</f>
        <v/>
      </c>
      <c r="S90" s="137" t="str" cm="1">
        <f t="array" ref="S90">Common_InputFunctions.Utility_DisplayArrayInTable(Fertiliser_SourceData.Fertiliser_Products_Data1(),FertiliserProducts[[#Headers],[Include or Exclude]], 0,4)</f>
        <v/>
      </c>
      <c r="T90" s="137" t="str" cm="1">
        <f t="array" ref="T90">Common_InputFunctions.Utility_DisplayArrayInTable(Fertiliser_SourceData.Fertiliser_Products_Data1(),FertiliserProducts[[#Headers],[Include or Exclude]], 0,4)</f>
        <v/>
      </c>
      <c r="U90" s="137" t="str" cm="1">
        <f t="array" ref="U90">Common_InputFunctions.Utility_DisplayArrayInTable(Fertiliser_SourceData.Fertiliser_Products_Data1(),FertiliserProducts[[#Headers],[Include or Exclude]], 0,4)</f>
        <v/>
      </c>
      <c r="V90" s="137" t="str" cm="1">
        <f t="array" ref="V90">Common_InputFunctions.Utility_DisplayArrayInTable(Fertiliser_SourceData.Fertiliser_Products_Data1(),FertiliserProducts[[#Headers],[Include or Exclude]], 0,4)</f>
        <v/>
      </c>
      <c r="W90" s="137" t="str" cm="1">
        <f t="array" ref="W90">Common_InputFunctions.Utility_DisplayArrayInTable(Fertiliser_SourceData.Fertiliser_Products_Data1(),FertiliserProducts[[#Headers],[Include or Exclude]], 0,4)</f>
        <v/>
      </c>
      <c r="X90" s="137" t="str" cm="1">
        <f t="array" ref="X90">Common_InputFunctions.Utility_DisplayArrayInTable(Fertiliser_SourceData.Fertiliser_Products_Data1(),FertiliserProducts[[#Headers],[Include or Exclude]], 0,4)</f>
        <v/>
      </c>
      <c r="Y90" s="137" t="str" cm="1">
        <f t="array" ref="Y90">Common_InputFunctions.Utility_DisplayArrayInTable(Fertiliser_SourceData.Fertiliser_Products_Data1(),FertiliserProducts[[#Headers],[Include or Exclude]], 0,4)</f>
        <v/>
      </c>
      <c r="Z90" s="137" t="str" cm="1">
        <f t="array" ref="Z90">Common_InputFunctions.Utility_DisplayArrayInTable(Fertiliser_SourceData.Fertiliser_Products_Data1(),FertiliserProducts[[#Headers],[Include or Exclude]], 0,4)</f>
        <v/>
      </c>
      <c r="AA90" s="137" t="str" cm="1">
        <f t="array" ref="AA90">Common_InputFunctions.Utility_DisplayArrayInTable(Fertiliser_SourceData.Fertiliser_Products_Data1(),FertiliserProducts[[#Headers],[Include or Exclude]], 0,4)</f>
        <v/>
      </c>
      <c r="AB90" s="137" t="str" cm="1">
        <f t="array" ref="AB90">Common_InputFunctions.Utility_DisplayArrayInTable(Fertiliser_SourceData.Fertiliser_Products_Data1(),FertiliserProducts[[#Headers],[Include or Exclude]], 0,4)</f>
        <v/>
      </c>
      <c r="AC90" s="137" t="str" cm="1">
        <f t="array" ref="AC90">Common_InputFunctions.Utility_DisplayArrayInTable(Fertiliser_SourceData.Fertiliser_Products_Data1(),FertiliserProducts[[#Headers],[Include or Exclude]], 0,4)</f>
        <v/>
      </c>
      <c r="AD90" s="137" t="str" cm="1">
        <f t="array" ref="AD90">Common_InputFunctions.Utility_DisplayArrayInTable(Fertiliser_SourceData.Fertiliser_Products_Data1(),FertiliserProducts[[#Headers],[Include or Exclude]], 0,4)</f>
        <v/>
      </c>
      <c r="AE90" s="137" t="str" cm="1">
        <f t="array" ref="AE90">Common_InputFunctions.Utility_DisplayArrayInTable(Fertiliser_SourceData.Fertiliser_Products_Data1(),FertiliserProducts[[#Headers],[Include or Exclude]], 0,4)</f>
        <v/>
      </c>
    </row>
    <row r="91" spans="4:31" ht="20.100000000000001" customHeight="1" x14ac:dyDescent="0.25">
      <c r="D91" s="137" t="str" cm="1">
        <f t="array" ref="D91">Common_InputFunctions.Utility_DisplayArrayInTable(Fertiliser_SourceData.Fertiliser_Products_Data1(),FertiliserProducts[[#Headers],[Include or Exclude]], -1)</f>
        <v>Include</v>
      </c>
      <c r="E91" s="137" t="str" cm="1">
        <f t="array" ref="E91">Common_InputFunctions.Utility_DisplayArrayInTable(Fertiliser_SourceData.Fertiliser_Products_Data1(),FertiliserProducts[[#Headers],[Include or Exclude]], 0)</f>
        <v/>
      </c>
      <c r="F91" s="137" t="str" cm="1">
        <f t="array" ref="F91">Common_InputFunctions.Utility_DisplayArrayInTable(Fertiliser_SourceData.Fertiliser_Products_Data1(),FertiliserProducts[[#Headers],[Include or Exclude]], 0)</f>
        <v>Campbells fertilisers Australia</v>
      </c>
      <c r="G91" s="137" t="str" cm="1">
        <f t="array" ref="G91">Common_InputFunctions.Utility_DisplayArrayInTable(Fertiliser_SourceData.Fertiliser_Products_Data1(),FertiliserProducts[[#Headers],[Include or Exclude]], 0)</f>
        <v>Aqua Grow</v>
      </c>
      <c r="H91" s="137" t="str" cm="1">
        <f t="array" ref="H91">Common_InputFunctions.Utility_DisplayArrayInTable(Fertiliser_SourceData.Fertiliser_Products_Data1(),FertiliserProducts[[#Headers],[Include or Exclude]], 0,4)</f>
        <v>L</v>
      </c>
      <c r="I91" s="137" cm="1">
        <f t="array" ref="I91">Common_InputFunctions.Utility_DisplayArrayInTable(Fertiliser_SourceData.Fertiliser_Products_Data1(),FertiliserProducts[[#Headers],[Include or Exclude]], 0,4)</f>
        <v>1.26</v>
      </c>
      <c r="J91" s="137" t="str" cm="1">
        <f t="array" ref="J91">Common_InputFunctions.Utility_DisplayArrayInTable(Fertiliser_SourceData.Fertiliser_Products_Data1(),FertiliserProducts[[#Headers],[Include or Exclude]], 0,4)</f>
        <v/>
      </c>
      <c r="K91" s="137" t="str" cm="1">
        <f t="array" ref="K91">Common_InputFunctions.Utility_DisplayArrayInTable(Fertiliser_SourceData.Fertiliser_Products_Data1(),FertiliserProducts[[#Headers],[Include or Exclude]], 0,4)</f>
        <v/>
      </c>
      <c r="L91" s="137" t="str" cm="1">
        <f t="array" ref="L91">Common_InputFunctions.Utility_DisplayArrayInTable(Fertiliser_SourceData.Fertiliser_Products_Data1(),FertiliserProducts[[#Headers],[Include or Exclude]], 0,4)</f>
        <v>Potassium - Generic</v>
      </c>
      <c r="M91" s="137" cm="1">
        <f t="array" ref="M91">Common_InputFunctions.Utility_DisplayArrayInTable(Fertiliser_SourceData.Fertiliser_Products_Data1(),FertiliserProducts[[#Headers],[Include or Exclude]], 0,4)</f>
        <v>0.105</v>
      </c>
      <c r="N91" s="137" t="str" cm="1">
        <f t="array" ref="N91">Common_InputFunctions.Utility_DisplayArrayInTable(Fertiliser_SourceData.Fertiliser_Products_Data1(),FertiliserProducts[[#Headers],[Include or Exclude]], 0,4)</f>
        <v>Nitrogen - Generic</v>
      </c>
      <c r="O91" s="137" cm="1">
        <f t="array" ref="O91">Common_InputFunctions.Utility_DisplayArrayInTable(Fertiliser_SourceData.Fertiliser_Products_Data1(),FertiliserProducts[[#Headers],[Include or Exclude]], 0,4)</f>
        <v>9.6000000000000002E-2</v>
      </c>
      <c r="P91" s="137" t="str" cm="1">
        <f t="array" ref="P91">Common_InputFunctions.Utility_DisplayArrayInTable(Fertiliser_SourceData.Fertiliser_Products_Data1(),FertiliserProducts[[#Headers],[Include or Exclude]], 0,4)</f>
        <v>Phosphorus - Generic</v>
      </c>
      <c r="Q91" s="137" cm="1">
        <f t="array" ref="Q91">Common_InputFunctions.Utility_DisplayArrayInTable(Fertiliser_SourceData.Fertiliser_Products_Data1(),FertiliserProducts[[#Headers],[Include or Exclude]], 0,4)</f>
        <v>0.05</v>
      </c>
      <c r="R91" s="137" t="str" cm="1">
        <f t="array" ref="R91">Common_InputFunctions.Utility_DisplayArrayInTable(Fertiliser_SourceData.Fertiliser_Products_Data1(),FertiliserProducts[[#Headers],[Include or Exclude]], 0,4)</f>
        <v/>
      </c>
      <c r="S91" s="137" t="str" cm="1">
        <f t="array" ref="S91">Common_InputFunctions.Utility_DisplayArrayInTable(Fertiliser_SourceData.Fertiliser_Products_Data1(),FertiliserProducts[[#Headers],[Include or Exclude]], 0,4)</f>
        <v/>
      </c>
      <c r="T91" s="137" t="str" cm="1">
        <f t="array" ref="T91">Common_InputFunctions.Utility_DisplayArrayInTable(Fertiliser_SourceData.Fertiliser_Products_Data1(),FertiliserProducts[[#Headers],[Include or Exclude]], 0,4)</f>
        <v/>
      </c>
      <c r="U91" s="137" t="str" cm="1">
        <f t="array" ref="U91">Common_InputFunctions.Utility_DisplayArrayInTable(Fertiliser_SourceData.Fertiliser_Products_Data1(),FertiliserProducts[[#Headers],[Include or Exclude]], 0,4)</f>
        <v/>
      </c>
      <c r="V91" s="137" t="str" cm="1">
        <f t="array" ref="V91">Common_InputFunctions.Utility_DisplayArrayInTable(Fertiliser_SourceData.Fertiliser_Products_Data1(),FertiliserProducts[[#Headers],[Include or Exclude]], 0,4)</f>
        <v/>
      </c>
      <c r="W91" s="137" t="str" cm="1">
        <f t="array" ref="W91">Common_InputFunctions.Utility_DisplayArrayInTable(Fertiliser_SourceData.Fertiliser_Products_Data1(),FertiliserProducts[[#Headers],[Include or Exclude]], 0,4)</f>
        <v/>
      </c>
      <c r="X91" s="137" t="str" cm="1">
        <f t="array" ref="X91">Common_InputFunctions.Utility_DisplayArrayInTable(Fertiliser_SourceData.Fertiliser_Products_Data1(),FertiliserProducts[[#Headers],[Include or Exclude]], 0,4)</f>
        <v/>
      </c>
      <c r="Y91" s="137" t="str" cm="1">
        <f t="array" ref="Y91">Common_InputFunctions.Utility_DisplayArrayInTable(Fertiliser_SourceData.Fertiliser_Products_Data1(),FertiliserProducts[[#Headers],[Include or Exclude]], 0,4)</f>
        <v/>
      </c>
      <c r="Z91" s="137" t="str" cm="1">
        <f t="array" ref="Z91">Common_InputFunctions.Utility_DisplayArrayInTable(Fertiliser_SourceData.Fertiliser_Products_Data1(),FertiliserProducts[[#Headers],[Include or Exclude]], 0,4)</f>
        <v/>
      </c>
      <c r="AA91" s="137" t="str" cm="1">
        <f t="array" ref="AA91">Common_InputFunctions.Utility_DisplayArrayInTable(Fertiliser_SourceData.Fertiliser_Products_Data1(),FertiliserProducts[[#Headers],[Include or Exclude]], 0,4)</f>
        <v/>
      </c>
      <c r="AB91" s="137" t="str" cm="1">
        <f t="array" ref="AB91">Common_InputFunctions.Utility_DisplayArrayInTable(Fertiliser_SourceData.Fertiliser_Products_Data1(),FertiliserProducts[[#Headers],[Include or Exclude]], 0,4)</f>
        <v/>
      </c>
      <c r="AC91" s="137" t="str" cm="1">
        <f t="array" ref="AC91">Common_InputFunctions.Utility_DisplayArrayInTable(Fertiliser_SourceData.Fertiliser_Products_Data1(),FertiliserProducts[[#Headers],[Include or Exclude]], 0,4)</f>
        <v/>
      </c>
      <c r="AD91" s="137" t="str" cm="1">
        <f t="array" ref="AD91">Common_InputFunctions.Utility_DisplayArrayInTable(Fertiliser_SourceData.Fertiliser_Products_Data1(),FertiliserProducts[[#Headers],[Include or Exclude]], 0,4)</f>
        <v/>
      </c>
      <c r="AE91" s="137" t="str" cm="1">
        <f t="array" ref="AE91">Common_InputFunctions.Utility_DisplayArrayInTable(Fertiliser_SourceData.Fertiliser_Products_Data1(),FertiliserProducts[[#Headers],[Include or Exclude]], 0,4)</f>
        <v/>
      </c>
    </row>
    <row r="92" spans="4:31" ht="20.100000000000001" customHeight="1" x14ac:dyDescent="0.25">
      <c r="D92" s="137" t="str" cm="1">
        <f t="array" ref="D92">Common_InputFunctions.Utility_DisplayArrayInTable(Fertiliser_SourceData.Fertiliser_Products_Data1(),FertiliserProducts[[#Headers],[Include or Exclude]], -1)</f>
        <v>Include</v>
      </c>
      <c r="E92" s="137" t="str" cm="1">
        <f t="array" ref="E92">Common_InputFunctions.Utility_DisplayArrayInTable(Fertiliser_SourceData.Fertiliser_Products_Data1(),FertiliserProducts[[#Headers],[Include or Exclude]], 0)</f>
        <v/>
      </c>
      <c r="F92" s="137" t="str" cm="1">
        <f t="array" ref="F92">Common_InputFunctions.Utility_DisplayArrayInTable(Fertiliser_SourceData.Fertiliser_Products_Data1(),FertiliserProducts[[#Headers],[Include or Exclude]], 0)</f>
        <v>Campbells fertilisers Australia</v>
      </c>
      <c r="G92" s="137" t="str" cm="1">
        <f t="array" ref="G92">Common_InputFunctions.Utility_DisplayArrayInTable(Fertiliser_SourceData.Fertiliser_Products_Data1(),FertiliserProducts[[#Headers],[Include or Exclude]], 0)</f>
        <v>Aqua Nitro AN</v>
      </c>
      <c r="H92" s="137" t="str" cm="1">
        <f t="array" ref="H92">Common_InputFunctions.Utility_DisplayArrayInTable(Fertiliser_SourceData.Fertiliser_Products_Data1(),FertiliserProducts[[#Headers],[Include or Exclude]], 0,4)</f>
        <v>L</v>
      </c>
      <c r="I92" s="137" cm="1">
        <f t="array" ref="I92">Common_InputFunctions.Utility_DisplayArrayInTable(Fertiliser_SourceData.Fertiliser_Products_Data1(),FertiliserProducts[[#Headers],[Include or Exclude]], 0,4)</f>
        <v>1.24</v>
      </c>
      <c r="J92" s="137" t="str" cm="1">
        <f t="array" ref="J92">Common_InputFunctions.Utility_DisplayArrayInTable(Fertiliser_SourceData.Fertiliser_Products_Data1(),FertiliserProducts[[#Headers],[Include or Exclude]], 0,4)</f>
        <v/>
      </c>
      <c r="K92" s="137" t="str" cm="1">
        <f t="array" ref="K92">Common_InputFunctions.Utility_DisplayArrayInTable(Fertiliser_SourceData.Fertiliser_Products_Data1(),FertiliserProducts[[#Headers],[Include or Exclude]], 0,4)</f>
        <v/>
      </c>
      <c r="L92" s="137" t="str" cm="1">
        <f t="array" ref="L92">Common_InputFunctions.Utility_DisplayArrayInTable(Fertiliser_SourceData.Fertiliser_Products_Data1(),FertiliserProducts[[#Headers],[Include or Exclude]], 0,4)</f>
        <v>Nitrogen - Ammoniacal</v>
      </c>
      <c r="M92" s="137" cm="1">
        <f t="array" ref="M92">Common_InputFunctions.Utility_DisplayArrayInTable(Fertiliser_SourceData.Fertiliser_Products_Data1(),FertiliserProducts[[#Headers],[Include or Exclude]], 0,4)</f>
        <v>0.223</v>
      </c>
      <c r="N92" s="137" t="str" cm="1">
        <f t="array" ref="N92">Common_InputFunctions.Utility_DisplayArrayInTable(Fertiliser_SourceData.Fertiliser_Products_Data1(),FertiliserProducts[[#Headers],[Include or Exclude]], 0,4)</f>
        <v/>
      </c>
      <c r="O92" s="137" t="str" cm="1">
        <f t="array" ref="O92">Common_InputFunctions.Utility_DisplayArrayInTable(Fertiliser_SourceData.Fertiliser_Products_Data1(),FertiliserProducts[[#Headers],[Include or Exclude]], 0,4)</f>
        <v/>
      </c>
      <c r="P92" s="137" t="str" cm="1">
        <f t="array" ref="P92">Common_InputFunctions.Utility_DisplayArrayInTable(Fertiliser_SourceData.Fertiliser_Products_Data1(),FertiliserProducts[[#Headers],[Include or Exclude]], 0,4)</f>
        <v/>
      </c>
      <c r="Q92" s="137" t="str" cm="1">
        <f t="array" ref="Q92">Common_InputFunctions.Utility_DisplayArrayInTable(Fertiliser_SourceData.Fertiliser_Products_Data1(),FertiliserProducts[[#Headers],[Include or Exclude]], 0,4)</f>
        <v/>
      </c>
      <c r="R92" s="137" t="str" cm="1">
        <f t="array" ref="R92">Common_InputFunctions.Utility_DisplayArrayInTable(Fertiliser_SourceData.Fertiliser_Products_Data1(),FertiliserProducts[[#Headers],[Include or Exclude]], 0,4)</f>
        <v/>
      </c>
      <c r="S92" s="137" t="str" cm="1">
        <f t="array" ref="S92">Common_InputFunctions.Utility_DisplayArrayInTable(Fertiliser_SourceData.Fertiliser_Products_Data1(),FertiliserProducts[[#Headers],[Include or Exclude]], 0,4)</f>
        <v/>
      </c>
      <c r="T92" s="137" t="str" cm="1">
        <f t="array" ref="T92">Common_InputFunctions.Utility_DisplayArrayInTable(Fertiliser_SourceData.Fertiliser_Products_Data1(),FertiliserProducts[[#Headers],[Include or Exclude]], 0,4)</f>
        <v/>
      </c>
      <c r="U92" s="137" t="str" cm="1">
        <f t="array" ref="U92">Common_InputFunctions.Utility_DisplayArrayInTable(Fertiliser_SourceData.Fertiliser_Products_Data1(),FertiliserProducts[[#Headers],[Include or Exclude]], 0,4)</f>
        <v/>
      </c>
      <c r="V92" s="137" t="str" cm="1">
        <f t="array" ref="V92">Common_InputFunctions.Utility_DisplayArrayInTable(Fertiliser_SourceData.Fertiliser_Products_Data1(),FertiliserProducts[[#Headers],[Include or Exclude]], 0,4)</f>
        <v/>
      </c>
      <c r="W92" s="137" t="str" cm="1">
        <f t="array" ref="W92">Common_InputFunctions.Utility_DisplayArrayInTable(Fertiliser_SourceData.Fertiliser_Products_Data1(),FertiliserProducts[[#Headers],[Include or Exclude]], 0,4)</f>
        <v/>
      </c>
      <c r="X92" s="137" t="str" cm="1">
        <f t="array" ref="X92">Common_InputFunctions.Utility_DisplayArrayInTable(Fertiliser_SourceData.Fertiliser_Products_Data1(),FertiliserProducts[[#Headers],[Include or Exclude]], 0,4)</f>
        <v/>
      </c>
      <c r="Y92" s="137" t="str" cm="1">
        <f t="array" ref="Y92">Common_InputFunctions.Utility_DisplayArrayInTable(Fertiliser_SourceData.Fertiliser_Products_Data1(),FertiliserProducts[[#Headers],[Include or Exclude]], 0,4)</f>
        <v/>
      </c>
      <c r="Z92" s="137" t="str" cm="1">
        <f t="array" ref="Z92">Common_InputFunctions.Utility_DisplayArrayInTable(Fertiliser_SourceData.Fertiliser_Products_Data1(),FertiliserProducts[[#Headers],[Include or Exclude]], 0,4)</f>
        <v/>
      </c>
      <c r="AA92" s="137" t="str" cm="1">
        <f t="array" ref="AA92">Common_InputFunctions.Utility_DisplayArrayInTable(Fertiliser_SourceData.Fertiliser_Products_Data1(),FertiliserProducts[[#Headers],[Include or Exclude]], 0,4)</f>
        <v/>
      </c>
      <c r="AB92" s="137" t="str" cm="1">
        <f t="array" ref="AB92">Common_InputFunctions.Utility_DisplayArrayInTable(Fertiliser_SourceData.Fertiliser_Products_Data1(),FertiliserProducts[[#Headers],[Include or Exclude]], 0,4)</f>
        <v/>
      </c>
      <c r="AC92" s="137" t="str" cm="1">
        <f t="array" ref="AC92">Common_InputFunctions.Utility_DisplayArrayInTable(Fertiliser_SourceData.Fertiliser_Products_Data1(),FertiliserProducts[[#Headers],[Include or Exclude]], 0,4)</f>
        <v/>
      </c>
      <c r="AD92" s="137" t="str" cm="1">
        <f t="array" ref="AD92">Common_InputFunctions.Utility_DisplayArrayInTable(Fertiliser_SourceData.Fertiliser_Products_Data1(),FertiliserProducts[[#Headers],[Include or Exclude]], 0,4)</f>
        <v/>
      </c>
      <c r="AE92" s="137" t="str" cm="1">
        <f t="array" ref="AE92">Common_InputFunctions.Utility_DisplayArrayInTable(Fertiliser_SourceData.Fertiliser_Products_Data1(),FertiliserProducts[[#Headers],[Include or Exclude]], 0,4)</f>
        <v/>
      </c>
    </row>
    <row r="93" spans="4:31" ht="20.100000000000001" customHeight="1" x14ac:dyDescent="0.25">
      <c r="D93" s="137" t="str" cm="1">
        <f t="array" ref="D93">Common_InputFunctions.Utility_DisplayArrayInTable(Fertiliser_SourceData.Fertiliser_Products_Data1(),FertiliserProducts[[#Headers],[Include or Exclude]], -1)</f>
        <v>Include</v>
      </c>
      <c r="E93" s="137" t="str" cm="1">
        <f t="array" ref="E93">Common_InputFunctions.Utility_DisplayArrayInTable(Fertiliser_SourceData.Fertiliser_Products_Data1(),FertiliserProducts[[#Headers],[Include or Exclude]], 0)</f>
        <v>Use Lime EF for calcium</v>
      </c>
      <c r="F93" s="137" t="str" cm="1">
        <f t="array" ref="F93">Common_InputFunctions.Utility_DisplayArrayInTable(Fertiliser_SourceData.Fertiliser_Products_Data1(),FertiliserProducts[[#Headers],[Include or Exclude]], 0)</f>
        <v>Campbells fertilisers Australia</v>
      </c>
      <c r="G93" s="137" t="str" cm="1">
        <f t="array" ref="G93">Common_InputFunctions.Utility_DisplayArrayInTable(Fertiliser_SourceData.Fertiliser_Products_Data1(),FertiliserProducts[[#Headers],[Include or Exclude]], 0)</f>
        <v>Aqua NitroCal</v>
      </c>
      <c r="H93" s="137" t="str" cm="1">
        <f t="array" ref="H93">Common_InputFunctions.Utility_DisplayArrayInTable(Fertiliser_SourceData.Fertiliser_Products_Data1(),FertiliserProducts[[#Headers],[Include or Exclude]], 0,4)</f>
        <v>L</v>
      </c>
      <c r="I93" s="137" cm="1">
        <f t="array" ref="I93">Common_InputFunctions.Utility_DisplayArrayInTable(Fertiliser_SourceData.Fertiliser_Products_Data1(),FertiliserProducts[[#Headers],[Include or Exclude]], 0,4)</f>
        <v>1.5</v>
      </c>
      <c r="J93" s="137" t="str" cm="1">
        <f t="array" ref="J93">Common_InputFunctions.Utility_DisplayArrayInTable(Fertiliser_SourceData.Fertiliser_Products_Data1(),FertiliserProducts[[#Headers],[Include or Exclude]], 0,4)</f>
        <v/>
      </c>
      <c r="K93" s="137" t="str" cm="1">
        <f t="array" ref="K93">Common_InputFunctions.Utility_DisplayArrayInTable(Fertiliser_SourceData.Fertiliser_Products_Data1(),FertiliserProducts[[#Headers],[Include or Exclude]], 0,4)</f>
        <v/>
      </c>
      <c r="L93" s="137" t="str" cm="1">
        <f t="array" ref="L93">Common_InputFunctions.Utility_DisplayArrayInTable(Fertiliser_SourceData.Fertiliser_Products_Data1(),FertiliserProducts[[#Headers],[Include or Exclude]], 0,4)</f>
        <v>Calcium - Generic</v>
      </c>
      <c r="M93" s="137" cm="1">
        <f t="array" ref="M93">Common_InputFunctions.Utility_DisplayArrayInTable(Fertiliser_SourceData.Fertiliser_Products_Data1(),FertiliserProducts[[#Headers],[Include or Exclude]], 0,4)</f>
        <v>0.16200000000000001</v>
      </c>
      <c r="N93" s="137" t="str" cm="1">
        <f t="array" ref="N93">Common_InputFunctions.Utility_DisplayArrayInTable(Fertiliser_SourceData.Fertiliser_Products_Data1(),FertiliserProducts[[#Headers],[Include or Exclude]], 0,4)</f>
        <v>Nitrogen - Nitrate</v>
      </c>
      <c r="O93" s="137" cm="1">
        <f t="array" ref="O93">Common_InputFunctions.Utility_DisplayArrayInTable(Fertiliser_SourceData.Fertiliser_Products_Data1(),FertiliserProducts[[#Headers],[Include or Exclude]], 0,4)</f>
        <v>0.13200000000000001</v>
      </c>
      <c r="P93" s="137" t="str" cm="1">
        <f t="array" ref="P93">Common_InputFunctions.Utility_DisplayArrayInTable(Fertiliser_SourceData.Fertiliser_Products_Data1(),FertiliserProducts[[#Headers],[Include or Exclude]], 0,4)</f>
        <v/>
      </c>
      <c r="Q93" s="137" t="str" cm="1">
        <f t="array" ref="Q93">Common_InputFunctions.Utility_DisplayArrayInTable(Fertiliser_SourceData.Fertiliser_Products_Data1(),FertiliserProducts[[#Headers],[Include or Exclude]], 0,4)</f>
        <v/>
      </c>
      <c r="R93" s="137" t="str" cm="1">
        <f t="array" ref="R93">Common_InputFunctions.Utility_DisplayArrayInTable(Fertiliser_SourceData.Fertiliser_Products_Data1(),FertiliserProducts[[#Headers],[Include or Exclude]], 0,4)</f>
        <v/>
      </c>
      <c r="S93" s="137" t="str" cm="1">
        <f t="array" ref="S93">Common_InputFunctions.Utility_DisplayArrayInTable(Fertiliser_SourceData.Fertiliser_Products_Data1(),FertiliserProducts[[#Headers],[Include or Exclude]], 0,4)</f>
        <v/>
      </c>
      <c r="T93" s="137" t="str" cm="1">
        <f t="array" ref="T93">Common_InputFunctions.Utility_DisplayArrayInTable(Fertiliser_SourceData.Fertiliser_Products_Data1(),FertiliserProducts[[#Headers],[Include or Exclude]], 0,4)</f>
        <v/>
      </c>
      <c r="U93" s="137" t="str" cm="1">
        <f t="array" ref="U93">Common_InputFunctions.Utility_DisplayArrayInTable(Fertiliser_SourceData.Fertiliser_Products_Data1(),FertiliserProducts[[#Headers],[Include or Exclude]], 0,4)</f>
        <v/>
      </c>
      <c r="V93" s="137" t="str" cm="1">
        <f t="array" ref="V93">Common_InputFunctions.Utility_DisplayArrayInTable(Fertiliser_SourceData.Fertiliser_Products_Data1(),FertiliserProducts[[#Headers],[Include or Exclude]], 0,4)</f>
        <v/>
      </c>
      <c r="W93" s="137" t="str" cm="1">
        <f t="array" ref="W93">Common_InputFunctions.Utility_DisplayArrayInTable(Fertiliser_SourceData.Fertiliser_Products_Data1(),FertiliserProducts[[#Headers],[Include or Exclude]], 0,4)</f>
        <v/>
      </c>
      <c r="X93" s="137" t="str" cm="1">
        <f t="array" ref="X93">Common_InputFunctions.Utility_DisplayArrayInTable(Fertiliser_SourceData.Fertiliser_Products_Data1(),FertiliserProducts[[#Headers],[Include or Exclude]], 0,4)</f>
        <v/>
      </c>
      <c r="Y93" s="137" t="str" cm="1">
        <f t="array" ref="Y93">Common_InputFunctions.Utility_DisplayArrayInTable(Fertiliser_SourceData.Fertiliser_Products_Data1(),FertiliserProducts[[#Headers],[Include or Exclude]], 0,4)</f>
        <v/>
      </c>
      <c r="Z93" s="137" t="str" cm="1">
        <f t="array" ref="Z93">Common_InputFunctions.Utility_DisplayArrayInTable(Fertiliser_SourceData.Fertiliser_Products_Data1(),FertiliserProducts[[#Headers],[Include or Exclude]], 0,4)</f>
        <v/>
      </c>
      <c r="AA93" s="137" t="str" cm="1">
        <f t="array" ref="AA93">Common_InputFunctions.Utility_DisplayArrayInTable(Fertiliser_SourceData.Fertiliser_Products_Data1(),FertiliserProducts[[#Headers],[Include or Exclude]], 0,4)</f>
        <v/>
      </c>
      <c r="AB93" s="137" t="str" cm="1">
        <f t="array" ref="AB93">Common_InputFunctions.Utility_DisplayArrayInTable(Fertiliser_SourceData.Fertiliser_Products_Data1(),FertiliserProducts[[#Headers],[Include or Exclude]], 0,4)</f>
        <v/>
      </c>
      <c r="AC93" s="137" t="str" cm="1">
        <f t="array" ref="AC93">Common_InputFunctions.Utility_DisplayArrayInTable(Fertiliser_SourceData.Fertiliser_Products_Data1(),FertiliserProducts[[#Headers],[Include or Exclude]], 0,4)</f>
        <v/>
      </c>
      <c r="AD93" s="137" t="str" cm="1">
        <f t="array" ref="AD93">Common_InputFunctions.Utility_DisplayArrayInTable(Fertiliser_SourceData.Fertiliser_Products_Data1(),FertiliserProducts[[#Headers],[Include or Exclude]], 0,4)</f>
        <v/>
      </c>
      <c r="AE93" s="137" t="str" cm="1">
        <f t="array" ref="AE93">Common_InputFunctions.Utility_DisplayArrayInTable(Fertiliser_SourceData.Fertiliser_Products_Data1(),FertiliserProducts[[#Headers],[Include or Exclude]], 0,4)</f>
        <v/>
      </c>
    </row>
    <row r="94" spans="4:31" ht="20.100000000000001" customHeight="1" x14ac:dyDescent="0.25">
      <c r="D94" s="137" t="str" cm="1">
        <f t="array" ref="D94">Common_InputFunctions.Utility_DisplayArrayInTable(Fertiliser_SourceData.Fertiliser_Products_Data1(),FertiliserProducts[[#Headers],[Include or Exclude]], -1)</f>
        <v>Include</v>
      </c>
      <c r="E94" s="137" t="str" cm="1">
        <f t="array" ref="E94">Common_InputFunctions.Utility_DisplayArrayInTable(Fertiliser_SourceData.Fertiliser_Products_Data1(),FertiliserProducts[[#Headers],[Include or Exclude]], 0)</f>
        <v>Use Lime EF for calcium</v>
      </c>
      <c r="F94" s="137" t="str" cm="1">
        <f t="array" ref="F94">Common_InputFunctions.Utility_DisplayArrayInTable(Fertiliser_SourceData.Fertiliser_Products_Data1(),FertiliserProducts[[#Headers],[Include or Exclude]], 0)</f>
        <v>Campbells fertilisers Australia</v>
      </c>
      <c r="G94" s="137" t="str" cm="1">
        <f t="array" ref="G94">Common_InputFunctions.Utility_DisplayArrayInTable(Fertiliser_SourceData.Fertiliser_Products_Data1(),FertiliserProducts[[#Headers],[Include or Exclude]], 0)</f>
        <v>Aqua NitroCal (VI)</v>
      </c>
      <c r="H94" s="137" t="str" cm="1">
        <f t="array" ref="H94">Common_InputFunctions.Utility_DisplayArrayInTable(Fertiliser_SourceData.Fertiliser_Products_Data1(),FertiliserProducts[[#Headers],[Include or Exclude]], 0,4)</f>
        <v>L</v>
      </c>
      <c r="I94" s="137" cm="1">
        <f t="array" ref="I94">Common_InputFunctions.Utility_DisplayArrayInTable(Fertiliser_SourceData.Fertiliser_Products_Data1(),FertiliserProducts[[#Headers],[Include or Exclude]], 0,4)</f>
        <v>1.5</v>
      </c>
      <c r="J94" s="137" t="str" cm="1">
        <f t="array" ref="J94">Common_InputFunctions.Utility_DisplayArrayInTable(Fertiliser_SourceData.Fertiliser_Products_Data1(),FertiliserProducts[[#Headers],[Include or Exclude]], 0,4)</f>
        <v/>
      </c>
      <c r="K94" s="137" t="str" cm="1">
        <f t="array" ref="K94">Common_InputFunctions.Utility_DisplayArrayInTable(Fertiliser_SourceData.Fertiliser_Products_Data1(),FertiliserProducts[[#Headers],[Include or Exclude]], 0,4)</f>
        <v/>
      </c>
      <c r="L94" s="137" t="str" cm="1">
        <f t="array" ref="L94">Common_InputFunctions.Utility_DisplayArrayInTable(Fertiliser_SourceData.Fertiliser_Products_Data1(),FertiliserProducts[[#Headers],[Include or Exclude]], 0,4)</f>
        <v>Calcium - Generic</v>
      </c>
      <c r="M94" s="137" cm="1">
        <f t="array" ref="M94">Common_InputFunctions.Utility_DisplayArrayInTable(Fertiliser_SourceData.Fertiliser_Products_Data1(),FertiliserProducts[[#Headers],[Include or Exclude]], 0,4)</f>
        <v>0.187</v>
      </c>
      <c r="N94" s="137" t="str" cm="1">
        <f t="array" ref="N94">Common_InputFunctions.Utility_DisplayArrayInTable(Fertiliser_SourceData.Fertiliser_Products_Data1(),FertiliserProducts[[#Headers],[Include or Exclude]], 0,4)</f>
        <v>Nitrogen - Nitrate</v>
      </c>
      <c r="O94" s="137" cm="1">
        <f t="array" ref="O94">Common_InputFunctions.Utility_DisplayArrayInTable(Fertiliser_SourceData.Fertiliser_Products_Data1(),FertiliserProducts[[#Headers],[Include or Exclude]], 0,4)</f>
        <v>0.13200000000000001</v>
      </c>
      <c r="P94" s="137" t="str" cm="1">
        <f t="array" ref="P94">Common_InputFunctions.Utility_DisplayArrayInTable(Fertiliser_SourceData.Fertiliser_Products_Data1(),FertiliserProducts[[#Headers],[Include or Exclude]], 0,4)</f>
        <v/>
      </c>
      <c r="Q94" s="137" t="str" cm="1">
        <f t="array" ref="Q94">Common_InputFunctions.Utility_DisplayArrayInTable(Fertiliser_SourceData.Fertiliser_Products_Data1(),FertiliserProducts[[#Headers],[Include or Exclude]], 0,4)</f>
        <v/>
      </c>
      <c r="R94" s="137" t="str" cm="1">
        <f t="array" ref="R94">Common_InputFunctions.Utility_DisplayArrayInTable(Fertiliser_SourceData.Fertiliser_Products_Data1(),FertiliserProducts[[#Headers],[Include or Exclude]], 0,4)</f>
        <v/>
      </c>
      <c r="S94" s="137" t="str" cm="1">
        <f t="array" ref="S94">Common_InputFunctions.Utility_DisplayArrayInTable(Fertiliser_SourceData.Fertiliser_Products_Data1(),FertiliserProducts[[#Headers],[Include or Exclude]], 0,4)</f>
        <v/>
      </c>
      <c r="T94" s="137" t="str" cm="1">
        <f t="array" ref="T94">Common_InputFunctions.Utility_DisplayArrayInTable(Fertiliser_SourceData.Fertiliser_Products_Data1(),FertiliserProducts[[#Headers],[Include or Exclude]], 0,4)</f>
        <v/>
      </c>
      <c r="U94" s="137" t="str" cm="1">
        <f t="array" ref="U94">Common_InputFunctions.Utility_DisplayArrayInTable(Fertiliser_SourceData.Fertiliser_Products_Data1(),FertiliserProducts[[#Headers],[Include or Exclude]], 0,4)</f>
        <v/>
      </c>
      <c r="V94" s="137" t="str" cm="1">
        <f t="array" ref="V94">Common_InputFunctions.Utility_DisplayArrayInTable(Fertiliser_SourceData.Fertiliser_Products_Data1(),FertiliserProducts[[#Headers],[Include or Exclude]], 0,4)</f>
        <v/>
      </c>
      <c r="W94" s="137" t="str" cm="1">
        <f t="array" ref="W94">Common_InputFunctions.Utility_DisplayArrayInTable(Fertiliser_SourceData.Fertiliser_Products_Data1(),FertiliserProducts[[#Headers],[Include or Exclude]], 0,4)</f>
        <v/>
      </c>
      <c r="X94" s="137" t="str" cm="1">
        <f t="array" ref="X94">Common_InputFunctions.Utility_DisplayArrayInTable(Fertiliser_SourceData.Fertiliser_Products_Data1(),FertiliserProducts[[#Headers],[Include or Exclude]], 0,4)</f>
        <v/>
      </c>
      <c r="Y94" s="137" t="str" cm="1">
        <f t="array" ref="Y94">Common_InputFunctions.Utility_DisplayArrayInTable(Fertiliser_SourceData.Fertiliser_Products_Data1(),FertiliserProducts[[#Headers],[Include or Exclude]], 0,4)</f>
        <v/>
      </c>
      <c r="Z94" s="137" t="str" cm="1">
        <f t="array" ref="Z94">Common_InputFunctions.Utility_DisplayArrayInTable(Fertiliser_SourceData.Fertiliser_Products_Data1(),FertiliserProducts[[#Headers],[Include or Exclude]], 0,4)</f>
        <v/>
      </c>
      <c r="AA94" s="137" t="str" cm="1">
        <f t="array" ref="AA94">Common_InputFunctions.Utility_DisplayArrayInTable(Fertiliser_SourceData.Fertiliser_Products_Data1(),FertiliserProducts[[#Headers],[Include or Exclude]], 0,4)</f>
        <v/>
      </c>
      <c r="AB94" s="137" t="str" cm="1">
        <f t="array" ref="AB94">Common_InputFunctions.Utility_DisplayArrayInTable(Fertiliser_SourceData.Fertiliser_Products_Data1(),FertiliserProducts[[#Headers],[Include or Exclude]], 0,4)</f>
        <v/>
      </c>
      <c r="AC94" s="137" t="str" cm="1">
        <f t="array" ref="AC94">Common_InputFunctions.Utility_DisplayArrayInTable(Fertiliser_SourceData.Fertiliser_Products_Data1(),FertiliserProducts[[#Headers],[Include or Exclude]], 0,4)</f>
        <v/>
      </c>
      <c r="AD94" s="137" t="str" cm="1">
        <f t="array" ref="AD94">Common_InputFunctions.Utility_DisplayArrayInTable(Fertiliser_SourceData.Fertiliser_Products_Data1(),FertiliserProducts[[#Headers],[Include or Exclude]], 0,4)</f>
        <v/>
      </c>
      <c r="AE94" s="137" t="str" cm="1">
        <f t="array" ref="AE94">Common_InputFunctions.Utility_DisplayArrayInTable(Fertiliser_SourceData.Fertiliser_Products_Data1(),FertiliserProducts[[#Headers],[Include or Exclude]], 0,4)</f>
        <v/>
      </c>
    </row>
    <row r="95" spans="4:31" ht="20.100000000000001" customHeight="1" x14ac:dyDescent="0.25">
      <c r="D95" s="137" t="str" cm="1">
        <f t="array" ref="D95">Common_InputFunctions.Utility_DisplayArrayInTable(Fertiliser_SourceData.Fertiliser_Products_Data1(),FertiliserProducts[[#Headers],[Include or Exclude]], -1)</f>
        <v>Include</v>
      </c>
      <c r="E95" s="137" t="str" cm="1">
        <f t="array" ref="E95">Common_InputFunctions.Utility_DisplayArrayInTable(Fertiliser_SourceData.Fertiliser_Products_Data1(),FertiliserProducts[[#Headers],[Include or Exclude]], 0)</f>
        <v>Use Lime EF for calcium</v>
      </c>
      <c r="F95" s="137" t="str" cm="1">
        <f t="array" ref="F95">Common_InputFunctions.Utility_DisplayArrayInTable(Fertiliser_SourceData.Fertiliser_Products_Data1(),FertiliserProducts[[#Headers],[Include or Exclude]], 0)</f>
        <v>Campbells fertilisers Australia</v>
      </c>
      <c r="G95" s="137" t="str" cm="1">
        <f t="array" ref="G95">Common_InputFunctions.Utility_DisplayArrayInTable(Fertiliser_SourceData.Fertiliser_Products_Data1(),FertiliserProducts[[#Headers],[Include or Exclude]], 0)</f>
        <v>Aqua NitroCal Ultimate</v>
      </c>
      <c r="H95" s="137" t="str" cm="1">
        <f t="array" ref="H95">Common_InputFunctions.Utility_DisplayArrayInTable(Fertiliser_SourceData.Fertiliser_Products_Data1(),FertiliserProducts[[#Headers],[Include or Exclude]], 0,4)</f>
        <v>L</v>
      </c>
      <c r="I95" s="137" cm="1">
        <f t="array" ref="I95">Common_InputFunctions.Utility_DisplayArrayInTable(Fertiliser_SourceData.Fertiliser_Products_Data1(),FertiliserProducts[[#Headers],[Include or Exclude]], 0,4)</f>
        <v>1.5</v>
      </c>
      <c r="J95" s="137" t="str" cm="1">
        <f t="array" ref="J95">Common_InputFunctions.Utility_DisplayArrayInTable(Fertiliser_SourceData.Fertiliser_Products_Data1(),FertiliserProducts[[#Headers],[Include or Exclude]], 0,4)</f>
        <v/>
      </c>
      <c r="K95" s="137" t="str" cm="1">
        <f t="array" ref="K95">Common_InputFunctions.Utility_DisplayArrayInTable(Fertiliser_SourceData.Fertiliser_Products_Data1(),FertiliserProducts[[#Headers],[Include or Exclude]], 0,4)</f>
        <v/>
      </c>
      <c r="L95" s="137" t="str" cm="1">
        <f t="array" ref="L95">Common_InputFunctions.Utility_DisplayArrayInTable(Fertiliser_SourceData.Fertiliser_Products_Data1(),FertiliserProducts[[#Headers],[Include or Exclude]], 0,4)</f>
        <v>Calcium - Generic</v>
      </c>
      <c r="M95" s="137" cm="1">
        <f t="array" ref="M95">Common_InputFunctions.Utility_DisplayArrayInTable(Fertiliser_SourceData.Fertiliser_Products_Data1(),FertiliserProducts[[#Headers],[Include or Exclude]], 0,4)</f>
        <v>0.183</v>
      </c>
      <c r="N95" s="137" t="str" cm="1">
        <f t="array" ref="N95">Common_InputFunctions.Utility_DisplayArrayInTable(Fertiliser_SourceData.Fertiliser_Products_Data1(),FertiliserProducts[[#Headers],[Include or Exclude]], 0,4)</f>
        <v>Nitrogen  - Nitrate</v>
      </c>
      <c r="O95" s="137" cm="1">
        <f t="array" ref="O95">Common_InputFunctions.Utility_DisplayArrayInTable(Fertiliser_SourceData.Fertiliser_Products_Data1(),FertiliserProducts[[#Headers],[Include or Exclude]], 0,4)</f>
        <v>0.13200000000000001</v>
      </c>
      <c r="P95" s="137" t="str" cm="1">
        <f t="array" ref="P95">Common_InputFunctions.Utility_DisplayArrayInTable(Fertiliser_SourceData.Fertiliser_Products_Data1(),FertiliserProducts[[#Headers],[Include or Exclude]], 0,4)</f>
        <v/>
      </c>
      <c r="Q95" s="137" t="str" cm="1">
        <f t="array" ref="Q95">Common_InputFunctions.Utility_DisplayArrayInTable(Fertiliser_SourceData.Fertiliser_Products_Data1(),FertiliserProducts[[#Headers],[Include or Exclude]], 0,4)</f>
        <v/>
      </c>
      <c r="R95" s="137" t="str" cm="1">
        <f t="array" ref="R95">Common_InputFunctions.Utility_DisplayArrayInTable(Fertiliser_SourceData.Fertiliser_Products_Data1(),FertiliserProducts[[#Headers],[Include or Exclude]], 0,4)</f>
        <v/>
      </c>
      <c r="S95" s="137" t="str" cm="1">
        <f t="array" ref="S95">Common_InputFunctions.Utility_DisplayArrayInTable(Fertiliser_SourceData.Fertiliser_Products_Data1(),FertiliserProducts[[#Headers],[Include or Exclude]], 0,4)</f>
        <v/>
      </c>
      <c r="T95" s="137" t="str" cm="1">
        <f t="array" ref="T95">Common_InputFunctions.Utility_DisplayArrayInTable(Fertiliser_SourceData.Fertiliser_Products_Data1(),FertiliserProducts[[#Headers],[Include or Exclude]], 0,4)</f>
        <v/>
      </c>
      <c r="U95" s="137" t="str" cm="1">
        <f t="array" ref="U95">Common_InputFunctions.Utility_DisplayArrayInTable(Fertiliser_SourceData.Fertiliser_Products_Data1(),FertiliserProducts[[#Headers],[Include or Exclude]], 0,4)</f>
        <v/>
      </c>
      <c r="V95" s="137" t="str" cm="1">
        <f t="array" ref="V95">Common_InputFunctions.Utility_DisplayArrayInTable(Fertiliser_SourceData.Fertiliser_Products_Data1(),FertiliserProducts[[#Headers],[Include or Exclude]], 0,4)</f>
        <v/>
      </c>
      <c r="W95" s="137" t="str" cm="1">
        <f t="array" ref="W95">Common_InputFunctions.Utility_DisplayArrayInTable(Fertiliser_SourceData.Fertiliser_Products_Data1(),FertiliserProducts[[#Headers],[Include or Exclude]], 0,4)</f>
        <v/>
      </c>
      <c r="X95" s="137" t="str" cm="1">
        <f t="array" ref="X95">Common_InputFunctions.Utility_DisplayArrayInTable(Fertiliser_SourceData.Fertiliser_Products_Data1(),FertiliserProducts[[#Headers],[Include or Exclude]], 0,4)</f>
        <v/>
      </c>
      <c r="Y95" s="137" t="str" cm="1">
        <f t="array" ref="Y95">Common_InputFunctions.Utility_DisplayArrayInTable(Fertiliser_SourceData.Fertiliser_Products_Data1(),FertiliserProducts[[#Headers],[Include or Exclude]], 0,4)</f>
        <v/>
      </c>
      <c r="Z95" s="137" t="str" cm="1">
        <f t="array" ref="Z95">Common_InputFunctions.Utility_DisplayArrayInTable(Fertiliser_SourceData.Fertiliser_Products_Data1(),FertiliserProducts[[#Headers],[Include or Exclude]], 0,4)</f>
        <v/>
      </c>
      <c r="AA95" s="137" t="str" cm="1">
        <f t="array" ref="AA95">Common_InputFunctions.Utility_DisplayArrayInTable(Fertiliser_SourceData.Fertiliser_Products_Data1(),FertiliserProducts[[#Headers],[Include or Exclude]], 0,4)</f>
        <v/>
      </c>
      <c r="AB95" s="137" t="str" cm="1">
        <f t="array" ref="AB95">Common_InputFunctions.Utility_DisplayArrayInTable(Fertiliser_SourceData.Fertiliser_Products_Data1(),FertiliserProducts[[#Headers],[Include or Exclude]], 0,4)</f>
        <v/>
      </c>
      <c r="AC95" s="137" t="str" cm="1">
        <f t="array" ref="AC95">Common_InputFunctions.Utility_DisplayArrayInTable(Fertiliser_SourceData.Fertiliser_Products_Data1(),FertiliserProducts[[#Headers],[Include or Exclude]], 0,4)</f>
        <v/>
      </c>
      <c r="AD95" s="137" t="str" cm="1">
        <f t="array" ref="AD95">Common_InputFunctions.Utility_DisplayArrayInTable(Fertiliser_SourceData.Fertiliser_Products_Data1(),FertiliserProducts[[#Headers],[Include or Exclude]], 0,4)</f>
        <v/>
      </c>
      <c r="AE95" s="137" t="str" cm="1">
        <f t="array" ref="AE95">Common_InputFunctions.Utility_DisplayArrayInTable(Fertiliser_SourceData.Fertiliser_Products_Data1(),FertiliserProducts[[#Headers],[Include or Exclude]], 0,4)</f>
        <v/>
      </c>
    </row>
    <row r="96" spans="4:31" ht="20.100000000000001" customHeight="1" x14ac:dyDescent="0.25">
      <c r="D96" s="137" t="str" cm="1">
        <f t="array" ref="D96">Common_InputFunctions.Utility_DisplayArrayInTable(Fertiliser_SourceData.Fertiliser_Products_Data1(),FertiliserProducts[[#Headers],[Include or Exclude]], -1)</f>
        <v>Include</v>
      </c>
      <c r="E96" s="137" t="str" cm="1">
        <f t="array" ref="E96">Common_InputFunctions.Utility_DisplayArrayInTable(Fertiliser_SourceData.Fertiliser_Products_Data1(),FertiliserProducts[[#Headers],[Include or Exclude]], 0)</f>
        <v/>
      </c>
      <c r="F96" s="137" t="str" cm="1">
        <f t="array" ref="F96">Common_InputFunctions.Utility_DisplayArrayInTable(Fertiliser_SourceData.Fertiliser_Products_Data1(),FertiliserProducts[[#Headers],[Include or Exclude]], 0)</f>
        <v>Campbells fertilisers Australia</v>
      </c>
      <c r="G96" s="137" t="str" cm="1">
        <f t="array" ref="G96">Common_InputFunctions.Utility_DisplayArrayInTable(Fertiliser_SourceData.Fertiliser_Products_Data1(),FertiliserProducts[[#Headers],[Include or Exclude]], 0)</f>
        <v>Aqua Start</v>
      </c>
      <c r="H96" s="137" t="str" cm="1">
        <f t="array" ref="H96">Common_InputFunctions.Utility_DisplayArrayInTable(Fertiliser_SourceData.Fertiliser_Products_Data1(),FertiliserProducts[[#Headers],[Include or Exclude]], 0,4)</f>
        <v>L</v>
      </c>
      <c r="I96" s="137" cm="1">
        <f t="array" ref="I96">Common_InputFunctions.Utility_DisplayArrayInTable(Fertiliser_SourceData.Fertiliser_Products_Data1(),FertiliserProducts[[#Headers],[Include or Exclude]], 0,4)</f>
        <v>1.25</v>
      </c>
      <c r="J96" s="137" t="str" cm="1">
        <f t="array" ref="J96">Common_InputFunctions.Utility_DisplayArrayInTable(Fertiliser_SourceData.Fertiliser_Products_Data1(),FertiliserProducts[[#Headers],[Include or Exclude]], 0,4)</f>
        <v/>
      </c>
      <c r="K96" s="137" t="str" cm="1">
        <f t="array" ref="K96">Common_InputFunctions.Utility_DisplayArrayInTable(Fertiliser_SourceData.Fertiliser_Products_Data1(),FertiliserProducts[[#Headers],[Include or Exclude]], 0,4)</f>
        <v/>
      </c>
      <c r="L96" s="137" t="str" cm="1">
        <f t="array" ref="L96">Common_InputFunctions.Utility_DisplayArrayInTable(Fertiliser_SourceData.Fertiliser_Products_Data1(),FertiliserProducts[[#Headers],[Include or Exclude]], 0,4)</f>
        <v>Nitrogen - Generic</v>
      </c>
      <c r="M96" s="137" cm="1">
        <f t="array" ref="M96">Common_InputFunctions.Utility_DisplayArrayInTable(Fertiliser_SourceData.Fertiliser_Products_Data1(),FertiliserProducts[[#Headers],[Include or Exclude]], 0,4)</f>
        <v>0.10299999999999999</v>
      </c>
      <c r="N96" s="137" t="str" cm="1">
        <f t="array" ref="N96">Common_InputFunctions.Utility_DisplayArrayInTable(Fertiliser_SourceData.Fertiliser_Products_Data1(),FertiliserProducts[[#Headers],[Include or Exclude]], 0,4)</f>
        <v>Phosphorus - Generic</v>
      </c>
      <c r="O96" s="137" cm="1">
        <f t="array" ref="O96">Common_InputFunctions.Utility_DisplayArrayInTable(Fertiliser_SourceData.Fertiliser_Products_Data1(),FertiliserProducts[[#Headers],[Include or Exclude]], 0,4)</f>
        <v>0.1</v>
      </c>
      <c r="P96" s="137" t="str" cm="1">
        <f t="array" ref="P96">Common_InputFunctions.Utility_DisplayArrayInTable(Fertiliser_SourceData.Fertiliser_Products_Data1(),FertiliserProducts[[#Headers],[Include or Exclude]], 0,4)</f>
        <v>Potassium - Generic</v>
      </c>
      <c r="Q96" s="137" cm="1">
        <f t="array" ref="Q96">Common_InputFunctions.Utility_DisplayArrayInTable(Fertiliser_SourceData.Fertiliser_Products_Data1(),FertiliserProducts[[#Headers],[Include or Exclude]], 0,4)</f>
        <v>3.4000000000000002E-2</v>
      </c>
      <c r="R96" s="137" t="str" cm="1">
        <f t="array" ref="R96">Common_InputFunctions.Utility_DisplayArrayInTable(Fertiliser_SourceData.Fertiliser_Products_Data1(),FertiliserProducts[[#Headers],[Include or Exclude]], 0,4)</f>
        <v/>
      </c>
      <c r="S96" s="137" t="str" cm="1">
        <f t="array" ref="S96">Common_InputFunctions.Utility_DisplayArrayInTable(Fertiliser_SourceData.Fertiliser_Products_Data1(),FertiliserProducts[[#Headers],[Include or Exclude]], 0,4)</f>
        <v/>
      </c>
      <c r="T96" s="137" t="str" cm="1">
        <f t="array" ref="T96">Common_InputFunctions.Utility_DisplayArrayInTable(Fertiliser_SourceData.Fertiliser_Products_Data1(),FertiliserProducts[[#Headers],[Include or Exclude]], 0,4)</f>
        <v/>
      </c>
      <c r="U96" s="137" t="str" cm="1">
        <f t="array" ref="U96">Common_InputFunctions.Utility_DisplayArrayInTable(Fertiliser_SourceData.Fertiliser_Products_Data1(),FertiliserProducts[[#Headers],[Include or Exclude]], 0,4)</f>
        <v/>
      </c>
      <c r="V96" s="137" t="str" cm="1">
        <f t="array" ref="V96">Common_InputFunctions.Utility_DisplayArrayInTable(Fertiliser_SourceData.Fertiliser_Products_Data1(),FertiliserProducts[[#Headers],[Include or Exclude]], 0,4)</f>
        <v/>
      </c>
      <c r="W96" s="137" t="str" cm="1">
        <f t="array" ref="W96">Common_InputFunctions.Utility_DisplayArrayInTable(Fertiliser_SourceData.Fertiliser_Products_Data1(),FertiliserProducts[[#Headers],[Include or Exclude]], 0,4)</f>
        <v/>
      </c>
      <c r="X96" s="137" t="str" cm="1">
        <f t="array" ref="X96">Common_InputFunctions.Utility_DisplayArrayInTable(Fertiliser_SourceData.Fertiliser_Products_Data1(),FertiliserProducts[[#Headers],[Include or Exclude]], 0,4)</f>
        <v/>
      </c>
      <c r="Y96" s="137" t="str" cm="1">
        <f t="array" ref="Y96">Common_InputFunctions.Utility_DisplayArrayInTable(Fertiliser_SourceData.Fertiliser_Products_Data1(),FertiliserProducts[[#Headers],[Include or Exclude]], 0,4)</f>
        <v/>
      </c>
      <c r="Z96" s="137" t="str" cm="1">
        <f t="array" ref="Z96">Common_InputFunctions.Utility_DisplayArrayInTable(Fertiliser_SourceData.Fertiliser_Products_Data1(),FertiliserProducts[[#Headers],[Include or Exclude]], 0,4)</f>
        <v/>
      </c>
      <c r="AA96" s="137" t="str" cm="1">
        <f t="array" ref="AA96">Common_InputFunctions.Utility_DisplayArrayInTable(Fertiliser_SourceData.Fertiliser_Products_Data1(),FertiliserProducts[[#Headers],[Include or Exclude]], 0,4)</f>
        <v/>
      </c>
      <c r="AB96" s="137" t="str" cm="1">
        <f t="array" ref="AB96">Common_InputFunctions.Utility_DisplayArrayInTable(Fertiliser_SourceData.Fertiliser_Products_Data1(),FertiliserProducts[[#Headers],[Include or Exclude]], 0,4)</f>
        <v/>
      </c>
      <c r="AC96" s="137" t="str" cm="1">
        <f t="array" ref="AC96">Common_InputFunctions.Utility_DisplayArrayInTable(Fertiliser_SourceData.Fertiliser_Products_Data1(),FertiliserProducts[[#Headers],[Include or Exclude]], 0,4)</f>
        <v/>
      </c>
      <c r="AD96" s="137" t="str" cm="1">
        <f t="array" ref="AD96">Common_InputFunctions.Utility_DisplayArrayInTable(Fertiliser_SourceData.Fertiliser_Products_Data1(),FertiliserProducts[[#Headers],[Include or Exclude]], 0,4)</f>
        <v/>
      </c>
      <c r="AE96" s="137" t="str" cm="1">
        <f t="array" ref="AE96">Common_InputFunctions.Utility_DisplayArrayInTable(Fertiliser_SourceData.Fertiliser_Products_Data1(),FertiliserProducts[[#Headers],[Include or Exclude]], 0,4)</f>
        <v/>
      </c>
    </row>
    <row r="97" spans="4:31" ht="20.100000000000001" customHeight="1" x14ac:dyDescent="0.25">
      <c r="D97" s="137" t="str" cm="1">
        <f t="array" ref="D97">Common_InputFunctions.Utility_DisplayArrayInTable(Fertiliser_SourceData.Fertiliser_Products_Data1(),FertiliserProducts[[#Headers],[Include or Exclude]], -1)</f>
        <v>Include</v>
      </c>
      <c r="E97" s="137" t="str" cm="1">
        <f t="array" ref="E97">Common_InputFunctions.Utility_DisplayArrayInTable(Fertiliser_SourceData.Fertiliser_Products_Data1(),FertiliserProducts[[#Headers],[Include or Exclude]], 0)</f>
        <v/>
      </c>
      <c r="F97" s="137" t="str" cm="1">
        <f t="array" ref="F97">Common_InputFunctions.Utility_DisplayArrayInTable(Fertiliser_SourceData.Fertiliser_Products_Data1(),FertiliserProducts[[#Headers],[Include or Exclude]], 0)</f>
        <v>Campbells fertilisers Australia</v>
      </c>
      <c r="G97" s="137" t="str" cm="1">
        <f t="array" ref="G97">Common_InputFunctions.Utility_DisplayArrayInTable(Fertiliser_SourceData.Fertiliser_Products_Data1(),FertiliserProducts[[#Headers],[Include or Exclude]], 0)</f>
        <v>Aqua Thio-Complete</v>
      </c>
      <c r="H97" s="137" t="str" cm="1">
        <f t="array" ref="H97">Common_InputFunctions.Utility_DisplayArrayInTable(Fertiliser_SourceData.Fertiliser_Products_Data1(),FertiliserProducts[[#Headers],[Include or Exclude]], 0,4)</f>
        <v>L</v>
      </c>
      <c r="I97" s="137" cm="1">
        <f t="array" ref="I97">Common_InputFunctions.Utility_DisplayArrayInTable(Fertiliser_SourceData.Fertiliser_Products_Data1(),FertiliserProducts[[#Headers],[Include or Exclude]], 0,4)</f>
        <v>1.43</v>
      </c>
      <c r="J97" s="137" t="str" cm="1">
        <f t="array" ref="J97">Common_InputFunctions.Utility_DisplayArrayInTable(Fertiliser_SourceData.Fertiliser_Products_Data1(),FertiliserProducts[[#Headers],[Include or Exclude]], 0,4)</f>
        <v/>
      </c>
      <c r="K97" s="137" t="str" cm="1">
        <f t="array" ref="K97">Common_InputFunctions.Utility_DisplayArrayInTable(Fertiliser_SourceData.Fertiliser_Products_Data1(),FertiliserProducts[[#Headers],[Include or Exclude]], 0,4)</f>
        <v/>
      </c>
      <c r="L97" s="137" t="str" cm="1">
        <f t="array" ref="L97">Common_InputFunctions.Utility_DisplayArrayInTable(Fertiliser_SourceData.Fertiliser_Products_Data1(),FertiliserProducts[[#Headers],[Include or Exclude]], 0,4)</f>
        <v>Potassium - Generic</v>
      </c>
      <c r="M97" s="137" cm="1">
        <f t="array" ref="M97">Common_InputFunctions.Utility_DisplayArrayInTable(Fertiliser_SourceData.Fertiliser_Products_Data1(),FertiliserProducts[[#Headers],[Include or Exclude]], 0,4)</f>
        <v>0.22500000000000001</v>
      </c>
      <c r="N97" s="137" t="str" cm="1">
        <f t="array" ref="N97">Common_InputFunctions.Utility_DisplayArrayInTable(Fertiliser_SourceData.Fertiliser_Products_Data1(),FertiliserProducts[[#Headers],[Include or Exclude]], 0,4)</f>
        <v>Phosphorus - Generic</v>
      </c>
      <c r="O97" s="137" cm="1">
        <f t="array" ref="O97">Common_InputFunctions.Utility_DisplayArrayInTable(Fertiliser_SourceData.Fertiliser_Products_Data1(),FertiliserProducts[[#Headers],[Include or Exclude]], 0,4)</f>
        <v>3.7999999999999999E-2</v>
      </c>
      <c r="P97" s="137" t="str" cm="1">
        <f t="array" ref="P97">Common_InputFunctions.Utility_DisplayArrayInTable(Fertiliser_SourceData.Fertiliser_Products_Data1(),FertiliserProducts[[#Headers],[Include or Exclude]], 0,4)</f>
        <v>Nitrogen - Generic</v>
      </c>
      <c r="Q97" s="137" cm="1">
        <f t="array" ref="Q97">Common_InputFunctions.Utility_DisplayArrayInTable(Fertiliser_SourceData.Fertiliser_Products_Data1(),FertiliserProducts[[#Headers],[Include or Exclude]], 0,4)</f>
        <v>2.5000000000000001E-2</v>
      </c>
      <c r="R97" s="137" t="str" cm="1">
        <f t="array" ref="R97">Common_InputFunctions.Utility_DisplayArrayInTable(Fertiliser_SourceData.Fertiliser_Products_Data1(),FertiliserProducts[[#Headers],[Include or Exclude]], 0,4)</f>
        <v/>
      </c>
      <c r="S97" s="137" t="str" cm="1">
        <f t="array" ref="S97">Common_InputFunctions.Utility_DisplayArrayInTable(Fertiliser_SourceData.Fertiliser_Products_Data1(),FertiliserProducts[[#Headers],[Include or Exclude]], 0,4)</f>
        <v/>
      </c>
      <c r="T97" s="137" t="str" cm="1">
        <f t="array" ref="T97">Common_InputFunctions.Utility_DisplayArrayInTable(Fertiliser_SourceData.Fertiliser_Products_Data1(),FertiliserProducts[[#Headers],[Include or Exclude]], 0,4)</f>
        <v/>
      </c>
      <c r="U97" s="137" t="str" cm="1">
        <f t="array" ref="U97">Common_InputFunctions.Utility_DisplayArrayInTable(Fertiliser_SourceData.Fertiliser_Products_Data1(),FertiliserProducts[[#Headers],[Include or Exclude]], 0,4)</f>
        <v/>
      </c>
      <c r="V97" s="137" t="str" cm="1">
        <f t="array" ref="V97">Common_InputFunctions.Utility_DisplayArrayInTable(Fertiliser_SourceData.Fertiliser_Products_Data1(),FertiliserProducts[[#Headers],[Include or Exclude]], 0,4)</f>
        <v/>
      </c>
      <c r="W97" s="137" t="str" cm="1">
        <f t="array" ref="W97">Common_InputFunctions.Utility_DisplayArrayInTable(Fertiliser_SourceData.Fertiliser_Products_Data1(),FertiliserProducts[[#Headers],[Include or Exclude]], 0,4)</f>
        <v/>
      </c>
      <c r="X97" s="137" t="str" cm="1">
        <f t="array" ref="X97">Common_InputFunctions.Utility_DisplayArrayInTable(Fertiliser_SourceData.Fertiliser_Products_Data1(),FertiliserProducts[[#Headers],[Include or Exclude]], 0,4)</f>
        <v/>
      </c>
      <c r="Y97" s="137" t="str" cm="1">
        <f t="array" ref="Y97">Common_InputFunctions.Utility_DisplayArrayInTable(Fertiliser_SourceData.Fertiliser_Products_Data1(),FertiliserProducts[[#Headers],[Include or Exclude]], 0,4)</f>
        <v/>
      </c>
      <c r="Z97" s="137" t="str" cm="1">
        <f t="array" ref="Z97">Common_InputFunctions.Utility_DisplayArrayInTable(Fertiliser_SourceData.Fertiliser_Products_Data1(),FertiliserProducts[[#Headers],[Include or Exclude]], 0,4)</f>
        <v/>
      </c>
      <c r="AA97" s="137" t="str" cm="1">
        <f t="array" ref="AA97">Common_InputFunctions.Utility_DisplayArrayInTable(Fertiliser_SourceData.Fertiliser_Products_Data1(),FertiliserProducts[[#Headers],[Include or Exclude]], 0,4)</f>
        <v/>
      </c>
      <c r="AB97" s="137" t="str" cm="1">
        <f t="array" ref="AB97">Common_InputFunctions.Utility_DisplayArrayInTable(Fertiliser_SourceData.Fertiliser_Products_Data1(),FertiliserProducts[[#Headers],[Include or Exclude]], 0,4)</f>
        <v/>
      </c>
      <c r="AC97" s="137" t="str" cm="1">
        <f t="array" ref="AC97">Common_InputFunctions.Utility_DisplayArrayInTable(Fertiliser_SourceData.Fertiliser_Products_Data1(),FertiliserProducts[[#Headers],[Include or Exclude]], 0,4)</f>
        <v/>
      </c>
      <c r="AD97" s="137" t="str" cm="1">
        <f t="array" ref="AD97">Common_InputFunctions.Utility_DisplayArrayInTable(Fertiliser_SourceData.Fertiliser_Products_Data1(),FertiliserProducts[[#Headers],[Include or Exclude]], 0,4)</f>
        <v/>
      </c>
      <c r="AE97" s="137" t="str" cm="1">
        <f t="array" ref="AE97">Common_InputFunctions.Utility_DisplayArrayInTable(Fertiliser_SourceData.Fertiliser_Products_Data1(),FertiliserProducts[[#Headers],[Include or Exclude]], 0,4)</f>
        <v/>
      </c>
    </row>
    <row r="98" spans="4:31" ht="20.100000000000001" customHeight="1" x14ac:dyDescent="0.25">
      <c r="D98" s="137" t="str" cm="1">
        <f t="array" ref="D98">Common_InputFunctions.Utility_DisplayArrayInTable(Fertiliser_SourceData.Fertiliser_Products_Data1(),FertiliserProducts[[#Headers],[Include or Exclude]], -1)</f>
        <v>Include</v>
      </c>
      <c r="E98" s="137" t="str" cm="1">
        <f t="array" ref="E98">Common_InputFunctions.Utility_DisplayArrayInTable(Fertiliser_SourceData.Fertiliser_Products_Data1(),FertiliserProducts[[#Headers],[Include or Exclude]], 0)</f>
        <v/>
      </c>
      <c r="F98" s="137" t="str" cm="1">
        <f t="array" ref="F98">Common_InputFunctions.Utility_DisplayArrayInTable(Fertiliser_SourceData.Fertiliser_Products_Data1(),FertiliserProducts[[#Headers],[Include or Exclude]], 0)</f>
        <v>Campbells fertilisers Australia</v>
      </c>
      <c r="G98" s="137" t="str" cm="1">
        <f t="array" ref="G98">Common_InputFunctions.Utility_DisplayArrayInTable(Fertiliser_SourceData.Fertiliser_Products_Data1(),FertiliserProducts[[#Headers],[Include or Exclude]], 0)</f>
        <v>Aqua Thio-Emerge</v>
      </c>
      <c r="H98" s="137" t="str" cm="1">
        <f t="array" ref="H98">Common_InputFunctions.Utility_DisplayArrayInTable(Fertiliser_SourceData.Fertiliser_Products_Data1(),FertiliserProducts[[#Headers],[Include or Exclude]], 0,4)</f>
        <v>L</v>
      </c>
      <c r="I98" s="137" cm="1">
        <f t="array" ref="I98">Common_InputFunctions.Utility_DisplayArrayInTable(Fertiliser_SourceData.Fertiliser_Products_Data1(),FertiliserProducts[[#Headers],[Include or Exclude]], 0,4)</f>
        <v>1.29</v>
      </c>
      <c r="J98" s="137" t="str" cm="1">
        <f t="array" ref="J98">Common_InputFunctions.Utility_DisplayArrayInTable(Fertiliser_SourceData.Fertiliser_Products_Data1(),FertiliserProducts[[#Headers],[Include or Exclude]], 0,4)</f>
        <v/>
      </c>
      <c r="K98" s="137" t="str" cm="1">
        <f t="array" ref="K98">Common_InputFunctions.Utility_DisplayArrayInTable(Fertiliser_SourceData.Fertiliser_Products_Data1(),FertiliserProducts[[#Headers],[Include or Exclude]], 0,4)</f>
        <v/>
      </c>
      <c r="L98" s="137" t="str" cm="1">
        <f t="array" ref="L98">Common_InputFunctions.Utility_DisplayArrayInTable(Fertiliser_SourceData.Fertiliser_Products_Data1(),FertiliserProducts[[#Headers],[Include or Exclude]], 0,4)</f>
        <v>Nitrogen - Generic</v>
      </c>
      <c r="M98" s="137" cm="1">
        <f t="array" ref="M98">Common_InputFunctions.Utility_DisplayArrayInTable(Fertiliser_SourceData.Fertiliser_Products_Data1(),FertiliserProducts[[#Headers],[Include or Exclude]], 0,4)</f>
        <v>0.105</v>
      </c>
      <c r="N98" s="137" t="str" cm="1">
        <f t="array" ref="N98">Common_InputFunctions.Utility_DisplayArrayInTable(Fertiliser_SourceData.Fertiliser_Products_Data1(),FertiliserProducts[[#Headers],[Include or Exclude]], 0,4)</f>
        <v>Phosphorus - Generic</v>
      </c>
      <c r="O98" s="137" cm="1">
        <f t="array" ref="O98">Common_InputFunctions.Utility_DisplayArrayInTable(Fertiliser_SourceData.Fertiliser_Products_Data1(),FertiliserProducts[[#Headers],[Include or Exclude]], 0,4)</f>
        <v>9.4E-2</v>
      </c>
      <c r="P98" s="137" t="str" cm="1">
        <f t="array" ref="P98">Common_InputFunctions.Utility_DisplayArrayInTable(Fertiliser_SourceData.Fertiliser_Products_Data1(),FertiliserProducts[[#Headers],[Include or Exclude]], 0,4)</f>
        <v>Potassium - Generic</v>
      </c>
      <c r="Q98" s="137" cm="1">
        <f t="array" ref="Q98">Common_InputFunctions.Utility_DisplayArrayInTable(Fertiliser_SourceData.Fertiliser_Products_Data1(),FertiliserProducts[[#Headers],[Include or Exclude]], 0,4)</f>
        <v>0.04</v>
      </c>
      <c r="R98" s="137" t="str" cm="1">
        <f t="array" ref="R98">Common_InputFunctions.Utility_DisplayArrayInTable(Fertiliser_SourceData.Fertiliser_Products_Data1(),FertiliserProducts[[#Headers],[Include or Exclude]], 0,4)</f>
        <v>Sulfur - Generic</v>
      </c>
      <c r="S98" s="137" cm="1">
        <f t="array" ref="S98">Common_InputFunctions.Utility_DisplayArrayInTable(Fertiliser_SourceData.Fertiliser_Products_Data1(),FertiliserProducts[[#Headers],[Include or Exclude]], 0,4)</f>
        <v>0.03</v>
      </c>
      <c r="T98" s="137" t="str" cm="1">
        <f t="array" ref="T98">Common_InputFunctions.Utility_DisplayArrayInTable(Fertiliser_SourceData.Fertiliser_Products_Data1(),FertiliserProducts[[#Headers],[Include or Exclude]], 0,4)</f>
        <v/>
      </c>
      <c r="U98" s="137" t="str" cm="1">
        <f t="array" ref="U98">Common_InputFunctions.Utility_DisplayArrayInTable(Fertiliser_SourceData.Fertiliser_Products_Data1(),FertiliserProducts[[#Headers],[Include or Exclude]], 0,4)</f>
        <v/>
      </c>
      <c r="V98" s="137" t="str" cm="1">
        <f t="array" ref="V98">Common_InputFunctions.Utility_DisplayArrayInTable(Fertiliser_SourceData.Fertiliser_Products_Data1(),FertiliserProducts[[#Headers],[Include or Exclude]], 0,4)</f>
        <v/>
      </c>
      <c r="W98" s="137" t="str" cm="1">
        <f t="array" ref="W98">Common_InputFunctions.Utility_DisplayArrayInTable(Fertiliser_SourceData.Fertiliser_Products_Data1(),FertiliserProducts[[#Headers],[Include or Exclude]], 0,4)</f>
        <v/>
      </c>
      <c r="X98" s="137" t="str" cm="1">
        <f t="array" ref="X98">Common_InputFunctions.Utility_DisplayArrayInTable(Fertiliser_SourceData.Fertiliser_Products_Data1(),FertiliserProducts[[#Headers],[Include or Exclude]], 0,4)</f>
        <v/>
      </c>
      <c r="Y98" s="137" t="str" cm="1">
        <f t="array" ref="Y98">Common_InputFunctions.Utility_DisplayArrayInTable(Fertiliser_SourceData.Fertiliser_Products_Data1(),FertiliserProducts[[#Headers],[Include or Exclude]], 0,4)</f>
        <v/>
      </c>
      <c r="Z98" s="137" t="str" cm="1">
        <f t="array" ref="Z98">Common_InputFunctions.Utility_DisplayArrayInTable(Fertiliser_SourceData.Fertiliser_Products_Data1(),FertiliserProducts[[#Headers],[Include or Exclude]], 0,4)</f>
        <v/>
      </c>
      <c r="AA98" s="137" t="str" cm="1">
        <f t="array" ref="AA98">Common_InputFunctions.Utility_DisplayArrayInTable(Fertiliser_SourceData.Fertiliser_Products_Data1(),FertiliserProducts[[#Headers],[Include or Exclude]], 0,4)</f>
        <v/>
      </c>
      <c r="AB98" s="137" t="str" cm="1">
        <f t="array" ref="AB98">Common_InputFunctions.Utility_DisplayArrayInTable(Fertiliser_SourceData.Fertiliser_Products_Data1(),FertiliserProducts[[#Headers],[Include or Exclude]], 0,4)</f>
        <v/>
      </c>
      <c r="AC98" s="137" t="str" cm="1">
        <f t="array" ref="AC98">Common_InputFunctions.Utility_DisplayArrayInTable(Fertiliser_SourceData.Fertiliser_Products_Data1(),FertiliserProducts[[#Headers],[Include or Exclude]], 0,4)</f>
        <v/>
      </c>
      <c r="AD98" s="137" t="str" cm="1">
        <f t="array" ref="AD98">Common_InputFunctions.Utility_DisplayArrayInTable(Fertiliser_SourceData.Fertiliser_Products_Data1(),FertiliserProducts[[#Headers],[Include or Exclude]], 0,4)</f>
        <v/>
      </c>
      <c r="AE98" s="137" t="str" cm="1">
        <f t="array" ref="AE98">Common_InputFunctions.Utility_DisplayArrayInTable(Fertiliser_SourceData.Fertiliser_Products_Data1(),FertiliserProducts[[#Headers],[Include or Exclude]], 0,4)</f>
        <v/>
      </c>
    </row>
    <row r="99" spans="4:31" ht="20.100000000000001" customHeight="1" x14ac:dyDescent="0.25">
      <c r="D99" s="137" t="str" cm="1">
        <f t="array" ref="D99">Common_InputFunctions.Utility_DisplayArrayInTable(Fertiliser_SourceData.Fertiliser_Products_Data1(),FertiliserProducts[[#Headers],[Include or Exclude]], -1)</f>
        <v>Exclude - Not relevant</v>
      </c>
      <c r="E99" s="137" t="str" cm="1">
        <f t="array" ref="E99">Common_InputFunctions.Utility_DisplayArrayInTable(Fertiliser_SourceData.Fertiliser_Products_Data1(),FertiliserProducts[[#Headers],[Include or Exclude]], 0)</f>
        <v/>
      </c>
      <c r="F99" s="137" t="str" cm="1">
        <f t="array" ref="F99">Common_InputFunctions.Utility_DisplayArrayInTable(Fertiliser_SourceData.Fertiliser_Products_Data1(),FertiliserProducts[[#Headers],[Include or Exclude]], 0)</f>
        <v>Campbells fertilisers Australia</v>
      </c>
      <c r="G99" s="137" t="str" cm="1">
        <f t="array" ref="G99">Common_InputFunctions.Utility_DisplayArrayInTable(Fertiliser_SourceData.Fertiliser_Products_Data1(),FertiliserProducts[[#Headers],[Include or Exclude]], 0)</f>
        <v>Aqua Thio-Flourish</v>
      </c>
      <c r="H99" s="137" t="str" cm="1">
        <f t="array" ref="H99">Common_InputFunctions.Utility_DisplayArrayInTable(Fertiliser_SourceData.Fertiliser_Products_Data1(),FertiliserProducts[[#Headers],[Include or Exclude]], 0,4)</f>
        <v>L</v>
      </c>
      <c r="I99" s="137" cm="1">
        <f t="array" ref="I99">Common_InputFunctions.Utility_DisplayArrayInTable(Fertiliser_SourceData.Fertiliser_Products_Data1(),FertiliserProducts[[#Headers],[Include or Exclude]], 0,4)</f>
        <v>1.32</v>
      </c>
      <c r="J99" s="137" t="str" cm="1">
        <f t="array" ref="J99">Common_InputFunctions.Utility_DisplayArrayInTable(Fertiliser_SourceData.Fertiliser_Products_Data1(),FertiliserProducts[[#Headers],[Include or Exclude]], 0,4)</f>
        <v/>
      </c>
      <c r="K99" s="137" t="str" cm="1">
        <f t="array" ref="K99">Common_InputFunctions.Utility_DisplayArrayInTable(Fertiliser_SourceData.Fertiliser_Products_Data1(),FertiliserProducts[[#Headers],[Include or Exclude]], 0,4)</f>
        <v/>
      </c>
      <c r="L99" s="137" t="str" cm="1">
        <f t="array" ref="L99">Common_InputFunctions.Utility_DisplayArrayInTable(Fertiliser_SourceData.Fertiliser_Products_Data1(),FertiliserProducts[[#Headers],[Include or Exclude]], 0,4)</f>
        <v>Potassium - Generic</v>
      </c>
      <c r="M99" s="137" cm="1">
        <f t="array" ref="M99">Common_InputFunctions.Utility_DisplayArrayInTable(Fertiliser_SourceData.Fertiliser_Products_Data1(),FertiliserProducts[[#Headers],[Include or Exclude]], 0,4)</f>
        <v>0.108</v>
      </c>
      <c r="N99" s="137" t="str" cm="1">
        <f t="array" ref="N99">Common_InputFunctions.Utility_DisplayArrayInTable(Fertiliser_SourceData.Fertiliser_Products_Data1(),FertiliserProducts[[#Headers],[Include or Exclude]], 0,4)</f>
        <v>Nitrogen - Generic</v>
      </c>
      <c r="O99" s="137" cm="1">
        <f t="array" ref="O99">Common_InputFunctions.Utility_DisplayArrayInTable(Fertiliser_SourceData.Fertiliser_Products_Data1(),FertiliserProducts[[#Headers],[Include or Exclude]], 0,4)</f>
        <v>9.5000000000000001E-2</v>
      </c>
      <c r="P99" s="137" t="str" cm="1">
        <f t="array" ref="P99">Common_InputFunctions.Utility_DisplayArrayInTable(Fertiliser_SourceData.Fertiliser_Products_Data1(),FertiliserProducts[[#Headers],[Include or Exclude]], 0,4)</f>
        <v>Sulfur - Generic</v>
      </c>
      <c r="Q99" s="137" cm="1">
        <f t="array" ref="Q99">Common_InputFunctions.Utility_DisplayArrayInTable(Fertiliser_SourceData.Fertiliser_Products_Data1(),FertiliserProducts[[#Headers],[Include or Exclude]], 0,4)</f>
        <v>8.1000000000000003E-2</v>
      </c>
      <c r="R99" s="137" t="str" cm="1">
        <f t="array" ref="R99">Common_InputFunctions.Utility_DisplayArrayInTable(Fertiliser_SourceData.Fertiliser_Products_Data1(),FertiliserProducts[[#Headers],[Include or Exclude]], 0,4)</f>
        <v>Phosphorus - Generic</v>
      </c>
      <c r="S99" s="137" cm="1">
        <f t="array" ref="S99">Common_InputFunctions.Utility_DisplayArrayInTable(Fertiliser_SourceData.Fertiliser_Products_Data1(),FertiliserProducts[[#Headers],[Include or Exclude]], 0,4)</f>
        <v>4.7E-2</v>
      </c>
      <c r="T99" s="137" t="str" cm="1">
        <f t="array" ref="T99">Common_InputFunctions.Utility_DisplayArrayInTable(Fertiliser_SourceData.Fertiliser_Products_Data1(),FertiliserProducts[[#Headers],[Include or Exclude]], 0,4)</f>
        <v/>
      </c>
      <c r="U99" s="137" t="str" cm="1">
        <f t="array" ref="U99">Common_InputFunctions.Utility_DisplayArrayInTable(Fertiliser_SourceData.Fertiliser_Products_Data1(),FertiliserProducts[[#Headers],[Include or Exclude]], 0,4)</f>
        <v/>
      </c>
      <c r="V99" s="137" t="str" cm="1">
        <f t="array" ref="V99">Common_InputFunctions.Utility_DisplayArrayInTable(Fertiliser_SourceData.Fertiliser_Products_Data1(),FertiliserProducts[[#Headers],[Include or Exclude]], 0,4)</f>
        <v/>
      </c>
      <c r="W99" s="137" t="str" cm="1">
        <f t="array" ref="W99">Common_InputFunctions.Utility_DisplayArrayInTable(Fertiliser_SourceData.Fertiliser_Products_Data1(),FertiliserProducts[[#Headers],[Include or Exclude]], 0,4)</f>
        <v/>
      </c>
      <c r="X99" s="137" t="str" cm="1">
        <f t="array" ref="X99">Common_InputFunctions.Utility_DisplayArrayInTable(Fertiliser_SourceData.Fertiliser_Products_Data1(),FertiliserProducts[[#Headers],[Include or Exclude]], 0,4)</f>
        <v/>
      </c>
      <c r="Y99" s="137" t="str" cm="1">
        <f t="array" ref="Y99">Common_InputFunctions.Utility_DisplayArrayInTable(Fertiliser_SourceData.Fertiliser_Products_Data1(),FertiliserProducts[[#Headers],[Include or Exclude]], 0,4)</f>
        <v/>
      </c>
      <c r="Z99" s="137" t="str" cm="1">
        <f t="array" ref="Z99">Common_InputFunctions.Utility_DisplayArrayInTable(Fertiliser_SourceData.Fertiliser_Products_Data1(),FertiliserProducts[[#Headers],[Include or Exclude]], 0,4)</f>
        <v/>
      </c>
      <c r="AA99" s="137" t="str" cm="1">
        <f t="array" ref="AA99">Common_InputFunctions.Utility_DisplayArrayInTable(Fertiliser_SourceData.Fertiliser_Products_Data1(),FertiliserProducts[[#Headers],[Include or Exclude]], 0,4)</f>
        <v/>
      </c>
      <c r="AB99" s="137" t="str" cm="1">
        <f t="array" ref="AB99">Common_InputFunctions.Utility_DisplayArrayInTable(Fertiliser_SourceData.Fertiliser_Products_Data1(),FertiliserProducts[[#Headers],[Include or Exclude]], 0,4)</f>
        <v/>
      </c>
      <c r="AC99" s="137" t="str" cm="1">
        <f t="array" ref="AC99">Common_InputFunctions.Utility_DisplayArrayInTable(Fertiliser_SourceData.Fertiliser_Products_Data1(),FertiliserProducts[[#Headers],[Include or Exclude]], 0,4)</f>
        <v/>
      </c>
      <c r="AD99" s="137" t="str" cm="1">
        <f t="array" ref="AD99">Common_InputFunctions.Utility_DisplayArrayInTable(Fertiliser_SourceData.Fertiliser_Products_Data1(),FertiliserProducts[[#Headers],[Include or Exclude]], 0,4)</f>
        <v/>
      </c>
      <c r="AE99" s="137" t="str" cm="1">
        <f t="array" ref="AE99">Common_InputFunctions.Utility_DisplayArrayInTable(Fertiliser_SourceData.Fertiliser_Products_Data1(),FertiliserProducts[[#Headers],[Include or Exclude]], 0,4)</f>
        <v/>
      </c>
    </row>
    <row r="100" spans="4:31" ht="20.100000000000001" customHeight="1" x14ac:dyDescent="0.25">
      <c r="D100" s="137" t="str" cm="1">
        <f t="array" ref="D100">Common_InputFunctions.Utility_DisplayArrayInTable(Fertiliser_SourceData.Fertiliser_Products_Data1(),FertiliserProducts[[#Headers],[Include or Exclude]], -1)</f>
        <v>Exclude - Not relevant</v>
      </c>
      <c r="E100" s="137" t="str" cm="1">
        <f t="array" ref="E100">Common_InputFunctions.Utility_DisplayArrayInTable(Fertiliser_SourceData.Fertiliser_Products_Data1(),FertiliserProducts[[#Headers],[Include or Exclude]], 0)</f>
        <v/>
      </c>
      <c r="F100" s="137" t="str" cm="1">
        <f t="array" ref="F100">Common_InputFunctions.Utility_DisplayArrayInTable(Fertiliser_SourceData.Fertiliser_Products_Data1(),FertiliserProducts[[#Headers],[Include or Exclude]], 0)</f>
        <v>Campbells fertilisers Australia</v>
      </c>
      <c r="G100" s="137" t="str" cm="1">
        <f t="array" ref="G100">Common_InputFunctions.Utility_DisplayArrayInTable(Fertiliser_SourceData.Fertiliser_Products_Data1(),FertiliserProducts[[#Headers],[Include or Exclude]], 0)</f>
        <v>Asco Fol Plus</v>
      </c>
      <c r="H100" s="137" t="str" cm="1">
        <f t="array" ref="H100">Common_InputFunctions.Utility_DisplayArrayInTable(Fertiliser_SourceData.Fertiliser_Products_Data1(),FertiliserProducts[[#Headers],[Include or Exclude]], 0,4)</f>
        <v/>
      </c>
      <c r="I100" s="137" t="str" cm="1">
        <f t="array" ref="I100">Common_InputFunctions.Utility_DisplayArrayInTable(Fertiliser_SourceData.Fertiliser_Products_Data1(),FertiliserProducts[[#Headers],[Include or Exclude]], 0,4)</f>
        <v/>
      </c>
      <c r="J100" s="137" t="str" cm="1">
        <f t="array" ref="J100">Common_InputFunctions.Utility_DisplayArrayInTable(Fertiliser_SourceData.Fertiliser_Products_Data1(),FertiliserProducts[[#Headers],[Include or Exclude]], 0,4)</f>
        <v/>
      </c>
      <c r="K100" s="137" t="str" cm="1">
        <f t="array" ref="K100">Common_InputFunctions.Utility_DisplayArrayInTable(Fertiliser_SourceData.Fertiliser_Products_Data1(),FertiliserProducts[[#Headers],[Include or Exclude]], 0,4)</f>
        <v/>
      </c>
      <c r="L100" s="137" t="str" cm="1">
        <f t="array" ref="L100">Common_InputFunctions.Utility_DisplayArrayInTable(Fertiliser_SourceData.Fertiliser_Products_Data1(),FertiliserProducts[[#Headers],[Include or Exclude]], 0,4)</f>
        <v/>
      </c>
      <c r="M100" s="137" t="str" cm="1">
        <f t="array" ref="M100">Common_InputFunctions.Utility_DisplayArrayInTable(Fertiliser_SourceData.Fertiliser_Products_Data1(),FertiliserProducts[[#Headers],[Include or Exclude]], 0,4)</f>
        <v/>
      </c>
      <c r="N100" s="137" t="str" cm="1">
        <f t="array" ref="N100">Common_InputFunctions.Utility_DisplayArrayInTable(Fertiliser_SourceData.Fertiliser_Products_Data1(),FertiliserProducts[[#Headers],[Include or Exclude]], 0,4)</f>
        <v/>
      </c>
      <c r="O100" s="137" t="str" cm="1">
        <f t="array" ref="O100">Common_InputFunctions.Utility_DisplayArrayInTable(Fertiliser_SourceData.Fertiliser_Products_Data1(),FertiliserProducts[[#Headers],[Include or Exclude]], 0,4)</f>
        <v/>
      </c>
      <c r="P100" s="137" t="str" cm="1">
        <f t="array" ref="P100">Common_InputFunctions.Utility_DisplayArrayInTable(Fertiliser_SourceData.Fertiliser_Products_Data1(),FertiliserProducts[[#Headers],[Include or Exclude]], 0,4)</f>
        <v/>
      </c>
      <c r="Q100" s="137" t="str" cm="1">
        <f t="array" ref="Q100">Common_InputFunctions.Utility_DisplayArrayInTable(Fertiliser_SourceData.Fertiliser_Products_Data1(),FertiliserProducts[[#Headers],[Include or Exclude]], 0,4)</f>
        <v/>
      </c>
      <c r="R100" s="137" t="str" cm="1">
        <f t="array" ref="R100">Common_InputFunctions.Utility_DisplayArrayInTable(Fertiliser_SourceData.Fertiliser_Products_Data1(),FertiliserProducts[[#Headers],[Include or Exclude]], 0,4)</f>
        <v/>
      </c>
      <c r="S100" s="137" t="str" cm="1">
        <f t="array" ref="S100">Common_InputFunctions.Utility_DisplayArrayInTable(Fertiliser_SourceData.Fertiliser_Products_Data1(),FertiliserProducts[[#Headers],[Include or Exclude]], 0,4)</f>
        <v/>
      </c>
      <c r="T100" s="137" t="str" cm="1">
        <f t="array" ref="T100">Common_InputFunctions.Utility_DisplayArrayInTable(Fertiliser_SourceData.Fertiliser_Products_Data1(),FertiliserProducts[[#Headers],[Include or Exclude]], 0,4)</f>
        <v/>
      </c>
      <c r="U100" s="137" t="str" cm="1">
        <f t="array" ref="U100">Common_InputFunctions.Utility_DisplayArrayInTable(Fertiliser_SourceData.Fertiliser_Products_Data1(),FertiliserProducts[[#Headers],[Include or Exclude]], 0,4)</f>
        <v/>
      </c>
      <c r="V100" s="137" t="str" cm="1">
        <f t="array" ref="V100">Common_InputFunctions.Utility_DisplayArrayInTable(Fertiliser_SourceData.Fertiliser_Products_Data1(),FertiliserProducts[[#Headers],[Include or Exclude]], 0,4)</f>
        <v/>
      </c>
      <c r="W100" s="137" t="str" cm="1">
        <f t="array" ref="W100">Common_InputFunctions.Utility_DisplayArrayInTable(Fertiliser_SourceData.Fertiliser_Products_Data1(),FertiliserProducts[[#Headers],[Include or Exclude]], 0,4)</f>
        <v/>
      </c>
      <c r="X100" s="137" t="str" cm="1">
        <f t="array" ref="X100">Common_InputFunctions.Utility_DisplayArrayInTable(Fertiliser_SourceData.Fertiliser_Products_Data1(),FertiliserProducts[[#Headers],[Include or Exclude]], 0,4)</f>
        <v/>
      </c>
      <c r="Y100" s="137" t="str" cm="1">
        <f t="array" ref="Y100">Common_InputFunctions.Utility_DisplayArrayInTable(Fertiliser_SourceData.Fertiliser_Products_Data1(),FertiliserProducts[[#Headers],[Include or Exclude]], 0,4)</f>
        <v/>
      </c>
      <c r="Z100" s="137" t="str" cm="1">
        <f t="array" ref="Z100">Common_InputFunctions.Utility_DisplayArrayInTable(Fertiliser_SourceData.Fertiliser_Products_Data1(),FertiliserProducts[[#Headers],[Include or Exclude]], 0,4)</f>
        <v/>
      </c>
      <c r="AA100" s="137" t="str" cm="1">
        <f t="array" ref="AA100">Common_InputFunctions.Utility_DisplayArrayInTable(Fertiliser_SourceData.Fertiliser_Products_Data1(),FertiliserProducts[[#Headers],[Include or Exclude]], 0,4)</f>
        <v/>
      </c>
      <c r="AB100" s="137" t="str" cm="1">
        <f t="array" ref="AB100">Common_InputFunctions.Utility_DisplayArrayInTable(Fertiliser_SourceData.Fertiliser_Products_Data1(),FertiliserProducts[[#Headers],[Include or Exclude]], 0,4)</f>
        <v/>
      </c>
      <c r="AC100" s="137" t="str" cm="1">
        <f t="array" ref="AC100">Common_InputFunctions.Utility_DisplayArrayInTable(Fertiliser_SourceData.Fertiliser_Products_Data1(),FertiliserProducts[[#Headers],[Include or Exclude]], 0,4)</f>
        <v/>
      </c>
      <c r="AD100" s="137" t="str" cm="1">
        <f t="array" ref="AD100">Common_InputFunctions.Utility_DisplayArrayInTable(Fertiliser_SourceData.Fertiliser_Products_Data1(),FertiliserProducts[[#Headers],[Include or Exclude]], 0,4)</f>
        <v/>
      </c>
      <c r="AE100" s="137" t="str" cm="1">
        <f t="array" ref="AE100">Common_InputFunctions.Utility_DisplayArrayInTable(Fertiliser_SourceData.Fertiliser_Products_Data1(),FertiliserProducts[[#Headers],[Include or Exclude]], 0,4)</f>
        <v/>
      </c>
    </row>
    <row r="101" spans="4:31" ht="20.100000000000001" customHeight="1" x14ac:dyDescent="0.25">
      <c r="D101" s="137" t="str" cm="1">
        <f t="array" ref="D101">Common_InputFunctions.Utility_DisplayArrayInTable(Fertiliser_SourceData.Fertiliser_Products_Data1(),FertiliserProducts[[#Headers],[Include or Exclude]], -1)</f>
        <v>Exclude - Not relevant</v>
      </c>
      <c r="E101" s="137" t="str" cm="1">
        <f t="array" ref="E101">Common_InputFunctions.Utility_DisplayArrayInTable(Fertiliser_SourceData.Fertiliser_Products_Data1(),FertiliserProducts[[#Headers],[Include or Exclude]], 0)</f>
        <v/>
      </c>
      <c r="F101" s="137" t="str" cm="1">
        <f t="array" ref="F101">Common_InputFunctions.Utility_DisplayArrayInTable(Fertiliser_SourceData.Fertiliser_Products_Data1(),FertiliserProducts[[#Headers],[Include or Exclude]], 0)</f>
        <v>Campbells fertilisers Australia</v>
      </c>
      <c r="G101" s="137" t="str" cm="1">
        <f t="array" ref="G101">Common_InputFunctions.Utility_DisplayArrayInTable(Fertiliser_SourceData.Fertiliser_Products_Data1(),FertiliserProducts[[#Headers],[Include or Exclude]], 0)</f>
        <v>Asco Plus</v>
      </c>
      <c r="H101" s="137" t="str" cm="1">
        <f t="array" ref="H101">Common_InputFunctions.Utility_DisplayArrayInTable(Fertiliser_SourceData.Fertiliser_Products_Data1(),FertiliserProducts[[#Headers],[Include or Exclude]], 0,4)</f>
        <v/>
      </c>
      <c r="I101" s="137" t="str" cm="1">
        <f t="array" ref="I101">Common_InputFunctions.Utility_DisplayArrayInTable(Fertiliser_SourceData.Fertiliser_Products_Data1(),FertiliserProducts[[#Headers],[Include or Exclude]], 0,4)</f>
        <v/>
      </c>
      <c r="J101" s="137" t="str" cm="1">
        <f t="array" ref="J101">Common_InputFunctions.Utility_DisplayArrayInTable(Fertiliser_SourceData.Fertiliser_Products_Data1(),FertiliserProducts[[#Headers],[Include or Exclude]], 0,4)</f>
        <v/>
      </c>
      <c r="K101" s="137" t="str" cm="1">
        <f t="array" ref="K101">Common_InputFunctions.Utility_DisplayArrayInTable(Fertiliser_SourceData.Fertiliser_Products_Data1(),FertiliserProducts[[#Headers],[Include or Exclude]], 0,4)</f>
        <v/>
      </c>
      <c r="L101" s="137" t="str" cm="1">
        <f t="array" ref="L101">Common_InputFunctions.Utility_DisplayArrayInTable(Fertiliser_SourceData.Fertiliser_Products_Data1(),FertiliserProducts[[#Headers],[Include or Exclude]], 0,4)</f>
        <v/>
      </c>
      <c r="M101" s="137" t="str" cm="1">
        <f t="array" ref="M101">Common_InputFunctions.Utility_DisplayArrayInTable(Fertiliser_SourceData.Fertiliser_Products_Data1(),FertiliserProducts[[#Headers],[Include or Exclude]], 0,4)</f>
        <v/>
      </c>
      <c r="N101" s="137" t="str" cm="1">
        <f t="array" ref="N101">Common_InputFunctions.Utility_DisplayArrayInTable(Fertiliser_SourceData.Fertiliser_Products_Data1(),FertiliserProducts[[#Headers],[Include or Exclude]], 0,4)</f>
        <v/>
      </c>
      <c r="O101" s="137" t="str" cm="1">
        <f t="array" ref="O101">Common_InputFunctions.Utility_DisplayArrayInTable(Fertiliser_SourceData.Fertiliser_Products_Data1(),FertiliserProducts[[#Headers],[Include or Exclude]], 0,4)</f>
        <v/>
      </c>
      <c r="P101" s="137" t="str" cm="1">
        <f t="array" ref="P101">Common_InputFunctions.Utility_DisplayArrayInTable(Fertiliser_SourceData.Fertiliser_Products_Data1(),FertiliserProducts[[#Headers],[Include or Exclude]], 0,4)</f>
        <v/>
      </c>
      <c r="Q101" s="137" t="str" cm="1">
        <f t="array" ref="Q101">Common_InputFunctions.Utility_DisplayArrayInTable(Fertiliser_SourceData.Fertiliser_Products_Data1(),FertiliserProducts[[#Headers],[Include or Exclude]], 0,4)</f>
        <v/>
      </c>
      <c r="R101" s="137" t="str" cm="1">
        <f t="array" ref="R101">Common_InputFunctions.Utility_DisplayArrayInTable(Fertiliser_SourceData.Fertiliser_Products_Data1(),FertiliserProducts[[#Headers],[Include or Exclude]], 0,4)</f>
        <v/>
      </c>
      <c r="S101" s="137" t="str" cm="1">
        <f t="array" ref="S101">Common_InputFunctions.Utility_DisplayArrayInTable(Fertiliser_SourceData.Fertiliser_Products_Data1(),FertiliserProducts[[#Headers],[Include or Exclude]], 0,4)</f>
        <v/>
      </c>
      <c r="T101" s="137" t="str" cm="1">
        <f t="array" ref="T101">Common_InputFunctions.Utility_DisplayArrayInTable(Fertiliser_SourceData.Fertiliser_Products_Data1(),FertiliserProducts[[#Headers],[Include or Exclude]], 0,4)</f>
        <v/>
      </c>
      <c r="U101" s="137" t="str" cm="1">
        <f t="array" ref="U101">Common_InputFunctions.Utility_DisplayArrayInTable(Fertiliser_SourceData.Fertiliser_Products_Data1(),FertiliserProducts[[#Headers],[Include or Exclude]], 0,4)</f>
        <v/>
      </c>
      <c r="V101" s="137" t="str" cm="1">
        <f t="array" ref="V101">Common_InputFunctions.Utility_DisplayArrayInTable(Fertiliser_SourceData.Fertiliser_Products_Data1(),FertiliserProducts[[#Headers],[Include or Exclude]], 0,4)</f>
        <v/>
      </c>
      <c r="W101" s="137" t="str" cm="1">
        <f t="array" ref="W101">Common_InputFunctions.Utility_DisplayArrayInTable(Fertiliser_SourceData.Fertiliser_Products_Data1(),FertiliserProducts[[#Headers],[Include or Exclude]], 0,4)</f>
        <v/>
      </c>
      <c r="X101" s="137" t="str" cm="1">
        <f t="array" ref="X101">Common_InputFunctions.Utility_DisplayArrayInTable(Fertiliser_SourceData.Fertiliser_Products_Data1(),FertiliserProducts[[#Headers],[Include or Exclude]], 0,4)</f>
        <v/>
      </c>
      <c r="Y101" s="137" t="str" cm="1">
        <f t="array" ref="Y101">Common_InputFunctions.Utility_DisplayArrayInTable(Fertiliser_SourceData.Fertiliser_Products_Data1(),FertiliserProducts[[#Headers],[Include or Exclude]], 0,4)</f>
        <v/>
      </c>
      <c r="Z101" s="137" t="str" cm="1">
        <f t="array" ref="Z101">Common_InputFunctions.Utility_DisplayArrayInTable(Fertiliser_SourceData.Fertiliser_Products_Data1(),FertiliserProducts[[#Headers],[Include or Exclude]], 0,4)</f>
        <v/>
      </c>
      <c r="AA101" s="137" t="str" cm="1">
        <f t="array" ref="AA101">Common_InputFunctions.Utility_DisplayArrayInTable(Fertiliser_SourceData.Fertiliser_Products_Data1(),FertiliserProducts[[#Headers],[Include or Exclude]], 0,4)</f>
        <v/>
      </c>
      <c r="AB101" s="137" t="str" cm="1">
        <f t="array" ref="AB101">Common_InputFunctions.Utility_DisplayArrayInTable(Fertiliser_SourceData.Fertiliser_Products_Data1(),FertiliserProducts[[#Headers],[Include or Exclude]], 0,4)</f>
        <v/>
      </c>
      <c r="AC101" s="137" t="str" cm="1">
        <f t="array" ref="AC101">Common_InputFunctions.Utility_DisplayArrayInTable(Fertiliser_SourceData.Fertiliser_Products_Data1(),FertiliserProducts[[#Headers],[Include or Exclude]], 0,4)</f>
        <v/>
      </c>
      <c r="AD101" s="137" t="str" cm="1">
        <f t="array" ref="AD101">Common_InputFunctions.Utility_DisplayArrayInTable(Fertiliser_SourceData.Fertiliser_Products_Data1(),FertiliserProducts[[#Headers],[Include or Exclude]], 0,4)</f>
        <v/>
      </c>
      <c r="AE101" s="137" t="str" cm="1">
        <f t="array" ref="AE101">Common_InputFunctions.Utility_DisplayArrayInTable(Fertiliser_SourceData.Fertiliser_Products_Data1(),FertiliserProducts[[#Headers],[Include or Exclude]], 0,4)</f>
        <v/>
      </c>
    </row>
    <row r="102" spans="4:31" ht="20.100000000000001" customHeight="1" x14ac:dyDescent="0.25">
      <c r="D102" s="137" t="str" cm="1">
        <f t="array" ref="D102">Common_InputFunctions.Utility_DisplayArrayInTable(Fertiliser_SourceData.Fertiliser_Products_Data1(),FertiliserProducts[[#Headers],[Include or Exclude]], -1)</f>
        <v>Exclude - Not relevant</v>
      </c>
      <c r="E102" s="137" t="str" cm="1">
        <f t="array" ref="E102">Common_InputFunctions.Utility_DisplayArrayInTable(Fertiliser_SourceData.Fertiliser_Products_Data1(),FertiliserProducts[[#Headers],[Include or Exclude]], 0)</f>
        <v/>
      </c>
      <c r="F102" s="137" t="str" cm="1">
        <f t="array" ref="F102">Common_InputFunctions.Utility_DisplayArrayInTable(Fertiliser_SourceData.Fertiliser_Products_Data1(),FertiliserProducts[[#Headers],[Include or Exclude]], 0)</f>
        <v>Campbells fertilisers Australia</v>
      </c>
      <c r="G102" s="137" t="str" cm="1">
        <f t="array" ref="G102">Common_InputFunctions.Utility_DisplayArrayInTable(Fertiliser_SourceData.Fertiliser_Products_Data1(),FertiliserProducts[[#Headers],[Include or Exclude]], 0)</f>
        <v>Asco Rhizo Plus</v>
      </c>
      <c r="H102" s="137" t="str" cm="1">
        <f t="array" ref="H102">Common_InputFunctions.Utility_DisplayArrayInTable(Fertiliser_SourceData.Fertiliser_Products_Data1(),FertiliserProducts[[#Headers],[Include or Exclude]], 0,4)</f>
        <v/>
      </c>
      <c r="I102" s="137" t="str" cm="1">
        <f t="array" ref="I102">Common_InputFunctions.Utility_DisplayArrayInTable(Fertiliser_SourceData.Fertiliser_Products_Data1(),FertiliserProducts[[#Headers],[Include or Exclude]], 0,4)</f>
        <v/>
      </c>
      <c r="J102" s="137" t="str" cm="1">
        <f t="array" ref="J102">Common_InputFunctions.Utility_DisplayArrayInTable(Fertiliser_SourceData.Fertiliser_Products_Data1(),FertiliserProducts[[#Headers],[Include or Exclude]], 0,4)</f>
        <v/>
      </c>
      <c r="K102" s="137" t="str" cm="1">
        <f t="array" ref="K102">Common_InputFunctions.Utility_DisplayArrayInTable(Fertiliser_SourceData.Fertiliser_Products_Data1(),FertiliserProducts[[#Headers],[Include or Exclude]], 0,4)</f>
        <v/>
      </c>
      <c r="L102" s="137" t="str" cm="1">
        <f t="array" ref="L102">Common_InputFunctions.Utility_DisplayArrayInTable(Fertiliser_SourceData.Fertiliser_Products_Data1(),FertiliserProducts[[#Headers],[Include or Exclude]], 0,4)</f>
        <v/>
      </c>
      <c r="M102" s="137" t="str" cm="1">
        <f t="array" ref="M102">Common_InputFunctions.Utility_DisplayArrayInTable(Fertiliser_SourceData.Fertiliser_Products_Data1(),FertiliserProducts[[#Headers],[Include or Exclude]], 0,4)</f>
        <v/>
      </c>
      <c r="N102" s="137" t="str" cm="1">
        <f t="array" ref="N102">Common_InputFunctions.Utility_DisplayArrayInTable(Fertiliser_SourceData.Fertiliser_Products_Data1(),FertiliserProducts[[#Headers],[Include or Exclude]], 0,4)</f>
        <v/>
      </c>
      <c r="O102" s="137" t="str" cm="1">
        <f t="array" ref="O102">Common_InputFunctions.Utility_DisplayArrayInTable(Fertiliser_SourceData.Fertiliser_Products_Data1(),FertiliserProducts[[#Headers],[Include or Exclude]], 0,4)</f>
        <v/>
      </c>
      <c r="P102" s="137" t="str" cm="1">
        <f t="array" ref="P102">Common_InputFunctions.Utility_DisplayArrayInTable(Fertiliser_SourceData.Fertiliser_Products_Data1(),FertiliserProducts[[#Headers],[Include or Exclude]], 0,4)</f>
        <v/>
      </c>
      <c r="Q102" s="137" t="str" cm="1">
        <f t="array" ref="Q102">Common_InputFunctions.Utility_DisplayArrayInTable(Fertiliser_SourceData.Fertiliser_Products_Data1(),FertiliserProducts[[#Headers],[Include or Exclude]], 0,4)</f>
        <v/>
      </c>
      <c r="R102" s="137" t="str" cm="1">
        <f t="array" ref="R102">Common_InputFunctions.Utility_DisplayArrayInTable(Fertiliser_SourceData.Fertiliser_Products_Data1(),FertiliserProducts[[#Headers],[Include or Exclude]], 0,4)</f>
        <v/>
      </c>
      <c r="S102" s="137" t="str" cm="1">
        <f t="array" ref="S102">Common_InputFunctions.Utility_DisplayArrayInTable(Fertiliser_SourceData.Fertiliser_Products_Data1(),FertiliserProducts[[#Headers],[Include or Exclude]], 0,4)</f>
        <v/>
      </c>
      <c r="T102" s="137" t="str" cm="1">
        <f t="array" ref="T102">Common_InputFunctions.Utility_DisplayArrayInTable(Fertiliser_SourceData.Fertiliser_Products_Data1(),FertiliserProducts[[#Headers],[Include or Exclude]], 0,4)</f>
        <v/>
      </c>
      <c r="U102" s="137" t="str" cm="1">
        <f t="array" ref="U102">Common_InputFunctions.Utility_DisplayArrayInTable(Fertiliser_SourceData.Fertiliser_Products_Data1(),FertiliserProducts[[#Headers],[Include or Exclude]], 0,4)</f>
        <v/>
      </c>
      <c r="V102" s="137" t="str" cm="1">
        <f t="array" ref="V102">Common_InputFunctions.Utility_DisplayArrayInTable(Fertiliser_SourceData.Fertiliser_Products_Data1(),FertiliserProducts[[#Headers],[Include or Exclude]], 0,4)</f>
        <v/>
      </c>
      <c r="W102" s="137" t="str" cm="1">
        <f t="array" ref="W102">Common_InputFunctions.Utility_DisplayArrayInTable(Fertiliser_SourceData.Fertiliser_Products_Data1(),FertiliserProducts[[#Headers],[Include or Exclude]], 0,4)</f>
        <v/>
      </c>
      <c r="X102" s="137" t="str" cm="1">
        <f t="array" ref="X102">Common_InputFunctions.Utility_DisplayArrayInTable(Fertiliser_SourceData.Fertiliser_Products_Data1(),FertiliserProducts[[#Headers],[Include or Exclude]], 0,4)</f>
        <v/>
      </c>
      <c r="Y102" s="137" t="str" cm="1">
        <f t="array" ref="Y102">Common_InputFunctions.Utility_DisplayArrayInTable(Fertiliser_SourceData.Fertiliser_Products_Data1(),FertiliserProducts[[#Headers],[Include or Exclude]], 0,4)</f>
        <v/>
      </c>
      <c r="Z102" s="137" t="str" cm="1">
        <f t="array" ref="Z102">Common_InputFunctions.Utility_DisplayArrayInTable(Fertiliser_SourceData.Fertiliser_Products_Data1(),FertiliserProducts[[#Headers],[Include or Exclude]], 0,4)</f>
        <v/>
      </c>
      <c r="AA102" s="137" t="str" cm="1">
        <f t="array" ref="AA102">Common_InputFunctions.Utility_DisplayArrayInTable(Fertiliser_SourceData.Fertiliser_Products_Data1(),FertiliserProducts[[#Headers],[Include or Exclude]], 0,4)</f>
        <v/>
      </c>
      <c r="AB102" s="137" t="str" cm="1">
        <f t="array" ref="AB102">Common_InputFunctions.Utility_DisplayArrayInTable(Fertiliser_SourceData.Fertiliser_Products_Data1(),FertiliserProducts[[#Headers],[Include or Exclude]], 0,4)</f>
        <v/>
      </c>
      <c r="AC102" s="137" t="str" cm="1">
        <f t="array" ref="AC102">Common_InputFunctions.Utility_DisplayArrayInTable(Fertiliser_SourceData.Fertiliser_Products_Data1(),FertiliserProducts[[#Headers],[Include or Exclude]], 0,4)</f>
        <v/>
      </c>
      <c r="AD102" s="137" t="str" cm="1">
        <f t="array" ref="AD102">Common_InputFunctions.Utility_DisplayArrayInTable(Fertiliser_SourceData.Fertiliser_Products_Data1(),FertiliserProducts[[#Headers],[Include or Exclude]], 0,4)</f>
        <v/>
      </c>
      <c r="AE102" s="137" t="str" cm="1">
        <f t="array" ref="AE102">Common_InputFunctions.Utility_DisplayArrayInTable(Fertiliser_SourceData.Fertiliser_Products_Data1(),FertiliserProducts[[#Headers],[Include or Exclude]], 0,4)</f>
        <v/>
      </c>
    </row>
    <row r="103" spans="4:31" ht="20.100000000000001" customHeight="1" x14ac:dyDescent="0.25">
      <c r="D103" s="137" t="str" cm="1">
        <f t="array" ref="D103">Common_InputFunctions.Utility_DisplayArrayInTable(Fertiliser_SourceData.Fertiliser_Products_Data1(),FertiliserProducts[[#Headers],[Include or Exclude]], -1)</f>
        <v>Include - Absent ingredients &lt; 2%</v>
      </c>
      <c r="E103" s="137" t="str" cm="1">
        <f t="array" ref="E103">Common_InputFunctions.Utility_DisplayArrayInTable(Fertiliser_SourceData.Fertiliser_Products_Data1(),FertiliserProducts[[#Headers],[Include or Exclude]], 0)</f>
        <v/>
      </c>
      <c r="F103" s="137" t="str" cm="1">
        <f t="array" ref="F103">Common_InputFunctions.Utility_DisplayArrayInTable(Fertiliser_SourceData.Fertiliser_Products_Data1(),FertiliserProducts[[#Headers],[Include or Exclude]], 0)</f>
        <v>Campbells fertilisers Australia</v>
      </c>
      <c r="G103" s="137" t="str" cm="1">
        <f t="array" ref="G103">Common_InputFunctions.Utility_DisplayArrayInTable(Fertiliser_SourceData.Fertiliser_Products_Data1(),FertiliserProducts[[#Headers],[Include or Exclude]], 0)</f>
        <v>Benefit PZ</v>
      </c>
      <c r="H103" s="137" t="str" cm="1">
        <f t="array" ref="H103">Common_InputFunctions.Utility_DisplayArrayInTable(Fertiliser_SourceData.Fertiliser_Products_Data1(),FertiliserProducts[[#Headers],[Include or Exclude]], 0,4)</f>
        <v/>
      </c>
      <c r="I103" s="137" t="str" cm="1">
        <f t="array" ref="I103">Common_InputFunctions.Utility_DisplayArrayInTable(Fertiliser_SourceData.Fertiliser_Products_Data1(),FertiliserProducts[[#Headers],[Include or Exclude]], 0,4)</f>
        <v/>
      </c>
      <c r="J103" s="137" t="str" cm="1">
        <f t="array" ref="J103">Common_InputFunctions.Utility_DisplayArrayInTable(Fertiliser_SourceData.Fertiliser_Products_Data1(),FertiliserProducts[[#Headers],[Include or Exclude]], 0,4)</f>
        <v/>
      </c>
      <c r="K103" s="137" t="str" cm="1">
        <f t="array" ref="K103">Common_InputFunctions.Utility_DisplayArrayInTable(Fertiliser_SourceData.Fertiliser_Products_Data1(),FertiliserProducts[[#Headers],[Include or Exclude]], 0,4)</f>
        <v/>
      </c>
      <c r="L103" s="137" t="str" cm="1">
        <f t="array" ref="L103">Common_InputFunctions.Utility_DisplayArrayInTable(Fertiliser_SourceData.Fertiliser_Products_Data1(),FertiliserProducts[[#Headers],[Include or Exclude]], 0,4)</f>
        <v/>
      </c>
      <c r="M103" s="137" t="str" cm="1">
        <f t="array" ref="M103">Common_InputFunctions.Utility_DisplayArrayInTable(Fertiliser_SourceData.Fertiliser_Products_Data1(),FertiliserProducts[[#Headers],[Include or Exclude]], 0,4)</f>
        <v/>
      </c>
      <c r="N103" s="137" t="str" cm="1">
        <f t="array" ref="N103">Common_InputFunctions.Utility_DisplayArrayInTable(Fertiliser_SourceData.Fertiliser_Products_Data1(),FertiliserProducts[[#Headers],[Include or Exclude]], 0,4)</f>
        <v/>
      </c>
      <c r="O103" s="137" t="str" cm="1">
        <f t="array" ref="O103">Common_InputFunctions.Utility_DisplayArrayInTable(Fertiliser_SourceData.Fertiliser_Products_Data1(),FertiliserProducts[[#Headers],[Include or Exclude]], 0,4)</f>
        <v/>
      </c>
      <c r="P103" s="137" t="str" cm="1">
        <f t="array" ref="P103">Common_InputFunctions.Utility_DisplayArrayInTable(Fertiliser_SourceData.Fertiliser_Products_Data1(),FertiliserProducts[[#Headers],[Include or Exclude]], 0,4)</f>
        <v/>
      </c>
      <c r="Q103" s="137" t="str" cm="1">
        <f t="array" ref="Q103">Common_InputFunctions.Utility_DisplayArrayInTable(Fertiliser_SourceData.Fertiliser_Products_Data1(),FertiliserProducts[[#Headers],[Include or Exclude]], 0,4)</f>
        <v/>
      </c>
      <c r="R103" s="137" t="str" cm="1">
        <f t="array" ref="R103">Common_InputFunctions.Utility_DisplayArrayInTable(Fertiliser_SourceData.Fertiliser_Products_Data1(),FertiliserProducts[[#Headers],[Include or Exclude]], 0,4)</f>
        <v/>
      </c>
      <c r="S103" s="137" t="str" cm="1">
        <f t="array" ref="S103">Common_InputFunctions.Utility_DisplayArrayInTable(Fertiliser_SourceData.Fertiliser_Products_Data1(),FertiliserProducts[[#Headers],[Include or Exclude]], 0,4)</f>
        <v/>
      </c>
      <c r="T103" s="137" t="str" cm="1">
        <f t="array" ref="T103">Common_InputFunctions.Utility_DisplayArrayInTable(Fertiliser_SourceData.Fertiliser_Products_Data1(),FertiliserProducts[[#Headers],[Include or Exclude]], 0,4)</f>
        <v/>
      </c>
      <c r="U103" s="137" t="str" cm="1">
        <f t="array" ref="U103">Common_InputFunctions.Utility_DisplayArrayInTable(Fertiliser_SourceData.Fertiliser_Products_Data1(),FertiliserProducts[[#Headers],[Include or Exclude]], 0,4)</f>
        <v/>
      </c>
      <c r="V103" s="137" t="str" cm="1">
        <f t="array" ref="V103">Common_InputFunctions.Utility_DisplayArrayInTable(Fertiliser_SourceData.Fertiliser_Products_Data1(),FertiliserProducts[[#Headers],[Include or Exclude]], 0,4)</f>
        <v/>
      </c>
      <c r="W103" s="137" t="str" cm="1">
        <f t="array" ref="W103">Common_InputFunctions.Utility_DisplayArrayInTable(Fertiliser_SourceData.Fertiliser_Products_Data1(),FertiliserProducts[[#Headers],[Include or Exclude]], 0,4)</f>
        <v/>
      </c>
      <c r="X103" s="137" t="str" cm="1">
        <f t="array" ref="X103">Common_InputFunctions.Utility_DisplayArrayInTable(Fertiliser_SourceData.Fertiliser_Products_Data1(),FertiliserProducts[[#Headers],[Include or Exclude]], 0,4)</f>
        <v/>
      </c>
      <c r="Y103" s="137" t="str" cm="1">
        <f t="array" ref="Y103">Common_InputFunctions.Utility_DisplayArrayInTable(Fertiliser_SourceData.Fertiliser_Products_Data1(),FertiliserProducts[[#Headers],[Include or Exclude]], 0,4)</f>
        <v/>
      </c>
      <c r="Z103" s="137" t="str" cm="1">
        <f t="array" ref="Z103">Common_InputFunctions.Utility_DisplayArrayInTable(Fertiliser_SourceData.Fertiliser_Products_Data1(),FertiliserProducts[[#Headers],[Include or Exclude]], 0,4)</f>
        <v/>
      </c>
      <c r="AA103" s="137" t="str" cm="1">
        <f t="array" ref="AA103">Common_InputFunctions.Utility_DisplayArrayInTable(Fertiliser_SourceData.Fertiliser_Products_Data1(),FertiliserProducts[[#Headers],[Include or Exclude]], 0,4)</f>
        <v/>
      </c>
      <c r="AB103" s="137" t="str" cm="1">
        <f t="array" ref="AB103">Common_InputFunctions.Utility_DisplayArrayInTable(Fertiliser_SourceData.Fertiliser_Products_Data1(),FertiliserProducts[[#Headers],[Include or Exclude]], 0,4)</f>
        <v/>
      </c>
      <c r="AC103" s="137" t="str" cm="1">
        <f t="array" ref="AC103">Common_InputFunctions.Utility_DisplayArrayInTable(Fertiliser_SourceData.Fertiliser_Products_Data1(),FertiliserProducts[[#Headers],[Include or Exclude]], 0,4)</f>
        <v/>
      </c>
      <c r="AD103" s="137" t="str" cm="1">
        <f t="array" ref="AD103">Common_InputFunctions.Utility_DisplayArrayInTable(Fertiliser_SourceData.Fertiliser_Products_Data1(),FertiliserProducts[[#Headers],[Include or Exclude]], 0,4)</f>
        <v/>
      </c>
      <c r="AE103" s="137" t="str" cm="1">
        <f t="array" ref="AE103">Common_InputFunctions.Utility_DisplayArrayInTable(Fertiliser_SourceData.Fertiliser_Products_Data1(),FertiliserProducts[[#Headers],[Include or Exclude]], 0,4)</f>
        <v/>
      </c>
    </row>
    <row r="104" spans="4:31" ht="20.100000000000001" customHeight="1" x14ac:dyDescent="0.25">
      <c r="D104" s="137" t="str" cm="1">
        <f t="array" ref="D104">Common_InputFunctions.Utility_DisplayArrayInTable(Fertiliser_SourceData.Fertiliser_Products_Data1(),FertiliserProducts[[#Headers],[Include or Exclude]], -1)</f>
        <v>Exclude - Not relevant</v>
      </c>
      <c r="E104" s="137" t="str" cm="1">
        <f t="array" ref="E104">Common_InputFunctions.Utility_DisplayArrayInTable(Fertiliser_SourceData.Fertiliser_Products_Data1(),FertiliserProducts[[#Headers],[Include or Exclude]], 0)</f>
        <v>Amount of urea calculated from urea nitrogen amount</v>
      </c>
      <c r="F104" s="137" t="str" cm="1">
        <f t="array" ref="F104">Common_InputFunctions.Utility_DisplayArrayInTable(Fertiliser_SourceData.Fertiliser_Products_Data1(),FertiliserProducts[[#Headers],[Include or Exclude]], 0)</f>
        <v>Campbells fertilisers Australia</v>
      </c>
      <c r="G104" s="137" t="str" cm="1">
        <f t="array" ref="G104">Common_InputFunctions.Utility_DisplayArrayInTable(Fertiliser_SourceData.Fertiliser_Products_Data1(),FertiliserProducts[[#Headers],[Include or Exclude]], 0)</f>
        <v>Boost-It</v>
      </c>
      <c r="H104" s="137" t="str" cm="1">
        <f t="array" ref="H104">Common_InputFunctions.Utility_DisplayArrayInTable(Fertiliser_SourceData.Fertiliser_Products_Data1(),FertiliserProducts[[#Headers],[Include or Exclude]], 0,4)</f>
        <v>kg</v>
      </c>
      <c r="I104" s="137" cm="1">
        <f t="array" ref="I104">Common_InputFunctions.Utility_DisplayArrayInTable(Fertiliser_SourceData.Fertiliser_Products_Data1(),FertiliserProducts[[#Headers],[Include or Exclude]], 0,4)</f>
        <v>1</v>
      </c>
      <c r="J104" s="137" t="str" cm="1">
        <f t="array" ref="J104">Common_InputFunctions.Utility_DisplayArrayInTable(Fertiliser_SourceData.Fertiliser_Products_Data1(),FertiliserProducts[[#Headers],[Include or Exclude]], 0,4)</f>
        <v/>
      </c>
      <c r="K104" s="137" t="str" cm="1">
        <f t="array" ref="K104">Common_InputFunctions.Utility_DisplayArrayInTable(Fertiliser_SourceData.Fertiliser_Products_Data1(),FertiliserProducts[[#Headers],[Include or Exclude]], 0,4)</f>
        <v/>
      </c>
      <c r="L104" s="137" t="str" cm="1">
        <f t="array" ref="L104">Common_InputFunctions.Utility_DisplayArrayInTable(Fertiliser_SourceData.Fertiliser_Products_Data1(),FertiliserProducts[[#Headers],[Include or Exclude]], 0,4)</f>
        <v>Urea</v>
      </c>
      <c r="M104" s="137" cm="1">
        <f t="array" ref="M104">Common_InputFunctions.Utility_DisplayArrayInTable(Fertiliser_SourceData.Fertiliser_Products_Data1(),FertiliserProducts[[#Headers],[Include or Exclude]], 0,4)</f>
        <v>0.52173913000000005</v>
      </c>
      <c r="N104" s="137" t="str" cm="1">
        <f t="array" ref="N104">Common_InputFunctions.Utility_DisplayArrayInTable(Fertiliser_SourceData.Fertiliser_Products_Data1(),FertiliserProducts[[#Headers],[Include or Exclude]], 0,4)</f>
        <v>Potassium - Generic</v>
      </c>
      <c r="O104" s="137" cm="1">
        <f t="array" ref="O104">Common_InputFunctions.Utility_DisplayArrayInTable(Fertiliser_SourceData.Fertiliser_Products_Data1(),FertiliserProducts[[#Headers],[Include or Exclude]], 0,4)</f>
        <v>0.08</v>
      </c>
      <c r="P104" s="137" t="str" cm="1">
        <f t="array" ref="P104">Common_InputFunctions.Utility_DisplayArrayInTable(Fertiliser_SourceData.Fertiliser_Products_Data1(),FertiliserProducts[[#Headers],[Include or Exclude]], 0,4)</f>
        <v>Sulfur - Generic</v>
      </c>
      <c r="Q104" s="137" cm="1">
        <f t="array" ref="Q104">Common_InputFunctions.Utility_DisplayArrayInTable(Fertiliser_SourceData.Fertiliser_Products_Data1(),FertiliserProducts[[#Headers],[Include or Exclude]], 0,4)</f>
        <v>5.2999999999999999E-2</v>
      </c>
      <c r="R104" s="137" t="str" cm="1">
        <f t="array" ref="R104">Common_InputFunctions.Utility_DisplayArrayInTable(Fertiliser_SourceData.Fertiliser_Products_Data1(),FertiliserProducts[[#Headers],[Include or Exclude]], 0,4)</f>
        <v>Phosphorus - Generic</v>
      </c>
      <c r="S104" s="137" cm="1">
        <f t="array" ref="S104">Common_InputFunctions.Utility_DisplayArrayInTable(Fertiliser_SourceData.Fertiliser_Products_Data1(),FertiliserProducts[[#Headers],[Include or Exclude]], 0,4)</f>
        <v>5.1999999999999998E-2</v>
      </c>
      <c r="T104" s="137" t="str" cm="1">
        <f t="array" ref="T104">Common_InputFunctions.Utility_DisplayArrayInTable(Fertiliser_SourceData.Fertiliser_Products_Data1(),FertiliserProducts[[#Headers],[Include or Exclude]], 0,4)</f>
        <v>Magnesium</v>
      </c>
      <c r="U104" s="137" cm="1">
        <f t="array" ref="U104">Common_InputFunctions.Utility_DisplayArrayInTable(Fertiliser_SourceData.Fertiliser_Products_Data1(),FertiliserProducts[[#Headers],[Include or Exclude]], 0,4)</f>
        <v>1.2999999999999999E-2</v>
      </c>
      <c r="V104" s="137" t="str" cm="1">
        <f t="array" ref="V104">Common_InputFunctions.Utility_DisplayArrayInTable(Fertiliser_SourceData.Fertiliser_Products_Data1(),FertiliserProducts[[#Headers],[Include or Exclude]], 0,4)</f>
        <v>Zinc</v>
      </c>
      <c r="W104" s="137" cm="1">
        <f t="array" ref="W104">Common_InputFunctions.Utility_DisplayArrayInTable(Fertiliser_SourceData.Fertiliser_Products_Data1(),FertiliserProducts[[#Headers],[Include or Exclude]], 0,4)</f>
        <v>2E-3</v>
      </c>
      <c r="X104" s="137" t="str" cm="1">
        <f t="array" ref="X104">Common_InputFunctions.Utility_DisplayArrayInTable(Fertiliser_SourceData.Fertiliser_Products_Data1(),FertiliserProducts[[#Headers],[Include or Exclude]], 0,4)</f>
        <v>Manganese</v>
      </c>
      <c r="Y104" s="137" cm="1">
        <f t="array" ref="Y104">Common_InputFunctions.Utility_DisplayArrayInTable(Fertiliser_SourceData.Fertiliser_Products_Data1(),FertiliserProducts[[#Headers],[Include or Exclude]], 0,4)</f>
        <v>3.5000000000000001E-3</v>
      </c>
      <c r="Z104" s="137" t="str" cm="1">
        <f t="array" ref="Z104">Common_InputFunctions.Utility_DisplayArrayInTable(Fertiliser_SourceData.Fertiliser_Products_Data1(),FertiliserProducts[[#Headers],[Include or Exclude]], 0,4)</f>
        <v>Iron</v>
      </c>
      <c r="AA104" s="137" cm="1">
        <f t="array" ref="AA104">Common_InputFunctions.Utility_DisplayArrayInTable(Fertiliser_SourceData.Fertiliser_Products_Data1(),FertiliserProducts[[#Headers],[Include or Exclude]], 0,4)</f>
        <v>1.2999999999999999E-3</v>
      </c>
      <c r="AB104" s="137" t="str" cm="1">
        <f t="array" ref="AB104">Common_InputFunctions.Utility_DisplayArrayInTable(Fertiliser_SourceData.Fertiliser_Products_Data1(),FertiliserProducts[[#Headers],[Include or Exclude]], 0,4)</f>
        <v>Copper</v>
      </c>
      <c r="AC104" s="137" cm="1">
        <f t="array" ref="AC104">Common_InputFunctions.Utility_DisplayArrayInTable(Fertiliser_SourceData.Fertiliser_Products_Data1(),FertiliserProducts[[#Headers],[Include or Exclude]], 0,4)</f>
        <v>6.9999999999999999E-4</v>
      </c>
      <c r="AD104" s="137" t="str" cm="1">
        <f t="array" ref="AD104">Common_InputFunctions.Utility_DisplayArrayInTable(Fertiliser_SourceData.Fertiliser_Products_Data1(),FertiliserProducts[[#Headers],[Include or Exclude]], 0,4)</f>
        <v>Boron</v>
      </c>
      <c r="AE104" s="137" cm="1">
        <f t="array" ref="AE104">Common_InputFunctions.Utility_DisplayArrayInTable(Fertiliser_SourceData.Fertiliser_Products_Data1(),FertiliserProducts[[#Headers],[Include or Exclude]], 0,4)</f>
        <v>6.9999999999999999E-4</v>
      </c>
    </row>
    <row r="105" spans="4:31" ht="20.100000000000001" customHeight="1" x14ac:dyDescent="0.25">
      <c r="D105" s="137" t="str" cm="1">
        <f t="array" ref="D105">Common_InputFunctions.Utility_DisplayArrayInTable(Fertiliser_SourceData.Fertiliser_Products_Data1(),FertiliserProducts[[#Headers],[Include or Exclude]], -1)</f>
        <v>Exclude - Not relevant</v>
      </c>
      <c r="E105" s="137" t="str" cm="1">
        <f t="array" ref="E105">Common_InputFunctions.Utility_DisplayArrayInTable(Fertiliser_SourceData.Fertiliser_Products_Data1(),FertiliserProducts[[#Headers],[Include or Exclude]], 0)</f>
        <v/>
      </c>
      <c r="F105" s="137" t="str" cm="1">
        <f t="array" ref="F105">Common_InputFunctions.Utility_DisplayArrayInTable(Fertiliser_SourceData.Fertiliser_Products_Data1(),FertiliserProducts[[#Headers],[Include or Exclude]], 0)</f>
        <v>Campbells fertilisers Australia</v>
      </c>
      <c r="G105" s="137" t="str" cm="1">
        <f t="array" ref="G105">Common_InputFunctions.Utility_DisplayArrayInTable(Fertiliser_SourceData.Fertiliser_Products_Data1(),FertiliserProducts[[#Headers],[Include or Exclude]], 0)</f>
        <v>Boroplus</v>
      </c>
      <c r="H105" s="137" t="str" cm="1">
        <f t="array" ref="H105">Common_InputFunctions.Utility_DisplayArrayInTable(Fertiliser_SourceData.Fertiliser_Products_Data1(),FertiliserProducts[[#Headers],[Include or Exclude]], 0,4)</f>
        <v/>
      </c>
      <c r="I105" s="137" t="str" cm="1">
        <f t="array" ref="I105">Common_InputFunctions.Utility_DisplayArrayInTable(Fertiliser_SourceData.Fertiliser_Products_Data1(),FertiliserProducts[[#Headers],[Include or Exclude]], 0,4)</f>
        <v/>
      </c>
      <c r="J105" s="137" t="str" cm="1">
        <f t="array" ref="J105">Common_InputFunctions.Utility_DisplayArrayInTable(Fertiliser_SourceData.Fertiliser_Products_Data1(),FertiliserProducts[[#Headers],[Include or Exclude]], 0,4)</f>
        <v/>
      </c>
      <c r="K105" s="137" t="str" cm="1">
        <f t="array" ref="K105">Common_InputFunctions.Utility_DisplayArrayInTable(Fertiliser_SourceData.Fertiliser_Products_Data1(),FertiliserProducts[[#Headers],[Include or Exclude]], 0,4)</f>
        <v/>
      </c>
      <c r="L105" s="137" t="str" cm="1">
        <f t="array" ref="L105">Common_InputFunctions.Utility_DisplayArrayInTable(Fertiliser_SourceData.Fertiliser_Products_Data1(),FertiliserProducts[[#Headers],[Include or Exclude]], 0,4)</f>
        <v/>
      </c>
      <c r="M105" s="137" t="str" cm="1">
        <f t="array" ref="M105">Common_InputFunctions.Utility_DisplayArrayInTable(Fertiliser_SourceData.Fertiliser_Products_Data1(),FertiliserProducts[[#Headers],[Include or Exclude]], 0,4)</f>
        <v/>
      </c>
      <c r="N105" s="137" t="str" cm="1">
        <f t="array" ref="N105">Common_InputFunctions.Utility_DisplayArrayInTable(Fertiliser_SourceData.Fertiliser_Products_Data1(),FertiliserProducts[[#Headers],[Include or Exclude]], 0,4)</f>
        <v/>
      </c>
      <c r="O105" s="137" t="str" cm="1">
        <f t="array" ref="O105">Common_InputFunctions.Utility_DisplayArrayInTable(Fertiliser_SourceData.Fertiliser_Products_Data1(),FertiliserProducts[[#Headers],[Include or Exclude]], 0,4)</f>
        <v/>
      </c>
      <c r="P105" s="137" t="str" cm="1">
        <f t="array" ref="P105">Common_InputFunctions.Utility_DisplayArrayInTable(Fertiliser_SourceData.Fertiliser_Products_Data1(),FertiliserProducts[[#Headers],[Include or Exclude]], 0,4)</f>
        <v/>
      </c>
      <c r="Q105" s="137" t="str" cm="1">
        <f t="array" ref="Q105">Common_InputFunctions.Utility_DisplayArrayInTable(Fertiliser_SourceData.Fertiliser_Products_Data1(),FertiliserProducts[[#Headers],[Include or Exclude]], 0,4)</f>
        <v/>
      </c>
      <c r="R105" s="137" t="str" cm="1">
        <f t="array" ref="R105">Common_InputFunctions.Utility_DisplayArrayInTable(Fertiliser_SourceData.Fertiliser_Products_Data1(),FertiliserProducts[[#Headers],[Include or Exclude]], 0,4)</f>
        <v/>
      </c>
      <c r="S105" s="137" t="str" cm="1">
        <f t="array" ref="S105">Common_InputFunctions.Utility_DisplayArrayInTable(Fertiliser_SourceData.Fertiliser_Products_Data1(),FertiliserProducts[[#Headers],[Include or Exclude]], 0,4)</f>
        <v/>
      </c>
      <c r="T105" s="137" t="str" cm="1">
        <f t="array" ref="T105">Common_InputFunctions.Utility_DisplayArrayInTable(Fertiliser_SourceData.Fertiliser_Products_Data1(),FertiliserProducts[[#Headers],[Include or Exclude]], 0,4)</f>
        <v/>
      </c>
      <c r="U105" s="137" t="str" cm="1">
        <f t="array" ref="U105">Common_InputFunctions.Utility_DisplayArrayInTable(Fertiliser_SourceData.Fertiliser_Products_Data1(),FertiliserProducts[[#Headers],[Include or Exclude]], 0,4)</f>
        <v/>
      </c>
      <c r="V105" s="137" t="str" cm="1">
        <f t="array" ref="V105">Common_InputFunctions.Utility_DisplayArrayInTable(Fertiliser_SourceData.Fertiliser_Products_Data1(),FertiliserProducts[[#Headers],[Include or Exclude]], 0,4)</f>
        <v/>
      </c>
      <c r="W105" s="137" t="str" cm="1">
        <f t="array" ref="W105">Common_InputFunctions.Utility_DisplayArrayInTable(Fertiliser_SourceData.Fertiliser_Products_Data1(),FertiliserProducts[[#Headers],[Include or Exclude]], 0,4)</f>
        <v/>
      </c>
      <c r="X105" s="137" t="str" cm="1">
        <f t="array" ref="X105">Common_InputFunctions.Utility_DisplayArrayInTable(Fertiliser_SourceData.Fertiliser_Products_Data1(),FertiliserProducts[[#Headers],[Include or Exclude]], 0,4)</f>
        <v/>
      </c>
      <c r="Y105" s="137" t="str" cm="1">
        <f t="array" ref="Y105">Common_InputFunctions.Utility_DisplayArrayInTable(Fertiliser_SourceData.Fertiliser_Products_Data1(),FertiliserProducts[[#Headers],[Include or Exclude]], 0,4)</f>
        <v/>
      </c>
      <c r="Z105" s="137" t="str" cm="1">
        <f t="array" ref="Z105">Common_InputFunctions.Utility_DisplayArrayInTable(Fertiliser_SourceData.Fertiliser_Products_Data1(),FertiliserProducts[[#Headers],[Include or Exclude]], 0,4)</f>
        <v/>
      </c>
      <c r="AA105" s="137" t="str" cm="1">
        <f t="array" ref="AA105">Common_InputFunctions.Utility_DisplayArrayInTable(Fertiliser_SourceData.Fertiliser_Products_Data1(),FertiliserProducts[[#Headers],[Include or Exclude]], 0,4)</f>
        <v/>
      </c>
      <c r="AB105" s="137" t="str" cm="1">
        <f t="array" ref="AB105">Common_InputFunctions.Utility_DisplayArrayInTable(Fertiliser_SourceData.Fertiliser_Products_Data1(),FertiliserProducts[[#Headers],[Include or Exclude]], 0,4)</f>
        <v/>
      </c>
      <c r="AC105" s="137" t="str" cm="1">
        <f t="array" ref="AC105">Common_InputFunctions.Utility_DisplayArrayInTable(Fertiliser_SourceData.Fertiliser_Products_Data1(),FertiliserProducts[[#Headers],[Include or Exclude]], 0,4)</f>
        <v/>
      </c>
      <c r="AD105" s="137" t="str" cm="1">
        <f t="array" ref="AD105">Common_InputFunctions.Utility_DisplayArrayInTable(Fertiliser_SourceData.Fertiliser_Products_Data1(),FertiliserProducts[[#Headers],[Include or Exclude]], 0,4)</f>
        <v/>
      </c>
      <c r="AE105" s="137" t="str" cm="1">
        <f t="array" ref="AE105">Common_InputFunctions.Utility_DisplayArrayInTable(Fertiliser_SourceData.Fertiliser_Products_Data1(),FertiliserProducts[[#Headers],[Include or Exclude]], 0,4)</f>
        <v/>
      </c>
    </row>
    <row r="106" spans="4:31" ht="20.100000000000001" customHeight="1" x14ac:dyDescent="0.25">
      <c r="D106" s="137" t="str" cm="1">
        <f t="array" ref="D106">Common_InputFunctions.Utility_DisplayArrayInTable(Fertiliser_SourceData.Fertiliser_Products_Data1(),FertiliserProducts[[#Headers],[Include or Exclude]], -1)</f>
        <v>Exclude - Not relevant</v>
      </c>
      <c r="E106" s="137" t="str" cm="1">
        <f t="array" ref="E106">Common_InputFunctions.Utility_DisplayArrayInTable(Fertiliser_SourceData.Fertiliser_Products_Data1(),FertiliserProducts[[#Headers],[Include or Exclude]], 0)</f>
        <v/>
      </c>
      <c r="F106" s="137" t="str" cm="1">
        <f t="array" ref="F106">Common_InputFunctions.Utility_DisplayArrayInTable(Fertiliser_SourceData.Fertiliser_Products_Data1(),FertiliserProducts[[#Headers],[Include or Exclude]], 0)</f>
        <v>Campbells fertilisers Australia</v>
      </c>
      <c r="G106" s="137" t="str" cm="1">
        <f t="array" ref="G106">Common_InputFunctions.Utility_DisplayArrayInTable(Fertiliser_SourceData.Fertiliser_Products_Data1(),FertiliserProducts[[#Headers],[Include or Exclude]], 0)</f>
        <v>Brevisol Range</v>
      </c>
      <c r="H106" s="137" t="str" cm="1">
        <f t="array" ref="H106">Common_InputFunctions.Utility_DisplayArrayInTable(Fertiliser_SourceData.Fertiliser_Products_Data1(),FertiliserProducts[[#Headers],[Include or Exclude]], 0,4)</f>
        <v/>
      </c>
      <c r="I106" s="137" t="str" cm="1">
        <f t="array" ref="I106">Common_InputFunctions.Utility_DisplayArrayInTable(Fertiliser_SourceData.Fertiliser_Products_Data1(),FertiliserProducts[[#Headers],[Include or Exclude]], 0,4)</f>
        <v/>
      </c>
      <c r="J106" s="137" t="str" cm="1">
        <f t="array" ref="J106">Common_InputFunctions.Utility_DisplayArrayInTable(Fertiliser_SourceData.Fertiliser_Products_Data1(),FertiliserProducts[[#Headers],[Include or Exclude]], 0,4)</f>
        <v/>
      </c>
      <c r="K106" s="137" t="str" cm="1">
        <f t="array" ref="K106">Common_InputFunctions.Utility_DisplayArrayInTable(Fertiliser_SourceData.Fertiliser_Products_Data1(),FertiliserProducts[[#Headers],[Include or Exclude]], 0,4)</f>
        <v/>
      </c>
      <c r="L106" s="137" t="str" cm="1">
        <f t="array" ref="L106">Common_InputFunctions.Utility_DisplayArrayInTable(Fertiliser_SourceData.Fertiliser_Products_Data1(),FertiliserProducts[[#Headers],[Include or Exclude]], 0,4)</f>
        <v/>
      </c>
      <c r="M106" s="137" t="str" cm="1">
        <f t="array" ref="M106">Common_InputFunctions.Utility_DisplayArrayInTable(Fertiliser_SourceData.Fertiliser_Products_Data1(),FertiliserProducts[[#Headers],[Include or Exclude]], 0,4)</f>
        <v/>
      </c>
      <c r="N106" s="137" t="str" cm="1">
        <f t="array" ref="N106">Common_InputFunctions.Utility_DisplayArrayInTable(Fertiliser_SourceData.Fertiliser_Products_Data1(),FertiliserProducts[[#Headers],[Include or Exclude]], 0,4)</f>
        <v/>
      </c>
      <c r="O106" s="137" t="str" cm="1">
        <f t="array" ref="O106">Common_InputFunctions.Utility_DisplayArrayInTable(Fertiliser_SourceData.Fertiliser_Products_Data1(),FertiliserProducts[[#Headers],[Include or Exclude]], 0,4)</f>
        <v/>
      </c>
      <c r="P106" s="137" t="str" cm="1">
        <f t="array" ref="P106">Common_InputFunctions.Utility_DisplayArrayInTable(Fertiliser_SourceData.Fertiliser_Products_Data1(),FertiliserProducts[[#Headers],[Include or Exclude]], 0,4)</f>
        <v/>
      </c>
      <c r="Q106" s="137" t="str" cm="1">
        <f t="array" ref="Q106">Common_InputFunctions.Utility_DisplayArrayInTable(Fertiliser_SourceData.Fertiliser_Products_Data1(),FertiliserProducts[[#Headers],[Include or Exclude]], 0,4)</f>
        <v/>
      </c>
      <c r="R106" s="137" t="str" cm="1">
        <f t="array" ref="R106">Common_InputFunctions.Utility_DisplayArrayInTable(Fertiliser_SourceData.Fertiliser_Products_Data1(),FertiliserProducts[[#Headers],[Include or Exclude]], 0,4)</f>
        <v/>
      </c>
      <c r="S106" s="137" t="str" cm="1">
        <f t="array" ref="S106">Common_InputFunctions.Utility_DisplayArrayInTable(Fertiliser_SourceData.Fertiliser_Products_Data1(),FertiliserProducts[[#Headers],[Include or Exclude]], 0,4)</f>
        <v/>
      </c>
      <c r="T106" s="137" t="str" cm="1">
        <f t="array" ref="T106">Common_InputFunctions.Utility_DisplayArrayInTable(Fertiliser_SourceData.Fertiliser_Products_Data1(),FertiliserProducts[[#Headers],[Include or Exclude]], 0,4)</f>
        <v/>
      </c>
      <c r="U106" s="137" t="str" cm="1">
        <f t="array" ref="U106">Common_InputFunctions.Utility_DisplayArrayInTable(Fertiliser_SourceData.Fertiliser_Products_Data1(),FertiliserProducts[[#Headers],[Include or Exclude]], 0,4)</f>
        <v/>
      </c>
      <c r="V106" s="137" t="str" cm="1">
        <f t="array" ref="V106">Common_InputFunctions.Utility_DisplayArrayInTable(Fertiliser_SourceData.Fertiliser_Products_Data1(),FertiliserProducts[[#Headers],[Include or Exclude]], 0,4)</f>
        <v/>
      </c>
      <c r="W106" s="137" t="str" cm="1">
        <f t="array" ref="W106">Common_InputFunctions.Utility_DisplayArrayInTable(Fertiliser_SourceData.Fertiliser_Products_Data1(),FertiliserProducts[[#Headers],[Include or Exclude]], 0,4)</f>
        <v/>
      </c>
      <c r="X106" s="137" t="str" cm="1">
        <f t="array" ref="X106">Common_InputFunctions.Utility_DisplayArrayInTable(Fertiliser_SourceData.Fertiliser_Products_Data1(),FertiliserProducts[[#Headers],[Include or Exclude]], 0,4)</f>
        <v/>
      </c>
      <c r="Y106" s="137" t="str" cm="1">
        <f t="array" ref="Y106">Common_InputFunctions.Utility_DisplayArrayInTable(Fertiliser_SourceData.Fertiliser_Products_Data1(),FertiliserProducts[[#Headers],[Include or Exclude]], 0,4)</f>
        <v/>
      </c>
      <c r="Z106" s="137" t="str" cm="1">
        <f t="array" ref="Z106">Common_InputFunctions.Utility_DisplayArrayInTable(Fertiliser_SourceData.Fertiliser_Products_Data1(),FertiliserProducts[[#Headers],[Include or Exclude]], 0,4)</f>
        <v/>
      </c>
      <c r="AA106" s="137" t="str" cm="1">
        <f t="array" ref="AA106">Common_InputFunctions.Utility_DisplayArrayInTable(Fertiliser_SourceData.Fertiliser_Products_Data1(),FertiliserProducts[[#Headers],[Include or Exclude]], 0,4)</f>
        <v/>
      </c>
      <c r="AB106" s="137" t="str" cm="1">
        <f t="array" ref="AB106">Common_InputFunctions.Utility_DisplayArrayInTable(Fertiliser_SourceData.Fertiliser_Products_Data1(),FertiliserProducts[[#Headers],[Include or Exclude]], 0,4)</f>
        <v/>
      </c>
      <c r="AC106" s="137" t="str" cm="1">
        <f t="array" ref="AC106">Common_InputFunctions.Utility_DisplayArrayInTable(Fertiliser_SourceData.Fertiliser_Products_Data1(),FertiliserProducts[[#Headers],[Include or Exclude]], 0,4)</f>
        <v/>
      </c>
      <c r="AD106" s="137" t="str" cm="1">
        <f t="array" ref="AD106">Common_InputFunctions.Utility_DisplayArrayInTable(Fertiliser_SourceData.Fertiliser_Products_Data1(),FertiliserProducts[[#Headers],[Include or Exclude]], 0,4)</f>
        <v/>
      </c>
      <c r="AE106" s="137" t="str" cm="1">
        <f t="array" ref="AE106">Common_InputFunctions.Utility_DisplayArrayInTable(Fertiliser_SourceData.Fertiliser_Products_Data1(),FertiliserProducts[[#Headers],[Include or Exclude]], 0,4)</f>
        <v/>
      </c>
    </row>
    <row r="107" spans="4:31" ht="20.100000000000001" customHeight="1" x14ac:dyDescent="0.25">
      <c r="D107" s="137" t="str" cm="1">
        <f t="array" ref="D107">Common_InputFunctions.Utility_DisplayArrayInTable(Fertiliser_SourceData.Fertiliser_Products_Data1(),FertiliserProducts[[#Headers],[Include or Exclude]], -1)</f>
        <v>Include</v>
      </c>
      <c r="E107" s="137" t="str" cm="1">
        <f t="array" ref="E107">Common_InputFunctions.Utility_DisplayArrayInTable(Fertiliser_SourceData.Fertiliser_Products_Data1(),FertiliserProducts[[#Headers],[Include or Exclude]], 0)</f>
        <v/>
      </c>
      <c r="F107" s="137" t="str" cm="1">
        <f t="array" ref="F107">Common_InputFunctions.Utility_DisplayArrayInTable(Fertiliser_SourceData.Fertiliser_Products_Data1(),FertiliserProducts[[#Headers],[Include or Exclude]], 0)</f>
        <v>Campbells fertilisers Australia</v>
      </c>
      <c r="G107" s="137" t="str" cm="1">
        <f t="array" ref="G107">Common_InputFunctions.Utility_DisplayArrayInTable(Fertiliser_SourceData.Fertiliser_Products_Data1(),FertiliserProducts[[#Headers],[Include or Exclude]], 0)</f>
        <v>Brexil Line</v>
      </c>
      <c r="H107" s="137" t="str" cm="1">
        <f t="array" ref="H107">Common_InputFunctions.Utility_DisplayArrayInTable(Fertiliser_SourceData.Fertiliser_Products_Data1(),FertiliserProducts[[#Headers],[Include or Exclude]], 0,4)</f>
        <v/>
      </c>
      <c r="I107" s="137" t="str" cm="1">
        <f t="array" ref="I107">Common_InputFunctions.Utility_DisplayArrayInTable(Fertiliser_SourceData.Fertiliser_Products_Data1(),FertiliserProducts[[#Headers],[Include or Exclude]], 0,4)</f>
        <v/>
      </c>
      <c r="J107" s="137" t="str" cm="1">
        <f t="array" ref="J107">Common_InputFunctions.Utility_DisplayArrayInTable(Fertiliser_SourceData.Fertiliser_Products_Data1(),FertiliserProducts[[#Headers],[Include or Exclude]], 0,4)</f>
        <v/>
      </c>
      <c r="K107" s="137" t="str" cm="1">
        <f t="array" ref="K107">Common_InputFunctions.Utility_DisplayArrayInTable(Fertiliser_SourceData.Fertiliser_Products_Data1(),FertiliserProducts[[#Headers],[Include or Exclude]], 0,4)</f>
        <v/>
      </c>
      <c r="L107" s="137" t="str" cm="1">
        <f t="array" ref="L107">Common_InputFunctions.Utility_DisplayArrayInTable(Fertiliser_SourceData.Fertiliser_Products_Data1(),FertiliserProducts[[#Headers],[Include or Exclude]], 0,4)</f>
        <v/>
      </c>
      <c r="M107" s="137" t="str" cm="1">
        <f t="array" ref="M107">Common_InputFunctions.Utility_DisplayArrayInTable(Fertiliser_SourceData.Fertiliser_Products_Data1(),FertiliserProducts[[#Headers],[Include or Exclude]], 0,4)</f>
        <v/>
      </c>
      <c r="N107" s="137" t="str" cm="1">
        <f t="array" ref="N107">Common_InputFunctions.Utility_DisplayArrayInTable(Fertiliser_SourceData.Fertiliser_Products_Data1(),FertiliserProducts[[#Headers],[Include or Exclude]], 0,4)</f>
        <v/>
      </c>
      <c r="O107" s="137" t="str" cm="1">
        <f t="array" ref="O107">Common_InputFunctions.Utility_DisplayArrayInTable(Fertiliser_SourceData.Fertiliser_Products_Data1(),FertiliserProducts[[#Headers],[Include or Exclude]], 0,4)</f>
        <v/>
      </c>
      <c r="P107" s="137" t="str" cm="1">
        <f t="array" ref="P107">Common_InputFunctions.Utility_DisplayArrayInTable(Fertiliser_SourceData.Fertiliser_Products_Data1(),FertiliserProducts[[#Headers],[Include or Exclude]], 0,4)</f>
        <v/>
      </c>
      <c r="Q107" s="137" t="str" cm="1">
        <f t="array" ref="Q107">Common_InputFunctions.Utility_DisplayArrayInTable(Fertiliser_SourceData.Fertiliser_Products_Data1(),FertiliserProducts[[#Headers],[Include or Exclude]], 0,4)</f>
        <v/>
      </c>
      <c r="R107" s="137" t="str" cm="1">
        <f t="array" ref="R107">Common_InputFunctions.Utility_DisplayArrayInTable(Fertiliser_SourceData.Fertiliser_Products_Data1(),FertiliserProducts[[#Headers],[Include or Exclude]], 0,4)</f>
        <v/>
      </c>
      <c r="S107" s="137" t="str" cm="1">
        <f t="array" ref="S107">Common_InputFunctions.Utility_DisplayArrayInTable(Fertiliser_SourceData.Fertiliser_Products_Data1(),FertiliserProducts[[#Headers],[Include or Exclude]], 0,4)</f>
        <v/>
      </c>
      <c r="T107" s="137" t="str" cm="1">
        <f t="array" ref="T107">Common_InputFunctions.Utility_DisplayArrayInTable(Fertiliser_SourceData.Fertiliser_Products_Data1(),FertiliserProducts[[#Headers],[Include or Exclude]], 0,4)</f>
        <v/>
      </c>
      <c r="U107" s="137" t="str" cm="1">
        <f t="array" ref="U107">Common_InputFunctions.Utility_DisplayArrayInTable(Fertiliser_SourceData.Fertiliser_Products_Data1(),FertiliserProducts[[#Headers],[Include or Exclude]], 0,4)</f>
        <v/>
      </c>
      <c r="V107" s="137" t="str" cm="1">
        <f t="array" ref="V107">Common_InputFunctions.Utility_DisplayArrayInTable(Fertiliser_SourceData.Fertiliser_Products_Data1(),FertiliserProducts[[#Headers],[Include or Exclude]], 0,4)</f>
        <v/>
      </c>
      <c r="W107" s="137" t="str" cm="1">
        <f t="array" ref="W107">Common_InputFunctions.Utility_DisplayArrayInTable(Fertiliser_SourceData.Fertiliser_Products_Data1(),FertiliserProducts[[#Headers],[Include or Exclude]], 0,4)</f>
        <v/>
      </c>
      <c r="X107" s="137" t="str" cm="1">
        <f t="array" ref="X107">Common_InputFunctions.Utility_DisplayArrayInTable(Fertiliser_SourceData.Fertiliser_Products_Data1(),FertiliserProducts[[#Headers],[Include or Exclude]], 0,4)</f>
        <v/>
      </c>
      <c r="Y107" s="137" t="str" cm="1">
        <f t="array" ref="Y107">Common_InputFunctions.Utility_DisplayArrayInTable(Fertiliser_SourceData.Fertiliser_Products_Data1(),FertiliserProducts[[#Headers],[Include or Exclude]], 0,4)</f>
        <v/>
      </c>
      <c r="Z107" s="137" t="str" cm="1">
        <f t="array" ref="Z107">Common_InputFunctions.Utility_DisplayArrayInTable(Fertiliser_SourceData.Fertiliser_Products_Data1(),FertiliserProducts[[#Headers],[Include or Exclude]], 0,4)</f>
        <v/>
      </c>
      <c r="AA107" s="137" t="str" cm="1">
        <f t="array" ref="AA107">Common_InputFunctions.Utility_DisplayArrayInTable(Fertiliser_SourceData.Fertiliser_Products_Data1(),FertiliserProducts[[#Headers],[Include or Exclude]], 0,4)</f>
        <v/>
      </c>
      <c r="AB107" s="137" t="str" cm="1">
        <f t="array" ref="AB107">Common_InputFunctions.Utility_DisplayArrayInTable(Fertiliser_SourceData.Fertiliser_Products_Data1(),FertiliserProducts[[#Headers],[Include or Exclude]], 0,4)</f>
        <v/>
      </c>
      <c r="AC107" s="137" t="str" cm="1">
        <f t="array" ref="AC107">Common_InputFunctions.Utility_DisplayArrayInTable(Fertiliser_SourceData.Fertiliser_Products_Data1(),FertiliserProducts[[#Headers],[Include or Exclude]], 0,4)</f>
        <v/>
      </c>
      <c r="AD107" s="137" t="str" cm="1">
        <f t="array" ref="AD107">Common_InputFunctions.Utility_DisplayArrayInTable(Fertiliser_SourceData.Fertiliser_Products_Data1(),FertiliserProducts[[#Headers],[Include or Exclude]], 0,4)</f>
        <v/>
      </c>
      <c r="AE107" s="137" t="str" cm="1">
        <f t="array" ref="AE107">Common_InputFunctions.Utility_DisplayArrayInTable(Fertiliser_SourceData.Fertiliser_Products_Data1(),FertiliserProducts[[#Headers],[Include or Exclude]], 0,4)</f>
        <v/>
      </c>
    </row>
    <row r="108" spans="4:31" ht="20.100000000000001" customHeight="1" x14ac:dyDescent="0.25">
      <c r="D108" s="137" t="str" cm="1">
        <f t="array" ref="D108">Common_InputFunctions.Utility_DisplayArrayInTable(Fertiliser_SourceData.Fertiliser_Products_Data1(),FertiliserProducts[[#Headers],[Include or Exclude]], -1)</f>
        <v>Exclude - Absent ingredients &gt; 2%</v>
      </c>
      <c r="E108" s="137" t="str" cm="1">
        <f t="array" ref="E108">Common_InputFunctions.Utility_DisplayArrayInTable(Fertiliser_SourceData.Fertiliser_Products_Data1(),FertiliserProducts[[#Headers],[Include or Exclude]], 0)</f>
        <v/>
      </c>
      <c r="F108" s="137" t="str" cm="1">
        <f t="array" ref="F108">Common_InputFunctions.Utility_DisplayArrayInTable(Fertiliser_SourceData.Fertiliser_Products_Data1(),FertiliserProducts[[#Headers],[Include or Exclude]], 0)</f>
        <v>Campbells fertilisers Australia</v>
      </c>
      <c r="G108" s="137" t="str" cm="1">
        <f t="array" ref="G108">Common_InputFunctions.Utility_DisplayArrayInTable(Fertiliser_SourceData.Fertiliser_Products_Data1(),FertiliserProducts[[#Headers],[Include or Exclude]], 0)</f>
        <v>Bronze</v>
      </c>
      <c r="H108" s="137" t="str" cm="1">
        <f t="array" ref="H108">Common_InputFunctions.Utility_DisplayArrayInTable(Fertiliser_SourceData.Fertiliser_Products_Data1(),FertiliserProducts[[#Headers],[Include or Exclude]], 0,4)</f>
        <v>kg</v>
      </c>
      <c r="I108" s="137" t="str" cm="1">
        <f t="array" ref="I108">Common_InputFunctions.Utility_DisplayArrayInTable(Fertiliser_SourceData.Fertiliser_Products_Data1(),FertiliserProducts[[#Headers],[Include or Exclude]], 0,4)</f>
        <v/>
      </c>
      <c r="J108" s="137" t="str" cm="1">
        <f t="array" ref="J108">Common_InputFunctions.Utility_DisplayArrayInTable(Fertiliser_SourceData.Fertiliser_Products_Data1(),FertiliserProducts[[#Headers],[Include or Exclude]], 0,4)</f>
        <v/>
      </c>
      <c r="K108" s="137" t="str" cm="1">
        <f t="array" ref="K108">Common_InputFunctions.Utility_DisplayArrayInTable(Fertiliser_SourceData.Fertiliser_Products_Data1(),FertiliserProducts[[#Headers],[Include or Exclude]], 0,4)</f>
        <v/>
      </c>
      <c r="L108" s="137" t="str" cm="1">
        <f t="array" ref="L108">Common_InputFunctions.Utility_DisplayArrayInTable(Fertiliser_SourceData.Fertiliser_Products_Data1(),FertiliserProducts[[#Headers],[Include or Exclude]], 0,4)</f>
        <v>Muriate of Potash (MOP)</v>
      </c>
      <c r="M108" s="137" cm="1">
        <f t="array" ref="M108">Common_InputFunctions.Utility_DisplayArrayInTable(Fertiliser_SourceData.Fertiliser_Products_Data1(),FertiliserProducts[[#Headers],[Include or Exclude]], 0,4)</f>
        <v>0.23200000000000001</v>
      </c>
      <c r="N108" s="137" t="str" cm="1">
        <f t="array" ref="N108">Common_InputFunctions.Utility_DisplayArrayInTable(Fertiliser_SourceData.Fertiliser_Products_Data1(),FertiliserProducts[[#Headers],[Include or Exclude]], 0,4)</f>
        <v>Nitrogen - Generic</v>
      </c>
      <c r="O108" s="137" cm="1">
        <f t="array" ref="O108">Common_InputFunctions.Utility_DisplayArrayInTable(Fertiliser_SourceData.Fertiliser_Products_Data1(),FertiliserProducts[[#Headers],[Include or Exclude]], 0,4)</f>
        <v>0.17</v>
      </c>
      <c r="P108" s="137" t="str" cm="1">
        <f t="array" ref="P108">Common_InputFunctions.Utility_DisplayArrayInTable(Fertiliser_SourceData.Fertiliser_Products_Data1(),FertiliserProducts[[#Headers],[Include or Exclude]], 0,4)</f>
        <v>Sulfur - Generic</v>
      </c>
      <c r="Q108" s="137" cm="1">
        <f t="array" ref="Q108">Common_InputFunctions.Utility_DisplayArrayInTable(Fertiliser_SourceData.Fertiliser_Products_Data1(),FertiliserProducts[[#Headers],[Include or Exclude]], 0,4)</f>
        <v>5.0000000000000001E-3</v>
      </c>
      <c r="R108" s="137" t="str" cm="1">
        <f t="array" ref="R108">Common_InputFunctions.Utility_DisplayArrayInTable(Fertiliser_SourceData.Fertiliser_Products_Data1(),FertiliserProducts[[#Headers],[Include or Exclude]], 0,4)</f>
        <v>Magnesium</v>
      </c>
      <c r="S108" s="137" cm="1">
        <f t="array" ref="S108">Common_InputFunctions.Utility_DisplayArrayInTable(Fertiliser_SourceData.Fertiliser_Products_Data1(),FertiliserProducts[[#Headers],[Include or Exclude]], 0,4)</f>
        <v>2.3999999999999998E-3</v>
      </c>
      <c r="T108" s="137" t="str" cm="1">
        <f t="array" ref="T108">Common_InputFunctions.Utility_DisplayArrayInTable(Fertiliser_SourceData.Fertiliser_Products_Data1(),FertiliserProducts[[#Headers],[Include or Exclude]], 0,4)</f>
        <v>Phosphorus - Generic</v>
      </c>
      <c r="U108" s="137" cm="1">
        <f t="array" ref="U108">Common_InputFunctions.Utility_DisplayArrayInTable(Fertiliser_SourceData.Fertiliser_Products_Data1(),FertiliserProducts[[#Headers],[Include or Exclude]], 0,4)</f>
        <v>4.0000000000000002E-4</v>
      </c>
      <c r="V108" s="137" t="str" cm="1">
        <f t="array" ref="V108">Common_InputFunctions.Utility_DisplayArrayInTable(Fertiliser_SourceData.Fertiliser_Products_Data1(),FertiliserProducts[[#Headers],[Include or Exclude]], 0,4)</f>
        <v/>
      </c>
      <c r="W108" s="137" t="str" cm="1">
        <f t="array" ref="W108">Common_InputFunctions.Utility_DisplayArrayInTable(Fertiliser_SourceData.Fertiliser_Products_Data1(),FertiliserProducts[[#Headers],[Include or Exclude]], 0,4)</f>
        <v/>
      </c>
      <c r="X108" s="137" t="str" cm="1">
        <f t="array" ref="X108">Common_InputFunctions.Utility_DisplayArrayInTable(Fertiliser_SourceData.Fertiliser_Products_Data1(),FertiliserProducts[[#Headers],[Include or Exclude]], 0,4)</f>
        <v/>
      </c>
      <c r="Y108" s="137" t="str" cm="1">
        <f t="array" ref="Y108">Common_InputFunctions.Utility_DisplayArrayInTable(Fertiliser_SourceData.Fertiliser_Products_Data1(),FertiliserProducts[[#Headers],[Include or Exclude]], 0,4)</f>
        <v/>
      </c>
      <c r="Z108" s="137" t="str" cm="1">
        <f t="array" ref="Z108">Common_InputFunctions.Utility_DisplayArrayInTable(Fertiliser_SourceData.Fertiliser_Products_Data1(),FertiliserProducts[[#Headers],[Include or Exclude]], 0,4)</f>
        <v/>
      </c>
      <c r="AA108" s="137" t="str" cm="1">
        <f t="array" ref="AA108">Common_InputFunctions.Utility_DisplayArrayInTable(Fertiliser_SourceData.Fertiliser_Products_Data1(),FertiliserProducts[[#Headers],[Include or Exclude]], 0,4)</f>
        <v/>
      </c>
      <c r="AB108" s="137" t="str" cm="1">
        <f t="array" ref="AB108">Common_InputFunctions.Utility_DisplayArrayInTable(Fertiliser_SourceData.Fertiliser_Products_Data1(),FertiliserProducts[[#Headers],[Include or Exclude]], 0,4)</f>
        <v/>
      </c>
      <c r="AC108" s="137" t="str" cm="1">
        <f t="array" ref="AC108">Common_InputFunctions.Utility_DisplayArrayInTable(Fertiliser_SourceData.Fertiliser_Products_Data1(),FertiliserProducts[[#Headers],[Include or Exclude]], 0,4)</f>
        <v/>
      </c>
      <c r="AD108" s="137" t="str" cm="1">
        <f t="array" ref="AD108">Common_InputFunctions.Utility_DisplayArrayInTable(Fertiliser_SourceData.Fertiliser_Products_Data1(),FertiliserProducts[[#Headers],[Include or Exclude]], 0,4)</f>
        <v/>
      </c>
      <c r="AE108" s="137" t="str" cm="1">
        <f t="array" ref="AE108">Common_InputFunctions.Utility_DisplayArrayInTable(Fertiliser_SourceData.Fertiliser_Products_Data1(),FertiliserProducts[[#Headers],[Include or Exclude]], 0,4)</f>
        <v/>
      </c>
    </row>
    <row r="109" spans="4:31" ht="20.100000000000001" customHeight="1" x14ac:dyDescent="0.25">
      <c r="D109" s="137" t="str" cm="1">
        <f t="array" ref="D109">Common_InputFunctions.Utility_DisplayArrayInTable(Fertiliser_SourceData.Fertiliser_Products_Data1(),FertiliserProducts[[#Headers],[Include or Exclude]], -1)</f>
        <v>Exclude - Not relevant</v>
      </c>
      <c r="E109" s="137" t="str" cm="1">
        <f t="array" ref="E109">Common_InputFunctions.Utility_DisplayArrayInTable(Fertiliser_SourceData.Fertiliser_Products_Data1(),FertiliserProducts[[#Headers],[Include or Exclude]], 0)</f>
        <v/>
      </c>
      <c r="F109" s="137" t="str" cm="1">
        <f t="array" ref="F109">Common_InputFunctions.Utility_DisplayArrayInTable(Fertiliser_SourceData.Fertiliser_Products_Data1(),FertiliserProducts[[#Headers],[Include or Exclude]], 0)</f>
        <v>Campbells fertilisers Australia</v>
      </c>
      <c r="G109" s="137" t="str" cm="1">
        <f t="array" ref="G109">Common_InputFunctions.Utility_DisplayArrayInTable(Fertiliser_SourceData.Fertiliser_Products_Data1(),FertiliserProducts[[#Headers],[Include or Exclude]], 0)</f>
        <v>Bud-Wiser Dry</v>
      </c>
      <c r="H109" s="137" t="str" cm="1">
        <f t="array" ref="H109">Common_InputFunctions.Utility_DisplayArrayInTable(Fertiliser_SourceData.Fertiliser_Products_Data1(),FertiliserProducts[[#Headers],[Include or Exclude]], 0,4)</f>
        <v>kg</v>
      </c>
      <c r="I109" s="137" t="str" cm="1">
        <f t="array" ref="I109">Common_InputFunctions.Utility_DisplayArrayInTable(Fertiliser_SourceData.Fertiliser_Products_Data1(),FertiliserProducts[[#Headers],[Include or Exclude]], 0,4)</f>
        <v/>
      </c>
      <c r="J109" s="137" t="str" cm="1">
        <f t="array" ref="J109">Common_InputFunctions.Utility_DisplayArrayInTable(Fertiliser_SourceData.Fertiliser_Products_Data1(),FertiliserProducts[[#Headers],[Include or Exclude]], 0,4)</f>
        <v/>
      </c>
      <c r="K109" s="137" t="str" cm="1">
        <f t="array" ref="K109">Common_InputFunctions.Utility_DisplayArrayInTable(Fertiliser_SourceData.Fertiliser_Products_Data1(),FertiliserProducts[[#Headers],[Include or Exclude]], 0,4)</f>
        <v/>
      </c>
      <c r="L109" s="137" t="str" cm="1">
        <f t="array" ref="L109">Common_InputFunctions.Utility_DisplayArrayInTable(Fertiliser_SourceData.Fertiliser_Products_Data1(),FertiliserProducts[[#Headers],[Include or Exclude]], 0,4)</f>
        <v>Sulfur - Generic</v>
      </c>
      <c r="M109" s="137" cm="1">
        <f t="array" ref="M109">Common_InputFunctions.Utility_DisplayArrayInTable(Fertiliser_SourceData.Fertiliser_Products_Data1(),FertiliserProducts[[#Headers],[Include or Exclude]], 0,4)</f>
        <v>9.4E-2</v>
      </c>
      <c r="N109" s="137" t="str" cm="1">
        <f t="array" ref="N109">Common_InputFunctions.Utility_DisplayArrayInTable(Fertiliser_SourceData.Fertiliser_Products_Data1(),FertiliserProducts[[#Headers],[Include or Exclude]], 0,4)</f>
        <v>Magnesium</v>
      </c>
      <c r="O109" s="137" cm="1">
        <f t="array" ref="O109">Common_InputFunctions.Utility_DisplayArrayInTable(Fertiliser_SourceData.Fertiliser_Products_Data1(),FertiliserProducts[[#Headers],[Include or Exclude]], 0,4)</f>
        <v>0.06</v>
      </c>
      <c r="P109" s="137" t="str" cm="1">
        <f t="array" ref="P109">Common_InputFunctions.Utility_DisplayArrayInTable(Fertiliser_SourceData.Fertiliser_Products_Data1(),FertiliserProducts[[#Headers],[Include or Exclude]], 0,4)</f>
        <v>Boron</v>
      </c>
      <c r="Q109" s="137" cm="1">
        <f t="array" ref="Q109">Common_InputFunctions.Utility_DisplayArrayInTable(Fertiliser_SourceData.Fertiliser_Products_Data1(),FertiliserProducts[[#Headers],[Include or Exclude]], 0,4)</f>
        <v>4.4999999999999998E-2</v>
      </c>
      <c r="R109" s="137" t="str" cm="1">
        <f t="array" ref="R109">Common_InputFunctions.Utility_DisplayArrayInTable(Fertiliser_SourceData.Fertiliser_Products_Data1(),FertiliserProducts[[#Headers],[Include or Exclude]], 0,4)</f>
        <v>Zinc</v>
      </c>
      <c r="S109" s="137" cm="1">
        <f t="array" ref="S109">Common_InputFunctions.Utility_DisplayArrayInTable(Fertiliser_SourceData.Fertiliser_Products_Data1(),FertiliserProducts[[#Headers],[Include or Exclude]], 0,4)</f>
        <v>2.7E-2</v>
      </c>
      <c r="T109" s="137" t="str" cm="1">
        <f t="array" ref="T109">Common_InputFunctions.Utility_DisplayArrayInTable(Fertiliser_SourceData.Fertiliser_Products_Data1(),FertiliserProducts[[#Headers],[Include or Exclude]], 0,4)</f>
        <v/>
      </c>
      <c r="U109" s="137" t="str" cm="1">
        <f t="array" ref="U109">Common_InputFunctions.Utility_DisplayArrayInTable(Fertiliser_SourceData.Fertiliser_Products_Data1(),FertiliserProducts[[#Headers],[Include or Exclude]], 0,4)</f>
        <v/>
      </c>
      <c r="V109" s="137" t="str" cm="1">
        <f t="array" ref="V109">Common_InputFunctions.Utility_DisplayArrayInTable(Fertiliser_SourceData.Fertiliser_Products_Data1(),FertiliserProducts[[#Headers],[Include or Exclude]], 0,4)</f>
        <v/>
      </c>
      <c r="W109" s="137" t="str" cm="1">
        <f t="array" ref="W109">Common_InputFunctions.Utility_DisplayArrayInTable(Fertiliser_SourceData.Fertiliser_Products_Data1(),FertiliserProducts[[#Headers],[Include or Exclude]], 0,4)</f>
        <v/>
      </c>
      <c r="X109" s="137" t="str" cm="1">
        <f t="array" ref="X109">Common_InputFunctions.Utility_DisplayArrayInTable(Fertiliser_SourceData.Fertiliser_Products_Data1(),FertiliserProducts[[#Headers],[Include or Exclude]], 0,4)</f>
        <v/>
      </c>
      <c r="Y109" s="137" t="str" cm="1">
        <f t="array" ref="Y109">Common_InputFunctions.Utility_DisplayArrayInTable(Fertiliser_SourceData.Fertiliser_Products_Data1(),FertiliserProducts[[#Headers],[Include or Exclude]], 0,4)</f>
        <v/>
      </c>
      <c r="Z109" s="137" t="str" cm="1">
        <f t="array" ref="Z109">Common_InputFunctions.Utility_DisplayArrayInTable(Fertiliser_SourceData.Fertiliser_Products_Data1(),FertiliserProducts[[#Headers],[Include or Exclude]], 0,4)</f>
        <v/>
      </c>
      <c r="AA109" s="137" t="str" cm="1">
        <f t="array" ref="AA109">Common_InputFunctions.Utility_DisplayArrayInTable(Fertiliser_SourceData.Fertiliser_Products_Data1(),FertiliserProducts[[#Headers],[Include or Exclude]], 0,4)</f>
        <v/>
      </c>
      <c r="AB109" s="137" t="str" cm="1">
        <f t="array" ref="AB109">Common_InputFunctions.Utility_DisplayArrayInTable(Fertiliser_SourceData.Fertiliser_Products_Data1(),FertiliserProducts[[#Headers],[Include or Exclude]], 0,4)</f>
        <v/>
      </c>
      <c r="AC109" s="137" t="str" cm="1">
        <f t="array" ref="AC109">Common_InputFunctions.Utility_DisplayArrayInTable(Fertiliser_SourceData.Fertiliser_Products_Data1(),FertiliserProducts[[#Headers],[Include or Exclude]], 0,4)</f>
        <v/>
      </c>
      <c r="AD109" s="137" t="str" cm="1">
        <f t="array" ref="AD109">Common_InputFunctions.Utility_DisplayArrayInTable(Fertiliser_SourceData.Fertiliser_Products_Data1(),FertiliserProducts[[#Headers],[Include or Exclude]], 0,4)</f>
        <v/>
      </c>
      <c r="AE109" s="137" t="str" cm="1">
        <f t="array" ref="AE109">Common_InputFunctions.Utility_DisplayArrayInTable(Fertiliser_SourceData.Fertiliser_Products_Data1(),FertiliserProducts[[#Headers],[Include or Exclude]], 0,4)</f>
        <v/>
      </c>
    </row>
    <row r="110" spans="4:31" ht="20.100000000000001" customHeight="1" x14ac:dyDescent="0.25">
      <c r="D110" s="137" t="str" cm="1">
        <f t="array" ref="D110">Common_InputFunctions.Utility_DisplayArrayInTable(Fertiliser_SourceData.Fertiliser_Products_Data1(),FertiliserProducts[[#Headers],[Include or Exclude]], -1)</f>
        <v>Exclude - Not relevant</v>
      </c>
      <c r="E110" s="137" t="str" cm="1">
        <f t="array" ref="E110">Common_InputFunctions.Utility_DisplayArrayInTable(Fertiliser_SourceData.Fertiliser_Products_Data1(),FertiliserProducts[[#Headers],[Include or Exclude]], 0)</f>
        <v/>
      </c>
      <c r="F110" s="137" t="str" cm="1">
        <f t="array" ref="F110">Common_InputFunctions.Utility_DisplayArrayInTable(Fertiliser_SourceData.Fertiliser_Products_Data1(),FertiliserProducts[[#Headers],[Include or Exclude]], 0)</f>
        <v>Campbells fertilisers Australia</v>
      </c>
      <c r="G110" s="137" t="str" cm="1">
        <f t="array" ref="G110">Common_InputFunctions.Utility_DisplayArrayInTable(Fertiliser_SourceData.Fertiliser_Products_Data1(),FertiliserProducts[[#Headers],[Include or Exclude]], 0)</f>
        <v>Calbit C</v>
      </c>
      <c r="H110" s="137" t="str" cm="1">
        <f t="array" ref="H110">Common_InputFunctions.Utility_DisplayArrayInTable(Fertiliser_SourceData.Fertiliser_Products_Data1(),FertiliserProducts[[#Headers],[Include or Exclude]], 0,4)</f>
        <v>L</v>
      </c>
      <c r="I110" s="137" t="str" cm="1">
        <f t="array" ref="I110">Common_InputFunctions.Utility_DisplayArrayInTable(Fertiliser_SourceData.Fertiliser_Products_Data1(),FertiliserProducts[[#Headers],[Include or Exclude]], 0,4)</f>
        <v/>
      </c>
      <c r="J110" s="137" t="str" cm="1">
        <f t="array" ref="J110">Common_InputFunctions.Utility_DisplayArrayInTable(Fertiliser_SourceData.Fertiliser_Products_Data1(),FertiliserProducts[[#Headers],[Include or Exclude]], 0,4)</f>
        <v/>
      </c>
      <c r="K110" s="137" t="str" cm="1">
        <f t="array" ref="K110">Common_InputFunctions.Utility_DisplayArrayInTable(Fertiliser_SourceData.Fertiliser_Products_Data1(),FertiliserProducts[[#Headers],[Include or Exclude]], 0,4)</f>
        <v/>
      </c>
      <c r="L110" s="137" t="str" cm="1">
        <f t="array" ref="L110">Common_InputFunctions.Utility_DisplayArrayInTable(Fertiliser_SourceData.Fertiliser_Products_Data1(),FertiliserProducts[[#Headers],[Include or Exclude]], 0,4)</f>
        <v/>
      </c>
      <c r="M110" s="137" t="str" cm="1">
        <f t="array" ref="M110">Common_InputFunctions.Utility_DisplayArrayInTable(Fertiliser_SourceData.Fertiliser_Products_Data1(),FertiliserProducts[[#Headers],[Include or Exclude]], 0,4)</f>
        <v/>
      </c>
      <c r="N110" s="137" t="str" cm="1">
        <f t="array" ref="N110">Common_InputFunctions.Utility_DisplayArrayInTable(Fertiliser_SourceData.Fertiliser_Products_Data1(),FertiliserProducts[[#Headers],[Include or Exclude]], 0,4)</f>
        <v/>
      </c>
      <c r="O110" s="137" t="str" cm="1">
        <f t="array" ref="O110">Common_InputFunctions.Utility_DisplayArrayInTable(Fertiliser_SourceData.Fertiliser_Products_Data1(),FertiliserProducts[[#Headers],[Include or Exclude]], 0,4)</f>
        <v/>
      </c>
      <c r="P110" s="137" t="str" cm="1">
        <f t="array" ref="P110">Common_InputFunctions.Utility_DisplayArrayInTable(Fertiliser_SourceData.Fertiliser_Products_Data1(),FertiliserProducts[[#Headers],[Include or Exclude]], 0,4)</f>
        <v/>
      </c>
      <c r="Q110" s="137" t="str" cm="1">
        <f t="array" ref="Q110">Common_InputFunctions.Utility_DisplayArrayInTable(Fertiliser_SourceData.Fertiliser_Products_Data1(),FertiliserProducts[[#Headers],[Include or Exclude]], 0,4)</f>
        <v/>
      </c>
      <c r="R110" s="137" t="str" cm="1">
        <f t="array" ref="R110">Common_InputFunctions.Utility_DisplayArrayInTable(Fertiliser_SourceData.Fertiliser_Products_Data1(),FertiliserProducts[[#Headers],[Include or Exclude]], 0,4)</f>
        <v/>
      </c>
      <c r="S110" s="137" t="str" cm="1">
        <f t="array" ref="S110">Common_InputFunctions.Utility_DisplayArrayInTable(Fertiliser_SourceData.Fertiliser_Products_Data1(),FertiliserProducts[[#Headers],[Include or Exclude]], 0,4)</f>
        <v/>
      </c>
      <c r="T110" s="137" t="str" cm="1">
        <f t="array" ref="T110">Common_InputFunctions.Utility_DisplayArrayInTable(Fertiliser_SourceData.Fertiliser_Products_Data1(),FertiliserProducts[[#Headers],[Include or Exclude]], 0,4)</f>
        <v/>
      </c>
      <c r="U110" s="137" t="str" cm="1">
        <f t="array" ref="U110">Common_InputFunctions.Utility_DisplayArrayInTable(Fertiliser_SourceData.Fertiliser_Products_Data1(),FertiliserProducts[[#Headers],[Include or Exclude]], 0,4)</f>
        <v/>
      </c>
      <c r="V110" s="137" t="str" cm="1">
        <f t="array" ref="V110">Common_InputFunctions.Utility_DisplayArrayInTable(Fertiliser_SourceData.Fertiliser_Products_Data1(),FertiliserProducts[[#Headers],[Include or Exclude]], 0,4)</f>
        <v/>
      </c>
      <c r="W110" s="137" t="str" cm="1">
        <f t="array" ref="W110">Common_InputFunctions.Utility_DisplayArrayInTable(Fertiliser_SourceData.Fertiliser_Products_Data1(),FertiliserProducts[[#Headers],[Include or Exclude]], 0,4)</f>
        <v/>
      </c>
      <c r="X110" s="137" t="str" cm="1">
        <f t="array" ref="X110">Common_InputFunctions.Utility_DisplayArrayInTable(Fertiliser_SourceData.Fertiliser_Products_Data1(),FertiliserProducts[[#Headers],[Include or Exclude]], 0,4)</f>
        <v/>
      </c>
      <c r="Y110" s="137" t="str" cm="1">
        <f t="array" ref="Y110">Common_InputFunctions.Utility_DisplayArrayInTable(Fertiliser_SourceData.Fertiliser_Products_Data1(),FertiliserProducts[[#Headers],[Include or Exclude]], 0,4)</f>
        <v/>
      </c>
      <c r="Z110" s="137" t="str" cm="1">
        <f t="array" ref="Z110">Common_InputFunctions.Utility_DisplayArrayInTable(Fertiliser_SourceData.Fertiliser_Products_Data1(),FertiliserProducts[[#Headers],[Include or Exclude]], 0,4)</f>
        <v/>
      </c>
      <c r="AA110" s="137" t="str" cm="1">
        <f t="array" ref="AA110">Common_InputFunctions.Utility_DisplayArrayInTable(Fertiliser_SourceData.Fertiliser_Products_Data1(),FertiliserProducts[[#Headers],[Include or Exclude]], 0,4)</f>
        <v/>
      </c>
      <c r="AB110" s="137" t="str" cm="1">
        <f t="array" ref="AB110">Common_InputFunctions.Utility_DisplayArrayInTable(Fertiliser_SourceData.Fertiliser_Products_Data1(),FertiliserProducts[[#Headers],[Include or Exclude]], 0,4)</f>
        <v/>
      </c>
      <c r="AC110" s="137" t="str" cm="1">
        <f t="array" ref="AC110">Common_InputFunctions.Utility_DisplayArrayInTable(Fertiliser_SourceData.Fertiliser_Products_Data1(),FertiliserProducts[[#Headers],[Include or Exclude]], 0,4)</f>
        <v/>
      </c>
      <c r="AD110" s="137" t="str" cm="1">
        <f t="array" ref="AD110">Common_InputFunctions.Utility_DisplayArrayInTable(Fertiliser_SourceData.Fertiliser_Products_Data1(),FertiliserProducts[[#Headers],[Include or Exclude]], 0,4)</f>
        <v/>
      </c>
      <c r="AE110" s="137" t="str" cm="1">
        <f t="array" ref="AE110">Common_InputFunctions.Utility_DisplayArrayInTable(Fertiliser_SourceData.Fertiliser_Products_Data1(),FertiliserProducts[[#Headers],[Include or Exclude]], 0,4)</f>
        <v/>
      </c>
    </row>
    <row r="111" spans="4:31" ht="20.100000000000001" customHeight="1" x14ac:dyDescent="0.25">
      <c r="D111" s="137" t="str" cm="1">
        <f t="array" ref="D111">Common_InputFunctions.Utility_DisplayArrayInTable(Fertiliser_SourceData.Fertiliser_Products_Data1(),FertiliserProducts[[#Headers],[Include or Exclude]], -1)</f>
        <v>Include</v>
      </c>
      <c r="E111" s="137" t="str" cm="1">
        <f t="array" ref="E111">Common_InputFunctions.Utility_DisplayArrayInTable(Fertiliser_SourceData.Fertiliser_Products_Data1(),FertiliserProducts[[#Headers],[Include or Exclude]], 0)</f>
        <v/>
      </c>
      <c r="F111" s="137" t="str" cm="1">
        <f t="array" ref="F111">Common_InputFunctions.Utility_DisplayArrayInTable(Fertiliser_SourceData.Fertiliser_Products_Data1(),FertiliserProducts[[#Headers],[Include or Exclude]], 0)</f>
        <v>Campbells fertilisers Australia</v>
      </c>
      <c r="G111" s="137" t="str" cm="1">
        <f t="array" ref="G111">Common_InputFunctions.Utility_DisplayArrayInTable(Fertiliser_SourceData.Fertiliser_Products_Data1(),FertiliserProducts[[#Headers],[Include or Exclude]], 0)</f>
        <v>Calcium 175</v>
      </c>
      <c r="H111" s="137" t="str" cm="1">
        <f t="array" ref="H111">Common_InputFunctions.Utility_DisplayArrayInTable(Fertiliser_SourceData.Fertiliser_Products_Data1(),FertiliserProducts[[#Headers],[Include or Exclude]], 0,4)</f>
        <v>L</v>
      </c>
      <c r="I111" s="137" t="str" cm="1">
        <f t="array" ref="I111">Common_InputFunctions.Utility_DisplayArrayInTable(Fertiliser_SourceData.Fertiliser_Products_Data1(),FertiliserProducts[[#Headers],[Include or Exclude]], 0,4)</f>
        <v/>
      </c>
      <c r="J111" s="137" t="str" cm="1">
        <f t="array" ref="J111">Common_InputFunctions.Utility_DisplayArrayInTable(Fertiliser_SourceData.Fertiliser_Products_Data1(),FertiliserProducts[[#Headers],[Include or Exclude]], 0,4)</f>
        <v/>
      </c>
      <c r="K111" s="137" t="str" cm="1">
        <f t="array" ref="K111">Common_InputFunctions.Utility_DisplayArrayInTable(Fertiliser_SourceData.Fertiliser_Products_Data1(),FertiliserProducts[[#Headers],[Include or Exclude]], 0,4)</f>
        <v/>
      </c>
      <c r="L111" s="137" t="str" cm="1">
        <f t="array" ref="L111">Common_InputFunctions.Utility_DisplayArrayInTable(Fertiliser_SourceData.Fertiliser_Products_Data1(),FertiliserProducts[[#Headers],[Include or Exclude]], 0,4)</f>
        <v/>
      </c>
      <c r="M111" s="137" t="str" cm="1">
        <f t="array" ref="M111">Common_InputFunctions.Utility_DisplayArrayInTable(Fertiliser_SourceData.Fertiliser_Products_Data1(),FertiliserProducts[[#Headers],[Include or Exclude]], 0,4)</f>
        <v/>
      </c>
      <c r="N111" s="137" t="str" cm="1">
        <f t="array" ref="N111">Common_InputFunctions.Utility_DisplayArrayInTable(Fertiliser_SourceData.Fertiliser_Products_Data1(),FertiliserProducts[[#Headers],[Include or Exclude]], 0,4)</f>
        <v/>
      </c>
      <c r="O111" s="137" t="str" cm="1">
        <f t="array" ref="O111">Common_InputFunctions.Utility_DisplayArrayInTable(Fertiliser_SourceData.Fertiliser_Products_Data1(),FertiliserProducts[[#Headers],[Include or Exclude]], 0,4)</f>
        <v/>
      </c>
      <c r="P111" s="137" t="str" cm="1">
        <f t="array" ref="P111">Common_InputFunctions.Utility_DisplayArrayInTable(Fertiliser_SourceData.Fertiliser_Products_Data1(),FertiliserProducts[[#Headers],[Include or Exclude]], 0,4)</f>
        <v/>
      </c>
      <c r="Q111" s="137" t="str" cm="1">
        <f t="array" ref="Q111">Common_InputFunctions.Utility_DisplayArrayInTable(Fertiliser_SourceData.Fertiliser_Products_Data1(),FertiliserProducts[[#Headers],[Include or Exclude]], 0,4)</f>
        <v/>
      </c>
      <c r="R111" s="137" t="str" cm="1">
        <f t="array" ref="R111">Common_InputFunctions.Utility_DisplayArrayInTable(Fertiliser_SourceData.Fertiliser_Products_Data1(),FertiliserProducts[[#Headers],[Include or Exclude]], 0,4)</f>
        <v/>
      </c>
      <c r="S111" s="137" t="str" cm="1">
        <f t="array" ref="S111">Common_InputFunctions.Utility_DisplayArrayInTable(Fertiliser_SourceData.Fertiliser_Products_Data1(),FertiliserProducts[[#Headers],[Include or Exclude]], 0,4)</f>
        <v/>
      </c>
      <c r="T111" s="137" t="str" cm="1">
        <f t="array" ref="T111">Common_InputFunctions.Utility_DisplayArrayInTable(Fertiliser_SourceData.Fertiliser_Products_Data1(),FertiliserProducts[[#Headers],[Include or Exclude]], 0,4)</f>
        <v/>
      </c>
      <c r="U111" s="137" t="str" cm="1">
        <f t="array" ref="U111">Common_InputFunctions.Utility_DisplayArrayInTable(Fertiliser_SourceData.Fertiliser_Products_Data1(),FertiliserProducts[[#Headers],[Include or Exclude]], 0,4)</f>
        <v/>
      </c>
      <c r="V111" s="137" t="str" cm="1">
        <f t="array" ref="V111">Common_InputFunctions.Utility_DisplayArrayInTable(Fertiliser_SourceData.Fertiliser_Products_Data1(),FertiliserProducts[[#Headers],[Include or Exclude]], 0,4)</f>
        <v/>
      </c>
      <c r="W111" s="137" t="str" cm="1">
        <f t="array" ref="W111">Common_InputFunctions.Utility_DisplayArrayInTable(Fertiliser_SourceData.Fertiliser_Products_Data1(),FertiliserProducts[[#Headers],[Include or Exclude]], 0,4)</f>
        <v/>
      </c>
      <c r="X111" s="137" t="str" cm="1">
        <f t="array" ref="X111">Common_InputFunctions.Utility_DisplayArrayInTable(Fertiliser_SourceData.Fertiliser_Products_Data1(),FertiliserProducts[[#Headers],[Include or Exclude]], 0,4)</f>
        <v/>
      </c>
      <c r="Y111" s="137" t="str" cm="1">
        <f t="array" ref="Y111">Common_InputFunctions.Utility_DisplayArrayInTable(Fertiliser_SourceData.Fertiliser_Products_Data1(),FertiliserProducts[[#Headers],[Include or Exclude]], 0,4)</f>
        <v/>
      </c>
      <c r="Z111" s="137" t="str" cm="1">
        <f t="array" ref="Z111">Common_InputFunctions.Utility_DisplayArrayInTable(Fertiliser_SourceData.Fertiliser_Products_Data1(),FertiliserProducts[[#Headers],[Include or Exclude]], 0,4)</f>
        <v/>
      </c>
      <c r="AA111" s="137" t="str" cm="1">
        <f t="array" ref="AA111">Common_InputFunctions.Utility_DisplayArrayInTable(Fertiliser_SourceData.Fertiliser_Products_Data1(),FertiliserProducts[[#Headers],[Include or Exclude]], 0,4)</f>
        <v/>
      </c>
      <c r="AB111" s="137" t="str" cm="1">
        <f t="array" ref="AB111">Common_InputFunctions.Utility_DisplayArrayInTable(Fertiliser_SourceData.Fertiliser_Products_Data1(),FertiliserProducts[[#Headers],[Include or Exclude]], 0,4)</f>
        <v/>
      </c>
      <c r="AC111" s="137" t="str" cm="1">
        <f t="array" ref="AC111">Common_InputFunctions.Utility_DisplayArrayInTable(Fertiliser_SourceData.Fertiliser_Products_Data1(),FertiliserProducts[[#Headers],[Include or Exclude]], 0,4)</f>
        <v/>
      </c>
      <c r="AD111" s="137" t="str" cm="1">
        <f t="array" ref="AD111">Common_InputFunctions.Utility_DisplayArrayInTable(Fertiliser_SourceData.Fertiliser_Products_Data1(),FertiliserProducts[[#Headers],[Include or Exclude]], 0,4)</f>
        <v/>
      </c>
      <c r="AE111" s="137" t="str" cm="1">
        <f t="array" ref="AE111">Common_InputFunctions.Utility_DisplayArrayInTable(Fertiliser_SourceData.Fertiliser_Products_Data1(),FertiliserProducts[[#Headers],[Include or Exclude]], 0,4)</f>
        <v/>
      </c>
    </row>
    <row r="112" spans="4:31" ht="20.100000000000001" customHeight="1" x14ac:dyDescent="0.25">
      <c r="D112" s="137" t="str" cm="1">
        <f t="array" ref="D112">Common_InputFunctions.Utility_DisplayArrayInTable(Fertiliser_SourceData.Fertiliser_Products_Data1(),FertiliserProducts[[#Headers],[Include or Exclude]], -1)</f>
        <v/>
      </c>
      <c r="E112" s="137" t="str" cm="1">
        <f t="array" ref="E112">Common_InputFunctions.Utility_DisplayArrayInTable(Fertiliser_SourceData.Fertiliser_Products_Data1(),FertiliserProducts[[#Headers],[Include or Exclude]], 0)</f>
        <v>Use Lime EF for calcium</v>
      </c>
      <c r="F112" s="137" t="str" cm="1">
        <f t="array" ref="F112">Common_InputFunctions.Utility_DisplayArrayInTable(Fertiliser_SourceData.Fertiliser_Products_Data1(),FertiliserProducts[[#Headers],[Include or Exclude]], 0)</f>
        <v>Campbells fertilisers Australia</v>
      </c>
      <c r="G112" s="137" t="str" cm="1">
        <f t="array" ref="G112">Common_InputFunctions.Utility_DisplayArrayInTable(Fertiliser_SourceData.Fertiliser_Products_Data1(),FertiliserProducts[[#Headers],[Include or Exclude]], 0)</f>
        <v>CalPhos</v>
      </c>
      <c r="H112" s="137" t="str" cm="1">
        <f t="array" ref="H112">Common_InputFunctions.Utility_DisplayArrayInTable(Fertiliser_SourceData.Fertiliser_Products_Data1(),FertiliserProducts[[#Headers],[Include or Exclude]], 0,4)</f>
        <v>L</v>
      </c>
      <c r="I112" s="137" cm="1">
        <f t="array" ref="I112">Common_InputFunctions.Utility_DisplayArrayInTable(Fertiliser_SourceData.Fertiliser_Products_Data1(),FertiliserProducts[[#Headers],[Include or Exclude]], 0,4)</f>
        <v>1.2849999999999999</v>
      </c>
      <c r="J112" s="137" t="str" cm="1">
        <f t="array" ref="J112">Common_InputFunctions.Utility_DisplayArrayInTable(Fertiliser_SourceData.Fertiliser_Products_Data1(),FertiliserProducts[[#Headers],[Include or Exclude]], 0,4)</f>
        <v/>
      </c>
      <c r="K112" s="137" t="str" cm="1">
        <f t="array" ref="K112">Common_InputFunctions.Utility_DisplayArrayInTable(Fertiliser_SourceData.Fertiliser_Products_Data1(),FertiliserProducts[[#Headers],[Include or Exclude]], 0,4)</f>
        <v/>
      </c>
      <c r="L112" s="137" t="str" cm="1">
        <f t="array" ref="L112">Common_InputFunctions.Utility_DisplayArrayInTable(Fertiliser_SourceData.Fertiliser_Products_Data1(),FertiliserProducts[[#Headers],[Include or Exclude]], 0,4)</f>
        <v>Phosphorus - Generic</v>
      </c>
      <c r="M112" s="137" cm="1">
        <f t="array" ref="M112">Common_InputFunctions.Utility_DisplayArrayInTable(Fertiliser_SourceData.Fertiliser_Products_Data1(),FertiliserProducts[[#Headers],[Include or Exclude]], 0,4)</f>
        <v>0.13500000000000001</v>
      </c>
      <c r="N112" s="137" t="str" cm="1">
        <f t="array" ref="N112">Common_InputFunctions.Utility_DisplayArrayInTable(Fertiliser_SourceData.Fertiliser_Products_Data1(),FertiliserProducts[[#Headers],[Include or Exclude]], 0,4)</f>
        <v>Calcium - Generic</v>
      </c>
      <c r="O112" s="137" cm="1">
        <f t="array" ref="O112">Common_InputFunctions.Utility_DisplayArrayInTable(Fertiliser_SourceData.Fertiliser_Products_Data1(),FertiliserProducts[[#Headers],[Include or Exclude]], 0,4)</f>
        <v>0.04</v>
      </c>
      <c r="P112" s="137" t="str" cm="1">
        <f t="array" ref="P112">Common_InputFunctions.Utility_DisplayArrayInTable(Fertiliser_SourceData.Fertiliser_Products_Data1(),FertiliserProducts[[#Headers],[Include or Exclude]], 0,4)</f>
        <v/>
      </c>
      <c r="Q112" s="137" t="str" cm="1">
        <f t="array" ref="Q112">Common_InputFunctions.Utility_DisplayArrayInTable(Fertiliser_SourceData.Fertiliser_Products_Data1(),FertiliserProducts[[#Headers],[Include or Exclude]], 0,4)</f>
        <v/>
      </c>
      <c r="R112" s="137" t="str" cm="1">
        <f t="array" ref="R112">Common_InputFunctions.Utility_DisplayArrayInTable(Fertiliser_SourceData.Fertiliser_Products_Data1(),FertiliserProducts[[#Headers],[Include or Exclude]], 0,4)</f>
        <v/>
      </c>
      <c r="S112" s="137" t="str" cm="1">
        <f t="array" ref="S112">Common_InputFunctions.Utility_DisplayArrayInTable(Fertiliser_SourceData.Fertiliser_Products_Data1(),FertiliserProducts[[#Headers],[Include or Exclude]], 0,4)</f>
        <v/>
      </c>
      <c r="T112" s="137" t="str" cm="1">
        <f t="array" ref="T112">Common_InputFunctions.Utility_DisplayArrayInTable(Fertiliser_SourceData.Fertiliser_Products_Data1(),FertiliserProducts[[#Headers],[Include or Exclude]], 0,4)</f>
        <v/>
      </c>
      <c r="U112" s="137" t="str" cm="1">
        <f t="array" ref="U112">Common_InputFunctions.Utility_DisplayArrayInTable(Fertiliser_SourceData.Fertiliser_Products_Data1(),FertiliserProducts[[#Headers],[Include or Exclude]], 0,4)</f>
        <v/>
      </c>
      <c r="V112" s="137" t="str" cm="1">
        <f t="array" ref="V112">Common_InputFunctions.Utility_DisplayArrayInTable(Fertiliser_SourceData.Fertiliser_Products_Data1(),FertiliserProducts[[#Headers],[Include or Exclude]], 0,4)</f>
        <v/>
      </c>
      <c r="W112" s="137" t="str" cm="1">
        <f t="array" ref="W112">Common_InputFunctions.Utility_DisplayArrayInTable(Fertiliser_SourceData.Fertiliser_Products_Data1(),FertiliserProducts[[#Headers],[Include or Exclude]], 0,4)</f>
        <v/>
      </c>
      <c r="X112" s="137" t="str" cm="1">
        <f t="array" ref="X112">Common_InputFunctions.Utility_DisplayArrayInTable(Fertiliser_SourceData.Fertiliser_Products_Data1(),FertiliserProducts[[#Headers],[Include or Exclude]], 0,4)</f>
        <v/>
      </c>
      <c r="Y112" s="137" t="str" cm="1">
        <f t="array" ref="Y112">Common_InputFunctions.Utility_DisplayArrayInTable(Fertiliser_SourceData.Fertiliser_Products_Data1(),FertiliserProducts[[#Headers],[Include or Exclude]], 0,4)</f>
        <v/>
      </c>
      <c r="Z112" s="137" t="str" cm="1">
        <f t="array" ref="Z112">Common_InputFunctions.Utility_DisplayArrayInTable(Fertiliser_SourceData.Fertiliser_Products_Data1(),FertiliserProducts[[#Headers],[Include or Exclude]], 0,4)</f>
        <v/>
      </c>
      <c r="AA112" s="137" t="str" cm="1">
        <f t="array" ref="AA112">Common_InputFunctions.Utility_DisplayArrayInTable(Fertiliser_SourceData.Fertiliser_Products_Data1(),FertiliserProducts[[#Headers],[Include or Exclude]], 0,4)</f>
        <v/>
      </c>
      <c r="AB112" s="137" t="str" cm="1">
        <f t="array" ref="AB112">Common_InputFunctions.Utility_DisplayArrayInTable(Fertiliser_SourceData.Fertiliser_Products_Data1(),FertiliserProducts[[#Headers],[Include or Exclude]], 0,4)</f>
        <v/>
      </c>
      <c r="AC112" s="137" t="str" cm="1">
        <f t="array" ref="AC112">Common_InputFunctions.Utility_DisplayArrayInTable(Fertiliser_SourceData.Fertiliser_Products_Data1(),FertiliserProducts[[#Headers],[Include or Exclude]], 0,4)</f>
        <v/>
      </c>
      <c r="AD112" s="137" t="str" cm="1">
        <f t="array" ref="AD112">Common_InputFunctions.Utility_DisplayArrayInTable(Fertiliser_SourceData.Fertiliser_Products_Data1(),FertiliserProducts[[#Headers],[Include or Exclude]], 0,4)</f>
        <v/>
      </c>
      <c r="AE112" s="137" t="str" cm="1">
        <f t="array" ref="AE112">Common_InputFunctions.Utility_DisplayArrayInTable(Fertiliser_SourceData.Fertiliser_Products_Data1(),FertiliserProducts[[#Headers],[Include or Exclude]], 0,4)</f>
        <v/>
      </c>
    </row>
    <row r="113" spans="4:31" ht="20.100000000000001" customHeight="1" x14ac:dyDescent="0.25">
      <c r="D113" s="137" t="str" cm="1">
        <f t="array" ref="D113">Common_InputFunctions.Utility_DisplayArrayInTable(Fertiliser_SourceData.Fertiliser_Products_Data1(),FertiliserProducts[[#Headers],[Include or Exclude]], -1)</f>
        <v/>
      </c>
      <c r="E113" s="137" t="str" cm="1">
        <f t="array" ref="E113">Common_InputFunctions.Utility_DisplayArrayInTable(Fertiliser_SourceData.Fertiliser_Products_Data1(),FertiliserProducts[[#Headers],[Include or Exclude]], 0)</f>
        <v/>
      </c>
      <c r="F113" s="137" t="str" cm="1">
        <f t="array" ref="F113">Common_InputFunctions.Utility_DisplayArrayInTable(Fertiliser_SourceData.Fertiliser_Products_Data1(),FertiliserProducts[[#Headers],[Include or Exclude]], 0)</f>
        <v/>
      </c>
      <c r="G113" s="137" t="str" cm="1">
        <f t="array" ref="G113">Common_InputFunctions.Utility_DisplayArrayInTable(Fertiliser_SourceData.Fertiliser_Products_Data1(),FertiliserProducts[[#Headers],[Include or Exclude]], 0)</f>
        <v/>
      </c>
      <c r="H113" s="137" t="str" cm="1">
        <f t="array" ref="H113">Common_InputFunctions.Utility_DisplayArrayInTable(Fertiliser_SourceData.Fertiliser_Products_Data1(),FertiliserProducts[[#Headers],[Include or Exclude]], 0,4)</f>
        <v/>
      </c>
      <c r="I113" s="137" t="str" cm="1">
        <f t="array" ref="I113">Common_InputFunctions.Utility_DisplayArrayInTable(Fertiliser_SourceData.Fertiliser_Products_Data1(),FertiliserProducts[[#Headers],[Include or Exclude]], 0,4)</f>
        <v/>
      </c>
      <c r="J113" s="137" t="str" cm="1">
        <f t="array" ref="J113">Common_InputFunctions.Utility_DisplayArrayInTable(Fertiliser_SourceData.Fertiliser_Products_Data1(),FertiliserProducts[[#Headers],[Include or Exclude]], 0,4)</f>
        <v/>
      </c>
      <c r="K113" s="137" t="str" cm="1">
        <f t="array" ref="K113">Common_InputFunctions.Utility_DisplayArrayInTable(Fertiliser_SourceData.Fertiliser_Products_Data1(),FertiliserProducts[[#Headers],[Include or Exclude]], 0,4)</f>
        <v/>
      </c>
      <c r="L113" s="137" t="str" cm="1">
        <f t="array" ref="L113">Common_InputFunctions.Utility_DisplayArrayInTable(Fertiliser_SourceData.Fertiliser_Products_Data1(),FertiliserProducts[[#Headers],[Include or Exclude]], 0,4)</f>
        <v/>
      </c>
      <c r="M113" s="137" t="str" cm="1">
        <f t="array" ref="M113">Common_InputFunctions.Utility_DisplayArrayInTable(Fertiliser_SourceData.Fertiliser_Products_Data1(),FertiliserProducts[[#Headers],[Include or Exclude]], 0,4)</f>
        <v/>
      </c>
      <c r="N113" s="137" t="str" cm="1">
        <f t="array" ref="N113">Common_InputFunctions.Utility_DisplayArrayInTable(Fertiliser_SourceData.Fertiliser_Products_Data1(),FertiliserProducts[[#Headers],[Include or Exclude]], 0,4)</f>
        <v/>
      </c>
      <c r="O113" s="137" t="str" cm="1">
        <f t="array" ref="O113">Common_InputFunctions.Utility_DisplayArrayInTable(Fertiliser_SourceData.Fertiliser_Products_Data1(),FertiliserProducts[[#Headers],[Include or Exclude]], 0,4)</f>
        <v/>
      </c>
      <c r="P113" s="137" t="str" cm="1">
        <f t="array" ref="P113">Common_InputFunctions.Utility_DisplayArrayInTable(Fertiliser_SourceData.Fertiliser_Products_Data1(),FertiliserProducts[[#Headers],[Include or Exclude]], 0,4)</f>
        <v/>
      </c>
      <c r="Q113" s="137" t="str" cm="1">
        <f t="array" ref="Q113">Common_InputFunctions.Utility_DisplayArrayInTable(Fertiliser_SourceData.Fertiliser_Products_Data1(),FertiliserProducts[[#Headers],[Include or Exclude]], 0,4)</f>
        <v/>
      </c>
      <c r="R113" s="137" t="str" cm="1">
        <f t="array" ref="R113">Common_InputFunctions.Utility_DisplayArrayInTable(Fertiliser_SourceData.Fertiliser_Products_Data1(),FertiliserProducts[[#Headers],[Include or Exclude]], 0,4)</f>
        <v/>
      </c>
      <c r="S113" s="137" t="str" cm="1">
        <f t="array" ref="S113">Common_InputFunctions.Utility_DisplayArrayInTable(Fertiliser_SourceData.Fertiliser_Products_Data1(),FertiliserProducts[[#Headers],[Include or Exclude]], 0,4)</f>
        <v/>
      </c>
      <c r="T113" s="137" t="str" cm="1">
        <f t="array" ref="T113">Common_InputFunctions.Utility_DisplayArrayInTable(Fertiliser_SourceData.Fertiliser_Products_Data1(),FertiliserProducts[[#Headers],[Include or Exclude]], 0,4)</f>
        <v/>
      </c>
      <c r="U113" s="137" t="str" cm="1">
        <f t="array" ref="U113">Common_InputFunctions.Utility_DisplayArrayInTable(Fertiliser_SourceData.Fertiliser_Products_Data1(),FertiliserProducts[[#Headers],[Include or Exclude]], 0,4)</f>
        <v/>
      </c>
      <c r="V113" s="137" t="str" cm="1">
        <f t="array" ref="V113">Common_InputFunctions.Utility_DisplayArrayInTable(Fertiliser_SourceData.Fertiliser_Products_Data1(),FertiliserProducts[[#Headers],[Include or Exclude]], 0,4)</f>
        <v/>
      </c>
      <c r="W113" s="137" t="str" cm="1">
        <f t="array" ref="W113">Common_InputFunctions.Utility_DisplayArrayInTable(Fertiliser_SourceData.Fertiliser_Products_Data1(),FertiliserProducts[[#Headers],[Include or Exclude]], 0,4)</f>
        <v/>
      </c>
      <c r="X113" s="137" t="str" cm="1">
        <f t="array" ref="X113">Common_InputFunctions.Utility_DisplayArrayInTable(Fertiliser_SourceData.Fertiliser_Products_Data1(),FertiliserProducts[[#Headers],[Include or Exclude]], 0,4)</f>
        <v/>
      </c>
      <c r="Y113" s="137" t="str" cm="1">
        <f t="array" ref="Y113">Common_InputFunctions.Utility_DisplayArrayInTable(Fertiliser_SourceData.Fertiliser_Products_Data1(),FertiliserProducts[[#Headers],[Include or Exclude]], 0,4)</f>
        <v/>
      </c>
      <c r="Z113" s="137" t="str" cm="1">
        <f t="array" ref="Z113">Common_InputFunctions.Utility_DisplayArrayInTable(Fertiliser_SourceData.Fertiliser_Products_Data1(),FertiliserProducts[[#Headers],[Include or Exclude]], 0,4)</f>
        <v/>
      </c>
      <c r="AA113" s="137" t="str" cm="1">
        <f t="array" ref="AA113">Common_InputFunctions.Utility_DisplayArrayInTable(Fertiliser_SourceData.Fertiliser_Products_Data1(),FertiliserProducts[[#Headers],[Include or Exclude]], 0,4)</f>
        <v/>
      </c>
      <c r="AB113" s="137" t="str" cm="1">
        <f t="array" ref="AB113">Common_InputFunctions.Utility_DisplayArrayInTable(Fertiliser_SourceData.Fertiliser_Products_Data1(),FertiliserProducts[[#Headers],[Include or Exclude]], 0,4)</f>
        <v/>
      </c>
      <c r="AC113" s="137" t="str" cm="1">
        <f t="array" ref="AC113">Common_InputFunctions.Utility_DisplayArrayInTable(Fertiliser_SourceData.Fertiliser_Products_Data1(),FertiliserProducts[[#Headers],[Include or Exclude]], 0,4)</f>
        <v/>
      </c>
      <c r="AD113" s="137" t="str" cm="1">
        <f t="array" ref="AD113">Common_InputFunctions.Utility_DisplayArrayInTable(Fertiliser_SourceData.Fertiliser_Products_Data1(),FertiliserProducts[[#Headers],[Include or Exclude]], 0,4)</f>
        <v/>
      </c>
      <c r="AE113" s="137" t="str" cm="1">
        <f t="array" ref="AE113">Common_InputFunctions.Utility_DisplayArrayInTable(Fertiliser_SourceData.Fertiliser_Products_Data1(),FertiliserProducts[[#Headers],[Include or Exclude]], 0,4)</f>
        <v/>
      </c>
    </row>
    <row r="114" spans="4:31" ht="20.100000000000001" customHeight="1" x14ac:dyDescent="0.25">
      <c r="D114" s="137" t="str" cm="1">
        <f t="array" ref="D114">Common_InputFunctions.Utility_DisplayArrayInTable(Fertiliser_SourceData.Fertiliser_Products_Data1(),FertiliserProducts[[#Headers],[Include or Exclude]], -1)</f>
        <v/>
      </c>
      <c r="E114" s="137" t="str" cm="1">
        <f t="array" ref="E114">Common_InputFunctions.Utility_DisplayArrayInTable(Fertiliser_SourceData.Fertiliser_Products_Data1(),FertiliserProducts[[#Headers],[Include or Exclude]], 0)</f>
        <v/>
      </c>
      <c r="F114" s="137" t="str" cm="1">
        <f t="array" ref="F114">Common_InputFunctions.Utility_DisplayArrayInTable(Fertiliser_SourceData.Fertiliser_Products_Data1(),FertiliserProducts[[#Headers],[Include or Exclude]], 0)</f>
        <v/>
      </c>
      <c r="G114" s="137" t="str" cm="1">
        <f t="array" ref="G114">Common_InputFunctions.Utility_DisplayArrayInTable(Fertiliser_SourceData.Fertiliser_Products_Data1(),FertiliserProducts[[#Headers],[Include or Exclude]], 0)</f>
        <v/>
      </c>
      <c r="H114" s="137" t="str" cm="1">
        <f t="array" ref="H114">Common_InputFunctions.Utility_DisplayArrayInTable(Fertiliser_SourceData.Fertiliser_Products_Data1(),FertiliserProducts[[#Headers],[Include or Exclude]], 0,4)</f>
        <v/>
      </c>
      <c r="I114" s="137" t="str" cm="1">
        <f t="array" ref="I114">Common_InputFunctions.Utility_DisplayArrayInTable(Fertiliser_SourceData.Fertiliser_Products_Data1(),FertiliserProducts[[#Headers],[Include or Exclude]], 0,4)</f>
        <v/>
      </c>
      <c r="J114" s="137" t="str" cm="1">
        <f t="array" ref="J114">Common_InputFunctions.Utility_DisplayArrayInTable(Fertiliser_SourceData.Fertiliser_Products_Data1(),FertiliserProducts[[#Headers],[Include or Exclude]], 0,4)</f>
        <v/>
      </c>
      <c r="K114" s="137" t="str" cm="1">
        <f t="array" ref="K114">Common_InputFunctions.Utility_DisplayArrayInTable(Fertiliser_SourceData.Fertiliser_Products_Data1(),FertiliserProducts[[#Headers],[Include or Exclude]], 0,4)</f>
        <v/>
      </c>
      <c r="L114" s="137" t="str" cm="1">
        <f t="array" ref="L114">Common_InputFunctions.Utility_DisplayArrayInTable(Fertiliser_SourceData.Fertiliser_Products_Data1(),FertiliserProducts[[#Headers],[Include or Exclude]], 0,4)</f>
        <v/>
      </c>
      <c r="M114" s="137" t="str" cm="1">
        <f t="array" ref="M114">Common_InputFunctions.Utility_DisplayArrayInTable(Fertiliser_SourceData.Fertiliser_Products_Data1(),FertiliserProducts[[#Headers],[Include or Exclude]], 0,4)</f>
        <v/>
      </c>
      <c r="N114" s="137" t="str" cm="1">
        <f t="array" ref="N114">Common_InputFunctions.Utility_DisplayArrayInTable(Fertiliser_SourceData.Fertiliser_Products_Data1(),FertiliserProducts[[#Headers],[Include or Exclude]], 0,4)</f>
        <v/>
      </c>
      <c r="O114" s="137" t="str" cm="1">
        <f t="array" ref="O114">Common_InputFunctions.Utility_DisplayArrayInTable(Fertiliser_SourceData.Fertiliser_Products_Data1(),FertiliserProducts[[#Headers],[Include or Exclude]], 0,4)</f>
        <v/>
      </c>
      <c r="P114" s="137" t="str" cm="1">
        <f t="array" ref="P114">Common_InputFunctions.Utility_DisplayArrayInTable(Fertiliser_SourceData.Fertiliser_Products_Data1(),FertiliserProducts[[#Headers],[Include or Exclude]], 0,4)</f>
        <v/>
      </c>
      <c r="Q114" s="137" t="str" cm="1">
        <f t="array" ref="Q114">Common_InputFunctions.Utility_DisplayArrayInTable(Fertiliser_SourceData.Fertiliser_Products_Data1(),FertiliserProducts[[#Headers],[Include or Exclude]], 0,4)</f>
        <v/>
      </c>
      <c r="R114" s="137" t="str" cm="1">
        <f t="array" ref="R114">Common_InputFunctions.Utility_DisplayArrayInTable(Fertiliser_SourceData.Fertiliser_Products_Data1(),FertiliserProducts[[#Headers],[Include or Exclude]], 0,4)</f>
        <v/>
      </c>
      <c r="S114" s="137" t="str" cm="1">
        <f t="array" ref="S114">Common_InputFunctions.Utility_DisplayArrayInTable(Fertiliser_SourceData.Fertiliser_Products_Data1(),FertiliserProducts[[#Headers],[Include or Exclude]], 0,4)</f>
        <v/>
      </c>
      <c r="T114" s="137" t="str" cm="1">
        <f t="array" ref="T114">Common_InputFunctions.Utility_DisplayArrayInTable(Fertiliser_SourceData.Fertiliser_Products_Data1(),FertiliserProducts[[#Headers],[Include or Exclude]], 0,4)</f>
        <v/>
      </c>
      <c r="U114" s="137" t="str" cm="1">
        <f t="array" ref="U114">Common_InputFunctions.Utility_DisplayArrayInTable(Fertiliser_SourceData.Fertiliser_Products_Data1(),FertiliserProducts[[#Headers],[Include or Exclude]], 0,4)</f>
        <v/>
      </c>
      <c r="V114" s="137" t="str" cm="1">
        <f t="array" ref="V114">Common_InputFunctions.Utility_DisplayArrayInTable(Fertiliser_SourceData.Fertiliser_Products_Data1(),FertiliserProducts[[#Headers],[Include or Exclude]], 0,4)</f>
        <v/>
      </c>
      <c r="W114" s="137" t="str" cm="1">
        <f t="array" ref="W114">Common_InputFunctions.Utility_DisplayArrayInTable(Fertiliser_SourceData.Fertiliser_Products_Data1(),FertiliserProducts[[#Headers],[Include or Exclude]], 0,4)</f>
        <v/>
      </c>
      <c r="X114" s="137" t="str" cm="1">
        <f t="array" ref="X114">Common_InputFunctions.Utility_DisplayArrayInTable(Fertiliser_SourceData.Fertiliser_Products_Data1(),FertiliserProducts[[#Headers],[Include or Exclude]], 0,4)</f>
        <v/>
      </c>
      <c r="Y114" s="137" t="str" cm="1">
        <f t="array" ref="Y114">Common_InputFunctions.Utility_DisplayArrayInTable(Fertiliser_SourceData.Fertiliser_Products_Data1(),FertiliserProducts[[#Headers],[Include or Exclude]], 0,4)</f>
        <v/>
      </c>
      <c r="Z114" s="137" t="str" cm="1">
        <f t="array" ref="Z114">Common_InputFunctions.Utility_DisplayArrayInTable(Fertiliser_SourceData.Fertiliser_Products_Data1(),FertiliserProducts[[#Headers],[Include or Exclude]], 0,4)</f>
        <v/>
      </c>
      <c r="AA114" s="137" t="str" cm="1">
        <f t="array" ref="AA114">Common_InputFunctions.Utility_DisplayArrayInTable(Fertiliser_SourceData.Fertiliser_Products_Data1(),FertiliserProducts[[#Headers],[Include or Exclude]], 0,4)</f>
        <v/>
      </c>
      <c r="AB114" s="137" t="str" cm="1">
        <f t="array" ref="AB114">Common_InputFunctions.Utility_DisplayArrayInTable(Fertiliser_SourceData.Fertiliser_Products_Data1(),FertiliserProducts[[#Headers],[Include or Exclude]], 0,4)</f>
        <v/>
      </c>
      <c r="AC114" s="137" t="str" cm="1">
        <f t="array" ref="AC114">Common_InputFunctions.Utility_DisplayArrayInTable(Fertiliser_SourceData.Fertiliser_Products_Data1(),FertiliserProducts[[#Headers],[Include or Exclude]], 0,4)</f>
        <v/>
      </c>
      <c r="AD114" s="137" t="str" cm="1">
        <f t="array" ref="AD114">Common_InputFunctions.Utility_DisplayArrayInTable(Fertiliser_SourceData.Fertiliser_Products_Data1(),FertiliserProducts[[#Headers],[Include or Exclude]], 0,4)</f>
        <v/>
      </c>
      <c r="AE114" s="137" t="str" cm="1">
        <f t="array" ref="AE114">Common_InputFunctions.Utility_DisplayArrayInTable(Fertiliser_SourceData.Fertiliser_Products_Data1(),FertiliserProducts[[#Headers],[Include or Exclude]], 0,4)</f>
        <v/>
      </c>
    </row>
    <row r="115" spans="4:31" ht="20.100000000000001" customHeight="1" x14ac:dyDescent="0.25">
      <c r="D115" s="137" t="str" cm="1">
        <f t="array" ref="D115">Common_InputFunctions.Utility_DisplayArrayInTable(Fertiliser_SourceData.Fertiliser_Products_Data1(),FertiliserProducts[[#Headers],[Include or Exclude]], -1)</f>
        <v/>
      </c>
      <c r="E115" s="137" t="str" cm="1">
        <f t="array" ref="E115">Common_InputFunctions.Utility_DisplayArrayInTable(Fertiliser_SourceData.Fertiliser_Products_Data1(),FertiliserProducts[[#Headers],[Include or Exclude]], 0)</f>
        <v/>
      </c>
      <c r="F115" s="137" t="str" cm="1">
        <f t="array" ref="F115">Common_InputFunctions.Utility_DisplayArrayInTable(Fertiliser_SourceData.Fertiliser_Products_Data1(),FertiliserProducts[[#Headers],[Include or Exclude]], 0)</f>
        <v/>
      </c>
      <c r="G115" s="137" t="str" cm="1">
        <f t="array" ref="G115">Common_InputFunctions.Utility_DisplayArrayInTable(Fertiliser_SourceData.Fertiliser_Products_Data1(),FertiliserProducts[[#Headers],[Include or Exclude]], 0)</f>
        <v/>
      </c>
      <c r="H115" s="137" t="str" cm="1">
        <f t="array" ref="H115">Common_InputFunctions.Utility_DisplayArrayInTable(Fertiliser_SourceData.Fertiliser_Products_Data1(),FertiliserProducts[[#Headers],[Include or Exclude]], 0,4)</f>
        <v/>
      </c>
      <c r="I115" s="137" t="str" cm="1">
        <f t="array" ref="I115">Common_InputFunctions.Utility_DisplayArrayInTable(Fertiliser_SourceData.Fertiliser_Products_Data1(),FertiliserProducts[[#Headers],[Include or Exclude]], 0,4)</f>
        <v/>
      </c>
      <c r="J115" s="137" t="str" cm="1">
        <f t="array" ref="J115">Common_InputFunctions.Utility_DisplayArrayInTable(Fertiliser_SourceData.Fertiliser_Products_Data1(),FertiliserProducts[[#Headers],[Include or Exclude]], 0,4)</f>
        <v/>
      </c>
      <c r="K115" s="137" t="str" cm="1">
        <f t="array" ref="K115">Common_InputFunctions.Utility_DisplayArrayInTable(Fertiliser_SourceData.Fertiliser_Products_Data1(),FertiliserProducts[[#Headers],[Include or Exclude]], 0,4)</f>
        <v/>
      </c>
      <c r="L115" s="137" t="str" cm="1">
        <f t="array" ref="L115">Common_InputFunctions.Utility_DisplayArrayInTable(Fertiliser_SourceData.Fertiliser_Products_Data1(),FertiliserProducts[[#Headers],[Include or Exclude]], 0,4)</f>
        <v/>
      </c>
      <c r="M115" s="137" t="str" cm="1">
        <f t="array" ref="M115">Common_InputFunctions.Utility_DisplayArrayInTable(Fertiliser_SourceData.Fertiliser_Products_Data1(),FertiliserProducts[[#Headers],[Include or Exclude]], 0,4)</f>
        <v/>
      </c>
      <c r="N115" s="137" t="str" cm="1">
        <f t="array" ref="N115">Common_InputFunctions.Utility_DisplayArrayInTable(Fertiliser_SourceData.Fertiliser_Products_Data1(),FertiliserProducts[[#Headers],[Include or Exclude]], 0,4)</f>
        <v/>
      </c>
      <c r="O115" s="137" t="str" cm="1">
        <f t="array" ref="O115">Common_InputFunctions.Utility_DisplayArrayInTable(Fertiliser_SourceData.Fertiliser_Products_Data1(),FertiliserProducts[[#Headers],[Include or Exclude]], 0,4)</f>
        <v/>
      </c>
      <c r="P115" s="137" t="str" cm="1">
        <f t="array" ref="P115">Common_InputFunctions.Utility_DisplayArrayInTable(Fertiliser_SourceData.Fertiliser_Products_Data1(),FertiliserProducts[[#Headers],[Include or Exclude]], 0,4)</f>
        <v/>
      </c>
      <c r="Q115" s="137" t="str" cm="1">
        <f t="array" ref="Q115">Common_InputFunctions.Utility_DisplayArrayInTable(Fertiliser_SourceData.Fertiliser_Products_Data1(),FertiliserProducts[[#Headers],[Include or Exclude]], 0,4)</f>
        <v/>
      </c>
      <c r="R115" s="137" t="str" cm="1">
        <f t="array" ref="R115">Common_InputFunctions.Utility_DisplayArrayInTable(Fertiliser_SourceData.Fertiliser_Products_Data1(),FertiliserProducts[[#Headers],[Include or Exclude]], 0,4)</f>
        <v/>
      </c>
      <c r="S115" s="137" t="str" cm="1">
        <f t="array" ref="S115">Common_InputFunctions.Utility_DisplayArrayInTable(Fertiliser_SourceData.Fertiliser_Products_Data1(),FertiliserProducts[[#Headers],[Include or Exclude]], 0,4)</f>
        <v/>
      </c>
      <c r="T115" s="137" t="str" cm="1">
        <f t="array" ref="T115">Common_InputFunctions.Utility_DisplayArrayInTable(Fertiliser_SourceData.Fertiliser_Products_Data1(),FertiliserProducts[[#Headers],[Include or Exclude]], 0,4)</f>
        <v/>
      </c>
      <c r="U115" s="137" t="str" cm="1">
        <f t="array" ref="U115">Common_InputFunctions.Utility_DisplayArrayInTable(Fertiliser_SourceData.Fertiliser_Products_Data1(),FertiliserProducts[[#Headers],[Include or Exclude]], 0,4)</f>
        <v/>
      </c>
      <c r="V115" s="137" t="str" cm="1">
        <f t="array" ref="V115">Common_InputFunctions.Utility_DisplayArrayInTable(Fertiliser_SourceData.Fertiliser_Products_Data1(),FertiliserProducts[[#Headers],[Include or Exclude]], 0,4)</f>
        <v/>
      </c>
      <c r="W115" s="137" t="str" cm="1">
        <f t="array" ref="W115">Common_InputFunctions.Utility_DisplayArrayInTable(Fertiliser_SourceData.Fertiliser_Products_Data1(),FertiliserProducts[[#Headers],[Include or Exclude]], 0,4)</f>
        <v/>
      </c>
      <c r="X115" s="137" t="str" cm="1">
        <f t="array" ref="X115">Common_InputFunctions.Utility_DisplayArrayInTable(Fertiliser_SourceData.Fertiliser_Products_Data1(),FertiliserProducts[[#Headers],[Include or Exclude]], 0,4)</f>
        <v/>
      </c>
      <c r="Y115" s="137" t="str" cm="1">
        <f t="array" ref="Y115">Common_InputFunctions.Utility_DisplayArrayInTable(Fertiliser_SourceData.Fertiliser_Products_Data1(),FertiliserProducts[[#Headers],[Include or Exclude]], 0,4)</f>
        <v/>
      </c>
      <c r="Z115" s="137" t="str" cm="1">
        <f t="array" ref="Z115">Common_InputFunctions.Utility_DisplayArrayInTable(Fertiliser_SourceData.Fertiliser_Products_Data1(),FertiliserProducts[[#Headers],[Include or Exclude]], 0,4)</f>
        <v/>
      </c>
      <c r="AA115" s="137" t="str" cm="1">
        <f t="array" ref="AA115">Common_InputFunctions.Utility_DisplayArrayInTable(Fertiliser_SourceData.Fertiliser_Products_Data1(),FertiliserProducts[[#Headers],[Include or Exclude]], 0,4)</f>
        <v/>
      </c>
      <c r="AB115" s="137" t="str" cm="1">
        <f t="array" ref="AB115">Common_InputFunctions.Utility_DisplayArrayInTable(Fertiliser_SourceData.Fertiliser_Products_Data1(),FertiliserProducts[[#Headers],[Include or Exclude]], 0,4)</f>
        <v/>
      </c>
      <c r="AC115" s="137" t="str" cm="1">
        <f t="array" ref="AC115">Common_InputFunctions.Utility_DisplayArrayInTable(Fertiliser_SourceData.Fertiliser_Products_Data1(),FertiliserProducts[[#Headers],[Include or Exclude]], 0,4)</f>
        <v/>
      </c>
      <c r="AD115" s="137" t="str" cm="1">
        <f t="array" ref="AD115">Common_InputFunctions.Utility_DisplayArrayInTable(Fertiliser_SourceData.Fertiliser_Products_Data1(),FertiliserProducts[[#Headers],[Include or Exclude]], 0,4)</f>
        <v/>
      </c>
      <c r="AE115" s="137" t="str" cm="1">
        <f t="array" ref="AE115">Common_InputFunctions.Utility_DisplayArrayInTable(Fertiliser_SourceData.Fertiliser_Products_Data1(),FertiliserProducts[[#Headers],[Include or Exclude]], 0,4)</f>
        <v/>
      </c>
    </row>
    <row r="116" spans="4:31" ht="20.100000000000001" customHeight="1" x14ac:dyDescent="0.25">
      <c r="D116" s="137" t="str" cm="1">
        <f t="array" ref="D116">Common_InputFunctions.Utility_DisplayArrayInTable(Fertiliser_SourceData.Fertiliser_Products_Data1(),FertiliserProducts[[#Headers],[Include or Exclude]], -1)</f>
        <v/>
      </c>
      <c r="E116" s="137" t="str" cm="1">
        <f t="array" ref="E116">Common_InputFunctions.Utility_DisplayArrayInTable(Fertiliser_SourceData.Fertiliser_Products_Data1(),FertiliserProducts[[#Headers],[Include or Exclude]], 0)</f>
        <v/>
      </c>
      <c r="F116" s="137" t="str" cm="1">
        <f t="array" ref="F116">Common_InputFunctions.Utility_DisplayArrayInTable(Fertiliser_SourceData.Fertiliser_Products_Data1(),FertiliserProducts[[#Headers],[Include or Exclude]], 0)</f>
        <v/>
      </c>
      <c r="G116" s="137" t="str" cm="1">
        <f t="array" ref="G116">Common_InputFunctions.Utility_DisplayArrayInTable(Fertiliser_SourceData.Fertiliser_Products_Data1(),FertiliserProducts[[#Headers],[Include or Exclude]], 0)</f>
        <v/>
      </c>
      <c r="H116" s="137" t="str" cm="1">
        <f t="array" ref="H116">Common_InputFunctions.Utility_DisplayArrayInTable(Fertiliser_SourceData.Fertiliser_Products_Data1(),FertiliserProducts[[#Headers],[Include or Exclude]], 0,4)</f>
        <v/>
      </c>
      <c r="I116" s="137" t="str" cm="1">
        <f t="array" ref="I116">Common_InputFunctions.Utility_DisplayArrayInTable(Fertiliser_SourceData.Fertiliser_Products_Data1(),FertiliserProducts[[#Headers],[Include or Exclude]], 0,4)</f>
        <v/>
      </c>
      <c r="J116" s="137" t="str" cm="1">
        <f t="array" ref="J116">Common_InputFunctions.Utility_DisplayArrayInTable(Fertiliser_SourceData.Fertiliser_Products_Data1(),FertiliserProducts[[#Headers],[Include or Exclude]], 0,4)</f>
        <v/>
      </c>
      <c r="K116" s="137" t="str" cm="1">
        <f t="array" ref="K116">Common_InputFunctions.Utility_DisplayArrayInTable(Fertiliser_SourceData.Fertiliser_Products_Data1(),FertiliserProducts[[#Headers],[Include or Exclude]], 0,4)</f>
        <v/>
      </c>
      <c r="L116" s="137" t="str" cm="1">
        <f t="array" ref="L116">Common_InputFunctions.Utility_DisplayArrayInTable(Fertiliser_SourceData.Fertiliser_Products_Data1(),FertiliserProducts[[#Headers],[Include or Exclude]], 0,4)</f>
        <v/>
      </c>
      <c r="M116" s="137" t="str" cm="1">
        <f t="array" ref="M116">Common_InputFunctions.Utility_DisplayArrayInTable(Fertiliser_SourceData.Fertiliser_Products_Data1(),FertiliserProducts[[#Headers],[Include or Exclude]], 0,4)</f>
        <v/>
      </c>
      <c r="N116" s="137" t="str" cm="1">
        <f t="array" ref="N116">Common_InputFunctions.Utility_DisplayArrayInTable(Fertiliser_SourceData.Fertiliser_Products_Data1(),FertiliserProducts[[#Headers],[Include or Exclude]], 0,4)</f>
        <v/>
      </c>
      <c r="O116" s="137" t="str" cm="1">
        <f t="array" ref="O116">Common_InputFunctions.Utility_DisplayArrayInTable(Fertiliser_SourceData.Fertiliser_Products_Data1(),FertiliserProducts[[#Headers],[Include or Exclude]], 0,4)</f>
        <v/>
      </c>
      <c r="P116" s="137" t="str" cm="1">
        <f t="array" ref="P116">Common_InputFunctions.Utility_DisplayArrayInTable(Fertiliser_SourceData.Fertiliser_Products_Data1(),FertiliserProducts[[#Headers],[Include or Exclude]], 0,4)</f>
        <v/>
      </c>
      <c r="Q116" s="137" t="str" cm="1">
        <f t="array" ref="Q116">Common_InputFunctions.Utility_DisplayArrayInTable(Fertiliser_SourceData.Fertiliser_Products_Data1(),FertiliserProducts[[#Headers],[Include or Exclude]], 0,4)</f>
        <v/>
      </c>
      <c r="R116" s="137" t="str" cm="1">
        <f t="array" ref="R116">Common_InputFunctions.Utility_DisplayArrayInTable(Fertiliser_SourceData.Fertiliser_Products_Data1(),FertiliserProducts[[#Headers],[Include or Exclude]], 0,4)</f>
        <v/>
      </c>
      <c r="S116" s="137" t="str" cm="1">
        <f t="array" ref="S116">Common_InputFunctions.Utility_DisplayArrayInTable(Fertiliser_SourceData.Fertiliser_Products_Data1(),FertiliserProducts[[#Headers],[Include or Exclude]], 0,4)</f>
        <v/>
      </c>
      <c r="T116" s="137" t="str" cm="1">
        <f t="array" ref="T116">Common_InputFunctions.Utility_DisplayArrayInTable(Fertiliser_SourceData.Fertiliser_Products_Data1(),FertiliserProducts[[#Headers],[Include or Exclude]], 0,4)</f>
        <v/>
      </c>
      <c r="U116" s="137" t="str" cm="1">
        <f t="array" ref="U116">Common_InputFunctions.Utility_DisplayArrayInTable(Fertiliser_SourceData.Fertiliser_Products_Data1(),FertiliserProducts[[#Headers],[Include or Exclude]], 0,4)</f>
        <v/>
      </c>
      <c r="V116" s="137" t="str" cm="1">
        <f t="array" ref="V116">Common_InputFunctions.Utility_DisplayArrayInTable(Fertiliser_SourceData.Fertiliser_Products_Data1(),FertiliserProducts[[#Headers],[Include or Exclude]], 0,4)</f>
        <v/>
      </c>
      <c r="W116" s="137" t="str" cm="1">
        <f t="array" ref="W116">Common_InputFunctions.Utility_DisplayArrayInTable(Fertiliser_SourceData.Fertiliser_Products_Data1(),FertiliserProducts[[#Headers],[Include or Exclude]], 0,4)</f>
        <v/>
      </c>
      <c r="X116" s="137" t="str" cm="1">
        <f t="array" ref="X116">Common_InputFunctions.Utility_DisplayArrayInTable(Fertiliser_SourceData.Fertiliser_Products_Data1(),FertiliserProducts[[#Headers],[Include or Exclude]], 0,4)</f>
        <v/>
      </c>
      <c r="Y116" s="137" t="str" cm="1">
        <f t="array" ref="Y116">Common_InputFunctions.Utility_DisplayArrayInTable(Fertiliser_SourceData.Fertiliser_Products_Data1(),FertiliserProducts[[#Headers],[Include or Exclude]], 0,4)</f>
        <v/>
      </c>
      <c r="Z116" s="137" t="str" cm="1">
        <f t="array" ref="Z116">Common_InputFunctions.Utility_DisplayArrayInTable(Fertiliser_SourceData.Fertiliser_Products_Data1(),FertiliserProducts[[#Headers],[Include or Exclude]], 0,4)</f>
        <v/>
      </c>
      <c r="AA116" s="137" t="str" cm="1">
        <f t="array" ref="AA116">Common_InputFunctions.Utility_DisplayArrayInTable(Fertiliser_SourceData.Fertiliser_Products_Data1(),FertiliserProducts[[#Headers],[Include or Exclude]], 0,4)</f>
        <v/>
      </c>
      <c r="AB116" s="137" t="str" cm="1">
        <f t="array" ref="AB116">Common_InputFunctions.Utility_DisplayArrayInTable(Fertiliser_SourceData.Fertiliser_Products_Data1(),FertiliserProducts[[#Headers],[Include or Exclude]], 0,4)</f>
        <v/>
      </c>
      <c r="AC116" s="137" t="str" cm="1">
        <f t="array" ref="AC116">Common_InputFunctions.Utility_DisplayArrayInTable(Fertiliser_SourceData.Fertiliser_Products_Data1(),FertiliserProducts[[#Headers],[Include or Exclude]], 0,4)</f>
        <v/>
      </c>
      <c r="AD116" s="137" t="str" cm="1">
        <f t="array" ref="AD116">Common_InputFunctions.Utility_DisplayArrayInTable(Fertiliser_SourceData.Fertiliser_Products_Data1(),FertiliserProducts[[#Headers],[Include or Exclude]], 0,4)</f>
        <v/>
      </c>
      <c r="AE116" s="137" t="str" cm="1">
        <f t="array" ref="AE116">Common_InputFunctions.Utility_DisplayArrayInTable(Fertiliser_SourceData.Fertiliser_Products_Data1(),FertiliserProducts[[#Headers],[Include or Exclude]], 0,4)</f>
        <v/>
      </c>
    </row>
    <row r="117" spans="4:31" ht="20.100000000000001" customHeight="1" x14ac:dyDescent="0.25">
      <c r="D117" s="137" t="str" cm="1">
        <f t="array" ref="D117">Common_InputFunctions.Utility_DisplayArrayInTable(Fertiliser_SourceData.Fertiliser_Products_Data1(),FertiliserProducts[[#Headers],[Include or Exclude]], -1)</f>
        <v/>
      </c>
      <c r="E117" s="137" t="str" cm="1">
        <f t="array" ref="E117">Common_InputFunctions.Utility_DisplayArrayInTable(Fertiliser_SourceData.Fertiliser_Products_Data1(),FertiliserProducts[[#Headers],[Include or Exclude]], 0)</f>
        <v/>
      </c>
      <c r="F117" s="137" t="str" cm="1">
        <f t="array" ref="F117">Common_InputFunctions.Utility_DisplayArrayInTable(Fertiliser_SourceData.Fertiliser_Products_Data1(),FertiliserProducts[[#Headers],[Include or Exclude]], 0)</f>
        <v/>
      </c>
      <c r="G117" s="137" t="str" cm="1">
        <f t="array" ref="G117">Common_InputFunctions.Utility_DisplayArrayInTable(Fertiliser_SourceData.Fertiliser_Products_Data1(),FertiliserProducts[[#Headers],[Include or Exclude]], 0)</f>
        <v/>
      </c>
      <c r="H117" s="137" t="str" cm="1">
        <f t="array" ref="H117">Common_InputFunctions.Utility_DisplayArrayInTable(Fertiliser_SourceData.Fertiliser_Products_Data1(),FertiliserProducts[[#Headers],[Include or Exclude]], 0,4)</f>
        <v/>
      </c>
      <c r="I117" s="137" t="str" cm="1">
        <f t="array" ref="I117">Common_InputFunctions.Utility_DisplayArrayInTable(Fertiliser_SourceData.Fertiliser_Products_Data1(),FertiliserProducts[[#Headers],[Include or Exclude]], 0,4)</f>
        <v/>
      </c>
      <c r="J117" s="137" t="str" cm="1">
        <f t="array" ref="J117">Common_InputFunctions.Utility_DisplayArrayInTable(Fertiliser_SourceData.Fertiliser_Products_Data1(),FertiliserProducts[[#Headers],[Include or Exclude]], 0,4)</f>
        <v/>
      </c>
      <c r="K117" s="137" t="str" cm="1">
        <f t="array" ref="K117">Common_InputFunctions.Utility_DisplayArrayInTable(Fertiliser_SourceData.Fertiliser_Products_Data1(),FertiliserProducts[[#Headers],[Include or Exclude]], 0,4)</f>
        <v/>
      </c>
      <c r="L117" s="137" t="str" cm="1">
        <f t="array" ref="L117">Common_InputFunctions.Utility_DisplayArrayInTable(Fertiliser_SourceData.Fertiliser_Products_Data1(),FertiliserProducts[[#Headers],[Include or Exclude]], 0,4)</f>
        <v/>
      </c>
      <c r="M117" s="137" t="str" cm="1">
        <f t="array" ref="M117">Common_InputFunctions.Utility_DisplayArrayInTable(Fertiliser_SourceData.Fertiliser_Products_Data1(),FertiliserProducts[[#Headers],[Include or Exclude]], 0,4)</f>
        <v/>
      </c>
      <c r="N117" s="137" t="str" cm="1">
        <f t="array" ref="N117">Common_InputFunctions.Utility_DisplayArrayInTable(Fertiliser_SourceData.Fertiliser_Products_Data1(),FertiliserProducts[[#Headers],[Include or Exclude]], 0,4)</f>
        <v/>
      </c>
      <c r="O117" s="137" t="str" cm="1">
        <f t="array" ref="O117">Common_InputFunctions.Utility_DisplayArrayInTable(Fertiliser_SourceData.Fertiliser_Products_Data1(),FertiliserProducts[[#Headers],[Include or Exclude]], 0,4)</f>
        <v/>
      </c>
      <c r="P117" s="137" t="str" cm="1">
        <f t="array" ref="P117">Common_InputFunctions.Utility_DisplayArrayInTable(Fertiliser_SourceData.Fertiliser_Products_Data1(),FertiliserProducts[[#Headers],[Include or Exclude]], 0,4)</f>
        <v/>
      </c>
      <c r="Q117" s="137" t="str" cm="1">
        <f t="array" ref="Q117">Common_InputFunctions.Utility_DisplayArrayInTable(Fertiliser_SourceData.Fertiliser_Products_Data1(),FertiliserProducts[[#Headers],[Include or Exclude]], 0,4)</f>
        <v/>
      </c>
      <c r="R117" s="137" t="str" cm="1">
        <f t="array" ref="R117">Common_InputFunctions.Utility_DisplayArrayInTable(Fertiliser_SourceData.Fertiliser_Products_Data1(),FertiliserProducts[[#Headers],[Include or Exclude]], 0,4)</f>
        <v/>
      </c>
      <c r="S117" s="137" t="str" cm="1">
        <f t="array" ref="S117">Common_InputFunctions.Utility_DisplayArrayInTable(Fertiliser_SourceData.Fertiliser_Products_Data1(),FertiliserProducts[[#Headers],[Include or Exclude]], 0,4)</f>
        <v/>
      </c>
      <c r="T117" s="137" t="str" cm="1">
        <f t="array" ref="T117">Common_InputFunctions.Utility_DisplayArrayInTable(Fertiliser_SourceData.Fertiliser_Products_Data1(),FertiliserProducts[[#Headers],[Include or Exclude]], 0,4)</f>
        <v/>
      </c>
      <c r="U117" s="137" t="str" cm="1">
        <f t="array" ref="U117">Common_InputFunctions.Utility_DisplayArrayInTable(Fertiliser_SourceData.Fertiliser_Products_Data1(),FertiliserProducts[[#Headers],[Include or Exclude]], 0,4)</f>
        <v/>
      </c>
      <c r="V117" s="137" t="str" cm="1">
        <f t="array" ref="V117">Common_InputFunctions.Utility_DisplayArrayInTable(Fertiliser_SourceData.Fertiliser_Products_Data1(),FertiliserProducts[[#Headers],[Include or Exclude]], 0,4)</f>
        <v/>
      </c>
      <c r="W117" s="137" t="str" cm="1">
        <f t="array" ref="W117">Common_InputFunctions.Utility_DisplayArrayInTable(Fertiliser_SourceData.Fertiliser_Products_Data1(),FertiliserProducts[[#Headers],[Include or Exclude]], 0,4)</f>
        <v/>
      </c>
      <c r="X117" s="137" t="str" cm="1">
        <f t="array" ref="X117">Common_InputFunctions.Utility_DisplayArrayInTable(Fertiliser_SourceData.Fertiliser_Products_Data1(),FertiliserProducts[[#Headers],[Include or Exclude]], 0,4)</f>
        <v/>
      </c>
      <c r="Y117" s="137" t="str" cm="1">
        <f t="array" ref="Y117">Common_InputFunctions.Utility_DisplayArrayInTable(Fertiliser_SourceData.Fertiliser_Products_Data1(),FertiliserProducts[[#Headers],[Include or Exclude]], 0,4)</f>
        <v/>
      </c>
      <c r="Z117" s="137" t="str" cm="1">
        <f t="array" ref="Z117">Common_InputFunctions.Utility_DisplayArrayInTable(Fertiliser_SourceData.Fertiliser_Products_Data1(),FertiliserProducts[[#Headers],[Include or Exclude]], 0,4)</f>
        <v/>
      </c>
      <c r="AA117" s="137" t="str" cm="1">
        <f t="array" ref="AA117">Common_InputFunctions.Utility_DisplayArrayInTable(Fertiliser_SourceData.Fertiliser_Products_Data1(),FertiliserProducts[[#Headers],[Include or Exclude]], 0,4)</f>
        <v/>
      </c>
      <c r="AB117" s="137" t="str" cm="1">
        <f t="array" ref="AB117">Common_InputFunctions.Utility_DisplayArrayInTable(Fertiliser_SourceData.Fertiliser_Products_Data1(),FertiliserProducts[[#Headers],[Include or Exclude]], 0,4)</f>
        <v/>
      </c>
      <c r="AC117" s="137" t="str" cm="1">
        <f t="array" ref="AC117">Common_InputFunctions.Utility_DisplayArrayInTable(Fertiliser_SourceData.Fertiliser_Products_Data1(),FertiliserProducts[[#Headers],[Include or Exclude]], 0,4)</f>
        <v/>
      </c>
      <c r="AD117" s="137" t="str" cm="1">
        <f t="array" ref="AD117">Common_InputFunctions.Utility_DisplayArrayInTable(Fertiliser_SourceData.Fertiliser_Products_Data1(),FertiliserProducts[[#Headers],[Include or Exclude]], 0,4)</f>
        <v/>
      </c>
      <c r="AE117" s="137" t="str" cm="1">
        <f t="array" ref="AE117">Common_InputFunctions.Utility_DisplayArrayInTable(Fertiliser_SourceData.Fertiliser_Products_Data1(),FertiliserProducts[[#Headers],[Include or Exclude]], 0,4)</f>
        <v/>
      </c>
    </row>
    <row r="118" spans="4:31" ht="20.100000000000001" customHeight="1" x14ac:dyDescent="0.25">
      <c r="D118" s="137" t="str" cm="1">
        <f t="array" ref="D118">Common_InputFunctions.Utility_DisplayArrayInTable(Fertiliser_SourceData.Fertiliser_Products_Data1(),FertiliserProducts[[#Headers],[Include or Exclude]], -1)</f>
        <v/>
      </c>
      <c r="E118" s="137" t="str" cm="1">
        <f t="array" ref="E118">Common_InputFunctions.Utility_DisplayArrayInTable(Fertiliser_SourceData.Fertiliser_Products_Data1(),FertiliserProducts[[#Headers],[Include or Exclude]], 0)</f>
        <v/>
      </c>
      <c r="F118" s="137" t="str" cm="1">
        <f t="array" ref="F118">Common_InputFunctions.Utility_DisplayArrayInTable(Fertiliser_SourceData.Fertiliser_Products_Data1(),FertiliserProducts[[#Headers],[Include or Exclude]], 0)</f>
        <v/>
      </c>
      <c r="G118" s="137" t="str" cm="1">
        <f t="array" ref="G118">Common_InputFunctions.Utility_DisplayArrayInTable(Fertiliser_SourceData.Fertiliser_Products_Data1(),FertiliserProducts[[#Headers],[Include or Exclude]], 0)</f>
        <v/>
      </c>
      <c r="H118" s="137" t="str" cm="1">
        <f t="array" ref="H118">Common_InputFunctions.Utility_DisplayArrayInTable(Fertiliser_SourceData.Fertiliser_Products_Data1(),FertiliserProducts[[#Headers],[Include or Exclude]], 0,4)</f>
        <v/>
      </c>
      <c r="I118" s="137" t="str" cm="1">
        <f t="array" ref="I118">Common_InputFunctions.Utility_DisplayArrayInTable(Fertiliser_SourceData.Fertiliser_Products_Data1(),FertiliserProducts[[#Headers],[Include or Exclude]], 0,4)</f>
        <v/>
      </c>
      <c r="J118" s="137" t="str" cm="1">
        <f t="array" ref="J118">Common_InputFunctions.Utility_DisplayArrayInTable(Fertiliser_SourceData.Fertiliser_Products_Data1(),FertiliserProducts[[#Headers],[Include or Exclude]], 0,4)</f>
        <v/>
      </c>
      <c r="K118" s="137" t="str" cm="1">
        <f t="array" ref="K118">Common_InputFunctions.Utility_DisplayArrayInTable(Fertiliser_SourceData.Fertiliser_Products_Data1(),FertiliserProducts[[#Headers],[Include or Exclude]], 0,4)</f>
        <v/>
      </c>
      <c r="L118" s="137" t="str" cm="1">
        <f t="array" ref="L118">Common_InputFunctions.Utility_DisplayArrayInTable(Fertiliser_SourceData.Fertiliser_Products_Data1(),FertiliserProducts[[#Headers],[Include or Exclude]], 0,4)</f>
        <v/>
      </c>
      <c r="M118" s="137" t="str" cm="1">
        <f t="array" ref="M118">Common_InputFunctions.Utility_DisplayArrayInTable(Fertiliser_SourceData.Fertiliser_Products_Data1(),FertiliserProducts[[#Headers],[Include or Exclude]], 0,4)</f>
        <v/>
      </c>
      <c r="N118" s="137" t="str" cm="1">
        <f t="array" ref="N118">Common_InputFunctions.Utility_DisplayArrayInTable(Fertiliser_SourceData.Fertiliser_Products_Data1(),FertiliserProducts[[#Headers],[Include or Exclude]], 0,4)</f>
        <v/>
      </c>
      <c r="O118" s="137" t="str" cm="1">
        <f t="array" ref="O118">Common_InputFunctions.Utility_DisplayArrayInTable(Fertiliser_SourceData.Fertiliser_Products_Data1(),FertiliserProducts[[#Headers],[Include or Exclude]], 0,4)</f>
        <v/>
      </c>
      <c r="P118" s="137" t="str" cm="1">
        <f t="array" ref="P118">Common_InputFunctions.Utility_DisplayArrayInTable(Fertiliser_SourceData.Fertiliser_Products_Data1(),FertiliserProducts[[#Headers],[Include or Exclude]], 0,4)</f>
        <v/>
      </c>
      <c r="Q118" s="137" t="str" cm="1">
        <f t="array" ref="Q118">Common_InputFunctions.Utility_DisplayArrayInTable(Fertiliser_SourceData.Fertiliser_Products_Data1(),FertiliserProducts[[#Headers],[Include or Exclude]], 0,4)</f>
        <v/>
      </c>
      <c r="R118" s="137" t="str" cm="1">
        <f t="array" ref="R118">Common_InputFunctions.Utility_DisplayArrayInTable(Fertiliser_SourceData.Fertiliser_Products_Data1(),FertiliserProducts[[#Headers],[Include or Exclude]], 0,4)</f>
        <v/>
      </c>
      <c r="S118" s="137" t="str" cm="1">
        <f t="array" ref="S118">Common_InputFunctions.Utility_DisplayArrayInTable(Fertiliser_SourceData.Fertiliser_Products_Data1(),FertiliserProducts[[#Headers],[Include or Exclude]], 0,4)</f>
        <v/>
      </c>
      <c r="T118" s="137" t="str" cm="1">
        <f t="array" ref="T118">Common_InputFunctions.Utility_DisplayArrayInTable(Fertiliser_SourceData.Fertiliser_Products_Data1(),FertiliserProducts[[#Headers],[Include or Exclude]], 0,4)</f>
        <v/>
      </c>
      <c r="U118" s="137" t="str" cm="1">
        <f t="array" ref="U118">Common_InputFunctions.Utility_DisplayArrayInTable(Fertiliser_SourceData.Fertiliser_Products_Data1(),FertiliserProducts[[#Headers],[Include or Exclude]], 0,4)</f>
        <v/>
      </c>
      <c r="V118" s="137" t="str" cm="1">
        <f t="array" ref="V118">Common_InputFunctions.Utility_DisplayArrayInTable(Fertiliser_SourceData.Fertiliser_Products_Data1(),FertiliserProducts[[#Headers],[Include or Exclude]], 0,4)</f>
        <v/>
      </c>
      <c r="W118" s="137" t="str" cm="1">
        <f t="array" ref="W118">Common_InputFunctions.Utility_DisplayArrayInTable(Fertiliser_SourceData.Fertiliser_Products_Data1(),FertiliserProducts[[#Headers],[Include or Exclude]], 0,4)</f>
        <v/>
      </c>
      <c r="X118" s="137" t="str" cm="1">
        <f t="array" ref="X118">Common_InputFunctions.Utility_DisplayArrayInTable(Fertiliser_SourceData.Fertiliser_Products_Data1(),FertiliserProducts[[#Headers],[Include or Exclude]], 0,4)</f>
        <v/>
      </c>
      <c r="Y118" s="137" t="str" cm="1">
        <f t="array" ref="Y118">Common_InputFunctions.Utility_DisplayArrayInTable(Fertiliser_SourceData.Fertiliser_Products_Data1(),FertiliserProducts[[#Headers],[Include or Exclude]], 0,4)</f>
        <v/>
      </c>
      <c r="Z118" s="137" t="str" cm="1">
        <f t="array" ref="Z118">Common_InputFunctions.Utility_DisplayArrayInTable(Fertiliser_SourceData.Fertiliser_Products_Data1(),FertiliserProducts[[#Headers],[Include or Exclude]], 0,4)</f>
        <v/>
      </c>
      <c r="AA118" s="137" t="str" cm="1">
        <f t="array" ref="AA118">Common_InputFunctions.Utility_DisplayArrayInTable(Fertiliser_SourceData.Fertiliser_Products_Data1(),FertiliserProducts[[#Headers],[Include or Exclude]], 0,4)</f>
        <v/>
      </c>
      <c r="AB118" s="137" t="str" cm="1">
        <f t="array" ref="AB118">Common_InputFunctions.Utility_DisplayArrayInTable(Fertiliser_SourceData.Fertiliser_Products_Data1(),FertiliserProducts[[#Headers],[Include or Exclude]], 0,4)</f>
        <v/>
      </c>
      <c r="AC118" s="137" t="str" cm="1">
        <f t="array" ref="AC118">Common_InputFunctions.Utility_DisplayArrayInTable(Fertiliser_SourceData.Fertiliser_Products_Data1(),FertiliserProducts[[#Headers],[Include or Exclude]], 0,4)</f>
        <v/>
      </c>
      <c r="AD118" s="137" t="str" cm="1">
        <f t="array" ref="AD118">Common_InputFunctions.Utility_DisplayArrayInTable(Fertiliser_SourceData.Fertiliser_Products_Data1(),FertiliserProducts[[#Headers],[Include or Exclude]], 0,4)</f>
        <v/>
      </c>
      <c r="AE118" s="137" t="str" cm="1">
        <f t="array" ref="AE118">Common_InputFunctions.Utility_DisplayArrayInTable(Fertiliser_SourceData.Fertiliser_Products_Data1(),FertiliserProducts[[#Headers],[Include or Exclude]], 0,4)</f>
        <v/>
      </c>
    </row>
    <row r="119" spans="4:31" ht="20.100000000000001" customHeight="1" x14ac:dyDescent="0.25">
      <c r="D119" s="137" t="str" cm="1">
        <f t="array" ref="D119">Common_InputFunctions.Utility_DisplayArrayInTable(Fertiliser_SourceData.Fertiliser_Products_Data1(),FertiliserProducts[[#Headers],[Include or Exclude]], -1)</f>
        <v/>
      </c>
      <c r="E119" s="137" t="str" cm="1">
        <f t="array" ref="E119">Common_InputFunctions.Utility_DisplayArrayInTable(Fertiliser_SourceData.Fertiliser_Products_Data1(),FertiliserProducts[[#Headers],[Include or Exclude]], 0)</f>
        <v/>
      </c>
      <c r="F119" s="137" t="str" cm="1">
        <f t="array" ref="F119">Common_InputFunctions.Utility_DisplayArrayInTable(Fertiliser_SourceData.Fertiliser_Products_Data1(),FertiliserProducts[[#Headers],[Include or Exclude]], 0)</f>
        <v/>
      </c>
      <c r="G119" s="137" t="str" cm="1">
        <f t="array" ref="G119">Common_InputFunctions.Utility_DisplayArrayInTable(Fertiliser_SourceData.Fertiliser_Products_Data1(),FertiliserProducts[[#Headers],[Include or Exclude]], 0)</f>
        <v/>
      </c>
      <c r="H119" s="137" t="str" cm="1">
        <f t="array" ref="H119">Common_InputFunctions.Utility_DisplayArrayInTable(Fertiliser_SourceData.Fertiliser_Products_Data1(),FertiliserProducts[[#Headers],[Include or Exclude]], 0,4)</f>
        <v/>
      </c>
      <c r="I119" s="137" t="str" cm="1">
        <f t="array" ref="I119">Common_InputFunctions.Utility_DisplayArrayInTable(Fertiliser_SourceData.Fertiliser_Products_Data1(),FertiliserProducts[[#Headers],[Include or Exclude]], 0,4)</f>
        <v/>
      </c>
      <c r="J119" s="137" t="str" cm="1">
        <f t="array" ref="J119">Common_InputFunctions.Utility_DisplayArrayInTable(Fertiliser_SourceData.Fertiliser_Products_Data1(),FertiliserProducts[[#Headers],[Include or Exclude]], 0,4)</f>
        <v/>
      </c>
      <c r="K119" s="137" t="str" cm="1">
        <f t="array" ref="K119">Common_InputFunctions.Utility_DisplayArrayInTable(Fertiliser_SourceData.Fertiliser_Products_Data1(),FertiliserProducts[[#Headers],[Include or Exclude]], 0,4)</f>
        <v/>
      </c>
      <c r="L119" s="137" t="str" cm="1">
        <f t="array" ref="L119">Common_InputFunctions.Utility_DisplayArrayInTable(Fertiliser_SourceData.Fertiliser_Products_Data1(),FertiliserProducts[[#Headers],[Include or Exclude]], 0,4)</f>
        <v/>
      </c>
      <c r="M119" s="137" t="str" cm="1">
        <f t="array" ref="M119">Common_InputFunctions.Utility_DisplayArrayInTable(Fertiliser_SourceData.Fertiliser_Products_Data1(),FertiliserProducts[[#Headers],[Include or Exclude]], 0,4)</f>
        <v/>
      </c>
      <c r="N119" s="137" t="str" cm="1">
        <f t="array" ref="N119">Common_InputFunctions.Utility_DisplayArrayInTable(Fertiliser_SourceData.Fertiliser_Products_Data1(),FertiliserProducts[[#Headers],[Include or Exclude]], 0,4)</f>
        <v/>
      </c>
      <c r="O119" s="137" t="str" cm="1">
        <f t="array" ref="O119">Common_InputFunctions.Utility_DisplayArrayInTable(Fertiliser_SourceData.Fertiliser_Products_Data1(),FertiliserProducts[[#Headers],[Include or Exclude]], 0,4)</f>
        <v/>
      </c>
      <c r="P119" s="137" t="str" cm="1">
        <f t="array" ref="P119">Common_InputFunctions.Utility_DisplayArrayInTable(Fertiliser_SourceData.Fertiliser_Products_Data1(),FertiliserProducts[[#Headers],[Include or Exclude]], 0,4)</f>
        <v/>
      </c>
      <c r="Q119" s="137" t="str" cm="1">
        <f t="array" ref="Q119">Common_InputFunctions.Utility_DisplayArrayInTable(Fertiliser_SourceData.Fertiliser_Products_Data1(),FertiliserProducts[[#Headers],[Include or Exclude]], 0,4)</f>
        <v/>
      </c>
      <c r="R119" s="137" t="str" cm="1">
        <f t="array" ref="R119">Common_InputFunctions.Utility_DisplayArrayInTable(Fertiliser_SourceData.Fertiliser_Products_Data1(),FertiliserProducts[[#Headers],[Include or Exclude]], 0,4)</f>
        <v/>
      </c>
      <c r="S119" s="137" t="str" cm="1">
        <f t="array" ref="S119">Common_InputFunctions.Utility_DisplayArrayInTable(Fertiliser_SourceData.Fertiliser_Products_Data1(),FertiliserProducts[[#Headers],[Include or Exclude]], 0,4)</f>
        <v/>
      </c>
      <c r="T119" s="137" t="str" cm="1">
        <f t="array" ref="T119">Common_InputFunctions.Utility_DisplayArrayInTable(Fertiliser_SourceData.Fertiliser_Products_Data1(),FertiliserProducts[[#Headers],[Include or Exclude]], 0,4)</f>
        <v/>
      </c>
      <c r="U119" s="137" t="str" cm="1">
        <f t="array" ref="U119">Common_InputFunctions.Utility_DisplayArrayInTable(Fertiliser_SourceData.Fertiliser_Products_Data1(),FertiliserProducts[[#Headers],[Include or Exclude]], 0,4)</f>
        <v/>
      </c>
      <c r="V119" s="137" t="str" cm="1">
        <f t="array" ref="V119">Common_InputFunctions.Utility_DisplayArrayInTable(Fertiliser_SourceData.Fertiliser_Products_Data1(),FertiliserProducts[[#Headers],[Include or Exclude]], 0,4)</f>
        <v/>
      </c>
      <c r="W119" s="137" t="str" cm="1">
        <f t="array" ref="W119">Common_InputFunctions.Utility_DisplayArrayInTable(Fertiliser_SourceData.Fertiliser_Products_Data1(),FertiliserProducts[[#Headers],[Include or Exclude]], 0,4)</f>
        <v/>
      </c>
      <c r="X119" s="137" t="str" cm="1">
        <f t="array" ref="X119">Common_InputFunctions.Utility_DisplayArrayInTable(Fertiliser_SourceData.Fertiliser_Products_Data1(),FertiliserProducts[[#Headers],[Include or Exclude]], 0,4)</f>
        <v/>
      </c>
      <c r="Y119" s="137" t="str" cm="1">
        <f t="array" ref="Y119">Common_InputFunctions.Utility_DisplayArrayInTable(Fertiliser_SourceData.Fertiliser_Products_Data1(),FertiliserProducts[[#Headers],[Include or Exclude]], 0,4)</f>
        <v/>
      </c>
      <c r="Z119" s="137" t="str" cm="1">
        <f t="array" ref="Z119">Common_InputFunctions.Utility_DisplayArrayInTable(Fertiliser_SourceData.Fertiliser_Products_Data1(),FertiliserProducts[[#Headers],[Include or Exclude]], 0,4)</f>
        <v/>
      </c>
      <c r="AA119" s="137" t="str" cm="1">
        <f t="array" ref="AA119">Common_InputFunctions.Utility_DisplayArrayInTable(Fertiliser_SourceData.Fertiliser_Products_Data1(),FertiliserProducts[[#Headers],[Include or Exclude]], 0,4)</f>
        <v/>
      </c>
      <c r="AB119" s="137" t="str" cm="1">
        <f t="array" ref="AB119">Common_InputFunctions.Utility_DisplayArrayInTable(Fertiliser_SourceData.Fertiliser_Products_Data1(),FertiliserProducts[[#Headers],[Include or Exclude]], 0,4)</f>
        <v/>
      </c>
      <c r="AC119" s="137" t="str" cm="1">
        <f t="array" ref="AC119">Common_InputFunctions.Utility_DisplayArrayInTable(Fertiliser_SourceData.Fertiliser_Products_Data1(),FertiliserProducts[[#Headers],[Include or Exclude]], 0,4)</f>
        <v/>
      </c>
      <c r="AD119" s="137" t="str" cm="1">
        <f t="array" ref="AD119">Common_InputFunctions.Utility_DisplayArrayInTable(Fertiliser_SourceData.Fertiliser_Products_Data1(),FertiliserProducts[[#Headers],[Include or Exclude]], 0,4)</f>
        <v/>
      </c>
      <c r="AE119" s="137" t="str" cm="1">
        <f t="array" ref="AE119">Common_InputFunctions.Utility_DisplayArrayInTable(Fertiliser_SourceData.Fertiliser_Products_Data1(),FertiliserProducts[[#Headers],[Include or Exclude]], 0,4)</f>
        <v/>
      </c>
    </row>
    <row r="120" spans="4:31" ht="20.100000000000001" customHeight="1" x14ac:dyDescent="0.25">
      <c r="D120" s="137" t="str" cm="1">
        <f t="array" ref="D120">Common_InputFunctions.Utility_DisplayArrayInTable(Fertiliser_SourceData.Fertiliser_Products_Data1(),FertiliserProducts[[#Headers],[Include or Exclude]], -1)</f>
        <v/>
      </c>
      <c r="E120" s="137" t="str" cm="1">
        <f t="array" ref="E120">Common_InputFunctions.Utility_DisplayArrayInTable(Fertiliser_SourceData.Fertiliser_Products_Data1(),FertiliserProducts[[#Headers],[Include or Exclude]], 0)</f>
        <v/>
      </c>
      <c r="F120" s="137" t="str" cm="1">
        <f t="array" ref="F120">Common_InputFunctions.Utility_DisplayArrayInTable(Fertiliser_SourceData.Fertiliser_Products_Data1(),FertiliserProducts[[#Headers],[Include or Exclude]], 0)</f>
        <v/>
      </c>
      <c r="G120" s="137" t="str" cm="1">
        <f t="array" ref="G120">Common_InputFunctions.Utility_DisplayArrayInTable(Fertiliser_SourceData.Fertiliser_Products_Data1(),FertiliserProducts[[#Headers],[Include or Exclude]], 0)</f>
        <v/>
      </c>
      <c r="H120" s="137" t="str" cm="1">
        <f t="array" ref="H120">Common_InputFunctions.Utility_DisplayArrayInTable(Fertiliser_SourceData.Fertiliser_Products_Data1(),FertiliserProducts[[#Headers],[Include or Exclude]], 0,4)</f>
        <v/>
      </c>
      <c r="I120" s="137" t="str" cm="1">
        <f t="array" ref="I120">Common_InputFunctions.Utility_DisplayArrayInTable(Fertiliser_SourceData.Fertiliser_Products_Data1(),FertiliserProducts[[#Headers],[Include or Exclude]], 0,4)</f>
        <v/>
      </c>
      <c r="J120" s="137" t="str" cm="1">
        <f t="array" ref="J120">Common_InputFunctions.Utility_DisplayArrayInTable(Fertiliser_SourceData.Fertiliser_Products_Data1(),FertiliserProducts[[#Headers],[Include or Exclude]], 0,4)</f>
        <v/>
      </c>
      <c r="K120" s="137" t="str" cm="1">
        <f t="array" ref="K120">Common_InputFunctions.Utility_DisplayArrayInTable(Fertiliser_SourceData.Fertiliser_Products_Data1(),FertiliserProducts[[#Headers],[Include or Exclude]], 0,4)</f>
        <v/>
      </c>
      <c r="L120" s="137" t="str" cm="1">
        <f t="array" ref="L120">Common_InputFunctions.Utility_DisplayArrayInTable(Fertiliser_SourceData.Fertiliser_Products_Data1(),FertiliserProducts[[#Headers],[Include or Exclude]], 0,4)</f>
        <v/>
      </c>
      <c r="M120" s="137" t="str" cm="1">
        <f t="array" ref="M120">Common_InputFunctions.Utility_DisplayArrayInTable(Fertiliser_SourceData.Fertiliser_Products_Data1(),FertiliserProducts[[#Headers],[Include or Exclude]], 0,4)</f>
        <v/>
      </c>
      <c r="N120" s="137" t="str" cm="1">
        <f t="array" ref="N120">Common_InputFunctions.Utility_DisplayArrayInTable(Fertiliser_SourceData.Fertiliser_Products_Data1(),FertiliserProducts[[#Headers],[Include or Exclude]], 0,4)</f>
        <v/>
      </c>
      <c r="O120" s="137" t="str" cm="1">
        <f t="array" ref="O120">Common_InputFunctions.Utility_DisplayArrayInTable(Fertiliser_SourceData.Fertiliser_Products_Data1(),FertiliserProducts[[#Headers],[Include or Exclude]], 0,4)</f>
        <v/>
      </c>
      <c r="P120" s="137" t="str" cm="1">
        <f t="array" ref="P120">Common_InputFunctions.Utility_DisplayArrayInTable(Fertiliser_SourceData.Fertiliser_Products_Data1(),FertiliserProducts[[#Headers],[Include or Exclude]], 0,4)</f>
        <v/>
      </c>
      <c r="Q120" s="137" t="str" cm="1">
        <f t="array" ref="Q120">Common_InputFunctions.Utility_DisplayArrayInTable(Fertiliser_SourceData.Fertiliser_Products_Data1(),FertiliserProducts[[#Headers],[Include or Exclude]], 0,4)</f>
        <v/>
      </c>
      <c r="R120" s="137" t="str" cm="1">
        <f t="array" ref="R120">Common_InputFunctions.Utility_DisplayArrayInTable(Fertiliser_SourceData.Fertiliser_Products_Data1(),FertiliserProducts[[#Headers],[Include or Exclude]], 0,4)</f>
        <v/>
      </c>
      <c r="S120" s="137" t="str" cm="1">
        <f t="array" ref="S120">Common_InputFunctions.Utility_DisplayArrayInTable(Fertiliser_SourceData.Fertiliser_Products_Data1(),FertiliserProducts[[#Headers],[Include or Exclude]], 0,4)</f>
        <v/>
      </c>
      <c r="T120" s="137" t="str" cm="1">
        <f t="array" ref="T120">Common_InputFunctions.Utility_DisplayArrayInTable(Fertiliser_SourceData.Fertiliser_Products_Data1(),FertiliserProducts[[#Headers],[Include or Exclude]], 0,4)</f>
        <v/>
      </c>
      <c r="U120" s="137" t="str" cm="1">
        <f t="array" ref="U120">Common_InputFunctions.Utility_DisplayArrayInTable(Fertiliser_SourceData.Fertiliser_Products_Data1(),FertiliserProducts[[#Headers],[Include or Exclude]], 0,4)</f>
        <v/>
      </c>
      <c r="V120" s="137" t="str" cm="1">
        <f t="array" ref="V120">Common_InputFunctions.Utility_DisplayArrayInTable(Fertiliser_SourceData.Fertiliser_Products_Data1(),FertiliserProducts[[#Headers],[Include or Exclude]], 0,4)</f>
        <v/>
      </c>
      <c r="W120" s="137" t="str" cm="1">
        <f t="array" ref="W120">Common_InputFunctions.Utility_DisplayArrayInTable(Fertiliser_SourceData.Fertiliser_Products_Data1(),FertiliserProducts[[#Headers],[Include or Exclude]], 0,4)</f>
        <v/>
      </c>
      <c r="X120" s="137" t="str" cm="1">
        <f t="array" ref="X120">Common_InputFunctions.Utility_DisplayArrayInTable(Fertiliser_SourceData.Fertiliser_Products_Data1(),FertiliserProducts[[#Headers],[Include or Exclude]], 0,4)</f>
        <v/>
      </c>
      <c r="Y120" s="137" t="str" cm="1">
        <f t="array" ref="Y120">Common_InputFunctions.Utility_DisplayArrayInTable(Fertiliser_SourceData.Fertiliser_Products_Data1(),FertiliserProducts[[#Headers],[Include or Exclude]], 0,4)</f>
        <v/>
      </c>
      <c r="Z120" s="137" t="str" cm="1">
        <f t="array" ref="Z120">Common_InputFunctions.Utility_DisplayArrayInTable(Fertiliser_SourceData.Fertiliser_Products_Data1(),FertiliserProducts[[#Headers],[Include or Exclude]], 0,4)</f>
        <v/>
      </c>
      <c r="AA120" s="137" t="str" cm="1">
        <f t="array" ref="AA120">Common_InputFunctions.Utility_DisplayArrayInTable(Fertiliser_SourceData.Fertiliser_Products_Data1(),FertiliserProducts[[#Headers],[Include or Exclude]], 0,4)</f>
        <v/>
      </c>
      <c r="AB120" s="137" t="str" cm="1">
        <f t="array" ref="AB120">Common_InputFunctions.Utility_DisplayArrayInTable(Fertiliser_SourceData.Fertiliser_Products_Data1(),FertiliserProducts[[#Headers],[Include or Exclude]], 0,4)</f>
        <v/>
      </c>
      <c r="AC120" s="137" t="str" cm="1">
        <f t="array" ref="AC120">Common_InputFunctions.Utility_DisplayArrayInTable(Fertiliser_SourceData.Fertiliser_Products_Data1(),FertiliserProducts[[#Headers],[Include or Exclude]], 0,4)</f>
        <v/>
      </c>
      <c r="AD120" s="137" t="str" cm="1">
        <f t="array" ref="AD120">Common_InputFunctions.Utility_DisplayArrayInTable(Fertiliser_SourceData.Fertiliser_Products_Data1(),FertiliserProducts[[#Headers],[Include or Exclude]], 0,4)</f>
        <v/>
      </c>
      <c r="AE120" s="137" t="str" cm="1">
        <f t="array" ref="AE120">Common_InputFunctions.Utility_DisplayArrayInTable(Fertiliser_SourceData.Fertiliser_Products_Data1(),FertiliserProducts[[#Headers],[Include or Exclude]], 0,4)</f>
        <v/>
      </c>
    </row>
    <row r="121" spans="4:31" ht="20.100000000000001" customHeight="1" x14ac:dyDescent="0.25">
      <c r="D121" s="137" t="str" cm="1">
        <f t="array" ref="D121">Common_InputFunctions.Utility_DisplayArrayInTable(Fertiliser_SourceData.Fertiliser_Products_Data1(),FertiliserProducts[[#Headers],[Include or Exclude]], -1)</f>
        <v/>
      </c>
      <c r="E121" s="137" t="str" cm="1">
        <f t="array" ref="E121">Common_InputFunctions.Utility_DisplayArrayInTable(Fertiliser_SourceData.Fertiliser_Products_Data1(),FertiliserProducts[[#Headers],[Include or Exclude]], 0)</f>
        <v/>
      </c>
      <c r="F121" s="137" t="str" cm="1">
        <f t="array" ref="F121">Common_InputFunctions.Utility_DisplayArrayInTable(Fertiliser_SourceData.Fertiliser_Products_Data1(),FertiliserProducts[[#Headers],[Include or Exclude]], 0)</f>
        <v/>
      </c>
      <c r="G121" s="137" t="str" cm="1">
        <f t="array" ref="G121">Common_InputFunctions.Utility_DisplayArrayInTable(Fertiliser_SourceData.Fertiliser_Products_Data1(),FertiliserProducts[[#Headers],[Include or Exclude]], 0)</f>
        <v/>
      </c>
      <c r="H121" s="137" t="str" cm="1">
        <f t="array" ref="H121">Common_InputFunctions.Utility_DisplayArrayInTable(Fertiliser_SourceData.Fertiliser_Products_Data1(),FertiliserProducts[[#Headers],[Include or Exclude]], 0,4)</f>
        <v/>
      </c>
      <c r="I121" s="137" t="str" cm="1">
        <f t="array" ref="I121">Common_InputFunctions.Utility_DisplayArrayInTable(Fertiliser_SourceData.Fertiliser_Products_Data1(),FertiliserProducts[[#Headers],[Include or Exclude]], 0,4)</f>
        <v/>
      </c>
      <c r="J121" s="137" t="str" cm="1">
        <f t="array" ref="J121">Common_InputFunctions.Utility_DisplayArrayInTable(Fertiliser_SourceData.Fertiliser_Products_Data1(),FertiliserProducts[[#Headers],[Include or Exclude]], 0,4)</f>
        <v/>
      </c>
      <c r="K121" s="137" t="str" cm="1">
        <f t="array" ref="K121">Common_InputFunctions.Utility_DisplayArrayInTable(Fertiliser_SourceData.Fertiliser_Products_Data1(),FertiliserProducts[[#Headers],[Include or Exclude]], 0,4)</f>
        <v/>
      </c>
      <c r="L121" s="137" t="str" cm="1">
        <f t="array" ref="L121">Common_InputFunctions.Utility_DisplayArrayInTable(Fertiliser_SourceData.Fertiliser_Products_Data1(),FertiliserProducts[[#Headers],[Include or Exclude]], 0,4)</f>
        <v/>
      </c>
      <c r="M121" s="137" t="str" cm="1">
        <f t="array" ref="M121">Common_InputFunctions.Utility_DisplayArrayInTable(Fertiliser_SourceData.Fertiliser_Products_Data1(),FertiliserProducts[[#Headers],[Include or Exclude]], 0,4)</f>
        <v/>
      </c>
      <c r="N121" s="137" t="str" cm="1">
        <f t="array" ref="N121">Common_InputFunctions.Utility_DisplayArrayInTable(Fertiliser_SourceData.Fertiliser_Products_Data1(),FertiliserProducts[[#Headers],[Include or Exclude]], 0,4)</f>
        <v/>
      </c>
      <c r="O121" s="137" t="str" cm="1">
        <f t="array" ref="O121">Common_InputFunctions.Utility_DisplayArrayInTable(Fertiliser_SourceData.Fertiliser_Products_Data1(),FertiliserProducts[[#Headers],[Include or Exclude]], 0,4)</f>
        <v/>
      </c>
      <c r="P121" s="137" t="str" cm="1">
        <f t="array" ref="P121">Common_InputFunctions.Utility_DisplayArrayInTable(Fertiliser_SourceData.Fertiliser_Products_Data1(),FertiliserProducts[[#Headers],[Include or Exclude]], 0,4)</f>
        <v/>
      </c>
      <c r="Q121" s="137" t="str" cm="1">
        <f t="array" ref="Q121">Common_InputFunctions.Utility_DisplayArrayInTable(Fertiliser_SourceData.Fertiliser_Products_Data1(),FertiliserProducts[[#Headers],[Include or Exclude]], 0,4)</f>
        <v/>
      </c>
      <c r="R121" s="137" t="str" cm="1">
        <f t="array" ref="R121">Common_InputFunctions.Utility_DisplayArrayInTable(Fertiliser_SourceData.Fertiliser_Products_Data1(),FertiliserProducts[[#Headers],[Include or Exclude]], 0,4)</f>
        <v/>
      </c>
      <c r="S121" s="137" t="str" cm="1">
        <f t="array" ref="S121">Common_InputFunctions.Utility_DisplayArrayInTable(Fertiliser_SourceData.Fertiliser_Products_Data1(),FertiliserProducts[[#Headers],[Include or Exclude]], 0,4)</f>
        <v/>
      </c>
      <c r="T121" s="137" t="str" cm="1">
        <f t="array" ref="T121">Common_InputFunctions.Utility_DisplayArrayInTable(Fertiliser_SourceData.Fertiliser_Products_Data1(),FertiliserProducts[[#Headers],[Include or Exclude]], 0,4)</f>
        <v/>
      </c>
      <c r="U121" s="137" t="str" cm="1">
        <f t="array" ref="U121">Common_InputFunctions.Utility_DisplayArrayInTable(Fertiliser_SourceData.Fertiliser_Products_Data1(),FertiliserProducts[[#Headers],[Include or Exclude]], 0,4)</f>
        <v/>
      </c>
      <c r="V121" s="137" t="str" cm="1">
        <f t="array" ref="V121">Common_InputFunctions.Utility_DisplayArrayInTable(Fertiliser_SourceData.Fertiliser_Products_Data1(),FertiliserProducts[[#Headers],[Include or Exclude]], 0,4)</f>
        <v/>
      </c>
      <c r="W121" s="137" t="str" cm="1">
        <f t="array" ref="W121">Common_InputFunctions.Utility_DisplayArrayInTable(Fertiliser_SourceData.Fertiliser_Products_Data1(),FertiliserProducts[[#Headers],[Include or Exclude]], 0,4)</f>
        <v/>
      </c>
      <c r="X121" s="137" t="str" cm="1">
        <f t="array" ref="X121">Common_InputFunctions.Utility_DisplayArrayInTable(Fertiliser_SourceData.Fertiliser_Products_Data1(),FertiliserProducts[[#Headers],[Include or Exclude]], 0,4)</f>
        <v/>
      </c>
      <c r="Y121" s="137" t="str" cm="1">
        <f t="array" ref="Y121">Common_InputFunctions.Utility_DisplayArrayInTable(Fertiliser_SourceData.Fertiliser_Products_Data1(),FertiliserProducts[[#Headers],[Include or Exclude]], 0,4)</f>
        <v/>
      </c>
      <c r="Z121" s="137" t="str" cm="1">
        <f t="array" ref="Z121">Common_InputFunctions.Utility_DisplayArrayInTable(Fertiliser_SourceData.Fertiliser_Products_Data1(),FertiliserProducts[[#Headers],[Include or Exclude]], 0,4)</f>
        <v/>
      </c>
      <c r="AA121" s="137" t="str" cm="1">
        <f t="array" ref="AA121">Common_InputFunctions.Utility_DisplayArrayInTable(Fertiliser_SourceData.Fertiliser_Products_Data1(),FertiliserProducts[[#Headers],[Include or Exclude]], 0,4)</f>
        <v/>
      </c>
      <c r="AB121" s="137" t="str" cm="1">
        <f t="array" ref="AB121">Common_InputFunctions.Utility_DisplayArrayInTable(Fertiliser_SourceData.Fertiliser_Products_Data1(),FertiliserProducts[[#Headers],[Include or Exclude]], 0,4)</f>
        <v/>
      </c>
      <c r="AC121" s="137" t="str" cm="1">
        <f t="array" ref="AC121">Common_InputFunctions.Utility_DisplayArrayInTable(Fertiliser_SourceData.Fertiliser_Products_Data1(),FertiliserProducts[[#Headers],[Include or Exclude]], 0,4)</f>
        <v/>
      </c>
      <c r="AD121" s="137" t="str" cm="1">
        <f t="array" ref="AD121">Common_InputFunctions.Utility_DisplayArrayInTable(Fertiliser_SourceData.Fertiliser_Products_Data1(),FertiliserProducts[[#Headers],[Include or Exclude]], 0,4)</f>
        <v/>
      </c>
      <c r="AE121" s="137" t="str" cm="1">
        <f t="array" ref="AE121">Common_InputFunctions.Utility_DisplayArrayInTable(Fertiliser_SourceData.Fertiliser_Products_Data1(),FertiliserProducts[[#Headers],[Include or Exclude]], 0,4)</f>
        <v/>
      </c>
    </row>
    <row r="122" spans="4:31" ht="20.100000000000001" customHeight="1" x14ac:dyDescent="0.25">
      <c r="D122" s="137" t="str" cm="1">
        <f t="array" ref="D122">Common_InputFunctions.Utility_DisplayArrayInTable(Fertiliser_SourceData.Fertiliser_Products_Data1(),FertiliserProducts[[#Headers],[Include or Exclude]], -1)</f>
        <v/>
      </c>
      <c r="E122" s="137" t="str" cm="1">
        <f t="array" ref="E122">Common_InputFunctions.Utility_DisplayArrayInTable(Fertiliser_SourceData.Fertiliser_Products_Data1(),FertiliserProducts[[#Headers],[Include or Exclude]], 0)</f>
        <v/>
      </c>
      <c r="F122" s="137" t="str" cm="1">
        <f t="array" ref="F122">Common_InputFunctions.Utility_DisplayArrayInTable(Fertiliser_SourceData.Fertiliser_Products_Data1(),FertiliserProducts[[#Headers],[Include or Exclude]], 0)</f>
        <v/>
      </c>
      <c r="G122" s="137" t="str" cm="1">
        <f t="array" ref="G122">Common_InputFunctions.Utility_DisplayArrayInTable(Fertiliser_SourceData.Fertiliser_Products_Data1(),FertiliserProducts[[#Headers],[Include or Exclude]], 0)</f>
        <v/>
      </c>
      <c r="H122" s="137" t="str" cm="1">
        <f t="array" ref="H122">Common_InputFunctions.Utility_DisplayArrayInTable(Fertiliser_SourceData.Fertiliser_Products_Data1(),FertiliserProducts[[#Headers],[Include or Exclude]], 0,4)</f>
        <v/>
      </c>
      <c r="I122" s="137" t="str" cm="1">
        <f t="array" ref="I122">Common_InputFunctions.Utility_DisplayArrayInTable(Fertiliser_SourceData.Fertiliser_Products_Data1(),FertiliserProducts[[#Headers],[Include or Exclude]], 0,4)</f>
        <v/>
      </c>
      <c r="J122" s="137" t="str" cm="1">
        <f t="array" ref="J122">Common_InputFunctions.Utility_DisplayArrayInTable(Fertiliser_SourceData.Fertiliser_Products_Data1(),FertiliserProducts[[#Headers],[Include or Exclude]], 0,4)</f>
        <v/>
      </c>
      <c r="K122" s="137" t="str" cm="1">
        <f t="array" ref="K122">Common_InputFunctions.Utility_DisplayArrayInTable(Fertiliser_SourceData.Fertiliser_Products_Data1(),FertiliserProducts[[#Headers],[Include or Exclude]], 0,4)</f>
        <v/>
      </c>
      <c r="L122" s="137" t="str" cm="1">
        <f t="array" ref="L122">Common_InputFunctions.Utility_DisplayArrayInTable(Fertiliser_SourceData.Fertiliser_Products_Data1(),FertiliserProducts[[#Headers],[Include or Exclude]], 0,4)</f>
        <v/>
      </c>
      <c r="M122" s="137" t="str" cm="1">
        <f t="array" ref="M122">Common_InputFunctions.Utility_DisplayArrayInTable(Fertiliser_SourceData.Fertiliser_Products_Data1(),FertiliserProducts[[#Headers],[Include or Exclude]], 0,4)</f>
        <v/>
      </c>
      <c r="N122" s="137" t="str" cm="1">
        <f t="array" ref="N122">Common_InputFunctions.Utility_DisplayArrayInTable(Fertiliser_SourceData.Fertiliser_Products_Data1(),FertiliserProducts[[#Headers],[Include or Exclude]], 0,4)</f>
        <v/>
      </c>
      <c r="O122" s="137" t="str" cm="1">
        <f t="array" ref="O122">Common_InputFunctions.Utility_DisplayArrayInTable(Fertiliser_SourceData.Fertiliser_Products_Data1(),FertiliserProducts[[#Headers],[Include or Exclude]], 0,4)</f>
        <v/>
      </c>
      <c r="P122" s="137" t="str" cm="1">
        <f t="array" ref="P122">Common_InputFunctions.Utility_DisplayArrayInTable(Fertiliser_SourceData.Fertiliser_Products_Data1(),FertiliserProducts[[#Headers],[Include or Exclude]], 0,4)</f>
        <v/>
      </c>
      <c r="Q122" s="137" t="str" cm="1">
        <f t="array" ref="Q122">Common_InputFunctions.Utility_DisplayArrayInTable(Fertiliser_SourceData.Fertiliser_Products_Data1(),FertiliserProducts[[#Headers],[Include or Exclude]], 0,4)</f>
        <v/>
      </c>
      <c r="R122" s="137" t="str" cm="1">
        <f t="array" ref="R122">Common_InputFunctions.Utility_DisplayArrayInTable(Fertiliser_SourceData.Fertiliser_Products_Data1(),FertiliserProducts[[#Headers],[Include or Exclude]], 0,4)</f>
        <v/>
      </c>
      <c r="S122" s="137" t="str" cm="1">
        <f t="array" ref="S122">Common_InputFunctions.Utility_DisplayArrayInTable(Fertiliser_SourceData.Fertiliser_Products_Data1(),FertiliserProducts[[#Headers],[Include or Exclude]], 0,4)</f>
        <v/>
      </c>
      <c r="T122" s="137" t="str" cm="1">
        <f t="array" ref="T122">Common_InputFunctions.Utility_DisplayArrayInTable(Fertiliser_SourceData.Fertiliser_Products_Data1(),FertiliserProducts[[#Headers],[Include or Exclude]], 0,4)</f>
        <v/>
      </c>
      <c r="U122" s="137" t="str" cm="1">
        <f t="array" ref="U122">Common_InputFunctions.Utility_DisplayArrayInTable(Fertiliser_SourceData.Fertiliser_Products_Data1(),FertiliserProducts[[#Headers],[Include or Exclude]], 0,4)</f>
        <v/>
      </c>
      <c r="V122" s="137" t="str" cm="1">
        <f t="array" ref="V122">Common_InputFunctions.Utility_DisplayArrayInTable(Fertiliser_SourceData.Fertiliser_Products_Data1(),FertiliserProducts[[#Headers],[Include or Exclude]], 0,4)</f>
        <v/>
      </c>
      <c r="W122" s="137" t="str" cm="1">
        <f t="array" ref="W122">Common_InputFunctions.Utility_DisplayArrayInTable(Fertiliser_SourceData.Fertiliser_Products_Data1(),FertiliserProducts[[#Headers],[Include or Exclude]], 0,4)</f>
        <v/>
      </c>
      <c r="X122" s="137" t="str" cm="1">
        <f t="array" ref="X122">Common_InputFunctions.Utility_DisplayArrayInTable(Fertiliser_SourceData.Fertiliser_Products_Data1(),FertiliserProducts[[#Headers],[Include or Exclude]], 0,4)</f>
        <v/>
      </c>
      <c r="Y122" s="137" t="str" cm="1">
        <f t="array" ref="Y122">Common_InputFunctions.Utility_DisplayArrayInTable(Fertiliser_SourceData.Fertiliser_Products_Data1(),FertiliserProducts[[#Headers],[Include or Exclude]], 0,4)</f>
        <v/>
      </c>
      <c r="Z122" s="137" t="str" cm="1">
        <f t="array" ref="Z122">Common_InputFunctions.Utility_DisplayArrayInTable(Fertiliser_SourceData.Fertiliser_Products_Data1(),FertiliserProducts[[#Headers],[Include or Exclude]], 0,4)</f>
        <v/>
      </c>
      <c r="AA122" s="137" t="str" cm="1">
        <f t="array" ref="AA122">Common_InputFunctions.Utility_DisplayArrayInTable(Fertiliser_SourceData.Fertiliser_Products_Data1(),FertiliserProducts[[#Headers],[Include or Exclude]], 0,4)</f>
        <v/>
      </c>
      <c r="AB122" s="137" t="str" cm="1">
        <f t="array" ref="AB122">Common_InputFunctions.Utility_DisplayArrayInTable(Fertiliser_SourceData.Fertiliser_Products_Data1(),FertiliserProducts[[#Headers],[Include or Exclude]], 0,4)</f>
        <v/>
      </c>
      <c r="AC122" s="137" t="str" cm="1">
        <f t="array" ref="AC122">Common_InputFunctions.Utility_DisplayArrayInTable(Fertiliser_SourceData.Fertiliser_Products_Data1(),FertiliserProducts[[#Headers],[Include or Exclude]], 0,4)</f>
        <v/>
      </c>
      <c r="AD122" s="137" t="str" cm="1">
        <f t="array" ref="AD122">Common_InputFunctions.Utility_DisplayArrayInTable(Fertiliser_SourceData.Fertiliser_Products_Data1(),FertiliserProducts[[#Headers],[Include or Exclude]], 0,4)</f>
        <v/>
      </c>
      <c r="AE122" s="137" t="str" cm="1">
        <f t="array" ref="AE122">Common_InputFunctions.Utility_DisplayArrayInTable(Fertiliser_SourceData.Fertiliser_Products_Data1(),FertiliserProducts[[#Headers],[Include or Exclude]], 0,4)</f>
        <v/>
      </c>
    </row>
    <row r="123" spans="4:31" ht="20.100000000000001" customHeight="1" x14ac:dyDescent="0.25">
      <c r="D123" s="137" t="str" cm="1">
        <f t="array" ref="D123">Common_InputFunctions.Utility_DisplayArrayInTable(Fertiliser_SourceData.Fertiliser_Products_Data1(),FertiliserProducts[[#Headers],[Include or Exclude]], -1)</f>
        <v/>
      </c>
      <c r="E123" s="137" t="str" cm="1">
        <f t="array" ref="E123">Common_InputFunctions.Utility_DisplayArrayInTable(Fertiliser_SourceData.Fertiliser_Products_Data1(),FertiliserProducts[[#Headers],[Include or Exclude]], 0)</f>
        <v/>
      </c>
      <c r="F123" s="137" t="str" cm="1">
        <f t="array" ref="F123">Common_InputFunctions.Utility_DisplayArrayInTable(Fertiliser_SourceData.Fertiliser_Products_Data1(),FertiliserProducts[[#Headers],[Include or Exclude]], 0)</f>
        <v/>
      </c>
      <c r="G123" s="137" t="str" cm="1">
        <f t="array" ref="G123">Common_InputFunctions.Utility_DisplayArrayInTable(Fertiliser_SourceData.Fertiliser_Products_Data1(),FertiliserProducts[[#Headers],[Include or Exclude]], 0)</f>
        <v/>
      </c>
      <c r="H123" s="137" t="str" cm="1">
        <f t="array" ref="H123">Common_InputFunctions.Utility_DisplayArrayInTable(Fertiliser_SourceData.Fertiliser_Products_Data1(),FertiliserProducts[[#Headers],[Include or Exclude]], 0,4)</f>
        <v/>
      </c>
      <c r="I123" s="137" t="str" cm="1">
        <f t="array" ref="I123">Common_InputFunctions.Utility_DisplayArrayInTable(Fertiliser_SourceData.Fertiliser_Products_Data1(),FertiliserProducts[[#Headers],[Include or Exclude]], 0,4)</f>
        <v/>
      </c>
      <c r="J123" s="137" t="str" cm="1">
        <f t="array" ref="J123">Common_InputFunctions.Utility_DisplayArrayInTable(Fertiliser_SourceData.Fertiliser_Products_Data1(),FertiliserProducts[[#Headers],[Include or Exclude]], 0,4)</f>
        <v/>
      </c>
      <c r="K123" s="137" t="str" cm="1">
        <f t="array" ref="K123">Common_InputFunctions.Utility_DisplayArrayInTable(Fertiliser_SourceData.Fertiliser_Products_Data1(),FertiliserProducts[[#Headers],[Include or Exclude]], 0,4)</f>
        <v/>
      </c>
      <c r="L123" s="137" t="str" cm="1">
        <f t="array" ref="L123">Common_InputFunctions.Utility_DisplayArrayInTable(Fertiliser_SourceData.Fertiliser_Products_Data1(),FertiliserProducts[[#Headers],[Include or Exclude]], 0,4)</f>
        <v/>
      </c>
      <c r="M123" s="137" t="str" cm="1">
        <f t="array" ref="M123">Common_InputFunctions.Utility_DisplayArrayInTable(Fertiliser_SourceData.Fertiliser_Products_Data1(),FertiliserProducts[[#Headers],[Include or Exclude]], 0,4)</f>
        <v/>
      </c>
      <c r="N123" s="137" t="str" cm="1">
        <f t="array" ref="N123">Common_InputFunctions.Utility_DisplayArrayInTable(Fertiliser_SourceData.Fertiliser_Products_Data1(),FertiliserProducts[[#Headers],[Include or Exclude]], 0,4)</f>
        <v/>
      </c>
      <c r="O123" s="137" t="str" cm="1">
        <f t="array" ref="O123">Common_InputFunctions.Utility_DisplayArrayInTable(Fertiliser_SourceData.Fertiliser_Products_Data1(),FertiliserProducts[[#Headers],[Include or Exclude]], 0,4)</f>
        <v/>
      </c>
      <c r="P123" s="137" t="str" cm="1">
        <f t="array" ref="P123">Common_InputFunctions.Utility_DisplayArrayInTable(Fertiliser_SourceData.Fertiliser_Products_Data1(),FertiliserProducts[[#Headers],[Include or Exclude]], 0,4)</f>
        <v/>
      </c>
      <c r="Q123" s="137" t="str" cm="1">
        <f t="array" ref="Q123">Common_InputFunctions.Utility_DisplayArrayInTable(Fertiliser_SourceData.Fertiliser_Products_Data1(),FertiliserProducts[[#Headers],[Include or Exclude]], 0,4)</f>
        <v/>
      </c>
      <c r="R123" s="137" t="str" cm="1">
        <f t="array" ref="R123">Common_InputFunctions.Utility_DisplayArrayInTable(Fertiliser_SourceData.Fertiliser_Products_Data1(),FertiliserProducts[[#Headers],[Include or Exclude]], 0,4)</f>
        <v/>
      </c>
      <c r="S123" s="137" t="str" cm="1">
        <f t="array" ref="S123">Common_InputFunctions.Utility_DisplayArrayInTable(Fertiliser_SourceData.Fertiliser_Products_Data1(),FertiliserProducts[[#Headers],[Include or Exclude]], 0,4)</f>
        <v/>
      </c>
      <c r="T123" s="137" t="str" cm="1">
        <f t="array" ref="T123">Common_InputFunctions.Utility_DisplayArrayInTable(Fertiliser_SourceData.Fertiliser_Products_Data1(),FertiliserProducts[[#Headers],[Include or Exclude]], 0,4)</f>
        <v/>
      </c>
      <c r="U123" s="137" t="str" cm="1">
        <f t="array" ref="U123">Common_InputFunctions.Utility_DisplayArrayInTable(Fertiliser_SourceData.Fertiliser_Products_Data1(),FertiliserProducts[[#Headers],[Include or Exclude]], 0,4)</f>
        <v/>
      </c>
      <c r="V123" s="137" t="str" cm="1">
        <f t="array" ref="V123">Common_InputFunctions.Utility_DisplayArrayInTable(Fertiliser_SourceData.Fertiliser_Products_Data1(),FertiliserProducts[[#Headers],[Include or Exclude]], 0,4)</f>
        <v/>
      </c>
      <c r="W123" s="137" t="str" cm="1">
        <f t="array" ref="W123">Common_InputFunctions.Utility_DisplayArrayInTable(Fertiliser_SourceData.Fertiliser_Products_Data1(),FertiliserProducts[[#Headers],[Include or Exclude]], 0,4)</f>
        <v/>
      </c>
      <c r="X123" s="137" t="str" cm="1">
        <f t="array" ref="X123">Common_InputFunctions.Utility_DisplayArrayInTable(Fertiliser_SourceData.Fertiliser_Products_Data1(),FertiliserProducts[[#Headers],[Include or Exclude]], 0,4)</f>
        <v/>
      </c>
      <c r="Y123" s="137" t="str" cm="1">
        <f t="array" ref="Y123">Common_InputFunctions.Utility_DisplayArrayInTable(Fertiliser_SourceData.Fertiliser_Products_Data1(),FertiliserProducts[[#Headers],[Include or Exclude]], 0,4)</f>
        <v/>
      </c>
      <c r="Z123" s="137" t="str" cm="1">
        <f t="array" ref="Z123">Common_InputFunctions.Utility_DisplayArrayInTable(Fertiliser_SourceData.Fertiliser_Products_Data1(),FertiliserProducts[[#Headers],[Include or Exclude]], 0,4)</f>
        <v/>
      </c>
      <c r="AA123" s="137" t="str" cm="1">
        <f t="array" ref="AA123">Common_InputFunctions.Utility_DisplayArrayInTable(Fertiliser_SourceData.Fertiliser_Products_Data1(),FertiliserProducts[[#Headers],[Include or Exclude]], 0,4)</f>
        <v/>
      </c>
      <c r="AB123" s="137" t="str" cm="1">
        <f t="array" ref="AB123">Common_InputFunctions.Utility_DisplayArrayInTable(Fertiliser_SourceData.Fertiliser_Products_Data1(),FertiliserProducts[[#Headers],[Include or Exclude]], 0,4)</f>
        <v/>
      </c>
      <c r="AC123" s="137" t="str" cm="1">
        <f t="array" ref="AC123">Common_InputFunctions.Utility_DisplayArrayInTable(Fertiliser_SourceData.Fertiliser_Products_Data1(),FertiliserProducts[[#Headers],[Include or Exclude]], 0,4)</f>
        <v/>
      </c>
      <c r="AD123" s="137" t="str" cm="1">
        <f t="array" ref="AD123">Common_InputFunctions.Utility_DisplayArrayInTable(Fertiliser_SourceData.Fertiliser_Products_Data1(),FertiliserProducts[[#Headers],[Include or Exclude]], 0,4)</f>
        <v/>
      </c>
      <c r="AE123" s="137" t="str" cm="1">
        <f t="array" ref="AE123">Common_InputFunctions.Utility_DisplayArrayInTable(Fertiliser_SourceData.Fertiliser_Products_Data1(),FertiliserProducts[[#Headers],[Include or Exclude]], 0,4)</f>
        <v/>
      </c>
    </row>
    <row r="124" spans="4:31" ht="20.100000000000001" customHeight="1" x14ac:dyDescent="0.25">
      <c r="D124" s="137" t="str" cm="1">
        <f t="array" ref="D124">Common_InputFunctions.Utility_DisplayArrayInTable(Fertiliser_SourceData.Fertiliser_Products_Data1(),FertiliserProducts[[#Headers],[Include or Exclude]], -1)</f>
        <v/>
      </c>
      <c r="E124" s="137" t="str" cm="1">
        <f t="array" ref="E124">Common_InputFunctions.Utility_DisplayArrayInTable(Fertiliser_SourceData.Fertiliser_Products_Data1(),FertiliserProducts[[#Headers],[Include or Exclude]], 0)</f>
        <v/>
      </c>
      <c r="F124" s="137" t="str" cm="1">
        <f t="array" ref="F124">Common_InputFunctions.Utility_DisplayArrayInTable(Fertiliser_SourceData.Fertiliser_Products_Data1(),FertiliserProducts[[#Headers],[Include or Exclude]], 0)</f>
        <v/>
      </c>
      <c r="G124" s="137" t="str" cm="1">
        <f t="array" ref="G124">Common_InputFunctions.Utility_DisplayArrayInTable(Fertiliser_SourceData.Fertiliser_Products_Data1(),FertiliserProducts[[#Headers],[Include or Exclude]], 0)</f>
        <v/>
      </c>
      <c r="H124" s="137" t="str" cm="1">
        <f t="array" ref="H124">Common_InputFunctions.Utility_DisplayArrayInTable(Fertiliser_SourceData.Fertiliser_Products_Data1(),FertiliserProducts[[#Headers],[Include or Exclude]], 0,4)</f>
        <v/>
      </c>
      <c r="I124" s="137" t="str" cm="1">
        <f t="array" ref="I124">Common_InputFunctions.Utility_DisplayArrayInTable(Fertiliser_SourceData.Fertiliser_Products_Data1(),FertiliserProducts[[#Headers],[Include or Exclude]], 0,4)</f>
        <v/>
      </c>
      <c r="J124" s="137" t="str" cm="1">
        <f t="array" ref="J124">Common_InputFunctions.Utility_DisplayArrayInTable(Fertiliser_SourceData.Fertiliser_Products_Data1(),FertiliserProducts[[#Headers],[Include or Exclude]], 0,4)</f>
        <v/>
      </c>
      <c r="K124" s="137" t="str" cm="1">
        <f t="array" ref="K124">Common_InputFunctions.Utility_DisplayArrayInTable(Fertiliser_SourceData.Fertiliser_Products_Data1(),FertiliserProducts[[#Headers],[Include or Exclude]], 0,4)</f>
        <v/>
      </c>
      <c r="L124" s="137" t="str" cm="1">
        <f t="array" ref="L124">Common_InputFunctions.Utility_DisplayArrayInTable(Fertiliser_SourceData.Fertiliser_Products_Data1(),FertiliserProducts[[#Headers],[Include or Exclude]], 0,4)</f>
        <v/>
      </c>
      <c r="M124" s="137" t="str" cm="1">
        <f t="array" ref="M124">Common_InputFunctions.Utility_DisplayArrayInTable(Fertiliser_SourceData.Fertiliser_Products_Data1(),FertiliserProducts[[#Headers],[Include or Exclude]], 0,4)</f>
        <v/>
      </c>
      <c r="N124" s="137" t="str" cm="1">
        <f t="array" ref="N124">Common_InputFunctions.Utility_DisplayArrayInTable(Fertiliser_SourceData.Fertiliser_Products_Data1(),FertiliserProducts[[#Headers],[Include or Exclude]], 0,4)</f>
        <v/>
      </c>
      <c r="O124" s="137" t="str" cm="1">
        <f t="array" ref="O124">Common_InputFunctions.Utility_DisplayArrayInTable(Fertiliser_SourceData.Fertiliser_Products_Data1(),FertiliserProducts[[#Headers],[Include or Exclude]], 0,4)</f>
        <v/>
      </c>
      <c r="P124" s="137" t="str" cm="1">
        <f t="array" ref="P124">Common_InputFunctions.Utility_DisplayArrayInTable(Fertiliser_SourceData.Fertiliser_Products_Data1(),FertiliserProducts[[#Headers],[Include or Exclude]], 0,4)</f>
        <v/>
      </c>
      <c r="Q124" s="137" t="str" cm="1">
        <f t="array" ref="Q124">Common_InputFunctions.Utility_DisplayArrayInTable(Fertiliser_SourceData.Fertiliser_Products_Data1(),FertiliserProducts[[#Headers],[Include or Exclude]], 0,4)</f>
        <v/>
      </c>
      <c r="R124" s="137" t="str" cm="1">
        <f t="array" ref="R124">Common_InputFunctions.Utility_DisplayArrayInTable(Fertiliser_SourceData.Fertiliser_Products_Data1(),FertiliserProducts[[#Headers],[Include or Exclude]], 0,4)</f>
        <v/>
      </c>
      <c r="S124" s="137" t="str" cm="1">
        <f t="array" ref="S124">Common_InputFunctions.Utility_DisplayArrayInTable(Fertiliser_SourceData.Fertiliser_Products_Data1(),FertiliserProducts[[#Headers],[Include or Exclude]], 0,4)</f>
        <v/>
      </c>
      <c r="T124" s="137" t="str" cm="1">
        <f t="array" ref="T124">Common_InputFunctions.Utility_DisplayArrayInTable(Fertiliser_SourceData.Fertiliser_Products_Data1(),FertiliserProducts[[#Headers],[Include or Exclude]], 0,4)</f>
        <v/>
      </c>
      <c r="U124" s="137" t="str" cm="1">
        <f t="array" ref="U124">Common_InputFunctions.Utility_DisplayArrayInTable(Fertiliser_SourceData.Fertiliser_Products_Data1(),FertiliserProducts[[#Headers],[Include or Exclude]], 0,4)</f>
        <v/>
      </c>
      <c r="V124" s="137" t="str" cm="1">
        <f t="array" ref="V124">Common_InputFunctions.Utility_DisplayArrayInTable(Fertiliser_SourceData.Fertiliser_Products_Data1(),FertiliserProducts[[#Headers],[Include or Exclude]], 0,4)</f>
        <v/>
      </c>
      <c r="W124" s="137" t="str" cm="1">
        <f t="array" ref="W124">Common_InputFunctions.Utility_DisplayArrayInTable(Fertiliser_SourceData.Fertiliser_Products_Data1(),FertiliserProducts[[#Headers],[Include or Exclude]], 0,4)</f>
        <v/>
      </c>
      <c r="X124" s="137" t="str" cm="1">
        <f t="array" ref="X124">Common_InputFunctions.Utility_DisplayArrayInTable(Fertiliser_SourceData.Fertiliser_Products_Data1(),FertiliserProducts[[#Headers],[Include or Exclude]], 0,4)</f>
        <v/>
      </c>
      <c r="Y124" s="137" t="str" cm="1">
        <f t="array" ref="Y124">Common_InputFunctions.Utility_DisplayArrayInTable(Fertiliser_SourceData.Fertiliser_Products_Data1(),FertiliserProducts[[#Headers],[Include or Exclude]], 0,4)</f>
        <v/>
      </c>
      <c r="Z124" s="137" t="str" cm="1">
        <f t="array" ref="Z124">Common_InputFunctions.Utility_DisplayArrayInTable(Fertiliser_SourceData.Fertiliser_Products_Data1(),FertiliserProducts[[#Headers],[Include or Exclude]], 0,4)</f>
        <v/>
      </c>
      <c r="AA124" s="137" t="str" cm="1">
        <f t="array" ref="AA124">Common_InputFunctions.Utility_DisplayArrayInTable(Fertiliser_SourceData.Fertiliser_Products_Data1(),FertiliserProducts[[#Headers],[Include or Exclude]], 0,4)</f>
        <v/>
      </c>
      <c r="AB124" s="137" t="str" cm="1">
        <f t="array" ref="AB124">Common_InputFunctions.Utility_DisplayArrayInTable(Fertiliser_SourceData.Fertiliser_Products_Data1(),FertiliserProducts[[#Headers],[Include or Exclude]], 0,4)</f>
        <v/>
      </c>
      <c r="AC124" s="137" t="str" cm="1">
        <f t="array" ref="AC124">Common_InputFunctions.Utility_DisplayArrayInTable(Fertiliser_SourceData.Fertiliser_Products_Data1(),FertiliserProducts[[#Headers],[Include or Exclude]], 0,4)</f>
        <v/>
      </c>
      <c r="AD124" s="137" t="str" cm="1">
        <f t="array" ref="AD124">Common_InputFunctions.Utility_DisplayArrayInTable(Fertiliser_SourceData.Fertiliser_Products_Data1(),FertiliserProducts[[#Headers],[Include or Exclude]], 0,4)</f>
        <v/>
      </c>
      <c r="AE124" s="137" t="str" cm="1">
        <f t="array" ref="AE124">Common_InputFunctions.Utility_DisplayArrayInTable(Fertiliser_SourceData.Fertiliser_Products_Data1(),FertiliserProducts[[#Headers],[Include or Exclude]], 0,4)</f>
        <v/>
      </c>
    </row>
    <row r="125" spans="4:31" ht="20.100000000000001" customHeight="1" x14ac:dyDescent="0.25">
      <c r="D125" s="137" t="str" cm="1">
        <f t="array" ref="D125">Common_InputFunctions.Utility_DisplayArrayInTable(Fertiliser_SourceData.Fertiliser_Products_Data1(),FertiliserProducts[[#Headers],[Include or Exclude]], -1)</f>
        <v/>
      </c>
      <c r="E125" s="137" t="str" cm="1">
        <f t="array" ref="E125">Common_InputFunctions.Utility_DisplayArrayInTable(Fertiliser_SourceData.Fertiliser_Products_Data1(),FertiliserProducts[[#Headers],[Include or Exclude]], 0)</f>
        <v/>
      </c>
      <c r="F125" s="137" t="str" cm="1">
        <f t="array" ref="F125">Common_InputFunctions.Utility_DisplayArrayInTable(Fertiliser_SourceData.Fertiliser_Products_Data1(),FertiliserProducts[[#Headers],[Include or Exclude]], 0)</f>
        <v/>
      </c>
      <c r="G125" s="137" t="str" cm="1">
        <f t="array" ref="G125">Common_InputFunctions.Utility_DisplayArrayInTable(Fertiliser_SourceData.Fertiliser_Products_Data1(),FertiliserProducts[[#Headers],[Include or Exclude]], 0)</f>
        <v/>
      </c>
      <c r="H125" s="137" t="str" cm="1">
        <f t="array" ref="H125">Common_InputFunctions.Utility_DisplayArrayInTable(Fertiliser_SourceData.Fertiliser_Products_Data1(),FertiliserProducts[[#Headers],[Include or Exclude]], 0,4)</f>
        <v/>
      </c>
      <c r="I125" s="137" t="str" cm="1">
        <f t="array" ref="I125">Common_InputFunctions.Utility_DisplayArrayInTable(Fertiliser_SourceData.Fertiliser_Products_Data1(),FertiliserProducts[[#Headers],[Include or Exclude]], 0,4)</f>
        <v/>
      </c>
      <c r="J125" s="137" t="str" cm="1">
        <f t="array" ref="J125">Common_InputFunctions.Utility_DisplayArrayInTable(Fertiliser_SourceData.Fertiliser_Products_Data1(),FertiliserProducts[[#Headers],[Include or Exclude]], 0,4)</f>
        <v/>
      </c>
      <c r="K125" s="137" t="str" cm="1">
        <f t="array" ref="K125">Common_InputFunctions.Utility_DisplayArrayInTable(Fertiliser_SourceData.Fertiliser_Products_Data1(),FertiliserProducts[[#Headers],[Include or Exclude]], 0,4)</f>
        <v/>
      </c>
      <c r="L125" s="137" t="str" cm="1">
        <f t="array" ref="L125">Common_InputFunctions.Utility_DisplayArrayInTable(Fertiliser_SourceData.Fertiliser_Products_Data1(),FertiliserProducts[[#Headers],[Include or Exclude]], 0,4)</f>
        <v/>
      </c>
      <c r="M125" s="137" t="str" cm="1">
        <f t="array" ref="M125">Common_InputFunctions.Utility_DisplayArrayInTable(Fertiliser_SourceData.Fertiliser_Products_Data1(),FertiliserProducts[[#Headers],[Include or Exclude]], 0,4)</f>
        <v/>
      </c>
      <c r="N125" s="137" t="str" cm="1">
        <f t="array" ref="N125">Common_InputFunctions.Utility_DisplayArrayInTable(Fertiliser_SourceData.Fertiliser_Products_Data1(),FertiliserProducts[[#Headers],[Include or Exclude]], 0,4)</f>
        <v/>
      </c>
      <c r="O125" s="137" t="str" cm="1">
        <f t="array" ref="O125">Common_InputFunctions.Utility_DisplayArrayInTable(Fertiliser_SourceData.Fertiliser_Products_Data1(),FertiliserProducts[[#Headers],[Include or Exclude]], 0,4)</f>
        <v/>
      </c>
      <c r="P125" s="137" t="str" cm="1">
        <f t="array" ref="P125">Common_InputFunctions.Utility_DisplayArrayInTable(Fertiliser_SourceData.Fertiliser_Products_Data1(),FertiliserProducts[[#Headers],[Include or Exclude]], 0,4)</f>
        <v/>
      </c>
      <c r="Q125" s="137" t="str" cm="1">
        <f t="array" ref="Q125">Common_InputFunctions.Utility_DisplayArrayInTable(Fertiliser_SourceData.Fertiliser_Products_Data1(),FertiliserProducts[[#Headers],[Include or Exclude]], 0,4)</f>
        <v/>
      </c>
      <c r="R125" s="137" t="str" cm="1">
        <f t="array" ref="R125">Common_InputFunctions.Utility_DisplayArrayInTable(Fertiliser_SourceData.Fertiliser_Products_Data1(),FertiliserProducts[[#Headers],[Include or Exclude]], 0,4)</f>
        <v/>
      </c>
      <c r="S125" s="137" t="str" cm="1">
        <f t="array" ref="S125">Common_InputFunctions.Utility_DisplayArrayInTable(Fertiliser_SourceData.Fertiliser_Products_Data1(),FertiliserProducts[[#Headers],[Include or Exclude]], 0,4)</f>
        <v/>
      </c>
      <c r="T125" s="137" t="str" cm="1">
        <f t="array" ref="T125">Common_InputFunctions.Utility_DisplayArrayInTable(Fertiliser_SourceData.Fertiliser_Products_Data1(),FertiliserProducts[[#Headers],[Include or Exclude]], 0,4)</f>
        <v/>
      </c>
      <c r="U125" s="137" t="str" cm="1">
        <f t="array" ref="U125">Common_InputFunctions.Utility_DisplayArrayInTable(Fertiliser_SourceData.Fertiliser_Products_Data1(),FertiliserProducts[[#Headers],[Include or Exclude]], 0,4)</f>
        <v/>
      </c>
      <c r="V125" s="137" t="str" cm="1">
        <f t="array" ref="V125">Common_InputFunctions.Utility_DisplayArrayInTable(Fertiliser_SourceData.Fertiliser_Products_Data1(),FertiliserProducts[[#Headers],[Include or Exclude]], 0,4)</f>
        <v/>
      </c>
      <c r="W125" s="137" t="str" cm="1">
        <f t="array" ref="W125">Common_InputFunctions.Utility_DisplayArrayInTable(Fertiliser_SourceData.Fertiliser_Products_Data1(),FertiliserProducts[[#Headers],[Include or Exclude]], 0,4)</f>
        <v/>
      </c>
      <c r="X125" s="137" t="str" cm="1">
        <f t="array" ref="X125">Common_InputFunctions.Utility_DisplayArrayInTable(Fertiliser_SourceData.Fertiliser_Products_Data1(),FertiliserProducts[[#Headers],[Include or Exclude]], 0,4)</f>
        <v/>
      </c>
      <c r="Y125" s="137" t="str" cm="1">
        <f t="array" ref="Y125">Common_InputFunctions.Utility_DisplayArrayInTable(Fertiliser_SourceData.Fertiliser_Products_Data1(),FertiliserProducts[[#Headers],[Include or Exclude]], 0,4)</f>
        <v/>
      </c>
      <c r="Z125" s="137" t="str" cm="1">
        <f t="array" ref="Z125">Common_InputFunctions.Utility_DisplayArrayInTable(Fertiliser_SourceData.Fertiliser_Products_Data1(),FertiliserProducts[[#Headers],[Include or Exclude]], 0,4)</f>
        <v/>
      </c>
      <c r="AA125" s="137" t="str" cm="1">
        <f t="array" ref="AA125">Common_InputFunctions.Utility_DisplayArrayInTable(Fertiliser_SourceData.Fertiliser_Products_Data1(),FertiliserProducts[[#Headers],[Include or Exclude]], 0,4)</f>
        <v/>
      </c>
      <c r="AB125" s="137" t="str" cm="1">
        <f t="array" ref="AB125">Common_InputFunctions.Utility_DisplayArrayInTable(Fertiliser_SourceData.Fertiliser_Products_Data1(),FertiliserProducts[[#Headers],[Include or Exclude]], 0,4)</f>
        <v/>
      </c>
      <c r="AC125" s="137" t="str" cm="1">
        <f t="array" ref="AC125">Common_InputFunctions.Utility_DisplayArrayInTable(Fertiliser_SourceData.Fertiliser_Products_Data1(),FertiliserProducts[[#Headers],[Include or Exclude]], 0,4)</f>
        <v/>
      </c>
      <c r="AD125" s="137" t="str" cm="1">
        <f t="array" ref="AD125">Common_InputFunctions.Utility_DisplayArrayInTable(Fertiliser_SourceData.Fertiliser_Products_Data1(),FertiliserProducts[[#Headers],[Include or Exclude]], 0,4)</f>
        <v/>
      </c>
      <c r="AE125" s="137" t="str" cm="1">
        <f t="array" ref="AE125">Common_InputFunctions.Utility_DisplayArrayInTable(Fertiliser_SourceData.Fertiliser_Products_Data1(),FertiliserProducts[[#Headers],[Include or Exclude]], 0,4)</f>
        <v/>
      </c>
    </row>
    <row r="126" spans="4:31" ht="20.100000000000001" customHeight="1" x14ac:dyDescent="0.25">
      <c r="D126" s="137" t="str" cm="1">
        <f t="array" ref="D126">Common_InputFunctions.Utility_DisplayArrayInTable(Fertiliser_SourceData.Fertiliser_Products_Data1(),FertiliserProducts[[#Headers],[Include or Exclude]], -1)</f>
        <v/>
      </c>
      <c r="E126" s="137" t="str" cm="1">
        <f t="array" ref="E126">Common_InputFunctions.Utility_DisplayArrayInTable(Fertiliser_SourceData.Fertiliser_Products_Data1(),FertiliserProducts[[#Headers],[Include or Exclude]], 0)</f>
        <v/>
      </c>
      <c r="F126" s="137" t="str" cm="1">
        <f t="array" ref="F126">Common_InputFunctions.Utility_DisplayArrayInTable(Fertiliser_SourceData.Fertiliser_Products_Data1(),FertiliserProducts[[#Headers],[Include or Exclude]], 0)</f>
        <v/>
      </c>
      <c r="G126" s="137" t="str" cm="1">
        <f t="array" ref="G126">Common_InputFunctions.Utility_DisplayArrayInTable(Fertiliser_SourceData.Fertiliser_Products_Data1(),FertiliserProducts[[#Headers],[Include or Exclude]], 0)</f>
        <v/>
      </c>
      <c r="H126" s="137" t="str" cm="1">
        <f t="array" ref="H126">Common_InputFunctions.Utility_DisplayArrayInTable(Fertiliser_SourceData.Fertiliser_Products_Data1(),FertiliserProducts[[#Headers],[Include or Exclude]], 0,4)</f>
        <v/>
      </c>
      <c r="I126" s="137" t="str" cm="1">
        <f t="array" ref="I126">Common_InputFunctions.Utility_DisplayArrayInTable(Fertiliser_SourceData.Fertiliser_Products_Data1(),FertiliserProducts[[#Headers],[Include or Exclude]], 0,4)</f>
        <v/>
      </c>
      <c r="J126" s="137" t="str" cm="1">
        <f t="array" ref="J126">Common_InputFunctions.Utility_DisplayArrayInTable(Fertiliser_SourceData.Fertiliser_Products_Data1(),FertiliserProducts[[#Headers],[Include or Exclude]], 0,4)</f>
        <v/>
      </c>
      <c r="K126" s="137" t="str" cm="1">
        <f t="array" ref="K126">Common_InputFunctions.Utility_DisplayArrayInTable(Fertiliser_SourceData.Fertiliser_Products_Data1(),FertiliserProducts[[#Headers],[Include or Exclude]], 0,4)</f>
        <v/>
      </c>
      <c r="L126" s="137" t="str" cm="1">
        <f t="array" ref="L126">Common_InputFunctions.Utility_DisplayArrayInTable(Fertiliser_SourceData.Fertiliser_Products_Data1(),FertiliserProducts[[#Headers],[Include or Exclude]], 0,4)</f>
        <v/>
      </c>
      <c r="M126" s="137" t="str" cm="1">
        <f t="array" ref="M126">Common_InputFunctions.Utility_DisplayArrayInTable(Fertiliser_SourceData.Fertiliser_Products_Data1(),FertiliserProducts[[#Headers],[Include or Exclude]], 0,4)</f>
        <v/>
      </c>
      <c r="N126" s="137" t="str" cm="1">
        <f t="array" ref="N126">Common_InputFunctions.Utility_DisplayArrayInTable(Fertiliser_SourceData.Fertiliser_Products_Data1(),FertiliserProducts[[#Headers],[Include or Exclude]], 0,4)</f>
        <v/>
      </c>
      <c r="O126" s="137" t="str" cm="1">
        <f t="array" ref="O126">Common_InputFunctions.Utility_DisplayArrayInTable(Fertiliser_SourceData.Fertiliser_Products_Data1(),FertiliserProducts[[#Headers],[Include or Exclude]], 0,4)</f>
        <v/>
      </c>
      <c r="P126" s="137" t="str" cm="1">
        <f t="array" ref="P126">Common_InputFunctions.Utility_DisplayArrayInTable(Fertiliser_SourceData.Fertiliser_Products_Data1(),FertiliserProducts[[#Headers],[Include or Exclude]], 0,4)</f>
        <v/>
      </c>
      <c r="Q126" s="137" t="str" cm="1">
        <f t="array" ref="Q126">Common_InputFunctions.Utility_DisplayArrayInTable(Fertiliser_SourceData.Fertiliser_Products_Data1(),FertiliserProducts[[#Headers],[Include or Exclude]], 0,4)</f>
        <v/>
      </c>
      <c r="R126" s="137" t="str" cm="1">
        <f t="array" ref="R126">Common_InputFunctions.Utility_DisplayArrayInTable(Fertiliser_SourceData.Fertiliser_Products_Data1(),FertiliserProducts[[#Headers],[Include or Exclude]], 0,4)</f>
        <v/>
      </c>
      <c r="S126" s="137" t="str" cm="1">
        <f t="array" ref="S126">Common_InputFunctions.Utility_DisplayArrayInTable(Fertiliser_SourceData.Fertiliser_Products_Data1(),FertiliserProducts[[#Headers],[Include or Exclude]], 0,4)</f>
        <v/>
      </c>
      <c r="T126" s="137" t="str" cm="1">
        <f t="array" ref="T126">Common_InputFunctions.Utility_DisplayArrayInTable(Fertiliser_SourceData.Fertiliser_Products_Data1(),FertiliserProducts[[#Headers],[Include or Exclude]], 0,4)</f>
        <v/>
      </c>
      <c r="U126" s="137" t="str" cm="1">
        <f t="array" ref="U126">Common_InputFunctions.Utility_DisplayArrayInTable(Fertiliser_SourceData.Fertiliser_Products_Data1(),FertiliserProducts[[#Headers],[Include or Exclude]], 0,4)</f>
        <v/>
      </c>
      <c r="V126" s="137" t="str" cm="1">
        <f t="array" ref="V126">Common_InputFunctions.Utility_DisplayArrayInTable(Fertiliser_SourceData.Fertiliser_Products_Data1(),FertiliserProducts[[#Headers],[Include or Exclude]], 0,4)</f>
        <v/>
      </c>
      <c r="W126" s="137" t="str" cm="1">
        <f t="array" ref="W126">Common_InputFunctions.Utility_DisplayArrayInTable(Fertiliser_SourceData.Fertiliser_Products_Data1(),FertiliserProducts[[#Headers],[Include or Exclude]], 0,4)</f>
        <v/>
      </c>
      <c r="X126" s="137" t="str" cm="1">
        <f t="array" ref="X126">Common_InputFunctions.Utility_DisplayArrayInTable(Fertiliser_SourceData.Fertiliser_Products_Data1(),FertiliserProducts[[#Headers],[Include or Exclude]], 0,4)</f>
        <v/>
      </c>
      <c r="Y126" s="137" t="str" cm="1">
        <f t="array" ref="Y126">Common_InputFunctions.Utility_DisplayArrayInTable(Fertiliser_SourceData.Fertiliser_Products_Data1(),FertiliserProducts[[#Headers],[Include or Exclude]], 0,4)</f>
        <v/>
      </c>
      <c r="Z126" s="137" t="str" cm="1">
        <f t="array" ref="Z126">Common_InputFunctions.Utility_DisplayArrayInTable(Fertiliser_SourceData.Fertiliser_Products_Data1(),FertiliserProducts[[#Headers],[Include or Exclude]], 0,4)</f>
        <v/>
      </c>
      <c r="AA126" s="137" t="str" cm="1">
        <f t="array" ref="AA126">Common_InputFunctions.Utility_DisplayArrayInTable(Fertiliser_SourceData.Fertiliser_Products_Data1(),FertiliserProducts[[#Headers],[Include or Exclude]], 0,4)</f>
        <v/>
      </c>
      <c r="AB126" s="137" t="str" cm="1">
        <f t="array" ref="AB126">Common_InputFunctions.Utility_DisplayArrayInTable(Fertiliser_SourceData.Fertiliser_Products_Data1(),FertiliserProducts[[#Headers],[Include or Exclude]], 0,4)</f>
        <v/>
      </c>
      <c r="AC126" s="137" t="str" cm="1">
        <f t="array" ref="AC126">Common_InputFunctions.Utility_DisplayArrayInTable(Fertiliser_SourceData.Fertiliser_Products_Data1(),FertiliserProducts[[#Headers],[Include or Exclude]], 0,4)</f>
        <v/>
      </c>
      <c r="AD126" s="137" t="str" cm="1">
        <f t="array" ref="AD126">Common_InputFunctions.Utility_DisplayArrayInTable(Fertiliser_SourceData.Fertiliser_Products_Data1(),FertiliserProducts[[#Headers],[Include or Exclude]], 0,4)</f>
        <v/>
      </c>
      <c r="AE126" s="137" t="str" cm="1">
        <f t="array" ref="AE126">Common_InputFunctions.Utility_DisplayArrayInTable(Fertiliser_SourceData.Fertiliser_Products_Data1(),FertiliserProducts[[#Headers],[Include or Exclude]], 0,4)</f>
        <v/>
      </c>
    </row>
    <row r="127" spans="4:31" ht="20.100000000000001" customHeight="1" x14ac:dyDescent="0.25">
      <c r="D127" s="137" t="str" cm="1">
        <f t="array" ref="D127">Common_InputFunctions.Utility_DisplayArrayInTable(Fertiliser_SourceData.Fertiliser_Products_Data1(),FertiliserProducts[[#Headers],[Include or Exclude]], -1)</f>
        <v/>
      </c>
      <c r="E127" s="137" t="str" cm="1">
        <f t="array" ref="E127">Common_InputFunctions.Utility_DisplayArrayInTable(Fertiliser_SourceData.Fertiliser_Products_Data1(),FertiliserProducts[[#Headers],[Include or Exclude]], 0)</f>
        <v/>
      </c>
      <c r="F127" s="137" t="str" cm="1">
        <f t="array" ref="F127">Common_InputFunctions.Utility_DisplayArrayInTable(Fertiliser_SourceData.Fertiliser_Products_Data1(),FertiliserProducts[[#Headers],[Include or Exclude]], 0)</f>
        <v/>
      </c>
      <c r="G127" s="137" t="str" cm="1">
        <f t="array" ref="G127">Common_InputFunctions.Utility_DisplayArrayInTable(Fertiliser_SourceData.Fertiliser_Products_Data1(),FertiliserProducts[[#Headers],[Include or Exclude]], 0)</f>
        <v/>
      </c>
      <c r="H127" s="137" t="str" cm="1">
        <f t="array" ref="H127">Common_InputFunctions.Utility_DisplayArrayInTable(Fertiliser_SourceData.Fertiliser_Products_Data1(),FertiliserProducts[[#Headers],[Include or Exclude]], 0,4)</f>
        <v/>
      </c>
      <c r="I127" s="137" t="str" cm="1">
        <f t="array" ref="I127">Common_InputFunctions.Utility_DisplayArrayInTable(Fertiliser_SourceData.Fertiliser_Products_Data1(),FertiliserProducts[[#Headers],[Include or Exclude]], 0,4)</f>
        <v/>
      </c>
      <c r="J127" s="137" t="str" cm="1">
        <f t="array" ref="J127">Common_InputFunctions.Utility_DisplayArrayInTable(Fertiliser_SourceData.Fertiliser_Products_Data1(),FertiliserProducts[[#Headers],[Include or Exclude]], 0,4)</f>
        <v/>
      </c>
      <c r="K127" s="137" t="str" cm="1">
        <f t="array" ref="K127">Common_InputFunctions.Utility_DisplayArrayInTable(Fertiliser_SourceData.Fertiliser_Products_Data1(),FertiliserProducts[[#Headers],[Include or Exclude]], 0,4)</f>
        <v/>
      </c>
      <c r="L127" s="137" t="str" cm="1">
        <f t="array" ref="L127">Common_InputFunctions.Utility_DisplayArrayInTable(Fertiliser_SourceData.Fertiliser_Products_Data1(),FertiliserProducts[[#Headers],[Include or Exclude]], 0,4)</f>
        <v/>
      </c>
      <c r="M127" s="137" t="str" cm="1">
        <f t="array" ref="M127">Common_InputFunctions.Utility_DisplayArrayInTable(Fertiliser_SourceData.Fertiliser_Products_Data1(),FertiliserProducts[[#Headers],[Include or Exclude]], 0,4)</f>
        <v/>
      </c>
      <c r="N127" s="137" t="str" cm="1">
        <f t="array" ref="N127">Common_InputFunctions.Utility_DisplayArrayInTable(Fertiliser_SourceData.Fertiliser_Products_Data1(),FertiliserProducts[[#Headers],[Include or Exclude]], 0,4)</f>
        <v/>
      </c>
      <c r="O127" s="137" t="str" cm="1">
        <f t="array" ref="O127">Common_InputFunctions.Utility_DisplayArrayInTable(Fertiliser_SourceData.Fertiliser_Products_Data1(),FertiliserProducts[[#Headers],[Include or Exclude]], 0,4)</f>
        <v/>
      </c>
      <c r="P127" s="137" t="str" cm="1">
        <f t="array" ref="P127">Common_InputFunctions.Utility_DisplayArrayInTable(Fertiliser_SourceData.Fertiliser_Products_Data1(),FertiliserProducts[[#Headers],[Include or Exclude]], 0,4)</f>
        <v/>
      </c>
      <c r="Q127" s="137" t="str" cm="1">
        <f t="array" ref="Q127">Common_InputFunctions.Utility_DisplayArrayInTable(Fertiliser_SourceData.Fertiliser_Products_Data1(),FertiliserProducts[[#Headers],[Include or Exclude]], 0,4)</f>
        <v/>
      </c>
      <c r="R127" s="137" t="str" cm="1">
        <f t="array" ref="R127">Common_InputFunctions.Utility_DisplayArrayInTable(Fertiliser_SourceData.Fertiliser_Products_Data1(),FertiliserProducts[[#Headers],[Include or Exclude]], 0,4)</f>
        <v/>
      </c>
      <c r="S127" s="137" t="str" cm="1">
        <f t="array" ref="S127">Common_InputFunctions.Utility_DisplayArrayInTable(Fertiliser_SourceData.Fertiliser_Products_Data1(),FertiliserProducts[[#Headers],[Include or Exclude]], 0,4)</f>
        <v/>
      </c>
      <c r="T127" s="137" t="str" cm="1">
        <f t="array" ref="T127">Common_InputFunctions.Utility_DisplayArrayInTable(Fertiliser_SourceData.Fertiliser_Products_Data1(),FertiliserProducts[[#Headers],[Include or Exclude]], 0,4)</f>
        <v/>
      </c>
      <c r="U127" s="137" t="str" cm="1">
        <f t="array" ref="U127">Common_InputFunctions.Utility_DisplayArrayInTable(Fertiliser_SourceData.Fertiliser_Products_Data1(),FertiliserProducts[[#Headers],[Include or Exclude]], 0,4)</f>
        <v/>
      </c>
      <c r="V127" s="137" t="str" cm="1">
        <f t="array" ref="V127">Common_InputFunctions.Utility_DisplayArrayInTable(Fertiliser_SourceData.Fertiliser_Products_Data1(),FertiliserProducts[[#Headers],[Include or Exclude]], 0,4)</f>
        <v/>
      </c>
      <c r="W127" s="137" t="str" cm="1">
        <f t="array" ref="W127">Common_InputFunctions.Utility_DisplayArrayInTable(Fertiliser_SourceData.Fertiliser_Products_Data1(),FertiliserProducts[[#Headers],[Include or Exclude]], 0,4)</f>
        <v/>
      </c>
      <c r="X127" s="137" t="str" cm="1">
        <f t="array" ref="X127">Common_InputFunctions.Utility_DisplayArrayInTable(Fertiliser_SourceData.Fertiliser_Products_Data1(),FertiliserProducts[[#Headers],[Include or Exclude]], 0,4)</f>
        <v/>
      </c>
      <c r="Y127" s="137" t="str" cm="1">
        <f t="array" ref="Y127">Common_InputFunctions.Utility_DisplayArrayInTable(Fertiliser_SourceData.Fertiliser_Products_Data1(),FertiliserProducts[[#Headers],[Include or Exclude]], 0,4)</f>
        <v/>
      </c>
      <c r="Z127" s="137" t="str" cm="1">
        <f t="array" ref="Z127">Common_InputFunctions.Utility_DisplayArrayInTable(Fertiliser_SourceData.Fertiliser_Products_Data1(),FertiliserProducts[[#Headers],[Include or Exclude]], 0,4)</f>
        <v/>
      </c>
      <c r="AA127" s="137" t="str" cm="1">
        <f t="array" ref="AA127">Common_InputFunctions.Utility_DisplayArrayInTable(Fertiliser_SourceData.Fertiliser_Products_Data1(),FertiliserProducts[[#Headers],[Include or Exclude]], 0,4)</f>
        <v/>
      </c>
      <c r="AB127" s="137" t="str" cm="1">
        <f t="array" ref="AB127">Common_InputFunctions.Utility_DisplayArrayInTable(Fertiliser_SourceData.Fertiliser_Products_Data1(),FertiliserProducts[[#Headers],[Include or Exclude]], 0,4)</f>
        <v/>
      </c>
      <c r="AC127" s="137" t="str" cm="1">
        <f t="array" ref="AC127">Common_InputFunctions.Utility_DisplayArrayInTable(Fertiliser_SourceData.Fertiliser_Products_Data1(),FertiliserProducts[[#Headers],[Include or Exclude]], 0,4)</f>
        <v/>
      </c>
      <c r="AD127" s="137" t="str" cm="1">
        <f t="array" ref="AD127">Common_InputFunctions.Utility_DisplayArrayInTable(Fertiliser_SourceData.Fertiliser_Products_Data1(),FertiliserProducts[[#Headers],[Include or Exclude]], 0,4)</f>
        <v/>
      </c>
      <c r="AE127" s="137" t="str" cm="1">
        <f t="array" ref="AE127">Common_InputFunctions.Utility_DisplayArrayInTable(Fertiliser_SourceData.Fertiliser_Products_Data1(),FertiliserProducts[[#Headers],[Include or Exclude]], 0,4)</f>
        <v/>
      </c>
    </row>
    <row r="128" spans="4:31" ht="20.100000000000001" customHeight="1" x14ac:dyDescent="0.25">
      <c r="D128" s="137" t="str" cm="1">
        <f t="array" ref="D128">Common_InputFunctions.Utility_DisplayArrayInTable(Fertiliser_SourceData.Fertiliser_Products_Data1(),FertiliserProducts[[#Headers],[Include or Exclude]], -1)</f>
        <v/>
      </c>
      <c r="E128" s="137" t="str" cm="1">
        <f t="array" ref="E128">Common_InputFunctions.Utility_DisplayArrayInTable(Fertiliser_SourceData.Fertiliser_Products_Data1(),FertiliserProducts[[#Headers],[Include or Exclude]], 0)</f>
        <v/>
      </c>
      <c r="F128" s="137" t="str" cm="1">
        <f t="array" ref="F128">Common_InputFunctions.Utility_DisplayArrayInTable(Fertiliser_SourceData.Fertiliser_Products_Data1(),FertiliserProducts[[#Headers],[Include or Exclude]], 0)</f>
        <v/>
      </c>
      <c r="G128" s="137" t="str" cm="1">
        <f t="array" ref="G128">Common_InputFunctions.Utility_DisplayArrayInTable(Fertiliser_SourceData.Fertiliser_Products_Data1(),FertiliserProducts[[#Headers],[Include or Exclude]], 0)</f>
        <v/>
      </c>
      <c r="H128" s="137" t="str" cm="1">
        <f t="array" ref="H128">Common_InputFunctions.Utility_DisplayArrayInTable(Fertiliser_SourceData.Fertiliser_Products_Data1(),FertiliserProducts[[#Headers],[Include or Exclude]], 0,4)</f>
        <v/>
      </c>
      <c r="I128" s="137" t="str" cm="1">
        <f t="array" ref="I128">Common_InputFunctions.Utility_DisplayArrayInTable(Fertiliser_SourceData.Fertiliser_Products_Data1(),FertiliserProducts[[#Headers],[Include or Exclude]], 0,4)</f>
        <v/>
      </c>
      <c r="J128" s="137" t="str" cm="1">
        <f t="array" ref="J128">Common_InputFunctions.Utility_DisplayArrayInTable(Fertiliser_SourceData.Fertiliser_Products_Data1(),FertiliserProducts[[#Headers],[Include or Exclude]], 0,4)</f>
        <v/>
      </c>
      <c r="K128" s="137" t="str" cm="1">
        <f t="array" ref="K128">Common_InputFunctions.Utility_DisplayArrayInTable(Fertiliser_SourceData.Fertiliser_Products_Data1(),FertiliserProducts[[#Headers],[Include or Exclude]], 0,4)</f>
        <v/>
      </c>
      <c r="L128" s="137" t="str" cm="1">
        <f t="array" ref="L128">Common_InputFunctions.Utility_DisplayArrayInTable(Fertiliser_SourceData.Fertiliser_Products_Data1(),FertiliserProducts[[#Headers],[Include or Exclude]], 0,4)</f>
        <v/>
      </c>
      <c r="M128" s="137" t="str" cm="1">
        <f t="array" ref="M128">Common_InputFunctions.Utility_DisplayArrayInTable(Fertiliser_SourceData.Fertiliser_Products_Data1(),FertiliserProducts[[#Headers],[Include or Exclude]], 0,4)</f>
        <v/>
      </c>
      <c r="N128" s="137" t="str" cm="1">
        <f t="array" ref="N128">Common_InputFunctions.Utility_DisplayArrayInTable(Fertiliser_SourceData.Fertiliser_Products_Data1(),FertiliserProducts[[#Headers],[Include or Exclude]], 0,4)</f>
        <v/>
      </c>
      <c r="O128" s="137" t="str" cm="1">
        <f t="array" ref="O128">Common_InputFunctions.Utility_DisplayArrayInTable(Fertiliser_SourceData.Fertiliser_Products_Data1(),FertiliserProducts[[#Headers],[Include or Exclude]], 0,4)</f>
        <v/>
      </c>
      <c r="P128" s="137" t="str" cm="1">
        <f t="array" ref="P128">Common_InputFunctions.Utility_DisplayArrayInTable(Fertiliser_SourceData.Fertiliser_Products_Data1(),FertiliserProducts[[#Headers],[Include or Exclude]], 0,4)</f>
        <v/>
      </c>
      <c r="Q128" s="137" t="str" cm="1">
        <f t="array" ref="Q128">Common_InputFunctions.Utility_DisplayArrayInTable(Fertiliser_SourceData.Fertiliser_Products_Data1(),FertiliserProducts[[#Headers],[Include or Exclude]], 0,4)</f>
        <v/>
      </c>
      <c r="R128" s="137" t="str" cm="1">
        <f t="array" ref="R128">Common_InputFunctions.Utility_DisplayArrayInTable(Fertiliser_SourceData.Fertiliser_Products_Data1(),FertiliserProducts[[#Headers],[Include or Exclude]], 0,4)</f>
        <v/>
      </c>
      <c r="S128" s="137" t="str" cm="1">
        <f t="array" ref="S128">Common_InputFunctions.Utility_DisplayArrayInTable(Fertiliser_SourceData.Fertiliser_Products_Data1(),FertiliserProducts[[#Headers],[Include or Exclude]], 0,4)</f>
        <v/>
      </c>
      <c r="T128" s="137" t="str" cm="1">
        <f t="array" ref="T128">Common_InputFunctions.Utility_DisplayArrayInTable(Fertiliser_SourceData.Fertiliser_Products_Data1(),FertiliserProducts[[#Headers],[Include or Exclude]], 0,4)</f>
        <v/>
      </c>
      <c r="U128" s="137" t="str" cm="1">
        <f t="array" ref="U128">Common_InputFunctions.Utility_DisplayArrayInTable(Fertiliser_SourceData.Fertiliser_Products_Data1(),FertiliserProducts[[#Headers],[Include or Exclude]], 0,4)</f>
        <v/>
      </c>
      <c r="V128" s="137" t="str" cm="1">
        <f t="array" ref="V128">Common_InputFunctions.Utility_DisplayArrayInTable(Fertiliser_SourceData.Fertiliser_Products_Data1(),FertiliserProducts[[#Headers],[Include or Exclude]], 0,4)</f>
        <v/>
      </c>
      <c r="W128" s="137" t="str" cm="1">
        <f t="array" ref="W128">Common_InputFunctions.Utility_DisplayArrayInTable(Fertiliser_SourceData.Fertiliser_Products_Data1(),FertiliserProducts[[#Headers],[Include or Exclude]], 0,4)</f>
        <v/>
      </c>
      <c r="X128" s="137" t="str" cm="1">
        <f t="array" ref="X128">Common_InputFunctions.Utility_DisplayArrayInTable(Fertiliser_SourceData.Fertiliser_Products_Data1(),FertiliserProducts[[#Headers],[Include or Exclude]], 0,4)</f>
        <v/>
      </c>
      <c r="Y128" s="137" t="str" cm="1">
        <f t="array" ref="Y128">Common_InputFunctions.Utility_DisplayArrayInTable(Fertiliser_SourceData.Fertiliser_Products_Data1(),FertiliserProducts[[#Headers],[Include or Exclude]], 0,4)</f>
        <v/>
      </c>
      <c r="Z128" s="137" t="str" cm="1">
        <f t="array" ref="Z128">Common_InputFunctions.Utility_DisplayArrayInTable(Fertiliser_SourceData.Fertiliser_Products_Data1(),FertiliserProducts[[#Headers],[Include or Exclude]], 0,4)</f>
        <v/>
      </c>
      <c r="AA128" s="137" t="str" cm="1">
        <f t="array" ref="AA128">Common_InputFunctions.Utility_DisplayArrayInTable(Fertiliser_SourceData.Fertiliser_Products_Data1(),FertiliserProducts[[#Headers],[Include or Exclude]], 0,4)</f>
        <v/>
      </c>
      <c r="AB128" s="137" t="str" cm="1">
        <f t="array" ref="AB128">Common_InputFunctions.Utility_DisplayArrayInTable(Fertiliser_SourceData.Fertiliser_Products_Data1(),FertiliserProducts[[#Headers],[Include or Exclude]], 0,4)</f>
        <v/>
      </c>
      <c r="AC128" s="137" t="str" cm="1">
        <f t="array" ref="AC128">Common_InputFunctions.Utility_DisplayArrayInTable(Fertiliser_SourceData.Fertiliser_Products_Data1(),FertiliserProducts[[#Headers],[Include or Exclude]], 0,4)</f>
        <v/>
      </c>
      <c r="AD128" s="137" t="str" cm="1">
        <f t="array" ref="AD128">Common_InputFunctions.Utility_DisplayArrayInTable(Fertiliser_SourceData.Fertiliser_Products_Data1(),FertiliserProducts[[#Headers],[Include or Exclude]], 0,4)</f>
        <v/>
      </c>
      <c r="AE128" s="137" t="str" cm="1">
        <f t="array" ref="AE128">Common_InputFunctions.Utility_DisplayArrayInTable(Fertiliser_SourceData.Fertiliser_Products_Data1(),FertiliserProducts[[#Headers],[Include or Exclude]], 0,4)</f>
        <v/>
      </c>
    </row>
    <row r="129" spans="4:31" ht="20.100000000000001" customHeight="1" x14ac:dyDescent="0.25">
      <c r="D129" s="137" t="str" cm="1">
        <f t="array" ref="D129">Common_InputFunctions.Utility_DisplayArrayInTable(Fertiliser_SourceData.Fertiliser_Products_Data1(),FertiliserProducts[[#Headers],[Include or Exclude]], -1)</f>
        <v/>
      </c>
      <c r="E129" s="137" t="str" cm="1">
        <f t="array" ref="E129">Common_InputFunctions.Utility_DisplayArrayInTable(Fertiliser_SourceData.Fertiliser_Products_Data1(),FertiliserProducts[[#Headers],[Include or Exclude]], 0)</f>
        <v/>
      </c>
      <c r="F129" s="137" t="str" cm="1">
        <f t="array" ref="F129">Common_InputFunctions.Utility_DisplayArrayInTable(Fertiliser_SourceData.Fertiliser_Products_Data1(),FertiliserProducts[[#Headers],[Include or Exclude]], 0)</f>
        <v/>
      </c>
      <c r="G129" s="137" t="str" cm="1">
        <f t="array" ref="G129">Common_InputFunctions.Utility_DisplayArrayInTable(Fertiliser_SourceData.Fertiliser_Products_Data1(),FertiliserProducts[[#Headers],[Include or Exclude]], 0)</f>
        <v/>
      </c>
      <c r="H129" s="137" t="str" cm="1">
        <f t="array" ref="H129">Common_InputFunctions.Utility_DisplayArrayInTable(Fertiliser_SourceData.Fertiliser_Products_Data1(),FertiliserProducts[[#Headers],[Include or Exclude]], 0,4)</f>
        <v/>
      </c>
      <c r="I129" s="137" t="str" cm="1">
        <f t="array" ref="I129">Common_InputFunctions.Utility_DisplayArrayInTable(Fertiliser_SourceData.Fertiliser_Products_Data1(),FertiliserProducts[[#Headers],[Include or Exclude]], 0,4)</f>
        <v/>
      </c>
      <c r="J129" s="137" t="str" cm="1">
        <f t="array" ref="J129">Common_InputFunctions.Utility_DisplayArrayInTable(Fertiliser_SourceData.Fertiliser_Products_Data1(),FertiliserProducts[[#Headers],[Include or Exclude]], 0,4)</f>
        <v/>
      </c>
      <c r="K129" s="137" t="str" cm="1">
        <f t="array" ref="K129">Common_InputFunctions.Utility_DisplayArrayInTable(Fertiliser_SourceData.Fertiliser_Products_Data1(),FertiliserProducts[[#Headers],[Include or Exclude]], 0,4)</f>
        <v/>
      </c>
      <c r="L129" s="137" t="str" cm="1">
        <f t="array" ref="L129">Common_InputFunctions.Utility_DisplayArrayInTable(Fertiliser_SourceData.Fertiliser_Products_Data1(),FertiliserProducts[[#Headers],[Include or Exclude]], 0,4)</f>
        <v/>
      </c>
      <c r="M129" s="137" t="str" cm="1">
        <f t="array" ref="M129">Common_InputFunctions.Utility_DisplayArrayInTable(Fertiliser_SourceData.Fertiliser_Products_Data1(),FertiliserProducts[[#Headers],[Include or Exclude]], 0,4)</f>
        <v/>
      </c>
      <c r="N129" s="137" t="str" cm="1">
        <f t="array" ref="N129">Common_InputFunctions.Utility_DisplayArrayInTable(Fertiliser_SourceData.Fertiliser_Products_Data1(),FertiliserProducts[[#Headers],[Include or Exclude]], 0,4)</f>
        <v/>
      </c>
      <c r="O129" s="137" t="str" cm="1">
        <f t="array" ref="O129">Common_InputFunctions.Utility_DisplayArrayInTable(Fertiliser_SourceData.Fertiliser_Products_Data1(),FertiliserProducts[[#Headers],[Include or Exclude]], 0,4)</f>
        <v/>
      </c>
      <c r="P129" s="137" t="str" cm="1">
        <f t="array" ref="P129">Common_InputFunctions.Utility_DisplayArrayInTable(Fertiliser_SourceData.Fertiliser_Products_Data1(),FertiliserProducts[[#Headers],[Include or Exclude]], 0,4)</f>
        <v/>
      </c>
      <c r="Q129" s="137" t="str" cm="1">
        <f t="array" ref="Q129">Common_InputFunctions.Utility_DisplayArrayInTable(Fertiliser_SourceData.Fertiliser_Products_Data1(),FertiliserProducts[[#Headers],[Include or Exclude]], 0,4)</f>
        <v/>
      </c>
      <c r="R129" s="137" t="str" cm="1">
        <f t="array" ref="R129">Common_InputFunctions.Utility_DisplayArrayInTable(Fertiliser_SourceData.Fertiliser_Products_Data1(),FertiliserProducts[[#Headers],[Include or Exclude]], 0,4)</f>
        <v/>
      </c>
      <c r="S129" s="137" t="str" cm="1">
        <f t="array" ref="S129">Common_InputFunctions.Utility_DisplayArrayInTable(Fertiliser_SourceData.Fertiliser_Products_Data1(),FertiliserProducts[[#Headers],[Include or Exclude]], 0,4)</f>
        <v/>
      </c>
      <c r="T129" s="137" t="str" cm="1">
        <f t="array" ref="T129">Common_InputFunctions.Utility_DisplayArrayInTable(Fertiliser_SourceData.Fertiliser_Products_Data1(),FertiliserProducts[[#Headers],[Include or Exclude]], 0,4)</f>
        <v/>
      </c>
      <c r="U129" s="137" t="str" cm="1">
        <f t="array" ref="U129">Common_InputFunctions.Utility_DisplayArrayInTable(Fertiliser_SourceData.Fertiliser_Products_Data1(),FertiliserProducts[[#Headers],[Include or Exclude]], 0,4)</f>
        <v/>
      </c>
      <c r="V129" s="137" t="str" cm="1">
        <f t="array" ref="V129">Common_InputFunctions.Utility_DisplayArrayInTable(Fertiliser_SourceData.Fertiliser_Products_Data1(),FertiliserProducts[[#Headers],[Include or Exclude]], 0,4)</f>
        <v/>
      </c>
      <c r="W129" s="137" t="str" cm="1">
        <f t="array" ref="W129">Common_InputFunctions.Utility_DisplayArrayInTable(Fertiliser_SourceData.Fertiliser_Products_Data1(),FertiliserProducts[[#Headers],[Include or Exclude]], 0,4)</f>
        <v/>
      </c>
      <c r="X129" s="137" t="str" cm="1">
        <f t="array" ref="X129">Common_InputFunctions.Utility_DisplayArrayInTable(Fertiliser_SourceData.Fertiliser_Products_Data1(),FertiliserProducts[[#Headers],[Include or Exclude]], 0,4)</f>
        <v/>
      </c>
      <c r="Y129" s="137" t="str" cm="1">
        <f t="array" ref="Y129">Common_InputFunctions.Utility_DisplayArrayInTable(Fertiliser_SourceData.Fertiliser_Products_Data1(),FertiliserProducts[[#Headers],[Include or Exclude]], 0,4)</f>
        <v/>
      </c>
      <c r="Z129" s="137" t="str" cm="1">
        <f t="array" ref="Z129">Common_InputFunctions.Utility_DisplayArrayInTable(Fertiliser_SourceData.Fertiliser_Products_Data1(),FertiliserProducts[[#Headers],[Include or Exclude]], 0,4)</f>
        <v/>
      </c>
      <c r="AA129" s="137" t="str" cm="1">
        <f t="array" ref="AA129">Common_InputFunctions.Utility_DisplayArrayInTable(Fertiliser_SourceData.Fertiliser_Products_Data1(),FertiliserProducts[[#Headers],[Include or Exclude]], 0,4)</f>
        <v/>
      </c>
      <c r="AB129" s="137" t="str" cm="1">
        <f t="array" ref="AB129">Common_InputFunctions.Utility_DisplayArrayInTable(Fertiliser_SourceData.Fertiliser_Products_Data1(),FertiliserProducts[[#Headers],[Include or Exclude]], 0,4)</f>
        <v/>
      </c>
      <c r="AC129" s="137" t="str" cm="1">
        <f t="array" ref="AC129">Common_InputFunctions.Utility_DisplayArrayInTable(Fertiliser_SourceData.Fertiliser_Products_Data1(),FertiliserProducts[[#Headers],[Include or Exclude]], 0,4)</f>
        <v/>
      </c>
      <c r="AD129" s="137" t="str" cm="1">
        <f t="array" ref="AD129">Common_InputFunctions.Utility_DisplayArrayInTable(Fertiliser_SourceData.Fertiliser_Products_Data1(),FertiliserProducts[[#Headers],[Include or Exclude]], 0,4)</f>
        <v/>
      </c>
      <c r="AE129" s="137" t="str" cm="1">
        <f t="array" ref="AE129">Common_InputFunctions.Utility_DisplayArrayInTable(Fertiliser_SourceData.Fertiliser_Products_Data1(),FertiliserProducts[[#Headers],[Include or Exclude]], 0,4)</f>
        <v/>
      </c>
    </row>
    <row r="130" spans="4:31" ht="20.100000000000001" customHeight="1" x14ac:dyDescent="0.25">
      <c r="D130" s="137" t="str" cm="1">
        <f t="array" ref="D130">Common_InputFunctions.Utility_DisplayArrayInTable(Fertiliser_SourceData.Fertiliser_Products_Data1(),FertiliserProducts[[#Headers],[Include or Exclude]], -1)</f>
        <v/>
      </c>
      <c r="E130" s="137" t="str" cm="1">
        <f t="array" ref="E130">Common_InputFunctions.Utility_DisplayArrayInTable(Fertiliser_SourceData.Fertiliser_Products_Data1(),FertiliserProducts[[#Headers],[Include or Exclude]], 0)</f>
        <v/>
      </c>
      <c r="F130" s="137" t="str" cm="1">
        <f t="array" ref="F130">Common_InputFunctions.Utility_DisplayArrayInTable(Fertiliser_SourceData.Fertiliser_Products_Data1(),FertiliserProducts[[#Headers],[Include or Exclude]], 0)</f>
        <v/>
      </c>
      <c r="G130" s="137" t="str" cm="1">
        <f t="array" ref="G130">Common_InputFunctions.Utility_DisplayArrayInTable(Fertiliser_SourceData.Fertiliser_Products_Data1(),FertiliserProducts[[#Headers],[Include or Exclude]], 0)</f>
        <v/>
      </c>
      <c r="H130" s="137" t="str" cm="1">
        <f t="array" ref="H130">Common_InputFunctions.Utility_DisplayArrayInTable(Fertiliser_SourceData.Fertiliser_Products_Data1(),FertiliserProducts[[#Headers],[Include or Exclude]], 0,4)</f>
        <v/>
      </c>
      <c r="I130" s="137" t="str" cm="1">
        <f t="array" ref="I130">Common_InputFunctions.Utility_DisplayArrayInTable(Fertiliser_SourceData.Fertiliser_Products_Data1(),FertiliserProducts[[#Headers],[Include or Exclude]], 0,4)</f>
        <v/>
      </c>
      <c r="J130" s="137" t="str" cm="1">
        <f t="array" ref="J130">Common_InputFunctions.Utility_DisplayArrayInTable(Fertiliser_SourceData.Fertiliser_Products_Data1(),FertiliserProducts[[#Headers],[Include or Exclude]], 0,4)</f>
        <v/>
      </c>
      <c r="K130" s="137" t="str" cm="1">
        <f t="array" ref="K130">Common_InputFunctions.Utility_DisplayArrayInTable(Fertiliser_SourceData.Fertiliser_Products_Data1(),FertiliserProducts[[#Headers],[Include or Exclude]], 0,4)</f>
        <v/>
      </c>
      <c r="L130" s="137" t="str" cm="1">
        <f t="array" ref="L130">Common_InputFunctions.Utility_DisplayArrayInTable(Fertiliser_SourceData.Fertiliser_Products_Data1(),FertiliserProducts[[#Headers],[Include or Exclude]], 0,4)</f>
        <v/>
      </c>
      <c r="M130" s="137" t="str" cm="1">
        <f t="array" ref="M130">Common_InputFunctions.Utility_DisplayArrayInTable(Fertiliser_SourceData.Fertiliser_Products_Data1(),FertiliserProducts[[#Headers],[Include or Exclude]], 0,4)</f>
        <v/>
      </c>
      <c r="N130" s="137" t="str" cm="1">
        <f t="array" ref="N130">Common_InputFunctions.Utility_DisplayArrayInTable(Fertiliser_SourceData.Fertiliser_Products_Data1(),FertiliserProducts[[#Headers],[Include or Exclude]], 0,4)</f>
        <v/>
      </c>
      <c r="O130" s="137" t="str" cm="1">
        <f t="array" ref="O130">Common_InputFunctions.Utility_DisplayArrayInTable(Fertiliser_SourceData.Fertiliser_Products_Data1(),FertiliserProducts[[#Headers],[Include or Exclude]], 0,4)</f>
        <v/>
      </c>
      <c r="P130" s="137" t="str" cm="1">
        <f t="array" ref="P130">Common_InputFunctions.Utility_DisplayArrayInTable(Fertiliser_SourceData.Fertiliser_Products_Data1(),FertiliserProducts[[#Headers],[Include or Exclude]], 0,4)</f>
        <v/>
      </c>
      <c r="Q130" s="137" t="str" cm="1">
        <f t="array" ref="Q130">Common_InputFunctions.Utility_DisplayArrayInTable(Fertiliser_SourceData.Fertiliser_Products_Data1(),FertiliserProducts[[#Headers],[Include or Exclude]], 0,4)</f>
        <v/>
      </c>
      <c r="R130" s="137" t="str" cm="1">
        <f t="array" ref="R130">Common_InputFunctions.Utility_DisplayArrayInTable(Fertiliser_SourceData.Fertiliser_Products_Data1(),FertiliserProducts[[#Headers],[Include or Exclude]], 0,4)</f>
        <v/>
      </c>
      <c r="S130" s="137" t="str" cm="1">
        <f t="array" ref="S130">Common_InputFunctions.Utility_DisplayArrayInTable(Fertiliser_SourceData.Fertiliser_Products_Data1(),FertiliserProducts[[#Headers],[Include or Exclude]], 0,4)</f>
        <v/>
      </c>
      <c r="T130" s="137" t="str" cm="1">
        <f t="array" ref="T130">Common_InputFunctions.Utility_DisplayArrayInTable(Fertiliser_SourceData.Fertiliser_Products_Data1(),FertiliserProducts[[#Headers],[Include or Exclude]], 0,4)</f>
        <v/>
      </c>
      <c r="U130" s="137" t="str" cm="1">
        <f t="array" ref="U130">Common_InputFunctions.Utility_DisplayArrayInTable(Fertiliser_SourceData.Fertiliser_Products_Data1(),FertiliserProducts[[#Headers],[Include or Exclude]], 0,4)</f>
        <v/>
      </c>
      <c r="V130" s="137" t="str" cm="1">
        <f t="array" ref="V130">Common_InputFunctions.Utility_DisplayArrayInTable(Fertiliser_SourceData.Fertiliser_Products_Data1(),FertiliserProducts[[#Headers],[Include or Exclude]], 0,4)</f>
        <v/>
      </c>
      <c r="W130" s="137" t="str" cm="1">
        <f t="array" ref="W130">Common_InputFunctions.Utility_DisplayArrayInTable(Fertiliser_SourceData.Fertiliser_Products_Data1(),FertiliserProducts[[#Headers],[Include or Exclude]], 0,4)</f>
        <v/>
      </c>
      <c r="X130" s="137" t="str" cm="1">
        <f t="array" ref="X130">Common_InputFunctions.Utility_DisplayArrayInTable(Fertiliser_SourceData.Fertiliser_Products_Data1(),FertiliserProducts[[#Headers],[Include or Exclude]], 0,4)</f>
        <v/>
      </c>
      <c r="Y130" s="137" t="str" cm="1">
        <f t="array" ref="Y130">Common_InputFunctions.Utility_DisplayArrayInTable(Fertiliser_SourceData.Fertiliser_Products_Data1(),FertiliserProducts[[#Headers],[Include or Exclude]], 0,4)</f>
        <v/>
      </c>
      <c r="Z130" s="137" t="str" cm="1">
        <f t="array" ref="Z130">Common_InputFunctions.Utility_DisplayArrayInTable(Fertiliser_SourceData.Fertiliser_Products_Data1(),FertiliserProducts[[#Headers],[Include or Exclude]], 0,4)</f>
        <v/>
      </c>
      <c r="AA130" s="137" t="str" cm="1">
        <f t="array" ref="AA130">Common_InputFunctions.Utility_DisplayArrayInTable(Fertiliser_SourceData.Fertiliser_Products_Data1(),FertiliserProducts[[#Headers],[Include or Exclude]], 0,4)</f>
        <v/>
      </c>
      <c r="AB130" s="137" t="str" cm="1">
        <f t="array" ref="AB130">Common_InputFunctions.Utility_DisplayArrayInTable(Fertiliser_SourceData.Fertiliser_Products_Data1(),FertiliserProducts[[#Headers],[Include or Exclude]], 0,4)</f>
        <v/>
      </c>
      <c r="AC130" s="137" t="str" cm="1">
        <f t="array" ref="AC130">Common_InputFunctions.Utility_DisplayArrayInTable(Fertiliser_SourceData.Fertiliser_Products_Data1(),FertiliserProducts[[#Headers],[Include or Exclude]], 0,4)</f>
        <v/>
      </c>
      <c r="AD130" s="137" t="str" cm="1">
        <f t="array" ref="AD130">Common_InputFunctions.Utility_DisplayArrayInTable(Fertiliser_SourceData.Fertiliser_Products_Data1(),FertiliserProducts[[#Headers],[Include or Exclude]], 0,4)</f>
        <v/>
      </c>
      <c r="AE130" s="137" t="str" cm="1">
        <f t="array" ref="AE130">Common_InputFunctions.Utility_DisplayArrayInTable(Fertiliser_SourceData.Fertiliser_Products_Data1(),FertiliserProducts[[#Headers],[Include or Exclude]], 0,4)</f>
        <v/>
      </c>
    </row>
    <row r="131" spans="4:31" ht="20.100000000000001" customHeight="1" x14ac:dyDescent="0.25">
      <c r="D131" s="137" t="str" cm="1">
        <f t="array" ref="D131">Common_InputFunctions.Utility_DisplayArrayInTable(Fertiliser_SourceData.Fertiliser_Products_Data1(),FertiliserProducts[[#Headers],[Include or Exclude]], -1)</f>
        <v/>
      </c>
      <c r="E131" s="137" t="str" cm="1">
        <f t="array" ref="E131">Common_InputFunctions.Utility_DisplayArrayInTable(Fertiliser_SourceData.Fertiliser_Products_Data1(),FertiliserProducts[[#Headers],[Include or Exclude]], 0)</f>
        <v/>
      </c>
      <c r="F131" s="137" t="str" cm="1">
        <f t="array" ref="F131">Common_InputFunctions.Utility_DisplayArrayInTable(Fertiliser_SourceData.Fertiliser_Products_Data1(),FertiliserProducts[[#Headers],[Include or Exclude]], 0)</f>
        <v/>
      </c>
      <c r="G131" s="137" t="str" cm="1">
        <f t="array" ref="G131">Common_InputFunctions.Utility_DisplayArrayInTable(Fertiliser_SourceData.Fertiliser_Products_Data1(),FertiliserProducts[[#Headers],[Include or Exclude]], 0)</f>
        <v/>
      </c>
      <c r="H131" s="137" t="str" cm="1">
        <f t="array" ref="H131">Common_InputFunctions.Utility_DisplayArrayInTable(Fertiliser_SourceData.Fertiliser_Products_Data1(),FertiliserProducts[[#Headers],[Include or Exclude]], 0,4)</f>
        <v/>
      </c>
      <c r="I131" s="137" t="str" cm="1">
        <f t="array" ref="I131">Common_InputFunctions.Utility_DisplayArrayInTable(Fertiliser_SourceData.Fertiliser_Products_Data1(),FertiliserProducts[[#Headers],[Include or Exclude]], 0,4)</f>
        <v/>
      </c>
      <c r="J131" s="137" t="str" cm="1">
        <f t="array" ref="J131">Common_InputFunctions.Utility_DisplayArrayInTable(Fertiliser_SourceData.Fertiliser_Products_Data1(),FertiliserProducts[[#Headers],[Include or Exclude]], 0,4)</f>
        <v/>
      </c>
      <c r="K131" s="137" t="str" cm="1">
        <f t="array" ref="K131">Common_InputFunctions.Utility_DisplayArrayInTable(Fertiliser_SourceData.Fertiliser_Products_Data1(),FertiliserProducts[[#Headers],[Include or Exclude]], 0,4)</f>
        <v/>
      </c>
      <c r="L131" s="137" t="str" cm="1">
        <f t="array" ref="L131">Common_InputFunctions.Utility_DisplayArrayInTable(Fertiliser_SourceData.Fertiliser_Products_Data1(),FertiliserProducts[[#Headers],[Include or Exclude]], 0,4)</f>
        <v/>
      </c>
      <c r="M131" s="137" t="str" cm="1">
        <f t="array" ref="M131">Common_InputFunctions.Utility_DisplayArrayInTable(Fertiliser_SourceData.Fertiliser_Products_Data1(),FertiliserProducts[[#Headers],[Include or Exclude]], 0,4)</f>
        <v/>
      </c>
      <c r="N131" s="137" t="str" cm="1">
        <f t="array" ref="N131">Common_InputFunctions.Utility_DisplayArrayInTable(Fertiliser_SourceData.Fertiliser_Products_Data1(),FertiliserProducts[[#Headers],[Include or Exclude]], 0,4)</f>
        <v/>
      </c>
      <c r="O131" s="137" t="str" cm="1">
        <f t="array" ref="O131">Common_InputFunctions.Utility_DisplayArrayInTable(Fertiliser_SourceData.Fertiliser_Products_Data1(),FertiliserProducts[[#Headers],[Include or Exclude]], 0,4)</f>
        <v/>
      </c>
      <c r="P131" s="137" t="str" cm="1">
        <f t="array" ref="P131">Common_InputFunctions.Utility_DisplayArrayInTable(Fertiliser_SourceData.Fertiliser_Products_Data1(),FertiliserProducts[[#Headers],[Include or Exclude]], 0,4)</f>
        <v/>
      </c>
      <c r="Q131" s="137" t="str" cm="1">
        <f t="array" ref="Q131">Common_InputFunctions.Utility_DisplayArrayInTable(Fertiliser_SourceData.Fertiliser_Products_Data1(),FertiliserProducts[[#Headers],[Include or Exclude]], 0,4)</f>
        <v/>
      </c>
      <c r="R131" s="137" t="str" cm="1">
        <f t="array" ref="R131">Common_InputFunctions.Utility_DisplayArrayInTable(Fertiliser_SourceData.Fertiliser_Products_Data1(),FertiliserProducts[[#Headers],[Include or Exclude]], 0,4)</f>
        <v/>
      </c>
      <c r="S131" s="137" t="str" cm="1">
        <f t="array" ref="S131">Common_InputFunctions.Utility_DisplayArrayInTable(Fertiliser_SourceData.Fertiliser_Products_Data1(),FertiliserProducts[[#Headers],[Include or Exclude]], 0,4)</f>
        <v/>
      </c>
      <c r="T131" s="137" t="str" cm="1">
        <f t="array" ref="T131">Common_InputFunctions.Utility_DisplayArrayInTable(Fertiliser_SourceData.Fertiliser_Products_Data1(),FertiliserProducts[[#Headers],[Include or Exclude]], 0,4)</f>
        <v/>
      </c>
      <c r="U131" s="137" t="str" cm="1">
        <f t="array" ref="U131">Common_InputFunctions.Utility_DisplayArrayInTable(Fertiliser_SourceData.Fertiliser_Products_Data1(),FertiliserProducts[[#Headers],[Include or Exclude]], 0,4)</f>
        <v/>
      </c>
      <c r="V131" s="137" t="str" cm="1">
        <f t="array" ref="V131">Common_InputFunctions.Utility_DisplayArrayInTable(Fertiliser_SourceData.Fertiliser_Products_Data1(),FertiliserProducts[[#Headers],[Include or Exclude]], 0,4)</f>
        <v/>
      </c>
      <c r="W131" s="137" t="str" cm="1">
        <f t="array" ref="W131">Common_InputFunctions.Utility_DisplayArrayInTable(Fertiliser_SourceData.Fertiliser_Products_Data1(),FertiliserProducts[[#Headers],[Include or Exclude]], 0,4)</f>
        <v/>
      </c>
      <c r="X131" s="137" t="str" cm="1">
        <f t="array" ref="X131">Common_InputFunctions.Utility_DisplayArrayInTable(Fertiliser_SourceData.Fertiliser_Products_Data1(),FertiliserProducts[[#Headers],[Include or Exclude]], 0,4)</f>
        <v/>
      </c>
      <c r="Y131" s="137" t="str" cm="1">
        <f t="array" ref="Y131">Common_InputFunctions.Utility_DisplayArrayInTable(Fertiliser_SourceData.Fertiliser_Products_Data1(),FertiliserProducts[[#Headers],[Include or Exclude]], 0,4)</f>
        <v/>
      </c>
      <c r="Z131" s="137" t="str" cm="1">
        <f t="array" ref="Z131">Common_InputFunctions.Utility_DisplayArrayInTable(Fertiliser_SourceData.Fertiliser_Products_Data1(),FertiliserProducts[[#Headers],[Include or Exclude]], 0,4)</f>
        <v/>
      </c>
      <c r="AA131" s="137" t="str" cm="1">
        <f t="array" ref="AA131">Common_InputFunctions.Utility_DisplayArrayInTable(Fertiliser_SourceData.Fertiliser_Products_Data1(),FertiliserProducts[[#Headers],[Include or Exclude]], 0,4)</f>
        <v/>
      </c>
      <c r="AB131" s="137" t="str" cm="1">
        <f t="array" ref="AB131">Common_InputFunctions.Utility_DisplayArrayInTable(Fertiliser_SourceData.Fertiliser_Products_Data1(),FertiliserProducts[[#Headers],[Include or Exclude]], 0,4)</f>
        <v/>
      </c>
      <c r="AC131" s="137" t="str" cm="1">
        <f t="array" ref="AC131">Common_InputFunctions.Utility_DisplayArrayInTable(Fertiliser_SourceData.Fertiliser_Products_Data1(),FertiliserProducts[[#Headers],[Include or Exclude]], 0,4)</f>
        <v/>
      </c>
      <c r="AD131" s="137" t="str" cm="1">
        <f t="array" ref="AD131">Common_InputFunctions.Utility_DisplayArrayInTable(Fertiliser_SourceData.Fertiliser_Products_Data1(),FertiliserProducts[[#Headers],[Include or Exclude]], 0,4)</f>
        <v/>
      </c>
      <c r="AE131" s="137" t="str" cm="1">
        <f t="array" ref="AE131">Common_InputFunctions.Utility_DisplayArrayInTable(Fertiliser_SourceData.Fertiliser_Products_Data1(),FertiliserProducts[[#Headers],[Include or Exclude]], 0,4)</f>
        <v/>
      </c>
    </row>
    <row r="132" spans="4:31" ht="20.100000000000001" customHeight="1" x14ac:dyDescent="0.25">
      <c r="D132" s="137" t="str" cm="1">
        <f t="array" ref="D132">Common_InputFunctions.Utility_DisplayArrayInTable(Fertiliser_SourceData.Fertiliser_Products_Data1(),FertiliserProducts[[#Headers],[Include or Exclude]], -1)</f>
        <v/>
      </c>
      <c r="E132" s="137" t="str" cm="1">
        <f t="array" ref="E132">Common_InputFunctions.Utility_DisplayArrayInTable(Fertiliser_SourceData.Fertiliser_Products_Data1(),FertiliserProducts[[#Headers],[Include or Exclude]], 0)</f>
        <v/>
      </c>
      <c r="F132" s="137" t="str" cm="1">
        <f t="array" ref="F132">Common_InputFunctions.Utility_DisplayArrayInTable(Fertiliser_SourceData.Fertiliser_Products_Data1(),FertiliserProducts[[#Headers],[Include or Exclude]], 0)</f>
        <v/>
      </c>
      <c r="G132" s="137" t="str" cm="1">
        <f t="array" ref="G132">Common_InputFunctions.Utility_DisplayArrayInTable(Fertiliser_SourceData.Fertiliser_Products_Data1(),FertiliserProducts[[#Headers],[Include or Exclude]], 0)</f>
        <v/>
      </c>
      <c r="H132" s="137" t="str" cm="1">
        <f t="array" ref="H132">Common_InputFunctions.Utility_DisplayArrayInTable(Fertiliser_SourceData.Fertiliser_Products_Data1(),FertiliserProducts[[#Headers],[Include or Exclude]], 0,4)</f>
        <v/>
      </c>
      <c r="I132" s="137" t="str" cm="1">
        <f t="array" ref="I132">Common_InputFunctions.Utility_DisplayArrayInTable(Fertiliser_SourceData.Fertiliser_Products_Data1(),FertiliserProducts[[#Headers],[Include or Exclude]], 0,4)</f>
        <v/>
      </c>
      <c r="J132" s="137" t="str" cm="1">
        <f t="array" ref="J132">Common_InputFunctions.Utility_DisplayArrayInTable(Fertiliser_SourceData.Fertiliser_Products_Data1(),FertiliserProducts[[#Headers],[Include or Exclude]], 0,4)</f>
        <v/>
      </c>
      <c r="K132" s="137" t="str" cm="1">
        <f t="array" ref="K132">Common_InputFunctions.Utility_DisplayArrayInTable(Fertiliser_SourceData.Fertiliser_Products_Data1(),FertiliserProducts[[#Headers],[Include or Exclude]], 0,4)</f>
        <v/>
      </c>
      <c r="L132" s="137" t="str" cm="1">
        <f t="array" ref="L132">Common_InputFunctions.Utility_DisplayArrayInTable(Fertiliser_SourceData.Fertiliser_Products_Data1(),FertiliserProducts[[#Headers],[Include or Exclude]], 0,4)</f>
        <v/>
      </c>
      <c r="M132" s="137" t="str" cm="1">
        <f t="array" ref="M132">Common_InputFunctions.Utility_DisplayArrayInTable(Fertiliser_SourceData.Fertiliser_Products_Data1(),FertiliserProducts[[#Headers],[Include or Exclude]], 0,4)</f>
        <v/>
      </c>
      <c r="N132" s="137" t="str" cm="1">
        <f t="array" ref="N132">Common_InputFunctions.Utility_DisplayArrayInTable(Fertiliser_SourceData.Fertiliser_Products_Data1(),FertiliserProducts[[#Headers],[Include or Exclude]], 0,4)</f>
        <v/>
      </c>
      <c r="O132" s="137" t="str" cm="1">
        <f t="array" ref="O132">Common_InputFunctions.Utility_DisplayArrayInTable(Fertiliser_SourceData.Fertiliser_Products_Data1(),FertiliserProducts[[#Headers],[Include or Exclude]], 0,4)</f>
        <v/>
      </c>
      <c r="P132" s="137" t="str" cm="1">
        <f t="array" ref="P132">Common_InputFunctions.Utility_DisplayArrayInTable(Fertiliser_SourceData.Fertiliser_Products_Data1(),FertiliserProducts[[#Headers],[Include or Exclude]], 0,4)</f>
        <v/>
      </c>
      <c r="Q132" s="137" t="str" cm="1">
        <f t="array" ref="Q132">Common_InputFunctions.Utility_DisplayArrayInTable(Fertiliser_SourceData.Fertiliser_Products_Data1(),FertiliserProducts[[#Headers],[Include or Exclude]], 0,4)</f>
        <v/>
      </c>
      <c r="R132" s="137" t="str" cm="1">
        <f t="array" ref="R132">Common_InputFunctions.Utility_DisplayArrayInTable(Fertiliser_SourceData.Fertiliser_Products_Data1(),FertiliserProducts[[#Headers],[Include or Exclude]], 0,4)</f>
        <v/>
      </c>
      <c r="S132" s="137" t="str" cm="1">
        <f t="array" ref="S132">Common_InputFunctions.Utility_DisplayArrayInTable(Fertiliser_SourceData.Fertiliser_Products_Data1(),FertiliserProducts[[#Headers],[Include or Exclude]], 0,4)</f>
        <v/>
      </c>
      <c r="T132" s="137" t="str" cm="1">
        <f t="array" ref="T132">Common_InputFunctions.Utility_DisplayArrayInTable(Fertiliser_SourceData.Fertiliser_Products_Data1(),FertiliserProducts[[#Headers],[Include or Exclude]], 0,4)</f>
        <v/>
      </c>
      <c r="U132" s="137" t="str" cm="1">
        <f t="array" ref="U132">Common_InputFunctions.Utility_DisplayArrayInTable(Fertiliser_SourceData.Fertiliser_Products_Data1(),FertiliserProducts[[#Headers],[Include or Exclude]], 0,4)</f>
        <v/>
      </c>
      <c r="V132" s="137" t="str" cm="1">
        <f t="array" ref="V132">Common_InputFunctions.Utility_DisplayArrayInTable(Fertiliser_SourceData.Fertiliser_Products_Data1(),FertiliserProducts[[#Headers],[Include or Exclude]], 0,4)</f>
        <v/>
      </c>
      <c r="W132" s="137" t="str" cm="1">
        <f t="array" ref="W132">Common_InputFunctions.Utility_DisplayArrayInTable(Fertiliser_SourceData.Fertiliser_Products_Data1(),FertiliserProducts[[#Headers],[Include or Exclude]], 0,4)</f>
        <v/>
      </c>
      <c r="X132" s="137" t="str" cm="1">
        <f t="array" ref="X132">Common_InputFunctions.Utility_DisplayArrayInTable(Fertiliser_SourceData.Fertiliser_Products_Data1(),FertiliserProducts[[#Headers],[Include or Exclude]], 0,4)</f>
        <v/>
      </c>
      <c r="Y132" s="137" t="str" cm="1">
        <f t="array" ref="Y132">Common_InputFunctions.Utility_DisplayArrayInTable(Fertiliser_SourceData.Fertiliser_Products_Data1(),FertiliserProducts[[#Headers],[Include or Exclude]], 0,4)</f>
        <v/>
      </c>
      <c r="Z132" s="137" t="str" cm="1">
        <f t="array" ref="Z132">Common_InputFunctions.Utility_DisplayArrayInTable(Fertiliser_SourceData.Fertiliser_Products_Data1(),FertiliserProducts[[#Headers],[Include or Exclude]], 0,4)</f>
        <v/>
      </c>
      <c r="AA132" s="137" t="str" cm="1">
        <f t="array" ref="AA132">Common_InputFunctions.Utility_DisplayArrayInTable(Fertiliser_SourceData.Fertiliser_Products_Data1(),FertiliserProducts[[#Headers],[Include or Exclude]], 0,4)</f>
        <v/>
      </c>
      <c r="AB132" s="137" t="str" cm="1">
        <f t="array" ref="AB132">Common_InputFunctions.Utility_DisplayArrayInTable(Fertiliser_SourceData.Fertiliser_Products_Data1(),FertiliserProducts[[#Headers],[Include or Exclude]], 0,4)</f>
        <v/>
      </c>
      <c r="AC132" s="137" t="str" cm="1">
        <f t="array" ref="AC132">Common_InputFunctions.Utility_DisplayArrayInTable(Fertiliser_SourceData.Fertiliser_Products_Data1(),FertiliserProducts[[#Headers],[Include or Exclude]], 0,4)</f>
        <v/>
      </c>
      <c r="AD132" s="137" t="str" cm="1">
        <f t="array" ref="AD132">Common_InputFunctions.Utility_DisplayArrayInTable(Fertiliser_SourceData.Fertiliser_Products_Data1(),FertiliserProducts[[#Headers],[Include or Exclude]], 0,4)</f>
        <v/>
      </c>
      <c r="AE132" s="137" t="str" cm="1">
        <f t="array" ref="AE132">Common_InputFunctions.Utility_DisplayArrayInTable(Fertiliser_SourceData.Fertiliser_Products_Data1(),FertiliserProducts[[#Headers],[Include or Exclude]], 0,4)</f>
        <v/>
      </c>
    </row>
    <row r="133" spans="4:31" ht="20.100000000000001" customHeight="1" x14ac:dyDescent="0.25">
      <c r="D133" s="137" t="str" cm="1">
        <f t="array" ref="D133">Common_InputFunctions.Utility_DisplayArrayInTable(Fertiliser_SourceData.Fertiliser_Products_Data1(),FertiliserProducts[[#Headers],[Include or Exclude]], -1)</f>
        <v/>
      </c>
      <c r="E133" s="137" t="str" cm="1">
        <f t="array" ref="E133">Common_InputFunctions.Utility_DisplayArrayInTable(Fertiliser_SourceData.Fertiliser_Products_Data1(),FertiliserProducts[[#Headers],[Include or Exclude]], 0)</f>
        <v/>
      </c>
      <c r="F133" s="137" t="str" cm="1">
        <f t="array" ref="F133">Common_InputFunctions.Utility_DisplayArrayInTable(Fertiliser_SourceData.Fertiliser_Products_Data1(),FertiliserProducts[[#Headers],[Include or Exclude]], 0)</f>
        <v/>
      </c>
      <c r="G133" s="137" t="str" cm="1">
        <f t="array" ref="G133">Common_InputFunctions.Utility_DisplayArrayInTable(Fertiliser_SourceData.Fertiliser_Products_Data1(),FertiliserProducts[[#Headers],[Include or Exclude]], 0)</f>
        <v/>
      </c>
      <c r="H133" s="137" t="str" cm="1">
        <f t="array" ref="H133">Common_InputFunctions.Utility_DisplayArrayInTable(Fertiliser_SourceData.Fertiliser_Products_Data1(),FertiliserProducts[[#Headers],[Include or Exclude]], 0,4)</f>
        <v/>
      </c>
      <c r="I133" s="137" t="str" cm="1">
        <f t="array" ref="I133">Common_InputFunctions.Utility_DisplayArrayInTable(Fertiliser_SourceData.Fertiliser_Products_Data1(),FertiliserProducts[[#Headers],[Include or Exclude]], 0,4)</f>
        <v/>
      </c>
      <c r="J133" s="137" t="str" cm="1">
        <f t="array" ref="J133">Common_InputFunctions.Utility_DisplayArrayInTable(Fertiliser_SourceData.Fertiliser_Products_Data1(),FertiliserProducts[[#Headers],[Include or Exclude]], 0,4)</f>
        <v/>
      </c>
      <c r="K133" s="137" t="str" cm="1">
        <f t="array" ref="K133">Common_InputFunctions.Utility_DisplayArrayInTable(Fertiliser_SourceData.Fertiliser_Products_Data1(),FertiliserProducts[[#Headers],[Include or Exclude]], 0,4)</f>
        <v/>
      </c>
      <c r="L133" s="137" t="str" cm="1">
        <f t="array" ref="L133">Common_InputFunctions.Utility_DisplayArrayInTable(Fertiliser_SourceData.Fertiliser_Products_Data1(),FertiliserProducts[[#Headers],[Include or Exclude]], 0,4)</f>
        <v/>
      </c>
      <c r="M133" s="137" t="str" cm="1">
        <f t="array" ref="M133">Common_InputFunctions.Utility_DisplayArrayInTable(Fertiliser_SourceData.Fertiliser_Products_Data1(),FertiliserProducts[[#Headers],[Include or Exclude]], 0,4)</f>
        <v/>
      </c>
      <c r="N133" s="137" t="str" cm="1">
        <f t="array" ref="N133">Common_InputFunctions.Utility_DisplayArrayInTable(Fertiliser_SourceData.Fertiliser_Products_Data1(),FertiliserProducts[[#Headers],[Include or Exclude]], 0,4)</f>
        <v/>
      </c>
      <c r="O133" s="137" t="str" cm="1">
        <f t="array" ref="O133">Common_InputFunctions.Utility_DisplayArrayInTable(Fertiliser_SourceData.Fertiliser_Products_Data1(),FertiliserProducts[[#Headers],[Include or Exclude]], 0,4)</f>
        <v/>
      </c>
      <c r="P133" s="137" t="str" cm="1">
        <f t="array" ref="P133">Common_InputFunctions.Utility_DisplayArrayInTable(Fertiliser_SourceData.Fertiliser_Products_Data1(),FertiliserProducts[[#Headers],[Include or Exclude]], 0,4)</f>
        <v/>
      </c>
      <c r="Q133" s="137" t="str" cm="1">
        <f t="array" ref="Q133">Common_InputFunctions.Utility_DisplayArrayInTable(Fertiliser_SourceData.Fertiliser_Products_Data1(),FertiliserProducts[[#Headers],[Include or Exclude]], 0,4)</f>
        <v/>
      </c>
      <c r="R133" s="137" t="str" cm="1">
        <f t="array" ref="R133">Common_InputFunctions.Utility_DisplayArrayInTable(Fertiliser_SourceData.Fertiliser_Products_Data1(),FertiliserProducts[[#Headers],[Include or Exclude]], 0,4)</f>
        <v/>
      </c>
      <c r="S133" s="137" t="str" cm="1">
        <f t="array" ref="S133">Common_InputFunctions.Utility_DisplayArrayInTable(Fertiliser_SourceData.Fertiliser_Products_Data1(),FertiliserProducts[[#Headers],[Include or Exclude]], 0,4)</f>
        <v/>
      </c>
      <c r="T133" s="137" t="str" cm="1">
        <f t="array" ref="T133">Common_InputFunctions.Utility_DisplayArrayInTable(Fertiliser_SourceData.Fertiliser_Products_Data1(),FertiliserProducts[[#Headers],[Include or Exclude]], 0,4)</f>
        <v/>
      </c>
      <c r="U133" s="137" t="str" cm="1">
        <f t="array" ref="U133">Common_InputFunctions.Utility_DisplayArrayInTable(Fertiliser_SourceData.Fertiliser_Products_Data1(),FertiliserProducts[[#Headers],[Include or Exclude]], 0,4)</f>
        <v/>
      </c>
      <c r="V133" s="137" t="str" cm="1">
        <f t="array" ref="V133">Common_InputFunctions.Utility_DisplayArrayInTable(Fertiliser_SourceData.Fertiliser_Products_Data1(),FertiliserProducts[[#Headers],[Include or Exclude]], 0,4)</f>
        <v/>
      </c>
      <c r="W133" s="137" t="str" cm="1">
        <f t="array" ref="W133">Common_InputFunctions.Utility_DisplayArrayInTable(Fertiliser_SourceData.Fertiliser_Products_Data1(),FertiliserProducts[[#Headers],[Include or Exclude]], 0,4)</f>
        <v/>
      </c>
      <c r="X133" s="137" t="str" cm="1">
        <f t="array" ref="X133">Common_InputFunctions.Utility_DisplayArrayInTable(Fertiliser_SourceData.Fertiliser_Products_Data1(),FertiliserProducts[[#Headers],[Include or Exclude]], 0,4)</f>
        <v/>
      </c>
      <c r="Y133" s="137" t="str" cm="1">
        <f t="array" ref="Y133">Common_InputFunctions.Utility_DisplayArrayInTable(Fertiliser_SourceData.Fertiliser_Products_Data1(),FertiliserProducts[[#Headers],[Include or Exclude]], 0,4)</f>
        <v/>
      </c>
      <c r="Z133" s="137" t="str" cm="1">
        <f t="array" ref="Z133">Common_InputFunctions.Utility_DisplayArrayInTable(Fertiliser_SourceData.Fertiliser_Products_Data1(),FertiliserProducts[[#Headers],[Include or Exclude]], 0,4)</f>
        <v/>
      </c>
      <c r="AA133" s="137" t="str" cm="1">
        <f t="array" ref="AA133">Common_InputFunctions.Utility_DisplayArrayInTable(Fertiliser_SourceData.Fertiliser_Products_Data1(),FertiliserProducts[[#Headers],[Include or Exclude]], 0,4)</f>
        <v/>
      </c>
      <c r="AB133" s="137" t="str" cm="1">
        <f t="array" ref="AB133">Common_InputFunctions.Utility_DisplayArrayInTable(Fertiliser_SourceData.Fertiliser_Products_Data1(),FertiliserProducts[[#Headers],[Include or Exclude]], 0,4)</f>
        <v/>
      </c>
      <c r="AC133" s="137" t="str" cm="1">
        <f t="array" ref="AC133">Common_InputFunctions.Utility_DisplayArrayInTable(Fertiliser_SourceData.Fertiliser_Products_Data1(),FertiliserProducts[[#Headers],[Include or Exclude]], 0,4)</f>
        <v/>
      </c>
      <c r="AD133" s="137" t="str" cm="1">
        <f t="array" ref="AD133">Common_InputFunctions.Utility_DisplayArrayInTable(Fertiliser_SourceData.Fertiliser_Products_Data1(),FertiliserProducts[[#Headers],[Include or Exclude]], 0,4)</f>
        <v/>
      </c>
      <c r="AE133" s="137" t="str" cm="1">
        <f t="array" ref="AE133">Common_InputFunctions.Utility_DisplayArrayInTable(Fertiliser_SourceData.Fertiliser_Products_Data1(),FertiliserProducts[[#Headers],[Include or Exclude]], 0,4)</f>
        <v/>
      </c>
    </row>
    <row r="134" spans="4:31" ht="20.100000000000001" customHeight="1" x14ac:dyDescent="0.25">
      <c r="D134" s="137" t="str" cm="1">
        <f t="array" ref="D134">Common_InputFunctions.Utility_DisplayArrayInTable(Fertiliser_SourceData.Fertiliser_Products_Data1(),FertiliserProducts[[#Headers],[Include or Exclude]], -1)</f>
        <v/>
      </c>
      <c r="E134" s="137" t="str" cm="1">
        <f t="array" ref="E134">Common_InputFunctions.Utility_DisplayArrayInTable(Fertiliser_SourceData.Fertiliser_Products_Data1(),FertiliserProducts[[#Headers],[Include or Exclude]], 0)</f>
        <v/>
      </c>
      <c r="F134" s="137" t="str" cm="1">
        <f t="array" ref="F134">Common_InputFunctions.Utility_DisplayArrayInTable(Fertiliser_SourceData.Fertiliser_Products_Data1(),FertiliserProducts[[#Headers],[Include or Exclude]], 0)</f>
        <v/>
      </c>
      <c r="G134" s="137" t="str" cm="1">
        <f t="array" ref="G134">Common_InputFunctions.Utility_DisplayArrayInTable(Fertiliser_SourceData.Fertiliser_Products_Data1(),FertiliserProducts[[#Headers],[Include or Exclude]], 0)</f>
        <v/>
      </c>
      <c r="H134" s="137" t="str" cm="1">
        <f t="array" ref="H134">Common_InputFunctions.Utility_DisplayArrayInTable(Fertiliser_SourceData.Fertiliser_Products_Data1(),FertiliserProducts[[#Headers],[Include or Exclude]], 0,4)</f>
        <v/>
      </c>
      <c r="I134" s="137" t="str" cm="1">
        <f t="array" ref="I134">Common_InputFunctions.Utility_DisplayArrayInTable(Fertiliser_SourceData.Fertiliser_Products_Data1(),FertiliserProducts[[#Headers],[Include or Exclude]], 0,4)</f>
        <v/>
      </c>
      <c r="J134" s="137" t="str" cm="1">
        <f t="array" ref="J134">Common_InputFunctions.Utility_DisplayArrayInTable(Fertiliser_SourceData.Fertiliser_Products_Data1(),FertiliserProducts[[#Headers],[Include or Exclude]], 0,4)</f>
        <v/>
      </c>
      <c r="K134" s="137" t="str" cm="1">
        <f t="array" ref="K134">Common_InputFunctions.Utility_DisplayArrayInTable(Fertiliser_SourceData.Fertiliser_Products_Data1(),FertiliserProducts[[#Headers],[Include or Exclude]], 0,4)</f>
        <v/>
      </c>
      <c r="L134" s="137" t="str" cm="1">
        <f t="array" ref="L134">Common_InputFunctions.Utility_DisplayArrayInTable(Fertiliser_SourceData.Fertiliser_Products_Data1(),FertiliserProducts[[#Headers],[Include or Exclude]], 0,4)</f>
        <v/>
      </c>
      <c r="M134" s="137" t="str" cm="1">
        <f t="array" ref="M134">Common_InputFunctions.Utility_DisplayArrayInTable(Fertiliser_SourceData.Fertiliser_Products_Data1(),FertiliserProducts[[#Headers],[Include or Exclude]], 0,4)</f>
        <v/>
      </c>
      <c r="N134" s="137" t="str" cm="1">
        <f t="array" ref="N134">Common_InputFunctions.Utility_DisplayArrayInTable(Fertiliser_SourceData.Fertiliser_Products_Data1(),FertiliserProducts[[#Headers],[Include or Exclude]], 0,4)</f>
        <v/>
      </c>
      <c r="O134" s="137" t="str" cm="1">
        <f t="array" ref="O134">Common_InputFunctions.Utility_DisplayArrayInTable(Fertiliser_SourceData.Fertiliser_Products_Data1(),FertiliserProducts[[#Headers],[Include or Exclude]], 0,4)</f>
        <v/>
      </c>
      <c r="P134" s="137" t="str" cm="1">
        <f t="array" ref="P134">Common_InputFunctions.Utility_DisplayArrayInTable(Fertiliser_SourceData.Fertiliser_Products_Data1(),FertiliserProducts[[#Headers],[Include or Exclude]], 0,4)</f>
        <v/>
      </c>
      <c r="Q134" s="137" t="str" cm="1">
        <f t="array" ref="Q134">Common_InputFunctions.Utility_DisplayArrayInTable(Fertiliser_SourceData.Fertiliser_Products_Data1(),FertiliserProducts[[#Headers],[Include or Exclude]], 0,4)</f>
        <v/>
      </c>
      <c r="R134" s="137" t="str" cm="1">
        <f t="array" ref="R134">Common_InputFunctions.Utility_DisplayArrayInTable(Fertiliser_SourceData.Fertiliser_Products_Data1(),FertiliserProducts[[#Headers],[Include or Exclude]], 0,4)</f>
        <v/>
      </c>
      <c r="S134" s="137" t="str" cm="1">
        <f t="array" ref="S134">Common_InputFunctions.Utility_DisplayArrayInTable(Fertiliser_SourceData.Fertiliser_Products_Data1(),FertiliserProducts[[#Headers],[Include or Exclude]], 0,4)</f>
        <v/>
      </c>
      <c r="T134" s="137" t="str" cm="1">
        <f t="array" ref="T134">Common_InputFunctions.Utility_DisplayArrayInTable(Fertiliser_SourceData.Fertiliser_Products_Data1(),FertiliserProducts[[#Headers],[Include or Exclude]], 0,4)</f>
        <v/>
      </c>
      <c r="U134" s="137" t="str" cm="1">
        <f t="array" ref="U134">Common_InputFunctions.Utility_DisplayArrayInTable(Fertiliser_SourceData.Fertiliser_Products_Data1(),FertiliserProducts[[#Headers],[Include or Exclude]], 0,4)</f>
        <v/>
      </c>
      <c r="V134" s="137" t="str" cm="1">
        <f t="array" ref="V134">Common_InputFunctions.Utility_DisplayArrayInTable(Fertiliser_SourceData.Fertiliser_Products_Data1(),FertiliserProducts[[#Headers],[Include or Exclude]], 0,4)</f>
        <v/>
      </c>
      <c r="W134" s="137" t="str" cm="1">
        <f t="array" ref="W134">Common_InputFunctions.Utility_DisplayArrayInTable(Fertiliser_SourceData.Fertiliser_Products_Data1(),FertiliserProducts[[#Headers],[Include or Exclude]], 0,4)</f>
        <v/>
      </c>
      <c r="X134" s="137" t="str" cm="1">
        <f t="array" ref="X134">Common_InputFunctions.Utility_DisplayArrayInTable(Fertiliser_SourceData.Fertiliser_Products_Data1(),FertiliserProducts[[#Headers],[Include or Exclude]], 0,4)</f>
        <v/>
      </c>
      <c r="Y134" s="137" t="str" cm="1">
        <f t="array" ref="Y134">Common_InputFunctions.Utility_DisplayArrayInTable(Fertiliser_SourceData.Fertiliser_Products_Data1(),FertiliserProducts[[#Headers],[Include or Exclude]], 0,4)</f>
        <v/>
      </c>
      <c r="Z134" s="137" t="str" cm="1">
        <f t="array" ref="Z134">Common_InputFunctions.Utility_DisplayArrayInTable(Fertiliser_SourceData.Fertiliser_Products_Data1(),FertiliserProducts[[#Headers],[Include or Exclude]], 0,4)</f>
        <v/>
      </c>
      <c r="AA134" s="137" t="str" cm="1">
        <f t="array" ref="AA134">Common_InputFunctions.Utility_DisplayArrayInTable(Fertiliser_SourceData.Fertiliser_Products_Data1(),FertiliserProducts[[#Headers],[Include or Exclude]], 0,4)</f>
        <v/>
      </c>
      <c r="AB134" s="137" t="str" cm="1">
        <f t="array" ref="AB134">Common_InputFunctions.Utility_DisplayArrayInTable(Fertiliser_SourceData.Fertiliser_Products_Data1(),FertiliserProducts[[#Headers],[Include or Exclude]], 0,4)</f>
        <v/>
      </c>
      <c r="AC134" s="137" t="str" cm="1">
        <f t="array" ref="AC134">Common_InputFunctions.Utility_DisplayArrayInTable(Fertiliser_SourceData.Fertiliser_Products_Data1(),FertiliserProducts[[#Headers],[Include or Exclude]], 0,4)</f>
        <v/>
      </c>
      <c r="AD134" s="137" t="str" cm="1">
        <f t="array" ref="AD134">Common_InputFunctions.Utility_DisplayArrayInTable(Fertiliser_SourceData.Fertiliser_Products_Data1(),FertiliserProducts[[#Headers],[Include or Exclude]], 0,4)</f>
        <v/>
      </c>
      <c r="AE134" s="137" t="str" cm="1">
        <f t="array" ref="AE134">Common_InputFunctions.Utility_DisplayArrayInTable(Fertiliser_SourceData.Fertiliser_Products_Data1(),FertiliserProducts[[#Headers],[Include or Exclude]], 0,4)</f>
        <v/>
      </c>
    </row>
    <row r="135" spans="4:31" ht="20.100000000000001" customHeight="1" x14ac:dyDescent="0.25">
      <c r="D135" s="137" t="str" cm="1">
        <f t="array" ref="D135">Common_InputFunctions.Utility_DisplayArrayInTable(Fertiliser_SourceData.Fertiliser_Products_Data1(),FertiliserProducts[[#Headers],[Include or Exclude]], -1)</f>
        <v/>
      </c>
      <c r="E135" s="137" t="str" cm="1">
        <f t="array" ref="E135">Common_InputFunctions.Utility_DisplayArrayInTable(Fertiliser_SourceData.Fertiliser_Products_Data1(),FertiliserProducts[[#Headers],[Include or Exclude]], 0)</f>
        <v/>
      </c>
      <c r="F135" s="137" t="str" cm="1">
        <f t="array" ref="F135">Common_InputFunctions.Utility_DisplayArrayInTable(Fertiliser_SourceData.Fertiliser_Products_Data1(),FertiliserProducts[[#Headers],[Include or Exclude]], 0)</f>
        <v/>
      </c>
      <c r="G135" s="137" t="str" cm="1">
        <f t="array" ref="G135">Common_InputFunctions.Utility_DisplayArrayInTable(Fertiliser_SourceData.Fertiliser_Products_Data1(),FertiliserProducts[[#Headers],[Include or Exclude]], 0)</f>
        <v/>
      </c>
      <c r="H135" s="137" t="str" cm="1">
        <f t="array" ref="H135">Common_InputFunctions.Utility_DisplayArrayInTable(Fertiliser_SourceData.Fertiliser_Products_Data1(),FertiliserProducts[[#Headers],[Include or Exclude]], 0,4)</f>
        <v/>
      </c>
      <c r="I135" s="137" t="str" cm="1">
        <f t="array" ref="I135">Common_InputFunctions.Utility_DisplayArrayInTable(Fertiliser_SourceData.Fertiliser_Products_Data1(),FertiliserProducts[[#Headers],[Include or Exclude]], 0,4)</f>
        <v/>
      </c>
      <c r="J135" s="137" t="str" cm="1">
        <f t="array" ref="J135">Common_InputFunctions.Utility_DisplayArrayInTable(Fertiliser_SourceData.Fertiliser_Products_Data1(),FertiliserProducts[[#Headers],[Include or Exclude]], 0,4)</f>
        <v/>
      </c>
      <c r="K135" s="137" t="str" cm="1">
        <f t="array" ref="K135">Common_InputFunctions.Utility_DisplayArrayInTable(Fertiliser_SourceData.Fertiliser_Products_Data1(),FertiliserProducts[[#Headers],[Include or Exclude]], 0,4)</f>
        <v/>
      </c>
      <c r="L135" s="137" t="str" cm="1">
        <f t="array" ref="L135">Common_InputFunctions.Utility_DisplayArrayInTable(Fertiliser_SourceData.Fertiliser_Products_Data1(),FertiliserProducts[[#Headers],[Include or Exclude]], 0,4)</f>
        <v/>
      </c>
      <c r="M135" s="137" t="str" cm="1">
        <f t="array" ref="M135">Common_InputFunctions.Utility_DisplayArrayInTable(Fertiliser_SourceData.Fertiliser_Products_Data1(),FertiliserProducts[[#Headers],[Include or Exclude]], 0,4)</f>
        <v/>
      </c>
      <c r="N135" s="137" t="str" cm="1">
        <f t="array" ref="N135">Common_InputFunctions.Utility_DisplayArrayInTable(Fertiliser_SourceData.Fertiliser_Products_Data1(),FertiliserProducts[[#Headers],[Include or Exclude]], 0,4)</f>
        <v/>
      </c>
      <c r="O135" s="137" t="str" cm="1">
        <f t="array" ref="O135">Common_InputFunctions.Utility_DisplayArrayInTable(Fertiliser_SourceData.Fertiliser_Products_Data1(),FertiliserProducts[[#Headers],[Include or Exclude]], 0,4)</f>
        <v/>
      </c>
      <c r="P135" s="137" t="str" cm="1">
        <f t="array" ref="P135">Common_InputFunctions.Utility_DisplayArrayInTable(Fertiliser_SourceData.Fertiliser_Products_Data1(),FertiliserProducts[[#Headers],[Include or Exclude]], 0,4)</f>
        <v/>
      </c>
      <c r="Q135" s="137" t="str" cm="1">
        <f t="array" ref="Q135">Common_InputFunctions.Utility_DisplayArrayInTable(Fertiliser_SourceData.Fertiliser_Products_Data1(),FertiliserProducts[[#Headers],[Include or Exclude]], 0,4)</f>
        <v/>
      </c>
      <c r="R135" s="137" t="str" cm="1">
        <f t="array" ref="R135">Common_InputFunctions.Utility_DisplayArrayInTable(Fertiliser_SourceData.Fertiliser_Products_Data1(),FertiliserProducts[[#Headers],[Include or Exclude]], 0,4)</f>
        <v/>
      </c>
      <c r="S135" s="137" t="str" cm="1">
        <f t="array" ref="S135">Common_InputFunctions.Utility_DisplayArrayInTable(Fertiliser_SourceData.Fertiliser_Products_Data1(),FertiliserProducts[[#Headers],[Include or Exclude]], 0,4)</f>
        <v/>
      </c>
      <c r="T135" s="137" t="str" cm="1">
        <f t="array" ref="T135">Common_InputFunctions.Utility_DisplayArrayInTable(Fertiliser_SourceData.Fertiliser_Products_Data1(),FertiliserProducts[[#Headers],[Include or Exclude]], 0,4)</f>
        <v/>
      </c>
      <c r="U135" s="137" t="str" cm="1">
        <f t="array" ref="U135">Common_InputFunctions.Utility_DisplayArrayInTable(Fertiliser_SourceData.Fertiliser_Products_Data1(),FertiliserProducts[[#Headers],[Include or Exclude]], 0,4)</f>
        <v/>
      </c>
      <c r="V135" s="137" t="str" cm="1">
        <f t="array" ref="V135">Common_InputFunctions.Utility_DisplayArrayInTable(Fertiliser_SourceData.Fertiliser_Products_Data1(),FertiliserProducts[[#Headers],[Include or Exclude]], 0,4)</f>
        <v/>
      </c>
      <c r="W135" s="137" t="str" cm="1">
        <f t="array" ref="W135">Common_InputFunctions.Utility_DisplayArrayInTable(Fertiliser_SourceData.Fertiliser_Products_Data1(),FertiliserProducts[[#Headers],[Include or Exclude]], 0,4)</f>
        <v/>
      </c>
      <c r="X135" s="137" t="str" cm="1">
        <f t="array" ref="X135">Common_InputFunctions.Utility_DisplayArrayInTable(Fertiliser_SourceData.Fertiliser_Products_Data1(),FertiliserProducts[[#Headers],[Include or Exclude]], 0,4)</f>
        <v/>
      </c>
      <c r="Y135" s="137" t="str" cm="1">
        <f t="array" ref="Y135">Common_InputFunctions.Utility_DisplayArrayInTable(Fertiliser_SourceData.Fertiliser_Products_Data1(),FertiliserProducts[[#Headers],[Include or Exclude]], 0,4)</f>
        <v/>
      </c>
      <c r="Z135" s="137" t="str" cm="1">
        <f t="array" ref="Z135">Common_InputFunctions.Utility_DisplayArrayInTable(Fertiliser_SourceData.Fertiliser_Products_Data1(),FertiliserProducts[[#Headers],[Include or Exclude]], 0,4)</f>
        <v/>
      </c>
      <c r="AA135" s="137" t="str" cm="1">
        <f t="array" ref="AA135">Common_InputFunctions.Utility_DisplayArrayInTable(Fertiliser_SourceData.Fertiliser_Products_Data1(),FertiliserProducts[[#Headers],[Include or Exclude]], 0,4)</f>
        <v/>
      </c>
      <c r="AB135" s="137" t="str" cm="1">
        <f t="array" ref="AB135">Common_InputFunctions.Utility_DisplayArrayInTable(Fertiliser_SourceData.Fertiliser_Products_Data1(),FertiliserProducts[[#Headers],[Include or Exclude]], 0,4)</f>
        <v/>
      </c>
      <c r="AC135" s="137" t="str" cm="1">
        <f t="array" ref="AC135">Common_InputFunctions.Utility_DisplayArrayInTable(Fertiliser_SourceData.Fertiliser_Products_Data1(),FertiliserProducts[[#Headers],[Include or Exclude]], 0,4)</f>
        <v/>
      </c>
      <c r="AD135" s="137" t="str" cm="1">
        <f t="array" ref="AD135">Common_InputFunctions.Utility_DisplayArrayInTable(Fertiliser_SourceData.Fertiliser_Products_Data1(),FertiliserProducts[[#Headers],[Include or Exclude]], 0,4)</f>
        <v/>
      </c>
      <c r="AE135" s="137" t="str" cm="1">
        <f t="array" ref="AE135">Common_InputFunctions.Utility_DisplayArrayInTable(Fertiliser_SourceData.Fertiliser_Products_Data1(),FertiliserProducts[[#Headers],[Include or Exclude]], 0,4)</f>
        <v/>
      </c>
    </row>
    <row r="136" spans="4:31" ht="20.100000000000001" customHeight="1" x14ac:dyDescent="0.25">
      <c r="D136" s="137" t="str" cm="1">
        <f t="array" ref="D136">Common_InputFunctions.Utility_DisplayArrayInTable(Fertiliser_SourceData.Fertiliser_Products_Data1(),FertiliserProducts[[#Headers],[Include or Exclude]], -1)</f>
        <v/>
      </c>
      <c r="E136" s="137" t="str" cm="1">
        <f t="array" ref="E136">Common_InputFunctions.Utility_DisplayArrayInTable(Fertiliser_SourceData.Fertiliser_Products_Data1(),FertiliserProducts[[#Headers],[Include or Exclude]], 0)</f>
        <v/>
      </c>
      <c r="F136" s="137" t="str" cm="1">
        <f t="array" ref="F136">Common_InputFunctions.Utility_DisplayArrayInTable(Fertiliser_SourceData.Fertiliser_Products_Data1(),FertiliserProducts[[#Headers],[Include or Exclude]], 0)</f>
        <v/>
      </c>
      <c r="G136" s="137" t="str" cm="1">
        <f t="array" ref="G136">Common_InputFunctions.Utility_DisplayArrayInTable(Fertiliser_SourceData.Fertiliser_Products_Data1(),FertiliserProducts[[#Headers],[Include or Exclude]], 0)</f>
        <v/>
      </c>
      <c r="H136" s="137" t="str" cm="1">
        <f t="array" ref="H136">Common_InputFunctions.Utility_DisplayArrayInTable(Fertiliser_SourceData.Fertiliser_Products_Data1(),FertiliserProducts[[#Headers],[Include or Exclude]], 0,4)</f>
        <v/>
      </c>
      <c r="I136" s="137" t="str" cm="1">
        <f t="array" ref="I136">Common_InputFunctions.Utility_DisplayArrayInTable(Fertiliser_SourceData.Fertiliser_Products_Data1(),FertiliserProducts[[#Headers],[Include or Exclude]], 0,4)</f>
        <v/>
      </c>
      <c r="J136" s="137" t="str" cm="1">
        <f t="array" ref="J136">Common_InputFunctions.Utility_DisplayArrayInTable(Fertiliser_SourceData.Fertiliser_Products_Data1(),FertiliserProducts[[#Headers],[Include or Exclude]], 0,4)</f>
        <v/>
      </c>
      <c r="K136" s="137" t="str" cm="1">
        <f t="array" ref="K136">Common_InputFunctions.Utility_DisplayArrayInTable(Fertiliser_SourceData.Fertiliser_Products_Data1(),FertiliserProducts[[#Headers],[Include or Exclude]], 0,4)</f>
        <v/>
      </c>
      <c r="L136" s="137" t="str" cm="1">
        <f t="array" ref="L136">Common_InputFunctions.Utility_DisplayArrayInTable(Fertiliser_SourceData.Fertiliser_Products_Data1(),FertiliserProducts[[#Headers],[Include or Exclude]], 0,4)</f>
        <v/>
      </c>
      <c r="M136" s="137" t="str" cm="1">
        <f t="array" ref="M136">Common_InputFunctions.Utility_DisplayArrayInTable(Fertiliser_SourceData.Fertiliser_Products_Data1(),FertiliserProducts[[#Headers],[Include or Exclude]], 0,4)</f>
        <v/>
      </c>
      <c r="N136" s="137" t="str" cm="1">
        <f t="array" ref="N136">Common_InputFunctions.Utility_DisplayArrayInTable(Fertiliser_SourceData.Fertiliser_Products_Data1(),FertiliserProducts[[#Headers],[Include or Exclude]], 0,4)</f>
        <v/>
      </c>
      <c r="O136" s="137" t="str" cm="1">
        <f t="array" ref="O136">Common_InputFunctions.Utility_DisplayArrayInTable(Fertiliser_SourceData.Fertiliser_Products_Data1(),FertiliserProducts[[#Headers],[Include or Exclude]], 0,4)</f>
        <v/>
      </c>
      <c r="P136" s="137" t="str" cm="1">
        <f t="array" ref="P136">Common_InputFunctions.Utility_DisplayArrayInTable(Fertiliser_SourceData.Fertiliser_Products_Data1(),FertiliserProducts[[#Headers],[Include or Exclude]], 0,4)</f>
        <v/>
      </c>
      <c r="Q136" s="137" t="str" cm="1">
        <f t="array" ref="Q136">Common_InputFunctions.Utility_DisplayArrayInTable(Fertiliser_SourceData.Fertiliser_Products_Data1(),FertiliserProducts[[#Headers],[Include or Exclude]], 0,4)</f>
        <v/>
      </c>
      <c r="R136" s="137" t="str" cm="1">
        <f t="array" ref="R136">Common_InputFunctions.Utility_DisplayArrayInTable(Fertiliser_SourceData.Fertiliser_Products_Data1(),FertiliserProducts[[#Headers],[Include or Exclude]], 0,4)</f>
        <v/>
      </c>
      <c r="S136" s="137" t="str" cm="1">
        <f t="array" ref="S136">Common_InputFunctions.Utility_DisplayArrayInTable(Fertiliser_SourceData.Fertiliser_Products_Data1(),FertiliserProducts[[#Headers],[Include or Exclude]], 0,4)</f>
        <v/>
      </c>
      <c r="T136" s="137" t="str" cm="1">
        <f t="array" ref="T136">Common_InputFunctions.Utility_DisplayArrayInTable(Fertiliser_SourceData.Fertiliser_Products_Data1(),FertiliserProducts[[#Headers],[Include or Exclude]], 0,4)</f>
        <v/>
      </c>
      <c r="U136" s="137" t="str" cm="1">
        <f t="array" ref="U136">Common_InputFunctions.Utility_DisplayArrayInTable(Fertiliser_SourceData.Fertiliser_Products_Data1(),FertiliserProducts[[#Headers],[Include or Exclude]], 0,4)</f>
        <v/>
      </c>
      <c r="V136" s="137" t="str" cm="1">
        <f t="array" ref="V136">Common_InputFunctions.Utility_DisplayArrayInTable(Fertiliser_SourceData.Fertiliser_Products_Data1(),FertiliserProducts[[#Headers],[Include or Exclude]], 0,4)</f>
        <v/>
      </c>
      <c r="W136" s="137" t="str" cm="1">
        <f t="array" ref="W136">Common_InputFunctions.Utility_DisplayArrayInTable(Fertiliser_SourceData.Fertiliser_Products_Data1(),FertiliserProducts[[#Headers],[Include or Exclude]], 0,4)</f>
        <v/>
      </c>
      <c r="X136" s="137" t="str" cm="1">
        <f t="array" ref="X136">Common_InputFunctions.Utility_DisplayArrayInTable(Fertiliser_SourceData.Fertiliser_Products_Data1(),FertiliserProducts[[#Headers],[Include or Exclude]], 0,4)</f>
        <v/>
      </c>
      <c r="Y136" s="137" t="str" cm="1">
        <f t="array" ref="Y136">Common_InputFunctions.Utility_DisplayArrayInTable(Fertiliser_SourceData.Fertiliser_Products_Data1(),FertiliserProducts[[#Headers],[Include or Exclude]], 0,4)</f>
        <v/>
      </c>
      <c r="Z136" s="137" t="str" cm="1">
        <f t="array" ref="Z136">Common_InputFunctions.Utility_DisplayArrayInTable(Fertiliser_SourceData.Fertiliser_Products_Data1(),FertiliserProducts[[#Headers],[Include or Exclude]], 0,4)</f>
        <v/>
      </c>
      <c r="AA136" s="137" t="str" cm="1">
        <f t="array" ref="AA136">Common_InputFunctions.Utility_DisplayArrayInTable(Fertiliser_SourceData.Fertiliser_Products_Data1(),FertiliserProducts[[#Headers],[Include or Exclude]], 0,4)</f>
        <v/>
      </c>
      <c r="AB136" s="137" t="str" cm="1">
        <f t="array" ref="AB136">Common_InputFunctions.Utility_DisplayArrayInTable(Fertiliser_SourceData.Fertiliser_Products_Data1(),FertiliserProducts[[#Headers],[Include or Exclude]], 0,4)</f>
        <v/>
      </c>
      <c r="AC136" s="137" t="str" cm="1">
        <f t="array" ref="AC136">Common_InputFunctions.Utility_DisplayArrayInTable(Fertiliser_SourceData.Fertiliser_Products_Data1(),FertiliserProducts[[#Headers],[Include or Exclude]], 0,4)</f>
        <v/>
      </c>
      <c r="AD136" s="137" t="str" cm="1">
        <f t="array" ref="AD136">Common_InputFunctions.Utility_DisplayArrayInTable(Fertiliser_SourceData.Fertiliser_Products_Data1(),FertiliserProducts[[#Headers],[Include or Exclude]], 0,4)</f>
        <v/>
      </c>
      <c r="AE136" s="137" t="str" cm="1">
        <f t="array" ref="AE136">Common_InputFunctions.Utility_DisplayArrayInTable(Fertiliser_SourceData.Fertiliser_Products_Data1(),FertiliserProducts[[#Headers],[Include or Exclude]], 0,4)</f>
        <v/>
      </c>
    </row>
    <row r="137" spans="4:31" ht="20.100000000000001" customHeight="1" x14ac:dyDescent="0.25">
      <c r="D137" s="137" t="str" cm="1">
        <f t="array" ref="D137">Common_InputFunctions.Utility_DisplayArrayInTable(Fertiliser_SourceData.Fertiliser_Products_Data1(),FertiliserProducts[[#Headers],[Include or Exclude]], -1)</f>
        <v/>
      </c>
      <c r="E137" s="137" t="str" cm="1">
        <f t="array" ref="E137">Common_InputFunctions.Utility_DisplayArrayInTable(Fertiliser_SourceData.Fertiliser_Products_Data1(),FertiliserProducts[[#Headers],[Include or Exclude]], 0)</f>
        <v/>
      </c>
      <c r="F137" s="137" t="str" cm="1">
        <f t="array" ref="F137">Common_InputFunctions.Utility_DisplayArrayInTable(Fertiliser_SourceData.Fertiliser_Products_Data1(),FertiliserProducts[[#Headers],[Include or Exclude]], 0)</f>
        <v/>
      </c>
      <c r="G137" s="137" t="str" cm="1">
        <f t="array" ref="G137">Common_InputFunctions.Utility_DisplayArrayInTable(Fertiliser_SourceData.Fertiliser_Products_Data1(),FertiliserProducts[[#Headers],[Include or Exclude]], 0)</f>
        <v/>
      </c>
      <c r="H137" s="137" t="str" cm="1">
        <f t="array" ref="H137">Common_InputFunctions.Utility_DisplayArrayInTable(Fertiliser_SourceData.Fertiliser_Products_Data1(),FertiliserProducts[[#Headers],[Include or Exclude]], 0,4)</f>
        <v/>
      </c>
      <c r="I137" s="137" t="str" cm="1">
        <f t="array" ref="I137">Common_InputFunctions.Utility_DisplayArrayInTable(Fertiliser_SourceData.Fertiliser_Products_Data1(),FertiliserProducts[[#Headers],[Include or Exclude]], 0,4)</f>
        <v/>
      </c>
      <c r="J137" s="137" t="str" cm="1">
        <f t="array" ref="J137">Common_InputFunctions.Utility_DisplayArrayInTable(Fertiliser_SourceData.Fertiliser_Products_Data1(),FertiliserProducts[[#Headers],[Include or Exclude]], 0,4)</f>
        <v/>
      </c>
      <c r="K137" s="137" t="str" cm="1">
        <f t="array" ref="K137">Common_InputFunctions.Utility_DisplayArrayInTable(Fertiliser_SourceData.Fertiliser_Products_Data1(),FertiliserProducts[[#Headers],[Include or Exclude]], 0,4)</f>
        <v/>
      </c>
      <c r="L137" s="137" t="str" cm="1">
        <f t="array" ref="L137">Common_InputFunctions.Utility_DisplayArrayInTable(Fertiliser_SourceData.Fertiliser_Products_Data1(),FertiliserProducts[[#Headers],[Include or Exclude]], 0,4)</f>
        <v/>
      </c>
      <c r="M137" s="137" t="str" cm="1">
        <f t="array" ref="M137">Common_InputFunctions.Utility_DisplayArrayInTable(Fertiliser_SourceData.Fertiliser_Products_Data1(),FertiliserProducts[[#Headers],[Include or Exclude]], 0,4)</f>
        <v/>
      </c>
      <c r="N137" s="137" t="str" cm="1">
        <f t="array" ref="N137">Common_InputFunctions.Utility_DisplayArrayInTable(Fertiliser_SourceData.Fertiliser_Products_Data1(),FertiliserProducts[[#Headers],[Include or Exclude]], 0,4)</f>
        <v/>
      </c>
      <c r="O137" s="137" t="str" cm="1">
        <f t="array" ref="O137">Common_InputFunctions.Utility_DisplayArrayInTable(Fertiliser_SourceData.Fertiliser_Products_Data1(),FertiliserProducts[[#Headers],[Include or Exclude]], 0,4)</f>
        <v/>
      </c>
      <c r="P137" s="137" t="str" cm="1">
        <f t="array" ref="P137">Common_InputFunctions.Utility_DisplayArrayInTable(Fertiliser_SourceData.Fertiliser_Products_Data1(),FertiliserProducts[[#Headers],[Include or Exclude]], 0,4)</f>
        <v/>
      </c>
      <c r="Q137" s="137" t="str" cm="1">
        <f t="array" ref="Q137">Common_InputFunctions.Utility_DisplayArrayInTable(Fertiliser_SourceData.Fertiliser_Products_Data1(),FertiliserProducts[[#Headers],[Include or Exclude]], 0,4)</f>
        <v/>
      </c>
      <c r="R137" s="137" t="str" cm="1">
        <f t="array" ref="R137">Common_InputFunctions.Utility_DisplayArrayInTable(Fertiliser_SourceData.Fertiliser_Products_Data1(),FertiliserProducts[[#Headers],[Include or Exclude]], 0,4)</f>
        <v/>
      </c>
      <c r="S137" s="137" t="str" cm="1">
        <f t="array" ref="S137">Common_InputFunctions.Utility_DisplayArrayInTable(Fertiliser_SourceData.Fertiliser_Products_Data1(),FertiliserProducts[[#Headers],[Include or Exclude]], 0,4)</f>
        <v/>
      </c>
      <c r="T137" s="137" t="str" cm="1">
        <f t="array" ref="T137">Common_InputFunctions.Utility_DisplayArrayInTable(Fertiliser_SourceData.Fertiliser_Products_Data1(),FertiliserProducts[[#Headers],[Include or Exclude]], 0,4)</f>
        <v/>
      </c>
      <c r="U137" s="137" t="str" cm="1">
        <f t="array" ref="U137">Common_InputFunctions.Utility_DisplayArrayInTable(Fertiliser_SourceData.Fertiliser_Products_Data1(),FertiliserProducts[[#Headers],[Include or Exclude]], 0,4)</f>
        <v/>
      </c>
      <c r="V137" s="137" t="str" cm="1">
        <f t="array" ref="V137">Common_InputFunctions.Utility_DisplayArrayInTable(Fertiliser_SourceData.Fertiliser_Products_Data1(),FertiliserProducts[[#Headers],[Include or Exclude]], 0,4)</f>
        <v/>
      </c>
      <c r="W137" s="137" t="str" cm="1">
        <f t="array" ref="W137">Common_InputFunctions.Utility_DisplayArrayInTable(Fertiliser_SourceData.Fertiliser_Products_Data1(),FertiliserProducts[[#Headers],[Include or Exclude]], 0,4)</f>
        <v/>
      </c>
      <c r="X137" s="137" t="str" cm="1">
        <f t="array" ref="X137">Common_InputFunctions.Utility_DisplayArrayInTable(Fertiliser_SourceData.Fertiliser_Products_Data1(),FertiliserProducts[[#Headers],[Include or Exclude]], 0,4)</f>
        <v/>
      </c>
      <c r="Y137" s="137" t="str" cm="1">
        <f t="array" ref="Y137">Common_InputFunctions.Utility_DisplayArrayInTable(Fertiliser_SourceData.Fertiliser_Products_Data1(),FertiliserProducts[[#Headers],[Include or Exclude]], 0,4)</f>
        <v/>
      </c>
      <c r="Z137" s="137" t="str" cm="1">
        <f t="array" ref="Z137">Common_InputFunctions.Utility_DisplayArrayInTable(Fertiliser_SourceData.Fertiliser_Products_Data1(),FertiliserProducts[[#Headers],[Include or Exclude]], 0,4)</f>
        <v/>
      </c>
      <c r="AA137" s="137" t="str" cm="1">
        <f t="array" ref="AA137">Common_InputFunctions.Utility_DisplayArrayInTable(Fertiliser_SourceData.Fertiliser_Products_Data1(),FertiliserProducts[[#Headers],[Include or Exclude]], 0,4)</f>
        <v/>
      </c>
      <c r="AB137" s="137" t="str" cm="1">
        <f t="array" ref="AB137">Common_InputFunctions.Utility_DisplayArrayInTable(Fertiliser_SourceData.Fertiliser_Products_Data1(),FertiliserProducts[[#Headers],[Include or Exclude]], 0,4)</f>
        <v/>
      </c>
      <c r="AC137" s="137" t="str" cm="1">
        <f t="array" ref="AC137">Common_InputFunctions.Utility_DisplayArrayInTable(Fertiliser_SourceData.Fertiliser_Products_Data1(),FertiliserProducts[[#Headers],[Include or Exclude]], 0,4)</f>
        <v/>
      </c>
      <c r="AD137" s="137" t="str" cm="1">
        <f t="array" ref="AD137">Common_InputFunctions.Utility_DisplayArrayInTable(Fertiliser_SourceData.Fertiliser_Products_Data1(),FertiliserProducts[[#Headers],[Include or Exclude]], 0,4)</f>
        <v/>
      </c>
      <c r="AE137" s="137" t="str" cm="1">
        <f t="array" ref="AE137">Common_InputFunctions.Utility_DisplayArrayInTable(Fertiliser_SourceData.Fertiliser_Products_Data1(),FertiliserProducts[[#Headers],[Include or Exclude]], 0,4)</f>
        <v/>
      </c>
    </row>
    <row r="138" spans="4:31" ht="20.100000000000001" customHeight="1" x14ac:dyDescent="0.25">
      <c r="D138" s="137" t="str" cm="1">
        <f t="array" ref="D138">Common_InputFunctions.Utility_DisplayArrayInTable(Fertiliser_SourceData.Fertiliser_Products_Data1(),FertiliserProducts[[#Headers],[Include or Exclude]], -1)</f>
        <v/>
      </c>
      <c r="E138" s="137" t="str" cm="1">
        <f t="array" ref="E138">Common_InputFunctions.Utility_DisplayArrayInTable(Fertiliser_SourceData.Fertiliser_Products_Data1(),FertiliserProducts[[#Headers],[Include or Exclude]], 0)</f>
        <v/>
      </c>
      <c r="F138" s="137" t="str" cm="1">
        <f t="array" ref="F138">Common_InputFunctions.Utility_DisplayArrayInTable(Fertiliser_SourceData.Fertiliser_Products_Data1(),FertiliserProducts[[#Headers],[Include or Exclude]], 0)</f>
        <v/>
      </c>
      <c r="G138" s="137" t="str" cm="1">
        <f t="array" ref="G138">Common_InputFunctions.Utility_DisplayArrayInTable(Fertiliser_SourceData.Fertiliser_Products_Data1(),FertiliserProducts[[#Headers],[Include or Exclude]], 0)</f>
        <v/>
      </c>
      <c r="H138" s="137" t="str" cm="1">
        <f t="array" ref="H138">Common_InputFunctions.Utility_DisplayArrayInTable(Fertiliser_SourceData.Fertiliser_Products_Data1(),FertiliserProducts[[#Headers],[Include or Exclude]], 0,4)</f>
        <v/>
      </c>
      <c r="I138" s="137" t="str" cm="1">
        <f t="array" ref="I138">Common_InputFunctions.Utility_DisplayArrayInTable(Fertiliser_SourceData.Fertiliser_Products_Data1(),FertiliserProducts[[#Headers],[Include or Exclude]], 0,4)</f>
        <v/>
      </c>
      <c r="J138" s="137" t="str" cm="1">
        <f t="array" ref="J138">Common_InputFunctions.Utility_DisplayArrayInTable(Fertiliser_SourceData.Fertiliser_Products_Data1(),FertiliserProducts[[#Headers],[Include or Exclude]], 0,4)</f>
        <v/>
      </c>
      <c r="K138" s="137" t="str" cm="1">
        <f t="array" ref="K138">Common_InputFunctions.Utility_DisplayArrayInTable(Fertiliser_SourceData.Fertiliser_Products_Data1(),FertiliserProducts[[#Headers],[Include or Exclude]], 0,4)</f>
        <v/>
      </c>
      <c r="L138" s="137" t="str" cm="1">
        <f t="array" ref="L138">Common_InputFunctions.Utility_DisplayArrayInTable(Fertiliser_SourceData.Fertiliser_Products_Data1(),FertiliserProducts[[#Headers],[Include or Exclude]], 0,4)</f>
        <v/>
      </c>
      <c r="M138" s="137" t="str" cm="1">
        <f t="array" ref="M138">Common_InputFunctions.Utility_DisplayArrayInTable(Fertiliser_SourceData.Fertiliser_Products_Data1(),FertiliserProducts[[#Headers],[Include or Exclude]], 0,4)</f>
        <v/>
      </c>
      <c r="N138" s="137" t="str" cm="1">
        <f t="array" ref="N138">Common_InputFunctions.Utility_DisplayArrayInTable(Fertiliser_SourceData.Fertiliser_Products_Data1(),FertiliserProducts[[#Headers],[Include or Exclude]], 0,4)</f>
        <v/>
      </c>
      <c r="O138" s="137" t="str" cm="1">
        <f t="array" ref="O138">Common_InputFunctions.Utility_DisplayArrayInTable(Fertiliser_SourceData.Fertiliser_Products_Data1(),FertiliserProducts[[#Headers],[Include or Exclude]], 0,4)</f>
        <v/>
      </c>
      <c r="P138" s="137" t="str" cm="1">
        <f t="array" ref="P138">Common_InputFunctions.Utility_DisplayArrayInTable(Fertiliser_SourceData.Fertiliser_Products_Data1(),FertiliserProducts[[#Headers],[Include or Exclude]], 0,4)</f>
        <v/>
      </c>
      <c r="Q138" s="137" t="str" cm="1">
        <f t="array" ref="Q138">Common_InputFunctions.Utility_DisplayArrayInTable(Fertiliser_SourceData.Fertiliser_Products_Data1(),FertiliserProducts[[#Headers],[Include or Exclude]], 0,4)</f>
        <v/>
      </c>
      <c r="R138" s="137" t="str" cm="1">
        <f t="array" ref="R138">Common_InputFunctions.Utility_DisplayArrayInTable(Fertiliser_SourceData.Fertiliser_Products_Data1(),FertiliserProducts[[#Headers],[Include or Exclude]], 0,4)</f>
        <v/>
      </c>
      <c r="S138" s="137" t="str" cm="1">
        <f t="array" ref="S138">Common_InputFunctions.Utility_DisplayArrayInTable(Fertiliser_SourceData.Fertiliser_Products_Data1(),FertiliserProducts[[#Headers],[Include or Exclude]], 0,4)</f>
        <v/>
      </c>
      <c r="T138" s="137" t="str" cm="1">
        <f t="array" ref="T138">Common_InputFunctions.Utility_DisplayArrayInTable(Fertiliser_SourceData.Fertiliser_Products_Data1(),FertiliserProducts[[#Headers],[Include or Exclude]], 0,4)</f>
        <v/>
      </c>
      <c r="U138" s="137" t="str" cm="1">
        <f t="array" ref="U138">Common_InputFunctions.Utility_DisplayArrayInTable(Fertiliser_SourceData.Fertiliser_Products_Data1(),FertiliserProducts[[#Headers],[Include or Exclude]], 0,4)</f>
        <v/>
      </c>
      <c r="V138" s="137" t="str" cm="1">
        <f t="array" ref="V138">Common_InputFunctions.Utility_DisplayArrayInTable(Fertiliser_SourceData.Fertiliser_Products_Data1(),FertiliserProducts[[#Headers],[Include or Exclude]], 0,4)</f>
        <v/>
      </c>
      <c r="W138" s="137" t="str" cm="1">
        <f t="array" ref="W138">Common_InputFunctions.Utility_DisplayArrayInTable(Fertiliser_SourceData.Fertiliser_Products_Data1(),FertiliserProducts[[#Headers],[Include or Exclude]], 0,4)</f>
        <v/>
      </c>
      <c r="X138" s="137" t="str" cm="1">
        <f t="array" ref="X138">Common_InputFunctions.Utility_DisplayArrayInTable(Fertiliser_SourceData.Fertiliser_Products_Data1(),FertiliserProducts[[#Headers],[Include or Exclude]], 0,4)</f>
        <v/>
      </c>
      <c r="Y138" s="137" t="str" cm="1">
        <f t="array" ref="Y138">Common_InputFunctions.Utility_DisplayArrayInTable(Fertiliser_SourceData.Fertiliser_Products_Data1(),FertiliserProducts[[#Headers],[Include or Exclude]], 0,4)</f>
        <v/>
      </c>
      <c r="Z138" s="137" t="str" cm="1">
        <f t="array" ref="Z138">Common_InputFunctions.Utility_DisplayArrayInTable(Fertiliser_SourceData.Fertiliser_Products_Data1(),FertiliserProducts[[#Headers],[Include or Exclude]], 0,4)</f>
        <v/>
      </c>
      <c r="AA138" s="137" t="str" cm="1">
        <f t="array" ref="AA138">Common_InputFunctions.Utility_DisplayArrayInTable(Fertiliser_SourceData.Fertiliser_Products_Data1(),FertiliserProducts[[#Headers],[Include or Exclude]], 0,4)</f>
        <v/>
      </c>
      <c r="AB138" s="137" t="str" cm="1">
        <f t="array" ref="AB138">Common_InputFunctions.Utility_DisplayArrayInTable(Fertiliser_SourceData.Fertiliser_Products_Data1(),FertiliserProducts[[#Headers],[Include or Exclude]], 0,4)</f>
        <v/>
      </c>
      <c r="AC138" s="137" t="str" cm="1">
        <f t="array" ref="AC138">Common_InputFunctions.Utility_DisplayArrayInTable(Fertiliser_SourceData.Fertiliser_Products_Data1(),FertiliserProducts[[#Headers],[Include or Exclude]], 0,4)</f>
        <v/>
      </c>
      <c r="AD138" s="137" t="str" cm="1">
        <f t="array" ref="AD138">Common_InputFunctions.Utility_DisplayArrayInTable(Fertiliser_SourceData.Fertiliser_Products_Data1(),FertiliserProducts[[#Headers],[Include or Exclude]], 0,4)</f>
        <v/>
      </c>
      <c r="AE138" s="137" t="str" cm="1">
        <f t="array" ref="AE138">Common_InputFunctions.Utility_DisplayArrayInTable(Fertiliser_SourceData.Fertiliser_Products_Data1(),FertiliserProducts[[#Headers],[Include or Exclude]], 0,4)</f>
        <v/>
      </c>
    </row>
    <row r="139" spans="4:31" ht="20.100000000000001" customHeight="1" x14ac:dyDescent="0.25">
      <c r="D139" s="137" t="str" cm="1">
        <f t="array" ref="D139">Common_InputFunctions.Utility_DisplayArrayInTable(Fertiliser_SourceData.Fertiliser_Products_Data1(),FertiliserProducts[[#Headers],[Include or Exclude]], -1)</f>
        <v/>
      </c>
      <c r="E139" s="137" t="str" cm="1">
        <f t="array" ref="E139">Common_InputFunctions.Utility_DisplayArrayInTable(Fertiliser_SourceData.Fertiliser_Products_Data1(),FertiliserProducts[[#Headers],[Include or Exclude]], 0)</f>
        <v/>
      </c>
      <c r="F139" s="137" t="str" cm="1">
        <f t="array" ref="F139">Common_InputFunctions.Utility_DisplayArrayInTable(Fertiliser_SourceData.Fertiliser_Products_Data1(),FertiliserProducts[[#Headers],[Include or Exclude]], 0)</f>
        <v/>
      </c>
      <c r="G139" s="137" t="str" cm="1">
        <f t="array" ref="G139">Common_InputFunctions.Utility_DisplayArrayInTable(Fertiliser_SourceData.Fertiliser_Products_Data1(),FertiliserProducts[[#Headers],[Include or Exclude]], 0)</f>
        <v/>
      </c>
      <c r="H139" s="137" t="str" cm="1">
        <f t="array" ref="H139">Common_InputFunctions.Utility_DisplayArrayInTable(Fertiliser_SourceData.Fertiliser_Products_Data1(),FertiliserProducts[[#Headers],[Include or Exclude]], 0,4)</f>
        <v/>
      </c>
      <c r="I139" s="137" t="str" cm="1">
        <f t="array" ref="I139">Common_InputFunctions.Utility_DisplayArrayInTable(Fertiliser_SourceData.Fertiliser_Products_Data1(),FertiliserProducts[[#Headers],[Include or Exclude]], 0,4)</f>
        <v/>
      </c>
      <c r="J139" s="137" t="str" cm="1">
        <f t="array" ref="J139">Common_InputFunctions.Utility_DisplayArrayInTable(Fertiliser_SourceData.Fertiliser_Products_Data1(),FertiliserProducts[[#Headers],[Include or Exclude]], 0,4)</f>
        <v/>
      </c>
      <c r="K139" s="137" t="str" cm="1">
        <f t="array" ref="K139">Common_InputFunctions.Utility_DisplayArrayInTable(Fertiliser_SourceData.Fertiliser_Products_Data1(),FertiliserProducts[[#Headers],[Include or Exclude]], 0,4)</f>
        <v/>
      </c>
      <c r="L139" s="137" t="str" cm="1">
        <f t="array" ref="L139">Common_InputFunctions.Utility_DisplayArrayInTable(Fertiliser_SourceData.Fertiliser_Products_Data1(),FertiliserProducts[[#Headers],[Include or Exclude]], 0,4)</f>
        <v/>
      </c>
      <c r="M139" s="137" t="str" cm="1">
        <f t="array" ref="M139">Common_InputFunctions.Utility_DisplayArrayInTable(Fertiliser_SourceData.Fertiliser_Products_Data1(),FertiliserProducts[[#Headers],[Include or Exclude]], 0,4)</f>
        <v/>
      </c>
      <c r="N139" s="137" t="str" cm="1">
        <f t="array" ref="N139">Common_InputFunctions.Utility_DisplayArrayInTable(Fertiliser_SourceData.Fertiliser_Products_Data1(),FertiliserProducts[[#Headers],[Include or Exclude]], 0,4)</f>
        <v/>
      </c>
      <c r="O139" s="137" t="str" cm="1">
        <f t="array" ref="O139">Common_InputFunctions.Utility_DisplayArrayInTable(Fertiliser_SourceData.Fertiliser_Products_Data1(),FertiliserProducts[[#Headers],[Include or Exclude]], 0,4)</f>
        <v/>
      </c>
      <c r="P139" s="137" t="str" cm="1">
        <f t="array" ref="P139">Common_InputFunctions.Utility_DisplayArrayInTable(Fertiliser_SourceData.Fertiliser_Products_Data1(),FertiliserProducts[[#Headers],[Include or Exclude]], 0,4)</f>
        <v/>
      </c>
      <c r="Q139" s="137" t="str" cm="1">
        <f t="array" ref="Q139">Common_InputFunctions.Utility_DisplayArrayInTable(Fertiliser_SourceData.Fertiliser_Products_Data1(),FertiliserProducts[[#Headers],[Include or Exclude]], 0,4)</f>
        <v/>
      </c>
      <c r="R139" s="137" t="str" cm="1">
        <f t="array" ref="R139">Common_InputFunctions.Utility_DisplayArrayInTable(Fertiliser_SourceData.Fertiliser_Products_Data1(),FertiliserProducts[[#Headers],[Include or Exclude]], 0,4)</f>
        <v/>
      </c>
      <c r="S139" s="137" t="str" cm="1">
        <f t="array" ref="S139">Common_InputFunctions.Utility_DisplayArrayInTable(Fertiliser_SourceData.Fertiliser_Products_Data1(),FertiliserProducts[[#Headers],[Include or Exclude]], 0,4)</f>
        <v/>
      </c>
      <c r="T139" s="137" t="str" cm="1">
        <f t="array" ref="T139">Common_InputFunctions.Utility_DisplayArrayInTable(Fertiliser_SourceData.Fertiliser_Products_Data1(),FertiliserProducts[[#Headers],[Include or Exclude]], 0,4)</f>
        <v/>
      </c>
      <c r="U139" s="137" t="str" cm="1">
        <f t="array" ref="U139">Common_InputFunctions.Utility_DisplayArrayInTable(Fertiliser_SourceData.Fertiliser_Products_Data1(),FertiliserProducts[[#Headers],[Include or Exclude]], 0,4)</f>
        <v/>
      </c>
      <c r="V139" s="137" t="str" cm="1">
        <f t="array" ref="V139">Common_InputFunctions.Utility_DisplayArrayInTable(Fertiliser_SourceData.Fertiliser_Products_Data1(),FertiliserProducts[[#Headers],[Include or Exclude]], 0,4)</f>
        <v/>
      </c>
      <c r="W139" s="137" t="str" cm="1">
        <f t="array" ref="W139">Common_InputFunctions.Utility_DisplayArrayInTable(Fertiliser_SourceData.Fertiliser_Products_Data1(),FertiliserProducts[[#Headers],[Include or Exclude]], 0,4)</f>
        <v/>
      </c>
      <c r="X139" s="137" t="str" cm="1">
        <f t="array" ref="X139">Common_InputFunctions.Utility_DisplayArrayInTable(Fertiliser_SourceData.Fertiliser_Products_Data1(),FertiliserProducts[[#Headers],[Include or Exclude]], 0,4)</f>
        <v/>
      </c>
      <c r="Y139" s="137" t="str" cm="1">
        <f t="array" ref="Y139">Common_InputFunctions.Utility_DisplayArrayInTable(Fertiliser_SourceData.Fertiliser_Products_Data1(),FertiliserProducts[[#Headers],[Include or Exclude]], 0,4)</f>
        <v/>
      </c>
      <c r="Z139" s="137" t="str" cm="1">
        <f t="array" ref="Z139">Common_InputFunctions.Utility_DisplayArrayInTable(Fertiliser_SourceData.Fertiliser_Products_Data1(),FertiliserProducts[[#Headers],[Include or Exclude]], 0,4)</f>
        <v/>
      </c>
      <c r="AA139" s="137" t="str" cm="1">
        <f t="array" ref="AA139">Common_InputFunctions.Utility_DisplayArrayInTable(Fertiliser_SourceData.Fertiliser_Products_Data1(),FertiliserProducts[[#Headers],[Include or Exclude]], 0,4)</f>
        <v/>
      </c>
      <c r="AB139" s="137" t="str" cm="1">
        <f t="array" ref="AB139">Common_InputFunctions.Utility_DisplayArrayInTable(Fertiliser_SourceData.Fertiliser_Products_Data1(),FertiliserProducts[[#Headers],[Include or Exclude]], 0,4)</f>
        <v/>
      </c>
      <c r="AC139" s="137" t="str" cm="1">
        <f t="array" ref="AC139">Common_InputFunctions.Utility_DisplayArrayInTable(Fertiliser_SourceData.Fertiliser_Products_Data1(),FertiliserProducts[[#Headers],[Include or Exclude]], 0,4)</f>
        <v/>
      </c>
      <c r="AD139" s="137" t="str" cm="1">
        <f t="array" ref="AD139">Common_InputFunctions.Utility_DisplayArrayInTable(Fertiliser_SourceData.Fertiliser_Products_Data1(),FertiliserProducts[[#Headers],[Include or Exclude]], 0,4)</f>
        <v/>
      </c>
      <c r="AE139" s="137" t="str" cm="1">
        <f t="array" ref="AE139">Common_InputFunctions.Utility_DisplayArrayInTable(Fertiliser_SourceData.Fertiliser_Products_Data1(),FertiliserProducts[[#Headers],[Include or Exclude]], 0,4)</f>
        <v/>
      </c>
    </row>
    <row r="140" spans="4:31" ht="20.100000000000001" customHeight="1" x14ac:dyDescent="0.25">
      <c r="D140" s="137" t="str" cm="1">
        <f t="array" ref="D140">Common_InputFunctions.Utility_DisplayArrayInTable(Fertiliser_SourceData.Fertiliser_Products_Data1(),FertiliserProducts[[#Headers],[Include or Exclude]], -1)</f>
        <v/>
      </c>
      <c r="E140" s="137" t="str" cm="1">
        <f t="array" ref="E140">Common_InputFunctions.Utility_DisplayArrayInTable(Fertiliser_SourceData.Fertiliser_Products_Data1(),FertiliserProducts[[#Headers],[Include or Exclude]], 0)</f>
        <v/>
      </c>
      <c r="F140" s="137" t="str" cm="1">
        <f t="array" ref="F140">Common_InputFunctions.Utility_DisplayArrayInTable(Fertiliser_SourceData.Fertiliser_Products_Data1(),FertiliserProducts[[#Headers],[Include or Exclude]], 0)</f>
        <v/>
      </c>
      <c r="G140" s="137" t="str" cm="1">
        <f t="array" ref="G140">Common_InputFunctions.Utility_DisplayArrayInTable(Fertiliser_SourceData.Fertiliser_Products_Data1(),FertiliserProducts[[#Headers],[Include or Exclude]], 0)</f>
        <v/>
      </c>
      <c r="H140" s="137" t="str" cm="1">
        <f t="array" ref="H140">Common_InputFunctions.Utility_DisplayArrayInTable(Fertiliser_SourceData.Fertiliser_Products_Data1(),FertiliserProducts[[#Headers],[Include or Exclude]], 0,4)</f>
        <v/>
      </c>
      <c r="I140" s="137" t="str" cm="1">
        <f t="array" ref="I140">Common_InputFunctions.Utility_DisplayArrayInTable(Fertiliser_SourceData.Fertiliser_Products_Data1(),FertiliserProducts[[#Headers],[Include or Exclude]], 0,4)</f>
        <v/>
      </c>
      <c r="J140" s="137" t="str" cm="1">
        <f t="array" ref="J140">Common_InputFunctions.Utility_DisplayArrayInTable(Fertiliser_SourceData.Fertiliser_Products_Data1(),FertiliserProducts[[#Headers],[Include or Exclude]], 0,4)</f>
        <v/>
      </c>
      <c r="K140" s="137" t="str" cm="1">
        <f t="array" ref="K140">Common_InputFunctions.Utility_DisplayArrayInTable(Fertiliser_SourceData.Fertiliser_Products_Data1(),FertiliserProducts[[#Headers],[Include or Exclude]], 0,4)</f>
        <v/>
      </c>
      <c r="L140" s="137" t="str" cm="1">
        <f t="array" ref="L140">Common_InputFunctions.Utility_DisplayArrayInTable(Fertiliser_SourceData.Fertiliser_Products_Data1(),FertiliserProducts[[#Headers],[Include or Exclude]], 0,4)</f>
        <v/>
      </c>
      <c r="M140" s="137" t="str" cm="1">
        <f t="array" ref="M140">Common_InputFunctions.Utility_DisplayArrayInTable(Fertiliser_SourceData.Fertiliser_Products_Data1(),FertiliserProducts[[#Headers],[Include or Exclude]], 0,4)</f>
        <v/>
      </c>
      <c r="N140" s="137" t="str" cm="1">
        <f t="array" ref="N140">Common_InputFunctions.Utility_DisplayArrayInTable(Fertiliser_SourceData.Fertiliser_Products_Data1(),FertiliserProducts[[#Headers],[Include or Exclude]], 0,4)</f>
        <v/>
      </c>
      <c r="O140" s="137" t="str" cm="1">
        <f t="array" ref="O140">Common_InputFunctions.Utility_DisplayArrayInTable(Fertiliser_SourceData.Fertiliser_Products_Data1(),FertiliserProducts[[#Headers],[Include or Exclude]], 0,4)</f>
        <v/>
      </c>
      <c r="P140" s="137" t="str" cm="1">
        <f t="array" ref="P140">Common_InputFunctions.Utility_DisplayArrayInTable(Fertiliser_SourceData.Fertiliser_Products_Data1(),FertiliserProducts[[#Headers],[Include or Exclude]], 0,4)</f>
        <v/>
      </c>
      <c r="Q140" s="137" t="str" cm="1">
        <f t="array" ref="Q140">Common_InputFunctions.Utility_DisplayArrayInTable(Fertiliser_SourceData.Fertiliser_Products_Data1(),FertiliserProducts[[#Headers],[Include or Exclude]], 0,4)</f>
        <v/>
      </c>
      <c r="R140" s="137" t="str" cm="1">
        <f t="array" ref="R140">Common_InputFunctions.Utility_DisplayArrayInTable(Fertiliser_SourceData.Fertiliser_Products_Data1(),FertiliserProducts[[#Headers],[Include or Exclude]], 0,4)</f>
        <v/>
      </c>
      <c r="S140" s="137" t="str" cm="1">
        <f t="array" ref="S140">Common_InputFunctions.Utility_DisplayArrayInTable(Fertiliser_SourceData.Fertiliser_Products_Data1(),FertiliserProducts[[#Headers],[Include or Exclude]], 0,4)</f>
        <v/>
      </c>
      <c r="T140" s="137" t="str" cm="1">
        <f t="array" ref="T140">Common_InputFunctions.Utility_DisplayArrayInTable(Fertiliser_SourceData.Fertiliser_Products_Data1(),FertiliserProducts[[#Headers],[Include or Exclude]], 0,4)</f>
        <v/>
      </c>
      <c r="U140" s="137" t="str" cm="1">
        <f t="array" ref="U140">Common_InputFunctions.Utility_DisplayArrayInTable(Fertiliser_SourceData.Fertiliser_Products_Data1(),FertiliserProducts[[#Headers],[Include or Exclude]], 0,4)</f>
        <v/>
      </c>
      <c r="V140" s="137" t="str" cm="1">
        <f t="array" ref="V140">Common_InputFunctions.Utility_DisplayArrayInTable(Fertiliser_SourceData.Fertiliser_Products_Data1(),FertiliserProducts[[#Headers],[Include or Exclude]], 0,4)</f>
        <v/>
      </c>
      <c r="W140" s="137" t="str" cm="1">
        <f t="array" ref="W140">Common_InputFunctions.Utility_DisplayArrayInTable(Fertiliser_SourceData.Fertiliser_Products_Data1(),FertiliserProducts[[#Headers],[Include or Exclude]], 0,4)</f>
        <v/>
      </c>
      <c r="X140" s="137" t="str" cm="1">
        <f t="array" ref="X140">Common_InputFunctions.Utility_DisplayArrayInTable(Fertiliser_SourceData.Fertiliser_Products_Data1(),FertiliserProducts[[#Headers],[Include or Exclude]], 0,4)</f>
        <v/>
      </c>
      <c r="Y140" s="137" t="str" cm="1">
        <f t="array" ref="Y140">Common_InputFunctions.Utility_DisplayArrayInTable(Fertiliser_SourceData.Fertiliser_Products_Data1(),FertiliserProducts[[#Headers],[Include or Exclude]], 0,4)</f>
        <v/>
      </c>
      <c r="Z140" s="137" t="str" cm="1">
        <f t="array" ref="Z140">Common_InputFunctions.Utility_DisplayArrayInTable(Fertiliser_SourceData.Fertiliser_Products_Data1(),FertiliserProducts[[#Headers],[Include or Exclude]], 0,4)</f>
        <v/>
      </c>
      <c r="AA140" s="137" t="str" cm="1">
        <f t="array" ref="AA140">Common_InputFunctions.Utility_DisplayArrayInTable(Fertiliser_SourceData.Fertiliser_Products_Data1(),FertiliserProducts[[#Headers],[Include or Exclude]], 0,4)</f>
        <v/>
      </c>
      <c r="AB140" s="137" t="str" cm="1">
        <f t="array" ref="AB140">Common_InputFunctions.Utility_DisplayArrayInTable(Fertiliser_SourceData.Fertiliser_Products_Data1(),FertiliserProducts[[#Headers],[Include or Exclude]], 0,4)</f>
        <v/>
      </c>
      <c r="AC140" s="137" t="str" cm="1">
        <f t="array" ref="AC140">Common_InputFunctions.Utility_DisplayArrayInTable(Fertiliser_SourceData.Fertiliser_Products_Data1(),FertiliserProducts[[#Headers],[Include or Exclude]], 0,4)</f>
        <v/>
      </c>
      <c r="AD140" s="137" t="str" cm="1">
        <f t="array" ref="AD140">Common_InputFunctions.Utility_DisplayArrayInTable(Fertiliser_SourceData.Fertiliser_Products_Data1(),FertiliserProducts[[#Headers],[Include or Exclude]], 0,4)</f>
        <v/>
      </c>
      <c r="AE140" s="137" t="str" cm="1">
        <f t="array" ref="AE140">Common_InputFunctions.Utility_DisplayArrayInTable(Fertiliser_SourceData.Fertiliser_Products_Data1(),FertiliserProducts[[#Headers],[Include or Exclude]], 0,4)</f>
        <v/>
      </c>
    </row>
    <row r="141" spans="4:31" ht="20.100000000000001" customHeight="1" x14ac:dyDescent="0.25">
      <c r="D141" s="137" t="str" cm="1">
        <f t="array" ref="D141">Common_InputFunctions.Utility_DisplayArrayInTable(Fertiliser_SourceData.Fertiliser_Products_Data1(),FertiliserProducts[[#Headers],[Include or Exclude]], -1)</f>
        <v/>
      </c>
      <c r="E141" s="137" t="str" cm="1">
        <f t="array" ref="E141">Common_InputFunctions.Utility_DisplayArrayInTable(Fertiliser_SourceData.Fertiliser_Products_Data1(),FertiliserProducts[[#Headers],[Include or Exclude]], 0)</f>
        <v/>
      </c>
      <c r="F141" s="137" t="str" cm="1">
        <f t="array" ref="F141">Common_InputFunctions.Utility_DisplayArrayInTable(Fertiliser_SourceData.Fertiliser_Products_Data1(),FertiliserProducts[[#Headers],[Include or Exclude]], 0)</f>
        <v/>
      </c>
      <c r="G141" s="137" t="str" cm="1">
        <f t="array" ref="G141">Common_InputFunctions.Utility_DisplayArrayInTable(Fertiliser_SourceData.Fertiliser_Products_Data1(),FertiliserProducts[[#Headers],[Include or Exclude]], 0)</f>
        <v/>
      </c>
      <c r="H141" s="137" t="str" cm="1">
        <f t="array" ref="H141">Common_InputFunctions.Utility_DisplayArrayInTable(Fertiliser_SourceData.Fertiliser_Products_Data1(),FertiliserProducts[[#Headers],[Include or Exclude]], 0,4)</f>
        <v/>
      </c>
      <c r="I141" s="137" t="str" cm="1">
        <f t="array" ref="I141">Common_InputFunctions.Utility_DisplayArrayInTable(Fertiliser_SourceData.Fertiliser_Products_Data1(),FertiliserProducts[[#Headers],[Include or Exclude]], 0,4)</f>
        <v/>
      </c>
      <c r="J141" s="137" t="str" cm="1">
        <f t="array" ref="J141">Common_InputFunctions.Utility_DisplayArrayInTable(Fertiliser_SourceData.Fertiliser_Products_Data1(),FertiliserProducts[[#Headers],[Include or Exclude]], 0,4)</f>
        <v/>
      </c>
      <c r="K141" s="137" t="str" cm="1">
        <f t="array" ref="K141">Common_InputFunctions.Utility_DisplayArrayInTable(Fertiliser_SourceData.Fertiliser_Products_Data1(),FertiliserProducts[[#Headers],[Include or Exclude]], 0,4)</f>
        <v/>
      </c>
      <c r="L141" s="137" t="str" cm="1">
        <f t="array" ref="L141">Common_InputFunctions.Utility_DisplayArrayInTable(Fertiliser_SourceData.Fertiliser_Products_Data1(),FertiliserProducts[[#Headers],[Include or Exclude]], 0,4)</f>
        <v/>
      </c>
      <c r="M141" s="137" t="str" cm="1">
        <f t="array" ref="M141">Common_InputFunctions.Utility_DisplayArrayInTable(Fertiliser_SourceData.Fertiliser_Products_Data1(),FertiliserProducts[[#Headers],[Include or Exclude]], 0,4)</f>
        <v/>
      </c>
      <c r="N141" s="137" t="str" cm="1">
        <f t="array" ref="N141">Common_InputFunctions.Utility_DisplayArrayInTable(Fertiliser_SourceData.Fertiliser_Products_Data1(),FertiliserProducts[[#Headers],[Include or Exclude]], 0,4)</f>
        <v/>
      </c>
      <c r="O141" s="137" t="str" cm="1">
        <f t="array" ref="O141">Common_InputFunctions.Utility_DisplayArrayInTable(Fertiliser_SourceData.Fertiliser_Products_Data1(),FertiliserProducts[[#Headers],[Include or Exclude]], 0,4)</f>
        <v/>
      </c>
      <c r="P141" s="137" t="str" cm="1">
        <f t="array" ref="P141">Common_InputFunctions.Utility_DisplayArrayInTable(Fertiliser_SourceData.Fertiliser_Products_Data1(),FertiliserProducts[[#Headers],[Include or Exclude]], 0,4)</f>
        <v/>
      </c>
      <c r="Q141" s="137" t="str" cm="1">
        <f t="array" ref="Q141">Common_InputFunctions.Utility_DisplayArrayInTable(Fertiliser_SourceData.Fertiliser_Products_Data1(),FertiliserProducts[[#Headers],[Include or Exclude]], 0,4)</f>
        <v/>
      </c>
      <c r="R141" s="137" t="str" cm="1">
        <f t="array" ref="R141">Common_InputFunctions.Utility_DisplayArrayInTable(Fertiliser_SourceData.Fertiliser_Products_Data1(),FertiliserProducts[[#Headers],[Include or Exclude]], 0,4)</f>
        <v/>
      </c>
      <c r="S141" s="137" t="str" cm="1">
        <f t="array" ref="S141">Common_InputFunctions.Utility_DisplayArrayInTable(Fertiliser_SourceData.Fertiliser_Products_Data1(),FertiliserProducts[[#Headers],[Include or Exclude]], 0,4)</f>
        <v/>
      </c>
      <c r="T141" s="137" t="str" cm="1">
        <f t="array" ref="T141">Common_InputFunctions.Utility_DisplayArrayInTable(Fertiliser_SourceData.Fertiliser_Products_Data1(),FertiliserProducts[[#Headers],[Include or Exclude]], 0,4)</f>
        <v/>
      </c>
      <c r="U141" s="137" t="str" cm="1">
        <f t="array" ref="U141">Common_InputFunctions.Utility_DisplayArrayInTable(Fertiliser_SourceData.Fertiliser_Products_Data1(),FertiliserProducts[[#Headers],[Include or Exclude]], 0,4)</f>
        <v/>
      </c>
      <c r="V141" s="137" t="str" cm="1">
        <f t="array" ref="V141">Common_InputFunctions.Utility_DisplayArrayInTable(Fertiliser_SourceData.Fertiliser_Products_Data1(),FertiliserProducts[[#Headers],[Include or Exclude]], 0,4)</f>
        <v/>
      </c>
      <c r="W141" s="137" t="str" cm="1">
        <f t="array" ref="W141">Common_InputFunctions.Utility_DisplayArrayInTable(Fertiliser_SourceData.Fertiliser_Products_Data1(),FertiliserProducts[[#Headers],[Include or Exclude]], 0,4)</f>
        <v/>
      </c>
      <c r="X141" s="137" t="str" cm="1">
        <f t="array" ref="X141">Common_InputFunctions.Utility_DisplayArrayInTable(Fertiliser_SourceData.Fertiliser_Products_Data1(),FertiliserProducts[[#Headers],[Include or Exclude]], 0,4)</f>
        <v/>
      </c>
      <c r="Y141" s="137" t="str" cm="1">
        <f t="array" ref="Y141">Common_InputFunctions.Utility_DisplayArrayInTable(Fertiliser_SourceData.Fertiliser_Products_Data1(),FertiliserProducts[[#Headers],[Include or Exclude]], 0,4)</f>
        <v/>
      </c>
      <c r="Z141" s="137" t="str" cm="1">
        <f t="array" ref="Z141">Common_InputFunctions.Utility_DisplayArrayInTable(Fertiliser_SourceData.Fertiliser_Products_Data1(),FertiliserProducts[[#Headers],[Include or Exclude]], 0,4)</f>
        <v/>
      </c>
      <c r="AA141" s="137" t="str" cm="1">
        <f t="array" ref="AA141">Common_InputFunctions.Utility_DisplayArrayInTable(Fertiliser_SourceData.Fertiliser_Products_Data1(),FertiliserProducts[[#Headers],[Include or Exclude]], 0,4)</f>
        <v/>
      </c>
      <c r="AB141" s="137" t="str" cm="1">
        <f t="array" ref="AB141">Common_InputFunctions.Utility_DisplayArrayInTable(Fertiliser_SourceData.Fertiliser_Products_Data1(),FertiliserProducts[[#Headers],[Include or Exclude]], 0,4)</f>
        <v/>
      </c>
      <c r="AC141" s="137" t="str" cm="1">
        <f t="array" ref="AC141">Common_InputFunctions.Utility_DisplayArrayInTable(Fertiliser_SourceData.Fertiliser_Products_Data1(),FertiliserProducts[[#Headers],[Include or Exclude]], 0,4)</f>
        <v/>
      </c>
      <c r="AD141" s="137" t="str" cm="1">
        <f t="array" ref="AD141">Common_InputFunctions.Utility_DisplayArrayInTable(Fertiliser_SourceData.Fertiliser_Products_Data1(),FertiliserProducts[[#Headers],[Include or Exclude]], 0,4)</f>
        <v/>
      </c>
      <c r="AE141" s="137" t="str" cm="1">
        <f t="array" ref="AE141">Common_InputFunctions.Utility_DisplayArrayInTable(Fertiliser_SourceData.Fertiliser_Products_Data1(),FertiliserProducts[[#Headers],[Include or Exclude]], 0,4)</f>
        <v/>
      </c>
    </row>
    <row r="142" spans="4:31" ht="20.100000000000001" customHeight="1" x14ac:dyDescent="0.25">
      <c r="D142" s="137" t="str" cm="1">
        <f t="array" ref="D142">Common_InputFunctions.Utility_DisplayArrayInTable(Fertiliser_SourceData.Fertiliser_Products_Data1(),FertiliserProducts[[#Headers],[Include or Exclude]], -1)</f>
        <v/>
      </c>
      <c r="E142" s="137" t="str" cm="1">
        <f t="array" ref="E142">Common_InputFunctions.Utility_DisplayArrayInTable(Fertiliser_SourceData.Fertiliser_Products_Data1(),FertiliserProducts[[#Headers],[Include or Exclude]], 0)</f>
        <v/>
      </c>
      <c r="F142" s="137" t="str" cm="1">
        <f t="array" ref="F142">Common_InputFunctions.Utility_DisplayArrayInTable(Fertiliser_SourceData.Fertiliser_Products_Data1(),FertiliserProducts[[#Headers],[Include or Exclude]], 0)</f>
        <v/>
      </c>
      <c r="G142" s="137" t="str" cm="1">
        <f t="array" ref="G142">Common_InputFunctions.Utility_DisplayArrayInTable(Fertiliser_SourceData.Fertiliser_Products_Data1(),FertiliserProducts[[#Headers],[Include or Exclude]], 0)</f>
        <v/>
      </c>
      <c r="H142" s="137" t="str" cm="1">
        <f t="array" ref="H142">Common_InputFunctions.Utility_DisplayArrayInTable(Fertiliser_SourceData.Fertiliser_Products_Data1(),FertiliserProducts[[#Headers],[Include or Exclude]], 0,4)</f>
        <v/>
      </c>
      <c r="I142" s="137" t="str" cm="1">
        <f t="array" ref="I142">Common_InputFunctions.Utility_DisplayArrayInTable(Fertiliser_SourceData.Fertiliser_Products_Data1(),FertiliserProducts[[#Headers],[Include or Exclude]], 0,4)</f>
        <v/>
      </c>
      <c r="J142" s="137" t="str" cm="1">
        <f t="array" ref="J142">Common_InputFunctions.Utility_DisplayArrayInTable(Fertiliser_SourceData.Fertiliser_Products_Data1(),FertiliserProducts[[#Headers],[Include or Exclude]], 0,4)</f>
        <v/>
      </c>
      <c r="K142" s="137" t="str" cm="1">
        <f t="array" ref="K142">Common_InputFunctions.Utility_DisplayArrayInTable(Fertiliser_SourceData.Fertiliser_Products_Data1(),FertiliserProducts[[#Headers],[Include or Exclude]], 0,4)</f>
        <v/>
      </c>
      <c r="L142" s="137" t="str" cm="1">
        <f t="array" ref="L142">Common_InputFunctions.Utility_DisplayArrayInTable(Fertiliser_SourceData.Fertiliser_Products_Data1(),FertiliserProducts[[#Headers],[Include or Exclude]], 0,4)</f>
        <v/>
      </c>
      <c r="M142" s="137" t="str" cm="1">
        <f t="array" ref="M142">Common_InputFunctions.Utility_DisplayArrayInTable(Fertiliser_SourceData.Fertiliser_Products_Data1(),FertiliserProducts[[#Headers],[Include or Exclude]], 0,4)</f>
        <v/>
      </c>
      <c r="N142" s="137" t="str" cm="1">
        <f t="array" ref="N142">Common_InputFunctions.Utility_DisplayArrayInTable(Fertiliser_SourceData.Fertiliser_Products_Data1(),FertiliserProducts[[#Headers],[Include or Exclude]], 0,4)</f>
        <v/>
      </c>
      <c r="O142" s="137" t="str" cm="1">
        <f t="array" ref="O142">Common_InputFunctions.Utility_DisplayArrayInTable(Fertiliser_SourceData.Fertiliser_Products_Data1(),FertiliserProducts[[#Headers],[Include or Exclude]], 0,4)</f>
        <v/>
      </c>
      <c r="P142" s="137" t="str" cm="1">
        <f t="array" ref="P142">Common_InputFunctions.Utility_DisplayArrayInTable(Fertiliser_SourceData.Fertiliser_Products_Data1(),FertiliserProducts[[#Headers],[Include or Exclude]], 0,4)</f>
        <v/>
      </c>
      <c r="Q142" s="137" t="str" cm="1">
        <f t="array" ref="Q142">Common_InputFunctions.Utility_DisplayArrayInTable(Fertiliser_SourceData.Fertiliser_Products_Data1(),FertiliserProducts[[#Headers],[Include or Exclude]], 0,4)</f>
        <v/>
      </c>
      <c r="R142" s="137" t="str" cm="1">
        <f t="array" ref="R142">Common_InputFunctions.Utility_DisplayArrayInTable(Fertiliser_SourceData.Fertiliser_Products_Data1(),FertiliserProducts[[#Headers],[Include or Exclude]], 0,4)</f>
        <v/>
      </c>
      <c r="S142" s="137" t="str" cm="1">
        <f t="array" ref="S142">Common_InputFunctions.Utility_DisplayArrayInTable(Fertiliser_SourceData.Fertiliser_Products_Data1(),FertiliserProducts[[#Headers],[Include or Exclude]], 0,4)</f>
        <v/>
      </c>
      <c r="T142" s="137" t="str" cm="1">
        <f t="array" ref="T142">Common_InputFunctions.Utility_DisplayArrayInTable(Fertiliser_SourceData.Fertiliser_Products_Data1(),FertiliserProducts[[#Headers],[Include or Exclude]], 0,4)</f>
        <v/>
      </c>
      <c r="U142" s="137" t="str" cm="1">
        <f t="array" ref="U142">Common_InputFunctions.Utility_DisplayArrayInTable(Fertiliser_SourceData.Fertiliser_Products_Data1(),FertiliserProducts[[#Headers],[Include or Exclude]], 0,4)</f>
        <v/>
      </c>
      <c r="V142" s="137" t="str" cm="1">
        <f t="array" ref="V142">Common_InputFunctions.Utility_DisplayArrayInTable(Fertiliser_SourceData.Fertiliser_Products_Data1(),FertiliserProducts[[#Headers],[Include or Exclude]], 0,4)</f>
        <v/>
      </c>
      <c r="W142" s="137" t="str" cm="1">
        <f t="array" ref="W142">Common_InputFunctions.Utility_DisplayArrayInTable(Fertiliser_SourceData.Fertiliser_Products_Data1(),FertiliserProducts[[#Headers],[Include or Exclude]], 0,4)</f>
        <v/>
      </c>
      <c r="X142" s="137" t="str" cm="1">
        <f t="array" ref="X142">Common_InputFunctions.Utility_DisplayArrayInTable(Fertiliser_SourceData.Fertiliser_Products_Data1(),FertiliserProducts[[#Headers],[Include or Exclude]], 0,4)</f>
        <v/>
      </c>
      <c r="Y142" s="137" t="str" cm="1">
        <f t="array" ref="Y142">Common_InputFunctions.Utility_DisplayArrayInTable(Fertiliser_SourceData.Fertiliser_Products_Data1(),FertiliserProducts[[#Headers],[Include or Exclude]], 0,4)</f>
        <v/>
      </c>
      <c r="Z142" s="137" t="str" cm="1">
        <f t="array" ref="Z142">Common_InputFunctions.Utility_DisplayArrayInTable(Fertiliser_SourceData.Fertiliser_Products_Data1(),FertiliserProducts[[#Headers],[Include or Exclude]], 0,4)</f>
        <v/>
      </c>
      <c r="AA142" s="137" t="str" cm="1">
        <f t="array" ref="AA142">Common_InputFunctions.Utility_DisplayArrayInTable(Fertiliser_SourceData.Fertiliser_Products_Data1(),FertiliserProducts[[#Headers],[Include or Exclude]], 0,4)</f>
        <v/>
      </c>
      <c r="AB142" s="137" t="str" cm="1">
        <f t="array" ref="AB142">Common_InputFunctions.Utility_DisplayArrayInTable(Fertiliser_SourceData.Fertiliser_Products_Data1(),FertiliserProducts[[#Headers],[Include or Exclude]], 0,4)</f>
        <v/>
      </c>
      <c r="AC142" s="137" t="str" cm="1">
        <f t="array" ref="AC142">Common_InputFunctions.Utility_DisplayArrayInTable(Fertiliser_SourceData.Fertiliser_Products_Data1(),FertiliserProducts[[#Headers],[Include or Exclude]], 0,4)</f>
        <v/>
      </c>
      <c r="AD142" s="137" t="str" cm="1">
        <f t="array" ref="AD142">Common_InputFunctions.Utility_DisplayArrayInTable(Fertiliser_SourceData.Fertiliser_Products_Data1(),FertiliserProducts[[#Headers],[Include or Exclude]], 0,4)</f>
        <v/>
      </c>
      <c r="AE142" s="137" t="str" cm="1">
        <f t="array" ref="AE142">Common_InputFunctions.Utility_DisplayArrayInTable(Fertiliser_SourceData.Fertiliser_Products_Data1(),FertiliserProducts[[#Headers],[Include or Exclude]], 0,4)</f>
        <v/>
      </c>
    </row>
    <row r="143" spans="4:31" ht="20.100000000000001" customHeight="1" x14ac:dyDescent="0.25">
      <c r="D143" s="137" t="str" cm="1">
        <f t="array" ref="D143">Common_InputFunctions.Utility_DisplayArrayInTable(Fertiliser_SourceData.Fertiliser_Products_Data1(),FertiliserProducts[[#Headers],[Include or Exclude]], -1)</f>
        <v/>
      </c>
      <c r="E143" s="137" t="str" cm="1">
        <f t="array" ref="E143">Common_InputFunctions.Utility_DisplayArrayInTable(Fertiliser_SourceData.Fertiliser_Products_Data1(),FertiliserProducts[[#Headers],[Include or Exclude]], 0)</f>
        <v/>
      </c>
      <c r="F143" s="137" t="str" cm="1">
        <f t="array" ref="F143">Common_InputFunctions.Utility_DisplayArrayInTable(Fertiliser_SourceData.Fertiliser_Products_Data1(),FertiliserProducts[[#Headers],[Include or Exclude]], 0)</f>
        <v/>
      </c>
      <c r="G143" s="137" t="str" cm="1">
        <f t="array" ref="G143">Common_InputFunctions.Utility_DisplayArrayInTable(Fertiliser_SourceData.Fertiliser_Products_Data1(),FertiliserProducts[[#Headers],[Include or Exclude]], 0)</f>
        <v/>
      </c>
      <c r="H143" s="137" t="str" cm="1">
        <f t="array" ref="H143">Common_InputFunctions.Utility_DisplayArrayInTable(Fertiliser_SourceData.Fertiliser_Products_Data1(),FertiliserProducts[[#Headers],[Include or Exclude]], 0,4)</f>
        <v/>
      </c>
      <c r="I143" s="137" t="str" cm="1">
        <f t="array" ref="I143">Common_InputFunctions.Utility_DisplayArrayInTable(Fertiliser_SourceData.Fertiliser_Products_Data1(),FertiliserProducts[[#Headers],[Include or Exclude]], 0,4)</f>
        <v/>
      </c>
      <c r="J143" s="137" t="str" cm="1">
        <f t="array" ref="J143">Common_InputFunctions.Utility_DisplayArrayInTable(Fertiliser_SourceData.Fertiliser_Products_Data1(),FertiliserProducts[[#Headers],[Include or Exclude]], 0,4)</f>
        <v/>
      </c>
      <c r="K143" s="137" t="str" cm="1">
        <f t="array" ref="K143">Common_InputFunctions.Utility_DisplayArrayInTable(Fertiliser_SourceData.Fertiliser_Products_Data1(),FertiliserProducts[[#Headers],[Include or Exclude]], 0,4)</f>
        <v/>
      </c>
      <c r="L143" s="137" t="str" cm="1">
        <f t="array" ref="L143">Common_InputFunctions.Utility_DisplayArrayInTable(Fertiliser_SourceData.Fertiliser_Products_Data1(),FertiliserProducts[[#Headers],[Include or Exclude]], 0,4)</f>
        <v/>
      </c>
      <c r="M143" s="137" t="str" cm="1">
        <f t="array" ref="M143">Common_InputFunctions.Utility_DisplayArrayInTable(Fertiliser_SourceData.Fertiliser_Products_Data1(),FertiliserProducts[[#Headers],[Include or Exclude]], 0,4)</f>
        <v/>
      </c>
      <c r="N143" s="137" t="str" cm="1">
        <f t="array" ref="N143">Common_InputFunctions.Utility_DisplayArrayInTable(Fertiliser_SourceData.Fertiliser_Products_Data1(),FertiliserProducts[[#Headers],[Include or Exclude]], 0,4)</f>
        <v/>
      </c>
      <c r="O143" s="137" t="str" cm="1">
        <f t="array" ref="O143">Common_InputFunctions.Utility_DisplayArrayInTable(Fertiliser_SourceData.Fertiliser_Products_Data1(),FertiliserProducts[[#Headers],[Include or Exclude]], 0,4)</f>
        <v/>
      </c>
      <c r="P143" s="137" t="str" cm="1">
        <f t="array" ref="P143">Common_InputFunctions.Utility_DisplayArrayInTable(Fertiliser_SourceData.Fertiliser_Products_Data1(),FertiliserProducts[[#Headers],[Include or Exclude]], 0,4)</f>
        <v/>
      </c>
      <c r="Q143" s="137" t="str" cm="1">
        <f t="array" ref="Q143">Common_InputFunctions.Utility_DisplayArrayInTable(Fertiliser_SourceData.Fertiliser_Products_Data1(),FertiliserProducts[[#Headers],[Include or Exclude]], 0,4)</f>
        <v/>
      </c>
      <c r="R143" s="137" t="str" cm="1">
        <f t="array" ref="R143">Common_InputFunctions.Utility_DisplayArrayInTable(Fertiliser_SourceData.Fertiliser_Products_Data1(),FertiliserProducts[[#Headers],[Include or Exclude]], 0,4)</f>
        <v/>
      </c>
      <c r="S143" s="137" t="str" cm="1">
        <f t="array" ref="S143">Common_InputFunctions.Utility_DisplayArrayInTable(Fertiliser_SourceData.Fertiliser_Products_Data1(),FertiliserProducts[[#Headers],[Include or Exclude]], 0,4)</f>
        <v/>
      </c>
      <c r="T143" s="137" t="str" cm="1">
        <f t="array" ref="T143">Common_InputFunctions.Utility_DisplayArrayInTable(Fertiliser_SourceData.Fertiliser_Products_Data1(),FertiliserProducts[[#Headers],[Include or Exclude]], 0,4)</f>
        <v/>
      </c>
      <c r="U143" s="137" t="str" cm="1">
        <f t="array" ref="U143">Common_InputFunctions.Utility_DisplayArrayInTable(Fertiliser_SourceData.Fertiliser_Products_Data1(),FertiliserProducts[[#Headers],[Include or Exclude]], 0,4)</f>
        <v/>
      </c>
      <c r="V143" s="137" t="str" cm="1">
        <f t="array" ref="V143">Common_InputFunctions.Utility_DisplayArrayInTable(Fertiliser_SourceData.Fertiliser_Products_Data1(),FertiliserProducts[[#Headers],[Include or Exclude]], 0,4)</f>
        <v/>
      </c>
      <c r="W143" s="137" t="str" cm="1">
        <f t="array" ref="W143">Common_InputFunctions.Utility_DisplayArrayInTable(Fertiliser_SourceData.Fertiliser_Products_Data1(),FertiliserProducts[[#Headers],[Include or Exclude]], 0,4)</f>
        <v/>
      </c>
      <c r="X143" s="137" t="str" cm="1">
        <f t="array" ref="X143">Common_InputFunctions.Utility_DisplayArrayInTable(Fertiliser_SourceData.Fertiliser_Products_Data1(),FertiliserProducts[[#Headers],[Include or Exclude]], 0,4)</f>
        <v/>
      </c>
      <c r="Y143" s="137" t="str" cm="1">
        <f t="array" ref="Y143">Common_InputFunctions.Utility_DisplayArrayInTable(Fertiliser_SourceData.Fertiliser_Products_Data1(),FertiliserProducts[[#Headers],[Include or Exclude]], 0,4)</f>
        <v/>
      </c>
      <c r="Z143" s="137" t="str" cm="1">
        <f t="array" ref="Z143">Common_InputFunctions.Utility_DisplayArrayInTable(Fertiliser_SourceData.Fertiliser_Products_Data1(),FertiliserProducts[[#Headers],[Include or Exclude]], 0,4)</f>
        <v/>
      </c>
      <c r="AA143" s="137" t="str" cm="1">
        <f t="array" ref="AA143">Common_InputFunctions.Utility_DisplayArrayInTable(Fertiliser_SourceData.Fertiliser_Products_Data1(),FertiliserProducts[[#Headers],[Include or Exclude]], 0,4)</f>
        <v/>
      </c>
      <c r="AB143" s="137" t="str" cm="1">
        <f t="array" ref="AB143">Common_InputFunctions.Utility_DisplayArrayInTable(Fertiliser_SourceData.Fertiliser_Products_Data1(),FertiliserProducts[[#Headers],[Include or Exclude]], 0,4)</f>
        <v/>
      </c>
      <c r="AC143" s="137" t="str" cm="1">
        <f t="array" ref="AC143">Common_InputFunctions.Utility_DisplayArrayInTable(Fertiliser_SourceData.Fertiliser_Products_Data1(),FertiliserProducts[[#Headers],[Include or Exclude]], 0,4)</f>
        <v/>
      </c>
      <c r="AD143" s="137" t="str" cm="1">
        <f t="array" ref="AD143">Common_InputFunctions.Utility_DisplayArrayInTable(Fertiliser_SourceData.Fertiliser_Products_Data1(),FertiliserProducts[[#Headers],[Include or Exclude]], 0,4)</f>
        <v/>
      </c>
      <c r="AE143" s="137" t="str" cm="1">
        <f t="array" ref="AE143">Common_InputFunctions.Utility_DisplayArrayInTable(Fertiliser_SourceData.Fertiliser_Products_Data1(),FertiliserProducts[[#Headers],[Include or Exclude]], 0,4)</f>
        <v/>
      </c>
    </row>
    <row r="144" spans="4:31" ht="20.100000000000001" customHeight="1" x14ac:dyDescent="0.25">
      <c r="D144" s="137" t="str" cm="1">
        <f t="array" ref="D144">Common_InputFunctions.Utility_DisplayArrayInTable(Fertiliser_SourceData.Fertiliser_Products_Data1(),FertiliserProducts[[#Headers],[Include or Exclude]], -1)</f>
        <v/>
      </c>
      <c r="E144" s="137" t="str" cm="1">
        <f t="array" ref="E144">Common_InputFunctions.Utility_DisplayArrayInTable(Fertiliser_SourceData.Fertiliser_Products_Data1(),FertiliserProducts[[#Headers],[Include or Exclude]], 0)</f>
        <v/>
      </c>
      <c r="F144" s="137" t="str" cm="1">
        <f t="array" ref="F144">Common_InputFunctions.Utility_DisplayArrayInTable(Fertiliser_SourceData.Fertiliser_Products_Data1(),FertiliserProducts[[#Headers],[Include or Exclude]], 0)</f>
        <v/>
      </c>
      <c r="G144" s="137" t="str" cm="1">
        <f t="array" ref="G144">Common_InputFunctions.Utility_DisplayArrayInTable(Fertiliser_SourceData.Fertiliser_Products_Data1(),FertiliserProducts[[#Headers],[Include or Exclude]], 0)</f>
        <v/>
      </c>
      <c r="H144" s="137" t="str" cm="1">
        <f t="array" ref="H144">Common_InputFunctions.Utility_DisplayArrayInTable(Fertiliser_SourceData.Fertiliser_Products_Data1(),FertiliserProducts[[#Headers],[Include or Exclude]], 0,4)</f>
        <v/>
      </c>
      <c r="I144" s="137" t="str" cm="1">
        <f t="array" ref="I144">Common_InputFunctions.Utility_DisplayArrayInTable(Fertiliser_SourceData.Fertiliser_Products_Data1(),FertiliserProducts[[#Headers],[Include or Exclude]], 0,4)</f>
        <v/>
      </c>
      <c r="J144" s="137" t="str" cm="1">
        <f t="array" ref="J144">Common_InputFunctions.Utility_DisplayArrayInTable(Fertiliser_SourceData.Fertiliser_Products_Data1(),FertiliserProducts[[#Headers],[Include or Exclude]], 0,4)</f>
        <v/>
      </c>
      <c r="K144" s="137" t="str" cm="1">
        <f t="array" ref="K144">Common_InputFunctions.Utility_DisplayArrayInTable(Fertiliser_SourceData.Fertiliser_Products_Data1(),FertiliserProducts[[#Headers],[Include or Exclude]], 0,4)</f>
        <v/>
      </c>
      <c r="L144" s="137" t="str" cm="1">
        <f t="array" ref="L144">Common_InputFunctions.Utility_DisplayArrayInTable(Fertiliser_SourceData.Fertiliser_Products_Data1(),FertiliserProducts[[#Headers],[Include or Exclude]], 0,4)</f>
        <v/>
      </c>
      <c r="M144" s="137" t="str" cm="1">
        <f t="array" ref="M144">Common_InputFunctions.Utility_DisplayArrayInTable(Fertiliser_SourceData.Fertiliser_Products_Data1(),FertiliserProducts[[#Headers],[Include or Exclude]], 0,4)</f>
        <v/>
      </c>
      <c r="N144" s="137" t="str" cm="1">
        <f t="array" ref="N144">Common_InputFunctions.Utility_DisplayArrayInTable(Fertiliser_SourceData.Fertiliser_Products_Data1(),FertiliserProducts[[#Headers],[Include or Exclude]], 0,4)</f>
        <v/>
      </c>
      <c r="O144" s="137" t="str" cm="1">
        <f t="array" ref="O144">Common_InputFunctions.Utility_DisplayArrayInTable(Fertiliser_SourceData.Fertiliser_Products_Data1(),FertiliserProducts[[#Headers],[Include or Exclude]], 0,4)</f>
        <v/>
      </c>
      <c r="P144" s="137" t="str" cm="1">
        <f t="array" ref="P144">Common_InputFunctions.Utility_DisplayArrayInTable(Fertiliser_SourceData.Fertiliser_Products_Data1(),FertiliserProducts[[#Headers],[Include or Exclude]], 0,4)</f>
        <v/>
      </c>
      <c r="Q144" s="137" t="str" cm="1">
        <f t="array" ref="Q144">Common_InputFunctions.Utility_DisplayArrayInTable(Fertiliser_SourceData.Fertiliser_Products_Data1(),FertiliserProducts[[#Headers],[Include or Exclude]], 0,4)</f>
        <v/>
      </c>
      <c r="R144" s="137" t="str" cm="1">
        <f t="array" ref="R144">Common_InputFunctions.Utility_DisplayArrayInTable(Fertiliser_SourceData.Fertiliser_Products_Data1(),FertiliserProducts[[#Headers],[Include or Exclude]], 0,4)</f>
        <v/>
      </c>
      <c r="S144" s="137" t="str" cm="1">
        <f t="array" ref="S144">Common_InputFunctions.Utility_DisplayArrayInTable(Fertiliser_SourceData.Fertiliser_Products_Data1(),FertiliserProducts[[#Headers],[Include or Exclude]], 0,4)</f>
        <v/>
      </c>
      <c r="T144" s="137" t="str" cm="1">
        <f t="array" ref="T144">Common_InputFunctions.Utility_DisplayArrayInTable(Fertiliser_SourceData.Fertiliser_Products_Data1(),FertiliserProducts[[#Headers],[Include or Exclude]], 0,4)</f>
        <v/>
      </c>
      <c r="U144" s="137" t="str" cm="1">
        <f t="array" ref="U144">Common_InputFunctions.Utility_DisplayArrayInTable(Fertiliser_SourceData.Fertiliser_Products_Data1(),FertiliserProducts[[#Headers],[Include or Exclude]], 0,4)</f>
        <v/>
      </c>
      <c r="V144" s="137" t="str" cm="1">
        <f t="array" ref="V144">Common_InputFunctions.Utility_DisplayArrayInTable(Fertiliser_SourceData.Fertiliser_Products_Data1(),FertiliserProducts[[#Headers],[Include or Exclude]], 0,4)</f>
        <v/>
      </c>
      <c r="W144" s="137" t="str" cm="1">
        <f t="array" ref="W144">Common_InputFunctions.Utility_DisplayArrayInTable(Fertiliser_SourceData.Fertiliser_Products_Data1(),FertiliserProducts[[#Headers],[Include or Exclude]], 0,4)</f>
        <v/>
      </c>
      <c r="X144" s="137" t="str" cm="1">
        <f t="array" ref="X144">Common_InputFunctions.Utility_DisplayArrayInTable(Fertiliser_SourceData.Fertiliser_Products_Data1(),FertiliserProducts[[#Headers],[Include or Exclude]], 0,4)</f>
        <v/>
      </c>
      <c r="Y144" s="137" t="str" cm="1">
        <f t="array" ref="Y144">Common_InputFunctions.Utility_DisplayArrayInTable(Fertiliser_SourceData.Fertiliser_Products_Data1(),FertiliserProducts[[#Headers],[Include or Exclude]], 0,4)</f>
        <v/>
      </c>
      <c r="Z144" s="137" t="str" cm="1">
        <f t="array" ref="Z144">Common_InputFunctions.Utility_DisplayArrayInTable(Fertiliser_SourceData.Fertiliser_Products_Data1(),FertiliserProducts[[#Headers],[Include or Exclude]], 0,4)</f>
        <v/>
      </c>
      <c r="AA144" s="137" t="str" cm="1">
        <f t="array" ref="AA144">Common_InputFunctions.Utility_DisplayArrayInTable(Fertiliser_SourceData.Fertiliser_Products_Data1(),FertiliserProducts[[#Headers],[Include or Exclude]], 0,4)</f>
        <v/>
      </c>
      <c r="AB144" s="137" t="str" cm="1">
        <f t="array" ref="AB144">Common_InputFunctions.Utility_DisplayArrayInTable(Fertiliser_SourceData.Fertiliser_Products_Data1(),FertiliserProducts[[#Headers],[Include or Exclude]], 0,4)</f>
        <v/>
      </c>
      <c r="AC144" s="137" t="str" cm="1">
        <f t="array" ref="AC144">Common_InputFunctions.Utility_DisplayArrayInTable(Fertiliser_SourceData.Fertiliser_Products_Data1(),FertiliserProducts[[#Headers],[Include or Exclude]], 0,4)</f>
        <v/>
      </c>
      <c r="AD144" s="137" t="str" cm="1">
        <f t="array" ref="AD144">Common_InputFunctions.Utility_DisplayArrayInTable(Fertiliser_SourceData.Fertiliser_Products_Data1(),FertiliserProducts[[#Headers],[Include or Exclude]], 0,4)</f>
        <v/>
      </c>
      <c r="AE144" s="137" t="str" cm="1">
        <f t="array" ref="AE144">Common_InputFunctions.Utility_DisplayArrayInTable(Fertiliser_SourceData.Fertiliser_Products_Data1(),FertiliserProducts[[#Headers],[Include or Exclude]], 0,4)</f>
        <v/>
      </c>
    </row>
    <row r="145" spans="4:31" ht="20.100000000000001" customHeight="1" x14ac:dyDescent="0.25">
      <c r="D145" s="137" t="str" cm="1">
        <f t="array" ref="D145">Common_InputFunctions.Utility_DisplayArrayInTable(Fertiliser_SourceData.Fertiliser_Products_Data1(),FertiliserProducts[[#Headers],[Include or Exclude]], -1)</f>
        <v/>
      </c>
      <c r="E145" s="137" t="str" cm="1">
        <f t="array" ref="E145">Common_InputFunctions.Utility_DisplayArrayInTable(Fertiliser_SourceData.Fertiliser_Products_Data1(),FertiliserProducts[[#Headers],[Include or Exclude]], 0)</f>
        <v/>
      </c>
      <c r="F145" s="137" t="str" cm="1">
        <f t="array" ref="F145">Common_InputFunctions.Utility_DisplayArrayInTable(Fertiliser_SourceData.Fertiliser_Products_Data1(),FertiliserProducts[[#Headers],[Include or Exclude]], 0)</f>
        <v/>
      </c>
      <c r="G145" s="137" t="str" cm="1">
        <f t="array" ref="G145">Common_InputFunctions.Utility_DisplayArrayInTable(Fertiliser_SourceData.Fertiliser_Products_Data1(),FertiliserProducts[[#Headers],[Include or Exclude]], 0)</f>
        <v/>
      </c>
      <c r="H145" s="137" t="str" cm="1">
        <f t="array" ref="H145">Common_InputFunctions.Utility_DisplayArrayInTable(Fertiliser_SourceData.Fertiliser_Products_Data1(),FertiliserProducts[[#Headers],[Include or Exclude]], 0,4)</f>
        <v/>
      </c>
      <c r="I145" s="137" t="str" cm="1">
        <f t="array" ref="I145">Common_InputFunctions.Utility_DisplayArrayInTable(Fertiliser_SourceData.Fertiliser_Products_Data1(),FertiliserProducts[[#Headers],[Include or Exclude]], 0,4)</f>
        <v/>
      </c>
      <c r="J145" s="137" t="str" cm="1">
        <f t="array" ref="J145">Common_InputFunctions.Utility_DisplayArrayInTable(Fertiliser_SourceData.Fertiliser_Products_Data1(),FertiliserProducts[[#Headers],[Include or Exclude]], 0,4)</f>
        <v/>
      </c>
      <c r="K145" s="137" t="str" cm="1">
        <f t="array" ref="K145">Common_InputFunctions.Utility_DisplayArrayInTable(Fertiliser_SourceData.Fertiliser_Products_Data1(),FertiliserProducts[[#Headers],[Include or Exclude]], 0,4)</f>
        <v/>
      </c>
      <c r="L145" s="137" t="str" cm="1">
        <f t="array" ref="L145">Common_InputFunctions.Utility_DisplayArrayInTable(Fertiliser_SourceData.Fertiliser_Products_Data1(),FertiliserProducts[[#Headers],[Include or Exclude]], 0,4)</f>
        <v/>
      </c>
      <c r="M145" s="137" t="str" cm="1">
        <f t="array" ref="M145">Common_InputFunctions.Utility_DisplayArrayInTable(Fertiliser_SourceData.Fertiliser_Products_Data1(),FertiliserProducts[[#Headers],[Include or Exclude]], 0,4)</f>
        <v/>
      </c>
      <c r="N145" s="137" t="str" cm="1">
        <f t="array" ref="N145">Common_InputFunctions.Utility_DisplayArrayInTable(Fertiliser_SourceData.Fertiliser_Products_Data1(),FertiliserProducts[[#Headers],[Include or Exclude]], 0,4)</f>
        <v/>
      </c>
      <c r="O145" s="137" t="str" cm="1">
        <f t="array" ref="O145">Common_InputFunctions.Utility_DisplayArrayInTable(Fertiliser_SourceData.Fertiliser_Products_Data1(),FertiliserProducts[[#Headers],[Include or Exclude]], 0,4)</f>
        <v/>
      </c>
      <c r="P145" s="137" t="str" cm="1">
        <f t="array" ref="P145">Common_InputFunctions.Utility_DisplayArrayInTable(Fertiliser_SourceData.Fertiliser_Products_Data1(),FertiliserProducts[[#Headers],[Include or Exclude]], 0,4)</f>
        <v/>
      </c>
      <c r="Q145" s="137" t="str" cm="1">
        <f t="array" ref="Q145">Common_InputFunctions.Utility_DisplayArrayInTable(Fertiliser_SourceData.Fertiliser_Products_Data1(),FertiliserProducts[[#Headers],[Include or Exclude]], 0,4)</f>
        <v/>
      </c>
      <c r="R145" s="137" t="str" cm="1">
        <f t="array" ref="R145">Common_InputFunctions.Utility_DisplayArrayInTable(Fertiliser_SourceData.Fertiliser_Products_Data1(),FertiliserProducts[[#Headers],[Include or Exclude]], 0,4)</f>
        <v/>
      </c>
      <c r="S145" s="137" t="str" cm="1">
        <f t="array" ref="S145">Common_InputFunctions.Utility_DisplayArrayInTable(Fertiliser_SourceData.Fertiliser_Products_Data1(),FertiliserProducts[[#Headers],[Include or Exclude]], 0,4)</f>
        <v/>
      </c>
      <c r="T145" s="137" t="str" cm="1">
        <f t="array" ref="T145">Common_InputFunctions.Utility_DisplayArrayInTable(Fertiliser_SourceData.Fertiliser_Products_Data1(),FertiliserProducts[[#Headers],[Include or Exclude]], 0,4)</f>
        <v/>
      </c>
      <c r="U145" s="137" t="str" cm="1">
        <f t="array" ref="U145">Common_InputFunctions.Utility_DisplayArrayInTable(Fertiliser_SourceData.Fertiliser_Products_Data1(),FertiliserProducts[[#Headers],[Include or Exclude]], 0,4)</f>
        <v/>
      </c>
      <c r="V145" s="137" t="str" cm="1">
        <f t="array" ref="V145">Common_InputFunctions.Utility_DisplayArrayInTable(Fertiliser_SourceData.Fertiliser_Products_Data1(),FertiliserProducts[[#Headers],[Include or Exclude]], 0,4)</f>
        <v/>
      </c>
      <c r="W145" s="137" t="str" cm="1">
        <f t="array" ref="W145">Common_InputFunctions.Utility_DisplayArrayInTable(Fertiliser_SourceData.Fertiliser_Products_Data1(),FertiliserProducts[[#Headers],[Include or Exclude]], 0,4)</f>
        <v/>
      </c>
      <c r="X145" s="137" t="str" cm="1">
        <f t="array" ref="X145">Common_InputFunctions.Utility_DisplayArrayInTable(Fertiliser_SourceData.Fertiliser_Products_Data1(),FertiliserProducts[[#Headers],[Include or Exclude]], 0,4)</f>
        <v/>
      </c>
      <c r="Y145" s="137" t="str" cm="1">
        <f t="array" ref="Y145">Common_InputFunctions.Utility_DisplayArrayInTable(Fertiliser_SourceData.Fertiliser_Products_Data1(),FertiliserProducts[[#Headers],[Include or Exclude]], 0,4)</f>
        <v/>
      </c>
      <c r="Z145" s="137" t="str" cm="1">
        <f t="array" ref="Z145">Common_InputFunctions.Utility_DisplayArrayInTable(Fertiliser_SourceData.Fertiliser_Products_Data1(),FertiliserProducts[[#Headers],[Include or Exclude]], 0,4)</f>
        <v/>
      </c>
      <c r="AA145" s="137" t="str" cm="1">
        <f t="array" ref="AA145">Common_InputFunctions.Utility_DisplayArrayInTable(Fertiliser_SourceData.Fertiliser_Products_Data1(),FertiliserProducts[[#Headers],[Include or Exclude]], 0,4)</f>
        <v/>
      </c>
      <c r="AB145" s="137" t="str" cm="1">
        <f t="array" ref="AB145">Common_InputFunctions.Utility_DisplayArrayInTable(Fertiliser_SourceData.Fertiliser_Products_Data1(),FertiliserProducts[[#Headers],[Include or Exclude]], 0,4)</f>
        <v/>
      </c>
      <c r="AC145" s="137" t="str" cm="1">
        <f t="array" ref="AC145">Common_InputFunctions.Utility_DisplayArrayInTable(Fertiliser_SourceData.Fertiliser_Products_Data1(),FertiliserProducts[[#Headers],[Include or Exclude]], 0,4)</f>
        <v/>
      </c>
      <c r="AD145" s="137" t="str" cm="1">
        <f t="array" ref="AD145">Common_InputFunctions.Utility_DisplayArrayInTable(Fertiliser_SourceData.Fertiliser_Products_Data1(),FertiliserProducts[[#Headers],[Include or Exclude]], 0,4)</f>
        <v/>
      </c>
      <c r="AE145" s="137" t="str" cm="1">
        <f t="array" ref="AE145">Common_InputFunctions.Utility_DisplayArrayInTable(Fertiliser_SourceData.Fertiliser_Products_Data1(),FertiliserProducts[[#Headers],[Include or Exclude]], 0,4)</f>
        <v/>
      </c>
    </row>
    <row r="146" spans="4:31" ht="20.100000000000001" customHeight="1" x14ac:dyDescent="0.25">
      <c r="D146" s="137" t="str" cm="1">
        <f t="array" ref="D146">Common_InputFunctions.Utility_DisplayArrayInTable(Fertiliser_SourceData.Fertiliser_Products_Data1(),FertiliserProducts[[#Headers],[Include or Exclude]], -1)</f>
        <v/>
      </c>
      <c r="E146" s="137" t="str" cm="1">
        <f t="array" ref="E146">Common_InputFunctions.Utility_DisplayArrayInTable(Fertiliser_SourceData.Fertiliser_Products_Data1(),FertiliserProducts[[#Headers],[Include or Exclude]], 0)</f>
        <v/>
      </c>
      <c r="F146" s="137" t="str" cm="1">
        <f t="array" ref="F146">Common_InputFunctions.Utility_DisplayArrayInTable(Fertiliser_SourceData.Fertiliser_Products_Data1(),FertiliserProducts[[#Headers],[Include or Exclude]], 0)</f>
        <v/>
      </c>
      <c r="G146" s="137" t="str" cm="1">
        <f t="array" ref="G146">Common_InputFunctions.Utility_DisplayArrayInTable(Fertiliser_SourceData.Fertiliser_Products_Data1(),FertiliserProducts[[#Headers],[Include or Exclude]], 0)</f>
        <v/>
      </c>
      <c r="H146" s="137" t="str" cm="1">
        <f t="array" ref="H146">Common_InputFunctions.Utility_DisplayArrayInTable(Fertiliser_SourceData.Fertiliser_Products_Data1(),FertiliserProducts[[#Headers],[Include or Exclude]], 0,4)</f>
        <v/>
      </c>
      <c r="I146" s="137" t="str" cm="1">
        <f t="array" ref="I146">Common_InputFunctions.Utility_DisplayArrayInTable(Fertiliser_SourceData.Fertiliser_Products_Data1(),FertiliserProducts[[#Headers],[Include or Exclude]], 0,4)</f>
        <v/>
      </c>
      <c r="J146" s="137" t="str" cm="1">
        <f t="array" ref="J146">Common_InputFunctions.Utility_DisplayArrayInTable(Fertiliser_SourceData.Fertiliser_Products_Data1(),FertiliserProducts[[#Headers],[Include or Exclude]], 0,4)</f>
        <v/>
      </c>
      <c r="K146" s="137" t="str" cm="1">
        <f t="array" ref="K146">Common_InputFunctions.Utility_DisplayArrayInTable(Fertiliser_SourceData.Fertiliser_Products_Data1(),FertiliserProducts[[#Headers],[Include or Exclude]], 0,4)</f>
        <v/>
      </c>
      <c r="L146" s="137" t="str" cm="1">
        <f t="array" ref="L146">Common_InputFunctions.Utility_DisplayArrayInTable(Fertiliser_SourceData.Fertiliser_Products_Data1(),FertiliserProducts[[#Headers],[Include or Exclude]], 0,4)</f>
        <v/>
      </c>
      <c r="M146" s="137" t="str" cm="1">
        <f t="array" ref="M146">Common_InputFunctions.Utility_DisplayArrayInTable(Fertiliser_SourceData.Fertiliser_Products_Data1(),FertiliserProducts[[#Headers],[Include or Exclude]], 0,4)</f>
        <v/>
      </c>
      <c r="N146" s="137" t="str" cm="1">
        <f t="array" ref="N146">Common_InputFunctions.Utility_DisplayArrayInTable(Fertiliser_SourceData.Fertiliser_Products_Data1(),FertiliserProducts[[#Headers],[Include or Exclude]], 0,4)</f>
        <v/>
      </c>
      <c r="O146" s="137" t="str" cm="1">
        <f t="array" ref="O146">Common_InputFunctions.Utility_DisplayArrayInTable(Fertiliser_SourceData.Fertiliser_Products_Data1(),FertiliserProducts[[#Headers],[Include or Exclude]], 0,4)</f>
        <v/>
      </c>
      <c r="P146" s="137" t="str" cm="1">
        <f t="array" ref="P146">Common_InputFunctions.Utility_DisplayArrayInTable(Fertiliser_SourceData.Fertiliser_Products_Data1(),FertiliserProducts[[#Headers],[Include or Exclude]], 0,4)</f>
        <v/>
      </c>
      <c r="Q146" s="137" t="str" cm="1">
        <f t="array" ref="Q146">Common_InputFunctions.Utility_DisplayArrayInTable(Fertiliser_SourceData.Fertiliser_Products_Data1(),FertiliserProducts[[#Headers],[Include or Exclude]], 0,4)</f>
        <v/>
      </c>
      <c r="R146" s="137" t="str" cm="1">
        <f t="array" ref="R146">Common_InputFunctions.Utility_DisplayArrayInTable(Fertiliser_SourceData.Fertiliser_Products_Data1(),FertiliserProducts[[#Headers],[Include or Exclude]], 0,4)</f>
        <v/>
      </c>
      <c r="S146" s="137" t="str" cm="1">
        <f t="array" ref="S146">Common_InputFunctions.Utility_DisplayArrayInTable(Fertiliser_SourceData.Fertiliser_Products_Data1(),FertiliserProducts[[#Headers],[Include or Exclude]], 0,4)</f>
        <v/>
      </c>
      <c r="T146" s="137" t="str" cm="1">
        <f t="array" ref="T146">Common_InputFunctions.Utility_DisplayArrayInTable(Fertiliser_SourceData.Fertiliser_Products_Data1(),FertiliserProducts[[#Headers],[Include or Exclude]], 0,4)</f>
        <v/>
      </c>
      <c r="U146" s="137" t="str" cm="1">
        <f t="array" ref="U146">Common_InputFunctions.Utility_DisplayArrayInTable(Fertiliser_SourceData.Fertiliser_Products_Data1(),FertiliserProducts[[#Headers],[Include or Exclude]], 0,4)</f>
        <v/>
      </c>
      <c r="V146" s="137" t="str" cm="1">
        <f t="array" ref="V146">Common_InputFunctions.Utility_DisplayArrayInTable(Fertiliser_SourceData.Fertiliser_Products_Data1(),FertiliserProducts[[#Headers],[Include or Exclude]], 0,4)</f>
        <v/>
      </c>
      <c r="W146" s="137" t="str" cm="1">
        <f t="array" ref="W146">Common_InputFunctions.Utility_DisplayArrayInTable(Fertiliser_SourceData.Fertiliser_Products_Data1(),FertiliserProducts[[#Headers],[Include or Exclude]], 0,4)</f>
        <v/>
      </c>
      <c r="X146" s="137" t="str" cm="1">
        <f t="array" ref="X146">Common_InputFunctions.Utility_DisplayArrayInTable(Fertiliser_SourceData.Fertiliser_Products_Data1(),FertiliserProducts[[#Headers],[Include or Exclude]], 0,4)</f>
        <v/>
      </c>
      <c r="Y146" s="137" t="str" cm="1">
        <f t="array" ref="Y146">Common_InputFunctions.Utility_DisplayArrayInTable(Fertiliser_SourceData.Fertiliser_Products_Data1(),FertiliserProducts[[#Headers],[Include or Exclude]], 0,4)</f>
        <v/>
      </c>
      <c r="Z146" s="137" t="str" cm="1">
        <f t="array" ref="Z146">Common_InputFunctions.Utility_DisplayArrayInTable(Fertiliser_SourceData.Fertiliser_Products_Data1(),FertiliserProducts[[#Headers],[Include or Exclude]], 0,4)</f>
        <v/>
      </c>
      <c r="AA146" s="137" t="str" cm="1">
        <f t="array" ref="AA146">Common_InputFunctions.Utility_DisplayArrayInTable(Fertiliser_SourceData.Fertiliser_Products_Data1(),FertiliserProducts[[#Headers],[Include or Exclude]], 0,4)</f>
        <v/>
      </c>
      <c r="AB146" s="137" t="str" cm="1">
        <f t="array" ref="AB146">Common_InputFunctions.Utility_DisplayArrayInTable(Fertiliser_SourceData.Fertiliser_Products_Data1(),FertiliserProducts[[#Headers],[Include or Exclude]], 0,4)</f>
        <v/>
      </c>
      <c r="AC146" s="137" t="str" cm="1">
        <f t="array" ref="AC146">Common_InputFunctions.Utility_DisplayArrayInTable(Fertiliser_SourceData.Fertiliser_Products_Data1(),FertiliserProducts[[#Headers],[Include or Exclude]], 0,4)</f>
        <v/>
      </c>
      <c r="AD146" s="137" t="str" cm="1">
        <f t="array" ref="AD146">Common_InputFunctions.Utility_DisplayArrayInTable(Fertiliser_SourceData.Fertiliser_Products_Data1(),FertiliserProducts[[#Headers],[Include or Exclude]], 0,4)</f>
        <v/>
      </c>
      <c r="AE146" s="137" t="str" cm="1">
        <f t="array" ref="AE146">Common_InputFunctions.Utility_DisplayArrayInTable(Fertiliser_SourceData.Fertiliser_Products_Data1(),FertiliserProducts[[#Headers],[Include or Exclude]], 0,4)</f>
        <v/>
      </c>
    </row>
    <row r="147" spans="4:31" ht="20.100000000000001" customHeight="1" x14ac:dyDescent="0.25">
      <c r="D147" s="137" t="str" cm="1">
        <f t="array" ref="D147">Common_InputFunctions.Utility_DisplayArrayInTable(Fertiliser_SourceData.Fertiliser_Products_Data1(),FertiliserProducts[[#Headers],[Include or Exclude]], -1)</f>
        <v/>
      </c>
      <c r="E147" s="137" t="str" cm="1">
        <f t="array" ref="E147">Common_InputFunctions.Utility_DisplayArrayInTable(Fertiliser_SourceData.Fertiliser_Products_Data1(),FertiliserProducts[[#Headers],[Include or Exclude]], 0)</f>
        <v/>
      </c>
      <c r="F147" s="137" t="str" cm="1">
        <f t="array" ref="F147">Common_InputFunctions.Utility_DisplayArrayInTable(Fertiliser_SourceData.Fertiliser_Products_Data1(),FertiliserProducts[[#Headers],[Include or Exclude]], 0)</f>
        <v/>
      </c>
      <c r="G147" s="137" t="str" cm="1">
        <f t="array" ref="G147">Common_InputFunctions.Utility_DisplayArrayInTable(Fertiliser_SourceData.Fertiliser_Products_Data1(),FertiliserProducts[[#Headers],[Include or Exclude]], 0)</f>
        <v/>
      </c>
      <c r="H147" s="137" t="str" cm="1">
        <f t="array" ref="H147">Common_InputFunctions.Utility_DisplayArrayInTable(Fertiliser_SourceData.Fertiliser_Products_Data1(),FertiliserProducts[[#Headers],[Include or Exclude]], 0,4)</f>
        <v/>
      </c>
      <c r="I147" s="137" t="str" cm="1">
        <f t="array" ref="I147">Common_InputFunctions.Utility_DisplayArrayInTable(Fertiliser_SourceData.Fertiliser_Products_Data1(),FertiliserProducts[[#Headers],[Include or Exclude]], 0,4)</f>
        <v/>
      </c>
      <c r="J147" s="137" t="str" cm="1">
        <f t="array" ref="J147">Common_InputFunctions.Utility_DisplayArrayInTable(Fertiliser_SourceData.Fertiliser_Products_Data1(),FertiliserProducts[[#Headers],[Include or Exclude]], 0,4)</f>
        <v/>
      </c>
      <c r="K147" s="137" t="str" cm="1">
        <f t="array" ref="K147">Common_InputFunctions.Utility_DisplayArrayInTable(Fertiliser_SourceData.Fertiliser_Products_Data1(),FertiliserProducts[[#Headers],[Include or Exclude]], 0,4)</f>
        <v/>
      </c>
      <c r="L147" s="137" t="str" cm="1">
        <f t="array" ref="L147">Common_InputFunctions.Utility_DisplayArrayInTable(Fertiliser_SourceData.Fertiliser_Products_Data1(),FertiliserProducts[[#Headers],[Include or Exclude]], 0,4)</f>
        <v/>
      </c>
      <c r="M147" s="137" t="str" cm="1">
        <f t="array" ref="M147">Common_InputFunctions.Utility_DisplayArrayInTable(Fertiliser_SourceData.Fertiliser_Products_Data1(),FertiliserProducts[[#Headers],[Include or Exclude]], 0,4)</f>
        <v/>
      </c>
      <c r="N147" s="137" t="str" cm="1">
        <f t="array" ref="N147">Common_InputFunctions.Utility_DisplayArrayInTable(Fertiliser_SourceData.Fertiliser_Products_Data1(),FertiliserProducts[[#Headers],[Include or Exclude]], 0,4)</f>
        <v/>
      </c>
      <c r="O147" s="137" t="str" cm="1">
        <f t="array" ref="O147">Common_InputFunctions.Utility_DisplayArrayInTable(Fertiliser_SourceData.Fertiliser_Products_Data1(),FertiliserProducts[[#Headers],[Include or Exclude]], 0,4)</f>
        <v/>
      </c>
      <c r="P147" s="137" t="str" cm="1">
        <f t="array" ref="P147">Common_InputFunctions.Utility_DisplayArrayInTable(Fertiliser_SourceData.Fertiliser_Products_Data1(),FertiliserProducts[[#Headers],[Include or Exclude]], 0,4)</f>
        <v/>
      </c>
      <c r="Q147" s="137" t="str" cm="1">
        <f t="array" ref="Q147">Common_InputFunctions.Utility_DisplayArrayInTable(Fertiliser_SourceData.Fertiliser_Products_Data1(),FertiliserProducts[[#Headers],[Include or Exclude]], 0,4)</f>
        <v/>
      </c>
      <c r="R147" s="137" t="str" cm="1">
        <f t="array" ref="R147">Common_InputFunctions.Utility_DisplayArrayInTable(Fertiliser_SourceData.Fertiliser_Products_Data1(),FertiliserProducts[[#Headers],[Include or Exclude]], 0,4)</f>
        <v/>
      </c>
      <c r="S147" s="137" t="str" cm="1">
        <f t="array" ref="S147">Common_InputFunctions.Utility_DisplayArrayInTable(Fertiliser_SourceData.Fertiliser_Products_Data1(),FertiliserProducts[[#Headers],[Include or Exclude]], 0,4)</f>
        <v/>
      </c>
      <c r="T147" s="137" t="str" cm="1">
        <f t="array" ref="T147">Common_InputFunctions.Utility_DisplayArrayInTable(Fertiliser_SourceData.Fertiliser_Products_Data1(),FertiliserProducts[[#Headers],[Include or Exclude]], 0,4)</f>
        <v/>
      </c>
      <c r="U147" s="137" t="str" cm="1">
        <f t="array" ref="U147">Common_InputFunctions.Utility_DisplayArrayInTable(Fertiliser_SourceData.Fertiliser_Products_Data1(),FertiliserProducts[[#Headers],[Include or Exclude]], 0,4)</f>
        <v/>
      </c>
      <c r="V147" s="137" t="str" cm="1">
        <f t="array" ref="V147">Common_InputFunctions.Utility_DisplayArrayInTable(Fertiliser_SourceData.Fertiliser_Products_Data1(),FertiliserProducts[[#Headers],[Include or Exclude]], 0,4)</f>
        <v/>
      </c>
      <c r="W147" s="137" t="str" cm="1">
        <f t="array" ref="W147">Common_InputFunctions.Utility_DisplayArrayInTable(Fertiliser_SourceData.Fertiliser_Products_Data1(),FertiliserProducts[[#Headers],[Include or Exclude]], 0,4)</f>
        <v/>
      </c>
      <c r="X147" s="137" t="str" cm="1">
        <f t="array" ref="X147">Common_InputFunctions.Utility_DisplayArrayInTable(Fertiliser_SourceData.Fertiliser_Products_Data1(),FertiliserProducts[[#Headers],[Include or Exclude]], 0,4)</f>
        <v/>
      </c>
      <c r="Y147" s="137" t="str" cm="1">
        <f t="array" ref="Y147">Common_InputFunctions.Utility_DisplayArrayInTable(Fertiliser_SourceData.Fertiliser_Products_Data1(),FertiliserProducts[[#Headers],[Include or Exclude]], 0,4)</f>
        <v/>
      </c>
      <c r="Z147" s="137" t="str" cm="1">
        <f t="array" ref="Z147">Common_InputFunctions.Utility_DisplayArrayInTable(Fertiliser_SourceData.Fertiliser_Products_Data1(),FertiliserProducts[[#Headers],[Include or Exclude]], 0,4)</f>
        <v/>
      </c>
      <c r="AA147" s="137" t="str" cm="1">
        <f t="array" ref="AA147">Common_InputFunctions.Utility_DisplayArrayInTable(Fertiliser_SourceData.Fertiliser_Products_Data1(),FertiliserProducts[[#Headers],[Include or Exclude]], 0,4)</f>
        <v/>
      </c>
      <c r="AB147" s="137" t="str" cm="1">
        <f t="array" ref="AB147">Common_InputFunctions.Utility_DisplayArrayInTable(Fertiliser_SourceData.Fertiliser_Products_Data1(),FertiliserProducts[[#Headers],[Include or Exclude]], 0,4)</f>
        <v/>
      </c>
      <c r="AC147" s="137" t="str" cm="1">
        <f t="array" ref="AC147">Common_InputFunctions.Utility_DisplayArrayInTable(Fertiliser_SourceData.Fertiliser_Products_Data1(),FertiliserProducts[[#Headers],[Include or Exclude]], 0,4)</f>
        <v/>
      </c>
      <c r="AD147" s="137" t="str" cm="1">
        <f t="array" ref="AD147">Common_InputFunctions.Utility_DisplayArrayInTable(Fertiliser_SourceData.Fertiliser_Products_Data1(),FertiliserProducts[[#Headers],[Include or Exclude]], 0,4)</f>
        <v/>
      </c>
      <c r="AE147" s="137" t="str" cm="1">
        <f t="array" ref="AE147">Common_InputFunctions.Utility_DisplayArrayInTable(Fertiliser_SourceData.Fertiliser_Products_Data1(),FertiliserProducts[[#Headers],[Include or Exclude]], 0,4)</f>
        <v/>
      </c>
    </row>
    <row r="148" spans="4:31" ht="20.100000000000001" customHeight="1" x14ac:dyDescent="0.25">
      <c r="D148" s="137" t="str" cm="1">
        <f t="array" ref="D148">Common_InputFunctions.Utility_DisplayArrayInTable(Fertiliser_SourceData.Fertiliser_Products_Data1(),FertiliserProducts[[#Headers],[Include or Exclude]], -1)</f>
        <v/>
      </c>
      <c r="E148" s="137" t="str" cm="1">
        <f t="array" ref="E148">Common_InputFunctions.Utility_DisplayArrayInTable(Fertiliser_SourceData.Fertiliser_Products_Data1(),FertiliserProducts[[#Headers],[Include or Exclude]], 0)</f>
        <v/>
      </c>
      <c r="F148" s="137" t="str" cm="1">
        <f t="array" ref="F148">Common_InputFunctions.Utility_DisplayArrayInTable(Fertiliser_SourceData.Fertiliser_Products_Data1(),FertiliserProducts[[#Headers],[Include or Exclude]], 0)</f>
        <v/>
      </c>
      <c r="G148" s="137" t="str" cm="1">
        <f t="array" ref="G148">Common_InputFunctions.Utility_DisplayArrayInTable(Fertiliser_SourceData.Fertiliser_Products_Data1(),FertiliserProducts[[#Headers],[Include or Exclude]], 0)</f>
        <v/>
      </c>
      <c r="H148" s="137" t="str" cm="1">
        <f t="array" ref="H148">Common_InputFunctions.Utility_DisplayArrayInTable(Fertiliser_SourceData.Fertiliser_Products_Data1(),FertiliserProducts[[#Headers],[Include or Exclude]], 0,4)</f>
        <v/>
      </c>
      <c r="I148" s="137" t="str" cm="1">
        <f t="array" ref="I148">Common_InputFunctions.Utility_DisplayArrayInTable(Fertiliser_SourceData.Fertiliser_Products_Data1(),FertiliserProducts[[#Headers],[Include or Exclude]], 0,4)</f>
        <v/>
      </c>
      <c r="J148" s="137" t="str" cm="1">
        <f t="array" ref="J148">Common_InputFunctions.Utility_DisplayArrayInTable(Fertiliser_SourceData.Fertiliser_Products_Data1(),FertiliserProducts[[#Headers],[Include or Exclude]], 0,4)</f>
        <v/>
      </c>
      <c r="K148" s="137" t="str" cm="1">
        <f t="array" ref="K148">Common_InputFunctions.Utility_DisplayArrayInTable(Fertiliser_SourceData.Fertiliser_Products_Data1(),FertiliserProducts[[#Headers],[Include or Exclude]], 0,4)</f>
        <v/>
      </c>
      <c r="L148" s="137" t="str" cm="1">
        <f t="array" ref="L148">Common_InputFunctions.Utility_DisplayArrayInTable(Fertiliser_SourceData.Fertiliser_Products_Data1(),FertiliserProducts[[#Headers],[Include or Exclude]], 0,4)</f>
        <v/>
      </c>
      <c r="M148" s="137" t="str" cm="1">
        <f t="array" ref="M148">Common_InputFunctions.Utility_DisplayArrayInTable(Fertiliser_SourceData.Fertiliser_Products_Data1(),FertiliserProducts[[#Headers],[Include or Exclude]], 0,4)</f>
        <v/>
      </c>
      <c r="N148" s="137" t="str" cm="1">
        <f t="array" ref="N148">Common_InputFunctions.Utility_DisplayArrayInTable(Fertiliser_SourceData.Fertiliser_Products_Data1(),FertiliserProducts[[#Headers],[Include or Exclude]], 0,4)</f>
        <v/>
      </c>
      <c r="O148" s="137" t="str" cm="1">
        <f t="array" ref="O148">Common_InputFunctions.Utility_DisplayArrayInTable(Fertiliser_SourceData.Fertiliser_Products_Data1(),FertiliserProducts[[#Headers],[Include or Exclude]], 0,4)</f>
        <v/>
      </c>
      <c r="P148" s="137" t="str" cm="1">
        <f t="array" ref="P148">Common_InputFunctions.Utility_DisplayArrayInTable(Fertiliser_SourceData.Fertiliser_Products_Data1(),FertiliserProducts[[#Headers],[Include or Exclude]], 0,4)</f>
        <v/>
      </c>
      <c r="Q148" s="137" t="str" cm="1">
        <f t="array" ref="Q148">Common_InputFunctions.Utility_DisplayArrayInTable(Fertiliser_SourceData.Fertiliser_Products_Data1(),FertiliserProducts[[#Headers],[Include or Exclude]], 0,4)</f>
        <v/>
      </c>
      <c r="R148" s="137" t="str" cm="1">
        <f t="array" ref="R148">Common_InputFunctions.Utility_DisplayArrayInTable(Fertiliser_SourceData.Fertiliser_Products_Data1(),FertiliserProducts[[#Headers],[Include or Exclude]], 0,4)</f>
        <v/>
      </c>
      <c r="S148" s="137" t="str" cm="1">
        <f t="array" ref="S148">Common_InputFunctions.Utility_DisplayArrayInTable(Fertiliser_SourceData.Fertiliser_Products_Data1(),FertiliserProducts[[#Headers],[Include or Exclude]], 0,4)</f>
        <v/>
      </c>
      <c r="T148" s="137" t="str" cm="1">
        <f t="array" ref="T148">Common_InputFunctions.Utility_DisplayArrayInTable(Fertiliser_SourceData.Fertiliser_Products_Data1(),FertiliserProducts[[#Headers],[Include or Exclude]], 0,4)</f>
        <v/>
      </c>
      <c r="U148" s="137" t="str" cm="1">
        <f t="array" ref="U148">Common_InputFunctions.Utility_DisplayArrayInTable(Fertiliser_SourceData.Fertiliser_Products_Data1(),FertiliserProducts[[#Headers],[Include or Exclude]], 0,4)</f>
        <v/>
      </c>
      <c r="V148" s="137" t="str" cm="1">
        <f t="array" ref="V148">Common_InputFunctions.Utility_DisplayArrayInTable(Fertiliser_SourceData.Fertiliser_Products_Data1(),FertiliserProducts[[#Headers],[Include or Exclude]], 0,4)</f>
        <v/>
      </c>
      <c r="W148" s="137" t="str" cm="1">
        <f t="array" ref="W148">Common_InputFunctions.Utility_DisplayArrayInTable(Fertiliser_SourceData.Fertiliser_Products_Data1(),FertiliserProducts[[#Headers],[Include or Exclude]], 0,4)</f>
        <v/>
      </c>
      <c r="X148" s="137" t="str" cm="1">
        <f t="array" ref="X148">Common_InputFunctions.Utility_DisplayArrayInTable(Fertiliser_SourceData.Fertiliser_Products_Data1(),FertiliserProducts[[#Headers],[Include or Exclude]], 0,4)</f>
        <v/>
      </c>
      <c r="Y148" s="137" t="str" cm="1">
        <f t="array" ref="Y148">Common_InputFunctions.Utility_DisplayArrayInTable(Fertiliser_SourceData.Fertiliser_Products_Data1(),FertiliserProducts[[#Headers],[Include or Exclude]], 0,4)</f>
        <v/>
      </c>
      <c r="Z148" s="137" t="str" cm="1">
        <f t="array" ref="Z148">Common_InputFunctions.Utility_DisplayArrayInTable(Fertiliser_SourceData.Fertiliser_Products_Data1(),FertiliserProducts[[#Headers],[Include or Exclude]], 0,4)</f>
        <v/>
      </c>
      <c r="AA148" s="137" t="str" cm="1">
        <f t="array" ref="AA148">Common_InputFunctions.Utility_DisplayArrayInTable(Fertiliser_SourceData.Fertiliser_Products_Data1(),FertiliserProducts[[#Headers],[Include or Exclude]], 0,4)</f>
        <v/>
      </c>
      <c r="AB148" s="137" t="str" cm="1">
        <f t="array" ref="AB148">Common_InputFunctions.Utility_DisplayArrayInTable(Fertiliser_SourceData.Fertiliser_Products_Data1(),FertiliserProducts[[#Headers],[Include or Exclude]], 0,4)</f>
        <v/>
      </c>
      <c r="AC148" s="137" t="str" cm="1">
        <f t="array" ref="AC148">Common_InputFunctions.Utility_DisplayArrayInTable(Fertiliser_SourceData.Fertiliser_Products_Data1(),FertiliserProducts[[#Headers],[Include or Exclude]], 0,4)</f>
        <v/>
      </c>
      <c r="AD148" s="137" t="str" cm="1">
        <f t="array" ref="AD148">Common_InputFunctions.Utility_DisplayArrayInTable(Fertiliser_SourceData.Fertiliser_Products_Data1(),FertiliserProducts[[#Headers],[Include or Exclude]], 0,4)</f>
        <v/>
      </c>
      <c r="AE148" s="137" t="str" cm="1">
        <f t="array" ref="AE148">Common_InputFunctions.Utility_DisplayArrayInTable(Fertiliser_SourceData.Fertiliser_Products_Data1(),FertiliserProducts[[#Headers],[Include or Exclude]], 0,4)</f>
        <v/>
      </c>
    </row>
    <row r="149" spans="4:31" ht="20.100000000000001" customHeight="1" x14ac:dyDescent="0.25">
      <c r="D149" s="137" t="str" cm="1">
        <f t="array" ref="D149">Common_InputFunctions.Utility_DisplayArrayInTable(Fertiliser_SourceData.Fertiliser_Products_Data1(),FertiliserProducts[[#Headers],[Include or Exclude]], -1)</f>
        <v/>
      </c>
      <c r="E149" s="137" t="str" cm="1">
        <f t="array" ref="E149">Common_InputFunctions.Utility_DisplayArrayInTable(Fertiliser_SourceData.Fertiliser_Products_Data1(),FertiliserProducts[[#Headers],[Include or Exclude]], 0)</f>
        <v/>
      </c>
      <c r="F149" s="137" t="str" cm="1">
        <f t="array" ref="F149">Common_InputFunctions.Utility_DisplayArrayInTable(Fertiliser_SourceData.Fertiliser_Products_Data1(),FertiliserProducts[[#Headers],[Include or Exclude]], 0)</f>
        <v/>
      </c>
      <c r="G149" s="137" t="str" cm="1">
        <f t="array" ref="G149">Common_InputFunctions.Utility_DisplayArrayInTable(Fertiliser_SourceData.Fertiliser_Products_Data1(),FertiliserProducts[[#Headers],[Include or Exclude]], 0)</f>
        <v/>
      </c>
      <c r="H149" s="137" t="str" cm="1">
        <f t="array" ref="H149">Common_InputFunctions.Utility_DisplayArrayInTable(Fertiliser_SourceData.Fertiliser_Products_Data1(),FertiliserProducts[[#Headers],[Include or Exclude]], 0,4)</f>
        <v/>
      </c>
      <c r="I149" s="137" t="str" cm="1">
        <f t="array" ref="I149">Common_InputFunctions.Utility_DisplayArrayInTable(Fertiliser_SourceData.Fertiliser_Products_Data1(),FertiliserProducts[[#Headers],[Include or Exclude]], 0,4)</f>
        <v/>
      </c>
      <c r="J149" s="137" t="str" cm="1">
        <f t="array" ref="J149">Common_InputFunctions.Utility_DisplayArrayInTable(Fertiliser_SourceData.Fertiliser_Products_Data1(),FertiliserProducts[[#Headers],[Include or Exclude]], 0,4)</f>
        <v/>
      </c>
      <c r="K149" s="137" t="str" cm="1">
        <f t="array" ref="K149">Common_InputFunctions.Utility_DisplayArrayInTable(Fertiliser_SourceData.Fertiliser_Products_Data1(),FertiliserProducts[[#Headers],[Include or Exclude]], 0,4)</f>
        <v/>
      </c>
      <c r="L149" s="137" t="str" cm="1">
        <f t="array" ref="L149">Common_InputFunctions.Utility_DisplayArrayInTable(Fertiliser_SourceData.Fertiliser_Products_Data1(),FertiliserProducts[[#Headers],[Include or Exclude]], 0,4)</f>
        <v/>
      </c>
      <c r="M149" s="137" t="str" cm="1">
        <f t="array" ref="M149">Common_InputFunctions.Utility_DisplayArrayInTable(Fertiliser_SourceData.Fertiliser_Products_Data1(),FertiliserProducts[[#Headers],[Include or Exclude]], 0,4)</f>
        <v/>
      </c>
      <c r="N149" s="137" t="str" cm="1">
        <f t="array" ref="N149">Common_InputFunctions.Utility_DisplayArrayInTable(Fertiliser_SourceData.Fertiliser_Products_Data1(),FertiliserProducts[[#Headers],[Include or Exclude]], 0,4)</f>
        <v/>
      </c>
      <c r="O149" s="137" t="str" cm="1">
        <f t="array" ref="O149">Common_InputFunctions.Utility_DisplayArrayInTable(Fertiliser_SourceData.Fertiliser_Products_Data1(),FertiliserProducts[[#Headers],[Include or Exclude]], 0,4)</f>
        <v/>
      </c>
      <c r="P149" s="137" t="str" cm="1">
        <f t="array" ref="P149">Common_InputFunctions.Utility_DisplayArrayInTable(Fertiliser_SourceData.Fertiliser_Products_Data1(),FertiliserProducts[[#Headers],[Include or Exclude]], 0,4)</f>
        <v/>
      </c>
      <c r="Q149" s="137" t="str" cm="1">
        <f t="array" ref="Q149">Common_InputFunctions.Utility_DisplayArrayInTable(Fertiliser_SourceData.Fertiliser_Products_Data1(),FertiliserProducts[[#Headers],[Include or Exclude]], 0,4)</f>
        <v/>
      </c>
      <c r="R149" s="137" t="str" cm="1">
        <f t="array" ref="R149">Common_InputFunctions.Utility_DisplayArrayInTable(Fertiliser_SourceData.Fertiliser_Products_Data1(),FertiliserProducts[[#Headers],[Include or Exclude]], 0,4)</f>
        <v/>
      </c>
      <c r="S149" s="137" t="str" cm="1">
        <f t="array" ref="S149">Common_InputFunctions.Utility_DisplayArrayInTable(Fertiliser_SourceData.Fertiliser_Products_Data1(),FertiliserProducts[[#Headers],[Include or Exclude]], 0,4)</f>
        <v/>
      </c>
      <c r="T149" s="137" t="str" cm="1">
        <f t="array" ref="T149">Common_InputFunctions.Utility_DisplayArrayInTable(Fertiliser_SourceData.Fertiliser_Products_Data1(),FertiliserProducts[[#Headers],[Include or Exclude]], 0,4)</f>
        <v/>
      </c>
      <c r="U149" s="137" t="str" cm="1">
        <f t="array" ref="U149">Common_InputFunctions.Utility_DisplayArrayInTable(Fertiliser_SourceData.Fertiliser_Products_Data1(),FertiliserProducts[[#Headers],[Include or Exclude]], 0,4)</f>
        <v/>
      </c>
      <c r="V149" s="137" t="str" cm="1">
        <f t="array" ref="V149">Common_InputFunctions.Utility_DisplayArrayInTable(Fertiliser_SourceData.Fertiliser_Products_Data1(),FertiliserProducts[[#Headers],[Include or Exclude]], 0,4)</f>
        <v/>
      </c>
      <c r="W149" s="137" t="str" cm="1">
        <f t="array" ref="W149">Common_InputFunctions.Utility_DisplayArrayInTable(Fertiliser_SourceData.Fertiliser_Products_Data1(),FertiliserProducts[[#Headers],[Include or Exclude]], 0,4)</f>
        <v/>
      </c>
      <c r="X149" s="137" t="str" cm="1">
        <f t="array" ref="X149">Common_InputFunctions.Utility_DisplayArrayInTable(Fertiliser_SourceData.Fertiliser_Products_Data1(),FertiliserProducts[[#Headers],[Include or Exclude]], 0,4)</f>
        <v/>
      </c>
      <c r="Y149" s="137" t="str" cm="1">
        <f t="array" ref="Y149">Common_InputFunctions.Utility_DisplayArrayInTable(Fertiliser_SourceData.Fertiliser_Products_Data1(),FertiliserProducts[[#Headers],[Include or Exclude]], 0,4)</f>
        <v/>
      </c>
      <c r="Z149" s="137" t="str" cm="1">
        <f t="array" ref="Z149">Common_InputFunctions.Utility_DisplayArrayInTable(Fertiliser_SourceData.Fertiliser_Products_Data1(),FertiliserProducts[[#Headers],[Include or Exclude]], 0,4)</f>
        <v/>
      </c>
      <c r="AA149" s="137" t="str" cm="1">
        <f t="array" ref="AA149">Common_InputFunctions.Utility_DisplayArrayInTable(Fertiliser_SourceData.Fertiliser_Products_Data1(),FertiliserProducts[[#Headers],[Include or Exclude]], 0,4)</f>
        <v/>
      </c>
      <c r="AB149" s="137" t="str" cm="1">
        <f t="array" ref="AB149">Common_InputFunctions.Utility_DisplayArrayInTable(Fertiliser_SourceData.Fertiliser_Products_Data1(),FertiliserProducts[[#Headers],[Include or Exclude]], 0,4)</f>
        <v/>
      </c>
      <c r="AC149" s="137" t="str" cm="1">
        <f t="array" ref="AC149">Common_InputFunctions.Utility_DisplayArrayInTable(Fertiliser_SourceData.Fertiliser_Products_Data1(),FertiliserProducts[[#Headers],[Include or Exclude]], 0,4)</f>
        <v/>
      </c>
      <c r="AD149" s="137" t="str" cm="1">
        <f t="array" ref="AD149">Common_InputFunctions.Utility_DisplayArrayInTable(Fertiliser_SourceData.Fertiliser_Products_Data1(),FertiliserProducts[[#Headers],[Include or Exclude]], 0,4)</f>
        <v/>
      </c>
      <c r="AE149" s="137" t="str" cm="1">
        <f t="array" ref="AE149">Common_InputFunctions.Utility_DisplayArrayInTable(Fertiliser_SourceData.Fertiliser_Products_Data1(),FertiliserProducts[[#Headers],[Include or Exclude]], 0,4)</f>
        <v/>
      </c>
    </row>
    <row r="150" spans="4:31" ht="20.100000000000001" customHeight="1" x14ac:dyDescent="0.25">
      <c r="D150" s="137" t="str" cm="1">
        <f t="array" ref="D150">Common_InputFunctions.Utility_DisplayArrayInTable(Fertiliser_SourceData.Fertiliser_Products_Data1(),FertiliserProducts[[#Headers],[Include or Exclude]], -1)</f>
        <v/>
      </c>
      <c r="E150" s="137" t="str" cm="1">
        <f t="array" ref="E150">Common_InputFunctions.Utility_DisplayArrayInTable(Fertiliser_SourceData.Fertiliser_Products_Data1(),FertiliserProducts[[#Headers],[Include or Exclude]], 0)</f>
        <v/>
      </c>
      <c r="F150" s="137" t="str" cm="1">
        <f t="array" ref="F150">Common_InputFunctions.Utility_DisplayArrayInTable(Fertiliser_SourceData.Fertiliser_Products_Data1(),FertiliserProducts[[#Headers],[Include or Exclude]], 0)</f>
        <v/>
      </c>
      <c r="G150" s="137" t="str" cm="1">
        <f t="array" ref="G150">Common_InputFunctions.Utility_DisplayArrayInTable(Fertiliser_SourceData.Fertiliser_Products_Data1(),FertiliserProducts[[#Headers],[Include or Exclude]], 0)</f>
        <v/>
      </c>
      <c r="H150" s="137" t="str" cm="1">
        <f t="array" ref="H150">Common_InputFunctions.Utility_DisplayArrayInTable(Fertiliser_SourceData.Fertiliser_Products_Data1(),FertiliserProducts[[#Headers],[Include or Exclude]], 0,4)</f>
        <v/>
      </c>
      <c r="I150" s="137" t="str" cm="1">
        <f t="array" ref="I150">Common_InputFunctions.Utility_DisplayArrayInTable(Fertiliser_SourceData.Fertiliser_Products_Data1(),FertiliserProducts[[#Headers],[Include or Exclude]], 0,4)</f>
        <v/>
      </c>
      <c r="J150" s="137" t="str" cm="1">
        <f t="array" ref="J150">Common_InputFunctions.Utility_DisplayArrayInTable(Fertiliser_SourceData.Fertiliser_Products_Data1(),FertiliserProducts[[#Headers],[Include or Exclude]], 0,4)</f>
        <v/>
      </c>
      <c r="K150" s="137" t="str" cm="1">
        <f t="array" ref="K150">Common_InputFunctions.Utility_DisplayArrayInTable(Fertiliser_SourceData.Fertiliser_Products_Data1(),FertiliserProducts[[#Headers],[Include or Exclude]], 0,4)</f>
        <v/>
      </c>
      <c r="L150" s="137" t="str" cm="1">
        <f t="array" ref="L150">Common_InputFunctions.Utility_DisplayArrayInTable(Fertiliser_SourceData.Fertiliser_Products_Data1(),FertiliserProducts[[#Headers],[Include or Exclude]], 0,4)</f>
        <v/>
      </c>
      <c r="M150" s="137" t="str" cm="1">
        <f t="array" ref="M150">Common_InputFunctions.Utility_DisplayArrayInTable(Fertiliser_SourceData.Fertiliser_Products_Data1(),FertiliserProducts[[#Headers],[Include or Exclude]], 0,4)</f>
        <v/>
      </c>
      <c r="N150" s="137" t="str" cm="1">
        <f t="array" ref="N150">Common_InputFunctions.Utility_DisplayArrayInTable(Fertiliser_SourceData.Fertiliser_Products_Data1(),FertiliserProducts[[#Headers],[Include or Exclude]], 0,4)</f>
        <v/>
      </c>
      <c r="O150" s="137" t="str" cm="1">
        <f t="array" ref="O150">Common_InputFunctions.Utility_DisplayArrayInTable(Fertiliser_SourceData.Fertiliser_Products_Data1(),FertiliserProducts[[#Headers],[Include or Exclude]], 0,4)</f>
        <v/>
      </c>
      <c r="P150" s="137" t="str" cm="1">
        <f t="array" ref="P150">Common_InputFunctions.Utility_DisplayArrayInTable(Fertiliser_SourceData.Fertiliser_Products_Data1(),FertiliserProducts[[#Headers],[Include or Exclude]], 0,4)</f>
        <v/>
      </c>
      <c r="Q150" s="137" t="str" cm="1">
        <f t="array" ref="Q150">Common_InputFunctions.Utility_DisplayArrayInTable(Fertiliser_SourceData.Fertiliser_Products_Data1(),FertiliserProducts[[#Headers],[Include or Exclude]], 0,4)</f>
        <v/>
      </c>
      <c r="R150" s="137" t="str" cm="1">
        <f t="array" ref="R150">Common_InputFunctions.Utility_DisplayArrayInTable(Fertiliser_SourceData.Fertiliser_Products_Data1(),FertiliserProducts[[#Headers],[Include or Exclude]], 0,4)</f>
        <v/>
      </c>
      <c r="S150" s="137" t="str" cm="1">
        <f t="array" ref="S150">Common_InputFunctions.Utility_DisplayArrayInTable(Fertiliser_SourceData.Fertiliser_Products_Data1(),FertiliserProducts[[#Headers],[Include or Exclude]], 0,4)</f>
        <v/>
      </c>
      <c r="T150" s="137" t="str" cm="1">
        <f t="array" ref="T150">Common_InputFunctions.Utility_DisplayArrayInTable(Fertiliser_SourceData.Fertiliser_Products_Data1(),FertiliserProducts[[#Headers],[Include or Exclude]], 0,4)</f>
        <v/>
      </c>
      <c r="U150" s="137" t="str" cm="1">
        <f t="array" ref="U150">Common_InputFunctions.Utility_DisplayArrayInTable(Fertiliser_SourceData.Fertiliser_Products_Data1(),FertiliserProducts[[#Headers],[Include or Exclude]], 0,4)</f>
        <v/>
      </c>
      <c r="V150" s="137" t="str" cm="1">
        <f t="array" ref="V150">Common_InputFunctions.Utility_DisplayArrayInTable(Fertiliser_SourceData.Fertiliser_Products_Data1(),FertiliserProducts[[#Headers],[Include or Exclude]], 0,4)</f>
        <v/>
      </c>
      <c r="W150" s="137" t="str" cm="1">
        <f t="array" ref="W150">Common_InputFunctions.Utility_DisplayArrayInTable(Fertiliser_SourceData.Fertiliser_Products_Data1(),FertiliserProducts[[#Headers],[Include or Exclude]], 0,4)</f>
        <v/>
      </c>
      <c r="X150" s="137" t="str" cm="1">
        <f t="array" ref="X150">Common_InputFunctions.Utility_DisplayArrayInTable(Fertiliser_SourceData.Fertiliser_Products_Data1(),FertiliserProducts[[#Headers],[Include or Exclude]], 0,4)</f>
        <v/>
      </c>
      <c r="Y150" s="137" t="str" cm="1">
        <f t="array" ref="Y150">Common_InputFunctions.Utility_DisplayArrayInTable(Fertiliser_SourceData.Fertiliser_Products_Data1(),FertiliserProducts[[#Headers],[Include or Exclude]], 0,4)</f>
        <v/>
      </c>
      <c r="Z150" s="137" t="str" cm="1">
        <f t="array" ref="Z150">Common_InputFunctions.Utility_DisplayArrayInTable(Fertiliser_SourceData.Fertiliser_Products_Data1(),FertiliserProducts[[#Headers],[Include or Exclude]], 0,4)</f>
        <v/>
      </c>
      <c r="AA150" s="137" t="str" cm="1">
        <f t="array" ref="AA150">Common_InputFunctions.Utility_DisplayArrayInTable(Fertiliser_SourceData.Fertiliser_Products_Data1(),FertiliserProducts[[#Headers],[Include or Exclude]], 0,4)</f>
        <v/>
      </c>
      <c r="AB150" s="137" t="str" cm="1">
        <f t="array" ref="AB150">Common_InputFunctions.Utility_DisplayArrayInTable(Fertiliser_SourceData.Fertiliser_Products_Data1(),FertiliserProducts[[#Headers],[Include or Exclude]], 0,4)</f>
        <v/>
      </c>
      <c r="AC150" s="137" t="str" cm="1">
        <f t="array" ref="AC150">Common_InputFunctions.Utility_DisplayArrayInTable(Fertiliser_SourceData.Fertiliser_Products_Data1(),FertiliserProducts[[#Headers],[Include or Exclude]], 0,4)</f>
        <v/>
      </c>
      <c r="AD150" s="137" t="str" cm="1">
        <f t="array" ref="AD150">Common_InputFunctions.Utility_DisplayArrayInTable(Fertiliser_SourceData.Fertiliser_Products_Data1(),FertiliserProducts[[#Headers],[Include or Exclude]], 0,4)</f>
        <v/>
      </c>
      <c r="AE150" s="137" t="str" cm="1">
        <f t="array" ref="AE150">Common_InputFunctions.Utility_DisplayArrayInTable(Fertiliser_SourceData.Fertiliser_Products_Data1(),FertiliserProducts[[#Headers],[Include or Exclude]], 0,4)</f>
        <v/>
      </c>
    </row>
    <row r="151" spans="4:31" ht="20.100000000000001" customHeight="1" x14ac:dyDescent="0.25">
      <c r="D151" s="137" t="str" cm="1">
        <f t="array" ref="D151">Common_InputFunctions.Utility_DisplayArrayInTable(Fertiliser_SourceData.Fertiliser_Products_Data1(),FertiliserProducts[[#Headers],[Include or Exclude]], -1)</f>
        <v/>
      </c>
      <c r="E151" s="137" t="str" cm="1">
        <f t="array" ref="E151">Common_InputFunctions.Utility_DisplayArrayInTable(Fertiliser_SourceData.Fertiliser_Products_Data1(),FertiliserProducts[[#Headers],[Include or Exclude]], 0)</f>
        <v/>
      </c>
      <c r="F151" s="137" t="str" cm="1">
        <f t="array" ref="F151">Common_InputFunctions.Utility_DisplayArrayInTable(Fertiliser_SourceData.Fertiliser_Products_Data1(),FertiliserProducts[[#Headers],[Include or Exclude]], 0)</f>
        <v/>
      </c>
      <c r="G151" s="137" t="str" cm="1">
        <f t="array" ref="G151">Common_InputFunctions.Utility_DisplayArrayInTable(Fertiliser_SourceData.Fertiliser_Products_Data1(),FertiliserProducts[[#Headers],[Include or Exclude]], 0)</f>
        <v/>
      </c>
      <c r="H151" s="137" t="str" cm="1">
        <f t="array" ref="H151">Common_InputFunctions.Utility_DisplayArrayInTable(Fertiliser_SourceData.Fertiliser_Products_Data1(),FertiliserProducts[[#Headers],[Include or Exclude]], 0,4)</f>
        <v/>
      </c>
      <c r="I151" s="137" t="str" cm="1">
        <f t="array" ref="I151">Common_InputFunctions.Utility_DisplayArrayInTable(Fertiliser_SourceData.Fertiliser_Products_Data1(),FertiliserProducts[[#Headers],[Include or Exclude]], 0,4)</f>
        <v/>
      </c>
      <c r="J151" s="137" t="str" cm="1">
        <f t="array" ref="J151">Common_InputFunctions.Utility_DisplayArrayInTable(Fertiliser_SourceData.Fertiliser_Products_Data1(),FertiliserProducts[[#Headers],[Include or Exclude]], 0,4)</f>
        <v/>
      </c>
      <c r="K151" s="137" t="str" cm="1">
        <f t="array" ref="K151">Common_InputFunctions.Utility_DisplayArrayInTable(Fertiliser_SourceData.Fertiliser_Products_Data1(),FertiliserProducts[[#Headers],[Include or Exclude]], 0,4)</f>
        <v/>
      </c>
      <c r="L151" s="137" t="str" cm="1">
        <f t="array" ref="L151">Common_InputFunctions.Utility_DisplayArrayInTable(Fertiliser_SourceData.Fertiliser_Products_Data1(),FertiliserProducts[[#Headers],[Include or Exclude]], 0,4)</f>
        <v/>
      </c>
      <c r="M151" s="137" t="str" cm="1">
        <f t="array" ref="M151">Common_InputFunctions.Utility_DisplayArrayInTable(Fertiliser_SourceData.Fertiliser_Products_Data1(),FertiliserProducts[[#Headers],[Include or Exclude]], 0,4)</f>
        <v/>
      </c>
      <c r="N151" s="137" t="str" cm="1">
        <f t="array" ref="N151">Common_InputFunctions.Utility_DisplayArrayInTable(Fertiliser_SourceData.Fertiliser_Products_Data1(),FertiliserProducts[[#Headers],[Include or Exclude]], 0,4)</f>
        <v/>
      </c>
      <c r="O151" s="137" t="str" cm="1">
        <f t="array" ref="O151">Common_InputFunctions.Utility_DisplayArrayInTable(Fertiliser_SourceData.Fertiliser_Products_Data1(),FertiliserProducts[[#Headers],[Include or Exclude]], 0,4)</f>
        <v/>
      </c>
      <c r="P151" s="137" t="str" cm="1">
        <f t="array" ref="P151">Common_InputFunctions.Utility_DisplayArrayInTable(Fertiliser_SourceData.Fertiliser_Products_Data1(),FertiliserProducts[[#Headers],[Include or Exclude]], 0,4)</f>
        <v/>
      </c>
      <c r="Q151" s="137" t="str" cm="1">
        <f t="array" ref="Q151">Common_InputFunctions.Utility_DisplayArrayInTable(Fertiliser_SourceData.Fertiliser_Products_Data1(),FertiliserProducts[[#Headers],[Include or Exclude]], 0,4)</f>
        <v/>
      </c>
      <c r="R151" s="137" t="str" cm="1">
        <f t="array" ref="R151">Common_InputFunctions.Utility_DisplayArrayInTable(Fertiliser_SourceData.Fertiliser_Products_Data1(),FertiliserProducts[[#Headers],[Include or Exclude]], 0,4)</f>
        <v/>
      </c>
      <c r="S151" s="137" t="str" cm="1">
        <f t="array" ref="S151">Common_InputFunctions.Utility_DisplayArrayInTable(Fertiliser_SourceData.Fertiliser_Products_Data1(),FertiliserProducts[[#Headers],[Include or Exclude]], 0,4)</f>
        <v/>
      </c>
      <c r="T151" s="137" t="str" cm="1">
        <f t="array" ref="T151">Common_InputFunctions.Utility_DisplayArrayInTable(Fertiliser_SourceData.Fertiliser_Products_Data1(),FertiliserProducts[[#Headers],[Include or Exclude]], 0,4)</f>
        <v/>
      </c>
      <c r="U151" s="137" t="str" cm="1">
        <f t="array" ref="U151">Common_InputFunctions.Utility_DisplayArrayInTable(Fertiliser_SourceData.Fertiliser_Products_Data1(),FertiliserProducts[[#Headers],[Include or Exclude]], 0,4)</f>
        <v/>
      </c>
      <c r="V151" s="137" t="str" cm="1">
        <f t="array" ref="V151">Common_InputFunctions.Utility_DisplayArrayInTable(Fertiliser_SourceData.Fertiliser_Products_Data1(),FertiliserProducts[[#Headers],[Include or Exclude]], 0,4)</f>
        <v/>
      </c>
      <c r="W151" s="137" t="str" cm="1">
        <f t="array" ref="W151">Common_InputFunctions.Utility_DisplayArrayInTable(Fertiliser_SourceData.Fertiliser_Products_Data1(),FertiliserProducts[[#Headers],[Include or Exclude]], 0,4)</f>
        <v/>
      </c>
      <c r="X151" s="137" t="str" cm="1">
        <f t="array" ref="X151">Common_InputFunctions.Utility_DisplayArrayInTable(Fertiliser_SourceData.Fertiliser_Products_Data1(),FertiliserProducts[[#Headers],[Include or Exclude]], 0,4)</f>
        <v/>
      </c>
      <c r="Y151" s="137" t="str" cm="1">
        <f t="array" ref="Y151">Common_InputFunctions.Utility_DisplayArrayInTable(Fertiliser_SourceData.Fertiliser_Products_Data1(),FertiliserProducts[[#Headers],[Include or Exclude]], 0,4)</f>
        <v/>
      </c>
      <c r="Z151" s="137" t="str" cm="1">
        <f t="array" ref="Z151">Common_InputFunctions.Utility_DisplayArrayInTable(Fertiliser_SourceData.Fertiliser_Products_Data1(),FertiliserProducts[[#Headers],[Include or Exclude]], 0,4)</f>
        <v/>
      </c>
      <c r="AA151" s="137" t="str" cm="1">
        <f t="array" ref="AA151">Common_InputFunctions.Utility_DisplayArrayInTable(Fertiliser_SourceData.Fertiliser_Products_Data1(),FertiliserProducts[[#Headers],[Include or Exclude]], 0,4)</f>
        <v/>
      </c>
      <c r="AB151" s="137" t="str" cm="1">
        <f t="array" ref="AB151">Common_InputFunctions.Utility_DisplayArrayInTable(Fertiliser_SourceData.Fertiliser_Products_Data1(),FertiliserProducts[[#Headers],[Include or Exclude]], 0,4)</f>
        <v/>
      </c>
      <c r="AC151" s="137" t="str" cm="1">
        <f t="array" ref="AC151">Common_InputFunctions.Utility_DisplayArrayInTable(Fertiliser_SourceData.Fertiliser_Products_Data1(),FertiliserProducts[[#Headers],[Include or Exclude]], 0,4)</f>
        <v/>
      </c>
      <c r="AD151" s="137" t="str" cm="1">
        <f t="array" ref="AD151">Common_InputFunctions.Utility_DisplayArrayInTable(Fertiliser_SourceData.Fertiliser_Products_Data1(),FertiliserProducts[[#Headers],[Include or Exclude]], 0,4)</f>
        <v/>
      </c>
      <c r="AE151" s="137" t="str" cm="1">
        <f t="array" ref="AE151">Common_InputFunctions.Utility_DisplayArrayInTable(Fertiliser_SourceData.Fertiliser_Products_Data1(),FertiliserProducts[[#Headers],[Include or Exclude]], 0,4)</f>
        <v/>
      </c>
    </row>
    <row r="152" spans="4:31" ht="20.100000000000001" customHeight="1" x14ac:dyDescent="0.25">
      <c r="D152" s="137" t="str" cm="1">
        <f t="array" ref="D152">Common_InputFunctions.Utility_DisplayArrayInTable(Fertiliser_SourceData.Fertiliser_Products_Data1(),FertiliserProducts[[#Headers],[Include or Exclude]], -1)</f>
        <v/>
      </c>
      <c r="E152" s="137" t="str" cm="1">
        <f t="array" ref="E152">Common_InputFunctions.Utility_DisplayArrayInTable(Fertiliser_SourceData.Fertiliser_Products_Data1(),FertiliserProducts[[#Headers],[Include or Exclude]], 0)</f>
        <v/>
      </c>
      <c r="F152" s="137" t="str" cm="1">
        <f t="array" ref="F152">Common_InputFunctions.Utility_DisplayArrayInTable(Fertiliser_SourceData.Fertiliser_Products_Data1(),FertiliserProducts[[#Headers],[Include or Exclude]], 0)</f>
        <v/>
      </c>
      <c r="G152" s="137" t="str" cm="1">
        <f t="array" ref="G152">Common_InputFunctions.Utility_DisplayArrayInTable(Fertiliser_SourceData.Fertiliser_Products_Data1(),FertiliserProducts[[#Headers],[Include or Exclude]], 0)</f>
        <v/>
      </c>
      <c r="H152" s="137" t="str" cm="1">
        <f t="array" ref="H152">Common_InputFunctions.Utility_DisplayArrayInTable(Fertiliser_SourceData.Fertiliser_Products_Data1(),FertiliserProducts[[#Headers],[Include or Exclude]], 0,4)</f>
        <v/>
      </c>
      <c r="I152" s="137" t="str" cm="1">
        <f t="array" ref="I152">Common_InputFunctions.Utility_DisplayArrayInTable(Fertiliser_SourceData.Fertiliser_Products_Data1(),FertiliserProducts[[#Headers],[Include or Exclude]], 0,4)</f>
        <v/>
      </c>
      <c r="J152" s="137" t="str" cm="1">
        <f t="array" ref="J152">Common_InputFunctions.Utility_DisplayArrayInTable(Fertiliser_SourceData.Fertiliser_Products_Data1(),FertiliserProducts[[#Headers],[Include or Exclude]], 0,4)</f>
        <v/>
      </c>
      <c r="K152" s="137" t="str" cm="1">
        <f t="array" ref="K152">Common_InputFunctions.Utility_DisplayArrayInTable(Fertiliser_SourceData.Fertiliser_Products_Data1(),FertiliserProducts[[#Headers],[Include or Exclude]], 0,4)</f>
        <v/>
      </c>
      <c r="L152" s="137" t="str" cm="1">
        <f t="array" ref="L152">Common_InputFunctions.Utility_DisplayArrayInTable(Fertiliser_SourceData.Fertiliser_Products_Data1(),FertiliserProducts[[#Headers],[Include or Exclude]], 0,4)</f>
        <v/>
      </c>
      <c r="M152" s="137" t="str" cm="1">
        <f t="array" ref="M152">Common_InputFunctions.Utility_DisplayArrayInTable(Fertiliser_SourceData.Fertiliser_Products_Data1(),FertiliserProducts[[#Headers],[Include or Exclude]], 0,4)</f>
        <v/>
      </c>
      <c r="N152" s="137" t="str" cm="1">
        <f t="array" ref="N152">Common_InputFunctions.Utility_DisplayArrayInTable(Fertiliser_SourceData.Fertiliser_Products_Data1(),FertiliserProducts[[#Headers],[Include or Exclude]], 0,4)</f>
        <v/>
      </c>
      <c r="O152" s="137" t="str" cm="1">
        <f t="array" ref="O152">Common_InputFunctions.Utility_DisplayArrayInTable(Fertiliser_SourceData.Fertiliser_Products_Data1(),FertiliserProducts[[#Headers],[Include or Exclude]], 0,4)</f>
        <v/>
      </c>
      <c r="P152" s="137" t="str" cm="1">
        <f t="array" ref="P152">Common_InputFunctions.Utility_DisplayArrayInTable(Fertiliser_SourceData.Fertiliser_Products_Data1(),FertiliserProducts[[#Headers],[Include or Exclude]], 0,4)</f>
        <v/>
      </c>
      <c r="Q152" s="137" t="str" cm="1">
        <f t="array" ref="Q152">Common_InputFunctions.Utility_DisplayArrayInTable(Fertiliser_SourceData.Fertiliser_Products_Data1(),FertiliserProducts[[#Headers],[Include or Exclude]], 0,4)</f>
        <v/>
      </c>
      <c r="R152" s="137" t="str" cm="1">
        <f t="array" ref="R152">Common_InputFunctions.Utility_DisplayArrayInTable(Fertiliser_SourceData.Fertiliser_Products_Data1(),FertiliserProducts[[#Headers],[Include or Exclude]], 0,4)</f>
        <v/>
      </c>
      <c r="S152" s="137" t="str" cm="1">
        <f t="array" ref="S152">Common_InputFunctions.Utility_DisplayArrayInTable(Fertiliser_SourceData.Fertiliser_Products_Data1(),FertiliserProducts[[#Headers],[Include or Exclude]], 0,4)</f>
        <v/>
      </c>
      <c r="T152" s="137" t="str" cm="1">
        <f t="array" ref="T152">Common_InputFunctions.Utility_DisplayArrayInTable(Fertiliser_SourceData.Fertiliser_Products_Data1(),FertiliserProducts[[#Headers],[Include or Exclude]], 0,4)</f>
        <v/>
      </c>
      <c r="U152" s="137" t="str" cm="1">
        <f t="array" ref="U152">Common_InputFunctions.Utility_DisplayArrayInTable(Fertiliser_SourceData.Fertiliser_Products_Data1(),FertiliserProducts[[#Headers],[Include or Exclude]], 0,4)</f>
        <v/>
      </c>
      <c r="V152" s="137" t="str" cm="1">
        <f t="array" ref="V152">Common_InputFunctions.Utility_DisplayArrayInTable(Fertiliser_SourceData.Fertiliser_Products_Data1(),FertiliserProducts[[#Headers],[Include or Exclude]], 0,4)</f>
        <v/>
      </c>
      <c r="W152" s="137" t="str" cm="1">
        <f t="array" ref="W152">Common_InputFunctions.Utility_DisplayArrayInTable(Fertiliser_SourceData.Fertiliser_Products_Data1(),FertiliserProducts[[#Headers],[Include or Exclude]], 0,4)</f>
        <v/>
      </c>
      <c r="X152" s="137" t="str" cm="1">
        <f t="array" ref="X152">Common_InputFunctions.Utility_DisplayArrayInTable(Fertiliser_SourceData.Fertiliser_Products_Data1(),FertiliserProducts[[#Headers],[Include or Exclude]], 0,4)</f>
        <v/>
      </c>
      <c r="Y152" s="137" t="str" cm="1">
        <f t="array" ref="Y152">Common_InputFunctions.Utility_DisplayArrayInTable(Fertiliser_SourceData.Fertiliser_Products_Data1(),FertiliserProducts[[#Headers],[Include or Exclude]], 0,4)</f>
        <v/>
      </c>
      <c r="Z152" s="137" t="str" cm="1">
        <f t="array" ref="Z152">Common_InputFunctions.Utility_DisplayArrayInTable(Fertiliser_SourceData.Fertiliser_Products_Data1(),FertiliserProducts[[#Headers],[Include or Exclude]], 0,4)</f>
        <v/>
      </c>
      <c r="AA152" s="137" t="str" cm="1">
        <f t="array" ref="AA152">Common_InputFunctions.Utility_DisplayArrayInTable(Fertiliser_SourceData.Fertiliser_Products_Data1(),FertiliserProducts[[#Headers],[Include or Exclude]], 0,4)</f>
        <v/>
      </c>
      <c r="AB152" s="137" t="str" cm="1">
        <f t="array" ref="AB152">Common_InputFunctions.Utility_DisplayArrayInTable(Fertiliser_SourceData.Fertiliser_Products_Data1(),FertiliserProducts[[#Headers],[Include or Exclude]], 0,4)</f>
        <v/>
      </c>
      <c r="AC152" s="137" t="str" cm="1">
        <f t="array" ref="AC152">Common_InputFunctions.Utility_DisplayArrayInTable(Fertiliser_SourceData.Fertiliser_Products_Data1(),FertiliserProducts[[#Headers],[Include or Exclude]], 0,4)</f>
        <v/>
      </c>
      <c r="AD152" s="137" t="str" cm="1">
        <f t="array" ref="AD152">Common_InputFunctions.Utility_DisplayArrayInTable(Fertiliser_SourceData.Fertiliser_Products_Data1(),FertiliserProducts[[#Headers],[Include or Exclude]], 0,4)</f>
        <v/>
      </c>
      <c r="AE152" s="137" t="str" cm="1">
        <f t="array" ref="AE152">Common_InputFunctions.Utility_DisplayArrayInTable(Fertiliser_SourceData.Fertiliser_Products_Data1(),FertiliserProducts[[#Headers],[Include or Exclude]], 0,4)</f>
        <v/>
      </c>
    </row>
    <row r="153" spans="4:31" ht="20.100000000000001" customHeight="1" x14ac:dyDescent="0.25">
      <c r="D153" s="137" t="str" cm="1">
        <f t="array" ref="D153">Common_InputFunctions.Utility_DisplayArrayInTable(Fertiliser_SourceData.Fertiliser_Products_Data1(),FertiliserProducts[[#Headers],[Include or Exclude]], -1)</f>
        <v/>
      </c>
      <c r="E153" s="137" t="str" cm="1">
        <f t="array" ref="E153">Common_InputFunctions.Utility_DisplayArrayInTable(Fertiliser_SourceData.Fertiliser_Products_Data1(),FertiliserProducts[[#Headers],[Include or Exclude]], 0)</f>
        <v/>
      </c>
      <c r="F153" s="137" t="str" cm="1">
        <f t="array" ref="F153">Common_InputFunctions.Utility_DisplayArrayInTable(Fertiliser_SourceData.Fertiliser_Products_Data1(),FertiliserProducts[[#Headers],[Include or Exclude]], 0)</f>
        <v/>
      </c>
      <c r="G153" s="137" t="str" cm="1">
        <f t="array" ref="G153">Common_InputFunctions.Utility_DisplayArrayInTable(Fertiliser_SourceData.Fertiliser_Products_Data1(),FertiliserProducts[[#Headers],[Include or Exclude]], 0)</f>
        <v/>
      </c>
      <c r="H153" s="137" t="str" cm="1">
        <f t="array" ref="H153">Common_InputFunctions.Utility_DisplayArrayInTable(Fertiliser_SourceData.Fertiliser_Products_Data1(),FertiliserProducts[[#Headers],[Include or Exclude]], 0,4)</f>
        <v/>
      </c>
      <c r="I153" s="137" t="str" cm="1">
        <f t="array" ref="I153">Common_InputFunctions.Utility_DisplayArrayInTable(Fertiliser_SourceData.Fertiliser_Products_Data1(),FertiliserProducts[[#Headers],[Include or Exclude]], 0,4)</f>
        <v/>
      </c>
      <c r="J153" s="137" t="str" cm="1">
        <f t="array" ref="J153">Common_InputFunctions.Utility_DisplayArrayInTable(Fertiliser_SourceData.Fertiliser_Products_Data1(),FertiliserProducts[[#Headers],[Include or Exclude]], 0,4)</f>
        <v/>
      </c>
      <c r="K153" s="137" t="str" cm="1">
        <f t="array" ref="K153">Common_InputFunctions.Utility_DisplayArrayInTable(Fertiliser_SourceData.Fertiliser_Products_Data1(),FertiliserProducts[[#Headers],[Include or Exclude]], 0,4)</f>
        <v/>
      </c>
      <c r="L153" s="137" t="str" cm="1">
        <f t="array" ref="L153">Common_InputFunctions.Utility_DisplayArrayInTable(Fertiliser_SourceData.Fertiliser_Products_Data1(),FertiliserProducts[[#Headers],[Include or Exclude]], 0,4)</f>
        <v/>
      </c>
      <c r="M153" s="137" t="str" cm="1">
        <f t="array" ref="M153">Common_InputFunctions.Utility_DisplayArrayInTable(Fertiliser_SourceData.Fertiliser_Products_Data1(),FertiliserProducts[[#Headers],[Include or Exclude]], 0,4)</f>
        <v/>
      </c>
      <c r="N153" s="137" t="str" cm="1">
        <f t="array" ref="N153">Common_InputFunctions.Utility_DisplayArrayInTable(Fertiliser_SourceData.Fertiliser_Products_Data1(),FertiliserProducts[[#Headers],[Include or Exclude]], 0,4)</f>
        <v/>
      </c>
      <c r="O153" s="137" t="str" cm="1">
        <f t="array" ref="O153">Common_InputFunctions.Utility_DisplayArrayInTable(Fertiliser_SourceData.Fertiliser_Products_Data1(),FertiliserProducts[[#Headers],[Include or Exclude]], 0,4)</f>
        <v/>
      </c>
      <c r="P153" s="137" t="str" cm="1">
        <f t="array" ref="P153">Common_InputFunctions.Utility_DisplayArrayInTable(Fertiliser_SourceData.Fertiliser_Products_Data1(),FertiliserProducts[[#Headers],[Include or Exclude]], 0,4)</f>
        <v/>
      </c>
      <c r="Q153" s="137" t="str" cm="1">
        <f t="array" ref="Q153">Common_InputFunctions.Utility_DisplayArrayInTable(Fertiliser_SourceData.Fertiliser_Products_Data1(),FertiliserProducts[[#Headers],[Include or Exclude]], 0,4)</f>
        <v/>
      </c>
      <c r="R153" s="137" t="str" cm="1">
        <f t="array" ref="R153">Common_InputFunctions.Utility_DisplayArrayInTable(Fertiliser_SourceData.Fertiliser_Products_Data1(),FertiliserProducts[[#Headers],[Include or Exclude]], 0,4)</f>
        <v/>
      </c>
      <c r="S153" s="137" t="str" cm="1">
        <f t="array" ref="S153">Common_InputFunctions.Utility_DisplayArrayInTable(Fertiliser_SourceData.Fertiliser_Products_Data1(),FertiliserProducts[[#Headers],[Include or Exclude]], 0,4)</f>
        <v/>
      </c>
      <c r="T153" s="137" t="str" cm="1">
        <f t="array" ref="T153">Common_InputFunctions.Utility_DisplayArrayInTable(Fertiliser_SourceData.Fertiliser_Products_Data1(),FertiliserProducts[[#Headers],[Include or Exclude]], 0,4)</f>
        <v/>
      </c>
      <c r="U153" s="137" t="str" cm="1">
        <f t="array" ref="U153">Common_InputFunctions.Utility_DisplayArrayInTable(Fertiliser_SourceData.Fertiliser_Products_Data1(),FertiliserProducts[[#Headers],[Include or Exclude]], 0,4)</f>
        <v/>
      </c>
      <c r="V153" s="137" t="str" cm="1">
        <f t="array" ref="V153">Common_InputFunctions.Utility_DisplayArrayInTable(Fertiliser_SourceData.Fertiliser_Products_Data1(),FertiliserProducts[[#Headers],[Include or Exclude]], 0,4)</f>
        <v/>
      </c>
      <c r="W153" s="137" t="str" cm="1">
        <f t="array" ref="W153">Common_InputFunctions.Utility_DisplayArrayInTable(Fertiliser_SourceData.Fertiliser_Products_Data1(),FertiliserProducts[[#Headers],[Include or Exclude]], 0,4)</f>
        <v/>
      </c>
      <c r="X153" s="137" t="str" cm="1">
        <f t="array" ref="X153">Common_InputFunctions.Utility_DisplayArrayInTable(Fertiliser_SourceData.Fertiliser_Products_Data1(),FertiliserProducts[[#Headers],[Include or Exclude]], 0,4)</f>
        <v/>
      </c>
      <c r="Y153" s="137" t="str" cm="1">
        <f t="array" ref="Y153">Common_InputFunctions.Utility_DisplayArrayInTable(Fertiliser_SourceData.Fertiliser_Products_Data1(),FertiliserProducts[[#Headers],[Include or Exclude]], 0,4)</f>
        <v/>
      </c>
      <c r="Z153" s="137" t="str" cm="1">
        <f t="array" ref="Z153">Common_InputFunctions.Utility_DisplayArrayInTable(Fertiliser_SourceData.Fertiliser_Products_Data1(),FertiliserProducts[[#Headers],[Include or Exclude]], 0,4)</f>
        <v/>
      </c>
      <c r="AA153" s="137" t="str" cm="1">
        <f t="array" ref="AA153">Common_InputFunctions.Utility_DisplayArrayInTable(Fertiliser_SourceData.Fertiliser_Products_Data1(),FertiliserProducts[[#Headers],[Include or Exclude]], 0,4)</f>
        <v/>
      </c>
      <c r="AB153" s="137" t="str" cm="1">
        <f t="array" ref="AB153">Common_InputFunctions.Utility_DisplayArrayInTable(Fertiliser_SourceData.Fertiliser_Products_Data1(),FertiliserProducts[[#Headers],[Include or Exclude]], 0,4)</f>
        <v/>
      </c>
      <c r="AC153" s="137" t="str" cm="1">
        <f t="array" ref="AC153">Common_InputFunctions.Utility_DisplayArrayInTable(Fertiliser_SourceData.Fertiliser_Products_Data1(),FertiliserProducts[[#Headers],[Include or Exclude]], 0,4)</f>
        <v/>
      </c>
      <c r="AD153" s="137" t="str" cm="1">
        <f t="array" ref="AD153">Common_InputFunctions.Utility_DisplayArrayInTable(Fertiliser_SourceData.Fertiliser_Products_Data1(),FertiliserProducts[[#Headers],[Include or Exclude]], 0,4)</f>
        <v/>
      </c>
      <c r="AE153" s="13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263FA-788A-49F1-9B8C-27ABCDB1F07D}">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44" customFormat="1" ht="30" customHeight="1" x14ac:dyDescent="0.35">
      <c r="A1" s="18" t="e" vm="1">
        <v>#VALUE!</v>
      </c>
      <c r="C1" s="44" t="s">
        <v>569</v>
      </c>
      <c r="AG1"/>
      <c r="AH1"/>
      <c r="AI1"/>
    </row>
    <row r="2" spans="1:35" s="3" customFormat="1" ht="20.100000000000001" customHeight="1" x14ac:dyDescent="0.25">
      <c r="A2"/>
      <c r="AG2"/>
      <c r="AH2"/>
      <c r="AI2"/>
    </row>
    <row r="3" spans="1:3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28"/>
      <c r="F5" s="128"/>
      <c r="G5" s="128"/>
      <c r="H5" s="128"/>
      <c r="I5" s="128"/>
      <c r="J5" s="128"/>
      <c r="K5" s="128"/>
      <c r="L5" s="12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28"/>
      <c r="F6" s="128"/>
      <c r="G6" s="128"/>
      <c r="H6" s="128"/>
      <c r="I6" s="128"/>
      <c r="J6" s="128"/>
      <c r="K6" s="128"/>
      <c r="L6" s="128"/>
    </row>
    <row r="7" spans="1:35" ht="20.100000000000001" customHeight="1" x14ac:dyDescent="0.25">
      <c r="A7" s="7" t="s">
        <v>0</v>
      </c>
      <c r="D7" s="46" t="str" cm="1">
        <f t="array" ref="D7">Fuel_SourceData.Fuel_Scope1Scope3EmissionFactorsTransport_Source()</f>
        <v>Australian National Greenhouse Accounts Factors 2025 - Table 9</v>
      </c>
      <c r="E7" s="128"/>
      <c r="F7" s="128"/>
      <c r="G7" s="128"/>
      <c r="H7" s="128"/>
      <c r="I7" s="128"/>
      <c r="J7" s="128"/>
      <c r="K7" s="128"/>
      <c r="L7" s="128"/>
    </row>
    <row r="8" spans="1:35" ht="20.100000000000001" customHeight="1" x14ac:dyDescent="0.25">
      <c r="A8" s="5" t="str">
        <f>HYPERLINK("#'Input - Enterprise'!A1", "Enterprise")</f>
        <v>Enterprise</v>
      </c>
      <c r="D8" s="71" t="str" cm="1">
        <f t="array" ref="D8">"⚠️" &amp; Fuel_SourceData.Fuel_Scope1Scope3EmissionFactorsTransport_Variation()</f>
        <v>⚠️VARIATION OF SOURCE DATA: 'NE' values returned as zero for calculations.</v>
      </c>
      <c r="E8" s="128"/>
      <c r="F8" s="128"/>
      <c r="G8" s="128"/>
      <c r="H8" s="128"/>
      <c r="I8" s="128"/>
      <c r="J8" s="128"/>
      <c r="K8" s="128"/>
      <c r="L8" s="128"/>
    </row>
    <row r="9" spans="1:35" ht="20.100000000000001" customHeight="1" x14ac:dyDescent="0.25">
      <c r="A9" s="5" t="str">
        <f>HYPERLINK("#'Input - Site'!A1", "Site")</f>
        <v>Site</v>
      </c>
      <c r="D9" s="178" t="s">
        <v>570</v>
      </c>
      <c r="E9" s="178" t="s">
        <v>571</v>
      </c>
      <c r="F9" s="178" t="s">
        <v>572</v>
      </c>
      <c r="G9" s="178" t="s">
        <v>573</v>
      </c>
      <c r="H9" s="178" t="s">
        <v>574</v>
      </c>
      <c r="I9" s="178" t="s">
        <v>575</v>
      </c>
      <c r="J9" s="178" t="s">
        <v>576</v>
      </c>
      <c r="K9" s="178" t="s">
        <v>577</v>
      </c>
      <c r="L9" s="178" t="s">
        <v>578</v>
      </c>
    </row>
    <row r="10" spans="1:35" ht="20.100000000000001" customHeight="1" x14ac:dyDescent="0.25">
      <c r="A10" s="5" t="str">
        <f>HYPERLINK("#'Input - Pasture Beef'!A1", "Pasture Beef")</f>
        <v>Pasture Beef</v>
      </c>
      <c r="D10" s="179" t="str" cm="1">
        <f t="array" ref="D10">Common_InputFunctions.Utility_DisplayArrayInTable(Fuel_SourceData.Fuel_Scope1Scope3EmissionFactorsTransport_Data(), Table_Fuel_EFs_Transport[[#Headers],[Transport type]], 0)</f>
        <v>Cars and light commercial vehicles</v>
      </c>
      <c r="E10" s="179" t="str" cm="1">
        <f t="array" ref="E10">Common_InputFunctions.Utility_DisplayArrayInTable(Fuel_SourceData.Fuel_Scope1Scope3EmissionFactorsTransport_Data(), Table_Fuel_EFs_Transport[[#Headers],[Transport type]], 0)</f>
        <v>Gasoline</v>
      </c>
      <c r="F10" s="179" cm="1">
        <f t="array" ref="F10">Common_InputFunctions.Utility_DisplayArrayInTable(Fuel_SourceData.Fuel_Scope1Scope3EmissionFactorsTransport_Data(), Table_Fuel_EFs_Transport[[#Headers],[Transport type]], 0)</f>
        <v>34.200000000000003</v>
      </c>
      <c r="G10" s="179" t="str" cm="1">
        <f t="array" ref="G10">Common_InputFunctions.Utility_DisplayArrayInTable(Fuel_SourceData.Fuel_Scope1Scope3EmissionFactorsTransport_Data(), Table_Fuel_EFs_Transport[[#Headers],[Transport type]], 0)</f>
        <v>kl</v>
      </c>
      <c r="H10" s="179" cm="1">
        <f t="array" ref="H10">Common_InputFunctions.Utility_DisplayArrayInTable(Fuel_SourceData.Fuel_Scope1Scope3EmissionFactorsTransport_Data(), Table_Fuel_EFs_Transport[[#Headers],[Transport type]], 0)</f>
        <v>67.400000000000006</v>
      </c>
      <c r="I10" s="179" cm="1">
        <f t="array" ref="I10">Common_InputFunctions.Utility_DisplayArrayInTable(Fuel_SourceData.Fuel_Scope1Scope3EmissionFactorsTransport_Data(), Table_Fuel_EFs_Transport[[#Headers],[Transport type]], 0)</f>
        <v>0.02</v>
      </c>
      <c r="J10" s="179" cm="1">
        <f t="array" ref="J10">Common_InputFunctions.Utility_DisplayArrayInTable(Fuel_SourceData.Fuel_Scope1Scope3EmissionFactorsTransport_Data(), Table_Fuel_EFs_Transport[[#Headers],[Transport type]], 0)</f>
        <v>0.2</v>
      </c>
      <c r="K10" s="179" cm="1">
        <f t="array" ref="K10">Common_InputFunctions.Utility_DisplayArrayInTable(Fuel_SourceData.Fuel_Scope1Scope3EmissionFactorsTransport_Data(), Table_Fuel_EFs_Transport[[#Headers],[Transport type]], 0)</f>
        <v>67.62</v>
      </c>
      <c r="L10" s="17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179" t="str" cm="1">
        <f t="array" ref="D11">Common_InputFunctions.Utility_DisplayArrayInTable(Fuel_SourceData.Fuel_Scope1Scope3EmissionFactorsTransport_Data(), Table_Fuel_EFs_Transport[[#Headers],[Transport type]], 0)</f>
        <v>Cars and light commercial vehicles</v>
      </c>
      <c r="E11" s="179" t="str" cm="1">
        <f t="array" ref="E11">Common_InputFunctions.Utility_DisplayArrayInTable(Fuel_SourceData.Fuel_Scope1Scope3EmissionFactorsTransport_Data(), Table_Fuel_EFs_Transport[[#Headers],[Transport type]], 0)</f>
        <v>Diesel oil</v>
      </c>
      <c r="F11" s="179" cm="1">
        <f t="array" ref="F11">Common_InputFunctions.Utility_DisplayArrayInTable(Fuel_SourceData.Fuel_Scope1Scope3EmissionFactorsTransport_Data(), Table_Fuel_EFs_Transport[[#Headers],[Transport type]], 0)</f>
        <v>38.6</v>
      </c>
      <c r="G11" s="179" t="str" cm="1">
        <f t="array" ref="G11">Common_InputFunctions.Utility_DisplayArrayInTable(Fuel_SourceData.Fuel_Scope1Scope3EmissionFactorsTransport_Data(), Table_Fuel_EFs_Transport[[#Headers],[Transport type]], 0)</f>
        <v>kl</v>
      </c>
      <c r="H11" s="179" cm="1">
        <f t="array" ref="H11">Common_InputFunctions.Utility_DisplayArrayInTable(Fuel_SourceData.Fuel_Scope1Scope3EmissionFactorsTransport_Data(), Table_Fuel_EFs_Transport[[#Headers],[Transport type]], 0)</f>
        <v>69.900000000000006</v>
      </c>
      <c r="I11" s="179" cm="1">
        <f t="array" ref="I11">Common_InputFunctions.Utility_DisplayArrayInTable(Fuel_SourceData.Fuel_Scope1Scope3EmissionFactorsTransport_Data(), Table_Fuel_EFs_Transport[[#Headers],[Transport type]], 0)</f>
        <v>0.01</v>
      </c>
      <c r="J11" s="179" cm="1">
        <f t="array" ref="J11">Common_InputFunctions.Utility_DisplayArrayInTable(Fuel_SourceData.Fuel_Scope1Scope3EmissionFactorsTransport_Data(), Table_Fuel_EFs_Transport[[#Headers],[Transport type]], 0)</f>
        <v>0.5</v>
      </c>
      <c r="K11" s="179" cm="1">
        <f t="array" ref="K11">Common_InputFunctions.Utility_DisplayArrayInTable(Fuel_SourceData.Fuel_Scope1Scope3EmissionFactorsTransport_Data(), Table_Fuel_EFs_Transport[[#Headers],[Transport type]], 0)</f>
        <v>70.41</v>
      </c>
      <c r="L11" s="17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179" t="str" cm="1">
        <f t="array" ref="D12">Common_InputFunctions.Utility_DisplayArrayInTable(Fuel_SourceData.Fuel_Scope1Scope3EmissionFactorsTransport_Data(), Table_Fuel_EFs_Transport[[#Headers],[Transport type]], 0)</f>
        <v>Cars and light commercial vehicles</v>
      </c>
      <c r="E12" s="179" t="str" cm="1">
        <f t="array" ref="E12">Common_InputFunctions.Utility_DisplayArrayInTable(Fuel_SourceData.Fuel_Scope1Scope3EmissionFactorsTransport_Data(), Table_Fuel_EFs_Transport[[#Headers],[Transport type]], 0)</f>
        <v>Liquefied petroleum gas (LPG)</v>
      </c>
      <c r="F12" s="179" cm="1">
        <f t="array" ref="F12">Common_InputFunctions.Utility_DisplayArrayInTable(Fuel_SourceData.Fuel_Scope1Scope3EmissionFactorsTransport_Data(), Table_Fuel_EFs_Transport[[#Headers],[Transport type]], 0)</f>
        <v>26.2</v>
      </c>
      <c r="G12" s="179" t="str" cm="1">
        <f t="array" ref="G12">Common_InputFunctions.Utility_DisplayArrayInTable(Fuel_SourceData.Fuel_Scope1Scope3EmissionFactorsTransport_Data(), Table_Fuel_EFs_Transport[[#Headers],[Transport type]], 0)</f>
        <v>kl</v>
      </c>
      <c r="H12" s="179" cm="1">
        <f t="array" ref="H12">Common_InputFunctions.Utility_DisplayArrayInTable(Fuel_SourceData.Fuel_Scope1Scope3EmissionFactorsTransport_Data(), Table_Fuel_EFs_Transport[[#Headers],[Transport type]], 0)</f>
        <v>60.2</v>
      </c>
      <c r="I12" s="179" cm="1">
        <f t="array" ref="I12">Common_InputFunctions.Utility_DisplayArrayInTable(Fuel_SourceData.Fuel_Scope1Scope3EmissionFactorsTransport_Data(), Table_Fuel_EFs_Transport[[#Headers],[Transport type]], 0)</f>
        <v>0.5</v>
      </c>
      <c r="J12" s="179" cm="1">
        <f t="array" ref="J12">Common_InputFunctions.Utility_DisplayArrayInTable(Fuel_SourceData.Fuel_Scope1Scope3EmissionFactorsTransport_Data(), Table_Fuel_EFs_Transport[[#Headers],[Transport type]], 0)</f>
        <v>0.3</v>
      </c>
      <c r="K12" s="179" cm="1">
        <f t="array" ref="K12">Common_InputFunctions.Utility_DisplayArrayInTable(Fuel_SourceData.Fuel_Scope1Scope3EmissionFactorsTransport_Data(), Table_Fuel_EFs_Transport[[#Headers],[Transport type]], 0)</f>
        <v>61</v>
      </c>
      <c r="L12" s="17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179" t="str" cm="1">
        <f t="array" ref="D13">Common_InputFunctions.Utility_DisplayArrayInTable(Fuel_SourceData.Fuel_Scope1Scope3EmissionFactorsTransport_Data(), Table_Fuel_EFs_Transport[[#Headers],[Transport type]], 0)</f>
        <v>Cars and light commercial vehicles</v>
      </c>
      <c r="E13" s="179" t="str" cm="1">
        <f t="array" ref="E13">Common_InputFunctions.Utility_DisplayArrayInTable(Fuel_SourceData.Fuel_Scope1Scope3EmissionFactorsTransport_Data(), Table_Fuel_EFs_Transport[[#Headers],[Transport type]], 0)</f>
        <v>Fuel oil</v>
      </c>
      <c r="F13" s="179" cm="1">
        <f t="array" ref="F13">Common_InputFunctions.Utility_DisplayArrayInTable(Fuel_SourceData.Fuel_Scope1Scope3EmissionFactorsTransport_Data(), Table_Fuel_EFs_Transport[[#Headers],[Transport type]], 0)</f>
        <v>39.700000000000003</v>
      </c>
      <c r="G13" s="179" t="str" cm="1">
        <f t="array" ref="G13">Common_InputFunctions.Utility_DisplayArrayInTable(Fuel_SourceData.Fuel_Scope1Scope3EmissionFactorsTransport_Data(), Table_Fuel_EFs_Transport[[#Headers],[Transport type]], 0)</f>
        <v>kl</v>
      </c>
      <c r="H13" s="179" cm="1">
        <f t="array" ref="H13">Common_InputFunctions.Utility_DisplayArrayInTable(Fuel_SourceData.Fuel_Scope1Scope3EmissionFactorsTransport_Data(), Table_Fuel_EFs_Transport[[#Headers],[Transport type]], 0)</f>
        <v>73.599999999999994</v>
      </c>
      <c r="I13" s="179" cm="1">
        <f t="array" ref="I13">Common_InputFunctions.Utility_DisplayArrayInTable(Fuel_SourceData.Fuel_Scope1Scope3EmissionFactorsTransport_Data(), Table_Fuel_EFs_Transport[[#Headers],[Transport type]], 0)</f>
        <v>0.08</v>
      </c>
      <c r="J13" s="179" cm="1">
        <f t="array" ref="J13">Common_InputFunctions.Utility_DisplayArrayInTable(Fuel_SourceData.Fuel_Scope1Scope3EmissionFactorsTransport_Data(), Table_Fuel_EFs_Transport[[#Headers],[Transport type]], 0)</f>
        <v>0.5</v>
      </c>
      <c r="K13" s="179" cm="1">
        <f t="array" ref="K13">Common_InputFunctions.Utility_DisplayArrayInTable(Fuel_SourceData.Fuel_Scope1Scope3EmissionFactorsTransport_Data(), Table_Fuel_EFs_Transport[[#Headers],[Transport type]], 0)</f>
        <v>74.180000000000007</v>
      </c>
      <c r="L13" s="17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179" t="str" cm="1">
        <f t="array" ref="D14">Common_InputFunctions.Utility_DisplayArrayInTable(Fuel_SourceData.Fuel_Scope1Scope3EmissionFactorsTransport_Data(), Table_Fuel_EFs_Transport[[#Headers],[Transport type]], 0)</f>
        <v>Cars and light commercial vehicles</v>
      </c>
      <c r="E14" s="179" t="str" cm="1">
        <f t="array" ref="E14">Common_InputFunctions.Utility_DisplayArrayInTable(Fuel_SourceData.Fuel_Scope1Scope3EmissionFactorsTransport_Data(), Table_Fuel_EFs_Transport[[#Headers],[Transport type]], 0)</f>
        <v>Ethanol</v>
      </c>
      <c r="F14" s="179" cm="1">
        <f t="array" ref="F14">Common_InputFunctions.Utility_DisplayArrayInTable(Fuel_SourceData.Fuel_Scope1Scope3EmissionFactorsTransport_Data(), Table_Fuel_EFs_Transport[[#Headers],[Transport type]], 0)</f>
        <v>23.4</v>
      </c>
      <c r="G14" s="179" t="str" cm="1">
        <f t="array" ref="G14">Common_InputFunctions.Utility_DisplayArrayInTable(Fuel_SourceData.Fuel_Scope1Scope3EmissionFactorsTransport_Data(), Table_Fuel_EFs_Transport[[#Headers],[Transport type]], 0)</f>
        <v>kl</v>
      </c>
      <c r="H14" s="179" cm="1">
        <f t="array" ref="H14">Common_InputFunctions.Utility_DisplayArrayInTable(Fuel_SourceData.Fuel_Scope1Scope3EmissionFactorsTransport_Data(), Table_Fuel_EFs_Transport[[#Headers],[Transport type]], 0)</f>
        <v>0</v>
      </c>
      <c r="I14" s="179" cm="1">
        <f t="array" ref="I14">Common_InputFunctions.Utility_DisplayArrayInTable(Fuel_SourceData.Fuel_Scope1Scope3EmissionFactorsTransport_Data(), Table_Fuel_EFs_Transport[[#Headers],[Transport type]], 0)</f>
        <v>0.2</v>
      </c>
      <c r="J14" s="179" cm="1">
        <f t="array" ref="J14">Common_InputFunctions.Utility_DisplayArrayInTable(Fuel_SourceData.Fuel_Scope1Scope3EmissionFactorsTransport_Data(), Table_Fuel_EFs_Transport[[#Headers],[Transport type]], 0)</f>
        <v>0.2</v>
      </c>
      <c r="K14" s="179" cm="1">
        <f t="array" ref="K14">Common_InputFunctions.Utility_DisplayArrayInTable(Fuel_SourceData.Fuel_Scope1Scope3EmissionFactorsTransport_Data(), Table_Fuel_EFs_Transport[[#Headers],[Transport type]], 0)</f>
        <v>0.4</v>
      </c>
      <c r="L14" s="17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179" t="str" cm="1">
        <f t="array" ref="D15">Common_InputFunctions.Utility_DisplayArrayInTable(Fuel_SourceData.Fuel_Scope1Scope3EmissionFactorsTransport_Data(), Table_Fuel_EFs_Transport[[#Headers],[Transport type]], 0)</f>
        <v>Cars and light commercial vehicles</v>
      </c>
      <c r="E15" s="179" t="str" cm="1">
        <f t="array" ref="E15">Common_InputFunctions.Utility_DisplayArrayInTable(Fuel_SourceData.Fuel_Scope1Scope3EmissionFactorsTransport_Data(), Table_Fuel_EFs_Transport[[#Headers],[Transport type]], 0)</f>
        <v>Biodiesel</v>
      </c>
      <c r="F15" s="179" cm="1">
        <f t="array" ref="F15">Common_InputFunctions.Utility_DisplayArrayInTable(Fuel_SourceData.Fuel_Scope1Scope3EmissionFactorsTransport_Data(), Table_Fuel_EFs_Transport[[#Headers],[Transport type]], 0)</f>
        <v>34.6</v>
      </c>
      <c r="G15" s="179" t="str" cm="1">
        <f t="array" ref="G15">Common_InputFunctions.Utility_DisplayArrayInTable(Fuel_SourceData.Fuel_Scope1Scope3EmissionFactorsTransport_Data(), Table_Fuel_EFs_Transport[[#Headers],[Transport type]], 0)</f>
        <v>kl</v>
      </c>
      <c r="H15" s="179" cm="1">
        <f t="array" ref="H15">Common_InputFunctions.Utility_DisplayArrayInTable(Fuel_SourceData.Fuel_Scope1Scope3EmissionFactorsTransport_Data(), Table_Fuel_EFs_Transport[[#Headers],[Transport type]], 0)</f>
        <v>0</v>
      </c>
      <c r="I15" s="179" cm="1">
        <f t="array" ref="I15">Common_InputFunctions.Utility_DisplayArrayInTable(Fuel_SourceData.Fuel_Scope1Scope3EmissionFactorsTransport_Data(), Table_Fuel_EFs_Transport[[#Headers],[Transport type]], 0)</f>
        <v>0.8</v>
      </c>
      <c r="J15" s="179" cm="1">
        <f t="array" ref="J15">Common_InputFunctions.Utility_DisplayArrayInTable(Fuel_SourceData.Fuel_Scope1Scope3EmissionFactorsTransport_Data(), Table_Fuel_EFs_Transport[[#Headers],[Transport type]], 0)</f>
        <v>1.7</v>
      </c>
      <c r="K15" s="179" cm="1">
        <f t="array" ref="K15">Common_InputFunctions.Utility_DisplayArrayInTable(Fuel_SourceData.Fuel_Scope1Scope3EmissionFactorsTransport_Data(), Table_Fuel_EFs_Transport[[#Headers],[Transport type]], 0)</f>
        <v>2.5</v>
      </c>
      <c r="L15" s="179" t="str" cm="1">
        <f t="array" ref="L15">Common_InputFunctions.Utility_DisplayArrayInTable(Fuel_SourceData.Fuel_Scope1Scope3EmissionFactorsTransport_Data(), Table_Fuel_EFs_Transport[[#Headers],[Transport type]], 0)</f>
        <v>NE</v>
      </c>
    </row>
    <row r="16" spans="1:35" ht="20.100000000000001" customHeight="1" x14ac:dyDescent="0.25">
      <c r="D16" s="179" t="str" cm="1">
        <f t="array" ref="D16">Common_InputFunctions.Utility_DisplayArrayInTable(Fuel_SourceData.Fuel_Scope1Scope3EmissionFactorsTransport_Data(), Table_Fuel_EFs_Transport[[#Headers],[Transport type]], 0)</f>
        <v>Cars and light commercial vehicles</v>
      </c>
      <c r="E16" s="179" t="str" cm="1">
        <f t="array" ref="E16">Common_InputFunctions.Utility_DisplayArrayInTable(Fuel_SourceData.Fuel_Scope1Scope3EmissionFactorsTransport_Data(), Table_Fuel_EFs_Transport[[#Headers],[Transport type]], 0)</f>
        <v>Renewable diesel</v>
      </c>
      <c r="F16" s="179" cm="1">
        <f t="array" ref="F16">Common_InputFunctions.Utility_DisplayArrayInTable(Fuel_SourceData.Fuel_Scope1Scope3EmissionFactorsTransport_Data(), Table_Fuel_EFs_Transport[[#Headers],[Transport type]], 0)</f>
        <v>38.6</v>
      </c>
      <c r="G16" s="179" t="str" cm="1">
        <f t="array" ref="G16">Common_InputFunctions.Utility_DisplayArrayInTable(Fuel_SourceData.Fuel_Scope1Scope3EmissionFactorsTransport_Data(), Table_Fuel_EFs_Transport[[#Headers],[Transport type]], 0)</f>
        <v>kl</v>
      </c>
      <c r="H16" s="179" cm="1">
        <f t="array" ref="H16">Common_InputFunctions.Utility_DisplayArrayInTable(Fuel_SourceData.Fuel_Scope1Scope3EmissionFactorsTransport_Data(), Table_Fuel_EFs_Transport[[#Headers],[Transport type]], 0)</f>
        <v>0</v>
      </c>
      <c r="I16" s="179" cm="1">
        <f t="array" ref="I16">Common_InputFunctions.Utility_DisplayArrayInTable(Fuel_SourceData.Fuel_Scope1Scope3EmissionFactorsTransport_Data(), Table_Fuel_EFs_Transport[[#Headers],[Transport type]], 0)</f>
        <v>0.01</v>
      </c>
      <c r="J16" s="179" cm="1">
        <f t="array" ref="J16">Common_InputFunctions.Utility_DisplayArrayInTable(Fuel_SourceData.Fuel_Scope1Scope3EmissionFactorsTransport_Data(), Table_Fuel_EFs_Transport[[#Headers],[Transport type]], 0)</f>
        <v>0.5</v>
      </c>
      <c r="K16" s="179" cm="1">
        <f t="array" ref="K16">Common_InputFunctions.Utility_DisplayArrayInTable(Fuel_SourceData.Fuel_Scope1Scope3EmissionFactorsTransport_Data(), Table_Fuel_EFs_Transport[[#Headers],[Transport type]], 0)</f>
        <v>0.51</v>
      </c>
      <c r="L16" s="179" t="str" cm="1">
        <f t="array" ref="L16">Common_InputFunctions.Utility_DisplayArrayInTable(Fuel_SourceData.Fuel_Scope1Scope3EmissionFactorsTransport_Data(), Table_Fuel_EFs_Transport[[#Headers],[Transport type]], 0)</f>
        <v>NE</v>
      </c>
    </row>
    <row r="17" spans="1:12" ht="20.100000000000001" customHeight="1" x14ac:dyDescent="0.25">
      <c r="D17" s="179" t="str" cm="1">
        <f t="array" ref="D17">Common_InputFunctions.Utility_DisplayArrayInTable(Fuel_SourceData.Fuel_Scope1Scope3EmissionFactorsTransport_Data(), Table_Fuel_EFs_Transport[[#Headers],[Transport type]], 0)</f>
        <v>Cars and light commercial vehicles</v>
      </c>
      <c r="E17" s="179" t="str" cm="1">
        <f t="array" ref="E17">Common_InputFunctions.Utility_DisplayArrayInTable(Fuel_SourceData.Fuel_Scope1Scope3EmissionFactorsTransport_Data(), Table_Fuel_EFs_Transport[[#Headers],[Transport type]], 0)</f>
        <v>Other biofuels</v>
      </c>
      <c r="F17" s="179" cm="1">
        <f t="array" ref="F17">Common_InputFunctions.Utility_DisplayArrayInTable(Fuel_SourceData.Fuel_Scope1Scope3EmissionFactorsTransport_Data(), Table_Fuel_EFs_Transport[[#Headers],[Transport type]], 0)</f>
        <v>23.4</v>
      </c>
      <c r="G17" s="179" t="str" cm="1">
        <f t="array" ref="G17">Common_InputFunctions.Utility_DisplayArrayInTable(Fuel_SourceData.Fuel_Scope1Scope3EmissionFactorsTransport_Data(), Table_Fuel_EFs_Transport[[#Headers],[Transport type]], 0)</f>
        <v>kl</v>
      </c>
      <c r="H17" s="179" cm="1">
        <f t="array" ref="H17">Common_InputFunctions.Utility_DisplayArrayInTable(Fuel_SourceData.Fuel_Scope1Scope3EmissionFactorsTransport_Data(), Table_Fuel_EFs_Transport[[#Headers],[Transport type]], 0)</f>
        <v>0</v>
      </c>
      <c r="I17" s="179" cm="1">
        <f t="array" ref="I17">Common_InputFunctions.Utility_DisplayArrayInTable(Fuel_SourceData.Fuel_Scope1Scope3EmissionFactorsTransport_Data(), Table_Fuel_EFs_Transport[[#Headers],[Transport type]], 0)</f>
        <v>0.8</v>
      </c>
      <c r="J17" s="179" cm="1">
        <f t="array" ref="J17">Common_InputFunctions.Utility_DisplayArrayInTable(Fuel_SourceData.Fuel_Scope1Scope3EmissionFactorsTransport_Data(), Table_Fuel_EFs_Transport[[#Headers],[Transport type]], 0)</f>
        <v>1.7</v>
      </c>
      <c r="K17" s="179" cm="1">
        <f t="array" ref="K17">Common_InputFunctions.Utility_DisplayArrayInTable(Fuel_SourceData.Fuel_Scope1Scope3EmissionFactorsTransport_Data(), Table_Fuel_EFs_Transport[[#Headers],[Transport type]], 0)</f>
        <v>2.5</v>
      </c>
      <c r="L17" s="179" t="str" cm="1">
        <f t="array" ref="L17">Common_InputFunctions.Utility_DisplayArrayInTable(Fuel_SourceData.Fuel_Scope1Scope3EmissionFactorsTransport_Data(), Table_Fuel_EFs_Transport[[#Headers],[Transport type]], 0)</f>
        <v>NE</v>
      </c>
    </row>
    <row r="18" spans="1:12" ht="20.100000000000001" customHeight="1" x14ac:dyDescent="0.25">
      <c r="A18" s="6" t="s">
        <v>3</v>
      </c>
      <c r="D18" s="179" t="str" cm="1">
        <f t="array" ref="D18">Common_InputFunctions.Utility_DisplayArrayInTable(Fuel_SourceData.Fuel_Scope1Scope3EmissionFactorsTransport_Data(), Table_Fuel_EFs_Transport[[#Headers],[Transport type]], 0)</f>
        <v>Light duty vehicles</v>
      </c>
      <c r="E18" s="179" t="str" cm="1">
        <f t="array" ref="E18">Common_InputFunctions.Utility_DisplayArrayInTable(Fuel_SourceData.Fuel_Scope1Scope3EmissionFactorsTransport_Data(), Table_Fuel_EFs_Transport[[#Headers],[Transport type]], 0)</f>
        <v>Compressed natural gas</v>
      </c>
      <c r="F18" s="179" cm="1">
        <f t="array" ref="F18">Common_InputFunctions.Utility_DisplayArrayInTable(Fuel_SourceData.Fuel_Scope1Scope3EmissionFactorsTransport_Data(), Table_Fuel_EFs_Transport[[#Headers],[Transport type]], 0)</f>
        <v>3.9300000000000002E-2</v>
      </c>
      <c r="G18" s="179" t="str" cm="1">
        <f t="array" ref="G18">Common_InputFunctions.Utility_DisplayArrayInTable(Fuel_SourceData.Fuel_Scope1Scope3EmissionFactorsTransport_Data(), Table_Fuel_EFs_Transport[[#Headers],[Transport type]], 0)</f>
        <v>m3</v>
      </c>
      <c r="H18" s="179" cm="1">
        <f t="array" ref="H18">Common_InputFunctions.Utility_DisplayArrayInTable(Fuel_SourceData.Fuel_Scope1Scope3EmissionFactorsTransport_Data(), Table_Fuel_EFs_Transport[[#Headers],[Transport type]], 0)</f>
        <v>51.4</v>
      </c>
      <c r="I18" s="179" cm="1">
        <f t="array" ref="I18">Common_InputFunctions.Utility_DisplayArrayInTable(Fuel_SourceData.Fuel_Scope1Scope3EmissionFactorsTransport_Data(), Table_Fuel_EFs_Transport[[#Headers],[Transport type]], 0)</f>
        <v>7.3</v>
      </c>
      <c r="J18" s="179" cm="1">
        <f t="array" ref="J18">Common_InputFunctions.Utility_DisplayArrayInTable(Fuel_SourceData.Fuel_Scope1Scope3EmissionFactorsTransport_Data(), Table_Fuel_EFs_Transport[[#Headers],[Transport type]], 0)</f>
        <v>0.3</v>
      </c>
      <c r="K18" s="179" cm="1">
        <f t="array" ref="K18">Common_InputFunctions.Utility_DisplayArrayInTable(Fuel_SourceData.Fuel_Scope1Scope3EmissionFactorsTransport_Data(), Table_Fuel_EFs_Transport[[#Headers],[Transport type]], 0)</f>
        <v>59</v>
      </c>
      <c r="L18" s="17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179" t="str" cm="1">
        <f t="array" ref="D19">Common_InputFunctions.Utility_DisplayArrayInTable(Fuel_SourceData.Fuel_Scope1Scope3EmissionFactorsTransport_Data(), Table_Fuel_EFs_Transport[[#Headers],[Transport type]], 0)</f>
        <v>Light duty vehicles</v>
      </c>
      <c r="E19" s="179" t="str" cm="1">
        <f t="array" ref="E19">Common_InputFunctions.Utility_DisplayArrayInTable(Fuel_SourceData.Fuel_Scope1Scope3EmissionFactorsTransport_Data(), Table_Fuel_EFs_Transport[[#Headers],[Transport type]], 0)</f>
        <v>Liquefied natural gas</v>
      </c>
      <c r="F19" s="179" cm="1">
        <f t="array" ref="F19">Common_InputFunctions.Utility_DisplayArrayInTable(Fuel_SourceData.Fuel_Scope1Scope3EmissionFactorsTransport_Data(), Table_Fuel_EFs_Transport[[#Headers],[Transport type]], 0)</f>
        <v>25.3</v>
      </c>
      <c r="G19" s="179" t="str" cm="1">
        <f t="array" ref="G19">Common_InputFunctions.Utility_DisplayArrayInTable(Fuel_SourceData.Fuel_Scope1Scope3EmissionFactorsTransport_Data(), Table_Fuel_EFs_Transport[[#Headers],[Transport type]], 0)</f>
        <v>kl</v>
      </c>
      <c r="H19" s="179" cm="1">
        <f t="array" ref="H19">Common_InputFunctions.Utility_DisplayArrayInTable(Fuel_SourceData.Fuel_Scope1Scope3EmissionFactorsTransport_Data(), Table_Fuel_EFs_Transport[[#Headers],[Transport type]], 0)</f>
        <v>51.4</v>
      </c>
      <c r="I19" s="179" cm="1">
        <f t="array" ref="I19">Common_InputFunctions.Utility_DisplayArrayInTable(Fuel_SourceData.Fuel_Scope1Scope3EmissionFactorsTransport_Data(), Table_Fuel_EFs_Transport[[#Headers],[Transport type]], 0)</f>
        <v>7.3</v>
      </c>
      <c r="J19" s="179" cm="1">
        <f t="array" ref="J19">Common_InputFunctions.Utility_DisplayArrayInTable(Fuel_SourceData.Fuel_Scope1Scope3EmissionFactorsTransport_Data(), Table_Fuel_EFs_Transport[[#Headers],[Transport type]], 0)</f>
        <v>0.3</v>
      </c>
      <c r="K19" s="179" cm="1">
        <f t="array" ref="K19">Common_InputFunctions.Utility_DisplayArrayInTable(Fuel_SourceData.Fuel_Scope1Scope3EmissionFactorsTransport_Data(), Table_Fuel_EFs_Transport[[#Headers],[Transport type]], 0)</f>
        <v>59</v>
      </c>
      <c r="L19" s="17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179" t="str" cm="1">
        <f t="array" ref="D20">Common_InputFunctions.Utility_DisplayArrayInTable(Fuel_SourceData.Fuel_Scope1Scope3EmissionFactorsTransport_Data(), Table_Fuel_EFs_Transport[[#Headers],[Transport type]], 0)</f>
        <v>Heavy duty vehicles</v>
      </c>
      <c r="E20" s="179" t="str" cm="1">
        <f t="array" ref="E20">Common_InputFunctions.Utility_DisplayArrayInTable(Fuel_SourceData.Fuel_Scope1Scope3EmissionFactorsTransport_Data(), Table_Fuel_EFs_Transport[[#Headers],[Transport type]], 0)</f>
        <v>Compressed natural gas</v>
      </c>
      <c r="F20" s="179" cm="1">
        <f t="array" ref="F20">Common_InputFunctions.Utility_DisplayArrayInTable(Fuel_SourceData.Fuel_Scope1Scope3EmissionFactorsTransport_Data(), Table_Fuel_EFs_Transport[[#Headers],[Transport type]], 0)</f>
        <v>3.9300000000000002E-2</v>
      </c>
      <c r="G20" s="179" t="str" cm="1">
        <f t="array" ref="G20">Common_InputFunctions.Utility_DisplayArrayInTable(Fuel_SourceData.Fuel_Scope1Scope3EmissionFactorsTransport_Data(), Table_Fuel_EFs_Transport[[#Headers],[Transport type]], 0)</f>
        <v>m3</v>
      </c>
      <c r="H20" s="179" cm="1">
        <f t="array" ref="H20">Common_InputFunctions.Utility_DisplayArrayInTable(Fuel_SourceData.Fuel_Scope1Scope3EmissionFactorsTransport_Data(), Table_Fuel_EFs_Transport[[#Headers],[Transport type]], 0)</f>
        <v>51.4</v>
      </c>
      <c r="I20" s="179" cm="1">
        <f t="array" ref="I20">Common_InputFunctions.Utility_DisplayArrayInTable(Fuel_SourceData.Fuel_Scope1Scope3EmissionFactorsTransport_Data(), Table_Fuel_EFs_Transport[[#Headers],[Transport type]], 0)</f>
        <v>2.8</v>
      </c>
      <c r="J20" s="179" cm="1">
        <f t="array" ref="J20">Common_InputFunctions.Utility_DisplayArrayInTable(Fuel_SourceData.Fuel_Scope1Scope3EmissionFactorsTransport_Data(), Table_Fuel_EFs_Transport[[#Headers],[Transport type]], 0)</f>
        <v>0.3</v>
      </c>
      <c r="K20" s="179" cm="1">
        <f t="array" ref="K20">Common_InputFunctions.Utility_DisplayArrayInTable(Fuel_SourceData.Fuel_Scope1Scope3EmissionFactorsTransport_Data(), Table_Fuel_EFs_Transport[[#Headers],[Transport type]], 0)</f>
        <v>54.5</v>
      </c>
      <c r="L20" s="17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179" t="str" cm="1">
        <f t="array" ref="D21">Common_InputFunctions.Utility_DisplayArrayInTable(Fuel_SourceData.Fuel_Scope1Scope3EmissionFactorsTransport_Data(), Table_Fuel_EFs_Transport[[#Headers],[Transport type]], 0)</f>
        <v>Heavy duty vehicles</v>
      </c>
      <c r="E21" s="179" t="str" cm="1">
        <f t="array" ref="E21">Common_InputFunctions.Utility_DisplayArrayInTable(Fuel_SourceData.Fuel_Scope1Scope3EmissionFactorsTransport_Data(), Table_Fuel_EFs_Transport[[#Headers],[Transport type]], 0)</f>
        <v>Liquefied natural gas</v>
      </c>
      <c r="F21" s="179" cm="1">
        <f t="array" ref="F21">Common_InputFunctions.Utility_DisplayArrayInTable(Fuel_SourceData.Fuel_Scope1Scope3EmissionFactorsTransport_Data(), Table_Fuel_EFs_Transport[[#Headers],[Transport type]], 0)</f>
        <v>25.3</v>
      </c>
      <c r="G21" s="179" t="str" cm="1">
        <f t="array" ref="G21">Common_InputFunctions.Utility_DisplayArrayInTable(Fuel_SourceData.Fuel_Scope1Scope3EmissionFactorsTransport_Data(), Table_Fuel_EFs_Transport[[#Headers],[Transport type]], 0)</f>
        <v>kl</v>
      </c>
      <c r="H21" s="179" cm="1">
        <f t="array" ref="H21">Common_InputFunctions.Utility_DisplayArrayInTable(Fuel_SourceData.Fuel_Scope1Scope3EmissionFactorsTransport_Data(), Table_Fuel_EFs_Transport[[#Headers],[Transport type]], 0)</f>
        <v>51.4</v>
      </c>
      <c r="I21" s="179" cm="1">
        <f t="array" ref="I21">Common_InputFunctions.Utility_DisplayArrayInTable(Fuel_SourceData.Fuel_Scope1Scope3EmissionFactorsTransport_Data(), Table_Fuel_EFs_Transport[[#Headers],[Transport type]], 0)</f>
        <v>2.8</v>
      </c>
      <c r="J21" s="179" cm="1">
        <f t="array" ref="J21">Common_InputFunctions.Utility_DisplayArrayInTable(Fuel_SourceData.Fuel_Scope1Scope3EmissionFactorsTransport_Data(), Table_Fuel_EFs_Transport[[#Headers],[Transport type]], 0)</f>
        <v>0.3</v>
      </c>
      <c r="K21" s="179" cm="1">
        <f t="array" ref="K21">Common_InputFunctions.Utility_DisplayArrayInTable(Fuel_SourceData.Fuel_Scope1Scope3EmissionFactorsTransport_Data(), Table_Fuel_EFs_Transport[[#Headers],[Transport type]], 0)</f>
        <v>54.5</v>
      </c>
      <c r="L21" s="17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179" t="str" cm="1">
        <f t="array" ref="D22">Common_InputFunctions.Utility_DisplayArrayInTable(Fuel_SourceData.Fuel_Scope1Scope3EmissionFactorsTransport_Data(), Table_Fuel_EFs_Transport[[#Headers],[Transport type]], 0)</f>
        <v>Heavy duty vehicles</v>
      </c>
      <c r="E22" s="179" t="str" cm="1">
        <f t="array" ref="E22">Common_InputFunctions.Utility_DisplayArrayInTable(Fuel_SourceData.Fuel_Scope1Scope3EmissionFactorsTransport_Data(), Table_Fuel_EFs_Transport[[#Headers],[Transport type]], 0)</f>
        <v>Diesel oil - Euro iv or higher</v>
      </c>
      <c r="F22" s="179" cm="1">
        <f t="array" ref="F22">Common_InputFunctions.Utility_DisplayArrayInTable(Fuel_SourceData.Fuel_Scope1Scope3EmissionFactorsTransport_Data(), Table_Fuel_EFs_Transport[[#Headers],[Transport type]], 0)</f>
        <v>38.6</v>
      </c>
      <c r="G22" s="179" t="str" cm="1">
        <f t="array" ref="G22">Common_InputFunctions.Utility_DisplayArrayInTable(Fuel_SourceData.Fuel_Scope1Scope3EmissionFactorsTransport_Data(), Table_Fuel_EFs_Transport[[#Headers],[Transport type]], 0)</f>
        <v>kl</v>
      </c>
      <c r="H22" s="179" cm="1">
        <f t="array" ref="H22">Common_InputFunctions.Utility_DisplayArrayInTable(Fuel_SourceData.Fuel_Scope1Scope3EmissionFactorsTransport_Data(), Table_Fuel_EFs_Transport[[#Headers],[Transport type]], 0)</f>
        <v>69.900000000000006</v>
      </c>
      <c r="I22" s="179" cm="1">
        <f t="array" ref="I22">Common_InputFunctions.Utility_DisplayArrayInTable(Fuel_SourceData.Fuel_Scope1Scope3EmissionFactorsTransport_Data(), Table_Fuel_EFs_Transport[[#Headers],[Transport type]], 0)</f>
        <v>7.0000000000000007E-2</v>
      </c>
      <c r="J22" s="179" cm="1">
        <f t="array" ref="J22">Common_InputFunctions.Utility_DisplayArrayInTable(Fuel_SourceData.Fuel_Scope1Scope3EmissionFactorsTransport_Data(), Table_Fuel_EFs_Transport[[#Headers],[Transport type]], 0)</f>
        <v>0.4</v>
      </c>
      <c r="K22" s="179" cm="1">
        <f t="array" ref="K22">Common_InputFunctions.Utility_DisplayArrayInTable(Fuel_SourceData.Fuel_Scope1Scope3EmissionFactorsTransport_Data(), Table_Fuel_EFs_Transport[[#Headers],[Transport type]], 0)</f>
        <v>70.37</v>
      </c>
      <c r="L22" s="17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179" t="str" cm="1">
        <f t="array" ref="D23">Common_InputFunctions.Utility_DisplayArrayInTable(Fuel_SourceData.Fuel_Scope1Scope3EmissionFactorsTransport_Data(), Table_Fuel_EFs_Transport[[#Headers],[Transport type]], 0)</f>
        <v>Heavy duty vehicles</v>
      </c>
      <c r="E23" s="179" t="str" cm="1">
        <f t="array" ref="E23">Common_InputFunctions.Utility_DisplayArrayInTable(Fuel_SourceData.Fuel_Scope1Scope3EmissionFactorsTransport_Data(), Table_Fuel_EFs_Transport[[#Headers],[Transport type]], 0)</f>
        <v>Diesel oil - Euro iii</v>
      </c>
      <c r="F23" s="179" cm="1">
        <f t="array" ref="F23">Common_InputFunctions.Utility_DisplayArrayInTable(Fuel_SourceData.Fuel_Scope1Scope3EmissionFactorsTransport_Data(), Table_Fuel_EFs_Transport[[#Headers],[Transport type]], 0)</f>
        <v>38.6</v>
      </c>
      <c r="G23" s="179" t="str" cm="1">
        <f t="array" ref="G23">Common_InputFunctions.Utility_DisplayArrayInTable(Fuel_SourceData.Fuel_Scope1Scope3EmissionFactorsTransport_Data(), Table_Fuel_EFs_Transport[[#Headers],[Transport type]], 0)</f>
        <v>kl</v>
      </c>
      <c r="H23" s="179" cm="1">
        <f t="array" ref="H23">Common_InputFunctions.Utility_DisplayArrayInTable(Fuel_SourceData.Fuel_Scope1Scope3EmissionFactorsTransport_Data(), Table_Fuel_EFs_Transport[[#Headers],[Transport type]], 0)</f>
        <v>69.900000000000006</v>
      </c>
      <c r="I23" s="179" cm="1">
        <f t="array" ref="I23">Common_InputFunctions.Utility_DisplayArrayInTable(Fuel_SourceData.Fuel_Scope1Scope3EmissionFactorsTransport_Data(), Table_Fuel_EFs_Transport[[#Headers],[Transport type]], 0)</f>
        <v>0.1</v>
      </c>
      <c r="J23" s="179" cm="1">
        <f t="array" ref="J23">Common_InputFunctions.Utility_DisplayArrayInTable(Fuel_SourceData.Fuel_Scope1Scope3EmissionFactorsTransport_Data(), Table_Fuel_EFs_Transport[[#Headers],[Transport type]], 0)</f>
        <v>0.4</v>
      </c>
      <c r="K23" s="179" cm="1">
        <f t="array" ref="K23">Common_InputFunctions.Utility_DisplayArrayInTable(Fuel_SourceData.Fuel_Scope1Scope3EmissionFactorsTransport_Data(), Table_Fuel_EFs_Transport[[#Headers],[Transport type]], 0)</f>
        <v>70.400000000000006</v>
      </c>
      <c r="L23" s="179"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179" t="str" cm="1">
        <f t="array" ref="D24">Common_InputFunctions.Utility_DisplayArrayInTable(Fuel_SourceData.Fuel_Scope1Scope3EmissionFactorsTransport_Data(), Table_Fuel_EFs_Transport[[#Headers],[Transport type]], 0)</f>
        <v>Heavy duty vehicles</v>
      </c>
      <c r="E24" s="179" t="str" cm="1">
        <f t="array" ref="E24">Common_InputFunctions.Utility_DisplayArrayInTable(Fuel_SourceData.Fuel_Scope1Scope3EmissionFactorsTransport_Data(), Table_Fuel_EFs_Transport[[#Headers],[Transport type]], 0)</f>
        <v>Diesel oil - Euro i</v>
      </c>
      <c r="F24" s="179" cm="1">
        <f t="array" ref="F24">Common_InputFunctions.Utility_DisplayArrayInTable(Fuel_SourceData.Fuel_Scope1Scope3EmissionFactorsTransport_Data(), Table_Fuel_EFs_Transport[[#Headers],[Transport type]], 0)</f>
        <v>38.6</v>
      </c>
      <c r="G24" s="179" t="str" cm="1">
        <f t="array" ref="G24">Common_InputFunctions.Utility_DisplayArrayInTable(Fuel_SourceData.Fuel_Scope1Scope3EmissionFactorsTransport_Data(), Table_Fuel_EFs_Transport[[#Headers],[Transport type]], 0)</f>
        <v>kl</v>
      </c>
      <c r="H24" s="179" cm="1">
        <f t="array" ref="H24">Common_InputFunctions.Utility_DisplayArrayInTable(Fuel_SourceData.Fuel_Scope1Scope3EmissionFactorsTransport_Data(), Table_Fuel_EFs_Transport[[#Headers],[Transport type]], 0)</f>
        <v>69.900000000000006</v>
      </c>
      <c r="I24" s="179" cm="1">
        <f t="array" ref="I24">Common_InputFunctions.Utility_DisplayArrayInTable(Fuel_SourceData.Fuel_Scope1Scope3EmissionFactorsTransport_Data(), Table_Fuel_EFs_Transport[[#Headers],[Transport type]], 0)</f>
        <v>0.2</v>
      </c>
      <c r="J24" s="179" cm="1">
        <f t="array" ref="J24">Common_InputFunctions.Utility_DisplayArrayInTable(Fuel_SourceData.Fuel_Scope1Scope3EmissionFactorsTransport_Data(), Table_Fuel_EFs_Transport[[#Headers],[Transport type]], 0)</f>
        <v>0.4</v>
      </c>
      <c r="K24" s="179" cm="1">
        <f t="array" ref="K24">Common_InputFunctions.Utility_DisplayArrayInTable(Fuel_SourceData.Fuel_Scope1Scope3EmissionFactorsTransport_Data(), Table_Fuel_EFs_Transport[[#Headers],[Transport type]], 0)</f>
        <v>70.5</v>
      </c>
      <c r="L24" s="179"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179" t="str" cm="1">
        <f t="array" ref="D25">Common_InputFunctions.Utility_DisplayArrayInTable(Fuel_SourceData.Fuel_Scope1Scope3EmissionFactorsTransport_Data(), Table_Fuel_EFs_Transport[[#Headers],[Transport type]], 0)</f>
        <v>Heavy duty vehicles</v>
      </c>
      <c r="E25" s="179" t="str" cm="1">
        <f t="array" ref="E25">Common_InputFunctions.Utility_DisplayArrayInTable(Fuel_SourceData.Fuel_Scope1Scope3EmissionFactorsTransport_Data(), Table_Fuel_EFs_Transport[[#Headers],[Transport type]], 0)</f>
        <v>Renewable diesel – Euro iv or higher</v>
      </c>
      <c r="F25" s="179" cm="1">
        <f t="array" ref="F25">Common_InputFunctions.Utility_DisplayArrayInTable(Fuel_SourceData.Fuel_Scope1Scope3EmissionFactorsTransport_Data(), Table_Fuel_EFs_Transport[[#Headers],[Transport type]], 0)</f>
        <v>38.6</v>
      </c>
      <c r="G25" s="179" t="str" cm="1">
        <f t="array" ref="G25">Common_InputFunctions.Utility_DisplayArrayInTable(Fuel_SourceData.Fuel_Scope1Scope3EmissionFactorsTransport_Data(), Table_Fuel_EFs_Transport[[#Headers],[Transport type]], 0)</f>
        <v>kl</v>
      </c>
      <c r="H25" s="179" cm="1">
        <f t="array" ref="H25">Common_InputFunctions.Utility_DisplayArrayInTable(Fuel_SourceData.Fuel_Scope1Scope3EmissionFactorsTransport_Data(), Table_Fuel_EFs_Transport[[#Headers],[Transport type]], 0)</f>
        <v>0</v>
      </c>
      <c r="I25" s="179" cm="1">
        <f t="array" ref="I25">Common_InputFunctions.Utility_DisplayArrayInTable(Fuel_SourceData.Fuel_Scope1Scope3EmissionFactorsTransport_Data(), Table_Fuel_EFs_Transport[[#Headers],[Transport type]], 0)</f>
        <v>7.0000000000000007E-2</v>
      </c>
      <c r="J25" s="179" cm="1">
        <f t="array" ref="J25">Common_InputFunctions.Utility_DisplayArrayInTable(Fuel_SourceData.Fuel_Scope1Scope3EmissionFactorsTransport_Data(), Table_Fuel_EFs_Transport[[#Headers],[Transport type]], 0)</f>
        <v>0.4</v>
      </c>
      <c r="K25" s="179" cm="1">
        <f t="array" ref="K25">Common_InputFunctions.Utility_DisplayArrayInTable(Fuel_SourceData.Fuel_Scope1Scope3EmissionFactorsTransport_Data(), Table_Fuel_EFs_Transport[[#Headers],[Transport type]], 0)</f>
        <v>0.47</v>
      </c>
      <c r="L25" s="179"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179" t="str" cm="1">
        <f t="array" ref="D26">Common_InputFunctions.Utility_DisplayArrayInTable(Fuel_SourceData.Fuel_Scope1Scope3EmissionFactorsTransport_Data(), Table_Fuel_EFs_Transport[[#Headers],[Transport type]], 0)</f>
        <v>Heavy duty vehicles</v>
      </c>
      <c r="E26" s="179" t="str" cm="1">
        <f t="array" ref="E26">Common_InputFunctions.Utility_DisplayArrayInTable(Fuel_SourceData.Fuel_Scope1Scope3EmissionFactorsTransport_Data(), Table_Fuel_EFs_Transport[[#Headers],[Transport type]], 0)</f>
        <v>Renewable diesel – Euro iii</v>
      </c>
      <c r="F26" s="179" cm="1">
        <f t="array" ref="F26">Common_InputFunctions.Utility_DisplayArrayInTable(Fuel_SourceData.Fuel_Scope1Scope3EmissionFactorsTransport_Data(), Table_Fuel_EFs_Transport[[#Headers],[Transport type]], 0)</f>
        <v>38.6</v>
      </c>
      <c r="G26" s="179" t="str" cm="1">
        <f t="array" ref="G26">Common_InputFunctions.Utility_DisplayArrayInTable(Fuel_SourceData.Fuel_Scope1Scope3EmissionFactorsTransport_Data(), Table_Fuel_EFs_Transport[[#Headers],[Transport type]], 0)</f>
        <v>kl</v>
      </c>
      <c r="H26" s="179" cm="1">
        <f t="array" ref="H26">Common_InputFunctions.Utility_DisplayArrayInTable(Fuel_SourceData.Fuel_Scope1Scope3EmissionFactorsTransport_Data(), Table_Fuel_EFs_Transport[[#Headers],[Transport type]], 0)</f>
        <v>0</v>
      </c>
      <c r="I26" s="179" cm="1">
        <f t="array" ref="I26">Common_InputFunctions.Utility_DisplayArrayInTable(Fuel_SourceData.Fuel_Scope1Scope3EmissionFactorsTransport_Data(), Table_Fuel_EFs_Transport[[#Headers],[Transport type]], 0)</f>
        <v>0.1</v>
      </c>
      <c r="J26" s="179" cm="1">
        <f t="array" ref="J26">Common_InputFunctions.Utility_DisplayArrayInTable(Fuel_SourceData.Fuel_Scope1Scope3EmissionFactorsTransport_Data(), Table_Fuel_EFs_Transport[[#Headers],[Transport type]], 0)</f>
        <v>0.4</v>
      </c>
      <c r="K26" s="179" cm="1">
        <f t="array" ref="K26">Common_InputFunctions.Utility_DisplayArrayInTable(Fuel_SourceData.Fuel_Scope1Scope3EmissionFactorsTransport_Data(), Table_Fuel_EFs_Transport[[#Headers],[Transport type]], 0)</f>
        <v>0.5</v>
      </c>
      <c r="L26" s="17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179" t="str" cm="1">
        <f t="array" ref="D27">Common_InputFunctions.Utility_DisplayArrayInTable(Fuel_SourceData.Fuel_Scope1Scope3EmissionFactorsTransport_Data(), Table_Fuel_EFs_Transport[[#Headers],[Transport type]], 0)</f>
        <v>Heavy duty vehicles</v>
      </c>
      <c r="E27" s="179" t="str" cm="1">
        <f t="array" ref="E27">Common_InputFunctions.Utility_DisplayArrayInTable(Fuel_SourceData.Fuel_Scope1Scope3EmissionFactorsTransport_Data(), Table_Fuel_EFs_Transport[[#Headers],[Transport type]], 0)</f>
        <v>Renewable diesel – Euro i</v>
      </c>
      <c r="F27" s="179" cm="1">
        <f t="array" ref="F27">Common_InputFunctions.Utility_DisplayArrayInTable(Fuel_SourceData.Fuel_Scope1Scope3EmissionFactorsTransport_Data(), Table_Fuel_EFs_Transport[[#Headers],[Transport type]], 0)</f>
        <v>38.6</v>
      </c>
      <c r="G27" s="179" t="str" cm="1">
        <f t="array" ref="G27">Common_InputFunctions.Utility_DisplayArrayInTable(Fuel_SourceData.Fuel_Scope1Scope3EmissionFactorsTransport_Data(), Table_Fuel_EFs_Transport[[#Headers],[Transport type]], 0)</f>
        <v>kl</v>
      </c>
      <c r="H27" s="179" cm="1">
        <f t="array" ref="H27">Common_InputFunctions.Utility_DisplayArrayInTable(Fuel_SourceData.Fuel_Scope1Scope3EmissionFactorsTransport_Data(), Table_Fuel_EFs_Transport[[#Headers],[Transport type]], 0)</f>
        <v>0</v>
      </c>
      <c r="I27" s="179" cm="1">
        <f t="array" ref="I27">Common_InputFunctions.Utility_DisplayArrayInTable(Fuel_SourceData.Fuel_Scope1Scope3EmissionFactorsTransport_Data(), Table_Fuel_EFs_Transport[[#Headers],[Transport type]], 0)</f>
        <v>0.2</v>
      </c>
      <c r="J27" s="179" cm="1">
        <f t="array" ref="J27">Common_InputFunctions.Utility_DisplayArrayInTable(Fuel_SourceData.Fuel_Scope1Scope3EmissionFactorsTransport_Data(), Table_Fuel_EFs_Transport[[#Headers],[Transport type]], 0)</f>
        <v>0.4</v>
      </c>
      <c r="K27" s="179" cm="1">
        <f t="array" ref="K27">Common_InputFunctions.Utility_DisplayArrayInTable(Fuel_SourceData.Fuel_Scope1Scope3EmissionFactorsTransport_Data(), Table_Fuel_EFs_Transport[[#Headers],[Transport type]], 0)</f>
        <v>0.6</v>
      </c>
      <c r="L27" s="17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179" t="str" cm="1">
        <f t="array" ref="D28">Common_InputFunctions.Utility_DisplayArrayInTable(Fuel_SourceData.Fuel_Scope1Scope3EmissionFactorsTransport_Data(), Table_Fuel_EFs_Transport[[#Headers],[Transport type]], 0)</f>
        <v>Aviation</v>
      </c>
      <c r="E28" s="179" t="str" cm="1">
        <f t="array" ref="E28">Common_InputFunctions.Utility_DisplayArrayInTable(Fuel_SourceData.Fuel_Scope1Scope3EmissionFactorsTransport_Data(), Table_Fuel_EFs_Transport[[#Headers],[Transport type]], 0)</f>
        <v>Gasoline for use as fuel in an aircraft</v>
      </c>
      <c r="F28" s="179" cm="1">
        <f t="array" ref="F28">Common_InputFunctions.Utility_DisplayArrayInTable(Fuel_SourceData.Fuel_Scope1Scope3EmissionFactorsTransport_Data(), Table_Fuel_EFs_Transport[[#Headers],[Transport type]], 0)</f>
        <v>33.1</v>
      </c>
      <c r="G28" s="179" t="str" cm="1">
        <f t="array" ref="G28">Common_InputFunctions.Utility_DisplayArrayInTable(Fuel_SourceData.Fuel_Scope1Scope3EmissionFactorsTransport_Data(), Table_Fuel_EFs_Transport[[#Headers],[Transport type]], 0)</f>
        <v>kl</v>
      </c>
      <c r="H28" s="179" cm="1">
        <f t="array" ref="H28">Common_InputFunctions.Utility_DisplayArrayInTable(Fuel_SourceData.Fuel_Scope1Scope3EmissionFactorsTransport_Data(), Table_Fuel_EFs_Transport[[#Headers],[Transport type]], 0)</f>
        <v>67</v>
      </c>
      <c r="I28" s="179" cm="1">
        <f t="array" ref="I28">Common_InputFunctions.Utility_DisplayArrayInTable(Fuel_SourceData.Fuel_Scope1Scope3EmissionFactorsTransport_Data(), Table_Fuel_EFs_Transport[[#Headers],[Transport type]], 0)</f>
        <v>0.06</v>
      </c>
      <c r="J28" s="179" cm="1">
        <f t="array" ref="J28">Common_InputFunctions.Utility_DisplayArrayInTable(Fuel_SourceData.Fuel_Scope1Scope3EmissionFactorsTransport_Data(), Table_Fuel_EFs_Transport[[#Headers],[Transport type]], 0)</f>
        <v>0.6</v>
      </c>
      <c r="K28" s="179" cm="1">
        <f t="array" ref="K28">Common_InputFunctions.Utility_DisplayArrayInTable(Fuel_SourceData.Fuel_Scope1Scope3EmissionFactorsTransport_Data(), Table_Fuel_EFs_Transport[[#Headers],[Transport type]], 0)</f>
        <v>67.66</v>
      </c>
      <c r="L28" s="17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179" t="str" cm="1">
        <f t="array" ref="D29">Common_InputFunctions.Utility_DisplayArrayInTable(Fuel_SourceData.Fuel_Scope1Scope3EmissionFactorsTransport_Data(), Table_Fuel_EFs_Transport[[#Headers],[Transport type]], 0)</f>
        <v>Aviation</v>
      </c>
      <c r="E29" s="179" t="str" cm="1">
        <f t="array" ref="E29">Common_InputFunctions.Utility_DisplayArrayInTable(Fuel_SourceData.Fuel_Scope1Scope3EmissionFactorsTransport_Data(), Table_Fuel_EFs_Transport[[#Headers],[Transport type]], 0)</f>
        <v>Kerosene for use as fuel in an aircraft</v>
      </c>
      <c r="F29" s="179" cm="1">
        <f t="array" ref="F29">Common_InputFunctions.Utility_DisplayArrayInTable(Fuel_SourceData.Fuel_Scope1Scope3EmissionFactorsTransport_Data(), Table_Fuel_EFs_Transport[[#Headers],[Transport type]], 0)</f>
        <v>36.799999999999997</v>
      </c>
      <c r="G29" s="179" t="str" cm="1">
        <f t="array" ref="G29">Common_InputFunctions.Utility_DisplayArrayInTable(Fuel_SourceData.Fuel_Scope1Scope3EmissionFactorsTransport_Data(), Table_Fuel_EFs_Transport[[#Headers],[Transport type]], 0)</f>
        <v>kl</v>
      </c>
      <c r="H29" s="179" cm="1">
        <f t="array" ref="H29">Common_InputFunctions.Utility_DisplayArrayInTable(Fuel_SourceData.Fuel_Scope1Scope3EmissionFactorsTransport_Data(), Table_Fuel_EFs_Transport[[#Headers],[Transport type]], 0)</f>
        <v>69.599999999999994</v>
      </c>
      <c r="I29" s="179" cm="1">
        <f t="array" ref="I29">Common_InputFunctions.Utility_DisplayArrayInTable(Fuel_SourceData.Fuel_Scope1Scope3EmissionFactorsTransport_Data(), Table_Fuel_EFs_Transport[[#Headers],[Transport type]], 0)</f>
        <v>0.01</v>
      </c>
      <c r="J29" s="179" cm="1">
        <f t="array" ref="J29">Common_InputFunctions.Utility_DisplayArrayInTable(Fuel_SourceData.Fuel_Scope1Scope3EmissionFactorsTransport_Data(), Table_Fuel_EFs_Transport[[#Headers],[Transport type]], 0)</f>
        <v>0.6</v>
      </c>
      <c r="K29" s="179" cm="1">
        <f t="array" ref="K29">Common_InputFunctions.Utility_DisplayArrayInTable(Fuel_SourceData.Fuel_Scope1Scope3EmissionFactorsTransport_Data(), Table_Fuel_EFs_Transport[[#Headers],[Transport type]], 0)</f>
        <v>70.209999999999994</v>
      </c>
      <c r="L29" s="17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179" t="str" cm="1">
        <f t="array" ref="D30">Common_InputFunctions.Utility_DisplayArrayInTable(Fuel_SourceData.Fuel_Scope1Scope3EmissionFactorsTransport_Data(), Table_Fuel_EFs_Transport[[#Headers],[Transport type]], 0)</f>
        <v>Aviation</v>
      </c>
      <c r="E30" s="179" t="str" cm="1">
        <f t="array" ref="E30">Common_InputFunctions.Utility_DisplayArrayInTable(Fuel_SourceData.Fuel_Scope1Scope3EmissionFactorsTransport_Data(), Table_Fuel_EFs_Transport[[#Headers],[Transport type]], 0)</f>
        <v>Renewable aviation kerosene</v>
      </c>
      <c r="F30" s="179" cm="1">
        <f t="array" ref="F30">Common_InputFunctions.Utility_DisplayArrayInTable(Fuel_SourceData.Fuel_Scope1Scope3EmissionFactorsTransport_Data(), Table_Fuel_EFs_Transport[[#Headers],[Transport type]], 0)</f>
        <v>36.799999999999997</v>
      </c>
      <c r="G30" s="179" t="str" cm="1">
        <f t="array" ref="G30">Common_InputFunctions.Utility_DisplayArrayInTable(Fuel_SourceData.Fuel_Scope1Scope3EmissionFactorsTransport_Data(), Table_Fuel_EFs_Transport[[#Headers],[Transport type]], 0)</f>
        <v>kl</v>
      </c>
      <c r="H30" s="179" cm="1">
        <f t="array" ref="H30">Common_InputFunctions.Utility_DisplayArrayInTable(Fuel_SourceData.Fuel_Scope1Scope3EmissionFactorsTransport_Data(), Table_Fuel_EFs_Transport[[#Headers],[Transport type]], 0)</f>
        <v>0</v>
      </c>
      <c r="I30" s="179" cm="1">
        <f t="array" ref="I30">Common_InputFunctions.Utility_DisplayArrayInTable(Fuel_SourceData.Fuel_Scope1Scope3EmissionFactorsTransport_Data(), Table_Fuel_EFs_Transport[[#Headers],[Transport type]], 0)</f>
        <v>0.01</v>
      </c>
      <c r="J30" s="179" cm="1">
        <f t="array" ref="J30">Common_InputFunctions.Utility_DisplayArrayInTable(Fuel_SourceData.Fuel_Scope1Scope3EmissionFactorsTransport_Data(), Table_Fuel_EFs_Transport[[#Headers],[Transport type]], 0)</f>
        <v>0.6</v>
      </c>
      <c r="K30" s="179" cm="1">
        <f t="array" ref="K30">Common_InputFunctions.Utility_DisplayArrayInTable(Fuel_SourceData.Fuel_Scope1Scope3EmissionFactorsTransport_Data(), Table_Fuel_EFs_Transport[[#Headers],[Transport type]], 0)</f>
        <v>0.61</v>
      </c>
      <c r="L30" s="17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179" t="str" cm="1">
        <f t="array" ref="D31">Common_InputFunctions.Utility_DisplayArrayInTable(Fuel_SourceData.Fuel_Scope1Scope3EmissionFactorsTransport_Data(), Table_Fuel_EFs_Transport[[#Headers],[Transport type]], 0)</f>
        <v>Vessels</v>
      </c>
      <c r="E31" s="179" t="str" cm="1">
        <f t="array" ref="E31">Common_InputFunctions.Utility_DisplayArrayInTable(Fuel_SourceData.Fuel_Scope1Scope3EmissionFactorsTransport_Data(), Table_Fuel_EFs_Transport[[#Headers],[Transport type]], 0)</f>
        <v>Gasoline</v>
      </c>
      <c r="F31" s="179" cm="1">
        <f t="array" ref="F31">Common_InputFunctions.Utility_DisplayArrayInTable(Fuel_SourceData.Fuel_Scope1Scope3EmissionFactorsTransport_Data(), Table_Fuel_EFs_Transport[[#Headers],[Transport type]], 0)</f>
        <v>34.200000000000003</v>
      </c>
      <c r="G31" s="179" t="str" cm="1">
        <f t="array" ref="G31">Common_InputFunctions.Utility_DisplayArrayInTable(Fuel_SourceData.Fuel_Scope1Scope3EmissionFactorsTransport_Data(), Table_Fuel_EFs_Transport[[#Headers],[Transport type]], 0)</f>
        <v>kL</v>
      </c>
      <c r="H31" s="179" cm="1">
        <f t="array" ref="H31">Common_InputFunctions.Utility_DisplayArrayInTable(Fuel_SourceData.Fuel_Scope1Scope3EmissionFactorsTransport_Data(), Table_Fuel_EFs_Transport[[#Headers],[Transport type]], 0)</f>
        <v>67.400000000000006</v>
      </c>
      <c r="I31" s="179" cm="1">
        <f t="array" ref="I31">Common_InputFunctions.Utility_DisplayArrayInTable(Fuel_SourceData.Fuel_Scope1Scope3EmissionFactorsTransport_Data(), Table_Fuel_EFs_Transport[[#Headers],[Transport type]], 0)</f>
        <v>10.1</v>
      </c>
      <c r="J31" s="179" cm="1">
        <f t="array" ref="J31">Common_InputFunctions.Utility_DisplayArrayInTable(Fuel_SourceData.Fuel_Scope1Scope3EmissionFactorsTransport_Data(), Table_Fuel_EFs_Transport[[#Headers],[Transport type]], 0)</f>
        <v>0.3</v>
      </c>
      <c r="K31" s="179" t="str" cm="1">
        <f t="array" ref="K31">Common_InputFunctions.Utility_DisplayArrayInTable(Fuel_SourceData.Fuel_Scope1Scope3EmissionFactorsTransport_Data(), Table_Fuel_EFs_Transport[[#Headers],[Transport type]], 0)</f>
        <v/>
      </c>
      <c r="L31" s="17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180" t="str" cm="1">
        <f t="array" ref="D32">Common_InputFunctions.Utility_DisplayArrayInTable(Fuel_SourceData.Fuel_Scope1Scope3EmissionFactorsTransport_Data(), Table_Fuel_EFs_Transport[[#Headers],[Transport type]], 0)</f>
        <v>Vessels</v>
      </c>
      <c r="E32" s="180" t="str" cm="1">
        <f t="array" ref="E32">Common_InputFunctions.Utility_DisplayArrayInTable(Fuel_SourceData.Fuel_Scope1Scope3EmissionFactorsTransport_Data(), Table_Fuel_EFs_Transport[[#Headers],[Transport type]], 0)</f>
        <v>Diesel oil</v>
      </c>
      <c r="F32" s="180" cm="1">
        <f t="array" ref="F32">Common_InputFunctions.Utility_DisplayArrayInTable(Fuel_SourceData.Fuel_Scope1Scope3EmissionFactorsTransport_Data(), Table_Fuel_EFs_Transport[[#Headers],[Transport type]], 0)</f>
        <v>38.6</v>
      </c>
      <c r="G32" s="180" t="str" cm="1">
        <f t="array" ref="G32">Common_InputFunctions.Utility_DisplayArrayInTable(Fuel_SourceData.Fuel_Scope1Scope3EmissionFactorsTransport_Data(), Table_Fuel_EFs_Transport[[#Headers],[Transport type]], 0)</f>
        <v>kL</v>
      </c>
      <c r="H32" s="180" cm="1">
        <f t="array" ref="H32">Common_InputFunctions.Utility_DisplayArrayInTable(Fuel_SourceData.Fuel_Scope1Scope3EmissionFactorsTransport_Data(), Table_Fuel_EFs_Transport[[#Headers],[Transport type]], 0)</f>
        <v>69.900000000000006</v>
      </c>
      <c r="I32" s="180" cm="1">
        <f t="array" ref="I32">Common_InputFunctions.Utility_DisplayArrayInTable(Fuel_SourceData.Fuel_Scope1Scope3EmissionFactorsTransport_Data(), Table_Fuel_EFs_Transport[[#Headers],[Transport type]], 0)</f>
        <v>0.2</v>
      </c>
      <c r="J32" s="180" cm="1">
        <f t="array" ref="J32">Common_InputFunctions.Utility_DisplayArrayInTable(Fuel_SourceData.Fuel_Scope1Scope3EmissionFactorsTransport_Data(), Table_Fuel_EFs_Transport[[#Headers],[Transport type]], 0)</f>
        <v>0.5</v>
      </c>
      <c r="K32" s="180" t="str" cm="1">
        <f t="array" ref="K32">Common_InputFunctions.Utility_DisplayArrayInTable(Fuel_SourceData.Fuel_Scope1Scope3EmissionFactorsTransport_Data(), Table_Fuel_EFs_Transport[[#Headers],[Transport type]], 0)</f>
        <v/>
      </c>
      <c r="L32" s="18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180" t="str" cm="1">
        <f t="array" ref="D33">Common_InputFunctions.Utility_DisplayArrayInTable(Fuel_SourceData.Fuel_Scope1Scope3EmissionFactorsTransport_Data(), Table_Fuel_EFs_Transport[[#Headers],[Transport type]], 0)</f>
        <v>Vessels</v>
      </c>
      <c r="E33" s="180" t="str" cm="1">
        <f t="array" ref="E33">Common_InputFunctions.Utility_DisplayArrayInTable(Fuel_SourceData.Fuel_Scope1Scope3EmissionFactorsTransport_Data(), Table_Fuel_EFs_Transport[[#Headers],[Transport type]], 0)</f>
        <v>Fuel Oil</v>
      </c>
      <c r="F33" s="180" cm="1">
        <f t="array" ref="F33">Common_InputFunctions.Utility_DisplayArrayInTable(Fuel_SourceData.Fuel_Scope1Scope3EmissionFactorsTransport_Data(), Table_Fuel_EFs_Transport[[#Headers],[Transport type]], 0)</f>
        <v>39.700000000000003</v>
      </c>
      <c r="G33" s="180" t="str" cm="1">
        <f t="array" ref="G33">Common_InputFunctions.Utility_DisplayArrayInTable(Fuel_SourceData.Fuel_Scope1Scope3EmissionFactorsTransport_Data(), Table_Fuel_EFs_Transport[[#Headers],[Transport type]], 0)</f>
        <v>kL</v>
      </c>
      <c r="H33" s="180" cm="1">
        <f t="array" ref="H33">Common_InputFunctions.Utility_DisplayArrayInTable(Fuel_SourceData.Fuel_Scope1Scope3EmissionFactorsTransport_Data(), Table_Fuel_EFs_Transport[[#Headers],[Transport type]], 0)</f>
        <v>73.599999999999994</v>
      </c>
      <c r="I33" s="180" cm="1">
        <f t="array" ref="I33">Common_InputFunctions.Utility_DisplayArrayInTable(Fuel_SourceData.Fuel_Scope1Scope3EmissionFactorsTransport_Data(), Table_Fuel_EFs_Transport[[#Headers],[Transport type]], 0)</f>
        <v>0.2</v>
      </c>
      <c r="J33" s="180" cm="1">
        <f t="array" ref="J33">Common_InputFunctions.Utility_DisplayArrayInTable(Fuel_SourceData.Fuel_Scope1Scope3EmissionFactorsTransport_Data(), Table_Fuel_EFs_Transport[[#Headers],[Transport type]], 0)</f>
        <v>0.5</v>
      </c>
      <c r="K33" s="180" t="str" cm="1">
        <f t="array" ref="K33">Common_InputFunctions.Utility_DisplayArrayInTable(Fuel_SourceData.Fuel_Scope1Scope3EmissionFactorsTransport_Data(), Table_Fuel_EFs_Transport[[#Headers],[Transport type]], 0)</f>
        <v/>
      </c>
      <c r="L33" s="18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180" t="str" cm="1">
        <f t="array" ref="D34">Common_InputFunctions.Utility_DisplayArrayInTable(Fuel_SourceData.Fuel_Scope1Scope3EmissionFactorsTransport_Data(), Table_Fuel_EFs_Transport[[#Headers],[Transport type]], 0)</f>
        <v>Off-road Agriculture and forestry equipment</v>
      </c>
      <c r="E34" s="180" t="str" cm="1">
        <f t="array" ref="E34">Common_InputFunctions.Utility_DisplayArrayInTable(Fuel_SourceData.Fuel_Scope1Scope3EmissionFactorsTransport_Data(), Table_Fuel_EFs_Transport[[#Headers],[Transport type]], 0)</f>
        <v>Diesel oil</v>
      </c>
      <c r="F34" s="180" cm="1">
        <f t="array" ref="F34">Common_InputFunctions.Utility_DisplayArrayInTable(Fuel_SourceData.Fuel_Scope1Scope3EmissionFactorsTransport_Data(), Table_Fuel_EFs_Transport[[#Headers],[Transport type]], 0)</f>
        <v>38.6</v>
      </c>
      <c r="G34" s="180" t="str" cm="1">
        <f t="array" ref="G34">Common_InputFunctions.Utility_DisplayArrayInTable(Fuel_SourceData.Fuel_Scope1Scope3EmissionFactorsTransport_Data(), Table_Fuel_EFs_Transport[[#Headers],[Transport type]], 0)</f>
        <v>kL</v>
      </c>
      <c r="H34" s="180" cm="1">
        <f t="array" ref="H34">Common_InputFunctions.Utility_DisplayArrayInTable(Fuel_SourceData.Fuel_Scope1Scope3EmissionFactorsTransport_Data(), Table_Fuel_EFs_Transport[[#Headers],[Transport type]], 0)</f>
        <v>69.900000000000006</v>
      </c>
      <c r="I34" s="180" cm="1">
        <f t="array" ref="I34">Common_InputFunctions.Utility_DisplayArrayInTable(Fuel_SourceData.Fuel_Scope1Scope3EmissionFactorsTransport_Data(), Table_Fuel_EFs_Transport[[#Headers],[Transport type]], 0)</f>
        <v>0.3</v>
      </c>
      <c r="J34" s="180" cm="1">
        <f t="array" ref="J34">Common_InputFunctions.Utility_DisplayArrayInTable(Fuel_SourceData.Fuel_Scope1Scope3EmissionFactorsTransport_Data(), Table_Fuel_EFs_Transport[[#Headers],[Transport type]], 0)</f>
        <v>0.5</v>
      </c>
      <c r="K34" s="180" t="str" cm="1">
        <f t="array" ref="K34">Common_InputFunctions.Utility_DisplayArrayInTable(Fuel_SourceData.Fuel_Scope1Scope3EmissionFactorsTransport_Data(), Table_Fuel_EFs_Transport[[#Headers],[Transport type]], 0)</f>
        <v/>
      </c>
      <c r="L34" s="180"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43"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46"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68" t="s">
        <v>579</v>
      </c>
      <c r="E39" s="68" t="s">
        <v>580</v>
      </c>
      <c r="F39" s="68" t="s">
        <v>581</v>
      </c>
      <c r="G39" s="68" t="s">
        <v>582</v>
      </c>
      <c r="H39" s="68" t="s">
        <v>583</v>
      </c>
      <c r="I39" s="68" t="s">
        <v>584</v>
      </c>
      <c r="J39" s="68" t="s">
        <v>585</v>
      </c>
    </row>
    <row r="40" spans="1:12" ht="20.100000000000001" customHeight="1" x14ac:dyDescent="0.25">
      <c r="A40" s="5" t="str">
        <f>HYPERLINK("#'Constants - Livestock'!A1", "Constants - Livestock")</f>
        <v>Constants - Livestock</v>
      </c>
      <c r="D40" s="68" t="str" cm="1">
        <f t="array" ref="D40">Common_InputFunctions.Utility_DisplayArrayInTable(Fuel_SourceData.Fuel_Scope1Scope3EmissionFactorsTransportOffRoad_Data(), Table_SourceData_Fuel_TransportOffroad[[#Headers],[Transport type t]],0)</f>
        <v>Vessel</v>
      </c>
      <c r="E40" s="68" t="str" cm="1">
        <f t="array" ref="E40">Common_InputFunctions.Utility_DisplayArrayInTable(Fuel_SourceData.Fuel_Scope1Scope3EmissionFactorsTransportOffRoad_Data(), Table_SourceData_Fuel_TransportOffroad[[#Headers],[Transport type t]],0)</f>
        <v>Petrol</v>
      </c>
      <c r="F40" s="68" cm="1">
        <f t="array" ref="F40">Common_InputFunctions.Utility_DisplayArrayInTable(Fuel_SourceData.Fuel_Scope1Scope3EmissionFactorsTransportOffRoad_Data(), Table_SourceData_Fuel_TransportOffroad[[#Headers],[Transport type t]],0)</f>
        <v>34.200000000000003</v>
      </c>
      <c r="G40" s="68" cm="1">
        <f t="array" ref="G40">Common_InputFunctions.Utility_DisplayArrayInTable(Fuel_SourceData.Fuel_Scope1Scope3EmissionFactorsTransportOffRoad_Data(), Table_SourceData_Fuel_TransportOffroad[[#Headers],[Transport type t]],0)</f>
        <v>67.400000000000006</v>
      </c>
      <c r="H40" s="68" cm="1">
        <f t="array" ref="H40">Common_InputFunctions.Utility_DisplayArrayInTable(Fuel_SourceData.Fuel_Scope1Scope3EmissionFactorsTransportOffRoad_Data(), Table_SourceData_Fuel_TransportOffroad[[#Headers],[Transport type t]],0)</f>
        <v>10.1</v>
      </c>
      <c r="I40" s="68" cm="1">
        <f t="array" ref="I40">Common_InputFunctions.Utility_DisplayArrayInTable(Fuel_SourceData.Fuel_Scope1Scope3EmissionFactorsTransportOffRoad_Data(), Table_SourceData_Fuel_TransportOffroad[[#Headers],[Transport type t]],0)</f>
        <v>0.3</v>
      </c>
      <c r="J40" s="68"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68" t="str" cm="1">
        <f t="array" ref="E41">Common_InputFunctions.Utility_DisplayArrayInTable(Fuel_SourceData.Fuel_Scope1Scope3EmissionFactorsTransportOffRoad_Data(), Table_SourceData_Fuel_TransportOffroad[[#Headers],[Transport type t]],0)</f>
        <v>Diesel</v>
      </c>
      <c r="F41" s="68" cm="1">
        <f t="array" ref="F41">Common_InputFunctions.Utility_DisplayArrayInTable(Fuel_SourceData.Fuel_Scope1Scope3EmissionFactorsTransportOffRoad_Data(), Table_SourceData_Fuel_TransportOffroad[[#Headers],[Transport type t]],0)</f>
        <v>38.6</v>
      </c>
      <c r="G41" s="68" cm="1">
        <f t="array" ref="G41">Common_InputFunctions.Utility_DisplayArrayInTable(Fuel_SourceData.Fuel_Scope1Scope3EmissionFactorsTransportOffRoad_Data(), Table_SourceData_Fuel_TransportOffroad[[#Headers],[Transport type t]],0)</f>
        <v>69.900000000000006</v>
      </c>
      <c r="H41" s="68" cm="1">
        <f t="array" ref="H41">Common_InputFunctions.Utility_DisplayArrayInTable(Fuel_SourceData.Fuel_Scope1Scope3EmissionFactorsTransportOffRoad_Data(), Table_SourceData_Fuel_TransportOffroad[[#Headers],[Transport type t]],0)</f>
        <v>0.2</v>
      </c>
      <c r="I41" s="68" cm="1">
        <f t="array" ref="I41">Common_InputFunctions.Utility_DisplayArrayInTable(Fuel_SourceData.Fuel_Scope1Scope3EmissionFactorsTransportOffRoad_Data(), Table_SourceData_Fuel_TransportOffroad[[#Headers],[Transport type t]],0)</f>
        <v>0.5</v>
      </c>
      <c r="J41" s="68"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68" t="str" cm="1">
        <f t="array" ref="E42">Common_InputFunctions.Utility_DisplayArrayInTable(Fuel_SourceData.Fuel_Scope1Scope3EmissionFactorsTransportOffRoad_Data(), Table_SourceData_Fuel_TransportOffroad[[#Headers],[Transport type t]],0)</f>
        <v>Fuel Oil</v>
      </c>
      <c r="F42" s="68" cm="1">
        <f t="array" ref="F42">Common_InputFunctions.Utility_DisplayArrayInTable(Fuel_SourceData.Fuel_Scope1Scope3EmissionFactorsTransportOffRoad_Data(), Table_SourceData_Fuel_TransportOffroad[[#Headers],[Transport type t]],0)</f>
        <v>39.700000000000003</v>
      </c>
      <c r="G42" s="68" cm="1">
        <f t="array" ref="G42">Common_InputFunctions.Utility_DisplayArrayInTable(Fuel_SourceData.Fuel_Scope1Scope3EmissionFactorsTransportOffRoad_Data(), Table_SourceData_Fuel_TransportOffroad[[#Headers],[Transport type t]],0)</f>
        <v>73.599999999999994</v>
      </c>
      <c r="H42" s="68" cm="1">
        <f t="array" ref="H42">Common_InputFunctions.Utility_DisplayArrayInTable(Fuel_SourceData.Fuel_Scope1Scope3EmissionFactorsTransportOffRoad_Data(), Table_SourceData_Fuel_TransportOffroad[[#Headers],[Transport type t]],0)</f>
        <v>0.2</v>
      </c>
      <c r="I42" s="68" cm="1">
        <f t="array" ref="I42">Common_InputFunctions.Utility_DisplayArrayInTable(Fuel_SourceData.Fuel_Scope1Scope3EmissionFactorsTransportOffRoad_Data(), Table_SourceData_Fuel_TransportOffroad[[#Headers],[Transport type t]],0)</f>
        <v>0.5</v>
      </c>
      <c r="J42" s="68"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69"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68" t="str" cm="1">
        <f t="array" ref="E43">Common_InputFunctions.Utility_DisplayArrayInTable(Fuel_SourceData.Fuel_Scope1Scope3EmissionFactorsTransportOffRoad_Data(), Table_SourceData_Fuel_TransportOffroad[[#Headers],[Transport type t]],0)</f>
        <v>Diesel</v>
      </c>
      <c r="F43" s="68" cm="1">
        <f t="array" ref="F43">Common_InputFunctions.Utility_DisplayArrayInTable(Fuel_SourceData.Fuel_Scope1Scope3EmissionFactorsTransportOffRoad_Data(), Table_SourceData_Fuel_TransportOffroad[[#Headers],[Transport type t]],0)</f>
        <v>38.6</v>
      </c>
      <c r="G43" s="68" cm="1">
        <f t="array" ref="G43">Common_InputFunctions.Utility_DisplayArrayInTable(Fuel_SourceData.Fuel_Scope1Scope3EmissionFactorsTransportOffRoad_Data(), Table_SourceData_Fuel_TransportOffroad[[#Headers],[Transport type t]],0)</f>
        <v>69.900000000000006</v>
      </c>
      <c r="H43" s="68" cm="1">
        <f t="array" ref="H43">Common_InputFunctions.Utility_DisplayArrayInTable(Fuel_SourceData.Fuel_Scope1Scope3EmissionFactorsTransportOffRoad_Data(), Table_SourceData_Fuel_TransportOffroad[[#Headers],[Transport type t]],0)</f>
        <v>0.3</v>
      </c>
      <c r="I43" s="68" cm="1">
        <f t="array" ref="I43">Common_InputFunctions.Utility_DisplayArrayInTable(Fuel_SourceData.Fuel_Scope1Scope3EmissionFactorsTransportOffRoad_Data(), Table_SourceData_Fuel_TransportOffroad[[#Headers],[Transport type t]],0)</f>
        <v>0.5</v>
      </c>
      <c r="J43" s="68"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28"/>
      <c r="F49" s="128"/>
      <c r="G49" s="128"/>
      <c r="H49" s="128"/>
      <c r="I49" s="128"/>
      <c r="J49" s="128"/>
      <c r="K49" s="128"/>
      <c r="L49" s="128"/>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28"/>
      <c r="F50" s="128"/>
      <c r="G50" s="128"/>
      <c r="H50" s="128"/>
      <c r="I50" s="128"/>
      <c r="J50" s="128"/>
      <c r="K50" s="128"/>
      <c r="L50" s="128"/>
    </row>
    <row r="51" spans="4:12" ht="20.100000000000001" customHeight="1" x14ac:dyDescent="0.25">
      <c r="D51" s="46" t="str" cm="1">
        <f t="array" ref="D51">Fuel_SourceData.Fuel_Scope1Scope3EmissionFactorsStationaryLiquid_Source()</f>
        <v>Australian National Greenhouse Accounts Factors 2025 - Table 8</v>
      </c>
      <c r="E51" s="128"/>
      <c r="F51" s="128"/>
      <c r="G51" s="128"/>
      <c r="H51" s="128"/>
      <c r="I51" s="128"/>
      <c r="J51" s="128"/>
      <c r="K51" s="128"/>
      <c r="L51" s="128"/>
    </row>
    <row r="52" spans="4:12" ht="20.100000000000001" customHeight="1" x14ac:dyDescent="0.25">
      <c r="D52" s="71" t="str" cm="1">
        <f t="array" ref="D52">"⚠️" &amp; Fuel_SourceData.Fuel_Scope1Scope3EmissionFactorsStationaryLiquid_Variation()</f>
        <v>⚠️VARIATION OF SOURCE DATA: 'NE' values returned as zero for calculations.</v>
      </c>
      <c r="E52" s="128"/>
      <c r="F52" s="128"/>
      <c r="G52" s="128"/>
      <c r="H52" s="128"/>
      <c r="I52" s="128"/>
      <c r="J52" s="128"/>
      <c r="K52" s="128"/>
      <c r="L52" s="128"/>
    </row>
    <row r="53" spans="4:12" ht="20.100000000000001" customHeight="1" x14ac:dyDescent="0.25">
      <c r="D53" s="146" t="s">
        <v>571</v>
      </c>
      <c r="E53" s="178" t="s">
        <v>572</v>
      </c>
      <c r="F53" s="146" t="s">
        <v>573</v>
      </c>
      <c r="G53" s="178" t="s">
        <v>574</v>
      </c>
      <c r="H53" s="178" t="s">
        <v>575</v>
      </c>
      <c r="I53" s="178" t="s">
        <v>576</v>
      </c>
      <c r="J53" s="178" t="s">
        <v>577</v>
      </c>
      <c r="K53" s="178" t="s">
        <v>578</v>
      </c>
      <c r="L53" s="128"/>
    </row>
    <row r="54" spans="4:12" ht="20.100000000000001" customHeight="1" x14ac:dyDescent="0.25">
      <c r="D54" s="18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1" cm="1">
        <f t="array" ref="E54">Common_InputFunctions.Utility_DisplayArrayInTable(Fuel_SourceData.Fuel_Scope1Scope3EmissionFactorsStationaryLiquid_Data(), Table_Fuel_EFs_StationaryLiquid[[#Headers],[Fuel combusted]],0)</f>
        <v>38.799999999999997</v>
      </c>
      <c r="F54" s="181" t="str" cm="1">
        <f t="array" ref="F54">Common_InputFunctions.Utility_DisplayArrayInTable(Fuel_SourceData.Fuel_Scope1Scope3EmissionFactorsStationaryLiquid_Data(), Table_Fuel_EFs_StationaryLiquid[[#Headers],[Fuel combusted]],0)</f>
        <v>kl</v>
      </c>
      <c r="G54" s="181" cm="1">
        <f t="array" ref="G54">Common_InputFunctions.Utility_DisplayArrayInTable(Fuel_SourceData.Fuel_Scope1Scope3EmissionFactorsStationaryLiquid_Data(), Table_Fuel_EFs_StationaryLiquid[[#Headers],[Fuel combusted]],0)</f>
        <v>13.9</v>
      </c>
      <c r="H54" s="181" cm="1">
        <f t="array" ref="H54">Common_InputFunctions.Utility_DisplayArrayInTable(Fuel_SourceData.Fuel_Scope1Scope3EmissionFactorsStationaryLiquid_Data(), Table_Fuel_EFs_StationaryLiquid[[#Headers],[Fuel combusted]],0)</f>
        <v>0</v>
      </c>
      <c r="I54" s="181" cm="1">
        <f t="array" ref="I54">Common_InputFunctions.Utility_DisplayArrayInTable(Fuel_SourceData.Fuel_Scope1Scope3EmissionFactorsStationaryLiquid_Data(), Table_Fuel_EFs_StationaryLiquid[[#Headers],[Fuel combusted]],0)</f>
        <v>0</v>
      </c>
      <c r="J54" s="181" cm="1">
        <f t="array" ref="J54">Common_InputFunctions.Utility_DisplayArrayInTable(Fuel_SourceData.Fuel_Scope1Scope3EmissionFactorsStationaryLiquid_Data(), Table_Fuel_EFs_StationaryLiquid[[#Headers],[Fuel combusted]],0)</f>
        <v>13.9</v>
      </c>
      <c r="K54" s="181" cm="1">
        <f t="array" ref="K54">Common_InputFunctions.Utility_DisplayArrayInTable(Fuel_SourceData.Fuel_Scope1Scope3EmissionFactorsStationaryLiquid_Data(), Table_Fuel_EFs_StationaryLiquid[[#Headers],[Fuel combusted]],0)</f>
        <v>18</v>
      </c>
      <c r="L54" s="128"/>
    </row>
    <row r="55" spans="4:12" ht="20.100000000000001" customHeight="1" x14ac:dyDescent="0.25">
      <c r="D55" s="181" t="str" cm="1">
        <f t="array" ref="D55">Common_InputFunctions.Utility_DisplayArrayInTable(Fuel_SourceData.Fuel_Scope1Scope3EmissionFactorsStationaryLiquid_Data(), Table_Fuel_EFs_StationaryLiquid[[#Headers],[Fuel combusted]],0)</f>
        <v>Petroleum based greases</v>
      </c>
      <c r="E55" s="181" cm="1">
        <f t="array" ref="E55">Common_InputFunctions.Utility_DisplayArrayInTable(Fuel_SourceData.Fuel_Scope1Scope3EmissionFactorsStationaryLiquid_Data(), Table_Fuel_EFs_StationaryLiquid[[#Headers],[Fuel combusted]],0)</f>
        <v>38.799999999999997</v>
      </c>
      <c r="F55" s="181" t="str" cm="1">
        <f t="array" ref="F55">Common_InputFunctions.Utility_DisplayArrayInTable(Fuel_SourceData.Fuel_Scope1Scope3EmissionFactorsStationaryLiquid_Data(), Table_Fuel_EFs_StationaryLiquid[[#Headers],[Fuel combusted]],0)</f>
        <v>kl</v>
      </c>
      <c r="G55" s="181" cm="1">
        <f t="array" ref="G55">Common_InputFunctions.Utility_DisplayArrayInTable(Fuel_SourceData.Fuel_Scope1Scope3EmissionFactorsStationaryLiquid_Data(), Table_Fuel_EFs_StationaryLiquid[[#Headers],[Fuel combusted]],0)</f>
        <v>3.5</v>
      </c>
      <c r="H55" s="181" cm="1">
        <f t="array" ref="H55">Common_InputFunctions.Utility_DisplayArrayInTable(Fuel_SourceData.Fuel_Scope1Scope3EmissionFactorsStationaryLiquid_Data(), Table_Fuel_EFs_StationaryLiquid[[#Headers],[Fuel combusted]],0)</f>
        <v>0</v>
      </c>
      <c r="I55" s="181" cm="1">
        <f t="array" ref="I55">Common_InputFunctions.Utility_DisplayArrayInTable(Fuel_SourceData.Fuel_Scope1Scope3EmissionFactorsStationaryLiquid_Data(), Table_Fuel_EFs_StationaryLiquid[[#Headers],[Fuel combusted]],0)</f>
        <v>0</v>
      </c>
      <c r="J55" s="181" cm="1">
        <f t="array" ref="J55">Common_InputFunctions.Utility_DisplayArrayInTable(Fuel_SourceData.Fuel_Scope1Scope3EmissionFactorsStationaryLiquid_Data(), Table_Fuel_EFs_StationaryLiquid[[#Headers],[Fuel combusted]],0)</f>
        <v>3.5</v>
      </c>
      <c r="K55" s="181" cm="1">
        <f t="array" ref="K55">Common_InputFunctions.Utility_DisplayArrayInTable(Fuel_SourceData.Fuel_Scope1Scope3EmissionFactorsStationaryLiquid_Data(), Table_Fuel_EFs_StationaryLiquid[[#Headers],[Fuel combusted]],0)</f>
        <v>18</v>
      </c>
      <c r="L55" s="128"/>
    </row>
    <row r="56" spans="4:12" ht="20.100000000000001" customHeight="1" x14ac:dyDescent="0.25">
      <c r="D56" s="181" t="str" cm="1">
        <f t="array" ref="D56">Common_InputFunctions.Utility_DisplayArrayInTable(Fuel_SourceData.Fuel_Scope1Scope3EmissionFactorsStationaryLiquid_Data(), Table_Fuel_EFs_StationaryLiquid[[#Headers],[Fuel combusted]],0)</f>
        <v>Crude oil including crude oil condensates</v>
      </c>
      <c r="E56" s="181" cm="1">
        <f t="array" ref="E56">Common_InputFunctions.Utility_DisplayArrayInTable(Fuel_SourceData.Fuel_Scope1Scope3EmissionFactorsStationaryLiquid_Data(), Table_Fuel_EFs_StationaryLiquid[[#Headers],[Fuel combusted]],0)</f>
        <v>45.3</v>
      </c>
      <c r="F56" s="181" t="str" cm="1">
        <f t="array" ref="F56">Common_InputFunctions.Utility_DisplayArrayInTable(Fuel_SourceData.Fuel_Scope1Scope3EmissionFactorsStationaryLiquid_Data(), Table_Fuel_EFs_StationaryLiquid[[#Headers],[Fuel combusted]],0)</f>
        <v>t</v>
      </c>
      <c r="G56" s="181" cm="1">
        <f t="array" ref="G56">Common_InputFunctions.Utility_DisplayArrayInTable(Fuel_SourceData.Fuel_Scope1Scope3EmissionFactorsStationaryLiquid_Data(), Table_Fuel_EFs_StationaryLiquid[[#Headers],[Fuel combusted]],0)</f>
        <v>69.599999999999994</v>
      </c>
      <c r="H56" s="181" cm="1">
        <f t="array" ref="H56">Common_InputFunctions.Utility_DisplayArrayInTable(Fuel_SourceData.Fuel_Scope1Scope3EmissionFactorsStationaryLiquid_Data(), Table_Fuel_EFs_StationaryLiquid[[#Headers],[Fuel combusted]],0)</f>
        <v>0.08</v>
      </c>
      <c r="I56" s="181" cm="1">
        <f t="array" ref="I56">Common_InputFunctions.Utility_DisplayArrayInTable(Fuel_SourceData.Fuel_Scope1Scope3EmissionFactorsStationaryLiquid_Data(), Table_Fuel_EFs_StationaryLiquid[[#Headers],[Fuel combusted]],0)</f>
        <v>0.2</v>
      </c>
      <c r="J56" s="181" cm="1">
        <f t="array" ref="J56">Common_InputFunctions.Utility_DisplayArrayInTable(Fuel_SourceData.Fuel_Scope1Scope3EmissionFactorsStationaryLiquid_Data(), Table_Fuel_EFs_StationaryLiquid[[#Headers],[Fuel combusted]],0)</f>
        <v>69.88</v>
      </c>
      <c r="K56" s="181" t="str" cm="1">
        <f t="array" ref="K56">Common_InputFunctions.Utility_DisplayArrayInTable(Fuel_SourceData.Fuel_Scope1Scope3EmissionFactorsStationaryLiquid_Data(), Table_Fuel_EFs_StationaryLiquid[[#Headers],[Fuel combusted]],0)</f>
        <v>NE</v>
      </c>
      <c r="L56" s="128"/>
    </row>
    <row r="57" spans="4:12" ht="20.100000000000001" customHeight="1" x14ac:dyDescent="0.25">
      <c r="D57" s="181" t="str" cm="1">
        <f t="array" ref="D57">Common_InputFunctions.Utility_DisplayArrayInTable(Fuel_SourceData.Fuel_Scope1Scope3EmissionFactorsStationaryLiquid_Data(), Table_Fuel_EFs_StationaryLiquid[[#Headers],[Fuel combusted]],0)</f>
        <v>Other natural gas liquids</v>
      </c>
      <c r="E57" s="181" cm="1">
        <f t="array" ref="E57">Common_InputFunctions.Utility_DisplayArrayInTable(Fuel_SourceData.Fuel_Scope1Scope3EmissionFactorsStationaryLiquid_Data(), Table_Fuel_EFs_StationaryLiquid[[#Headers],[Fuel combusted]],0)</f>
        <v>46.5</v>
      </c>
      <c r="F57" s="181" t="str" cm="1">
        <f t="array" ref="F57">Common_InputFunctions.Utility_DisplayArrayInTable(Fuel_SourceData.Fuel_Scope1Scope3EmissionFactorsStationaryLiquid_Data(), Table_Fuel_EFs_StationaryLiquid[[#Headers],[Fuel combusted]],0)</f>
        <v>t</v>
      </c>
      <c r="G57" s="181" cm="1">
        <f t="array" ref="G57">Common_InputFunctions.Utility_DisplayArrayInTable(Fuel_SourceData.Fuel_Scope1Scope3EmissionFactorsStationaryLiquid_Data(), Table_Fuel_EFs_StationaryLiquid[[#Headers],[Fuel combusted]],0)</f>
        <v>61</v>
      </c>
      <c r="H57" s="181" cm="1">
        <f t="array" ref="H57">Common_InputFunctions.Utility_DisplayArrayInTable(Fuel_SourceData.Fuel_Scope1Scope3EmissionFactorsStationaryLiquid_Data(), Table_Fuel_EFs_StationaryLiquid[[#Headers],[Fuel combusted]],0)</f>
        <v>0.08</v>
      </c>
      <c r="I57" s="181" cm="1">
        <f t="array" ref="I57">Common_InputFunctions.Utility_DisplayArrayInTable(Fuel_SourceData.Fuel_Scope1Scope3EmissionFactorsStationaryLiquid_Data(), Table_Fuel_EFs_StationaryLiquid[[#Headers],[Fuel combusted]],0)</f>
        <v>0.2</v>
      </c>
      <c r="J57" s="181" cm="1">
        <f t="array" ref="J57">Common_InputFunctions.Utility_DisplayArrayInTable(Fuel_SourceData.Fuel_Scope1Scope3EmissionFactorsStationaryLiquid_Data(), Table_Fuel_EFs_StationaryLiquid[[#Headers],[Fuel combusted]],0)</f>
        <v>61.28</v>
      </c>
      <c r="K57" s="181" t="str" cm="1">
        <f t="array" ref="K57">Common_InputFunctions.Utility_DisplayArrayInTable(Fuel_SourceData.Fuel_Scope1Scope3EmissionFactorsStationaryLiquid_Data(), Table_Fuel_EFs_StationaryLiquid[[#Headers],[Fuel combusted]],0)</f>
        <v>NE</v>
      </c>
      <c r="L57" s="128"/>
    </row>
    <row r="58" spans="4:12" ht="20.100000000000001" customHeight="1" x14ac:dyDescent="0.25">
      <c r="D58" s="18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1" cm="1">
        <f t="array" ref="E58">Common_InputFunctions.Utility_DisplayArrayInTable(Fuel_SourceData.Fuel_Scope1Scope3EmissionFactorsStationaryLiquid_Data(), Table_Fuel_EFs_StationaryLiquid[[#Headers],[Fuel combusted]],0)</f>
        <v>34.200000000000003</v>
      </c>
      <c r="F58" s="181" t="str" cm="1">
        <f t="array" ref="F58">Common_InputFunctions.Utility_DisplayArrayInTable(Fuel_SourceData.Fuel_Scope1Scope3EmissionFactorsStationaryLiquid_Data(), Table_Fuel_EFs_StationaryLiquid[[#Headers],[Fuel combusted]],0)</f>
        <v>kL</v>
      </c>
      <c r="G58" s="181" cm="1">
        <f t="array" ref="G58">Common_InputFunctions.Utility_DisplayArrayInTable(Fuel_SourceData.Fuel_Scope1Scope3EmissionFactorsStationaryLiquid_Data(), Table_Fuel_EFs_StationaryLiquid[[#Headers],[Fuel combusted]],0)</f>
        <v>67.400000000000006</v>
      </c>
      <c r="H58" s="181" cm="1">
        <f t="array" ref="H58">Common_InputFunctions.Utility_DisplayArrayInTable(Fuel_SourceData.Fuel_Scope1Scope3EmissionFactorsStationaryLiquid_Data(), Table_Fuel_EFs_StationaryLiquid[[#Headers],[Fuel combusted]],0)</f>
        <v>0.2</v>
      </c>
      <c r="I58" s="181" cm="1">
        <f t="array" ref="I58">Common_InputFunctions.Utility_DisplayArrayInTable(Fuel_SourceData.Fuel_Scope1Scope3EmissionFactorsStationaryLiquid_Data(), Table_Fuel_EFs_StationaryLiquid[[#Headers],[Fuel combusted]],0)</f>
        <v>0.2</v>
      </c>
      <c r="J58" s="181" cm="1">
        <f t="array" ref="J58">Common_InputFunctions.Utility_DisplayArrayInTable(Fuel_SourceData.Fuel_Scope1Scope3EmissionFactorsStationaryLiquid_Data(), Table_Fuel_EFs_StationaryLiquid[[#Headers],[Fuel combusted]],0)</f>
        <v>67.8</v>
      </c>
      <c r="K58" s="181" cm="1">
        <f t="array" ref="K58">Common_InputFunctions.Utility_DisplayArrayInTable(Fuel_SourceData.Fuel_Scope1Scope3EmissionFactorsStationaryLiquid_Data(), Table_Fuel_EFs_StationaryLiquid[[#Headers],[Fuel combusted]],0)</f>
        <v>17.2</v>
      </c>
      <c r="L58" s="128"/>
    </row>
    <row r="59" spans="4:12" ht="20.100000000000001" customHeight="1" x14ac:dyDescent="0.25">
      <c r="D59" s="181" t="str" cm="1">
        <f t="array" ref="D59">Common_InputFunctions.Utility_DisplayArrayInTable(Fuel_SourceData.Fuel_Scope1Scope3EmissionFactorsStationaryLiquid_Data(), Table_Fuel_EFs_StationaryLiquid[[#Headers],[Fuel combusted]],0)</f>
        <v>Aviation gasoline</v>
      </c>
      <c r="E59" s="181" cm="1">
        <f t="array" ref="E59">Common_InputFunctions.Utility_DisplayArrayInTable(Fuel_SourceData.Fuel_Scope1Scope3EmissionFactorsStationaryLiquid_Data(), Table_Fuel_EFs_StationaryLiquid[[#Headers],[Fuel combusted]],0)</f>
        <v>33.1</v>
      </c>
      <c r="F59" s="181" t="str" cm="1">
        <f t="array" ref="F59">Common_InputFunctions.Utility_DisplayArrayInTable(Fuel_SourceData.Fuel_Scope1Scope3EmissionFactorsStationaryLiquid_Data(), Table_Fuel_EFs_StationaryLiquid[[#Headers],[Fuel combusted]],0)</f>
        <v>kL</v>
      </c>
      <c r="G59" s="181" cm="1">
        <f t="array" ref="G59">Common_InputFunctions.Utility_DisplayArrayInTable(Fuel_SourceData.Fuel_Scope1Scope3EmissionFactorsStationaryLiquid_Data(), Table_Fuel_EFs_StationaryLiquid[[#Headers],[Fuel combusted]],0)</f>
        <v>67</v>
      </c>
      <c r="H59" s="181" cm="1">
        <f t="array" ref="H59">Common_InputFunctions.Utility_DisplayArrayInTable(Fuel_SourceData.Fuel_Scope1Scope3EmissionFactorsStationaryLiquid_Data(), Table_Fuel_EFs_StationaryLiquid[[#Headers],[Fuel combusted]],0)</f>
        <v>0.2</v>
      </c>
      <c r="I59" s="181" cm="1">
        <f t="array" ref="I59">Common_InputFunctions.Utility_DisplayArrayInTable(Fuel_SourceData.Fuel_Scope1Scope3EmissionFactorsStationaryLiquid_Data(), Table_Fuel_EFs_StationaryLiquid[[#Headers],[Fuel combusted]],0)</f>
        <v>0.2</v>
      </c>
      <c r="J59" s="181" cm="1">
        <f t="array" ref="J59">Common_InputFunctions.Utility_DisplayArrayInTable(Fuel_SourceData.Fuel_Scope1Scope3EmissionFactorsStationaryLiquid_Data(), Table_Fuel_EFs_StationaryLiquid[[#Headers],[Fuel combusted]],0)</f>
        <v>67.400000000000006</v>
      </c>
      <c r="K59" s="181" cm="1">
        <f t="array" ref="K59">Common_InputFunctions.Utility_DisplayArrayInTable(Fuel_SourceData.Fuel_Scope1Scope3EmissionFactorsStationaryLiquid_Data(), Table_Fuel_EFs_StationaryLiquid[[#Headers],[Fuel combusted]],0)</f>
        <v>18</v>
      </c>
      <c r="L59" s="128"/>
    </row>
    <row r="60" spans="4:12" ht="20.100000000000001" customHeight="1" x14ac:dyDescent="0.25">
      <c r="D60" s="181" t="str" cm="1">
        <f t="array" ref="D60">Common_InputFunctions.Utility_DisplayArrayInTable(Fuel_SourceData.Fuel_Scope1Scope3EmissionFactorsStationaryLiquid_Data(), Table_Fuel_EFs_StationaryLiquid[[#Headers],[Fuel combusted]],0)</f>
        <v>Kerosene (other than for use as fuel in an aircraft)</v>
      </c>
      <c r="E60" s="181" cm="1">
        <f t="array" ref="E60">Common_InputFunctions.Utility_DisplayArrayInTable(Fuel_SourceData.Fuel_Scope1Scope3EmissionFactorsStationaryLiquid_Data(), Table_Fuel_EFs_StationaryLiquid[[#Headers],[Fuel combusted]],0)</f>
        <v>37.5</v>
      </c>
      <c r="F60" s="181" t="str" cm="1">
        <f t="array" ref="F60">Common_InputFunctions.Utility_DisplayArrayInTable(Fuel_SourceData.Fuel_Scope1Scope3EmissionFactorsStationaryLiquid_Data(), Table_Fuel_EFs_StationaryLiquid[[#Headers],[Fuel combusted]],0)</f>
        <v>kL</v>
      </c>
      <c r="G60" s="181" cm="1">
        <f t="array" ref="G60">Common_InputFunctions.Utility_DisplayArrayInTable(Fuel_SourceData.Fuel_Scope1Scope3EmissionFactorsStationaryLiquid_Data(), Table_Fuel_EFs_StationaryLiquid[[#Headers],[Fuel combusted]],0)</f>
        <v>68.900000000000006</v>
      </c>
      <c r="H60" s="181" cm="1">
        <f t="array" ref="H60">Common_InputFunctions.Utility_DisplayArrayInTable(Fuel_SourceData.Fuel_Scope1Scope3EmissionFactorsStationaryLiquid_Data(), Table_Fuel_EFs_StationaryLiquid[[#Headers],[Fuel combusted]],0)</f>
        <v>0.01</v>
      </c>
      <c r="I60" s="181" cm="1">
        <f t="array" ref="I60">Common_InputFunctions.Utility_DisplayArrayInTable(Fuel_SourceData.Fuel_Scope1Scope3EmissionFactorsStationaryLiquid_Data(), Table_Fuel_EFs_StationaryLiquid[[#Headers],[Fuel combusted]],0)</f>
        <v>0.2</v>
      </c>
      <c r="J60" s="181" cm="1">
        <f t="array" ref="J60">Common_InputFunctions.Utility_DisplayArrayInTable(Fuel_SourceData.Fuel_Scope1Scope3EmissionFactorsStationaryLiquid_Data(), Table_Fuel_EFs_StationaryLiquid[[#Headers],[Fuel combusted]],0)</f>
        <v>69.11</v>
      </c>
      <c r="K60" s="181" cm="1">
        <f t="array" ref="K60">Common_InputFunctions.Utility_DisplayArrayInTable(Fuel_SourceData.Fuel_Scope1Scope3EmissionFactorsStationaryLiquid_Data(), Table_Fuel_EFs_StationaryLiquid[[#Headers],[Fuel combusted]],0)</f>
        <v>18</v>
      </c>
      <c r="L60" s="128"/>
    </row>
    <row r="61" spans="4:12" ht="20.100000000000001" customHeight="1" x14ac:dyDescent="0.25">
      <c r="D61" s="181" t="str" cm="1">
        <f t="array" ref="D61">Common_InputFunctions.Utility_DisplayArrayInTable(Fuel_SourceData.Fuel_Scope1Scope3EmissionFactorsStationaryLiquid_Data(), Table_Fuel_EFs_StationaryLiquid[[#Headers],[Fuel combusted]],0)</f>
        <v>Aviation turbine fuel / kerosene</v>
      </c>
      <c r="E61" s="181" cm="1">
        <f t="array" ref="E61">Common_InputFunctions.Utility_DisplayArrayInTable(Fuel_SourceData.Fuel_Scope1Scope3EmissionFactorsStationaryLiquid_Data(), Table_Fuel_EFs_StationaryLiquid[[#Headers],[Fuel combusted]],0)</f>
        <v>36.799999999999997</v>
      </c>
      <c r="F61" s="181" t="str" cm="1">
        <f t="array" ref="F61">Common_InputFunctions.Utility_DisplayArrayInTable(Fuel_SourceData.Fuel_Scope1Scope3EmissionFactorsStationaryLiquid_Data(), Table_Fuel_EFs_StationaryLiquid[[#Headers],[Fuel combusted]],0)</f>
        <v>kL</v>
      </c>
      <c r="G61" s="181" cm="1">
        <f t="array" ref="G61">Common_InputFunctions.Utility_DisplayArrayInTable(Fuel_SourceData.Fuel_Scope1Scope3EmissionFactorsStationaryLiquid_Data(), Table_Fuel_EFs_StationaryLiquid[[#Headers],[Fuel combusted]],0)</f>
        <v>69.599999999999994</v>
      </c>
      <c r="H61" s="181" cm="1">
        <f t="array" ref="H61">Common_InputFunctions.Utility_DisplayArrayInTable(Fuel_SourceData.Fuel_Scope1Scope3EmissionFactorsStationaryLiquid_Data(), Table_Fuel_EFs_StationaryLiquid[[#Headers],[Fuel combusted]],0)</f>
        <v>0.02</v>
      </c>
      <c r="I61" s="181" cm="1">
        <f t="array" ref="I61">Common_InputFunctions.Utility_DisplayArrayInTable(Fuel_SourceData.Fuel_Scope1Scope3EmissionFactorsStationaryLiquid_Data(), Table_Fuel_EFs_StationaryLiquid[[#Headers],[Fuel combusted]],0)</f>
        <v>0.2</v>
      </c>
      <c r="J61" s="181" cm="1">
        <f t="array" ref="J61">Common_InputFunctions.Utility_DisplayArrayInTable(Fuel_SourceData.Fuel_Scope1Scope3EmissionFactorsStationaryLiquid_Data(), Table_Fuel_EFs_StationaryLiquid[[#Headers],[Fuel combusted]],0)</f>
        <v>69.819999999999993</v>
      </c>
      <c r="K61" s="181" cm="1">
        <f t="array" ref="K61">Common_InputFunctions.Utility_DisplayArrayInTable(Fuel_SourceData.Fuel_Scope1Scope3EmissionFactorsStationaryLiquid_Data(), Table_Fuel_EFs_StationaryLiquid[[#Headers],[Fuel combusted]],0)</f>
        <v>18</v>
      </c>
      <c r="L61" s="128"/>
    </row>
    <row r="62" spans="4:12" ht="20.100000000000001" customHeight="1" x14ac:dyDescent="0.25">
      <c r="D62" s="181" t="str" cm="1">
        <f t="array" ref="D62">Common_InputFunctions.Utility_DisplayArrayInTable(Fuel_SourceData.Fuel_Scope1Scope3EmissionFactorsStationaryLiquid_Data(), Table_Fuel_EFs_StationaryLiquid[[#Headers],[Fuel combusted]],0)</f>
        <v>Heating oil</v>
      </c>
      <c r="E62" s="181" cm="1">
        <f t="array" ref="E62">Common_InputFunctions.Utility_DisplayArrayInTable(Fuel_SourceData.Fuel_Scope1Scope3EmissionFactorsStationaryLiquid_Data(), Table_Fuel_EFs_StationaryLiquid[[#Headers],[Fuel combusted]],0)</f>
        <v>37.299999999999997</v>
      </c>
      <c r="F62" s="181" t="str" cm="1">
        <f t="array" ref="F62">Common_InputFunctions.Utility_DisplayArrayInTable(Fuel_SourceData.Fuel_Scope1Scope3EmissionFactorsStationaryLiquid_Data(), Table_Fuel_EFs_StationaryLiquid[[#Headers],[Fuel combusted]],0)</f>
        <v>kL</v>
      </c>
      <c r="G62" s="181" cm="1">
        <f t="array" ref="G62">Common_InputFunctions.Utility_DisplayArrayInTable(Fuel_SourceData.Fuel_Scope1Scope3EmissionFactorsStationaryLiquid_Data(), Table_Fuel_EFs_StationaryLiquid[[#Headers],[Fuel combusted]],0)</f>
        <v>69.5</v>
      </c>
      <c r="H62" s="181" cm="1">
        <f t="array" ref="H62">Common_InputFunctions.Utility_DisplayArrayInTable(Fuel_SourceData.Fuel_Scope1Scope3EmissionFactorsStationaryLiquid_Data(), Table_Fuel_EFs_StationaryLiquid[[#Headers],[Fuel combusted]],0)</f>
        <v>0.03</v>
      </c>
      <c r="I62" s="181" cm="1">
        <f t="array" ref="I62">Common_InputFunctions.Utility_DisplayArrayInTable(Fuel_SourceData.Fuel_Scope1Scope3EmissionFactorsStationaryLiquid_Data(), Table_Fuel_EFs_StationaryLiquid[[#Headers],[Fuel combusted]],0)</f>
        <v>0.2</v>
      </c>
      <c r="J62" s="181" cm="1">
        <f t="array" ref="J62">Common_InputFunctions.Utility_DisplayArrayInTable(Fuel_SourceData.Fuel_Scope1Scope3EmissionFactorsStationaryLiquid_Data(), Table_Fuel_EFs_StationaryLiquid[[#Headers],[Fuel combusted]],0)</f>
        <v>69.73</v>
      </c>
      <c r="K62" s="181" cm="1">
        <f t="array" ref="K62">Common_InputFunctions.Utility_DisplayArrayInTable(Fuel_SourceData.Fuel_Scope1Scope3EmissionFactorsStationaryLiquid_Data(), Table_Fuel_EFs_StationaryLiquid[[#Headers],[Fuel combusted]],0)</f>
        <v>18</v>
      </c>
      <c r="L62" s="128"/>
    </row>
    <row r="63" spans="4:12" ht="20.100000000000001" customHeight="1" x14ac:dyDescent="0.25">
      <c r="D63" s="181" t="str" cm="1">
        <f t="array" ref="D63">Common_InputFunctions.Utility_DisplayArrayInTable(Fuel_SourceData.Fuel_Scope1Scope3EmissionFactorsStationaryLiquid_Data(), Table_Fuel_EFs_StationaryLiquid[[#Headers],[Fuel combusted]],0)</f>
        <v>Diesel oil</v>
      </c>
      <c r="E63" s="181" cm="1">
        <f t="array" ref="E63">Common_InputFunctions.Utility_DisplayArrayInTable(Fuel_SourceData.Fuel_Scope1Scope3EmissionFactorsStationaryLiquid_Data(), Table_Fuel_EFs_StationaryLiquid[[#Headers],[Fuel combusted]],0)</f>
        <v>38.6</v>
      </c>
      <c r="F63" s="181" t="str" cm="1">
        <f t="array" ref="F63">Common_InputFunctions.Utility_DisplayArrayInTable(Fuel_SourceData.Fuel_Scope1Scope3EmissionFactorsStationaryLiquid_Data(), Table_Fuel_EFs_StationaryLiquid[[#Headers],[Fuel combusted]],0)</f>
        <v>kL</v>
      </c>
      <c r="G63" s="181" cm="1">
        <f t="array" ref="G63">Common_InputFunctions.Utility_DisplayArrayInTable(Fuel_SourceData.Fuel_Scope1Scope3EmissionFactorsStationaryLiquid_Data(), Table_Fuel_EFs_StationaryLiquid[[#Headers],[Fuel combusted]],0)</f>
        <v>69.900000000000006</v>
      </c>
      <c r="H63" s="181" cm="1">
        <f t="array" ref="H63">Common_InputFunctions.Utility_DisplayArrayInTable(Fuel_SourceData.Fuel_Scope1Scope3EmissionFactorsStationaryLiquid_Data(), Table_Fuel_EFs_StationaryLiquid[[#Headers],[Fuel combusted]],0)</f>
        <v>0.1</v>
      </c>
      <c r="I63" s="181" cm="1">
        <f t="array" ref="I63">Common_InputFunctions.Utility_DisplayArrayInTable(Fuel_SourceData.Fuel_Scope1Scope3EmissionFactorsStationaryLiquid_Data(), Table_Fuel_EFs_StationaryLiquid[[#Headers],[Fuel combusted]],0)</f>
        <v>0.2</v>
      </c>
      <c r="J63" s="181" cm="1">
        <f t="array" ref="J63">Common_InputFunctions.Utility_DisplayArrayInTable(Fuel_SourceData.Fuel_Scope1Scope3EmissionFactorsStationaryLiquid_Data(), Table_Fuel_EFs_StationaryLiquid[[#Headers],[Fuel combusted]],0)</f>
        <v>70.2</v>
      </c>
      <c r="K63" s="181" cm="1">
        <f t="array" ref="K63">Common_InputFunctions.Utility_DisplayArrayInTable(Fuel_SourceData.Fuel_Scope1Scope3EmissionFactorsStationaryLiquid_Data(), Table_Fuel_EFs_StationaryLiquid[[#Headers],[Fuel combusted]],0)</f>
        <v>17.3</v>
      </c>
      <c r="L63" s="128"/>
    </row>
    <row r="64" spans="4:12" ht="20.100000000000001" customHeight="1" x14ac:dyDescent="0.25">
      <c r="D64" s="181" t="str" cm="1">
        <f t="array" ref="D64">Common_InputFunctions.Utility_DisplayArrayInTable(Fuel_SourceData.Fuel_Scope1Scope3EmissionFactorsStationaryLiquid_Data(), Table_Fuel_EFs_StationaryLiquid[[#Headers],[Fuel combusted]],0)</f>
        <v>Fuel oil</v>
      </c>
      <c r="E64" s="181" cm="1">
        <f t="array" ref="E64">Common_InputFunctions.Utility_DisplayArrayInTable(Fuel_SourceData.Fuel_Scope1Scope3EmissionFactorsStationaryLiquid_Data(), Table_Fuel_EFs_StationaryLiquid[[#Headers],[Fuel combusted]],0)</f>
        <v>39.700000000000003</v>
      </c>
      <c r="F64" s="181" t="str" cm="1">
        <f t="array" ref="F64">Common_InputFunctions.Utility_DisplayArrayInTable(Fuel_SourceData.Fuel_Scope1Scope3EmissionFactorsStationaryLiquid_Data(), Table_Fuel_EFs_StationaryLiquid[[#Headers],[Fuel combusted]],0)</f>
        <v>kL</v>
      </c>
      <c r="G64" s="181" cm="1">
        <f t="array" ref="G64">Common_InputFunctions.Utility_DisplayArrayInTable(Fuel_SourceData.Fuel_Scope1Scope3EmissionFactorsStationaryLiquid_Data(), Table_Fuel_EFs_StationaryLiquid[[#Headers],[Fuel combusted]],0)</f>
        <v>73.599999999999994</v>
      </c>
      <c r="H64" s="181" cm="1">
        <f t="array" ref="H64">Common_InputFunctions.Utility_DisplayArrayInTable(Fuel_SourceData.Fuel_Scope1Scope3EmissionFactorsStationaryLiquid_Data(), Table_Fuel_EFs_StationaryLiquid[[#Headers],[Fuel combusted]],0)</f>
        <v>0.04</v>
      </c>
      <c r="I64" s="181" cm="1">
        <f t="array" ref="I64">Common_InputFunctions.Utility_DisplayArrayInTable(Fuel_SourceData.Fuel_Scope1Scope3EmissionFactorsStationaryLiquid_Data(), Table_Fuel_EFs_StationaryLiquid[[#Headers],[Fuel combusted]],0)</f>
        <v>0.2</v>
      </c>
      <c r="J64" s="181" cm="1">
        <f t="array" ref="J64">Common_InputFunctions.Utility_DisplayArrayInTable(Fuel_SourceData.Fuel_Scope1Scope3EmissionFactorsStationaryLiquid_Data(), Table_Fuel_EFs_StationaryLiquid[[#Headers],[Fuel combusted]],0)</f>
        <v>73.84</v>
      </c>
      <c r="K64" s="181" cm="1">
        <f t="array" ref="K64">Common_InputFunctions.Utility_DisplayArrayInTable(Fuel_SourceData.Fuel_Scope1Scope3EmissionFactorsStationaryLiquid_Data(), Table_Fuel_EFs_StationaryLiquid[[#Headers],[Fuel combusted]],0)</f>
        <v>18</v>
      </c>
      <c r="L64" s="128"/>
    </row>
    <row r="65" spans="4:13" ht="20.100000000000001" customHeight="1" x14ac:dyDescent="0.25">
      <c r="D65" s="181" t="str" cm="1">
        <f t="array" ref="D65">Common_InputFunctions.Utility_DisplayArrayInTable(Fuel_SourceData.Fuel_Scope1Scope3EmissionFactorsStationaryLiquid_Data(), Table_Fuel_EFs_StationaryLiquid[[#Headers],[Fuel combusted]],0)</f>
        <v>Liquefied aromatic hydrocarbons</v>
      </c>
      <c r="E65" s="181" cm="1">
        <f t="array" ref="E65">Common_InputFunctions.Utility_DisplayArrayInTable(Fuel_SourceData.Fuel_Scope1Scope3EmissionFactorsStationaryLiquid_Data(), Table_Fuel_EFs_StationaryLiquid[[#Headers],[Fuel combusted]],0)</f>
        <v>34.4</v>
      </c>
      <c r="F65" s="181" t="str" cm="1">
        <f t="array" ref="F65">Common_InputFunctions.Utility_DisplayArrayInTable(Fuel_SourceData.Fuel_Scope1Scope3EmissionFactorsStationaryLiquid_Data(), Table_Fuel_EFs_StationaryLiquid[[#Headers],[Fuel combusted]],0)</f>
        <v>kL</v>
      </c>
      <c r="G65" s="181" cm="1">
        <f t="array" ref="G65">Common_InputFunctions.Utility_DisplayArrayInTable(Fuel_SourceData.Fuel_Scope1Scope3EmissionFactorsStationaryLiquid_Data(), Table_Fuel_EFs_StationaryLiquid[[#Headers],[Fuel combusted]],0)</f>
        <v>69.7</v>
      </c>
      <c r="H65" s="181" cm="1">
        <f t="array" ref="H65">Common_InputFunctions.Utility_DisplayArrayInTable(Fuel_SourceData.Fuel_Scope1Scope3EmissionFactorsStationaryLiquid_Data(), Table_Fuel_EFs_StationaryLiquid[[#Headers],[Fuel combusted]],0)</f>
        <v>0.03</v>
      </c>
      <c r="I65" s="181" cm="1">
        <f t="array" ref="I65">Common_InputFunctions.Utility_DisplayArrayInTable(Fuel_SourceData.Fuel_Scope1Scope3EmissionFactorsStationaryLiquid_Data(), Table_Fuel_EFs_StationaryLiquid[[#Headers],[Fuel combusted]],0)</f>
        <v>0.2</v>
      </c>
      <c r="J65" s="181" cm="1">
        <f t="array" ref="J65">Common_InputFunctions.Utility_DisplayArrayInTable(Fuel_SourceData.Fuel_Scope1Scope3EmissionFactorsStationaryLiquid_Data(), Table_Fuel_EFs_StationaryLiquid[[#Headers],[Fuel combusted]],0)</f>
        <v>69.930000000000007</v>
      </c>
      <c r="K65" s="181" cm="1">
        <f t="array" ref="K65">Common_InputFunctions.Utility_DisplayArrayInTable(Fuel_SourceData.Fuel_Scope1Scope3EmissionFactorsStationaryLiquid_Data(), Table_Fuel_EFs_StationaryLiquid[[#Headers],[Fuel combusted]],0)</f>
        <v>18</v>
      </c>
      <c r="L65" s="128"/>
    </row>
    <row r="66" spans="4:13" ht="20.100000000000001" customHeight="1" x14ac:dyDescent="0.25">
      <c r="D66" s="181" t="str" cm="1">
        <f t="array" ref="D66">Common_InputFunctions.Utility_DisplayArrayInTable(Fuel_SourceData.Fuel_Scope1Scope3EmissionFactorsStationaryLiquid_Data(), Table_Fuel_EFs_StationaryLiquid[[#Headers],[Fuel combusted]],0)</f>
        <v>Solvents: mineral turpentine or white spirits</v>
      </c>
      <c r="E66" s="181" cm="1">
        <f t="array" ref="E66">Common_InputFunctions.Utility_DisplayArrayInTable(Fuel_SourceData.Fuel_Scope1Scope3EmissionFactorsStationaryLiquid_Data(), Table_Fuel_EFs_StationaryLiquid[[#Headers],[Fuel combusted]],0)</f>
        <v>34.4</v>
      </c>
      <c r="F66" s="181" t="str" cm="1">
        <f t="array" ref="F66">Common_InputFunctions.Utility_DisplayArrayInTable(Fuel_SourceData.Fuel_Scope1Scope3EmissionFactorsStationaryLiquid_Data(), Table_Fuel_EFs_StationaryLiquid[[#Headers],[Fuel combusted]],0)</f>
        <v>kL</v>
      </c>
      <c r="G66" s="181" cm="1">
        <f t="array" ref="G66">Common_InputFunctions.Utility_DisplayArrayInTable(Fuel_SourceData.Fuel_Scope1Scope3EmissionFactorsStationaryLiquid_Data(), Table_Fuel_EFs_StationaryLiquid[[#Headers],[Fuel combusted]],0)</f>
        <v>69.7</v>
      </c>
      <c r="H66" s="181" cm="1">
        <f t="array" ref="H66">Common_InputFunctions.Utility_DisplayArrayInTable(Fuel_SourceData.Fuel_Scope1Scope3EmissionFactorsStationaryLiquid_Data(), Table_Fuel_EFs_StationaryLiquid[[#Headers],[Fuel combusted]],0)</f>
        <v>0.03</v>
      </c>
      <c r="I66" s="181" cm="1">
        <f t="array" ref="I66">Common_InputFunctions.Utility_DisplayArrayInTable(Fuel_SourceData.Fuel_Scope1Scope3EmissionFactorsStationaryLiquid_Data(), Table_Fuel_EFs_StationaryLiquid[[#Headers],[Fuel combusted]],0)</f>
        <v>0.2</v>
      </c>
      <c r="J66" s="181" cm="1">
        <f t="array" ref="J66">Common_InputFunctions.Utility_DisplayArrayInTable(Fuel_SourceData.Fuel_Scope1Scope3EmissionFactorsStationaryLiquid_Data(), Table_Fuel_EFs_StationaryLiquid[[#Headers],[Fuel combusted]],0)</f>
        <v>69.930000000000007</v>
      </c>
      <c r="K66" s="181" cm="1">
        <f t="array" ref="K66">Common_InputFunctions.Utility_DisplayArrayInTable(Fuel_SourceData.Fuel_Scope1Scope3EmissionFactorsStationaryLiquid_Data(), Table_Fuel_EFs_StationaryLiquid[[#Headers],[Fuel combusted]],0)</f>
        <v>18</v>
      </c>
      <c r="L66" s="128"/>
    </row>
    <row r="67" spans="4:13" ht="20.100000000000001" customHeight="1" x14ac:dyDescent="0.25">
      <c r="D67" s="181" t="str" cm="1">
        <f t="array" ref="D67">Common_InputFunctions.Utility_DisplayArrayInTable(Fuel_SourceData.Fuel_Scope1Scope3EmissionFactorsStationaryLiquid_Data(), Table_Fuel_EFs_StationaryLiquid[[#Headers],[Fuel combusted]],0)</f>
        <v>Liquefied petroleum gas (LPG)</v>
      </c>
      <c r="E67" s="181" cm="1">
        <f t="array" ref="E67">Common_InputFunctions.Utility_DisplayArrayInTable(Fuel_SourceData.Fuel_Scope1Scope3EmissionFactorsStationaryLiquid_Data(), Table_Fuel_EFs_StationaryLiquid[[#Headers],[Fuel combusted]],0)</f>
        <v>25.7</v>
      </c>
      <c r="F67" s="181" t="str" cm="1">
        <f t="array" ref="F67">Common_InputFunctions.Utility_DisplayArrayInTable(Fuel_SourceData.Fuel_Scope1Scope3EmissionFactorsStationaryLiquid_Data(), Table_Fuel_EFs_StationaryLiquid[[#Headers],[Fuel combusted]],0)</f>
        <v>kL</v>
      </c>
      <c r="G67" s="181" cm="1">
        <f t="array" ref="G67">Common_InputFunctions.Utility_DisplayArrayInTable(Fuel_SourceData.Fuel_Scope1Scope3EmissionFactorsStationaryLiquid_Data(), Table_Fuel_EFs_StationaryLiquid[[#Headers],[Fuel combusted]],0)</f>
        <v>60.2</v>
      </c>
      <c r="H67" s="181" cm="1">
        <f t="array" ref="H67">Common_InputFunctions.Utility_DisplayArrayInTable(Fuel_SourceData.Fuel_Scope1Scope3EmissionFactorsStationaryLiquid_Data(), Table_Fuel_EFs_StationaryLiquid[[#Headers],[Fuel combusted]],0)</f>
        <v>0.2</v>
      </c>
      <c r="I67" s="181" cm="1">
        <f t="array" ref="I67">Common_InputFunctions.Utility_DisplayArrayInTable(Fuel_SourceData.Fuel_Scope1Scope3EmissionFactorsStationaryLiquid_Data(), Table_Fuel_EFs_StationaryLiquid[[#Headers],[Fuel combusted]],0)</f>
        <v>0.2</v>
      </c>
      <c r="J67" s="181" cm="1">
        <f t="array" ref="J67">Common_InputFunctions.Utility_DisplayArrayInTable(Fuel_SourceData.Fuel_Scope1Scope3EmissionFactorsStationaryLiquid_Data(), Table_Fuel_EFs_StationaryLiquid[[#Headers],[Fuel combusted]],0)</f>
        <v>60.6</v>
      </c>
      <c r="K67" s="181" cm="1">
        <f t="array" ref="K67">Common_InputFunctions.Utility_DisplayArrayInTable(Fuel_SourceData.Fuel_Scope1Scope3EmissionFactorsStationaryLiquid_Data(), Table_Fuel_EFs_StationaryLiquid[[#Headers],[Fuel combusted]],0)</f>
        <v>20.2</v>
      </c>
      <c r="L67" s="128"/>
    </row>
    <row r="68" spans="4:13" ht="20.100000000000001" customHeight="1" x14ac:dyDescent="0.25">
      <c r="D68" s="181" t="str" cm="1">
        <f t="array" ref="D68">Common_InputFunctions.Utility_DisplayArrayInTable(Fuel_SourceData.Fuel_Scope1Scope3EmissionFactorsStationaryLiquid_Data(), Table_Fuel_EFs_StationaryLiquid[[#Headers],[Fuel combusted]],0)</f>
        <v>Naphtha</v>
      </c>
      <c r="E68" s="181" cm="1">
        <f t="array" ref="E68">Common_InputFunctions.Utility_DisplayArrayInTable(Fuel_SourceData.Fuel_Scope1Scope3EmissionFactorsStationaryLiquid_Data(), Table_Fuel_EFs_StationaryLiquid[[#Headers],[Fuel combusted]],0)</f>
        <v>31.4</v>
      </c>
      <c r="F68" s="181" t="str" cm="1">
        <f t="array" ref="F68">Common_InputFunctions.Utility_DisplayArrayInTable(Fuel_SourceData.Fuel_Scope1Scope3EmissionFactorsStationaryLiquid_Data(), Table_Fuel_EFs_StationaryLiquid[[#Headers],[Fuel combusted]],0)</f>
        <v>kL</v>
      </c>
      <c r="G68" s="181" cm="1">
        <f t="array" ref="G68">Common_InputFunctions.Utility_DisplayArrayInTable(Fuel_SourceData.Fuel_Scope1Scope3EmissionFactorsStationaryLiquid_Data(), Table_Fuel_EFs_StationaryLiquid[[#Headers],[Fuel combusted]],0)</f>
        <v>69.8</v>
      </c>
      <c r="H68" s="181" cm="1">
        <f t="array" ref="H68">Common_InputFunctions.Utility_DisplayArrayInTable(Fuel_SourceData.Fuel_Scope1Scope3EmissionFactorsStationaryLiquid_Data(), Table_Fuel_EFs_StationaryLiquid[[#Headers],[Fuel combusted]],0)</f>
        <v>0.01</v>
      </c>
      <c r="I68" s="181" cm="1">
        <f t="array" ref="I68">Common_InputFunctions.Utility_DisplayArrayInTable(Fuel_SourceData.Fuel_Scope1Scope3EmissionFactorsStationaryLiquid_Data(), Table_Fuel_EFs_StationaryLiquid[[#Headers],[Fuel combusted]],0)</f>
        <v>0.01</v>
      </c>
      <c r="J68" s="181" cm="1">
        <f t="array" ref="J68">Common_InputFunctions.Utility_DisplayArrayInTable(Fuel_SourceData.Fuel_Scope1Scope3EmissionFactorsStationaryLiquid_Data(), Table_Fuel_EFs_StationaryLiquid[[#Headers],[Fuel combusted]],0)</f>
        <v>69.819999999999993</v>
      </c>
      <c r="K68" s="181" cm="1">
        <f t="array" ref="K68">Common_InputFunctions.Utility_DisplayArrayInTable(Fuel_SourceData.Fuel_Scope1Scope3EmissionFactorsStationaryLiquid_Data(), Table_Fuel_EFs_StationaryLiquid[[#Headers],[Fuel combusted]],0)</f>
        <v>18</v>
      </c>
      <c r="L68" s="128"/>
    </row>
    <row r="69" spans="4:13" ht="20.100000000000001" customHeight="1" x14ac:dyDescent="0.25">
      <c r="D69" s="181" t="str" cm="1">
        <f t="array" ref="D69">Common_InputFunctions.Utility_DisplayArrayInTable(Fuel_SourceData.Fuel_Scope1Scope3EmissionFactorsStationaryLiquid_Data(), Table_Fuel_EFs_StationaryLiquid[[#Headers],[Fuel combusted]],0)</f>
        <v>Petroleum coke</v>
      </c>
      <c r="E69" s="181" cm="1">
        <f t="array" ref="E69">Common_InputFunctions.Utility_DisplayArrayInTable(Fuel_SourceData.Fuel_Scope1Scope3EmissionFactorsStationaryLiquid_Data(), Table_Fuel_EFs_StationaryLiquid[[#Headers],[Fuel combusted]],0)</f>
        <v>34.200000000000003</v>
      </c>
      <c r="F69" s="181" t="str" cm="1">
        <f t="array" ref="F69">Common_InputFunctions.Utility_DisplayArrayInTable(Fuel_SourceData.Fuel_Scope1Scope3EmissionFactorsStationaryLiquid_Data(), Table_Fuel_EFs_StationaryLiquid[[#Headers],[Fuel combusted]],0)</f>
        <v>t</v>
      </c>
      <c r="G69" s="181" cm="1">
        <f t="array" ref="G69">Common_InputFunctions.Utility_DisplayArrayInTable(Fuel_SourceData.Fuel_Scope1Scope3EmissionFactorsStationaryLiquid_Data(), Table_Fuel_EFs_StationaryLiquid[[#Headers],[Fuel combusted]],0)</f>
        <v>92.6</v>
      </c>
      <c r="H69" s="181" cm="1">
        <f t="array" ref="H69">Common_InputFunctions.Utility_DisplayArrayInTable(Fuel_SourceData.Fuel_Scope1Scope3EmissionFactorsStationaryLiquid_Data(), Table_Fuel_EFs_StationaryLiquid[[#Headers],[Fuel combusted]],0)</f>
        <v>0.08</v>
      </c>
      <c r="I69" s="181" cm="1">
        <f t="array" ref="I69">Common_InputFunctions.Utility_DisplayArrayInTable(Fuel_SourceData.Fuel_Scope1Scope3EmissionFactorsStationaryLiquid_Data(), Table_Fuel_EFs_StationaryLiquid[[#Headers],[Fuel combusted]],0)</f>
        <v>0.2</v>
      </c>
      <c r="J69" s="181" cm="1">
        <f t="array" ref="J69">Common_InputFunctions.Utility_DisplayArrayInTable(Fuel_SourceData.Fuel_Scope1Scope3EmissionFactorsStationaryLiquid_Data(), Table_Fuel_EFs_StationaryLiquid[[#Headers],[Fuel combusted]],0)</f>
        <v>92.88</v>
      </c>
      <c r="K69" s="181" cm="1">
        <f t="array" ref="K69">Common_InputFunctions.Utility_DisplayArrayInTable(Fuel_SourceData.Fuel_Scope1Scope3EmissionFactorsStationaryLiquid_Data(), Table_Fuel_EFs_StationaryLiquid[[#Headers],[Fuel combusted]],0)</f>
        <v>18</v>
      </c>
      <c r="L69" s="128"/>
    </row>
    <row r="70" spans="4:13" ht="20.100000000000001" customHeight="1" x14ac:dyDescent="0.25">
      <c r="D70" s="181" t="str" cm="1">
        <f t="array" ref="D70">Common_InputFunctions.Utility_DisplayArrayInTable(Fuel_SourceData.Fuel_Scope1Scope3EmissionFactorsStationaryLiquid_Data(), Table_Fuel_EFs_StationaryLiquid[[#Headers],[Fuel combusted]],0)</f>
        <v>Refinery gas and liquids</v>
      </c>
      <c r="E70" s="181" cm="1">
        <f t="array" ref="E70">Common_InputFunctions.Utility_DisplayArrayInTable(Fuel_SourceData.Fuel_Scope1Scope3EmissionFactorsStationaryLiquid_Data(), Table_Fuel_EFs_StationaryLiquid[[#Headers],[Fuel combusted]],0)</f>
        <v>42.9</v>
      </c>
      <c r="F70" s="181" t="str" cm="1">
        <f t="array" ref="F70">Common_InputFunctions.Utility_DisplayArrayInTable(Fuel_SourceData.Fuel_Scope1Scope3EmissionFactorsStationaryLiquid_Data(), Table_Fuel_EFs_StationaryLiquid[[#Headers],[Fuel combusted]],0)</f>
        <v>t</v>
      </c>
      <c r="G70" s="181" cm="1">
        <f t="array" ref="G70">Common_InputFunctions.Utility_DisplayArrayInTable(Fuel_SourceData.Fuel_Scope1Scope3EmissionFactorsStationaryLiquid_Data(), Table_Fuel_EFs_StationaryLiquid[[#Headers],[Fuel combusted]],0)</f>
        <v>54.7</v>
      </c>
      <c r="H70" s="181" cm="1">
        <f t="array" ref="H70">Common_InputFunctions.Utility_DisplayArrayInTable(Fuel_SourceData.Fuel_Scope1Scope3EmissionFactorsStationaryLiquid_Data(), Table_Fuel_EFs_StationaryLiquid[[#Headers],[Fuel combusted]],0)</f>
        <v>0.03</v>
      </c>
      <c r="I70" s="181" cm="1">
        <f t="array" ref="I70">Common_InputFunctions.Utility_DisplayArrayInTable(Fuel_SourceData.Fuel_Scope1Scope3EmissionFactorsStationaryLiquid_Data(), Table_Fuel_EFs_StationaryLiquid[[#Headers],[Fuel combusted]],0)</f>
        <v>0.03</v>
      </c>
      <c r="J70" s="181" cm="1">
        <f t="array" ref="J70">Common_InputFunctions.Utility_DisplayArrayInTable(Fuel_SourceData.Fuel_Scope1Scope3EmissionFactorsStationaryLiquid_Data(), Table_Fuel_EFs_StationaryLiquid[[#Headers],[Fuel combusted]],0)</f>
        <v>54.76</v>
      </c>
      <c r="K70" s="181" cm="1">
        <f t="array" ref="K70">Common_InputFunctions.Utility_DisplayArrayInTable(Fuel_SourceData.Fuel_Scope1Scope3EmissionFactorsStationaryLiquid_Data(), Table_Fuel_EFs_StationaryLiquid[[#Headers],[Fuel combusted]],0)</f>
        <v>18</v>
      </c>
      <c r="L70" s="128"/>
    </row>
    <row r="71" spans="4:13" ht="20.100000000000001" customHeight="1" x14ac:dyDescent="0.25">
      <c r="D71" s="181" t="str" cm="1">
        <f t="array" ref="D71">Common_InputFunctions.Utility_DisplayArrayInTable(Fuel_SourceData.Fuel_Scope1Scope3EmissionFactorsStationaryLiquid_Data(), Table_Fuel_EFs_StationaryLiquid[[#Headers],[Fuel combusted]],0)</f>
        <v>Refinery coke</v>
      </c>
      <c r="E71" s="181" cm="1">
        <f t="array" ref="E71">Common_InputFunctions.Utility_DisplayArrayInTable(Fuel_SourceData.Fuel_Scope1Scope3EmissionFactorsStationaryLiquid_Data(), Table_Fuel_EFs_StationaryLiquid[[#Headers],[Fuel combusted]],0)</f>
        <v>34.200000000000003</v>
      </c>
      <c r="F71" s="181" t="str" cm="1">
        <f t="array" ref="F71">Common_InputFunctions.Utility_DisplayArrayInTable(Fuel_SourceData.Fuel_Scope1Scope3EmissionFactorsStationaryLiquid_Data(), Table_Fuel_EFs_StationaryLiquid[[#Headers],[Fuel combusted]],0)</f>
        <v>t</v>
      </c>
      <c r="G71" s="181" cm="1">
        <f t="array" ref="G71">Common_InputFunctions.Utility_DisplayArrayInTable(Fuel_SourceData.Fuel_Scope1Scope3EmissionFactorsStationaryLiquid_Data(), Table_Fuel_EFs_StationaryLiquid[[#Headers],[Fuel combusted]],0)</f>
        <v>92.6</v>
      </c>
      <c r="H71" s="181" cm="1">
        <f t="array" ref="H71">Common_InputFunctions.Utility_DisplayArrayInTable(Fuel_SourceData.Fuel_Scope1Scope3EmissionFactorsStationaryLiquid_Data(), Table_Fuel_EFs_StationaryLiquid[[#Headers],[Fuel combusted]],0)</f>
        <v>0.08</v>
      </c>
      <c r="I71" s="181" cm="1">
        <f t="array" ref="I71">Common_InputFunctions.Utility_DisplayArrayInTable(Fuel_SourceData.Fuel_Scope1Scope3EmissionFactorsStationaryLiquid_Data(), Table_Fuel_EFs_StationaryLiquid[[#Headers],[Fuel combusted]],0)</f>
        <v>0.2</v>
      </c>
      <c r="J71" s="181" cm="1">
        <f t="array" ref="J71">Common_InputFunctions.Utility_DisplayArrayInTable(Fuel_SourceData.Fuel_Scope1Scope3EmissionFactorsStationaryLiquid_Data(), Table_Fuel_EFs_StationaryLiquid[[#Headers],[Fuel combusted]],0)</f>
        <v>92.88</v>
      </c>
      <c r="K71" s="181" cm="1">
        <f t="array" ref="K71">Common_InputFunctions.Utility_DisplayArrayInTable(Fuel_SourceData.Fuel_Scope1Scope3EmissionFactorsStationaryLiquid_Data(), Table_Fuel_EFs_StationaryLiquid[[#Headers],[Fuel combusted]],0)</f>
        <v>18</v>
      </c>
      <c r="L71" s="128"/>
    </row>
    <row r="72" spans="4:13" ht="20.100000000000001" customHeight="1" x14ac:dyDescent="0.25">
      <c r="D72" s="181" t="str" cm="1">
        <f t="array" ref="D72">Common_InputFunctions.Utility_DisplayArrayInTable(Fuel_SourceData.Fuel_Scope1Scope3EmissionFactorsStationaryLiquid_Data(), Table_Fuel_EFs_StationaryLiquid[[#Headers],[Fuel combusted]],0)</f>
        <v>Petroleum based products other than mentioned in the items above</v>
      </c>
      <c r="E72" s="181" cm="1">
        <f t="array" ref="E72">Common_InputFunctions.Utility_DisplayArrayInTable(Fuel_SourceData.Fuel_Scope1Scope3EmissionFactorsStationaryLiquid_Data(), Table_Fuel_EFs_StationaryLiquid[[#Headers],[Fuel combusted]],0)</f>
        <v>34.4</v>
      </c>
      <c r="F72" s="181" t="str" cm="1">
        <f t="array" ref="F72">Common_InputFunctions.Utility_DisplayArrayInTable(Fuel_SourceData.Fuel_Scope1Scope3EmissionFactorsStationaryLiquid_Data(), Table_Fuel_EFs_StationaryLiquid[[#Headers],[Fuel combusted]],0)</f>
        <v>kL</v>
      </c>
      <c r="G72" s="181" cm="1">
        <f t="array" ref="G72">Common_InputFunctions.Utility_DisplayArrayInTable(Fuel_SourceData.Fuel_Scope1Scope3EmissionFactorsStationaryLiquid_Data(), Table_Fuel_EFs_StationaryLiquid[[#Headers],[Fuel combusted]],0)</f>
        <v>69.8</v>
      </c>
      <c r="H72" s="181" cm="1">
        <f t="array" ref="H72">Common_InputFunctions.Utility_DisplayArrayInTable(Fuel_SourceData.Fuel_Scope1Scope3EmissionFactorsStationaryLiquid_Data(), Table_Fuel_EFs_StationaryLiquid[[#Headers],[Fuel combusted]],0)</f>
        <v>0.02</v>
      </c>
      <c r="I72" s="181" cm="1">
        <f t="array" ref="I72">Common_InputFunctions.Utility_DisplayArrayInTable(Fuel_SourceData.Fuel_Scope1Scope3EmissionFactorsStationaryLiquid_Data(), Table_Fuel_EFs_StationaryLiquid[[#Headers],[Fuel combusted]],0)</f>
        <v>0.1</v>
      </c>
      <c r="J72" s="181" cm="1">
        <f t="array" ref="J72">Common_InputFunctions.Utility_DisplayArrayInTable(Fuel_SourceData.Fuel_Scope1Scope3EmissionFactorsStationaryLiquid_Data(), Table_Fuel_EFs_StationaryLiquid[[#Headers],[Fuel combusted]],0)</f>
        <v>69.92</v>
      </c>
      <c r="K72" s="181" cm="1">
        <f t="array" ref="K72">Common_InputFunctions.Utility_DisplayArrayInTable(Fuel_SourceData.Fuel_Scope1Scope3EmissionFactorsStationaryLiquid_Data(), Table_Fuel_EFs_StationaryLiquid[[#Headers],[Fuel combusted]],0)</f>
        <v>18</v>
      </c>
      <c r="L72" s="128"/>
    </row>
    <row r="73" spans="4:13" ht="20.100000000000001" customHeight="1" x14ac:dyDescent="0.25">
      <c r="D73" s="181" t="str" cm="1">
        <f t="array" ref="D73">Common_InputFunctions.Utility_DisplayArrayInTable(Fuel_SourceData.Fuel_Scope1Scope3EmissionFactorsStationaryLiquid_Data(), Table_Fuel_EFs_StationaryLiquid[[#Headers],[Fuel combusted]],0)</f>
        <v>Biodiesel</v>
      </c>
      <c r="E73" s="181" cm="1">
        <f t="array" ref="E73">Common_InputFunctions.Utility_DisplayArrayInTable(Fuel_SourceData.Fuel_Scope1Scope3EmissionFactorsStationaryLiquid_Data(), Table_Fuel_EFs_StationaryLiquid[[#Headers],[Fuel combusted]],0)</f>
        <v>34.6</v>
      </c>
      <c r="F73" s="181" t="str" cm="1">
        <f t="array" ref="F73">Common_InputFunctions.Utility_DisplayArrayInTable(Fuel_SourceData.Fuel_Scope1Scope3EmissionFactorsStationaryLiquid_Data(), Table_Fuel_EFs_StationaryLiquid[[#Headers],[Fuel combusted]],0)</f>
        <v>kL</v>
      </c>
      <c r="G73" s="181" cm="1">
        <f t="array" ref="G73">Common_InputFunctions.Utility_DisplayArrayInTable(Fuel_SourceData.Fuel_Scope1Scope3EmissionFactorsStationaryLiquid_Data(), Table_Fuel_EFs_StationaryLiquid[[#Headers],[Fuel combusted]],0)</f>
        <v>0</v>
      </c>
      <c r="H73" s="181" cm="1">
        <f t="array" ref="H73">Common_InputFunctions.Utility_DisplayArrayInTable(Fuel_SourceData.Fuel_Scope1Scope3EmissionFactorsStationaryLiquid_Data(), Table_Fuel_EFs_StationaryLiquid[[#Headers],[Fuel combusted]],0)</f>
        <v>0.08</v>
      </c>
      <c r="I73" s="181" cm="1">
        <f t="array" ref="I73">Common_InputFunctions.Utility_DisplayArrayInTable(Fuel_SourceData.Fuel_Scope1Scope3EmissionFactorsStationaryLiquid_Data(), Table_Fuel_EFs_StationaryLiquid[[#Headers],[Fuel combusted]],0)</f>
        <v>0.2</v>
      </c>
      <c r="J73" s="181" cm="1">
        <f t="array" ref="J73">Common_InputFunctions.Utility_DisplayArrayInTable(Fuel_SourceData.Fuel_Scope1Scope3EmissionFactorsStationaryLiquid_Data(), Table_Fuel_EFs_StationaryLiquid[[#Headers],[Fuel combusted]],0)</f>
        <v>0.28000000000000003</v>
      </c>
      <c r="K73" s="181" t="str" cm="1">
        <f t="array" ref="K73">Common_InputFunctions.Utility_DisplayArrayInTable(Fuel_SourceData.Fuel_Scope1Scope3EmissionFactorsStationaryLiquid_Data(), Table_Fuel_EFs_StationaryLiquid[[#Headers],[Fuel combusted]],0)</f>
        <v>NE</v>
      </c>
      <c r="L73" s="128"/>
    </row>
    <row r="74" spans="4:13" ht="20.100000000000001" customHeight="1" x14ac:dyDescent="0.25">
      <c r="D74" s="181" t="str" cm="1">
        <f t="array" ref="D74">Common_InputFunctions.Utility_DisplayArrayInTable(Fuel_SourceData.Fuel_Scope1Scope3EmissionFactorsStationaryLiquid_Data(), Table_Fuel_EFs_StationaryLiquid[[#Headers],[Fuel combusted]],0)</f>
        <v>Ethanol for use as a fuel in an internal combustion engine</v>
      </c>
      <c r="E74" s="181" cm="1">
        <f t="array" ref="E74">Common_InputFunctions.Utility_DisplayArrayInTable(Fuel_SourceData.Fuel_Scope1Scope3EmissionFactorsStationaryLiquid_Data(), Table_Fuel_EFs_StationaryLiquid[[#Headers],[Fuel combusted]],0)</f>
        <v>23.4</v>
      </c>
      <c r="F74" s="181" t="str" cm="1">
        <f t="array" ref="F74">Common_InputFunctions.Utility_DisplayArrayInTable(Fuel_SourceData.Fuel_Scope1Scope3EmissionFactorsStationaryLiquid_Data(), Table_Fuel_EFs_StationaryLiquid[[#Headers],[Fuel combusted]],0)</f>
        <v>kL</v>
      </c>
      <c r="G74" s="181" cm="1">
        <f t="array" ref="G74">Common_InputFunctions.Utility_DisplayArrayInTable(Fuel_SourceData.Fuel_Scope1Scope3EmissionFactorsStationaryLiquid_Data(), Table_Fuel_EFs_StationaryLiquid[[#Headers],[Fuel combusted]],0)</f>
        <v>0</v>
      </c>
      <c r="H74" s="181" cm="1">
        <f t="array" ref="H74">Common_InputFunctions.Utility_DisplayArrayInTable(Fuel_SourceData.Fuel_Scope1Scope3EmissionFactorsStationaryLiquid_Data(), Table_Fuel_EFs_StationaryLiquid[[#Headers],[Fuel combusted]],0)</f>
        <v>0.08</v>
      </c>
      <c r="I74" s="181" cm="1">
        <f t="array" ref="I74">Common_InputFunctions.Utility_DisplayArrayInTable(Fuel_SourceData.Fuel_Scope1Scope3EmissionFactorsStationaryLiquid_Data(), Table_Fuel_EFs_StationaryLiquid[[#Headers],[Fuel combusted]],0)</f>
        <v>0.2</v>
      </c>
      <c r="J74" s="181" cm="1">
        <f t="array" ref="J74">Common_InputFunctions.Utility_DisplayArrayInTable(Fuel_SourceData.Fuel_Scope1Scope3EmissionFactorsStationaryLiquid_Data(), Table_Fuel_EFs_StationaryLiquid[[#Headers],[Fuel combusted]],0)</f>
        <v>0.28000000000000003</v>
      </c>
      <c r="K74" s="181" t="str" cm="1">
        <f t="array" ref="K74">Common_InputFunctions.Utility_DisplayArrayInTable(Fuel_SourceData.Fuel_Scope1Scope3EmissionFactorsStationaryLiquid_Data(), Table_Fuel_EFs_StationaryLiquid[[#Headers],[Fuel combusted]],0)</f>
        <v>NE</v>
      </c>
      <c r="L74" s="128"/>
    </row>
    <row r="75" spans="4:13" ht="20.100000000000001" customHeight="1" x14ac:dyDescent="0.25">
      <c r="D75" s="181" t="str" cm="1">
        <f t="array" ref="D75">Common_InputFunctions.Utility_DisplayArrayInTable(Fuel_SourceData.Fuel_Scope1Scope3EmissionFactorsStationaryLiquid_Data(), Table_Fuel_EFs_StationaryLiquid[[#Headers],[Fuel combusted]],0)</f>
        <v>Biofuels other than those mentioned in the items above and below</v>
      </c>
      <c r="E75" s="181" cm="1">
        <f t="array" ref="E75">Common_InputFunctions.Utility_DisplayArrayInTable(Fuel_SourceData.Fuel_Scope1Scope3EmissionFactorsStationaryLiquid_Data(), Table_Fuel_EFs_StationaryLiquid[[#Headers],[Fuel combusted]],0)</f>
        <v>23.4</v>
      </c>
      <c r="F75" s="181" t="str" cm="1">
        <f t="array" ref="F75">Common_InputFunctions.Utility_DisplayArrayInTable(Fuel_SourceData.Fuel_Scope1Scope3EmissionFactorsStationaryLiquid_Data(), Table_Fuel_EFs_StationaryLiquid[[#Headers],[Fuel combusted]],0)</f>
        <v>kL</v>
      </c>
      <c r="G75" s="181" cm="1">
        <f t="array" ref="G75">Common_InputFunctions.Utility_DisplayArrayInTable(Fuel_SourceData.Fuel_Scope1Scope3EmissionFactorsStationaryLiquid_Data(), Table_Fuel_EFs_StationaryLiquid[[#Headers],[Fuel combusted]],0)</f>
        <v>0</v>
      </c>
      <c r="H75" s="181" cm="1">
        <f t="array" ref="H75">Common_InputFunctions.Utility_DisplayArrayInTable(Fuel_SourceData.Fuel_Scope1Scope3EmissionFactorsStationaryLiquid_Data(), Table_Fuel_EFs_StationaryLiquid[[#Headers],[Fuel combusted]],0)</f>
        <v>0.08</v>
      </c>
      <c r="I75" s="181" cm="1">
        <f t="array" ref="I75">Common_InputFunctions.Utility_DisplayArrayInTable(Fuel_SourceData.Fuel_Scope1Scope3EmissionFactorsStationaryLiquid_Data(), Table_Fuel_EFs_StationaryLiquid[[#Headers],[Fuel combusted]],0)</f>
        <v>0.2</v>
      </c>
      <c r="J75" s="181" cm="1">
        <f t="array" ref="J75">Common_InputFunctions.Utility_DisplayArrayInTable(Fuel_SourceData.Fuel_Scope1Scope3EmissionFactorsStationaryLiquid_Data(), Table_Fuel_EFs_StationaryLiquid[[#Headers],[Fuel combusted]],0)</f>
        <v>0.28000000000000003</v>
      </c>
      <c r="K75" s="181" t="str" cm="1">
        <f t="array" ref="K75">Common_InputFunctions.Utility_DisplayArrayInTable(Fuel_SourceData.Fuel_Scope1Scope3EmissionFactorsStationaryLiquid_Data(), Table_Fuel_EFs_StationaryLiquid[[#Headers],[Fuel combusted]],0)</f>
        <v>NE</v>
      </c>
      <c r="L75" s="128"/>
    </row>
    <row r="76" spans="4:13" ht="20.100000000000001" customHeight="1" x14ac:dyDescent="0.25">
      <c r="D76" s="181" t="str" cm="1">
        <f t="array" ref="D76">Common_InputFunctions.Utility_DisplayArrayInTable(Fuel_SourceData.Fuel_Scope1Scope3EmissionFactorsStationaryLiquid_Data(), Table_Fuel_EFs_StationaryLiquid[[#Headers],[Fuel combusted]],0)</f>
        <v>Renewable aviation kerosene</v>
      </c>
      <c r="E76" s="181" cm="1">
        <f t="array" ref="E76">Common_InputFunctions.Utility_DisplayArrayInTable(Fuel_SourceData.Fuel_Scope1Scope3EmissionFactorsStationaryLiquid_Data(), Table_Fuel_EFs_StationaryLiquid[[#Headers],[Fuel combusted]],0)</f>
        <v>36.799999999999997</v>
      </c>
      <c r="F76" s="181" t="str" cm="1">
        <f t="array" ref="F76">Common_InputFunctions.Utility_DisplayArrayInTable(Fuel_SourceData.Fuel_Scope1Scope3EmissionFactorsStationaryLiquid_Data(), Table_Fuel_EFs_StationaryLiquid[[#Headers],[Fuel combusted]],0)</f>
        <v>kL</v>
      </c>
      <c r="G76" s="181" cm="1">
        <f t="array" ref="G76">Common_InputFunctions.Utility_DisplayArrayInTable(Fuel_SourceData.Fuel_Scope1Scope3EmissionFactorsStationaryLiquid_Data(), Table_Fuel_EFs_StationaryLiquid[[#Headers],[Fuel combusted]],0)</f>
        <v>0</v>
      </c>
      <c r="H76" s="181" cm="1">
        <f t="array" ref="H76">Common_InputFunctions.Utility_DisplayArrayInTable(Fuel_SourceData.Fuel_Scope1Scope3EmissionFactorsStationaryLiquid_Data(), Table_Fuel_EFs_StationaryLiquid[[#Headers],[Fuel combusted]],0)</f>
        <v>0.02</v>
      </c>
      <c r="I76" s="181" cm="1">
        <f t="array" ref="I76">Common_InputFunctions.Utility_DisplayArrayInTable(Fuel_SourceData.Fuel_Scope1Scope3EmissionFactorsStationaryLiquid_Data(), Table_Fuel_EFs_StationaryLiquid[[#Headers],[Fuel combusted]],0)</f>
        <v>0.2</v>
      </c>
      <c r="J76" s="181" cm="1">
        <f t="array" ref="J76">Common_InputFunctions.Utility_DisplayArrayInTable(Fuel_SourceData.Fuel_Scope1Scope3EmissionFactorsStationaryLiquid_Data(), Table_Fuel_EFs_StationaryLiquid[[#Headers],[Fuel combusted]],0)</f>
        <v>0.22</v>
      </c>
      <c r="K76" s="181" t="str" cm="1">
        <f t="array" ref="K76">Common_InputFunctions.Utility_DisplayArrayInTable(Fuel_SourceData.Fuel_Scope1Scope3EmissionFactorsStationaryLiquid_Data(), Table_Fuel_EFs_StationaryLiquid[[#Headers],[Fuel combusted]],0)</f>
        <v>NE</v>
      </c>
      <c r="L76" s="128"/>
    </row>
    <row r="77" spans="4:13" ht="20.100000000000001" customHeight="1" x14ac:dyDescent="0.25">
      <c r="D77" s="181" t="str" cm="1">
        <f t="array" ref="D77">Common_InputFunctions.Utility_DisplayArrayInTable(Fuel_SourceData.Fuel_Scope1Scope3EmissionFactorsStationaryLiquid_Data(), Table_Fuel_EFs_StationaryLiquid[[#Headers],[Fuel combusted]],0)</f>
        <v>Renewable diesel</v>
      </c>
      <c r="E77" s="181" cm="1">
        <f t="array" ref="E77">Common_InputFunctions.Utility_DisplayArrayInTable(Fuel_SourceData.Fuel_Scope1Scope3EmissionFactorsStationaryLiquid_Data(), Table_Fuel_EFs_StationaryLiquid[[#Headers],[Fuel combusted]],0)</f>
        <v>38.6</v>
      </c>
      <c r="F77" s="181" t="str" cm="1">
        <f t="array" ref="F77">Common_InputFunctions.Utility_DisplayArrayInTable(Fuel_SourceData.Fuel_Scope1Scope3EmissionFactorsStationaryLiquid_Data(), Table_Fuel_EFs_StationaryLiquid[[#Headers],[Fuel combusted]],0)</f>
        <v>kL</v>
      </c>
      <c r="G77" s="181" cm="1">
        <f t="array" ref="G77">Common_InputFunctions.Utility_DisplayArrayInTable(Fuel_SourceData.Fuel_Scope1Scope3EmissionFactorsStationaryLiquid_Data(), Table_Fuel_EFs_StationaryLiquid[[#Headers],[Fuel combusted]],0)</f>
        <v>0</v>
      </c>
      <c r="H77" s="181" cm="1">
        <f t="array" ref="H77">Common_InputFunctions.Utility_DisplayArrayInTable(Fuel_SourceData.Fuel_Scope1Scope3EmissionFactorsStationaryLiquid_Data(), Table_Fuel_EFs_StationaryLiquid[[#Headers],[Fuel combusted]],0)</f>
        <v>0.1</v>
      </c>
      <c r="I77" s="181" cm="1">
        <f t="array" ref="I77">Common_InputFunctions.Utility_DisplayArrayInTable(Fuel_SourceData.Fuel_Scope1Scope3EmissionFactorsStationaryLiquid_Data(), Table_Fuel_EFs_StationaryLiquid[[#Headers],[Fuel combusted]],0)</f>
        <v>0.2</v>
      </c>
      <c r="J77" s="181" cm="1">
        <f t="array" ref="J77">Common_InputFunctions.Utility_DisplayArrayInTable(Fuel_SourceData.Fuel_Scope1Scope3EmissionFactorsStationaryLiquid_Data(), Table_Fuel_EFs_StationaryLiquid[[#Headers],[Fuel combusted]],0)</f>
        <v>0.3</v>
      </c>
      <c r="K77" s="181" t="str" cm="1">
        <f t="array" ref="K77">Common_InputFunctions.Utility_DisplayArrayInTable(Fuel_SourceData.Fuel_Scope1Scope3EmissionFactorsStationaryLiquid_Data(), Table_Fuel_EFs_StationaryLiquid[[#Headers],[Fuel combusted]],0)</f>
        <v>NE</v>
      </c>
      <c r="L77" s="128"/>
    </row>
    <row r="78" spans="4:13" ht="20.100000000000001" customHeight="1" x14ac:dyDescent="0.25">
      <c r="D78" s="128"/>
      <c r="E78" s="128"/>
      <c r="F78" s="128"/>
      <c r="G78" s="128"/>
      <c r="H78" s="128"/>
      <c r="I78" s="128"/>
      <c r="J78" s="128"/>
      <c r="K78" s="128"/>
      <c r="L78" s="128"/>
    </row>
    <row r="79" spans="4:13" ht="20.100000000000001" customHeight="1" x14ac:dyDescent="0.25">
      <c r="D79" s="128"/>
      <c r="E79" s="128"/>
      <c r="F79" s="128"/>
      <c r="G79" s="128"/>
      <c r="H79" s="128"/>
      <c r="I79" s="128"/>
      <c r="J79" s="128"/>
      <c r="K79" s="128"/>
      <c r="L79" s="128"/>
      <c r="M79" s="128"/>
    </row>
    <row r="80" spans="4:13" ht="20.100000000000001" customHeight="1" x14ac:dyDescent="0.25">
      <c r="D80" s="128"/>
      <c r="E80" s="128"/>
      <c r="F80" s="128"/>
      <c r="G80" s="128"/>
      <c r="H80" s="128"/>
      <c r="I80" s="128"/>
      <c r="J80" s="128"/>
      <c r="K80" s="128"/>
      <c r="L80" s="128"/>
      <c r="M80" s="128"/>
    </row>
    <row r="81" spans="4:12" ht="20.100000000000001" customHeight="1" x14ac:dyDescent="0.25">
      <c r="D81" s="2" t="str" cm="1">
        <f t="array" ref="D81">Fuel_SourceData.Fuel_Scope1EmissionFactorsStationaryGaseous_Title()</f>
        <v>Fuel scope 1 emission factors - Stationary gaseous fuels</v>
      </c>
      <c r="E81" s="128"/>
      <c r="F81" s="128"/>
      <c r="G81" s="128"/>
      <c r="H81" s="128"/>
      <c r="I81" s="128"/>
      <c r="J81" s="128"/>
      <c r="K81" s="128"/>
      <c r="L81" s="12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28"/>
      <c r="F82" s="128"/>
      <c r="G82" s="128"/>
      <c r="H82" s="128"/>
      <c r="I82" s="128"/>
      <c r="J82" s="128"/>
      <c r="K82" s="128"/>
      <c r="L82" s="128"/>
    </row>
    <row r="83" spans="4:12" ht="20.100000000000001" customHeight="1" x14ac:dyDescent="0.25">
      <c r="D83" s="46" t="str" cm="1">
        <f t="array" ref="D83">Fuel_SourceData.Fuel_Scope1EmissionFactorsStationaryGaseous_Source()</f>
        <v>Australian National Greenhouse Accounts Factors 2025 - Table 5</v>
      </c>
      <c r="E83" s="128"/>
      <c r="F83" s="128"/>
      <c r="G83" s="128"/>
      <c r="H83" s="128"/>
      <c r="I83" s="128"/>
      <c r="J83" s="128"/>
      <c r="K83" s="128"/>
      <c r="L83" s="128"/>
    </row>
    <row r="84" spans="4:12" ht="20.100000000000001" customHeight="1" x14ac:dyDescent="0.25">
      <c r="D84" s="71"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28"/>
      <c r="F84" s="128"/>
      <c r="G84" s="128"/>
      <c r="H84" s="128"/>
      <c r="I84" s="128"/>
      <c r="J84" s="128"/>
      <c r="K84" s="128"/>
      <c r="L84" s="128"/>
    </row>
    <row r="85" spans="4:12" ht="20.100000000000001" customHeight="1" x14ac:dyDescent="0.25">
      <c r="D85" s="128"/>
      <c r="E85" s="128"/>
      <c r="F85" s="128"/>
      <c r="G85" s="128"/>
      <c r="H85" s="128"/>
      <c r="I85" s="128"/>
      <c r="J85" s="128"/>
      <c r="K85" s="128"/>
      <c r="L85" s="128"/>
    </row>
    <row r="86" spans="4:12" ht="20.100000000000001" customHeight="1" x14ac:dyDescent="0.25">
      <c r="D86" s="146" t="s">
        <v>571</v>
      </c>
      <c r="E86" s="178" t="s">
        <v>572</v>
      </c>
      <c r="F86" s="146" t="s">
        <v>573</v>
      </c>
      <c r="G86" s="178" t="s">
        <v>574</v>
      </c>
      <c r="H86" s="178" t="s">
        <v>575</v>
      </c>
      <c r="I86" s="178" t="s">
        <v>576</v>
      </c>
      <c r="J86" s="178" t="s">
        <v>577</v>
      </c>
      <c r="K86" s="128"/>
      <c r="L86" s="128"/>
    </row>
    <row r="87" spans="4:12" ht="20.100000000000001" customHeight="1" x14ac:dyDescent="0.25">
      <c r="D87" s="181" t="str" cm="1">
        <f t="array" ref="D87">Common_InputFunctions.Utility_DisplayArrayInTable(Fuel_SourceData.Fuel_Scope1EmissionFactorsStationaryGaseous_Data(), Table_Fuel_EFs_StationaryGaseous[[#Headers],[Fuel combusted]],0)</f>
        <v>Natural gas distributed in a pipeline</v>
      </c>
      <c r="E87" s="181" cm="1">
        <f t="array" ref="E87">Common_InputFunctions.Utility_DisplayArrayInTable(Fuel_SourceData.Fuel_Scope1EmissionFactorsStationaryGaseous_Data(), Table_Fuel_EFs_StationaryGaseous[[#Headers],[Fuel combusted]],0)</f>
        <v>3.9300000000000002E-2</v>
      </c>
      <c r="F87" s="181" t="str" cm="1">
        <f t="array" ref="F87">Common_InputFunctions.Utility_DisplayArrayInTable(Fuel_SourceData.Fuel_Scope1EmissionFactorsStationaryGaseous_Data(), Table_Fuel_EFs_StationaryGaseous[[#Headers],[Fuel combusted]],0)</f>
        <v>m3</v>
      </c>
      <c r="G87" s="181" cm="1">
        <f t="array" ref="G87">Common_InputFunctions.Utility_DisplayArrayInTable(Fuel_SourceData.Fuel_Scope1EmissionFactorsStationaryGaseous_Data(), Table_Fuel_EFs_StationaryGaseous[[#Headers],[Fuel combusted]],0)</f>
        <v>51.4</v>
      </c>
      <c r="H87" s="181" cm="1">
        <f t="array" ref="H87">Common_InputFunctions.Utility_DisplayArrayInTable(Fuel_SourceData.Fuel_Scope1EmissionFactorsStationaryGaseous_Data(), Table_Fuel_EFs_StationaryGaseous[[#Headers],[Fuel combusted]],0)</f>
        <v>0.1</v>
      </c>
      <c r="I87" s="181" cm="1">
        <f t="array" ref="I87">Common_InputFunctions.Utility_DisplayArrayInTable(Fuel_SourceData.Fuel_Scope1EmissionFactorsStationaryGaseous_Data(), Table_Fuel_EFs_StationaryGaseous[[#Headers],[Fuel combusted]],0)</f>
        <v>0.03</v>
      </c>
      <c r="J87" s="181" cm="1">
        <f t="array" ref="J87">Common_InputFunctions.Utility_DisplayArrayInTable(Fuel_SourceData.Fuel_Scope1EmissionFactorsStationaryGaseous_Data(), Table_Fuel_EFs_StationaryGaseous[[#Headers],[Fuel combusted]],0)</f>
        <v>51.53</v>
      </c>
      <c r="K87" s="128"/>
      <c r="L87" s="128"/>
    </row>
    <row r="88" spans="4:12" ht="20.100000000000001" customHeight="1" x14ac:dyDescent="0.25">
      <c r="D88" s="181" t="str" cm="1">
        <f t="array" ref="D88">Common_InputFunctions.Utility_DisplayArrayInTable(Fuel_SourceData.Fuel_Scope1EmissionFactorsStationaryGaseous_Data(), Table_Fuel_EFs_StationaryGaseous[[#Headers],[Fuel combusted]],0)</f>
        <v>Coal seam methane that is captured for combustion</v>
      </c>
      <c r="E88" s="181" cm="1">
        <f t="array" ref="E88">Common_InputFunctions.Utility_DisplayArrayInTable(Fuel_SourceData.Fuel_Scope1EmissionFactorsStationaryGaseous_Data(), Table_Fuel_EFs_StationaryGaseous[[#Headers],[Fuel combusted]],0)</f>
        <v>3.7699999999999997E-2</v>
      </c>
      <c r="F88" s="181" t="str" cm="1">
        <f t="array" ref="F88">Common_InputFunctions.Utility_DisplayArrayInTable(Fuel_SourceData.Fuel_Scope1EmissionFactorsStationaryGaseous_Data(), Table_Fuel_EFs_StationaryGaseous[[#Headers],[Fuel combusted]],0)</f>
        <v>m3</v>
      </c>
      <c r="G88" s="181" cm="1">
        <f t="array" ref="G88">Common_InputFunctions.Utility_DisplayArrayInTable(Fuel_SourceData.Fuel_Scope1EmissionFactorsStationaryGaseous_Data(), Table_Fuel_EFs_StationaryGaseous[[#Headers],[Fuel combusted]],0)</f>
        <v>51.4</v>
      </c>
      <c r="H88" s="181" cm="1">
        <f t="array" ref="H88">Common_InputFunctions.Utility_DisplayArrayInTable(Fuel_SourceData.Fuel_Scope1EmissionFactorsStationaryGaseous_Data(), Table_Fuel_EFs_StationaryGaseous[[#Headers],[Fuel combusted]],0)</f>
        <v>0.2</v>
      </c>
      <c r="I88" s="181" cm="1">
        <f t="array" ref="I88">Common_InputFunctions.Utility_DisplayArrayInTable(Fuel_SourceData.Fuel_Scope1EmissionFactorsStationaryGaseous_Data(), Table_Fuel_EFs_StationaryGaseous[[#Headers],[Fuel combusted]],0)</f>
        <v>0.03</v>
      </c>
      <c r="J88" s="181" cm="1">
        <f t="array" ref="J88">Common_InputFunctions.Utility_DisplayArrayInTable(Fuel_SourceData.Fuel_Scope1EmissionFactorsStationaryGaseous_Data(), Table_Fuel_EFs_StationaryGaseous[[#Headers],[Fuel combusted]],0)</f>
        <v>51.63</v>
      </c>
      <c r="K88" s="128"/>
      <c r="L88" s="128"/>
    </row>
    <row r="89" spans="4:12" ht="20.100000000000001" customHeight="1" x14ac:dyDescent="0.25">
      <c r="D89" s="181" t="str" cm="1">
        <f t="array" ref="D89">Common_InputFunctions.Utility_DisplayArrayInTable(Fuel_SourceData.Fuel_Scope1EmissionFactorsStationaryGaseous_Data(), Table_Fuel_EFs_StationaryGaseous[[#Headers],[Fuel combusted]],0)</f>
        <v>Coal mine waste gas that is captured for combustion</v>
      </c>
      <c r="E89" s="181" cm="1">
        <f t="array" ref="E89">Common_InputFunctions.Utility_DisplayArrayInTable(Fuel_SourceData.Fuel_Scope1EmissionFactorsStationaryGaseous_Data(), Table_Fuel_EFs_StationaryGaseous[[#Headers],[Fuel combusted]],0)</f>
        <v>3.7699999999999997E-2</v>
      </c>
      <c r="F89" s="181" t="str" cm="1">
        <f t="array" ref="F89">Common_InputFunctions.Utility_DisplayArrayInTable(Fuel_SourceData.Fuel_Scope1EmissionFactorsStationaryGaseous_Data(), Table_Fuel_EFs_StationaryGaseous[[#Headers],[Fuel combusted]],0)</f>
        <v>m3</v>
      </c>
      <c r="G89" s="181" cm="1">
        <f t="array" ref="G89">Common_InputFunctions.Utility_DisplayArrayInTable(Fuel_SourceData.Fuel_Scope1EmissionFactorsStationaryGaseous_Data(), Table_Fuel_EFs_StationaryGaseous[[#Headers],[Fuel combusted]],0)</f>
        <v>51.9</v>
      </c>
      <c r="H89" s="181" cm="1">
        <f t="array" ref="H89">Common_InputFunctions.Utility_DisplayArrayInTable(Fuel_SourceData.Fuel_Scope1EmissionFactorsStationaryGaseous_Data(), Table_Fuel_EFs_StationaryGaseous[[#Headers],[Fuel combusted]],0)</f>
        <v>4.5999999999999996</v>
      </c>
      <c r="I89" s="181" cm="1">
        <f t="array" ref="I89">Common_InputFunctions.Utility_DisplayArrayInTable(Fuel_SourceData.Fuel_Scope1EmissionFactorsStationaryGaseous_Data(), Table_Fuel_EFs_StationaryGaseous[[#Headers],[Fuel combusted]],0)</f>
        <v>0.3</v>
      </c>
      <c r="J89" s="181" cm="1">
        <f t="array" ref="J89">Common_InputFunctions.Utility_DisplayArrayInTable(Fuel_SourceData.Fuel_Scope1EmissionFactorsStationaryGaseous_Data(), Table_Fuel_EFs_StationaryGaseous[[#Headers],[Fuel combusted]],0)</f>
        <v>56.8</v>
      </c>
      <c r="K89" s="128"/>
      <c r="L89" s="128"/>
    </row>
    <row r="90" spans="4:12" ht="20.100000000000001" customHeight="1" x14ac:dyDescent="0.25">
      <c r="D90" s="181" t="str" cm="1">
        <f t="array" ref="D90">Common_InputFunctions.Utility_DisplayArrayInTable(Fuel_SourceData.Fuel_Scope1EmissionFactorsStationaryGaseous_Data(), Table_Fuel_EFs_StationaryGaseous[[#Headers],[Fuel combusted]],0)</f>
        <v>Compressed natural gas(reverting to standard conditions)</v>
      </c>
      <c r="E90" s="181" cm="1">
        <f t="array" ref="E90">Common_InputFunctions.Utility_DisplayArrayInTable(Fuel_SourceData.Fuel_Scope1EmissionFactorsStationaryGaseous_Data(), Table_Fuel_EFs_StationaryGaseous[[#Headers],[Fuel combusted]],0)</f>
        <v>3.9300000000000002E-2</v>
      </c>
      <c r="F90" s="181" t="str" cm="1">
        <f t="array" ref="F90">Common_InputFunctions.Utility_DisplayArrayInTable(Fuel_SourceData.Fuel_Scope1EmissionFactorsStationaryGaseous_Data(), Table_Fuel_EFs_StationaryGaseous[[#Headers],[Fuel combusted]],0)</f>
        <v>m3</v>
      </c>
      <c r="G90" s="181" cm="1">
        <f t="array" ref="G90">Common_InputFunctions.Utility_DisplayArrayInTable(Fuel_SourceData.Fuel_Scope1EmissionFactorsStationaryGaseous_Data(), Table_Fuel_EFs_StationaryGaseous[[#Headers],[Fuel combusted]],0)</f>
        <v>51.4</v>
      </c>
      <c r="H90" s="181" cm="1">
        <f t="array" ref="H90">Common_InputFunctions.Utility_DisplayArrayInTable(Fuel_SourceData.Fuel_Scope1EmissionFactorsStationaryGaseous_Data(), Table_Fuel_EFs_StationaryGaseous[[#Headers],[Fuel combusted]],0)</f>
        <v>0.1</v>
      </c>
      <c r="I90" s="181" cm="1">
        <f t="array" ref="I90">Common_InputFunctions.Utility_DisplayArrayInTable(Fuel_SourceData.Fuel_Scope1EmissionFactorsStationaryGaseous_Data(), Table_Fuel_EFs_StationaryGaseous[[#Headers],[Fuel combusted]],0)</f>
        <v>0.03</v>
      </c>
      <c r="J90" s="181" cm="1">
        <f t="array" ref="J90">Common_InputFunctions.Utility_DisplayArrayInTable(Fuel_SourceData.Fuel_Scope1EmissionFactorsStationaryGaseous_Data(), Table_Fuel_EFs_StationaryGaseous[[#Headers],[Fuel combusted]],0)</f>
        <v>51.53</v>
      </c>
      <c r="K90" s="128"/>
      <c r="L90" s="128"/>
    </row>
    <row r="91" spans="4:12" ht="20.100000000000001" customHeight="1" x14ac:dyDescent="0.25">
      <c r="D91" s="181" t="str" cm="1">
        <f t="array" ref="D91">Common_InputFunctions.Utility_DisplayArrayInTable(Fuel_SourceData.Fuel_Scope1EmissionFactorsStationaryGaseous_Data(), Table_Fuel_EFs_StationaryGaseous[[#Headers],[Fuel combusted]],0)</f>
        <v>Unprocessed natural gas</v>
      </c>
      <c r="E91" s="181" cm="1">
        <f t="array" ref="E91">Common_InputFunctions.Utility_DisplayArrayInTable(Fuel_SourceData.Fuel_Scope1EmissionFactorsStationaryGaseous_Data(), Table_Fuel_EFs_StationaryGaseous[[#Headers],[Fuel combusted]],0)</f>
        <v>3.9300000000000002E-2</v>
      </c>
      <c r="F91" s="181" t="str" cm="1">
        <f t="array" ref="F91">Common_InputFunctions.Utility_DisplayArrayInTable(Fuel_SourceData.Fuel_Scope1EmissionFactorsStationaryGaseous_Data(), Table_Fuel_EFs_StationaryGaseous[[#Headers],[Fuel combusted]],0)</f>
        <v>m3</v>
      </c>
      <c r="G91" s="181" cm="1">
        <f t="array" ref="G91">Common_InputFunctions.Utility_DisplayArrayInTable(Fuel_SourceData.Fuel_Scope1EmissionFactorsStationaryGaseous_Data(), Table_Fuel_EFs_StationaryGaseous[[#Headers],[Fuel combusted]],0)</f>
        <v>51.4</v>
      </c>
      <c r="H91" s="181" cm="1">
        <f t="array" ref="H91">Common_InputFunctions.Utility_DisplayArrayInTable(Fuel_SourceData.Fuel_Scope1EmissionFactorsStationaryGaseous_Data(), Table_Fuel_EFs_StationaryGaseous[[#Headers],[Fuel combusted]],0)</f>
        <v>0.1</v>
      </c>
      <c r="I91" s="181" cm="1">
        <f t="array" ref="I91">Common_InputFunctions.Utility_DisplayArrayInTable(Fuel_SourceData.Fuel_Scope1EmissionFactorsStationaryGaseous_Data(), Table_Fuel_EFs_StationaryGaseous[[#Headers],[Fuel combusted]],0)</f>
        <v>0.03</v>
      </c>
      <c r="J91" s="181" cm="1">
        <f t="array" ref="J91">Common_InputFunctions.Utility_DisplayArrayInTable(Fuel_SourceData.Fuel_Scope1EmissionFactorsStationaryGaseous_Data(), Table_Fuel_EFs_StationaryGaseous[[#Headers],[Fuel combusted]],0)</f>
        <v>51.53</v>
      </c>
      <c r="K91" s="128"/>
      <c r="L91" s="128"/>
    </row>
    <row r="92" spans="4:12" ht="20.100000000000001" customHeight="1" x14ac:dyDescent="0.25">
      <c r="D92" s="181" t="str" cm="1">
        <f t="array" ref="D92">Common_InputFunctions.Utility_DisplayArrayInTable(Fuel_SourceData.Fuel_Scope1EmissionFactorsStationaryGaseous_Data(), Table_Fuel_EFs_StationaryGaseous[[#Headers],[Fuel combusted]],0)</f>
        <v>Ethane</v>
      </c>
      <c r="E92" s="181" cm="1">
        <f t="array" ref="E92">Common_InputFunctions.Utility_DisplayArrayInTable(Fuel_SourceData.Fuel_Scope1EmissionFactorsStationaryGaseous_Data(), Table_Fuel_EFs_StationaryGaseous[[#Headers],[Fuel combusted]],0)</f>
        <v>6.2899999999999998E-2</v>
      </c>
      <c r="F92" s="181" t="str" cm="1">
        <f t="array" ref="F92">Common_InputFunctions.Utility_DisplayArrayInTable(Fuel_SourceData.Fuel_Scope1EmissionFactorsStationaryGaseous_Data(), Table_Fuel_EFs_StationaryGaseous[[#Headers],[Fuel combusted]],0)</f>
        <v>m3</v>
      </c>
      <c r="G92" s="181" cm="1">
        <f t="array" ref="G92">Common_InputFunctions.Utility_DisplayArrayInTable(Fuel_SourceData.Fuel_Scope1EmissionFactorsStationaryGaseous_Data(), Table_Fuel_EFs_StationaryGaseous[[#Headers],[Fuel combusted]],0)</f>
        <v>56.5</v>
      </c>
      <c r="H92" s="181" cm="1">
        <f t="array" ref="H92">Common_InputFunctions.Utility_DisplayArrayInTable(Fuel_SourceData.Fuel_Scope1EmissionFactorsStationaryGaseous_Data(), Table_Fuel_EFs_StationaryGaseous[[#Headers],[Fuel combusted]],0)</f>
        <v>0.03</v>
      </c>
      <c r="I92" s="181" cm="1">
        <f t="array" ref="I92">Common_InputFunctions.Utility_DisplayArrayInTable(Fuel_SourceData.Fuel_Scope1EmissionFactorsStationaryGaseous_Data(), Table_Fuel_EFs_StationaryGaseous[[#Headers],[Fuel combusted]],0)</f>
        <v>0.03</v>
      </c>
      <c r="J92" s="181" cm="1">
        <f t="array" ref="J92">Common_InputFunctions.Utility_DisplayArrayInTable(Fuel_SourceData.Fuel_Scope1EmissionFactorsStationaryGaseous_Data(), Table_Fuel_EFs_StationaryGaseous[[#Headers],[Fuel combusted]],0)</f>
        <v>56.56</v>
      </c>
      <c r="K92" s="128"/>
      <c r="L92" s="128"/>
    </row>
    <row r="93" spans="4:12" ht="20.100000000000001" customHeight="1" x14ac:dyDescent="0.25">
      <c r="D93" s="181" t="str" cm="1">
        <f t="array" ref="D93">Common_InputFunctions.Utility_DisplayArrayInTable(Fuel_SourceData.Fuel_Scope1EmissionFactorsStationaryGaseous_Data(), Table_Fuel_EFs_StationaryGaseous[[#Headers],[Fuel combusted]],0)</f>
        <v>Coke oven gas</v>
      </c>
      <c r="E93" s="181" cm="1">
        <f t="array" ref="E93">Common_InputFunctions.Utility_DisplayArrayInTable(Fuel_SourceData.Fuel_Scope1EmissionFactorsStationaryGaseous_Data(), Table_Fuel_EFs_StationaryGaseous[[#Headers],[Fuel combusted]],0)</f>
        <v>1.8100000000000002E-2</v>
      </c>
      <c r="F93" s="181" t="str" cm="1">
        <f t="array" ref="F93">Common_InputFunctions.Utility_DisplayArrayInTable(Fuel_SourceData.Fuel_Scope1EmissionFactorsStationaryGaseous_Data(), Table_Fuel_EFs_StationaryGaseous[[#Headers],[Fuel combusted]],0)</f>
        <v>m3</v>
      </c>
      <c r="G93" s="181" cm="1">
        <f t="array" ref="G93">Common_InputFunctions.Utility_DisplayArrayInTable(Fuel_SourceData.Fuel_Scope1EmissionFactorsStationaryGaseous_Data(), Table_Fuel_EFs_StationaryGaseous[[#Headers],[Fuel combusted]],0)</f>
        <v>37</v>
      </c>
      <c r="H93" s="181" cm="1">
        <f t="array" ref="H93">Common_InputFunctions.Utility_DisplayArrayInTable(Fuel_SourceData.Fuel_Scope1EmissionFactorsStationaryGaseous_Data(), Table_Fuel_EFs_StationaryGaseous[[#Headers],[Fuel combusted]],0)</f>
        <v>0.03</v>
      </c>
      <c r="I93" s="181" cm="1">
        <f t="array" ref="I93">Common_InputFunctions.Utility_DisplayArrayInTable(Fuel_SourceData.Fuel_Scope1EmissionFactorsStationaryGaseous_Data(), Table_Fuel_EFs_StationaryGaseous[[#Headers],[Fuel combusted]],0)</f>
        <v>0.05</v>
      </c>
      <c r="J93" s="181" cm="1">
        <f t="array" ref="J93">Common_InputFunctions.Utility_DisplayArrayInTable(Fuel_SourceData.Fuel_Scope1EmissionFactorsStationaryGaseous_Data(), Table_Fuel_EFs_StationaryGaseous[[#Headers],[Fuel combusted]],0)</f>
        <v>37.08</v>
      </c>
      <c r="K93" s="128"/>
      <c r="L93" s="128"/>
    </row>
    <row r="94" spans="4:12" ht="20.100000000000001" customHeight="1" x14ac:dyDescent="0.25">
      <c r="D94" s="181" t="str" cm="1">
        <f t="array" ref="D94">Common_InputFunctions.Utility_DisplayArrayInTable(Fuel_SourceData.Fuel_Scope1EmissionFactorsStationaryGaseous_Data(), Table_Fuel_EFs_StationaryGaseous[[#Headers],[Fuel combusted]],0)</f>
        <v>Blast furnace gas</v>
      </c>
      <c r="E94" s="181" cm="1">
        <f t="array" ref="E94">Common_InputFunctions.Utility_DisplayArrayInTable(Fuel_SourceData.Fuel_Scope1EmissionFactorsStationaryGaseous_Data(), Table_Fuel_EFs_StationaryGaseous[[#Headers],[Fuel combusted]],0)</f>
        <v>4.0000000000000001E-3</v>
      </c>
      <c r="F94" s="181" t="str" cm="1">
        <f t="array" ref="F94">Common_InputFunctions.Utility_DisplayArrayInTable(Fuel_SourceData.Fuel_Scope1EmissionFactorsStationaryGaseous_Data(), Table_Fuel_EFs_StationaryGaseous[[#Headers],[Fuel combusted]],0)</f>
        <v>m3</v>
      </c>
      <c r="G94" s="181" cm="1">
        <f t="array" ref="G94">Common_InputFunctions.Utility_DisplayArrayInTable(Fuel_SourceData.Fuel_Scope1EmissionFactorsStationaryGaseous_Data(), Table_Fuel_EFs_StationaryGaseous[[#Headers],[Fuel combusted]],0)</f>
        <v>234</v>
      </c>
      <c r="H94" s="181" cm="1">
        <f t="array" ref="H94">Common_InputFunctions.Utility_DisplayArrayInTable(Fuel_SourceData.Fuel_Scope1EmissionFactorsStationaryGaseous_Data(), Table_Fuel_EFs_StationaryGaseous[[#Headers],[Fuel combusted]],0)</f>
        <v>0.03</v>
      </c>
      <c r="I94" s="181" cm="1">
        <f t="array" ref="I94">Common_InputFunctions.Utility_DisplayArrayInTable(Fuel_SourceData.Fuel_Scope1EmissionFactorsStationaryGaseous_Data(), Table_Fuel_EFs_StationaryGaseous[[#Headers],[Fuel combusted]],0)</f>
        <v>0.02</v>
      </c>
      <c r="J94" s="181" cm="1">
        <f t="array" ref="J94">Common_InputFunctions.Utility_DisplayArrayInTable(Fuel_SourceData.Fuel_Scope1EmissionFactorsStationaryGaseous_Data(), Table_Fuel_EFs_StationaryGaseous[[#Headers],[Fuel combusted]],0)</f>
        <v>234.05</v>
      </c>
      <c r="K94" s="128"/>
      <c r="L94" s="128"/>
    </row>
    <row r="95" spans="4:12" ht="20.100000000000001" customHeight="1" x14ac:dyDescent="0.25">
      <c r="D95" s="181" t="str" cm="1">
        <f t="array" ref="D95">Common_InputFunctions.Utility_DisplayArrayInTable(Fuel_SourceData.Fuel_Scope1EmissionFactorsStationaryGaseous_Data(), Table_Fuel_EFs_StationaryGaseous[[#Headers],[Fuel combusted]],0)</f>
        <v>Town gas</v>
      </c>
      <c r="E95" s="181" cm="1">
        <f t="array" ref="E95">Common_InputFunctions.Utility_DisplayArrayInTable(Fuel_SourceData.Fuel_Scope1EmissionFactorsStationaryGaseous_Data(), Table_Fuel_EFs_StationaryGaseous[[#Headers],[Fuel combusted]],0)</f>
        <v>3.9E-2</v>
      </c>
      <c r="F95" s="181" t="str" cm="1">
        <f t="array" ref="F95">Common_InputFunctions.Utility_DisplayArrayInTable(Fuel_SourceData.Fuel_Scope1EmissionFactorsStationaryGaseous_Data(), Table_Fuel_EFs_StationaryGaseous[[#Headers],[Fuel combusted]],0)</f>
        <v>m3</v>
      </c>
      <c r="G95" s="181" cm="1">
        <f t="array" ref="G95">Common_InputFunctions.Utility_DisplayArrayInTable(Fuel_SourceData.Fuel_Scope1EmissionFactorsStationaryGaseous_Data(), Table_Fuel_EFs_StationaryGaseous[[#Headers],[Fuel combusted]],0)</f>
        <v>60.2</v>
      </c>
      <c r="H95" s="181" cm="1">
        <f t="array" ref="H95">Common_InputFunctions.Utility_DisplayArrayInTable(Fuel_SourceData.Fuel_Scope1EmissionFactorsStationaryGaseous_Data(), Table_Fuel_EFs_StationaryGaseous[[#Headers],[Fuel combusted]],0)</f>
        <v>0.04</v>
      </c>
      <c r="I95" s="181" cm="1">
        <f t="array" ref="I95">Common_InputFunctions.Utility_DisplayArrayInTable(Fuel_SourceData.Fuel_Scope1EmissionFactorsStationaryGaseous_Data(), Table_Fuel_EFs_StationaryGaseous[[#Headers],[Fuel combusted]],0)</f>
        <v>0.03</v>
      </c>
      <c r="J95" s="181" cm="1">
        <f t="array" ref="J95">Common_InputFunctions.Utility_DisplayArrayInTable(Fuel_SourceData.Fuel_Scope1EmissionFactorsStationaryGaseous_Data(), Table_Fuel_EFs_StationaryGaseous[[#Headers],[Fuel combusted]],0)</f>
        <v>60.27</v>
      </c>
      <c r="K95" s="128"/>
      <c r="L95" s="128"/>
    </row>
    <row r="96" spans="4:12" ht="20.100000000000001" customHeight="1" x14ac:dyDescent="0.25">
      <c r="D96" s="181" t="str" cm="1">
        <f t="array" ref="D96">Common_InputFunctions.Utility_DisplayArrayInTable(Fuel_SourceData.Fuel_Scope1EmissionFactorsStationaryGaseous_Data(), Table_Fuel_EFs_StationaryGaseous[[#Headers],[Fuel combusted]],0)</f>
        <v>Liquefied natural gas</v>
      </c>
      <c r="E96" s="181" cm="1">
        <f t="array" ref="E96">Common_InputFunctions.Utility_DisplayArrayInTable(Fuel_SourceData.Fuel_Scope1EmissionFactorsStationaryGaseous_Data(), Table_Fuel_EFs_StationaryGaseous[[#Headers],[Fuel combusted]],0)</f>
        <v>25.3</v>
      </c>
      <c r="F96" s="181" t="str" cm="1">
        <f t="array" ref="F96">Common_InputFunctions.Utility_DisplayArrayInTable(Fuel_SourceData.Fuel_Scope1EmissionFactorsStationaryGaseous_Data(), Table_Fuel_EFs_StationaryGaseous[[#Headers],[Fuel combusted]],0)</f>
        <v>kL</v>
      </c>
      <c r="G96" s="181" cm="1">
        <f t="array" ref="G96">Common_InputFunctions.Utility_DisplayArrayInTable(Fuel_SourceData.Fuel_Scope1EmissionFactorsStationaryGaseous_Data(), Table_Fuel_EFs_StationaryGaseous[[#Headers],[Fuel combusted]],0)</f>
        <v>51.4</v>
      </c>
      <c r="H96" s="181" cm="1">
        <f t="array" ref="H96">Common_InputFunctions.Utility_DisplayArrayInTable(Fuel_SourceData.Fuel_Scope1EmissionFactorsStationaryGaseous_Data(), Table_Fuel_EFs_StationaryGaseous[[#Headers],[Fuel combusted]],0)</f>
        <v>0.1</v>
      </c>
      <c r="I96" s="181" cm="1">
        <f t="array" ref="I96">Common_InputFunctions.Utility_DisplayArrayInTable(Fuel_SourceData.Fuel_Scope1EmissionFactorsStationaryGaseous_Data(), Table_Fuel_EFs_StationaryGaseous[[#Headers],[Fuel combusted]],0)</f>
        <v>0.03</v>
      </c>
      <c r="J96" s="181" cm="1">
        <f t="array" ref="J96">Common_InputFunctions.Utility_DisplayArrayInTable(Fuel_SourceData.Fuel_Scope1EmissionFactorsStationaryGaseous_Data(), Table_Fuel_EFs_StationaryGaseous[[#Headers],[Fuel combusted]],0)</f>
        <v>51.53</v>
      </c>
      <c r="K96" s="128"/>
      <c r="L96" s="128"/>
    </row>
    <row r="97" spans="4:13" ht="20.100000000000001" customHeight="1" x14ac:dyDescent="0.25">
      <c r="D97" s="181" t="str" cm="1">
        <f t="array" ref="D97">Common_InputFunctions.Utility_DisplayArrayInTable(Fuel_SourceData.Fuel_Scope1EmissionFactorsStationaryGaseous_Data(), Table_Fuel_EFs_StationaryGaseous[[#Headers],[Fuel combusted]],0)</f>
        <v>Gaseous fossil fuels other than those mentioned in the items above</v>
      </c>
      <c r="E97" s="181" cm="1">
        <f t="array" ref="E97">Common_InputFunctions.Utility_DisplayArrayInTable(Fuel_SourceData.Fuel_Scope1EmissionFactorsStationaryGaseous_Data(), Table_Fuel_EFs_StationaryGaseous[[#Headers],[Fuel combusted]],0)</f>
        <v>3.9E-2</v>
      </c>
      <c r="F97" s="181" t="str" cm="1">
        <f t="array" ref="F97">Common_InputFunctions.Utility_DisplayArrayInTable(Fuel_SourceData.Fuel_Scope1EmissionFactorsStationaryGaseous_Data(), Table_Fuel_EFs_StationaryGaseous[[#Headers],[Fuel combusted]],0)</f>
        <v>m3</v>
      </c>
      <c r="G97" s="181" cm="1">
        <f t="array" ref="G97">Common_InputFunctions.Utility_DisplayArrayInTable(Fuel_SourceData.Fuel_Scope1EmissionFactorsStationaryGaseous_Data(), Table_Fuel_EFs_StationaryGaseous[[#Headers],[Fuel combusted]],0)</f>
        <v>51.4</v>
      </c>
      <c r="H97" s="181" cm="1">
        <f t="array" ref="H97">Common_InputFunctions.Utility_DisplayArrayInTable(Fuel_SourceData.Fuel_Scope1EmissionFactorsStationaryGaseous_Data(), Table_Fuel_EFs_StationaryGaseous[[#Headers],[Fuel combusted]],0)</f>
        <v>0.1</v>
      </c>
      <c r="I97" s="181" cm="1">
        <f t="array" ref="I97">Common_InputFunctions.Utility_DisplayArrayInTable(Fuel_SourceData.Fuel_Scope1EmissionFactorsStationaryGaseous_Data(), Table_Fuel_EFs_StationaryGaseous[[#Headers],[Fuel combusted]],0)</f>
        <v>0.03</v>
      </c>
      <c r="J97" s="181" cm="1">
        <f t="array" ref="J97">Common_InputFunctions.Utility_DisplayArrayInTable(Fuel_SourceData.Fuel_Scope1EmissionFactorsStationaryGaseous_Data(), Table_Fuel_EFs_StationaryGaseous[[#Headers],[Fuel combusted]],0)</f>
        <v>51.53</v>
      </c>
      <c r="K97" s="128"/>
      <c r="L97" s="128"/>
    </row>
    <row r="98" spans="4:13" ht="20.100000000000001" customHeight="1" x14ac:dyDescent="0.25">
      <c r="D98" s="181" t="str" cm="1">
        <f t="array" ref="D98">Common_InputFunctions.Utility_DisplayArrayInTable(Fuel_SourceData.Fuel_Scope1EmissionFactorsStationaryGaseous_Data(), Table_Fuel_EFs_StationaryGaseous[[#Headers],[Fuel combusted]],0)</f>
        <v>Landfill biogas that is captured for combustion (methane only)</v>
      </c>
      <c r="E98" s="181" cm="1">
        <f t="array" ref="E98">Common_InputFunctions.Utility_DisplayArrayInTable(Fuel_SourceData.Fuel_Scope1EmissionFactorsStationaryGaseous_Data(), Table_Fuel_EFs_StationaryGaseous[[#Headers],[Fuel combusted]],0)</f>
        <v>3.7699999999999997E-2</v>
      </c>
      <c r="F98" s="181" t="str" cm="1">
        <f t="array" ref="F98">Common_InputFunctions.Utility_DisplayArrayInTable(Fuel_SourceData.Fuel_Scope1EmissionFactorsStationaryGaseous_Data(), Table_Fuel_EFs_StationaryGaseous[[#Headers],[Fuel combusted]],0)</f>
        <v>m3</v>
      </c>
      <c r="G98" s="181" cm="1">
        <f t="array" ref="G98">Common_InputFunctions.Utility_DisplayArrayInTable(Fuel_SourceData.Fuel_Scope1EmissionFactorsStationaryGaseous_Data(), Table_Fuel_EFs_StationaryGaseous[[#Headers],[Fuel combusted]],0)</f>
        <v>0</v>
      </c>
      <c r="H98" s="181" cm="1">
        <f t="array" ref="H98">Common_InputFunctions.Utility_DisplayArrayInTable(Fuel_SourceData.Fuel_Scope1EmissionFactorsStationaryGaseous_Data(), Table_Fuel_EFs_StationaryGaseous[[#Headers],[Fuel combusted]],0)</f>
        <v>6.4</v>
      </c>
      <c r="I98" s="181" cm="1">
        <f t="array" ref="I98">Common_InputFunctions.Utility_DisplayArrayInTable(Fuel_SourceData.Fuel_Scope1EmissionFactorsStationaryGaseous_Data(), Table_Fuel_EFs_StationaryGaseous[[#Headers],[Fuel combusted]],0)</f>
        <v>0.03</v>
      </c>
      <c r="J98" s="181" cm="1">
        <f t="array" ref="J98">Common_InputFunctions.Utility_DisplayArrayInTable(Fuel_SourceData.Fuel_Scope1EmissionFactorsStationaryGaseous_Data(), Table_Fuel_EFs_StationaryGaseous[[#Headers],[Fuel combusted]],0)</f>
        <v>6.43</v>
      </c>
      <c r="K98" s="128"/>
      <c r="L98" s="128"/>
    </row>
    <row r="99" spans="4:13" ht="20.100000000000001" customHeight="1" x14ac:dyDescent="0.25">
      <c r="D99" s="181" t="str" cm="1">
        <f t="array" ref="D99">Common_InputFunctions.Utility_DisplayArrayInTable(Fuel_SourceData.Fuel_Scope1EmissionFactorsStationaryGaseous_Data(), Table_Fuel_EFs_StationaryGaseous[[#Headers],[Fuel combusted]],0)</f>
        <v>Sludge biogas that is captured for combustion (methane only)</v>
      </c>
      <c r="E99" s="181" cm="1">
        <f t="array" ref="E99">Common_InputFunctions.Utility_DisplayArrayInTable(Fuel_SourceData.Fuel_Scope1EmissionFactorsStationaryGaseous_Data(), Table_Fuel_EFs_StationaryGaseous[[#Headers],[Fuel combusted]],0)</f>
        <v>3.7699999999999997E-2</v>
      </c>
      <c r="F99" s="181" t="str" cm="1">
        <f t="array" ref="F99">Common_InputFunctions.Utility_DisplayArrayInTable(Fuel_SourceData.Fuel_Scope1EmissionFactorsStationaryGaseous_Data(), Table_Fuel_EFs_StationaryGaseous[[#Headers],[Fuel combusted]],0)</f>
        <v>m3</v>
      </c>
      <c r="G99" s="181" cm="1">
        <f t="array" ref="G99">Common_InputFunctions.Utility_DisplayArrayInTable(Fuel_SourceData.Fuel_Scope1EmissionFactorsStationaryGaseous_Data(), Table_Fuel_EFs_StationaryGaseous[[#Headers],[Fuel combusted]],0)</f>
        <v>0</v>
      </c>
      <c r="H99" s="181" cm="1">
        <f t="array" ref="H99">Common_InputFunctions.Utility_DisplayArrayInTable(Fuel_SourceData.Fuel_Scope1EmissionFactorsStationaryGaseous_Data(), Table_Fuel_EFs_StationaryGaseous[[#Headers],[Fuel combusted]],0)</f>
        <v>6.4</v>
      </c>
      <c r="I99" s="181" cm="1">
        <f t="array" ref="I99">Common_InputFunctions.Utility_DisplayArrayInTable(Fuel_SourceData.Fuel_Scope1EmissionFactorsStationaryGaseous_Data(), Table_Fuel_EFs_StationaryGaseous[[#Headers],[Fuel combusted]],0)</f>
        <v>0.03</v>
      </c>
      <c r="J99" s="181" cm="1">
        <f t="array" ref="J99">Common_InputFunctions.Utility_DisplayArrayInTable(Fuel_SourceData.Fuel_Scope1EmissionFactorsStationaryGaseous_Data(), Table_Fuel_EFs_StationaryGaseous[[#Headers],[Fuel combusted]],0)</f>
        <v>6.43</v>
      </c>
      <c r="K99" s="128"/>
      <c r="L99" s="128"/>
    </row>
    <row r="100" spans="4:13" ht="20.100000000000001" customHeight="1" x14ac:dyDescent="0.25">
      <c r="D100" s="18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1" cm="1">
        <f t="array" ref="E100">Common_InputFunctions.Utility_DisplayArrayInTable(Fuel_SourceData.Fuel_Scope1EmissionFactorsStationaryGaseous_Data(), Table_Fuel_EFs_StationaryGaseous[[#Headers],[Fuel combusted]],0)</f>
        <v>3.6999999999999998E-2</v>
      </c>
      <c r="F100" s="181" t="str" cm="1">
        <f t="array" ref="F100">Common_InputFunctions.Utility_DisplayArrayInTable(Fuel_SourceData.Fuel_Scope1EmissionFactorsStationaryGaseous_Data(), Table_Fuel_EFs_StationaryGaseous[[#Headers],[Fuel combusted]],0)</f>
        <v>m3</v>
      </c>
      <c r="G100" s="181" cm="1">
        <f t="array" ref="G100">Common_InputFunctions.Utility_DisplayArrayInTable(Fuel_SourceData.Fuel_Scope1EmissionFactorsStationaryGaseous_Data(), Table_Fuel_EFs_StationaryGaseous[[#Headers],[Fuel combusted]],0)</f>
        <v>0</v>
      </c>
      <c r="H100" s="181" cm="1">
        <f t="array" ref="H100">Common_InputFunctions.Utility_DisplayArrayInTable(Fuel_SourceData.Fuel_Scope1EmissionFactorsStationaryGaseous_Data(), Table_Fuel_EFs_StationaryGaseous[[#Headers],[Fuel combusted]],0)</f>
        <v>6.4</v>
      </c>
      <c r="I100" s="181" cm="1">
        <f t="array" ref="I100">Common_InputFunctions.Utility_DisplayArrayInTable(Fuel_SourceData.Fuel_Scope1EmissionFactorsStationaryGaseous_Data(), Table_Fuel_EFs_StationaryGaseous[[#Headers],[Fuel combusted]],0)</f>
        <v>0.03</v>
      </c>
      <c r="J100" s="181" cm="1">
        <f t="array" ref="J100">Common_InputFunctions.Utility_DisplayArrayInTable(Fuel_SourceData.Fuel_Scope1EmissionFactorsStationaryGaseous_Data(), Table_Fuel_EFs_StationaryGaseous[[#Headers],[Fuel combusted]],0)</f>
        <v>6.43</v>
      </c>
      <c r="K100" s="128"/>
      <c r="L100" s="128"/>
    </row>
    <row r="101" spans="4:13" ht="20.100000000000001" customHeight="1" x14ac:dyDescent="0.25">
      <c r="D101" s="181" t="str" cm="1">
        <f t="array" ref="D101">Common_InputFunctions.Utility_DisplayArrayInTable(Fuel_SourceData.Fuel_Scope1EmissionFactorsStationaryGaseous_Data(), Table_Fuel_EFs_StationaryGaseous[[#Headers],[Fuel combusted]],0)</f>
        <v>Biomethane</v>
      </c>
      <c r="E101" s="181" cm="1">
        <f t="array" ref="E101">Common_InputFunctions.Utility_DisplayArrayInTable(Fuel_SourceData.Fuel_Scope1EmissionFactorsStationaryGaseous_Data(), Table_Fuel_EFs_StationaryGaseous[[#Headers],[Fuel combusted]],0)</f>
        <v>3.9300000000000002E-2</v>
      </c>
      <c r="F101" s="181" t="str" cm="1">
        <f t="array" ref="F101">Common_InputFunctions.Utility_DisplayArrayInTable(Fuel_SourceData.Fuel_Scope1EmissionFactorsStationaryGaseous_Data(), Table_Fuel_EFs_StationaryGaseous[[#Headers],[Fuel combusted]],0)</f>
        <v>m3</v>
      </c>
      <c r="G101" s="181" cm="1">
        <f t="array" ref="G101">Common_InputFunctions.Utility_DisplayArrayInTable(Fuel_SourceData.Fuel_Scope1EmissionFactorsStationaryGaseous_Data(), Table_Fuel_EFs_StationaryGaseous[[#Headers],[Fuel combusted]],0)</f>
        <v>0</v>
      </c>
      <c r="H101" s="181" cm="1">
        <f t="array" ref="H101">Common_InputFunctions.Utility_DisplayArrayInTable(Fuel_SourceData.Fuel_Scope1EmissionFactorsStationaryGaseous_Data(), Table_Fuel_EFs_StationaryGaseous[[#Headers],[Fuel combusted]],0)</f>
        <v>0.1</v>
      </c>
      <c r="I101" s="181" cm="1">
        <f t="array" ref="I101">Common_InputFunctions.Utility_DisplayArrayInTable(Fuel_SourceData.Fuel_Scope1EmissionFactorsStationaryGaseous_Data(), Table_Fuel_EFs_StationaryGaseous[[#Headers],[Fuel combusted]],0)</f>
        <v>0.03</v>
      </c>
      <c r="J101" s="181" cm="1">
        <f t="array" ref="J101">Common_InputFunctions.Utility_DisplayArrayInTable(Fuel_SourceData.Fuel_Scope1EmissionFactorsStationaryGaseous_Data(), Table_Fuel_EFs_StationaryGaseous[[#Headers],[Fuel combusted]],0)</f>
        <v>0.13</v>
      </c>
      <c r="K101" s="128"/>
      <c r="L101" s="128"/>
    </row>
    <row r="102" spans="4:13" ht="20.100000000000001" customHeight="1" x14ac:dyDescent="0.25">
      <c r="D102" s="181" t="str" cm="1">
        <f t="array" ref="D102">Common_InputFunctions.Utility_DisplayArrayInTable(Fuel_SourceData.Fuel_Scope1EmissionFactorsStationaryGaseous_Data(), Table_Fuel_EFs_StationaryGaseous[[#Headers],[Fuel combusted]],0)</f>
        <v>Hydrogen</v>
      </c>
      <c r="E102" s="181" cm="1">
        <f t="array" ref="E102">Common_InputFunctions.Utility_DisplayArrayInTable(Fuel_SourceData.Fuel_Scope1EmissionFactorsStationaryGaseous_Data(), Table_Fuel_EFs_StationaryGaseous[[#Headers],[Fuel combusted]],0)</f>
        <v>1.2200000000000001E-2</v>
      </c>
      <c r="F102" s="181" t="str" cm="1">
        <f t="array" ref="F102">Common_InputFunctions.Utility_DisplayArrayInTable(Fuel_SourceData.Fuel_Scope1EmissionFactorsStationaryGaseous_Data(), Table_Fuel_EFs_StationaryGaseous[[#Headers],[Fuel combusted]],0)</f>
        <v>m3</v>
      </c>
      <c r="G102" s="181" cm="1">
        <f t="array" ref="G102">Common_InputFunctions.Utility_DisplayArrayInTable(Fuel_SourceData.Fuel_Scope1EmissionFactorsStationaryGaseous_Data(), Table_Fuel_EFs_StationaryGaseous[[#Headers],[Fuel combusted]],0)</f>
        <v>0</v>
      </c>
      <c r="H102" s="181" cm="1">
        <f t="array" ref="H102">Common_InputFunctions.Utility_DisplayArrayInTable(Fuel_SourceData.Fuel_Scope1EmissionFactorsStationaryGaseous_Data(), Table_Fuel_EFs_StationaryGaseous[[#Headers],[Fuel combusted]],0)</f>
        <v>0</v>
      </c>
      <c r="I102" s="181" cm="1">
        <f t="array" ref="I102">Common_InputFunctions.Utility_DisplayArrayInTable(Fuel_SourceData.Fuel_Scope1EmissionFactorsStationaryGaseous_Data(), Table_Fuel_EFs_StationaryGaseous[[#Headers],[Fuel combusted]],0)</f>
        <v>0.5</v>
      </c>
      <c r="J102" s="181" cm="1">
        <f t="array" ref="J102">Common_InputFunctions.Utility_DisplayArrayInTable(Fuel_SourceData.Fuel_Scope1EmissionFactorsStationaryGaseous_Data(), Table_Fuel_EFs_StationaryGaseous[[#Headers],[Fuel combusted]],0)</f>
        <v>0.5</v>
      </c>
      <c r="K102" s="128"/>
      <c r="L102" s="128"/>
    </row>
    <row r="103" spans="4:13" ht="20.100000000000001" customHeight="1" x14ac:dyDescent="0.25">
      <c r="D103" s="181" t="str" cm="1">
        <f t="array" ref="D103">Common_InputFunctions.Utility_DisplayArrayInTable(Fuel_SourceData.Fuel_Scope1EmissionFactorsStationaryGaseous_Data(), Table_Fuel_EFs_StationaryGaseous[[#Headers],[Fuel combusted]],0)</f>
        <v>Natural gas distributed in a pipeline - Gigajoules</v>
      </c>
      <c r="E103" s="181" cm="1">
        <f t="array" ref="E103">Common_InputFunctions.Utility_DisplayArrayInTable(Fuel_SourceData.Fuel_Scope1EmissionFactorsStationaryGaseous_Data(), Table_Fuel_EFs_StationaryGaseous[[#Headers],[Fuel combusted]],0)</f>
        <v>1</v>
      </c>
      <c r="F103" s="181" t="str" cm="1">
        <f t="array" ref="F103">Common_InputFunctions.Utility_DisplayArrayInTable(Fuel_SourceData.Fuel_Scope1EmissionFactorsStationaryGaseous_Data(), Table_Fuel_EFs_StationaryGaseous[[#Headers],[Fuel combusted]],0)</f>
        <v>GJ</v>
      </c>
      <c r="G103" s="181" cm="1">
        <f t="array" ref="G103">Common_InputFunctions.Utility_DisplayArrayInTable(Fuel_SourceData.Fuel_Scope1EmissionFactorsStationaryGaseous_Data(), Table_Fuel_EFs_StationaryGaseous[[#Headers],[Fuel combusted]],0)</f>
        <v>51.4</v>
      </c>
      <c r="H103" s="181" cm="1">
        <f t="array" ref="H103">Common_InputFunctions.Utility_DisplayArrayInTable(Fuel_SourceData.Fuel_Scope1EmissionFactorsStationaryGaseous_Data(), Table_Fuel_EFs_StationaryGaseous[[#Headers],[Fuel combusted]],0)</f>
        <v>0.1</v>
      </c>
      <c r="I103" s="181" cm="1">
        <f t="array" ref="I103">Common_InputFunctions.Utility_DisplayArrayInTable(Fuel_SourceData.Fuel_Scope1EmissionFactorsStationaryGaseous_Data(), Table_Fuel_EFs_StationaryGaseous[[#Headers],[Fuel combusted]],0)</f>
        <v>0.03</v>
      </c>
      <c r="J103" s="181" cm="1">
        <f t="array" ref="J103">Common_InputFunctions.Utility_DisplayArrayInTable(Fuel_SourceData.Fuel_Scope1EmissionFactorsStationaryGaseous_Data(), Table_Fuel_EFs_StationaryGaseous[[#Headers],[Fuel combusted]],0)</f>
        <v>51.53</v>
      </c>
      <c r="K103" s="128"/>
      <c r="L103" s="128"/>
    </row>
    <row r="104" spans="4:13" ht="20.100000000000001" customHeight="1" x14ac:dyDescent="0.25">
      <c r="D104" s="181" t="str" cm="1">
        <f t="array" ref="D104">Common_InputFunctions.Utility_DisplayArrayInTable(Fuel_SourceData.Fuel_Scope1EmissionFactorsStationaryGaseous_Data(), Table_Fuel_EFs_StationaryGaseous[[#Headers],[Fuel combusted]],0)</f>
        <v>Town gas - Gigajoules</v>
      </c>
      <c r="E104" s="181" cm="1">
        <f t="array" ref="E104">Common_InputFunctions.Utility_DisplayArrayInTable(Fuel_SourceData.Fuel_Scope1EmissionFactorsStationaryGaseous_Data(), Table_Fuel_EFs_StationaryGaseous[[#Headers],[Fuel combusted]],0)</f>
        <v>1</v>
      </c>
      <c r="F104" s="181" t="str" cm="1">
        <f t="array" ref="F104">Common_InputFunctions.Utility_DisplayArrayInTable(Fuel_SourceData.Fuel_Scope1EmissionFactorsStationaryGaseous_Data(), Table_Fuel_EFs_StationaryGaseous[[#Headers],[Fuel combusted]],0)</f>
        <v>GJ</v>
      </c>
      <c r="G104" s="181" cm="1">
        <f t="array" ref="G104">Common_InputFunctions.Utility_DisplayArrayInTable(Fuel_SourceData.Fuel_Scope1EmissionFactorsStationaryGaseous_Data(), Table_Fuel_EFs_StationaryGaseous[[#Headers],[Fuel combusted]],0)</f>
        <v>60.2</v>
      </c>
      <c r="H104" s="181" cm="1">
        <f t="array" ref="H104">Common_InputFunctions.Utility_DisplayArrayInTable(Fuel_SourceData.Fuel_Scope1EmissionFactorsStationaryGaseous_Data(), Table_Fuel_EFs_StationaryGaseous[[#Headers],[Fuel combusted]],0)</f>
        <v>0.04</v>
      </c>
      <c r="I104" s="181" cm="1">
        <f t="array" ref="I104">Common_InputFunctions.Utility_DisplayArrayInTable(Fuel_SourceData.Fuel_Scope1EmissionFactorsStationaryGaseous_Data(), Table_Fuel_EFs_StationaryGaseous[[#Headers],[Fuel combusted]],0)</f>
        <v>0.03</v>
      </c>
      <c r="J104" s="181" cm="1">
        <f t="array" ref="J104">Common_InputFunctions.Utility_DisplayArrayInTable(Fuel_SourceData.Fuel_Scope1EmissionFactorsStationaryGaseous_Data(), Table_Fuel_EFs_StationaryGaseous[[#Headers],[Fuel combusted]],0)</f>
        <v>60.27</v>
      </c>
      <c r="K104" s="128"/>
      <c r="L104" s="128"/>
    </row>
    <row r="105" spans="4:13" ht="20.100000000000001" customHeight="1" x14ac:dyDescent="0.25">
      <c r="D105" s="128"/>
      <c r="E105" s="128"/>
      <c r="F105" s="128"/>
      <c r="G105" s="128"/>
      <c r="H105" s="128"/>
      <c r="I105" s="128"/>
      <c r="J105" s="128"/>
      <c r="K105" s="128"/>
      <c r="L105" s="128"/>
      <c r="M105" s="128"/>
    </row>
    <row r="106" spans="4:13" ht="20.100000000000001" customHeight="1" x14ac:dyDescent="0.25">
      <c r="D106" s="128"/>
      <c r="E106" s="128"/>
      <c r="F106" s="128"/>
      <c r="G106" s="128"/>
      <c r="H106" s="128"/>
      <c r="I106" s="128"/>
      <c r="J106" s="128"/>
      <c r="K106" s="128"/>
      <c r="L106" s="128"/>
      <c r="M106" s="128"/>
    </row>
    <row r="107" spans="4:13" ht="20.100000000000001" customHeight="1" x14ac:dyDescent="0.25">
      <c r="D107" s="2" t="str" cm="1">
        <f t="array" ref="D107">Fuel_SourceData.Fuel_Scope3EmissionFactorsStationaryGaseous_Title()</f>
        <v>Fuel scope 3 emission factors - Stationary gaseous fuels</v>
      </c>
      <c r="E107" s="128"/>
      <c r="F107" s="128"/>
      <c r="G107" s="128"/>
      <c r="H107" s="128"/>
      <c r="I107" s="128"/>
      <c r="J107" s="128"/>
      <c r="K107" s="128"/>
      <c r="L107" s="128"/>
    </row>
    <row r="108" spans="4:13" ht="20.100000000000001" customHeight="1" x14ac:dyDescent="0.25">
      <c r="D108" s="1" t="str" cm="1">
        <f t="array" ref="D108">Fuel_SourceData.Fuel_Scope3EmissionFactorsStationaryGaseous_Description()</f>
        <v>Indirect (Scope 3) emission factors for the consumption of natural gas.</v>
      </c>
      <c r="E108" s="128"/>
      <c r="F108" s="128"/>
      <c r="G108" s="128"/>
      <c r="H108" s="128"/>
      <c r="I108" s="128"/>
      <c r="J108" s="128"/>
      <c r="K108" s="128"/>
      <c r="L108" s="128"/>
    </row>
    <row r="109" spans="4:13" ht="20.100000000000001" customHeight="1" x14ac:dyDescent="0.25">
      <c r="D109" s="46" t="str" cm="1">
        <f t="array" ref="D109">Fuel_SourceData.Fuel_Scope3EmissionFactorsStationaryGaseous_Source()</f>
        <v>Australian National Greenhouse Accounts Factors 2025 - Table 6</v>
      </c>
      <c r="E109" s="128"/>
      <c r="F109" s="128"/>
      <c r="G109" s="128"/>
      <c r="H109" s="128"/>
      <c r="I109" s="128"/>
      <c r="J109" s="128"/>
      <c r="K109" s="128"/>
      <c r="L109" s="128"/>
    </row>
    <row r="110" spans="4:13" ht="20.100000000000001" customHeight="1" x14ac:dyDescent="0.25">
      <c r="D110" s="71"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28"/>
      <c r="F110" s="128"/>
      <c r="G110" s="128"/>
      <c r="H110" s="128"/>
      <c r="I110" s="128"/>
      <c r="J110" s="128"/>
      <c r="K110" s="128"/>
      <c r="L110" s="128"/>
    </row>
    <row r="111" spans="4:13" ht="20.100000000000001" customHeight="1" x14ac:dyDescent="0.25">
      <c r="D111" s="128"/>
      <c r="E111" s="128"/>
      <c r="F111" s="128"/>
      <c r="G111" s="128"/>
      <c r="H111" s="128"/>
      <c r="I111" s="128"/>
      <c r="J111" s="128"/>
      <c r="K111" s="128"/>
      <c r="L111" s="128"/>
    </row>
    <row r="112" spans="4:13" ht="20.100000000000001" customHeight="1" x14ac:dyDescent="0.25">
      <c r="D112" s="146" t="s">
        <v>586</v>
      </c>
      <c r="E112" s="178" t="s">
        <v>520</v>
      </c>
      <c r="F112" s="178" t="s">
        <v>587</v>
      </c>
      <c r="G112" s="128"/>
      <c r="H112" s="48" t="s">
        <v>588</v>
      </c>
      <c r="I112" s="128"/>
      <c r="J112" s="128"/>
      <c r="K112" s="128"/>
      <c r="L112" s="128"/>
    </row>
    <row r="113" spans="4:13" ht="20.100000000000001" customHeight="1" x14ac:dyDescent="0.25">
      <c r="D113" s="182" t="str" cm="1">
        <f t="array" ref="D113">Common_InputFunctions.Utility_DisplayArrayInTable(Fuel_SourceData.Fuel_Scope3EmissionFactorsStationaryGaseous_Data(), Table_Fuel_EFs_StationaryGaseous34[[#Headers],[State or territory]],0)</f>
        <v>New South Wales</v>
      </c>
      <c r="E113" s="182" cm="1">
        <f t="array" ref="E113">Common_InputFunctions.Utility_DisplayArrayInTable(Fuel_SourceData.Fuel_Scope3EmissionFactorsStationaryGaseous_Data(), Table_Fuel_EFs_StationaryGaseous34[[#Headers],[State or territory]],0)</f>
        <v>13.1</v>
      </c>
      <c r="F113" s="182" cm="1">
        <f t="array" ref="F113">Common_InputFunctions.Utility_DisplayArrayInTable(Fuel_SourceData.Fuel_Scope3EmissionFactorsStationaryGaseous_Data(), Table_Fuel_EFs_StationaryGaseous34[[#Headers],[State or territory]],0)</f>
        <v>14</v>
      </c>
      <c r="G113" s="1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28"/>
      <c r="J113" s="128"/>
      <c r="K113" s="128"/>
      <c r="L113" s="128"/>
    </row>
    <row r="114" spans="4:13" ht="20.100000000000001" customHeight="1" x14ac:dyDescent="0.25">
      <c r="D114" s="182" t="str" cm="1">
        <f t="array" ref="D114">Common_InputFunctions.Utility_DisplayArrayInTable(Fuel_SourceData.Fuel_Scope3EmissionFactorsStationaryGaseous_Data(), Table_Fuel_EFs_StationaryGaseous34[[#Headers],[State or territory]],0)</f>
        <v>ACT</v>
      </c>
      <c r="E114" s="182" cm="1">
        <f t="array" ref="E114">Common_InputFunctions.Utility_DisplayArrayInTable(Fuel_SourceData.Fuel_Scope3EmissionFactorsStationaryGaseous_Data(), Table_Fuel_EFs_StationaryGaseous34[[#Headers],[State or territory]],0)</f>
        <v>13.1</v>
      </c>
      <c r="F114" s="182" cm="1">
        <f t="array" ref="F114">Common_InputFunctions.Utility_DisplayArrayInTable(Fuel_SourceData.Fuel_Scope3EmissionFactorsStationaryGaseous_Data(), Table_Fuel_EFs_StationaryGaseous34[[#Headers],[State or territory]],0)</f>
        <v>14</v>
      </c>
      <c r="G114" s="16" t="str">
        <v/>
      </c>
      <c r="H114" s="1" t="str">
        <v>Gas reaches end users either from the metro distribution networks or direct from the high - pressure distribution pipelines.</v>
      </c>
      <c r="I114" s="128"/>
      <c r="J114" s="128"/>
      <c r="K114" s="128"/>
      <c r="L114" s="128"/>
    </row>
    <row r="115" spans="4:13" ht="20.100000000000001" customHeight="1" x14ac:dyDescent="0.25">
      <c r="D115" s="182" t="str" cm="1">
        <f t="array" ref="D115">Common_InputFunctions.Utility_DisplayArrayInTable(Fuel_SourceData.Fuel_Scope3EmissionFactorsStationaryGaseous_Data(), Table_Fuel_EFs_StationaryGaseous34[[#Headers],[State or territory]],0)</f>
        <v>Victoria</v>
      </c>
      <c r="E115" s="182" cm="1">
        <f t="array" ref="E115">Common_InputFunctions.Utility_DisplayArrayInTable(Fuel_SourceData.Fuel_Scope3EmissionFactorsStationaryGaseous_Data(), Table_Fuel_EFs_StationaryGaseous34[[#Headers],[State or territory]],0)</f>
        <v>4</v>
      </c>
      <c r="F115" s="182" cm="1">
        <f t="array" ref="F115">Common_InputFunctions.Utility_DisplayArrayInTable(Fuel_SourceData.Fuel_Scope3EmissionFactorsStationaryGaseous_Data(), Table_Fuel_EFs_StationaryGaseous34[[#Headers],[State or territory]],0)</f>
        <v>4</v>
      </c>
      <c r="G115" s="16" t="str">
        <v/>
      </c>
      <c r="H115" s="1" t="str">
        <v>Households and commercial users tend to be served by the former, and electricity generators and large industrial plants from the latter.</v>
      </c>
      <c r="I115" s="128"/>
      <c r="J115" s="128"/>
      <c r="K115" s="128"/>
      <c r="L115" s="128"/>
    </row>
    <row r="116" spans="4:13" ht="20.100000000000001" customHeight="1" x14ac:dyDescent="0.25">
      <c r="D116" s="182" t="str" cm="1">
        <f t="array" ref="D116">Common_InputFunctions.Utility_DisplayArrayInTable(Fuel_SourceData.Fuel_Scope3EmissionFactorsStationaryGaseous_Data(), Table_Fuel_EFs_StationaryGaseous34[[#Headers],[State or territory]],0)</f>
        <v>Queensland</v>
      </c>
      <c r="E116" s="182" cm="1">
        <f t="array" ref="E116">Common_InputFunctions.Utility_DisplayArrayInTable(Fuel_SourceData.Fuel_Scope3EmissionFactorsStationaryGaseous_Data(), Table_Fuel_EFs_StationaryGaseous34[[#Headers],[State or territory]],0)</f>
        <v>8.8000000000000007</v>
      </c>
      <c r="F116" s="182" cm="1">
        <f t="array" ref="F116">Common_InputFunctions.Utility_DisplayArrayInTable(Fuel_SourceData.Fuel_Scope3EmissionFactorsStationaryGaseous_Data(), Table_Fuel_EFs_StationaryGaseous34[[#Headers],[State or territory]],0)</f>
        <v>7.9</v>
      </c>
      <c r="G116" s="16" t="str">
        <v>-</v>
      </c>
      <c r="H116" s="1" t="str">
        <v>Metro is defined as located on or east of the dividing range in NSW, including Canberra and Queanbeyan, Melbourne, Brisbane, Adelaide or Perth.</v>
      </c>
      <c r="I116" s="128"/>
      <c r="J116" s="128"/>
      <c r="K116" s="128"/>
      <c r="L116" s="128"/>
    </row>
    <row r="117" spans="4:13" ht="20.100000000000001" customHeight="1" x14ac:dyDescent="0.25">
      <c r="D117" s="182" t="str" cm="1">
        <f t="array" ref="D117">Common_InputFunctions.Utility_DisplayArrayInTable(Fuel_SourceData.Fuel_Scope3EmissionFactorsStationaryGaseous_Data(), Table_Fuel_EFs_StationaryGaseous34[[#Headers],[State or territory]],0)</f>
        <v>South Australia</v>
      </c>
      <c r="E117" s="182" cm="1">
        <f t="array" ref="E117">Common_InputFunctions.Utility_DisplayArrayInTable(Fuel_SourceData.Fuel_Scope3EmissionFactorsStationaryGaseous_Data(), Table_Fuel_EFs_StationaryGaseous34[[#Headers],[State or territory]],0)</f>
        <v>10.7</v>
      </c>
      <c r="F117" s="182" cm="1">
        <f t="array" ref="F117">Common_InputFunctions.Utility_DisplayArrayInTable(Fuel_SourceData.Fuel_Scope3EmissionFactorsStationaryGaseous_Data(), Table_Fuel_EFs_StationaryGaseous34[[#Headers],[State or territory]],0)</f>
        <v>10.6</v>
      </c>
      <c r="G117" s="16" t="str">
        <v/>
      </c>
      <c r="H117" s="1" t="str">
        <v>Otherwise, the non - metro factor should be used.</v>
      </c>
      <c r="I117" s="128"/>
      <c r="J117" s="128"/>
      <c r="K117" s="128"/>
      <c r="L117" s="128"/>
    </row>
    <row r="118" spans="4:13" ht="20.100000000000001" customHeight="1" x14ac:dyDescent="0.25">
      <c r="D118" s="182" t="str" cm="1">
        <f t="array" ref="D118">Common_InputFunctions.Utility_DisplayArrayInTable(Fuel_SourceData.Fuel_Scope3EmissionFactorsStationaryGaseous_Data(), Table_Fuel_EFs_StationaryGaseous34[[#Headers],[State or territory]],0)</f>
        <v>Western Australia</v>
      </c>
      <c r="E118" s="182" cm="1">
        <f t="array" ref="E118">Common_InputFunctions.Utility_DisplayArrayInTable(Fuel_SourceData.Fuel_Scope3EmissionFactorsStationaryGaseous_Data(), Table_Fuel_EFs_StationaryGaseous34[[#Headers],[State or territory]],0)</f>
        <v>4.0999999999999996</v>
      </c>
      <c r="F118" s="182" cm="1">
        <f t="array" ref="F118">Common_InputFunctions.Utility_DisplayArrayInTable(Fuel_SourceData.Fuel_Scope3EmissionFactorsStationaryGaseous_Data(), Table_Fuel_EFs_StationaryGaseous34[[#Headers],[State or territory]],0)</f>
        <v>4</v>
      </c>
      <c r="G118" s="16" t="str">
        <v>-</v>
      </c>
      <c r="H118" s="1" t="str">
        <v>Factors are calculated for all natural gas distributed in a pipeline which may include coal seam methane.</v>
      </c>
      <c r="I118" s="128"/>
      <c r="J118" s="128"/>
      <c r="K118" s="128"/>
      <c r="L118" s="128"/>
    </row>
    <row r="119" spans="4:13" ht="20.100000000000001" customHeight="1" x14ac:dyDescent="0.25">
      <c r="D119" s="182" t="str" cm="1">
        <f t="array" ref="D119">Common_InputFunctions.Utility_DisplayArrayInTable(Fuel_SourceData.Fuel_Scope3EmissionFactorsStationaryGaseous_Data(), Table_Fuel_EFs_StationaryGaseous34[[#Headers],[State or territory]],0)</f>
        <v>Tasmania</v>
      </c>
      <c r="E119" s="182" cm="1">
        <f t="array" ref="E119">Common_InputFunctions.Utility_DisplayArrayInTable(Fuel_SourceData.Fuel_Scope3EmissionFactorsStationaryGaseous_Data(), Table_Fuel_EFs_StationaryGaseous34[[#Headers],[State or territory]],0)</f>
        <v>4</v>
      </c>
      <c r="F119" s="182" cm="1">
        <f t="array" ref="F119">Common_InputFunctions.Utility_DisplayArrayInTable(Fuel_SourceData.Fuel_Scope3EmissionFactorsStationaryGaseous_Data(), Table_Fuel_EFs_StationaryGaseous34[[#Headers],[State or territory]],0)</f>
        <v>4</v>
      </c>
      <c r="G119" s="16" t="str">
        <v>-</v>
      </c>
      <c r="H119" s="1" t="str">
        <v>Table 6 is not applicable to ethane. See Table 7 Indirect (Scope 3) emissions from the consumption of ethane.</v>
      </c>
      <c r="I119" s="128"/>
      <c r="J119" s="128"/>
      <c r="K119" s="128"/>
      <c r="L119" s="128"/>
    </row>
    <row r="120" spans="4:13" ht="20.100000000000001" customHeight="1" x14ac:dyDescent="0.25">
      <c r="D120" s="182" t="str" cm="1">
        <f t="array" ref="D120">Common_InputFunctions.Utility_DisplayArrayInTable(Fuel_SourceData.Fuel_Scope3EmissionFactorsStationaryGaseous_Data(), Table_Fuel_EFs_StationaryGaseous34[[#Headers],[State or territory]],0)</f>
        <v>Northern Territory</v>
      </c>
      <c r="E120" s="182" cm="1">
        <f t="array" ref="E120">Common_InputFunctions.Utility_DisplayArrayInTable(Fuel_SourceData.Fuel_Scope3EmissionFactorsStationaryGaseous_Data(), Table_Fuel_EFs_StationaryGaseous34[[#Headers],[State or territory]],0)</f>
        <v>4.0999999999999996</v>
      </c>
      <c r="F120" s="182" cm="1">
        <f t="array" ref="F120">Common_InputFunctions.Utility_DisplayArrayInTable(Fuel_SourceData.Fuel_Scope3EmissionFactorsStationaryGaseous_Data(), Table_Fuel_EFs_StationaryGaseous34[[#Headers],[State or territory]],0)</f>
        <v>4</v>
      </c>
      <c r="G120" s="16" t="str">
        <v>-</v>
      </c>
      <c r="H120" s="1" t="str">
        <v>C = Confidential. Scope 3 emission factors for Tasmania and the Northern Territory are not available due to confidentiality constraints that arise</v>
      </c>
      <c r="I120" s="128"/>
      <c r="J120" s="128"/>
      <c r="K120" s="128"/>
      <c r="L120" s="128"/>
    </row>
    <row r="121" spans="4:13" ht="20.100000000000001" customHeight="1" x14ac:dyDescent="0.25">
      <c r="D121" s="8"/>
      <c r="E121" s="8"/>
      <c r="F121" s="8"/>
      <c r="G121" s="16" t="str">
        <v/>
      </c>
      <c r="H121" s="1" t="str">
        <v>from the use of a limited number of NGER data inputs. It is suggested that for Tasmania the use of the Victorian emission factors is appropriate,</v>
      </c>
      <c r="I121" s="128"/>
      <c r="J121" s="128"/>
      <c r="K121" s="128"/>
      <c r="L121" s="128"/>
    </row>
    <row r="122" spans="4:13" ht="20.100000000000001" customHeight="1" x14ac:dyDescent="0.25">
      <c r="D122" s="128"/>
      <c r="F122" s="183"/>
      <c r="G122" s="16" t="str">
        <v/>
      </c>
      <c r="H122" s="1" t="str">
        <v>while for Northern Territory the use of the Western Australian emission factors is appropriate.</v>
      </c>
      <c r="I122" s="128"/>
      <c r="J122" s="128"/>
      <c r="K122" s="128"/>
      <c r="L122" s="128"/>
    </row>
    <row r="123" spans="4:13" ht="20.100000000000001" customHeight="1" x14ac:dyDescent="0.25">
      <c r="D123" s="184"/>
      <c r="F123" s="183"/>
      <c r="G123" s="16" t="str">
        <v>-</v>
      </c>
      <c r="H123" s="1" t="str">
        <v>Scope 3 emission factors do not include fugitive emission leakage from low pressure natural gas distribution pipeline networks while those from high pressure</v>
      </c>
      <c r="I123" s="128"/>
      <c r="J123" s="128"/>
      <c r="K123" s="128"/>
      <c r="L123" s="128"/>
    </row>
    <row r="124" spans="4:13" ht="20.100000000000001" customHeight="1" x14ac:dyDescent="0.25">
      <c r="D124" s="184"/>
      <c r="F124" s="183"/>
      <c r="G124" s="128" t="str">
        <v/>
      </c>
      <c r="H124" s="1" t="str">
        <v>gas networks are considered negligible.</v>
      </c>
      <c r="I124" s="128"/>
      <c r="J124" s="128"/>
      <c r="K124" s="128"/>
      <c r="L124" s="128"/>
    </row>
    <row r="125" spans="4:13" ht="20.100000000000001" customHeight="1" x14ac:dyDescent="0.25">
      <c r="D125" s="184"/>
      <c r="F125" s="183"/>
      <c r="G125" s="128"/>
      <c r="H125" s="128"/>
      <c r="I125" s="128"/>
      <c r="J125" s="128"/>
      <c r="K125" s="128"/>
      <c r="L125" s="128"/>
    </row>
    <row r="126" spans="4:13" ht="20.100000000000001" customHeight="1" x14ac:dyDescent="0.25">
      <c r="D126" s="128"/>
      <c r="E126" s="128"/>
      <c r="F126" s="128"/>
      <c r="G126" s="128"/>
      <c r="H126" s="128"/>
      <c r="I126" s="128"/>
      <c r="J126" s="128"/>
      <c r="K126" s="128"/>
      <c r="L126" s="128"/>
      <c r="M126" s="128"/>
    </row>
    <row r="127" spans="4:13" ht="20.100000000000001" customHeight="1" x14ac:dyDescent="0.25">
      <c r="D127" s="128"/>
      <c r="E127" s="128"/>
      <c r="F127" s="128"/>
      <c r="G127" s="128"/>
      <c r="H127" s="128"/>
      <c r="I127" s="128"/>
      <c r="J127" s="128"/>
      <c r="K127" s="128"/>
      <c r="L127" s="128"/>
      <c r="M127" s="128"/>
    </row>
    <row r="128" spans="4:13" ht="20.100000000000001" customHeight="1" x14ac:dyDescent="0.25">
      <c r="D128" s="128"/>
      <c r="E128" s="128"/>
      <c r="F128" s="128"/>
      <c r="G128" s="128"/>
      <c r="H128" s="128"/>
      <c r="I128" s="128"/>
      <c r="J128" s="128"/>
      <c r="K128" s="128"/>
      <c r="L128" s="128"/>
      <c r="M128" s="128"/>
    </row>
    <row r="129" spans="4:33" ht="20.100000000000001" customHeight="1" x14ac:dyDescent="0.25">
      <c r="D129" s="185"/>
      <c r="E129" s="128"/>
      <c r="F129" s="128"/>
      <c r="G129" s="128"/>
      <c r="H129" s="128"/>
      <c r="I129" s="128"/>
      <c r="J129" s="128"/>
      <c r="K129" s="128"/>
      <c r="L129" s="128"/>
    </row>
    <row r="130" spans="4:33" ht="20.100000000000001" customHeight="1" x14ac:dyDescent="0.25">
      <c r="D130" s="186" t="s">
        <v>589</v>
      </c>
      <c r="E130" s="186" t="s">
        <v>529</v>
      </c>
      <c r="F130" s="186" t="s">
        <v>590</v>
      </c>
      <c r="G130" s="186" t="s">
        <v>532</v>
      </c>
      <c r="H130" s="186" t="s">
        <v>534</v>
      </c>
      <c r="I130" s="186" t="s">
        <v>535</v>
      </c>
      <c r="J130" s="128"/>
      <c r="K130" s="128"/>
      <c r="L130" s="128"/>
    </row>
    <row r="131" spans="4:33" ht="20.100000000000001" customHeight="1" x14ac:dyDescent="0.25">
      <c r="D131" s="187" t="str">
        <f>$D$143</f>
        <v>Petrol</v>
      </c>
      <c r="E131" s="187" t="str">
        <f>$D$143</f>
        <v>Petrol</v>
      </c>
      <c r="F131" s="187" t="str">
        <f>$D$150</f>
        <v>Avgas</v>
      </c>
      <c r="G131" s="187" t="str">
        <f>$D$143</f>
        <v>Petrol</v>
      </c>
      <c r="H131" s="187" t="str">
        <f>$D$144</f>
        <v>Diesel</v>
      </c>
      <c r="I131" s="187" t="str">
        <f>$D$143</f>
        <v>Petrol</v>
      </c>
      <c r="J131" s="128"/>
      <c r="K131" s="128"/>
      <c r="L131" s="128"/>
    </row>
    <row r="132" spans="4:33" ht="20.100000000000001" customHeight="1" x14ac:dyDescent="0.25">
      <c r="D132" s="187" t="str">
        <f>$D$144</f>
        <v>Diesel</v>
      </c>
      <c r="E132" s="187" t="str">
        <f>$D$144</f>
        <v>Diesel</v>
      </c>
      <c r="F132" s="187" t="str">
        <f>$D$151</f>
        <v>Jet A1, Jet B</v>
      </c>
      <c r="G132" s="187" t="str">
        <f>$D$144</f>
        <v>Diesel</v>
      </c>
      <c r="H132" s="187"/>
      <c r="I132" s="187" t="str">
        <f>$D$144</f>
        <v>Diesel</v>
      </c>
      <c r="J132" s="128"/>
      <c r="K132" s="128"/>
      <c r="L132" s="128"/>
    </row>
    <row r="133" spans="4:33" ht="20.100000000000001" customHeight="1" x14ac:dyDescent="0.25">
      <c r="D133" s="187" t="str">
        <f>$D$145</f>
        <v>Liquefied petroleum gas (LPG)</v>
      </c>
      <c r="E133" s="187" t="str">
        <f>$D$145</f>
        <v>Liquefied petroleum gas (LPG)</v>
      </c>
      <c r="F133" s="187" t="str">
        <f>$D$152</f>
        <v>Renewable aviation kerosene</v>
      </c>
      <c r="G133" s="187" t="str">
        <f>$D$145</f>
        <v>Liquefied petroleum gas (LPG)</v>
      </c>
      <c r="H133" s="187"/>
      <c r="I133" s="187" t="s">
        <v>536</v>
      </c>
      <c r="J133" s="128"/>
      <c r="K133" s="128"/>
      <c r="L133" s="128"/>
    </row>
    <row r="134" spans="4:33" ht="20.100000000000001" customHeight="1" x14ac:dyDescent="0.25">
      <c r="D134" s="187" t="str">
        <f>$D$146</f>
        <v>Biodiesel</v>
      </c>
      <c r="E134" s="187" t="str">
        <f>$D$146</f>
        <v>Biodiesel</v>
      </c>
      <c r="F134" s="186"/>
      <c r="G134" s="187" t="str">
        <f>$D$160</f>
        <v>Fuel oil</v>
      </c>
      <c r="H134" s="187"/>
      <c r="I134" s="187"/>
      <c r="J134" s="128"/>
      <c r="K134" s="128"/>
      <c r="L134" s="128"/>
    </row>
    <row r="135" spans="4:33" ht="20.100000000000001" customHeight="1" x14ac:dyDescent="0.25">
      <c r="D135" s="187" t="str">
        <f>$D$147</f>
        <v>Ethanol</v>
      </c>
      <c r="E135" s="187" t="str">
        <f>$D$147</f>
        <v>Ethanol</v>
      </c>
      <c r="F135" s="186"/>
      <c r="G135" s="187" t="str">
        <f>$D$147</f>
        <v>Ethanol</v>
      </c>
      <c r="H135" s="187"/>
      <c r="I135" s="187"/>
      <c r="J135" s="128"/>
      <c r="K135" s="128"/>
      <c r="L135" s="128"/>
    </row>
    <row r="136" spans="4:33" ht="20.100000000000001" customHeight="1" x14ac:dyDescent="0.25">
      <c r="D136" s="187" t="str">
        <f>$D$148</f>
        <v>Other biofuels</v>
      </c>
      <c r="E136" s="187" t="str">
        <f>$D$148</f>
        <v>Other biofuels</v>
      </c>
      <c r="F136" s="186"/>
      <c r="G136" s="187" t="str">
        <f>$D$146</f>
        <v>Biodiesel</v>
      </c>
      <c r="H136" s="187"/>
      <c r="I136" s="187"/>
      <c r="J136" s="128"/>
      <c r="K136" s="128"/>
      <c r="L136" s="128"/>
    </row>
    <row r="137" spans="4:33" ht="20.100000000000001" customHeight="1" x14ac:dyDescent="0.25">
      <c r="D137" s="187" t="str">
        <f>$D$149</f>
        <v>Renewable diesel</v>
      </c>
      <c r="E137" s="187" t="str">
        <f>$D$149</f>
        <v>Renewable diesel</v>
      </c>
      <c r="F137" s="186"/>
      <c r="G137" s="187" t="str">
        <f>$D$149</f>
        <v>Renewable diesel</v>
      </c>
      <c r="H137" s="187"/>
      <c r="I137" s="187"/>
      <c r="J137" s="128"/>
      <c r="K137" s="128"/>
      <c r="L137" s="128"/>
    </row>
    <row r="138" spans="4:33" ht="20.100000000000001" customHeight="1" x14ac:dyDescent="0.25">
      <c r="D138" s="186"/>
      <c r="E138" s="188" t="str">
        <f>$D$161</f>
        <v>Natural gas (via pipeline) in GJ</v>
      </c>
      <c r="F138" s="188"/>
      <c r="G138" s="187" t="str">
        <f>$D$148</f>
        <v>Other biofuels</v>
      </c>
      <c r="H138" s="187"/>
      <c r="I138" s="187"/>
      <c r="J138" s="128"/>
      <c r="K138" s="128"/>
      <c r="L138" s="128"/>
    </row>
    <row r="139" spans="4:33" ht="20.100000000000001" customHeight="1" x14ac:dyDescent="0.25">
      <c r="D139" s="188"/>
      <c r="E139" s="188" t="str">
        <f>$D$162</f>
        <v>Town gas in GJ</v>
      </c>
      <c r="F139" s="188"/>
      <c r="G139" s="188"/>
      <c r="H139" s="188"/>
      <c r="I139" s="188"/>
      <c r="J139" s="128"/>
      <c r="K139" s="128"/>
      <c r="L139" s="128"/>
    </row>
    <row r="140" spans="4:33" ht="20.100000000000001" customHeight="1" x14ac:dyDescent="0.25">
      <c r="D140" s="128"/>
      <c r="E140" s="128"/>
      <c r="F140" s="128"/>
      <c r="G140" s="128"/>
      <c r="H140" s="128"/>
      <c r="I140" s="128"/>
      <c r="J140" s="128"/>
      <c r="K140" s="128"/>
      <c r="L140" s="128"/>
    </row>
    <row r="141" spans="4:33" ht="20.100000000000001" customHeight="1" x14ac:dyDescent="0.25">
      <c r="D141" s="128"/>
      <c r="E141" s="128"/>
      <c r="F141" s="128"/>
      <c r="G141" s="128"/>
      <c r="H141" s="128"/>
      <c r="I141" s="128"/>
      <c r="J141" s="128"/>
      <c r="K141" s="128"/>
      <c r="L141" s="128"/>
    </row>
    <row r="142" spans="4:33" ht="20.100000000000001" customHeight="1" x14ac:dyDescent="0.25">
      <c r="D142" t="s">
        <v>591</v>
      </c>
      <c r="E142" t="s">
        <v>80</v>
      </c>
      <c r="F142" t="s">
        <v>592</v>
      </c>
      <c r="G142" s="128"/>
      <c r="H142" s="128"/>
      <c r="I142" s="128"/>
      <c r="J142" s="128"/>
      <c r="K142" s="128"/>
      <c r="L142" s="128"/>
      <c r="M142" s="128"/>
      <c r="AG142" s="1"/>
    </row>
    <row r="143" spans="4:33" ht="20.100000000000001" customHeight="1" x14ac:dyDescent="0.25">
      <c r="D143" s="187" t="s">
        <v>531</v>
      </c>
      <c r="E143" t="s">
        <v>593</v>
      </c>
      <c r="F143" t="s">
        <v>594</v>
      </c>
      <c r="G143" s="128"/>
      <c r="H143" s="128"/>
      <c r="I143" s="128"/>
      <c r="J143" s="128"/>
      <c r="K143" s="128"/>
      <c r="L143" s="128"/>
      <c r="M143" s="128"/>
      <c r="AG143" s="1"/>
    </row>
    <row r="144" spans="4:33" ht="20.100000000000001" customHeight="1" x14ac:dyDescent="0.25">
      <c r="D144" s="187" t="s">
        <v>533</v>
      </c>
      <c r="E144" t="s">
        <v>593</v>
      </c>
      <c r="F144" t="s">
        <v>594</v>
      </c>
      <c r="G144" s="128"/>
      <c r="H144" s="128"/>
      <c r="I144" s="128"/>
      <c r="J144" s="128"/>
      <c r="K144" s="128"/>
      <c r="L144" s="128"/>
      <c r="M144" s="128"/>
      <c r="AG144" s="1"/>
    </row>
    <row r="145" spans="4:33" ht="20.100000000000001" customHeight="1" x14ac:dyDescent="0.25">
      <c r="D145" s="187" t="s">
        <v>595</v>
      </c>
      <c r="E145" t="s">
        <v>593</v>
      </c>
      <c r="F145" t="s">
        <v>594</v>
      </c>
      <c r="G145" s="128"/>
      <c r="H145" s="128"/>
      <c r="I145" s="128"/>
      <c r="J145" s="128"/>
      <c r="K145" s="128"/>
      <c r="L145" s="128"/>
      <c r="M145" s="128"/>
      <c r="AG145" s="1"/>
    </row>
    <row r="146" spans="4:33" ht="20.100000000000001" customHeight="1" x14ac:dyDescent="0.25">
      <c r="D146" s="187" t="s">
        <v>596</v>
      </c>
      <c r="E146" t="s">
        <v>593</v>
      </c>
      <c r="F146" t="s">
        <v>594</v>
      </c>
      <c r="G146" s="128"/>
      <c r="H146" s="128"/>
      <c r="I146" s="128"/>
      <c r="J146" s="128"/>
      <c r="K146" s="128"/>
      <c r="L146" s="128"/>
      <c r="M146" s="128"/>
      <c r="AG146" s="1"/>
    </row>
    <row r="147" spans="4:33" ht="20.100000000000001" customHeight="1" x14ac:dyDescent="0.25">
      <c r="D147" s="187" t="s">
        <v>597</v>
      </c>
      <c r="E147" t="s">
        <v>593</v>
      </c>
      <c r="F147" t="s">
        <v>594</v>
      </c>
      <c r="G147" s="128"/>
      <c r="H147" s="128"/>
      <c r="I147" s="128"/>
      <c r="J147" s="128"/>
      <c r="K147" s="128"/>
      <c r="L147" s="128"/>
      <c r="M147" s="128"/>
      <c r="AG147" s="1"/>
    </row>
    <row r="148" spans="4:33" ht="20.100000000000001" customHeight="1" x14ac:dyDescent="0.25">
      <c r="D148" s="187" t="s">
        <v>598</v>
      </c>
      <c r="E148" t="s">
        <v>593</v>
      </c>
      <c r="F148" t="s">
        <v>594</v>
      </c>
      <c r="G148" s="128"/>
      <c r="H148" s="128"/>
      <c r="I148" s="128"/>
      <c r="J148" s="128"/>
      <c r="K148" s="128"/>
      <c r="L148" s="128"/>
      <c r="M148" s="128"/>
      <c r="AG148" s="1"/>
    </row>
    <row r="149" spans="4:33" ht="20.100000000000001" customHeight="1" x14ac:dyDescent="0.25">
      <c r="D149" s="187" t="s">
        <v>599</v>
      </c>
      <c r="E149" t="s">
        <v>593</v>
      </c>
      <c r="F149" t="s">
        <v>594</v>
      </c>
      <c r="G149" s="128"/>
      <c r="H149" s="128"/>
      <c r="I149" s="128"/>
      <c r="J149" s="128"/>
      <c r="K149" s="128"/>
      <c r="L149" s="128"/>
      <c r="M149" s="128"/>
      <c r="AG149" s="1"/>
    </row>
    <row r="150" spans="4:33" ht="20.100000000000001" customHeight="1" x14ac:dyDescent="0.25">
      <c r="D150" s="187" t="s">
        <v>600</v>
      </c>
      <c r="E150" t="s">
        <v>593</v>
      </c>
      <c r="F150" t="s">
        <v>594</v>
      </c>
      <c r="G150" s="128"/>
      <c r="H150" s="128"/>
      <c r="I150" s="128"/>
      <c r="J150" s="128"/>
      <c r="K150" s="128"/>
      <c r="L150" s="128"/>
      <c r="M150" s="128"/>
      <c r="AG150" s="1"/>
    </row>
    <row r="151" spans="4:33" ht="20.100000000000001" customHeight="1" x14ac:dyDescent="0.25">
      <c r="D151" s="187" t="s">
        <v>601</v>
      </c>
      <c r="E151" t="s">
        <v>593</v>
      </c>
      <c r="F151" t="s">
        <v>594</v>
      </c>
      <c r="G151" s="128"/>
      <c r="H151" s="128"/>
      <c r="I151" s="128"/>
      <c r="J151" s="128"/>
      <c r="K151" s="128"/>
      <c r="L151" s="128"/>
      <c r="M151" s="128"/>
      <c r="AG151" s="1"/>
    </row>
    <row r="152" spans="4:33" ht="20.100000000000001" customHeight="1" x14ac:dyDescent="0.25">
      <c r="D152" s="189" t="s">
        <v>602</v>
      </c>
      <c r="E152" s="8" t="s">
        <v>593</v>
      </c>
      <c r="F152" t="s">
        <v>594</v>
      </c>
      <c r="G152" s="128"/>
      <c r="H152" s="128"/>
      <c r="I152" s="128"/>
      <c r="J152" s="128"/>
      <c r="K152" s="128"/>
      <c r="L152" s="128"/>
      <c r="M152" s="128"/>
      <c r="AG152" s="1"/>
    </row>
    <row r="153" spans="4:33" ht="20.100000000000001" customHeight="1" x14ac:dyDescent="0.25">
      <c r="D153" s="189" t="s">
        <v>603</v>
      </c>
      <c r="E153" s="8" t="s">
        <v>593</v>
      </c>
      <c r="F153" t="s">
        <v>594</v>
      </c>
      <c r="G153" s="128"/>
      <c r="H153" s="128"/>
      <c r="I153" s="128"/>
      <c r="J153" s="128"/>
      <c r="K153" s="128"/>
      <c r="L153" s="128"/>
      <c r="M153" s="128"/>
      <c r="AG153" s="1"/>
    </row>
    <row r="154" spans="4:33" ht="20.100000000000001" customHeight="1" x14ac:dyDescent="0.25">
      <c r="D154" s="189" t="s">
        <v>604</v>
      </c>
      <c r="E154" s="8" t="s">
        <v>593</v>
      </c>
      <c r="F154" t="s">
        <v>594</v>
      </c>
      <c r="G154" s="128"/>
      <c r="H154" s="128"/>
      <c r="I154" s="128"/>
      <c r="J154" s="128"/>
      <c r="K154" s="128"/>
      <c r="L154" s="128"/>
      <c r="M154" s="128"/>
      <c r="AG154" s="1"/>
    </row>
    <row r="155" spans="4:33" ht="20.100000000000001" customHeight="1" x14ac:dyDescent="0.25">
      <c r="D155" s="189" t="s">
        <v>605</v>
      </c>
      <c r="E155" s="8" t="s">
        <v>593</v>
      </c>
      <c r="F155" t="s">
        <v>594</v>
      </c>
      <c r="G155" s="128"/>
      <c r="H155" s="128"/>
      <c r="I155" s="128"/>
      <c r="J155" s="128"/>
      <c r="K155" s="128"/>
      <c r="L155" s="128"/>
      <c r="M155" s="128"/>
      <c r="AG155" s="1"/>
    </row>
    <row r="156" spans="4:33" ht="20.100000000000001" customHeight="1" x14ac:dyDescent="0.25">
      <c r="D156" s="189" t="s">
        <v>606</v>
      </c>
      <c r="E156" s="8" t="s">
        <v>593</v>
      </c>
      <c r="F156" t="s">
        <v>594</v>
      </c>
      <c r="G156" s="128"/>
      <c r="H156" s="128"/>
      <c r="I156" s="128"/>
      <c r="J156" s="128"/>
      <c r="K156" s="128"/>
      <c r="L156" s="128"/>
      <c r="M156" s="128"/>
      <c r="AG156" s="1"/>
    </row>
    <row r="157" spans="4:33" ht="20.100000000000001" customHeight="1" x14ac:dyDescent="0.25">
      <c r="D157" s="189" t="s">
        <v>607</v>
      </c>
      <c r="E157" s="8" t="s">
        <v>593</v>
      </c>
      <c r="F157" t="s">
        <v>594</v>
      </c>
      <c r="G157" s="128"/>
      <c r="H157" s="128"/>
      <c r="I157" s="128"/>
      <c r="J157" s="128"/>
      <c r="K157" s="128"/>
      <c r="L157" s="128"/>
      <c r="M157" s="128"/>
      <c r="AG157" s="1"/>
    </row>
    <row r="158" spans="4:33" ht="20.100000000000001" customHeight="1" x14ac:dyDescent="0.25">
      <c r="D158" s="189" t="s">
        <v>608</v>
      </c>
      <c r="E158" s="8" t="s">
        <v>593</v>
      </c>
      <c r="F158" t="s">
        <v>594</v>
      </c>
      <c r="G158" s="128"/>
      <c r="H158" s="128"/>
      <c r="I158" s="128"/>
      <c r="J158" s="128"/>
      <c r="K158" s="128"/>
      <c r="L158" s="128"/>
      <c r="M158" s="128"/>
      <c r="AG158" s="1"/>
    </row>
    <row r="159" spans="4:33" ht="20.100000000000001" customHeight="1" x14ac:dyDescent="0.25">
      <c r="D159" s="189" t="s">
        <v>609</v>
      </c>
      <c r="E159" s="8" t="s">
        <v>593</v>
      </c>
      <c r="F159" t="s">
        <v>594</v>
      </c>
      <c r="G159" s="128"/>
      <c r="H159" s="128"/>
      <c r="I159" s="128"/>
      <c r="J159" s="128"/>
      <c r="K159" s="128"/>
      <c r="L159" s="128"/>
      <c r="M159" s="128"/>
      <c r="AG159" s="1"/>
    </row>
    <row r="160" spans="4:33" ht="20.100000000000001" customHeight="1" x14ac:dyDescent="0.25">
      <c r="D160" s="189" t="s">
        <v>536</v>
      </c>
      <c r="E160" s="8" t="s">
        <v>593</v>
      </c>
      <c r="F160" t="s">
        <v>594</v>
      </c>
      <c r="G160" s="128"/>
      <c r="H160" s="128"/>
      <c r="I160" s="128"/>
      <c r="J160" s="128"/>
      <c r="K160" s="128"/>
      <c r="L160" s="128"/>
      <c r="M160" s="128"/>
      <c r="AG160" s="1"/>
    </row>
    <row r="161" spans="4:33" ht="20.100000000000001" customHeight="1" x14ac:dyDescent="0.25">
      <c r="D161" s="188" t="s">
        <v>610</v>
      </c>
      <c r="E161" s="128" t="s">
        <v>611</v>
      </c>
      <c r="F161" s="128" t="s">
        <v>611</v>
      </c>
      <c r="G161" s="128"/>
      <c r="H161" s="128"/>
      <c r="I161" s="128"/>
      <c r="J161" s="128"/>
      <c r="K161" s="128"/>
      <c r="L161" s="128"/>
      <c r="M161" s="128"/>
      <c r="AG161" s="1"/>
    </row>
    <row r="162" spans="4:33" ht="20.100000000000001" customHeight="1" x14ac:dyDescent="0.25">
      <c r="D162" s="128" t="s">
        <v>530</v>
      </c>
      <c r="E162" s="128" t="s">
        <v>611</v>
      </c>
      <c r="F162" s="128" t="s">
        <v>611</v>
      </c>
      <c r="G162" s="128"/>
      <c r="H162" s="128"/>
      <c r="I162" s="128"/>
      <c r="J162" s="128"/>
      <c r="K162" s="128"/>
      <c r="L162" s="128"/>
      <c r="M162" s="12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EA654-9280-45D9-84A1-093FA654F034}">
  <dimension ref="A1:BY259"/>
  <sheetViews>
    <sheetView showGridLines="0" zoomScale="85" zoomScaleNormal="85" workbookViewId="0">
      <selection activeCell="A46" sqref="A46"/>
    </sheetView>
  </sheetViews>
  <sheetFormatPr defaultColWidth="9.140625" defaultRowHeight="15.75" x14ac:dyDescent="0.25"/>
  <cols>
    <col min="1" max="1" width="30.7109375" style="28" customWidth="1"/>
    <col min="2" max="2" width="2.7109375" style="28"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8" customWidth="1"/>
    <col min="34" max="39" width="21.85546875" style="28" customWidth="1"/>
    <col min="40" max="44" width="20.7109375" style="28" customWidth="1"/>
    <col min="45" max="65" width="9.140625" style="28"/>
    <col min="66" max="16384" width="9.140625" style="27"/>
  </cols>
  <sheetData>
    <row r="1" spans="1:65" s="44" customFormat="1" ht="30" customHeight="1" x14ac:dyDescent="0.35">
      <c r="A1" s="18" t="e" vm="1">
        <v>#VALUE!</v>
      </c>
      <c r="C1" s="44" t="s">
        <v>715</v>
      </c>
    </row>
    <row r="2" spans="1:65" s="3" customFormat="1" ht="20.100000000000001" customHeight="1" x14ac:dyDescent="0.25">
      <c r="A2"/>
    </row>
    <row r="3" spans="1:65" ht="20.100000000000001" customHeight="1" x14ac:dyDescent="0.25">
      <c r="A3" s="5" t="str">
        <f>HYPERLINK("#'Home'!A1", "Home")</f>
        <v>Home</v>
      </c>
      <c r="C3" s="45"/>
      <c r="D3" s="45"/>
      <c r="E3" s="45"/>
      <c r="F3" s="45"/>
      <c r="G3" s="45"/>
      <c r="H3" s="45"/>
      <c r="I3" s="45"/>
      <c r="J3" s="45"/>
      <c r="K3" s="45"/>
      <c r="L3" s="45"/>
      <c r="M3" s="45"/>
      <c r="N3" s="45"/>
      <c r="O3" s="45"/>
      <c r="P3" s="45"/>
      <c r="Q3" s="45"/>
      <c r="R3" s="45"/>
      <c r="S3" s="45"/>
      <c r="T3" s="45"/>
      <c r="U3" s="45"/>
      <c r="V3" s="205"/>
      <c r="W3" s="205"/>
    </row>
    <row r="4" spans="1:65" ht="20.100000000000001" customHeight="1" x14ac:dyDescent="0.25">
      <c r="A4" s="5" t="str">
        <f>HYPERLINK("#'Results'!A1", "Results")</f>
        <v>Results</v>
      </c>
      <c r="BM4" s="27"/>
    </row>
    <row r="5" spans="1:65" ht="20.100000000000001" customHeight="1" x14ac:dyDescent="0.25">
      <c r="A5"/>
      <c r="D5" s="2" t="str" cm="1">
        <f t="array" ref="D5">Common_SourceData.Common_SourceData_AustralianStatesTerritories_Title()</f>
        <v>Australian states and territories</v>
      </c>
      <c r="BM5" s="27"/>
    </row>
    <row r="6" spans="1:65" ht="20.100000000000001" customHeight="1" x14ac:dyDescent="0.25">
      <c r="A6"/>
      <c r="D6" s="68" t="s">
        <v>716</v>
      </c>
      <c r="E6" s="68" t="s">
        <v>717</v>
      </c>
      <c r="F6" s="68" t="s">
        <v>718</v>
      </c>
    </row>
    <row r="7" spans="1:65" ht="20.100000000000001" customHeight="1" x14ac:dyDescent="0.25">
      <c r="A7" s="7" t="s">
        <v>0</v>
      </c>
      <c r="D7" s="68" t="str" cm="1">
        <f t="array" ref="D7">Common_InputFunctions.Utility_DisplayArrayInTable(Common_SourceData.Common_SourceData_AustralianStatesTerritories_Data(),Table_AustralianStates[[#Headers],[State/Territory]],0)</f>
        <v>New South Wales</v>
      </c>
      <c r="E7" s="68" t="str" cm="1">
        <f t="array" ref="E7">Common_InputFunctions.Utility_DisplayArrayInTable(Common_SourceData.Common_SourceData_AustralianStatesTerritories_Data(),Table_AustralianStates[[#Headers],[State/Territory]],0)</f>
        <v>New South Wales</v>
      </c>
      <c r="F7" s="68"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68" t="str" cm="1">
        <f t="array" ref="D8">Common_InputFunctions.Utility_DisplayArrayInTable(Common_SourceData.Common_SourceData_AustralianStatesTerritories_Data(),Table_AustralianStates[[#Headers],[State/Territory]],0)</f>
        <v>Australian Capital Territory</v>
      </c>
      <c r="E8" s="68" t="str" cm="1">
        <f t="array" ref="E8">Common_InputFunctions.Utility_DisplayArrayInTable(Common_SourceData.Common_SourceData_AustralianStatesTerritories_Data(),Table_AustralianStates[[#Headers],[State/Territory]],0)</f>
        <v>ACT</v>
      </c>
      <c r="F8" s="68"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68" t="str" cm="1">
        <f t="array" ref="D9">Common_InputFunctions.Utility_DisplayArrayInTable(Common_SourceData.Common_SourceData_AustralianStatesTerritories_Data(),Table_AustralianStates[[#Headers],[State/Territory]],0)</f>
        <v>Victoria</v>
      </c>
      <c r="E9" s="68" t="str" cm="1">
        <f t="array" ref="E9">Common_InputFunctions.Utility_DisplayArrayInTable(Common_SourceData.Common_SourceData_AustralianStatesTerritories_Data(),Table_AustralianStates[[#Headers],[State/Territory]],0)</f>
        <v>Victoria</v>
      </c>
      <c r="F9" s="68"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68" t="str" cm="1">
        <f t="array" ref="D10">Common_InputFunctions.Utility_DisplayArrayInTable(Common_SourceData.Common_SourceData_AustralianStatesTerritories_Data(),Table_AustralianStates[[#Headers],[State/Territory]],0)</f>
        <v>Queensland</v>
      </c>
      <c r="E10" s="68" t="str" cm="1">
        <f t="array" ref="E10">Common_InputFunctions.Utility_DisplayArrayInTable(Common_SourceData.Common_SourceData_AustralianStatesTerritories_Data(),Table_AustralianStates[[#Headers],[State/Territory]],0)</f>
        <v>Queensland</v>
      </c>
      <c r="F10" s="68"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68" t="str" cm="1">
        <f t="array" ref="D11">Common_InputFunctions.Utility_DisplayArrayInTable(Common_SourceData.Common_SourceData_AustralianStatesTerritories_Data(),Table_AustralianStates[[#Headers],[State/Territory]],0)</f>
        <v>South Australia</v>
      </c>
      <c r="E11" s="68" t="str" cm="1">
        <f t="array" ref="E11">Common_InputFunctions.Utility_DisplayArrayInTable(Common_SourceData.Common_SourceData_AustralianStatesTerritories_Data(),Table_AustralianStates[[#Headers],[State/Territory]],0)</f>
        <v>South Australia</v>
      </c>
      <c r="F11" s="68" t="str" cm="1">
        <f t="array" ref="F11">Common_InputFunctions.Utility_DisplayArrayInTable(Common_SourceData.Common_SourceData_AustralianStatesTerritories_Data(),Table_AustralianStates[[#Headers],[State/Territory]],0)</f>
        <v>SA</v>
      </c>
      <c r="BM11" s="27"/>
    </row>
    <row r="12" spans="1:65" ht="20.100000000000001" customHeight="1" x14ac:dyDescent="0.25">
      <c r="A12" s="5" t="str">
        <f>HYPERLINK("#'Input - Pasture'!A1", "Pasture")</f>
        <v>Pasture</v>
      </c>
      <c r="D12" s="68" t="str" cm="1">
        <f t="array" ref="D12">Common_InputFunctions.Utility_DisplayArrayInTable(Common_SourceData.Common_SourceData_AustralianStatesTerritories_Data(),Table_AustralianStates[[#Headers],[State/Territory]],0)</f>
        <v>Western Australia</v>
      </c>
      <c r="E12" s="68" t="str" cm="1">
        <f t="array" ref="E12">Common_InputFunctions.Utility_DisplayArrayInTable(Common_SourceData.Common_SourceData_AustralianStatesTerritories_Data(),Table_AustralianStates[[#Headers],[State/Territory]],0)</f>
        <v>Western Australia</v>
      </c>
      <c r="F12" s="68" t="str" cm="1">
        <f t="array" ref="F12">Common_InputFunctions.Utility_DisplayArrayInTable(Common_SourceData.Common_SourceData_AustralianStatesTerritories_Data(),Table_AustralianStates[[#Headers],[State/Territory]],0)</f>
        <v>WA</v>
      </c>
      <c r="BM12" s="27"/>
    </row>
    <row r="13" spans="1:65" ht="20.100000000000001" customHeight="1" x14ac:dyDescent="0.25">
      <c r="A13" s="5" t="str">
        <f>HYPERLINK("#'Input - Fertiliser'!A1", "Fertiliser")</f>
        <v>Fertiliser</v>
      </c>
      <c r="D13" s="68" t="str" cm="1">
        <f t="array" ref="D13">Common_InputFunctions.Utility_DisplayArrayInTable(Common_SourceData.Common_SourceData_AustralianStatesTerritories_Data(),Table_AustralianStates[[#Headers],[State/Territory]],0)</f>
        <v>Tasmania</v>
      </c>
      <c r="E13" s="68" t="str" cm="1">
        <f t="array" ref="E13">Common_InputFunctions.Utility_DisplayArrayInTable(Common_SourceData.Common_SourceData_AustralianStatesTerritories_Data(),Table_AustralianStates[[#Headers],[State/Territory]],0)</f>
        <v>Tasmania</v>
      </c>
      <c r="F13" s="68"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68" t="str" cm="1">
        <f t="array" ref="D14">Common_InputFunctions.Utility_DisplayArrayInTable(Common_SourceData.Common_SourceData_AustralianStatesTerritories_Data(),Table_AustralianStates[[#Headers],[State/Territory]],0)</f>
        <v>Northern Territory</v>
      </c>
      <c r="E14" s="68" t="str" cm="1">
        <f t="array" ref="E14">Common_InputFunctions.Utility_DisplayArrayInTable(Common_SourceData.Common_SourceData_AustralianStatesTerritories_Data(),Table_AustralianStates[[#Headers],[State/Territory]],0)</f>
        <v>Northern Territory</v>
      </c>
      <c r="F14" s="68"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3</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46"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68" t="s">
        <v>719</v>
      </c>
    </row>
    <row r="21" spans="1:4" ht="20.100000000000001" customHeight="1" x14ac:dyDescent="0.25">
      <c r="A21" s="5" t="str">
        <f>HYPERLINK("#'4.2.1.3-4 Soil direct N20'!A1", "4.2.1.3-4 Soil direct N2O")</f>
        <v>4.2.1.3-4 Soil direct N2O</v>
      </c>
      <c r="D21" s="68"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68"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68"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68"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68"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68"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68"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68"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68"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68"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46" t="str" cm="1">
        <f t="array" ref="D35">Common_SourceData.Common_SourceData_GWP_Source()</f>
        <v>XXXXXXX</v>
      </c>
    </row>
    <row r="36" spans="1:8" ht="20.100000000000001" customHeight="1" x14ac:dyDescent="0.25">
      <c r="A36"/>
      <c r="D36" s="68" t="s">
        <v>720</v>
      </c>
      <c r="E36" s="68" t="s">
        <v>721</v>
      </c>
    </row>
    <row r="37" spans="1:8" ht="20.100000000000001" customHeight="1" x14ac:dyDescent="0.25">
      <c r="A37" s="243" t="s">
        <v>1</v>
      </c>
      <c r="D37" s="68" t="str" cm="1">
        <f t="array" ref="D37">Common_InputFunctions.Utility_DisplayArrayInTable(Common_SourceData.Common_SourceData_GWP_Data(), Table_GWPData[[#Headers],[Gas]], 0)</f>
        <v>CO2</v>
      </c>
      <c r="E37" s="68"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68" t="str" cm="1">
        <f t="array" ref="D38">Common_InputFunctions.Utility_DisplayArrayInTable(Common_SourceData.Common_SourceData_GWP_Data(), Table_GWPData[[#Headers],[Gas]], 0)</f>
        <v>CH4</v>
      </c>
      <c r="E38" s="68"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68" t="str" cm="1">
        <f t="array" ref="D39">Common_InputFunctions.Utility_DisplayArrayInTable(Common_SourceData.Common_SourceData_GWP_Data(), Table_GWPData[[#Headers],[Gas]], 0)</f>
        <v>N2O</v>
      </c>
      <c r="E39" s="68" cm="1">
        <f t="array" ref="E39">Common_InputFunctions.Utility_DisplayArrayInTable(Common_SourceData.Common_SourceData_GWP_Data(), Table_GWPData[[#Headers],[Gas]], 0)</f>
        <v>265</v>
      </c>
    </row>
    <row r="40" spans="1:8" ht="20.100000000000001" customHeight="1" x14ac:dyDescent="0.25">
      <c r="A40" s="5" t="str">
        <f>HYPERLINK("#'Constants - Livestock'!A1", "Constants - Livestock")</f>
        <v>Constants - Livestock</v>
      </c>
      <c r="D40" s="68" t="str" cm="1">
        <f t="array" ref="D40">Common_InputFunctions.Utility_DisplayArrayInTable(Common_SourceData.Common_SourceData_GWP_Data(), Table_GWPData[[#Headers],[Gas]], 0)</f>
        <v>CF4</v>
      </c>
      <c r="E40" s="68"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68" t="str" cm="1">
        <f t="array" ref="D41">Common_InputFunctions.Utility_DisplayArrayInTable(Common_SourceData.Common_SourceData_GWP_Data(), Table_GWPData[[#Headers],[Gas]], 0)</f>
        <v>C2F6</v>
      </c>
      <c r="E41" s="68"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68" t="str" cm="1">
        <f t="array" ref="D42">Common_InputFunctions.Utility_DisplayArrayInTable(Common_SourceData.Common_SourceData_GWP_Data(), Table_GWPData[[#Headers],[Gas]], 0)</f>
        <v>SF6</v>
      </c>
      <c r="E42" s="68"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68" t="str" cm="1">
        <f t="array" ref="D43">Common_InputFunctions.Utility_DisplayArrayInTable(Common_SourceData.Common_SourceData_GWP_Data(), Table_GWPData[[#Headers],[Gas]], 0)</f>
        <v>NF3</v>
      </c>
      <c r="E43" s="68" cm="1">
        <f t="array" ref="E43">Common_InputFunctions.Utility_DisplayArrayInTable(Common_SourceData.Common_SourceData_GWP_Data(), Table_GWPData[[#Headers],[Gas]], 0)</f>
        <v>17200</v>
      </c>
    </row>
    <row r="44" spans="1:8" ht="20.100000000000001" customHeight="1" x14ac:dyDescent="0.25">
      <c r="A44" s="69"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46" t="str" cm="1">
        <f t="array" ref="D46">Common_SourceData.Common_SourceData_ConvertGasElementalToMolecular_Source()</f>
        <v>XXXXXXX</v>
      </c>
    </row>
    <row r="47" spans="1:8" ht="20.100000000000001" customHeight="1" x14ac:dyDescent="0.25">
      <c r="A47"/>
      <c r="D47" s="68" t="s">
        <v>720</v>
      </c>
      <c r="E47" s="68" t="s">
        <v>722</v>
      </c>
      <c r="F47" s="68" t="s">
        <v>723</v>
      </c>
      <c r="G47" s="68" t="s">
        <v>724</v>
      </c>
      <c r="H47" s="68" t="s">
        <v>725</v>
      </c>
    </row>
    <row r="48" spans="1:8" ht="20.100000000000001" customHeight="1" x14ac:dyDescent="0.25">
      <c r="A48"/>
      <c r="D48" s="68" t="str" cm="1">
        <f t="array" ref="D48">Common_InputFunctions.Utility_DisplayArrayInTable(Common_SourceData.Common_SourceData_ConvertGasElementalToMolecular_Data(),Table_GasToMolecularConversionFactor[[#Headers],[Gas]], 0)</f>
        <v>CO2</v>
      </c>
      <c r="E48" s="68" t="str" cm="1">
        <f t="array" ref="E48">Common_InputFunctions.Utility_DisplayArrayInTable(Common_SourceData.Common_SourceData_ConvertGasElementalToMolecular_Data(),Table_GasToMolecularConversionFactor[[#Headers],[Gas]], 0)</f>
        <v>44/12</v>
      </c>
      <c r="F48" s="68" cm="1">
        <f t="array" ref="F48">Common_InputFunctions.Utility_DisplayArrayInTable(Common_SourceData.Common_SourceData_ConvertGasElementalToMolecular_Data(),Table_GasToMolecularConversionFactor[[#Headers],[Gas]], 0)</f>
        <v>44</v>
      </c>
      <c r="G48" s="68" cm="1">
        <f t="array" ref="G48">Common_InputFunctions.Utility_DisplayArrayInTable(Common_SourceData.Common_SourceData_ConvertGasElementalToMolecular_Data(),Table_GasToMolecularConversionFactor[[#Headers],[Gas]], 0)</f>
        <v>12</v>
      </c>
      <c r="H48" s="68">
        <f>Table_GasToMolecularConversionFactor[[#This Row],[Conversion factor 1]]/Table_GasToMolecularConversionFactor[[#This Row],[Conversion factor 2]]</f>
        <v>3.6666666666666665</v>
      </c>
    </row>
    <row r="49" spans="1:8" ht="20.100000000000001" customHeight="1" x14ac:dyDescent="0.25">
      <c r="A49"/>
      <c r="D49" s="68" t="str" cm="1">
        <f t="array" ref="D49">Common_InputFunctions.Utility_DisplayArrayInTable(Common_SourceData.Common_SourceData_ConvertGasElementalToMolecular_Data(),Table_GasToMolecularConversionFactor[[#Headers],[Gas]], 0)</f>
        <v>CH4</v>
      </c>
      <c r="E49" s="68" t="str" cm="1">
        <f t="array" ref="E49">Common_InputFunctions.Utility_DisplayArrayInTable(Common_SourceData.Common_SourceData_ConvertGasElementalToMolecular_Data(),Table_GasToMolecularConversionFactor[[#Headers],[Gas]], 0)</f>
        <v>16/12</v>
      </c>
      <c r="F49" s="68" cm="1">
        <f t="array" ref="F49">Common_InputFunctions.Utility_DisplayArrayInTable(Common_SourceData.Common_SourceData_ConvertGasElementalToMolecular_Data(),Table_GasToMolecularConversionFactor[[#Headers],[Gas]], 0)</f>
        <v>16</v>
      </c>
      <c r="G49" s="68" cm="1">
        <f t="array" ref="G49">Common_InputFunctions.Utility_DisplayArrayInTable(Common_SourceData.Common_SourceData_ConvertGasElementalToMolecular_Data(),Table_GasToMolecularConversionFactor[[#Headers],[Gas]], 0)</f>
        <v>12</v>
      </c>
      <c r="H49" s="68">
        <f>Table_GasToMolecularConversionFactor[[#This Row],[Conversion factor 1]]/Table_GasToMolecularConversionFactor[[#This Row],[Conversion factor 2]]</f>
        <v>1.3333333333333333</v>
      </c>
    </row>
    <row r="50" spans="1:8" ht="20.100000000000001" customHeight="1" x14ac:dyDescent="0.25">
      <c r="A50"/>
      <c r="D50" s="68" t="str" cm="1">
        <f t="array" ref="D50">Common_InputFunctions.Utility_DisplayArrayInTable(Common_SourceData.Common_SourceData_ConvertGasElementalToMolecular_Data(),Table_GasToMolecularConversionFactor[[#Headers],[Gas]], 0)</f>
        <v>N2O</v>
      </c>
      <c r="E50" s="68" t="str" cm="1">
        <f t="array" ref="E50">Common_InputFunctions.Utility_DisplayArrayInTable(Common_SourceData.Common_SourceData_ConvertGasElementalToMolecular_Data(),Table_GasToMolecularConversionFactor[[#Headers],[Gas]], 0)</f>
        <v>44/28</v>
      </c>
      <c r="F50" s="68" cm="1">
        <f t="array" ref="F50">Common_InputFunctions.Utility_DisplayArrayInTable(Common_SourceData.Common_SourceData_ConvertGasElementalToMolecular_Data(),Table_GasToMolecularConversionFactor[[#Headers],[Gas]], 0)</f>
        <v>44</v>
      </c>
      <c r="G50" s="68" cm="1">
        <f t="array" ref="G50">Common_InputFunctions.Utility_DisplayArrayInTable(Common_SourceData.Common_SourceData_ConvertGasElementalToMolecular_Data(),Table_GasToMolecularConversionFactor[[#Headers],[Gas]], 0)</f>
        <v>28</v>
      </c>
      <c r="H50" s="68">
        <f>Table_GasToMolecularConversionFactor[[#This Row],[Conversion factor 1]]/Table_GasToMolecularConversionFactor[[#This Row],[Conversion factor 2]]</f>
        <v>1.5714285714285714</v>
      </c>
    </row>
    <row r="51" spans="1:8" ht="20.100000000000001" customHeight="1" x14ac:dyDescent="0.25">
      <c r="A51"/>
      <c r="D51" s="68" t="str" cm="1">
        <f t="array" ref="D51">Common_InputFunctions.Utility_DisplayArrayInTable(Common_SourceData.Common_SourceData_ConvertGasElementalToMolecular_Data(),Table_GasToMolecularConversionFactor[[#Headers],[Gas]], 0)</f>
        <v>Nox</v>
      </c>
      <c r="E51" s="68" t="str" cm="1">
        <f t="array" ref="E51">Common_InputFunctions.Utility_DisplayArrayInTable(Common_SourceData.Common_SourceData_ConvertGasElementalToMolecular_Data(),Table_GasToMolecularConversionFactor[[#Headers],[Gas]], 0)</f>
        <v>46/14</v>
      </c>
      <c r="F51" s="68" cm="1">
        <f t="array" ref="F51">Common_InputFunctions.Utility_DisplayArrayInTable(Common_SourceData.Common_SourceData_ConvertGasElementalToMolecular_Data(),Table_GasToMolecularConversionFactor[[#Headers],[Gas]], 0)</f>
        <v>46</v>
      </c>
      <c r="G51" s="68" cm="1">
        <f t="array" ref="G51">Common_InputFunctions.Utility_DisplayArrayInTable(Common_SourceData.Common_SourceData_ConvertGasElementalToMolecular_Data(),Table_GasToMolecularConversionFactor[[#Headers],[Gas]], 0)</f>
        <v>14</v>
      </c>
      <c r="H51" s="68">
        <f>Table_GasToMolecularConversionFactor[[#This Row],[Conversion factor 1]]/Table_GasToMolecularConversionFactor[[#This Row],[Conversion factor 2]]</f>
        <v>3.2857142857142856</v>
      </c>
    </row>
    <row r="52" spans="1:8" ht="20.100000000000001" customHeight="1" x14ac:dyDescent="0.25">
      <c r="A52"/>
      <c r="D52" s="68" t="str" cm="1">
        <f t="array" ref="D52">Common_InputFunctions.Utility_DisplayArrayInTable(Common_SourceData.Common_SourceData_ConvertGasElementalToMolecular_Data(),Table_GasToMolecularConversionFactor[[#Headers],[Gas]], 0)</f>
        <v>CO</v>
      </c>
      <c r="E52" s="68" t="str" cm="1">
        <f t="array" ref="E52">Common_InputFunctions.Utility_DisplayArrayInTable(Common_SourceData.Common_SourceData_ConvertGasElementalToMolecular_Data(),Table_GasToMolecularConversionFactor[[#Headers],[Gas]], 0)</f>
        <v>28/12</v>
      </c>
      <c r="F52" s="68" cm="1">
        <f t="array" ref="F52">Common_InputFunctions.Utility_DisplayArrayInTable(Common_SourceData.Common_SourceData_ConvertGasElementalToMolecular_Data(),Table_GasToMolecularConversionFactor[[#Headers],[Gas]], 0)</f>
        <v>28</v>
      </c>
      <c r="G52" s="68" cm="1">
        <f t="array" ref="G52">Common_InputFunctions.Utility_DisplayArrayInTable(Common_SourceData.Common_SourceData_ConvertGasElementalToMolecular_Data(),Table_GasToMolecularConversionFactor[[#Headers],[Gas]], 0)</f>
        <v>12</v>
      </c>
      <c r="H52" s="68">
        <f>Table_GasToMolecularConversionFactor[[#This Row],[Conversion factor 1]]/Table_GasToMolecularConversionFactor[[#This Row],[Conversion factor 2]]</f>
        <v>2.3333333333333335</v>
      </c>
    </row>
    <row r="53" spans="1:8" ht="20.100000000000001" customHeight="1" x14ac:dyDescent="0.25">
      <c r="A53"/>
      <c r="D53" s="68" t="str" cm="1">
        <f t="array" ref="D53">Common_InputFunctions.Utility_DisplayArrayInTable(Common_SourceData.Common_SourceData_ConvertGasElementalToMolecular_Data(),Table_GasToMolecularConversionFactor[[#Headers],[Gas]], 0)</f>
        <v>CO2 Lime</v>
      </c>
      <c r="E53" s="68" t="str" cm="1">
        <f t="array" ref="E53">Common_InputFunctions.Utility_DisplayArrayInTable(Common_SourceData.Common_SourceData_ConvertGasElementalToMolecular_Data(),Table_GasToMolecularConversionFactor[[#Headers],[Gas]], 0)</f>
        <v>44/12</v>
      </c>
      <c r="F53" s="68" cm="1">
        <f t="array" ref="F53">Common_InputFunctions.Utility_DisplayArrayInTable(Common_SourceData.Common_SourceData_ConvertGasElementalToMolecular_Data(),Table_GasToMolecularConversionFactor[[#Headers],[Gas]], 0)</f>
        <v>44</v>
      </c>
      <c r="G53" s="68" cm="1">
        <f t="array" ref="G53">Common_InputFunctions.Utility_DisplayArrayInTable(Common_SourceData.Common_SourceData_ConvertGasElementalToMolecular_Data(),Table_GasToMolecularConversionFactor[[#Headers],[Gas]], 0)</f>
        <v>12</v>
      </c>
      <c r="H53" s="68">
        <f>Table_GasToMolecularConversionFactor[[#This Row],[Conversion factor 1]]/Table_GasToMolecularConversionFactor[[#This Row],[Conversion factor 2]]</f>
        <v>3.6666666666666665</v>
      </c>
    </row>
    <row r="54" spans="1:8" ht="20.100000000000001" customHeight="1" x14ac:dyDescent="0.25">
      <c r="A54"/>
      <c r="D54" s="68" t="str" cm="1">
        <f t="array" ref="D54">Common_InputFunctions.Utility_DisplayArrayInTable(Common_SourceData.Common_SourceData_ConvertGasElementalToMolecular_Data(),Table_GasToMolecularConversionFactor[[#Headers],[Gas]], 0)</f>
        <v>NMVOC</v>
      </c>
      <c r="E54" s="68" t="str" cm="1">
        <f t="array" ref="E54">Common_InputFunctions.Utility_DisplayArrayInTable(Common_SourceData.Common_SourceData_ConvertGasElementalToMolecular_Data(),Table_GasToMolecularConversionFactor[[#Headers],[Gas]], 0)</f>
        <v>14/12</v>
      </c>
      <c r="F54" s="68" cm="1">
        <f t="array" ref="F54">Common_InputFunctions.Utility_DisplayArrayInTable(Common_SourceData.Common_SourceData_ConvertGasElementalToMolecular_Data(),Table_GasToMolecularConversionFactor[[#Headers],[Gas]], 0)</f>
        <v>14</v>
      </c>
      <c r="G54" s="68" cm="1">
        <f t="array" ref="G54">Common_InputFunctions.Utility_DisplayArrayInTable(Common_SourceData.Common_SourceData_ConvertGasElementalToMolecular_Data(),Table_GasToMolecularConversionFactor[[#Headers],[Gas]], 0)</f>
        <v>12</v>
      </c>
      <c r="H54" s="6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46" t="str" cm="1">
        <f t="array" ref="D58">Common_SourceData.Common_SourceData_WetAndDryZones_Source()</f>
        <v>VEERG 2026: Table 1.2: Translating climate zones to wet and dry zones</v>
      </c>
    </row>
    <row r="59" spans="1:8" ht="20.100000000000001" customHeight="1" x14ac:dyDescent="0.25">
      <c r="A59"/>
      <c r="D59" s="71" t="str" cm="1">
        <f t="array" ref="D59:D61">"⚠️" &amp; Common_SourceData.Common_SourceData_WetAndDryZones_Variation()</f>
        <v>⚠️VARIATION OF SOURCE DATA:</v>
      </c>
    </row>
    <row r="60" spans="1:8" ht="20.100000000000001" customHeight="1" x14ac:dyDescent="0.25">
      <c r="A60"/>
      <c r="D60" s="71" t="str">
        <v>⚠️Added warm / cool temperate moist / dry - low frost and high temp classes to accommodate climate scenarios excluded by VEERG criteria.</v>
      </c>
    </row>
    <row r="61" spans="1:8" ht="20.100000000000001" customHeight="1" x14ac:dyDescent="0.25">
      <c r="A61"/>
      <c r="D61" s="71" t="str">
        <v>⚠️Fixed typo - Changed 'Fry' to 'Dry'.</v>
      </c>
    </row>
    <row r="62" spans="1:8" ht="20.100000000000001" customHeight="1" x14ac:dyDescent="0.25">
      <c r="A62"/>
    </row>
    <row r="63" spans="1:8" ht="20.100000000000001" customHeight="1" x14ac:dyDescent="0.25">
      <c r="A63"/>
      <c r="D63" s="68" t="s">
        <v>712</v>
      </c>
      <c r="E63" s="68" t="s">
        <v>726</v>
      </c>
    </row>
    <row r="64" spans="1:8" ht="20.100000000000001" customHeight="1" x14ac:dyDescent="0.25">
      <c r="A64"/>
      <c r="D64" s="68" t="str" cm="1">
        <f t="array" ref="D64">Common_InputFunctions.Utility_DisplayArrayInTable(Common_SourceData.Common_SourceData_WetAndDryZones_Data(), Table_SourceData_WetDryZones[[#Headers],[Climate zone]], 0)</f>
        <v>Tropical montane</v>
      </c>
      <c r="E64" s="6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68" t="str" cm="1">
        <f t="array" ref="D65">Common_InputFunctions.Utility_DisplayArrayInTable(Common_SourceData.Common_SourceData_WetAndDryZones_Data(), Table_SourceData_WetDryZones[[#Headers],[Climate zone]], 0)</f>
        <v>Tropical wet</v>
      </c>
      <c r="E65" s="6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68" t="str" cm="1">
        <f t="array" ref="D66">Common_InputFunctions.Utility_DisplayArrayInTable(Common_SourceData.Common_SourceData_WetAndDryZones_Data(), Table_SourceData_WetDryZones[[#Headers],[Climate zone]], 0)</f>
        <v>Tropical moist</v>
      </c>
      <c r="E66" s="6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68" t="str" cm="1">
        <f t="array" ref="D67">Common_InputFunctions.Utility_DisplayArrayInTable(Common_SourceData.Common_SourceData_WetAndDryZones_Data(), Table_SourceData_WetDryZones[[#Headers],[Climate zone]], 0)</f>
        <v>Tropical dry</v>
      </c>
      <c r="E67" s="6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68" t="str" cm="1">
        <f t="array" ref="D68">Common_InputFunctions.Utility_DisplayArrayInTable(Common_SourceData.Common_SourceData_WetAndDryZones_Data(), Table_SourceData_WetDryZones[[#Headers],[Climate zone]], 0)</f>
        <v>Warm temperate moist</v>
      </c>
      <c r="E68" s="6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68" t="str" cm="1">
        <f t="array" ref="D69">Common_InputFunctions.Utility_DisplayArrayInTable(Common_SourceData.Common_SourceData_WetAndDryZones_Data(), Table_SourceData_WetDryZones[[#Headers],[Climate zone]], 0)</f>
        <v>Warm temperate dry</v>
      </c>
      <c r="E69" s="6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68" t="str" cm="1">
        <f t="array" ref="D70">Common_InputFunctions.Utility_DisplayArrayInTable(Common_SourceData.Common_SourceData_WetAndDryZones_Data(), Table_SourceData_WetDryZones[[#Headers],[Climate zone]], 0)</f>
        <v>Cool temperate moist</v>
      </c>
      <c r="E70" s="6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68" t="str" cm="1">
        <f t="array" ref="D71">Common_InputFunctions.Utility_DisplayArrayInTable(Common_SourceData.Common_SourceData_WetAndDryZones_Data(), Table_SourceData_WetDryZones[[#Headers],[Climate zone]], 0)</f>
        <v>Cool temperate dry</v>
      </c>
      <c r="E71" s="6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68" t="str" cm="1">
        <f t="array" ref="D72">Common_InputFunctions.Utility_DisplayArrayInTable(Common_SourceData.Common_SourceData_WetAndDryZones_Data(), Table_SourceData_WetDryZones[[#Headers],[Climate zone]], 0)</f>
        <v>Warm temperate moist - low frost</v>
      </c>
      <c r="E72" s="6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68" t="str" cm="1">
        <f t="array" ref="D73">Common_InputFunctions.Utility_DisplayArrayInTable(Common_SourceData.Common_SourceData_WetAndDryZones_Data(), Table_SourceData_WetDryZones[[#Headers],[Climate zone]], 0)</f>
        <v>Warm temperate dry - low frost</v>
      </c>
      <c r="E73" s="6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68" t="str" cm="1">
        <f t="array" ref="D74">Common_InputFunctions.Utility_DisplayArrayInTable(Common_SourceData.Common_SourceData_WetAndDryZones_Data(), Table_SourceData_WetDryZones[[#Headers],[Climate zone]], 0)</f>
        <v>Warm temperate moist - high temp</v>
      </c>
      <c r="E74" s="6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68" t="str" cm="1">
        <f t="array" ref="D75">Common_InputFunctions.Utility_DisplayArrayInTable(Common_SourceData.Common_SourceData_WetAndDryZones_Data(), Table_SourceData_WetDryZones[[#Headers],[Climate zone]], 0)</f>
        <v>Warm temperate dry - high temp</v>
      </c>
      <c r="E75" s="6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68" t="str" cm="1">
        <f t="array" ref="D76">Common_InputFunctions.Utility_DisplayArrayInTable(Common_SourceData.Common_SourceData_WetAndDryZones_Data(), Table_SourceData_WetDryZones[[#Headers],[Climate zone]], 0)</f>
        <v>Cool temperate moist - low frost</v>
      </c>
      <c r="E76" s="6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68" t="str" cm="1">
        <f t="array" ref="D77">Common_InputFunctions.Utility_DisplayArrayInTable(Common_SourceData.Common_SourceData_WetAndDryZones_Data(), Table_SourceData_WetDryZones[[#Headers],[Climate zone]], 0)</f>
        <v>Cool temperate dry - low frost</v>
      </c>
      <c r="E77" s="6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46" t="str" cm="1">
        <f t="array" ref="D82">Common_SourceData.Common_SourceData_ClimateZones_Source()</f>
        <v>VEERG 2026: Table 1.3: Climate and Rainfall zone classifications and definitions</v>
      </c>
    </row>
    <row r="83" spans="1:20" ht="20.100000000000001" customHeight="1" x14ac:dyDescent="0.25">
      <c r="A83"/>
      <c r="D83" s="71" t="str" cm="1">
        <f t="array" ref="D83:D87">"⚠️" &amp; Common_SourceData.Common_SourceData_ClimateZones_Variation()</f>
        <v>⚠️VARIATION OF SOURCE DATA:</v>
      </c>
    </row>
    <row r="84" spans="1:20" ht="20.100000000000001" customHeight="1" x14ac:dyDescent="0.25">
      <c r="A84"/>
      <c r="D84" s="71" t="str">
        <v>⚠️Added warm / cool temperate moist / dry - low frost and high temp classes to accommodate climate scenarios excluded by VEERG criteria.</v>
      </c>
    </row>
    <row r="85" spans="1:20" ht="20.100000000000001" customHeight="1" x14ac:dyDescent="0.25">
      <c r="A85"/>
      <c r="D85" s="71" t="str">
        <v>⚠️Fixed typo in MAT value for warm temperate dry - changed 10 to 11.</v>
      </c>
    </row>
    <row r="86" spans="1:20" ht="20.100000000000001" customHeight="1" x14ac:dyDescent="0.25">
      <c r="A86"/>
      <c r="D86" s="71" t="str">
        <v>⚠️Added min and max columns for MAT, MAP, frost days per year, elevation, MAP:PET to calculate zones from real climate data.</v>
      </c>
    </row>
    <row r="87" spans="1:20" ht="20.100000000000001" customHeight="1" x14ac:dyDescent="0.25">
      <c r="A87"/>
      <c r="D87" s="71" t="str">
        <v>⚠️GAF accepts rainfall as a proxy for precipitation.</v>
      </c>
    </row>
    <row r="88" spans="1:20" ht="20.100000000000001" customHeight="1" x14ac:dyDescent="0.25">
      <c r="A88"/>
    </row>
    <row r="89" spans="1:20" ht="20.100000000000001" customHeight="1" x14ac:dyDescent="0.25">
      <c r="A89"/>
      <c r="D89" s="68" t="s">
        <v>712</v>
      </c>
      <c r="E89" s="68" t="s">
        <v>727</v>
      </c>
      <c r="F89" s="68" t="s">
        <v>728</v>
      </c>
      <c r="G89" s="68" t="s">
        <v>729</v>
      </c>
      <c r="H89" s="68" t="s">
        <v>702</v>
      </c>
      <c r="I89" s="68" t="s">
        <v>730</v>
      </c>
      <c r="J89" s="68" t="s">
        <v>731</v>
      </c>
      <c r="K89" s="68" t="s">
        <v>732</v>
      </c>
      <c r="L89" s="68" t="s">
        <v>733</v>
      </c>
      <c r="M89" s="68" t="s">
        <v>734</v>
      </c>
      <c r="N89" s="68" t="s">
        <v>735</v>
      </c>
      <c r="O89" s="68" t="s">
        <v>736</v>
      </c>
      <c r="P89" s="68" t="s">
        <v>737</v>
      </c>
      <c r="Q89" s="68" t="s">
        <v>738</v>
      </c>
      <c r="R89" s="68" t="s">
        <v>739</v>
      </c>
      <c r="S89" s="68" t="s">
        <v>740</v>
      </c>
      <c r="T89" s="68"/>
    </row>
    <row r="90" spans="1:20" ht="20.100000000000001" customHeight="1" x14ac:dyDescent="0.25">
      <c r="A90"/>
      <c r="D90" s="68" t="str" cm="1">
        <f t="array" ref="D90">Common_InputFunctions.Utility_DisplayArrayInTable(Common_SourceData.Common_SourceData_ClimateZones_Data(), Table_SourceData_ClimateZones[[#Headers],[Climate zone]], 0)</f>
        <v>Tropical montane</v>
      </c>
      <c r="E90" s="68" t="str" cm="1">
        <f t="array" ref="E90">Common_InputFunctions.Utility_DisplayArrayInTable(Common_SourceData.Common_SourceData_ClimateZones_Data(), Table_SourceData_ClimateZones[[#Headers],[Climate zone]], 0)</f>
        <v>&gt; 18 C</v>
      </c>
      <c r="F90" s="68" t="str" cm="1">
        <f t="array" ref="F90">Common_InputFunctions.Utility_DisplayArrayInTable(Common_SourceData.Common_SourceData_ClimateZones_Data(), Table_SourceData_ClimateZones[[#Headers],[Climate zone]], 0)</f>
        <v>Any</v>
      </c>
      <c r="G90" s="68" t="str" cm="1">
        <f t="array" ref="G90">Common_InputFunctions.Utility_DisplayArrayInTable(Common_SourceData.Common_SourceData_ClimateZones_Data(), Table_SourceData_ClimateZones[[#Headers],[Climate zone]], 0)</f>
        <v>≤ 7</v>
      </c>
      <c r="H90" s="68" t="str" cm="1">
        <f t="array" ref="H90">Common_InputFunctions.Utility_DisplayArrayInTable(Common_SourceData.Common_SourceData_ClimateZones_Data(), Table_SourceData_ClimateZones[[#Headers],[Climate zone]], 0)</f>
        <v>&gt; 1000 m</v>
      </c>
      <c r="I90" s="68" t="str" cm="1">
        <f t="array" ref="I90">Common_InputFunctions.Utility_DisplayArrayInTable(Common_SourceData.Common_SourceData_ClimateZones_Data(), Table_SourceData_ClimateZones[[#Headers],[Climate zone]], 0)</f>
        <v>Any</v>
      </c>
      <c r="J90" s="68" cm="1">
        <f t="array" ref="J90">Common_InputFunctions.Utility_DisplayArrayInTable(Common_SourceData.Common_SourceData_ClimateZones_Data(), Table_SourceData_ClimateZones[[#Headers],[Climate zone]], 0)</f>
        <v>18.001000000000001</v>
      </c>
      <c r="K90" s="68" cm="1">
        <f t="array" ref="K90">Common_InputFunctions.Utility_DisplayArrayInTable(Common_SourceData.Common_SourceData_ClimateZones_Data(), Table_SourceData_ClimateZones[[#Headers],[Climate zone]], 0)</f>
        <v>999999</v>
      </c>
      <c r="L90" s="68" cm="1">
        <f t="array" ref="L90">Common_InputFunctions.Utility_DisplayArrayInTable(Common_SourceData.Common_SourceData_ClimateZones_Data(), Table_SourceData_ClimateZones[[#Headers],[Climate zone]], 0)</f>
        <v>-999999</v>
      </c>
      <c r="M90" s="68" cm="1">
        <f t="array" ref="M90">Common_InputFunctions.Utility_DisplayArrayInTable(Common_SourceData.Common_SourceData_ClimateZones_Data(), Table_SourceData_ClimateZones[[#Headers],[Climate zone]], 0)</f>
        <v>999999</v>
      </c>
      <c r="N90" s="68" cm="1">
        <f t="array" ref="N90">Common_InputFunctions.Utility_DisplayArrayInTable(Common_SourceData.Common_SourceData_ClimateZones_Data(), Table_SourceData_ClimateZones[[#Headers],[Climate zone]], 0)</f>
        <v>-999999</v>
      </c>
      <c r="O90" s="68" cm="1">
        <f t="array" ref="O90">Common_InputFunctions.Utility_DisplayArrayInTable(Common_SourceData.Common_SourceData_ClimateZones_Data(), Table_SourceData_ClimateZones[[#Headers],[Climate zone]], 0)</f>
        <v>7</v>
      </c>
      <c r="P90" s="68" cm="1">
        <f t="array" ref="P90">Common_InputFunctions.Utility_DisplayArrayInTable(Common_SourceData.Common_SourceData_ClimateZones_Data(), Table_SourceData_ClimateZones[[#Headers],[Climate zone]], 0)</f>
        <v>1000</v>
      </c>
      <c r="Q90" s="68" cm="1">
        <f t="array" ref="Q90">Common_InputFunctions.Utility_DisplayArrayInTable(Common_SourceData.Common_SourceData_ClimateZones_Data(), Table_SourceData_ClimateZones[[#Headers],[Climate zone]], 0)</f>
        <v>999999</v>
      </c>
      <c r="R90" s="68" cm="1">
        <f t="array" ref="R90">Common_InputFunctions.Utility_DisplayArrayInTable(Common_SourceData.Common_SourceData_ClimateZones_Data(), Table_SourceData_ClimateZones[[#Headers],[Climate zone]], 0)</f>
        <v>-999999</v>
      </c>
      <c r="S90" s="68" cm="1">
        <f t="array" ref="S90">Common_InputFunctions.Utility_DisplayArrayInTable(Common_SourceData.Common_SourceData_ClimateZones_Data(), Table_SourceData_ClimateZones[[#Headers],[Climate zone]], 0)</f>
        <v>999999</v>
      </c>
      <c r="T90" s="68"/>
    </row>
    <row r="91" spans="1:20" ht="20.100000000000001" customHeight="1" x14ac:dyDescent="0.25">
      <c r="A91"/>
      <c r="D91" s="68" t="str" cm="1">
        <f t="array" ref="D91">Common_InputFunctions.Utility_DisplayArrayInTable(Common_SourceData.Common_SourceData_ClimateZones_Data(), Table_SourceData_ClimateZones[[#Headers],[Climate zone]], 0)</f>
        <v>Tropical wet</v>
      </c>
      <c r="E91" s="68" t="str" cm="1">
        <f t="array" ref="E91">Common_InputFunctions.Utility_DisplayArrayInTable(Common_SourceData.Common_SourceData_ClimateZones_Data(), Table_SourceData_ClimateZones[[#Headers],[Climate zone]], 0)</f>
        <v>&gt; 18 C</v>
      </c>
      <c r="F91" s="68" t="str" cm="1">
        <f t="array" ref="F91">Common_InputFunctions.Utility_DisplayArrayInTable(Common_SourceData.Common_SourceData_ClimateZones_Data(), Table_SourceData_ClimateZones[[#Headers],[Climate zone]], 0)</f>
        <v>&gt; 2000 mm</v>
      </c>
      <c r="G91" s="68" t="str" cm="1">
        <f t="array" ref="G91">Common_InputFunctions.Utility_DisplayArrayInTable(Common_SourceData.Common_SourceData_ClimateZones_Data(), Table_SourceData_ClimateZones[[#Headers],[Climate zone]], 0)</f>
        <v>≤ 7</v>
      </c>
      <c r="H91" s="68" t="str" cm="1">
        <f t="array" ref="H91">Common_InputFunctions.Utility_DisplayArrayInTable(Common_SourceData.Common_SourceData_ClimateZones_Data(), Table_SourceData_ClimateZones[[#Headers],[Climate zone]], 0)</f>
        <v>≤ 1000 m</v>
      </c>
      <c r="I91" s="68" t="str" cm="1">
        <f t="array" ref="I91">Common_InputFunctions.Utility_DisplayArrayInTable(Common_SourceData.Common_SourceData_ClimateZones_Data(), Table_SourceData_ClimateZones[[#Headers],[Climate zone]], 0)</f>
        <v>Any</v>
      </c>
      <c r="J91" s="68" cm="1">
        <f t="array" ref="J91">Common_InputFunctions.Utility_DisplayArrayInTable(Common_SourceData.Common_SourceData_ClimateZones_Data(), Table_SourceData_ClimateZones[[#Headers],[Climate zone]], 0)</f>
        <v>18.001000000000001</v>
      </c>
      <c r="K91" s="68" cm="1">
        <f t="array" ref="K91">Common_InputFunctions.Utility_DisplayArrayInTable(Common_SourceData.Common_SourceData_ClimateZones_Data(), Table_SourceData_ClimateZones[[#Headers],[Climate zone]], 0)</f>
        <v>999999</v>
      </c>
      <c r="L91" s="68" cm="1">
        <f t="array" ref="L91">Common_InputFunctions.Utility_DisplayArrayInTable(Common_SourceData.Common_SourceData_ClimateZones_Data(), Table_SourceData_ClimateZones[[#Headers],[Climate zone]], 0)</f>
        <v>2000.001</v>
      </c>
      <c r="M91" s="68" cm="1">
        <f t="array" ref="M91">Common_InputFunctions.Utility_DisplayArrayInTable(Common_SourceData.Common_SourceData_ClimateZones_Data(), Table_SourceData_ClimateZones[[#Headers],[Climate zone]], 0)</f>
        <v>999999</v>
      </c>
      <c r="N91" s="68" cm="1">
        <f t="array" ref="N91">Common_InputFunctions.Utility_DisplayArrayInTable(Common_SourceData.Common_SourceData_ClimateZones_Data(), Table_SourceData_ClimateZones[[#Headers],[Climate zone]], 0)</f>
        <v>-999999</v>
      </c>
      <c r="O91" s="68" cm="1">
        <f t="array" ref="O91">Common_InputFunctions.Utility_DisplayArrayInTable(Common_SourceData.Common_SourceData_ClimateZones_Data(), Table_SourceData_ClimateZones[[#Headers],[Climate zone]], 0)</f>
        <v>7</v>
      </c>
      <c r="P91" s="68" cm="1">
        <f t="array" ref="P91">Common_InputFunctions.Utility_DisplayArrayInTable(Common_SourceData.Common_SourceData_ClimateZones_Data(), Table_SourceData_ClimateZones[[#Headers],[Climate zone]], 0)</f>
        <v>-999999</v>
      </c>
      <c r="Q91" s="68" cm="1">
        <f t="array" ref="Q91">Common_InputFunctions.Utility_DisplayArrayInTable(Common_SourceData.Common_SourceData_ClimateZones_Data(), Table_SourceData_ClimateZones[[#Headers],[Climate zone]], 0)</f>
        <v>999.99900000000002</v>
      </c>
      <c r="R91" s="68" cm="1">
        <f t="array" ref="R91">Common_InputFunctions.Utility_DisplayArrayInTable(Common_SourceData.Common_SourceData_ClimateZones_Data(), Table_SourceData_ClimateZones[[#Headers],[Climate zone]], 0)</f>
        <v>-999999</v>
      </c>
      <c r="S91" s="68" cm="1">
        <f t="array" ref="S91">Common_InputFunctions.Utility_DisplayArrayInTable(Common_SourceData.Common_SourceData_ClimateZones_Data(), Table_SourceData_ClimateZones[[#Headers],[Climate zone]], 0)</f>
        <v>999999</v>
      </c>
      <c r="T91" s="68"/>
    </row>
    <row r="92" spans="1:20" ht="20.100000000000001" customHeight="1" x14ac:dyDescent="0.25">
      <c r="A92"/>
      <c r="D92" s="68" t="str" cm="1">
        <f t="array" ref="D92">Common_InputFunctions.Utility_DisplayArrayInTable(Common_SourceData.Common_SourceData_ClimateZones_Data(), Table_SourceData_ClimateZones[[#Headers],[Climate zone]], 0)</f>
        <v>Tropical moist</v>
      </c>
      <c r="E92" s="68" t="str" cm="1">
        <f t="array" ref="E92">Common_InputFunctions.Utility_DisplayArrayInTable(Common_SourceData.Common_SourceData_ClimateZones_Data(), Table_SourceData_ClimateZones[[#Headers],[Climate zone]], 0)</f>
        <v>&gt; 18 C</v>
      </c>
      <c r="F92" s="68" t="str" cm="1">
        <f t="array" ref="F92">Common_InputFunctions.Utility_DisplayArrayInTable(Common_SourceData.Common_SourceData_ClimateZones_Data(), Table_SourceData_ClimateZones[[#Headers],[Climate zone]], 0)</f>
        <v>&gt; 1000 mm - ≤ 2000 mm</v>
      </c>
      <c r="G92" s="68" t="str" cm="1">
        <f t="array" ref="G92">Common_InputFunctions.Utility_DisplayArrayInTable(Common_SourceData.Common_SourceData_ClimateZones_Data(), Table_SourceData_ClimateZones[[#Headers],[Climate zone]], 0)</f>
        <v>≤ 7</v>
      </c>
      <c r="H92" s="68" t="str" cm="1">
        <f t="array" ref="H92">Common_InputFunctions.Utility_DisplayArrayInTable(Common_SourceData.Common_SourceData_ClimateZones_Data(), Table_SourceData_ClimateZones[[#Headers],[Climate zone]], 0)</f>
        <v>≤ 1000 m</v>
      </c>
      <c r="I92" s="68" t="str" cm="1">
        <f t="array" ref="I92">Common_InputFunctions.Utility_DisplayArrayInTable(Common_SourceData.Common_SourceData_ClimateZones_Data(), Table_SourceData_ClimateZones[[#Headers],[Climate zone]], 0)</f>
        <v>Any</v>
      </c>
      <c r="J92" s="68" cm="1">
        <f t="array" ref="J92">Common_InputFunctions.Utility_DisplayArrayInTable(Common_SourceData.Common_SourceData_ClimateZones_Data(), Table_SourceData_ClimateZones[[#Headers],[Climate zone]], 0)</f>
        <v>18.001000000000001</v>
      </c>
      <c r="K92" s="68" cm="1">
        <f t="array" ref="K92">Common_InputFunctions.Utility_DisplayArrayInTable(Common_SourceData.Common_SourceData_ClimateZones_Data(), Table_SourceData_ClimateZones[[#Headers],[Climate zone]], 0)</f>
        <v>999999</v>
      </c>
      <c r="L92" s="68" cm="1">
        <f t="array" ref="L92">Common_InputFunctions.Utility_DisplayArrayInTable(Common_SourceData.Common_SourceData_ClimateZones_Data(), Table_SourceData_ClimateZones[[#Headers],[Climate zone]], 0)</f>
        <v>1000.001</v>
      </c>
      <c r="M92" s="68" cm="1">
        <f t="array" ref="M92">Common_InputFunctions.Utility_DisplayArrayInTable(Common_SourceData.Common_SourceData_ClimateZones_Data(), Table_SourceData_ClimateZones[[#Headers],[Climate zone]], 0)</f>
        <v>2000</v>
      </c>
      <c r="N92" s="68" cm="1">
        <f t="array" ref="N92">Common_InputFunctions.Utility_DisplayArrayInTable(Common_SourceData.Common_SourceData_ClimateZones_Data(), Table_SourceData_ClimateZones[[#Headers],[Climate zone]], 0)</f>
        <v>-999999</v>
      </c>
      <c r="O92" s="68" cm="1">
        <f t="array" ref="O92">Common_InputFunctions.Utility_DisplayArrayInTable(Common_SourceData.Common_SourceData_ClimateZones_Data(), Table_SourceData_ClimateZones[[#Headers],[Climate zone]], 0)</f>
        <v>7</v>
      </c>
      <c r="P92" s="68" cm="1">
        <f t="array" ref="P92">Common_InputFunctions.Utility_DisplayArrayInTable(Common_SourceData.Common_SourceData_ClimateZones_Data(), Table_SourceData_ClimateZones[[#Headers],[Climate zone]], 0)</f>
        <v>-999999</v>
      </c>
      <c r="Q92" s="68" cm="1">
        <f t="array" ref="Q92">Common_InputFunctions.Utility_DisplayArrayInTable(Common_SourceData.Common_SourceData_ClimateZones_Data(), Table_SourceData_ClimateZones[[#Headers],[Climate zone]], 0)</f>
        <v>999.99900000000002</v>
      </c>
      <c r="R92" s="68" cm="1">
        <f t="array" ref="R92">Common_InputFunctions.Utility_DisplayArrayInTable(Common_SourceData.Common_SourceData_ClimateZones_Data(), Table_SourceData_ClimateZones[[#Headers],[Climate zone]], 0)</f>
        <v>-999999</v>
      </c>
      <c r="S92" s="68" cm="1">
        <f t="array" ref="S92">Common_InputFunctions.Utility_DisplayArrayInTable(Common_SourceData.Common_SourceData_ClimateZones_Data(), Table_SourceData_ClimateZones[[#Headers],[Climate zone]], 0)</f>
        <v>999999</v>
      </c>
      <c r="T92" s="68"/>
    </row>
    <row r="93" spans="1:20" ht="20.100000000000001" customHeight="1" x14ac:dyDescent="0.25">
      <c r="A93"/>
      <c r="D93" s="68" t="str" cm="1">
        <f t="array" ref="D93">Common_InputFunctions.Utility_DisplayArrayInTable(Common_SourceData.Common_SourceData_ClimateZones_Data(), Table_SourceData_ClimateZones[[#Headers],[Climate zone]], 0)</f>
        <v>Tropical dry</v>
      </c>
      <c r="E93" s="68" t="str" cm="1">
        <f t="array" ref="E93">Common_InputFunctions.Utility_DisplayArrayInTable(Common_SourceData.Common_SourceData_ClimateZones_Data(), Table_SourceData_ClimateZones[[#Headers],[Climate zone]], 0)</f>
        <v>&gt; 18 C</v>
      </c>
      <c r="F93" s="68" t="str" cm="1">
        <f t="array" ref="F93">Common_InputFunctions.Utility_DisplayArrayInTable(Common_SourceData.Common_SourceData_ClimateZones_Data(), Table_SourceData_ClimateZones[[#Headers],[Climate zone]], 0)</f>
        <v>≤ 1000 mm</v>
      </c>
      <c r="G93" s="68" t="str" cm="1">
        <f t="array" ref="G93">Common_InputFunctions.Utility_DisplayArrayInTable(Common_SourceData.Common_SourceData_ClimateZones_Data(), Table_SourceData_ClimateZones[[#Headers],[Climate zone]], 0)</f>
        <v>≤ 7</v>
      </c>
      <c r="H93" s="68" t="str" cm="1">
        <f t="array" ref="H93">Common_InputFunctions.Utility_DisplayArrayInTable(Common_SourceData.Common_SourceData_ClimateZones_Data(), Table_SourceData_ClimateZones[[#Headers],[Climate zone]], 0)</f>
        <v>≤ 1000 m</v>
      </c>
      <c r="I93" s="68" t="str" cm="1">
        <f t="array" ref="I93">Common_InputFunctions.Utility_DisplayArrayInTable(Common_SourceData.Common_SourceData_ClimateZones_Data(), Table_SourceData_ClimateZones[[#Headers],[Climate zone]], 0)</f>
        <v>Any</v>
      </c>
      <c r="J93" s="68" cm="1">
        <f t="array" ref="J93">Common_InputFunctions.Utility_DisplayArrayInTable(Common_SourceData.Common_SourceData_ClimateZones_Data(), Table_SourceData_ClimateZones[[#Headers],[Climate zone]], 0)</f>
        <v>18.001000000000001</v>
      </c>
      <c r="K93" s="68" cm="1">
        <f t="array" ref="K93">Common_InputFunctions.Utility_DisplayArrayInTable(Common_SourceData.Common_SourceData_ClimateZones_Data(), Table_SourceData_ClimateZones[[#Headers],[Climate zone]], 0)</f>
        <v>999999</v>
      </c>
      <c r="L93" s="68" cm="1">
        <f t="array" ref="L93">Common_InputFunctions.Utility_DisplayArrayInTable(Common_SourceData.Common_SourceData_ClimateZones_Data(), Table_SourceData_ClimateZones[[#Headers],[Climate zone]], 0)</f>
        <v>-999999</v>
      </c>
      <c r="M93" s="68" cm="1">
        <f t="array" ref="M93">Common_InputFunctions.Utility_DisplayArrayInTable(Common_SourceData.Common_SourceData_ClimateZones_Data(), Table_SourceData_ClimateZones[[#Headers],[Climate zone]], 0)</f>
        <v>1000</v>
      </c>
      <c r="N93" s="68" cm="1">
        <f t="array" ref="N93">Common_InputFunctions.Utility_DisplayArrayInTable(Common_SourceData.Common_SourceData_ClimateZones_Data(), Table_SourceData_ClimateZones[[#Headers],[Climate zone]], 0)</f>
        <v>-999999</v>
      </c>
      <c r="O93" s="68" cm="1">
        <f t="array" ref="O93">Common_InputFunctions.Utility_DisplayArrayInTable(Common_SourceData.Common_SourceData_ClimateZones_Data(), Table_SourceData_ClimateZones[[#Headers],[Climate zone]], 0)</f>
        <v>7</v>
      </c>
      <c r="P93" s="68" cm="1">
        <f t="array" ref="P93">Common_InputFunctions.Utility_DisplayArrayInTable(Common_SourceData.Common_SourceData_ClimateZones_Data(), Table_SourceData_ClimateZones[[#Headers],[Climate zone]], 0)</f>
        <v>-999999</v>
      </c>
      <c r="Q93" s="68" cm="1">
        <f t="array" ref="Q93">Common_InputFunctions.Utility_DisplayArrayInTable(Common_SourceData.Common_SourceData_ClimateZones_Data(), Table_SourceData_ClimateZones[[#Headers],[Climate zone]], 0)</f>
        <v>999.99900000000002</v>
      </c>
      <c r="R93" s="68" cm="1">
        <f t="array" ref="R93">Common_InputFunctions.Utility_DisplayArrayInTable(Common_SourceData.Common_SourceData_ClimateZones_Data(), Table_SourceData_ClimateZones[[#Headers],[Climate zone]], 0)</f>
        <v>-999999</v>
      </c>
      <c r="S93" s="68" cm="1">
        <f t="array" ref="S93">Common_InputFunctions.Utility_DisplayArrayInTable(Common_SourceData.Common_SourceData_ClimateZones_Data(), Table_SourceData_ClimateZones[[#Headers],[Climate zone]], 0)</f>
        <v>999999</v>
      </c>
      <c r="T93" s="68"/>
    </row>
    <row r="94" spans="1:20" ht="20.100000000000001" customHeight="1" x14ac:dyDescent="0.25">
      <c r="A94"/>
      <c r="D94" s="68" t="str" cm="1">
        <f t="array" ref="D94">Common_InputFunctions.Utility_DisplayArrayInTable(Common_SourceData.Common_SourceData_ClimateZones_Data(), Table_SourceData_ClimateZones[[#Headers],[Climate zone]], 0)</f>
        <v>Warm temperate moist</v>
      </c>
      <c r="E94" s="68" t="str" cm="1">
        <f t="array" ref="E94">Common_InputFunctions.Utility_DisplayArrayInTable(Common_SourceData.Common_SourceData_ClimateZones_Data(), Table_SourceData_ClimateZones[[#Headers],[Climate zone]], 0)</f>
        <v>&gt; 10 C</v>
      </c>
      <c r="F94" s="68" t="str" cm="1">
        <f t="array" ref="F94">Common_InputFunctions.Utility_DisplayArrayInTable(Common_SourceData.Common_SourceData_ClimateZones_Data(), Table_SourceData_ClimateZones[[#Headers],[Climate zone]], 0)</f>
        <v>Any</v>
      </c>
      <c r="G94" s="68" t="str" cm="1">
        <f t="array" ref="G94">Common_InputFunctions.Utility_DisplayArrayInTable(Common_SourceData.Common_SourceData_ClimateZones_Data(), Table_SourceData_ClimateZones[[#Headers],[Climate zone]], 0)</f>
        <v>Any</v>
      </c>
      <c r="H94" s="68" t="str" cm="1">
        <f t="array" ref="H94">Common_InputFunctions.Utility_DisplayArrayInTable(Common_SourceData.Common_SourceData_ClimateZones_Data(), Table_SourceData_ClimateZones[[#Headers],[Climate zone]], 0)</f>
        <v>Any</v>
      </c>
      <c r="I94" s="68" t="str" cm="1">
        <f t="array" ref="I94">Common_InputFunctions.Utility_DisplayArrayInTable(Common_SourceData.Common_SourceData_ClimateZones_Data(), Table_SourceData_ClimateZones[[#Headers],[Climate zone]], 0)</f>
        <v>&gt; 1</v>
      </c>
      <c r="J94" s="68" cm="1">
        <f t="array" ref="J94">Common_InputFunctions.Utility_DisplayArrayInTable(Common_SourceData.Common_SourceData_ClimateZones_Data(), Table_SourceData_ClimateZones[[#Headers],[Climate zone]], 0)</f>
        <v>10.000999999999999</v>
      </c>
      <c r="K94" s="68" cm="1">
        <f t="array" ref="K94">Common_InputFunctions.Utility_DisplayArrayInTable(Common_SourceData.Common_SourceData_ClimateZones_Data(), Table_SourceData_ClimateZones[[#Headers],[Climate zone]], 0)</f>
        <v>999999</v>
      </c>
      <c r="L94" s="68" cm="1">
        <f t="array" ref="L94">Common_InputFunctions.Utility_DisplayArrayInTable(Common_SourceData.Common_SourceData_ClimateZones_Data(), Table_SourceData_ClimateZones[[#Headers],[Climate zone]], 0)</f>
        <v>-999999</v>
      </c>
      <c r="M94" s="68" cm="1">
        <f t="array" ref="M94">Common_InputFunctions.Utility_DisplayArrayInTable(Common_SourceData.Common_SourceData_ClimateZones_Data(), Table_SourceData_ClimateZones[[#Headers],[Climate zone]], 0)</f>
        <v>999999</v>
      </c>
      <c r="N94" s="68" cm="1">
        <f t="array" ref="N94">Common_InputFunctions.Utility_DisplayArrayInTable(Common_SourceData.Common_SourceData_ClimateZones_Data(), Table_SourceData_ClimateZones[[#Headers],[Climate zone]], 0)</f>
        <v>-999999</v>
      </c>
      <c r="O94" s="68" cm="1">
        <f t="array" ref="O94">Common_InputFunctions.Utility_DisplayArrayInTable(Common_SourceData.Common_SourceData_ClimateZones_Data(), Table_SourceData_ClimateZones[[#Headers],[Climate zone]], 0)</f>
        <v>999999</v>
      </c>
      <c r="P94" s="68" cm="1">
        <f t="array" ref="P94">Common_InputFunctions.Utility_DisplayArrayInTable(Common_SourceData.Common_SourceData_ClimateZones_Data(), Table_SourceData_ClimateZones[[#Headers],[Climate zone]], 0)</f>
        <v>-999999</v>
      </c>
      <c r="Q94" s="68" cm="1">
        <f t="array" ref="Q94">Common_InputFunctions.Utility_DisplayArrayInTable(Common_SourceData.Common_SourceData_ClimateZones_Data(), Table_SourceData_ClimateZones[[#Headers],[Climate zone]], 0)</f>
        <v>999999</v>
      </c>
      <c r="R94" s="68" cm="1">
        <f t="array" ref="R94">Common_InputFunctions.Utility_DisplayArrayInTable(Common_SourceData.Common_SourceData_ClimateZones_Data(), Table_SourceData_ClimateZones[[#Headers],[Climate zone]], 0)</f>
        <v>1.0009999999999999</v>
      </c>
      <c r="S94" s="68" cm="1">
        <f t="array" ref="S94">Common_InputFunctions.Utility_DisplayArrayInTable(Common_SourceData.Common_SourceData_ClimateZones_Data(), Table_SourceData_ClimateZones[[#Headers],[Climate zone]], 0)</f>
        <v>999999</v>
      </c>
      <c r="T94" s="68"/>
    </row>
    <row r="95" spans="1:20" ht="20.100000000000001" customHeight="1" x14ac:dyDescent="0.25">
      <c r="A95"/>
      <c r="D95" s="68" t="str" cm="1">
        <f t="array" ref="D95">Common_InputFunctions.Utility_DisplayArrayInTable(Common_SourceData.Common_SourceData_ClimateZones_Data(), Table_SourceData_ClimateZones[[#Headers],[Climate zone]], 0)</f>
        <v>Warm temperate dry</v>
      </c>
      <c r="E95" s="68" t="str" cm="1">
        <f t="array" ref="E95">Common_InputFunctions.Utility_DisplayArrayInTable(Common_SourceData.Common_SourceData_ClimateZones_Data(), Table_SourceData_ClimateZones[[#Headers],[Climate zone]], 0)</f>
        <v>&gt; 10 C</v>
      </c>
      <c r="F95" s="68" t="str" cm="1">
        <f t="array" ref="F95">Common_InputFunctions.Utility_DisplayArrayInTable(Common_SourceData.Common_SourceData_ClimateZones_Data(), Table_SourceData_ClimateZones[[#Headers],[Climate zone]], 0)</f>
        <v>Any</v>
      </c>
      <c r="G95" s="68" t="str" cm="1">
        <f t="array" ref="G95">Common_InputFunctions.Utility_DisplayArrayInTable(Common_SourceData.Common_SourceData_ClimateZones_Data(), Table_SourceData_ClimateZones[[#Headers],[Climate zone]], 0)</f>
        <v>Any</v>
      </c>
      <c r="H95" s="68" t="str" cm="1">
        <f t="array" ref="H95">Common_InputFunctions.Utility_DisplayArrayInTable(Common_SourceData.Common_SourceData_ClimateZones_Data(), Table_SourceData_ClimateZones[[#Headers],[Climate zone]], 0)</f>
        <v>Any</v>
      </c>
      <c r="I95" s="68" t="str" cm="1">
        <f t="array" ref="I95">Common_InputFunctions.Utility_DisplayArrayInTable(Common_SourceData.Common_SourceData_ClimateZones_Data(), Table_SourceData_ClimateZones[[#Headers],[Climate zone]], 0)</f>
        <v>≤ 1</v>
      </c>
      <c r="J95" s="68" cm="1">
        <f t="array" ref="J95">Common_InputFunctions.Utility_DisplayArrayInTable(Common_SourceData.Common_SourceData_ClimateZones_Data(), Table_SourceData_ClimateZones[[#Headers],[Climate zone]], 0)</f>
        <v>10.000999999999999</v>
      </c>
      <c r="K95" s="68" cm="1">
        <f t="array" ref="K95">Common_InputFunctions.Utility_DisplayArrayInTable(Common_SourceData.Common_SourceData_ClimateZones_Data(), Table_SourceData_ClimateZones[[#Headers],[Climate zone]], 0)</f>
        <v>999999</v>
      </c>
      <c r="L95" s="68" cm="1">
        <f t="array" ref="L95">Common_InputFunctions.Utility_DisplayArrayInTable(Common_SourceData.Common_SourceData_ClimateZones_Data(), Table_SourceData_ClimateZones[[#Headers],[Climate zone]], 0)</f>
        <v>-999999</v>
      </c>
      <c r="M95" s="68" cm="1">
        <f t="array" ref="M95">Common_InputFunctions.Utility_DisplayArrayInTable(Common_SourceData.Common_SourceData_ClimateZones_Data(), Table_SourceData_ClimateZones[[#Headers],[Climate zone]], 0)</f>
        <v>999999</v>
      </c>
      <c r="N95" s="68" cm="1">
        <f t="array" ref="N95">Common_InputFunctions.Utility_DisplayArrayInTable(Common_SourceData.Common_SourceData_ClimateZones_Data(), Table_SourceData_ClimateZones[[#Headers],[Climate zone]], 0)</f>
        <v>-999999</v>
      </c>
      <c r="O95" s="68" cm="1">
        <f t="array" ref="O95">Common_InputFunctions.Utility_DisplayArrayInTable(Common_SourceData.Common_SourceData_ClimateZones_Data(), Table_SourceData_ClimateZones[[#Headers],[Climate zone]], 0)</f>
        <v>999999</v>
      </c>
      <c r="P95" s="68" cm="1">
        <f t="array" ref="P95">Common_InputFunctions.Utility_DisplayArrayInTable(Common_SourceData.Common_SourceData_ClimateZones_Data(), Table_SourceData_ClimateZones[[#Headers],[Climate zone]], 0)</f>
        <v>-999999</v>
      </c>
      <c r="Q95" s="68" cm="1">
        <f t="array" ref="Q95">Common_InputFunctions.Utility_DisplayArrayInTable(Common_SourceData.Common_SourceData_ClimateZones_Data(), Table_SourceData_ClimateZones[[#Headers],[Climate zone]], 0)</f>
        <v>999999</v>
      </c>
      <c r="R95" s="68" cm="1">
        <f t="array" ref="R95">Common_InputFunctions.Utility_DisplayArrayInTable(Common_SourceData.Common_SourceData_ClimateZones_Data(), Table_SourceData_ClimateZones[[#Headers],[Climate zone]], 0)</f>
        <v>-999999</v>
      </c>
      <c r="S95" s="68" cm="1">
        <f t="array" ref="S95">Common_InputFunctions.Utility_DisplayArrayInTable(Common_SourceData.Common_SourceData_ClimateZones_Data(), Table_SourceData_ClimateZones[[#Headers],[Climate zone]], 0)</f>
        <v>1</v>
      </c>
      <c r="T95" s="68"/>
    </row>
    <row r="96" spans="1:20" ht="20.100000000000001" customHeight="1" x14ac:dyDescent="0.25">
      <c r="A96"/>
      <c r="D96" s="68" t="str" cm="1">
        <f t="array" ref="D96">Common_InputFunctions.Utility_DisplayArrayInTable(Common_SourceData.Common_SourceData_ClimateZones_Data(), Table_SourceData_ClimateZones[[#Headers],[Climate zone]], 0)</f>
        <v>Cool temperate moist</v>
      </c>
      <c r="E96" s="68" t="str" cm="1">
        <f t="array" ref="E96">Common_InputFunctions.Utility_DisplayArrayInTable(Common_SourceData.Common_SourceData_ClimateZones_Data(), Table_SourceData_ClimateZones[[#Headers],[Climate zone]], 0)</f>
        <v>&gt; 0 C - ≤ 10 C</v>
      </c>
      <c r="F96" s="68" t="str" cm="1">
        <f t="array" ref="F96">Common_InputFunctions.Utility_DisplayArrayInTable(Common_SourceData.Common_SourceData_ClimateZones_Data(), Table_SourceData_ClimateZones[[#Headers],[Climate zone]], 0)</f>
        <v>Any</v>
      </c>
      <c r="G96" s="68" t="str" cm="1">
        <f t="array" ref="G96">Common_InputFunctions.Utility_DisplayArrayInTable(Common_SourceData.Common_SourceData_ClimateZones_Data(), Table_SourceData_ClimateZones[[#Headers],[Climate zone]], 0)</f>
        <v>Any</v>
      </c>
      <c r="H96" s="68" t="str" cm="1">
        <f t="array" ref="H96">Common_InputFunctions.Utility_DisplayArrayInTable(Common_SourceData.Common_SourceData_ClimateZones_Data(), Table_SourceData_ClimateZones[[#Headers],[Climate zone]], 0)</f>
        <v>Any</v>
      </c>
      <c r="I96" s="68" t="str" cm="1">
        <f t="array" ref="I96">Common_InputFunctions.Utility_DisplayArrayInTable(Common_SourceData.Common_SourceData_ClimateZones_Data(), Table_SourceData_ClimateZones[[#Headers],[Climate zone]], 0)</f>
        <v>&gt; 1</v>
      </c>
      <c r="J96" s="68" cm="1">
        <f t="array" ref="J96">Common_InputFunctions.Utility_DisplayArrayInTable(Common_SourceData.Common_SourceData_ClimateZones_Data(), Table_SourceData_ClimateZones[[#Headers],[Climate zone]], 0)</f>
        <v>-999999</v>
      </c>
      <c r="K96" s="68" cm="1">
        <f t="array" ref="K96">Common_InputFunctions.Utility_DisplayArrayInTable(Common_SourceData.Common_SourceData_ClimateZones_Data(), Table_SourceData_ClimateZones[[#Headers],[Climate zone]], 0)</f>
        <v>10</v>
      </c>
      <c r="L96" s="68" cm="1">
        <f t="array" ref="L96">Common_InputFunctions.Utility_DisplayArrayInTable(Common_SourceData.Common_SourceData_ClimateZones_Data(), Table_SourceData_ClimateZones[[#Headers],[Climate zone]], 0)</f>
        <v>-999999</v>
      </c>
      <c r="M96" s="68" cm="1">
        <f t="array" ref="M96">Common_InputFunctions.Utility_DisplayArrayInTable(Common_SourceData.Common_SourceData_ClimateZones_Data(), Table_SourceData_ClimateZones[[#Headers],[Climate zone]], 0)</f>
        <v>999999</v>
      </c>
      <c r="N96" s="68" cm="1">
        <f t="array" ref="N96">Common_InputFunctions.Utility_DisplayArrayInTable(Common_SourceData.Common_SourceData_ClimateZones_Data(), Table_SourceData_ClimateZones[[#Headers],[Climate zone]], 0)</f>
        <v>-999999</v>
      </c>
      <c r="O96" s="68" cm="1">
        <f t="array" ref="O96">Common_InputFunctions.Utility_DisplayArrayInTable(Common_SourceData.Common_SourceData_ClimateZones_Data(), Table_SourceData_ClimateZones[[#Headers],[Climate zone]], 0)</f>
        <v>999999</v>
      </c>
      <c r="P96" s="68" cm="1">
        <f t="array" ref="P96">Common_InputFunctions.Utility_DisplayArrayInTable(Common_SourceData.Common_SourceData_ClimateZones_Data(), Table_SourceData_ClimateZones[[#Headers],[Climate zone]], 0)</f>
        <v>-999999</v>
      </c>
      <c r="Q96" s="68" cm="1">
        <f t="array" ref="Q96">Common_InputFunctions.Utility_DisplayArrayInTable(Common_SourceData.Common_SourceData_ClimateZones_Data(), Table_SourceData_ClimateZones[[#Headers],[Climate zone]], 0)</f>
        <v>999999</v>
      </c>
      <c r="R96" s="68" cm="1">
        <f t="array" ref="R96">Common_InputFunctions.Utility_DisplayArrayInTable(Common_SourceData.Common_SourceData_ClimateZones_Data(), Table_SourceData_ClimateZones[[#Headers],[Climate zone]], 0)</f>
        <v>1.0009999999999999</v>
      </c>
      <c r="S96" s="68" cm="1">
        <f t="array" ref="S96">Common_InputFunctions.Utility_DisplayArrayInTable(Common_SourceData.Common_SourceData_ClimateZones_Data(), Table_SourceData_ClimateZones[[#Headers],[Climate zone]], 0)</f>
        <v>999999</v>
      </c>
      <c r="T96" s="68"/>
    </row>
    <row r="97" spans="1:20" ht="20.100000000000001" customHeight="1" x14ac:dyDescent="0.25">
      <c r="A97"/>
      <c r="D97" s="68" t="str" cm="1">
        <f t="array" ref="D97">Common_InputFunctions.Utility_DisplayArrayInTable(Common_SourceData.Common_SourceData_ClimateZones_Data(), Table_SourceData_ClimateZones[[#Headers],[Climate zone]], 0)</f>
        <v>Cool temperate dry</v>
      </c>
      <c r="E97" s="68" t="str" cm="1">
        <f t="array" ref="E97">Common_InputFunctions.Utility_DisplayArrayInTable(Common_SourceData.Common_SourceData_ClimateZones_Data(), Table_SourceData_ClimateZones[[#Headers],[Climate zone]], 0)</f>
        <v>&gt; 0 C - ≤ 10 C</v>
      </c>
      <c r="F97" s="68" t="str" cm="1">
        <f t="array" ref="F97">Common_InputFunctions.Utility_DisplayArrayInTable(Common_SourceData.Common_SourceData_ClimateZones_Data(), Table_SourceData_ClimateZones[[#Headers],[Climate zone]], 0)</f>
        <v>Any</v>
      </c>
      <c r="G97" s="68" t="str" cm="1">
        <f t="array" ref="G97">Common_InputFunctions.Utility_DisplayArrayInTable(Common_SourceData.Common_SourceData_ClimateZones_Data(), Table_SourceData_ClimateZones[[#Headers],[Climate zone]], 0)</f>
        <v>Any</v>
      </c>
      <c r="H97" s="68" t="str" cm="1">
        <f t="array" ref="H97">Common_InputFunctions.Utility_DisplayArrayInTable(Common_SourceData.Common_SourceData_ClimateZones_Data(), Table_SourceData_ClimateZones[[#Headers],[Climate zone]], 0)</f>
        <v>Any</v>
      </c>
      <c r="I97" s="68" t="str" cm="1">
        <f t="array" ref="I97">Common_InputFunctions.Utility_DisplayArrayInTable(Common_SourceData.Common_SourceData_ClimateZones_Data(), Table_SourceData_ClimateZones[[#Headers],[Climate zone]], 0)</f>
        <v>≤ 1</v>
      </c>
      <c r="J97" s="68" cm="1">
        <f t="array" ref="J97">Common_InputFunctions.Utility_DisplayArrayInTable(Common_SourceData.Common_SourceData_ClimateZones_Data(), Table_SourceData_ClimateZones[[#Headers],[Climate zone]], 0)</f>
        <v>-999999</v>
      </c>
      <c r="K97" s="68" cm="1">
        <f t="array" ref="K97">Common_InputFunctions.Utility_DisplayArrayInTable(Common_SourceData.Common_SourceData_ClimateZones_Data(), Table_SourceData_ClimateZones[[#Headers],[Climate zone]], 0)</f>
        <v>10</v>
      </c>
      <c r="L97" s="68" cm="1">
        <f t="array" ref="L97">Common_InputFunctions.Utility_DisplayArrayInTable(Common_SourceData.Common_SourceData_ClimateZones_Data(), Table_SourceData_ClimateZones[[#Headers],[Climate zone]], 0)</f>
        <v>-999999</v>
      </c>
      <c r="M97" s="68" cm="1">
        <f t="array" ref="M97">Common_InputFunctions.Utility_DisplayArrayInTable(Common_SourceData.Common_SourceData_ClimateZones_Data(), Table_SourceData_ClimateZones[[#Headers],[Climate zone]], 0)</f>
        <v>999999</v>
      </c>
      <c r="N97" s="68" cm="1">
        <f t="array" ref="N97">Common_InputFunctions.Utility_DisplayArrayInTable(Common_SourceData.Common_SourceData_ClimateZones_Data(), Table_SourceData_ClimateZones[[#Headers],[Climate zone]], 0)</f>
        <v>-999999</v>
      </c>
      <c r="O97" s="68" cm="1">
        <f t="array" ref="O97">Common_InputFunctions.Utility_DisplayArrayInTable(Common_SourceData.Common_SourceData_ClimateZones_Data(), Table_SourceData_ClimateZones[[#Headers],[Climate zone]], 0)</f>
        <v>999999</v>
      </c>
      <c r="P97" s="68" cm="1">
        <f t="array" ref="P97">Common_InputFunctions.Utility_DisplayArrayInTable(Common_SourceData.Common_SourceData_ClimateZones_Data(), Table_SourceData_ClimateZones[[#Headers],[Climate zone]], 0)</f>
        <v>-999999</v>
      </c>
      <c r="Q97" s="68" cm="1">
        <f t="array" ref="Q97">Common_InputFunctions.Utility_DisplayArrayInTable(Common_SourceData.Common_SourceData_ClimateZones_Data(), Table_SourceData_ClimateZones[[#Headers],[Climate zone]], 0)</f>
        <v>999999</v>
      </c>
      <c r="R97" s="68" cm="1">
        <f t="array" ref="R97">Common_InputFunctions.Utility_DisplayArrayInTable(Common_SourceData.Common_SourceData_ClimateZones_Data(), Table_SourceData_ClimateZones[[#Headers],[Climate zone]], 0)</f>
        <v>-999999</v>
      </c>
      <c r="S97" s="68" cm="1">
        <f t="array" ref="S97">Common_InputFunctions.Utility_DisplayArrayInTable(Common_SourceData.Common_SourceData_ClimateZones_Data(), Table_SourceData_ClimateZones[[#Headers],[Climate zone]], 0)</f>
        <v>1</v>
      </c>
      <c r="T97" s="68"/>
    </row>
    <row r="98" spans="1:20" ht="20.100000000000001" customHeight="1" x14ac:dyDescent="0.25">
      <c r="A98"/>
    </row>
    <row r="99" spans="1:20" ht="20.100000000000001" customHeight="1" x14ac:dyDescent="0.25">
      <c r="A99"/>
      <c r="D99" s="17" t="str" cm="1">
        <f t="array" ref="D99:D102">Common_SourceData.Common_SourceData_ClimateZones_Appendices()</f>
        <v>Note:</v>
      </c>
    </row>
    <row r="100" spans="1:20" ht="20.100000000000001" customHeight="1" x14ac:dyDescent="0.25">
      <c r="A100"/>
      <c r="D100" s="17" t="str">
        <v>MAT = mean annual temperature</v>
      </c>
    </row>
    <row r="101" spans="1:20" ht="20.100000000000001" customHeight="1" x14ac:dyDescent="0.25">
      <c r="A101"/>
      <c r="D101" s="17" t="str">
        <v>MAP = mean annual precipitation</v>
      </c>
    </row>
    <row r="102" spans="1:20" ht="20.100000000000001" customHeight="1" x14ac:dyDescent="0.25">
      <c r="A102"/>
      <c r="D102" s="17" t="str">
        <v>PET = potential evapotranspiration</v>
      </c>
    </row>
    <row r="103" spans="1:20" ht="20.100000000000001" customHeight="1" x14ac:dyDescent="0.25">
      <c r="A103"/>
      <c r="D103" s="17"/>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46" t="str" cm="1">
        <f t="array" ref="D106">Common_SourceData.Common_SourceData_TemperatureZones_Source()</f>
        <v>VEERG 2026: Table 1.3: Climate and Rainfall zone classifications and definitions</v>
      </c>
    </row>
    <row r="107" spans="1:20" ht="20.100000000000001" customHeight="1" x14ac:dyDescent="0.25">
      <c r="A107"/>
      <c r="D107" s="7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68" t="s">
        <v>741</v>
      </c>
      <c r="E109" s="68" t="s">
        <v>727</v>
      </c>
      <c r="F109" s="68" t="s">
        <v>742</v>
      </c>
      <c r="G109" s="68" t="s">
        <v>743</v>
      </c>
    </row>
    <row r="110" spans="1:20" ht="20.100000000000001" customHeight="1" x14ac:dyDescent="0.25">
      <c r="A110"/>
      <c r="D110" s="68" t="str" cm="1">
        <f t="array" ref="D110">Common_InputFunctions.Utility_DisplayArrayInTable(Common_SourceData.Common_SourceData_TemperatureZones_Data(),Table_SourceData_TemperatureZones[[#Headers],[Temperature Zone]],0)</f>
        <v>Warm</v>
      </c>
      <c r="E110" s="68" t="str" cm="1">
        <f t="array" ref="E110">Common_InputFunctions.Utility_DisplayArrayInTable(Common_SourceData.Common_SourceData_TemperatureZones_Data(),Table_SourceData_TemperatureZones[[#Headers],[Temperature Zone]],0)</f>
        <v>≥ 26 C</v>
      </c>
      <c r="F110" s="68" cm="1">
        <f t="array" ref="F110">Common_InputFunctions.Utility_DisplayArrayInTable(Common_SourceData.Common_SourceData_TemperatureZones_Data(),Table_SourceData_TemperatureZones[[#Headers],[Temperature Zone]],0)</f>
        <v>26</v>
      </c>
      <c r="G110" s="6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68" t="str" cm="1">
        <f t="array" ref="D111">Common_InputFunctions.Utility_DisplayArrayInTable(Common_SourceData.Common_SourceData_TemperatureZones_Data(),Table_SourceData_TemperatureZones[[#Headers],[Temperature Zone]],0)</f>
        <v>Temperate</v>
      </c>
      <c r="E111" s="68" t="str" cm="1">
        <f t="array" ref="E111">Common_InputFunctions.Utility_DisplayArrayInTable(Common_SourceData.Common_SourceData_TemperatureZones_Data(),Table_SourceData_TemperatureZones[[#Headers],[Temperature Zone]],0)</f>
        <v>15 - 25 C</v>
      </c>
      <c r="F111" s="68" cm="1">
        <f t="array" ref="F111">Common_InputFunctions.Utility_DisplayArrayInTable(Common_SourceData.Common_SourceData_TemperatureZones_Data(),Table_SourceData_TemperatureZones[[#Headers],[Temperature Zone]],0)</f>
        <v>15</v>
      </c>
      <c r="G111" s="6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68" t="str" cm="1">
        <f t="array" ref="D112">Common_InputFunctions.Utility_DisplayArrayInTable(Common_SourceData.Common_SourceData_TemperatureZones_Data(),Table_SourceData_TemperatureZones[[#Headers],[Temperature Zone]],0)</f>
        <v>Cool</v>
      </c>
      <c r="E112" s="68" t="str" cm="1">
        <f t="array" ref="E112">Common_InputFunctions.Utility_DisplayArrayInTable(Common_SourceData.Common_SourceData_TemperatureZones_Data(),Table_SourceData_TemperatureZones[[#Headers],[Temperature Zone]],0)</f>
        <v>≤ 14 C</v>
      </c>
      <c r="F112" s="68" cm="1">
        <f t="array" ref="F112">Common_InputFunctions.Utility_DisplayArrayInTable(Common_SourceData.Common_SourceData_TemperatureZones_Data(),Table_SourceData_TemperatureZones[[#Headers],[Temperature Zone]],0)</f>
        <v>-999999</v>
      </c>
      <c r="G112" s="6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8"/>
    </row>
    <row r="116" spans="1:66" ht="20.100000000000001" customHeight="1" x14ac:dyDescent="0.25">
      <c r="A116"/>
      <c r="D116" s="46" t="str" cm="1">
        <f t="array" ref="D116">Common_SourceData.Common_SourceData_RainfallZones_Source()</f>
        <v>VEERG 2026: Table 1.3: Climate and Rainfall zone classifications and definitions</v>
      </c>
      <c r="BN116" s="28"/>
    </row>
    <row r="117" spans="1:66" ht="20.100000000000001" customHeight="1" x14ac:dyDescent="0.25">
      <c r="A117"/>
      <c r="D117" s="71" t="str" cm="1">
        <f t="array" ref="D117">"⚠️" &amp; Common_SourceData.Common_SourceData_RainfallZones_Variation()</f>
        <v>⚠️VARIATION OF SOURCE DATA: Added extra Rainfall min and Rainfall max columns to calculate zone from real rainfall data.</v>
      </c>
      <c r="BN117" s="28"/>
    </row>
    <row r="118" spans="1:66" ht="20.100000000000001" customHeight="1" x14ac:dyDescent="0.25">
      <c r="A118"/>
      <c r="BN118" s="28"/>
    </row>
    <row r="119" spans="1:66" ht="20.100000000000001" customHeight="1" x14ac:dyDescent="0.25">
      <c r="A119"/>
      <c r="D119" s="68" t="s">
        <v>744</v>
      </c>
      <c r="E119" s="68" t="s">
        <v>745</v>
      </c>
      <c r="F119" s="68" t="s">
        <v>733</v>
      </c>
      <c r="G119" s="68" t="s">
        <v>734</v>
      </c>
      <c r="BN119" s="28"/>
    </row>
    <row r="120" spans="1:66" ht="20.100000000000001" customHeight="1" x14ac:dyDescent="0.25">
      <c r="A120"/>
      <c r="D120" s="68" t="str" cm="1">
        <f t="array" ref="D120">Common_InputFunctions.Utility_DisplayArrayInTable(Common_SourceData.Common_SourceData_RainfallZones_Data(),Table_SourceData_RainfallZones[[#Headers],[Rainfall Zone]],0)</f>
        <v>High rainfall</v>
      </c>
      <c r="E120" s="68" t="str" cm="1">
        <f t="array" ref="E120">Common_InputFunctions.Utility_DisplayArrayInTable(Common_SourceData.Common_SourceData_RainfallZones_Data(),Table_SourceData_RainfallZones[[#Headers],[Rainfall Zone]],0)</f>
        <v>Annual rainfall &gt; 600mm</v>
      </c>
      <c r="F120" s="68" cm="1">
        <f t="array" ref="F120">Common_InputFunctions.Utility_DisplayArrayInTable(Common_SourceData.Common_SourceData_RainfallZones_Data(),Table_SourceData_RainfallZones[[#Headers],[Rainfall Zone]],0)</f>
        <v>600.00099999999998</v>
      </c>
      <c r="G120" s="68" cm="1">
        <f t="array" ref="G120">Common_InputFunctions.Utility_DisplayArrayInTable(Common_SourceData.Common_SourceData_RainfallZones_Data(),Table_SourceData_RainfallZones[[#Headers],[Rainfall Zone]],0)</f>
        <v>999999</v>
      </c>
      <c r="BN120" s="28"/>
    </row>
    <row r="121" spans="1:66" ht="20.100000000000001" customHeight="1" x14ac:dyDescent="0.25">
      <c r="A121"/>
      <c r="D121" s="68" t="str" cm="1">
        <f t="array" ref="D121">Common_InputFunctions.Utility_DisplayArrayInTable(Common_SourceData.Common_SourceData_RainfallZones_Data(),Table_SourceData_RainfallZones[[#Headers],[Rainfall Zone]],0)</f>
        <v>Low rainfall</v>
      </c>
      <c r="E121" s="68" t="str" cm="1">
        <f t="array" ref="E121">Common_InputFunctions.Utility_DisplayArrayInTable(Common_SourceData.Common_SourceData_RainfallZones_Data(),Table_SourceData_RainfallZones[[#Headers],[Rainfall Zone]],0)</f>
        <v>Annual rainfall ≤ 600mm</v>
      </c>
      <c r="F121" s="68" cm="1">
        <f t="array" ref="F121">Common_InputFunctions.Utility_DisplayArrayInTable(Common_SourceData.Common_SourceData_RainfallZones_Data(),Table_SourceData_RainfallZones[[#Headers],[Rainfall Zone]],0)</f>
        <v>-999999</v>
      </c>
      <c r="G121" s="68" cm="1">
        <f t="array" ref="G121">Common_InputFunctions.Utility_DisplayArrayInTable(Common_SourceData.Common_SourceData_RainfallZones_Data(),Table_SourceData_RainfallZones[[#Headers],[Rainfall Zone]],0)</f>
        <v>600</v>
      </c>
      <c r="BN121" s="28"/>
    </row>
    <row r="122" spans="1:66" ht="20.100000000000001" customHeight="1" x14ac:dyDescent="0.25">
      <c r="A122"/>
      <c r="BN122" s="28"/>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46"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68" t="s">
        <v>746</v>
      </c>
      <c r="E127" s="68" t="s">
        <v>747</v>
      </c>
    </row>
    <row r="128" spans="1:66" ht="20.100000000000001" customHeight="1" x14ac:dyDescent="0.25">
      <c r="A128"/>
      <c r="D128" s="68" t="str" cm="1">
        <f t="array" ref="D128">Common_InputFunctions.Utility_DisplayArrayInTable(Common_SourceData.Common_SourceData_LeachingZones_Data(), Table_SourceData_LeachingZones[[#Headers],[Leaching Zone]], 0)</f>
        <v>Leaching occurs</v>
      </c>
      <c r="E128" s="6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68" t="str" cm="1">
        <f t="array" ref="D129">Common_InputFunctions.Utility_DisplayArrayInTable(Common_SourceData.Common_SourceData_LeachingZones_Data(), Table_SourceData_LeachingZones[[#Headers],[Leaching Zone]], 0)</f>
        <v>Leaching does not occur</v>
      </c>
      <c r="E129" s="6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46" t="str" cm="1">
        <f t="array" ref="D133">Common_SourceData.Common_SourceData_FracWET_Source()</f>
        <v>VEERG 2026:5.5.2.3 Constant Parameters</v>
      </c>
      <c r="E133" s="8"/>
    </row>
    <row r="134" spans="1:77" ht="20.100000000000001" customHeight="1" x14ac:dyDescent="0.25">
      <c r="A134"/>
      <c r="D134" t="s">
        <v>748</v>
      </c>
      <c r="E134" t="s">
        <v>749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6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8"/>
      <c r="BO138" s="28"/>
      <c r="BP138" s="28"/>
      <c r="BQ138" s="28"/>
      <c r="BR138" s="28"/>
      <c r="BS138" s="28"/>
      <c r="BT138" s="28"/>
      <c r="BU138" s="28"/>
      <c r="BV138" s="28"/>
      <c r="BW138" s="28"/>
      <c r="BX138" s="28"/>
      <c r="BY138" s="28"/>
    </row>
    <row r="139" spans="1:77" ht="20.100000000000001" customHeight="1" x14ac:dyDescent="0.25">
      <c r="A139"/>
      <c r="D139" s="2" t="str" cm="1">
        <f t="array" ref="D139">Common_SourceData.Common_SourceData_FracWETIrrigation_Title()</f>
        <v>FracWET for irrigation types</v>
      </c>
      <c r="BN139" s="28"/>
      <c r="BO139" s="28"/>
      <c r="BP139" s="28"/>
      <c r="BQ139" s="28"/>
      <c r="BR139" s="28"/>
      <c r="BS139" s="28"/>
      <c r="BT139" s="28"/>
      <c r="BU139" s="28"/>
      <c r="BV139" s="28"/>
      <c r="BW139" s="28"/>
      <c r="BX139" s="28"/>
      <c r="BY139" s="28"/>
    </row>
    <row r="140" spans="1:77" ht="20.100000000000001" customHeight="1" x14ac:dyDescent="0.25">
      <c r="A140"/>
      <c r="D140" s="46" t="str" cm="1">
        <f t="array" ref="D140">Common_SourceData.Common_SourceData_FracWETIrrigation_Source()</f>
        <v>VEERG 2026: Chapter 1, section 1.8.2 Leaching, climate and rainfall zones</v>
      </c>
      <c r="BN140" s="28"/>
      <c r="BO140" s="28"/>
      <c r="BP140" s="28"/>
      <c r="BQ140" s="28"/>
      <c r="BR140" s="28"/>
      <c r="BS140" s="28"/>
      <c r="BT140" s="28"/>
      <c r="BU140" s="28"/>
      <c r="BV140" s="28"/>
      <c r="BW140" s="28"/>
      <c r="BX140" s="28"/>
      <c r="BY140" s="28"/>
    </row>
    <row r="141" spans="1:77" ht="20.100000000000001" customHeight="1" x14ac:dyDescent="0.25">
      <c r="A141"/>
      <c r="D141" s="71" t="str" cm="1">
        <f t="array" ref="D141">Common_SourceData.Common_SourceData_FracWETIrrigation_Variation()</f>
        <v>VARIATION FROM SOURCE DATA: Table created based on VEERG text 'Areas are subject to leaching (i.e., in the leaching zone) when... the land is irrigated (except drip irrigation).'</v>
      </c>
      <c r="BN141" s="28"/>
    </row>
    <row r="142" spans="1:77" ht="20.100000000000001" customHeight="1" x14ac:dyDescent="0.25">
      <c r="A142"/>
      <c r="D142" s="68" t="s">
        <v>750</v>
      </c>
      <c r="E142" s="68" t="s">
        <v>749</v>
      </c>
      <c r="BN142" s="28"/>
    </row>
    <row r="143" spans="1:77" ht="20.100000000000001" customHeight="1" x14ac:dyDescent="0.25">
      <c r="A143"/>
      <c r="D143" s="68" t="str" cm="1">
        <f t="array" ref="D143">Common_InputFunctions.Utility_DisplayArrayInTable(Common_SourceData.Common_SourceData_FracWETIrrigation_Data(), Table_SourceData_FracWETIrrigation[[#Headers],[Irrigation type i]], 0)</f>
        <v>Not irrigated</v>
      </c>
      <c r="E143" s="68" cm="1">
        <f t="array" ref="E143">Common_InputFunctions.Utility_DisplayArrayInTable(Common_SourceData.Common_SourceData_FracWETIrrigation_Data(), Table_SourceData_FracWETIrrigation[[#Headers],[Irrigation type i]], 0)</f>
        <v>0</v>
      </c>
      <c r="BN143" s="28"/>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68" cm="1">
        <f t="array" ref="E144">Common_InputFunctions.Utility_DisplayArrayInTable(Common_SourceData.Common_SourceData_FracWETIrrigation_Data(), Table_SourceData_FracWETIrrigation[[#Headers],[Irrigation type i]], 0)</f>
        <v>0</v>
      </c>
      <c r="BN144" s="28"/>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68" cm="1">
        <f t="array" ref="E145">Common_InputFunctions.Utility_DisplayArrayInTable(Common_SourceData.Common_SourceData_FracWETIrrigation_Data(), Table_SourceData_FracWETIrrigation[[#Headers],[Irrigation type i]], 0)</f>
        <v>1</v>
      </c>
      <c r="BN145" s="28"/>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68" cm="1">
        <f t="array" ref="E146">Common_InputFunctions.Utility_DisplayArrayInTable(Common_SourceData.Common_SourceData_FracWETIrrigation_Data(), Table_SourceData_FracWETIrrigation[[#Headers],[Irrigation type i]], 0)</f>
        <v>1</v>
      </c>
      <c r="BN146" s="28"/>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68" cm="1">
        <f t="array" ref="E147">Common_InputFunctions.Utility_DisplayArrayInTable(Common_SourceData.Common_SourceData_FracWETIrrigation_Data(), Table_SourceData_FracWETIrrigation[[#Headers],[Irrigation type i]], 0)</f>
        <v>1</v>
      </c>
      <c r="BN147" s="28"/>
    </row>
    <row r="148" spans="1:66" ht="20.100000000000001" customHeight="1" x14ac:dyDescent="0.25">
      <c r="A148"/>
      <c r="BN148" s="28"/>
    </row>
    <row r="149" spans="1:66" ht="20.100000000000001" customHeight="1" x14ac:dyDescent="0.25">
      <c r="A149"/>
      <c r="BN149" s="28"/>
    </row>
    <row r="150" spans="1:66" ht="20.100000000000001" customHeight="1" x14ac:dyDescent="0.25">
      <c r="A150"/>
      <c r="D150" s="2" t="str" cm="1">
        <f t="array" ref="D150">Common_SourceData.Common_SourceData_DataScores_Scope3_Title()</f>
        <v>Australian data scores for scope 3</v>
      </c>
      <c r="BN150" s="28"/>
    </row>
    <row r="151" spans="1:66" ht="20.100000000000001" customHeight="1" x14ac:dyDescent="0.25">
      <c r="A151"/>
      <c r="D151" s="46" t="str" cm="1">
        <f t="array" ref="D151">Common_SourceData.Common_SourceData_DataScores_Scope3_Source()</f>
        <v>VEERG 2026: XXXXXXXX</v>
      </c>
      <c r="BN151" s="28"/>
    </row>
    <row r="152" spans="1:66" ht="20.100000000000001" customHeight="1" x14ac:dyDescent="0.25">
      <c r="A152"/>
      <c r="BN152" s="28"/>
    </row>
    <row r="153" spans="1:66" ht="20.100000000000001" customHeight="1" x14ac:dyDescent="0.25">
      <c r="A153"/>
      <c r="D153" s="68" t="s">
        <v>751</v>
      </c>
      <c r="E153" s="68" t="s">
        <v>752</v>
      </c>
      <c r="BC153" s="27"/>
      <c r="BD153" s="27"/>
      <c r="BE153" s="27"/>
      <c r="BF153" s="27"/>
      <c r="BG153" s="27"/>
      <c r="BH153" s="27"/>
      <c r="BI153" s="27"/>
      <c r="BJ153" s="27"/>
      <c r="BK153" s="27"/>
      <c r="BL153" s="27"/>
      <c r="BM153" s="27"/>
    </row>
    <row r="154" spans="1:66" ht="20.100000000000001" customHeight="1" x14ac:dyDescent="0.25">
      <c r="A154"/>
      <c r="D154" s="68" t="str" cm="1">
        <f t="array" ref="D154">Common_InputFunctions.Utility_DisplayArrayInTable(Common_SourceData.Common_SourceData_DataScores_Scope3_Data(), Table_SourceData_DataScores_Scope3[[#Headers],[Data source]], 0)</f>
        <v>International scope 3 database</v>
      </c>
      <c r="E154" s="68" cm="1">
        <f t="array" ref="E154">Common_InputFunctions.Utility_DisplayArrayInTable(Common_SourceData.Common_SourceData_DataScores_Scope3_Data(), Table_SourceData_DataScores_Scope3[[#Headers],[Data source]], 0)</f>
        <v>1</v>
      </c>
      <c r="BC154" s="27"/>
      <c r="BD154" s="27"/>
      <c r="BE154" s="27"/>
      <c r="BF154" s="27"/>
      <c r="BG154" s="27"/>
      <c r="BH154" s="27"/>
      <c r="BI154" s="27"/>
      <c r="BJ154" s="27"/>
      <c r="BK154" s="27"/>
      <c r="BL154" s="27"/>
      <c r="BM154" s="27"/>
    </row>
    <row r="155" spans="1:66" ht="20.100000000000001" customHeight="1" x14ac:dyDescent="0.25">
      <c r="A155"/>
      <c r="D155" s="68" t="str" cm="1">
        <f t="array" ref="D155">Common_InputFunctions.Utility_DisplayArrayInTable(Common_SourceData.Common_SourceData_DataScores_Scope3_Data(), Table_SourceData_DataScores_Scope3[[#Headers],[Data source]], 0)</f>
        <v>Australian scope 3 database</v>
      </c>
      <c r="E155" s="68" cm="1">
        <f t="array" ref="E155">Common_InputFunctions.Utility_DisplayArrayInTable(Common_SourceData.Common_SourceData_DataScores_Scope3_Data(), Table_SourceData_DataScores_Scope3[[#Headers],[Data source]], 0)</f>
        <v>2</v>
      </c>
      <c r="BC155" s="27"/>
      <c r="BD155" s="27"/>
      <c r="BE155" s="27"/>
      <c r="BF155" s="27"/>
      <c r="BG155" s="27"/>
      <c r="BH155" s="27"/>
      <c r="BI155" s="27"/>
      <c r="BJ155" s="27"/>
      <c r="BK155" s="27"/>
      <c r="BL155" s="27"/>
      <c r="BM155" s="27"/>
    </row>
    <row r="156" spans="1:66" ht="20.100000000000001" customHeight="1" x14ac:dyDescent="0.25">
      <c r="A156"/>
      <c r="D156" s="68" t="str" cm="1">
        <f t="array" ref="D156">Common_InputFunctions.Utility_DisplayArrayInTable(Common_SourceData.Common_SourceData_DataScores_Scope3_Data(), Table_SourceData_DataScores_Scope3[[#Headers],[Data source]], 0)</f>
        <v>State or regional scope 3 database</v>
      </c>
      <c r="E156" s="6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68" t="str" cm="1">
        <f t="array" ref="D157">Common_InputFunctions.Utility_DisplayArrayInTable(Common_SourceData.Common_SourceData_DataScores_Scope3_Data(), Table_SourceData_DataScores_Scope3[[#Headers],[Data source]], 0)</f>
        <v>Emissions intensity calculated from approved method</v>
      </c>
      <c r="E157" s="6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68" t="str" cm="1">
        <f t="array" ref="D158">Common_InputFunctions.Utility_DisplayArrayInTable(Common_SourceData.Common_SourceData_DataScores_Scope3_Data(), Table_SourceData_DataScores_Scope3[[#Headers],[Data source]], 0)</f>
        <v>Verified credential matching ISO14067</v>
      </c>
      <c r="E158" s="6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46" t="str" cm="1">
        <f t="array" ref="D162">Common_SourceData.Common_SourceData_FracLEACH_Source()</f>
        <v>VEERG 2026:5.5.2.3 Constant Parameters</v>
      </c>
      <c r="E162" s="8"/>
    </row>
    <row r="163" spans="4:68" ht="20.100000000000001" customHeight="1" x14ac:dyDescent="0.25">
      <c r="D163" s="46"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8"/>
      <c r="BO165" s="28"/>
      <c r="BP165" s="28"/>
    </row>
    <row r="166" spans="4:68" ht="20.100000000000001" customHeight="1" x14ac:dyDescent="0.25">
      <c r="BN166" s="28"/>
      <c r="BO166" s="28"/>
      <c r="BP166" s="28"/>
    </row>
    <row r="167" spans="4:68" ht="20.100000000000001" customHeight="1" x14ac:dyDescent="0.25">
      <c r="D167" s="2" t="str" cm="1">
        <f t="array" ref="D167">Common_SourceData.Common_SourceData_EFleach_Title()</f>
        <v>Emission factor for nitrogen leaching and runoff</v>
      </c>
      <c r="BN167" s="28"/>
      <c r="BO167" s="28"/>
      <c r="BP167" s="28"/>
    </row>
    <row r="168" spans="4:68" ht="20.100000000000001" customHeight="1" x14ac:dyDescent="0.25">
      <c r="D168" s="46" t="str" cm="1">
        <f t="array" ref="D168">Common_SourceData.Common_SourceData_EFleach_Source()</f>
        <v>VEERG 2026:5.5.2.3 Constant Parameters</v>
      </c>
      <c r="BN168" s="28"/>
      <c r="BO168" s="28"/>
      <c r="BP168" s="28"/>
    </row>
    <row r="169" spans="4:68" ht="20.100000000000001" customHeight="1" x14ac:dyDescent="0.25">
      <c r="D169" s="46" t="str" cm="1">
        <f t="array" ref="D169">Common_SourceData.Common_SourceData_EFleach_NIRReference()</f>
        <v>National Inventory Report Volume 1: Equation 3.D.B_10</v>
      </c>
      <c r="BN169" s="28"/>
      <c r="BO169" s="28"/>
      <c r="BP169" s="28"/>
    </row>
    <row r="170" spans="4:68" ht="20.100000000000001" customHeight="1" x14ac:dyDescent="0.25">
      <c r="D170" s="1" t="str" cm="1">
        <f t="array" ref="D170:E170">Common_SourceData.Common_SourceData_EFleach_Data()</f>
        <v>EFleach</v>
      </c>
      <c r="E170" s="1">
        <v>1.0999999999999999E-2</v>
      </c>
      <c r="BN170" s="28"/>
      <c r="BO170" s="28"/>
      <c r="BP170" s="28"/>
    </row>
    <row r="171" spans="4:68" ht="20.100000000000001" customHeight="1" x14ac:dyDescent="0.25">
      <c r="BN171" s="28"/>
      <c r="BO171" s="28"/>
      <c r="BP171" s="28"/>
    </row>
    <row r="172" spans="4:68" ht="20.100000000000001" customHeight="1" x14ac:dyDescent="0.25">
      <c r="BN172" s="28"/>
      <c r="BO172" s="28"/>
      <c r="BP172" s="28"/>
    </row>
    <row r="173" spans="4:68" ht="20.100000000000001" customHeight="1" x14ac:dyDescent="0.25">
      <c r="D173" s="2" t="str" cm="1">
        <f t="array" ref="D173">Common_SourceData.Common_SourceData_DensityOfMethane_Title()</f>
        <v>p = density of methane</v>
      </c>
      <c r="BN173" s="28"/>
      <c r="BO173" s="28"/>
      <c r="BP173" s="28"/>
    </row>
    <row r="174" spans="4:68" ht="20.100000000000001" customHeight="1" x14ac:dyDescent="0.25">
      <c r="D174" s="46" t="str" cm="1">
        <f t="array" ref="D174">Common_SourceData.Common_SourceData_DensityOfMethane_Source()</f>
        <v>National Inventory Report 2023 Volume 1: Equations 3.B.1a_2, 3.B.1c_2, 3.B.3_1, 3.B.4g_2</v>
      </c>
      <c r="BN174" s="28"/>
      <c r="BO174" s="28"/>
      <c r="BP174" s="28"/>
    </row>
    <row r="175" spans="4:68" ht="20.100000000000001" customHeight="1" x14ac:dyDescent="0.25">
      <c r="D175" s="1" cm="1">
        <f t="array" ref="D175">Common_SourceData.Common_SourceData_DensityOfMethane_Data()</f>
        <v>0.6784</v>
      </c>
      <c r="E175" s="17" t="str" cm="1">
        <f t="array" ref="E175">Common_SourceData.Common_SourceData_DensityOfMethane_Unit()</f>
        <v>kg/m3</v>
      </c>
      <c r="BN175" s="28"/>
      <c r="BO175" s="28"/>
      <c r="BP175" s="28"/>
    </row>
    <row r="176" spans="4:68" ht="20.100000000000001" customHeight="1" x14ac:dyDescent="0.25">
      <c r="BN176" s="28"/>
      <c r="BO176" s="28"/>
      <c r="BP176" s="28"/>
    </row>
    <row r="177" spans="4:68" ht="20.100000000000001" customHeight="1" x14ac:dyDescent="0.25">
      <c r="BN177" s="28"/>
      <c r="BO177" s="28"/>
      <c r="BP177" s="28"/>
    </row>
    <row r="178" spans="4:68" ht="20.100000000000001" customHeight="1" x14ac:dyDescent="0.25">
      <c r="D178" s="2" t="str" cm="1">
        <f t="array" ref="D178">Common_SourceData.Common_SourceData_EFN2O_Title()</f>
        <v>Nitrous oxide emission factors for inorganic fertiliser application</v>
      </c>
      <c r="BN178" s="28"/>
      <c r="BO178" s="28"/>
      <c r="BP178" s="28"/>
    </row>
    <row r="179" spans="4:68" ht="20.100000000000001" customHeight="1" x14ac:dyDescent="0.25">
      <c r="D179" s="46" t="str" cm="1">
        <f t="array" ref="D179">Common_SourceData.Common_SourceData_EFN2O_Source()</f>
        <v>VEERG 2026: Table A.2.2.1</v>
      </c>
      <c r="BN179" s="28"/>
      <c r="BO179" s="28"/>
      <c r="BP179" s="28"/>
    </row>
    <row r="180" spans="4:68" ht="20.100000000000001" customHeight="1" x14ac:dyDescent="0.25">
      <c r="D180" s="17" t="str" cm="1">
        <f t="array" ref="D180">Common_SourceData.Common_SourceData_EFN2O_Unit()</f>
        <v>(kg N2O-N / kg N</v>
      </c>
    </row>
    <row r="181" spans="4:68" ht="20.100000000000001" customHeight="1" x14ac:dyDescent="0.25">
      <c r="D181" s="71" t="str" cm="1">
        <f t="array" ref="D181:D185">Common_SourceData.Common_SourceData_EFN2O_Variation()</f>
        <v>VARIATION OF SOURCE DATA:</v>
      </c>
    </row>
    <row r="182" spans="4:68" ht="20.100000000000001" customHeight="1" x14ac:dyDescent="0.25">
      <c r="D182" s="71" t="str">
        <v>Removed duplicate 'Aquaculture' row.</v>
      </c>
    </row>
    <row r="183" spans="4:68" ht="20.100000000000001" customHeight="1" x14ac:dyDescent="0.25">
      <c r="D183" s="71" t="str">
        <v>Removed asterisks to aid lookup.</v>
      </c>
    </row>
    <row r="184" spans="4:68" ht="20.100000000000001" customHeight="1" x14ac:dyDescent="0.25">
      <c r="D184" s="71" t="str">
        <v>Added 'production system only', 'rainfall zone' and 'irrigation method' columns to aid lookup.</v>
      </c>
    </row>
    <row r="185" spans="4:68" ht="20.100000000000001" customHeight="1" x14ac:dyDescent="0.25">
      <c r="D185" s="71" t="str">
        <v>Duplicated 'non-irrigated pasture' row with same EF for low and high rainfall zones to aid lookup.</v>
      </c>
    </row>
    <row r="186" spans="4:68" ht="20.100000000000001" customHeight="1" x14ac:dyDescent="0.25">
      <c r="D186" s="68" t="s">
        <v>753</v>
      </c>
      <c r="E186" s="68" t="s">
        <v>754</v>
      </c>
      <c r="F186" s="68" t="s">
        <v>755</v>
      </c>
      <c r="G186" s="68" t="s">
        <v>131</v>
      </c>
      <c r="H186" s="68" t="s">
        <v>711</v>
      </c>
    </row>
    <row r="187" spans="4:68" ht="20.100000000000001" customHeight="1" x14ac:dyDescent="0.25">
      <c r="D187" s="68" t="str" cm="1">
        <f t="array" ref="D187">Common_InputFunctions.Utility_DisplayArrayInTable(Common_SourceData.Common_SourceData_EFN2O_Data(), Table_SourceData_Common_EFN2O[[#Headers],[Production system j]], 0)</f>
        <v>Irrigated pasture</v>
      </c>
      <c r="E187" s="68" cm="1">
        <f t="array" ref="E187">Common_InputFunctions.Utility_DisplayArrayInTable(Common_SourceData.Common_SourceData_EFN2O_Data(), Table_SourceData_Common_EFN2O[[#Headers],[Production system j]], 0)</f>
        <v>5.8999999999999999E-3</v>
      </c>
      <c r="F187" s="68" t="str" cm="1">
        <f t="array" ref="F187">Common_InputFunctions.Utility_DisplayArrayInTable(Common_SourceData.Common_SourceData_EFN2O_Data(), Table_SourceData_Common_EFN2O[[#Headers],[Production system j]], 0)</f>
        <v>Pasture</v>
      </c>
      <c r="G187" s="68" t="str" cm="1">
        <f t="array" ref="G187">Common_InputFunctions.Utility_DisplayArrayInTable(Common_SourceData.Common_SourceData_EFN2O_Data(), Table_SourceData_Common_EFN2O[[#Headers],[Production system j]], 0)</f>
        <v>Any</v>
      </c>
      <c r="H187" s="68" t="str" cm="1">
        <f t="array" ref="H187">Common_InputFunctions.Utility_DisplayArrayInTable(Common_SourceData.Common_SourceData_EFN2O_Data(), Table_SourceData_Common_EFN2O[[#Headers],[Production system j]], 0)</f>
        <v>Any</v>
      </c>
    </row>
    <row r="188" spans="4:68" ht="20.100000000000001" customHeight="1" x14ac:dyDescent="0.25">
      <c r="D188" s="68" t="str" cm="1">
        <f t="array" ref="D188">Common_InputFunctions.Utility_DisplayArrayInTable(Common_SourceData.Common_SourceData_EFN2O_Data(), Table_SourceData_Common_EFN2O[[#Headers],[Production system j]], 0)</f>
        <v>Irrigated crop</v>
      </c>
      <c r="E188" s="68" cm="1">
        <f t="array" ref="E188">Common_InputFunctions.Utility_DisplayArrayInTable(Common_SourceData.Common_SourceData_EFN2O_Data(), Table_SourceData_Common_EFN2O[[#Headers],[Production system j]], 0)</f>
        <v>7.0000000000000001E-3</v>
      </c>
      <c r="F188" s="68" t="str" cm="1">
        <f t="array" ref="F188">Common_InputFunctions.Utility_DisplayArrayInTable(Common_SourceData.Common_SourceData_EFN2O_Data(), Table_SourceData_Common_EFN2O[[#Headers],[Production system j]], 0)</f>
        <v>Crop</v>
      </c>
      <c r="G188" s="68" t="str" cm="1">
        <f t="array" ref="G188">Common_InputFunctions.Utility_DisplayArrayInTable(Common_SourceData.Common_SourceData_EFN2O_Data(), Table_SourceData_Common_EFN2O[[#Headers],[Production system j]], 0)</f>
        <v>Any</v>
      </c>
      <c r="H188" s="68" t="str" cm="1">
        <f t="array" ref="H188">Common_InputFunctions.Utility_DisplayArrayInTable(Common_SourceData.Common_SourceData_EFN2O_Data(), Table_SourceData_Common_EFN2O[[#Headers],[Production system j]], 0)</f>
        <v>Any</v>
      </c>
    </row>
    <row r="189" spans="4:68" ht="20.100000000000001" customHeight="1" x14ac:dyDescent="0.25">
      <c r="D189" s="68" t="str" cm="1">
        <f t="array" ref="D189">Common_InputFunctions.Utility_DisplayArrayInTable(Common_SourceData.Common_SourceData_EFN2O_Data(), Table_SourceData_Common_EFN2O[[#Headers],[Production system j]], 0)</f>
        <v>Non-irrigated pasture</v>
      </c>
      <c r="E189" s="68" cm="1">
        <f t="array" ref="E189">Common_InputFunctions.Utility_DisplayArrayInTable(Common_SourceData.Common_SourceData_EFN2O_Data(), Table_SourceData_Common_EFN2O[[#Headers],[Production system j]], 0)</f>
        <v>1.8E-3</v>
      </c>
      <c r="F189" s="68" t="str" cm="1">
        <f t="array" ref="F189">Common_InputFunctions.Utility_DisplayArrayInTable(Common_SourceData.Common_SourceData_EFN2O_Data(), Table_SourceData_Common_EFN2O[[#Headers],[Production system j]], 0)</f>
        <v>Pasture</v>
      </c>
      <c r="G189" s="68" t="str" cm="1">
        <f t="array" ref="G189">Common_InputFunctions.Utility_DisplayArrayInTable(Common_SourceData.Common_SourceData_EFN2O_Data(), Table_SourceData_Common_EFN2O[[#Headers],[Production system j]], 0)</f>
        <v>Not irrigated</v>
      </c>
      <c r="H189" s="6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68" t="str" cm="1">
        <f t="array" ref="D190">Common_InputFunctions.Utility_DisplayArrayInTable(Common_SourceData.Common_SourceData_EFN2O_Data(), Table_SourceData_Common_EFN2O[[#Headers],[Production system j]], 0)</f>
        <v>Non-irrigated pasture</v>
      </c>
      <c r="E190" s="68" cm="1">
        <f t="array" ref="E190">Common_InputFunctions.Utility_DisplayArrayInTable(Common_SourceData.Common_SourceData_EFN2O_Data(), Table_SourceData_Common_EFN2O[[#Headers],[Production system j]], 0)</f>
        <v>1.8E-3</v>
      </c>
      <c r="F190" s="68" t="str" cm="1">
        <f t="array" ref="F190">Common_InputFunctions.Utility_DisplayArrayInTable(Common_SourceData.Common_SourceData_EFN2O_Data(), Table_SourceData_Common_EFN2O[[#Headers],[Production system j]], 0)</f>
        <v>Pasture</v>
      </c>
      <c r="G190" s="68" t="str" cm="1">
        <f t="array" ref="G190">Common_InputFunctions.Utility_DisplayArrayInTable(Common_SourceData.Common_SourceData_EFN2O_Data(), Table_SourceData_Common_EFN2O[[#Headers],[Production system j]], 0)</f>
        <v>Not irrigated</v>
      </c>
      <c r="H190" s="6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68" t="str" cm="1">
        <f t="array" ref="D191">Common_InputFunctions.Utility_DisplayArrayInTable(Common_SourceData.Common_SourceData_EFN2O_Data(), Table_SourceData_Common_EFN2O[[#Headers],[Production system j]], 0)</f>
        <v>Non-irrigated crop (low rainfall)</v>
      </c>
      <c r="E191" s="68" cm="1">
        <f t="array" ref="E191">Common_InputFunctions.Utility_DisplayArrayInTable(Common_SourceData.Common_SourceData_EFN2O_Data(), Table_SourceData_Common_EFN2O[[#Headers],[Production system j]], 0)</f>
        <v>2.8999999999999998E-3</v>
      </c>
      <c r="F191" s="68" t="str" cm="1">
        <f t="array" ref="F191">Common_InputFunctions.Utility_DisplayArrayInTable(Common_SourceData.Common_SourceData_EFN2O_Data(), Table_SourceData_Common_EFN2O[[#Headers],[Production system j]], 0)</f>
        <v>Crop</v>
      </c>
      <c r="G191" s="68" t="str" cm="1">
        <f t="array" ref="G191">Common_InputFunctions.Utility_DisplayArrayInTable(Common_SourceData.Common_SourceData_EFN2O_Data(), Table_SourceData_Common_EFN2O[[#Headers],[Production system j]], 0)</f>
        <v>Not irrigated</v>
      </c>
      <c r="H191" s="6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68" t="str" cm="1">
        <f t="array" ref="D192">Common_InputFunctions.Utility_DisplayArrayInTable(Common_SourceData.Common_SourceData_EFN2O_Data(), Table_SourceData_Common_EFN2O[[#Headers],[Production system j]], 0)</f>
        <v>Non-irrigated crop (high rainfall)</v>
      </c>
      <c r="E192" s="68" cm="1">
        <f t="array" ref="E192">Common_InputFunctions.Utility_DisplayArrayInTable(Common_SourceData.Common_SourceData_EFN2O_Data(), Table_SourceData_Common_EFN2O[[#Headers],[Production system j]], 0)</f>
        <v>8.0000000000000002E-3</v>
      </c>
      <c r="F192" s="68" t="str" cm="1">
        <f t="array" ref="F192">Common_InputFunctions.Utility_DisplayArrayInTable(Common_SourceData.Common_SourceData_EFN2O_Data(), Table_SourceData_Common_EFN2O[[#Headers],[Production system j]], 0)</f>
        <v>Crop</v>
      </c>
      <c r="G192" s="68" t="str" cm="1">
        <f t="array" ref="G192">Common_InputFunctions.Utility_DisplayArrayInTable(Common_SourceData.Common_SourceData_EFN2O_Data(), Table_SourceData_Common_EFN2O[[#Headers],[Production system j]], 0)</f>
        <v>Not irrigated</v>
      </c>
      <c r="H192" s="6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68" t="str" cm="1">
        <f t="array" ref="D193">Common_InputFunctions.Utility_DisplayArrayInTable(Common_SourceData.Common_SourceData_EFN2O_Data(), Table_SourceData_Common_EFN2O[[#Headers],[Production system j]], 0)</f>
        <v>Sugar</v>
      </c>
      <c r="E193" s="68" cm="1">
        <f t="array" ref="E193">Common_InputFunctions.Utility_DisplayArrayInTable(Common_SourceData.Common_SourceData_EFN2O_Data(), Table_SourceData_Common_EFN2O[[#Headers],[Production system j]], 0)</f>
        <v>1.9900000000000001E-2</v>
      </c>
      <c r="F193" s="68" t="str" cm="1">
        <f t="array" ref="F193">Common_InputFunctions.Utility_DisplayArrayInTable(Common_SourceData.Common_SourceData_EFN2O_Data(), Table_SourceData_Common_EFN2O[[#Headers],[Production system j]], 0)</f>
        <v>Sugar</v>
      </c>
      <c r="G193" s="68" t="str" cm="1">
        <f t="array" ref="G193">Common_InputFunctions.Utility_DisplayArrayInTable(Common_SourceData.Common_SourceData_EFN2O_Data(), Table_SourceData_Common_EFN2O[[#Headers],[Production system j]], 0)</f>
        <v>Any</v>
      </c>
      <c r="H193" s="68" t="str" cm="1">
        <f t="array" ref="H193">Common_InputFunctions.Utility_DisplayArrayInTable(Common_SourceData.Common_SourceData_EFN2O_Data(), Table_SourceData_Common_EFN2O[[#Headers],[Production system j]], 0)</f>
        <v>Any</v>
      </c>
    </row>
    <row r="194" spans="4:8" ht="20.100000000000001" customHeight="1" x14ac:dyDescent="0.25">
      <c r="D194" s="68" t="str" cm="1">
        <f t="array" ref="D194">Common_InputFunctions.Utility_DisplayArrayInTable(Common_SourceData.Common_SourceData_EFN2O_Data(), Table_SourceData_Common_EFN2O[[#Headers],[Production system j]], 0)</f>
        <v>Cotton</v>
      </c>
      <c r="E194" s="68" cm="1">
        <f t="array" ref="E194">Common_InputFunctions.Utility_DisplayArrayInTable(Common_SourceData.Common_SourceData_EFN2O_Data(), Table_SourceData_Common_EFN2O[[#Headers],[Production system j]], 0)</f>
        <v>5.3E-3</v>
      </c>
      <c r="F194" s="68" t="str" cm="1">
        <f t="array" ref="F194">Common_InputFunctions.Utility_DisplayArrayInTable(Common_SourceData.Common_SourceData_EFN2O_Data(), Table_SourceData_Common_EFN2O[[#Headers],[Production system j]], 0)</f>
        <v>Cotton</v>
      </c>
      <c r="G194" s="68" t="str" cm="1">
        <f t="array" ref="G194">Common_InputFunctions.Utility_DisplayArrayInTable(Common_SourceData.Common_SourceData_EFN2O_Data(), Table_SourceData_Common_EFN2O[[#Headers],[Production system j]], 0)</f>
        <v>Any</v>
      </c>
      <c r="H194" s="68" t="str" cm="1">
        <f t="array" ref="H194">Common_InputFunctions.Utility_DisplayArrayInTable(Common_SourceData.Common_SourceData_EFN2O_Data(), Table_SourceData_Common_EFN2O[[#Headers],[Production system j]], 0)</f>
        <v>Any</v>
      </c>
    </row>
    <row r="195" spans="4:8" ht="20.100000000000001" customHeight="1" x14ac:dyDescent="0.25">
      <c r="D195" s="68" t="str" cm="1">
        <f t="array" ref="D195">Common_InputFunctions.Utility_DisplayArrayInTable(Common_SourceData.Common_SourceData_EFN2O_Data(), Table_SourceData_Common_EFN2O[[#Headers],[Production system j]], 0)</f>
        <v>Horticultural crops</v>
      </c>
      <c r="E195" s="68" cm="1">
        <f t="array" ref="E195">Common_InputFunctions.Utility_DisplayArrayInTable(Common_SourceData.Common_SourceData_EFN2O_Data(), Table_SourceData_Common_EFN2O[[#Headers],[Production system j]], 0)</f>
        <v>6.4000000000000003E-3</v>
      </c>
      <c r="F195" s="68" t="str" cm="1">
        <f t="array" ref="F195">Common_InputFunctions.Utility_DisplayArrayInTable(Common_SourceData.Common_SourceData_EFN2O_Data(), Table_SourceData_Common_EFN2O[[#Headers],[Production system j]], 0)</f>
        <v>Horticultural crops</v>
      </c>
      <c r="G195" s="68" t="str" cm="1">
        <f t="array" ref="G195">Common_InputFunctions.Utility_DisplayArrayInTable(Common_SourceData.Common_SourceData_EFN2O_Data(), Table_SourceData_Common_EFN2O[[#Headers],[Production system j]], 0)</f>
        <v>Any</v>
      </c>
      <c r="H195" s="68" t="str" cm="1">
        <f t="array" ref="H195">Common_InputFunctions.Utility_DisplayArrayInTable(Common_SourceData.Common_SourceData_EFN2O_Data(), Table_SourceData_Common_EFN2O[[#Headers],[Production system j]], 0)</f>
        <v>Any</v>
      </c>
    </row>
    <row r="196" spans="4:8" ht="20.100000000000001" customHeight="1" x14ac:dyDescent="0.25">
      <c r="D196" s="68" t="str" cm="1">
        <f t="array" ref="D196">Common_InputFunctions.Utility_DisplayArrayInTable(Common_SourceData.Common_SourceData_EFN2O_Data(), Table_SourceData_Common_EFN2O[[#Headers],[Production system j]], 0)</f>
        <v>Rice (continuous flooding)</v>
      </c>
      <c r="E196" s="68" cm="1">
        <f t="array" ref="E196">Common_InputFunctions.Utility_DisplayArrayInTable(Common_SourceData.Common_SourceData_EFN2O_Data(), Table_SourceData_Common_EFN2O[[#Headers],[Production system j]], 0)</f>
        <v>3.0000000000000001E-3</v>
      </c>
      <c r="F196" s="68" t="str" cm="1">
        <f t="array" ref="F196">Common_InputFunctions.Utility_DisplayArrayInTable(Common_SourceData.Common_SourceData_EFN2O_Data(), Table_SourceData_Common_EFN2O[[#Headers],[Production system j]], 0)</f>
        <v>Rice</v>
      </c>
      <c r="G196" s="68" t="str" cm="1">
        <f t="array" ref="G196">Common_InputFunctions.Utility_DisplayArrayInTable(Common_SourceData.Common_SourceData_EFN2O_Data(), Table_SourceData_Common_EFN2O[[#Headers],[Production system j]], 0)</f>
        <v>Continuous flooding</v>
      </c>
      <c r="H196" s="68" t="str" cm="1">
        <f t="array" ref="H196">Common_InputFunctions.Utility_DisplayArrayInTable(Common_SourceData.Common_SourceData_EFN2O_Data(), Table_SourceData_Common_EFN2O[[#Headers],[Production system j]], 0)</f>
        <v>Any</v>
      </c>
    </row>
    <row r="197" spans="4:8" x14ac:dyDescent="0.25">
      <c r="D197" s="68" t="str" cm="1">
        <f t="array" ref="D197">Common_InputFunctions.Utility_DisplayArrayInTable(Common_SourceData.Common_SourceData_EFN2O_Data(), Table_SourceData_Common_EFN2O[[#Headers],[Production system j]], 0)</f>
        <v>Rice (single and multiple drainage, or alternate wetting and drying)</v>
      </c>
      <c r="E197" s="68" cm="1">
        <f t="array" ref="E197">Common_InputFunctions.Utility_DisplayArrayInTable(Common_SourceData.Common_SourceData_EFN2O_Data(), Table_SourceData_Common_EFN2O[[#Headers],[Production system j]], 0)</f>
        <v>5.0000000000000001E-3</v>
      </c>
      <c r="F197" s="68" t="str" cm="1">
        <f t="array" ref="F197">Common_InputFunctions.Utility_DisplayArrayInTable(Common_SourceData.Common_SourceData_EFN2O_Data(), Table_SourceData_Common_EFN2O[[#Headers],[Production system j]], 0)</f>
        <v>Rice</v>
      </c>
      <c r="G197" s="68" t="str" cm="1">
        <f t="array" ref="G197">Common_InputFunctions.Utility_DisplayArrayInTable(Common_SourceData.Common_SourceData_EFN2O_Data(), Table_SourceData_Common_EFN2O[[#Headers],[Production system j]], 0)</f>
        <v>Single and multiple drainage, or alternate wetting and drying</v>
      </c>
      <c r="H197" s="68" t="str" cm="1">
        <f t="array" ref="H197">Common_InputFunctions.Utility_DisplayArrayInTable(Common_SourceData.Common_SourceData_EFN2O_Data(), Table_SourceData_Common_EFN2O[[#Headers],[Production system j]], 0)</f>
        <v>Any</v>
      </c>
    </row>
    <row r="198" spans="4:8" x14ac:dyDescent="0.25">
      <c r="D198" s="68" t="str" cm="1">
        <f t="array" ref="D198">Common_InputFunctions.Utility_DisplayArrayInTable(Common_SourceData.Common_SourceData_EFN2O_Data(), Table_SourceData_Common_EFN2O[[#Headers],[Production system j]], 0)</f>
        <v>Aquaculture</v>
      </c>
      <c r="E198" s="68" cm="1">
        <f t="array" ref="E198">Common_InputFunctions.Utility_DisplayArrayInTable(Common_SourceData.Common_SourceData_EFN2O_Data(), Table_SourceData_Common_EFN2O[[#Headers],[Production system j]], 0)</f>
        <v>2.5999999999999999E-3</v>
      </c>
      <c r="F198" s="68" t="str" cm="1">
        <f t="array" ref="F198">Common_InputFunctions.Utility_DisplayArrayInTable(Common_SourceData.Common_SourceData_EFN2O_Data(), Table_SourceData_Common_EFN2O[[#Headers],[Production system j]], 0)</f>
        <v>Aquaculture</v>
      </c>
      <c r="G198" s="68" t="str" cm="1">
        <f t="array" ref="G198">Common_InputFunctions.Utility_DisplayArrayInTable(Common_SourceData.Common_SourceData_EFN2O_Data(), Table_SourceData_Common_EFN2O[[#Headers],[Production system j]], 0)</f>
        <v>Any</v>
      </c>
      <c r="H198" s="68" t="str" cm="1">
        <f t="array" ref="H198">Common_InputFunctions.Utility_DisplayArrayInTable(Common_SourceData.Common_SourceData_EFN2O_Data(), Table_SourceData_Common_EFN2O[[#Headers],[Production system j]], 0)</f>
        <v>Any</v>
      </c>
    </row>
    <row r="199" spans="4:8" x14ac:dyDescent="0.25">
      <c r="D199" s="68" t="str" cm="1">
        <f t="array" ref="D199">Common_InputFunctions.Utility_DisplayArrayInTable(Common_SourceData.Common_SourceData_EFN2O_Data(), Table_SourceData_Common_EFN2O[[#Headers],[Production system j]], 0)</f>
        <v>Forestry</v>
      </c>
      <c r="E199" s="68" cm="1">
        <f t="array" ref="E199">Common_InputFunctions.Utility_DisplayArrayInTable(Common_SourceData.Common_SourceData_EFN2O_Data(), Table_SourceData_Common_EFN2O[[#Headers],[Production system j]], 0)</f>
        <v>1.8E-3</v>
      </c>
      <c r="F199" s="68" t="str" cm="1">
        <f t="array" ref="F199">Common_InputFunctions.Utility_DisplayArrayInTable(Common_SourceData.Common_SourceData_EFN2O_Data(), Table_SourceData_Common_EFN2O[[#Headers],[Production system j]], 0)</f>
        <v>Forestry</v>
      </c>
      <c r="G199" s="68" t="str" cm="1">
        <f t="array" ref="G199">Common_InputFunctions.Utility_DisplayArrayInTable(Common_SourceData.Common_SourceData_EFN2O_Data(), Table_SourceData_Common_EFN2O[[#Headers],[Production system j]], 0)</f>
        <v>Any</v>
      </c>
      <c r="H199" s="68"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46" t="str" cm="1">
        <f t="array" ref="D203">Common_SourceData.Common_SourceData_EFPastureRangeAndPaddock_Source()</f>
        <v>VEERG 2026: Table A.2.2.2</v>
      </c>
    </row>
    <row r="204" spans="4:8" x14ac:dyDescent="0.25">
      <c r="D204" s="71" t="str" cm="1">
        <f t="array" ref="D204">Common_SourceData.Common_SourceData_EFPastureRangeAndPaddock_Variation()</f>
        <v>VARIATION FROM SOURCE DATA: Changed 'Dry climate zones' to singular 'Dry climate zone' to aid lookup.</v>
      </c>
    </row>
    <row r="205" spans="4:8" x14ac:dyDescent="0.25">
      <c r="D205" s="17" t="str" cm="1">
        <f t="array" ref="D205">Common_SourceData.Common_SourceData_EFPastureRangeAndPaddock_Unit()</f>
        <v>kg N2O - N / kg N</v>
      </c>
    </row>
    <row r="206" spans="4:8" x14ac:dyDescent="0.25">
      <c r="D206" s="68" t="s">
        <v>712</v>
      </c>
      <c r="E206" s="68" t="s">
        <v>756</v>
      </c>
    </row>
    <row r="207" spans="4:8" x14ac:dyDescent="0.25">
      <c r="D207" s="68" t="str" cm="1">
        <f t="array" ref="D207">Common_InputFunctions.Utility_DisplayArrayInTable(Common_SourceData.Common_SourceData_EFPastureRangeAndPaddock_Data(), Table_SourceData_EFPastureRangeAndPaddock[[#Headers],[Climate zone]], 0)</f>
        <v>Wet climate zone</v>
      </c>
      <c r="E207" s="6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6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68" t="s">
        <v>87</v>
      </c>
      <c r="E212" s="68" t="s">
        <v>84</v>
      </c>
    </row>
    <row r="213" spans="4:5" x14ac:dyDescent="0.25">
      <c r="D213" s="68" t="str" cm="1">
        <f t="array" ref="D213">Common_InputFunctions.Utility_DisplayArrayInTable(Common_SourceData.Common_SourceData_MonthsToSeasons_Data(), Table_SourceData_Common_MonthToSeason[[#Headers],[Month]], 0)</f>
        <v>January</v>
      </c>
      <c r="E213" s="6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6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6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6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6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6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6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6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6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6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6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68"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46" t="str" cm="1">
        <f t="array" ref="D228">Common_SourceData.Common_SourceData_MCFTemperatureZone_Source()</f>
        <v>VEERG 2026: Table A.1.8.1</v>
      </c>
    </row>
    <row r="229" spans="4:19" x14ac:dyDescent="0.25">
      <c r="D229" s="7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68" t="s">
        <v>714</v>
      </c>
      <c r="E231" s="68" t="s">
        <v>757</v>
      </c>
      <c r="F231" s="197" t="s">
        <v>70</v>
      </c>
      <c r="G231" s="68" t="s">
        <v>758</v>
      </c>
      <c r="H231" s="68" t="s">
        <v>759</v>
      </c>
      <c r="I231" s="68" t="s">
        <v>760</v>
      </c>
      <c r="J231" s="68" t="s">
        <v>761</v>
      </c>
      <c r="K231" s="68" t="s">
        <v>762</v>
      </c>
      <c r="L231" s="68" t="s">
        <v>763</v>
      </c>
      <c r="M231" s="68" t="s">
        <v>764</v>
      </c>
      <c r="N231" s="68" t="s">
        <v>765</v>
      </c>
      <c r="O231" s="68" t="s">
        <v>766</v>
      </c>
      <c r="P231" s="68" t="s">
        <v>767</v>
      </c>
      <c r="Q231" s="68" t="s">
        <v>768</v>
      </c>
      <c r="R231" s="68" t="s">
        <v>69</v>
      </c>
      <c r="S231" s="68" t="s">
        <v>769</v>
      </c>
    </row>
    <row r="232" spans="4:19" x14ac:dyDescent="0.25">
      <c r="D232" s="68" t="str" cm="1">
        <f t="array" ref="D232">Common_InputFunctions.Utility_DisplayArrayInTable(Common_SourceData.Common_SourceData_MCFTemperatureZone_Data(),Table_SourceData_Common_MCFTemperatureZone[[#Headers],[Temperature zone]],0)</f>
        <v>Cool</v>
      </c>
      <c r="E232" s="68" t="str" cm="1">
        <f t="array" ref="E232">Common_InputFunctions.Utility_DisplayArrayInTable(Common_SourceData.Common_SourceData_MCFTemperatureZone_Data(),Table_SourceData_Common_MCFTemperatureZone[[#Headers],[Temperature zone]],0)</f>
        <v>≤10</v>
      </c>
      <c r="F232" s="68" cm="1">
        <f t="array" ref="F232">Common_InputFunctions.Utility_DisplayArrayInTable(Common_SourceData.Common_SourceData_MCFTemperatureZone_Data(),Table_SourceData_Common_MCFTemperatureZone[[#Headers],[Temperature zone]],0)</f>
        <v>0.66</v>
      </c>
      <c r="G232" s="68" cm="1">
        <f t="array" ref="G232">Common_InputFunctions.Utility_DisplayArrayInTable(Common_SourceData.Common_SourceData_MCFTemperatureZone_Data(),Table_SourceData_Common_MCFTemperatureZone[[#Headers],[Temperature zone]],0)</f>
        <v>0.1</v>
      </c>
      <c r="H232" s="68" cm="1">
        <f t="array" ref="H232">Common_InputFunctions.Utility_DisplayArrayInTable(Common_SourceData.Common_SourceData_MCFTemperatureZone_Data(),Table_SourceData_Common_MCFTemperatureZone[[#Headers],[Temperature zone]],0)</f>
        <v>0.1</v>
      </c>
      <c r="I232" s="68" cm="1">
        <f t="array" ref="I232">Common_InputFunctions.Utility_DisplayArrayInTable(Common_SourceData.Common_SourceData_MCFTemperatureZone_Data(),Table_SourceData_Common_MCFTemperatureZone[[#Headers],[Temperature zone]],0)</f>
        <v>1E-3</v>
      </c>
      <c r="J232" s="68" cm="1">
        <f t="array" ref="J232">Common_InputFunctions.Utility_DisplayArrayInTable(Common_SourceData.Common_SourceData_MCFTemperatureZone_Data(),Table_SourceData_Common_MCFTemperatureZone[[#Headers],[Temperature zone]],0)</f>
        <v>5.0000000000000001E-3</v>
      </c>
      <c r="K232" s="68" cm="1">
        <f t="array" ref="K232">Common_InputFunctions.Utility_DisplayArrayInTable(Common_SourceData.Common_SourceData_MCFTemperatureZone_Data(),Table_SourceData_Common_MCFTemperatureZone[[#Headers],[Temperature zone]],0)</f>
        <v>0.02</v>
      </c>
      <c r="L232" s="68" cm="1">
        <f t="array" ref="L232">Common_InputFunctions.Utility_DisplayArrayInTable(Common_SourceData.Common_SourceData_MCFTemperatureZone_Data(),Table_SourceData_Common_MCFTemperatureZone[[#Headers],[Temperature zone]],0)</f>
        <v>0.03</v>
      </c>
      <c r="M232" s="68" cm="1">
        <f t="array" ref="M232">Common_InputFunctions.Utility_DisplayArrayInTable(Common_SourceData.Common_SourceData_MCFTemperatureZone_Data(),Table_SourceData_Common_MCFTemperatureZone[[#Headers],[Temperature zone]],0)</f>
        <v>0.04</v>
      </c>
      <c r="N232" s="68" cm="1">
        <f t="array" ref="N232">Common_InputFunctions.Utility_DisplayArrayInTable(Common_SourceData.Common_SourceData_MCFTemperatureZone_Data(),Table_SourceData_Common_MCFTemperatureZone[[#Headers],[Temperature zone]],0)</f>
        <v>1.4999999999999999E-2</v>
      </c>
      <c r="O232" s="68" cm="1">
        <f t="array" ref="O232">Common_InputFunctions.Utility_DisplayArrayInTable(Common_SourceData.Common_SourceData_MCFTemperatureZone_Data(),Table_SourceData_Common_MCFTemperatureZone[[#Headers],[Temperature zone]],0)</f>
        <v>1.4999999999999999E-2</v>
      </c>
      <c r="P232" s="68" cm="1">
        <f t="array" ref="P232">Common_InputFunctions.Utility_DisplayArrayInTable(Common_SourceData.Common_SourceData_MCFTemperatureZone_Data(),Table_SourceData_Common_MCFTemperatureZone[[#Headers],[Temperature zone]],0)</f>
        <v>0</v>
      </c>
      <c r="Q232" s="68" cm="1">
        <f t="array" ref="Q232">Common_InputFunctions.Utility_DisplayArrayInTable(Common_SourceData.Common_SourceData_MCFTemperatureZone_Data(),Table_SourceData_Common_MCFTemperatureZone[[#Headers],[Temperature zone]],0)</f>
        <v>0</v>
      </c>
      <c r="R232" s="68" cm="1">
        <f t="array" ref="R232">Common_InputFunctions.Utility_DisplayArrayInTable(Common_SourceData.Common_SourceData_MCFTemperatureZone_Data(),Table_SourceData_Common_MCFTemperatureZone[[#Headers],[Temperature zone]],0)</f>
        <v>4.7000000000000002E-3</v>
      </c>
      <c r="S232" s="6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68" cm="1">
        <f t="array" ref="E233">Common_InputFunctions.Utility_DisplayArrayInTable(Common_SourceData.Common_SourceData_MCFTemperatureZone_Data(),Table_SourceData_Common_MCFTemperatureZone[[#Headers],[Temperature zone]],0)</f>
        <v>11</v>
      </c>
      <c r="F233" s="68" cm="1">
        <f t="array" ref="F233">Common_InputFunctions.Utility_DisplayArrayInTable(Common_SourceData.Common_SourceData_MCFTemperatureZone_Data(),Table_SourceData_Common_MCFTemperatureZone[[#Headers],[Temperature zone]],0)</f>
        <v>0.68</v>
      </c>
      <c r="G233" s="68" cm="1">
        <f t="array" ref="G233">Common_InputFunctions.Utility_DisplayArrayInTable(Common_SourceData.Common_SourceData_MCFTemperatureZone_Data(),Table_SourceData_Common_MCFTemperatureZone[[#Headers],[Temperature zone]],0)</f>
        <v>0.1</v>
      </c>
      <c r="H233" s="68" cm="1">
        <f t="array" ref="H233">Common_InputFunctions.Utility_DisplayArrayInTable(Common_SourceData.Common_SourceData_MCFTemperatureZone_Data(),Table_SourceData_Common_MCFTemperatureZone[[#Headers],[Temperature zone]],0)</f>
        <v>0.11</v>
      </c>
      <c r="I233" s="68" cm="1">
        <f t="array" ref="I233">Common_InputFunctions.Utility_DisplayArrayInTable(Common_SourceData.Common_SourceData_MCFTemperatureZone_Data(),Table_SourceData_Common_MCFTemperatureZone[[#Headers],[Temperature zone]],0)</f>
        <v>1E-3</v>
      </c>
      <c r="J233" s="68" cm="1">
        <f t="array" ref="J233">Common_InputFunctions.Utility_DisplayArrayInTable(Common_SourceData.Common_SourceData_MCFTemperatureZone_Data(),Table_SourceData_Common_MCFTemperatureZone[[#Headers],[Temperature zone]],0)</f>
        <v>5.0000000000000001E-3</v>
      </c>
      <c r="K233" s="68" cm="1">
        <f t="array" ref="K233">Common_InputFunctions.Utility_DisplayArrayInTable(Common_SourceData.Common_SourceData_MCFTemperatureZone_Data(),Table_SourceData_Common_MCFTemperatureZone[[#Headers],[Temperature zone]],0)</f>
        <v>0.02</v>
      </c>
      <c r="L233" s="68" cm="1">
        <f t="array" ref="L233">Common_InputFunctions.Utility_DisplayArrayInTable(Common_SourceData.Common_SourceData_MCFTemperatureZone_Data(),Table_SourceData_Common_MCFTemperatureZone[[#Headers],[Temperature zone]],0)</f>
        <v>0.03</v>
      </c>
      <c r="M233" s="68" cm="1">
        <f t="array" ref="M233">Common_InputFunctions.Utility_DisplayArrayInTable(Common_SourceData.Common_SourceData_MCFTemperatureZone_Data(),Table_SourceData_Common_MCFTemperatureZone[[#Headers],[Temperature zone]],0)</f>
        <v>0.04</v>
      </c>
      <c r="N233" s="68" cm="1">
        <f t="array" ref="N233">Common_InputFunctions.Utility_DisplayArrayInTable(Common_SourceData.Common_SourceData_MCFTemperatureZone_Data(),Table_SourceData_Common_MCFTemperatureZone[[#Headers],[Temperature zone]],0)</f>
        <v>1.4999999999999999E-2</v>
      </c>
      <c r="O233" s="68" cm="1">
        <f t="array" ref="O233">Common_InputFunctions.Utility_DisplayArrayInTable(Common_SourceData.Common_SourceData_MCFTemperatureZone_Data(),Table_SourceData_Common_MCFTemperatureZone[[#Headers],[Temperature zone]],0)</f>
        <v>1.4999999999999999E-2</v>
      </c>
      <c r="P233" s="68" cm="1">
        <f t="array" ref="P233">Common_InputFunctions.Utility_DisplayArrayInTable(Common_SourceData.Common_SourceData_MCFTemperatureZone_Data(),Table_SourceData_Common_MCFTemperatureZone[[#Headers],[Temperature zone]],0)</f>
        <v>0</v>
      </c>
      <c r="Q233" s="68" cm="1">
        <f t="array" ref="Q233">Common_InputFunctions.Utility_DisplayArrayInTable(Common_SourceData.Common_SourceData_MCFTemperatureZone_Data(),Table_SourceData_Common_MCFTemperatureZone[[#Headers],[Temperature zone]],0)</f>
        <v>0</v>
      </c>
      <c r="R233" s="68" cm="1">
        <f t="array" ref="R233">Common_InputFunctions.Utility_DisplayArrayInTable(Common_SourceData.Common_SourceData_MCFTemperatureZone_Data(),Table_SourceData_Common_MCFTemperatureZone[[#Headers],[Temperature zone]],0)</f>
        <v>4.7000000000000002E-3</v>
      </c>
      <c r="S233" s="6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68" cm="1">
        <f t="array" ref="E234">Common_InputFunctions.Utility_DisplayArrayInTable(Common_SourceData.Common_SourceData_MCFTemperatureZone_Data(),Table_SourceData_Common_MCFTemperatureZone[[#Headers],[Temperature zone]],0)</f>
        <v>12</v>
      </c>
      <c r="F234" s="68" cm="1">
        <f t="array" ref="F234">Common_InputFunctions.Utility_DisplayArrayInTable(Common_SourceData.Common_SourceData_MCFTemperatureZone_Data(),Table_SourceData_Common_MCFTemperatureZone[[#Headers],[Temperature zone]],0)</f>
        <v>0.7</v>
      </c>
      <c r="G234" s="68" cm="1">
        <f t="array" ref="G234">Common_InputFunctions.Utility_DisplayArrayInTable(Common_SourceData.Common_SourceData_MCFTemperatureZone_Data(),Table_SourceData_Common_MCFTemperatureZone[[#Headers],[Temperature zone]],0)</f>
        <v>0.1</v>
      </c>
      <c r="H234" s="68" cm="1">
        <f t="array" ref="H234">Common_InputFunctions.Utility_DisplayArrayInTable(Common_SourceData.Common_SourceData_MCFTemperatureZone_Data(),Table_SourceData_Common_MCFTemperatureZone[[#Headers],[Temperature zone]],0)</f>
        <v>0.13</v>
      </c>
      <c r="I234" s="68" cm="1">
        <f t="array" ref="I234">Common_InputFunctions.Utility_DisplayArrayInTable(Common_SourceData.Common_SourceData_MCFTemperatureZone_Data(),Table_SourceData_Common_MCFTemperatureZone[[#Headers],[Temperature zone]],0)</f>
        <v>1E-3</v>
      </c>
      <c r="J234" s="68" cm="1">
        <f t="array" ref="J234">Common_InputFunctions.Utility_DisplayArrayInTable(Common_SourceData.Common_SourceData_MCFTemperatureZone_Data(),Table_SourceData_Common_MCFTemperatureZone[[#Headers],[Temperature zone]],0)</f>
        <v>5.0000000000000001E-3</v>
      </c>
      <c r="K234" s="68" cm="1">
        <f t="array" ref="K234">Common_InputFunctions.Utility_DisplayArrayInTable(Common_SourceData.Common_SourceData_MCFTemperatureZone_Data(),Table_SourceData_Common_MCFTemperatureZone[[#Headers],[Temperature zone]],0)</f>
        <v>0.02</v>
      </c>
      <c r="L234" s="68" cm="1">
        <f t="array" ref="L234">Common_InputFunctions.Utility_DisplayArrayInTable(Common_SourceData.Common_SourceData_MCFTemperatureZone_Data(),Table_SourceData_Common_MCFTemperatureZone[[#Headers],[Temperature zone]],0)</f>
        <v>0.03</v>
      </c>
      <c r="M234" s="68" cm="1">
        <f t="array" ref="M234">Common_InputFunctions.Utility_DisplayArrayInTable(Common_SourceData.Common_SourceData_MCFTemperatureZone_Data(),Table_SourceData_Common_MCFTemperatureZone[[#Headers],[Temperature zone]],0)</f>
        <v>0.04</v>
      </c>
      <c r="N234" s="68" cm="1">
        <f t="array" ref="N234">Common_InputFunctions.Utility_DisplayArrayInTable(Common_SourceData.Common_SourceData_MCFTemperatureZone_Data(),Table_SourceData_Common_MCFTemperatureZone[[#Headers],[Temperature zone]],0)</f>
        <v>1.4999999999999999E-2</v>
      </c>
      <c r="O234" s="68" cm="1">
        <f t="array" ref="O234">Common_InputFunctions.Utility_DisplayArrayInTable(Common_SourceData.Common_SourceData_MCFTemperatureZone_Data(),Table_SourceData_Common_MCFTemperatureZone[[#Headers],[Temperature zone]],0)</f>
        <v>1.4999999999999999E-2</v>
      </c>
      <c r="P234" s="68" cm="1">
        <f t="array" ref="P234">Common_InputFunctions.Utility_DisplayArrayInTable(Common_SourceData.Common_SourceData_MCFTemperatureZone_Data(),Table_SourceData_Common_MCFTemperatureZone[[#Headers],[Temperature zone]],0)</f>
        <v>0</v>
      </c>
      <c r="Q234" s="68" cm="1">
        <f t="array" ref="Q234">Common_InputFunctions.Utility_DisplayArrayInTable(Common_SourceData.Common_SourceData_MCFTemperatureZone_Data(),Table_SourceData_Common_MCFTemperatureZone[[#Headers],[Temperature zone]],0)</f>
        <v>0</v>
      </c>
      <c r="R234" s="68" cm="1">
        <f t="array" ref="R234">Common_InputFunctions.Utility_DisplayArrayInTable(Common_SourceData.Common_SourceData_MCFTemperatureZone_Data(),Table_SourceData_Common_MCFTemperatureZone[[#Headers],[Temperature zone]],0)</f>
        <v>4.7000000000000002E-3</v>
      </c>
      <c r="S234" s="6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68" cm="1">
        <f t="array" ref="E235">Common_InputFunctions.Utility_DisplayArrayInTable(Common_SourceData.Common_SourceData_MCFTemperatureZone_Data(),Table_SourceData_Common_MCFTemperatureZone[[#Headers],[Temperature zone]],0)</f>
        <v>13</v>
      </c>
      <c r="F235" s="68" cm="1">
        <f t="array" ref="F235">Common_InputFunctions.Utility_DisplayArrayInTable(Common_SourceData.Common_SourceData_MCFTemperatureZone_Data(),Table_SourceData_Common_MCFTemperatureZone[[#Headers],[Temperature zone]],0)</f>
        <v>0.71</v>
      </c>
      <c r="G235" s="68" cm="1">
        <f t="array" ref="G235">Common_InputFunctions.Utility_DisplayArrayInTable(Common_SourceData.Common_SourceData_MCFTemperatureZone_Data(),Table_SourceData_Common_MCFTemperatureZone[[#Headers],[Temperature zone]],0)</f>
        <v>0.1</v>
      </c>
      <c r="H235" s="68" cm="1">
        <f t="array" ref="H235">Common_InputFunctions.Utility_DisplayArrayInTable(Common_SourceData.Common_SourceData_MCFTemperatureZone_Data(),Table_SourceData_Common_MCFTemperatureZone[[#Headers],[Temperature zone]],0)</f>
        <v>0.14000000000000001</v>
      </c>
      <c r="I235" s="68" cm="1">
        <f t="array" ref="I235">Common_InputFunctions.Utility_DisplayArrayInTable(Common_SourceData.Common_SourceData_MCFTemperatureZone_Data(),Table_SourceData_Common_MCFTemperatureZone[[#Headers],[Temperature zone]],0)</f>
        <v>1E-3</v>
      </c>
      <c r="J235" s="68" cm="1">
        <f t="array" ref="J235">Common_InputFunctions.Utility_DisplayArrayInTable(Common_SourceData.Common_SourceData_MCFTemperatureZone_Data(),Table_SourceData_Common_MCFTemperatureZone[[#Headers],[Temperature zone]],0)</f>
        <v>5.0000000000000001E-3</v>
      </c>
      <c r="K235" s="68" cm="1">
        <f t="array" ref="K235">Common_InputFunctions.Utility_DisplayArrayInTable(Common_SourceData.Common_SourceData_MCFTemperatureZone_Data(),Table_SourceData_Common_MCFTemperatureZone[[#Headers],[Temperature zone]],0)</f>
        <v>0.02</v>
      </c>
      <c r="L235" s="68" cm="1">
        <f t="array" ref="L235">Common_InputFunctions.Utility_DisplayArrayInTable(Common_SourceData.Common_SourceData_MCFTemperatureZone_Data(),Table_SourceData_Common_MCFTemperatureZone[[#Headers],[Temperature zone]],0)</f>
        <v>0.03</v>
      </c>
      <c r="M235" s="68" cm="1">
        <f t="array" ref="M235">Common_InputFunctions.Utility_DisplayArrayInTable(Common_SourceData.Common_SourceData_MCFTemperatureZone_Data(),Table_SourceData_Common_MCFTemperatureZone[[#Headers],[Temperature zone]],0)</f>
        <v>0.04</v>
      </c>
      <c r="N235" s="68" cm="1">
        <f t="array" ref="N235">Common_InputFunctions.Utility_DisplayArrayInTable(Common_SourceData.Common_SourceData_MCFTemperatureZone_Data(),Table_SourceData_Common_MCFTemperatureZone[[#Headers],[Temperature zone]],0)</f>
        <v>1.4999999999999999E-2</v>
      </c>
      <c r="O235" s="68" cm="1">
        <f t="array" ref="O235">Common_InputFunctions.Utility_DisplayArrayInTable(Common_SourceData.Common_SourceData_MCFTemperatureZone_Data(),Table_SourceData_Common_MCFTemperatureZone[[#Headers],[Temperature zone]],0)</f>
        <v>1.4999999999999999E-2</v>
      </c>
      <c r="P235" s="68" cm="1">
        <f t="array" ref="P235">Common_InputFunctions.Utility_DisplayArrayInTable(Common_SourceData.Common_SourceData_MCFTemperatureZone_Data(),Table_SourceData_Common_MCFTemperatureZone[[#Headers],[Temperature zone]],0)</f>
        <v>0</v>
      </c>
      <c r="Q235" s="68" cm="1">
        <f t="array" ref="Q235">Common_InputFunctions.Utility_DisplayArrayInTable(Common_SourceData.Common_SourceData_MCFTemperatureZone_Data(),Table_SourceData_Common_MCFTemperatureZone[[#Headers],[Temperature zone]],0)</f>
        <v>0</v>
      </c>
      <c r="R235" s="68" cm="1">
        <f t="array" ref="R235">Common_InputFunctions.Utility_DisplayArrayInTable(Common_SourceData.Common_SourceData_MCFTemperatureZone_Data(),Table_SourceData_Common_MCFTemperatureZone[[#Headers],[Temperature zone]],0)</f>
        <v>4.7000000000000002E-3</v>
      </c>
      <c r="S235" s="6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68" cm="1">
        <f t="array" ref="E236">Common_InputFunctions.Utility_DisplayArrayInTable(Common_SourceData.Common_SourceData_MCFTemperatureZone_Data(),Table_SourceData_Common_MCFTemperatureZone[[#Headers],[Temperature zone]],0)</f>
        <v>14</v>
      </c>
      <c r="F236" s="68" cm="1">
        <f t="array" ref="F236">Common_InputFunctions.Utility_DisplayArrayInTable(Common_SourceData.Common_SourceData_MCFTemperatureZone_Data(),Table_SourceData_Common_MCFTemperatureZone[[#Headers],[Temperature zone]],0)</f>
        <v>0.73</v>
      </c>
      <c r="G236" s="68" cm="1">
        <f t="array" ref="G236">Common_InputFunctions.Utility_DisplayArrayInTable(Common_SourceData.Common_SourceData_MCFTemperatureZone_Data(),Table_SourceData_Common_MCFTemperatureZone[[#Headers],[Temperature zone]],0)</f>
        <v>0.1</v>
      </c>
      <c r="H236" s="68" cm="1">
        <f t="array" ref="H236">Common_InputFunctions.Utility_DisplayArrayInTable(Common_SourceData.Common_SourceData_MCFTemperatureZone_Data(),Table_SourceData_Common_MCFTemperatureZone[[#Headers],[Temperature zone]],0)</f>
        <v>0.15</v>
      </c>
      <c r="I236" s="68" cm="1">
        <f t="array" ref="I236">Common_InputFunctions.Utility_DisplayArrayInTable(Common_SourceData.Common_SourceData_MCFTemperatureZone_Data(),Table_SourceData_Common_MCFTemperatureZone[[#Headers],[Temperature zone]],0)</f>
        <v>1E-3</v>
      </c>
      <c r="J236" s="68" cm="1">
        <f t="array" ref="J236">Common_InputFunctions.Utility_DisplayArrayInTable(Common_SourceData.Common_SourceData_MCFTemperatureZone_Data(),Table_SourceData_Common_MCFTemperatureZone[[#Headers],[Temperature zone]],0)</f>
        <v>5.0000000000000001E-3</v>
      </c>
      <c r="K236" s="68" cm="1">
        <f t="array" ref="K236">Common_InputFunctions.Utility_DisplayArrayInTable(Common_SourceData.Common_SourceData_MCFTemperatureZone_Data(),Table_SourceData_Common_MCFTemperatureZone[[#Headers],[Temperature zone]],0)</f>
        <v>0.02</v>
      </c>
      <c r="L236" s="68" cm="1">
        <f t="array" ref="L236">Common_InputFunctions.Utility_DisplayArrayInTable(Common_SourceData.Common_SourceData_MCFTemperatureZone_Data(),Table_SourceData_Common_MCFTemperatureZone[[#Headers],[Temperature zone]],0)</f>
        <v>0.03</v>
      </c>
      <c r="M236" s="68" cm="1">
        <f t="array" ref="M236">Common_InputFunctions.Utility_DisplayArrayInTable(Common_SourceData.Common_SourceData_MCFTemperatureZone_Data(),Table_SourceData_Common_MCFTemperatureZone[[#Headers],[Temperature zone]],0)</f>
        <v>0.04</v>
      </c>
      <c r="N236" s="68" cm="1">
        <f t="array" ref="N236">Common_InputFunctions.Utility_DisplayArrayInTable(Common_SourceData.Common_SourceData_MCFTemperatureZone_Data(),Table_SourceData_Common_MCFTemperatureZone[[#Headers],[Temperature zone]],0)</f>
        <v>1.4999999999999999E-2</v>
      </c>
      <c r="O236" s="68" cm="1">
        <f t="array" ref="O236">Common_InputFunctions.Utility_DisplayArrayInTable(Common_SourceData.Common_SourceData_MCFTemperatureZone_Data(),Table_SourceData_Common_MCFTemperatureZone[[#Headers],[Temperature zone]],0)</f>
        <v>1.4999999999999999E-2</v>
      </c>
      <c r="P236" s="68" cm="1">
        <f t="array" ref="P236">Common_InputFunctions.Utility_DisplayArrayInTable(Common_SourceData.Common_SourceData_MCFTemperatureZone_Data(),Table_SourceData_Common_MCFTemperatureZone[[#Headers],[Temperature zone]],0)</f>
        <v>0</v>
      </c>
      <c r="Q236" s="68" cm="1">
        <f t="array" ref="Q236">Common_InputFunctions.Utility_DisplayArrayInTable(Common_SourceData.Common_SourceData_MCFTemperatureZone_Data(),Table_SourceData_Common_MCFTemperatureZone[[#Headers],[Temperature zone]],0)</f>
        <v>0</v>
      </c>
      <c r="R236" s="68" cm="1">
        <f t="array" ref="R236">Common_InputFunctions.Utility_DisplayArrayInTable(Common_SourceData.Common_SourceData_MCFTemperatureZone_Data(),Table_SourceData_Common_MCFTemperatureZone[[#Headers],[Temperature zone]],0)</f>
        <v>4.7000000000000002E-3</v>
      </c>
      <c r="S236" s="6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68" cm="1">
        <f t="array" ref="E237">Common_InputFunctions.Utility_DisplayArrayInTable(Common_SourceData.Common_SourceData_MCFTemperatureZone_Data(),Table_SourceData_Common_MCFTemperatureZone[[#Headers],[Temperature zone]],0)</f>
        <v>15</v>
      </c>
      <c r="F237" s="68" cm="1">
        <f t="array" ref="F237">Common_InputFunctions.Utility_DisplayArrayInTable(Common_SourceData.Common_SourceData_MCFTemperatureZone_Data(),Table_SourceData_Common_MCFTemperatureZone[[#Headers],[Temperature zone]],0)</f>
        <v>0.74</v>
      </c>
      <c r="G237" s="68" cm="1">
        <f t="array" ref="G237">Common_InputFunctions.Utility_DisplayArrayInTable(Common_SourceData.Common_SourceData_MCFTemperatureZone_Data(),Table_SourceData_Common_MCFTemperatureZone[[#Headers],[Temperature zone]],0)</f>
        <v>0.1</v>
      </c>
      <c r="H237" s="68" cm="1">
        <f t="array" ref="H237">Common_InputFunctions.Utility_DisplayArrayInTable(Common_SourceData.Common_SourceData_MCFTemperatureZone_Data(),Table_SourceData_Common_MCFTemperatureZone[[#Headers],[Temperature zone]],0)</f>
        <v>0.17</v>
      </c>
      <c r="I237" s="68" cm="1">
        <f t="array" ref="I237">Common_InputFunctions.Utility_DisplayArrayInTable(Common_SourceData.Common_SourceData_MCFTemperatureZone_Data(),Table_SourceData_Common_MCFTemperatureZone[[#Headers],[Temperature zone]],0)</f>
        <v>5.0000000000000001E-3</v>
      </c>
      <c r="J237" s="68" cm="1">
        <f t="array" ref="J237">Common_InputFunctions.Utility_DisplayArrayInTable(Common_SourceData.Common_SourceData_MCFTemperatureZone_Data(),Table_SourceData_Common_MCFTemperatureZone[[#Headers],[Temperature zone]],0)</f>
        <v>0.01</v>
      </c>
      <c r="K237" s="68" cm="1">
        <f t="array" ref="K237">Common_InputFunctions.Utility_DisplayArrayInTable(Common_SourceData.Common_SourceData_MCFTemperatureZone_Data(),Table_SourceData_Common_MCFTemperatureZone[[#Headers],[Temperature zone]],0)</f>
        <v>0.02</v>
      </c>
      <c r="L237" s="68" cm="1">
        <f t="array" ref="L237">Common_InputFunctions.Utility_DisplayArrayInTable(Common_SourceData.Common_SourceData_MCFTemperatureZone_Data(),Table_SourceData_Common_MCFTemperatureZone[[#Headers],[Temperature zone]],0)</f>
        <v>0.03</v>
      </c>
      <c r="M237" s="68" cm="1">
        <f t="array" ref="M237">Common_InputFunctions.Utility_DisplayArrayInTable(Common_SourceData.Common_SourceData_MCFTemperatureZone_Data(),Table_SourceData_Common_MCFTemperatureZone[[#Headers],[Temperature zone]],0)</f>
        <v>0.04</v>
      </c>
      <c r="N237" s="68" cm="1">
        <f t="array" ref="N237">Common_InputFunctions.Utility_DisplayArrayInTable(Common_SourceData.Common_SourceData_MCFTemperatureZone_Data(),Table_SourceData_Common_MCFTemperatureZone[[#Headers],[Temperature zone]],0)</f>
        <v>1.4999999999999999E-2</v>
      </c>
      <c r="O237" s="68" cm="1">
        <f t="array" ref="O237">Common_InputFunctions.Utility_DisplayArrayInTable(Common_SourceData.Common_SourceData_MCFTemperatureZone_Data(),Table_SourceData_Common_MCFTemperatureZone[[#Headers],[Temperature zone]],0)</f>
        <v>1.4999999999999999E-2</v>
      </c>
      <c r="P237" s="68" cm="1">
        <f t="array" ref="P237">Common_InputFunctions.Utility_DisplayArrayInTable(Common_SourceData.Common_SourceData_MCFTemperatureZone_Data(),Table_SourceData_Common_MCFTemperatureZone[[#Headers],[Temperature zone]],0)</f>
        <v>0</v>
      </c>
      <c r="Q237" s="68" cm="1">
        <f t="array" ref="Q237">Common_InputFunctions.Utility_DisplayArrayInTable(Common_SourceData.Common_SourceData_MCFTemperatureZone_Data(),Table_SourceData_Common_MCFTemperatureZone[[#Headers],[Temperature zone]],0)</f>
        <v>0</v>
      </c>
      <c r="R237" s="68" cm="1">
        <f t="array" ref="R237">Common_InputFunctions.Utility_DisplayArrayInTable(Common_SourceData.Common_SourceData_MCFTemperatureZone_Data(),Table_SourceData_Common_MCFTemperatureZone[[#Headers],[Temperature zone]],0)</f>
        <v>4.7000000000000002E-3</v>
      </c>
      <c r="S237" s="6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68" cm="1">
        <f t="array" ref="E238">Common_InputFunctions.Utility_DisplayArrayInTable(Common_SourceData.Common_SourceData_MCFTemperatureZone_Data(),Table_SourceData_Common_MCFTemperatureZone[[#Headers],[Temperature zone]],0)</f>
        <v>16</v>
      </c>
      <c r="F238" s="68" cm="1">
        <f t="array" ref="F238">Common_InputFunctions.Utility_DisplayArrayInTable(Common_SourceData.Common_SourceData_MCFTemperatureZone_Data(),Table_SourceData_Common_MCFTemperatureZone[[#Headers],[Temperature zone]],0)</f>
        <v>0.75</v>
      </c>
      <c r="G238" s="68" cm="1">
        <f t="array" ref="G238">Common_InputFunctions.Utility_DisplayArrayInTable(Common_SourceData.Common_SourceData_MCFTemperatureZone_Data(),Table_SourceData_Common_MCFTemperatureZone[[#Headers],[Temperature zone]],0)</f>
        <v>0.1</v>
      </c>
      <c r="H238" s="68" cm="1">
        <f t="array" ref="H238">Common_InputFunctions.Utility_DisplayArrayInTable(Common_SourceData.Common_SourceData_MCFTemperatureZone_Data(),Table_SourceData_Common_MCFTemperatureZone[[#Headers],[Temperature zone]],0)</f>
        <v>0.18</v>
      </c>
      <c r="I238" s="68" cm="1">
        <f t="array" ref="I238">Common_InputFunctions.Utility_DisplayArrayInTable(Common_SourceData.Common_SourceData_MCFTemperatureZone_Data(),Table_SourceData_Common_MCFTemperatureZone[[#Headers],[Temperature zone]],0)</f>
        <v>5.0000000000000001E-3</v>
      </c>
      <c r="J238" s="68" cm="1">
        <f t="array" ref="J238">Common_InputFunctions.Utility_DisplayArrayInTable(Common_SourceData.Common_SourceData_MCFTemperatureZone_Data(),Table_SourceData_Common_MCFTemperatureZone[[#Headers],[Temperature zone]],0)</f>
        <v>0.01</v>
      </c>
      <c r="K238" s="68" cm="1">
        <f t="array" ref="K238">Common_InputFunctions.Utility_DisplayArrayInTable(Common_SourceData.Common_SourceData_MCFTemperatureZone_Data(),Table_SourceData_Common_MCFTemperatureZone[[#Headers],[Temperature zone]],0)</f>
        <v>0.02</v>
      </c>
      <c r="L238" s="68" cm="1">
        <f t="array" ref="L238">Common_InputFunctions.Utility_DisplayArrayInTable(Common_SourceData.Common_SourceData_MCFTemperatureZone_Data(),Table_SourceData_Common_MCFTemperatureZone[[#Headers],[Temperature zone]],0)</f>
        <v>0.03</v>
      </c>
      <c r="M238" s="68" cm="1">
        <f t="array" ref="M238">Common_InputFunctions.Utility_DisplayArrayInTable(Common_SourceData.Common_SourceData_MCFTemperatureZone_Data(),Table_SourceData_Common_MCFTemperatureZone[[#Headers],[Temperature zone]],0)</f>
        <v>0.04</v>
      </c>
      <c r="N238" s="68" cm="1">
        <f t="array" ref="N238">Common_InputFunctions.Utility_DisplayArrayInTable(Common_SourceData.Common_SourceData_MCFTemperatureZone_Data(),Table_SourceData_Common_MCFTemperatureZone[[#Headers],[Temperature zone]],0)</f>
        <v>1.4999999999999999E-2</v>
      </c>
      <c r="O238" s="68" cm="1">
        <f t="array" ref="O238">Common_InputFunctions.Utility_DisplayArrayInTable(Common_SourceData.Common_SourceData_MCFTemperatureZone_Data(),Table_SourceData_Common_MCFTemperatureZone[[#Headers],[Temperature zone]],0)</f>
        <v>1.4999999999999999E-2</v>
      </c>
      <c r="P238" s="68" cm="1">
        <f t="array" ref="P238">Common_InputFunctions.Utility_DisplayArrayInTable(Common_SourceData.Common_SourceData_MCFTemperatureZone_Data(),Table_SourceData_Common_MCFTemperatureZone[[#Headers],[Temperature zone]],0)</f>
        <v>0</v>
      </c>
      <c r="Q238" s="68" cm="1">
        <f t="array" ref="Q238">Common_InputFunctions.Utility_DisplayArrayInTable(Common_SourceData.Common_SourceData_MCFTemperatureZone_Data(),Table_SourceData_Common_MCFTemperatureZone[[#Headers],[Temperature zone]],0)</f>
        <v>0</v>
      </c>
      <c r="R238" s="68" cm="1">
        <f t="array" ref="R238">Common_InputFunctions.Utility_DisplayArrayInTable(Common_SourceData.Common_SourceData_MCFTemperatureZone_Data(),Table_SourceData_Common_MCFTemperatureZone[[#Headers],[Temperature zone]],0)</f>
        <v>4.7000000000000002E-3</v>
      </c>
      <c r="S238" s="6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68" cm="1">
        <f t="array" ref="E239">Common_InputFunctions.Utility_DisplayArrayInTable(Common_SourceData.Common_SourceData_MCFTemperatureZone_Data(),Table_SourceData_Common_MCFTemperatureZone[[#Headers],[Temperature zone]],0)</f>
        <v>17</v>
      </c>
      <c r="F239" s="68" cm="1">
        <f t="array" ref="F239">Common_InputFunctions.Utility_DisplayArrayInTable(Common_SourceData.Common_SourceData_MCFTemperatureZone_Data(),Table_SourceData_Common_MCFTemperatureZone[[#Headers],[Temperature zone]],0)</f>
        <v>0.76</v>
      </c>
      <c r="G239" s="68" cm="1">
        <f t="array" ref="G239">Common_InputFunctions.Utility_DisplayArrayInTable(Common_SourceData.Common_SourceData_MCFTemperatureZone_Data(),Table_SourceData_Common_MCFTemperatureZone[[#Headers],[Temperature zone]],0)</f>
        <v>0.1</v>
      </c>
      <c r="H239" s="68" cm="1">
        <f t="array" ref="H239">Common_InputFunctions.Utility_DisplayArrayInTable(Common_SourceData.Common_SourceData_MCFTemperatureZone_Data(),Table_SourceData_Common_MCFTemperatureZone[[#Headers],[Temperature zone]],0)</f>
        <v>0.2</v>
      </c>
      <c r="I239" s="68" cm="1">
        <f t="array" ref="I239">Common_InputFunctions.Utility_DisplayArrayInTable(Common_SourceData.Common_SourceData_MCFTemperatureZone_Data(),Table_SourceData_Common_MCFTemperatureZone[[#Headers],[Temperature zone]],0)</f>
        <v>5.0000000000000001E-3</v>
      </c>
      <c r="J239" s="68" cm="1">
        <f t="array" ref="J239">Common_InputFunctions.Utility_DisplayArrayInTable(Common_SourceData.Common_SourceData_MCFTemperatureZone_Data(),Table_SourceData_Common_MCFTemperatureZone[[#Headers],[Temperature zone]],0)</f>
        <v>0.01</v>
      </c>
      <c r="K239" s="68" cm="1">
        <f t="array" ref="K239">Common_InputFunctions.Utility_DisplayArrayInTable(Common_SourceData.Common_SourceData_MCFTemperatureZone_Data(),Table_SourceData_Common_MCFTemperatureZone[[#Headers],[Temperature zone]],0)</f>
        <v>0.02</v>
      </c>
      <c r="L239" s="68" cm="1">
        <f t="array" ref="L239">Common_InputFunctions.Utility_DisplayArrayInTable(Common_SourceData.Common_SourceData_MCFTemperatureZone_Data(),Table_SourceData_Common_MCFTemperatureZone[[#Headers],[Temperature zone]],0)</f>
        <v>0.03</v>
      </c>
      <c r="M239" s="68" cm="1">
        <f t="array" ref="M239">Common_InputFunctions.Utility_DisplayArrayInTable(Common_SourceData.Common_SourceData_MCFTemperatureZone_Data(),Table_SourceData_Common_MCFTemperatureZone[[#Headers],[Temperature zone]],0)</f>
        <v>0.04</v>
      </c>
      <c r="N239" s="68" cm="1">
        <f t="array" ref="N239">Common_InputFunctions.Utility_DisplayArrayInTable(Common_SourceData.Common_SourceData_MCFTemperatureZone_Data(),Table_SourceData_Common_MCFTemperatureZone[[#Headers],[Temperature zone]],0)</f>
        <v>1.4999999999999999E-2</v>
      </c>
      <c r="O239" s="68" cm="1">
        <f t="array" ref="O239">Common_InputFunctions.Utility_DisplayArrayInTable(Common_SourceData.Common_SourceData_MCFTemperatureZone_Data(),Table_SourceData_Common_MCFTemperatureZone[[#Headers],[Temperature zone]],0)</f>
        <v>1.4999999999999999E-2</v>
      </c>
      <c r="P239" s="68" cm="1">
        <f t="array" ref="P239">Common_InputFunctions.Utility_DisplayArrayInTable(Common_SourceData.Common_SourceData_MCFTemperatureZone_Data(),Table_SourceData_Common_MCFTemperatureZone[[#Headers],[Temperature zone]],0)</f>
        <v>0</v>
      </c>
      <c r="Q239" s="68" cm="1">
        <f t="array" ref="Q239">Common_InputFunctions.Utility_DisplayArrayInTable(Common_SourceData.Common_SourceData_MCFTemperatureZone_Data(),Table_SourceData_Common_MCFTemperatureZone[[#Headers],[Temperature zone]],0)</f>
        <v>0</v>
      </c>
      <c r="R239" s="68" cm="1">
        <f t="array" ref="R239">Common_InputFunctions.Utility_DisplayArrayInTable(Common_SourceData.Common_SourceData_MCFTemperatureZone_Data(),Table_SourceData_Common_MCFTemperatureZone[[#Headers],[Temperature zone]],0)</f>
        <v>4.7000000000000002E-3</v>
      </c>
      <c r="S239" s="6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68" cm="1">
        <f t="array" ref="E240">Common_InputFunctions.Utility_DisplayArrayInTable(Common_SourceData.Common_SourceData_MCFTemperatureZone_Data(),Table_SourceData_Common_MCFTemperatureZone[[#Headers],[Temperature zone]],0)</f>
        <v>18</v>
      </c>
      <c r="F240" s="68" cm="1">
        <f t="array" ref="F240">Common_InputFunctions.Utility_DisplayArrayInTable(Common_SourceData.Common_SourceData_MCFTemperatureZone_Data(),Table_SourceData_Common_MCFTemperatureZone[[#Headers],[Temperature zone]],0)</f>
        <v>0.77</v>
      </c>
      <c r="G240" s="68" cm="1">
        <f t="array" ref="G240">Common_InputFunctions.Utility_DisplayArrayInTable(Common_SourceData.Common_SourceData_MCFTemperatureZone_Data(),Table_SourceData_Common_MCFTemperatureZone[[#Headers],[Temperature zone]],0)</f>
        <v>0.1</v>
      </c>
      <c r="H240" s="68" cm="1">
        <f t="array" ref="H240">Common_InputFunctions.Utility_DisplayArrayInTable(Common_SourceData.Common_SourceData_MCFTemperatureZone_Data(),Table_SourceData_Common_MCFTemperatureZone[[#Headers],[Temperature zone]],0)</f>
        <v>0.22</v>
      </c>
      <c r="I240" s="68" cm="1">
        <f t="array" ref="I240">Common_InputFunctions.Utility_DisplayArrayInTable(Common_SourceData.Common_SourceData_MCFTemperatureZone_Data(),Table_SourceData_Common_MCFTemperatureZone[[#Headers],[Temperature zone]],0)</f>
        <v>5.0000000000000001E-3</v>
      </c>
      <c r="J240" s="68" cm="1">
        <f t="array" ref="J240">Common_InputFunctions.Utility_DisplayArrayInTable(Common_SourceData.Common_SourceData_MCFTemperatureZone_Data(),Table_SourceData_Common_MCFTemperatureZone[[#Headers],[Temperature zone]],0)</f>
        <v>0.01</v>
      </c>
      <c r="K240" s="68" cm="1">
        <f t="array" ref="K240">Common_InputFunctions.Utility_DisplayArrayInTable(Common_SourceData.Common_SourceData_MCFTemperatureZone_Data(),Table_SourceData_Common_MCFTemperatureZone[[#Headers],[Temperature zone]],0)</f>
        <v>0.02</v>
      </c>
      <c r="L240" s="68" cm="1">
        <f t="array" ref="L240">Common_InputFunctions.Utility_DisplayArrayInTable(Common_SourceData.Common_SourceData_MCFTemperatureZone_Data(),Table_SourceData_Common_MCFTemperatureZone[[#Headers],[Temperature zone]],0)</f>
        <v>0.03</v>
      </c>
      <c r="M240" s="68" cm="1">
        <f t="array" ref="M240">Common_InputFunctions.Utility_DisplayArrayInTable(Common_SourceData.Common_SourceData_MCFTemperatureZone_Data(),Table_SourceData_Common_MCFTemperatureZone[[#Headers],[Temperature zone]],0)</f>
        <v>0.04</v>
      </c>
      <c r="N240" s="68" cm="1">
        <f t="array" ref="N240">Common_InputFunctions.Utility_DisplayArrayInTable(Common_SourceData.Common_SourceData_MCFTemperatureZone_Data(),Table_SourceData_Common_MCFTemperatureZone[[#Headers],[Temperature zone]],0)</f>
        <v>1.4999999999999999E-2</v>
      </c>
      <c r="O240" s="68" cm="1">
        <f t="array" ref="O240">Common_InputFunctions.Utility_DisplayArrayInTable(Common_SourceData.Common_SourceData_MCFTemperatureZone_Data(),Table_SourceData_Common_MCFTemperatureZone[[#Headers],[Temperature zone]],0)</f>
        <v>1.4999999999999999E-2</v>
      </c>
      <c r="P240" s="68" cm="1">
        <f t="array" ref="P240">Common_InputFunctions.Utility_DisplayArrayInTable(Common_SourceData.Common_SourceData_MCFTemperatureZone_Data(),Table_SourceData_Common_MCFTemperatureZone[[#Headers],[Temperature zone]],0)</f>
        <v>0</v>
      </c>
      <c r="Q240" s="68" cm="1">
        <f t="array" ref="Q240">Common_InputFunctions.Utility_DisplayArrayInTable(Common_SourceData.Common_SourceData_MCFTemperatureZone_Data(),Table_SourceData_Common_MCFTemperatureZone[[#Headers],[Temperature zone]],0)</f>
        <v>0</v>
      </c>
      <c r="R240" s="68" cm="1">
        <f t="array" ref="R240">Common_InputFunctions.Utility_DisplayArrayInTable(Common_SourceData.Common_SourceData_MCFTemperatureZone_Data(),Table_SourceData_Common_MCFTemperatureZone[[#Headers],[Temperature zone]],0)</f>
        <v>4.7000000000000002E-3</v>
      </c>
      <c r="S240" s="6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68" cm="1">
        <f t="array" ref="E241">Common_InputFunctions.Utility_DisplayArrayInTable(Common_SourceData.Common_SourceData_MCFTemperatureZone_Data(),Table_SourceData_Common_MCFTemperatureZone[[#Headers],[Temperature zone]],0)</f>
        <v>19</v>
      </c>
      <c r="F241" s="68" cm="1">
        <f t="array" ref="F241">Common_InputFunctions.Utility_DisplayArrayInTable(Common_SourceData.Common_SourceData_MCFTemperatureZone_Data(),Table_SourceData_Common_MCFTemperatureZone[[#Headers],[Temperature zone]],0)</f>
        <v>0.77</v>
      </c>
      <c r="G241" s="68" cm="1">
        <f t="array" ref="G241">Common_InputFunctions.Utility_DisplayArrayInTable(Common_SourceData.Common_SourceData_MCFTemperatureZone_Data(),Table_SourceData_Common_MCFTemperatureZone[[#Headers],[Temperature zone]],0)</f>
        <v>0.1</v>
      </c>
      <c r="H241" s="68" cm="1">
        <f t="array" ref="H241">Common_InputFunctions.Utility_DisplayArrayInTable(Common_SourceData.Common_SourceData_MCFTemperatureZone_Data(),Table_SourceData_Common_MCFTemperatureZone[[#Headers],[Temperature zone]],0)</f>
        <v>0.24</v>
      </c>
      <c r="I241" s="68" cm="1">
        <f t="array" ref="I241">Common_InputFunctions.Utility_DisplayArrayInTable(Common_SourceData.Common_SourceData_MCFTemperatureZone_Data(),Table_SourceData_Common_MCFTemperatureZone[[#Headers],[Temperature zone]],0)</f>
        <v>5.0000000000000001E-3</v>
      </c>
      <c r="J241" s="68" cm="1">
        <f t="array" ref="J241">Common_InputFunctions.Utility_DisplayArrayInTable(Common_SourceData.Common_SourceData_MCFTemperatureZone_Data(),Table_SourceData_Common_MCFTemperatureZone[[#Headers],[Temperature zone]],0)</f>
        <v>0.01</v>
      </c>
      <c r="K241" s="68" cm="1">
        <f t="array" ref="K241">Common_InputFunctions.Utility_DisplayArrayInTable(Common_SourceData.Common_SourceData_MCFTemperatureZone_Data(),Table_SourceData_Common_MCFTemperatureZone[[#Headers],[Temperature zone]],0)</f>
        <v>0.02</v>
      </c>
      <c r="L241" s="68" cm="1">
        <f t="array" ref="L241">Common_InputFunctions.Utility_DisplayArrayInTable(Common_SourceData.Common_SourceData_MCFTemperatureZone_Data(),Table_SourceData_Common_MCFTemperatureZone[[#Headers],[Temperature zone]],0)</f>
        <v>0.03</v>
      </c>
      <c r="M241" s="68" cm="1">
        <f t="array" ref="M241">Common_InputFunctions.Utility_DisplayArrayInTable(Common_SourceData.Common_SourceData_MCFTemperatureZone_Data(),Table_SourceData_Common_MCFTemperatureZone[[#Headers],[Temperature zone]],0)</f>
        <v>0.04</v>
      </c>
      <c r="N241" s="68" cm="1">
        <f t="array" ref="N241">Common_InputFunctions.Utility_DisplayArrayInTable(Common_SourceData.Common_SourceData_MCFTemperatureZone_Data(),Table_SourceData_Common_MCFTemperatureZone[[#Headers],[Temperature zone]],0)</f>
        <v>1.4999999999999999E-2</v>
      </c>
      <c r="O241" s="68" cm="1">
        <f t="array" ref="O241">Common_InputFunctions.Utility_DisplayArrayInTable(Common_SourceData.Common_SourceData_MCFTemperatureZone_Data(),Table_SourceData_Common_MCFTemperatureZone[[#Headers],[Temperature zone]],0)</f>
        <v>1.4999999999999999E-2</v>
      </c>
      <c r="P241" s="68" cm="1">
        <f t="array" ref="P241">Common_InputFunctions.Utility_DisplayArrayInTable(Common_SourceData.Common_SourceData_MCFTemperatureZone_Data(),Table_SourceData_Common_MCFTemperatureZone[[#Headers],[Temperature zone]],0)</f>
        <v>0</v>
      </c>
      <c r="Q241" s="68" cm="1">
        <f t="array" ref="Q241">Common_InputFunctions.Utility_DisplayArrayInTable(Common_SourceData.Common_SourceData_MCFTemperatureZone_Data(),Table_SourceData_Common_MCFTemperatureZone[[#Headers],[Temperature zone]],0)</f>
        <v>0</v>
      </c>
      <c r="R241" s="68" cm="1">
        <f t="array" ref="R241">Common_InputFunctions.Utility_DisplayArrayInTable(Common_SourceData.Common_SourceData_MCFTemperatureZone_Data(),Table_SourceData_Common_MCFTemperatureZone[[#Headers],[Temperature zone]],0)</f>
        <v>4.7000000000000002E-3</v>
      </c>
      <c r="S241" s="6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68" cm="1">
        <f t="array" ref="E242">Common_InputFunctions.Utility_DisplayArrayInTable(Common_SourceData.Common_SourceData_MCFTemperatureZone_Data(),Table_SourceData_Common_MCFTemperatureZone[[#Headers],[Temperature zone]],0)</f>
        <v>20</v>
      </c>
      <c r="F242" s="68" cm="1">
        <f t="array" ref="F242">Common_InputFunctions.Utility_DisplayArrayInTable(Common_SourceData.Common_SourceData_MCFTemperatureZone_Data(),Table_SourceData_Common_MCFTemperatureZone[[#Headers],[Temperature zone]],0)</f>
        <v>0.78</v>
      </c>
      <c r="G242" s="68" cm="1">
        <f t="array" ref="G242">Common_InputFunctions.Utility_DisplayArrayInTable(Common_SourceData.Common_SourceData_MCFTemperatureZone_Data(),Table_SourceData_Common_MCFTemperatureZone[[#Headers],[Temperature zone]],0)</f>
        <v>0.1</v>
      </c>
      <c r="H242" s="68" cm="1">
        <f t="array" ref="H242">Common_InputFunctions.Utility_DisplayArrayInTable(Common_SourceData.Common_SourceData_MCFTemperatureZone_Data(),Table_SourceData_Common_MCFTemperatureZone[[#Headers],[Temperature zone]],0)</f>
        <v>0.26</v>
      </c>
      <c r="I242" s="68" cm="1">
        <f t="array" ref="I242">Common_InputFunctions.Utility_DisplayArrayInTable(Common_SourceData.Common_SourceData_MCFTemperatureZone_Data(),Table_SourceData_Common_MCFTemperatureZone[[#Headers],[Temperature zone]],0)</f>
        <v>5.0000000000000001E-3</v>
      </c>
      <c r="J242" s="68" cm="1">
        <f t="array" ref="J242">Common_InputFunctions.Utility_DisplayArrayInTable(Common_SourceData.Common_SourceData_MCFTemperatureZone_Data(),Table_SourceData_Common_MCFTemperatureZone[[#Headers],[Temperature zone]],0)</f>
        <v>0.01</v>
      </c>
      <c r="K242" s="68" cm="1">
        <f t="array" ref="K242">Common_InputFunctions.Utility_DisplayArrayInTable(Common_SourceData.Common_SourceData_MCFTemperatureZone_Data(),Table_SourceData_Common_MCFTemperatureZone[[#Headers],[Temperature zone]],0)</f>
        <v>0.02</v>
      </c>
      <c r="L242" s="68" cm="1">
        <f t="array" ref="L242">Common_InputFunctions.Utility_DisplayArrayInTable(Common_SourceData.Common_SourceData_MCFTemperatureZone_Data(),Table_SourceData_Common_MCFTemperatureZone[[#Headers],[Temperature zone]],0)</f>
        <v>0.03</v>
      </c>
      <c r="M242" s="68" cm="1">
        <f t="array" ref="M242">Common_InputFunctions.Utility_DisplayArrayInTable(Common_SourceData.Common_SourceData_MCFTemperatureZone_Data(),Table_SourceData_Common_MCFTemperatureZone[[#Headers],[Temperature zone]],0)</f>
        <v>0.04</v>
      </c>
      <c r="N242" s="68" cm="1">
        <f t="array" ref="N242">Common_InputFunctions.Utility_DisplayArrayInTable(Common_SourceData.Common_SourceData_MCFTemperatureZone_Data(),Table_SourceData_Common_MCFTemperatureZone[[#Headers],[Temperature zone]],0)</f>
        <v>1.4999999999999999E-2</v>
      </c>
      <c r="O242" s="68" cm="1">
        <f t="array" ref="O242">Common_InputFunctions.Utility_DisplayArrayInTable(Common_SourceData.Common_SourceData_MCFTemperatureZone_Data(),Table_SourceData_Common_MCFTemperatureZone[[#Headers],[Temperature zone]],0)</f>
        <v>1.4999999999999999E-2</v>
      </c>
      <c r="P242" s="68" cm="1">
        <f t="array" ref="P242">Common_InputFunctions.Utility_DisplayArrayInTable(Common_SourceData.Common_SourceData_MCFTemperatureZone_Data(),Table_SourceData_Common_MCFTemperatureZone[[#Headers],[Temperature zone]],0)</f>
        <v>0</v>
      </c>
      <c r="Q242" s="68" cm="1">
        <f t="array" ref="Q242">Common_InputFunctions.Utility_DisplayArrayInTable(Common_SourceData.Common_SourceData_MCFTemperatureZone_Data(),Table_SourceData_Common_MCFTemperatureZone[[#Headers],[Temperature zone]],0)</f>
        <v>0</v>
      </c>
      <c r="R242" s="68" cm="1">
        <f t="array" ref="R242">Common_InputFunctions.Utility_DisplayArrayInTable(Common_SourceData.Common_SourceData_MCFTemperatureZone_Data(),Table_SourceData_Common_MCFTemperatureZone[[#Headers],[Temperature zone]],0)</f>
        <v>4.7000000000000002E-3</v>
      </c>
      <c r="S242" s="6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68" cm="1">
        <f t="array" ref="E243">Common_InputFunctions.Utility_DisplayArrayInTable(Common_SourceData.Common_SourceData_MCFTemperatureZone_Data(),Table_SourceData_Common_MCFTemperatureZone[[#Headers],[Temperature zone]],0)</f>
        <v>21</v>
      </c>
      <c r="F243" s="68" cm="1">
        <f t="array" ref="F243">Common_InputFunctions.Utility_DisplayArrayInTable(Common_SourceData.Common_SourceData_MCFTemperatureZone_Data(),Table_SourceData_Common_MCFTemperatureZone[[#Headers],[Temperature zone]],0)</f>
        <v>0.78</v>
      </c>
      <c r="G243" s="68" cm="1">
        <f t="array" ref="G243">Common_InputFunctions.Utility_DisplayArrayInTable(Common_SourceData.Common_SourceData_MCFTemperatureZone_Data(),Table_SourceData_Common_MCFTemperatureZone[[#Headers],[Temperature zone]],0)</f>
        <v>0.1</v>
      </c>
      <c r="H243" s="68" cm="1">
        <f t="array" ref="H243">Common_InputFunctions.Utility_DisplayArrayInTable(Common_SourceData.Common_SourceData_MCFTemperatureZone_Data(),Table_SourceData_Common_MCFTemperatureZone[[#Headers],[Temperature zone]],0)</f>
        <v>0.28999999999999998</v>
      </c>
      <c r="I243" s="68" cm="1">
        <f t="array" ref="I243">Common_InputFunctions.Utility_DisplayArrayInTable(Common_SourceData.Common_SourceData_MCFTemperatureZone_Data(),Table_SourceData_Common_MCFTemperatureZone[[#Headers],[Temperature zone]],0)</f>
        <v>5.0000000000000001E-3</v>
      </c>
      <c r="J243" s="68" cm="1">
        <f t="array" ref="J243">Common_InputFunctions.Utility_DisplayArrayInTable(Common_SourceData.Common_SourceData_MCFTemperatureZone_Data(),Table_SourceData_Common_MCFTemperatureZone[[#Headers],[Temperature zone]],0)</f>
        <v>0.01</v>
      </c>
      <c r="K243" s="68" cm="1">
        <f t="array" ref="K243">Common_InputFunctions.Utility_DisplayArrayInTable(Common_SourceData.Common_SourceData_MCFTemperatureZone_Data(),Table_SourceData_Common_MCFTemperatureZone[[#Headers],[Temperature zone]],0)</f>
        <v>0.02</v>
      </c>
      <c r="L243" s="68" cm="1">
        <f t="array" ref="L243">Common_InputFunctions.Utility_DisplayArrayInTable(Common_SourceData.Common_SourceData_MCFTemperatureZone_Data(),Table_SourceData_Common_MCFTemperatureZone[[#Headers],[Temperature zone]],0)</f>
        <v>0.03</v>
      </c>
      <c r="M243" s="68" cm="1">
        <f t="array" ref="M243">Common_InputFunctions.Utility_DisplayArrayInTable(Common_SourceData.Common_SourceData_MCFTemperatureZone_Data(),Table_SourceData_Common_MCFTemperatureZone[[#Headers],[Temperature zone]],0)</f>
        <v>0.04</v>
      </c>
      <c r="N243" s="68" cm="1">
        <f t="array" ref="N243">Common_InputFunctions.Utility_DisplayArrayInTable(Common_SourceData.Common_SourceData_MCFTemperatureZone_Data(),Table_SourceData_Common_MCFTemperatureZone[[#Headers],[Temperature zone]],0)</f>
        <v>1.4999999999999999E-2</v>
      </c>
      <c r="O243" s="68" cm="1">
        <f t="array" ref="O243">Common_InputFunctions.Utility_DisplayArrayInTable(Common_SourceData.Common_SourceData_MCFTemperatureZone_Data(),Table_SourceData_Common_MCFTemperatureZone[[#Headers],[Temperature zone]],0)</f>
        <v>1.4999999999999999E-2</v>
      </c>
      <c r="P243" s="68" cm="1">
        <f t="array" ref="P243">Common_InputFunctions.Utility_DisplayArrayInTable(Common_SourceData.Common_SourceData_MCFTemperatureZone_Data(),Table_SourceData_Common_MCFTemperatureZone[[#Headers],[Temperature zone]],0)</f>
        <v>0</v>
      </c>
      <c r="Q243" s="68" cm="1">
        <f t="array" ref="Q243">Common_InputFunctions.Utility_DisplayArrayInTable(Common_SourceData.Common_SourceData_MCFTemperatureZone_Data(),Table_SourceData_Common_MCFTemperatureZone[[#Headers],[Temperature zone]],0)</f>
        <v>0</v>
      </c>
      <c r="R243" s="68" cm="1">
        <f t="array" ref="R243">Common_InputFunctions.Utility_DisplayArrayInTable(Common_SourceData.Common_SourceData_MCFTemperatureZone_Data(),Table_SourceData_Common_MCFTemperatureZone[[#Headers],[Temperature zone]],0)</f>
        <v>4.7000000000000002E-3</v>
      </c>
      <c r="S243" s="6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68" cm="1">
        <f t="array" ref="E244">Common_InputFunctions.Utility_DisplayArrayInTable(Common_SourceData.Common_SourceData_MCFTemperatureZone_Data(),Table_SourceData_Common_MCFTemperatureZone[[#Headers],[Temperature zone]],0)</f>
        <v>22</v>
      </c>
      <c r="F244" s="68" cm="1">
        <f t="array" ref="F244">Common_InputFunctions.Utility_DisplayArrayInTable(Common_SourceData.Common_SourceData_MCFTemperatureZone_Data(),Table_SourceData_Common_MCFTemperatureZone[[#Headers],[Temperature zone]],0)</f>
        <v>0.78</v>
      </c>
      <c r="G244" s="68" cm="1">
        <f t="array" ref="G244">Common_InputFunctions.Utility_DisplayArrayInTable(Common_SourceData.Common_SourceData_MCFTemperatureZone_Data(),Table_SourceData_Common_MCFTemperatureZone[[#Headers],[Temperature zone]],0)</f>
        <v>0.1</v>
      </c>
      <c r="H244" s="68" cm="1">
        <f t="array" ref="H244">Common_InputFunctions.Utility_DisplayArrayInTable(Common_SourceData.Common_SourceData_MCFTemperatureZone_Data(),Table_SourceData_Common_MCFTemperatureZone[[#Headers],[Temperature zone]],0)</f>
        <v>0.31</v>
      </c>
      <c r="I244" s="68" cm="1">
        <f t="array" ref="I244">Common_InputFunctions.Utility_DisplayArrayInTable(Common_SourceData.Common_SourceData_MCFTemperatureZone_Data(),Table_SourceData_Common_MCFTemperatureZone[[#Headers],[Temperature zone]],0)</f>
        <v>5.0000000000000001E-3</v>
      </c>
      <c r="J244" s="68" cm="1">
        <f t="array" ref="J244">Common_InputFunctions.Utility_DisplayArrayInTable(Common_SourceData.Common_SourceData_MCFTemperatureZone_Data(),Table_SourceData_Common_MCFTemperatureZone[[#Headers],[Temperature zone]],0)</f>
        <v>0.01</v>
      </c>
      <c r="K244" s="68" cm="1">
        <f t="array" ref="K244">Common_InputFunctions.Utility_DisplayArrayInTable(Common_SourceData.Common_SourceData_MCFTemperatureZone_Data(),Table_SourceData_Common_MCFTemperatureZone[[#Headers],[Temperature zone]],0)</f>
        <v>0.02</v>
      </c>
      <c r="L244" s="68" cm="1">
        <f t="array" ref="L244">Common_InputFunctions.Utility_DisplayArrayInTable(Common_SourceData.Common_SourceData_MCFTemperatureZone_Data(),Table_SourceData_Common_MCFTemperatureZone[[#Headers],[Temperature zone]],0)</f>
        <v>0.03</v>
      </c>
      <c r="M244" s="68" cm="1">
        <f t="array" ref="M244">Common_InputFunctions.Utility_DisplayArrayInTable(Common_SourceData.Common_SourceData_MCFTemperatureZone_Data(),Table_SourceData_Common_MCFTemperatureZone[[#Headers],[Temperature zone]],0)</f>
        <v>0.04</v>
      </c>
      <c r="N244" s="68" cm="1">
        <f t="array" ref="N244">Common_InputFunctions.Utility_DisplayArrayInTable(Common_SourceData.Common_SourceData_MCFTemperatureZone_Data(),Table_SourceData_Common_MCFTemperatureZone[[#Headers],[Temperature zone]],0)</f>
        <v>1.4999999999999999E-2</v>
      </c>
      <c r="O244" s="68" cm="1">
        <f t="array" ref="O244">Common_InputFunctions.Utility_DisplayArrayInTable(Common_SourceData.Common_SourceData_MCFTemperatureZone_Data(),Table_SourceData_Common_MCFTemperatureZone[[#Headers],[Temperature zone]],0)</f>
        <v>1.4999999999999999E-2</v>
      </c>
      <c r="P244" s="68" cm="1">
        <f t="array" ref="P244">Common_InputFunctions.Utility_DisplayArrayInTable(Common_SourceData.Common_SourceData_MCFTemperatureZone_Data(),Table_SourceData_Common_MCFTemperatureZone[[#Headers],[Temperature zone]],0)</f>
        <v>0</v>
      </c>
      <c r="Q244" s="68" cm="1">
        <f t="array" ref="Q244">Common_InputFunctions.Utility_DisplayArrayInTable(Common_SourceData.Common_SourceData_MCFTemperatureZone_Data(),Table_SourceData_Common_MCFTemperatureZone[[#Headers],[Temperature zone]],0)</f>
        <v>0</v>
      </c>
      <c r="R244" s="68" cm="1">
        <f t="array" ref="R244">Common_InputFunctions.Utility_DisplayArrayInTable(Common_SourceData.Common_SourceData_MCFTemperatureZone_Data(),Table_SourceData_Common_MCFTemperatureZone[[#Headers],[Temperature zone]],0)</f>
        <v>4.7000000000000002E-3</v>
      </c>
      <c r="S244" s="6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68" cm="1">
        <f t="array" ref="E245">Common_InputFunctions.Utility_DisplayArrayInTable(Common_SourceData.Common_SourceData_MCFTemperatureZone_Data(),Table_SourceData_Common_MCFTemperatureZone[[#Headers],[Temperature zone]],0)</f>
        <v>23</v>
      </c>
      <c r="F245" s="68" cm="1">
        <f t="array" ref="F245">Common_InputFunctions.Utility_DisplayArrayInTable(Common_SourceData.Common_SourceData_MCFTemperatureZone_Data(),Table_SourceData_Common_MCFTemperatureZone[[#Headers],[Temperature zone]],0)</f>
        <v>0.79</v>
      </c>
      <c r="G245" s="68" cm="1">
        <f t="array" ref="G245">Common_InputFunctions.Utility_DisplayArrayInTable(Common_SourceData.Common_SourceData_MCFTemperatureZone_Data(),Table_SourceData_Common_MCFTemperatureZone[[#Headers],[Temperature zone]],0)</f>
        <v>0.1</v>
      </c>
      <c r="H245" s="68" cm="1">
        <f t="array" ref="H245">Common_InputFunctions.Utility_DisplayArrayInTable(Common_SourceData.Common_SourceData_MCFTemperatureZone_Data(),Table_SourceData_Common_MCFTemperatureZone[[#Headers],[Temperature zone]],0)</f>
        <v>0.34</v>
      </c>
      <c r="I245" s="68" cm="1">
        <f t="array" ref="I245">Common_InputFunctions.Utility_DisplayArrayInTable(Common_SourceData.Common_SourceData_MCFTemperatureZone_Data(),Table_SourceData_Common_MCFTemperatureZone[[#Headers],[Temperature zone]],0)</f>
        <v>5.0000000000000001E-3</v>
      </c>
      <c r="J245" s="68" cm="1">
        <f t="array" ref="J245">Common_InputFunctions.Utility_DisplayArrayInTable(Common_SourceData.Common_SourceData_MCFTemperatureZone_Data(),Table_SourceData_Common_MCFTemperatureZone[[#Headers],[Temperature zone]],0)</f>
        <v>0.01</v>
      </c>
      <c r="K245" s="68" cm="1">
        <f t="array" ref="K245">Common_InputFunctions.Utility_DisplayArrayInTable(Common_SourceData.Common_SourceData_MCFTemperatureZone_Data(),Table_SourceData_Common_MCFTemperatureZone[[#Headers],[Temperature zone]],0)</f>
        <v>0.02</v>
      </c>
      <c r="L245" s="68" cm="1">
        <f t="array" ref="L245">Common_InputFunctions.Utility_DisplayArrayInTable(Common_SourceData.Common_SourceData_MCFTemperatureZone_Data(),Table_SourceData_Common_MCFTemperatureZone[[#Headers],[Temperature zone]],0)</f>
        <v>0.03</v>
      </c>
      <c r="M245" s="68" cm="1">
        <f t="array" ref="M245">Common_InputFunctions.Utility_DisplayArrayInTable(Common_SourceData.Common_SourceData_MCFTemperatureZone_Data(),Table_SourceData_Common_MCFTemperatureZone[[#Headers],[Temperature zone]],0)</f>
        <v>0.04</v>
      </c>
      <c r="N245" s="68" cm="1">
        <f t="array" ref="N245">Common_InputFunctions.Utility_DisplayArrayInTable(Common_SourceData.Common_SourceData_MCFTemperatureZone_Data(),Table_SourceData_Common_MCFTemperatureZone[[#Headers],[Temperature zone]],0)</f>
        <v>1.4999999999999999E-2</v>
      </c>
      <c r="O245" s="68" cm="1">
        <f t="array" ref="O245">Common_InputFunctions.Utility_DisplayArrayInTable(Common_SourceData.Common_SourceData_MCFTemperatureZone_Data(),Table_SourceData_Common_MCFTemperatureZone[[#Headers],[Temperature zone]],0)</f>
        <v>1.4999999999999999E-2</v>
      </c>
      <c r="P245" s="68" cm="1">
        <f t="array" ref="P245">Common_InputFunctions.Utility_DisplayArrayInTable(Common_SourceData.Common_SourceData_MCFTemperatureZone_Data(),Table_SourceData_Common_MCFTemperatureZone[[#Headers],[Temperature zone]],0)</f>
        <v>0</v>
      </c>
      <c r="Q245" s="68" cm="1">
        <f t="array" ref="Q245">Common_InputFunctions.Utility_DisplayArrayInTable(Common_SourceData.Common_SourceData_MCFTemperatureZone_Data(),Table_SourceData_Common_MCFTemperatureZone[[#Headers],[Temperature zone]],0)</f>
        <v>0</v>
      </c>
      <c r="R245" s="68" cm="1">
        <f t="array" ref="R245">Common_InputFunctions.Utility_DisplayArrayInTable(Common_SourceData.Common_SourceData_MCFTemperatureZone_Data(),Table_SourceData_Common_MCFTemperatureZone[[#Headers],[Temperature zone]],0)</f>
        <v>4.7000000000000002E-3</v>
      </c>
      <c r="S245" s="6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68" cm="1">
        <f t="array" ref="E246">Common_InputFunctions.Utility_DisplayArrayInTable(Common_SourceData.Common_SourceData_MCFTemperatureZone_Data(),Table_SourceData_Common_MCFTemperatureZone[[#Headers],[Temperature zone]],0)</f>
        <v>24</v>
      </c>
      <c r="F246" s="68" cm="1">
        <f t="array" ref="F246">Common_InputFunctions.Utility_DisplayArrayInTable(Common_SourceData.Common_SourceData_MCFTemperatureZone_Data(),Table_SourceData_Common_MCFTemperatureZone[[#Headers],[Temperature zone]],0)</f>
        <v>0.79</v>
      </c>
      <c r="G246" s="68" cm="1">
        <f t="array" ref="G246">Common_InputFunctions.Utility_DisplayArrayInTable(Common_SourceData.Common_SourceData_MCFTemperatureZone_Data(),Table_SourceData_Common_MCFTemperatureZone[[#Headers],[Temperature zone]],0)</f>
        <v>0.1</v>
      </c>
      <c r="H246" s="68" cm="1">
        <f t="array" ref="H246">Common_InputFunctions.Utility_DisplayArrayInTable(Common_SourceData.Common_SourceData_MCFTemperatureZone_Data(),Table_SourceData_Common_MCFTemperatureZone[[#Headers],[Temperature zone]],0)</f>
        <v>0.37</v>
      </c>
      <c r="I246" s="68" cm="1">
        <f t="array" ref="I246">Common_InputFunctions.Utility_DisplayArrayInTable(Common_SourceData.Common_SourceData_MCFTemperatureZone_Data(),Table_SourceData_Common_MCFTemperatureZone[[#Headers],[Temperature zone]],0)</f>
        <v>5.0000000000000001E-3</v>
      </c>
      <c r="J246" s="68" cm="1">
        <f t="array" ref="J246">Common_InputFunctions.Utility_DisplayArrayInTable(Common_SourceData.Common_SourceData_MCFTemperatureZone_Data(),Table_SourceData_Common_MCFTemperatureZone[[#Headers],[Temperature zone]],0)</f>
        <v>0.01</v>
      </c>
      <c r="K246" s="68" cm="1">
        <f t="array" ref="K246">Common_InputFunctions.Utility_DisplayArrayInTable(Common_SourceData.Common_SourceData_MCFTemperatureZone_Data(),Table_SourceData_Common_MCFTemperatureZone[[#Headers],[Temperature zone]],0)</f>
        <v>0.02</v>
      </c>
      <c r="L246" s="68" cm="1">
        <f t="array" ref="L246">Common_InputFunctions.Utility_DisplayArrayInTable(Common_SourceData.Common_SourceData_MCFTemperatureZone_Data(),Table_SourceData_Common_MCFTemperatureZone[[#Headers],[Temperature zone]],0)</f>
        <v>0.03</v>
      </c>
      <c r="M246" s="68" cm="1">
        <f t="array" ref="M246">Common_InputFunctions.Utility_DisplayArrayInTable(Common_SourceData.Common_SourceData_MCFTemperatureZone_Data(),Table_SourceData_Common_MCFTemperatureZone[[#Headers],[Temperature zone]],0)</f>
        <v>0.04</v>
      </c>
      <c r="N246" s="68" cm="1">
        <f t="array" ref="N246">Common_InputFunctions.Utility_DisplayArrayInTable(Common_SourceData.Common_SourceData_MCFTemperatureZone_Data(),Table_SourceData_Common_MCFTemperatureZone[[#Headers],[Temperature zone]],0)</f>
        <v>1.4999999999999999E-2</v>
      </c>
      <c r="O246" s="68" cm="1">
        <f t="array" ref="O246">Common_InputFunctions.Utility_DisplayArrayInTable(Common_SourceData.Common_SourceData_MCFTemperatureZone_Data(),Table_SourceData_Common_MCFTemperatureZone[[#Headers],[Temperature zone]],0)</f>
        <v>1.4999999999999999E-2</v>
      </c>
      <c r="P246" s="68" cm="1">
        <f t="array" ref="P246">Common_InputFunctions.Utility_DisplayArrayInTable(Common_SourceData.Common_SourceData_MCFTemperatureZone_Data(),Table_SourceData_Common_MCFTemperatureZone[[#Headers],[Temperature zone]],0)</f>
        <v>0</v>
      </c>
      <c r="Q246" s="68" cm="1">
        <f t="array" ref="Q246">Common_InputFunctions.Utility_DisplayArrayInTable(Common_SourceData.Common_SourceData_MCFTemperatureZone_Data(),Table_SourceData_Common_MCFTemperatureZone[[#Headers],[Temperature zone]],0)</f>
        <v>0</v>
      </c>
      <c r="R246" s="68" cm="1">
        <f t="array" ref="R246">Common_InputFunctions.Utility_DisplayArrayInTable(Common_SourceData.Common_SourceData_MCFTemperatureZone_Data(),Table_SourceData_Common_MCFTemperatureZone[[#Headers],[Temperature zone]],0)</f>
        <v>4.7000000000000002E-3</v>
      </c>
      <c r="S246" s="6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68" cm="1">
        <f t="array" ref="E247">Common_InputFunctions.Utility_DisplayArrayInTable(Common_SourceData.Common_SourceData_MCFTemperatureZone_Data(),Table_SourceData_Common_MCFTemperatureZone[[#Headers],[Temperature zone]],0)</f>
        <v>25</v>
      </c>
      <c r="F247" s="68" cm="1">
        <f t="array" ref="F247">Common_InputFunctions.Utility_DisplayArrayInTable(Common_SourceData.Common_SourceData_MCFTemperatureZone_Data(),Table_SourceData_Common_MCFTemperatureZone[[#Headers],[Temperature zone]],0)</f>
        <v>0.79</v>
      </c>
      <c r="G247" s="68" cm="1">
        <f t="array" ref="G247">Common_InputFunctions.Utility_DisplayArrayInTable(Common_SourceData.Common_SourceData_MCFTemperatureZone_Data(),Table_SourceData_Common_MCFTemperatureZone[[#Headers],[Temperature zone]],0)</f>
        <v>0.1</v>
      </c>
      <c r="H247" s="68" cm="1">
        <f t="array" ref="H247">Common_InputFunctions.Utility_DisplayArrayInTable(Common_SourceData.Common_SourceData_MCFTemperatureZone_Data(),Table_SourceData_Common_MCFTemperatureZone[[#Headers],[Temperature zone]],0)</f>
        <v>0.41</v>
      </c>
      <c r="I247" s="68" cm="1">
        <f t="array" ref="I247">Common_InputFunctions.Utility_DisplayArrayInTable(Common_SourceData.Common_SourceData_MCFTemperatureZone_Data(),Table_SourceData_Common_MCFTemperatureZone[[#Headers],[Temperature zone]],0)</f>
        <v>5.0000000000000001E-3</v>
      </c>
      <c r="J247" s="68" cm="1">
        <f t="array" ref="J247">Common_InputFunctions.Utility_DisplayArrayInTable(Common_SourceData.Common_SourceData_MCFTemperatureZone_Data(),Table_SourceData_Common_MCFTemperatureZone[[#Headers],[Temperature zone]],0)</f>
        <v>0.01</v>
      </c>
      <c r="K247" s="68" cm="1">
        <f t="array" ref="K247">Common_InputFunctions.Utility_DisplayArrayInTable(Common_SourceData.Common_SourceData_MCFTemperatureZone_Data(),Table_SourceData_Common_MCFTemperatureZone[[#Headers],[Temperature zone]],0)</f>
        <v>0.02</v>
      </c>
      <c r="L247" s="68" cm="1">
        <f t="array" ref="L247">Common_InputFunctions.Utility_DisplayArrayInTable(Common_SourceData.Common_SourceData_MCFTemperatureZone_Data(),Table_SourceData_Common_MCFTemperatureZone[[#Headers],[Temperature zone]],0)</f>
        <v>0.03</v>
      </c>
      <c r="M247" s="68" cm="1">
        <f t="array" ref="M247">Common_InputFunctions.Utility_DisplayArrayInTable(Common_SourceData.Common_SourceData_MCFTemperatureZone_Data(),Table_SourceData_Common_MCFTemperatureZone[[#Headers],[Temperature zone]],0)</f>
        <v>0.04</v>
      </c>
      <c r="N247" s="68" cm="1">
        <f t="array" ref="N247">Common_InputFunctions.Utility_DisplayArrayInTable(Common_SourceData.Common_SourceData_MCFTemperatureZone_Data(),Table_SourceData_Common_MCFTemperatureZone[[#Headers],[Temperature zone]],0)</f>
        <v>1.4999999999999999E-2</v>
      </c>
      <c r="O247" s="68" cm="1">
        <f t="array" ref="O247">Common_InputFunctions.Utility_DisplayArrayInTable(Common_SourceData.Common_SourceData_MCFTemperatureZone_Data(),Table_SourceData_Common_MCFTemperatureZone[[#Headers],[Temperature zone]],0)</f>
        <v>1.4999999999999999E-2</v>
      </c>
      <c r="P247" s="68" cm="1">
        <f t="array" ref="P247">Common_InputFunctions.Utility_DisplayArrayInTable(Common_SourceData.Common_SourceData_MCFTemperatureZone_Data(),Table_SourceData_Common_MCFTemperatureZone[[#Headers],[Temperature zone]],0)</f>
        <v>0</v>
      </c>
      <c r="Q247" s="68" cm="1">
        <f t="array" ref="Q247">Common_InputFunctions.Utility_DisplayArrayInTable(Common_SourceData.Common_SourceData_MCFTemperatureZone_Data(),Table_SourceData_Common_MCFTemperatureZone[[#Headers],[Temperature zone]],0)</f>
        <v>0</v>
      </c>
      <c r="R247" s="68" cm="1">
        <f t="array" ref="R247">Common_InputFunctions.Utility_DisplayArrayInTable(Common_SourceData.Common_SourceData_MCFTemperatureZone_Data(),Table_SourceData_Common_MCFTemperatureZone[[#Headers],[Temperature zone]],0)</f>
        <v>4.7000000000000002E-3</v>
      </c>
      <c r="S247" s="6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68" cm="1">
        <f t="array" ref="E248">Common_InputFunctions.Utility_DisplayArrayInTable(Common_SourceData.Common_SourceData_MCFTemperatureZone_Data(),Table_SourceData_Common_MCFTemperatureZone[[#Headers],[Temperature zone]],0)</f>
        <v>26</v>
      </c>
      <c r="F248" s="68" cm="1">
        <f t="array" ref="F248">Common_InputFunctions.Utility_DisplayArrayInTable(Common_SourceData.Common_SourceData_MCFTemperatureZone_Data(),Table_SourceData_Common_MCFTemperatureZone[[#Headers],[Temperature zone]],0)</f>
        <v>0.79</v>
      </c>
      <c r="G248" s="68" cm="1">
        <f t="array" ref="G248">Common_InputFunctions.Utility_DisplayArrayInTable(Common_SourceData.Common_SourceData_MCFTemperatureZone_Data(),Table_SourceData_Common_MCFTemperatureZone[[#Headers],[Temperature zone]],0)</f>
        <v>0.1</v>
      </c>
      <c r="H248" s="68" cm="1">
        <f t="array" ref="H248">Common_InputFunctions.Utility_DisplayArrayInTable(Common_SourceData.Common_SourceData_MCFTemperatureZone_Data(),Table_SourceData_Common_MCFTemperatureZone[[#Headers],[Temperature zone]],0)</f>
        <v>0.44</v>
      </c>
      <c r="I248" s="68" cm="1">
        <f t="array" ref="I248">Common_InputFunctions.Utility_DisplayArrayInTable(Common_SourceData.Common_SourceData_MCFTemperatureZone_Data(),Table_SourceData_Common_MCFTemperatureZone[[#Headers],[Temperature zone]],0)</f>
        <v>0.01</v>
      </c>
      <c r="J248" s="68" cm="1">
        <f t="array" ref="J248">Common_InputFunctions.Utility_DisplayArrayInTable(Common_SourceData.Common_SourceData_MCFTemperatureZone_Data(),Table_SourceData_Common_MCFTemperatureZone[[#Headers],[Temperature zone]],0)</f>
        <v>1.4999999999999999E-2</v>
      </c>
      <c r="K248" s="68" cm="1">
        <f t="array" ref="K248">Common_InputFunctions.Utility_DisplayArrayInTable(Common_SourceData.Common_SourceData_MCFTemperatureZone_Data(),Table_SourceData_Common_MCFTemperatureZone[[#Headers],[Temperature zone]],0)</f>
        <v>0.02</v>
      </c>
      <c r="L248" s="68" cm="1">
        <f t="array" ref="L248">Common_InputFunctions.Utility_DisplayArrayInTable(Common_SourceData.Common_SourceData_MCFTemperatureZone_Data(),Table_SourceData_Common_MCFTemperatureZone[[#Headers],[Temperature zone]],0)</f>
        <v>0.03</v>
      </c>
      <c r="M248" s="68" cm="1">
        <f t="array" ref="M248">Common_InputFunctions.Utility_DisplayArrayInTable(Common_SourceData.Common_SourceData_MCFTemperatureZone_Data(),Table_SourceData_Common_MCFTemperatureZone[[#Headers],[Temperature zone]],0)</f>
        <v>0.04</v>
      </c>
      <c r="N248" s="68" cm="1">
        <f t="array" ref="N248">Common_InputFunctions.Utility_DisplayArrayInTable(Common_SourceData.Common_SourceData_MCFTemperatureZone_Data(),Table_SourceData_Common_MCFTemperatureZone[[#Headers],[Temperature zone]],0)</f>
        <v>1.4999999999999999E-2</v>
      </c>
      <c r="O248" s="68" cm="1">
        <f t="array" ref="O248">Common_InputFunctions.Utility_DisplayArrayInTable(Common_SourceData.Common_SourceData_MCFTemperatureZone_Data(),Table_SourceData_Common_MCFTemperatureZone[[#Headers],[Temperature zone]],0)</f>
        <v>1.4999999999999999E-2</v>
      </c>
      <c r="P248" s="68" cm="1">
        <f t="array" ref="P248">Common_InputFunctions.Utility_DisplayArrayInTable(Common_SourceData.Common_SourceData_MCFTemperatureZone_Data(),Table_SourceData_Common_MCFTemperatureZone[[#Headers],[Temperature zone]],0)</f>
        <v>0</v>
      </c>
      <c r="Q248" s="68" cm="1">
        <f t="array" ref="Q248">Common_InputFunctions.Utility_DisplayArrayInTable(Common_SourceData.Common_SourceData_MCFTemperatureZone_Data(),Table_SourceData_Common_MCFTemperatureZone[[#Headers],[Temperature zone]],0)</f>
        <v>0</v>
      </c>
      <c r="R248" s="68" cm="1">
        <f t="array" ref="R248">Common_InputFunctions.Utility_DisplayArrayInTable(Common_SourceData.Common_SourceData_MCFTemperatureZone_Data(),Table_SourceData_Common_MCFTemperatureZone[[#Headers],[Temperature zone]],0)</f>
        <v>4.7000000000000002E-3</v>
      </c>
      <c r="S248" s="6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68" cm="1">
        <f t="array" ref="E249">Common_InputFunctions.Utility_DisplayArrayInTable(Common_SourceData.Common_SourceData_MCFTemperatureZone_Data(),Table_SourceData_Common_MCFTemperatureZone[[#Headers],[Temperature zone]],0)</f>
        <v>27</v>
      </c>
      <c r="F249" s="68" cm="1">
        <f t="array" ref="F249">Common_InputFunctions.Utility_DisplayArrayInTable(Common_SourceData.Common_SourceData_MCFTemperatureZone_Data(),Table_SourceData_Common_MCFTemperatureZone[[#Headers],[Temperature zone]],0)</f>
        <v>0.8</v>
      </c>
      <c r="G249" s="68" cm="1">
        <f t="array" ref="G249">Common_InputFunctions.Utility_DisplayArrayInTable(Common_SourceData.Common_SourceData_MCFTemperatureZone_Data(),Table_SourceData_Common_MCFTemperatureZone[[#Headers],[Temperature zone]],0)</f>
        <v>0.1</v>
      </c>
      <c r="H249" s="68" cm="1">
        <f t="array" ref="H249">Common_InputFunctions.Utility_DisplayArrayInTable(Common_SourceData.Common_SourceData_MCFTemperatureZone_Data(),Table_SourceData_Common_MCFTemperatureZone[[#Headers],[Temperature zone]],0)</f>
        <v>0.48</v>
      </c>
      <c r="I249" s="68" cm="1">
        <f t="array" ref="I249">Common_InputFunctions.Utility_DisplayArrayInTable(Common_SourceData.Common_SourceData_MCFTemperatureZone_Data(),Table_SourceData_Common_MCFTemperatureZone[[#Headers],[Temperature zone]],0)</f>
        <v>0.01</v>
      </c>
      <c r="J249" s="68" cm="1">
        <f t="array" ref="J249">Common_InputFunctions.Utility_DisplayArrayInTable(Common_SourceData.Common_SourceData_MCFTemperatureZone_Data(),Table_SourceData_Common_MCFTemperatureZone[[#Headers],[Temperature zone]],0)</f>
        <v>1.4999999999999999E-2</v>
      </c>
      <c r="K249" s="68" cm="1">
        <f t="array" ref="K249">Common_InputFunctions.Utility_DisplayArrayInTable(Common_SourceData.Common_SourceData_MCFTemperatureZone_Data(),Table_SourceData_Common_MCFTemperatureZone[[#Headers],[Temperature zone]],0)</f>
        <v>0.02</v>
      </c>
      <c r="L249" s="68" cm="1">
        <f t="array" ref="L249">Common_InputFunctions.Utility_DisplayArrayInTable(Common_SourceData.Common_SourceData_MCFTemperatureZone_Data(),Table_SourceData_Common_MCFTemperatureZone[[#Headers],[Temperature zone]],0)</f>
        <v>0.03</v>
      </c>
      <c r="M249" s="68" cm="1">
        <f t="array" ref="M249">Common_InputFunctions.Utility_DisplayArrayInTable(Common_SourceData.Common_SourceData_MCFTemperatureZone_Data(),Table_SourceData_Common_MCFTemperatureZone[[#Headers],[Temperature zone]],0)</f>
        <v>0.04</v>
      </c>
      <c r="N249" s="68" cm="1">
        <f t="array" ref="N249">Common_InputFunctions.Utility_DisplayArrayInTable(Common_SourceData.Common_SourceData_MCFTemperatureZone_Data(),Table_SourceData_Common_MCFTemperatureZone[[#Headers],[Temperature zone]],0)</f>
        <v>1.4999999999999999E-2</v>
      </c>
      <c r="O249" s="68" cm="1">
        <f t="array" ref="O249">Common_InputFunctions.Utility_DisplayArrayInTable(Common_SourceData.Common_SourceData_MCFTemperatureZone_Data(),Table_SourceData_Common_MCFTemperatureZone[[#Headers],[Temperature zone]],0)</f>
        <v>1.4999999999999999E-2</v>
      </c>
      <c r="P249" s="68" cm="1">
        <f t="array" ref="P249">Common_InputFunctions.Utility_DisplayArrayInTable(Common_SourceData.Common_SourceData_MCFTemperatureZone_Data(),Table_SourceData_Common_MCFTemperatureZone[[#Headers],[Temperature zone]],0)</f>
        <v>0</v>
      </c>
      <c r="Q249" s="68" cm="1">
        <f t="array" ref="Q249">Common_InputFunctions.Utility_DisplayArrayInTable(Common_SourceData.Common_SourceData_MCFTemperatureZone_Data(),Table_SourceData_Common_MCFTemperatureZone[[#Headers],[Temperature zone]],0)</f>
        <v>0</v>
      </c>
      <c r="R249" s="68" cm="1">
        <f t="array" ref="R249">Common_InputFunctions.Utility_DisplayArrayInTable(Common_SourceData.Common_SourceData_MCFTemperatureZone_Data(),Table_SourceData_Common_MCFTemperatureZone[[#Headers],[Temperature zone]],0)</f>
        <v>4.7000000000000002E-3</v>
      </c>
      <c r="S249" s="6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68" t="str" cm="1">
        <f t="array" ref="E250">Common_InputFunctions.Utility_DisplayArrayInTable(Common_SourceData.Common_SourceData_MCFTemperatureZone_Data(),Table_SourceData_Common_MCFTemperatureZone[[#Headers],[Temperature zone]],0)</f>
        <v>≥28</v>
      </c>
      <c r="F250" s="68" cm="1">
        <f t="array" ref="F250">Common_InputFunctions.Utility_DisplayArrayInTable(Common_SourceData.Common_SourceData_MCFTemperatureZone_Data(),Table_SourceData_Common_MCFTemperatureZone[[#Headers],[Temperature zone]],0)</f>
        <v>0.8</v>
      </c>
      <c r="G250" s="68" cm="1">
        <f t="array" ref="G250">Common_InputFunctions.Utility_DisplayArrayInTable(Common_SourceData.Common_SourceData_MCFTemperatureZone_Data(),Table_SourceData_Common_MCFTemperatureZone[[#Headers],[Temperature zone]],0)</f>
        <v>0.1</v>
      </c>
      <c r="H250" s="68" cm="1">
        <f t="array" ref="H250">Common_InputFunctions.Utility_DisplayArrayInTable(Common_SourceData.Common_SourceData_MCFTemperatureZone_Data(),Table_SourceData_Common_MCFTemperatureZone[[#Headers],[Temperature zone]],0)</f>
        <v>0.5</v>
      </c>
      <c r="I250" s="68" cm="1">
        <f t="array" ref="I250">Common_InputFunctions.Utility_DisplayArrayInTable(Common_SourceData.Common_SourceData_MCFTemperatureZone_Data(),Table_SourceData_Common_MCFTemperatureZone[[#Headers],[Temperature zone]],0)</f>
        <v>0.01</v>
      </c>
      <c r="J250" s="68" cm="1">
        <f t="array" ref="J250">Common_InputFunctions.Utility_DisplayArrayInTable(Common_SourceData.Common_SourceData_MCFTemperatureZone_Data(),Table_SourceData_Common_MCFTemperatureZone[[#Headers],[Temperature zone]],0)</f>
        <v>1.4999999999999999E-2</v>
      </c>
      <c r="K250" s="68" cm="1">
        <f t="array" ref="K250">Common_InputFunctions.Utility_DisplayArrayInTable(Common_SourceData.Common_SourceData_MCFTemperatureZone_Data(),Table_SourceData_Common_MCFTemperatureZone[[#Headers],[Temperature zone]],0)</f>
        <v>0.02</v>
      </c>
      <c r="L250" s="68" cm="1">
        <f t="array" ref="L250">Common_InputFunctions.Utility_DisplayArrayInTable(Common_SourceData.Common_SourceData_MCFTemperatureZone_Data(),Table_SourceData_Common_MCFTemperatureZone[[#Headers],[Temperature zone]],0)</f>
        <v>0.03</v>
      </c>
      <c r="M250" s="68" cm="1">
        <f t="array" ref="M250">Common_InputFunctions.Utility_DisplayArrayInTable(Common_SourceData.Common_SourceData_MCFTemperatureZone_Data(),Table_SourceData_Common_MCFTemperatureZone[[#Headers],[Temperature zone]],0)</f>
        <v>0.04</v>
      </c>
      <c r="N250" s="68" cm="1">
        <f t="array" ref="N250">Common_InputFunctions.Utility_DisplayArrayInTable(Common_SourceData.Common_SourceData_MCFTemperatureZone_Data(),Table_SourceData_Common_MCFTemperatureZone[[#Headers],[Temperature zone]],0)</f>
        <v>1.4999999999999999E-2</v>
      </c>
      <c r="O250" s="68" cm="1">
        <f t="array" ref="O250">Common_InputFunctions.Utility_DisplayArrayInTable(Common_SourceData.Common_SourceData_MCFTemperatureZone_Data(),Table_SourceData_Common_MCFTemperatureZone[[#Headers],[Temperature zone]],0)</f>
        <v>1.4999999999999999E-2</v>
      </c>
      <c r="P250" s="68" cm="1">
        <f t="array" ref="P250">Common_InputFunctions.Utility_DisplayArrayInTable(Common_SourceData.Common_SourceData_MCFTemperatureZone_Data(),Table_SourceData_Common_MCFTemperatureZone[[#Headers],[Temperature zone]],0)</f>
        <v>0</v>
      </c>
      <c r="Q250" s="68" cm="1">
        <f t="array" ref="Q250">Common_InputFunctions.Utility_DisplayArrayInTable(Common_SourceData.Common_SourceData_MCFTemperatureZone_Data(),Table_SourceData_Common_MCFTemperatureZone[[#Headers],[Temperature zone]],0)</f>
        <v>0</v>
      </c>
      <c r="R250" s="68" cm="1">
        <f t="array" ref="R250">Common_InputFunctions.Utility_DisplayArrayInTable(Common_SourceData.Common_SourceData_MCFTemperatureZone_Data(),Table_SourceData_Common_MCFTemperatureZone[[#Headers],[Temperature zone]],0)</f>
        <v>4.7000000000000002E-3</v>
      </c>
      <c r="S250" s="68"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46"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7" t="str" cm="1">
        <f t="array" ref="D256">Common_SourceData.Common_SourceData_EFOrganicFertiliserAndCropResidues_Unit()</f>
        <v>kg N2O - N / kg N</v>
      </c>
    </row>
    <row r="257" spans="4:5" x14ac:dyDescent="0.25">
      <c r="D257" s="68" t="s">
        <v>770</v>
      </c>
      <c r="E257" s="68" t="s">
        <v>771</v>
      </c>
    </row>
    <row r="258" spans="4:5" x14ac:dyDescent="0.25">
      <c r="D258" s="68" t="str" cm="1">
        <f t="array" ref="D258">Common_InputFunctions.Utility_DisplayArrayInTable(Common_SourceData.Common_SourceData_EFOrganicFertiliserAndCropResidues_Data(), Table_SourceData_Common_EFOrganicFertCropResidues[[#Headers],[Climate Zone]], 0)</f>
        <v>Wet climate zone</v>
      </c>
      <c r="E258" s="6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6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CA31C-080C-42A8-8797-F2317B83D46E}">
  <dimension ref="A1:A46"/>
  <sheetViews>
    <sheetView workbookViewId="0">
      <selection activeCell="A46" sqref="A46"/>
    </sheetView>
  </sheetViews>
  <sheetFormatPr defaultRowHeight="15" x14ac:dyDescent="0.25"/>
  <sheetData>
    <row r="1" spans="1:1" ht="25.5" x14ac:dyDescent="0.35">
      <c r="A1" s="18"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3</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43"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Livestock'!A1", "Constants - Livestock")</f>
        <v>Constants -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69"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A6486-E296-41C5-AAA5-800F56911382}">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8" t="e" vm="1">
        <v>#VALUE!</v>
      </c>
      <c r="C1" s="198" t="s">
        <v>679</v>
      </c>
      <c r="D1" s="199"/>
      <c r="E1" s="199"/>
      <c r="F1" s="199"/>
      <c r="G1" s="199"/>
      <c r="H1" s="199"/>
      <c r="I1" s="199"/>
      <c r="J1" s="199"/>
      <c r="K1" s="199"/>
      <c r="L1" s="199"/>
      <c r="M1" s="199"/>
      <c r="N1" s="199"/>
      <c r="O1" s="199"/>
      <c r="P1" s="199"/>
      <c r="Q1" s="199"/>
      <c r="R1" s="199"/>
      <c r="S1" s="199"/>
      <c r="T1" s="199"/>
      <c r="U1" s="199"/>
      <c r="V1" s="199"/>
      <c r="W1" s="199"/>
      <c r="X1" s="199"/>
      <c r="Y1" s="199"/>
      <c r="Z1" s="199"/>
      <c r="AA1" s="199"/>
      <c r="AB1" s="199"/>
      <c r="AC1" s="199"/>
      <c r="AD1" s="199"/>
      <c r="AE1" s="199"/>
      <c r="AF1" s="199"/>
      <c r="AG1" s="199"/>
      <c r="AH1" s="199"/>
      <c r="AI1" s="199"/>
      <c r="AJ1" s="199"/>
      <c r="AK1" s="199"/>
      <c r="AL1" s="199"/>
      <c r="AM1" s="199"/>
      <c r="AN1" s="199"/>
      <c r="AO1" s="199"/>
    </row>
    <row r="2" spans="1:42" ht="20.100000000000001" customHeight="1" x14ac:dyDescent="0.25">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200"/>
    </row>
    <row r="3" spans="1:42" ht="20.100000000000001" customHeight="1" x14ac:dyDescent="0.25">
      <c r="A3" s="5" t="str">
        <f>HYPERLINK("#'Home'!A1", "Home")</f>
        <v>Home</v>
      </c>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row>
    <row r="4" spans="1:42" ht="20.100000000000001" customHeight="1" x14ac:dyDescent="0.25">
      <c r="A4" s="5" t="str">
        <f>HYPERLINK("#'Results'!A1", "Results")</f>
        <v>Results</v>
      </c>
    </row>
    <row r="5" spans="1:42" ht="20.100000000000001" customHeight="1" x14ac:dyDescent="0.25">
      <c r="D5" s="80" t="s">
        <v>680</v>
      </c>
      <c r="E5" s="81"/>
      <c r="F5" s="81"/>
      <c r="G5" s="81"/>
      <c r="H5" s="81"/>
      <c r="I5" s="81"/>
      <c r="J5" s="81"/>
      <c r="K5" s="81"/>
      <c r="L5" s="81"/>
      <c r="M5" s="81"/>
      <c r="N5" s="81"/>
      <c r="O5" s="82"/>
    </row>
    <row r="6" spans="1:42" ht="20.100000000000001" customHeight="1" x14ac:dyDescent="0.25">
      <c r="D6" s="203" t="s">
        <v>681</v>
      </c>
      <c r="E6" s="87"/>
      <c r="F6" s="87"/>
      <c r="G6" s="87"/>
      <c r="H6" s="87"/>
      <c r="I6" s="87"/>
      <c r="J6" s="87"/>
      <c r="K6" s="87"/>
      <c r="L6" s="87"/>
      <c r="M6" s="87"/>
      <c r="N6" s="87"/>
      <c r="O6" s="8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3</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43" t="s">
        <v>1</v>
      </c>
      <c r="L37" s="1" t="s">
        <v>682</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Livestock'!A1", "Constants - Livestock")</f>
        <v>Constants -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683</v>
      </c>
    </row>
    <row r="46" spans="1:48" x14ac:dyDescent="0.25">
      <c r="A46" s="69"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569</vt:i4>
      </vt:variant>
    </vt:vector>
  </HeadingPairs>
  <TitlesOfParts>
    <vt:vector size="604"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'4.2.1.1-2 Methane'!M1_Table_I_j_k_l</vt:lpstr>
      <vt:lpstr>'4.2.1.3-4 Soil direct N20'!M1_Table_I_j_k_l</vt:lpstr>
      <vt:lpstr>'4.2.1.5-6 Soil Atmos Dep'!M1_Table_I_j_k_l</vt:lpstr>
      <vt:lpstr>'4.2.1.7-8 Soil leach runoff'!M1_Table_I_j_k_l</vt:lpstr>
      <vt:lpstr>'Input - Pasture Beef'!M1_Table_I_j_k_l</vt:lpstr>
      <vt:lpstr>'Input - Site'!M1_Table_I_j_k_l</vt:lpstr>
      <vt:lpstr>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'4.2.1.1-2 Methane'!M1_Table_MA_j_k45</vt:lpstr>
      <vt:lpstr>'4.2.1.3-4 Soil direct N20'!M1_Table_MA_j_k45</vt:lpstr>
      <vt:lpstr>'4.2.1.5-6 Soil Atmos Dep'!M1_Table_MA_j_k45</vt:lpstr>
      <vt:lpstr>'4.2.1.7-8 Soil leach runoff'!M1_Table_MA_j_k45</vt:lpstr>
      <vt:lpstr>'Input - Pasture Beef'!M1_Table_MA_j_k45</vt:lpstr>
      <vt:lpstr>'Input - Site'!M1_Table_MA_j_k45</vt:lpstr>
      <vt:lpstr>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'4.2.1.1-2 Methane'!M2_Table_I_j_k_l</vt:lpstr>
      <vt:lpstr>'4.2.1.3-4 Soil direct N20'!M2_Table_I_j_k_l</vt:lpstr>
      <vt:lpstr>'4.2.1.5-6 Soil Atmos Dep'!M2_Table_I_j_k_l</vt:lpstr>
      <vt:lpstr>'4.2.1.7-8 Soil leach runoff'!M2_Table_I_j_k_l</vt:lpstr>
      <vt:lpstr>'Input - Pasture Beef'!M2_Table_I_j_k_l</vt:lpstr>
      <vt:lpstr>'Input - Site'!M2_Table_I_j_k_l</vt:lpstr>
      <vt:lpstr>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Common'!VEERG_3_2_1_1__1_TotalAnnualMethaneFromEntericFermentation_Result_Method2</vt:lpstr>
      <vt:lpstr>'Constants -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'4.2.1.1-2 Methane'!VEERG_4_2_1_1__1_TotalAnnualMethaneProductionFromManureManagement_Result_Method1</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'Input - Pasture Beef'!VEERG_4_2_1_1__1_TotalAnnualMethaneProductionFromManureManagement_Result_Method1</vt:lpstr>
      <vt:lpstr>'Input - Site'!VEERG_4_2_1_1__1_TotalAnnualMethaneProductionFromManureManagement_Result_Method1</vt:lpstr>
      <vt:lpstr>'4.2.1.1-2 Methane'!VEERG_4_2_1_1__1_TotalAnnualMethaneProductionFromManureManagement_Result_Method2</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'Input - Pasture Beef'!VEERG_4_2_1_1__1_TotalAnnualMethaneProductionFromManureManagement_Result_Method2</vt:lpstr>
      <vt:lpstr>'Input - Site'!VEERG_4_2_1_1__1_TotalAnnualMethaneProductionFromManureManagement_Result_Method2</vt:lpstr>
      <vt:lpstr>'4.2.1.1-2 Methane'!VEERG_4_2_1_3__1_DirectNitrousOxideEmissionsOnPasture_Result_Method1</vt:lpstr>
      <vt:lpstr>'4.2.1.3-4 Soil direct N20'!VEERG_4_2_1_3__1_DirectNitrousOxideEmissionsOnPasture_Result_Method1</vt:lpstr>
      <vt:lpstr>'4.2.1.5-6 Soil Atmos Dep'!VEERG_4_2_1_3__1_DirectNitrousOxideEmissionsOnPasture_Result_Method1</vt:lpstr>
      <vt:lpstr>'4.2.1.7-8 Soil leach runoff'!VEERG_4_2_1_3__1_DirectNitrousOxideEmissionsOnPasture_Result_Method1</vt:lpstr>
      <vt:lpstr>'Input - Pasture Beef'!VEERG_4_2_1_3__1_DirectNitrousOxideEmissionsOnPasture_Result_Method1</vt:lpstr>
      <vt:lpstr>'Input - Site'!VEERG_4_2_1_3__1_DirectNitrousOxideEmissionsOnPasture_Result_Method1</vt:lpstr>
      <vt:lpstr>'4.2.1.1-2 Methane'!VEERG_4_2_1_3__1_DirectNitrousOxideEmissionsOnPasture_Result_Method2</vt:lpstr>
      <vt:lpstr>'4.2.1.3-4 Soil direct N20'!VEERG_4_2_1_3__1_DirectNitrousOxideEmissionsOnPasture_Result_Method2</vt:lpstr>
      <vt:lpstr>'4.2.1.5-6 Soil Atmos Dep'!VEERG_4_2_1_3__1_DirectNitrousOxideEmissionsOnPasture_Result_Method2</vt:lpstr>
      <vt:lpstr>'4.2.1.7-8 Soil leach runoff'!VEERG_4_2_1_3__1_DirectNitrousOxideEmissionsOnPasture_Result_Method2</vt:lpstr>
      <vt:lpstr>'Input - Pasture Beef'!VEERG_4_2_1_3__1_DirectNitrousOxideEmissionsOnPasture_Result_Method2</vt:lpstr>
      <vt:lpstr>'Input - Site'!VEERG_4_2_1_3__1_DirectNitrousOxideEmissionsOnPasture_Result_Method2</vt:lpstr>
      <vt:lpstr>'4.2.1.1-2 Methane'!VEERG_4_2_1_5__1_AtmosphericDepositionEmissionsFromUrineAndDungOnPasture_Result_Method1</vt:lpstr>
      <vt:lpstr>'4.2.1.3-4 Soil direct N20'!VEERG_4_2_1_5__1_AtmosphericDepositionEmissionsFromUrineAndDungOnPasture_Result_Method1</vt:lpstr>
      <vt:lpstr>'4.2.1.5-6 Soil Atmos Dep'!VEERG_4_2_1_5__1_AtmosphericDepositionEmissionsFromUrineAndDungOnPasture_Result_Method1</vt:lpstr>
      <vt:lpstr>'4.2.1.7-8 Soil leach runoff'!VEERG_4_2_1_5__1_AtmosphericDepositionEmissionsFromUrineAndDungOnPasture_Result_Method1</vt:lpstr>
      <vt:lpstr>'Input - Pasture Beef'!VEERG_4_2_1_5__1_AtmosphericDepositionEmissionsFromUrineAndDungOnPasture_Result_Method1</vt:lpstr>
      <vt:lpstr>'Input - Site'!VEERG_4_2_1_5__1_AtmosphericDepositionEmissionsFromUrineAndDungOnPasture_Result_Method1</vt:lpstr>
      <vt:lpstr>'4.2.1.1-2 Methane'!VEERG_4_2_1_5__1_AtmosphericDepositionEmissionsFromUrineAndDungOnPasture_Result_Method2</vt:lpstr>
      <vt:lpstr>'4.2.1.3-4 Soil direct N20'!VEERG_4_2_1_5__1_AtmosphericDepositionEmissionsFromUrineAndDungOnPasture_Result_Method2</vt:lpstr>
      <vt:lpstr>'4.2.1.5-6 Soil Atmos Dep'!VEERG_4_2_1_5__1_AtmosphericDepositionEmissionsFromUrineAndDungOnPasture_Result_Method2</vt:lpstr>
      <vt:lpstr>'4.2.1.7-8 Soil leach runoff'!VEERG_4_2_1_5__1_AtmosphericDepositionEmissionsFromUrineAndDungOnPasture_Result_Method2</vt:lpstr>
      <vt:lpstr>'Input - Pasture Beef'!VEERG_4_2_1_5__1_AtmosphericDepositionEmissionsFromUrineAndDungOnPasture_Result_Method2</vt:lpstr>
      <vt:lpstr>'Input - Site'!VEERG_4_2_1_5__1_AtmosphericDepositionEmissionsFromUrineAndDungOnPasture_Result_Method2</vt:lpstr>
      <vt:lpstr>'4.2.1.1-2 Methane'!VEERG_4_2_1_7__1_LeachingAndRunoffEmissionsFromUrineAndDungOnPasture_Result_Method1</vt:lpstr>
      <vt:lpstr>'4.2.1.3-4 Soil direct N20'!VEERG_4_2_1_7__1_LeachingAndRunoffEmissionsFromUrineAndDungOnPasture_Result_Method1</vt:lpstr>
      <vt:lpstr>'4.2.1.5-6 Soil Atmos Dep'!VEERG_4_2_1_7__1_LeachingAndRunoffEmissionsFromUrineAndDungOnPasture_Result_Method1</vt:lpstr>
      <vt:lpstr>'4.2.1.7-8 Soil leach runoff'!VEERG_4_2_1_7__1_LeachingAndRunoffEmissionsFromUrineAndDungOnPasture_Result_Method1</vt:lpstr>
      <vt:lpstr>'Input - Pasture Beef'!VEERG_4_2_1_7__1_LeachingAndRunoffEmissionsFromUrineAndDungOnPasture_Result_Method1</vt:lpstr>
      <vt:lpstr>'Input - Site'!VEERG_4_2_1_7__1_LeachingAndRunoffEmissionsFromUrineAndDungOnPasture_Result_Method1</vt:lpstr>
      <vt:lpstr>'4.2.1.1-2 Methane'!VEERG_4_2_1_7__1_LeachingAndRunoffEmissionsFromUrineAndDungOnPasture_Result_Method2</vt:lpstr>
      <vt:lpstr>'4.2.1.3-4 Soil direct N20'!VEERG_4_2_1_7__1_LeachingAndRunoffEmissionsFromUrineAndDungOnPasture_Result_Method2</vt:lpstr>
      <vt:lpstr>'4.2.1.5-6 Soil Atmos Dep'!VEERG_4_2_1_7__1_LeachingAndRunoffEmissionsFromUrineAndDungOnPasture_Result_Method2</vt:lpstr>
      <vt:lpstr>'4.2.1.7-8 Soil leach runoff'!VEERG_4_2_1_7__1_LeachingAndRunoffEmissionsFromUrineAndDungOnPasture_Result_Method2</vt:lpstr>
      <vt:lpstr>'Input - Pasture Beef'!VEERG_4_2_1_7__1_LeachingAndRunoffEmissionsFromUrineAndDungOnPasture_Result_Method2</vt:lpstr>
      <vt:lpstr>'Input - Site'!VEERG_4_2_1_7__1_LeachingAndRunoffEmissionsFromUrineAndDungOnPasture_Result_Method2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Common'!X_Cell_PastureBeef_Breed</vt:lpstr>
      <vt:lpstr>'Constants - Livestock'!X_Cell_PastureBeef_Breed</vt:lpstr>
      <vt:lpstr>'Constants - Pasture Beef'!X_Cell_PastureBeef_Breed</vt:lpstr>
      <vt:lpstr>'Input - Pasture Beef'!X_Cell_PastureBeef_Breed</vt:lpstr>
      <vt:lpstr>'Input - Pasture Beef (Enteric)'!X_Cell_PastureBeef_Breed</vt:lpstr>
      <vt:lpstr>'Input - Site'!X_Cell_PastureBeef_Breed</vt:lpstr>
      <vt:lpstr>'Input - Pasture Beef'!X_Cell_PastureBeef_FencedWater</vt:lpstr>
      <vt:lpstr>'Input - Pasture Beef (Enteric)'!X_Cell_PastureBeef_FencedWater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'Input - Pasture Beef (Enteric)'!X_Cell_PastureBeef_GrazingIrrigationMethod</vt:lpstr>
      <vt:lpstr>'Input - Site'!X_Cell_PastureBeef_GrazingIrrigationMethod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'Input - Pasture Beef (Enteric)'!X_Cell_PastureBeef_GrazingProductionSystem</vt:lpstr>
      <vt:lpstr>'Input - Site'!X_Cell_PastureBeef_GrazingProductionSystem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'Input - Pasture Beef (Enteric)'!X_Cell_PastureBeef_ProductionRegion</vt:lpstr>
      <vt:lpstr>'Input - Site'!X_Cell_PastureBeef_ProductionRegion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'Input - Site'!X_Cell_Site_AverageTemperature</vt:lpstr>
      <vt:lpstr>'Input - Site'!X_Cell_Site_ClimateZone</vt:lpstr>
      <vt:lpstr>'Input - Site'!X_Cell_Site_Elevation</vt:lpstr>
      <vt:lpstr>'Input - Site'!X_Cell_Site_FarmName</vt:lpstr>
      <vt:lpstr>'Input - Site'!X_Cell_Site_FrostDays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'Input - Site'!X_Cell_Site_LeachingZone</vt:lpstr>
      <vt:lpstr>Overview!X_Cell_Site_LeachingZone</vt:lpstr>
      <vt:lpstr>'Input - Site'!X_Cell_Site_MapPetRatio</vt:lpstr>
      <vt:lpstr>'Input - Site'!X_Cell_Site_PotentialEvapotranspiration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'Input - Site'!X_Cell_Site_RainfallZone</vt:lpstr>
      <vt:lpstr>Overview!X_Cell_Site_RainfallZone</vt:lpstr>
      <vt:lpstr>'Input - Site'!X_Cell_Site_Region</vt:lpstr>
      <vt:lpstr>'Input - Site'!X_Cell_Site_ReportingEntityName</vt:lpstr>
      <vt:lpstr>'Input - Site'!X_Cell_Site_StartDate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Common'!X_Cell_Site_State</vt:lpstr>
      <vt:lpstr>'Constants - Electricity'!X_Cell_Site_State</vt:lpstr>
      <vt:lpstr>'Constants - Fuel'!X_Cell_Site_State</vt:lpstr>
      <vt:lpstr>'Constants - Livestock'!X_Cell_Site_State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'Input - Site'!X_Cell_Site_State</vt:lpstr>
      <vt:lpstr>'Input - Site'!X_Cell_Site_TemperatureZone</vt:lpstr>
      <vt:lpstr>'Input - Site'!X_Cell_Site_TotalRainfall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'Input - Site'!X_Cell_Site_WetOrDryClimateZone</vt:lpstr>
      <vt:lpstr>Overview!X_Cell_Site_WetOrDryClimateZone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'Input - Pasture Beef (Enteric)'!X_Table_PastureBeef_CrudeProtein_Method1</vt:lpstr>
      <vt:lpstr>'Input - Site'!X_Table_PastureBeef_CrudeProtein_Method1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'Input - Pasture Beef (Enteric)'!X_Table_PastureBeef_CrudeProtein_Method2</vt:lpstr>
      <vt:lpstr>'Input - Site'!X_Table_PastureBeef_CrudeProtein_Method2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'Input - Pasture Beef (Enteric)'!X_Table_PastureBeef_DryMatterDigestibility_Method1</vt:lpstr>
      <vt:lpstr>'Input - Site'!X_Table_PastureBeef_DryMatterDigestibility_Method1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'Input - Pasture Beef (Enteric)'!X_Table_PastureBeef_DryMatterDigestibility_Method2</vt:lpstr>
      <vt:lpstr>'Input - Site'!X_Table_PastureBeef_DryMatterDigestibility_Method2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Common'!X_Table_PastureBeef_Duration_Method1</vt:lpstr>
      <vt:lpstr>'Constants - Livestock'!X_Table_PastureBeef_Duration_Method1</vt:lpstr>
      <vt:lpstr>'Constants - Pasture Beef'!X_Table_PastureBeef_Duration_Method1</vt:lpstr>
      <vt:lpstr>'Input - Pasture Beef'!X_Table_PastureBeef_Duration_Method1</vt:lpstr>
      <vt:lpstr>'Input - Pasture Beef (Enteric)'!X_Table_PastureBeef_Duration_Method1</vt:lpstr>
      <vt:lpstr>'Input - Site'!X_Table_PastureBeef_Duration_Method1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Common'!X_Table_PastureBeef_Duration_Method2</vt:lpstr>
      <vt:lpstr>'Constants - Livestock'!X_Table_PastureBeef_Duration_Method2</vt:lpstr>
      <vt:lpstr>'Constants - Pasture Beef'!X_Table_PastureBeef_Duration_Method2</vt:lpstr>
      <vt:lpstr>'Input - Pasture Beef'!X_Table_PastureBeef_Duration_Method2</vt:lpstr>
      <vt:lpstr>'Input - Pasture Beef (Enteric)'!X_Table_PastureBeef_Duration_Method2</vt:lpstr>
      <vt:lpstr>'Input - Site'!X_Table_PastureBeef_Duration_Method2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Common'!X_Table_PastureBeef_Head_Method1</vt:lpstr>
      <vt:lpstr>'Constants - Livestock'!X_Table_PastureBeef_Head_Method1</vt:lpstr>
      <vt:lpstr>'Constants - Pasture Beef'!X_Table_PastureBeef_Head_Method1</vt:lpstr>
      <vt:lpstr>'Input - Pasture Beef'!X_Table_PastureBeef_Head_Method1</vt:lpstr>
      <vt:lpstr>'Input - Pasture Beef (Enteric)'!X_Table_PastureBeef_Head_Method1</vt:lpstr>
      <vt:lpstr>'Input - Site'!X_Table_PastureBeef_Head_Method1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Common'!X_Table_PastureBeef_Head_Method2</vt:lpstr>
      <vt:lpstr>'Constants - Livestock'!X_Table_PastureBeef_Head_Method2</vt:lpstr>
      <vt:lpstr>'Constants - Pasture Beef'!X_Table_PastureBeef_Head_Method2</vt:lpstr>
      <vt:lpstr>'Input - Pasture Beef'!X_Table_PastureBeef_Head_Method2</vt:lpstr>
      <vt:lpstr>'Input - Pasture Beef (Enteric)'!X_Table_PastureBeef_Head_Method2</vt:lpstr>
      <vt:lpstr>'Input - Site'!X_Table_PastureBeef_Head_Method2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Common'!X_Table_PastureBeef_Liveweight_Method1</vt:lpstr>
      <vt:lpstr>'Constants - Livestock'!X_Table_PastureBeef_Liveweight_Method1</vt:lpstr>
      <vt:lpstr>'Constants - Pasture Beef'!X_Table_PastureBeef_Liveweight_Method1</vt:lpstr>
      <vt:lpstr>'Input - Pasture Beef'!X_Table_PastureBeef_Liveweight_Method1</vt:lpstr>
      <vt:lpstr>'Input - Pasture Beef (Enteric)'!X_Table_PastureBeef_Liveweight_Method1</vt:lpstr>
      <vt:lpstr>'Input - Site'!X_Table_PastureBeef_Liveweight_Method1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Common'!X_Table_PastureBeef_Liveweight_Method2</vt:lpstr>
      <vt:lpstr>'Constants - Livestock'!X_Table_PastureBeef_Liveweight_Method2</vt:lpstr>
      <vt:lpstr>'Constants - Pasture Beef'!X_Table_PastureBeef_Liveweight_Method2</vt:lpstr>
      <vt:lpstr>'Input - Pasture Beef'!X_Table_PastureBeef_Liveweight_Method2</vt:lpstr>
      <vt:lpstr>'Input - Pasture Beef (Enteric)'!X_Table_PastureBeef_Liveweight_Method2</vt:lpstr>
      <vt:lpstr>'Input - Site'!X_Table_PastureBeef_Liveweight_Method2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Common'!X_Table_PastureBeef_LiveweightGain_Method1</vt:lpstr>
      <vt:lpstr>'Constants - Livestock'!X_Table_PastureBeef_LiveweightGain_Method1</vt:lpstr>
      <vt:lpstr>'Constants - Pasture Beef'!X_Table_PastureBeef_LiveweightGain_Method1</vt:lpstr>
      <vt:lpstr>'Input - Pasture Beef'!X_Table_PastureBeef_LiveweightGain_Method1</vt:lpstr>
      <vt:lpstr>'Input - Pasture Beef (Enteric)'!X_Table_PastureBeef_LiveweightGain_Method1</vt:lpstr>
      <vt:lpstr>'Input - Site'!X_Table_PastureBeef_LiveweightGain_Method1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Common'!X_Table_PastureBeef_LiveweightGain_Method2</vt:lpstr>
      <vt:lpstr>'Constants - Livestock'!X_Table_PastureBeef_LiveweightGain_Method2</vt:lpstr>
      <vt:lpstr>'Constants - Pasture Beef'!X_Table_PastureBeef_LiveweightGain_Method2</vt:lpstr>
      <vt:lpstr>'Input - Pasture Beef'!X_Table_PastureBeef_LiveweightGain_Method2</vt:lpstr>
      <vt:lpstr>'Input - Pasture Beef (Enteric)'!X_Table_PastureBeef_LiveweightGain_Method2</vt:lpstr>
      <vt:lpstr>'Input - Site'!X_Table_PastureBeef_LiveweightGain_Method2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2026-07-09T06:17:27Z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