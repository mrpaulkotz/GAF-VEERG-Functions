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8F38A7C5-5CCB-49C0-8FFF-2EA2DD7AADB6}" xr6:coauthVersionLast="47" xr6:coauthVersionMax="47" xr10:uidLastSave="{00000000-0000-0000-0000-000000000000}"/>
  <bookViews>
    <workbookView xWindow="615" yWindow="2460" windowWidth="37785" windowHeight="19140" activeTab="1" xr2:uid="{992023F3-CAB7-4E5B-A348-08D563A0EF40}"/>
  </bookViews>
  <sheets>
    <sheet name="Home" sheetId="71" r:id="rId1"/>
    <sheet name="Results" sheetId="13" r:id="rId2"/>
    <sheet name="Input - Site" sheetId="75" r:id="rId3"/>
    <sheet name="Input - Enterprise" sheetId="72" r:id="rId4"/>
    <sheet name="Input - Livestock sales" sheetId="77" r:id="rId5"/>
    <sheet name="Input - Fert Prod System" sheetId="76" r:id="rId6"/>
    <sheet name="Input - Data quality" sheetId="78" r:id="rId7"/>
    <sheet name="Constants - Common" sheetId="74" r:id="rId8"/>
  </sheets>
  <externalReferences>
    <externalReference r:id="rId9"/>
    <externalReference r:id="rId10"/>
    <externalReference r:id="rId11"/>
  </externalReferences>
  <definedNames>
    <definedName name="Common_Equations.Common_ConvertCH4ToCO2e" localSheetId="6">_xlfn.LAMBDA(_xlpm.E_CH4,_xlpm.GWP_CH4, _xlpm.E_CH4 * _xlpm.GWP_CH4)</definedName>
    <definedName name="Common_Equations.Common_ConvertCH4ToCO2e" localSheetId="4">_xlfn.LAMBDA(_xlpm.E_CH4,_xlpm.GWP_CH4, _xlpm.E_CH4 * _xlpm.GWP_CH4)</definedName>
    <definedName name="Common_Equations.Common_ConvertCH4ToCO2e">_xlfn.LAMBDA(_xlpm.E_CH4,_xlpm.GWP_CH4, _xlpm.E_CH4 * _xlpm.GWP_CH4)</definedName>
    <definedName name="Common_Equations.Common_ConvertCH4ToCO2e_Arguments" localSheetId="6">_xlfn.LAMBDA(_xlfn.MAKEARRAY(2, 2, _xlfn.LAMBDA(_xlpm.r,_xlpm.c, INDEX({"ECH4","Methane emissions (t CH4)";"GWPCH4","Global warming potential for methane (t CO2-e / t CH4)"}, _xlpm.r, _xlpm.c))))</definedName>
    <definedName name="Common_Equations.Common_ConvertCH4ToCO2e_Arguments" localSheetId="4">_xlfn.LAMBDA(_xlfn.MAKEARRAY(2, 2, _xlfn.LAMBDA(_xlpm.r,_xlpm.c, INDEX({"ECH4","Methane emissions (t CH4)";"GWPCH4","Global warming potential for methane (t CO2-e / t CH4)"}, _xlpm.r, _xlpm.c))))</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 localSheetId="6">_xlfn.LAMBDA(_xlpm.E_N2O,_xlpm.GWP_N2O, _xlpm.E_N2O * _xlpm.GWP_N2O)</definedName>
    <definedName name="Common_Equations.Common_ConvertN2OToCO2e" localSheetId="4">_xlfn.LAMBDA(_xlpm.E_N2O,_xlpm.GWP_N2O, _xlpm.E_N2O * _xlpm.GWP_N2O)</definedName>
    <definedName name="Common_Equations.Common_ConvertN2OToCO2e">_xlfn.LAMBDA(_xlpm.E_N2O,_xlpm.GWP_N2O, _xlpm.E_N2O * _xlpm.GWP_N2O)</definedName>
    <definedName name="Common_Equations.Common_ConvertN2OToCO2e_Arguments" localSheetId="6">_xlfn.LAMBDA(_xlfn.MAKEARRAY(2, 2, _xlfn.LAMBDA(_xlpm.r,_xlpm.c, INDEX({"EN2O","Nitrous oxide emissions (t N2O)";"GWPN2O","Global warming potential for nitrous oxide (t CO2-e / t N2O)"}, _xlpm.r, _xlpm.c))))</definedName>
    <definedName name="Common_Equations.Common_ConvertN2OToCO2e_Arguments" localSheetId="4">_xlfn.LAMBDA(_xlfn.MAKEARRAY(2, 2, _xlfn.LAMBDA(_xlpm.r,_xlpm.c, INDEX({"EN2O","Nitrous oxide emissions (t N2O)";"GWPN2O","Global warming potential for nitrous oxide (t CO2-e / t N2O)"}, _xlpm.r, _xlpm.c))))</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 localSheetId="6">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 localSheetId="4">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 localSheetId="6">_xlfn.LAMBDA(_xlpm.LeachingZone,_xlpm.ProductionSystem,_xlpm.LeachingZoneLookup,_xlpm.LeachingZoneFracWETLookup,_xlpm.ProductionSystemLookup,_xlpm.ProductionSystemFracWETLookup, _xlfn.LET(_xlpm.LeachingZoneFracWET, 'Input - Data quality'!Common_InputFunctions.Utility_LookupValueInTableNumber(_xlpm.LeachingZone, _xlpm.LeachingZoneLookup, _xlpm.LeachingZoneFracWETLookup), _xlpm.ProductionSystemFracWET, 'Input - Data quality'!Common_InputFunctions.Utility_LookupValueInTableNumber(_xlpm.ProductionSystem, _xlpm.ProductionSystemLookup, _xlpm.ProductionSystemFracWETLookup), IF(_xlpm.LeachingZoneFracWET + _xlpm.ProductionSystemFracWET &gt; 0, 1, 0)))</definedName>
    <definedName name="Common_InputFunctions.CommonCropping_GetFracWET" localSheetId="4">_xlfn.LAMBDA(_xlpm.LeachingZone,_xlpm.ProductionSystem,_xlpm.LeachingZoneLookup,_xlpm.LeachingZoneFracWETLookup,_xlpm.ProductionSystemLookup,_xlpm.ProductionSystemFracWETLookup, _xlfn.LET(_xlpm.LeachingZoneFracWET, 'Input - Livestock sales'!Common_InputFunctions.Utility_LookupValueInTableNumber(_xlpm.LeachingZone, _xlpm.LeachingZoneLookup, _xlpm.LeachingZoneFracWETLookup), _xlpm.ProductionSystemFracWET, 'Input - Livestock sales'!Common_InputFunctions.Utility_LookupValueInTableNumber(_xlpm.ProductionSystem, _xlpm.ProductionSystemLookup, _xlpm.ProductionSystemFracWETLookup), IF(_xlpm.LeachingZoneFracWET + _xlpm.ProductionSystemFracWET &gt; 0, 1, 0)))</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 localSheetId="6">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 localSheetId="4">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 localSheetId="6">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getOverlappingReportingPeriods" localSheetId="4">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 localSheetId="6">_xlfn.LAMBDA(_xlpm.StateCommonName,_xlpm.StateCommonNameArray,_xlpm.StateAbbreviationArray, _xlfn.XLOOKUP(_xlpm.StateCommonName, _xlpm.StateCommonNameArray, _xlpm.StateAbbreviationArray, ""))</definedName>
    <definedName name="Common_InputFunctions.Utility_ConvertStateCommonNameToAbbreviation" localSheetId="4">_xlfn.LAMBDA(_xlpm.StateCommonName,_xlpm.StateCommonNameArray,_xlpm.StateAbbreviationArray, _xlfn.XLOOKUP(_xlpm.StateCommonName, _xlpm.StateCommonNameArray, _xlpm.StateAbbreviationArray,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 localSheetId="6">_xlfn.LAMBDA(_xlpm.ArgumentsArray, _xlfn.CHOOSECOLS(_xlpm.ArgumentsArray, 1, 2))</definedName>
    <definedName name="Common_InputFunctions.Utility_DisplayArguments_1_2" localSheetId="4">_xlfn.LAMBDA(_xlpm.ArgumentsArray, _xlfn.CHOOSECOLS(_xlpm.ArgumentsArray, 1, 2))</definedName>
    <definedName name="Common_InputFunctions.Utility_DisplayArguments_1_2">_xlfn.LAMBDA(_xlpm.ArgumentsArray, _xlfn.CHOOSECOLS(_xlpm.ArgumentsArray, 1, 2))</definedName>
    <definedName name="Common_InputFunctions.Utility_DisplayArguments_3_4" localSheetId="6">_xlfn.LAMBDA(_xlpm.ArgumentsArray, _xlfn.CHOOSECOLS(_xlpm.ArgumentsArray, 3, 4))</definedName>
    <definedName name="Common_InputFunctions.Utility_DisplayArguments_3_4" localSheetId="4">_xlfn.LAMBDA(_xlpm.ArgumentsArray, _xlfn.CHOOSECOLS(_xlpm.ArgumentsArray, 3, 4))</definedName>
    <definedName name="Common_InputFunctions.Utility_DisplayArguments_3_4">_xlfn.LAMBDA(_xlpm.ArgumentsArray, _xlfn.CHOOSECOLS(_xlpm.ArgumentsArray, 3, 4))</definedName>
    <definedName name="Common_InputFunctions.Utility_DisplayArrayInTable" localSheetId="6">_xlfn.LAMBDA(_xlpm.ArrayData,_xlpm.TableheaderCell,_xlpm.RowsBetweenHeaderandArray,_xlop.ColumnsBetweenHeaderAndArray, IFERROR(INDEX(_xlfn.UNIQUE(_xlpm.ArrayData), ROW() - 'Input - Data quality'!Common_InputFunctions.Utility_GetArrayTableRowStartNumber(_xlpm.TableheaderCell, _xlpm.RowsBetweenHeaderandArray), COLUMN() - 'Input - Data quality'!Common_InputFunctions.Utility_GetArrayTableColumnStartNumber(_xlpm.TableheaderCell) + IF(_xlfn.ISOMITTED(_xlpm.ColumnsBetweenHeaderAndArray), 1, _xlpm.ColumnsBetweenHeaderAndArray)), ""))</definedName>
    <definedName name="Common_InputFunctions.Utility_DisplayArrayInTable" localSheetId="4">_xlfn.LAMBDA(_xlpm.ArrayData,_xlpm.TableheaderCell,_xlpm.RowsBetweenHeaderandArray,_xlop.ColumnsBetweenHeaderAndArray, IFERROR(INDEX(_xlfn.UNIQUE(_xlpm.ArrayData), ROW() - 'Input - Livestock sales'!Common_InputFunctions.Utility_GetArrayTableRowStartNumber(_xlpm.TableheaderCell, _xlpm.RowsBetweenHeaderandArray), COLUMN() - 'Input - Livestock sales'!Common_InputFunctions.Utility_GetArrayTableColumnStartNumber(_xlpm.TableheaderCell) + IF(_xlfn.ISOMITTED(_xlpm.ColumnsBetweenHeaderAndArray), 1, _xlpm.ColumnsBetweenHeaderAndArray)), ""))</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 localSheetId="6">_xlfn.LAMBDA(_xlpm.Function, _xlfn.TEXTBEFORE(_xlfn.FORMULATEXT(_xlpm.Function), "("))</definedName>
    <definedName name="Common_InputFunctions.Utility_DisplayFunctionName" localSheetId="4">_xlfn.LAMBDA(_xlpm.Function, _xlfn.TEXTBEFORE(_xlfn.FORMULATEXT(_xlpm.Function), "("))</definedName>
    <definedName name="Common_InputFunctions.Utility_DisplayFunctionName">_xlfn.LAMBDA(_xlpm.Function, _xlfn.TEXTBEFORE(_xlfn.FORMULATEXT(_xlpm.Function), "("))</definedName>
    <definedName name="Common_InputFunctions.Utility_GetArrayTableColumnStartNumber" localSheetId="6">_xlfn.LAMBDA(_xlpm.TableHeaderCell, COLUMN(_xlpm.TableHeaderCell))</definedName>
    <definedName name="Common_InputFunctions.Utility_GetArrayTableColumnStartNumber" localSheetId="4">_xlfn.LAMBDA(_xlpm.TableHeaderCell, COLUMN(_xlpm.TableHeaderCell))</definedName>
    <definedName name="Common_InputFunctions.Utility_GetArrayTableColumnStartNumber">_xlfn.LAMBDA(_xlpm.TableHeaderCell, COLUMN(_xlpm.TableHeaderCell))</definedName>
    <definedName name="Common_InputFunctions.Utility_GetArrayTableRowStartNumber" localSheetId="6">_xlfn.LAMBDA(_xlpm.TableheaderCell,_xlpm.RowsBetweenHeaderandArray, ROW(_xlpm.TableheaderCell) + _xlpm.RowsBetweenHeaderandArray - 1)</definedName>
    <definedName name="Common_InputFunctions.Utility_GetArrayTableRowStartNumber" localSheetId="4">_xlfn.LAMBDA(_xlpm.TableheaderCell,_xlpm.RowsBetweenHeaderandArray, ROW(_xlpm.TableheaderCell) + _xlpm.RowsBetweenHeaderandArray - 1)</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6">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 localSheetId="4">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 localSheetId="6">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 localSheetId="4">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 localSheetId="6">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 localSheetId="4">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 localSheetId="6">_xlfn.LAMBDA(_xlpm.LookupValue,_xlpm.LookupArray,_xlpm.ReturnArray, _xlfn.XLOOKUP(_xlpm.LookupValue, _xlpm.LookupArray, _xlpm.ReturnArray, ""))</definedName>
    <definedName name="Common_InputFunctions.Utility_LookupValueInTable" localSheetId="4">_xlfn.LAMBDA(_xlpm.LookupValue,_xlpm.LookupArray,_xlpm.ReturnArray, _xlfn.XLOOKUP(_xlpm.LookupValue, _xlpm.LookupArray, _xlpm.ReturnArray, ""))</definedName>
    <definedName name="Common_InputFunctions.Utility_LookupValueInTable">_xlfn.LAMBDA(_xlpm.LookupValue,_xlpm.LookupArray,_xlpm.ReturnArray, _xlfn.XLOOKUP(_xlpm.LookupValue, _xlpm.LookupArray, _xlpm.ReturnArray, ""))</definedName>
    <definedName name="Common_InputFunctions.Utility_LookupValueInTableNumber" localSheetId="6">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 localSheetId="4">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 localSheetId="6">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OneColumnAndHeader" localSheetId="4">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 localSheetId="6">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LookupValueInTableTwoColumns" localSheetId="4">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 localSheetId="6">_xlfn.LAMBDA(_xlpm.TitleCell,_xlpm.SourceCell, SUBSTITUTE(LEFT(_xlpm.SourceCell, FIND(",", _xlpm.SourceCell) - 1), "VEERG 2026: ", "") &amp; " " &amp; _xlpm.TitleCell)</definedName>
    <definedName name="Common_InputFunctions.Utility_ResultsItemFromEquationTitleAndSource" localSheetId="4">_xlfn.LAMBDA(_xlpm.TitleCell,_xlpm.SourceCell, SUBSTITUTE(LEFT(_xlpm.SourceCell, FIND(",", _xlpm.SourceCell) - 1), "VEERG 2026: ", "") &amp; " " &amp; _xlpm.TitleCell)</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 localSheetId="6">_xlfn.LAMBDA(_xlpm.TargetCell, _xlfn.LET(_xlpm.sh, _xlfn.TEXTAFTER(CELL("filename", _xlpm.TargetCell), "]"), _xlpm.addr, CELL("address", _xlpm.TargetCell), "#'" &amp; _xlpm.sh &amp; "'!" &amp; _xlpm.addr))</definedName>
    <definedName name="Common_InputFunctions.Utility_SourceHyperlink" localSheetId="4">_xlfn.LAMBDA(_xlpm.TargetCell, _xlfn.LET(_xlpm.sh, _xlfn.TEXTAFTER(CELL("filename", _xlpm.TargetCell), "]"), _xlpm.addr, CELL("address", _xlpm.TargetCell), "#'" &amp; _xlpm.sh &amp; "'!" &amp; _xlpm.addr))</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 localSheetId="6">_xlfn.LAMBDA(_xlpm.TargetCell, _xlfn.LET(_xlpm.sh, _xlfn.TEXTAFTER(CELL("filename", _xlpm.TargetCell), "]"), _xlpm.addr, CELL("address", _xlpm.TargetCell), "#" &amp; _xlpm.addr))</definedName>
    <definedName name="Common_InputFunctions.Utility_SourceHyperlinkDifferentSheet" localSheetId="4">_xlfn.LAMBDA(_xlpm.TargetCell, _xlfn.LET(_xlpm.sh, _xlfn.TEXTAFTER(CELL("filename", _xlpm.TargetCell), "]"), _xlpm.addr, CELL("address", _xlpm.TargetCell),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 localSheetId="6">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 localSheetId="4">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 localSheetId="6">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 localSheetId="4">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 localSheetId="6">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 localSheetId="4">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 localSheetId="6">_xlfn.LAMBDA(_xlfn.MAKEARRAY(4, 1, _xlfn.LAMBDA(_xlpm.r,_xlpm.c, INDEX({"Note:";"MAT = mean annual temperature";"MAP = mean annual precipitation";"PET = potential evapotranspiration"}, _xlpm.r, _xlpm.c))))</definedName>
    <definedName name="Common_SourceData.Common_SourceData_ClimateZones_Appendices" localSheetId="4">_xlfn.LAMBDA(_xlfn.MAKEARRAY(4, 1, _xlfn.LAMBDA(_xlpm.r,_xlpm.c, INDEX({"Note:";"MAT = mean annual temperature";"MAP = mean annual precipitation";"PET = potential evapotranspiration"}, _xlpm.r, _xlpm.c))))</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 localSheetId="6">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 localSheetId="4">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 localSheetId="6">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 localSheetId="4">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 localSheetId="6">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 localSheetId="4">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 localSheetId="6">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 localSheetId="4">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 localSheetId="6">_xlfn.LAMBDA(_xlfn.MAKEARRAY(1, 2, _xlfn.LAMBDA(_xlpm.r,_xlpm.c, INDEX({"EFleach",0.011}, _xlpm.r, _xlpm.c))))</definedName>
    <definedName name="Common_SourceData.Common_SourceData_EFleach_Data" localSheetId="4">_xlfn.LAMBDA(_xlfn.MAKEARRAY(1, 2, _xlfn.LAMBDA(_xlpm.r,_xlpm.c, INDEX({"EFleach",0.011}, _xlpm.r, _xlpm.c))))</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 localSheetId="6">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 localSheetId="4">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 localSheetId="6">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 localSheetId="4">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 localSheetId="6">_xlfn.LAMBDA(_xlfn.MAKEARRAY(3, 2, _xlfn.LAMBDA(_xlpm.r,_xlpm.c, INDEX({"Climate zone","EFNi &amp; EFN2O";"Wet climate zone",0.006;"Dry climate zone",0.005}, _xlpm.r, _xlpm.c))))</definedName>
    <definedName name="Common_SourceData.Common_SourceData_EFOrganicFertiliserAndCropResidues_Data" localSheetId="4">_xlfn.LAMBDA(_xlfn.MAKEARRAY(3, 2, _xlfn.LAMBDA(_xlpm.r,_xlpm.c, INDEX({"Climate zone","EFNi &amp; EFN2O";"Wet climate zone",0.006;"Dry climate zone",0.005},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 localSheetId="6">_xlfn.LAMBDA(_xlfn.MAKEARRAY(3, 2, _xlfn.LAMBDA(_xlpm.r,_xlpm.c, INDEX({"Climate zone","EFPRP";"Wet climate zone",0.006;"Dry climate zone",0.002}, _xlpm.r, _xlpm.c))))</definedName>
    <definedName name="Common_SourceData.Common_SourceData_EFPastureRangeAndPaddock_Data" localSheetId="4">_xlfn.LAMBDA(_xlfn.MAKEARRAY(3, 2, _xlfn.LAMBDA(_xlpm.r,_xlpm.c, INDEX({"Climate zone","EFPRP";"Wet climate zone",0.006;"Dry climate zone",0.002},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 localSheetId="6">_xlfn.LAMBDA(_xlfn.MAKEARRAY(1, 2, _xlfn.LAMBDA(_xlpm.r,_xlpm.c, INDEX({"FracLEACH",0.24}, _xlpm.r, _xlpm.c))))</definedName>
    <definedName name="Common_SourceData.Common_SourceData_FracLEACH_Data" localSheetId="4">_xlfn.LAMBDA(_xlfn.MAKEARRAY(1, 2, _xlfn.LAMBDA(_xlpm.r,_xlpm.c, INDEX({"FracLEACH",0.24}, _xlpm.r, _xlpm.c))))</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 localSheetId="6">_xlfn.LAMBDA(_xlfn.MAKEARRAY(3, 2, _xlfn.LAMBDA(_xlpm.r,_xlpm.c, INDEX({"Is in leaching zone","FracWET";"Yes - in leaching zone",1;"No - not in leaching zone",0}, _xlpm.r, _xlpm.c))))</definedName>
    <definedName name="Common_SourceData.Common_SourceData_FracWET_Data" localSheetId="4">_xlfn.LAMBDA(_xlfn.MAKEARRAY(3, 2, _xlfn.LAMBDA(_xlpm.r,_xlpm.c, INDEX({"Is in leaching zone","FracWET";"Yes - in leaching zone",1;"No - not in leaching zone",0}, _xlpm.r, _xlpm.c))))</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 localSheetId="6">_xlfn.LAMBDA(_xlfn.MAKEARRAY(6, 2, _xlfn.LAMBDA(_xlpm.r,_xlpm.c, INDEX({"Irrigation type ir","FracWET";"Not irrigated",0;"Drip irrigation",0;"Sprinkler irrigation",1;"Surface irrigation",1;"Other irrigation",1}, _xlpm.r, _xlpm.c))))</definedName>
    <definedName name="Common_SourceData.Common_SourceData_FracWETIrrigation_Data" localSheetId="4">_xlfn.LAMBDA(_xlfn.MAKEARRAY(6, 2, _xlfn.LAMBDA(_xlpm.r,_xlpm.c, INDEX({"Irrigation type ir","FracWET";"Not irrigated",0;"Drip irrigation",0;"Sprinkler irrigation",1;"Surface irrigation",1;"Other irrigation",1}, _xlpm.r, _xlpm.c))))</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 localSheetId="6">_xlfn.LAMBDA(_xlfn.MAKEARRAY(8, 2, _xlfn.LAMBDA(_xlpm.r,_xlpm.c, INDEX({"Gas","CO2-e factor";"CO2",1;"CH4",28;"N2O",265;"CF4",6630;"C2F6",12200;"SF6",22800;"NF3",17200}, _xlpm.r, _xlpm.c))))</definedName>
    <definedName name="Common_SourceData.Common_SourceData_GWP_Data" localSheetId="4">_xlfn.LAMBDA(_xlfn.MAKEARRAY(8, 2, _xlfn.LAMBDA(_xlpm.r,_xlpm.c, INDEX({"Gas","CO2-e factor";"CO2",1;"CH4",28;"N2O",265;"CF4",6630;"C2F6",12200;"SF6",22800;"NF3",17200}, _xlpm.r, _xlpm.c))))</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 localSheetId="6">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 localSheetId="4">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 localSheetId="6">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 localSheetId="4">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 localSheetId="6">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 localSheetId="4">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 localSheetId="6">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 localSheetId="4">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 localSheetId="6">_xlfn.LAMBDA(_xlfn.MAKEARRAY(4, 4, _xlfn.LAMBDA(_xlpm.r,_xlpm.c, INDEX({"Temperature Zone","Median Annual Temperature (MAT)","Min MAT","Max MAT";"Warm","≥ 26 C",26,999999;"Temperate","15 - 25 C",15,25.999;"Cool","≤ 14 C",-999999,14.999}, _xlpm.r, _xlpm.c))))</definedName>
    <definedName name="Common_SourceData.Common_SourceData_TemperatureZones_Data" localSheetId="4">_xlfn.LAMBDA(_xlfn.MAKEARRAY(4, 4, _xlfn.LAMBDA(_xlpm.r,_xlpm.c, INDEX({"Temperature Zone","Median Annual Temperature (MAT)","Min MAT","Max MAT";"Warm","≥ 26 C",26,999999;"Temperate","15 - 25 C",15,25.999;"Cool","≤ 14 C",-999999,14.999}, _xlpm.r, _xlpm.c))))</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 localSheetId="6">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 localSheetId="4">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 localSheetId="6">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 localSheetId="4">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 localSheetId="6">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 localSheetId="4">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 localSheetId="6">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Enterprise_PastureBeef_InputFunctions.multiplyCorrespondingCells" localSheetId="4">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 localSheetId="6">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 localSheetId="4">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 localSheetId="6">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ConvertMonthlyCalvingToSeason" localSheetId="4">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 localSheetId="6">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Month" localSheetId="4">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 localSheetId="6">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LiveweightFromSeason" localSheetId="4">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 localSheetId="6">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Month" localSheetId="4">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 localSheetId="6">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PastureBeef.LookupValueFromStateRegionSeason" localSheetId="4">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 localSheetId="6">[1]Results!$E$50</definedName>
    <definedName name="Result_CarbonRemovalsFromPlantings">Results!$E$56</definedName>
    <definedName name="Result_EmissionsForWholeProductionCycle_Method1" localSheetId="6">[1]Results!$E$39</definedName>
    <definedName name="Result_EmissionsForWholeProductionCycle_Method1" localSheetId="4">[2]Results!$E$42</definedName>
    <definedName name="Result_EmissionsForWholeProductionCycle_Method1">Results!$E$45</definedName>
    <definedName name="Result_EmissionsForWholeProductionCycle_Method2" localSheetId="6">[1]Results!$F$39</definedName>
    <definedName name="Result_EmissionsForWholeProductionCycle_Method2" localSheetId="4">[2]Results!$F$42</definedName>
    <definedName name="Result_EmissionsForWholeProductionCycle_Method2">Results!$F$45</definedName>
    <definedName name="Result_Enterprise_Method1" localSheetId="6">[1]Results!$H$25</definedName>
    <definedName name="Result_Enterprise_Method1" localSheetId="4">[2]Results!$H$28</definedName>
    <definedName name="Result_Enterprise_Method1">Results!$H$31</definedName>
    <definedName name="Result_Enterprise_Method2" localSheetId="6">[1]Results!$I$25</definedName>
    <definedName name="Result_Enterprise_Method2" localSheetId="4">[2]Results!$I$28</definedName>
    <definedName name="Result_Enterprise_Method2">Results!$I$31</definedName>
    <definedName name="Result_NetEmissions_Method1" localSheetId="6">[1]Results!$E$56</definedName>
    <definedName name="Result_NetEmissions_Method1" localSheetId="4">[2]Results!$E$59</definedName>
    <definedName name="Result_NetEmissions_Method1">Results!$E$62</definedName>
    <definedName name="Result_NetEmissions_Method2" localSheetId="6">[1]Results!$F$56</definedName>
    <definedName name="Result_NetEmissions_Method2" localSheetId="4">[2]Results!$F$59</definedName>
    <definedName name="Result_NetEmissions_Method2">Results!$F$62</definedName>
    <definedName name="X_Cell_Enterprise_PercentIncomeFromGrain">'[1]Input - Enterprise'!$E$32</definedName>
    <definedName name="X_Cell_Enterprise_ProductionTimeframeEnd" localSheetId="6">'[1]Input - Enterprise'!$E$19</definedName>
    <definedName name="X_Cell_Enterprise_ProductionTimeframeEnd" localSheetId="4">'[2]Input - Enterprise'!$E$19</definedName>
    <definedName name="X_Cell_Enterprise_ProductionTimeframeEnd">'Input - Enterprise'!$E$19</definedName>
    <definedName name="X_Cell_Enterprise_ProductionTimeframeStart" localSheetId="6">'[1]Input - Enterprise'!$E$18</definedName>
    <definedName name="X_Cell_Enterprise_ProductionTimeframeStart" localSheetId="4">'[2]Input - Enterprise'!$E$18</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 localSheetId="6">'[1]Input - Enterprise'!$E$12</definedName>
    <definedName name="X_Cell_Site_StartDate" localSheetId="4">'[2]Input - Enterprise'!$E$12</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Results!$D$39:$F$44</definedName>
    <definedName name="X_Table_Result_CarbonRemovalsFromPlantings_RowsToCols">Results!$D$50:$E$55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3" l="1"/>
  <c r="E55" i="13"/>
  <c r="E54" i="13"/>
  <c r="E53" i="13"/>
  <c r="E52" i="13"/>
  <c r="E51" i="13"/>
  <c r="F44" i="13"/>
  <c r="E44" i="13"/>
  <c r="F43" i="13"/>
  <c r="E43" i="13"/>
  <c r="F42" i="13"/>
  <c r="E42" i="13"/>
  <c r="F41" i="13"/>
  <c r="E41" i="13"/>
  <c r="F40" i="13"/>
  <c r="E40" i="13"/>
  <c r="J7" i="78"/>
  <c r="G78" i="13" l="1"/>
  <c r="G77" i="13"/>
  <c r="F71" i="13"/>
  <c r="E22" i="72"/>
  <c r="E23" i="72" a="1"/>
  <c r="E23" i="72" s="1"/>
  <c r="E24" i="72" s="1" a="1"/>
  <c r="E24" i="72" s="1"/>
  <c r="F67" i="13" s="1"/>
  <c r="F77" i="13" s="1"/>
  <c r="F68" i="13" l="1"/>
  <c r="F78" i="13" s="1"/>
  <c r="I16" i="77" l="1"/>
  <c r="I15" i="77"/>
  <c r="I14" i="77"/>
  <c r="I13" i="77"/>
  <c r="I12" i="77"/>
  <c r="I11" i="77"/>
  <c r="I10" i="77"/>
  <c r="I9" i="77"/>
  <c r="I8" i="77"/>
  <c r="I7" i="77"/>
  <c r="F14" i="13" l="1" a="1"/>
  <c r="F14" i="13" s="1"/>
  <c r="E14" i="13" a="1"/>
  <c r="E14" i="13" s="1"/>
  <c r="F13" i="13" a="1"/>
  <c r="F13" i="13" s="1"/>
  <c r="E13" i="13" a="1"/>
  <c r="E13" i="13" s="1"/>
  <c r="F12" i="13" a="1"/>
  <c r="F12" i="13" s="1"/>
  <c r="E12" i="13" a="1"/>
  <c r="E12" i="13" s="1"/>
  <c r="F11" i="13" a="1"/>
  <c r="F11" i="13" s="1"/>
  <c r="E11" i="13" a="1"/>
  <c r="E11" i="13" s="1"/>
  <c r="F10" i="13" a="1"/>
  <c r="F10" i="13" s="1"/>
  <c r="E10" i="13" a="1"/>
  <c r="E10" i="13" s="1"/>
  <c r="F9" i="13" a="1"/>
  <c r="F9" i="13" s="1"/>
  <c r="E9" i="13" a="1"/>
  <c r="E9" i="13" s="1"/>
  <c r="F8" i="13" a="1"/>
  <c r="F8" i="13" s="1"/>
  <c r="E8" i="13" a="1"/>
  <c r="E8" i="13" s="1"/>
  <c r="F7" i="13" l="1" a="1"/>
  <c r="F7" i="13" s="1"/>
  <c r="E7" i="13" a="1"/>
  <c r="E7" i="13" s="1"/>
  <c r="E10" i="76" l="1" a="1"/>
  <c r="E10" i="76" s="1"/>
  <c r="E9" i="76" a="1"/>
  <c r="E9" i="76" s="1"/>
  <c r="F69" i="13" l="1"/>
  <c r="G81" i="13"/>
  <c r="G82" i="13" s="1"/>
  <c r="G79" i="13"/>
  <c r="G80" i="13" s="1"/>
  <c r="F70" i="13" l="1"/>
  <c r="G69" i="13"/>
  <c r="G71" i="13"/>
  <c r="G67" i="13"/>
  <c r="F79" i="13"/>
  <c r="F80" i="13"/>
  <c r="E30" i="13" a="1"/>
  <c r="E30" i="13" s="1"/>
  <c r="E29" i="13" a="1"/>
  <c r="E29" i="13" s="1"/>
  <c r="H29" i="13" s="1"/>
  <c r="E28" i="13" a="1"/>
  <c r="E28" i="13" s="1"/>
  <c r="E27" i="13" a="1"/>
  <c r="E27" i="13" s="1"/>
  <c r="F27" i="13" s="1"/>
  <c r="E26" i="13" a="1"/>
  <c r="E26" i="13" s="1"/>
  <c r="H26" i="13" s="1"/>
  <c r="E25" i="13" a="1"/>
  <c r="E25" i="13" s="1"/>
  <c r="F25" i="13" s="1"/>
  <c r="E24" i="13" a="1"/>
  <c r="E24" i="13" s="1"/>
  <c r="E23" i="13" a="1"/>
  <c r="E23" i="13" s="1"/>
  <c r="H23" i="13" s="1"/>
  <c r="F22" i="13" a="1"/>
  <c r="F22" i="13" s="1"/>
  <c r="E22" i="13" a="1"/>
  <c r="E22" i="13" s="1"/>
  <c r="F21" i="13" a="1"/>
  <c r="F21" i="13" s="1"/>
  <c r="E21" i="13" a="1"/>
  <c r="E21" i="13" s="1"/>
  <c r="E20" i="13" a="1"/>
  <c r="E20" i="13" s="1"/>
  <c r="E19" i="13" a="1"/>
  <c r="E19" i="13" s="1"/>
  <c r="E18" i="13" a="1"/>
  <c r="E18" i="13" s="1"/>
  <c r="E17" i="13" a="1"/>
  <c r="E17" i="13" s="1"/>
  <c r="E16" i="13" a="1"/>
  <c r="E16" i="13" s="1"/>
  <c r="F16" i="13" s="1"/>
  <c r="I16" i="13" s="1"/>
  <c r="F15" i="13" a="1"/>
  <c r="F15" i="13" s="1"/>
  <c r="E15" i="13" a="1"/>
  <c r="E15" i="13" s="1"/>
  <c r="D40" i="13" a="1"/>
  <c r="D40" i="13" s="1"/>
  <c r="D51" i="13" a="1"/>
  <c r="F81" i="13"/>
  <c r="D36" i="13" a="1"/>
  <c r="D36" i="13" s="1"/>
  <c r="E13" i="72"/>
  <c r="D4" i="13" s="1"/>
  <c r="E18" i="75"/>
  <c r="A20" i="75"/>
  <c r="A19" i="75"/>
  <c r="A18" i="75"/>
  <c r="A17" i="75"/>
  <c r="A14" i="75"/>
  <c r="A13" i="75"/>
  <c r="A12" i="75"/>
  <c r="A11" i="75"/>
  <c r="A8" i="75"/>
  <c r="A7" i="75"/>
  <c r="A4" i="75"/>
  <c r="A3"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D174" i="74" a="1"/>
  <c r="D174" i="74" s="1"/>
  <c r="D173" i="74" a="1"/>
  <c r="D173" i="74" s="1"/>
  <c r="D170" i="74" a="1"/>
  <c r="D170" i="74" s="1"/>
  <c r="D169" i="74" a="1"/>
  <c r="D169" i="74" s="1"/>
  <c r="D168" i="74" a="1"/>
  <c r="D168" i="74" s="1"/>
  <c r="D167" i="74" a="1"/>
  <c r="D167" i="74" s="1"/>
  <c r="D164" i="74" a="1"/>
  <c r="D164" i="74" s="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H7" i="13" l="1" a="1"/>
  <c r="H7" i="13" s="1"/>
  <c r="H31" i="13" s="1"/>
  <c r="G68" i="13"/>
  <c r="H17" i="13" a="1"/>
  <c r="H17" i="13" s="1"/>
  <c r="H28" i="13" a="1"/>
  <c r="H28" i="13" s="1"/>
  <c r="E22" i="75"/>
  <c r="H20" i="13" a="1"/>
  <c r="H20" i="13" s="1"/>
  <c r="H8" i="13" a="1"/>
  <c r="H8" i="13" s="1"/>
  <c r="H21" i="13" a="1"/>
  <c r="H21" i="13" s="1"/>
  <c r="I8" i="13" a="1"/>
  <c r="I8" i="13" s="1"/>
  <c r="I21" i="13" a="1"/>
  <c r="I21" i="13" s="1"/>
  <c r="H9" i="13" a="1"/>
  <c r="H9" i="13" s="1"/>
  <c r="H22" i="13" a="1"/>
  <c r="H22" i="13" s="1"/>
  <c r="I9" i="13" a="1"/>
  <c r="I9" i="13" s="1"/>
  <c r="I22" i="13" a="1"/>
  <c r="I22" i="13" s="1"/>
  <c r="H10" i="13" a="1"/>
  <c r="H10" i="13" s="1"/>
  <c r="I10" i="13" a="1"/>
  <c r="I10" i="13" s="1"/>
  <c r="H24" i="13" a="1"/>
  <c r="H24" i="13" s="1"/>
  <c r="H11" i="13" a="1"/>
  <c r="H11" i="13" s="1"/>
  <c r="I7" i="13" a="1"/>
  <c r="I7" i="13" s="1"/>
  <c r="I31" i="13" s="1"/>
  <c r="I25" i="13" a="1"/>
  <c r="I25" i="13" s="1"/>
  <c r="I11" i="13" a="1"/>
  <c r="I11" i="13" s="1"/>
  <c r="H15" i="13" a="1"/>
  <c r="H15" i="13" s="1"/>
  <c r="F23" i="13"/>
  <c r="I23" i="13" s="1"/>
  <c r="I15" i="13" a="1"/>
  <c r="I15" i="13" s="1"/>
  <c r="I14" i="13" a="1"/>
  <c r="I14" i="13" s="1"/>
  <c r="H14" i="13" a="1"/>
  <c r="H14" i="13" s="1"/>
  <c r="I13" i="13" a="1"/>
  <c r="I13" i="13" s="1"/>
  <c r="H13" i="13" a="1"/>
  <c r="H13" i="13" s="1"/>
  <c r="I12" i="13" a="1"/>
  <c r="I12" i="13" s="1"/>
  <c r="H12" i="13" a="1"/>
  <c r="H12" i="13" s="1"/>
  <c r="I27" i="13" a="1"/>
  <c r="I27" i="13" s="1"/>
  <c r="H19" i="13" a="1"/>
  <c r="H19" i="13" s="1"/>
  <c r="F19" i="13"/>
  <c r="I19" i="13" s="1" a="1"/>
  <c r="I19" i="13" s="1"/>
  <c r="F29" i="13"/>
  <c r="I29" i="13" s="1"/>
  <c r="D51" i="13"/>
  <c r="F24" i="13"/>
  <c r="I24" i="13" s="1" a="1"/>
  <c r="I24" i="13" s="1"/>
  <c r="G70" i="13"/>
  <c r="F72" i="13"/>
  <c r="F82" i="13" s="1"/>
  <c r="H30" i="13"/>
  <c r="F30" i="13"/>
  <c r="I30" i="13" s="1"/>
  <c r="F18" i="13"/>
  <c r="I18" i="13" s="1"/>
  <c r="H18" i="13"/>
  <c r="F20" i="13"/>
  <c r="I20" i="13" s="1" a="1"/>
  <c r="I20" i="13" s="1"/>
  <c r="H27" i="13" a="1"/>
  <c r="H27" i="13" s="1"/>
  <c r="H16" i="13"/>
  <c r="F26" i="13"/>
  <c r="I26" i="13" s="1"/>
  <c r="F28" i="13"/>
  <c r="I28" i="13" s="1" a="1"/>
  <c r="I28" i="13" s="1"/>
  <c r="H25" i="13" a="1"/>
  <c r="H25" i="13" s="1"/>
  <c r="F17" i="13"/>
  <c r="I17" i="13" s="1" a="1"/>
  <c r="I17" i="13" s="1"/>
  <c r="E19" i="75"/>
  <c r="E20" i="75"/>
  <c r="E21" i="75" s="1"/>
  <c r="H54" i="74"/>
  <c r="H51" i="74"/>
  <c r="H49" i="74"/>
  <c r="G72" i="13"/>
  <c r="H53" i="74"/>
  <c r="H48" i="74"/>
  <c r="H52" i="74"/>
  <c r="H50" i="74"/>
  <c r="A20" i="13" l="1"/>
  <c r="A19" i="13"/>
  <c r="A18" i="13"/>
  <c r="A17" i="13"/>
  <c r="A14" i="13"/>
  <c r="A13" i="13"/>
  <c r="A12" i="13"/>
  <c r="A11" i="13"/>
  <c r="A8" i="13"/>
  <c r="A7" i="13"/>
  <c r="A4" i="13"/>
  <c r="A3" i="13"/>
  <c r="E45" i="13" l="1"/>
  <c r="H77" i="13" s="1"/>
  <c r="H69" i="13" l="1"/>
  <c r="H67" i="13"/>
  <c r="H79" i="13"/>
  <c r="H71" i="13"/>
  <c r="H81" i="13"/>
  <c r="E62" i="13"/>
  <c r="F45" i="13"/>
  <c r="I77" i="13" s="1"/>
  <c r="H78" i="13" l="1"/>
  <c r="H68" i="13"/>
  <c r="I67" i="13"/>
  <c r="H72" i="13"/>
  <c r="H80" i="13"/>
  <c r="H82" i="13"/>
  <c r="H70" i="13"/>
  <c r="I81" i="13"/>
  <c r="I71" i="13"/>
  <c r="I79" i="13"/>
  <c r="I69" i="13"/>
  <c r="F62" i="13"/>
  <c r="I68" i="13" l="1"/>
  <c r="I78" i="13"/>
  <c r="I72" i="13"/>
  <c r="I80" i="13"/>
  <c r="I82" i="13"/>
  <c r="I7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<sst xmlns="http://schemas.openxmlformats.org/spreadsheetml/2006/main" count="324" uniqueCount="210">
  <si>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</si>
  <si>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</si>
  <si>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</si>
  <si>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</si>
  <si>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</si>
  <si>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</si>
  <si>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</si>
  <si>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</si>
  <si>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</si>
  <si>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</si>
  <si>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</si>
  <si>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</si>
  <si>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</si>
  <si>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</si>
  <si>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</si>
  <si>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</si>
  <si>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</si>
  <si>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</si>
  <si>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</si>
  <si>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</si>
  <si>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</si>
  <si>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</si>
  <si>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</si>
  <si>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</si>
  <si>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</si>
  <si>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</si>
  <si>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</si>
  <si>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</si>
  <si>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</si>
  <si>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</si>
  <si>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</si>
  <si>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</si>
  <si>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</si>
  <si>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</si>
  <si>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</si>
  <si>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</si>
  <si>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</si>
  <si>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</si>
  <si>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</si>
  <si>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</si>
  <si>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</si>
  <si>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</si>
  <si>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</si>
  <si>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</si>
  <si>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</si>
  <si>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</si>
  <si>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</si>
  <si>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</si>
  <si>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</si>
  <si>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</si>
  <si>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</si>
  <si>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</si>
  <si>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</si>
  <si>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</si>
  <si>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</si>
  <si>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</si>
  <si>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</si>
  <si>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</si>
  <si>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</si>
  <si>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</si>
  <si>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</si>
  <si>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</si>
  <si>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</si>
  <si>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</si>
  <si>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</si>
  <si>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</si>
  <si>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</si>
  <si>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</si>
  <si>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</si>
  <si>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</si>
  <si>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</si>
  <si>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</si>
  <si>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</si>
  <si>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</si>
  <si>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</si>
  <si>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</si>
  <si>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</si>
  <si>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</si>
  <si>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</si>
  <si>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</si>
  <si>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</si>
  <si>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</si>
  <si>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</si>
  <si>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</si>
  <si>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</si>
  <si>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</si>
  <si>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</si>
  <si>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</si>
  <si>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</si>
  <si>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</si>
  <si>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</si>
  <si>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</si>
  <si>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</si>
  <si>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</si>
  <si>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</si>
  <si>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</si>
  <si>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</si>
  <si>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</si>
  <si>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</si>
  <si>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</si>
  <si>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</si>
  <si>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</si>
  <si>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</si>
  <si>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</si>
  <si>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</si>
  <si>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</si>
  <si>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</si>
  <si>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</si>
  <si>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</si>
  <si>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</si>
  <si>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</si>
  <si>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</si>
  <si>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</si>
  <si>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</si>
  <si>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</si>
  <si>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</si>
  <si>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</si>
  <si>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</si>
  <si>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</si>
  <si>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</si>
  <si>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</si>
  <si>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</si>
  <si>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</si>
  <si>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</si>
  <si>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t co2e/t liveweight sold</t>
  </si>
  <si>
    <t>t co2e/t manure</t>
  </si>
  <si>
    <t>Emissions intensity (Method 1)</t>
  </si>
  <si>
    <t>Emissions intensity (Method 2)</t>
  </si>
  <si>
    <t>Product type</t>
  </si>
  <si>
    <t>Main product</t>
  </si>
  <si>
    <t>Co-product</t>
  </si>
  <si>
    <t>Carbon removals from plantings</t>
  </si>
  <si>
    <t>CO2 removed attributed to this enterprise</t>
  </si>
  <si>
    <t>t CO2</t>
  </si>
  <si>
    <t>Total emissions for production cycle</t>
  </si>
  <si>
    <t>Total carbon removals for production cycle</t>
  </si>
  <si>
    <t>Net emissions</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</si>
  <si>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</si>
  <si>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</si>
  <si>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</si>
  <si>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</si>
  <si>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</si>
  <si>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</si>
  <si>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</si>
  <si>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</si>
  <si>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</si>
  <si>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</si>
  <si>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</si>
  <si>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</si>
  <si>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</si>
  <si>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</si>
  <si>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</si>
  <si>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</si>
  <si>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</si>
  <si>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</si>
  <si>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</si>
  <si>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</si>
  <si>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</si>
  <si>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</si>
  <si>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</si>
  <si>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</si>
  <si>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</si>
  <si>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</si>
  <si>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</si>
  <si>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</si>
  <si>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</si>
  <si>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</si>
  <si>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</si>
  <si>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</si>
  <si>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</si>
  <si>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</si>
  <si>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</si>
  <si>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</si>
  <si>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</si>
  <si>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Enterprise: Dairy: Results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</si>
  <si>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</si>
  <si>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</si>
  <si>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</si>
  <si>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</si>
  <si>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</si>
  <si>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</si>
  <si>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</si>
  <si>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</si>
  <si>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</si>
  <si>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</si>
  <si>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</si>
  <si>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</si>
  <si>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</si>
  <si>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</si>
  <si>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</si>
  <si>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</si>
  <si>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</si>
  <si>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</si>
  <si>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</si>
  <si>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</si>
  <si>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</si>
  <si>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</si>
  <si>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t co2e/t milk solids</t>
  </si>
  <si>
    <t>Input - Data quality</t>
  </si>
  <si>
    <t>Input</t>
  </si>
  <si>
    <t>Temporal representativeness</t>
  </si>
  <si>
    <t>Spatial resolution</t>
  </si>
  <si>
    <t>Sample size</t>
  </si>
  <si>
    <t>Notes</t>
  </si>
  <si>
    <t>Evidence files</t>
  </si>
  <si>
    <t>Score</t>
  </si>
  <si>
    <t>Input name</t>
  </si>
  <si>
    <t>TR4</t>
  </si>
  <si>
    <t>SR5</t>
  </si>
  <si>
    <t>SS3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</si>
</sst>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7">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36" fillId="4" borderId="0" xfId="47">
      <alignment horizontal="left" vertical="center"/>
    </xf>
    <xf numFmtId="0" fontId="37" fillId="4" borderId="0" xfId="59">
      <alignment horizontal="left" vertical="center"/>
    </xf>
    <xf numFmtId="170" fontId="0" fillId="0" borderId="0" xfId="8" applyNumberFormat="1" applyFont="1" applyFill="1">
      <alignment horizontal="left" vertical="center"/>
    </xf>
    <xf numFmtId="164" fontId="0" fillId="0" borderId="0" xfId="0" applyNumberFormat="1"/>
    <xf numFmtId="0" fontId="12" fillId="6" borderId="0" xfId="29">
      <alignment horizontal="center" vertical="center"/>
      <protection locked="0"/>
    </xf>
    <xf numFmtId="0" fontId="0" fillId="0" borderId="0" xfId="14" applyFont="1" applyBorder="1">
      <alignment horizontal="center"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9">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8"/>
      <tableStyleElement type="headerRow" dxfId="47"/>
      <tableStyleElement type="totalRow" dxfId="46"/>
      <tableStyleElement type="firstColumn" dxfId="45"/>
      <tableStyleElement type="firstRowStripe" dxfId="44"/>
      <tableStyleElement type="secondRowStripe" dxfId="43"/>
    </tableStyle>
    <tableStyle name="Equation table" pivot="0" count="6" xr9:uid="{B247698E-E41D-4CCD-AA0A-C14817E9DE65}">
      <tableStyleElement type="wholeTable" dxfId="42"/>
      <tableStyleElement type="headerRow" dxfId="41"/>
      <tableStyleElement type="totalRow" dxfId="40"/>
      <tableStyleElement type="firstColumn" dxfId="39"/>
      <tableStyleElement type="firstRowStripe" dxfId="38"/>
      <tableStyleElement type="secondRowStripe" dxfId="37"/>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externalLink" Target="externalLinks/externalLink2.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Enterprises\Enterprise_CroppingGrains_Template_WIP_v01.xlsx" TargetMode="External"/><Relationship Id="rId1" Type="http://schemas.openxmlformats.org/officeDocument/2006/relationships/externalLinkPath" Target="Enterprise_CroppingGrains_Template_WIP_v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Enterprises\Enterprise_PastureBeef_Template_WIP_v01.xlsx" TargetMode="External"/><Relationship Id="rId1" Type="http://schemas.openxmlformats.org/officeDocument/2006/relationships/externalLinkPath" Target="Enterprise_PastureBeef_Template_WIP_v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Common_v03.xlsx" TargetMode="External"/><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htdocs/zneagcrc/GAF-VEERG-Functions/Excel/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Enterprise"/>
      <sheetName val="Input - Fert Prod System"/>
      <sheetName val="Input - Data quality"/>
      <sheetName val="Constants - Common"/>
    </sheetNames>
    <sheetDataSet>
      <sheetData sheetId="0"/>
      <sheetData sheetId="1">
        <row r="25">
          <cell r="H25" t="e">
            <v>#NAME?</v>
          </cell>
          <cell r="I25" t="e">
            <v>#NAME?</v>
          </cell>
        </row>
        <row r="39">
          <cell r="E39" t="e">
            <v>#NAME?</v>
          </cell>
          <cell r="F39" t="e">
            <v>#NAME?</v>
          </cell>
        </row>
        <row r="50">
          <cell r="E50">
            <v>0</v>
          </cell>
        </row>
        <row r="56">
          <cell r="E56" t="e">
            <v>#NAME?</v>
          </cell>
          <cell r="F56" t="e">
            <v>#NAME?</v>
          </cell>
        </row>
      </sheetData>
      <sheetData sheetId="2"/>
      <sheetData sheetId="3">
        <row r="12">
          <cell r="E12">
            <v>45658</v>
          </cell>
        </row>
        <row r="18">
          <cell r="E18">
            <v>45962</v>
          </cell>
        </row>
        <row r="19">
          <cell r="E19">
            <v>46112</v>
          </cell>
        </row>
        <row r="32">
          <cell r="E32">
            <v>0.8</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Enterprise"/>
      <sheetName val="Input - Fert Prod System"/>
      <sheetName val="Input - Livestock sales"/>
      <sheetName val="Constants - Common"/>
    </sheetNames>
    <sheetDataSet>
      <sheetData sheetId="0"/>
      <sheetData sheetId="1">
        <row r="28">
          <cell r="H28" t="e">
            <v>#NAME?</v>
          </cell>
          <cell r="I28" t="e">
            <v>#NAME?</v>
          </cell>
        </row>
        <row r="42">
          <cell r="E42" t="e">
            <v>#NAME?</v>
          </cell>
          <cell r="F42" t="e">
            <v>#NAME?</v>
          </cell>
        </row>
        <row r="59">
          <cell r="E59" t="e">
            <v>#NAME?</v>
          </cell>
          <cell r="F59" t="e">
            <v>#NAME?</v>
          </cell>
        </row>
      </sheetData>
      <sheetData sheetId="2"/>
      <sheetData sheetId="3">
        <row r="12">
          <cell r="E12">
            <v>45292</v>
          </cell>
        </row>
        <row r="18">
          <cell r="E18">
            <v>45231</v>
          </cell>
        </row>
        <row r="19">
          <cell r="E19">
            <v>45747</v>
          </cell>
        </row>
      </sheetData>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nput - Data quality"/>
      <sheetName val="Constants - Common"/>
      <sheetName val="Acknowledgements"/>
    </sheetNames>
    <sheetDataSet>
      <sheetData sheetId="0"/>
      <sheetData sheetId="1"/>
      <sheetData sheetId="2"/>
      <sheetData sheetId="3"/>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36"/>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0A1CD-8E5B-46C1-9B1B-A6414BB18D09}"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D91677-2A2D-42DA-8119-4ECEF8794C8C}" name="Input"/>
    <tableColumn id="2" xr3:uid="{D0F60017-C58D-42ED-9BF1-8D01902E8D4D}" name="Temporal representativeness" dataCellStyle="Input select"/>
    <tableColumn id="3" xr3:uid="{08DBDF97-0155-4B2F-8291-54B61FF408BD}" name="Spatial resolution" dataCellStyle="Input select"/>
    <tableColumn id="4" xr3:uid="{022C6E4C-4A1B-4829-929A-D1AA689758A2}" name="Sample size" dataCellStyle="Input select"/>
    <tableColumn id="5" xr3:uid="{28F01E09-BECE-484C-81F3-93DFF53DC900}" name="Notes"/>
    <tableColumn id="6" xr3:uid="{DDF62FEF-8F18-4588-8C64-94585E6BFF74}" name="Evidence files"/>
    <tableColumn id="7" xr3:uid="{05442818-31FF-4B7D-911F-5A30BA48670D}" name="Score" dataCellStyle="Input number general calculated">
      <calculatedColumnFormula>_xlfn.XLOOKUP(Table_Input_DataQuality[[#This Row],[Temporal representativeness]],[3]!Table_SourceData_DataQuality_TemporalRepresentativeness[ID],[3]!Table_SourceData_DataQuality_TemporalRepresentativeness[Score])+_xlfn.XLOOKUP(Table_Input_DataQuality[[#This Row],[Spatial resolution]],[3]!Table_SourceData_DataQuality_SpatialRepresentativeness[ID],[3]!Table_SourceData_DataQuality_SpatialRepresentativeness[Score])+_xlfn.XLOOKUP(Table_Input_DataQuality[[#This Row],[Sample size]],[3]!Table_SourceData_DataQuality_SampleSize[ID],[3]!Table_SourceData_DataQuality_SampleSize[Score])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4"/>
  <sheetViews>
    <sheetView showGridLines="0" tabSelected="1" topLeftCell="A24" zoomScaleNormal="100" workbookViewId="0">
      <selection activeCell="E45" sqref="E45"/>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7" t="e" vm="1">
        <v>#VALUE!</v>
      </c>
      <c r="C1" s="22" t="s">
        <v>174</v>
      </c>
    </row>
    <row r="2" spans="1:11" ht="20.100000000000001" customHeight="1" x14ac:dyDescent="0.25">
      <c r="A2" s="3"/>
      <c r="C2" s="3"/>
    </row>
    <row r="3" spans="1:11" ht="20.100000000000001" customHeight="1" x14ac:dyDescent="0.25">
      <c r="A3" s="5" t="str">
        <f>HYPERLINK("#'Home'!A1", "Home")</f>
        <v>Home</v>
      </c>
      <c r="C3" s="9"/>
      <c r="D3" s="9"/>
      <c r="E3" s="9"/>
      <c r="F3" s="9"/>
      <c r="G3" s="9"/>
      <c r="H3" s="9"/>
      <c r="I3" s="9"/>
      <c r="J3" s="9"/>
      <c r="K3" s="9"/>
    </row>
    <row r="4" spans="1:11" ht="20.100000000000001" customHeight="1" x14ac:dyDescent="0.25">
      <c r="A4" s="5" t="str">
        <f>HYPERLINK("#'Results'!A1", "Results")</f>
        <v>Results</v>
      </c>
      <c r="C4" s="9"/>
      <c r="D4" s="2" t="str">
        <f>"Emissions breakdown for activities running between " &amp; TEXT(X_Cell_Site_StartDate, "dd mmmm yyyy") &amp; " and " &amp; TEXT('Input - Enterprise'!E13, "dd mmmm yyyy")</f>
        <v>Emissions breakdown for activities running between 01 January 2024 and 31 December 2024</v>
      </c>
      <c r="E4" s="11"/>
      <c r="F4" s="11"/>
      <c r="G4" s="11"/>
      <c r="H4" s="2"/>
      <c r="I4" s="2"/>
      <c r="J4" s="2"/>
      <c r="K4" s="12"/>
    </row>
    <row r="5" spans="1:11" ht="20.100000000000001" customHeight="1" x14ac:dyDescent="0.3">
      <c r="A5" s="4"/>
      <c r="C5" s="9"/>
      <c r="D5" s="13"/>
      <c r="E5" s="14"/>
      <c r="F5" s="14"/>
      <c r="G5" s="14"/>
      <c r="H5" s="11"/>
      <c r="I5" s="9"/>
      <c r="J5" s="9"/>
      <c r="K5" s="9"/>
    </row>
    <row r="6" spans="1:11" ht="20.100000000000001" customHeight="1" x14ac:dyDescent="0.25">
      <c r="A6" s="8" t="s">
        <v>1</v>
      </c>
      <c r="C6" s="9"/>
      <c r="D6" s="21" t="s">
        <v>4</v>
      </c>
      <c r="E6" s="21" t="s">
        <v>9</v>
      </c>
      <c r="F6" s="21" t="s">
        <v>10</v>
      </c>
      <c r="G6" s="21" t="s">
        <v>6</v>
      </c>
      <c r="H6" s="21" t="s">
        <v>11</v>
      </c>
      <c r="I6" s="21" t="s">
        <v>12</v>
      </c>
      <c r="J6" s="2"/>
      <c r="K6" s="9"/>
    </row>
    <row r="7" spans="1:11" ht="20.100000000000001" customHeight="1" x14ac:dyDescent="0.25">
      <c r="A7" s="5" t="str">
        <f>HYPERLINK("#'Input - Site'!A1", "Site")</f>
        <v>Site</v>
      </c>
      <c r="C7" s="9"/>
      <c r="D7" s="1" t="s">
        <v>175</v>
      </c>
      <c r="E7" s="19" t="e" cm="1">
        <f t="array" ref="E7">VEERG_3_3_1_1__1_TotalAnnualMethaneFromEntericFermentationVariation_Result_Method1</f>
        <v>#NAME?</v>
      </c>
      <c r="F7" s="19" t="e" cm="1">
        <f t="array" ref="F7">VEERG_3_3_1_1__1_TotalAnnualMethaneFromEntericFermentationVariation_Result_Method2</f>
        <v>#NAME?</v>
      </c>
      <c r="G7" s="16" t="s">
        <v>7</v>
      </c>
      <c r="H7" s="19" t="e" cm="1">
        <f t="array" ref="H7">Common_Equations.Common_ConvertCH4ToCO2e(E7,_xlfn.XLOOKUP("CH4", Table_GWPData[Gas],Table_GWPData[CO2-e factor]))</f>
        <v>#NAME?</v>
      </c>
      <c r="I7" s="19" t="e" cm="1">
        <f t="array" ref="I7">Common_Equations.Common_ConvertCH4ToCO2e(F7,_xlfn.XLOOKUP("CH4", Table_GWPData[Gas],Table_GWPData[CO2-e factor]))</f>
        <v>#NAME?</v>
      </c>
      <c r="J7" s="16" t="s">
        <v>8</v>
      </c>
      <c r="K7" s="9"/>
    </row>
    <row r="8" spans="1:11" ht="20.100000000000001" customHeight="1" x14ac:dyDescent="0.25">
      <c r="A8" s="5" t="str">
        <f>HYPERLINK("#'Input - Pasture Beef'!A1", "Pasture Beef")</f>
        <v>Pasture Beef</v>
      </c>
      <c r="C8" s="9"/>
      <c r="D8" s="1" t="s">
        <v>176</v>
      </c>
      <c r="E8" s="19" t="e" cm="1">
        <f t="array" ref="E8">VEERG_4_3_1_1__1_TotalAnnualMethaneFromManureManagement_Result_Method1</f>
        <v>#NAME?</v>
      </c>
      <c r="F8" s="19" t="e" cm="1">
        <f t="array" ref="F8">VEERG_4_3_1_1__1_TotalAnnualMethaneFromManureManagement_Result_Method2</f>
        <v>#NAME?</v>
      </c>
      <c r="G8" s="16" t="s">
        <v>7</v>
      </c>
      <c r="H8" s="19" t="e" cm="1">
        <f t="array" ref="H8">Common_Equations.Common_ConvertCH4ToCO2e(E8,_xlfn.XLOOKUP("CH4", Table_GWPData[Gas],Table_GWPData[CO2-e factor]))</f>
        <v>#NAME?</v>
      </c>
      <c r="I8" s="19" t="e" cm="1">
        <f t="array" ref="I8">Common_Equations.Common_ConvertCH4ToCO2e(F8,_xlfn.XLOOKUP("CH4", Table_GWPData[Gas],Table_GWPData[CO2-e factor]))</f>
        <v>#NAME?</v>
      </c>
      <c r="J8" s="16" t="s">
        <v>8</v>
      </c>
      <c r="K8" s="9"/>
    </row>
    <row r="9" spans="1:11" ht="20.100000000000001" customHeight="1" x14ac:dyDescent="0.25">
      <c r="A9" s="5"/>
      <c r="C9" s="9"/>
      <c r="D9" s="1" t="s">
        <v>177</v>
      </c>
      <c r="E9" s="19" t="e" cm="1">
        <f t="array" ref="E9">VEERG_4_3_1_3__1_TotalAnnualDirectNitrousOxideEmissionsFromMMS_Result_Method1</f>
        <v>#NAME?</v>
      </c>
      <c r="F9" s="19" t="e" cm="1">
        <f t="array" ref="F9">VEERG_4_3_1_3__1_TotalAnnualDirectNitrousOxideEmissionsFromMMS_Result_Method2</f>
        <v>#NAME?</v>
      </c>
      <c r="G9" s="16" t="s">
        <v>13</v>
      </c>
      <c r="H9" s="19" t="e" cm="1">
        <f t="array" ref="H9">Common_Equations.Common_ConvertN2OToCO2e(E9,_xlfn.XLOOKUP("N2O", Table_GWPData[Gas],Table_GWPData[CO2-e factor]))</f>
        <v>#NAME?</v>
      </c>
      <c r="I9" s="19" t="e" cm="1">
        <f t="array" ref="I9">Common_Equations.Common_ConvertN2OToCO2e(F9,_xlfn.XLOOKUP("N2O", Table_GWPData[Gas],Table_GWPData[CO2-e factor]))</f>
        <v>#NAME?</v>
      </c>
      <c r="J9" s="16" t="s">
        <v>8</v>
      </c>
      <c r="K9" s="9"/>
    </row>
    <row r="10" spans="1:11" ht="20.100000000000001" customHeight="1" x14ac:dyDescent="0.25">
      <c r="A10" s="7" t="s">
        <v>3</v>
      </c>
      <c r="C10" s="9"/>
      <c r="D10" s="1" t="s">
        <v>178</v>
      </c>
      <c r="E10" s="19" t="e" cm="1">
        <f t="array" ref="E10">VEERG_4_3_1_5__1_AnnualAtmosphericDepositionEmissionsFromMMS_Result_Method1</f>
        <v>#NAME?</v>
      </c>
      <c r="F10" s="19" t="e" cm="1">
        <f t="array" ref="F10">VEERG_4_3_1_5__1_AnnualAtmosphericDepositionEmissionsFromMMS_Result_Method2</f>
        <v>#NAME?</v>
      </c>
      <c r="G10" s="16" t="s">
        <v>13</v>
      </c>
      <c r="H10" s="19" t="e" cm="1">
        <f t="array" ref="H10">Common_Equations.Common_ConvertN2OToCO2e(E10,_xlfn.XLOOKUP("N2O", Table_GWPData[Gas],Table_GWPData[CO2-e factor]))</f>
        <v>#NAME?</v>
      </c>
      <c r="I10" s="19" t="e" cm="1">
        <f t="array" ref="I10">Common_Equations.Common_ConvertN2OToCO2e(F10,_xlfn.XLOOKUP("N2O", Table_GWPData[Gas],Table_GWPData[CO2-e factor]))</f>
        <v>#NAME?</v>
      </c>
      <c r="J10" s="16" t="s">
        <v>8</v>
      </c>
      <c r="K10" s="9"/>
    </row>
    <row r="11" spans="1:11" ht="20.100000000000001" customHeight="1" x14ac:dyDescent="0.25">
      <c r="A11" s="5" t="str">
        <f>HYPERLINK("#'4.2.1.1-2 Methane'!A1", "4.2.1.1-2 Methane")</f>
        <v>4.2.1.1-2 Methane</v>
      </c>
      <c r="C11" s="9"/>
      <c r="D11" s="1" t="s">
        <v>179</v>
      </c>
      <c r="E11" s="19" t="e" cm="1">
        <f t="array" ref="E11">VEERG_4_3_1_6__1_AnnualEmissionsFromLeachingAndRunoffFromMMS_Result_Method1</f>
        <v>#NAME?</v>
      </c>
      <c r="F11" s="19" t="e" cm="1">
        <f t="array" ref="F11">VEERG_4_3_1_6__1_AnnualEmissionsFromLeachingAndRunoffFromMMS_Result_Method2</f>
        <v>#NAME?</v>
      </c>
      <c r="G11" s="16" t="s">
        <v>13</v>
      </c>
      <c r="H11" s="19" t="e" cm="1">
        <f t="array" ref="H11">Common_Equations.Common_ConvertN2OToCO2e(E11,_xlfn.XLOOKUP("N2O", Table_GWPData[Gas],Table_GWPData[CO2-e factor]))</f>
        <v>#NAME?</v>
      </c>
      <c r="I11" s="19" t="e" cm="1">
        <f t="array" ref="I11">Common_Equations.Common_ConvertN2OToCO2e(F11,_xlfn.XLOOKUP("N2O", Table_GWPData[Gas],Table_GWPData[CO2-e factor]))</f>
        <v>#NAME?</v>
      </c>
      <c r="J11" s="16" t="s">
        <v>8</v>
      </c>
      <c r="K11" s="9"/>
    </row>
    <row r="12" spans="1:11" ht="20.100000000000001" customHeight="1" x14ac:dyDescent="0.25">
      <c r="A12" s="5" t="str">
        <f>HYPERLINK("#'4.2.1.3-4 Soil direct N2O'!A1", "4.2.1.3-4 Soil direct N2O")</f>
        <v>4.2.1.3-4 Soil direct N2O</v>
      </c>
      <c r="C12" s="9"/>
      <c r="D12" s="1" t="s">
        <v>180</v>
      </c>
      <c r="E12" s="19" t="e" cm="1">
        <f t="array" ref="E12">VEERG_4_3_1_9__1_DirectNitrousOxideEmissionsOnPasture_Result_Method1</f>
        <v>#NAME?</v>
      </c>
      <c r="F12" s="19" t="e" cm="1">
        <f t="array" ref="F12">VEERG_4_3_1_9__1_DirectNitrousOxideEmissionsOnPasture_Result_Method2</f>
        <v>#NAME?</v>
      </c>
      <c r="G12" s="16" t="s">
        <v>13</v>
      </c>
      <c r="H12" s="19" t="e" cm="1">
        <f t="array" ref="H12">Common_Equations.Common_ConvertN2OToCO2e(E12,_xlfn.XLOOKUP("N2O", Table_GWPData[Gas],Table_GWPData[CO2-e factor]))</f>
        <v>#NAME?</v>
      </c>
      <c r="I12" s="19" t="e" cm="1">
        <f t="array" ref="I12">Common_Equations.Common_ConvertN2OToCO2e(F12,_xlfn.XLOOKUP("N2O", Table_GWPData[Gas],Table_GWPData[CO2-e factor]))</f>
        <v>#NAME?</v>
      </c>
      <c r="J12" s="16" t="s">
        <v>8</v>
      </c>
      <c r="K12" s="9"/>
    </row>
    <row r="13" spans="1:11" ht="20.100000000000001" customHeight="1" x14ac:dyDescent="0.25">
      <c r="A13" s="5" t="str">
        <f>HYPERLINK("#'4.2.1.5-6 Soil Atmos Dep'!A1", "4.2.1.5-6 Soil atm. deposition")</f>
        <v>4.2.1.5-6 Soil atm. deposition</v>
      </c>
      <c r="C13" s="9"/>
      <c r="D13" s="1" t="s">
        <v>181</v>
      </c>
      <c r="E13" s="19" t="e" cm="1">
        <f t="array" ref="E13">VEERG_4_3_1_10__1_AtmosphericDepositionEmissionsFromUrineAndDungOnPasture_Result_Method1</f>
        <v>#NAME?</v>
      </c>
      <c r="F13" s="19" t="e" cm="1">
        <f t="array" ref="F13">VEERG_4_3_1_10__1_AtmosphericDepositionEmissionsFromUrineAndDungOnPasture_Result_Method2</f>
        <v>#NAME?</v>
      </c>
      <c r="G13" s="16" t="s">
        <v>13</v>
      </c>
      <c r="H13" s="19" t="e" cm="1">
        <f t="array" ref="H13">Common_Equations.Common_ConvertN2OToCO2e(E13,_xlfn.XLOOKUP("N2O", Table_GWPData[Gas],Table_GWPData[CO2-e factor]))</f>
        <v>#NAME?</v>
      </c>
      <c r="I13" s="19" t="e" cm="1">
        <f t="array" ref="I13">Common_Equations.Common_ConvertN2OToCO2e(F13,_xlfn.XLOOKUP("N2O", Table_GWPData[Gas],Table_GWPData[CO2-e factor]))</f>
        <v>#NAME?</v>
      </c>
      <c r="J13" s="16" t="s">
        <v>8</v>
      </c>
      <c r="K13" s="9"/>
    </row>
    <row r="14" spans="1:11" ht="20.100000000000001" customHeight="1" x14ac:dyDescent="0.25">
      <c r="A14" s="5" t="str">
        <f>HYPERLINK("#'4.2.1.7-8 Soil leach runoff'!A1", "4.2.1.7-8 Soil leach &amp; runoff")</f>
        <v>4.2.1.7-8 Soil leach &amp; runoff</v>
      </c>
      <c r="C14" s="9"/>
      <c r="D14" s="1" t="s">
        <v>182</v>
      </c>
      <c r="E14" s="19" t="e" cm="1">
        <f t="array" ref="E14">VEERG_4_3_1_12__1_LeachingAndRunoffEmissionsFromUrineAndDungOnPasture_Result_Method1</f>
        <v>#NAME?</v>
      </c>
      <c r="F14" s="19" t="e" cm="1">
        <f t="array" ref="F14">VEERG_4_3_1_12__1_LeachingAndRunoffEmissionsFromUrineAndDungOnPasture_Result_Method2</f>
        <v>#NAME?</v>
      </c>
      <c r="G14" s="16" t="s">
        <v>13</v>
      </c>
      <c r="H14" s="19" t="e" cm="1">
        <f t="array" ref="H14">Common_Equations.Common_ConvertN2OToCO2e(E14,_xlfn.XLOOKUP("N2O", Table_GWPData[Gas],Table_GWPData[CO2-e factor]))</f>
        <v>#NAME?</v>
      </c>
      <c r="I14" s="19" t="e" cm="1">
        <f t="array" ref="I14">Common_Equations.Common_ConvertN2OToCO2e(F14,_xlfn.XLOOKUP("N2O", Table_GWPData[Gas],Table_GWPData[CO2-e factor]))</f>
        <v>#NAME?</v>
      </c>
      <c r="J14" s="16" t="s">
        <v>8</v>
      </c>
      <c r="K14" s="9"/>
    </row>
    <row r="15" spans="1:11" ht="20.100000000000001" customHeight="1" x14ac:dyDescent="0.25">
      <c r="A15" s="5"/>
      <c r="C15" s="9"/>
      <c r="D15" s="1" t="s">
        <v>140</v>
      </c>
      <c r="E15" s="19" t="e" cm="1">
        <f t="array" ref="E15">VEERG_5_1_1_1__1_InorganicFertiliserApplicationN2OEmissions_Result_Method1</f>
        <v>#NAME?</v>
      </c>
      <c r="F15" s="19" t="e" cm="1">
        <f t="array" ref="F15">VEERG_5_1_1_1__1_InorganicFertiliserApplicationN2OEmissions_Result_Method2</f>
        <v>#NAME?</v>
      </c>
      <c r="G15" s="16" t="s">
        <v>13</v>
      </c>
      <c r="H15" s="19" t="e" cm="1">
        <f t="array" ref="H15">Common_Equations.Common_ConvertN2OToCO2e(E15,_xlfn.XLOOKUP("N2O", Table_GWPData[Gas],Table_GWPData[CO2-e factor]))</f>
        <v>#NAME?</v>
      </c>
      <c r="I15" s="19" t="e" cm="1">
        <f t="array" ref="I15">Common_Equations.Common_ConvertN2OToCO2e(F15,_xlfn.XLOOKUP("N2O", Table_GWPData[Gas],Table_GWPData[CO2-e factor]))</f>
        <v>#NAME?</v>
      </c>
      <c r="J15" s="16" t="s">
        <v>8</v>
      </c>
      <c r="K15" s="9"/>
    </row>
    <row r="16" spans="1:11" ht="20.100000000000001" customHeight="1" x14ac:dyDescent="0.25">
      <c r="A16" s="6" t="s">
        <v>2</v>
      </c>
      <c r="C16" s="9"/>
      <c r="D16" s="1" t="s">
        <v>141</v>
      </c>
      <c r="E16" s="19" t="e" cm="1">
        <f t="array" ref="E16">VEERG_5_1_1_3__1_InorganicFertiliserApplicationCO2Emissions_Result_Method1</f>
        <v>#NAME?</v>
      </c>
      <c r="F16" s="19" t="e">
        <f>E16</f>
        <v>#NAME?</v>
      </c>
      <c r="G16" s="16" t="s">
        <v>133</v>
      </c>
      <c r="H16" s="19" t="e">
        <f>E16</f>
        <v>#NAME?</v>
      </c>
      <c r="I16" s="19" t="e">
        <f>F16</f>
        <v>#NAME?</v>
      </c>
      <c r="J16" s="16" t="s">
        <v>8</v>
      </c>
      <c r="K16" s="9"/>
    </row>
    <row r="17" spans="1:11" ht="20.100000000000001" customHeight="1" x14ac:dyDescent="0.25">
      <c r="A17" s="5" t="str">
        <f>HYPERLINK("#'Constants - Pasture Beef'!A1", "Constants - Pasture Beef")</f>
        <v>Constants - Pasture Beef</v>
      </c>
      <c r="C17" s="9"/>
      <c r="D17" s="1" t="s">
        <v>142</v>
      </c>
      <c r="E17" s="19" t="e" cm="1">
        <f t="array" ref="E17">VEERG_5_2_1_1__2_MassOfNitrogenInOrganicFertiliser_Result_Method1</f>
        <v>#NAME?</v>
      </c>
      <c r="F17" s="19" t="e">
        <f>E17</f>
        <v>#NAME?</v>
      </c>
      <c r="G17" s="16" t="s">
        <v>13</v>
      </c>
      <c r="H17" s="19" t="e" cm="1">
        <f t="array" ref="H17">Common_Equations.Common_ConvertN2OToCO2e(E17,_xlfn.XLOOKUP("N2O", Table_GWPData[Gas],Table_GWPData[CO2-e factor]))</f>
        <v>#NAME?</v>
      </c>
      <c r="I17" s="19" t="e" cm="1">
        <f t="array" ref="I17">Common_Equations.Common_ConvertN2OToCO2e(F17,_xlfn.XLOOKUP("N2O", Table_GWPData[Gas],Table_GWPData[CO2-e factor]))</f>
        <v>#NAME?</v>
      </c>
      <c r="J17" s="16" t="s">
        <v>8</v>
      </c>
      <c r="K17" s="9"/>
    </row>
    <row r="18" spans="1:11" ht="20.100000000000001" customHeight="1" x14ac:dyDescent="0.25">
      <c r="A18" s="5" t="str">
        <f>HYPERLINK("#'Constants - Livestock'!A1", "Constants - Livestock")</f>
        <v>Constants - Livestock</v>
      </c>
      <c r="C18" s="9"/>
      <c r="D18" s="1" t="s">
        <v>143</v>
      </c>
      <c r="E18" s="19" t="e" cm="1">
        <f t="array" ref="E18">VEERG_5_3_1_1__1_LimeApplicationCO2Emissions_Result_Method1</f>
        <v>#NAME?</v>
      </c>
      <c r="F18" s="19" t="e">
        <f>E18</f>
        <v>#NAME?</v>
      </c>
      <c r="G18" s="16" t="s">
        <v>133</v>
      </c>
      <c r="H18" s="19" t="e">
        <f>E18</f>
        <v>#NAME?</v>
      </c>
      <c r="I18" s="19" t="e">
        <f>F18</f>
        <v>#NAME?</v>
      </c>
      <c r="J18" s="16" t="s">
        <v>8</v>
      </c>
      <c r="K18" s="9"/>
    </row>
    <row r="19" spans="1:11" ht="20.100000000000001" customHeight="1" x14ac:dyDescent="0.25">
      <c r="A19" s="5" t="str">
        <f>HYPERLINK("#'Constants - Common'!A1", "Constants - Common")</f>
        <v>Constants - Common</v>
      </c>
      <c r="C19" s="9"/>
      <c r="D19" s="1" t="s">
        <v>144</v>
      </c>
      <c r="E19" s="19" t="e" cm="1">
        <f t="array" ref="E19">VEERG_5_4_1_3__1_OrganicFertiliserAtmosphericDepositionN2OEmissions_Result_Method1</f>
        <v>#NAME?</v>
      </c>
      <c r="F19" s="19" t="e">
        <f>E19</f>
        <v>#NAME?</v>
      </c>
      <c r="G19" s="16" t="s">
        <v>13</v>
      </c>
      <c r="H19" s="19" t="e" cm="1">
        <f t="array" ref="H19">Common_Equations.Common_ConvertN2OToCO2e(E19,_xlfn.XLOOKUP("N2O", Table_GWPData[Gas],Table_GWPData[CO2-e factor]))</f>
        <v>#NAME?</v>
      </c>
      <c r="I19" s="19" t="e" cm="1">
        <f t="array" ref="I19">Common_Equations.Common_ConvertN2OToCO2e(F19,_xlfn.XLOOKUP("N2O", Table_GWPData[Gas],Table_GWPData[CO2-e factor]))</f>
        <v>#NAME?</v>
      </c>
      <c r="J19" s="16" t="s">
        <v>8</v>
      </c>
      <c r="K19" s="9"/>
    </row>
    <row r="20" spans="1:11" ht="20.100000000000001" customHeight="1" x14ac:dyDescent="0.25">
      <c r="A20" s="5" t="str">
        <f>HYPERLINK("#'Acknowledgements'!A1", "Acknowledgements")</f>
        <v>Acknowledgements</v>
      </c>
      <c r="C20" s="9"/>
      <c r="D20" s="1" t="s">
        <v>145</v>
      </c>
      <c r="E20" s="19" t="e" cm="1">
        <f t="array" ref="E20">VEERG_5_5_1_1__1_FertiliserLeachingAndRunoffN2OEmissions_result_Method1</f>
        <v>#NAME?</v>
      </c>
      <c r="F20" s="19" t="e">
        <f>E20</f>
        <v>#NAME?</v>
      </c>
      <c r="G20" s="16" t="s">
        <v>13</v>
      </c>
      <c r="H20" s="19" t="e" cm="1">
        <f t="array" ref="H20">Common_Equations.Common_ConvertN2OToCO2e(E20,_xlfn.XLOOKUP("N2O", Table_GWPData[Gas],Table_GWPData[CO2-e factor]))</f>
        <v>#NAME?</v>
      </c>
      <c r="I20" s="19" t="e" cm="1">
        <f t="array" ref="I20">Common_Equations.Common_ConvertN2OToCO2e(F20,_xlfn.XLOOKUP("N2O", Table_GWPData[Gas],Table_GWPData[CO2-e factor]))</f>
        <v>#NAME?</v>
      </c>
      <c r="J20" s="16" t="s">
        <v>8</v>
      </c>
      <c r="K20" s="9"/>
    </row>
    <row r="21" spans="1:11" ht="20.100000000000001" customHeight="1" x14ac:dyDescent="0.25">
      <c r="C21" s="9"/>
      <c r="D21" s="1" t="s">
        <v>146</v>
      </c>
      <c r="E21" s="19" t="e" cm="1">
        <f t="array" ref="E21">VEERG_6_2_1_1__1__NitrousOxideEmissionsFromPastureResidues_Result_Method1</f>
        <v>#NAME?</v>
      </c>
      <c r="F21" s="19" t="e" cm="1">
        <f t="array" ref="F21">VEERG_6_2_1_1__1__NitrousOxideEmissionsFromPastureResidues_Result_Method2</f>
        <v>#NAME?</v>
      </c>
      <c r="G21" s="16" t="s">
        <v>13</v>
      </c>
      <c r="H21" s="19" t="e" cm="1">
        <f t="array" ref="H21">Common_Equations.Common_ConvertN2OToCO2e(E21,_xlfn.XLOOKUP("N2O", Table_GWPData[Gas],Table_GWPData[CO2-e factor]))</f>
        <v>#NAME?</v>
      </c>
      <c r="I21" s="19" t="e" cm="1">
        <f t="array" ref="I21">Common_Equations.Common_ConvertN2OToCO2e(F21,_xlfn.XLOOKUP("N2O", Table_GWPData[Gas],Table_GWPData[CO2-e factor]))</f>
        <v>#NAME?</v>
      </c>
      <c r="J21" s="16" t="s">
        <v>8</v>
      </c>
      <c r="K21" s="9"/>
    </row>
    <row r="22" spans="1:11" ht="20.100000000000001" customHeight="1" x14ac:dyDescent="0.25">
      <c r="A22" s="5"/>
      <c r="C22" s="9"/>
      <c r="D22" s="1" t="s">
        <v>147</v>
      </c>
      <c r="E22" s="19" t="e" cm="1">
        <f t="array" ref="E22">VEERG_6_3_1_1__1__LeachingAndRunoffEmissionsCropAndPastureResidue_PastureOnly_Result_Method1</f>
        <v>#NAME?</v>
      </c>
      <c r="F22" s="19" t="e" cm="1">
        <f t="array" ref="F22">VEERG_6_3_1_1__1__LeachingAndRunoffEmissionsCropAndPastureResidue_PastureOnly_Result_Method2</f>
        <v>#NAME?</v>
      </c>
      <c r="G22" s="16" t="s">
        <v>13</v>
      </c>
      <c r="H22" s="19" t="e" cm="1">
        <f t="array" ref="H22">Common_Equations.Common_ConvertN2OToCO2e(E22,_xlfn.XLOOKUP("N2O", Table_GWPData[Gas],Table_GWPData[CO2-e factor]))</f>
        <v>#NAME?</v>
      </c>
      <c r="I22" s="19" t="e" cm="1">
        <f t="array" ref="I22">Common_Equations.Common_ConvertN2OToCO2e(F22,_xlfn.XLOOKUP("N2O", Table_GWPData[Gas],Table_GWPData[CO2-e factor]))</f>
        <v>#NAME?</v>
      </c>
      <c r="J22" s="16" t="s">
        <v>8</v>
      </c>
      <c r="K22" s="9"/>
    </row>
    <row r="23" spans="1:11" ht="20.100000000000001" customHeight="1" x14ac:dyDescent="0.25">
      <c r="A23" s="5"/>
      <c r="C23" s="9"/>
      <c r="D23" s="1" t="s">
        <v>148</v>
      </c>
      <c r="E23" s="19" t="e" cm="1">
        <f t="array" ref="E23">VEERG_8_1_1_1__1_FuelCombustionTransport_Result_CO2</f>
        <v>#NAME?</v>
      </c>
      <c r="F23" s="19" t="e">
        <f>E23</f>
        <v>#NAME?</v>
      </c>
      <c r="G23" s="16" t="s">
        <v>133</v>
      </c>
      <c r="H23" s="19" t="e">
        <f>E23</f>
        <v>#NAME?</v>
      </c>
      <c r="I23" s="19" t="e">
        <f>F23</f>
        <v>#NAME?</v>
      </c>
      <c r="J23" s="16" t="s">
        <v>8</v>
      </c>
      <c r="K23" s="9"/>
    </row>
    <row r="24" spans="1:11" ht="20.100000000000001" customHeight="1" x14ac:dyDescent="0.25">
      <c r="A24" s="5"/>
      <c r="C24" s="9"/>
      <c r="D24" s="1" t="s">
        <v>150</v>
      </c>
      <c r="E24" s="19" t="e" cm="1">
        <f t="array" ref="E24">VEERG_8_1_1_1__1_FuelCombustionTransport_Result_CH4</f>
        <v>#NAME?</v>
      </c>
      <c r="F24" s="19" t="e">
        <f>E24</f>
        <v>#NAME?</v>
      </c>
      <c r="G24" s="16" t="s">
        <v>7</v>
      </c>
      <c r="H24" s="19" t="e" cm="1">
        <f t="array" ref="H24">Common_Equations.Common_ConvertCH4ToCO2e(E24,_xlfn.XLOOKUP("CH4", Table_GWPData[Gas],Table_GWPData[CO2-e factor]))</f>
        <v>#NAME?</v>
      </c>
      <c r="I24" s="19" t="e" cm="1">
        <f t="array" ref="I24">Common_Equations.Common_ConvertCH4ToCO2e(F24,_xlfn.XLOOKUP("CH4", Table_GWPData[Gas],Table_GWPData[CO2-e factor]))</f>
        <v>#NAME?</v>
      </c>
      <c r="J24" s="16" t="s">
        <v>8</v>
      </c>
      <c r="K24" s="9"/>
    </row>
    <row r="25" spans="1:11" ht="20.100000000000001" customHeight="1" x14ac:dyDescent="0.25">
      <c r="C25" s="9"/>
      <c r="D25" s="1" t="s">
        <v>149</v>
      </c>
      <c r="E25" s="19" t="e" cm="1">
        <f t="array" ref="E25">VEERG_8_1_1_1__1_FuelCombustionTransport_Result_N2O</f>
        <v>#NAME?</v>
      </c>
      <c r="F25" s="19" t="e">
        <f>E25</f>
        <v>#NAME?</v>
      </c>
      <c r="G25" s="16" t="s">
        <v>13</v>
      </c>
      <c r="H25" s="19" t="e" cm="1">
        <f t="array" ref="H25">Common_Equations.Common_ConvertN2OToCO2e(E25,_xlfn.XLOOKUP("N2O", Table_GWPData[Gas],Table_GWPData[CO2-e factor]))</f>
        <v>#NAME?</v>
      </c>
      <c r="I25" s="19" t="e" cm="1">
        <f t="array" ref="I25">Common_Equations.Common_ConvertN2OToCO2e(F25,_xlfn.XLOOKUP("N2O", Table_GWPData[Gas],Table_GWPData[CO2-e factor]))</f>
        <v>#NAME?</v>
      </c>
      <c r="J25" s="16" t="s">
        <v>8</v>
      </c>
      <c r="K25" s="9"/>
    </row>
    <row r="26" spans="1:11" ht="20.100000000000001" customHeight="1" x14ac:dyDescent="0.25">
      <c r="C26" s="9"/>
      <c r="D26" s="1" t="s">
        <v>151</v>
      </c>
      <c r="E26" s="19" t="e" cm="1">
        <f t="array" ref="E26">VEERG_8_2_1_1__1_FuelCombustionStationary_Result_CO2</f>
        <v>#NAME?</v>
      </c>
      <c r="F26" s="19" t="e">
        <f>E26</f>
        <v>#NAME?</v>
      </c>
      <c r="G26" s="16" t="s">
        <v>133</v>
      </c>
      <c r="H26" s="19" t="e">
        <f>E26</f>
        <v>#NAME?</v>
      </c>
      <c r="I26" s="19" t="e">
        <f>F26</f>
        <v>#NAME?</v>
      </c>
      <c r="J26" s="16" t="s">
        <v>8</v>
      </c>
      <c r="K26" s="9"/>
    </row>
    <row r="27" spans="1:11" ht="20.100000000000001" customHeight="1" x14ac:dyDescent="0.25">
      <c r="C27" s="9"/>
      <c r="D27" s="1" t="s">
        <v>152</v>
      </c>
      <c r="E27" s="19" t="e" cm="1">
        <f t="array" ref="E27">VEERG_8_2_1_1__1_FuelCombustionStationary_Result_CH4</f>
        <v>#NAME?</v>
      </c>
      <c r="F27" s="19" t="e">
        <f t="shared" ref="F27:F30" si="0">E27</f>
        <v>#NAME?</v>
      </c>
      <c r="G27" s="16" t="s">
        <v>7</v>
      </c>
      <c r="H27" s="19" t="e" cm="1">
        <f t="array" ref="H27">Common_Equations.Common_ConvertCH4ToCO2e(E27,_xlfn.XLOOKUP("CH4", Table_GWPData[Gas],Table_GWPData[CO2-e factor]))</f>
        <v>#NAME?</v>
      </c>
      <c r="I27" s="19" t="e" cm="1">
        <f t="array" ref="I27">Common_Equations.Common_ConvertCH4ToCO2e(F27,_xlfn.XLOOKUP("CH4", Table_GWPData[Gas],Table_GWPData[CO2-e factor]))</f>
        <v>#NAME?</v>
      </c>
      <c r="J27" s="16" t="s">
        <v>8</v>
      </c>
      <c r="K27" s="9"/>
    </row>
    <row r="28" spans="1:11" ht="20.100000000000001" customHeight="1" x14ac:dyDescent="0.25">
      <c r="C28" s="9"/>
      <c r="D28" s="1" t="s">
        <v>153</v>
      </c>
      <c r="E28" s="19" t="e" cm="1">
        <f t="array" ref="E28">VEERG_8_2_1_1__1_FuelCombustionStationary_Result_N2O</f>
        <v>#NAME?</v>
      </c>
      <c r="F28" s="19" t="e">
        <f t="shared" si="0"/>
        <v>#NAME?</v>
      </c>
      <c r="G28" s="16" t="s">
        <v>13</v>
      </c>
      <c r="H28" s="19" t="e" cm="1">
        <f t="array" ref="H28">Common_Equations.Common_ConvertN2OToCO2e(E28,_xlfn.XLOOKUP("N2O", Table_GWPData[Gas],Table_GWPData[CO2-e factor]))</f>
        <v>#NAME?</v>
      </c>
      <c r="I28" s="19" t="e" cm="1">
        <f t="array" ref="I28">Common_Equations.Common_ConvertN2OToCO2e(F28,_xlfn.XLOOKUP("N2O", Table_GWPData[Gas],Table_GWPData[CO2-e factor]))</f>
        <v>#NAME?</v>
      </c>
      <c r="J28" s="16" t="s">
        <v>8</v>
      </c>
      <c r="K28" s="9"/>
    </row>
    <row r="29" spans="1:11" ht="20.100000000000001" customHeight="1" x14ac:dyDescent="0.25">
      <c r="C29" s="9"/>
      <c r="D29" s="1" t="s">
        <v>154</v>
      </c>
      <c r="E29" s="19" t="e" cm="1">
        <f t="array" ref="E29">VEERG_14_1_1__1_LocationBasedScopeElectricityEmissions_Result_Method1</f>
        <v>#NAME?</v>
      </c>
      <c r="F29" s="19" t="e">
        <f t="shared" si="0"/>
        <v>#NAME?</v>
      </c>
      <c r="G29" s="16" t="s">
        <v>8</v>
      </c>
      <c r="H29" s="19" t="e">
        <f>E29</f>
        <v>#NAME?</v>
      </c>
      <c r="I29" s="19" t="e">
        <f>F29</f>
        <v>#NAME?</v>
      </c>
      <c r="J29" s="16" t="s">
        <v>8</v>
      </c>
      <c r="K29" s="9"/>
    </row>
    <row r="30" spans="1:11" ht="20.100000000000001" customHeight="1" x14ac:dyDescent="0.25">
      <c r="C30" s="9"/>
      <c r="D30" s="1" t="s">
        <v>155</v>
      </c>
      <c r="E30" s="19" t="e" cm="1">
        <f t="array" ref="E30">VEERG_14_1_2__1_MarketBasedScopeElectricityEmissionsVariation_Result_Method1</f>
        <v>#NAME?</v>
      </c>
      <c r="F30" s="19" t="e">
        <f t="shared" si="0"/>
        <v>#NAME?</v>
      </c>
      <c r="G30" s="16" t="s">
        <v>8</v>
      </c>
      <c r="H30" s="19" t="e">
        <f>E30</f>
        <v>#NAME?</v>
      </c>
      <c r="I30" s="19" t="e">
        <f>F30</f>
        <v>#NAME?</v>
      </c>
      <c r="J30" s="16" t="s">
        <v>8</v>
      </c>
      <c r="K30" s="9"/>
    </row>
    <row r="31" spans="1:11" ht="20.100000000000001" customHeight="1" x14ac:dyDescent="0.3">
      <c r="C31" s="9"/>
      <c r="D31" s="15" t="s">
        <v>5</v>
      </c>
      <c r="E31" s="10"/>
      <c r="F31" s="10"/>
      <c r="G31" s="15"/>
      <c r="H31" s="20" t="e">
        <f>SUM(H7:H30)</f>
        <v>#NAME?</v>
      </c>
      <c r="I31" s="20" t="e">
        <f>SUM(I7:I30)</f>
        <v>#NAME?</v>
      </c>
      <c r="J31" s="16" t="s">
        <v>8</v>
      </c>
      <c r="K31" s="9"/>
    </row>
    <row r="32" spans="1:11" ht="20.100000000000001" customHeight="1" x14ac:dyDescent="0.3">
      <c r="C32" s="9"/>
      <c r="D32" s="1"/>
      <c r="E32" s="1"/>
      <c r="F32" s="1"/>
      <c r="G32" s="1"/>
      <c r="H32" s="14"/>
      <c r="I32" s="9"/>
      <c r="J32" s="9"/>
      <c r="K32" s="9"/>
    </row>
    <row r="33" spans="3:11" ht="20.100000000000001" customHeight="1" x14ac:dyDescent="0.3">
      <c r="C33" s="9"/>
      <c r="D33" s="1"/>
      <c r="E33" s="1"/>
      <c r="F33" s="1"/>
      <c r="G33" s="1"/>
      <c r="H33" s="14"/>
      <c r="I33" s="9"/>
      <c r="J33" s="9"/>
      <c r="K33" s="9"/>
    </row>
    <row r="34" spans="3:11" ht="20.100000000000001" customHeight="1" x14ac:dyDescent="0.3">
      <c r="C34" s="9"/>
      <c r="D34" s="1"/>
      <c r="E34" s="1"/>
      <c r="F34" s="1"/>
      <c r="G34" s="1"/>
      <c r="H34" s="14"/>
      <c r="I34" s="9"/>
      <c r="J34" s="9"/>
      <c r="K34" s="9"/>
    </row>
    <row r="35" spans="3:11" ht="20.100000000000001" customHeight="1" x14ac:dyDescent="0.3">
      <c r="C35" s="9"/>
      <c r="D35" s="2" t="s">
        <v>117</v>
      </c>
      <c r="E35" s="1"/>
      <c r="F35" s="1"/>
      <c r="G35" s="1"/>
      <c r="H35" s="14"/>
      <c r="I35" s="9"/>
      <c r="J35" s="9"/>
      <c r="K35" s="9"/>
    </row>
    <row r="36" spans="3:11" ht="20.100000000000001" customHeight="1" x14ac:dyDescent="0.3">
      <c r="C36" s="9"/>
      <c r="D36" s="88" t="str" cm="1">
        <f t="array" ref="D36">"There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6" s="1"/>
      <c r="F36" s="1"/>
      <c r="G36" s="1"/>
      <c r="H36" s="14"/>
      <c r="I36" s="9"/>
      <c r="J36" s="9"/>
      <c r="K36" s="9"/>
    </row>
    <row r="37" spans="3:11" ht="20.100000000000001" customHeight="1" x14ac:dyDescent="0.3">
      <c r="C37" s="9"/>
      <c r="D37" s="1" t="s">
        <v>119</v>
      </c>
      <c r="E37" s="1"/>
      <c r="F37" s="1"/>
      <c r="G37" s="1"/>
      <c r="H37" s="14"/>
      <c r="I37" s="9"/>
      <c r="J37" s="9"/>
      <c r="K37" s="9"/>
    </row>
    <row r="38" spans="3:11" ht="20.100000000000001" customHeight="1" x14ac:dyDescent="0.3">
      <c r="C38" s="9"/>
      <c r="D38" s="1"/>
      <c r="E38" s="1"/>
      <c r="F38" s="1"/>
      <c r="G38" s="1"/>
      <c r="H38" s="14"/>
      <c r="I38" s="9"/>
      <c r="J38" s="9"/>
      <c r="K38" s="9"/>
    </row>
    <row r="39" spans="3:11" ht="20.100000000000001" customHeight="1" x14ac:dyDescent="0.3">
      <c r="C39" s="9"/>
      <c r="D39" s="21" t="s">
        <v>118</v>
      </c>
      <c r="E39" s="21" t="s">
        <v>11</v>
      </c>
      <c r="F39" s="21" t="s">
        <v>12</v>
      </c>
      <c r="G39" s="1"/>
      <c r="H39" s="14"/>
      <c r="I39" s="9"/>
      <c r="J39" s="9"/>
      <c r="K39" s="9"/>
    </row>
    <row r="40" spans="3:11" ht="20.100000000000001" customHeight="1" x14ac:dyDescent="0.3">
      <c r="C40" s="9"/>
      <c r="D40" s="1" t="str" cm="1">
        <f t="array" ref="D40:D42">Common_InputFunctions.getOverlappingReportingPeriods(X_Cell_Enterprise_ProductionTimeframeStart,X_Cell_Enterprise_ProductionTimeframeEnd,X_Cell_Site_StartDate)</f>
        <v>01 Jan 2023 to 31 Dec 2023</v>
      </c>
      <c r="E40" s="86" t="str">
        <f>IF(ISBLANK($D40), 0, IF(ISNUMBER(SEARCH("reporting", $D40)), Result_Enterprise_Method1, "Enter value"))</f>
        <v>Enter value</v>
      </c>
      <c r="F40" s="86" t="str">
        <f>IF(ISBLANK($D40), 0, IF(ISNUMBER(SEARCH("reporting", $D40)), Result_Enterprise_Method2, "Enter value"))</f>
        <v>Enter value</v>
      </c>
      <c r="G40" s="16" t="s">
        <v>8</v>
      </c>
      <c r="H40" s="14"/>
      <c r="I40" s="9"/>
      <c r="J40" s="9"/>
      <c r="K40" s="9"/>
    </row>
    <row r="41" spans="3:11" ht="20.100000000000001" customHeight="1" x14ac:dyDescent="0.3">
      <c r="C41" s="9"/>
      <c r="D41" s="1" t="str">
        <v>01 Jan 2024 to 31 Dec 2024 (This reporting cycle)</v>
      </c>
      <c r="E41" s="86" t="e">
        <f>IF(ISBLANK($D41), 0, IF(ISNUMBER(SEARCH("reporting", $D41)), Result_Enterprise_Method1, "Enter value"))</f>
        <v>#NAME?</v>
      </c>
      <c r="F41" s="86" t="e">
        <f>IF(ISBLANK($D41), 0, IF(ISNUMBER(SEARCH("reporting", $D41)), Result_Enterprise_Method2, "Enter value"))</f>
        <v>#NAME?</v>
      </c>
      <c r="G41" s="16" t="s">
        <v>8</v>
      </c>
      <c r="H41" s="14"/>
      <c r="I41" s="9"/>
      <c r="J41" s="9"/>
      <c r="K41" s="9"/>
    </row>
    <row r="42" spans="3:11" ht="20.100000000000001" customHeight="1" x14ac:dyDescent="0.3">
      <c r="C42" s="9"/>
      <c r="D42" s="1" t="str">
        <v>01 Jan 2025 to 31 Dec 2025</v>
      </c>
      <c r="E42" s="86" t="str">
        <f>IF(ISBLANK($D42), 0, IF(ISNUMBER(SEARCH("reporting", $D42)), Result_Enterprise_Method1, "Enter value"))</f>
        <v>Enter value</v>
      </c>
      <c r="F42" s="86" t="str">
        <f>IF(ISBLANK($D42), 0, IF(ISNUMBER(SEARCH("reporting", $D42)), Result_Enterprise_Method2, "Enter value"))</f>
        <v>Enter value</v>
      </c>
      <c r="G42" s="16" t="s">
        <v>8</v>
      </c>
      <c r="H42" s="14"/>
      <c r="I42" s="9"/>
      <c r="J42" s="9"/>
      <c r="K42" s="9"/>
    </row>
    <row r="43" spans="3:11" ht="20.100000000000001" customHeight="1" x14ac:dyDescent="0.3">
      <c r="C43" s="9"/>
      <c r="D43" s="1"/>
      <c r="E43" s="86">
        <f>IF(ISBLANK($D43), 0, IF(ISNUMBER(SEARCH("reporting", $D43)), Result_Enterprise_Method1, "Enter value"))</f>
        <v>0</v>
      </c>
      <c r="F43" s="86">
        <f>IF(ISBLANK($D43), 0, IF(ISNUMBER(SEARCH("reporting", $D43)), Result_Enterprise_Method2, "Enter value"))</f>
        <v>0</v>
      </c>
      <c r="G43" s="16" t="s">
        <v>8</v>
      </c>
      <c r="H43" s="14"/>
      <c r="I43" s="9"/>
      <c r="J43" s="9"/>
      <c r="K43" s="9"/>
    </row>
    <row r="44" spans="3:11" ht="20.100000000000001" customHeight="1" x14ac:dyDescent="0.3">
      <c r="C44" s="9"/>
      <c r="D44" s="88"/>
      <c r="E44" s="86">
        <f>IF(ISBLANK($D44), 0, IF(ISNUMBER(SEARCH("reporting", $D44)), Result_Enterprise_Method1, "Enter value"))</f>
        <v>0</v>
      </c>
      <c r="F44" s="86">
        <f>IF(ISBLANK($D44), 0, IF(ISNUMBER(SEARCH("reporting", $D44)), Result_Enterprise_Method2, "Enter value"))</f>
        <v>0</v>
      </c>
      <c r="G44" s="16" t="s">
        <v>8</v>
      </c>
      <c r="H44" s="14"/>
      <c r="I44" s="9"/>
      <c r="J44" s="9"/>
      <c r="K44" s="9"/>
    </row>
    <row r="45" spans="3:11" ht="20.100000000000001" customHeight="1" x14ac:dyDescent="0.3">
      <c r="C45" s="9"/>
      <c r="D45" s="15" t="s">
        <v>134</v>
      </c>
      <c r="E45" s="20" t="e">
        <f>SUM(E40:E44)</f>
        <v>#NAME?</v>
      </c>
      <c r="F45" s="20" t="e">
        <f>SUM(F40:F44)</f>
        <v>#NAME?</v>
      </c>
      <c r="G45" s="1"/>
      <c r="H45" s="1"/>
      <c r="I45" s="1"/>
      <c r="J45" s="9"/>
      <c r="K45" s="9"/>
    </row>
    <row r="46" spans="3:11" ht="20.100000000000001" customHeight="1" x14ac:dyDescent="0.25">
      <c r="C46" s="9"/>
      <c r="D46" s="1"/>
      <c r="E46" s="1"/>
      <c r="F46" s="1"/>
      <c r="G46" s="1"/>
      <c r="H46" s="1"/>
      <c r="I46" s="1"/>
      <c r="J46" s="9"/>
      <c r="K46" s="9"/>
    </row>
    <row r="47" spans="3:11" ht="20.100000000000001" customHeight="1" x14ac:dyDescent="0.25">
      <c r="C47" s="9"/>
      <c r="D47" s="1"/>
      <c r="E47" s="1"/>
      <c r="F47" s="1"/>
      <c r="G47" s="1"/>
      <c r="H47" s="1"/>
      <c r="I47" s="1"/>
      <c r="J47" s="9"/>
      <c r="K47" s="9"/>
    </row>
    <row r="48" spans="3:11" ht="20.100000000000001" customHeight="1" x14ac:dyDescent="0.25">
      <c r="C48" s="9"/>
      <c r="D48" s="2" t="s">
        <v>131</v>
      </c>
      <c r="E48" s="1"/>
      <c r="F48" s="1"/>
      <c r="G48" s="1"/>
      <c r="H48" s="1"/>
      <c r="I48" s="1"/>
      <c r="J48" s="9"/>
      <c r="K48" s="9"/>
    </row>
    <row r="49" spans="3:11" ht="20.100000000000001" customHeight="1" x14ac:dyDescent="0.25">
      <c r="C49" s="9"/>
      <c r="D49" s="1"/>
      <c r="E49" s="1"/>
      <c r="F49" s="1"/>
      <c r="G49" s="1"/>
      <c r="H49" s="1"/>
      <c r="I49" s="1"/>
      <c r="J49" s="1"/>
      <c r="K49" s="9"/>
    </row>
    <row r="50" spans="3:11" ht="20.100000000000001" customHeight="1" x14ac:dyDescent="0.25">
      <c r="C50" s="9"/>
      <c r="D50" s="21" t="s">
        <v>118</v>
      </c>
      <c r="E50" s="21" t="s">
        <v>132</v>
      </c>
      <c r="F50" s="1"/>
      <c r="G50" s="1"/>
      <c r="H50" s="1"/>
      <c r="I50" s="1"/>
      <c r="J50" s="1"/>
      <c r="K50" s="9"/>
    </row>
    <row r="51" spans="3:11" ht="20.100000000000001" customHeight="1" x14ac:dyDescent="0.25">
      <c r="C51" s="9"/>
      <c r="D51" s="1" t="str" cm="1">
        <f t="array" ref="D51:D53">Common_InputFunctions.getOverlappingReportingPeriods(X_Cell_Enterprise_ProductionTimeframeStart,X_Cell_Enterprise_ProductionTimeframeEnd,X_Cell_Site_StartDate)</f>
        <v>01 Jan 2023 to 31 Dec 2023</v>
      </c>
      <c r="E51" s="86" t="str">
        <f>IF(ISBLANK(D51), 0, "Enter value")</f>
        <v>Enter value</v>
      </c>
      <c r="F51" s="16" t="s">
        <v>133</v>
      </c>
      <c r="G51" s="1"/>
      <c r="H51" s="1"/>
      <c r="I51" s="1"/>
      <c r="J51" s="1"/>
      <c r="K51" s="9"/>
    </row>
    <row r="52" spans="3:11" ht="20.100000000000001" customHeight="1" x14ac:dyDescent="0.25">
      <c r="C52" s="9"/>
      <c r="D52" s="1" t="str">
        <v>01 Jan 2024 to 31 Dec 2024 (This reporting cycle)</v>
      </c>
      <c r="E52" s="86" t="str">
        <f t="shared" ref="E52:E55" si="1">IF(ISBLANK(D52), 0, "Enter value")</f>
        <v>Enter value</v>
      </c>
      <c r="F52" s="16" t="s">
        <v>133</v>
      </c>
      <c r="G52" s="1"/>
      <c r="H52" s="1"/>
      <c r="I52" s="1"/>
      <c r="J52" s="1"/>
      <c r="K52" s="9"/>
    </row>
    <row r="53" spans="3:11" ht="20.100000000000001" customHeight="1" x14ac:dyDescent="0.25">
      <c r="C53" s="9"/>
      <c r="D53" s="1" t="str">
        <v>01 Jan 2025 to 31 Dec 2025</v>
      </c>
      <c r="E53" s="86" t="str">
        <f t="shared" si="1"/>
        <v>Enter value</v>
      </c>
      <c r="F53" s="16" t="s">
        <v>133</v>
      </c>
      <c r="G53" s="1"/>
      <c r="H53" s="1"/>
      <c r="I53" s="1"/>
      <c r="J53" s="1"/>
      <c r="K53" s="9"/>
    </row>
    <row r="54" spans="3:11" ht="20.100000000000001" customHeight="1" x14ac:dyDescent="0.25">
      <c r="C54" s="9"/>
      <c r="D54" s="1"/>
      <c r="E54" s="86">
        <f t="shared" si="1"/>
        <v>0</v>
      </c>
      <c r="F54" s="16" t="s">
        <v>133</v>
      </c>
      <c r="G54" s="1"/>
      <c r="H54" s="1"/>
      <c r="I54" s="1"/>
      <c r="J54" s="1"/>
      <c r="K54" s="9"/>
    </row>
    <row r="55" spans="3:11" ht="20.100000000000001" customHeight="1" x14ac:dyDescent="0.25">
      <c r="C55" s="9"/>
      <c r="D55" s="1"/>
      <c r="E55" s="86">
        <f t="shared" si="1"/>
        <v>0</v>
      </c>
      <c r="F55" s="16" t="s">
        <v>133</v>
      </c>
      <c r="G55" s="1"/>
      <c r="H55" s="1"/>
      <c r="I55" s="9"/>
      <c r="J55" s="9"/>
      <c r="K55" s="9"/>
    </row>
    <row r="56" spans="3:11" ht="20.100000000000001" customHeight="1" x14ac:dyDescent="0.3">
      <c r="C56" s="9"/>
      <c r="D56" s="15" t="s">
        <v>135</v>
      </c>
      <c r="E56" s="20">
        <f>SUM(E51:E55)</f>
        <v>0</v>
      </c>
      <c r="F56" s="1"/>
      <c r="G56" s="1"/>
      <c r="H56" s="1"/>
      <c r="I56" s="1"/>
      <c r="J56" s="1"/>
      <c r="K56" s="9"/>
    </row>
    <row r="57" spans="3:11" ht="20.100000000000001" customHeight="1" x14ac:dyDescent="0.25">
      <c r="C57" s="9"/>
      <c r="D57" s="1"/>
      <c r="E57" s="1"/>
      <c r="F57" s="1"/>
      <c r="G57" s="1"/>
      <c r="H57" s="1"/>
      <c r="I57" s="1"/>
      <c r="J57" s="1"/>
      <c r="K57" s="9"/>
    </row>
    <row r="58" spans="3:11" ht="20.100000000000001" customHeight="1" x14ac:dyDescent="0.25">
      <c r="C58" s="9"/>
      <c r="D58" s="1"/>
      <c r="E58" s="1"/>
      <c r="F58" s="1"/>
      <c r="G58" s="1"/>
      <c r="H58" s="1"/>
      <c r="I58" s="1"/>
      <c r="J58" s="1"/>
      <c r="K58" s="9"/>
    </row>
    <row r="59" spans="3:11" ht="20.100000000000001" customHeight="1" x14ac:dyDescent="0.25">
      <c r="C59" s="9"/>
      <c r="D59" s="2" t="s">
        <v>121</v>
      </c>
      <c r="E59" s="1"/>
      <c r="F59" s="1"/>
      <c r="G59" s="1"/>
      <c r="H59" s="1"/>
      <c r="I59" s="1"/>
      <c r="J59" s="9"/>
      <c r="K59" s="9"/>
    </row>
    <row r="60" spans="3:11" ht="20.100000000000001" customHeight="1" x14ac:dyDescent="0.25">
      <c r="C60" s="9"/>
      <c r="D60" s="1"/>
      <c r="E60" s="1"/>
      <c r="F60" s="1"/>
      <c r="G60" s="1"/>
      <c r="H60" s="1"/>
      <c r="I60" s="1"/>
      <c r="J60" s="1"/>
      <c r="K60" s="9"/>
    </row>
    <row r="61" spans="3:11" ht="20.100000000000001" customHeight="1" x14ac:dyDescent="0.25">
      <c r="C61" s="9"/>
      <c r="D61" s="21"/>
      <c r="E61" s="21" t="s">
        <v>137</v>
      </c>
      <c r="F61" s="21" t="s">
        <v>138</v>
      </c>
      <c r="G61" s="1"/>
      <c r="H61" s="1"/>
      <c r="I61" s="1"/>
      <c r="J61" s="1"/>
      <c r="K61" s="9"/>
    </row>
    <row r="62" spans="3:11" ht="20.100000000000001" customHeight="1" x14ac:dyDescent="0.3">
      <c r="C62" s="9"/>
      <c r="D62" s="89" t="s">
        <v>136</v>
      </c>
      <c r="E62" s="87" t="e">
        <f>E45-E56</f>
        <v>#NAME?</v>
      </c>
      <c r="F62" s="87" t="e">
        <f>F45-E56</f>
        <v>#NAME?</v>
      </c>
      <c r="G62" s="1"/>
      <c r="H62" s="1"/>
      <c r="I62" s="1"/>
      <c r="J62" s="1"/>
      <c r="K62" s="9"/>
    </row>
    <row r="63" spans="3:11" ht="20.100000000000001" customHeight="1" x14ac:dyDescent="0.25">
      <c r="C63" s="9"/>
      <c r="D63" s="1"/>
      <c r="E63" s="1"/>
      <c r="F63" s="1"/>
      <c r="G63" s="1"/>
      <c r="H63" s="1"/>
      <c r="I63" s="1"/>
      <c r="J63" s="1"/>
      <c r="K63" s="9"/>
    </row>
    <row r="64" spans="3:11" ht="20.100000000000001" customHeight="1" x14ac:dyDescent="0.25">
      <c r="C64" s="9"/>
      <c r="D64" s="1"/>
      <c r="E64" s="1"/>
      <c r="F64" s="1"/>
      <c r="G64" s="1"/>
      <c r="H64" s="1"/>
      <c r="I64" s="1"/>
      <c r="J64" s="1"/>
      <c r="K64" s="9"/>
    </row>
    <row r="65" spans="3:11" ht="20.100000000000001" customHeight="1" x14ac:dyDescent="0.25">
      <c r="C65" s="9"/>
      <c r="D65" s="91" t="s">
        <v>160</v>
      </c>
      <c r="E65" s="1"/>
      <c r="F65" s="1"/>
      <c r="G65" s="1"/>
      <c r="H65" s="1"/>
      <c r="I65" s="1"/>
      <c r="J65" s="1"/>
      <c r="K65" s="9"/>
    </row>
    <row r="66" spans="3:11" ht="20.100000000000001" customHeight="1" x14ac:dyDescent="0.25">
      <c r="C66" s="9"/>
      <c r="D66" s="21" t="s">
        <v>139</v>
      </c>
      <c r="E66" s="21" t="s">
        <v>128</v>
      </c>
      <c r="F66" s="21" t="s">
        <v>122</v>
      </c>
      <c r="G66" s="21" t="s">
        <v>162</v>
      </c>
      <c r="H66" s="21" t="s">
        <v>126</v>
      </c>
      <c r="I66" s="21" t="s">
        <v>127</v>
      </c>
      <c r="J66" s="21" t="s">
        <v>123</v>
      </c>
      <c r="K66" s="9"/>
    </row>
    <row r="67" spans="3:11" ht="20.100000000000001" customHeight="1" x14ac:dyDescent="0.25">
      <c r="C67" s="9"/>
      <c r="D67" s="1" t="s">
        <v>195</v>
      </c>
      <c r="E67" s="1" t="s">
        <v>129</v>
      </c>
      <c r="F67" s="19" t="e">
        <f>'Input - Enterprise'!E24</f>
        <v>#NAME?</v>
      </c>
      <c r="G67" s="19" t="e">
        <f>F67/(F67+F69+F71)</f>
        <v>#NAME?</v>
      </c>
      <c r="H67" s="19" t="e">
        <f>(Result_EmissionsForWholeProductionCycle_Method1/F67)*G67</f>
        <v>#NAME?</v>
      </c>
      <c r="I67" s="19" t="e">
        <f>(Result_EmissionsForWholeProductionCycle_Method2/F67)*G67</f>
        <v>#NAME?</v>
      </c>
      <c r="J67" s="16" t="s">
        <v>197</v>
      </c>
      <c r="K67" s="9"/>
    </row>
    <row r="68" spans="3:11" ht="20.100000000000001" customHeight="1" x14ac:dyDescent="0.25">
      <c r="C68" s="9"/>
      <c r="D68" s="1" t="s">
        <v>196</v>
      </c>
      <c r="E68" s="1" t="s">
        <v>129</v>
      </c>
      <c r="F68" s="19" t="e">
        <f>F67</f>
        <v>#NAME?</v>
      </c>
      <c r="G68" s="19" t="e">
        <f>G67</f>
        <v>#NAME?</v>
      </c>
      <c r="H68" s="19" t="e">
        <f>(Result_NetEmissions_Method1/F68)*G68</f>
        <v>#NAME?</v>
      </c>
      <c r="I68" s="19" t="e">
        <f>(Result_NetEmissions_Method2/F68)*G68</f>
        <v>#NAME?</v>
      </c>
      <c r="J68" s="16" t="s">
        <v>197</v>
      </c>
      <c r="K68" s="9"/>
    </row>
    <row r="69" spans="3:11" ht="20.100000000000001" customHeight="1" x14ac:dyDescent="0.25">
      <c r="C69" s="9"/>
      <c r="D69" s="1" t="s">
        <v>164</v>
      </c>
      <c r="E69" s="1" t="s">
        <v>129</v>
      </c>
      <c r="F69" s="19">
        <f>'Input - Enterprise'!E22</f>
        <v>5</v>
      </c>
      <c r="G69" s="19" t="e">
        <f>F69/(F67+F69+F71)</f>
        <v>#NAME?</v>
      </c>
      <c r="H69" s="19" t="e">
        <f>(Result_EmissionsForWholeProductionCycle_Method1/F69)*G69</f>
        <v>#NAME?</v>
      </c>
      <c r="I69" s="19" t="e">
        <f>(Result_EmissionsForWholeProductionCycle_Method2/F69)*G69</f>
        <v>#NAME?</v>
      </c>
      <c r="J69" s="16" t="s">
        <v>124</v>
      </c>
      <c r="K69" s="9"/>
    </row>
    <row r="70" spans="3:11" ht="20.100000000000001" customHeight="1" x14ac:dyDescent="0.25">
      <c r="C70" s="9"/>
      <c r="D70" s="1" t="s">
        <v>165</v>
      </c>
      <c r="E70" s="1" t="s">
        <v>129</v>
      </c>
      <c r="F70" s="19">
        <f>F69</f>
        <v>5</v>
      </c>
      <c r="G70" s="19" t="e">
        <f>G69</f>
        <v>#NAME?</v>
      </c>
      <c r="H70" s="19" t="e">
        <f>(Result_NetEmissions_Method1/F70)*G70</f>
        <v>#NAME?</v>
      </c>
      <c r="I70" s="19" t="e">
        <f>(Result_NetEmissions_Method2/F70)*G70</f>
        <v>#NAME?</v>
      </c>
      <c r="J70" s="16" t="s">
        <v>124</v>
      </c>
      <c r="K70" s="9"/>
    </row>
    <row r="71" spans="3:11" ht="20.100000000000001" customHeight="1" x14ac:dyDescent="0.25">
      <c r="C71" s="9"/>
      <c r="D71" s="1" t="s">
        <v>166</v>
      </c>
      <c r="E71" s="1" t="s">
        <v>130</v>
      </c>
      <c r="F71" s="19">
        <f>'Input - Enterprise'!E25</f>
        <v>1</v>
      </c>
      <c r="G71" s="19" t="e">
        <f>F71/(F67+F69+F71)</f>
        <v>#NAME?</v>
      </c>
      <c r="H71" s="19" t="e">
        <f>(Result_EmissionsForWholeProductionCycle_Method1/F71)*G71</f>
        <v>#NAME?</v>
      </c>
      <c r="I71" s="19" t="e">
        <f>(Result_EmissionsForWholeProductionCycle_Method2/F71)*G71</f>
        <v>#NAME?</v>
      </c>
      <c r="J71" s="16" t="s">
        <v>125</v>
      </c>
      <c r="K71" s="9"/>
    </row>
    <row r="72" spans="3:11" ht="20.100000000000001" customHeight="1" x14ac:dyDescent="0.25">
      <c r="C72" s="9"/>
      <c r="D72" s="1" t="s">
        <v>167</v>
      </c>
      <c r="E72" s="1" t="s">
        <v>130</v>
      </c>
      <c r="F72" s="19">
        <f>F71</f>
        <v>1</v>
      </c>
      <c r="G72" s="19" t="e">
        <f>G71</f>
        <v>#NAME?</v>
      </c>
      <c r="H72" s="19" t="e">
        <f>(Result_NetEmissions_Method1/F72)*G72</f>
        <v>#NAME?</v>
      </c>
      <c r="I72" s="19" t="e">
        <f>(Result_NetEmissions_Method2/F72)*G72</f>
        <v>#NAME?</v>
      </c>
      <c r="J72" s="16" t="s">
        <v>125</v>
      </c>
      <c r="K72" s="9"/>
    </row>
    <row r="73" spans="3:11" ht="20.100000000000001" customHeight="1" x14ac:dyDescent="0.25">
      <c r="C73" s="9"/>
      <c r="D73" s="1"/>
      <c r="E73" s="1"/>
      <c r="F73" s="19"/>
      <c r="G73" s="19"/>
      <c r="H73" s="19"/>
      <c r="I73" s="19"/>
      <c r="J73" s="9"/>
      <c r="K73" s="9"/>
    </row>
    <row r="74" spans="3:11" ht="20.100000000000001" customHeight="1" x14ac:dyDescent="0.25">
      <c r="C74" s="9"/>
      <c r="D74" s="1"/>
      <c r="E74" s="1"/>
      <c r="F74" s="19"/>
      <c r="G74" s="19"/>
      <c r="H74" s="19"/>
      <c r="I74" s="19"/>
      <c r="J74" s="18"/>
      <c r="K74" s="9"/>
    </row>
    <row r="75" spans="3:11" ht="20.100000000000001" customHeight="1" x14ac:dyDescent="0.25">
      <c r="C75" s="9"/>
      <c r="D75" s="91" t="s">
        <v>161</v>
      </c>
      <c r="E75" s="1"/>
      <c r="F75" s="1"/>
      <c r="G75" s="1"/>
      <c r="H75" s="1"/>
      <c r="I75" s="1"/>
      <c r="J75" s="1"/>
      <c r="K75" s="9"/>
    </row>
    <row r="76" spans="3:11" ht="15.75" x14ac:dyDescent="0.25">
      <c r="C76" s="9"/>
      <c r="D76" s="21" t="s">
        <v>139</v>
      </c>
      <c r="E76" s="21" t="s">
        <v>128</v>
      </c>
      <c r="F76" s="21" t="s">
        <v>122</v>
      </c>
      <c r="G76" s="21" t="s">
        <v>163</v>
      </c>
      <c r="H76" s="21" t="s">
        <v>126</v>
      </c>
      <c r="I76" s="21" t="s">
        <v>127</v>
      </c>
      <c r="J76" s="21" t="s">
        <v>123</v>
      </c>
      <c r="K76" s="9"/>
    </row>
    <row r="77" spans="3:11" ht="15.75" x14ac:dyDescent="0.25">
      <c r="C77" s="9"/>
      <c r="D77" s="1" t="s">
        <v>195</v>
      </c>
      <c r="E77" s="1" t="s">
        <v>129</v>
      </c>
      <c r="F77" s="94" t="e">
        <f>F67</f>
        <v>#NAME?</v>
      </c>
      <c r="G77" s="19">
        <f>'Input - Enterprise'!E29</f>
        <v>0.8</v>
      </c>
      <c r="H77" s="19" t="e">
        <f>(Result_EmissionsForWholeProductionCycle_Method1/F77)*G77</f>
        <v>#NAME?</v>
      </c>
      <c r="I77" s="19" t="e">
        <f>(Result_EmissionsForWholeProductionCycle_Method2/F77)*G77</f>
        <v>#NAME?</v>
      </c>
      <c r="J77" s="16" t="s">
        <v>197</v>
      </c>
      <c r="K77" s="9"/>
    </row>
    <row r="78" spans="3:11" ht="15.75" x14ac:dyDescent="0.25">
      <c r="C78" s="9"/>
      <c r="D78" s="1" t="s">
        <v>196</v>
      </c>
      <c r="E78" s="1" t="s">
        <v>129</v>
      </c>
      <c r="F78" s="94" t="e">
        <f t="shared" ref="F78" si="2">F68</f>
        <v>#NAME?</v>
      </c>
      <c r="G78" s="19">
        <f>G77</f>
        <v>0.8</v>
      </c>
      <c r="H78" s="19" t="e">
        <f>(Result_NetEmissions_Method1/F78)*G78</f>
        <v>#NAME?</v>
      </c>
      <c r="I78" s="19" t="e">
        <f>(Result_NetEmissions_Method2/F78)*G78</f>
        <v>#NAME?</v>
      </c>
      <c r="J78" s="16" t="s">
        <v>197</v>
      </c>
      <c r="K78" s="9"/>
    </row>
    <row r="79" spans="3:11" ht="15.75" x14ac:dyDescent="0.25">
      <c r="C79" s="9"/>
      <c r="D79" s="1" t="s">
        <v>164</v>
      </c>
      <c r="E79" s="1" t="s">
        <v>129</v>
      </c>
      <c r="F79" s="19">
        <f>F69</f>
        <v>5</v>
      </c>
      <c r="G79" s="19">
        <f>'Input - Enterprise'!E27</f>
        <v>0.15</v>
      </c>
      <c r="H79" s="19" t="e">
        <f>(Result_EmissionsForWholeProductionCycle_Method1/F79)*G79</f>
        <v>#NAME?</v>
      </c>
      <c r="I79" s="19" t="e">
        <f>(Result_EmissionsForWholeProductionCycle_Method2/F79)*G79</f>
        <v>#NAME?</v>
      </c>
      <c r="J79" s="16" t="s">
        <v>124</v>
      </c>
      <c r="K79" s="9"/>
    </row>
    <row r="80" spans="3:11" ht="15.75" x14ac:dyDescent="0.25">
      <c r="C80" s="9"/>
      <c r="D80" s="1" t="s">
        <v>165</v>
      </c>
      <c r="E80" s="1" t="s">
        <v>129</v>
      </c>
      <c r="F80" s="19">
        <f>F69</f>
        <v>5</v>
      </c>
      <c r="G80" s="19">
        <f>G79</f>
        <v>0.15</v>
      </c>
      <c r="H80" s="19" t="e">
        <f>(Result_NetEmissions_Method1/F80)*G80</f>
        <v>#NAME?</v>
      </c>
      <c r="I80" s="19" t="e">
        <f>(Result_NetEmissions_Method2/F80)*G80</f>
        <v>#NAME?</v>
      </c>
      <c r="J80" s="16" t="s">
        <v>124</v>
      </c>
      <c r="K80" s="9"/>
    </row>
    <row r="81" spans="3:11" ht="15.75" x14ac:dyDescent="0.25">
      <c r="C81" s="9"/>
      <c r="D81" s="1" t="s">
        <v>166</v>
      </c>
      <c r="E81" s="1" t="s">
        <v>130</v>
      </c>
      <c r="F81" s="19">
        <f>F71</f>
        <v>1</v>
      </c>
      <c r="G81" s="19">
        <f>'Input - Enterprise'!E28</f>
        <v>0.05</v>
      </c>
      <c r="H81" s="19" t="e">
        <f>(Result_EmissionsForWholeProductionCycle_Method1/F81)*G81</f>
        <v>#NAME?</v>
      </c>
      <c r="I81" s="19" t="e">
        <f>(Result_EmissionsForWholeProductionCycle_Method2/F81)*G81</f>
        <v>#NAME?</v>
      </c>
      <c r="J81" s="16" t="s">
        <v>125</v>
      </c>
      <c r="K81" s="9"/>
    </row>
    <row r="82" spans="3:11" ht="15.75" x14ac:dyDescent="0.25">
      <c r="C82" s="9"/>
      <c r="D82" s="1" t="s">
        <v>167</v>
      </c>
      <c r="E82" s="1" t="s">
        <v>130</v>
      </c>
      <c r="F82" s="19">
        <f>F72</f>
        <v>1</v>
      </c>
      <c r="G82" s="19">
        <f>G81</f>
        <v>0.05</v>
      </c>
      <c r="H82" s="19" t="e">
        <f>(Result_NetEmissions_Method1/F82)*G82</f>
        <v>#NAME?</v>
      </c>
      <c r="I82" s="19" t="e">
        <f>(Result_NetEmissions_Method2/F82)*G82</f>
        <v>#NAME?</v>
      </c>
      <c r="J82" s="16" t="s">
        <v>125</v>
      </c>
      <c r="K82" s="9"/>
    </row>
    <row r="83" spans="3:11" ht="15.75" x14ac:dyDescent="0.25">
      <c r="C83" s="9"/>
      <c r="D83" s="1"/>
      <c r="E83" s="1"/>
      <c r="F83" s="19"/>
      <c r="G83" s="19"/>
      <c r="H83" s="19"/>
      <c r="I83" s="19"/>
      <c r="J83" s="9"/>
      <c r="K83" s="9"/>
    </row>
    <row r="84" spans="3:11" ht="15.75" x14ac:dyDescent="0.25">
      <c r="C84" s="9"/>
      <c r="D84" s="1"/>
      <c r="E84" s="1"/>
      <c r="F84" s="1"/>
      <c r="G84" s="1"/>
      <c r="H84" s="1"/>
      <c r="I84" s="1"/>
      <c r="J84" s="1"/>
      <c r="K84"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7" t="e" vm="1">
        <v>#VALUE!</v>
      </c>
      <c r="C1" s="38" t="s">
        <v>88</v>
      </c>
    </row>
    <row r="2" spans="1:24" s="32" customFormat="1" ht="20.100000000000001" customHeight="1" x14ac:dyDescent="0.25">
      <c r="A2" s="3"/>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D5" s="2" t="s">
        <v>97</v>
      </c>
      <c r="N5" s="41"/>
    </row>
    <row r="6" spans="1:24" ht="20.100000000000001" customHeight="1" x14ac:dyDescent="0.25">
      <c r="A6" s="8" t="s">
        <v>1</v>
      </c>
      <c r="N6" s="43"/>
    </row>
    <row r="7" spans="1:24" ht="20.100000000000001" customHeight="1" x14ac:dyDescent="0.25">
      <c r="A7" s="5" t="str">
        <f>HYPERLINK("#'Input - Site'!A1", "Site")</f>
        <v>Site</v>
      </c>
      <c r="D7" s="53" t="s">
        <v>98</v>
      </c>
      <c r="E7" s="54"/>
      <c r="F7" s="54"/>
      <c r="G7" s="55"/>
    </row>
    <row r="8" spans="1:24" ht="20.100000000000001" customHeight="1" x14ac:dyDescent="0.25">
      <c r="A8" s="5" t="str">
        <f>HYPERLINK("#'Input - Pasture Beef'!A1", "Pasture Beef")</f>
        <v>Pasture Beef</v>
      </c>
      <c r="D8" s="56" t="s">
        <v>99</v>
      </c>
      <c r="E8" s="57"/>
      <c r="F8" s="57"/>
      <c r="G8" s="58"/>
    </row>
    <row r="9" spans="1:24" ht="20.100000000000001" customHeight="1" x14ac:dyDescent="0.25">
      <c r="A9" s="5"/>
      <c r="D9" s="1"/>
      <c r="E9" s="59"/>
      <c r="F9" s="27"/>
      <c r="N9" s="45"/>
    </row>
    <row r="10" spans="1:24" ht="20.100000000000001" customHeight="1" x14ac:dyDescent="0.25">
      <c r="A10" s="7" t="s">
        <v>3</v>
      </c>
      <c r="D10" s="1" t="s">
        <v>100</v>
      </c>
      <c r="E10" s="24" t="s">
        <v>101</v>
      </c>
      <c r="F10" s="27" t="s">
        <v>102</v>
      </c>
      <c r="N10" s="45"/>
    </row>
    <row r="11" spans="1:24" ht="20.100000000000001" customHeight="1" x14ac:dyDescent="0.25">
      <c r="A11" s="5" t="str">
        <f>HYPERLINK("#'4.2.1.1-2 Methane'!A1", "4.2.1.1-2 Methane")</f>
        <v>4.2.1.1-2 Methane</v>
      </c>
      <c r="D11" s="1" t="s">
        <v>103</v>
      </c>
      <c r="E11" s="24" t="s">
        <v>104</v>
      </c>
      <c r="F11" s="27" t="s">
        <v>102</v>
      </c>
      <c r="G11" s="1"/>
      <c r="N11" s="50"/>
    </row>
    <row r="12" spans="1:24" ht="20.100000000000001" customHeight="1" x14ac:dyDescent="0.25">
      <c r="A12" s="5" t="str">
        <f>HYPERLINK("#'4.2.1.3-4 Soil direct N2O'!A1", "4.2.1.3-4 Soil direct N2O")</f>
        <v>4.2.1.3-4 Soil direct N2O</v>
      </c>
      <c r="D12" s="1" t="s">
        <v>105</v>
      </c>
      <c r="E12" s="24" t="s">
        <v>106</v>
      </c>
      <c r="F12" s="27" t="s">
        <v>102</v>
      </c>
    </row>
    <row r="13" spans="1:24" ht="20.100000000000001" customHeight="1" x14ac:dyDescent="0.25">
      <c r="A13" s="5" t="str">
        <f>HYPERLINK("#'4.2.1.5-6 Soil Atmos Dep'!A1", "4.2.1.5-6 Soil atm. deposition")</f>
        <v>4.2.1.5-6 Soil atm. deposition</v>
      </c>
      <c r="D13" s="1" t="s">
        <v>38</v>
      </c>
      <c r="E13" s="44">
        <v>307.7</v>
      </c>
      <c r="F13" s="27" t="s">
        <v>107</v>
      </c>
      <c r="N13" s="52"/>
      <c r="O13" s="52"/>
    </row>
    <row r="14" spans="1:24" ht="20.100000000000001" customHeight="1" x14ac:dyDescent="0.25">
      <c r="A14" s="5" t="str">
        <f>HYPERLINK("#'4.2.1.7-8 Soil leach runoff'!A1", "4.2.1.7-8 Soil leach &amp; runoff")</f>
        <v>4.2.1.7-8 Soil leach &amp; runoff</v>
      </c>
      <c r="D14" s="1" t="s">
        <v>108</v>
      </c>
      <c r="E14" s="44">
        <v>18</v>
      </c>
      <c r="F14" s="27" t="s">
        <v>109</v>
      </c>
      <c r="N14" s="52"/>
      <c r="O14" s="52"/>
    </row>
    <row r="15" spans="1:24" ht="20.100000000000001" customHeight="1" x14ac:dyDescent="0.25">
      <c r="A15" s="5"/>
      <c r="D15" s="1" t="s">
        <v>110</v>
      </c>
      <c r="E15" s="44">
        <v>601</v>
      </c>
      <c r="F15" s="27" t="s">
        <v>111</v>
      </c>
      <c r="N15" s="52"/>
      <c r="O15" s="52"/>
    </row>
    <row r="16" spans="1:24" ht="20.100000000000001" customHeight="1" x14ac:dyDescent="0.25">
      <c r="A16" s="6" t="s">
        <v>2</v>
      </c>
      <c r="D16" s="23" t="s">
        <v>112</v>
      </c>
      <c r="E16" s="44">
        <v>1326</v>
      </c>
      <c r="F16" s="27" t="s">
        <v>111</v>
      </c>
      <c r="N16" s="52"/>
      <c r="O16" s="52"/>
    </row>
    <row r="17" spans="1:25" ht="20.100000000000001" customHeight="1" x14ac:dyDescent="0.25">
      <c r="A17" s="5" t="str">
        <f>HYPERLINK("#'Constants - Pasture Beef'!A1", "Constants - Pasture Beef")</f>
        <v>Constants - Pasture Beef</v>
      </c>
      <c r="D17" s="1" t="s">
        <v>113</v>
      </c>
      <c r="E17" s="44">
        <v>7</v>
      </c>
      <c r="F17" s="27" t="s">
        <v>114</v>
      </c>
    </row>
    <row r="18" spans="1:25" ht="20.100000000000001" customHeight="1" x14ac:dyDescent="0.25">
      <c r="A18" s="5" t="str">
        <f>HYPERLINK("#'Constants - Livestock'!A1", "Constants - Livestock")</f>
        <v>Constants - Livestock</v>
      </c>
      <c r="D18" s="23" t="s">
        <v>115</v>
      </c>
      <c r="E18" s="26">
        <f>E15/E16</f>
        <v>0.45324283559577677</v>
      </c>
      <c r="F18" s="27"/>
    </row>
    <row r="19" spans="1:25" ht="20.100000000000001" customHeight="1" x14ac:dyDescent="0.25">
      <c r="A19" s="5" t="str">
        <f>HYPERLINK("#'Constants - Common'!A1", "Constants - Common")</f>
        <v>Constants - Common</v>
      </c>
      <c r="D19" s="23" t="s">
        <v>66</v>
      </c>
      <c r="E19" s="26"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HYPERLINK("#'Acknowledgements'!A1", "Acknowledgements")</f>
        <v>Acknowledgements</v>
      </c>
      <c r="D20" s="1" t="s">
        <v>33</v>
      </c>
      <c r="E20" s="2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c r="D21" s="1" t="s">
        <v>116</v>
      </c>
      <c r="E21" s="26" t="str">
        <f>Common_InputFunctions.Utility_LookupValueInTable($E$20,Table_SourceData_WetDryZones[Climate zone],Table_SourceData_WetDryZones[Wet or Dry Zone])</f>
        <v>Dry climate zone</v>
      </c>
      <c r="F21" s="1"/>
      <c r="G21" s="59"/>
    </row>
    <row r="22" spans="1:25" ht="20.100000000000001" customHeight="1" x14ac:dyDescent="0.25">
      <c r="A22" s="5"/>
      <c r="D22" s="1" t="s">
        <v>70</v>
      </c>
      <c r="E22" s="26"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row>
    <row r="24" spans="1:25" ht="20.100000000000001" customHeight="1" x14ac:dyDescent="0.25">
      <c r="A24" s="5"/>
    </row>
    <row r="25" spans="1:25" ht="20.100000000000001" customHeight="1" x14ac:dyDescent="0.25">
      <c r="A25"/>
      <c r="N25" s="43"/>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61"/>
      <c r="M30" s="61"/>
      <c r="N30" s="61"/>
      <c r="O30" s="61"/>
      <c r="P30" s="61"/>
      <c r="Q30" s="61"/>
      <c r="R30" s="61"/>
      <c r="S30" s="61"/>
      <c r="T30" s="61"/>
      <c r="U30" s="61"/>
      <c r="V30" s="61"/>
      <c r="W30" s="61"/>
      <c r="X30" s="61"/>
      <c r="Y30" s="61"/>
    </row>
    <row r="31" spans="1:25" ht="20.100000000000001" customHeight="1" x14ac:dyDescent="0.25">
      <c r="A31"/>
      <c r="L31" s="62"/>
      <c r="M31" s="62"/>
      <c r="N31" s="62"/>
      <c r="O31" s="62"/>
      <c r="P31" s="62"/>
      <c r="Q31" s="62"/>
      <c r="R31" s="62"/>
      <c r="S31" s="62"/>
      <c r="T31" s="62"/>
      <c r="U31" s="62"/>
      <c r="V31" s="62"/>
      <c r="W31" s="62"/>
      <c r="X31" s="62"/>
      <c r="Y31" s="62"/>
    </row>
    <row r="32" spans="1:25" ht="20.100000000000001" customHeight="1" x14ac:dyDescent="0.25">
      <c r="A32"/>
      <c r="L32" s="62"/>
      <c r="M32" s="62"/>
      <c r="N32" s="62"/>
      <c r="O32" s="62"/>
      <c r="P32" s="62"/>
      <c r="Q32" s="62"/>
      <c r="R32" s="62"/>
      <c r="S32" s="62"/>
      <c r="T32" s="62"/>
      <c r="U32" s="62"/>
      <c r="V32" s="62"/>
      <c r="W32" s="62"/>
      <c r="X32" s="62"/>
      <c r="Y32" s="62"/>
    </row>
    <row r="33" spans="1:25" ht="20.100000000000001" customHeight="1" x14ac:dyDescent="0.25">
      <c r="A33"/>
      <c r="L33" s="62"/>
      <c r="M33" s="62"/>
      <c r="N33" s="62"/>
      <c r="O33" s="62"/>
      <c r="P33" s="62"/>
      <c r="Q33" s="62"/>
      <c r="R33" s="62"/>
      <c r="S33" s="62"/>
      <c r="T33" s="62"/>
      <c r="U33" s="62"/>
      <c r="V33" s="62"/>
      <c r="W33" s="62"/>
      <c r="X33" s="62"/>
      <c r="Y33" s="62"/>
    </row>
    <row r="34" spans="1:25" ht="20.100000000000001" customHeight="1" x14ac:dyDescent="0.25">
      <c r="A34"/>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73"/>
      <c r="E47" s="73"/>
      <c r="F47" s="73"/>
      <c r="G47" s="73"/>
      <c r="H47" s="73"/>
    </row>
    <row r="48" spans="1:25" ht="20.100000000000001" customHeight="1" x14ac:dyDescent="0.25">
      <c r="D48" s="74"/>
      <c r="E48" s="74"/>
      <c r="F48" s="75"/>
      <c r="G48" s="75"/>
      <c r="H48" s="74"/>
    </row>
    <row r="49" spans="4:8" ht="20.100000000000001" customHeight="1" x14ac:dyDescent="0.25">
      <c r="D49" s="74"/>
      <c r="E49" s="74"/>
      <c r="F49" s="75"/>
      <c r="G49" s="75"/>
      <c r="H49" s="74"/>
    </row>
    <row r="50" spans="4:8" ht="20.100000000000001" customHeight="1" x14ac:dyDescent="0.25">
      <c r="D50" s="74"/>
      <c r="E50" s="74"/>
      <c r="F50" s="75"/>
      <c r="G50" s="75"/>
      <c r="H50" s="74"/>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2"/>
    </row>
    <row r="56" spans="4:8" ht="20.100000000000001" customHeight="1" x14ac:dyDescent="0.25"/>
    <row r="57" spans="4:8" ht="20.100000000000001" customHeight="1" x14ac:dyDescent="0.25">
      <c r="D57" s="80"/>
      <c r="F57" s="81"/>
    </row>
    <row r="58" spans="4:8" ht="20.100000000000001" customHeight="1" x14ac:dyDescent="0.25">
      <c r="D58" s="1"/>
      <c r="E58" s="82"/>
    </row>
    <row r="59" spans="4:8" ht="20.100000000000001" customHeight="1" x14ac:dyDescent="0.25">
      <c r="D59" s="1"/>
      <c r="E59" s="82"/>
    </row>
    <row r="60" spans="4:8" ht="20.100000000000001" customHeight="1" x14ac:dyDescent="0.25">
      <c r="D60" s="1"/>
      <c r="E60" s="83"/>
    </row>
    <row r="61" spans="4:8" ht="20.100000000000001" customHeight="1" x14ac:dyDescent="0.25">
      <c r="D61" s="1"/>
    </row>
    <row r="62" spans="4:8" ht="20.100000000000001" customHeight="1" x14ac:dyDescent="0.25"/>
    <row r="63" spans="4:8" ht="20.100000000000001" customHeight="1" x14ac:dyDescent="0.25">
      <c r="D63" s="80"/>
    </row>
    <row r="64" spans="4:8" ht="20.100000000000001" customHeight="1" x14ac:dyDescent="0.25">
      <c r="D64" s="1"/>
      <c r="E64" s="82"/>
    </row>
    <row r="65" spans="4:9" ht="20.100000000000001" customHeight="1" x14ac:dyDescent="0.25">
      <c r="D65" s="1"/>
      <c r="E65" s="82"/>
    </row>
    <row r="66" spans="4:9" ht="20.100000000000001" customHeight="1" x14ac:dyDescent="0.25">
      <c r="D66" s="1"/>
      <c r="E66" s="83"/>
    </row>
    <row r="67" spans="4:9" ht="20.100000000000001" customHeight="1" x14ac:dyDescent="0.25"/>
    <row r="68" spans="4:9" ht="20.100000000000001" customHeight="1" x14ac:dyDescent="0.25"/>
    <row r="69" spans="4:9" ht="20.100000000000001" customHeight="1" x14ac:dyDescent="0.25">
      <c r="D69" s="84"/>
      <c r="E69" s="84"/>
      <c r="F69" s="84"/>
      <c r="G69" s="84"/>
      <c r="H69" s="84"/>
      <c r="I69" s="84"/>
    </row>
    <row r="70" spans="4:9" ht="20.100000000000001" customHeight="1" x14ac:dyDescent="0.25">
      <c r="D70" s="84"/>
      <c r="E70" s="84"/>
      <c r="F70" s="84"/>
      <c r="G70" s="84"/>
      <c r="H70" s="84"/>
      <c r="I70" s="84"/>
    </row>
    <row r="71" spans="4:9" ht="20.100000000000001" customHeight="1" x14ac:dyDescent="0.25">
      <c r="D71" s="84"/>
      <c r="E71" s="84"/>
      <c r="F71" s="84"/>
      <c r="G71" s="84"/>
      <c r="H71" s="84"/>
      <c r="I71" s="84"/>
    </row>
    <row r="72" spans="4:9" ht="20.100000000000001" customHeight="1" x14ac:dyDescent="0.25">
      <c r="D72" s="84"/>
      <c r="E72" s="84"/>
      <c r="F72" s="84"/>
      <c r="G72" s="84"/>
      <c r="H72" s="84"/>
      <c r="I72" s="8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29"/>
  <sheetViews>
    <sheetView showGridLines="0" topLeftCell="A3" workbookViewId="0">
      <selection activeCell="G27" sqref="G27"/>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38" t="s">
        <v>156</v>
      </c>
      <c r="D1" s="32"/>
      <c r="E1" s="32"/>
      <c r="F1" s="32"/>
      <c r="G1" s="32"/>
      <c r="H1" s="32"/>
      <c r="I1" s="32"/>
      <c r="J1" s="32"/>
    </row>
    <row r="2" spans="3:10" x14ac:dyDescent="0.25">
      <c r="C2" s="3"/>
      <c r="D2" s="3"/>
      <c r="E2" s="3"/>
      <c r="F2" s="3"/>
      <c r="G2" s="3"/>
      <c r="H2" s="3"/>
      <c r="I2" s="3"/>
      <c r="J2" s="3"/>
    </row>
    <row r="3" spans="3:10" ht="20.25" x14ac:dyDescent="0.25">
      <c r="C3" s="39"/>
      <c r="D3" s="39"/>
      <c r="E3" s="39"/>
      <c r="F3" s="39"/>
      <c r="G3" s="39"/>
      <c r="H3" s="39"/>
      <c r="I3" s="39"/>
      <c r="J3" s="39"/>
    </row>
    <row r="5" spans="3:10" ht="23.25" x14ac:dyDescent="0.25">
      <c r="D5" s="2" t="s">
        <v>89</v>
      </c>
      <c r="E5" s="35"/>
      <c r="F5" s="35"/>
      <c r="G5" s="35"/>
    </row>
    <row r="6" spans="3:10" x14ac:dyDescent="0.25">
      <c r="D6" s="42"/>
      <c r="E6" s="35"/>
      <c r="F6" s="35"/>
      <c r="G6" s="35"/>
    </row>
    <row r="7" spans="3:10" x14ac:dyDescent="0.25">
      <c r="D7" s="1" t="s">
        <v>90</v>
      </c>
      <c r="E7" s="44" t="s">
        <v>91</v>
      </c>
      <c r="F7" s="27"/>
      <c r="G7" s="35"/>
    </row>
    <row r="8" spans="3:10" x14ac:dyDescent="0.25">
      <c r="D8" s="23" t="s">
        <v>92</v>
      </c>
      <c r="E8" s="44" t="s">
        <v>93</v>
      </c>
      <c r="F8" s="35"/>
      <c r="G8" s="35"/>
    </row>
    <row r="9" spans="3:10" x14ac:dyDescent="0.25">
      <c r="D9" s="35"/>
      <c r="E9" s="35"/>
      <c r="F9" s="35"/>
      <c r="G9" s="35"/>
    </row>
    <row r="10" spans="3:10" x14ac:dyDescent="0.25">
      <c r="D10" s="46" t="s">
        <v>94</v>
      </c>
      <c r="E10" s="47"/>
      <c r="F10" s="48"/>
      <c r="G10" s="49"/>
    </row>
    <row r="11" spans="3:10" x14ac:dyDescent="0.25">
      <c r="D11" s="35"/>
      <c r="E11" s="35"/>
      <c r="F11" s="35"/>
      <c r="G11" s="35"/>
    </row>
    <row r="12" spans="3:10" x14ac:dyDescent="0.25">
      <c r="D12" s="23" t="s">
        <v>17</v>
      </c>
      <c r="E12" s="25">
        <v>45292</v>
      </c>
      <c r="F12" s="27" t="s">
        <v>95</v>
      </c>
      <c r="G12" s="35"/>
    </row>
    <row r="13" spans="3:10" x14ac:dyDescent="0.25">
      <c r="D13" s="23" t="s">
        <v>18</v>
      </c>
      <c r="E13" s="51">
        <f>DATE(YEAR(E12)+1,MONTH(E12),DAY(E12))-1</f>
        <v>45657</v>
      </c>
      <c r="F13" s="27" t="s">
        <v>96</v>
      </c>
      <c r="G13" s="35"/>
    </row>
    <row r="14" spans="3:10" x14ac:dyDescent="0.25">
      <c r="F14" s="35"/>
      <c r="G14" s="35"/>
    </row>
    <row r="16" spans="3:10" ht="23.25" x14ac:dyDescent="0.25">
      <c r="D16" s="2" t="s">
        <v>19</v>
      </c>
    </row>
    <row r="18" spans="4:7" x14ac:dyDescent="0.25">
      <c r="D18" s="1" t="s">
        <v>14</v>
      </c>
      <c r="E18" s="25">
        <v>45231</v>
      </c>
      <c r="F18" s="27" t="s">
        <v>95</v>
      </c>
    </row>
    <row r="19" spans="4:7" x14ac:dyDescent="0.25">
      <c r="D19" s="1" t="s">
        <v>15</v>
      </c>
      <c r="E19" s="25">
        <v>45747</v>
      </c>
      <c r="F19" s="27" t="s">
        <v>95</v>
      </c>
    </row>
    <row r="20" spans="4:7" x14ac:dyDescent="0.25">
      <c r="D20" s="1" t="s">
        <v>16</v>
      </c>
      <c r="E20" s="26">
        <f>DATEDIF(E18,E19+1,"m")</f>
        <v>17</v>
      </c>
      <c r="F20" s="27" t="s">
        <v>120</v>
      </c>
    </row>
    <row r="22" spans="4:7" x14ac:dyDescent="0.25">
      <c r="D22" s="1" t="s">
        <v>20</v>
      </c>
      <c r="E22" s="90">
        <f>SUM(Table_Input_LivestockSales[Total liveweight sold])*10^-3</f>
        <v>5</v>
      </c>
      <c r="G22" s="27" t="s">
        <v>21</v>
      </c>
    </row>
    <row r="23" spans="4:7" x14ac:dyDescent="0.25">
      <c r="D23" s="1" t="s">
        <v>192</v>
      </c>
      <c r="E23" s="90" t="e" cm="1">
        <f t="array" ref="E23">X_Cell_Dairy_MilkProductionUnit</f>
        <v>#NAME?</v>
      </c>
      <c r="G23" s="27"/>
    </row>
    <row r="24" spans="4:7" x14ac:dyDescent="0.25">
      <c r="D24" s="1" t="s">
        <v>191</v>
      </c>
      <c r="E24" s="90" t="e" cm="1">
        <f t="array" ref="E24">X_Cell_Dairy_MilkProductionAmount*365*IF(E23="Milk solds", 1, 1.03)</f>
        <v>#NAME?</v>
      </c>
      <c r="G24" s="27" t="s">
        <v>21</v>
      </c>
    </row>
    <row r="25" spans="4:7" x14ac:dyDescent="0.25">
      <c r="D25" s="1" t="s">
        <v>194</v>
      </c>
      <c r="E25" s="86">
        <v>1</v>
      </c>
      <c r="G25" s="27" t="s">
        <v>21</v>
      </c>
    </row>
    <row r="27" spans="4:7" x14ac:dyDescent="0.25">
      <c r="D27" s="1" t="s">
        <v>158</v>
      </c>
      <c r="E27" s="29">
        <v>0.15</v>
      </c>
      <c r="G27" s="27" t="s">
        <v>157</v>
      </c>
    </row>
    <row r="28" spans="4:7" x14ac:dyDescent="0.25">
      <c r="D28" s="1" t="s">
        <v>159</v>
      </c>
      <c r="E28" s="29">
        <v>0.05</v>
      </c>
      <c r="G28" s="27" t="s">
        <v>157</v>
      </c>
    </row>
    <row r="29" spans="4:7" x14ac:dyDescent="0.25">
      <c r="D29" s="1" t="s">
        <v>193</v>
      </c>
      <c r="E29" s="29">
        <v>0.8</v>
      </c>
      <c r="G29" s="27"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16"/>
  <sheetViews>
    <sheetView showGridLines="0" workbookViewId="0">
      <selection activeCell="E20" sqref="E20"/>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7" customFormat="1" ht="25.5" x14ac:dyDescent="0.35">
      <c r="A1" s="17" t="e" vm="1">
        <v>#VALUE!</v>
      </c>
      <c r="C1" s="17" t="s">
        <v>183</v>
      </c>
    </row>
    <row r="2" spans="1:13" s="3" customFormat="1" x14ac:dyDescent="0.25"/>
    <row r="3" spans="1:13" ht="20.25" x14ac:dyDescent="0.25">
      <c r="C3" s="39"/>
      <c r="D3" s="39"/>
      <c r="E3" s="39"/>
      <c r="F3" s="39"/>
      <c r="G3" s="39"/>
      <c r="H3" s="39"/>
      <c r="I3" s="39"/>
      <c r="J3" s="39"/>
      <c r="K3" s="39"/>
      <c r="L3" s="39"/>
      <c r="M3" s="39"/>
    </row>
    <row r="5" spans="1:13" x14ac:dyDescent="0.25">
      <c r="D5" s="92" t="s">
        <v>184</v>
      </c>
    </row>
    <row r="6" spans="1:13" x14ac:dyDescent="0.25">
      <c r="D6" s="30" t="s">
        <v>185</v>
      </c>
      <c r="E6" s="30" t="s">
        <v>186</v>
      </c>
      <c r="F6" s="30" t="s">
        <v>187</v>
      </c>
      <c r="G6" s="30" t="s">
        <v>188</v>
      </c>
      <c r="H6" s="30" t="s">
        <v>189</v>
      </c>
      <c r="I6" s="30" t="s">
        <v>190</v>
      </c>
    </row>
    <row r="7" spans="1:13" x14ac:dyDescent="0.25">
      <c r="D7" s="44"/>
      <c r="E7" s="24"/>
      <c r="F7" s="93">
        <v>45566</v>
      </c>
      <c r="G7" s="30">
        <v>10</v>
      </c>
      <c r="H7" s="30">
        <v>500</v>
      </c>
      <c r="I7" s="26">
        <f t="shared" ref="I7:I16" si="0">G7*H7</f>
        <v>5000</v>
      </c>
    </row>
    <row r="8" spans="1:13" x14ac:dyDescent="0.25">
      <c r="D8" s="44"/>
      <c r="E8" s="24"/>
      <c r="F8" s="93"/>
      <c r="G8" s="30"/>
      <c r="H8" s="30"/>
      <c r="I8" s="26">
        <f t="shared" si="0"/>
        <v>0</v>
      </c>
    </row>
    <row r="9" spans="1:13" x14ac:dyDescent="0.25">
      <c r="D9" s="44"/>
      <c r="E9" s="24"/>
      <c r="F9" s="93"/>
      <c r="G9" s="30"/>
      <c r="H9" s="30"/>
      <c r="I9" s="26">
        <f t="shared" si="0"/>
        <v>0</v>
      </c>
    </row>
    <row r="10" spans="1:13" x14ac:dyDescent="0.25">
      <c r="D10" s="44"/>
      <c r="E10" s="24"/>
      <c r="F10" s="93"/>
      <c r="G10" s="30"/>
      <c r="H10" s="30"/>
      <c r="I10" s="26">
        <f t="shared" si="0"/>
        <v>0</v>
      </c>
    </row>
    <row r="11" spans="1:13" x14ac:dyDescent="0.25">
      <c r="D11" s="44"/>
      <c r="E11" s="24"/>
      <c r="F11" s="93"/>
      <c r="G11" s="30"/>
      <c r="H11" s="30"/>
      <c r="I11" s="26">
        <f t="shared" si="0"/>
        <v>0</v>
      </c>
    </row>
    <row r="12" spans="1:13" x14ac:dyDescent="0.25">
      <c r="D12" s="44"/>
      <c r="E12" s="24"/>
      <c r="F12" s="93"/>
      <c r="G12" s="30"/>
      <c r="H12" s="30"/>
      <c r="I12" s="26">
        <f t="shared" si="0"/>
        <v>0</v>
      </c>
    </row>
    <row r="13" spans="1:13" x14ac:dyDescent="0.25">
      <c r="D13" s="44"/>
      <c r="E13" s="24"/>
      <c r="F13" s="93"/>
      <c r="G13" s="30"/>
      <c r="H13" s="30"/>
      <c r="I13" s="26">
        <f t="shared" si="0"/>
        <v>0</v>
      </c>
    </row>
    <row r="14" spans="1:13" x14ac:dyDescent="0.25">
      <c r="D14" s="44"/>
      <c r="E14" s="24"/>
      <c r="F14" s="93"/>
      <c r="G14" s="30"/>
      <c r="H14" s="30"/>
      <c r="I14" s="26">
        <f t="shared" si="0"/>
        <v>0</v>
      </c>
    </row>
    <row r="15" spans="1:13" x14ac:dyDescent="0.25">
      <c r="D15" s="44"/>
      <c r="E15" s="24"/>
      <c r="F15" s="93"/>
      <c r="G15" s="30"/>
      <c r="H15" s="30"/>
      <c r="I15" s="26">
        <f t="shared" si="0"/>
        <v>0</v>
      </c>
    </row>
    <row r="16" spans="1:13" x14ac:dyDescent="0.25">
      <c r="D16" s="44"/>
      <c r="E16" s="24"/>
      <c r="F16" s="93"/>
      <c r="G16" s="30"/>
      <c r="H16" s="30"/>
      <c r="I16" s="26">
        <f t="shared" si="0"/>
        <v>0</v>
      </c>
    </row>
  </sheetData>
  <dataValidations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10"/>
  <sheetViews>
    <sheetView showGridLines="0" workbookViewId="0">
      <selection activeCell="E11" sqref="E1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7" customFormat="1" ht="25.5" x14ac:dyDescent="0.35">
      <c r="A1" s="17" t="e" vm="1">
        <v>#VALUE!</v>
      </c>
      <c r="C1" s="17" t="s">
        <v>168</v>
      </c>
    </row>
    <row r="2" spans="1:11" s="3" customFormat="1" x14ac:dyDescent="0.25"/>
    <row r="3" spans="1:11" ht="20.25" x14ac:dyDescent="0.25">
      <c r="C3" s="39"/>
      <c r="D3" s="39"/>
      <c r="E3" s="39"/>
      <c r="F3" s="39"/>
      <c r="G3" s="39"/>
      <c r="H3" s="39"/>
      <c r="I3" s="39"/>
      <c r="J3" s="39"/>
      <c r="K3" s="39"/>
    </row>
    <row r="5" spans="1:11" x14ac:dyDescent="0.25">
      <c r="D5" s="80" t="s">
        <v>173</v>
      </c>
      <c r="E5" s="80"/>
      <c r="F5" s="80"/>
      <c r="G5" s="80"/>
    </row>
    <row r="6" spans="1:11" x14ac:dyDescent="0.25">
      <c r="F6" s="27"/>
    </row>
    <row r="7" spans="1:11" x14ac:dyDescent="0.25">
      <c r="D7" s="1" t="s">
        <v>169</v>
      </c>
      <c r="E7" s="26" t="s">
        <v>172</v>
      </c>
      <c r="F7" s="27"/>
    </row>
    <row r="8" spans="1:11" x14ac:dyDescent="0.25">
      <c r="D8" s="1" t="s">
        <v>170</v>
      </c>
      <c r="E8" s="26" t="s">
        <v>172</v>
      </c>
      <c r="F8" s="27"/>
    </row>
    <row r="9" spans="1:11" x14ac:dyDescent="0.25">
      <c r="D9" s="1" t="s">
        <v>65</v>
      </c>
      <c r="E9" s="26" t="e" cm="1">
        <f t="array" ref="E9">X_Cell_Pasture_IrrigationMethod</f>
        <v>#NAME?</v>
      </c>
    </row>
    <row r="10" spans="1:11" x14ac:dyDescent="0.25">
      <c r="D10" s="1" t="s">
        <v>171</v>
      </c>
      <c r="E10" s="26" t="e" cm="1">
        <f t="array" ref="E10">X_Cell_Pasture_AreaUnderPasture</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C1:M7"/>
  <sheetViews>
    <sheetView showGridLines="0" workbookViewId="0">
      <selection activeCell="I18" sqref="I18"/>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7" customFormat="1" ht="25.5" x14ac:dyDescent="0.35">
      <c r="C1" s="17" t="s">
        <v>198</v>
      </c>
    </row>
    <row r="2" spans="3:13" s="3" customFormat="1" x14ac:dyDescent="0.25"/>
    <row r="3" spans="3:13" ht="20.25" x14ac:dyDescent="0.25">
      <c r="C3" s="39"/>
      <c r="D3" s="39"/>
      <c r="E3" s="39"/>
      <c r="F3" s="39"/>
      <c r="G3" s="39"/>
      <c r="H3" s="39"/>
      <c r="I3" s="39"/>
      <c r="J3" s="39"/>
      <c r="K3" s="39"/>
      <c r="L3" s="39"/>
      <c r="M3" s="39"/>
    </row>
    <row r="6" spans="3:13" x14ac:dyDescent="0.25">
      <c r="D6" s="95" t="s">
        <v>199</v>
      </c>
      <c r="E6" s="95" t="s">
        <v>200</v>
      </c>
      <c r="F6" s="95" t="s">
        <v>201</v>
      </c>
      <c r="G6" s="95" t="s">
        <v>202</v>
      </c>
      <c r="H6" s="95" t="s">
        <v>203</v>
      </c>
      <c r="I6" s="95" t="s">
        <v>204</v>
      </c>
      <c r="J6" s="95" t="s">
        <v>205</v>
      </c>
    </row>
    <row r="7" spans="3:13" x14ac:dyDescent="0.25">
      <c r="D7" s="96" t="s">
        <v>206</v>
      </c>
      <c r="E7" s="24" t="s">
        <v>207</v>
      </c>
      <c r="F7" s="24" t="s">
        <v>208</v>
      </c>
      <c r="G7" s="24" t="s">
        <v>209</v>
      </c>
      <c r="H7" s="96"/>
      <c r="I7" s="96"/>
      <c r="J7" s="26">
        <f>_xlfn.XLOOKUP(Table_Input_DataQuality[[#This Row],[Temporal representativeness]],[3]!Table_SourceData_DataQuality_TemporalRepresentativeness[ID],[3]!Table_SourceData_DataQuality_TemporalRepresentativeness[Score])+_xlfn.XLOOKUP(Table_Input_DataQuality[[#This Row],[Spatial resolution]],[3]!Table_SourceData_DataQuality_SpatialRepresentativeness[ID],[3]!Table_SourceData_DataQuality_SpatialRepresentativeness[Score])+_xlfn.XLOOKUP(Table_Input_DataQuality[[#This Row],[Sample size]],[3]!Table_SourceData_DataQuality_SampleSize[ID],[3]!Table_SourceData_DataQuality_SampleSize[Score])</f>
        <v>12</v>
      </c>
    </row>
  </sheetData>
  <dataValidations count="3">
    <dataValidation type="list" allowBlank="1" showInputMessage="1" showErrorMessage="1" sqref="G7" xr:uid="{023991CC-ACAB-4CCA-BF6E-5B4983A34A68}">
      <formula1>INDIRECT("Table_SourceData_DataQuality_SampleSize[ID]")</formula1>
    </dataValidation>
    <dataValidation type="list" allowBlank="1" showInputMessage="1" showErrorMessage="1" sqref="F7" xr:uid="{D85C1557-4D18-4B87-9B82-D7755813B359}">
      <formula1>INDIRECT("Table_SourceData_DataQuality_SpatialRepresentativeness[ID]")</formula1>
    </dataValidation>
    <dataValidation type="list" allowBlank="1" showInputMessage="1" showErrorMessage="1" sqref="E7" xr:uid="{D7C04A1D-8792-4527-94D7-0D838FC14D35}">
      <formula1>INDIRECT("Table_SourceData_DataQuality_TemporalRepresentativeness[ID]")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sheetPr>
    <tabColor theme="2" tint="-0.499984740745262"/>
  </sheetPr>
  <dimension ref="A1:BY259"/>
  <sheetViews>
    <sheetView showGridLines="0" topLeftCell="A29" zoomScale="85" zoomScaleNormal="85" workbookViewId="0">
      <selection activeCell="F67" sqref="F67"/>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31" t="e" vm="1">
        <v>#VALUE!</v>
      </c>
      <c r="C1" s="31" t="s">
        <v>22</v>
      </c>
    </row>
    <row r="2" spans="1:65" s="3" customFormat="1" ht="20.100000000000001" customHeight="1" x14ac:dyDescent="0.25"/>
    <row r="3" spans="1:65" ht="20.100000000000001" customHeight="1" x14ac:dyDescent="0.25">
      <c r="A3"/>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23</v>
      </c>
      <c r="E6" s="30" t="s">
        <v>24</v>
      </c>
      <c r="F6" s="30" t="s">
        <v>25</v>
      </c>
    </row>
    <row r="7" spans="1:65" ht="20.100000000000001" customHeight="1" x14ac:dyDescent="0.25">
      <c r="A7"/>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28" t="str" cm="1">
        <f t="array" ref="D19">Common_SourceData.Common_SourceData_WASA4Areas_Source()</f>
        <v>Australian Bureau of Statistics (ABS) - Statistical Areas Level 2 - 2021 - Shapefile</v>
      </c>
    </row>
    <row r="20" spans="1:4" ht="20.100000000000001" customHeight="1" x14ac:dyDescent="0.25">
      <c r="A20"/>
      <c r="D20" s="30" t="s">
        <v>26</v>
      </c>
    </row>
    <row r="21" spans="1:4" ht="20.100000000000001" customHeight="1" x14ac:dyDescent="0.25">
      <c r="A21"/>
      <c r="D21" s="30" t="str" cm="1">
        <f t="array" ref="D21">Common_InputFunctions.Utility_DisplayArrayInTable(Common_SourceData.Common_SourceData_WASA4Areas_Data(), Table_WASA4Areas[[#Headers],[SA 4 Name]], 0)</f>
        <v>Bunbury</v>
      </c>
    </row>
    <row r="22" spans="1:4" ht="20.100000000000001" customHeight="1" x14ac:dyDescent="0.25">
      <c r="A22"/>
      <c r="D22" s="30" t="str" cm="1">
        <f t="array" ref="D22">Common_InputFunctions.Utility_DisplayArrayInTable(Common_SourceData.Common_SourceData_WASA4Areas_Data(), Table_WASA4Areas[[#Headers],[SA 4 Name]], 0)</f>
        <v>Mandurah</v>
      </c>
    </row>
    <row r="23" spans="1:4" ht="20.100000000000001" customHeight="1" x14ac:dyDescent="0.25">
      <c r="A23"/>
      <c r="D23" s="30" t="str" cm="1">
        <f t="array" ref="D23">Common_InputFunctions.Utility_DisplayArrayInTable(Common_SourceData.Common_SourceData_WASA4Areas_Data(), Table_WASA4Areas[[#Headers],[SA 4 Name]], 0)</f>
        <v>Perth - Inner</v>
      </c>
    </row>
    <row r="24" spans="1:4" ht="20.100000000000001" customHeight="1" x14ac:dyDescent="0.25">
      <c r="A24"/>
      <c r="D24" s="30" t="str" cm="1">
        <f t="array" ref="D24">Common_InputFunctions.Utility_DisplayArrayInTable(Common_SourceData.Common_SourceData_WASA4Areas_Data(), Table_WASA4Areas[[#Headers],[SA 4 Name]], 0)</f>
        <v>Perth - North East</v>
      </c>
    </row>
    <row r="25" spans="1:4" ht="20.100000000000001" customHeight="1" x14ac:dyDescent="0.25">
      <c r="A25"/>
      <c r="D25" s="30" t="str" cm="1">
        <f t="array" ref="D25">Common_InputFunctions.Utility_DisplayArrayInTable(Common_SourceData.Common_SourceData_WASA4Areas_Data(), Table_WASA4Areas[[#Headers],[SA 4 Name]], 0)</f>
        <v>Perth - North West</v>
      </c>
    </row>
    <row r="26" spans="1:4" ht="20.100000000000001" customHeight="1" x14ac:dyDescent="0.25">
      <c r="A26"/>
      <c r="D26" s="30" t="str" cm="1">
        <f t="array" ref="D26">Common_InputFunctions.Utility_DisplayArrayInTable(Common_SourceData.Common_SourceData_WASA4Areas_Data(), Table_WASA4Areas[[#Headers],[SA 4 Name]], 0)</f>
        <v>Perth - South East</v>
      </c>
    </row>
    <row r="27" spans="1:4" ht="20.100000000000001" customHeight="1" x14ac:dyDescent="0.25">
      <c r="A27"/>
      <c r="D27" s="30" t="str" cm="1">
        <f t="array" ref="D27">Common_InputFunctions.Utility_DisplayArrayInTable(Common_SourceData.Common_SourceData_WASA4Areas_Data(), Table_WASA4Areas[[#Headers],[SA 4 Name]], 0)</f>
        <v>Perth - South West</v>
      </c>
    </row>
    <row r="28" spans="1:4" ht="20.100000000000001" customHeight="1" x14ac:dyDescent="0.25">
      <c r="A28"/>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28" t="str" cm="1">
        <f t="array" ref="D35">Common_SourceData.Common_SourceData_GWP_Source()</f>
        <v>XXXXXXX</v>
      </c>
    </row>
    <row r="36" spans="1:8" ht="20.100000000000001" customHeight="1" x14ac:dyDescent="0.25">
      <c r="A36"/>
      <c r="D36" s="30" t="s">
        <v>27</v>
      </c>
      <c r="E36" s="30" t="s">
        <v>28</v>
      </c>
    </row>
    <row r="37" spans="1:8" ht="20.100000000000001" customHeight="1" x14ac:dyDescent="0.25">
      <c r="A37"/>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2" t="str" cm="1">
        <f t="array" ref="D45">Common_SourceData.Common_SourceData_ConvertGasElementalToMolecular_Title()</f>
        <v>Factor to convert elemental mass of gas to molecular mass</v>
      </c>
    </row>
    <row r="46" spans="1:8" ht="20.100000000000001" customHeight="1" x14ac:dyDescent="0.25">
      <c r="D46" s="28" t="str" cm="1">
        <f t="array" ref="D46">Common_SourceData.Common_SourceData_ConvertGasElementalToMolecular_Source()</f>
        <v>XXXXXXX</v>
      </c>
    </row>
    <row r="47" spans="1:8" ht="20.100000000000001" customHeight="1" x14ac:dyDescent="0.25">
      <c r="D47" s="30" t="s">
        <v>27</v>
      </c>
      <c r="E47" s="30" t="s">
        <v>29</v>
      </c>
      <c r="F47" s="30" t="s">
        <v>30</v>
      </c>
      <c r="G47" s="30" t="s">
        <v>31</v>
      </c>
      <c r="H47" s="30" t="s">
        <v>32</v>
      </c>
    </row>
    <row r="48" spans="1:8" ht="20.100000000000001" customHeight="1" x14ac:dyDescent="0.25">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4:8" ht="20.100000000000001" customHeight="1" x14ac:dyDescent="0.25">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4:8" ht="20.100000000000001" customHeight="1" x14ac:dyDescent="0.25">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4:8" ht="20.100000000000001" customHeight="1" x14ac:dyDescent="0.25">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4:8" ht="20.100000000000001" customHeight="1" x14ac:dyDescent="0.25">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4:8" ht="20.100000000000001" customHeight="1" x14ac:dyDescent="0.25">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4:8" ht="20.100000000000001" customHeight="1" x14ac:dyDescent="0.25">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2" t="str" cm="1">
        <f t="array" ref="D57">Common_SourceData.Common_SourceData_WetAndDryZones_Title()</f>
        <v>VEERG Australian wet and dry zones</v>
      </c>
    </row>
    <row r="58" spans="4:8" ht="20.100000000000001" customHeight="1" x14ac:dyDescent="0.25">
      <c r="D58" s="28" t="str" cm="1">
        <f t="array" ref="D58">Common_SourceData.Common_SourceData_WetAndDryZones_Source()</f>
        <v>VEERG 2026: Table 1.2: Translating climate zones to wet and dry zones</v>
      </c>
    </row>
    <row r="59" spans="4:8" ht="20.100000000000001" customHeight="1" x14ac:dyDescent="0.25">
      <c r="D59" s="36" t="str" cm="1">
        <f t="array" ref="D59:D61">"⚠️" &amp; Common_SourceData.Common_SourceData_WetAndDryZones_Variation()</f>
        <v>⚠️VARIATION OF SOURCE DATA:</v>
      </c>
    </row>
    <row r="60" spans="4:8" ht="20.100000000000001" customHeight="1" x14ac:dyDescent="0.25">
      <c r="D60" s="36" t="str">
        <v>⚠️Added warm / cool temperate moist / dry - low frost and high temp classes to accommodate climate scenarios excluded by VEERG criteria.</v>
      </c>
    </row>
    <row r="61" spans="4:8" ht="20.100000000000001" customHeight="1" x14ac:dyDescent="0.25">
      <c r="D61" s="36" t="str">
        <v>⚠️Fixed typo - Changed 'Fry' to 'Dry'.</v>
      </c>
    </row>
    <row r="62" spans="4:8" ht="20.100000000000001" customHeight="1" x14ac:dyDescent="0.25"/>
    <row r="63" spans="4:8" ht="20.100000000000001" customHeight="1" x14ac:dyDescent="0.25">
      <c r="D63" s="30" t="s">
        <v>33</v>
      </c>
      <c r="E63" s="30" t="s">
        <v>34</v>
      </c>
    </row>
    <row r="64" spans="4:8" ht="20.100000000000001" customHeight="1" x14ac:dyDescent="0.25">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2" t="str" cm="1">
        <f t="array" ref="D81">Common_SourceData.Common_SourceData_ClimateZones_Title()</f>
        <v>VEERG Australian climate zones</v>
      </c>
    </row>
    <row r="82" spans="4:20" ht="20.100000000000001" customHeight="1" x14ac:dyDescent="0.25">
      <c r="D82" s="28" t="str" cm="1">
        <f t="array" ref="D82">Common_SourceData.Common_SourceData_ClimateZones_Source()</f>
        <v>VEERG 2026: Table 1.3: Climate and Rainfall zone classifications and definitions</v>
      </c>
    </row>
    <row r="83" spans="4:20" ht="20.100000000000001" customHeight="1" x14ac:dyDescent="0.25">
      <c r="D83" s="36" t="str" cm="1">
        <f t="array" ref="D83:D87">"⚠️" &amp; Common_SourceData.Common_SourceData_ClimateZones_Variation()</f>
        <v>⚠️VARIATION OF SOURCE DATA:</v>
      </c>
    </row>
    <row r="84" spans="4:20" ht="20.100000000000001" customHeight="1" x14ac:dyDescent="0.25">
      <c r="D84" s="36" t="str">
        <v>⚠️Added warm / cool temperate moist / dry - low frost and high temp classes to accommodate climate scenarios excluded by VEERG criteria.</v>
      </c>
    </row>
    <row r="85" spans="4:20" ht="20.100000000000001" customHeight="1" x14ac:dyDescent="0.25">
      <c r="D85" s="36" t="str">
        <v>⚠️Fixed typo in MAT value for warm temperate dry - changed 10 to 11.</v>
      </c>
    </row>
    <row r="86" spans="4:20" ht="20.100000000000001" customHeight="1" x14ac:dyDescent="0.25">
      <c r="D86" s="36" t="str">
        <v>⚠️Added min and max columns for MAT, MAP, frost days per year, elevation, MAP:PET to calculate zones from real climate data.</v>
      </c>
    </row>
    <row r="87" spans="4:20" ht="20.100000000000001" customHeight="1" x14ac:dyDescent="0.25">
      <c r="D87" s="36" t="str">
        <v>⚠️GAF accepts rainfall as a proxy for precipitation.</v>
      </c>
    </row>
    <row r="88" spans="4:20" ht="20.100000000000001" customHeight="1" x14ac:dyDescent="0.25"/>
    <row r="89" spans="4:20" ht="20.100000000000001" customHeight="1" x14ac:dyDescent="0.25">
      <c r="D89" s="30" t="s">
        <v>33</v>
      </c>
      <c r="E89" s="30" t="s">
        <v>35</v>
      </c>
      <c r="F89" s="30" t="s">
        <v>36</v>
      </c>
      <c r="G89" s="30" t="s">
        <v>37</v>
      </c>
      <c r="H89" s="30" t="s">
        <v>38</v>
      </c>
      <c r="I89" s="30" t="s">
        <v>39</v>
      </c>
      <c r="J89" s="30" t="s">
        <v>40</v>
      </c>
      <c r="K89" s="30" t="s">
        <v>41</v>
      </c>
      <c r="L89" s="30" t="s">
        <v>42</v>
      </c>
      <c r="M89" s="30" t="s">
        <v>43</v>
      </c>
      <c r="N89" s="30" t="s">
        <v>44</v>
      </c>
      <c r="O89" s="30" t="s">
        <v>45</v>
      </c>
      <c r="P89" s="30" t="s">
        <v>46</v>
      </c>
      <c r="Q89" s="30" t="s">
        <v>47</v>
      </c>
      <c r="R89" s="30" t="s">
        <v>48</v>
      </c>
      <c r="S89" s="30" t="s">
        <v>49</v>
      </c>
      <c r="T89" s="30"/>
    </row>
    <row r="90" spans="4:20" ht="20.100000000000001" customHeight="1" x14ac:dyDescent="0.25">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4:20" ht="20.100000000000001" customHeight="1" x14ac:dyDescent="0.25">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4:20" ht="20.100000000000001" customHeight="1" x14ac:dyDescent="0.25">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4:20" ht="20.100000000000001" customHeight="1" x14ac:dyDescent="0.25">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4:20" ht="20.100000000000001" customHeight="1" x14ac:dyDescent="0.25">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4:20" ht="20.100000000000001" customHeight="1" x14ac:dyDescent="0.2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4:20" ht="20.100000000000001" customHeight="1" x14ac:dyDescent="0.25">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4:20" ht="20.100000000000001" customHeight="1" x14ac:dyDescent="0.25">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4:20" ht="20.100000000000001" customHeight="1" x14ac:dyDescent="0.25"/>
    <row r="99" spans="4:20" ht="20.100000000000001" customHeight="1" x14ac:dyDescent="0.25">
      <c r="D99" s="16" t="str" cm="1">
        <f t="array" ref="D99:D102">Common_SourceData.Common_SourceData_ClimateZones_Appendices()</f>
        <v>Note:</v>
      </c>
    </row>
    <row r="100" spans="4:20" ht="20.100000000000001" customHeight="1" x14ac:dyDescent="0.25">
      <c r="D100" s="16" t="str">
        <v>MAT = mean annual temperature</v>
      </c>
    </row>
    <row r="101" spans="4:20" ht="20.100000000000001" customHeight="1" x14ac:dyDescent="0.25">
      <c r="D101" s="16" t="str">
        <v>MAP = mean annual precipitation</v>
      </c>
    </row>
    <row r="102" spans="4:20" ht="20.100000000000001" customHeight="1" x14ac:dyDescent="0.25">
      <c r="D102" s="16" t="str">
        <v>PET = potential evapotranspiration</v>
      </c>
    </row>
    <row r="103" spans="4:20" ht="20.100000000000001" customHeight="1" x14ac:dyDescent="0.25">
      <c r="D103" s="16"/>
    </row>
    <row r="104" spans="4:20" ht="20.100000000000001" customHeight="1" x14ac:dyDescent="0.25"/>
    <row r="105" spans="4:20" ht="20.100000000000001" customHeight="1" x14ac:dyDescent="0.25">
      <c r="D105" s="2" t="str" cm="1">
        <f t="array" ref="D105">Common_SourceData.Common_SourceData_TemperatureZones_Title()</f>
        <v>VEERG Australian temperature zones</v>
      </c>
    </row>
    <row r="106" spans="4:20" ht="20.100000000000001" customHeight="1" x14ac:dyDescent="0.25">
      <c r="D106" s="28" t="str" cm="1">
        <f t="array" ref="D106">Common_SourceData.Common_SourceData_TemperatureZones_Source()</f>
        <v>VEERG 2026: Table 1.3: Climate and Rainfall zone classifications and definitions</v>
      </c>
    </row>
    <row r="107" spans="4:20" ht="20.100000000000001" customHeight="1" x14ac:dyDescent="0.25">
      <c r="D107" s="36"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0" t="s">
        <v>50</v>
      </c>
      <c r="E109" s="30" t="s">
        <v>35</v>
      </c>
      <c r="F109" s="30" t="s">
        <v>51</v>
      </c>
      <c r="G109" s="30" t="s">
        <v>52</v>
      </c>
    </row>
    <row r="110" spans="4:20" ht="20.100000000000001" customHeight="1" x14ac:dyDescent="0.25">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4:20" ht="20.100000000000001" customHeight="1" x14ac:dyDescent="0.25">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2" t="str" cm="1">
        <f t="array" ref="D115">Common_SourceData.Common_SourceData_RainfallZones_Title()</f>
        <v>VEERG Australian rainfall zones</v>
      </c>
      <c r="BN115" s="32"/>
    </row>
    <row r="116" spans="4:66" ht="20.100000000000001" customHeight="1" x14ac:dyDescent="0.25">
      <c r="D116" s="28" t="str" cm="1">
        <f t="array" ref="D116">Common_SourceData.Common_SourceData_RainfallZones_Source()</f>
        <v>VEERG 2026: Table 1.3: Climate and Rainfall zone classifications and definitions</v>
      </c>
      <c r="BN116" s="32"/>
    </row>
    <row r="117" spans="4:66" ht="20.100000000000001" customHeight="1" x14ac:dyDescent="0.25">
      <c r="D117" s="36" t="str" cm="1">
        <f t="array" ref="D117">"⚠️" &amp; Common_SourceData.Common_SourceData_RainfallZones_Variation()</f>
        <v>⚠️VARIATION OF SOURCE DATA: Added extra Rainfall min and Rainfall max columns to calculate zone from real rainfall data.</v>
      </c>
      <c r="BN117" s="32"/>
    </row>
    <row r="118" spans="4:66" ht="20.100000000000001" customHeight="1" x14ac:dyDescent="0.25">
      <c r="BN118" s="32"/>
    </row>
    <row r="119" spans="4:66" ht="20.100000000000001" customHeight="1" x14ac:dyDescent="0.25">
      <c r="D119" s="30" t="s">
        <v>53</v>
      </c>
      <c r="E119" s="30" t="s">
        <v>54</v>
      </c>
      <c r="F119" s="30" t="s">
        <v>42</v>
      </c>
      <c r="G119" s="30" t="s">
        <v>43</v>
      </c>
      <c r="BN119" s="32"/>
    </row>
    <row r="120" spans="4:66" ht="20.100000000000001" customHeight="1" x14ac:dyDescent="0.25">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4:66" ht="20.100000000000001" customHeight="1" x14ac:dyDescent="0.25">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4:66" ht="20.100000000000001" customHeight="1" x14ac:dyDescent="0.25">
      <c r="BN122" s="32"/>
    </row>
    <row r="123" spans="4:66" ht="20.100000000000001" customHeight="1" x14ac:dyDescent="0.25"/>
    <row r="124" spans="4:66" ht="20.100000000000001" customHeight="1" x14ac:dyDescent="0.25">
      <c r="D124" s="2" t="str" cm="1">
        <f t="array" ref="D124">Common_SourceData.Common_SourceData_LeachingZones_Title()</f>
        <v>VEERG Australian leaching zones</v>
      </c>
    </row>
    <row r="125" spans="4:66" ht="20.100000000000001" customHeight="1" x14ac:dyDescent="0.25">
      <c r="D125" s="28"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0" t="s">
        <v>55</v>
      </c>
      <c r="E127" s="30" t="s">
        <v>56</v>
      </c>
    </row>
    <row r="128" spans="4:66" ht="20.100000000000001" customHeight="1" x14ac:dyDescent="0.25">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2" t="str" cm="1">
        <f t="array" ref="D132">Common_SourceData.Common_SourceData_FracWET_Title()</f>
        <v>Fraction of N that is available for leaching and runoff</v>
      </c>
      <c r="E132" s="9"/>
    </row>
    <row r="133" spans="4:77" ht="20.100000000000001" customHeight="1" x14ac:dyDescent="0.25">
      <c r="D133" s="28" t="str" cm="1">
        <f t="array" ref="D133">Common_SourceData.Common_SourceData_FracWET_Source()</f>
        <v>VEERG 2026:5.5.2.3 Constant Parameters</v>
      </c>
      <c r="E133" s="9"/>
    </row>
    <row r="134" spans="4:77" ht="20.100000000000001" customHeight="1" x14ac:dyDescent="0.25">
      <c r="D134" t="s">
        <v>57</v>
      </c>
      <c r="E134" t="s">
        <v>58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32"/>
      <c r="BO138" s="32"/>
      <c r="BP138" s="32"/>
      <c r="BQ138" s="32"/>
      <c r="BR138" s="32"/>
      <c r="BS138" s="32"/>
      <c r="BT138" s="32"/>
      <c r="BU138" s="32"/>
      <c r="BV138" s="32"/>
      <c r="BW138" s="32"/>
      <c r="BX138" s="32"/>
      <c r="BY138" s="32"/>
    </row>
    <row r="139" spans="4:77" ht="20.100000000000001" customHeight="1" x14ac:dyDescent="0.25">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4:77" ht="20.100000000000001" customHeight="1" x14ac:dyDescent="0.25">
      <c r="D140" s="28"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4:77" ht="20.100000000000001" customHeight="1" x14ac:dyDescent="0.25">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4:77" ht="20.100000000000001" customHeight="1" x14ac:dyDescent="0.25">
      <c r="D142" s="30" t="s">
        <v>59</v>
      </c>
      <c r="E142" s="30" t="s">
        <v>58</v>
      </c>
      <c r="BN142" s="32"/>
    </row>
    <row r="143" spans="4:77" ht="20.100000000000001" customHeight="1" x14ac:dyDescent="0.25">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4:66" ht="20.100000000000001" customHeight="1" x14ac:dyDescent="0.25">
      <c r="BN148" s="32"/>
    </row>
    <row r="149" spans="4:66" ht="20.100000000000001" customHeight="1" x14ac:dyDescent="0.25">
      <c r="BN149" s="32"/>
    </row>
    <row r="150" spans="4:66" ht="20.100000000000001" customHeight="1" x14ac:dyDescent="0.25">
      <c r="D150" s="2" t="str" cm="1">
        <f t="array" ref="D150">Common_SourceData.Common_SourceData_DataScores_Scope3_Title()</f>
        <v>Australian data scores for scope 3</v>
      </c>
      <c r="BN150" s="32"/>
    </row>
    <row r="151" spans="4:66" ht="20.100000000000001" customHeight="1" x14ac:dyDescent="0.25">
      <c r="D151" s="28" t="str" cm="1">
        <f t="array" ref="D151">Common_SourceData.Common_SourceData_DataScores_Scope3_Source()</f>
        <v>VEERG 2026: XXXXXXXX</v>
      </c>
      <c r="BN151" s="32"/>
    </row>
    <row r="152" spans="4:66" ht="20.100000000000001" customHeight="1" x14ac:dyDescent="0.25">
      <c r="BN152" s="32"/>
    </row>
    <row r="153" spans="4:66" ht="20.100000000000001" customHeight="1" x14ac:dyDescent="0.25">
      <c r="D153" s="30" t="s">
        <v>60</v>
      </c>
      <c r="E153" s="30" t="s">
        <v>61</v>
      </c>
      <c r="BC153" s="35"/>
      <c r="BD153" s="35"/>
      <c r="BE153" s="35"/>
      <c r="BF153" s="35"/>
      <c r="BG153" s="35"/>
      <c r="BH153" s="35"/>
      <c r="BI153" s="35"/>
      <c r="BJ153" s="35"/>
      <c r="BK153" s="35"/>
      <c r="BL153" s="35"/>
      <c r="BM153" s="35"/>
    </row>
    <row r="154" spans="4:66" ht="20.100000000000001" customHeight="1" x14ac:dyDescent="0.25">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4:66" ht="20.100000000000001" customHeight="1" x14ac:dyDescent="0.2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4:66" ht="20.100000000000001" customHeight="1" x14ac:dyDescent="0.25">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4:66" ht="20.100000000000001" customHeight="1" x14ac:dyDescent="0.25">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4:66" ht="20.100000000000001" customHeight="1" x14ac:dyDescent="0.25">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28" t="str" cm="1">
        <f t="array" ref="D162">Common_SourceData.Common_SourceData_FracLEACH_Source()</f>
        <v>VEERG 2026:5.5.2.3 Constant Parameters</v>
      </c>
      <c r="E162" s="9"/>
    </row>
    <row r="163" spans="4:68" ht="20.100000000000001" customHeight="1" x14ac:dyDescent="0.25">
      <c r="D163" s="2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8" t="str" cm="1">
        <f t="array" ref="D168">Common_SourceData.Common_SourceData_EFleach_Source()</f>
        <v>VEERG 2026:5.5.2.3 Constant Parameters</v>
      </c>
      <c r="BN168" s="32"/>
      <c r="BO168" s="32"/>
      <c r="BP168" s="32"/>
    </row>
    <row r="169" spans="4:68" ht="20.100000000000001" customHeight="1" x14ac:dyDescent="0.25">
      <c r="D169" s="28"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8"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6"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8" t="str" cm="1">
        <f t="array" ref="D179">Common_SourceData.Common_SourceData_EFN2O_Source()</f>
        <v>VEERG 2026: Table A.2.2.1</v>
      </c>
      <c r="BN179" s="32"/>
      <c r="BO179" s="32"/>
      <c r="BP179" s="32"/>
    </row>
    <row r="180" spans="4:68" ht="20.100000000000001" customHeight="1" x14ac:dyDescent="0.25">
      <c r="D180" s="16"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62</v>
      </c>
      <c r="E186" s="30" t="s">
        <v>63</v>
      </c>
      <c r="F186" s="30" t="s">
        <v>64</v>
      </c>
      <c r="G186" s="30" t="s">
        <v>65</v>
      </c>
      <c r="H186" s="30" t="s">
        <v>66</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8"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6" t="str" cm="1">
        <f t="array" ref="D205">Common_SourceData.Common_SourceData_EFPastureRangeAndPaddock_Unit()</f>
        <v>kg N2O - N / kg N</v>
      </c>
    </row>
    <row r="206" spans="4:8" x14ac:dyDescent="0.25">
      <c r="D206" s="30" t="s">
        <v>33</v>
      </c>
      <c r="E206" s="30" t="s">
        <v>67</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68</v>
      </c>
      <c r="E212" s="30" t="s">
        <v>69</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8"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70</v>
      </c>
      <c r="E231" s="30" t="s">
        <v>71</v>
      </c>
      <c r="F231" s="37" t="s">
        <v>72</v>
      </c>
      <c r="G231" s="30" t="s">
        <v>73</v>
      </c>
      <c r="H231" s="30" t="s">
        <v>74</v>
      </c>
      <c r="I231" s="30" t="s">
        <v>75</v>
      </c>
      <c r="J231" s="30" t="s">
        <v>76</v>
      </c>
      <c r="K231" s="30" t="s">
        <v>77</v>
      </c>
      <c r="L231" s="30" t="s">
        <v>78</v>
      </c>
      <c r="M231" s="30" t="s">
        <v>79</v>
      </c>
      <c r="N231" s="30" t="s">
        <v>80</v>
      </c>
      <c r="O231" s="30" t="s">
        <v>81</v>
      </c>
      <c r="P231" s="30" t="s">
        <v>82</v>
      </c>
      <c r="Q231" s="30" t="s">
        <v>83</v>
      </c>
      <c r="R231" s="30" t="s">
        <v>84</v>
      </c>
      <c r="S231" s="30" t="s">
        <v>85</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6" t="str" cm="1">
        <f t="array" ref="D256">Common_SourceData.Common_SourceData_EFOrganicFertiliserAndCropResidues_Unit()</f>
        <v>kg N2O - N / kg N</v>
      </c>
    </row>
    <row r="257" spans="4:5" x14ac:dyDescent="0.25">
      <c r="D257" s="30" t="s">
        <v>86</v>
      </c>
      <c r="E257" s="30" t="s">
        <v>87</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CYAIABcACIAIAB0AG8AIABcACIAIAAmACAAZQBuAGQAcwBUAGUAeAB0ACAAJ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Bd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vt:i4>
      </vt:variant>
    </vt:vector>
  </HeadingPairs>
  <TitlesOfParts>
    <vt:vector size="40" baseType="lpstr">
      <vt:lpstr>Home</vt:lpstr>
      <vt:lpstr>Results</vt:lpstr>
      <vt:lpstr>Input - Site</vt:lpstr>
      <vt:lpstr>Input - Enterprise</vt:lpstr>
      <vt:lpstr>Input - Livestock sales</vt:lpstr>
      <vt:lpstr>Input - Fert Prod System</vt:lpstr>
      <vt:lpstr>Input - Data quality</vt:lpstr>
      <vt:lpstr>Constants - Common</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2026-08-06T07:32:38Z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