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969924AD-98CF-4A17-9E73-C8E1CBE419AF}" xr6:coauthVersionLast="47" xr6:coauthVersionMax="47" xr10:uidLastSave="{00000000-0000-0000-0000-000000000000}"/>
  <bookViews>
    <workbookView xWindow="1065" yWindow="735" windowWidth="36255" windowHeight="19140" activeTab="5" xr2:uid="{992023F3-CAB7-4E5B-A348-08D563A0EF40}"/>
  </bookViews>
  <sheets>
    <sheet name="Home" sheetId="71" r:id="rId1"/>
    <sheet name="Results" sheetId="13" r:id="rId2"/>
    <sheet name="Input - Site" sheetId="75" r:id="rId3"/>
    <sheet name="Input - Enterprise" sheetId="72" r:id="rId4"/>
    <sheet name="Input - Livestock sales" sheetId="77" r:id="rId5"/>
    <sheet name="Input - Fert Prod System" sheetId="76" r:id="rId6"/>
    <sheet name="Constants - Common" sheetId="74" r:id="rId7"/>
  </sheets>
  <externalReferences>
    <externalReference r:id="rId8"/>
  </externalReferences>
  <definedNames>
    <definedName name="Common_Equations.Common_ConvertCH4ToCO2e" localSheetId="4">_xlfn.LAMBDA(_xlpm.E_CH4,_xlpm.GWP_CH4, _xlpm.E_CH4 * _xlpm.GWP_CH4)</definedName>
    <definedName name="Common_Equations.Common_ConvertCH4ToCO2e">_xlfn.LAMBDA(_xlpm.E_CH4,_xlpm.GWP_CH4, _xlpm.E_CH4 * _xlpm.GWP_CH4)</definedName>
    <definedName name="Common_Equations.Common_ConvertCH4ToCO2e_Arguments" localSheetId="4">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 localSheetId="4">_xlfn.LAMBDA(_xlpm.E_N2O,_xlpm.GWP_N2O, _xlpm.E_N2O * _xlpm.GWP_N2O)</definedName>
    <definedName name="Common_Equations.Common_ConvertN2OToCO2e">_xlfn.LAMBDA(_xlpm.E_N2O,_xlpm.GWP_N2O, _xlpm.E_N2O * _xlpm.GWP_N2O)</definedName>
    <definedName name="Common_Equations.Common_ConvertN2OToCO2e_Arguments" localSheetId="4">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 localSheetId="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4">_xlfn.LAMBDA(_xlpm.LeachingZone,_xlpm.ProductionSystem,_xlpm.LeachingZoneLookup,_xlpm.LeachingZoneFracWETLookup,_xlpm.ProductionSystemLookup,_xlpm.ProductionSystemFracWETLookup, _xlfn.LET(_xlpm.LeachingZoneFracWET, 'Input - Livestock sales'!Common_InputFunctions.Utility_LookupValueInTableNumber(_xlpm.LeachingZone, _xlpm.LeachingZoneLookup, _xlpm.LeachingZoneFracWETLookup), _xlpm.ProductionSystemFracWET, 'Input - Livestock sales'!Common_InputFunctions.Utility_LookupValueInTableNumber(_xlpm.ProductionSystem,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 localSheetId="4">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4">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4">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4">_xlfn.LAMBDA(_xlpm.ArrayData,_xlpm.TableheaderCell,_xlpm.RowsBetweenHeaderandArray,_xlop.ColumnsBetweenHeaderAndArray, IFERROR(INDEX(_xlfn.UNIQUE(_xlpm.ArrayData), ROW() - 'Input - Livestock sales'!Common_InputFunctions.Utility_GetArrayTableRowStartNumber(_xlpm.TableheaderCell, _xlpm.RowsBetweenHeaderandArray), COLUMN() - 'Input - Livestock sales'!Common_InputFunctions.Utility_GetArrayTableColumnStartNumber(_xlpm.TableheaderCell)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4">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4">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4">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4">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4">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 localSheetId="4">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 localSheetId="4">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4">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4">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 localSheetId="4">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 localSheetId="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 localSheetId="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 localSheetId="4">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 localSheetId="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 localSheetId="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4">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4">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4">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 localSheetId="4">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 localSheetId="4">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4">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 localSheetId="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 localSheetId="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 localSheetId="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4">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 localSheetId="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 localSheetId="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Enterprise_PastureBeef_InputFunctions.multiplyCorrespondingCells" localSheetId="4">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 localSheetId="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 localSheetId="4">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4">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4">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4">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4">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I_j_k_l">#REF!</definedName>
    <definedName name="M1_Table_MA_j_k45">#REF!</definedName>
    <definedName name="M1_Table_VS_j_k_l">#REF!</definedName>
    <definedName name="M2_Table_I_j_k_l">#REF!</definedName>
    <definedName name="Result_CarbonRemovalsFromPlantings">Results!$E$56</definedName>
    <definedName name="Result_EmissionsForWholeProductionCycle_Method1" localSheetId="4">[1]Results!$E$42</definedName>
    <definedName name="Result_EmissionsForWholeProductionCycle_Method1">Results!$E$45</definedName>
    <definedName name="Result_EmissionsForWholeProductionCycle_Method2" localSheetId="4">[1]Results!$F$42</definedName>
    <definedName name="Result_EmissionsForWholeProductionCycle_Method2">Results!$F$45</definedName>
    <definedName name="Result_Enterprise_Method1" localSheetId="4">[1]Results!$H$28</definedName>
    <definedName name="Result_Enterprise_Method1">Results!$H$31</definedName>
    <definedName name="Result_Enterprise_Method2" localSheetId="4">[1]Results!$I$28</definedName>
    <definedName name="Result_Enterprise_Method2">Results!$I$31</definedName>
    <definedName name="Result_NetEmissions_Method1" localSheetId="4">[1]Results!$E$59</definedName>
    <definedName name="Result_NetEmissions_Method1">Results!$E$62</definedName>
    <definedName name="Result_NetEmissions_Method2" localSheetId="4">[1]Results!$F$59</definedName>
    <definedName name="Result_NetEmissions_Method2">Results!$F$62</definedName>
    <definedName name="X_Cell_Enterprise_ProductionTimeframeEnd" localSheetId="4">'[1]Input - Enterprise'!$E$19</definedName>
    <definedName name="X_Cell_Enterprise_ProductionTimeframeEnd">'Input - Enterprise'!$E$19</definedName>
    <definedName name="X_Cell_Enterprise_ProductionTimeframeStart" localSheetId="4">'[1]Input - Enterprise'!$E$18</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 localSheetId="4">'[1]Input - Enterprise'!$E$12</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Results!$D$39:$F$44</definedName>
    <definedName name="X_Table_Result_CarbonRemovalsFromPlantings_RowsToCols">Results!$D$50:$E$55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 i="77" l="1"/>
  <c r="I15" i="77"/>
  <c r="I14" i="77"/>
  <c r="I13" i="77"/>
  <c r="I12" i="77"/>
  <c r="I11" i="77"/>
  <c r="I10" i="77"/>
  <c r="I9" i="77"/>
  <c r="I8" i="77"/>
  <c r="I7" i="77"/>
  <c r="F14" i="13" l="1" a="1"/>
  <c r="F14" i="13" s="1"/>
  <c r="E14" i="13" a="1"/>
  <c r="E14" i="13" s="1"/>
  <c r="F13" i="13" a="1"/>
  <c r="F13" i="13" s="1"/>
  <c r="E13" i="13" a="1"/>
  <c r="E13" i="13" s="1"/>
  <c r="F12" i="13" a="1"/>
  <c r="F12" i="13" s="1"/>
  <c r="E12" i="13" a="1"/>
  <c r="E12" i="13"/>
  <c r="F11" i="13" a="1"/>
  <c r="F11" i="13" s="1"/>
  <c r="E11" i="13" a="1"/>
  <c r="E11" i="13" s="1"/>
  <c r="F10" i="13" a="1"/>
  <c r="F10" i="13" s="1"/>
  <c r="E10" i="13" a="1"/>
  <c r="E10" i="13" s="1"/>
  <c r="F9" i="13" a="1"/>
  <c r="F9" i="13" s="1"/>
  <c r="E9" i="13" a="1"/>
  <c r="E9" i="13" s="1"/>
  <c r="F8" i="13" a="1"/>
  <c r="F8" i="13" s="1"/>
  <c r="E8" i="13" a="1"/>
  <c r="E8" i="13" s="1"/>
  <c r="F7" i="13" l="1" a="1"/>
  <c r="F7" i="13" s="1"/>
  <c r="E7" i="13" a="1"/>
  <c r="E7" i="13" s="1"/>
  <c r="E10" i="76" l="1" a="1"/>
  <c r="E10" i="76" s="1"/>
  <c r="E9" i="76" a="1"/>
  <c r="E9" i="76"/>
  <c r="E55" i="13" l="1"/>
  <c r="E54" i="13"/>
  <c r="F67" i="13"/>
  <c r="F68" i="13" s="1"/>
  <c r="G77" i="13"/>
  <c r="G78" i="13" s="1"/>
  <c r="G75" i="13"/>
  <c r="G76" i="13" s="1"/>
  <c r="E29" i="72"/>
  <c r="F75" i="13" l="1"/>
  <c r="F76" i="13"/>
  <c r="E30" i="13" a="1"/>
  <c r="E30" i="13" s="1"/>
  <c r="E29" i="13" a="1"/>
  <c r="E29" i="13" s="1"/>
  <c r="H29" i="13" s="1"/>
  <c r="E28" i="13" a="1"/>
  <c r="E28" i="13" s="1"/>
  <c r="E27" i="13" a="1"/>
  <c r="E27" i="13" s="1"/>
  <c r="F27" i="13" s="1"/>
  <c r="E26" i="13" a="1"/>
  <c r="E26" i="13" s="1"/>
  <c r="H26" i="13" s="1"/>
  <c r="E25" i="13" a="1"/>
  <c r="E25" i="13" s="1"/>
  <c r="F25" i="13" s="1"/>
  <c r="E24" i="13" a="1"/>
  <c r="E24" i="13" s="1"/>
  <c r="E23" i="13" a="1"/>
  <c r="E23" i="13" s="1"/>
  <c r="H23" i="13" s="1"/>
  <c r="F22" i="13" a="1"/>
  <c r="F22" i="13" s="1"/>
  <c r="E22" i="13" a="1"/>
  <c r="E22" i="13" s="1"/>
  <c r="F21" i="13" a="1"/>
  <c r="F21" i="13" s="1"/>
  <c r="E21" i="13" a="1"/>
  <c r="E21" i="13" s="1"/>
  <c r="E20" i="13" a="1"/>
  <c r="E20" i="13" s="1"/>
  <c r="E19" i="13" a="1"/>
  <c r="E19" i="13" s="1"/>
  <c r="E18" i="13" a="1"/>
  <c r="E18" i="13" s="1"/>
  <c r="E17" i="13" a="1"/>
  <c r="E17" i="13" s="1"/>
  <c r="E16" i="13" a="1"/>
  <c r="E16" i="13" s="1"/>
  <c r="F16" i="13" s="1"/>
  <c r="I16" i="13" s="1"/>
  <c r="F15" i="13" a="1"/>
  <c r="F15" i="13" s="1"/>
  <c r="E15" i="13" a="1"/>
  <c r="E15" i="13" s="1"/>
  <c r="F44" i="13"/>
  <c r="F43" i="13"/>
  <c r="E44" i="13"/>
  <c r="E43" i="13"/>
  <c r="D40" i="13" a="1"/>
  <c r="D40" i="13" s="1"/>
  <c r="F40" i="13" s="1"/>
  <c r="D51" i="13" a="1"/>
  <c r="F84" i="13"/>
  <c r="F83" i="13"/>
  <c r="F71" i="13"/>
  <c r="F79" i="13" s="1"/>
  <c r="F69" i="13"/>
  <c r="F77" i="13" s="1"/>
  <c r="D36" i="13" a="1"/>
  <c r="D36"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H7" i="13" s="1" a="1"/>
  <c r="H7" i="13" s="1"/>
  <c r="H31" i="13"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H17" i="13" l="1" a="1"/>
  <c r="H17" i="13" s="1"/>
  <c r="H28" i="13" a="1"/>
  <c r="H28" i="13" s="1"/>
  <c r="E22" i="75"/>
  <c r="H20" i="13" a="1"/>
  <c r="H20" i="13" s="1"/>
  <c r="H8" i="13" a="1"/>
  <c r="H8" i="13" s="1"/>
  <c r="H21" i="13" a="1"/>
  <c r="H21" i="13" s="1"/>
  <c r="I8" i="13" a="1"/>
  <c r="I8" i="13" s="1"/>
  <c r="I21" i="13" a="1"/>
  <c r="I21" i="13" s="1"/>
  <c r="H9" i="13" a="1"/>
  <c r="H9" i="13" s="1"/>
  <c r="H22" i="13" a="1"/>
  <c r="H22" i="13" s="1"/>
  <c r="I9" i="13" a="1"/>
  <c r="I9" i="13" s="1"/>
  <c r="I22" i="13" a="1"/>
  <c r="I22" i="13" s="1"/>
  <c r="H10" i="13" a="1"/>
  <c r="H10" i="13" s="1"/>
  <c r="I10" i="13" a="1"/>
  <c r="I10" i="13" s="1"/>
  <c r="H24" i="13" a="1"/>
  <c r="H24" i="13" s="1"/>
  <c r="H11" i="13" a="1"/>
  <c r="H11" i="13" s="1"/>
  <c r="I7" i="13" a="1"/>
  <c r="I7" i="13" s="1"/>
  <c r="I31" i="13" s="1"/>
  <c r="I25" i="13" a="1"/>
  <c r="I25" i="13" s="1"/>
  <c r="I11" i="13" a="1"/>
  <c r="I11" i="13" s="1"/>
  <c r="H15" i="13" a="1"/>
  <c r="H15" i="13" s="1"/>
  <c r="F23" i="13"/>
  <c r="I23" i="13" s="1"/>
  <c r="I15" i="13" a="1"/>
  <c r="I15" i="13" s="1"/>
  <c r="I14" i="13" a="1"/>
  <c r="I14" i="13" s="1"/>
  <c r="H14" i="13" a="1"/>
  <c r="H14" i="13" s="1"/>
  <c r="I13" i="13" a="1"/>
  <c r="I13" i="13" s="1"/>
  <c r="H13" i="13" a="1"/>
  <c r="H13" i="13" s="1"/>
  <c r="I12" i="13" a="1"/>
  <c r="I12" i="13" s="1"/>
  <c r="H12" i="13" a="1"/>
  <c r="H12" i="13" s="1"/>
  <c r="I27" i="13" a="1"/>
  <c r="I27" i="13" s="1"/>
  <c r="H19" i="13" a="1"/>
  <c r="H19" i="13" s="1"/>
  <c r="F19" i="13"/>
  <c r="I19" i="13" s="1" a="1"/>
  <c r="I19" i="13" s="1"/>
  <c r="F29" i="13"/>
  <c r="I29" i="13" s="1"/>
  <c r="D51" i="13"/>
  <c r="E51" i="13" s="1"/>
  <c r="E53" i="13"/>
  <c r="E52" i="13"/>
  <c r="F24" i="13"/>
  <c r="I24" i="13" s="1" a="1"/>
  <c r="I24" i="13" s="1"/>
  <c r="G67" i="13"/>
  <c r="G68" i="13" s="1"/>
  <c r="F70" i="13"/>
  <c r="F78" i="13" s="1"/>
  <c r="H30" i="13"/>
  <c r="F30" i="13"/>
  <c r="I30" i="13" s="1"/>
  <c r="F18" i="13"/>
  <c r="I18" i="13" s="1"/>
  <c r="H18" i="13"/>
  <c r="F20" i="13"/>
  <c r="I20" i="13" s="1" a="1"/>
  <c r="I20" i="13" s="1"/>
  <c r="H27" i="13" a="1"/>
  <c r="H27" i="13" s="1"/>
  <c r="H16" i="13"/>
  <c r="F26" i="13"/>
  <c r="I26" i="13" s="1"/>
  <c r="F28" i="13"/>
  <c r="I28" i="13" s="1" a="1"/>
  <c r="I28" i="13" s="1"/>
  <c r="H25" i="13" a="1"/>
  <c r="H25" i="13" s="1"/>
  <c r="F17" i="13"/>
  <c r="I17" i="13" s="1" a="1"/>
  <c r="I17" i="13" s="1"/>
  <c r="E19" i="75"/>
  <c r="E20" i="75"/>
  <c r="E21" i="75" s="1"/>
  <c r="E40" i="13"/>
  <c r="E42" i="13"/>
  <c r="F42" i="13"/>
  <c r="H54" i="74"/>
  <c r="H51" i="74"/>
  <c r="H49" i="74"/>
  <c r="G69" i="13"/>
  <c r="G70" i="13" s="1"/>
  <c r="H53" i="74"/>
  <c r="H48" i="74"/>
  <c r="H52" i="74"/>
  <c r="H50" i="74"/>
  <c r="E56" i="13" l="1"/>
  <c r="A20" i="13"/>
  <c r="A19" i="13"/>
  <c r="A18" i="13"/>
  <c r="A17" i="13"/>
  <c r="A14" i="13"/>
  <c r="A13" i="13"/>
  <c r="A12" i="13"/>
  <c r="A11" i="13"/>
  <c r="A8" i="13"/>
  <c r="A7" i="13"/>
  <c r="A4" i="13"/>
  <c r="A3" i="13"/>
  <c r="E41" i="13" l="1"/>
  <c r="E45" i="13" s="1"/>
  <c r="H67" i="13" s="1"/>
  <c r="H75" i="13" l="1"/>
  <c r="H69" i="13"/>
  <c r="H77" i="13"/>
  <c r="E62" i="13"/>
  <c r="F41" i="13"/>
  <c r="F45" i="13" s="1"/>
  <c r="H70" i="13" l="1"/>
  <c r="H76" i="13"/>
  <c r="H78" i="13"/>
  <c r="H83" i="13"/>
  <c r="H68" i="13"/>
  <c r="I77" i="13"/>
  <c r="I69" i="13"/>
  <c r="I75" i="13"/>
  <c r="I67" i="13"/>
  <c r="F62" i="13"/>
  <c r="I70" i="13" l="1"/>
  <c r="I76" i="13"/>
  <c r="I78" i="13"/>
  <c r="I84" i="13"/>
  <c r="I68"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<sst xmlns="http://schemas.openxmlformats.org/spreadsheetml/2006/main" count="340" uniqueCount="210">
  <si>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</si>
  <si>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</si>
  <si>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</si>
  <si>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</si>
  <si>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</si>
  <si>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</si>
  <si>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</si>
  <si>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</si>
  <si>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</si>
  <si>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</si>
  <si>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</si>
  <si>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</si>
  <si>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</si>
  <si>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</si>
  <si>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</si>
  <si>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</si>
  <si>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</si>
  <si>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</si>
  <si>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</si>
  <si>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</si>
  <si>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</si>
  <si>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</si>
  <si>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</si>
  <si>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</si>
  <si>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</si>
  <si>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</si>
  <si>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</si>
  <si>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</si>
  <si>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</si>
  <si>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</si>
  <si>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</si>
  <si>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</si>
  <si>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</si>
  <si>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</si>
  <si>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</si>
  <si>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</si>
  <si>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</si>
  <si>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</si>
  <si>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</si>
  <si>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</si>
  <si>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</si>
  <si>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</si>
  <si>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</si>
  <si>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</si>
  <si>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</si>
  <si>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</si>
  <si>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</si>
  <si>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</si>
  <si>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</si>
  <si>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</si>
  <si>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</si>
  <si>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</si>
  <si>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</si>
  <si>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</si>
  <si>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</si>
  <si>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</si>
  <si>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</si>
  <si>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</si>
  <si>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</si>
  <si>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</si>
  <si>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</si>
  <si>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</si>
  <si>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</si>
  <si>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</si>
  <si>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</si>
  <si>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</si>
  <si>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</si>
  <si>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</si>
  <si>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</si>
  <si>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</si>
  <si>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</si>
  <si>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</si>
  <si>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</si>
  <si>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</si>
  <si>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</si>
  <si>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</si>
  <si>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</si>
  <si>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</si>
  <si>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</si>
  <si>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</si>
  <si>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</si>
  <si>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</si>
  <si>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</si>
  <si>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</si>
  <si>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</si>
  <si>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</si>
  <si>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</si>
  <si>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</si>
  <si>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</si>
  <si>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</si>
  <si>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</si>
  <si>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</si>
  <si>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</si>
  <si>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</si>
  <si>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</si>
  <si>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</si>
  <si>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</si>
  <si>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</si>
  <si>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</si>
  <si>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</si>
  <si>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</si>
  <si>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</si>
  <si>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</si>
  <si>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</si>
  <si>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</si>
  <si>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</si>
  <si>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</si>
  <si>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</si>
  <si>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</si>
  <si>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</si>
  <si>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</si>
  <si>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</si>
  <si>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</si>
  <si>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</si>
  <si>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</si>
  <si>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</si>
  <si>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</si>
  <si>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</si>
  <si>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</si>
  <si>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</si>
  <si>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</si>
  <si>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</si>
  <si>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</si>
  <si>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</si>
  <si>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</si>
  <si>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</si>
  <si>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</si>
  <si>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</si>
  <si>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</si>
  <si>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</si>
  <si>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</si>
  <si>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</si>
  <si>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</si>
  <si>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</si>
  <si>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</si>
  <si>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</si>
  <si>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</si>
  <si>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</si>
  <si>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</si>
  <si>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</si>
  <si>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</si>
  <si>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</si>
  <si>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</si>
  <si>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</si>
  <si>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</si>
  <si>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</si>
  <si>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</si>
  <si>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</si>
  <si>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</si>
  <si>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</si>
  <si>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</si>
  <si>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</si>
  <si>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</si>
  <si>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</si>
  <si>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</si>
  <si>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</si>
  <si>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</si>
  <si>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</si>
  <si>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</si>
  <si>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</si>
  <si>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</si>
  <si>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</si>
  <si>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</si>
  <si>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</si>
  <si>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</si>
  <si>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</si>
  <si>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</si>
  <si>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</si>
  <si>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</si>
  <si>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</si>
  <si>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</si>
  <si>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</si>
  <si>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</si>
  <si>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</si>
  <si>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</si>
  <si>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</si>
  <si>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=SUM(Table_Input_LivestockSales[Total liveweight sold])*10^-3</t>
  </si>
  <si>
    <t>=SUM(Enterprise_PastureBeef_InputFunctions.multiplyCorrespondingCells('Input - Pasture Beef'!X_Table_PastureBeef_Head_Method1, 'Input - Pasture Beef'!X_Table_PastureBeef_Duration_Method1, '4.2.1.1-2 Methane'!M1_Table_VS_j_k_l))*10^-3</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</si>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</sst>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5">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37" fillId="4" borderId="0" xfId="59">
      <alignment horizontal="left" vertical="center"/>
    </xf>
    <xf numFmtId="170" fontId="0" fillId="0" borderId="0" xfId="8" applyNumberFormat="1" applyFont="1" applyFill="1">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9">
    <dxf>
      <numFmt numFmtId="170" formatCode="[$-F800]dddd\,\ mmmm\ dd\,\ yyyy"/>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PastureBeef_Template_WIP_v01.xlsx" TargetMode="External"/><Relationship Id="rId1" Type="http://schemas.openxmlformats.org/officeDocument/2006/relationships/externalLinkPath" Target="Enterprise_PastureBeef_Template_WIP_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Livestock sales"/>
      <sheetName val="Constants - Common"/>
    </sheetNames>
    <sheetDataSet>
      <sheetData sheetId="0"/>
      <sheetData sheetId="1">
        <row r="28">
          <cell r="H28" t="e">
            <v>#NAME?</v>
          </cell>
          <cell r="I28" t="e">
            <v>#NAME?</v>
          </cell>
        </row>
        <row r="42">
          <cell r="E42" t="e">
            <v>#NAME?</v>
          </cell>
          <cell r="F42" t="e">
            <v>#NAME?</v>
          </cell>
        </row>
        <row r="59">
          <cell r="E59" t="e">
            <v>#NAME?</v>
          </cell>
          <cell r="F59" t="e">
            <v>#NAME?</v>
          </cell>
        </row>
      </sheetData>
      <sheetData sheetId="2"/>
      <sheetData sheetId="3">
        <row r="12">
          <cell r="E12">
            <v>45292</v>
          </cell>
        </row>
        <row r="18">
          <cell r="E18">
            <v>45231</v>
          </cell>
        </row>
        <row r="19">
          <cell r="E19">
            <v>45747</v>
          </cell>
        </row>
      </sheetData>
      <sheetData sheetId="4"/>
      <sheetData sheetId="5"/>
      <sheetData sheetId="6"/>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0"/>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2.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 zoomScaleNormal="100" workbookViewId="0">
      <selection activeCell="D26" sqref="D26"/>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193</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194</v>
      </c>
      <c r="E7" s="19" t="e" cm="1">
        <f t="array" ref="E7">VEERG_3_3_1_1__1_TotalAnnualMethaneFromEntericFermentationVariation_Result_Method1</f>
        <v>#NAME?</v>
      </c>
      <c r="F7" s="19" t="e" cm="1">
        <f t="array" ref="F7">VEERG_3_3_1_1__1_TotalAnnualMethaneFromEntericFermentationVariation_Result_Method2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195</v>
      </c>
      <c r="E8" s="19" t="e" cm="1">
        <f t="array" ref="E8">VEERG_4_3_1_1__1_TotalAnnualMethaneFromManureManagement_Result_Method1</f>
        <v>#NAME?</v>
      </c>
      <c r="F8" s="19" t="e" cm="1">
        <f t="array" ref="F8">VEERG_4_3_1_1__1_TotalAnnualMethaneFromManureManagement_Result_Method2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196</v>
      </c>
      <c r="E9" s="19" t="e" cm="1">
        <f t="array" ref="E9">VEERG_4_3_1_3__1_TotalAnnualDirectNitrousOxideEmissionsFromMMS_Result_Method1</f>
        <v>#NAME?</v>
      </c>
      <c r="F9" s="19" t="e" cm="1">
        <f t="array" ref="F9">VEERG_4_3_1_3__1_TotalAnnualDirectNitrousOxideEmissionsFromMMS_Result_Method2</f>
        <v>#NAME?</v>
      </c>
      <c r="G9" s="16" t="s">
        <v>13</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197</v>
      </c>
      <c r="E10" s="19" t="e" cm="1">
        <f t="array" ref="E10">VEERG_4_3_1_5__1_AnnualAtmosphericDepositionEmissionsFromMMS_Result_Method1</f>
        <v>#NAME?</v>
      </c>
      <c r="F10" s="19" t="e" cm="1">
        <f t="array" ref="F10">VEERG_4_3_1_5__1_AnnualAtmosphericDepositionEmissionsFromMMS_Result_Method2</f>
        <v>#NAME?</v>
      </c>
      <c r="G10" s="16" t="s">
        <v>13</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198</v>
      </c>
      <c r="E11" s="19" t="e" cm="1">
        <f t="array" ref="E11">VEERG_4_3_1_6__1_AnnualEmissionsFromLeachingAndRunoffFromMMS_Result_Method1</f>
        <v>#NAME?</v>
      </c>
      <c r="F11" s="19" t="e" cm="1">
        <f t="array" ref="F11">VEERG_4_3_1_6__1_AnnualEmissionsFromLeachingAndRunoffFromMMS_Result_Method2</f>
        <v>#NAME?</v>
      </c>
      <c r="G11" s="16" t="s">
        <v>13</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199</v>
      </c>
      <c r="E12" s="19" t="e" cm="1">
        <f t="array" ref="E12">VEERG_4_3_1_9__1_DirectNitrousOxideEmissionsOnPasture_Result_Method1</f>
        <v>#NAME?</v>
      </c>
      <c r="F12" s="19" t="e" cm="1">
        <f t="array" ref="F12">VEERG_4_3_1_9__1_DirectNitrousOxideEmissionsOnPasture_Result_Method2</f>
        <v>#NAME?</v>
      </c>
      <c r="G12" s="16" t="s">
        <v>13</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200</v>
      </c>
      <c r="E13" s="19" t="e" cm="1">
        <f t="array" ref="E13">VEERG_4_3_1_10__1_AtmosphericDepositionEmissionsFromUrineAndDungOnPasture_Result_Method1</f>
        <v>#NAME?</v>
      </c>
      <c r="F13" s="19" t="e" cm="1">
        <f t="array" ref="F13">VEERG_4_3_1_10__1_AtmosphericDepositionEmissionsFromUrineAndDungOnPasture_Result_Method2</f>
        <v>#NAME?</v>
      </c>
      <c r="G13" s="16" t="s">
        <v>13</v>
      </c>
      <c r="H13" s="19" t="e" cm="1">
        <f t="array" ref="H13">Common_Equations.Common_ConvertN2OToCO2e(E13,_xlfn.XLOOKUP("N2O", Table_GWPData[Gas],Table_GWPData[CO2-e factor]))</f>
        <v>#NAME?</v>
      </c>
      <c r="I13" s="19" t="e" cm="1">
        <f t="array" ref="I13">Common_Equations.Common_ConvertN2OToCO2e(F13,_xlfn.XLOOKUP("N2O", Table_GWPData[Gas],Table_GWPData[CO2-e factor]))</f>
        <v>#NAME?</v>
      </c>
      <c r="J13" s="16" t="s">
        <v>8</v>
      </c>
      <c r="K13" s="9"/>
    </row>
    <row r="14" spans="1:11" ht="20.100000000000001" customHeight="1" x14ac:dyDescent="0.25">
      <c r="A14" s="5" t="str">
        <f>HYPERLINK("#'4.2.1.7-8 Soil leach runoff'!A1", "4.2.1.7-8 Soil leach &amp; runoff")</f>
        <v>4.2.1.7-8 Soil leach &amp; runoff</v>
      </c>
      <c r="C14" s="9"/>
      <c r="D14" s="1" t="s">
        <v>201</v>
      </c>
      <c r="E14" s="19" t="e" cm="1">
        <f t="array" ref="E14">VEERG_4_3_1_12__1_LeachingAndRunoffEmissionsFromUrineAndDungOnPasture_Result_Method1</f>
        <v>#NAME?</v>
      </c>
      <c r="F14" s="19" t="e" cm="1">
        <f t="array" ref="F14">VEERG_4_3_1_12__1_LeachingAndRunoffEmissionsFromUrineAndDungOnPasture_Result_Method2</f>
        <v>#NAME?</v>
      </c>
      <c r="G14" s="16" t="s">
        <v>13</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151</v>
      </c>
      <c r="E15" s="19" t="e" cm="1">
        <f t="array" ref="E15">VEERG_5_1_1_1__1_InorganicFertiliserApplicationN2OEmissions_Result_Method1</f>
        <v>#NAME?</v>
      </c>
      <c r="F15" s="19" t="e" cm="1">
        <f t="array" ref="F15">VEERG_5_1_1_1__1_InorganicFertiliserApplicationN2OEmissions_Result_Method2</f>
        <v>#NAME?</v>
      </c>
      <c r="G15" s="16" t="s">
        <v>13</v>
      </c>
      <c r="H15" s="19" t="e" cm="1">
        <f t="array" ref="H15">Common_Equations.Common_ConvertN2OToCO2e(E15,_xlfn.XLOOKUP("N2O", Table_GWPData[Gas],Table_GWPData[CO2-e factor]))</f>
        <v>#NAME?</v>
      </c>
      <c r="I15" s="19" t="e" cm="1">
        <f t="array" ref="I15">Common_Equations.Common_ConvertN2OToCO2e(F15,_xlfn.XLOOKUP("N2O", Table_GWPData[Gas],Table_GWPData[CO2-e factor]))</f>
        <v>#NAME?</v>
      </c>
      <c r="J15" s="16" t="s">
        <v>8</v>
      </c>
      <c r="K15" s="9"/>
    </row>
    <row r="16" spans="1:11" ht="20.100000000000001" customHeight="1" x14ac:dyDescent="0.25">
      <c r="A16" s="6" t="s">
        <v>2</v>
      </c>
      <c r="C16" s="9"/>
      <c r="D16" s="1" t="s">
        <v>152</v>
      </c>
      <c r="E16" s="19" t="e" cm="1">
        <f t="array" ref="E16">VEERG_5_1_1_3__1_InorganicFertiliserApplicationCO2Emissions_Result_Method1</f>
        <v>#NAME?</v>
      </c>
      <c r="F16" s="19" t="e">
        <f>E16</f>
        <v>#NAME?</v>
      </c>
      <c r="G16" s="16" t="s">
        <v>141</v>
      </c>
      <c r="H16" s="19" t="e">
        <f>E16</f>
        <v>#NAME?</v>
      </c>
      <c r="I16" s="19" t="e">
        <f>F16</f>
        <v>#NAME?</v>
      </c>
      <c r="J16" s="16" t="s">
        <v>8</v>
      </c>
      <c r="K16" s="9"/>
    </row>
    <row r="17" spans="1:11" ht="20.100000000000001" customHeight="1" x14ac:dyDescent="0.25">
      <c r="A17" s="5" t="str">
        <f>HYPERLINK("#'Constants - Pasture Beef'!A1", "Constants - Pasture Beef")</f>
        <v>Constants - Pasture Beef</v>
      </c>
      <c r="C17" s="9"/>
      <c r="D17" s="1" t="s">
        <v>153</v>
      </c>
      <c r="E17" s="19" t="e" cm="1">
        <f t="array" ref="E17">VEERG_5_2_1_1__2_MassOfNitrogenInOrganicFertiliser_Result_Method1</f>
        <v>#NAME?</v>
      </c>
      <c r="F17" s="19" t="e">
        <f>E17</f>
        <v>#NAME?</v>
      </c>
      <c r="G17" s="16" t="s">
        <v>13</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154</v>
      </c>
      <c r="E18" s="19" t="e" cm="1">
        <f t="array" ref="E18">VEERG_5_3_1_1__1_LimeApplicationCO2Emissions_Result_Method1</f>
        <v>#NAME?</v>
      </c>
      <c r="F18" s="19" t="e">
        <f>E18</f>
        <v>#NAME?</v>
      </c>
      <c r="G18" s="16" t="s">
        <v>141</v>
      </c>
      <c r="H18" s="19" t="e">
        <f>E18</f>
        <v>#NAME?</v>
      </c>
      <c r="I18" s="19" t="e">
        <f>F18</f>
        <v>#NAME?</v>
      </c>
      <c r="J18" s="16" t="s">
        <v>8</v>
      </c>
      <c r="K18" s="9"/>
    </row>
    <row r="19" spans="1:11" ht="20.100000000000001" customHeight="1" x14ac:dyDescent="0.25">
      <c r="A19" s="5" t="str">
        <f>HYPERLINK("#'Constants - Common'!A1", "Constants - Common")</f>
        <v>Constants - Common</v>
      </c>
      <c r="C19" s="9"/>
      <c r="D19" s="1" t="s">
        <v>155</v>
      </c>
      <c r="E19" s="19" t="e" cm="1">
        <f t="array" ref="E19">VEERG_5_4_1_3__1_OrganicFertiliserAtmosphericDepositionN2OEmissions_Result_Method1</f>
        <v>#NAME?</v>
      </c>
      <c r="F19" s="19" t="e">
        <f>E19</f>
        <v>#NAME?</v>
      </c>
      <c r="G19" s="16" t="s">
        <v>13</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156</v>
      </c>
      <c r="E20" s="19" t="e" cm="1">
        <f t="array" ref="E20">VEERG_5_5_1_1__1_FertiliserLeachingAndRunoffN2OEmissions_result_Method1</f>
        <v>#NAME?</v>
      </c>
      <c r="F20" s="19" t="e">
        <f>E20</f>
        <v>#NAME?</v>
      </c>
      <c r="G20" s="16" t="s">
        <v>13</v>
      </c>
      <c r="H20" s="19" t="e" cm="1">
        <f t="array" ref="H20">Common_Equations.Common_ConvertN2OToCO2e(E20,_xlfn.XLOOKUP("N2O", Table_GWPData[Gas],Table_GWPData[CO2-e factor]))</f>
        <v>#NAME?</v>
      </c>
      <c r="I20" s="19" t="e" cm="1">
        <f t="array" ref="I20">Common_Equations.Common_ConvertN2OToCO2e(F20,_xlfn.XLOOKUP("N2O", Table_GWPData[Gas],Table_GWPData[CO2-e factor]))</f>
        <v>#NAME?</v>
      </c>
      <c r="J20" s="16" t="s">
        <v>8</v>
      </c>
      <c r="K20" s="9"/>
    </row>
    <row r="21" spans="1:11" ht="20.100000000000001" customHeight="1" x14ac:dyDescent="0.25">
      <c r="C21" s="9"/>
      <c r="D21" s="1" t="s">
        <v>157</v>
      </c>
      <c r="E21" s="19" t="e" cm="1">
        <f t="array" ref="E21">VEERG_6_2_1_1__1__NitrousOxideEmissionsFromPastureResidues_Result_Method1</f>
        <v>#NAME?</v>
      </c>
      <c r="F21" s="19" t="e" cm="1">
        <f t="array" ref="F21">VEERG_6_2_1_1__1__NitrousOxideEmissionsFromPastureResidues_Result_Method2</f>
        <v>#NAME?</v>
      </c>
      <c r="G21" s="16" t="s">
        <v>13</v>
      </c>
      <c r="H21" s="19" t="e" cm="1">
        <f t="array" ref="H21">Common_Equations.Common_ConvertN2OToCO2e(E21,_xlfn.XLOOKUP("N2O", Table_GWPData[Gas],Table_GWPData[CO2-e factor]))</f>
        <v>#NAME?</v>
      </c>
      <c r="I21" s="19" t="e" cm="1">
        <f t="array" ref="I21">Common_Equations.Common_ConvertN2OToCO2e(F21,_xlfn.XLOOKUP("N2O", Table_GWPData[Gas],Table_GWPData[CO2-e factor]))</f>
        <v>#NAME?</v>
      </c>
      <c r="J21" s="16" t="s">
        <v>8</v>
      </c>
      <c r="K21" s="9"/>
    </row>
    <row r="22" spans="1:11" ht="20.100000000000001" customHeight="1" x14ac:dyDescent="0.25">
      <c r="A22" s="5"/>
      <c r="C22" s="9"/>
      <c r="D22" s="1" t="s">
        <v>158</v>
      </c>
      <c r="E22" s="19" t="e" cm="1">
        <f t="array" ref="E22">VEERG_6_3_1_1__1__LeachingAndRunoffEmissionsCropAndPastureResidue_PastureOnly_Result_Method1</f>
        <v>#NAME?</v>
      </c>
      <c r="F22" s="19" t="e" cm="1">
        <f t="array" ref="F22">VEERG_6_3_1_1__1__LeachingAndRunoffEmissionsCropAndPastureResidue_PastureOnly_Result_Method2</f>
        <v>#NAME?</v>
      </c>
      <c r="G22" s="16" t="s">
        <v>13</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159</v>
      </c>
      <c r="E23" s="19" t="e" cm="1">
        <f t="array" ref="E23">VEERG_8_1_1_1__1_FuelCombustionTransport_Result_CO2</f>
        <v>#NAME?</v>
      </c>
      <c r="F23" s="19" t="e">
        <f>E23</f>
        <v>#NAME?</v>
      </c>
      <c r="G23" s="16" t="s">
        <v>141</v>
      </c>
      <c r="H23" s="19" t="e">
        <f>E23</f>
        <v>#NAME?</v>
      </c>
      <c r="I23" s="19" t="e">
        <f>F23</f>
        <v>#NAME?</v>
      </c>
      <c r="J23" s="16" t="s">
        <v>8</v>
      </c>
      <c r="K23" s="9"/>
    </row>
    <row r="24" spans="1:11" ht="20.100000000000001" customHeight="1" x14ac:dyDescent="0.25">
      <c r="A24" s="5"/>
      <c r="C24" s="9"/>
      <c r="D24" s="1" t="s">
        <v>161</v>
      </c>
      <c r="E24" s="19" t="e" cm="1">
        <f t="array" ref="E24">VEERG_8_1_1_1__1_FuelCombustionTransport_Result_CH4</f>
        <v>#NAME?</v>
      </c>
      <c r="F24" s="19" t="e">
        <f>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160</v>
      </c>
      <c r="E25" s="19" t="e" cm="1">
        <f t="array" ref="E25">VEERG_8_1_1_1__1_FuelCombustionTransport_Result_N2O</f>
        <v>#NAME?</v>
      </c>
      <c r="F25" s="19" t="e">
        <f>E25</f>
        <v>#NAME?</v>
      </c>
      <c r="G25" s="16" t="s">
        <v>13</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162</v>
      </c>
      <c r="E26" s="19" t="e" cm="1">
        <f t="array" ref="E26">VEERG_8_2_1_1__1_FuelCombustionStationary_Result_CO2</f>
        <v>#NAME?</v>
      </c>
      <c r="F26" s="19" t="e">
        <f>E26</f>
        <v>#NAME?</v>
      </c>
      <c r="G26" s="16" t="s">
        <v>141</v>
      </c>
      <c r="H26" s="19" t="e">
        <f>E26</f>
        <v>#NAME?</v>
      </c>
      <c r="I26" s="19" t="e">
        <f>F26</f>
        <v>#NAME?</v>
      </c>
      <c r="J26" s="16" t="s">
        <v>8</v>
      </c>
      <c r="K26" s="9"/>
    </row>
    <row r="27" spans="1:11" ht="20.100000000000001" customHeight="1" x14ac:dyDescent="0.25">
      <c r="C27" s="9"/>
      <c r="D27" s="1" t="s">
        <v>163</v>
      </c>
      <c r="E27" s="19" t="e" cm="1">
        <f t="array" ref="E27">VEERG_8_2_1_1__1_FuelCombustionStationary_Result_CH4</f>
        <v>#NAME?</v>
      </c>
      <c r="F27" s="19" t="e">
        <f t="shared" ref="F27:F30" si="0">E27</f>
        <v>#NAME?</v>
      </c>
      <c r="G27" s="16" t="s">
        <v>7</v>
      </c>
      <c r="H27" s="19" t="e" cm="1">
        <f t="array" ref="H27">Common_Equations.Common_ConvertCH4ToCO2e(E27,_xlfn.XLOOKUP("CH4", Table_GWPData[Gas],Table_GWPData[CO2-e factor]))</f>
        <v>#NAME?</v>
      </c>
      <c r="I27" s="19" t="e" cm="1">
        <f t="array" ref="I27">Common_Equations.Common_ConvertCH4ToCO2e(F27,_xlfn.XLOOKUP("CH4", Table_GWPData[Gas],Table_GWPData[CO2-e factor]))</f>
        <v>#NAME?</v>
      </c>
      <c r="J27" s="16" t="s">
        <v>8</v>
      </c>
      <c r="K27" s="9"/>
    </row>
    <row r="28" spans="1:11" ht="20.100000000000001" customHeight="1" x14ac:dyDescent="0.25">
      <c r="C28" s="9"/>
      <c r="D28" s="1" t="s">
        <v>164</v>
      </c>
      <c r="E28" s="19" t="e" cm="1">
        <f t="array" ref="E28">VEERG_8_2_1_1__1_FuelCombustionStationary_Result_N2O</f>
        <v>#NAME?</v>
      </c>
      <c r="F28" s="19" t="e">
        <f t="shared" si="0"/>
        <v>#NAME?</v>
      </c>
      <c r="G28" s="16" t="s">
        <v>13</v>
      </c>
      <c r="H28" s="19" t="e" cm="1">
        <f t="array" ref="H28">Common_Equations.Common_ConvertN2OToCO2e(E28,_xlfn.XLOOKUP("N2O", Table_GWPData[Gas],Table_GWPData[CO2-e factor]))</f>
        <v>#NAME?</v>
      </c>
      <c r="I28" s="19" t="e" cm="1">
        <f t="array" ref="I28">Common_Equations.Common_ConvertN2OToCO2e(F28,_xlfn.XLOOKUP("N2O", Table_GWPData[Gas],Table_GWPData[CO2-e factor]))</f>
        <v>#NAME?</v>
      </c>
      <c r="J28" s="16" t="s">
        <v>8</v>
      </c>
      <c r="K28" s="9"/>
    </row>
    <row r="29" spans="1:11" ht="20.100000000000001" customHeight="1" x14ac:dyDescent="0.25">
      <c r="C29" s="9"/>
      <c r="D29" s="1" t="s">
        <v>165</v>
      </c>
      <c r="E29" s="19" t="e" cm="1">
        <f t="array" ref="E29">VEERG_14_1_1__1_LocationBasedScopeElectricityEmissions_Result_Method1</f>
        <v>#NAME?</v>
      </c>
      <c r="F29" s="19" t="e">
        <f t="shared" si="0"/>
        <v>#NAME?</v>
      </c>
      <c r="G29" s="16" t="s">
        <v>8</v>
      </c>
      <c r="H29" s="19" t="e">
        <f>E29</f>
        <v>#NAME?</v>
      </c>
      <c r="I29" s="19" t="e">
        <f>F29</f>
        <v>#NAME?</v>
      </c>
      <c r="J29" s="16" t="s">
        <v>8</v>
      </c>
      <c r="K29" s="9"/>
    </row>
    <row r="30" spans="1:11" ht="20.100000000000001" customHeight="1" x14ac:dyDescent="0.25">
      <c r="C30" s="9"/>
      <c r="D30" s="1" t="s">
        <v>166</v>
      </c>
      <c r="E30" s="19" t="e" cm="1">
        <f t="array" ref="E30">VEERG_14_1_2__1_MarketBasedScopeElectricityEmissionsVariation_Result_Method1</f>
        <v>#NAME?</v>
      </c>
      <c r="F30" s="19" t="e">
        <f t="shared" si="0"/>
        <v>#NAME?</v>
      </c>
      <c r="G30" s="16" t="s">
        <v>8</v>
      </c>
      <c r="H30" s="19" t="e">
        <f>E30</f>
        <v>#NAME?</v>
      </c>
      <c r="I30" s="19" t="e">
        <f>F30</f>
        <v>#NAME?</v>
      </c>
      <c r="J30" s="16" t="s">
        <v>8</v>
      </c>
      <c r="K30" s="9"/>
    </row>
    <row r="31" spans="1:11" ht="20.100000000000001" customHeight="1" x14ac:dyDescent="0.3">
      <c r="C31" s="9"/>
      <c r="D31" s="15" t="s">
        <v>5</v>
      </c>
      <c r="E31" s="10"/>
      <c r="F31" s="10"/>
      <c r="G31" s="15"/>
      <c r="H31" s="20" t="e">
        <f>SUM(H7:H30)</f>
        <v>#NAME?</v>
      </c>
      <c r="I31" s="20" t="e">
        <f>SUM(I7:I30)</f>
        <v>#NAME?</v>
      </c>
      <c r="J31" s="16" t="s">
        <v>8</v>
      </c>
      <c r="K31" s="9"/>
    </row>
    <row r="32" spans="1:11" ht="20.100000000000001" customHeight="1" x14ac:dyDescent="0.3">
      <c r="C32" s="9"/>
      <c r="D32" s="1"/>
      <c r="E32" s="1"/>
      <c r="F32" s="1"/>
      <c r="G32" s="1"/>
      <c r="H32" s="14"/>
      <c r="I32" s="9"/>
      <c r="J32" s="9"/>
      <c r="K32" s="9"/>
    </row>
    <row r="33" spans="3:11" ht="20.100000000000001" customHeight="1" x14ac:dyDescent="0.3">
      <c r="C33" s="9"/>
      <c r="D33" s="1"/>
      <c r="E33" s="1"/>
      <c r="F33" s="1"/>
      <c r="G33" s="1"/>
      <c r="H33" s="14"/>
      <c r="I33" s="9"/>
      <c r="J33" s="9"/>
      <c r="K33" s="9"/>
    </row>
    <row r="34" spans="3:11" ht="20.100000000000001" customHeight="1" x14ac:dyDescent="0.3">
      <c r="C34" s="9"/>
      <c r="D34" s="1"/>
      <c r="E34" s="1"/>
      <c r="F34" s="1"/>
      <c r="G34" s="1"/>
      <c r="H34" s="14"/>
      <c r="I34" s="9"/>
      <c r="J34" s="9"/>
      <c r="K34" s="9"/>
    </row>
    <row r="35" spans="3:11" ht="20.100000000000001" customHeight="1" x14ac:dyDescent="0.3">
      <c r="C35" s="9"/>
      <c r="D35" s="2" t="s">
        <v>122</v>
      </c>
      <c r="E35" s="1"/>
      <c r="F35" s="1"/>
      <c r="G35" s="1"/>
      <c r="H35" s="14"/>
      <c r="I35" s="9"/>
      <c r="J35" s="9"/>
      <c r="K35" s="9"/>
    </row>
    <row r="36" spans="3:11" ht="20.100000000000001" customHeight="1" x14ac:dyDescent="0.3">
      <c r="C36" s="9"/>
      <c r="D36" s="89"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4"/>
      <c r="I36" s="9"/>
      <c r="J36" s="9"/>
      <c r="K36" s="9"/>
    </row>
    <row r="37" spans="3:11" ht="20.100000000000001" customHeight="1" x14ac:dyDescent="0.3">
      <c r="C37" s="9"/>
      <c r="D37" s="1" t="s">
        <v>124</v>
      </c>
      <c r="E37" s="1"/>
      <c r="F37" s="1"/>
      <c r="G37" s="1"/>
      <c r="H37" s="14"/>
      <c r="I37" s="9"/>
      <c r="J37" s="9"/>
      <c r="K37" s="9"/>
    </row>
    <row r="38" spans="3:11" ht="20.100000000000001" customHeight="1" x14ac:dyDescent="0.3">
      <c r="C38" s="9"/>
      <c r="D38" s="1"/>
      <c r="E38" s="1"/>
      <c r="F38" s="1"/>
      <c r="G38" s="1"/>
      <c r="H38" s="14"/>
      <c r="I38" s="9"/>
      <c r="J38" s="9"/>
      <c r="K38" s="9"/>
    </row>
    <row r="39" spans="3:11" ht="20.100000000000001" customHeight="1" x14ac:dyDescent="0.3">
      <c r="C39" s="9"/>
      <c r="D39" s="21" t="s">
        <v>123</v>
      </c>
      <c r="E39" s="21" t="s">
        <v>11</v>
      </c>
      <c r="F39" s="21" t="s">
        <v>12</v>
      </c>
      <c r="G39" s="1"/>
      <c r="H39" s="14"/>
      <c r="I39" s="9"/>
      <c r="J39" s="9"/>
      <c r="K39" s="9"/>
    </row>
    <row r="40" spans="3:11" ht="20.100000000000001" customHeight="1" x14ac:dyDescent="0.3">
      <c r="C40" s="9"/>
      <c r="D40" s="1" t="str" cm="1">
        <f t="array" ref="D40:D42">Common_InputFunctions.getOverlappingReportingPeriods(X_Cell_Enterprise_ProductionTimeframeStart,X_Cell_Enterprise_ProductionTimeframeEnd,X_Cell_Site_StartDate)</f>
        <v>01 Jan 2023 to 31 Dec 2023</v>
      </c>
      <c r="E40" s="87" t="str">
        <f>IF(ISBLANK($D40), "", IF(ISNUMBER(SEARCH("reporting", $D40)), Result_Enterprise_Method1, "Enter value"))</f>
        <v>Enter value</v>
      </c>
      <c r="F40" s="87" t="str">
        <f>IF(ISBLANK($D40), "", IF(ISNUMBER(SEARCH("reporting", $D40)), Result_Enterprise_Method2, "Enter value"))</f>
        <v>Enter value</v>
      </c>
      <c r="G40" s="16" t="s">
        <v>8</v>
      </c>
      <c r="H40" s="14"/>
      <c r="I40" s="9"/>
      <c r="J40" s="9"/>
      <c r="K40" s="9"/>
    </row>
    <row r="41" spans="3:11" ht="20.100000000000001" customHeight="1" x14ac:dyDescent="0.3">
      <c r="C41" s="9"/>
      <c r="D41" s="1" t="str">
        <v>01 Jan 2024 to 31 Dec 2024 (This reporting cycle)</v>
      </c>
      <c r="E41" s="87" t="e">
        <f>IF(ISBLANK($D41), "", IF(ISNUMBER(SEARCH("reporting", $D41)), Result_Enterprise_Method1, "Enter value"))</f>
        <v>#NAME?</v>
      </c>
      <c r="F41" s="87" t="e">
        <f>IF(ISBLANK($D41), "", IF(ISNUMBER(SEARCH("reporting", $D41)), Result_Enterprise_Method2, "Enter value"))</f>
        <v>#NAME?</v>
      </c>
      <c r="G41" s="16" t="s">
        <v>8</v>
      </c>
      <c r="H41" s="14"/>
      <c r="I41" s="9"/>
      <c r="J41" s="9"/>
      <c r="K41" s="9"/>
    </row>
    <row r="42" spans="3:11" ht="20.100000000000001" customHeight="1" x14ac:dyDescent="0.3">
      <c r="C42" s="9"/>
      <c r="D42" s="1" t="str">
        <v>01 Jan 2025 to 31 Dec 2025</v>
      </c>
      <c r="E42" s="87" t="str">
        <f>IF(ISBLANK($D42), "", IF(ISNUMBER(SEARCH("reporting", $D42)), Result_Enterprise_Method1, "Enter value"))</f>
        <v>Enter value</v>
      </c>
      <c r="F42" s="87" t="str">
        <f>IF(ISBLANK($D42), "", IF(ISNUMBER(SEARCH("reporting", $D42)), Result_Enterprise_Method2, "Enter value"))</f>
        <v>Enter value</v>
      </c>
      <c r="G42" s="16" t="s">
        <v>8</v>
      </c>
      <c r="H42" s="14"/>
      <c r="I42" s="9"/>
      <c r="J42" s="9"/>
      <c r="K42" s="9"/>
    </row>
    <row r="43" spans="3:11" ht="20.100000000000001" customHeight="1" x14ac:dyDescent="0.3">
      <c r="C43" s="9"/>
      <c r="D43" s="1"/>
      <c r="E43" s="87" t="str">
        <f>IF(ISBLANK($D43), "", IF(ISNUMBER(SEARCH("reporting", $D43)), Result_Enterprise_Method1, "Enter value"))</f>
        <v/>
      </c>
      <c r="F43" s="87" t="str">
        <f>IF(ISBLANK($D43), "", IF(ISNUMBER(SEARCH("reporting", $D43)), Result_Enterprise_Method2, "Enter value"))</f>
        <v/>
      </c>
      <c r="G43" s="16" t="s">
        <v>8</v>
      </c>
      <c r="H43" s="14"/>
      <c r="I43" s="9"/>
      <c r="J43" s="9"/>
      <c r="K43" s="9"/>
    </row>
    <row r="44" spans="3:11" ht="20.100000000000001" customHeight="1" x14ac:dyDescent="0.3">
      <c r="C44" s="9"/>
      <c r="D44" s="89"/>
      <c r="E44" s="87" t="str">
        <f>IF(ISBLANK($D44), "", IF(ISNUMBER(SEARCH("reporting", $D44)), Result_Enterprise_Method1, "Enter value"))</f>
        <v/>
      </c>
      <c r="F44" s="87" t="str">
        <f>IF(ISBLANK($D44), "", IF(ISNUMBER(SEARCH("reporting", $D44)), Result_Enterprise_Method2, "Enter value"))</f>
        <v/>
      </c>
      <c r="G44" s="16" t="s">
        <v>8</v>
      </c>
      <c r="H44" s="14"/>
      <c r="I44" s="9"/>
      <c r="J44" s="9"/>
      <c r="K44" s="9"/>
    </row>
    <row r="45" spans="3:11" ht="20.100000000000001" customHeight="1" x14ac:dyDescent="0.3">
      <c r="C45" s="9"/>
      <c r="D45" s="15" t="s">
        <v>142</v>
      </c>
      <c r="E45" s="20" t="e">
        <f>SUM(E40:E44)</f>
        <v>#NAME?</v>
      </c>
      <c r="F45" s="20" t="e">
        <f>SUM(F40:F44)</f>
        <v>#NAME?</v>
      </c>
      <c r="G45" s="1"/>
      <c r="H45" s="1"/>
      <c r="I45" s="1"/>
      <c r="J45" s="9"/>
      <c r="K45" s="9"/>
    </row>
    <row r="46" spans="3:11" ht="20.100000000000001" customHeight="1" x14ac:dyDescent="0.25">
      <c r="C46" s="9"/>
      <c r="D46" s="1"/>
      <c r="E46" s="1"/>
      <c r="F46" s="1"/>
      <c r="G46" s="1"/>
      <c r="H46" s="1"/>
      <c r="I46" s="1"/>
      <c r="J46" s="9"/>
      <c r="K46" s="9"/>
    </row>
    <row r="47" spans="3:11" ht="20.100000000000001" customHeight="1" x14ac:dyDescent="0.25">
      <c r="C47" s="9"/>
      <c r="D47" s="1"/>
      <c r="E47" s="1"/>
      <c r="F47" s="1"/>
      <c r="G47" s="1"/>
      <c r="H47" s="1"/>
      <c r="I47" s="1"/>
      <c r="J47" s="9"/>
      <c r="K47" s="9"/>
    </row>
    <row r="48" spans="3:11" ht="20.100000000000001" customHeight="1" x14ac:dyDescent="0.25">
      <c r="C48" s="9"/>
      <c r="D48" s="2" t="s">
        <v>139</v>
      </c>
      <c r="E48" s="1"/>
      <c r="F48" s="1"/>
      <c r="G48" s="1"/>
      <c r="H48" s="1"/>
      <c r="I48" s="1"/>
      <c r="J48" s="9"/>
      <c r="K48" s="9"/>
    </row>
    <row r="49" spans="3:11" ht="20.100000000000001" customHeight="1" x14ac:dyDescent="0.25">
      <c r="C49" s="9"/>
      <c r="D49" s="1"/>
      <c r="E49" s="1"/>
      <c r="F49" s="1"/>
      <c r="G49" s="1"/>
      <c r="H49" s="1"/>
      <c r="I49" s="1"/>
      <c r="J49" s="1"/>
      <c r="K49" s="9"/>
    </row>
    <row r="50" spans="3:11" ht="20.100000000000001" customHeight="1" x14ac:dyDescent="0.25">
      <c r="C50" s="9"/>
      <c r="D50" s="21" t="s">
        <v>123</v>
      </c>
      <c r="E50" s="21" t="s">
        <v>140</v>
      </c>
      <c r="F50" s="1"/>
      <c r="G50" s="1"/>
      <c r="H50" s="1"/>
      <c r="I50" s="1"/>
      <c r="J50" s="1"/>
      <c r="K50" s="9"/>
    </row>
    <row r="51" spans="3:11" ht="20.100000000000001" customHeight="1" x14ac:dyDescent="0.25">
      <c r="C51" s="9"/>
      <c r="D51" s="1" t="str" cm="1">
        <f t="array" ref="D51:D53">Common_InputFunctions.getOverlappingReportingPeriods(X_Cell_Enterprise_ProductionTimeframeStart,X_Cell_Enterprise_ProductionTimeframeEnd,X_Cell_Site_StartDate)</f>
        <v>01 Jan 2023 to 31 Dec 2023</v>
      </c>
      <c r="E51" s="87" t="str">
        <f>IF(ISBLANK(D51), "", "Enter value")</f>
        <v>Enter value</v>
      </c>
      <c r="F51" s="16" t="s">
        <v>141</v>
      </c>
      <c r="G51" s="1"/>
      <c r="H51" s="1"/>
      <c r="I51" s="1"/>
      <c r="J51" s="1"/>
      <c r="K51" s="9"/>
    </row>
    <row r="52" spans="3:11" ht="20.100000000000001" customHeight="1" x14ac:dyDescent="0.25">
      <c r="C52" s="9"/>
      <c r="D52" s="1" t="str">
        <v>01 Jan 2024 to 31 Dec 2024 (This reporting cycle)</v>
      </c>
      <c r="E52" s="87" t="str">
        <f t="shared" ref="E52:E55" si="1">IF(ISBLANK(D52), "", "Enter value")</f>
        <v>Enter value</v>
      </c>
      <c r="F52" s="16" t="s">
        <v>141</v>
      </c>
      <c r="G52" s="1"/>
      <c r="H52" s="1"/>
      <c r="I52" s="1"/>
      <c r="J52" s="1"/>
      <c r="K52" s="9"/>
    </row>
    <row r="53" spans="3:11" ht="20.100000000000001" customHeight="1" x14ac:dyDescent="0.25">
      <c r="C53" s="9"/>
      <c r="D53" s="1" t="str">
        <v>01 Jan 2025 to 31 Dec 2025</v>
      </c>
      <c r="E53" s="87" t="str">
        <f t="shared" si="1"/>
        <v>Enter value</v>
      </c>
      <c r="F53" s="16" t="s">
        <v>141</v>
      </c>
      <c r="G53" s="1"/>
      <c r="H53" s="1"/>
      <c r="I53" s="1"/>
      <c r="J53" s="1"/>
      <c r="K53" s="9"/>
    </row>
    <row r="54" spans="3:11" ht="20.100000000000001" customHeight="1" x14ac:dyDescent="0.25">
      <c r="C54" s="9"/>
      <c r="D54" s="1"/>
      <c r="E54" s="87" t="str">
        <f t="shared" si="1"/>
        <v/>
      </c>
      <c r="F54" s="16" t="s">
        <v>141</v>
      </c>
      <c r="G54" s="1"/>
      <c r="H54" s="1"/>
      <c r="I54" s="1"/>
      <c r="J54" s="1"/>
      <c r="K54" s="9"/>
    </row>
    <row r="55" spans="3:11" ht="20.100000000000001" customHeight="1" x14ac:dyDescent="0.25">
      <c r="C55" s="9"/>
      <c r="D55" s="1"/>
      <c r="E55" s="87" t="str">
        <f t="shared" si="1"/>
        <v/>
      </c>
      <c r="F55" s="16" t="s">
        <v>141</v>
      </c>
      <c r="G55" s="1"/>
      <c r="H55" s="1"/>
      <c r="I55" s="9"/>
      <c r="J55" s="9"/>
      <c r="K55" s="9"/>
    </row>
    <row r="56" spans="3:11" ht="20.100000000000001" customHeight="1" x14ac:dyDescent="0.3">
      <c r="C56" s="9"/>
      <c r="D56" s="15" t="s">
        <v>143</v>
      </c>
      <c r="E56" s="20">
        <f>SUM(E51:E54)</f>
        <v>0</v>
      </c>
      <c r="F56" s="1"/>
      <c r="G56" s="1"/>
      <c r="H56" s="1"/>
      <c r="I56" s="1"/>
      <c r="J56" s="1"/>
      <c r="K56" s="9"/>
    </row>
    <row r="57" spans="3:11" ht="20.100000000000001" customHeight="1" x14ac:dyDescent="0.25">
      <c r="C57" s="9"/>
      <c r="D57" s="1"/>
      <c r="E57" s="1"/>
      <c r="F57" s="1"/>
      <c r="G57" s="1"/>
      <c r="H57" s="1"/>
      <c r="I57" s="1"/>
      <c r="J57" s="1"/>
      <c r="K57" s="9"/>
    </row>
    <row r="58" spans="3:11" ht="20.100000000000001" customHeight="1" x14ac:dyDescent="0.25">
      <c r="C58" s="9"/>
      <c r="D58" s="1"/>
      <c r="E58" s="1"/>
      <c r="F58" s="1"/>
      <c r="G58" s="1"/>
      <c r="H58" s="1"/>
      <c r="I58" s="1"/>
      <c r="J58" s="1"/>
      <c r="K58" s="9"/>
    </row>
    <row r="59" spans="3:11" ht="20.100000000000001" customHeight="1" x14ac:dyDescent="0.25">
      <c r="C59" s="9"/>
      <c r="D59" s="2" t="s">
        <v>126</v>
      </c>
      <c r="E59" s="1"/>
      <c r="F59" s="1"/>
      <c r="G59" s="1"/>
      <c r="H59" s="1"/>
      <c r="I59" s="1"/>
      <c r="J59" s="9"/>
      <c r="K59" s="9"/>
    </row>
    <row r="60" spans="3:11" ht="20.100000000000001" customHeight="1" x14ac:dyDescent="0.25">
      <c r="C60" s="9"/>
      <c r="D60" s="1"/>
      <c r="E60" s="1"/>
      <c r="F60" s="1"/>
      <c r="G60" s="1"/>
      <c r="H60" s="1"/>
      <c r="I60" s="1"/>
      <c r="J60" s="1"/>
      <c r="K60" s="9"/>
    </row>
    <row r="61" spans="3:11" ht="20.100000000000001" customHeight="1" x14ac:dyDescent="0.25">
      <c r="C61" s="9"/>
      <c r="D61" s="21"/>
      <c r="E61" s="21" t="s">
        <v>145</v>
      </c>
      <c r="F61" s="21" t="s">
        <v>146</v>
      </c>
      <c r="G61" s="1"/>
      <c r="H61" s="1"/>
      <c r="I61" s="1"/>
      <c r="J61" s="1"/>
      <c r="K61" s="9"/>
    </row>
    <row r="62" spans="3:11" ht="20.100000000000001" customHeight="1" x14ac:dyDescent="0.3">
      <c r="C62" s="9"/>
      <c r="D62" s="90" t="s">
        <v>144</v>
      </c>
      <c r="E62" s="88" t="e">
        <f>E45-E56</f>
        <v>#NAME?</v>
      </c>
      <c r="F62" s="88" t="e">
        <f>F45-E56</f>
        <v>#NAME?</v>
      </c>
      <c r="G62" s="1"/>
      <c r="H62" s="1"/>
      <c r="I62" s="1"/>
      <c r="J62" s="1"/>
      <c r="K62" s="9"/>
    </row>
    <row r="63" spans="3:11" ht="20.100000000000001" customHeight="1" x14ac:dyDescent="0.25">
      <c r="C63" s="9"/>
      <c r="D63" s="1"/>
      <c r="E63" s="1"/>
      <c r="F63" s="1"/>
      <c r="G63" s="1"/>
      <c r="H63" s="1"/>
      <c r="I63" s="1"/>
      <c r="J63" s="1"/>
      <c r="K63" s="9"/>
    </row>
    <row r="64" spans="3:11" ht="20.100000000000001" customHeight="1" x14ac:dyDescent="0.25">
      <c r="C64" s="9"/>
      <c r="D64" s="1"/>
      <c r="E64" s="1"/>
      <c r="F64" s="1"/>
      <c r="G64" s="1"/>
      <c r="H64" s="1"/>
      <c r="I64" s="1"/>
      <c r="J64" s="1"/>
      <c r="K64" s="9"/>
    </row>
    <row r="65" spans="3:11" ht="20.100000000000001" customHeight="1" x14ac:dyDescent="0.25">
      <c r="C65" s="9"/>
      <c r="D65" s="92" t="s">
        <v>178</v>
      </c>
      <c r="E65" s="1"/>
      <c r="F65" s="1"/>
      <c r="G65" s="1"/>
      <c r="H65" s="1"/>
      <c r="I65" s="1"/>
      <c r="J65" s="1"/>
      <c r="K65" s="9"/>
    </row>
    <row r="66" spans="3:11" ht="20.100000000000001" customHeight="1" x14ac:dyDescent="0.25">
      <c r="C66" s="9"/>
      <c r="D66" s="21" t="s">
        <v>149</v>
      </c>
      <c r="E66" s="21" t="s">
        <v>133</v>
      </c>
      <c r="F66" s="21" t="s">
        <v>127</v>
      </c>
      <c r="G66" s="21" t="s">
        <v>180</v>
      </c>
      <c r="H66" s="21" t="s">
        <v>131</v>
      </c>
      <c r="I66" s="21" t="s">
        <v>132</v>
      </c>
      <c r="J66" s="21" t="s">
        <v>128</v>
      </c>
      <c r="K66" s="9"/>
    </row>
    <row r="67" spans="3:11" ht="20.100000000000001" customHeight="1" x14ac:dyDescent="0.25">
      <c r="C67" s="9"/>
      <c r="D67" s="1" t="s">
        <v>183</v>
      </c>
      <c r="E67" s="1" t="s">
        <v>134</v>
      </c>
      <c r="F67" s="19" t="str">
        <f>'Input - Enterprise'!E22</f>
        <v>=SUM(Table_Input_LivestockSales[Total liveweight sold])*10^-3</v>
      </c>
      <c r="G67" s="19" t="e">
        <f>F67/(F67+F69)</f>
        <v>#VALUE!</v>
      </c>
      <c r="H67" s="19" t="e">
        <f>(Result_EmissionsForWholeProductionCycle_Method1/F67)*G67</f>
        <v>#NAME?</v>
      </c>
      <c r="I67" s="19" t="e">
        <f>(Result_EmissionsForWholeProductionCycle_Method2/F67)*G67</f>
        <v>#NAME?</v>
      </c>
      <c r="J67" s="16" t="s">
        <v>129</v>
      </c>
      <c r="K67" s="9"/>
    </row>
    <row r="68" spans="3:11" ht="20.100000000000001" customHeight="1" x14ac:dyDescent="0.25">
      <c r="C68" s="9"/>
      <c r="D68" s="1" t="s">
        <v>184</v>
      </c>
      <c r="E68" s="1" t="s">
        <v>134</v>
      </c>
      <c r="F68" s="19" t="str">
        <f>F67</f>
        <v>=SUM(Table_Input_LivestockSales[Total liveweight sold])*10^-3</v>
      </c>
      <c r="G68" s="19" t="e">
        <f>G67</f>
        <v>#VALUE!</v>
      </c>
      <c r="H68" s="19" t="e">
        <f>(Result_NetEmissions_Method1/F68)*G68</f>
        <v>#NAME?</v>
      </c>
      <c r="I68" s="19" t="e">
        <f>(Result_NetEmissions_Method2/F68)*G68</f>
        <v>#NAME?</v>
      </c>
      <c r="J68" s="16" t="s">
        <v>129</v>
      </c>
      <c r="K68" s="9"/>
    </row>
    <row r="69" spans="3:11" ht="20.100000000000001" customHeight="1" x14ac:dyDescent="0.25">
      <c r="C69" s="9"/>
      <c r="D69" s="1" t="s">
        <v>185</v>
      </c>
      <c r="E69" s="1" t="s">
        <v>135</v>
      </c>
      <c r="F69" s="19" t="e">
        <f>'Input - Enterprise'!E25*'Input - Enterprise'!E26</f>
        <v>#VALUE!</v>
      </c>
      <c r="G69" s="19" t="e">
        <f>F69/(F67+F69)</f>
        <v>#VALUE!</v>
      </c>
      <c r="H69" s="19" t="e">
        <f>(Result_EmissionsForWholeProductionCycle_Method1/F69)*G69</f>
        <v>#NAME?</v>
      </c>
      <c r="I69" s="19" t="e">
        <f>(Result_EmissionsForWholeProductionCycle_Method2/F69)*G69</f>
        <v>#NAME?</v>
      </c>
      <c r="J69" s="16" t="s">
        <v>130</v>
      </c>
      <c r="K69" s="9"/>
    </row>
    <row r="70" spans="3:11" ht="20.100000000000001" customHeight="1" x14ac:dyDescent="0.25">
      <c r="C70" s="9"/>
      <c r="D70" s="1" t="s">
        <v>186</v>
      </c>
      <c r="E70" s="1" t="s">
        <v>135</v>
      </c>
      <c r="F70" s="19" t="e">
        <f>F69</f>
        <v>#VALUE!</v>
      </c>
      <c r="G70" s="19" t="e">
        <f>G69</f>
        <v>#VALUE!</v>
      </c>
      <c r="H70" s="19" t="e">
        <f>(Result_NetEmissions_Method1/F70)*G70</f>
        <v>#NAME?</v>
      </c>
      <c r="I70" s="19" t="e">
        <f>(Result_NetEmissions_Method2/F70)*G70</f>
        <v>#NAME?</v>
      </c>
      <c r="J70" s="16" t="s">
        <v>130</v>
      </c>
      <c r="K70" s="9"/>
    </row>
    <row r="71" spans="3:11" ht="20.100000000000001" customHeight="1" x14ac:dyDescent="0.25">
      <c r="C71" s="9"/>
      <c r="D71" s="1" t="s">
        <v>136</v>
      </c>
      <c r="E71" s="1" t="s">
        <v>138</v>
      </c>
      <c r="F71" s="19" t="e">
        <f>'Input - Enterprise'!E25*'Input - Enterprise'!E27</f>
        <v>#VALUE!</v>
      </c>
      <c r="G71" s="19" t="s">
        <v>137</v>
      </c>
      <c r="H71" s="19" t="s">
        <v>137</v>
      </c>
      <c r="I71" s="19" t="s">
        <v>137</v>
      </c>
      <c r="J71" s="9"/>
      <c r="K71" s="9"/>
    </row>
    <row r="72" spans="3:11" ht="20.100000000000001" customHeight="1" x14ac:dyDescent="0.25">
      <c r="C72" s="9"/>
      <c r="D72" s="1"/>
      <c r="E72" s="1"/>
      <c r="F72" s="19"/>
      <c r="G72" s="19"/>
      <c r="H72" s="19"/>
      <c r="I72" s="19"/>
      <c r="J72" s="18"/>
      <c r="K72" s="9"/>
    </row>
    <row r="73" spans="3:11" ht="20.100000000000001" customHeight="1" x14ac:dyDescent="0.25">
      <c r="C73" s="9"/>
      <c r="D73" s="92" t="s">
        <v>179</v>
      </c>
      <c r="E73" s="1"/>
      <c r="F73" s="1"/>
      <c r="G73" s="1"/>
      <c r="H73" s="1"/>
      <c r="I73" s="1"/>
      <c r="J73" s="1"/>
      <c r="K73" s="9"/>
    </row>
    <row r="74" spans="3:11" ht="20.100000000000001" customHeight="1" x14ac:dyDescent="0.25">
      <c r="C74" s="9"/>
      <c r="D74" s="21" t="s">
        <v>149</v>
      </c>
      <c r="E74" s="21" t="s">
        <v>133</v>
      </c>
      <c r="F74" s="21" t="s">
        <v>127</v>
      </c>
      <c r="G74" s="21" t="s">
        <v>181</v>
      </c>
      <c r="H74" s="21" t="s">
        <v>131</v>
      </c>
      <c r="I74" s="21" t="s">
        <v>132</v>
      </c>
      <c r="J74" s="21" t="s">
        <v>128</v>
      </c>
      <c r="K74" s="9"/>
    </row>
    <row r="75" spans="3:11" ht="20.100000000000001" customHeight="1" x14ac:dyDescent="0.25">
      <c r="C75" s="9"/>
      <c r="D75" s="1" t="s">
        <v>183</v>
      </c>
      <c r="E75" s="1" t="s">
        <v>134</v>
      </c>
      <c r="F75" s="19" t="str">
        <f>F67</f>
        <v>=SUM(Table_Input_LivestockSales[Total liveweight sold])*10^-3</v>
      </c>
      <c r="G75" s="19">
        <f>'Input - Enterprise'!E31</f>
        <v>0.8</v>
      </c>
      <c r="H75" s="19" t="e">
        <f>(Result_EmissionsForWholeProductionCycle_Method1/F75)*G75</f>
        <v>#NAME?</v>
      </c>
      <c r="I75" s="19" t="e">
        <f>(Result_EmissionsForWholeProductionCycle_Method2/F75)*G75</f>
        <v>#NAME?</v>
      </c>
      <c r="J75" s="16" t="s">
        <v>129</v>
      </c>
      <c r="K75" s="9"/>
    </row>
    <row r="76" spans="3:11" ht="15.75" x14ac:dyDescent="0.25">
      <c r="C76" s="9"/>
      <c r="D76" s="1" t="s">
        <v>184</v>
      </c>
      <c r="E76" s="1" t="s">
        <v>134</v>
      </c>
      <c r="F76" s="19" t="str">
        <f>F67</f>
        <v>=SUM(Table_Input_LivestockSales[Total liveweight sold])*10^-3</v>
      </c>
      <c r="G76" s="19">
        <f>G75</f>
        <v>0.8</v>
      </c>
      <c r="H76" s="19" t="e">
        <f>(Result_NetEmissions_Method1/F76)*G76</f>
        <v>#NAME?</v>
      </c>
      <c r="I76" s="19" t="e">
        <f>(Result_NetEmissions_Method2/F76)*G76</f>
        <v>#NAME?</v>
      </c>
      <c r="J76" s="16" t="s">
        <v>129</v>
      </c>
      <c r="K76" s="9"/>
    </row>
    <row r="77" spans="3:11" ht="15.75" x14ac:dyDescent="0.25">
      <c r="C77" s="9"/>
      <c r="D77" s="1" t="s">
        <v>185</v>
      </c>
      <c r="E77" s="1" t="s">
        <v>135</v>
      </c>
      <c r="F77" s="19" t="e">
        <f>F69</f>
        <v>#VALUE!</v>
      </c>
      <c r="G77" s="19">
        <f>'Input - Enterprise'!E32</f>
        <v>0.2</v>
      </c>
      <c r="H77" s="19" t="e">
        <f>(Result_EmissionsForWholeProductionCycle_Method1/F77)*G77</f>
        <v>#NAME?</v>
      </c>
      <c r="I77" s="19" t="e">
        <f>(Result_EmissionsForWholeProductionCycle_Method2/F77)*G77</f>
        <v>#NAME?</v>
      </c>
      <c r="J77" s="16" t="s">
        <v>130</v>
      </c>
      <c r="K77" s="9"/>
    </row>
    <row r="78" spans="3:11" ht="15.75" x14ac:dyDescent="0.25">
      <c r="C78" s="9"/>
      <c r="D78" s="1" t="s">
        <v>186</v>
      </c>
      <c r="E78" s="1" t="s">
        <v>135</v>
      </c>
      <c r="F78" s="19" t="e">
        <f>F70</f>
        <v>#VALUE!</v>
      </c>
      <c r="G78" s="19">
        <f>G77</f>
        <v>0.2</v>
      </c>
      <c r="H78" s="19" t="e">
        <f>(Result_NetEmissions_Method1/F78)*G78</f>
        <v>#NAME?</v>
      </c>
      <c r="I78" s="19" t="e">
        <f>(Result_NetEmissions_Method2/F78)*G78</f>
        <v>#NAME?</v>
      </c>
      <c r="J78" s="16" t="s">
        <v>130</v>
      </c>
      <c r="K78" s="9"/>
    </row>
    <row r="79" spans="3:11" ht="15.75" x14ac:dyDescent="0.25">
      <c r="C79" s="9"/>
      <c r="D79" s="1" t="s">
        <v>136</v>
      </c>
      <c r="E79" s="1" t="s">
        <v>138</v>
      </c>
      <c r="F79" s="19" t="e">
        <f>F71</f>
        <v>#VALUE!</v>
      </c>
      <c r="G79" s="19" t="s">
        <v>137</v>
      </c>
      <c r="H79" s="19" t="s">
        <v>137</v>
      </c>
      <c r="I79" s="19" t="s">
        <v>137</v>
      </c>
      <c r="J79" s="9"/>
      <c r="K79" s="9"/>
    </row>
    <row r="80" spans="3:11" ht="15.75" x14ac:dyDescent="0.25">
      <c r="C80" s="9"/>
      <c r="D80" s="1"/>
      <c r="E80" s="1"/>
      <c r="F80" s="1"/>
      <c r="G80" s="1"/>
      <c r="H80" s="1"/>
      <c r="I80" s="1"/>
      <c r="J80" s="1"/>
      <c r="K80" s="9"/>
    </row>
    <row r="81" spans="3:11" ht="18.75" x14ac:dyDescent="0.25">
      <c r="C81" s="9"/>
      <c r="D81" s="92" t="s">
        <v>182</v>
      </c>
      <c r="E81" s="1"/>
      <c r="F81" s="1"/>
      <c r="G81" s="1"/>
      <c r="H81" s="1"/>
      <c r="I81" s="1"/>
      <c r="J81" s="1"/>
      <c r="K81" s="9"/>
    </row>
    <row r="82" spans="3:11" ht="15.75" x14ac:dyDescent="0.25">
      <c r="C82" s="9"/>
      <c r="D82" s="21" t="s">
        <v>149</v>
      </c>
      <c r="E82" s="21" t="s">
        <v>133</v>
      </c>
      <c r="F82" s="21" t="s">
        <v>127</v>
      </c>
      <c r="G82" s="21" t="s">
        <v>181</v>
      </c>
      <c r="H82" s="21" t="s">
        <v>131</v>
      </c>
      <c r="I82" s="21" t="s">
        <v>132</v>
      </c>
      <c r="J82" s="21" t="s">
        <v>128</v>
      </c>
      <c r="K82" s="9"/>
    </row>
    <row r="83" spans="3:11" ht="15.75" x14ac:dyDescent="0.25">
      <c r="C83" s="9"/>
      <c r="D83" s="1" t="s">
        <v>147</v>
      </c>
      <c r="E83" s="1" t="s">
        <v>137</v>
      </c>
      <c r="F83" s="19" t="str">
        <f>'Input - Enterprise'!E23</f>
        <v>=SUM(Enterprise_PastureBeef_InputFunctions.multiplyCorrespondingCells('Input - Pasture Beef'!X_Table_PastureBeef_Head_Method1, 'Input - Pasture Beef'!X_Table_PastureBeef_Duration_Method1, 'Input - Pasture Beef'!X_Table_PastureBeef_LiveweightGain_Method1))*10^-3</v>
      </c>
      <c r="G83" s="19" t="s">
        <v>137</v>
      </c>
      <c r="H83" s="19" t="e">
        <f>E62/F83</f>
        <v>#NAME?</v>
      </c>
      <c r="I83" s="19" t="s">
        <v>137</v>
      </c>
      <c r="J83" s="16" t="s">
        <v>150</v>
      </c>
      <c r="K83" s="9"/>
    </row>
    <row r="84" spans="3:11" ht="15.75" x14ac:dyDescent="0.25">
      <c r="C84" s="9"/>
      <c r="D84" s="1" t="s">
        <v>148</v>
      </c>
      <c r="E84" s="1" t="s">
        <v>137</v>
      </c>
      <c r="F84" s="19" t="str">
        <f>'Input - Enterprise'!E24</f>
        <v>=SUM(Enterprise_PastureBeef_InputFunctions.multiplyCorrespondingCells('Input - Pasture Beef'!X_Table_PastureBeef_Head_Method2, 'Input - Pasture Beef'!X_Table_PastureBeef_Duration_Method2, 'Input - Pasture Beef'!X_Table_PastureBeef_LiveweightGain_Method2))*10^-3</v>
      </c>
      <c r="G84" s="19" t="s">
        <v>137</v>
      </c>
      <c r="H84" s="19" t="s">
        <v>137</v>
      </c>
      <c r="I84" s="19" t="e">
        <f>F62/F84</f>
        <v>#NAME?</v>
      </c>
      <c r="J84" s="16" t="s">
        <v>150</v>
      </c>
      <c r="K84" s="9"/>
    </row>
    <row r="85" spans="3:11" ht="15.75" x14ac:dyDescent="0.25">
      <c r="C85" s="9"/>
      <c r="D85" s="1"/>
      <c r="E85" s="1"/>
      <c r="F85" s="1"/>
      <c r="G85" s="1"/>
      <c r="H85" s="1"/>
      <c r="I85" s="1"/>
      <c r="J85" s="1"/>
      <c r="K85" s="9"/>
    </row>
    <row r="86" spans="3:11" ht="15.75" x14ac:dyDescent="0.25">
      <c r="C86" s="9"/>
      <c r="D86" s="1"/>
      <c r="E86" s="1"/>
      <c r="F86" s="1"/>
      <c r="G86" s="1"/>
      <c r="H86" s="1"/>
      <c r="I86" s="1"/>
      <c r="J86" s="1"/>
      <c r="K86" s="9"/>
    </row>
    <row r="87" spans="3:11" x14ac:dyDescent="0.25">
      <c r="C87" s="9"/>
      <c r="D87" s="9"/>
      <c r="E87" s="9"/>
      <c r="F87" s="9"/>
      <c r="G87" s="9"/>
      <c r="H87" s="9"/>
      <c r="I87" s="9"/>
      <c r="J87" s="9"/>
      <c r="K87"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93</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102</v>
      </c>
      <c r="N5" s="42"/>
    </row>
    <row r="6" spans="1:24" ht="20.100000000000001" customHeight="1" x14ac:dyDescent="0.25">
      <c r="A6" s="8" t="s">
        <v>1</v>
      </c>
      <c r="N6" s="44"/>
    </row>
    <row r="7" spans="1:24" ht="20.100000000000001" customHeight="1" x14ac:dyDescent="0.25">
      <c r="A7" s="5" t="str">
        <f>HYPERLINK("#'Input - Site'!A1", "Site")</f>
        <v>Site</v>
      </c>
      <c r="D7" s="54" t="s">
        <v>103</v>
      </c>
      <c r="E7" s="55"/>
      <c r="F7" s="55"/>
      <c r="G7" s="56"/>
    </row>
    <row r="8" spans="1:24" ht="20.100000000000001" customHeight="1" x14ac:dyDescent="0.25">
      <c r="A8" s="5" t="str">
        <f>HYPERLINK("#'Input - Pasture Beef'!A1", "Pasture Beef")</f>
        <v>Pasture Beef</v>
      </c>
      <c r="D8" s="57" t="s">
        <v>104</v>
      </c>
      <c r="E8" s="58"/>
      <c r="F8" s="58"/>
      <c r="G8" s="59"/>
    </row>
    <row r="9" spans="1:24" ht="20.100000000000001" customHeight="1" x14ac:dyDescent="0.25">
      <c r="A9" s="5"/>
      <c r="D9" s="1"/>
      <c r="E9" s="60"/>
      <c r="F9" s="27"/>
      <c r="N9" s="46"/>
    </row>
    <row r="10" spans="1:24" ht="20.100000000000001" customHeight="1" x14ac:dyDescent="0.25">
      <c r="A10" s="7" t="s">
        <v>3</v>
      </c>
      <c r="D10" s="1" t="s">
        <v>105</v>
      </c>
      <c r="E10" s="24" t="s">
        <v>106</v>
      </c>
      <c r="F10" s="27" t="s">
        <v>107</v>
      </c>
      <c r="N10" s="46"/>
    </row>
    <row r="11" spans="1:24" ht="20.100000000000001" customHeight="1" x14ac:dyDescent="0.25">
      <c r="A11" s="5" t="str">
        <f>HYPERLINK("#'4.2.1.1-2 Methane'!A1", "4.2.1.1-2 Methane")</f>
        <v>4.2.1.1-2 Methane</v>
      </c>
      <c r="D11" s="1" t="s">
        <v>108</v>
      </c>
      <c r="E11" s="24" t="s">
        <v>109</v>
      </c>
      <c r="F11" s="27" t="s">
        <v>107</v>
      </c>
      <c r="G11" s="1"/>
      <c r="N11" s="51"/>
    </row>
    <row r="12" spans="1:24" ht="20.100000000000001" customHeight="1" x14ac:dyDescent="0.25">
      <c r="A12" s="5" t="str">
        <f>HYPERLINK("#'4.2.1.3-4 Soil direct N2O'!A1", "4.2.1.3-4 Soil direct N2O")</f>
        <v>4.2.1.3-4 Soil direct N2O</v>
      </c>
      <c r="D12" s="1" t="s">
        <v>110</v>
      </c>
      <c r="E12" s="24" t="s">
        <v>111</v>
      </c>
      <c r="F12" s="27" t="s">
        <v>107</v>
      </c>
    </row>
    <row r="13" spans="1:24" ht="20.100000000000001" customHeight="1" x14ac:dyDescent="0.25">
      <c r="A13" s="5" t="str">
        <f>HYPERLINK("#'4.2.1.5-6 Soil Atmos Dep'!A1", "4.2.1.5-6 Soil atm. deposition")</f>
        <v>4.2.1.5-6 Soil atm. deposition</v>
      </c>
      <c r="D13" s="1" t="s">
        <v>43</v>
      </c>
      <c r="E13" s="45">
        <v>307.7</v>
      </c>
      <c r="F13" s="27" t="s">
        <v>112</v>
      </c>
      <c r="N13" s="53"/>
      <c r="O13" s="53"/>
    </row>
    <row r="14" spans="1:24" ht="20.100000000000001" customHeight="1" x14ac:dyDescent="0.25">
      <c r="A14" s="5" t="str">
        <f>HYPERLINK("#'4.2.1.7-8 Soil leach runoff'!A1", "4.2.1.7-8 Soil leach &amp; runoff")</f>
        <v>4.2.1.7-8 Soil leach &amp; runoff</v>
      </c>
      <c r="D14" s="1" t="s">
        <v>113</v>
      </c>
      <c r="E14" s="45">
        <v>18</v>
      </c>
      <c r="F14" s="27" t="s">
        <v>114</v>
      </c>
      <c r="N14" s="53"/>
      <c r="O14" s="53"/>
    </row>
    <row r="15" spans="1:24" ht="20.100000000000001" customHeight="1" x14ac:dyDescent="0.25">
      <c r="A15" s="5"/>
      <c r="D15" s="1" t="s">
        <v>115</v>
      </c>
      <c r="E15" s="45">
        <v>601</v>
      </c>
      <c r="F15" s="27" t="s">
        <v>116</v>
      </c>
      <c r="N15" s="53"/>
      <c r="O15" s="53"/>
    </row>
    <row r="16" spans="1:24" ht="20.100000000000001" customHeight="1" x14ac:dyDescent="0.25">
      <c r="A16" s="6" t="s">
        <v>2</v>
      </c>
      <c r="D16" s="23" t="s">
        <v>117</v>
      </c>
      <c r="E16" s="45">
        <v>1326</v>
      </c>
      <c r="F16" s="27" t="s">
        <v>116</v>
      </c>
      <c r="N16" s="53"/>
      <c r="O16" s="53"/>
    </row>
    <row r="17" spans="1:25" ht="20.100000000000001" customHeight="1" x14ac:dyDescent="0.25">
      <c r="A17" s="5" t="str">
        <f>HYPERLINK("#'Constants - Pasture Beef'!A1", "Constants - Pasture Beef")</f>
        <v>Constants - Pasture Beef</v>
      </c>
      <c r="D17" s="1" t="s">
        <v>118</v>
      </c>
      <c r="E17" s="45">
        <v>7</v>
      </c>
      <c r="F17" s="27" t="s">
        <v>119</v>
      </c>
    </row>
    <row r="18" spans="1:25" ht="20.100000000000001" customHeight="1" x14ac:dyDescent="0.25">
      <c r="A18" s="5" t="str">
        <f>HYPERLINK("#'Constants - Livestock'!A1", "Constants - Livestock")</f>
        <v>Constants - Livestock</v>
      </c>
      <c r="D18" s="23" t="s">
        <v>120</v>
      </c>
      <c r="E18" s="26">
        <f>E15/E16</f>
        <v>0.45324283559577677</v>
      </c>
      <c r="F18" s="27"/>
    </row>
    <row r="19" spans="1:25" ht="20.100000000000001" customHeight="1" x14ac:dyDescent="0.25">
      <c r="A19" s="5" t="str">
        <f>HYPERLINK("#'Constants - Common'!A1", "Constants - Common")</f>
        <v>Constants - Common</v>
      </c>
      <c r="D19" s="23" t="s">
        <v>71</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38</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121</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75</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32"/>
  <sheetViews>
    <sheetView showGridLines="0" workbookViewId="0">
      <selection activeCell="G21" sqref="G21"/>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167</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94</v>
      </c>
      <c r="E5" s="36"/>
      <c r="F5" s="36"/>
      <c r="G5" s="36"/>
    </row>
    <row r="6" spans="3:10" x14ac:dyDescent="0.25">
      <c r="D6" s="43"/>
      <c r="E6" s="36"/>
      <c r="F6" s="36"/>
      <c r="G6" s="36"/>
    </row>
    <row r="7" spans="3:10" x14ac:dyDescent="0.25">
      <c r="D7" s="1" t="s">
        <v>95</v>
      </c>
      <c r="E7" s="45" t="s">
        <v>96</v>
      </c>
      <c r="F7" s="27"/>
      <c r="G7" s="36"/>
    </row>
    <row r="8" spans="3:10" x14ac:dyDescent="0.25">
      <c r="D8" s="23" t="s">
        <v>97</v>
      </c>
      <c r="E8" s="45" t="s">
        <v>98</v>
      </c>
      <c r="F8" s="36"/>
      <c r="G8" s="36"/>
    </row>
    <row r="9" spans="3:10" x14ac:dyDescent="0.25">
      <c r="D9" s="36"/>
      <c r="E9" s="36"/>
      <c r="F9" s="36"/>
      <c r="G9" s="36"/>
    </row>
    <row r="10" spans="3:10" x14ac:dyDescent="0.25">
      <c r="D10" s="47" t="s">
        <v>99</v>
      </c>
      <c r="E10" s="48"/>
      <c r="F10" s="49"/>
      <c r="G10" s="50"/>
    </row>
    <row r="11" spans="3:10" x14ac:dyDescent="0.25">
      <c r="D11" s="36"/>
      <c r="E11" s="36"/>
      <c r="F11" s="36"/>
      <c r="G11" s="36"/>
    </row>
    <row r="12" spans="3:10" x14ac:dyDescent="0.25">
      <c r="D12" s="23" t="s">
        <v>17</v>
      </c>
      <c r="E12" s="25">
        <v>45292</v>
      </c>
      <c r="F12" s="27" t="s">
        <v>100</v>
      </c>
      <c r="G12" s="36"/>
    </row>
    <row r="13" spans="3:10" x14ac:dyDescent="0.25">
      <c r="D13" s="23" t="s">
        <v>18</v>
      </c>
      <c r="E13" s="52">
        <f>DATE(YEAR(E12)+1,MONTH(E12),DAY(E12))-1</f>
        <v>45657</v>
      </c>
      <c r="F13" s="27" t="s">
        <v>101</v>
      </c>
      <c r="G13" s="36"/>
    </row>
    <row r="14" spans="3:10" x14ac:dyDescent="0.25">
      <c r="F14" s="36"/>
      <c r="G14" s="36"/>
    </row>
    <row r="16" spans="3:10" ht="23.25" x14ac:dyDescent="0.25">
      <c r="D16" s="2" t="s">
        <v>19</v>
      </c>
    </row>
    <row r="18" spans="4:7" x14ac:dyDescent="0.25">
      <c r="D18" s="1" t="s">
        <v>14</v>
      </c>
      <c r="E18" s="25">
        <v>45231</v>
      </c>
      <c r="F18" s="27" t="s">
        <v>100</v>
      </c>
    </row>
    <row r="19" spans="4:7" x14ac:dyDescent="0.25">
      <c r="D19" s="1" t="s">
        <v>15</v>
      </c>
      <c r="E19" s="25">
        <v>45747</v>
      </c>
      <c r="F19" s="27" t="s">
        <v>100</v>
      </c>
    </row>
    <row r="20" spans="4:7" x14ac:dyDescent="0.25">
      <c r="D20" s="1" t="s">
        <v>16</v>
      </c>
      <c r="E20" s="26">
        <f>DATEDIF(E18,E19+1,"m")</f>
        <v>17</v>
      </c>
      <c r="F20" s="27" t="s">
        <v>125</v>
      </c>
    </row>
    <row r="22" spans="4:7" x14ac:dyDescent="0.25">
      <c r="D22" s="1" t="s">
        <v>20</v>
      </c>
      <c r="E22" s="91" t="s">
        <v>176</v>
      </c>
      <c r="G22" s="27" t="s">
        <v>26</v>
      </c>
    </row>
    <row r="23" spans="4:7" x14ac:dyDescent="0.25">
      <c r="D23" s="1" t="s">
        <v>21</v>
      </c>
      <c r="E23" s="91" t="s">
        <v>173</v>
      </c>
      <c r="G23" s="27" t="s">
        <v>26</v>
      </c>
    </row>
    <row r="24" spans="4:7" x14ac:dyDescent="0.25">
      <c r="D24" s="1" t="s">
        <v>22</v>
      </c>
      <c r="E24" s="91" t="s">
        <v>174</v>
      </c>
      <c r="G24" s="27" t="s">
        <v>26</v>
      </c>
    </row>
    <row r="25" spans="4:7" x14ac:dyDescent="0.25">
      <c r="D25" s="1" t="s">
        <v>169</v>
      </c>
      <c r="E25" s="91" t="s">
        <v>177</v>
      </c>
      <c r="G25" s="27" t="s">
        <v>26</v>
      </c>
    </row>
    <row r="26" spans="4:7" x14ac:dyDescent="0.25">
      <c r="D26" s="1" t="s">
        <v>170</v>
      </c>
      <c r="E26" s="91" t="s">
        <v>175</v>
      </c>
      <c r="G26" s="27" t="s">
        <v>26</v>
      </c>
    </row>
    <row r="27" spans="4:7" x14ac:dyDescent="0.25">
      <c r="D27" s="1" t="s">
        <v>23</v>
      </c>
      <c r="E27" s="29">
        <v>0.1</v>
      </c>
      <c r="G27" s="27" t="s">
        <v>168</v>
      </c>
    </row>
    <row r="28" spans="4:7" x14ac:dyDescent="0.25">
      <c r="D28" s="1" t="s">
        <v>24</v>
      </c>
      <c r="E28" s="29">
        <v>0.2</v>
      </c>
      <c r="G28" s="27" t="s">
        <v>168</v>
      </c>
    </row>
    <row r="29" spans="4:7" x14ac:dyDescent="0.25">
      <c r="D29" s="1" t="s">
        <v>25</v>
      </c>
      <c r="E29" s="30">
        <f>100%-E27-E28</f>
        <v>0.7</v>
      </c>
      <c r="G29" s="27" t="s">
        <v>168</v>
      </c>
    </row>
    <row r="31" spans="4:7" x14ac:dyDescent="0.25">
      <c r="D31" s="1" t="s">
        <v>171</v>
      </c>
      <c r="E31" s="29">
        <v>0.8</v>
      </c>
      <c r="G31" s="27" t="s">
        <v>168</v>
      </c>
    </row>
    <row r="32" spans="4:7" x14ac:dyDescent="0.25">
      <c r="D32" s="1" t="s">
        <v>172</v>
      </c>
      <c r="E32" s="29">
        <v>0.2</v>
      </c>
      <c r="G32" s="27"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16"/>
  <sheetViews>
    <sheetView showGridLines="0" workbookViewId="0">
      <selection activeCell="E23" sqref="E23"/>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7" customFormat="1" ht="25.5" x14ac:dyDescent="0.35">
      <c r="A1" s="17" t="e" vm="1">
        <v>#VALUE!</v>
      </c>
      <c r="C1" s="17" t="s">
        <v>202</v>
      </c>
    </row>
    <row r="2" spans="1:13" s="3" customFormat="1" x14ac:dyDescent="0.25"/>
    <row r="3" spans="1:13" ht="20.25" x14ac:dyDescent="0.25">
      <c r="C3" s="40"/>
      <c r="D3" s="40"/>
      <c r="E3" s="40"/>
      <c r="F3" s="40"/>
      <c r="G3" s="40"/>
      <c r="H3" s="40"/>
      <c r="I3" s="40"/>
      <c r="J3" s="40"/>
      <c r="K3" s="40"/>
      <c r="L3" s="40"/>
      <c r="M3" s="40"/>
    </row>
    <row r="5" spans="1:13" x14ac:dyDescent="0.25">
      <c r="D5" s="93" t="s">
        <v>203</v>
      </c>
    </row>
    <row r="6" spans="1:13" x14ac:dyDescent="0.25">
      <c r="D6" s="31" t="s">
        <v>204</v>
      </c>
      <c r="E6" s="31" t="s">
        <v>205</v>
      </c>
      <c r="F6" s="31" t="s">
        <v>206</v>
      </c>
      <c r="G6" s="31" t="s">
        <v>207</v>
      </c>
      <c r="H6" s="31" t="s">
        <v>208</v>
      </c>
      <c r="I6" s="31" t="s">
        <v>209</v>
      </c>
    </row>
    <row r="7" spans="1:13" x14ac:dyDescent="0.25">
      <c r="D7" s="45"/>
      <c r="E7" s="24"/>
      <c r="F7" s="94">
        <v>45566</v>
      </c>
      <c r="G7" s="31">
        <v>10</v>
      </c>
      <c r="H7" s="31">
        <v>500</v>
      </c>
      <c r="I7" s="26">
        <f t="shared" ref="I7:I16" si="0">G7*H7</f>
        <v>5000</v>
      </c>
    </row>
    <row r="8" spans="1:13" x14ac:dyDescent="0.25">
      <c r="D8" s="45"/>
      <c r="E8" s="24"/>
      <c r="F8" s="94"/>
      <c r="G8" s="31"/>
      <c r="H8" s="31"/>
      <c r="I8" s="26">
        <f t="shared" si="0"/>
        <v>0</v>
      </c>
    </row>
    <row r="9" spans="1:13" x14ac:dyDescent="0.25">
      <c r="D9" s="45"/>
      <c r="E9" s="24"/>
      <c r="F9" s="94"/>
      <c r="G9" s="31"/>
      <c r="H9" s="31"/>
      <c r="I9" s="26">
        <f t="shared" si="0"/>
        <v>0</v>
      </c>
    </row>
    <row r="10" spans="1:13" x14ac:dyDescent="0.25">
      <c r="D10" s="45"/>
      <c r="E10" s="24"/>
      <c r="F10" s="94"/>
      <c r="G10" s="31"/>
      <c r="H10" s="31"/>
      <c r="I10" s="26">
        <f t="shared" si="0"/>
        <v>0</v>
      </c>
    </row>
    <row r="11" spans="1:13" x14ac:dyDescent="0.25">
      <c r="D11" s="45"/>
      <c r="E11" s="24"/>
      <c r="F11" s="94"/>
      <c r="G11" s="31"/>
      <c r="H11" s="31"/>
      <c r="I11" s="26">
        <f t="shared" si="0"/>
        <v>0</v>
      </c>
    </row>
    <row r="12" spans="1:13" x14ac:dyDescent="0.25">
      <c r="D12" s="45"/>
      <c r="E12" s="24"/>
      <c r="F12" s="94"/>
      <c r="G12" s="31"/>
      <c r="H12" s="31"/>
      <c r="I12" s="26">
        <f t="shared" si="0"/>
        <v>0</v>
      </c>
    </row>
    <row r="13" spans="1:13" x14ac:dyDescent="0.25">
      <c r="D13" s="45"/>
      <c r="E13" s="24"/>
      <c r="F13" s="94"/>
      <c r="G13" s="31"/>
      <c r="H13" s="31"/>
      <c r="I13" s="26">
        <f t="shared" si="0"/>
        <v>0</v>
      </c>
    </row>
    <row r="14" spans="1:13" x14ac:dyDescent="0.25">
      <c r="D14" s="45"/>
      <c r="E14" s="24"/>
      <c r="F14" s="94"/>
      <c r="G14" s="31"/>
      <c r="H14" s="31"/>
      <c r="I14" s="26">
        <f t="shared" si="0"/>
        <v>0</v>
      </c>
    </row>
    <row r="15" spans="1:13" x14ac:dyDescent="0.25">
      <c r="D15" s="45"/>
      <c r="E15" s="24"/>
      <c r="F15" s="94"/>
      <c r="G15" s="31"/>
      <c r="H15" s="31"/>
      <c r="I15" s="26">
        <f t="shared" si="0"/>
        <v>0</v>
      </c>
    </row>
    <row r="16" spans="1:13" x14ac:dyDescent="0.25">
      <c r="D16" s="45"/>
      <c r="E16" s="24"/>
      <c r="F16" s="94"/>
      <c r="G16" s="31"/>
      <c r="H16" s="31"/>
      <c r="I16" s="26">
        <f t="shared" si="0"/>
        <v>0</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tabSelected="1" workbookViewId="0">
      <selection activeCell="E11" sqref="E1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187</v>
      </c>
    </row>
    <row r="2" spans="1:11" s="3" customFormat="1" x14ac:dyDescent="0.25"/>
    <row r="3" spans="1:11" ht="20.25" x14ac:dyDescent="0.25">
      <c r="C3" s="40"/>
      <c r="D3" s="40"/>
      <c r="E3" s="40"/>
      <c r="F3" s="40"/>
      <c r="G3" s="40"/>
      <c r="H3" s="40"/>
      <c r="I3" s="40"/>
      <c r="J3" s="40"/>
      <c r="K3" s="40"/>
    </row>
    <row r="5" spans="1:11" x14ac:dyDescent="0.25">
      <c r="D5" s="81" t="s">
        <v>192</v>
      </c>
      <c r="E5" s="81"/>
      <c r="F5" s="81"/>
      <c r="G5" s="81"/>
    </row>
    <row r="6" spans="1:11" x14ac:dyDescent="0.25">
      <c r="F6" s="27"/>
    </row>
    <row r="7" spans="1:11" x14ac:dyDescent="0.25">
      <c r="D7" s="1" t="s">
        <v>188</v>
      </c>
      <c r="E7" s="26" t="s">
        <v>191</v>
      </c>
      <c r="F7" s="27"/>
    </row>
    <row r="8" spans="1:11" x14ac:dyDescent="0.25">
      <c r="D8" s="1" t="s">
        <v>189</v>
      </c>
      <c r="E8" s="26" t="s">
        <v>191</v>
      </c>
      <c r="F8" s="27"/>
    </row>
    <row r="9" spans="1:11" x14ac:dyDescent="0.25">
      <c r="D9" s="1" t="s">
        <v>70</v>
      </c>
      <c r="E9" s="26" t="e" cm="1">
        <f t="array" ref="E9">X_Cell_Pasture_IrrigationMethod</f>
        <v>#NAME?</v>
      </c>
    </row>
    <row r="10" spans="1:11" x14ac:dyDescent="0.25">
      <c r="D10" s="1" t="s">
        <v>190</v>
      </c>
      <c r="E10" s="26" t="e" cm="1">
        <f t="array" ref="E10">X_Cell_Pasture_AreaUnderPasture</f>
        <v>#NAME?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zoomScale="85" zoomScaleNormal="85" workbookViewId="0">
      <selection activeCell="F67" sqref="F67"/>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27</v>
      </c>
    </row>
    <row r="2" spans="1:65" s="3" customFormat="1" ht="20.100000000000001" customHeight="1" x14ac:dyDescent="0.25"/>
    <row r="3" spans="1:65" ht="20.100000000000001" customHeight="1" x14ac:dyDescent="0.25">
      <c r="A3"/>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28</v>
      </c>
      <c r="E6" s="31" t="s">
        <v>29</v>
      </c>
      <c r="F6" s="31" t="s">
        <v>30</v>
      </c>
    </row>
    <row r="7" spans="1:65" ht="20.100000000000001" customHeight="1" x14ac:dyDescent="0.25">
      <c r="A7"/>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31</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32</v>
      </c>
      <c r="E36" s="31" t="s">
        <v>33</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1" t="s">
        <v>32</v>
      </c>
      <c r="E47" s="31" t="s">
        <v>34</v>
      </c>
      <c r="F47" s="31" t="s">
        <v>35</v>
      </c>
      <c r="G47" s="31" t="s">
        <v>36</v>
      </c>
      <c r="H47" s="31" t="s">
        <v>37</v>
      </c>
    </row>
    <row r="48" spans="1:8" ht="20.100000000000001" customHeight="1" x14ac:dyDescent="0.25">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4:8" ht="20.100000000000001" customHeight="1" x14ac:dyDescent="0.25">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4:8" ht="20.100000000000001" customHeight="1" x14ac:dyDescent="0.25">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4:8" ht="20.100000000000001" customHeight="1" x14ac:dyDescent="0.25">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4:8" ht="20.100000000000001" customHeight="1" x14ac:dyDescent="0.25">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4:8" ht="20.100000000000001" customHeight="1" x14ac:dyDescent="0.25">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4:8" ht="20.100000000000001" customHeight="1" x14ac:dyDescent="0.25">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7" t="str" cm="1">
        <f t="array" ref="D59:D61">"⚠️" &amp; Common_SourceData.Common_SourceData_WetAndDryZones_Variation()</f>
        <v>⚠️VARIATION OF SOURCE DATA:</v>
      </c>
    </row>
    <row r="60" spans="4:8" ht="20.100000000000001" customHeight="1" x14ac:dyDescent="0.25">
      <c r="D60" s="37" t="str">
        <v>⚠️Added warm / cool temperate moist / dry - low frost and high temp classes to accommodate climate scenarios excluded by VEERG criteria.</v>
      </c>
    </row>
    <row r="61" spans="4:8" ht="20.100000000000001" customHeight="1" x14ac:dyDescent="0.25">
      <c r="D61" s="37" t="str">
        <v>⚠️Fixed typo - Changed 'Fry' to 'Dry'.</v>
      </c>
    </row>
    <row r="62" spans="4:8" ht="20.100000000000001" customHeight="1" x14ac:dyDescent="0.25"/>
    <row r="63" spans="4:8" ht="20.100000000000001" customHeight="1" x14ac:dyDescent="0.25">
      <c r="D63" s="31" t="s">
        <v>38</v>
      </c>
      <c r="E63" s="31" t="s">
        <v>39</v>
      </c>
    </row>
    <row r="64" spans="4:8" ht="20.100000000000001" customHeight="1" x14ac:dyDescent="0.25">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7" t="str" cm="1">
        <f t="array" ref="D83:D87">"⚠️" &amp; Common_SourceData.Common_SourceData_ClimateZones_Variation()</f>
        <v>⚠️VARIATION OF SOURCE DATA:</v>
      </c>
    </row>
    <row r="84" spans="4:20" ht="20.100000000000001" customHeight="1" x14ac:dyDescent="0.25">
      <c r="D84" s="37" t="str">
        <v>⚠️Added warm / cool temperate moist / dry - low frost and high temp classes to accommodate climate scenarios excluded by VEERG criteria.</v>
      </c>
    </row>
    <row r="85" spans="4:20" ht="20.100000000000001" customHeight="1" x14ac:dyDescent="0.25">
      <c r="D85" s="37" t="str">
        <v>⚠️Fixed typo in MAT value for warm temperate dry - changed 10 to 11.</v>
      </c>
    </row>
    <row r="86" spans="4:20" ht="20.100000000000001" customHeight="1" x14ac:dyDescent="0.25">
      <c r="D86" s="37" t="str">
        <v>⚠️Added min and max columns for MAT, MAP, frost days per year, elevation, MAP:PET to calculate zones from real climate data.</v>
      </c>
    </row>
    <row r="87" spans="4:20" ht="20.100000000000001" customHeight="1" x14ac:dyDescent="0.25">
      <c r="D87" s="37" t="str">
        <v>⚠️GAF accepts rainfall as a proxy for precipitation.</v>
      </c>
    </row>
    <row r="88" spans="4:20" ht="20.100000000000001" customHeight="1" x14ac:dyDescent="0.25"/>
    <row r="89" spans="4:20" ht="20.100000000000001" customHeight="1" x14ac:dyDescent="0.25">
      <c r="D89" s="31" t="s">
        <v>38</v>
      </c>
      <c r="E89" s="31" t="s">
        <v>40</v>
      </c>
      <c r="F89" s="31" t="s">
        <v>41</v>
      </c>
      <c r="G89" s="31" t="s">
        <v>42</v>
      </c>
      <c r="H89" s="31" t="s">
        <v>43</v>
      </c>
      <c r="I89" s="31" t="s">
        <v>44</v>
      </c>
      <c r="J89" s="31" t="s">
        <v>45</v>
      </c>
      <c r="K89" s="31" t="s">
        <v>46</v>
      </c>
      <c r="L89" s="31" t="s">
        <v>47</v>
      </c>
      <c r="M89" s="31" t="s">
        <v>48</v>
      </c>
      <c r="N89" s="31" t="s">
        <v>49</v>
      </c>
      <c r="O89" s="31" t="s">
        <v>50</v>
      </c>
      <c r="P89" s="31" t="s">
        <v>51</v>
      </c>
      <c r="Q89" s="31" t="s">
        <v>52</v>
      </c>
      <c r="R89" s="31" t="s">
        <v>53</v>
      </c>
      <c r="S89" s="31" t="s">
        <v>54</v>
      </c>
      <c r="T89" s="31"/>
    </row>
    <row r="90" spans="4:20" ht="20.100000000000001" customHeight="1" x14ac:dyDescent="0.25">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4:20" ht="20.100000000000001" customHeight="1" x14ac:dyDescent="0.25">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4:20" ht="20.100000000000001" customHeight="1" x14ac:dyDescent="0.25">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4:20" ht="20.100000000000001" customHeight="1" x14ac:dyDescent="0.25">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4:20" ht="20.100000000000001" customHeight="1" x14ac:dyDescent="0.25">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4:20" ht="20.100000000000001" customHeight="1" x14ac:dyDescent="0.2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4:20" ht="20.100000000000001" customHeight="1" x14ac:dyDescent="0.25">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4:20" ht="20.100000000000001" customHeight="1" x14ac:dyDescent="0.25">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1" t="s">
        <v>55</v>
      </c>
      <c r="E109" s="31" t="s">
        <v>40</v>
      </c>
      <c r="F109" s="31" t="s">
        <v>56</v>
      </c>
      <c r="G109" s="31" t="s">
        <v>57</v>
      </c>
    </row>
    <row r="110" spans="4:20" ht="20.100000000000001" customHeight="1" x14ac:dyDescent="0.25">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4:20" ht="20.100000000000001" customHeight="1" x14ac:dyDescent="0.25">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3"/>
    </row>
    <row r="116" spans="4:66" ht="20.100000000000001" customHeight="1" x14ac:dyDescent="0.25">
      <c r="D116" s="28" t="str" cm="1">
        <f t="array" ref="D116">Common_SourceData.Common_SourceData_RainfallZones_Source()</f>
        <v>VEERG 2026: Table 1.3: Climate and Rainfall zone classifications and definitions</v>
      </c>
      <c r="BN116" s="33"/>
    </row>
    <row r="117" spans="4:66" ht="20.100000000000001" customHeight="1" x14ac:dyDescent="0.25">
      <c r="D117" s="37" t="str" cm="1">
        <f t="array" ref="D117">"⚠️" &amp; Common_SourceData.Common_SourceData_RainfallZones_Variation()</f>
        <v>⚠️VARIATION OF SOURCE DATA: Added extra Rainfall min and Rainfall max columns to calculate zone from real rainfall data.</v>
      </c>
      <c r="BN117" s="33"/>
    </row>
    <row r="118" spans="4:66" ht="20.100000000000001" customHeight="1" x14ac:dyDescent="0.25">
      <c r="BN118" s="33"/>
    </row>
    <row r="119" spans="4:66" ht="20.100000000000001" customHeight="1" x14ac:dyDescent="0.25">
      <c r="D119" s="31" t="s">
        <v>58</v>
      </c>
      <c r="E119" s="31" t="s">
        <v>59</v>
      </c>
      <c r="F119" s="31" t="s">
        <v>47</v>
      </c>
      <c r="G119" s="31" t="s">
        <v>48</v>
      </c>
      <c r="BN119" s="33"/>
    </row>
    <row r="120" spans="4:66" ht="20.100000000000001" customHeight="1" x14ac:dyDescent="0.25">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4:66" ht="20.100000000000001" customHeight="1" x14ac:dyDescent="0.25">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4:66" ht="20.100000000000001" customHeight="1" x14ac:dyDescent="0.25">
      <c r="BN122" s="33"/>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1" t="s">
        <v>60</v>
      </c>
      <c r="E127" s="31" t="s">
        <v>61</v>
      </c>
    </row>
    <row r="128" spans="4:66" ht="20.100000000000001" customHeight="1" x14ac:dyDescent="0.25">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62</v>
      </c>
      <c r="E134" t="s">
        <v>63</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3"/>
      <c r="BO138" s="33"/>
      <c r="BP138" s="33"/>
      <c r="BQ138" s="33"/>
      <c r="BR138" s="33"/>
      <c r="BS138" s="33"/>
      <c r="BT138" s="33"/>
      <c r="BU138" s="33"/>
      <c r="BV138" s="33"/>
      <c r="BW138" s="33"/>
      <c r="BX138" s="33"/>
      <c r="BY138" s="33"/>
    </row>
    <row r="139" spans="4:77" ht="20.100000000000001" customHeight="1" x14ac:dyDescent="0.25">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4:77" ht="20.100000000000001" customHeight="1" x14ac:dyDescent="0.25">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4:77" ht="20.100000000000001" customHeight="1" x14ac:dyDescent="0.25">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4:77" ht="20.100000000000001" customHeight="1" x14ac:dyDescent="0.25">
      <c r="D142" s="31" t="s">
        <v>64</v>
      </c>
      <c r="E142" s="31" t="s">
        <v>63</v>
      </c>
      <c r="BN142" s="33"/>
    </row>
    <row r="143" spans="4:77" ht="20.100000000000001" customHeight="1" x14ac:dyDescent="0.25">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4:66" ht="20.100000000000001" customHeight="1" x14ac:dyDescent="0.25">
      <c r="BN148" s="33"/>
    </row>
    <row r="149" spans="4:66" ht="20.100000000000001" customHeight="1" x14ac:dyDescent="0.25">
      <c r="BN149" s="33"/>
    </row>
    <row r="150" spans="4:66" ht="20.100000000000001" customHeight="1" x14ac:dyDescent="0.25">
      <c r="D150" s="2" t="str" cm="1">
        <f t="array" ref="D150">Common_SourceData.Common_SourceData_DataScores_Scope3_Title()</f>
        <v>Australian data scores for scope 3</v>
      </c>
      <c r="BN150" s="33"/>
    </row>
    <row r="151" spans="4:66" ht="20.100000000000001" customHeight="1" x14ac:dyDescent="0.25">
      <c r="D151" s="28" t="str" cm="1">
        <f t="array" ref="D151">Common_SourceData.Common_SourceData_DataScores_Scope3_Source()</f>
        <v>VEERG 2026: XXXXXXXX</v>
      </c>
      <c r="BN151" s="33"/>
    </row>
    <row r="152" spans="4:66" ht="20.100000000000001" customHeight="1" x14ac:dyDescent="0.25">
      <c r="BN152" s="33"/>
    </row>
    <row r="153" spans="4:66" ht="20.100000000000001" customHeight="1" x14ac:dyDescent="0.25">
      <c r="D153" s="31" t="s">
        <v>65</v>
      </c>
      <c r="E153" s="31" t="s">
        <v>66</v>
      </c>
      <c r="BC153" s="36"/>
      <c r="BD153" s="36"/>
      <c r="BE153" s="36"/>
      <c r="BF153" s="36"/>
      <c r="BG153" s="36"/>
      <c r="BH153" s="36"/>
      <c r="BI153" s="36"/>
      <c r="BJ153" s="36"/>
      <c r="BK153" s="36"/>
      <c r="BL153" s="36"/>
      <c r="BM153" s="36"/>
    </row>
    <row r="154" spans="4:66" ht="20.100000000000001" customHeight="1" x14ac:dyDescent="0.25">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4:66" ht="20.100000000000001" customHeight="1" x14ac:dyDescent="0.2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4:66" ht="20.100000000000001" customHeight="1" x14ac:dyDescent="0.25">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4:66" ht="20.100000000000001" customHeight="1" x14ac:dyDescent="0.25">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4:66" ht="20.100000000000001" customHeight="1" x14ac:dyDescent="0.25">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67</v>
      </c>
      <c r="E186" s="31" t="s">
        <v>68</v>
      </c>
      <c r="F186" s="31" t="s">
        <v>69</v>
      </c>
      <c r="G186" s="31" t="s">
        <v>70</v>
      </c>
      <c r="H186" s="31" t="s">
        <v>71</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38</v>
      </c>
      <c r="E206" s="31" t="s">
        <v>72</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73</v>
      </c>
      <c r="E212" s="31" t="s">
        <v>74</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75</v>
      </c>
      <c r="E231" s="31" t="s">
        <v>76</v>
      </c>
      <c r="F231" s="38" t="s">
        <v>77</v>
      </c>
      <c r="G231" s="31" t="s">
        <v>78</v>
      </c>
      <c r="H231" s="31" t="s">
        <v>79</v>
      </c>
      <c r="I231" s="31" t="s">
        <v>80</v>
      </c>
      <c r="J231" s="31" t="s">
        <v>81</v>
      </c>
      <c r="K231" s="31" t="s">
        <v>82</v>
      </c>
      <c r="L231" s="31" t="s">
        <v>83</v>
      </c>
      <c r="M231" s="31" t="s">
        <v>84</v>
      </c>
      <c r="N231" s="31" t="s">
        <v>85</v>
      </c>
      <c r="O231" s="31" t="s">
        <v>86</v>
      </c>
      <c r="P231" s="31" t="s">
        <v>87</v>
      </c>
      <c r="Q231" s="31" t="s">
        <v>88</v>
      </c>
      <c r="R231" s="31" t="s">
        <v>89</v>
      </c>
      <c r="S231" s="31" t="s">
        <v>90</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1" t="s">
        <v>91</v>
      </c>
      <c r="E257" s="31" t="s">
        <v>92</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31</vt:i4>
      </vt:variant>
    </vt:vector>
  </HeadingPairs>
  <TitlesOfParts>
    <vt:vector size="38" baseType="lpstr">
      <vt:lpstr>Home</vt:lpstr>
      <vt:lpstr>Results</vt:lpstr>
      <vt:lpstr>Input - Site</vt:lpstr>
      <vt:lpstr>Input - Enterprise</vt:lpstr>
      <vt:lpstr>Input - Livestock sales</vt:lpstr>
      <vt:lpstr>Input - Fert Prod System</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2026-07-31T02:12:44Z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