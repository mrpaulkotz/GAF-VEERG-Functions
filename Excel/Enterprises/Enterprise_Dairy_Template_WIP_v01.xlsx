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F8F02752-60BE-45FA-9AB5-93865184AC5D}" xr6:coauthVersionLast="47" xr6:coauthVersionMax="47" xr10:uidLastSave="{00000000-0000-0000-0000-000000000000}"/>
  <bookViews>
    <workbookView xWindow="390" yWindow="390" windowWidth="28800" windowHeight="15345" firstSheet="4" activeTab="7" xr2:uid="{992023F3-CAB7-4E5B-A348-08D563A0EF40}"/>
  </bookViews>
  <sheets>
    <sheet name="Home" sheetId="71" r:id="rId1"/>
    <sheet name="Results" sheetId="13" r:id="rId2"/>
    <sheet name="Input - Site" sheetId="75" r:id="rId3"/>
    <sheet name="Input - Enterprise" sheetId="72" r:id="rId4"/>
    <sheet name="Input - Livestock sales" sheetId="77" r:id="rId5"/>
    <sheet name="Input - Fert Prod System" sheetId="76" r:id="rId6"/>
    <sheet name="Input - Data quality" sheetId="78" r:id="rId7"/>
    <sheet name="Constants - Common" sheetId="79" r:id="rId8"/>
  </sheets>
  <externalReferences>
    <externalReference r:id="rId9"/>
    <externalReference r:id="rId10"/>
    <externalReference r:id="rId11"/>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 localSheetId="6">[1]Results!$E$50</definedName>
    <definedName name="Result_CarbonRemovalsFromPlantings">Results!$E$56</definedName>
    <definedName name="Result_EmissionsForWholeProductionCycle_Method1" localSheetId="6">[1]Results!$E$39</definedName>
    <definedName name="Result_EmissionsForWholeProductionCycle_Method1" localSheetId="4">[2]Results!$E$42</definedName>
    <definedName name="Result_EmissionsForWholeProductionCycle_Method1">Results!$E$45</definedName>
    <definedName name="Result_EmissionsForWholeProductionCycle_Method2" localSheetId="6">[1]Results!$F$39</definedName>
    <definedName name="Result_EmissionsForWholeProductionCycle_Method2" localSheetId="4">[2]Results!$F$42</definedName>
    <definedName name="Result_EmissionsForWholeProductionCycle_Method2">Results!$F$45</definedName>
    <definedName name="Result_Enterprise_Method1" localSheetId="6">[1]Results!$H$25</definedName>
    <definedName name="Result_Enterprise_Method1" localSheetId="4">[2]Results!$H$28</definedName>
    <definedName name="Result_Enterprise_Method1">Results!$H$31</definedName>
    <definedName name="Result_Enterprise_Method2" localSheetId="6">[1]Results!$I$25</definedName>
    <definedName name="Result_Enterprise_Method2" localSheetId="4">[2]Results!$I$28</definedName>
    <definedName name="Result_Enterprise_Method2">Results!$I$31</definedName>
    <definedName name="Result_NetEmissions_Method1" localSheetId="6">[1]Results!$E$56</definedName>
    <definedName name="Result_NetEmissions_Method1" localSheetId="4">[2]Results!$E$59</definedName>
    <definedName name="Result_NetEmissions_Method1">Results!$E$62</definedName>
    <definedName name="Result_NetEmissions_Method2" localSheetId="6">[1]Results!$F$56</definedName>
    <definedName name="Result_NetEmissions_Method2" localSheetId="4">[2]Results!$F$59</definedName>
    <definedName name="Result_NetEmissions_Method2">Results!$F$62</definedName>
    <definedName name="X_Cell_Enterprise_PercentIncomeFromGrain">'[1]Input - Enterprise'!$E$32</definedName>
    <definedName name="X_Cell_Enterprise_ProductionTimeframeEnd" localSheetId="6">'[1]Input - Enterprise'!$E$19</definedName>
    <definedName name="X_Cell_Enterprise_ProductionTimeframeEnd" localSheetId="4">'[2]Input - Enterprise'!$E$19</definedName>
    <definedName name="X_Cell_Enterprise_ProductionTimeframeEnd">'Input - Enterprise'!$E$19</definedName>
    <definedName name="X_Cell_Enterprise_ProductionTimeframeStart" localSheetId="6">'[1]Input - Enterprise'!$E$18</definedName>
    <definedName name="X_Cell_Enterprise_ProductionTimeframeStart" localSheetId="4">'[2]Input - Enterprise'!$E$18</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 localSheetId="6">'[1]Input - Enterprise'!$E$12</definedName>
    <definedName name="X_Cell_Site_StartDate" localSheetId="4">'[2]Input - Enterprise'!$E$12</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79" l="1"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c r="D180" i="79" a="1"/>
  <c r="D179" i="79" a="1"/>
  <c r="D179" i="79" s="1"/>
  <c r="D178" i="79" a="1"/>
  <c r="D178" i="79" s="1"/>
  <c r="E175" i="79" a="1"/>
  <c r="E175" i="79" s="1"/>
  <c r="D175" i="79" a="1"/>
  <c r="D175" i="79" s="1"/>
  <c r="D174" i="79" a="1"/>
  <c r="D174" i="79" s="1"/>
  <c r="D173" i="79" a="1"/>
  <c r="D173" i="79" s="1"/>
  <c r="D170" i="79" a="1"/>
  <c r="D170" i="79" s="1"/>
  <c r="D169" i="79"/>
  <c r="D169" i="79" a="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c r="D132" i="79" a="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E55" i="13"/>
  <c r="E54" i="13"/>
  <c r="F44" i="13"/>
  <c r="E44" i="13"/>
  <c r="F43" i="13"/>
  <c r="E43" i="13"/>
  <c r="J7" i="78"/>
  <c r="E19" i="75" l="1"/>
  <c r="H51" i="79"/>
  <c r="E22" i="75"/>
  <c r="I21" i="13" a="1"/>
  <c r="I21" i="13" s="1"/>
  <c r="E20" i="75"/>
  <c r="E21" i="75" s="1"/>
  <c r="H13" i="13" a="1"/>
  <c r="H13" i="13" s="1"/>
  <c r="H22" i="13" a="1"/>
  <c r="H22" i="13" s="1"/>
  <c r="I13" i="13" a="1"/>
  <c r="I13" i="13" s="1"/>
  <c r="I22" i="13" a="1"/>
  <c r="I22" i="13" s="1"/>
  <c r="H7" i="13" a="1"/>
  <c r="H7" i="13" s="1"/>
  <c r="H14" i="13" a="1"/>
  <c r="H14" i="13" s="1"/>
  <c r="H24" i="13" a="1"/>
  <c r="H24" i="13" s="1"/>
  <c r="I7" i="13" a="1"/>
  <c r="I7" i="13" s="1"/>
  <c r="I14" i="13" a="1"/>
  <c r="I14" i="13" s="1"/>
  <c r="I24" i="13" a="1"/>
  <c r="I24" i="13" s="1"/>
  <c r="H8" i="13" a="1"/>
  <c r="H8" i="13" s="1"/>
  <c r="H15" i="13" a="1"/>
  <c r="H15" i="13" s="1"/>
  <c r="H25" i="13" a="1"/>
  <c r="H25" i="13" s="1"/>
  <c r="I8" i="13" a="1"/>
  <c r="I8" i="13" s="1"/>
  <c r="I15" i="13" a="1"/>
  <c r="I15" i="13" s="1"/>
  <c r="I25" i="13" a="1"/>
  <c r="I25" i="13" s="1"/>
  <c r="H9" i="13" a="1"/>
  <c r="H9" i="13" s="1"/>
  <c r="H17" i="13" a="1"/>
  <c r="H17" i="13" s="1"/>
  <c r="H27" i="13" a="1"/>
  <c r="H27" i="13" s="1"/>
  <c r="I9" i="13" a="1"/>
  <c r="I9" i="13" s="1"/>
  <c r="I17" i="13" a="1"/>
  <c r="I17" i="13" s="1"/>
  <c r="I27" i="13" a="1"/>
  <c r="I27" i="13" s="1"/>
  <c r="H10" i="13" a="1"/>
  <c r="H10" i="13" s="1"/>
  <c r="H19" i="13" a="1"/>
  <c r="H19" i="13" s="1"/>
  <c r="H28" i="13" a="1"/>
  <c r="H28" i="13" s="1"/>
  <c r="I10" i="13" a="1"/>
  <c r="I10" i="13" s="1"/>
  <c r="I19" i="13" a="1"/>
  <c r="I19" i="13" s="1"/>
  <c r="I28" i="13" a="1"/>
  <c r="I28" i="13" s="1"/>
  <c r="H11" i="13" a="1"/>
  <c r="H11" i="13" s="1"/>
  <c r="H20" i="13" a="1"/>
  <c r="H20" i="13" s="1"/>
  <c r="I11" i="13" a="1"/>
  <c r="I11" i="13" s="1"/>
  <c r="I20" i="13" a="1"/>
  <c r="I20" i="13" s="1"/>
  <c r="H12" i="13" a="1"/>
  <c r="H12" i="13" s="1"/>
  <c r="H21" i="13" a="1"/>
  <c r="H21" i="13" s="1"/>
  <c r="I12" i="13" a="1"/>
  <c r="I12" i="13" s="1"/>
  <c r="H50" i="79"/>
  <c r="H48" i="79"/>
  <c r="H54" i="79"/>
  <c r="H49" i="79"/>
  <c r="H52" i="79"/>
  <c r="H53" i="79"/>
  <c r="G78" i="13"/>
  <c r="G77" i="13"/>
  <c r="F71" i="13"/>
  <c r="E22" i="72"/>
  <c r="E23" i="72" a="1"/>
  <c r="E23" i="72" s="1"/>
  <c r="E24" i="72" s="1" a="1"/>
  <c r="E24" i="72" s="1"/>
  <c r="F67" i="13" s="1"/>
  <c r="F77" i="13" s="1"/>
  <c r="F68" i="13" l="1"/>
  <c r="F78" i="13" s="1"/>
  <c r="I16" i="77" l="1"/>
  <c r="I15" i="77"/>
  <c r="I14" i="77"/>
  <c r="I13" i="77"/>
  <c r="I12" i="77"/>
  <c r="I11" i="77"/>
  <c r="I10" i="77"/>
  <c r="I9" i="77"/>
  <c r="I8" i="77"/>
  <c r="I7" i="77"/>
  <c r="F14" i="13" l="1" a="1"/>
  <c r="F14" i="13" s="1"/>
  <c r="E14" i="13" a="1"/>
  <c r="E14" i="13" s="1"/>
  <c r="F13" i="13" a="1"/>
  <c r="F13" i="13" s="1"/>
  <c r="E13" i="13" a="1"/>
  <c r="E13" i="13" s="1"/>
  <c r="F12" i="13" a="1"/>
  <c r="F12" i="13" s="1"/>
  <c r="E12" i="13" a="1"/>
  <c r="E12" i="13" s="1"/>
  <c r="F11" i="13" a="1"/>
  <c r="F11" i="13" s="1"/>
  <c r="E11" i="13" a="1"/>
  <c r="E11" i="13" s="1"/>
  <c r="F10" i="13" a="1"/>
  <c r="F10" i="13" s="1"/>
  <c r="E10" i="13" a="1"/>
  <c r="E10" i="13" s="1"/>
  <c r="F9" i="13" a="1"/>
  <c r="F9" i="13" s="1"/>
  <c r="E9" i="13" a="1"/>
  <c r="E9" i="13" s="1"/>
  <c r="F8" i="13" a="1"/>
  <c r="F8" i="13" s="1"/>
  <c r="E8" i="13" a="1"/>
  <c r="E8" i="13" s="1"/>
  <c r="F7" i="13" l="1" a="1"/>
  <c r="F7" i="13" s="1"/>
  <c r="E7" i="13" a="1"/>
  <c r="E7" i="13" s="1"/>
  <c r="E10" i="76" l="1" a="1"/>
  <c r="E10" i="76" s="1"/>
  <c r="E9" i="76" a="1"/>
  <c r="E9" i="76" s="1"/>
  <c r="F69" i="13" l="1"/>
  <c r="G81" i="13"/>
  <c r="G82" i="13" s="1"/>
  <c r="G79" i="13"/>
  <c r="G80" i="13" s="1"/>
  <c r="F70" i="13" l="1"/>
  <c r="G69" i="13"/>
  <c r="G71" i="13"/>
  <c r="G67" i="13"/>
  <c r="F79" i="13"/>
  <c r="F80" i="13"/>
  <c r="E30" i="13" a="1"/>
  <c r="E30" i="13" s="1"/>
  <c r="E29" i="13" a="1"/>
  <c r="E29" i="13" s="1"/>
  <c r="H29" i="13" s="1"/>
  <c r="E28" i="13" a="1"/>
  <c r="E28" i="13" s="1"/>
  <c r="E27" i="13" a="1"/>
  <c r="E27" i="13" s="1"/>
  <c r="F27" i="13" s="1"/>
  <c r="E26" i="13" a="1"/>
  <c r="E26" i="13" s="1"/>
  <c r="H26" i="13" s="1"/>
  <c r="E25" i="13" a="1"/>
  <c r="E25" i="13" s="1"/>
  <c r="F25" i="13" s="1"/>
  <c r="E24" i="13" a="1"/>
  <c r="E24" i="13" s="1"/>
  <c r="E23" i="13" a="1"/>
  <c r="E23" i="13" s="1"/>
  <c r="H23" i="13" s="1"/>
  <c r="F22" i="13" a="1"/>
  <c r="F22" i="13" s="1"/>
  <c r="E22" i="13" a="1"/>
  <c r="E22" i="13" s="1"/>
  <c r="F21" i="13" a="1"/>
  <c r="F21" i="13" s="1"/>
  <c r="E21" i="13" a="1"/>
  <c r="E21" i="13" s="1"/>
  <c r="E20" i="13" a="1"/>
  <c r="E20" i="13" s="1"/>
  <c r="E19" i="13" a="1"/>
  <c r="E19" i="13" s="1"/>
  <c r="E18" i="13" a="1"/>
  <c r="E18" i="13" s="1"/>
  <c r="E17" i="13" a="1"/>
  <c r="E17" i="13" s="1"/>
  <c r="E16" i="13" a="1"/>
  <c r="E16" i="13" s="1"/>
  <c r="F16" i="13" s="1"/>
  <c r="I16" i="13" s="1"/>
  <c r="F15" i="13" a="1"/>
  <c r="F15" i="13" s="1"/>
  <c r="E15" i="13" a="1"/>
  <c r="E15" i="13" s="1"/>
  <c r="D40" i="13" a="1"/>
  <c r="D51" i="13" a="1"/>
  <c r="F81" i="13"/>
  <c r="D36" i="13" a="1"/>
  <c r="D36" i="13" s="1"/>
  <c r="E13" i="72"/>
  <c r="D4" i="13" s="1"/>
  <c r="E18" i="75"/>
  <c r="A20" i="75"/>
  <c r="A19" i="75"/>
  <c r="A18" i="75"/>
  <c r="A17" i="75"/>
  <c r="A14" i="75"/>
  <c r="A13" i="75"/>
  <c r="A12" i="75"/>
  <c r="A11" i="75"/>
  <c r="A8" i="75"/>
  <c r="A7" i="75"/>
  <c r="A4" i="75"/>
  <c r="A3" i="75"/>
  <c r="E20" i="72"/>
  <c r="E53" i="13" l="1"/>
  <c r="E52" i="13"/>
  <c r="D40" i="13"/>
  <c r="F42" i="13"/>
  <c r="E42" i="13"/>
  <c r="H31" i="13"/>
  <c r="E41" i="13" s="1"/>
  <c r="G68" i="13"/>
  <c r="I31" i="13"/>
  <c r="F41" i="13" s="1"/>
  <c r="F23" i="13"/>
  <c r="I23" i="13" s="1"/>
  <c r="F19" i="13"/>
  <c r="F29" i="13"/>
  <c r="I29" i="13" s="1"/>
  <c r="D51" i="13"/>
  <c r="E51" i="13" s="1"/>
  <c r="F24" i="13"/>
  <c r="G70" i="13"/>
  <c r="F72" i="13"/>
  <c r="F82" i="13" s="1"/>
  <c r="H30" i="13"/>
  <c r="F30" i="13"/>
  <c r="I30" i="13" s="1"/>
  <c r="F18" i="13"/>
  <c r="I18" i="13" s="1"/>
  <c r="H18" i="13"/>
  <c r="F20" i="13"/>
  <c r="H16" i="13"/>
  <c r="F26" i="13"/>
  <c r="I26" i="13" s="1"/>
  <c r="F28" i="13"/>
  <c r="F17" i="13"/>
  <c r="G72" i="13"/>
  <c r="E56" i="13" l="1"/>
  <c r="F40" i="13"/>
  <c r="E40" i="13"/>
  <c r="A20" i="13"/>
  <c r="A19" i="13"/>
  <c r="A18" i="13"/>
  <c r="A17" i="13"/>
  <c r="A14" i="13"/>
  <c r="A13" i="13"/>
  <c r="A12" i="13"/>
  <c r="A11" i="13"/>
  <c r="A8" i="13"/>
  <c r="A7" i="13"/>
  <c r="A4" i="13"/>
  <c r="A3" i="13"/>
  <c r="E45" i="13" l="1"/>
  <c r="H77" i="13" s="1"/>
  <c r="H69" i="13" l="1"/>
  <c r="H67" i="13"/>
  <c r="H79" i="13"/>
  <c r="H71" i="13"/>
  <c r="H81" i="13"/>
  <c r="E62" i="13"/>
  <c r="F45" i="13"/>
  <c r="I77" i="13" s="1"/>
  <c r="H78" i="13" l="1"/>
  <c r="H68" i="13"/>
  <c r="I67" i="13"/>
  <c r="H72" i="13"/>
  <c r="H80" i="13"/>
  <c r="H82" i="13"/>
  <c r="H70" i="13"/>
  <c r="I81" i="13"/>
  <c r="I71" i="13"/>
  <c r="I79" i="13"/>
  <c r="I69" i="13"/>
  <c r="F62" i="13"/>
  <c r="I68" i="13" l="1"/>
  <c r="I78" i="13"/>
  <c r="I72" i="13"/>
  <c r="I80" i="13"/>
  <c r="I82"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<sst xmlns="http://schemas.openxmlformats.org/spreadsheetml/2006/main" count="383" uniqueCount="254">
  <si>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</si>
  <si>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</si>
  <si>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</si>
  <si>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</si>
  <si>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</si>
  <si>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</si>
  <si>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</si>
  <si>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</si>
  <si>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</si>
  <si>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</si>
  <si>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</si>
  <si>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</si>
  <si>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</si>
  <si>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</si>
  <si>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</si>
  <si>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</si>
  <si>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</si>
  <si>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</si>
  <si>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</si>
  <si>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</si>
  <si>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</si>
  <si>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</si>
  <si>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</si>
  <si>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</si>
  <si>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</si>
  <si>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</si>
  <si>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</si>
  <si>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</si>
  <si>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</si>
  <si>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</si>
  <si>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</si>
  <si>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</si>
  <si>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</si>
  <si>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</si>
  <si>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</si>
  <si>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</si>
  <si>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</si>
  <si>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</si>
  <si>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</si>
  <si>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</si>
  <si>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</si>
  <si>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</si>
  <si>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</si>
  <si>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</si>
  <si>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</si>
  <si>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</si>
  <si>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</si>
  <si>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</si>
  <si>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</si>
  <si>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</si>
  <si>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</si>
  <si>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</si>
  <si>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</si>
  <si>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</si>
  <si>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</si>
  <si>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</si>
  <si>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</si>
  <si>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</si>
  <si>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</si>
  <si>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</si>
  <si>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</si>
  <si>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</si>
  <si>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</si>
  <si>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</si>
  <si>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</si>
  <si>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</si>
  <si>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</si>
  <si>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</si>
  <si>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</si>
  <si>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</si>
  <si>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</si>
  <si>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</si>
  <si>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</si>
  <si>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</si>
  <si>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</si>
  <si>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</si>
  <si>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</si>
  <si>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</si>
  <si>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</si>
  <si>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</si>
  <si>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</si>
  <si>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</si>
  <si>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</si>
  <si>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</si>
  <si>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</si>
  <si>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</si>
  <si>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</si>
  <si>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</si>
  <si>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</si>
  <si>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</si>
  <si>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</si>
  <si>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</si>
  <si>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</si>
  <si>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</si>
  <si>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</si>
  <si>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</si>
  <si>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</si>
  <si>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</si>
  <si>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</si>
  <si>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</si>
  <si>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</si>
  <si>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</si>
  <si>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</si>
  <si>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</si>
  <si>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</si>
  <si>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</si>
  <si>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</si>
  <si>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</si>
  <si>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</si>
  <si>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</si>
  <si>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</si>
  <si>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</si>
  <si>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</si>
  <si>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</si>
  <si>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</si>
  <si>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</si>
  <si>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</si>
  <si>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</si>
  <si>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</si>
  <si>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</si>
  <si>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</si>
  <si>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</si>
  <si>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</si>
  <si>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</si>
  <si>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</si>
  <si>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</si>
  <si>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</si>
  <si>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</si>
  <si>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</si>
  <si>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</si>
  <si>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</si>
  <si>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</si>
  <si>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</si>
  <si>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</si>
  <si>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</si>
  <si>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</si>
  <si>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</si>
  <si>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</si>
  <si>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</si>
  <si>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</si>
  <si>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</si>
  <si>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</si>
  <si>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</si>
  <si>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</si>
  <si>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</si>
  <si>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</si>
  <si>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</si>
  <si>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</si>
  <si>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</si>
  <si>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</si>
  <si>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</si>
  <si>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</si>
  <si>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</si>
  <si>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</si>
  <si>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</si>
  <si>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</si>
  <si>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</si>
  <si>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</si>
  <si>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</si>
  <si>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</si>
  <si>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</si>
  <si>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</si>
  <si>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</si>
  <si>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</si>
  <si>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</si>
  <si>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</si>
  <si>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</si>
  <si>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</si>
  <si>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</si>
  <si>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</si>
  <si>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</si>
  <si>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</si>
  <si>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</si>
  <si>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</si>
  <si>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</si>
  <si>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</si>
  <si>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</si>
  <si>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</si>
  <si>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</si>
  <si>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</si>
  <si>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</si>
  <si>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</si>
  <si>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</si>
  <si>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</si>
  <si>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</si>
  <si>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</si>
  <si>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</si>
  <si>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</si>
  <si>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</si>
  <si>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</si>
  <si>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</si>
  <si>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</si>
  <si>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</si>
  <si>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</si>
  <si>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</si>
  <si>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</si>
  <si>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</si>
  <si>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t co2e/t milk solids</t>
  </si>
  <si>
    <t>Input - Data quality</t>
  </si>
  <si>
    <t>Input</t>
  </si>
  <si>
    <t>Temporal representativeness</t>
  </si>
  <si>
    <t>Spatial resolution</t>
  </si>
  <si>
    <t>Sample size</t>
  </si>
  <si>
    <t>Notes</t>
  </si>
  <si>
    <t>Evidence files</t>
  </si>
  <si>
    <t>Score</t>
  </si>
  <si>
    <t>Input name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</si>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</sst>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0">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xf numFmtId="164" fontId="0" fillId="0" borderId="0" xfId="0" applyNumberFormat="1"/>
    <xf numFmtId="0" fontId="12" fillId="6" borderId="0" xfId="29">
      <alignment horizontal="center" vertical="center"/>
      <protection locked="0"/>
    </xf>
    <xf numFmtId="0" fontId="0" fillId="0" borderId="0" xfId="14" applyFont="1" applyBorder="1">
      <alignment horizontal="center" vertical="center"/>
    </xf>
    <xf numFmtId="0" fontId="42" fillId="0" borderId="0" xfId="66"/>
    <xf numFmtId="0" fontId="53" fillId="9" borderId="4" xfId="34" applyFont="1">
      <alignment horizontal="left" vertical="center" indent="1"/>
    </xf>
    <xf numFmtId="0" fontId="20" fillId="10" borderId="0" xfId="35">
      <alignment horizontal="left" vertical="center" indent="1"/>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50">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9"/>
      <tableStyleElement type="headerRow" dxfId="48"/>
      <tableStyleElement type="totalRow" dxfId="47"/>
      <tableStyleElement type="firstColumn" dxfId="46"/>
      <tableStyleElement type="firstRowStripe" dxfId="45"/>
      <tableStyleElement type="secondRowStripe" dxfId="44"/>
    </tableStyle>
    <tableStyle name="Equation table" pivot="0" count="6" xr9:uid="{B247698E-E41D-4CCD-AA0A-C14817E9DE65}">
      <tableStyleElement type="wholeTable" dxfId="43"/>
      <tableStyleElement type="headerRow" dxfId="42"/>
      <tableStyleElement type="totalRow" dxfId="41"/>
      <tableStyleElement type="firstColumn" dxfId="40"/>
      <tableStyleElement type="firstRowStripe" dxfId="39"/>
      <tableStyleElement type="secondRowStripe" dxfId="38"/>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externalLink" Target="externalLinks/externalLink2.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 Id="rId22"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CroppingGrains_Template_WIP_v01.xlsx" TargetMode="External"/><Relationship Id="rId1" Type="http://schemas.openxmlformats.org/officeDocument/2006/relationships/externalLinkPath" Target="Enterprise_CroppingGrains_Template_WIP_v01.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PastureBeef_Template_WIP_v01.xlsx" TargetMode="External"/><Relationship Id="rId1" Type="http://schemas.openxmlformats.org/officeDocument/2006/relationships/externalLinkPath" Target="Enterprise_PastureBeef_Template_WIP_v01.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Common_v03.xlsx" TargetMode="External"/><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htdocs/zneagcrc/GAF-VEERG-Functions/Excel/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Data quality"/>
      <sheetName val="Constants - Common"/>
    </sheetNames>
    <sheetDataSet>
      <sheetData sheetId="0"/>
      <sheetData sheetId="1">
        <row r="25">
          <cell r="H25" t="e">
            <v>#NAME?</v>
          </cell>
          <cell r="I25" t="e">
            <v>#NAME?</v>
          </cell>
        </row>
        <row r="39">
          <cell r="E39" t="e">
            <v>#NAME?</v>
          </cell>
          <cell r="F39" t="e">
            <v>#NAME?</v>
          </cell>
        </row>
        <row r="50">
          <cell r="E50">
            <v>0</v>
          </cell>
        </row>
        <row r="56">
          <cell r="E56" t="e">
            <v>#NAME?</v>
          </cell>
          <cell r="F56" t="e">
            <v>#NAME?</v>
          </cell>
        </row>
      </sheetData>
      <sheetData sheetId="2"/>
      <sheetData sheetId="3">
        <row r="12">
          <cell r="E12">
            <v>45658</v>
          </cell>
        </row>
        <row r="18">
          <cell r="E18">
            <v>45962</v>
          </cell>
        </row>
        <row r="19">
          <cell r="E19">
            <v>46112</v>
          </cell>
        </row>
        <row r="32">
          <cell r="E32">
            <v>0.8</v>
          </cell>
        </row>
      </sheetData>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Livestock sales"/>
      <sheetName val="Constants - Common"/>
    </sheetNames>
    <sheetDataSet>
      <sheetData sheetId="0"/>
      <sheetData sheetId="1">
        <row r="28">
          <cell r="H28" t="e">
            <v>#NAME?</v>
          </cell>
          <cell r="I28" t="e">
            <v>#NAME?</v>
          </cell>
        </row>
        <row r="42">
          <cell r="E42" t="e">
            <v>#NAME?</v>
          </cell>
          <cell r="F42" t="e">
            <v>#NAME?</v>
          </cell>
        </row>
        <row r="59">
          <cell r="E59" t="e">
            <v>#NAME?</v>
          </cell>
          <cell r="F59" t="e">
            <v>#NAME?</v>
          </cell>
        </row>
      </sheetData>
      <sheetData sheetId="2"/>
      <sheetData sheetId="3">
        <row r="12">
          <cell r="E12">
            <v>45292</v>
          </cell>
        </row>
        <row r="18">
          <cell r="E18">
            <v>45231</v>
          </cell>
        </row>
        <row r="19">
          <cell r="E19">
            <v>45747</v>
          </cell>
        </row>
      </sheetData>
      <sheetData sheetId="4"/>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37"/>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A0A1CD-8E5B-46C1-9B1B-A6414BB18D09}"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2D91677-2A2D-42DA-8119-4ECEF8794C8C}" name="Input"/>
    <tableColumn id="2" xr3:uid="{D0F60017-C58D-42ED-9BF1-8D01902E8D4D}" name="Temporal representativeness" dataCellStyle="Input select"/>
    <tableColumn id="3" xr3:uid="{08DBDF97-0155-4B2F-8291-54B61FF408BD}" name="Spatial resolution" dataCellStyle="Input select"/>
    <tableColumn id="4" xr3:uid="{022C6E4C-4A1B-4829-929A-D1AA689758A2}" name="Sample size" dataCellStyle="Input select"/>
    <tableColumn id="5" xr3:uid="{28F01E09-BECE-484C-81F3-93DFF53DC900}" name="Notes"/>
    <tableColumn id="6" xr3:uid="{DDF62FEF-8F18-4588-8C64-94585E6BFF74}" name="Evidence files"/>
    <tableColumn id="7" xr3:uid="{05442818-31FF-4B7D-911F-5A30BA48670D}" name="Score" dataCellStyle="Input number general calculated">
      <calculatedColumnFormula>_xlfn.XLOOKUP(Table_Input_DataQuality[[#This Row],[Temporal representativeness]],[3]!Table_SourceData_DataQuality_TemporalRepresentativeness[ID],[3]!Table_SourceData_DataQuality_TemporalRepresentativeness[Score])+_xlfn.XLOOKUP(Table_Input_DataQuality[[#This Row],[Spatial resolution]],[3]!Table_SourceData_DataQuality_SpatialRepresentativeness[ID],[3]!Table_SourceData_DataQuality_SpatialRepresentativeness[Score])+_xlfn.XLOOKUP(Table_Input_DataQuality[[#This Row],[Sample size]],[3]!Table_SourceData_DataQuality_SampleSize[ID],[3]!Table_SourceData_DataQuality_SampleSize[Score])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C478747-1F5D-47EE-BF4A-E425947C11C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A287FA3-800B-4A3C-B890-EE3EB2C92498}" name="State/Territory">
      <calculatedColumnFormula array="1">Common_InputFunctions.Utility_DisplayArrayInTable(Common_SourceData.Common_SourceData_AustralianStatesTerritories_Data(),Table_AustralianStates[[#Headers],[State/Territory]],0)</calculatedColumnFormula>
    </tableColumn>
    <tableColumn id="2" xr3:uid="{96370351-02C0-481B-ABA4-01406FE3BD55}" name="Common Name">
      <calculatedColumnFormula array="1">Common_InputFunctions.Utility_DisplayArrayInTable(Common_SourceData.Common_SourceData_AustralianStatesTerritories_Data(),Table_AustralianStates[[#Headers],[State/Territory]],0)</calculatedColumnFormula>
    </tableColumn>
    <tableColumn id="3" xr3:uid="{842546B1-B984-44F3-AC64-19842544880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39DC0B0-B96D-42DE-A74F-9666165298BB}" name="Table_WASA4Areas" displayName="Table_WASA4Areas" ref="D20:D30" totalsRowShown="0">
  <autoFilter ref="D20:D30" xr:uid="{5FA81339-C6C8-4D36-BEEA-6C4AEDD9E676}">
    <filterColumn colId="0" hiddenButton="1"/>
  </autoFilter>
  <tableColumns count="1">
    <tableColumn id="1" xr3:uid="{CEB26DE3-6D08-4488-BCC5-CAF66DA074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088AC4D-D2BB-4119-86D0-5C4ECEF277E6}" name="Table_GWPData" displayName="Table_GWPData" ref="D36:E43" totalsRowShown="0">
  <autoFilter ref="D36:E43" xr:uid="{B8E87A66-3E41-4AD3-925D-01EE21B43D7A}">
    <filterColumn colId="0" hiddenButton="1"/>
    <filterColumn colId="1" hiddenButton="1"/>
  </autoFilter>
  <tableColumns count="2">
    <tableColumn id="1" xr3:uid="{8B79CC01-3ECE-4E13-BCFA-D269536A7BCE}" name="Gas">
      <calculatedColumnFormula array="1">Common_InputFunctions.Utility_DisplayArrayInTable(Common_SourceData.Common_SourceData_GWP_Data(), Table_GWPData[[#Headers],[Gas]], 0)</calculatedColumnFormula>
    </tableColumn>
    <tableColumn id="2" xr3:uid="{1429926F-63F9-41B0-922F-6ECBEB0F51C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082FF7C-D65B-40DD-A145-3895A8DB7C1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BA2455-78CB-4D98-AA3F-09E76468921A}" name="Gas">
      <calculatedColumnFormula array="1">Common_InputFunctions.Utility_DisplayArrayInTable(Common_SourceData.Common_SourceData_ConvertGasElementalToMolecular_Data(),Table_GasToMolecularConversionFactor[[#Headers],[Gas]], 0)</calculatedColumnFormula>
    </tableColumn>
    <tableColumn id="5" xr3:uid="{847F9075-C0C3-424A-89AD-B0E0C46CC2B7}" name="Conversion factor">
      <calculatedColumnFormula array="1">Common_InputFunctions.Utility_DisplayArrayInTable(Common_SourceData.Common_SourceData_ConvertGasElementalToMolecular_Data(),Table_GasToMolecularConversionFactor[[#Headers],[Gas]], 0)</calculatedColumnFormula>
    </tableColumn>
    <tableColumn id="2" xr3:uid="{B3F423E7-5422-4AB0-8E9F-FE964D1AB28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0878C27-AF09-4C3E-AA84-4643A115F4B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AA59925-0E1E-4C81-A2FE-508039861BC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0CB345A-1C1C-4903-883E-95B118EE9D5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22A5368-2115-4AFA-9E1B-55763DE8967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5395033-5600-477B-B2A8-F9DD6340CCA7}"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CFC93F08-2BC7-4BBC-A029-A0CEEFC4A386}"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7EEE0652-905E-4C60-9EA8-BB1B972258D1}"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097C0B4C-AE79-4AEF-9D0C-8729F8FD7AE7}"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FEB741F7-AC5C-4AEE-9552-9D4B6ECAE991}"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D5410FE5-B548-4931-A6AC-14C2144A60DA}"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5A1A3BF3-FC1C-49D4-864A-417D756978EB}"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2C3E4891-FDD2-45D8-9E12-D7E20AB2C942}"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5C2EEE10-BE60-43AB-BD46-3D5857E233F0}"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B8D4FB2A-E41F-41E4-A1B0-B50B6F4B8222}"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D1F195A5-29D3-4872-B840-5C2B982B31D3}"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D7C29537-FEDC-4D4C-ACE3-42DDEEA677B7}"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958174B2-155C-4F21-8FC1-CAED3FC453D2}"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17E613AB-F9F0-404A-8CFE-A6BE09D2A63F}"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1E04DA75-1873-41D6-92F5-FFC40E85975A}"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8EA0F00-70EE-4353-B983-2572CEB0F04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8F355FA-9E18-4624-B96F-3F7C85E0C75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23F64E-887D-4EF9-9FE8-07F603CE353D}"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3AFA370-8738-4E34-8DE5-34791278D8C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028E416-FD0D-4083-A9D9-9CDCBCBAB5EC}" name="Temperature Zone">
      <calculatedColumnFormula array="1">Common_InputFunctions.Utility_DisplayArrayInTable(Common_SourceData.Common_SourceData_TemperatureZones_Data(),Table_SourceData_TemperatureZones[[#Headers],[Temperature Zone]],0)</calculatedColumnFormula>
    </tableColumn>
    <tableColumn id="2" xr3:uid="{3213D349-5EBF-4936-AAA8-D15F4B964FB1}" name="MAT">
      <calculatedColumnFormula array="1">Common_InputFunctions.Utility_DisplayArrayInTable(Common_SourceData.Common_SourceData_TemperatureZones_Data(),Table_SourceData_TemperatureZones[[#Headers],[Temperature Zone]],0)</calculatedColumnFormula>
    </tableColumn>
    <tableColumn id="3" xr3:uid="{E0EBBFC7-A140-40A8-8E12-520D0626130C}" name="Min MAT">
      <calculatedColumnFormula array="1">Common_InputFunctions.Utility_DisplayArrayInTable(Common_SourceData.Common_SourceData_TemperatureZones_Data(),Table_SourceData_TemperatureZones[[#Headers],[Temperature Zone]],0)</calculatedColumnFormula>
    </tableColumn>
    <tableColumn id="4" xr3:uid="{D697D416-FDA5-4372-8BBC-3176E39220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04C603B-B6F6-4EF5-BD98-BFD203645EB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ADDB08F-80D5-4814-A2A0-D98870369EC7}" name="Rainfall Zone">
      <calculatedColumnFormula array="1">Common_InputFunctions.Utility_DisplayArrayInTable(Common_SourceData.Common_SourceData_RainfallZones_Data(),Table_SourceData_RainfallZones[[#Headers],[Rainfall Zone]],0)</calculatedColumnFormula>
    </tableColumn>
    <tableColumn id="2" xr3:uid="{E0DE79E3-5186-40AE-AFE3-FF55A6EEA374}" name="Annual rainfall">
      <calculatedColumnFormula array="1">Common_InputFunctions.Utility_DisplayArrayInTable(Common_SourceData.Common_SourceData_RainfallZones_Data(),Table_SourceData_RainfallZones[[#Headers],[Rainfall Zone]],0)</calculatedColumnFormula>
    </tableColumn>
    <tableColumn id="3" xr3:uid="{31804A76-4AC7-4705-A77D-2CCE1E9337BE}" name="Min rainfall">
      <calculatedColumnFormula array="1">Common_InputFunctions.Utility_DisplayArrayInTable(Common_SourceData.Common_SourceData_RainfallZones_Data(),Table_SourceData_RainfallZones[[#Headers],[Rainfall Zone]],0)</calculatedColumnFormula>
    </tableColumn>
    <tableColumn id="4" xr3:uid="{D9EF56B1-0415-4006-AE4F-4DB80FEDB3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AA4CFA5-F9FD-4055-8934-17ECCA2F6C8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1F7D022-6B55-4D8B-932F-227988594410}" name="Leaching Zone">
      <calculatedColumnFormula array="1">Common_InputFunctions.Utility_DisplayArrayInTable(Common_SourceData.Common_SourceData_LeachingZones_Data(), Table_SourceData_LeachingZones[[#Headers],[Leaching Zone]], 0)</calculatedColumnFormula>
    </tableColumn>
    <tableColumn id="2" xr3:uid="{2F08230F-DF28-4379-B8D2-B1FBE7194F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1C3C94-FBA2-41C7-A91E-9959E5819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A7BCDD8-83C0-455D-9496-7FEF773FF5E2}" name="Data source">
      <calculatedColumnFormula array="1">Common_InputFunctions.Utility_DisplayArrayInTable(Common_SourceData.Common_SourceData_DataScores_Scope3_Data(), Table_SourceData_DataScores_Scope3[[#Headers],[Data source]], 0)</calculatedColumnFormula>
    </tableColumn>
    <tableColumn id="2" xr3:uid="{E2BCFC54-9252-41C2-9D03-980F90A46BF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280D15C-3F73-4E88-9643-0E3B7226C575}" name="Table_SourceData_FracWET" displayName="Table_SourceData_FracWET" ref="D134:E136" totalsRowShown="0">
  <autoFilter ref="D134:E136" xr:uid="{308E99BE-FE1F-47A4-B2CA-97217277C4E9}">
    <filterColumn colId="0" hiddenButton="1"/>
    <filterColumn colId="1" hiddenButton="1"/>
  </autoFilter>
  <tableColumns count="2">
    <tableColumn id="1" xr3:uid="{52D54B98-3F5C-4DAD-91D8-47209B1CBF0F}" name="Is in leaching zone">
      <calculatedColumnFormula array="1">Common_InputFunctions.Utility_DisplayArrayInTable(Common_SourceData.Common_SourceData_FracWET_Data(),Table_SourceData_FracWET[[#Headers],[Is in leaching zone]],0)</calculatedColumnFormula>
    </tableColumn>
    <tableColumn id="2" xr3:uid="{9A57EC7B-E1C2-4105-B13E-4EB510230417}"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7F96F76-16B5-4D2C-B2C0-0677F9A62AA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77D4AE1-5BBD-45EF-BFCD-46D4274DEA0D}" name="Production system j">
      <calculatedColumnFormula array="1">Common_InputFunctions.Utility_DisplayArrayInTable(Common_SourceData.Common_SourceData_EFN2O_Data(), Table_SourceData_Common_EFN2O[[#Headers],[Production system j]], 0)</calculatedColumnFormula>
    </tableColumn>
    <tableColumn id="2" xr3:uid="{C6CCA8D0-AB73-4541-AA09-167B095E7B82}" name="EFN2O">
      <calculatedColumnFormula array="1">Common_InputFunctions.Utility_DisplayArrayInTable(Common_SourceData.Common_SourceData_EFN2O_Data(), Table_SourceData_Common_EFN2O[[#Headers],[Production system j]], 0)</calculatedColumnFormula>
    </tableColumn>
    <tableColumn id="3" xr3:uid="{204083C8-C399-4D6B-B0B2-8991D4E5A8F7}" name="Production system only">
      <calculatedColumnFormula array="1">Common_InputFunctions.Utility_DisplayArrayInTable(Common_SourceData.Common_SourceData_EFN2O_Data(), Table_SourceData_Common_EFN2O[[#Headers],[Production system j]], 0)</calculatedColumnFormula>
    </tableColumn>
    <tableColumn id="4" xr3:uid="{973DD926-23DF-46A2-AD58-D64F34F24EFA}" name="Irrigation method">
      <calculatedColumnFormula array="1">Common_InputFunctions.Utility_DisplayArrayInTable(Common_SourceData.Common_SourceData_EFN2O_Data(), Table_SourceData_Common_EFN2O[[#Headers],[Production system j]], 0)</calculatedColumnFormula>
    </tableColumn>
    <tableColumn id="5" xr3:uid="{E046B314-7010-4676-A5EB-F80F38D4F3A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EBC22D0-6B32-4611-AF7D-E42A8F1055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C001083-286C-4E7A-AD5C-B894196CEE00}" name="Irrigation type i">
      <calculatedColumnFormula array="1">Common_InputFunctions.Utility_DisplayArrayInTable(Common_SourceData.Common_SourceData_FracWETIrrigation_Data(), Table_SourceData_FracWETIrrigation[[#Headers],[Irrigation type i]], 0)</calculatedColumnFormula>
    </tableColumn>
    <tableColumn id="2" xr3:uid="{DE1A60AE-C5D5-49AC-95C8-8D0AAEB02582}"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BD8BBAD-D110-4F14-9BA3-022B7AA72A9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596886-0825-40AB-8B15-2DDEA3CCE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08677F-AAE3-40D4-BEDE-23058A375EDA}"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362327E-5357-47F6-8F2F-705B458BCC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7C75E7A-19E3-47ED-8896-2766A83C634A}" name="Month">
      <calculatedColumnFormula array="1">Common_InputFunctions.Utility_DisplayArrayInTable(Common_SourceData.Common_SourceData_MonthsToSeasons_Data(), Table_SourceData_Common_MonthToSeason[[#Headers],[Month]], 0)</calculatedColumnFormula>
    </tableColumn>
    <tableColumn id="2" xr3:uid="{812BD67D-F33D-41B3-8A9B-8A4DB75F9B83}"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1C8652F-8FA0-4F1A-AD28-C3BA994322F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4C72E13-EE2E-41C7-BA47-EFB29BF9831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CDB234B-55CD-4F04-ABCC-7C1B9BE9C5EA}"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1FC9592-470C-4745-BE0C-801EDB73B364}"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BBADFC2-AD9E-45A1-A477-BCBE2A443483}"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1489AD5-67B7-4E73-8CF6-B6524734B20F}"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525F1-D92E-45C7-9BF8-3E33E56C8730}"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24CB689-3CDB-4700-9377-C73EB2656DE1}"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D646B5-9BD0-4389-90A1-3149EF4602EE}"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53D8404-CF61-4D43-BB93-FA9A02F1F766}"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A04ED5B-4BC1-4A37-9DD3-B2528AAD7D05}"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AA791DA-F3A0-4954-BB53-8C5671397221}"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CE6F09E-7C27-49A4-B2A7-6B3A0CF05769}"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2162768-ACCE-48D5-8771-DFE30DA7454E}"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0F00B85-C8DF-42B4-9E3D-CEE67B91738F}"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065A74-641E-40D6-BB3B-C46C0998BA8B}"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8697876-07FA-45DD-A420-6BD64684FC66}"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AA6F70-552D-46BB-96AE-FD3E2133B44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AA3D460-A09A-40D0-9FC4-A7902DA21DB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96FB2E9-CFF3-46A0-BF64-8B8E1F7DF6B8}"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42CC366-20A9-444B-A561-C804E2F99D16}"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7148520C-28F0-4874-9F7C-976B826B4A88}" name="Description" dataDxfId="0" dataCellStyle="Content normal"/>
    <tableColumn id="1" xr3:uid="{4E13974D-F616-49F2-8E9F-954EDBFEB1DF}" name="ID"/>
    <tableColumn id="3" xr3:uid="{D4828A0E-47E2-4749-9825-94EC16B5A930}"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AA6D4A1-4ED8-4C02-AA02-CEDDB7739BB5}"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314C418-FE67-4ED2-AFCE-B99D3B3384BF}" name="Description"/>
    <tableColumn id="2" xr3:uid="{C480E577-2F78-4D53-BB14-47F2D4CB7F6B}" name="ID"/>
    <tableColumn id="3" xr3:uid="{27AA2D04-9437-4C31-9825-9D3DEF675DE3}" name="Score"/>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E7EF91D-C903-4E93-8374-8181D0B54E9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55C20E7-2F1D-46E4-BCBB-B0560AC9FFBE}" name="Description"/>
    <tableColumn id="2" xr3:uid="{63747E18-1861-4B36-BC18-2372100BAEB5}" name="ID"/>
    <tableColumn id="3" xr3:uid="{60790537-9A08-4B5B-8242-4A2FBE180FEA}" name="Score"/>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C3C5FC3-6328-4E26-A1B1-2FF540B251A3}"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1E03ECF4-A79D-42E7-943F-CF1494573C20}" name="Description"/>
    <tableColumn id="2" xr3:uid="{001CA177-D95B-4CDB-8087-179AE22145B9}" name="ID"/>
    <tableColumn id="3" xr3:uid="{4F4BC539-FCC4-4BE3-BF64-C433A1418A0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21" Type="http://schemas.openxmlformats.org/officeDocument/2006/relationships/table" Target="../tables/table22.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printerSettings" Target="../printerSettings/printerSettings2.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97" t="str">
        <f>HYPERLINK("#'Home'!A1", "Home")</f>
        <v>Home</v>
      </c>
    </row>
    <row r="6" spans="1:1" x14ac:dyDescent="0.25">
      <c r="A6" s="98"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4"/>
  <sheetViews>
    <sheetView showGridLines="0" topLeftCell="A24" zoomScaleNormal="100" workbookViewId="0">
      <selection activeCell="E45" sqref="E45"/>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174</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175</v>
      </c>
      <c r="E7" s="19" t="e" cm="1">
        <f t="array" ref="E7">VEERG_3_3_1_1__1_TotalAnnualMethaneFromEntericFermentationVariation_Result_Method1</f>
        <v>#NAME?</v>
      </c>
      <c r="F7" s="19" t="e" cm="1">
        <f t="array" ref="F7">VEERG_3_3_1_1__1_TotalAnnualMethaneFromEntericFermentationVariation_Result_Method2</f>
        <v>#NAME?</v>
      </c>
      <c r="G7" s="16" t="s">
        <v>7</v>
      </c>
      <c r="H7" s="19" t="e" cm="1">
        <f t="array" aca="1" ref="H7" ca="1">Common_Equations.Common_ConvertCH4ToCO2e(E7,_xlfn.XLOOKUP("CH4", Table_GWPData[Gas],Table_GWPData[CO2-e factor]))</f>
        <v>#NAME?</v>
      </c>
      <c r="I7" s="19" t="e" cm="1">
        <f t="array" aca="1" ref="I7" ca="1">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176</v>
      </c>
      <c r="E8" s="19" t="e" cm="1">
        <f t="array" ref="E8">VEERG_4_3_1_1__1_TotalAnnualMethaneFromManureManagement_Result_Method1</f>
        <v>#NAME?</v>
      </c>
      <c r="F8" s="19" t="e" cm="1">
        <f t="array" ref="F8">VEERG_4_3_1_1__1_TotalAnnualMethaneFromManureManagement_Result_Method2</f>
        <v>#NAME?</v>
      </c>
      <c r="G8" s="16" t="s">
        <v>7</v>
      </c>
      <c r="H8" s="19" t="e" cm="1">
        <f t="array" aca="1" ref="H8" ca="1">Common_Equations.Common_ConvertCH4ToCO2e(E8,_xlfn.XLOOKUP("CH4", Table_GWPData[Gas],Table_GWPData[CO2-e factor]))</f>
        <v>#NAME?</v>
      </c>
      <c r="I8" s="19" t="e" cm="1">
        <f t="array" aca="1" ref="I8" ca="1">Common_Equations.Common_ConvertCH4ToCO2e(F8,_xlfn.XLOOKUP("CH4", Table_GWPData[Gas],Table_GWPData[CO2-e factor]))</f>
        <v>#NAME?</v>
      </c>
      <c r="J8" s="16" t="s">
        <v>8</v>
      </c>
      <c r="K8" s="9"/>
    </row>
    <row r="9" spans="1:11" ht="20.100000000000001" customHeight="1" x14ac:dyDescent="0.25">
      <c r="A9" s="5"/>
      <c r="C9" s="9"/>
      <c r="D9" s="1" t="s">
        <v>177</v>
      </c>
      <c r="E9" s="19" t="e" cm="1">
        <f t="array" ref="E9">VEERG_4_3_1_3__1_TotalAnnualDirectNitrousOxideEmissionsFromMMS_Result_Method1</f>
        <v>#NAME?</v>
      </c>
      <c r="F9" s="19" t="e" cm="1">
        <f t="array" ref="F9">VEERG_4_3_1_3__1_TotalAnnualDirectNitrousOxideEmissionsFromMMS_Result_Method2</f>
        <v>#NAME?</v>
      </c>
      <c r="G9" s="16" t="s">
        <v>13</v>
      </c>
      <c r="H9" s="19" t="e" cm="1">
        <f t="array" aca="1" ref="H9" ca="1">Common_Equations.Common_ConvertN2OToCO2e(E9,_xlfn.XLOOKUP("N2O", Table_GWPData[Gas],Table_GWPData[CO2-e factor]))</f>
        <v>#NAME?</v>
      </c>
      <c r="I9" s="19" t="e" cm="1">
        <f t="array" aca="1" ref="I9" ca="1">Common_Equations.Common_ConvertN2OToCO2e(F9,_xlfn.XLOOKUP("N2O", Table_GWPData[Gas],Table_GWPData[CO2-e factor]))</f>
        <v>#NAME?</v>
      </c>
      <c r="J9" s="16" t="s">
        <v>8</v>
      </c>
      <c r="K9" s="9"/>
    </row>
    <row r="10" spans="1:11" ht="20.100000000000001" customHeight="1" x14ac:dyDescent="0.25">
      <c r="A10" s="7" t="s">
        <v>3</v>
      </c>
      <c r="C10" s="9"/>
      <c r="D10" s="1" t="s">
        <v>178</v>
      </c>
      <c r="E10" s="19" t="e" cm="1">
        <f t="array" ref="E10">VEERG_4_3_1_5__1_AnnualAtmosphericDepositionEmissionsFromMMS_Result_Method1</f>
        <v>#NAME?</v>
      </c>
      <c r="F10" s="19" t="e" cm="1">
        <f t="array" ref="F10">VEERG_4_3_1_5__1_AnnualAtmosphericDepositionEmissionsFromMMS_Result_Method2</f>
        <v>#NAME?</v>
      </c>
      <c r="G10" s="16" t="s">
        <v>13</v>
      </c>
      <c r="H10" s="19" t="e" cm="1">
        <f t="array" aca="1" ref="H10" ca="1">Common_Equations.Common_ConvertN2OToCO2e(E10,_xlfn.XLOOKUP("N2O", Table_GWPData[Gas],Table_GWPData[CO2-e factor]))</f>
        <v>#NAME?</v>
      </c>
      <c r="I10" s="19" t="e" cm="1">
        <f t="array" aca="1" ref="I10" ca="1">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179</v>
      </c>
      <c r="E11" s="19" t="e" cm="1">
        <f t="array" ref="E11">VEERG_4_3_1_6__1_AnnualEmissionsFromLeachingAndRunoffFromMMS_Result_Method1</f>
        <v>#NAME?</v>
      </c>
      <c r="F11" s="19" t="e" cm="1">
        <f t="array" ref="F11">VEERG_4_3_1_6__1_AnnualEmissionsFromLeachingAndRunoffFromMMS_Result_Method2</f>
        <v>#NAME?</v>
      </c>
      <c r="G11" s="16" t="s">
        <v>13</v>
      </c>
      <c r="H11" s="19" t="e" cm="1">
        <f t="array" aca="1" ref="H11" ca="1">Common_Equations.Common_ConvertN2OToCO2e(E11,_xlfn.XLOOKUP("N2O", Table_GWPData[Gas],Table_GWPData[CO2-e factor]))</f>
        <v>#NAME?</v>
      </c>
      <c r="I11" s="19" t="e" cm="1">
        <f t="array" aca="1" ref="I11" ca="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180</v>
      </c>
      <c r="E12" s="19" t="e" cm="1">
        <f t="array" ref="E12">VEERG_4_3_1_9__1_DirectNitrousOxideEmissionsOnPasture_Result_Method1</f>
        <v>#NAME?</v>
      </c>
      <c r="F12" s="19" t="e" cm="1">
        <f t="array" ref="F12">VEERG_4_3_1_9__1_DirectNitrousOxideEmissionsOnPasture_Result_Method2</f>
        <v>#NAME?</v>
      </c>
      <c r="G12" s="16" t="s">
        <v>13</v>
      </c>
      <c r="H12" s="19" t="e" cm="1">
        <f t="array" aca="1" ref="H12" ca="1">Common_Equations.Common_ConvertN2OToCO2e(E12,_xlfn.XLOOKUP("N2O", Table_GWPData[Gas],Table_GWPData[CO2-e factor]))</f>
        <v>#NAME?</v>
      </c>
      <c r="I12" s="19" t="e" cm="1">
        <f t="array" aca="1" ref="I12" ca="1">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181</v>
      </c>
      <c r="E13" s="19" t="e" cm="1">
        <f t="array" ref="E13">VEERG_4_3_1_10__1_AtmosphericDepositionEmissionsFromUrineAndDungOnPasture_Result_Method1</f>
        <v>#NAME?</v>
      </c>
      <c r="F13" s="19" t="e" cm="1">
        <f t="array" ref="F13">VEERG_4_3_1_10__1_AtmosphericDepositionEmissionsFromUrineAndDungOnPasture_Result_Method2</f>
        <v>#NAME?</v>
      </c>
      <c r="G13" s="16" t="s">
        <v>13</v>
      </c>
      <c r="H13" s="19" t="e" cm="1">
        <f t="array" aca="1" ref="H13" ca="1">Common_Equations.Common_ConvertN2OToCO2e(E13,_xlfn.XLOOKUP("N2O", Table_GWPData[Gas],Table_GWPData[CO2-e factor]))</f>
        <v>#NAME?</v>
      </c>
      <c r="I13" s="19" t="e" cm="1">
        <f t="array" aca="1" ref="I13" ca="1">Common_Equations.Common_ConvertN2OToCO2e(F13,_xlfn.XLOOKUP("N2O", Table_GWPData[Gas],Table_GWPData[CO2-e factor]))</f>
        <v>#NAME?</v>
      </c>
      <c r="J13" s="16" t="s">
        <v>8</v>
      </c>
      <c r="K13" s="9"/>
    </row>
    <row r="14" spans="1:11" ht="20.100000000000001" customHeight="1" x14ac:dyDescent="0.25">
      <c r="A14" s="5" t="str">
        <f>HYPERLINK("#'4.2.1.7-8 Soil leach runoff'!A1", "4.2.1.7-8 Soil leach &amp; runoff")</f>
        <v>4.2.1.7-8 Soil leach &amp; runoff</v>
      </c>
      <c r="C14" s="9"/>
      <c r="D14" s="1" t="s">
        <v>182</v>
      </c>
      <c r="E14" s="19" t="e" cm="1">
        <f t="array" ref="E14">VEERG_4_3_1_12__1_LeachingAndRunoffEmissionsFromUrineAndDungOnPasture_Result_Method1</f>
        <v>#NAME?</v>
      </c>
      <c r="F14" s="19" t="e" cm="1">
        <f t="array" ref="F14">VEERG_4_3_1_12__1_LeachingAndRunoffEmissionsFromUrineAndDungOnPasture_Result_Method2</f>
        <v>#NAME?</v>
      </c>
      <c r="G14" s="16" t="s">
        <v>13</v>
      </c>
      <c r="H14" s="19" t="e" cm="1">
        <f t="array" aca="1" ref="H14" ca="1">Common_Equations.Common_ConvertN2OToCO2e(E14,_xlfn.XLOOKUP("N2O", Table_GWPData[Gas],Table_GWPData[CO2-e factor]))</f>
        <v>#NAME?</v>
      </c>
      <c r="I14" s="19" t="e" cm="1">
        <f t="array" aca="1" ref="I14" ca="1">Common_Equations.Common_ConvertN2OToCO2e(F14,_xlfn.XLOOKUP("N2O", Table_GWPData[Gas],Table_GWPData[CO2-e factor]))</f>
        <v>#NAME?</v>
      </c>
      <c r="J14" s="16" t="s">
        <v>8</v>
      </c>
      <c r="K14" s="9"/>
    </row>
    <row r="15" spans="1:11" ht="20.100000000000001" customHeight="1" x14ac:dyDescent="0.25">
      <c r="A15" s="5"/>
      <c r="C15" s="9"/>
      <c r="D15" s="1" t="s">
        <v>140</v>
      </c>
      <c r="E15" s="19" t="e" cm="1">
        <f t="array" ref="E15">VEERG_5_1_1_1__1_InorganicFertiliserApplicationN2OEmissions_Result_Method1</f>
        <v>#NAME?</v>
      </c>
      <c r="F15" s="19" t="e" cm="1">
        <f t="array" ref="F15">VEERG_5_1_1_1__1_InorganicFertiliserApplicationN2OEmissions_Result_Method2</f>
        <v>#NAME?</v>
      </c>
      <c r="G15" s="16" t="s">
        <v>13</v>
      </c>
      <c r="H15" s="19" t="e" cm="1">
        <f t="array" aca="1" ref="H15" ca="1">Common_Equations.Common_ConvertN2OToCO2e(E15,_xlfn.XLOOKUP("N2O", Table_GWPData[Gas],Table_GWPData[CO2-e factor]))</f>
        <v>#NAME?</v>
      </c>
      <c r="I15" s="19" t="e" cm="1">
        <f t="array" aca="1" ref="I15" ca="1">Common_Equations.Common_ConvertN2OToCO2e(F15,_xlfn.XLOOKUP("N2O", Table_GWPData[Gas],Table_GWPData[CO2-e factor]))</f>
        <v>#NAME?</v>
      </c>
      <c r="J15" s="16" t="s">
        <v>8</v>
      </c>
      <c r="K15" s="9"/>
    </row>
    <row r="16" spans="1:11" ht="20.100000000000001" customHeight="1" x14ac:dyDescent="0.25">
      <c r="A16" s="6" t="s">
        <v>2</v>
      </c>
      <c r="C16" s="9"/>
      <c r="D16" s="1" t="s">
        <v>141</v>
      </c>
      <c r="E16" s="19" t="e" cm="1">
        <f t="array" ref="E16">VEERG_5_1_1_3__1_InorganicFertiliserApplicationCO2Emissions_Result_Method1</f>
        <v>#NAME?</v>
      </c>
      <c r="F16" s="19" t="e">
        <f>E16</f>
        <v>#NAME?</v>
      </c>
      <c r="G16" s="16" t="s">
        <v>133</v>
      </c>
      <c r="H16" s="19" t="e">
        <f>E16</f>
        <v>#NAME?</v>
      </c>
      <c r="I16" s="19" t="e">
        <f>F16</f>
        <v>#NAME?</v>
      </c>
      <c r="J16" s="16" t="s">
        <v>8</v>
      </c>
      <c r="K16" s="9"/>
    </row>
    <row r="17" spans="1:11" ht="20.100000000000001" customHeight="1" x14ac:dyDescent="0.25">
      <c r="A17" s="5" t="str">
        <f>HYPERLINK("#'Constants - Pasture Beef'!A1", "Constants - Pasture Beef")</f>
        <v>Constants - Pasture Beef</v>
      </c>
      <c r="C17" s="9"/>
      <c r="D17" s="1" t="s">
        <v>142</v>
      </c>
      <c r="E17" s="19" t="e" cm="1">
        <f t="array" ref="E17">VEERG_5_2_1_1__2_MassOfNitrogenInOrganicFertiliser_Result_Method1</f>
        <v>#NAME?</v>
      </c>
      <c r="F17" s="19" t="e">
        <f>E17</f>
        <v>#NAME?</v>
      </c>
      <c r="G17" s="16" t="s">
        <v>13</v>
      </c>
      <c r="H17" s="19" t="e" cm="1">
        <f t="array" aca="1" ref="H17" ca="1">Common_Equations.Common_ConvertN2OToCO2e(E17,_xlfn.XLOOKUP("N2O", Table_GWPData[Gas],Table_GWPData[CO2-e factor]))</f>
        <v>#NAME?</v>
      </c>
      <c r="I17" s="19" t="e" cm="1">
        <f t="array" aca="1" ref="I17" ca="1">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143</v>
      </c>
      <c r="E18" s="19" t="e" cm="1">
        <f t="array" ref="E18">VEERG_5_3_1_1__1_LimeApplicationCO2Emissions_Result_Method1</f>
        <v>#NAME?</v>
      </c>
      <c r="F18" s="19" t="e">
        <f>E18</f>
        <v>#NAME?</v>
      </c>
      <c r="G18" s="16" t="s">
        <v>133</v>
      </c>
      <c r="H18" s="19" t="e">
        <f>E18</f>
        <v>#NAME?</v>
      </c>
      <c r="I18" s="19" t="e">
        <f>F18</f>
        <v>#NAME?</v>
      </c>
      <c r="J18" s="16" t="s">
        <v>8</v>
      </c>
      <c r="K18" s="9"/>
    </row>
    <row r="19" spans="1:11" ht="20.100000000000001" customHeight="1" x14ac:dyDescent="0.25">
      <c r="A19" s="5" t="str">
        <f>HYPERLINK("#'Constants - Common'!A1", "Constants - Common")</f>
        <v>Constants - Common</v>
      </c>
      <c r="C19" s="9"/>
      <c r="D19" s="1" t="s">
        <v>144</v>
      </c>
      <c r="E19" s="19" t="e" cm="1">
        <f t="array" ref="E19">VEERG_5_4_1_3__1_OrganicFertiliserAtmosphericDepositionN2OEmissions_Result_Method1</f>
        <v>#NAME?</v>
      </c>
      <c r="F19" s="19" t="e">
        <f>E19</f>
        <v>#NAME?</v>
      </c>
      <c r="G19" s="16" t="s">
        <v>13</v>
      </c>
      <c r="H19" s="19" t="e" cm="1">
        <f t="array" aca="1" ref="H19" ca="1">Common_Equations.Common_ConvertN2OToCO2e(E19,_xlfn.XLOOKUP("N2O", Table_GWPData[Gas],Table_GWPData[CO2-e factor]))</f>
        <v>#NAME?</v>
      </c>
      <c r="I19" s="19" t="e" cm="1">
        <f t="array" aca="1" ref="I19" ca="1">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145</v>
      </c>
      <c r="E20" s="19" t="e" cm="1">
        <f t="array" ref="E20">VEERG_5_5_1_1__1_FertiliserLeachingAndRunoffN2OEmissions_result_Method1</f>
        <v>#NAME?</v>
      </c>
      <c r="F20" s="19" t="e">
        <f>E20</f>
        <v>#NAME?</v>
      </c>
      <c r="G20" s="16" t="s">
        <v>13</v>
      </c>
      <c r="H20" s="19" t="e" cm="1">
        <f t="array" aca="1" ref="H20" ca="1">Common_Equations.Common_ConvertN2OToCO2e(E20,_xlfn.XLOOKUP("N2O", Table_GWPData[Gas],Table_GWPData[CO2-e factor]))</f>
        <v>#NAME?</v>
      </c>
      <c r="I20" s="19" t="e" cm="1">
        <f t="array" aca="1" ref="I20" ca="1">Common_Equations.Common_ConvertN2OToCO2e(F20,_xlfn.XLOOKUP("N2O", Table_GWPData[Gas],Table_GWPData[CO2-e factor]))</f>
        <v>#NAME?</v>
      </c>
      <c r="J20" s="16" t="s">
        <v>8</v>
      </c>
      <c r="K20" s="9"/>
    </row>
    <row r="21" spans="1:11" ht="20.100000000000001" customHeight="1" x14ac:dyDescent="0.25">
      <c r="C21" s="9"/>
      <c r="D21" s="1" t="s">
        <v>146</v>
      </c>
      <c r="E21" s="19" t="e" cm="1">
        <f t="array" ref="E21">VEERG_6_2_1_1__1__NitrousOxideEmissionsFromPastureResidues_Result_Method1</f>
        <v>#NAME?</v>
      </c>
      <c r="F21" s="19" t="e" cm="1">
        <f t="array" ref="F21">VEERG_6_2_1_1__1__NitrousOxideEmissionsFromPastureResidues_Result_Method2</f>
        <v>#NAME?</v>
      </c>
      <c r="G21" s="16" t="s">
        <v>13</v>
      </c>
      <c r="H21" s="19" t="e" cm="1">
        <f t="array" aca="1" ref="H21" ca="1">Common_Equations.Common_ConvertN2OToCO2e(E21,_xlfn.XLOOKUP("N2O", Table_GWPData[Gas],Table_GWPData[CO2-e factor]))</f>
        <v>#NAME?</v>
      </c>
      <c r="I21" s="19" t="e" cm="1">
        <f t="array" aca="1" ref="I21" ca="1">Common_Equations.Common_ConvertN2OToCO2e(F21,_xlfn.XLOOKUP("N2O", Table_GWPData[Gas],Table_GWPData[CO2-e factor]))</f>
        <v>#NAME?</v>
      </c>
      <c r="J21" s="16" t="s">
        <v>8</v>
      </c>
      <c r="K21" s="9"/>
    </row>
    <row r="22" spans="1:11" ht="20.100000000000001" customHeight="1" x14ac:dyDescent="0.25">
      <c r="A22" s="5"/>
      <c r="C22" s="9"/>
      <c r="D22" s="1" t="s">
        <v>147</v>
      </c>
      <c r="E22" s="19" t="e" cm="1">
        <f t="array" ref="E22">VEERG_6_3_1_1__1__LeachingAndRunoffEmissionsCropAndPastureResidue_PastureOnly_Result_Method1</f>
        <v>#NAME?</v>
      </c>
      <c r="F22" s="19" t="e" cm="1">
        <f t="array" ref="F22">VEERG_6_3_1_1__1__LeachingAndRunoffEmissionsCropAndPastureResidue_PastureOnly_Result_Method2</f>
        <v>#NAME?</v>
      </c>
      <c r="G22" s="16" t="s">
        <v>13</v>
      </c>
      <c r="H22" s="19" t="e" cm="1">
        <f t="array" aca="1" ref="H22" ca="1">Common_Equations.Common_ConvertN2OToCO2e(E22,_xlfn.XLOOKUP("N2O", Table_GWPData[Gas],Table_GWPData[CO2-e factor]))</f>
        <v>#NAME?</v>
      </c>
      <c r="I22" s="19" t="e" cm="1">
        <f t="array" aca="1" ref="I22" ca="1">Common_Equations.Common_ConvertN2OToCO2e(F22,_xlfn.XLOOKUP("N2O", Table_GWPData[Gas],Table_GWPData[CO2-e factor]))</f>
        <v>#NAME?</v>
      </c>
      <c r="J22" s="16" t="s">
        <v>8</v>
      </c>
      <c r="K22" s="9"/>
    </row>
    <row r="23" spans="1:11" ht="20.100000000000001" customHeight="1" x14ac:dyDescent="0.25">
      <c r="A23" s="5"/>
      <c r="C23" s="9"/>
      <c r="D23" s="1" t="s">
        <v>148</v>
      </c>
      <c r="E23" s="19" t="e" cm="1">
        <f t="array" ref="E23">VEERG_8_1_1_1__1_FuelCombustionTransport_Result_CO2</f>
        <v>#NAME?</v>
      </c>
      <c r="F23" s="19" t="e">
        <f>E23</f>
        <v>#NAME?</v>
      </c>
      <c r="G23" s="16" t="s">
        <v>133</v>
      </c>
      <c r="H23" s="19" t="e">
        <f>E23</f>
        <v>#NAME?</v>
      </c>
      <c r="I23" s="19" t="e">
        <f>F23</f>
        <v>#NAME?</v>
      </c>
      <c r="J23" s="16" t="s">
        <v>8</v>
      </c>
      <c r="K23" s="9"/>
    </row>
    <row r="24" spans="1:11" ht="20.100000000000001" customHeight="1" x14ac:dyDescent="0.25">
      <c r="A24" s="5"/>
      <c r="C24" s="9"/>
      <c r="D24" s="1" t="s">
        <v>150</v>
      </c>
      <c r="E24" s="19" t="e" cm="1">
        <f t="array" ref="E24">VEERG_8_1_1_1__1_FuelCombustionTransport_Result_CH4</f>
        <v>#NAME?</v>
      </c>
      <c r="F24" s="19" t="e">
        <f>E24</f>
        <v>#NAME?</v>
      </c>
      <c r="G24" s="16" t="s">
        <v>7</v>
      </c>
      <c r="H24" s="19" t="e" cm="1">
        <f t="array" aca="1" ref="H24" ca="1">Common_Equations.Common_ConvertCH4ToCO2e(E24,_xlfn.XLOOKUP("CH4", Table_GWPData[Gas],Table_GWPData[CO2-e factor]))</f>
        <v>#NAME?</v>
      </c>
      <c r="I24" s="19" t="e" cm="1">
        <f t="array" aca="1" ref="I24" ca="1">Common_Equations.Common_ConvertCH4ToCO2e(F24,_xlfn.XLOOKUP("CH4", Table_GWPData[Gas],Table_GWPData[CO2-e factor]))</f>
        <v>#NAME?</v>
      </c>
      <c r="J24" s="16" t="s">
        <v>8</v>
      </c>
      <c r="K24" s="9"/>
    </row>
    <row r="25" spans="1:11" ht="20.100000000000001" customHeight="1" x14ac:dyDescent="0.25">
      <c r="C25" s="9"/>
      <c r="D25" s="1" t="s">
        <v>149</v>
      </c>
      <c r="E25" s="19" t="e" cm="1">
        <f t="array" ref="E25">VEERG_8_1_1_1__1_FuelCombustionTransport_Result_N2O</f>
        <v>#NAME?</v>
      </c>
      <c r="F25" s="19" t="e">
        <f>E25</f>
        <v>#NAME?</v>
      </c>
      <c r="G25" s="16" t="s">
        <v>13</v>
      </c>
      <c r="H25" s="19" t="e" cm="1">
        <f t="array" aca="1" ref="H25" ca="1">Common_Equations.Common_ConvertN2OToCO2e(E25,_xlfn.XLOOKUP("N2O", Table_GWPData[Gas],Table_GWPData[CO2-e factor]))</f>
        <v>#NAME?</v>
      </c>
      <c r="I25" s="19" t="e" cm="1">
        <f t="array" aca="1" ref="I25" ca="1">Common_Equations.Common_ConvertN2OToCO2e(F25,_xlfn.XLOOKUP("N2O", Table_GWPData[Gas],Table_GWPData[CO2-e factor]))</f>
        <v>#NAME?</v>
      </c>
      <c r="J25" s="16" t="s">
        <v>8</v>
      </c>
      <c r="K25" s="9"/>
    </row>
    <row r="26" spans="1:11" ht="20.100000000000001" customHeight="1" x14ac:dyDescent="0.25">
      <c r="C26" s="9"/>
      <c r="D26" s="1" t="s">
        <v>151</v>
      </c>
      <c r="E26" s="19" t="e" cm="1">
        <f t="array" ref="E26">VEERG_8_2_1_1__1_FuelCombustionStationary_Result_CO2</f>
        <v>#NAME?</v>
      </c>
      <c r="F26" s="19" t="e">
        <f>E26</f>
        <v>#NAME?</v>
      </c>
      <c r="G26" s="16" t="s">
        <v>133</v>
      </c>
      <c r="H26" s="19" t="e">
        <f>E26</f>
        <v>#NAME?</v>
      </c>
      <c r="I26" s="19" t="e">
        <f>F26</f>
        <v>#NAME?</v>
      </c>
      <c r="J26" s="16" t="s">
        <v>8</v>
      </c>
      <c r="K26" s="9"/>
    </row>
    <row r="27" spans="1:11" ht="20.100000000000001" customHeight="1" x14ac:dyDescent="0.25">
      <c r="C27" s="9"/>
      <c r="D27" s="1" t="s">
        <v>152</v>
      </c>
      <c r="E27" s="19" t="e" cm="1">
        <f t="array" ref="E27">VEERG_8_2_1_1__1_FuelCombustionStationary_Result_CH4</f>
        <v>#NAME?</v>
      </c>
      <c r="F27" s="19" t="e">
        <f t="shared" ref="F27:F30" si="0">E27</f>
        <v>#NAME?</v>
      </c>
      <c r="G27" s="16" t="s">
        <v>7</v>
      </c>
      <c r="H27" s="19" t="e" cm="1">
        <f t="array" aca="1" ref="H27" ca="1">Common_Equations.Common_ConvertCH4ToCO2e(E27,_xlfn.XLOOKUP("CH4", Table_GWPData[Gas],Table_GWPData[CO2-e factor]))</f>
        <v>#NAME?</v>
      </c>
      <c r="I27" s="19" t="e" cm="1">
        <f t="array" aca="1" ref="I27" ca="1">Common_Equations.Common_ConvertCH4ToCO2e(F27,_xlfn.XLOOKUP("CH4", Table_GWPData[Gas],Table_GWPData[CO2-e factor]))</f>
        <v>#NAME?</v>
      </c>
      <c r="J27" s="16" t="s">
        <v>8</v>
      </c>
      <c r="K27" s="9"/>
    </row>
    <row r="28" spans="1:11" ht="20.100000000000001" customHeight="1" x14ac:dyDescent="0.25">
      <c r="C28" s="9"/>
      <c r="D28" s="1" t="s">
        <v>153</v>
      </c>
      <c r="E28" s="19" t="e" cm="1">
        <f t="array" ref="E28">VEERG_8_2_1_1__1_FuelCombustionStationary_Result_N2O</f>
        <v>#NAME?</v>
      </c>
      <c r="F28" s="19" t="e">
        <f t="shared" si="0"/>
        <v>#NAME?</v>
      </c>
      <c r="G28" s="16" t="s">
        <v>13</v>
      </c>
      <c r="H28" s="19" t="e" cm="1">
        <f t="array" aca="1" ref="H28" ca="1">Common_Equations.Common_ConvertN2OToCO2e(E28,_xlfn.XLOOKUP("N2O", Table_GWPData[Gas],Table_GWPData[CO2-e factor]))</f>
        <v>#NAME?</v>
      </c>
      <c r="I28" s="19" t="e" cm="1">
        <f t="array" aca="1" ref="I28" ca="1">Common_Equations.Common_ConvertN2OToCO2e(F28,_xlfn.XLOOKUP("N2O", Table_GWPData[Gas],Table_GWPData[CO2-e factor]))</f>
        <v>#NAME?</v>
      </c>
      <c r="J28" s="16" t="s">
        <v>8</v>
      </c>
      <c r="K28" s="9"/>
    </row>
    <row r="29" spans="1:11" ht="20.100000000000001" customHeight="1" x14ac:dyDescent="0.25">
      <c r="C29" s="9"/>
      <c r="D29" s="1" t="s">
        <v>154</v>
      </c>
      <c r="E29" s="19" t="e" cm="1">
        <f t="array" ref="E29">VEERG_14_1_1__1_LocationBasedScopeElectricityEmissions_Result_Method1</f>
        <v>#NAME?</v>
      </c>
      <c r="F29" s="19" t="e">
        <f t="shared" si="0"/>
        <v>#NAME?</v>
      </c>
      <c r="G29" s="16" t="s">
        <v>8</v>
      </c>
      <c r="H29" s="19" t="e">
        <f>E29</f>
        <v>#NAME?</v>
      </c>
      <c r="I29" s="19" t="e">
        <f>F29</f>
        <v>#NAME?</v>
      </c>
      <c r="J29" s="16" t="s">
        <v>8</v>
      </c>
      <c r="K29" s="9"/>
    </row>
    <row r="30" spans="1:11" ht="20.100000000000001" customHeight="1" x14ac:dyDescent="0.25">
      <c r="C30" s="9"/>
      <c r="D30" s="1" t="s">
        <v>155</v>
      </c>
      <c r="E30" s="19" t="e" cm="1">
        <f t="array" ref="E30">VEERG_14_1_2__1_MarketBasedScopeElectricityEmissionsVariation_Result_Method1</f>
        <v>#NAME?</v>
      </c>
      <c r="F30" s="19" t="e">
        <f t="shared" si="0"/>
        <v>#NAME?</v>
      </c>
      <c r="G30" s="16" t="s">
        <v>8</v>
      </c>
      <c r="H30" s="19" t="e">
        <f>E30</f>
        <v>#NAME?</v>
      </c>
      <c r="I30" s="19" t="e">
        <f>F30</f>
        <v>#NAME?</v>
      </c>
      <c r="J30" s="16" t="s">
        <v>8</v>
      </c>
      <c r="K30" s="9"/>
    </row>
    <row r="31" spans="1:11" ht="20.100000000000001" customHeight="1" x14ac:dyDescent="0.3">
      <c r="C31" s="9"/>
      <c r="D31" s="15" t="s">
        <v>5</v>
      </c>
      <c r="E31" s="10"/>
      <c r="F31" s="10"/>
      <c r="G31" s="15"/>
      <c r="H31" s="20" t="e">
        <f ca="1">SUM(H7:H30)</f>
        <v>#NAME?</v>
      </c>
      <c r="I31" s="20" t="e">
        <f ca="1">SUM(I7:I30)</f>
        <v>#NAME?</v>
      </c>
      <c r="J31" s="16" t="s">
        <v>8</v>
      </c>
      <c r="K31" s="9"/>
    </row>
    <row r="32" spans="1:11" ht="20.100000000000001" customHeight="1" x14ac:dyDescent="0.3">
      <c r="C32" s="9"/>
      <c r="D32" s="1"/>
      <c r="E32" s="1"/>
      <c r="F32" s="1"/>
      <c r="G32" s="1"/>
      <c r="H32" s="14"/>
      <c r="I32" s="9"/>
      <c r="J32" s="9"/>
      <c r="K32" s="9"/>
    </row>
    <row r="33" spans="3:11" ht="20.100000000000001" customHeight="1" x14ac:dyDescent="0.3">
      <c r="C33" s="9"/>
      <c r="D33" s="1"/>
      <c r="E33" s="1"/>
      <c r="F33" s="1"/>
      <c r="G33" s="1"/>
      <c r="H33" s="14"/>
      <c r="I33" s="9"/>
      <c r="J33" s="9"/>
      <c r="K33" s="9"/>
    </row>
    <row r="34" spans="3:11" ht="20.100000000000001" customHeight="1" x14ac:dyDescent="0.3">
      <c r="C34" s="9"/>
      <c r="D34" s="1"/>
      <c r="E34" s="1"/>
      <c r="F34" s="1"/>
      <c r="G34" s="1"/>
      <c r="H34" s="14"/>
      <c r="I34" s="9"/>
      <c r="J34" s="9"/>
      <c r="K34" s="9"/>
    </row>
    <row r="35" spans="3:11" ht="20.100000000000001" customHeight="1" x14ac:dyDescent="0.3">
      <c r="C35" s="9"/>
      <c r="D35" s="2" t="s">
        <v>117</v>
      </c>
      <c r="E35" s="1"/>
      <c r="F35" s="1"/>
      <c r="G35" s="1"/>
      <c r="H35" s="14"/>
      <c r="I35" s="9"/>
      <c r="J35" s="9"/>
      <c r="K35" s="9"/>
    </row>
    <row r="36" spans="3:11" ht="20.100000000000001" customHeight="1" x14ac:dyDescent="0.3">
      <c r="C36" s="9"/>
      <c r="D36" s="88"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4"/>
      <c r="I36" s="9"/>
      <c r="J36" s="9"/>
      <c r="K36" s="9"/>
    </row>
    <row r="37" spans="3:11" ht="20.100000000000001" customHeight="1" x14ac:dyDescent="0.3">
      <c r="C37" s="9"/>
      <c r="D37" s="1" t="s">
        <v>119</v>
      </c>
      <c r="E37" s="1"/>
      <c r="F37" s="1"/>
      <c r="G37" s="1"/>
      <c r="H37" s="14"/>
      <c r="I37" s="9"/>
      <c r="J37" s="9"/>
      <c r="K37" s="9"/>
    </row>
    <row r="38" spans="3:11" ht="20.100000000000001" customHeight="1" x14ac:dyDescent="0.3">
      <c r="C38" s="9"/>
      <c r="D38" s="1"/>
      <c r="E38" s="1"/>
      <c r="F38" s="1"/>
      <c r="G38" s="1"/>
      <c r="H38" s="14"/>
      <c r="I38" s="9"/>
      <c r="J38" s="9"/>
      <c r="K38" s="9"/>
    </row>
    <row r="39" spans="3:11" ht="20.100000000000001" customHeight="1" x14ac:dyDescent="0.3">
      <c r="C39" s="9"/>
      <c r="D39" s="21" t="s">
        <v>118</v>
      </c>
      <c r="E39" s="21" t="s">
        <v>11</v>
      </c>
      <c r="F39" s="21" t="s">
        <v>12</v>
      </c>
      <c r="G39" s="1"/>
      <c r="H39" s="14"/>
      <c r="I39" s="9"/>
      <c r="J39" s="9"/>
      <c r="K39" s="9"/>
    </row>
    <row r="40" spans="3:11" ht="20.100000000000001" customHeight="1" x14ac:dyDescent="0.3">
      <c r="C40" s="9"/>
      <c r="D40" s="1" t="str" cm="1">
        <f t="array" ref="D40:D42">Common_InputFunctions.getOverlappingReportingPeriods(X_Cell_Enterprise_ProductionTimeframeStart,X_Cell_Enterprise_ProductionTimeframeEnd,X_Cell_Site_StartDate)</f>
        <v>01 Jan 2023 to 31 Dec 2023</v>
      </c>
      <c r="E40" s="86" t="str">
        <f>IF(ISBLANK($D40), 0, IF(ISNUMBER(SEARCH("reporting", $D40)), Result_Enterprise_Method1, "Enter value"))</f>
        <v>Enter value</v>
      </c>
      <c r="F40" s="86" t="str">
        <f>IF(ISBLANK($D40), 0, IF(ISNUMBER(SEARCH("reporting", $D40)), Result_Enterprise_Method2, "Enter value"))</f>
        <v>Enter value</v>
      </c>
      <c r="G40" s="16" t="s">
        <v>8</v>
      </c>
      <c r="H40" s="14"/>
      <c r="I40" s="9"/>
      <c r="J40" s="9"/>
      <c r="K40" s="9"/>
    </row>
    <row r="41" spans="3:11" ht="20.100000000000001" customHeight="1" x14ac:dyDescent="0.3">
      <c r="C41" s="9"/>
      <c r="D41" s="1" t="str">
        <v>01 Jan 2024 to 31 Dec 2024 (This reporting cycle)</v>
      </c>
      <c r="E41" s="86" t="e">
        <f ca="1">IF(ISBLANK($D41), 0, IF(ISNUMBER(SEARCH("reporting", $D41)), Result_Enterprise_Method1, "Enter value"))</f>
        <v>#NAME?</v>
      </c>
      <c r="F41" s="86" t="e">
        <f ca="1">IF(ISBLANK($D41), 0, IF(ISNUMBER(SEARCH("reporting", $D41)), Result_Enterprise_Method2, "Enter value"))</f>
        <v>#NAME?</v>
      </c>
      <c r="G41" s="16" t="s">
        <v>8</v>
      </c>
      <c r="H41" s="14"/>
      <c r="I41" s="9"/>
      <c r="J41" s="9"/>
      <c r="K41" s="9"/>
    </row>
    <row r="42" spans="3:11" ht="20.100000000000001" customHeight="1" x14ac:dyDescent="0.3">
      <c r="C42" s="9"/>
      <c r="D42" s="1" t="str">
        <v>01 Jan 2025 to 31 Dec 2025</v>
      </c>
      <c r="E42" s="86" t="str">
        <f>IF(ISBLANK($D42), 0, IF(ISNUMBER(SEARCH("reporting", $D42)), Result_Enterprise_Method1, "Enter value"))</f>
        <v>Enter value</v>
      </c>
      <c r="F42" s="86" t="str">
        <f>IF(ISBLANK($D42), 0, IF(ISNUMBER(SEARCH("reporting", $D42)), Result_Enterprise_Method2, "Enter value"))</f>
        <v>Enter value</v>
      </c>
      <c r="G42" s="16" t="s">
        <v>8</v>
      </c>
      <c r="H42" s="14"/>
      <c r="I42" s="9"/>
      <c r="J42" s="9"/>
      <c r="K42" s="9"/>
    </row>
    <row r="43" spans="3:11" ht="20.100000000000001" customHeight="1" x14ac:dyDescent="0.3">
      <c r="C43" s="9"/>
      <c r="D43" s="1"/>
      <c r="E43" s="86">
        <f>IF(ISBLANK($D43), 0, IF(ISNUMBER(SEARCH("reporting", $D43)), Result_Enterprise_Method1, "Enter value"))</f>
        <v>0</v>
      </c>
      <c r="F43" s="86">
        <f>IF(ISBLANK($D43), 0, IF(ISNUMBER(SEARCH("reporting", $D43)), Result_Enterprise_Method2, "Enter value"))</f>
        <v>0</v>
      </c>
      <c r="G43" s="16" t="s">
        <v>8</v>
      </c>
      <c r="H43" s="14"/>
      <c r="I43" s="9"/>
      <c r="J43" s="9"/>
      <c r="K43" s="9"/>
    </row>
    <row r="44" spans="3:11" ht="20.100000000000001" customHeight="1" x14ac:dyDescent="0.3">
      <c r="C44" s="9"/>
      <c r="D44" s="88"/>
      <c r="E44" s="86">
        <f>IF(ISBLANK($D44), 0, IF(ISNUMBER(SEARCH("reporting", $D44)), Result_Enterprise_Method1, "Enter value"))</f>
        <v>0</v>
      </c>
      <c r="F44" s="86">
        <f>IF(ISBLANK($D44), 0, IF(ISNUMBER(SEARCH("reporting", $D44)), Result_Enterprise_Method2, "Enter value"))</f>
        <v>0</v>
      </c>
      <c r="G44" s="16" t="s">
        <v>8</v>
      </c>
      <c r="H44" s="14"/>
      <c r="I44" s="9"/>
      <c r="J44" s="9"/>
      <c r="K44" s="9"/>
    </row>
    <row r="45" spans="3:11" ht="20.100000000000001" customHeight="1" x14ac:dyDescent="0.3">
      <c r="C45" s="9"/>
      <c r="D45" s="15" t="s">
        <v>134</v>
      </c>
      <c r="E45" s="20" t="e">
        <f ca="1">SUM(E40:E44)</f>
        <v>#NAME?</v>
      </c>
      <c r="F45" s="20" t="e">
        <f ca="1">SUM(F40:F44)</f>
        <v>#NAME?</v>
      </c>
      <c r="G45" s="1"/>
      <c r="H45" s="1"/>
      <c r="I45" s="1"/>
      <c r="J45" s="9"/>
      <c r="K45" s="9"/>
    </row>
    <row r="46" spans="3:11" ht="20.100000000000001" customHeight="1" x14ac:dyDescent="0.25">
      <c r="C46" s="9"/>
      <c r="D46" s="1"/>
      <c r="E46" s="1"/>
      <c r="F46" s="1"/>
      <c r="G46" s="1"/>
      <c r="H46" s="1"/>
      <c r="I46" s="1"/>
      <c r="J46" s="9"/>
      <c r="K46" s="9"/>
    </row>
    <row r="47" spans="3:11" ht="20.100000000000001" customHeight="1" x14ac:dyDescent="0.25">
      <c r="C47" s="9"/>
      <c r="D47" s="1"/>
      <c r="E47" s="1"/>
      <c r="F47" s="1"/>
      <c r="G47" s="1"/>
      <c r="H47" s="1"/>
      <c r="I47" s="1"/>
      <c r="J47" s="9"/>
      <c r="K47" s="9"/>
    </row>
    <row r="48" spans="3:11" ht="20.100000000000001" customHeight="1" x14ac:dyDescent="0.25">
      <c r="C48" s="9"/>
      <c r="D48" s="2" t="s">
        <v>131</v>
      </c>
      <c r="E48" s="1"/>
      <c r="F48" s="1"/>
      <c r="G48" s="1"/>
      <c r="H48" s="1"/>
      <c r="I48" s="1"/>
      <c r="J48" s="9"/>
      <c r="K48" s="9"/>
    </row>
    <row r="49" spans="3:11" ht="20.100000000000001" customHeight="1" x14ac:dyDescent="0.25">
      <c r="C49" s="9"/>
      <c r="D49" s="1"/>
      <c r="E49" s="1"/>
      <c r="F49" s="1"/>
      <c r="G49" s="1"/>
      <c r="H49" s="1"/>
      <c r="I49" s="1"/>
      <c r="J49" s="1"/>
      <c r="K49" s="9"/>
    </row>
    <row r="50" spans="3:11" ht="20.100000000000001" customHeight="1" x14ac:dyDescent="0.25">
      <c r="C50" s="9"/>
      <c r="D50" s="21" t="s">
        <v>118</v>
      </c>
      <c r="E50" s="21" t="s">
        <v>132</v>
      </c>
      <c r="F50" s="1"/>
      <c r="G50" s="1"/>
      <c r="H50" s="1"/>
      <c r="I50" s="1"/>
      <c r="J50" s="1"/>
      <c r="K50" s="9"/>
    </row>
    <row r="51" spans="3:11" ht="20.100000000000001" customHeight="1" x14ac:dyDescent="0.25">
      <c r="C51" s="9"/>
      <c r="D51" s="1" t="str" cm="1">
        <f t="array" ref="D51:D53">Common_InputFunctions.getOverlappingReportingPeriods(X_Cell_Enterprise_ProductionTimeframeStart,X_Cell_Enterprise_ProductionTimeframeEnd,X_Cell_Site_StartDate)</f>
        <v>01 Jan 2023 to 31 Dec 2023</v>
      </c>
      <c r="E51" s="86" t="str">
        <f>IF(ISBLANK(D51), 0, "Enter value")</f>
        <v>Enter value</v>
      </c>
      <c r="F51" s="16" t="s">
        <v>133</v>
      </c>
      <c r="G51" s="1"/>
      <c r="H51" s="1"/>
      <c r="I51" s="1"/>
      <c r="J51" s="1"/>
      <c r="K51" s="9"/>
    </row>
    <row r="52" spans="3:11" ht="20.100000000000001" customHeight="1" x14ac:dyDescent="0.25">
      <c r="C52" s="9"/>
      <c r="D52" s="1" t="str">
        <v>01 Jan 2024 to 31 Dec 2024 (This reporting cycle)</v>
      </c>
      <c r="E52" s="86" t="str">
        <f t="shared" ref="E52:E55" si="1">IF(ISBLANK(D52), 0, "Enter value")</f>
        <v>Enter value</v>
      </c>
      <c r="F52" s="16" t="s">
        <v>133</v>
      </c>
      <c r="G52" s="1"/>
      <c r="H52" s="1"/>
      <c r="I52" s="1"/>
      <c r="J52" s="1"/>
      <c r="K52" s="9"/>
    </row>
    <row r="53" spans="3:11" ht="20.100000000000001" customHeight="1" x14ac:dyDescent="0.25">
      <c r="C53" s="9"/>
      <c r="D53" s="1" t="str">
        <v>01 Jan 2025 to 31 Dec 2025</v>
      </c>
      <c r="E53" s="86" t="str">
        <f t="shared" si="1"/>
        <v>Enter value</v>
      </c>
      <c r="F53" s="16" t="s">
        <v>133</v>
      </c>
      <c r="G53" s="1"/>
      <c r="H53" s="1"/>
      <c r="I53" s="1"/>
      <c r="J53" s="1"/>
      <c r="K53" s="9"/>
    </row>
    <row r="54" spans="3:11" ht="20.100000000000001" customHeight="1" x14ac:dyDescent="0.25">
      <c r="C54" s="9"/>
      <c r="D54" s="1"/>
      <c r="E54" s="86">
        <f t="shared" si="1"/>
        <v>0</v>
      </c>
      <c r="F54" s="16" t="s">
        <v>133</v>
      </c>
      <c r="G54" s="1"/>
      <c r="H54" s="1"/>
      <c r="I54" s="1"/>
      <c r="J54" s="1"/>
      <c r="K54" s="9"/>
    </row>
    <row r="55" spans="3:11" ht="20.100000000000001" customHeight="1" x14ac:dyDescent="0.25">
      <c r="C55" s="9"/>
      <c r="D55" s="1"/>
      <c r="E55" s="86">
        <f t="shared" si="1"/>
        <v>0</v>
      </c>
      <c r="F55" s="16" t="s">
        <v>133</v>
      </c>
      <c r="G55" s="1"/>
      <c r="H55" s="1"/>
      <c r="I55" s="9"/>
      <c r="J55" s="9"/>
      <c r="K55" s="9"/>
    </row>
    <row r="56" spans="3:11" ht="20.100000000000001" customHeight="1" x14ac:dyDescent="0.3">
      <c r="C56" s="9"/>
      <c r="D56" s="15" t="s">
        <v>135</v>
      </c>
      <c r="E56" s="20">
        <f>SUM(E51:E55)</f>
        <v>0</v>
      </c>
      <c r="F56" s="1"/>
      <c r="G56" s="1"/>
      <c r="H56" s="1"/>
      <c r="I56" s="1"/>
      <c r="J56" s="1"/>
      <c r="K56" s="9"/>
    </row>
    <row r="57" spans="3:11" ht="20.100000000000001" customHeight="1" x14ac:dyDescent="0.25">
      <c r="C57" s="9"/>
      <c r="D57" s="1"/>
      <c r="E57" s="1"/>
      <c r="F57" s="1"/>
      <c r="G57" s="1"/>
      <c r="H57" s="1"/>
      <c r="I57" s="1"/>
      <c r="J57" s="1"/>
      <c r="K57" s="9"/>
    </row>
    <row r="58" spans="3:11" ht="20.100000000000001" customHeight="1" x14ac:dyDescent="0.25">
      <c r="C58" s="9"/>
      <c r="D58" s="1"/>
      <c r="E58" s="1"/>
      <c r="F58" s="1"/>
      <c r="G58" s="1"/>
      <c r="H58" s="1"/>
      <c r="I58" s="1"/>
      <c r="J58" s="1"/>
      <c r="K58" s="9"/>
    </row>
    <row r="59" spans="3:11" ht="20.100000000000001" customHeight="1" x14ac:dyDescent="0.25">
      <c r="C59" s="9"/>
      <c r="D59" s="2" t="s">
        <v>121</v>
      </c>
      <c r="E59" s="1"/>
      <c r="F59" s="1"/>
      <c r="G59" s="1"/>
      <c r="H59" s="1"/>
      <c r="I59" s="1"/>
      <c r="J59" s="9"/>
      <c r="K59" s="9"/>
    </row>
    <row r="60" spans="3:11" ht="20.100000000000001" customHeight="1" x14ac:dyDescent="0.25">
      <c r="C60" s="9"/>
      <c r="D60" s="1"/>
      <c r="E60" s="1"/>
      <c r="F60" s="1"/>
      <c r="G60" s="1"/>
      <c r="H60" s="1"/>
      <c r="I60" s="1"/>
      <c r="J60" s="1"/>
      <c r="K60" s="9"/>
    </row>
    <row r="61" spans="3:11" ht="20.100000000000001" customHeight="1" x14ac:dyDescent="0.25">
      <c r="C61" s="9"/>
      <c r="D61" s="21"/>
      <c r="E61" s="21" t="s">
        <v>137</v>
      </c>
      <c r="F61" s="21" t="s">
        <v>138</v>
      </c>
      <c r="G61" s="1"/>
      <c r="H61" s="1"/>
      <c r="I61" s="1"/>
      <c r="J61" s="1"/>
      <c r="K61" s="9"/>
    </row>
    <row r="62" spans="3:11" ht="20.100000000000001" customHeight="1" x14ac:dyDescent="0.3">
      <c r="C62" s="9"/>
      <c r="D62" s="89" t="s">
        <v>136</v>
      </c>
      <c r="E62" s="87" t="e">
        <f ca="1">E45-E56</f>
        <v>#NAME?</v>
      </c>
      <c r="F62" s="87" t="e">
        <f ca="1">F45-E56</f>
        <v>#NAME?</v>
      </c>
      <c r="G62" s="1"/>
      <c r="H62" s="1"/>
      <c r="I62" s="1"/>
      <c r="J62" s="1"/>
      <c r="K62" s="9"/>
    </row>
    <row r="63" spans="3:11" ht="20.100000000000001" customHeight="1" x14ac:dyDescent="0.25">
      <c r="C63" s="9"/>
      <c r="D63" s="1"/>
      <c r="E63" s="1"/>
      <c r="F63" s="1"/>
      <c r="G63" s="1"/>
      <c r="H63" s="1"/>
      <c r="I63" s="1"/>
      <c r="J63" s="1"/>
      <c r="K63" s="9"/>
    </row>
    <row r="64" spans="3:11" ht="20.100000000000001" customHeight="1" x14ac:dyDescent="0.25">
      <c r="C64" s="9"/>
      <c r="D64" s="1"/>
      <c r="E64" s="1"/>
      <c r="F64" s="1"/>
      <c r="G64" s="1"/>
      <c r="H64" s="1"/>
      <c r="I64" s="1"/>
      <c r="J64" s="1"/>
      <c r="K64" s="9"/>
    </row>
    <row r="65" spans="3:11" ht="20.100000000000001" customHeight="1" x14ac:dyDescent="0.25">
      <c r="C65" s="9"/>
      <c r="D65" s="91" t="s">
        <v>160</v>
      </c>
      <c r="E65" s="1"/>
      <c r="F65" s="1"/>
      <c r="G65" s="1"/>
      <c r="H65" s="1"/>
      <c r="I65" s="1"/>
      <c r="J65" s="1"/>
      <c r="K65" s="9"/>
    </row>
    <row r="66" spans="3:11" ht="20.100000000000001" customHeight="1" x14ac:dyDescent="0.25">
      <c r="C66" s="9"/>
      <c r="D66" s="21" t="s">
        <v>139</v>
      </c>
      <c r="E66" s="21" t="s">
        <v>128</v>
      </c>
      <c r="F66" s="21" t="s">
        <v>122</v>
      </c>
      <c r="G66" s="21" t="s">
        <v>162</v>
      </c>
      <c r="H66" s="21" t="s">
        <v>126</v>
      </c>
      <c r="I66" s="21" t="s">
        <v>127</v>
      </c>
      <c r="J66" s="21" t="s">
        <v>123</v>
      </c>
      <c r="K66" s="9"/>
    </row>
    <row r="67" spans="3:11" ht="20.100000000000001" customHeight="1" x14ac:dyDescent="0.25">
      <c r="C67" s="9"/>
      <c r="D67" s="1" t="s">
        <v>195</v>
      </c>
      <c r="E67" s="1" t="s">
        <v>129</v>
      </c>
      <c r="F67" s="19" t="e">
        <f>'Input - Enterprise'!E24</f>
        <v>#NAME?</v>
      </c>
      <c r="G67" s="19" t="e">
        <f>F67/(F67+F69+F71)</f>
        <v>#NAME?</v>
      </c>
      <c r="H67" s="19" t="e">
        <f ca="1">(Result_EmissionsForWholeProductionCycle_Method1/F67)*G67</f>
        <v>#NAME?</v>
      </c>
      <c r="I67" s="19" t="e">
        <f ca="1">(Result_EmissionsForWholeProductionCycle_Method2/F67)*G67</f>
        <v>#NAME?</v>
      </c>
      <c r="J67" s="16" t="s">
        <v>197</v>
      </c>
      <c r="K67" s="9"/>
    </row>
    <row r="68" spans="3:11" ht="20.100000000000001" customHeight="1" x14ac:dyDescent="0.25">
      <c r="C68" s="9"/>
      <c r="D68" s="1" t="s">
        <v>196</v>
      </c>
      <c r="E68" s="1" t="s">
        <v>129</v>
      </c>
      <c r="F68" s="19" t="e">
        <f>F67</f>
        <v>#NAME?</v>
      </c>
      <c r="G68" s="19" t="e">
        <f>G67</f>
        <v>#NAME?</v>
      </c>
      <c r="H68" s="19" t="e">
        <f ca="1">(Result_NetEmissions_Method1/F68)*G68</f>
        <v>#NAME?</v>
      </c>
      <c r="I68" s="19" t="e">
        <f ca="1">(Result_NetEmissions_Method2/F68)*G68</f>
        <v>#NAME?</v>
      </c>
      <c r="J68" s="16" t="s">
        <v>197</v>
      </c>
      <c r="K68" s="9"/>
    </row>
    <row r="69" spans="3:11" ht="20.100000000000001" customHeight="1" x14ac:dyDescent="0.25">
      <c r="C69" s="9"/>
      <c r="D69" s="1" t="s">
        <v>164</v>
      </c>
      <c r="E69" s="1" t="s">
        <v>129</v>
      </c>
      <c r="F69" s="19">
        <f>'Input - Enterprise'!E22</f>
        <v>5</v>
      </c>
      <c r="G69" s="19" t="e">
        <f>F69/(F67+F69+F71)</f>
        <v>#NAME?</v>
      </c>
      <c r="H69" s="19" t="e">
        <f ca="1">(Result_EmissionsForWholeProductionCycle_Method1/F69)*G69</f>
        <v>#NAME?</v>
      </c>
      <c r="I69" s="19" t="e">
        <f ca="1">(Result_EmissionsForWholeProductionCycle_Method2/F69)*G69</f>
        <v>#NAME?</v>
      </c>
      <c r="J69" s="16" t="s">
        <v>124</v>
      </c>
      <c r="K69" s="9"/>
    </row>
    <row r="70" spans="3:11" ht="20.100000000000001" customHeight="1" x14ac:dyDescent="0.25">
      <c r="C70" s="9"/>
      <c r="D70" s="1" t="s">
        <v>165</v>
      </c>
      <c r="E70" s="1" t="s">
        <v>129</v>
      </c>
      <c r="F70" s="19">
        <f>F69</f>
        <v>5</v>
      </c>
      <c r="G70" s="19" t="e">
        <f>G69</f>
        <v>#NAME?</v>
      </c>
      <c r="H70" s="19" t="e">
        <f ca="1">(Result_NetEmissions_Method1/F70)*G70</f>
        <v>#NAME?</v>
      </c>
      <c r="I70" s="19" t="e">
        <f ca="1">(Result_NetEmissions_Method2/F70)*G70</f>
        <v>#NAME?</v>
      </c>
      <c r="J70" s="16" t="s">
        <v>124</v>
      </c>
      <c r="K70" s="9"/>
    </row>
    <row r="71" spans="3:11" ht="20.100000000000001" customHeight="1" x14ac:dyDescent="0.25">
      <c r="C71" s="9"/>
      <c r="D71" s="1" t="s">
        <v>166</v>
      </c>
      <c r="E71" s="1" t="s">
        <v>130</v>
      </c>
      <c r="F71" s="19">
        <f>'Input - Enterprise'!E25</f>
        <v>1</v>
      </c>
      <c r="G71" s="19" t="e">
        <f>F71/(F67+F69+F71)</f>
        <v>#NAME?</v>
      </c>
      <c r="H71" s="19" t="e">
        <f ca="1">(Result_EmissionsForWholeProductionCycle_Method1/F71)*G71</f>
        <v>#NAME?</v>
      </c>
      <c r="I71" s="19" t="e">
        <f ca="1">(Result_EmissionsForWholeProductionCycle_Method2/F71)*G71</f>
        <v>#NAME?</v>
      </c>
      <c r="J71" s="16" t="s">
        <v>125</v>
      </c>
      <c r="K71" s="9"/>
    </row>
    <row r="72" spans="3:11" ht="20.100000000000001" customHeight="1" x14ac:dyDescent="0.25">
      <c r="C72" s="9"/>
      <c r="D72" s="1" t="s">
        <v>167</v>
      </c>
      <c r="E72" s="1" t="s">
        <v>130</v>
      </c>
      <c r="F72" s="19">
        <f>F71</f>
        <v>1</v>
      </c>
      <c r="G72" s="19" t="e">
        <f>G71</f>
        <v>#NAME?</v>
      </c>
      <c r="H72" s="19" t="e">
        <f ca="1">(Result_NetEmissions_Method1/F72)*G72</f>
        <v>#NAME?</v>
      </c>
      <c r="I72" s="19" t="e">
        <f ca="1">(Result_NetEmissions_Method2/F72)*G72</f>
        <v>#NAME?</v>
      </c>
      <c r="J72" s="16" t="s">
        <v>125</v>
      </c>
      <c r="K72" s="9"/>
    </row>
    <row r="73" spans="3:11" ht="20.100000000000001" customHeight="1" x14ac:dyDescent="0.25">
      <c r="C73" s="9"/>
      <c r="D73" s="1"/>
      <c r="E73" s="1"/>
      <c r="F73" s="19"/>
      <c r="G73" s="19"/>
      <c r="H73" s="19"/>
      <c r="I73" s="19"/>
      <c r="J73" s="9"/>
      <c r="K73" s="9"/>
    </row>
    <row r="74" spans="3:11" ht="20.100000000000001" customHeight="1" x14ac:dyDescent="0.25">
      <c r="C74" s="9"/>
      <c r="D74" s="1"/>
      <c r="E74" s="1"/>
      <c r="F74" s="19"/>
      <c r="G74" s="19"/>
      <c r="H74" s="19"/>
      <c r="I74" s="19"/>
      <c r="J74" s="18"/>
      <c r="K74" s="9"/>
    </row>
    <row r="75" spans="3:11" ht="20.100000000000001" customHeight="1" x14ac:dyDescent="0.25">
      <c r="C75" s="9"/>
      <c r="D75" s="91" t="s">
        <v>161</v>
      </c>
      <c r="E75" s="1"/>
      <c r="F75" s="1"/>
      <c r="G75" s="1"/>
      <c r="H75" s="1"/>
      <c r="I75" s="1"/>
      <c r="J75" s="1"/>
      <c r="K75" s="9"/>
    </row>
    <row r="76" spans="3:11" ht="15.75" x14ac:dyDescent="0.25">
      <c r="C76" s="9"/>
      <c r="D76" s="21" t="s">
        <v>139</v>
      </c>
      <c r="E76" s="21" t="s">
        <v>128</v>
      </c>
      <c r="F76" s="21" t="s">
        <v>122</v>
      </c>
      <c r="G76" s="21" t="s">
        <v>163</v>
      </c>
      <c r="H76" s="21" t="s">
        <v>126</v>
      </c>
      <c r="I76" s="21" t="s">
        <v>127</v>
      </c>
      <c r="J76" s="21" t="s">
        <v>123</v>
      </c>
      <c r="K76" s="9"/>
    </row>
    <row r="77" spans="3:11" ht="15.75" x14ac:dyDescent="0.25">
      <c r="C77" s="9"/>
      <c r="D77" s="1" t="s">
        <v>195</v>
      </c>
      <c r="E77" s="1" t="s">
        <v>129</v>
      </c>
      <c r="F77" s="94" t="e">
        <f>F67</f>
        <v>#NAME?</v>
      </c>
      <c r="G77" s="19">
        <f>'Input - Enterprise'!E29</f>
        <v>0.8</v>
      </c>
      <c r="H77" s="19" t="e">
        <f ca="1">(Result_EmissionsForWholeProductionCycle_Method1/F77)*G77</f>
        <v>#NAME?</v>
      </c>
      <c r="I77" s="19" t="e">
        <f ca="1">(Result_EmissionsForWholeProductionCycle_Method2/F77)*G77</f>
        <v>#NAME?</v>
      </c>
      <c r="J77" s="16" t="s">
        <v>197</v>
      </c>
      <c r="K77" s="9"/>
    </row>
    <row r="78" spans="3:11" ht="15.75" x14ac:dyDescent="0.25">
      <c r="C78" s="9"/>
      <c r="D78" s="1" t="s">
        <v>196</v>
      </c>
      <c r="E78" s="1" t="s">
        <v>129</v>
      </c>
      <c r="F78" s="94" t="e">
        <f t="shared" ref="F78" si="2">F68</f>
        <v>#NAME?</v>
      </c>
      <c r="G78" s="19">
        <f>G77</f>
        <v>0.8</v>
      </c>
      <c r="H78" s="19" t="e">
        <f ca="1">(Result_NetEmissions_Method1/F78)*G78</f>
        <v>#NAME?</v>
      </c>
      <c r="I78" s="19" t="e">
        <f ca="1">(Result_NetEmissions_Method2/F78)*G78</f>
        <v>#NAME?</v>
      </c>
      <c r="J78" s="16" t="s">
        <v>197</v>
      </c>
      <c r="K78" s="9"/>
    </row>
    <row r="79" spans="3:11" ht="15.75" x14ac:dyDescent="0.25">
      <c r="C79" s="9"/>
      <c r="D79" s="1" t="s">
        <v>164</v>
      </c>
      <c r="E79" s="1" t="s">
        <v>129</v>
      </c>
      <c r="F79" s="19">
        <f>F69</f>
        <v>5</v>
      </c>
      <c r="G79" s="19">
        <f>'Input - Enterprise'!E27</f>
        <v>0.15</v>
      </c>
      <c r="H79" s="19" t="e">
        <f ca="1">(Result_EmissionsForWholeProductionCycle_Method1/F79)*G79</f>
        <v>#NAME?</v>
      </c>
      <c r="I79" s="19" t="e">
        <f ca="1">(Result_EmissionsForWholeProductionCycle_Method2/F79)*G79</f>
        <v>#NAME?</v>
      </c>
      <c r="J79" s="16" t="s">
        <v>124</v>
      </c>
      <c r="K79" s="9"/>
    </row>
    <row r="80" spans="3:11" ht="15.75" x14ac:dyDescent="0.25">
      <c r="C80" s="9"/>
      <c r="D80" s="1" t="s">
        <v>165</v>
      </c>
      <c r="E80" s="1" t="s">
        <v>129</v>
      </c>
      <c r="F80" s="19">
        <f>F69</f>
        <v>5</v>
      </c>
      <c r="G80" s="19">
        <f>G79</f>
        <v>0.15</v>
      </c>
      <c r="H80" s="19" t="e">
        <f ca="1">(Result_NetEmissions_Method1/F80)*G80</f>
        <v>#NAME?</v>
      </c>
      <c r="I80" s="19" t="e">
        <f ca="1">(Result_NetEmissions_Method2/F80)*G80</f>
        <v>#NAME?</v>
      </c>
      <c r="J80" s="16" t="s">
        <v>124</v>
      </c>
      <c r="K80" s="9"/>
    </row>
    <row r="81" spans="3:11" ht="15.75" x14ac:dyDescent="0.25">
      <c r="C81" s="9"/>
      <c r="D81" s="1" t="s">
        <v>166</v>
      </c>
      <c r="E81" s="1" t="s">
        <v>130</v>
      </c>
      <c r="F81" s="19">
        <f>F71</f>
        <v>1</v>
      </c>
      <c r="G81" s="19">
        <f>'Input - Enterprise'!E28</f>
        <v>0.05</v>
      </c>
      <c r="H81" s="19" t="e">
        <f ca="1">(Result_EmissionsForWholeProductionCycle_Method1/F81)*G81</f>
        <v>#NAME?</v>
      </c>
      <c r="I81" s="19" t="e">
        <f ca="1">(Result_EmissionsForWholeProductionCycle_Method2/F81)*G81</f>
        <v>#NAME?</v>
      </c>
      <c r="J81" s="16" t="s">
        <v>125</v>
      </c>
      <c r="K81" s="9"/>
    </row>
    <row r="82" spans="3:11" ht="15.75" x14ac:dyDescent="0.25">
      <c r="C82" s="9"/>
      <c r="D82" s="1" t="s">
        <v>167</v>
      </c>
      <c r="E82" s="1" t="s">
        <v>130</v>
      </c>
      <c r="F82" s="19">
        <f>F72</f>
        <v>1</v>
      </c>
      <c r="G82" s="19">
        <f>G81</f>
        <v>0.05</v>
      </c>
      <c r="H82" s="19" t="e">
        <f ca="1">(Result_NetEmissions_Method1/F82)*G82</f>
        <v>#NAME?</v>
      </c>
      <c r="I82" s="19" t="e">
        <f ca="1">(Result_NetEmissions_Method2/F82)*G82</f>
        <v>#NAME?</v>
      </c>
      <c r="J82" s="16" t="s">
        <v>125</v>
      </c>
      <c r="K82" s="9"/>
    </row>
    <row r="83" spans="3:11" ht="15.75" x14ac:dyDescent="0.25">
      <c r="C83" s="9"/>
      <c r="D83" s="1"/>
      <c r="E83" s="1"/>
      <c r="F83" s="19"/>
      <c r="G83" s="19"/>
      <c r="H83" s="19"/>
      <c r="I83" s="19"/>
      <c r="J83" s="9"/>
      <c r="K83" s="9"/>
    </row>
    <row r="84" spans="3:11" ht="15.75" x14ac:dyDescent="0.25">
      <c r="C84" s="9"/>
      <c r="D84" s="1"/>
      <c r="E84" s="1"/>
      <c r="F84" s="1"/>
      <c r="G84" s="1"/>
      <c r="H84" s="1"/>
      <c r="I84" s="1"/>
      <c r="J84" s="1"/>
      <c r="K84"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7" t="e" vm="1">
        <v>#VALUE!</v>
      </c>
      <c r="C1" s="38" t="s">
        <v>88</v>
      </c>
    </row>
    <row r="2" spans="1:24" s="32" customFormat="1" ht="20.100000000000001" customHeight="1" x14ac:dyDescent="0.25">
      <c r="A2" s="3"/>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D5" s="2" t="s">
        <v>97</v>
      </c>
      <c r="N5" s="41"/>
    </row>
    <row r="6" spans="1:24" ht="20.100000000000001" customHeight="1" x14ac:dyDescent="0.25">
      <c r="A6" s="8" t="s">
        <v>1</v>
      </c>
      <c r="N6" s="43"/>
    </row>
    <row r="7" spans="1:24" ht="20.100000000000001" customHeight="1" x14ac:dyDescent="0.25">
      <c r="A7" s="5" t="str">
        <f>HYPERLINK("#'Input - Site'!A1", "Site")</f>
        <v>Site</v>
      </c>
      <c r="D7" s="53" t="s">
        <v>98</v>
      </c>
      <c r="E7" s="54"/>
      <c r="F7" s="54"/>
      <c r="G7" s="55"/>
    </row>
    <row r="8" spans="1:24" ht="20.100000000000001" customHeight="1" x14ac:dyDescent="0.25">
      <c r="A8" s="5" t="str">
        <f>HYPERLINK("#'Input - Pasture Beef'!A1", "Pasture Beef")</f>
        <v>Pasture Beef</v>
      </c>
      <c r="D8" s="56" t="s">
        <v>99</v>
      </c>
      <c r="E8" s="57"/>
      <c r="F8" s="57"/>
      <c r="G8" s="58"/>
    </row>
    <row r="9" spans="1:24" ht="20.100000000000001" customHeight="1" x14ac:dyDescent="0.25">
      <c r="A9" s="5"/>
      <c r="D9" s="1"/>
      <c r="E9" s="59"/>
      <c r="F9" s="27"/>
      <c r="N9" s="45"/>
    </row>
    <row r="10" spans="1:24" ht="20.100000000000001" customHeight="1" x14ac:dyDescent="0.25">
      <c r="A10" s="7" t="s">
        <v>3</v>
      </c>
      <c r="D10" s="1" t="s">
        <v>100</v>
      </c>
      <c r="E10" s="24" t="s">
        <v>101</v>
      </c>
      <c r="F10" s="27" t="s">
        <v>102</v>
      </c>
      <c r="N10" s="45"/>
    </row>
    <row r="11" spans="1:24" ht="20.100000000000001" customHeight="1" x14ac:dyDescent="0.25">
      <c r="A11" s="5" t="str">
        <f>HYPERLINK("#'4.2.1.1-2 Methane'!A1", "4.2.1.1-2 Methane")</f>
        <v>4.2.1.1-2 Methane</v>
      </c>
      <c r="D11" s="1" t="s">
        <v>103</v>
      </c>
      <c r="E11" s="24" t="s">
        <v>104</v>
      </c>
      <c r="F11" s="27" t="s">
        <v>102</v>
      </c>
      <c r="G11" s="1"/>
      <c r="N11" s="50"/>
    </row>
    <row r="12" spans="1:24" ht="20.100000000000001" customHeight="1" x14ac:dyDescent="0.25">
      <c r="A12" s="5" t="str">
        <f>HYPERLINK("#'4.2.1.3-4 Soil direct N2O'!A1", "4.2.1.3-4 Soil direct N2O")</f>
        <v>4.2.1.3-4 Soil direct N2O</v>
      </c>
      <c r="D12" s="1" t="s">
        <v>105</v>
      </c>
      <c r="E12" s="24" t="s">
        <v>106</v>
      </c>
      <c r="F12" s="27" t="s">
        <v>102</v>
      </c>
    </row>
    <row r="13" spans="1:24" ht="20.100000000000001" customHeight="1" x14ac:dyDescent="0.25">
      <c r="A13" s="5" t="str">
        <f>HYPERLINK("#'4.2.1.5-6 Soil Atmos Dep'!A1", "4.2.1.5-6 Soil atm. deposition")</f>
        <v>4.2.1.5-6 Soil atm. deposition</v>
      </c>
      <c r="D13" s="1" t="s">
        <v>38</v>
      </c>
      <c r="E13" s="44">
        <v>307.7</v>
      </c>
      <c r="F13" s="27" t="s">
        <v>107</v>
      </c>
      <c r="N13" s="52"/>
      <c r="O13" s="52"/>
    </row>
    <row r="14" spans="1:24" ht="20.100000000000001" customHeight="1" x14ac:dyDescent="0.25">
      <c r="A14" s="5" t="str">
        <f>HYPERLINK("#'4.2.1.7-8 Soil leach runoff'!A1", "4.2.1.7-8 Soil leach &amp; runoff")</f>
        <v>4.2.1.7-8 Soil leach &amp; runoff</v>
      </c>
      <c r="D14" s="1" t="s">
        <v>108</v>
      </c>
      <c r="E14" s="44">
        <v>18</v>
      </c>
      <c r="F14" s="27" t="s">
        <v>109</v>
      </c>
      <c r="N14" s="52"/>
      <c r="O14" s="52"/>
    </row>
    <row r="15" spans="1:24" ht="20.100000000000001" customHeight="1" x14ac:dyDescent="0.25">
      <c r="A15" s="5"/>
      <c r="D15" s="1" t="s">
        <v>110</v>
      </c>
      <c r="E15" s="44">
        <v>601</v>
      </c>
      <c r="F15" s="27" t="s">
        <v>111</v>
      </c>
      <c r="N15" s="52"/>
      <c r="O15" s="52"/>
    </row>
    <row r="16" spans="1:24" ht="20.100000000000001" customHeight="1" x14ac:dyDescent="0.25">
      <c r="A16" s="6" t="s">
        <v>2</v>
      </c>
      <c r="D16" s="23" t="s">
        <v>112</v>
      </c>
      <c r="E16" s="44">
        <v>1326</v>
      </c>
      <c r="F16" s="27" t="s">
        <v>111</v>
      </c>
      <c r="N16" s="52"/>
      <c r="O16" s="52"/>
    </row>
    <row r="17" spans="1:25" ht="20.100000000000001" customHeight="1" x14ac:dyDescent="0.25">
      <c r="A17" s="5" t="str">
        <f>HYPERLINK("#'Constants - Pasture Beef'!A1", "Constants - Pasture Beef")</f>
        <v>Constants - Pasture Beef</v>
      </c>
      <c r="D17" s="1" t="s">
        <v>113</v>
      </c>
      <c r="E17" s="44">
        <v>7</v>
      </c>
      <c r="F17" s="27" t="s">
        <v>114</v>
      </c>
    </row>
    <row r="18" spans="1:25" ht="20.100000000000001" customHeight="1" x14ac:dyDescent="0.25">
      <c r="A18" s="5" t="str">
        <f>HYPERLINK("#'Constants - Livestock'!A1", "Constants - Livestock")</f>
        <v>Constants - Livestock</v>
      </c>
      <c r="D18" s="23" t="s">
        <v>115</v>
      </c>
      <c r="E18" s="26">
        <f>E15/E16</f>
        <v>0.45324283559577677</v>
      </c>
      <c r="F18" s="27"/>
    </row>
    <row r="19" spans="1:25" ht="20.100000000000001" customHeight="1" x14ac:dyDescent="0.25">
      <c r="A19" s="5" t="str">
        <f>HYPERLINK("#'Constants - Common'!A1", "Constants - Common")</f>
        <v>Constants - Common</v>
      </c>
      <c r="D19" s="23" t="s">
        <v>66</v>
      </c>
      <c r="E19" s="26" t="e">
        <f ca="1">Common_InputFunctions.Utility_LookupItemFromMinMax(E15,Table_SourceData_RainfallZones[Min rainfall],Table_SourceData_RainfallZones[Max rainfall],Table_SourceData_RainfallZones[Rainfall Zone])</f>
        <v>#VALUE!</v>
      </c>
      <c r="G19" s="60"/>
      <c r="N19" s="41"/>
    </row>
    <row r="20" spans="1:25" ht="20.100000000000001" customHeight="1" x14ac:dyDescent="0.25">
      <c r="A20" s="5" t="str">
        <f>HYPERLINK("#'Acknowledgements'!A1", "Acknowledgements")</f>
        <v>Acknowledgements</v>
      </c>
      <c r="D20" s="1" t="s">
        <v>33</v>
      </c>
      <c r="E20" s="26" t="e">
        <f ca="1">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#VALUE!</v>
      </c>
      <c r="F20" s="1"/>
      <c r="G20" s="59"/>
      <c r="N20" s="43"/>
    </row>
    <row r="21" spans="1:25" ht="20.100000000000001" customHeight="1" x14ac:dyDescent="0.25">
      <c r="A21"/>
      <c r="D21" s="1" t="s">
        <v>116</v>
      </c>
      <c r="E21" s="26" t="e">
        <f ca="1">Common_InputFunctions.Utility_LookupValueInTable($E$20,Table_SourceData_WetDryZones[Climate zone],Table_SourceData_WetDryZones[Wet or Dry Zone])</f>
        <v>#VALUE!</v>
      </c>
      <c r="F21" s="1"/>
      <c r="G21" s="59"/>
    </row>
    <row r="22" spans="1:25" ht="20.100000000000001" customHeight="1" x14ac:dyDescent="0.25">
      <c r="A22" s="5"/>
      <c r="D22" s="1" t="s">
        <v>70</v>
      </c>
      <c r="E22" s="26" t="e">
        <f ca="1">Common_InputFunctions.Utility_LookupItemFromMinMax(E14,Table_SourceData_TemperatureZones[Min MAT],Table_SourceData_TemperatureZones[Max MAT],Table_SourceData_TemperatureZones[Temperature Zone])</f>
        <v>#VALUE!</v>
      </c>
      <c r="G22" s="63"/>
    </row>
    <row r="23" spans="1:25" ht="20.100000000000001" customHeight="1" x14ac:dyDescent="0.25">
      <c r="A23" s="5"/>
    </row>
    <row r="24" spans="1:25" ht="20.100000000000001" customHeight="1" x14ac:dyDescent="0.25">
      <c r="A24" s="5"/>
    </row>
    <row r="25" spans="1:25" ht="20.100000000000001" customHeight="1" x14ac:dyDescent="0.25">
      <c r="A25"/>
      <c r="N25" s="43"/>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1"/>
      <c r="M30" s="61"/>
      <c r="N30" s="61"/>
      <c r="O30" s="61"/>
      <c r="P30" s="61"/>
      <c r="Q30" s="61"/>
      <c r="R30" s="61"/>
      <c r="S30" s="61"/>
      <c r="T30" s="61"/>
      <c r="U30" s="61"/>
      <c r="V30" s="61"/>
      <c r="W30" s="61"/>
      <c r="X30" s="61"/>
      <c r="Y30" s="61"/>
    </row>
    <row r="31" spans="1:25" ht="20.100000000000001" customHeight="1" x14ac:dyDescent="0.25">
      <c r="A31"/>
      <c r="L31" s="62"/>
      <c r="M31" s="62"/>
      <c r="N31" s="62"/>
      <c r="O31" s="62"/>
      <c r="P31" s="62"/>
      <c r="Q31" s="62"/>
      <c r="R31" s="62"/>
      <c r="S31" s="62"/>
      <c r="T31" s="62"/>
      <c r="U31" s="62"/>
      <c r="V31" s="62"/>
      <c r="W31" s="62"/>
      <c r="X31" s="62"/>
      <c r="Y31" s="62"/>
    </row>
    <row r="32" spans="1:25" ht="20.100000000000001" customHeight="1" x14ac:dyDescent="0.25">
      <c r="A32"/>
      <c r="L32" s="62"/>
      <c r="M32" s="62"/>
      <c r="N32" s="62"/>
      <c r="O32" s="62"/>
      <c r="P32" s="62"/>
      <c r="Q32" s="62"/>
      <c r="R32" s="62"/>
      <c r="S32" s="62"/>
      <c r="T32" s="62"/>
      <c r="U32" s="62"/>
      <c r="V32" s="62"/>
      <c r="W32" s="62"/>
      <c r="X32" s="62"/>
      <c r="Y32" s="62"/>
    </row>
    <row r="33" spans="1:25" ht="20.100000000000001" customHeight="1" x14ac:dyDescent="0.25">
      <c r="A33"/>
      <c r="L33" s="62"/>
      <c r="M33" s="62"/>
      <c r="N33" s="62"/>
      <c r="O33" s="62"/>
      <c r="P33" s="62"/>
      <c r="Q33" s="62"/>
      <c r="R33" s="62"/>
      <c r="S33" s="62"/>
      <c r="T33" s="62"/>
      <c r="U33" s="62"/>
      <c r="V33" s="62"/>
      <c r="W33" s="62"/>
      <c r="X33" s="62"/>
      <c r="Y33" s="62"/>
    </row>
    <row r="34" spans="1:25" ht="20.100000000000001" customHeight="1" x14ac:dyDescent="0.25">
      <c r="A34"/>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3"/>
      <c r="E47" s="73"/>
      <c r="F47" s="73"/>
      <c r="G47" s="73"/>
      <c r="H47" s="73"/>
    </row>
    <row r="48" spans="1:25" ht="20.100000000000001" customHeight="1" x14ac:dyDescent="0.25">
      <c r="D48" s="74"/>
      <c r="E48" s="74"/>
      <c r="F48" s="75"/>
      <c r="G48" s="75"/>
      <c r="H48" s="74"/>
    </row>
    <row r="49" spans="4:8" ht="20.100000000000001" customHeight="1" x14ac:dyDescent="0.25">
      <c r="D49" s="74"/>
      <c r="E49" s="74"/>
      <c r="F49" s="75"/>
      <c r="G49" s="75"/>
      <c r="H49" s="74"/>
    </row>
    <row r="50" spans="4:8" ht="20.100000000000001" customHeight="1" x14ac:dyDescent="0.25">
      <c r="D50" s="74"/>
      <c r="E50" s="74"/>
      <c r="F50" s="75"/>
      <c r="G50" s="75"/>
      <c r="H50" s="74"/>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2"/>
    </row>
    <row r="56" spans="4:8" ht="20.100000000000001" customHeight="1" x14ac:dyDescent="0.25"/>
    <row r="57" spans="4:8" ht="20.100000000000001" customHeight="1" x14ac:dyDescent="0.25">
      <c r="D57" s="80"/>
      <c r="F57" s="81"/>
    </row>
    <row r="58" spans="4:8" ht="20.100000000000001" customHeight="1" x14ac:dyDescent="0.25">
      <c r="D58" s="1"/>
      <c r="E58" s="82"/>
    </row>
    <row r="59" spans="4:8" ht="20.100000000000001" customHeight="1" x14ac:dyDescent="0.25">
      <c r="D59" s="1"/>
      <c r="E59" s="82"/>
    </row>
    <row r="60" spans="4:8" ht="20.100000000000001" customHeight="1" x14ac:dyDescent="0.25">
      <c r="D60" s="1"/>
      <c r="E60" s="83"/>
    </row>
    <row r="61" spans="4:8" ht="20.100000000000001" customHeight="1" x14ac:dyDescent="0.25">
      <c r="D61" s="1"/>
    </row>
    <row r="62" spans="4:8" ht="20.100000000000001" customHeight="1" x14ac:dyDescent="0.25"/>
    <row r="63" spans="4:8" ht="20.100000000000001" customHeight="1" x14ac:dyDescent="0.25">
      <c r="D63" s="80"/>
    </row>
    <row r="64" spans="4:8" ht="20.100000000000001" customHeight="1" x14ac:dyDescent="0.25">
      <c r="D64" s="1"/>
      <c r="E64" s="82"/>
    </row>
    <row r="65" spans="4:9" ht="20.100000000000001" customHeight="1" x14ac:dyDescent="0.25">
      <c r="D65" s="1"/>
      <c r="E65" s="82"/>
    </row>
    <row r="66" spans="4:9" ht="20.100000000000001" customHeight="1" x14ac:dyDescent="0.25">
      <c r="D66" s="1"/>
      <c r="E66" s="83"/>
    </row>
    <row r="67" spans="4:9" ht="20.100000000000001" customHeight="1" x14ac:dyDescent="0.25"/>
    <row r="68" spans="4:9" ht="20.100000000000001" customHeight="1" x14ac:dyDescent="0.25"/>
    <row r="69" spans="4:9" ht="20.100000000000001" customHeight="1" x14ac:dyDescent="0.25">
      <c r="D69" s="84"/>
      <c r="E69" s="84"/>
      <c r="F69" s="84"/>
      <c r="G69" s="84"/>
      <c r="H69" s="84"/>
      <c r="I69" s="84"/>
    </row>
    <row r="70" spans="4:9" ht="20.100000000000001" customHeight="1" x14ac:dyDescent="0.25">
      <c r="D70" s="84"/>
      <c r="E70" s="84"/>
      <c r="F70" s="84"/>
      <c r="G70" s="84"/>
      <c r="H70" s="84"/>
      <c r="I70" s="84"/>
    </row>
    <row r="71" spans="4:9" ht="20.100000000000001" customHeight="1" x14ac:dyDescent="0.25">
      <c r="D71" s="84"/>
      <c r="E71" s="84"/>
      <c r="F71" s="84"/>
      <c r="G71" s="84"/>
      <c r="H71" s="84"/>
      <c r="I71" s="84"/>
    </row>
    <row r="72" spans="4:9" ht="20.100000000000001" customHeight="1" x14ac:dyDescent="0.25">
      <c r="D72" s="84"/>
      <c r="E72" s="84"/>
      <c r="F72" s="84"/>
      <c r="G72" s="84"/>
      <c r="H72" s="84"/>
      <c r="I72" s="8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29"/>
  <sheetViews>
    <sheetView showGridLines="0" topLeftCell="A3" zoomScaleNormal="100" workbookViewId="0">
      <selection activeCell="G27" sqref="G27"/>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8" t="s">
        <v>156</v>
      </c>
      <c r="D1" s="32"/>
      <c r="E1" s="32"/>
      <c r="F1" s="32"/>
      <c r="G1" s="32"/>
      <c r="H1" s="32"/>
      <c r="I1" s="32"/>
      <c r="J1" s="32"/>
    </row>
    <row r="2" spans="3:10" x14ac:dyDescent="0.25">
      <c r="C2" s="3"/>
      <c r="D2" s="3"/>
      <c r="E2" s="3"/>
      <c r="F2" s="3"/>
      <c r="G2" s="3"/>
      <c r="H2" s="3"/>
      <c r="I2" s="3"/>
      <c r="J2" s="3"/>
    </row>
    <row r="3" spans="3:10" ht="20.25" x14ac:dyDescent="0.25">
      <c r="C3" s="39"/>
      <c r="D3" s="39"/>
      <c r="E3" s="39"/>
      <c r="F3" s="39"/>
      <c r="G3" s="39"/>
      <c r="H3" s="39"/>
      <c r="I3" s="39"/>
      <c r="J3" s="39"/>
    </row>
    <row r="5" spans="3:10" ht="23.25" x14ac:dyDescent="0.25">
      <c r="D5" s="2" t="s">
        <v>89</v>
      </c>
      <c r="E5" s="35"/>
      <c r="F5" s="35"/>
      <c r="G5" s="35"/>
    </row>
    <row r="6" spans="3:10" x14ac:dyDescent="0.25">
      <c r="D6" s="42"/>
      <c r="E6" s="35"/>
      <c r="F6" s="35"/>
      <c r="G6" s="35"/>
    </row>
    <row r="7" spans="3:10" x14ac:dyDescent="0.25">
      <c r="D7" s="1" t="s">
        <v>90</v>
      </c>
      <c r="E7" s="44" t="s">
        <v>91</v>
      </c>
      <c r="F7" s="27"/>
      <c r="G7" s="35"/>
    </row>
    <row r="8" spans="3:10" x14ac:dyDescent="0.25">
      <c r="D8" s="23" t="s">
        <v>92</v>
      </c>
      <c r="E8" s="44" t="s">
        <v>93</v>
      </c>
      <c r="F8" s="35"/>
      <c r="G8" s="35"/>
    </row>
    <row r="9" spans="3:10" x14ac:dyDescent="0.25">
      <c r="D9" s="35"/>
      <c r="E9" s="35"/>
      <c r="F9" s="35"/>
      <c r="G9" s="35"/>
    </row>
    <row r="10" spans="3:10" x14ac:dyDescent="0.25">
      <c r="D10" s="46" t="s">
        <v>94</v>
      </c>
      <c r="E10" s="47"/>
      <c r="F10" s="48"/>
      <c r="G10" s="49"/>
    </row>
    <row r="11" spans="3:10" x14ac:dyDescent="0.25">
      <c r="D11" s="35"/>
      <c r="E11" s="35"/>
      <c r="F11" s="35"/>
      <c r="G11" s="35"/>
    </row>
    <row r="12" spans="3:10" x14ac:dyDescent="0.25">
      <c r="D12" s="23" t="s">
        <v>17</v>
      </c>
      <c r="E12" s="25">
        <v>45292</v>
      </c>
      <c r="F12" s="27" t="s">
        <v>95</v>
      </c>
      <c r="G12" s="35"/>
    </row>
    <row r="13" spans="3:10" x14ac:dyDescent="0.25">
      <c r="D13" s="23" t="s">
        <v>18</v>
      </c>
      <c r="E13" s="51">
        <f>DATE(YEAR(E12)+1,MONTH(E12),DAY(E12))-1</f>
        <v>45657</v>
      </c>
      <c r="F13" s="27" t="s">
        <v>96</v>
      </c>
      <c r="G13" s="35"/>
    </row>
    <row r="14" spans="3:10" x14ac:dyDescent="0.25">
      <c r="F14" s="35"/>
      <c r="G14" s="35"/>
    </row>
    <row r="16" spans="3:10" ht="23.25" x14ac:dyDescent="0.25">
      <c r="D16" s="2" t="s">
        <v>19</v>
      </c>
    </row>
    <row r="18" spans="4:7" x14ac:dyDescent="0.25">
      <c r="D18" s="1" t="s">
        <v>14</v>
      </c>
      <c r="E18" s="25">
        <v>45231</v>
      </c>
      <c r="F18" s="27" t="s">
        <v>95</v>
      </c>
    </row>
    <row r="19" spans="4:7" x14ac:dyDescent="0.25">
      <c r="D19" s="1" t="s">
        <v>15</v>
      </c>
      <c r="E19" s="25">
        <v>45747</v>
      </c>
      <c r="F19" s="27" t="s">
        <v>95</v>
      </c>
    </row>
    <row r="20" spans="4:7" x14ac:dyDescent="0.25">
      <c r="D20" s="1" t="s">
        <v>16</v>
      </c>
      <c r="E20" s="26">
        <f>DATEDIF(E18,E19+1,"m")</f>
        <v>17</v>
      </c>
      <c r="F20" s="27" t="s">
        <v>120</v>
      </c>
    </row>
    <row r="22" spans="4:7" x14ac:dyDescent="0.25">
      <c r="D22" s="1" t="s">
        <v>20</v>
      </c>
      <c r="E22" s="90">
        <f>SUM(Table_Input_LivestockSales[Total liveweight sold])*10^-3</f>
        <v>5</v>
      </c>
      <c r="G22" s="27" t="s">
        <v>21</v>
      </c>
    </row>
    <row r="23" spans="4:7" x14ac:dyDescent="0.25">
      <c r="D23" s="1" t="s">
        <v>192</v>
      </c>
      <c r="E23" s="90" t="e" cm="1">
        <f t="array" ref="E23">X_Cell_Dairy_MilkProductionUnit</f>
        <v>#NAME?</v>
      </c>
      <c r="G23" s="27"/>
    </row>
    <row r="24" spans="4:7" x14ac:dyDescent="0.25">
      <c r="D24" s="1" t="s">
        <v>191</v>
      </c>
      <c r="E24" s="90" t="e" cm="1">
        <f t="array" ref="E24">X_Cell_Dairy_MilkProductionAmount*365*IF(E23="Milk solds", 1, 1.03)</f>
        <v>#NAME?</v>
      </c>
      <c r="G24" s="27" t="s">
        <v>21</v>
      </c>
    </row>
    <row r="25" spans="4:7" x14ac:dyDescent="0.25">
      <c r="D25" s="1" t="s">
        <v>194</v>
      </c>
      <c r="E25" s="86">
        <v>1</v>
      </c>
      <c r="G25" s="27" t="s">
        <v>21</v>
      </c>
    </row>
    <row r="27" spans="4:7" x14ac:dyDescent="0.25">
      <c r="D27" s="1" t="s">
        <v>158</v>
      </c>
      <c r="E27" s="29">
        <v>0.15</v>
      </c>
      <c r="G27" s="27" t="s">
        <v>157</v>
      </c>
    </row>
    <row r="28" spans="4:7" x14ac:dyDescent="0.25">
      <c r="D28" s="1" t="s">
        <v>159</v>
      </c>
      <c r="E28" s="29">
        <v>0.05</v>
      </c>
      <c r="G28" s="27" t="s">
        <v>157</v>
      </c>
    </row>
    <row r="29" spans="4:7" x14ac:dyDescent="0.25">
      <c r="D29" s="1" t="s">
        <v>193</v>
      </c>
      <c r="E29" s="29">
        <v>0.8</v>
      </c>
      <c r="G29" s="27" t="s">
        <v>157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16"/>
  <sheetViews>
    <sheetView showGridLines="0" zoomScaleNormal="100" workbookViewId="0">
      <selection activeCell="E20" sqref="E20"/>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183</v>
      </c>
    </row>
    <row r="2" spans="1:13" s="3" customFormat="1" x14ac:dyDescent="0.25"/>
    <row r="3" spans="1:13" ht="20.25" x14ac:dyDescent="0.25">
      <c r="C3" s="39"/>
      <c r="D3" s="39"/>
      <c r="E3" s="39"/>
      <c r="F3" s="39"/>
      <c r="G3" s="39"/>
      <c r="H3" s="39"/>
      <c r="I3" s="39"/>
      <c r="J3" s="39"/>
      <c r="K3" s="39"/>
      <c r="L3" s="39"/>
      <c r="M3" s="39"/>
    </row>
    <row r="5" spans="1:13" x14ac:dyDescent="0.25">
      <c r="D5" s="92" t="s">
        <v>184</v>
      </c>
    </row>
    <row r="6" spans="1:13" x14ac:dyDescent="0.25">
      <c r="D6" s="30" t="s">
        <v>185</v>
      </c>
      <c r="E6" s="30" t="s">
        <v>186</v>
      </c>
      <c r="F6" s="30" t="s">
        <v>187</v>
      </c>
      <c r="G6" s="30" t="s">
        <v>188</v>
      </c>
      <c r="H6" s="30" t="s">
        <v>189</v>
      </c>
      <c r="I6" s="30" t="s">
        <v>190</v>
      </c>
    </row>
    <row r="7" spans="1:13" x14ac:dyDescent="0.25">
      <c r="D7" s="44"/>
      <c r="E7" s="24"/>
      <c r="F7" s="93">
        <v>45566</v>
      </c>
      <c r="G7" s="30">
        <v>10</v>
      </c>
      <c r="H7" s="30">
        <v>500</v>
      </c>
      <c r="I7" s="26">
        <f t="shared" ref="I7:I16" si="0">G7*H7</f>
        <v>5000</v>
      </c>
    </row>
    <row r="8" spans="1:13" x14ac:dyDescent="0.25">
      <c r="D8" s="44"/>
      <c r="E8" s="24"/>
      <c r="F8" s="93"/>
      <c r="G8" s="30"/>
      <c r="H8" s="30"/>
      <c r="I8" s="26">
        <f t="shared" si="0"/>
        <v>0</v>
      </c>
    </row>
    <row r="9" spans="1:13" x14ac:dyDescent="0.25">
      <c r="D9" s="44"/>
      <c r="E9" s="24"/>
      <c r="F9" s="93"/>
      <c r="G9" s="30"/>
      <c r="H9" s="30"/>
      <c r="I9" s="26">
        <f t="shared" si="0"/>
        <v>0</v>
      </c>
    </row>
    <row r="10" spans="1:13" x14ac:dyDescent="0.25">
      <c r="D10" s="44"/>
      <c r="E10" s="24"/>
      <c r="F10" s="93"/>
      <c r="G10" s="30"/>
      <c r="H10" s="30"/>
      <c r="I10" s="26">
        <f t="shared" si="0"/>
        <v>0</v>
      </c>
    </row>
    <row r="11" spans="1:13" x14ac:dyDescent="0.25">
      <c r="D11" s="44"/>
      <c r="E11" s="24"/>
      <c r="F11" s="93"/>
      <c r="G11" s="30"/>
      <c r="H11" s="30"/>
      <c r="I11" s="26">
        <f t="shared" si="0"/>
        <v>0</v>
      </c>
    </row>
    <row r="12" spans="1:13" x14ac:dyDescent="0.25">
      <c r="D12" s="44"/>
      <c r="E12" s="24"/>
      <c r="F12" s="93"/>
      <c r="G12" s="30"/>
      <c r="H12" s="30"/>
      <c r="I12" s="26">
        <f t="shared" si="0"/>
        <v>0</v>
      </c>
    </row>
    <row r="13" spans="1:13" x14ac:dyDescent="0.25">
      <c r="D13" s="44"/>
      <c r="E13" s="24"/>
      <c r="F13" s="93"/>
      <c r="G13" s="30"/>
      <c r="H13" s="30"/>
      <c r="I13" s="26">
        <f t="shared" si="0"/>
        <v>0</v>
      </c>
    </row>
    <row r="14" spans="1:13" x14ac:dyDescent="0.25">
      <c r="D14" s="44"/>
      <c r="E14" s="24"/>
      <c r="F14" s="93"/>
      <c r="G14" s="30"/>
      <c r="H14" s="30"/>
      <c r="I14" s="26">
        <f t="shared" si="0"/>
        <v>0</v>
      </c>
    </row>
    <row r="15" spans="1:13" x14ac:dyDescent="0.25">
      <c r="D15" s="44"/>
      <c r="E15" s="24"/>
      <c r="F15" s="93"/>
      <c r="G15" s="30"/>
      <c r="H15" s="30"/>
      <c r="I15" s="26">
        <f t="shared" si="0"/>
        <v>0</v>
      </c>
    </row>
    <row r="16" spans="1:13" x14ac:dyDescent="0.25">
      <c r="D16" s="44"/>
      <c r="E16" s="24"/>
      <c r="F16" s="93"/>
      <c r="G16" s="30"/>
      <c r="H16" s="30"/>
      <c r="I16" s="26">
        <f t="shared" si="0"/>
        <v>0</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zoomScaleNormal="100" workbookViewId="0">
      <selection activeCell="E11" sqref="E1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168</v>
      </c>
    </row>
    <row r="2" spans="1:11" s="3" customFormat="1" x14ac:dyDescent="0.25"/>
    <row r="3" spans="1:11" ht="20.25" x14ac:dyDescent="0.25">
      <c r="C3" s="39"/>
      <c r="D3" s="39"/>
      <c r="E3" s="39"/>
      <c r="F3" s="39"/>
      <c r="G3" s="39"/>
      <c r="H3" s="39"/>
      <c r="I3" s="39"/>
      <c r="J3" s="39"/>
      <c r="K3" s="39"/>
    </row>
    <row r="5" spans="1:11" x14ac:dyDescent="0.25">
      <c r="D5" s="80" t="s">
        <v>173</v>
      </c>
      <c r="E5" s="80"/>
      <c r="F5" s="80"/>
      <c r="G5" s="80"/>
    </row>
    <row r="6" spans="1:11" x14ac:dyDescent="0.25">
      <c r="F6" s="27"/>
    </row>
    <row r="7" spans="1:11" x14ac:dyDescent="0.25">
      <c r="D7" s="1" t="s">
        <v>169</v>
      </c>
      <c r="E7" s="26" t="s">
        <v>172</v>
      </c>
      <c r="F7" s="27"/>
    </row>
    <row r="8" spans="1:11" x14ac:dyDescent="0.25">
      <c r="D8" s="1" t="s">
        <v>170</v>
      </c>
      <c r="E8" s="26" t="s">
        <v>172</v>
      </c>
      <c r="F8" s="27"/>
    </row>
    <row r="9" spans="1:11" x14ac:dyDescent="0.25">
      <c r="D9" s="1" t="s">
        <v>65</v>
      </c>
      <c r="E9" s="26" t="e" cm="1">
        <f t="array" ref="E9">X_Cell_Pasture_IrrigationMethod</f>
        <v>#NAME?</v>
      </c>
    </row>
    <row r="10" spans="1:11" x14ac:dyDescent="0.25">
      <c r="D10" s="1" t="s">
        <v>171</v>
      </c>
      <c r="E10" s="26" t="e" cm="1">
        <f t="array" ref="E10">X_Cell_Pasture_AreaUnderPasture</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C1:M7"/>
  <sheetViews>
    <sheetView showGridLines="0" zoomScaleNormal="100" workbookViewId="0">
      <selection activeCell="I18" sqref="I18"/>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7" customFormat="1" ht="25.5" x14ac:dyDescent="0.35">
      <c r="C1" s="17" t="s">
        <v>198</v>
      </c>
    </row>
    <row r="2" spans="3:13" s="3" customFormat="1" x14ac:dyDescent="0.25"/>
    <row r="3" spans="3:13" ht="20.25" x14ac:dyDescent="0.25">
      <c r="C3" s="39"/>
      <c r="D3" s="39"/>
      <c r="E3" s="39"/>
      <c r="F3" s="39"/>
      <c r="G3" s="39"/>
      <c r="H3" s="39"/>
      <c r="I3" s="39"/>
      <c r="J3" s="39"/>
      <c r="K3" s="39"/>
      <c r="L3" s="39"/>
      <c r="M3" s="39"/>
    </row>
    <row r="6" spans="3:13" x14ac:dyDescent="0.25">
      <c r="D6" s="95" t="s">
        <v>199</v>
      </c>
      <c r="E6" s="95" t="s">
        <v>200</v>
      </c>
      <c r="F6" s="95" t="s">
        <v>201</v>
      </c>
      <c r="G6" s="95" t="s">
        <v>202</v>
      </c>
      <c r="H6" s="95" t="s">
        <v>203</v>
      </c>
      <c r="I6" s="95" t="s">
        <v>204</v>
      </c>
      <c r="J6" s="95" t="s">
        <v>205</v>
      </c>
    </row>
    <row r="7" spans="3:13" x14ac:dyDescent="0.25">
      <c r="D7" s="96" t="s">
        <v>206</v>
      </c>
      <c r="E7" s="24" t="s">
        <v>207</v>
      </c>
      <c r="F7" s="24" t="s">
        <v>208</v>
      </c>
      <c r="G7" s="24" t="s">
        <v>209</v>
      </c>
      <c r="H7" s="96"/>
      <c r="I7" s="96"/>
      <c r="J7" s="26">
        <f>_xlfn.XLOOKUP(Table_Input_DataQuality[[#This Row],[Temporal representativeness]],[3]!Table_SourceData_DataQuality_TemporalRepresentativeness[ID],[3]!Table_SourceData_DataQuality_TemporalRepresentativeness[Score])+_xlfn.XLOOKUP(Table_Input_DataQuality[[#This Row],[Spatial resolution]],[3]!Table_SourceData_DataQuality_SpatialRepresentativeness[ID],[3]!Table_SourceData_DataQuality_SpatialRepresentativeness[Score])+_xlfn.XLOOKUP(Table_Input_DataQuality[[#This Row],[Sample size]],[3]!Table_SourceData_DataQuality_SampleSize[ID],[3]!Table_SourceData_DataQuality_SampleSize[Score])</f>
        <v>12</v>
      </c>
    </row>
  </sheetData>
  <dataValidations count="3">
    <dataValidation type="list" allowBlank="1" showInputMessage="1" showErrorMessage="1" sqref="G7" xr:uid="{023991CC-ACAB-4CCA-BF6E-5B4983A34A68}">
      <formula1>INDIRECT("Table_SourceData_DataQuality_SampleSize[ID]")</formula1>
    </dataValidation>
    <dataValidation type="list" allowBlank="1" showInputMessage="1" showErrorMessage="1" sqref="F7" xr:uid="{D85C1557-4D18-4B87-9B82-D7755813B359}">
      <formula1>INDIRECT("Table_SourceData_DataQuality_SpatialRepresentativeness[ID]")</formula1>
    </dataValidation>
    <dataValidation type="list" allowBlank="1" showInputMessage="1" showErrorMessage="1" sqref="E7" xr:uid="{D7C04A1D-8792-4527-94D7-0D838FC14D35}">
      <formula1>INDIRECT("Table_SourceData_DataQuality_TemporalRepresentativeness[ID]")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BCD3A-3A3D-4316-924F-18DA0DDB7C4E}">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31" t="e" vm="1">
        <v>#VALUE!</v>
      </c>
      <c r="C1" s="31" t="s">
        <v>22</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s="98" t="s">
        <v>2</v>
      </c>
      <c r="D6" s="30" t="s">
        <v>23</v>
      </c>
      <c r="E6" s="30" t="s">
        <v>24</v>
      </c>
      <c r="F6" s="30" t="s">
        <v>25</v>
      </c>
    </row>
    <row r="7" spans="1:65" ht="20.100000000000001" customHeight="1" x14ac:dyDescent="0.25">
      <c r="A7" s="99" t="str">
        <f>HYPERLINK("#'Constants - Common'!A1", "Constants - Common")</f>
        <v>Constants - Common</v>
      </c>
      <c r="D7" s="30" t="str" cm="1">
        <f t="array" aca="1" ref="D7" ca="1">Common_InputFunctions.Utility_DisplayArrayInTable(Common_SourceData.Common_SourceData_AustralianStatesTerritories_Data(),Table_AustralianStates[[#Headers],[State/Territory]],0)</f>
        <v/>
      </c>
      <c r="E7" s="30" t="str" cm="1">
        <f t="array" aca="1" ref="E7" ca="1">Common_InputFunctions.Utility_DisplayArrayInTable(Common_SourceData.Common_SourceData_AustralianStatesTerritories_Data(),Table_AustralianStates[[#Headers],[State/Territory]],0)</f>
        <v/>
      </c>
      <c r="F7" s="30" t="str" cm="1">
        <f t="array" aca="1" ref="F7" ca="1">Common_InputFunctions.Utility_DisplayArrayInTable(Common_SourceData.Common_SourceData_AustralianStatesTerritories_Data(),Table_AustralianStates[[#Headers],[State/Territory]],0)</f>
        <v/>
      </c>
    </row>
    <row r="8" spans="1:65" ht="20.100000000000001" customHeight="1" x14ac:dyDescent="0.25">
      <c r="A8" s="5" t="str">
        <f>HYPERLINK("#'Acknowledgements'!A1", "Acknowledgements")</f>
        <v>Acknowledgements</v>
      </c>
      <c r="D8" s="30" t="str" cm="1">
        <f t="array" aca="1" ref="D8" ca="1">Common_InputFunctions.Utility_DisplayArrayInTable(Common_SourceData.Common_SourceData_AustralianStatesTerritories_Data(),Table_AustralianStates[[#Headers],[State/Territory]],0)</f>
        <v/>
      </c>
      <c r="E8" s="30" t="str" cm="1">
        <f t="array" aca="1" ref="E8" ca="1">Common_InputFunctions.Utility_DisplayArrayInTable(Common_SourceData.Common_SourceData_AustralianStatesTerritories_Data(),Table_AustralianStates[[#Headers],[State/Territory]],0)</f>
        <v/>
      </c>
      <c r="F8" s="30" t="str" cm="1">
        <f t="array" aca="1" ref="F8" ca="1">Common_InputFunctions.Utility_DisplayArrayInTable(Common_SourceData.Common_SourceData_AustralianStatesTerritories_Data(),Table_AustralianStates[[#Headers],[State/Territory]],0)</f>
        <v/>
      </c>
    </row>
    <row r="9" spans="1:65" ht="20.100000000000001" customHeight="1" x14ac:dyDescent="0.25">
      <c r="A9"/>
      <c r="D9" s="30" t="str" cm="1">
        <f t="array" aca="1" ref="D9" ca="1">Common_InputFunctions.Utility_DisplayArrayInTable(Common_SourceData.Common_SourceData_AustralianStatesTerritories_Data(),Table_AustralianStates[[#Headers],[State/Territory]],0)</f>
        <v/>
      </c>
      <c r="E9" s="30" t="str" cm="1">
        <f t="array" aca="1" ref="E9" ca="1">Common_InputFunctions.Utility_DisplayArrayInTable(Common_SourceData.Common_SourceData_AustralianStatesTerritories_Data(),Table_AustralianStates[[#Headers],[State/Territory]],0)</f>
        <v/>
      </c>
      <c r="F9" s="30" t="str" cm="1">
        <f t="array" aca="1" ref="F9" ca="1">Common_InputFunctions.Utility_DisplayArrayInTable(Common_SourceData.Common_SourceData_AustralianStatesTerritories_Data(),Table_AustralianStates[[#Headers],[State/Territory]],0)</f>
        <v/>
      </c>
    </row>
    <row r="10" spans="1:65" ht="20.100000000000001" customHeight="1" x14ac:dyDescent="0.25">
      <c r="A10"/>
      <c r="D10" s="30" t="str" cm="1">
        <f t="array" aca="1" ref="D10" ca="1">Common_InputFunctions.Utility_DisplayArrayInTable(Common_SourceData.Common_SourceData_AustralianStatesTerritories_Data(),Table_AustralianStates[[#Headers],[State/Territory]],0)</f>
        <v/>
      </c>
      <c r="E10" s="30" t="str" cm="1">
        <f t="array" aca="1" ref="E10" ca="1">Common_InputFunctions.Utility_DisplayArrayInTable(Common_SourceData.Common_SourceData_AustralianStatesTerritories_Data(),Table_AustralianStates[[#Headers],[State/Territory]],0)</f>
        <v/>
      </c>
      <c r="F10" s="30" t="str" cm="1">
        <f t="array" aca="1" ref="F10" ca="1">Common_InputFunctions.Utility_DisplayArrayInTable(Common_SourceData.Common_SourceData_AustralianStatesTerritories_Data(),Table_AustralianStates[[#Headers],[State/Territory]],0)</f>
        <v/>
      </c>
    </row>
    <row r="11" spans="1:65" ht="20.100000000000001" customHeight="1" x14ac:dyDescent="0.25">
      <c r="A11"/>
      <c r="D11" s="30" t="str" cm="1">
        <f t="array" aca="1" ref="D11" ca="1">Common_InputFunctions.Utility_DisplayArrayInTable(Common_SourceData.Common_SourceData_AustralianStatesTerritories_Data(),Table_AustralianStates[[#Headers],[State/Territory]],0)</f>
        <v/>
      </c>
      <c r="E11" s="30" t="str" cm="1">
        <f t="array" aca="1" ref="E11" ca="1">Common_InputFunctions.Utility_DisplayArrayInTable(Common_SourceData.Common_SourceData_AustralianStatesTerritories_Data(),Table_AustralianStates[[#Headers],[State/Territory]],0)</f>
        <v/>
      </c>
      <c r="F11" s="30" t="str" cm="1">
        <f t="array" aca="1" ref="F11" ca="1">Common_InputFunctions.Utility_DisplayArrayInTable(Common_SourceData.Common_SourceData_AustralianStatesTerritories_Data(),Table_AustralianStates[[#Headers],[State/Territory]],0)</f>
        <v/>
      </c>
      <c r="BM11" s="35"/>
    </row>
    <row r="12" spans="1:65" ht="20.100000000000001" customHeight="1" x14ac:dyDescent="0.25">
      <c r="A12"/>
      <c r="D12" s="30" t="str" cm="1">
        <f t="array" aca="1" ref="D12" ca="1">Common_InputFunctions.Utility_DisplayArrayInTable(Common_SourceData.Common_SourceData_AustralianStatesTerritories_Data(),Table_AustralianStates[[#Headers],[State/Territory]],0)</f>
        <v/>
      </c>
      <c r="E12" s="30" t="str" cm="1">
        <f t="array" aca="1" ref="E12" ca="1">Common_InputFunctions.Utility_DisplayArrayInTable(Common_SourceData.Common_SourceData_AustralianStatesTerritories_Data(),Table_AustralianStates[[#Headers],[State/Territory]],0)</f>
        <v/>
      </c>
      <c r="F12" s="30" t="str" cm="1">
        <f t="array" aca="1" ref="F12" ca="1">Common_InputFunctions.Utility_DisplayArrayInTable(Common_SourceData.Common_SourceData_AustralianStatesTerritories_Data(),Table_AustralianStates[[#Headers],[State/Territory]],0)</f>
        <v/>
      </c>
      <c r="BM12" s="35"/>
    </row>
    <row r="13" spans="1:65" ht="20.100000000000001" customHeight="1" x14ac:dyDescent="0.25">
      <c r="A13"/>
      <c r="D13" s="30" t="str" cm="1">
        <f t="array" aca="1" ref="D13" ca="1">Common_InputFunctions.Utility_DisplayArrayInTable(Common_SourceData.Common_SourceData_AustralianStatesTerritories_Data(),Table_AustralianStates[[#Headers],[State/Territory]],0)</f>
        <v/>
      </c>
      <c r="E13" s="30" t="str" cm="1">
        <f t="array" aca="1" ref="E13" ca="1">Common_InputFunctions.Utility_DisplayArrayInTable(Common_SourceData.Common_SourceData_AustralianStatesTerritories_Data(),Table_AustralianStates[[#Headers],[State/Territory]],0)</f>
        <v/>
      </c>
      <c r="F13" s="30" t="str" cm="1">
        <f t="array" aca="1" ref="F13" ca="1">Common_InputFunctions.Utility_DisplayArrayInTable(Common_SourceData.Common_SourceData_AustralianStatesTerritories_Data(),Table_AustralianStates[[#Headers],[State/Territory]],0)</f>
        <v/>
      </c>
    </row>
    <row r="14" spans="1:65" ht="20.100000000000001" customHeight="1" x14ac:dyDescent="0.25">
      <c r="A14"/>
      <c r="D14" s="30" t="str" cm="1">
        <f t="array" aca="1" ref="D14" ca="1">Common_InputFunctions.Utility_DisplayArrayInTable(Common_SourceData.Common_SourceData_AustralianStatesTerritories_Data(),Table_AustralianStates[[#Headers],[State/Territory]],0)</f>
        <v/>
      </c>
      <c r="E14" s="30" t="str" cm="1">
        <f t="array" aca="1" ref="E14" ca="1">Common_InputFunctions.Utility_DisplayArrayInTable(Common_SourceData.Common_SourceData_AustralianStatesTerritories_Data(),Table_AustralianStates[[#Headers],[State/Territory]],0)</f>
        <v/>
      </c>
      <c r="F14" s="30" t="str" cm="1">
        <f t="array" aca="1" ref="F14" ca="1">Common_InputFunctions.Utility_DisplayArrayInTable(Common_SourceData.Common_SourceData_AustralianStatesTerritories_Data(),Table_AustralianStates[[#Headers],[State/Territory]],0)</f>
        <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0" t="s">
        <v>26</v>
      </c>
    </row>
    <row r="21" spans="1:4" ht="20.100000000000001" customHeight="1" x14ac:dyDescent="0.25">
      <c r="A21"/>
      <c r="D21" s="30" t="str" cm="1">
        <f t="array" aca="1" ref="D21" ca="1">Common_InputFunctions.Utility_DisplayArrayInTable(Common_SourceData.Common_SourceData_WASA4Areas_Data(), Table_WASA4Areas[[#Headers],[SA 4 Name]], 0)</f>
        <v/>
      </c>
    </row>
    <row r="22" spans="1:4" ht="20.100000000000001" customHeight="1" x14ac:dyDescent="0.25">
      <c r="A22"/>
      <c r="D22" s="30" t="str" cm="1">
        <f t="array" aca="1" ref="D22" ca="1">Common_InputFunctions.Utility_DisplayArrayInTable(Common_SourceData.Common_SourceData_WASA4Areas_Data(), Table_WASA4Areas[[#Headers],[SA 4 Name]], 0)</f>
        <v/>
      </c>
    </row>
    <row r="23" spans="1:4" ht="20.100000000000001" customHeight="1" x14ac:dyDescent="0.25">
      <c r="A23"/>
      <c r="D23" s="30" t="str" cm="1">
        <f t="array" aca="1" ref="D23" ca="1">Common_InputFunctions.Utility_DisplayArrayInTable(Common_SourceData.Common_SourceData_WASA4Areas_Data(), Table_WASA4Areas[[#Headers],[SA 4 Name]], 0)</f>
        <v/>
      </c>
    </row>
    <row r="24" spans="1:4" ht="20.100000000000001" customHeight="1" x14ac:dyDescent="0.25">
      <c r="A24"/>
      <c r="D24" s="30" t="str" cm="1">
        <f t="array" aca="1" ref="D24" ca="1">Common_InputFunctions.Utility_DisplayArrayInTable(Common_SourceData.Common_SourceData_WASA4Areas_Data(), Table_WASA4Areas[[#Headers],[SA 4 Name]], 0)</f>
        <v/>
      </c>
    </row>
    <row r="25" spans="1:4" ht="20.100000000000001" customHeight="1" x14ac:dyDescent="0.25">
      <c r="A25"/>
      <c r="D25" s="30" t="str" cm="1">
        <f t="array" aca="1" ref="D25" ca="1">Common_InputFunctions.Utility_DisplayArrayInTable(Common_SourceData.Common_SourceData_WASA4Areas_Data(), Table_WASA4Areas[[#Headers],[SA 4 Name]], 0)</f>
        <v/>
      </c>
    </row>
    <row r="26" spans="1:4" ht="20.100000000000001" customHeight="1" x14ac:dyDescent="0.25">
      <c r="A26"/>
      <c r="D26" s="30" t="str" cm="1">
        <f t="array" aca="1" ref="D26" ca="1">Common_InputFunctions.Utility_DisplayArrayInTable(Common_SourceData.Common_SourceData_WASA4Areas_Data(), Table_WASA4Areas[[#Headers],[SA 4 Name]], 0)</f>
        <v/>
      </c>
    </row>
    <row r="27" spans="1:4" ht="20.100000000000001" customHeight="1" x14ac:dyDescent="0.25">
      <c r="A27"/>
      <c r="D27" s="30" t="str" cm="1">
        <f t="array" aca="1" ref="D27" ca="1">Common_InputFunctions.Utility_DisplayArrayInTable(Common_SourceData.Common_SourceData_WASA4Areas_Data(), Table_WASA4Areas[[#Headers],[SA 4 Name]], 0)</f>
        <v/>
      </c>
    </row>
    <row r="28" spans="1:4" ht="20.100000000000001" customHeight="1" x14ac:dyDescent="0.25">
      <c r="A28"/>
      <c r="D28" s="30" t="str" cm="1">
        <f t="array" aca="1" ref="D28" ca="1">Common_InputFunctions.Utility_DisplayArrayInTable(Common_SourceData.Common_SourceData_WASA4Areas_Data(), Table_WASA4Areas[[#Headers],[SA 4 Name]], 0)</f>
        <v/>
      </c>
    </row>
    <row r="29" spans="1:4" ht="20.100000000000001" customHeight="1" x14ac:dyDescent="0.25">
      <c r="A29"/>
      <c r="D29" s="30" t="str" cm="1">
        <f t="array" aca="1" ref="D29" ca="1">Common_InputFunctions.Utility_DisplayArrayInTable(Common_SourceData.Common_SourceData_WASA4Areas_Data(), Table_WASA4Areas[[#Headers],[SA 4 Name]], 0)</f>
        <v/>
      </c>
    </row>
    <row r="30" spans="1:4" ht="20.100000000000001" customHeight="1" x14ac:dyDescent="0.25">
      <c r="A30"/>
      <c r="D30" s="30" t="str" cm="1">
        <f t="array" aca="1" ref="D30" ca="1">Common_InputFunctions.Utility_DisplayArrayInTable(Common_SourceData.Common_SourceData_WASA4Areas_Data(), Table_WASA4Areas[[#Headers],[SA 4 Name]], 0)</f>
        <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0" t="s">
        <v>27</v>
      </c>
      <c r="E36" s="30" t="s">
        <v>28</v>
      </c>
    </row>
    <row r="37" spans="1:8" ht="20.100000000000001" customHeight="1" x14ac:dyDescent="0.25">
      <c r="A37"/>
      <c r="D37" s="30" t="str" cm="1">
        <f t="array" aca="1" ref="D37" ca="1">Common_InputFunctions.Utility_DisplayArrayInTable(Common_SourceData.Common_SourceData_GWP_Data(), Table_GWPData[[#Headers],[Gas]], 0)</f>
        <v/>
      </c>
      <c r="E37" s="30" t="str" cm="1">
        <f t="array" aca="1" ref="E37" ca="1">Common_InputFunctions.Utility_DisplayArrayInTable(Common_SourceData.Common_SourceData_GWP_Data(), Table_GWPData[[#Headers],[Gas]], 0)</f>
        <v/>
      </c>
    </row>
    <row r="38" spans="1:8" ht="20.100000000000001" customHeight="1" x14ac:dyDescent="0.25">
      <c r="A38"/>
      <c r="D38" s="30" t="str" cm="1">
        <f t="array" aca="1" ref="D38" ca="1">Common_InputFunctions.Utility_DisplayArrayInTable(Common_SourceData.Common_SourceData_GWP_Data(), Table_GWPData[[#Headers],[Gas]], 0)</f>
        <v/>
      </c>
      <c r="E38" s="30" t="str" cm="1">
        <f t="array" aca="1" ref="E38" ca="1">Common_InputFunctions.Utility_DisplayArrayInTable(Common_SourceData.Common_SourceData_GWP_Data(), Table_GWPData[[#Headers],[Gas]], 0)</f>
        <v/>
      </c>
    </row>
    <row r="39" spans="1:8" ht="20.100000000000001" customHeight="1" x14ac:dyDescent="0.25">
      <c r="A39"/>
      <c r="D39" s="30" t="str" cm="1">
        <f t="array" aca="1" ref="D39" ca="1">Common_InputFunctions.Utility_DisplayArrayInTable(Common_SourceData.Common_SourceData_GWP_Data(), Table_GWPData[[#Headers],[Gas]], 0)</f>
        <v/>
      </c>
      <c r="E39" s="30" t="str" cm="1">
        <f t="array" aca="1" ref="E39" ca="1">Common_InputFunctions.Utility_DisplayArrayInTable(Common_SourceData.Common_SourceData_GWP_Data(), Table_GWPData[[#Headers],[Gas]], 0)</f>
        <v/>
      </c>
    </row>
    <row r="40" spans="1:8" ht="20.100000000000001" customHeight="1" x14ac:dyDescent="0.25">
      <c r="A40"/>
      <c r="D40" s="30" t="str" cm="1">
        <f t="array" aca="1" ref="D40" ca="1">Common_InputFunctions.Utility_DisplayArrayInTable(Common_SourceData.Common_SourceData_GWP_Data(), Table_GWPData[[#Headers],[Gas]], 0)</f>
        <v/>
      </c>
      <c r="E40" s="30" t="str" cm="1">
        <f t="array" aca="1" ref="E40" ca="1">Common_InputFunctions.Utility_DisplayArrayInTable(Common_SourceData.Common_SourceData_GWP_Data(), Table_GWPData[[#Headers],[Gas]], 0)</f>
        <v/>
      </c>
    </row>
    <row r="41" spans="1:8" ht="20.100000000000001" customHeight="1" x14ac:dyDescent="0.25">
      <c r="A41"/>
      <c r="D41" s="30" t="str" cm="1">
        <f t="array" aca="1" ref="D41" ca="1">Common_InputFunctions.Utility_DisplayArrayInTable(Common_SourceData.Common_SourceData_GWP_Data(), Table_GWPData[[#Headers],[Gas]], 0)</f>
        <v/>
      </c>
      <c r="E41" s="30" t="str" cm="1">
        <f t="array" aca="1" ref="E41" ca="1">Common_InputFunctions.Utility_DisplayArrayInTable(Common_SourceData.Common_SourceData_GWP_Data(), Table_GWPData[[#Headers],[Gas]], 0)</f>
        <v/>
      </c>
    </row>
    <row r="42" spans="1:8" ht="20.100000000000001" customHeight="1" x14ac:dyDescent="0.25">
      <c r="A42"/>
      <c r="D42" s="30" t="str" cm="1">
        <f t="array" aca="1" ref="D42" ca="1">Common_InputFunctions.Utility_DisplayArrayInTable(Common_SourceData.Common_SourceData_GWP_Data(), Table_GWPData[[#Headers],[Gas]], 0)</f>
        <v/>
      </c>
      <c r="E42" s="30" t="str" cm="1">
        <f t="array" aca="1" ref="E42" ca="1">Common_InputFunctions.Utility_DisplayArrayInTable(Common_SourceData.Common_SourceData_GWP_Data(), Table_GWPData[[#Headers],[Gas]], 0)</f>
        <v/>
      </c>
    </row>
    <row r="43" spans="1:8" ht="20.100000000000001" customHeight="1" x14ac:dyDescent="0.25">
      <c r="A43"/>
      <c r="D43" s="30" t="str" cm="1">
        <f t="array" aca="1" ref="D43" ca="1">Common_InputFunctions.Utility_DisplayArrayInTable(Common_SourceData.Common_SourceData_GWP_Data(), Table_GWPData[[#Headers],[Gas]], 0)</f>
        <v/>
      </c>
      <c r="E43" s="30" t="str" cm="1">
        <f t="array" aca="1" ref="E43" ca="1">Common_InputFunctions.Utility_DisplayArrayInTable(Common_SourceData.Common_SourceData_GWP_Data(), Table_GWPData[[#Headers],[Gas]], 0)</f>
        <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28" t="str" cm="1">
        <f t="array" ref="D46">Common_SourceData.Common_SourceData_ConvertGasElementalToMolecular_Source()</f>
        <v>XXXXXXX</v>
      </c>
    </row>
    <row r="47" spans="1:8" ht="20.100000000000001" customHeight="1" x14ac:dyDescent="0.25">
      <c r="A47"/>
      <c r="D47" s="30" t="s">
        <v>27</v>
      </c>
      <c r="E47" s="30" t="s">
        <v>29</v>
      </c>
      <c r="F47" s="30" t="s">
        <v>30</v>
      </c>
      <c r="G47" s="30" t="s">
        <v>31</v>
      </c>
      <c r="H47" s="30" t="s">
        <v>32</v>
      </c>
    </row>
    <row r="48" spans="1:8" ht="20.100000000000001" customHeight="1" x14ac:dyDescent="0.25">
      <c r="A48"/>
      <c r="D48" s="30" t="str" cm="1">
        <f t="array" aca="1" ref="D48" ca="1">Common_InputFunctions.Utility_DisplayArrayInTable(Common_SourceData.Common_SourceData_ConvertGasElementalToMolecular_Data(),Table_GasToMolecularConversionFactor[[#Headers],[Gas]], 0)</f>
        <v/>
      </c>
      <c r="E48" s="30" t="str" cm="1">
        <f t="array" aca="1" ref="E48" ca="1">Common_InputFunctions.Utility_DisplayArrayInTable(Common_SourceData.Common_SourceData_ConvertGasElementalToMolecular_Data(),Table_GasToMolecularConversionFactor[[#Headers],[Gas]], 0)</f>
        <v/>
      </c>
      <c r="F48" s="30" t="str" cm="1">
        <f t="array" aca="1" ref="F48" ca="1">Common_InputFunctions.Utility_DisplayArrayInTable(Common_SourceData.Common_SourceData_ConvertGasElementalToMolecular_Data(),Table_GasToMolecularConversionFactor[[#Headers],[Gas]], 0)</f>
        <v/>
      </c>
      <c r="G48" s="30" t="str" cm="1">
        <f t="array" aca="1" ref="G48" ca="1">Common_InputFunctions.Utility_DisplayArrayInTable(Common_SourceData.Common_SourceData_ConvertGasElementalToMolecular_Data(),Table_GasToMolecularConversionFactor[[#Headers],[Gas]], 0)</f>
        <v/>
      </c>
      <c r="H48" s="30" t="e">
        <f ca="1">Table_GasToMolecularConversionFactor[[#This Row],[Conversion factor 1]]/Table_GasToMolecularConversionFactor[[#This Row],[Conversion factor 2]]</f>
        <v>#VALUE!</v>
      </c>
    </row>
    <row r="49" spans="1:8" ht="20.100000000000001" customHeight="1" x14ac:dyDescent="0.25">
      <c r="A49"/>
      <c r="D49" s="30" t="str" cm="1">
        <f t="array" aca="1" ref="D49" ca="1">Common_InputFunctions.Utility_DisplayArrayInTable(Common_SourceData.Common_SourceData_ConvertGasElementalToMolecular_Data(),Table_GasToMolecularConversionFactor[[#Headers],[Gas]], 0)</f>
        <v/>
      </c>
      <c r="E49" s="30" t="str" cm="1">
        <f t="array" aca="1" ref="E49" ca="1">Common_InputFunctions.Utility_DisplayArrayInTable(Common_SourceData.Common_SourceData_ConvertGasElementalToMolecular_Data(),Table_GasToMolecularConversionFactor[[#Headers],[Gas]], 0)</f>
        <v/>
      </c>
      <c r="F49" s="30" t="str" cm="1">
        <f t="array" aca="1" ref="F49" ca="1">Common_InputFunctions.Utility_DisplayArrayInTable(Common_SourceData.Common_SourceData_ConvertGasElementalToMolecular_Data(),Table_GasToMolecularConversionFactor[[#Headers],[Gas]], 0)</f>
        <v/>
      </c>
      <c r="G49" s="30" t="str" cm="1">
        <f t="array" aca="1" ref="G49" ca="1">Common_InputFunctions.Utility_DisplayArrayInTable(Common_SourceData.Common_SourceData_ConvertGasElementalToMolecular_Data(),Table_GasToMolecularConversionFactor[[#Headers],[Gas]], 0)</f>
        <v/>
      </c>
      <c r="H49" s="30" t="e">
        <f ca="1">Table_GasToMolecularConversionFactor[[#This Row],[Conversion factor 1]]/Table_GasToMolecularConversionFactor[[#This Row],[Conversion factor 2]]</f>
        <v>#VALUE!</v>
      </c>
    </row>
    <row r="50" spans="1:8" ht="20.100000000000001" customHeight="1" x14ac:dyDescent="0.25">
      <c r="A50"/>
      <c r="D50" s="30" t="str" cm="1">
        <f t="array" aca="1" ref="D50" ca="1">Common_InputFunctions.Utility_DisplayArrayInTable(Common_SourceData.Common_SourceData_ConvertGasElementalToMolecular_Data(),Table_GasToMolecularConversionFactor[[#Headers],[Gas]], 0)</f>
        <v/>
      </c>
      <c r="E50" s="30" t="str" cm="1">
        <f t="array" aca="1" ref="E50" ca="1">Common_InputFunctions.Utility_DisplayArrayInTable(Common_SourceData.Common_SourceData_ConvertGasElementalToMolecular_Data(),Table_GasToMolecularConversionFactor[[#Headers],[Gas]], 0)</f>
        <v/>
      </c>
      <c r="F50" s="30" t="str" cm="1">
        <f t="array" aca="1" ref="F50" ca="1">Common_InputFunctions.Utility_DisplayArrayInTable(Common_SourceData.Common_SourceData_ConvertGasElementalToMolecular_Data(),Table_GasToMolecularConversionFactor[[#Headers],[Gas]], 0)</f>
        <v/>
      </c>
      <c r="G50" s="30" t="str" cm="1">
        <f t="array" aca="1" ref="G50" ca="1">Common_InputFunctions.Utility_DisplayArrayInTable(Common_SourceData.Common_SourceData_ConvertGasElementalToMolecular_Data(),Table_GasToMolecularConversionFactor[[#Headers],[Gas]], 0)</f>
        <v/>
      </c>
      <c r="H50" s="30" t="e">
        <f ca="1">Table_GasToMolecularConversionFactor[[#This Row],[Conversion factor 1]]/Table_GasToMolecularConversionFactor[[#This Row],[Conversion factor 2]]</f>
        <v>#VALUE!</v>
      </c>
    </row>
    <row r="51" spans="1:8" ht="20.100000000000001" customHeight="1" x14ac:dyDescent="0.25">
      <c r="A51"/>
      <c r="D51" s="30" t="str" cm="1">
        <f t="array" aca="1" ref="D51" ca="1">Common_InputFunctions.Utility_DisplayArrayInTable(Common_SourceData.Common_SourceData_ConvertGasElementalToMolecular_Data(),Table_GasToMolecularConversionFactor[[#Headers],[Gas]], 0)</f>
        <v/>
      </c>
      <c r="E51" s="30" t="str" cm="1">
        <f t="array" aca="1" ref="E51" ca="1">Common_InputFunctions.Utility_DisplayArrayInTable(Common_SourceData.Common_SourceData_ConvertGasElementalToMolecular_Data(),Table_GasToMolecularConversionFactor[[#Headers],[Gas]], 0)</f>
        <v/>
      </c>
      <c r="F51" s="30" t="str" cm="1">
        <f t="array" aca="1" ref="F51" ca="1">Common_InputFunctions.Utility_DisplayArrayInTable(Common_SourceData.Common_SourceData_ConvertGasElementalToMolecular_Data(),Table_GasToMolecularConversionFactor[[#Headers],[Gas]], 0)</f>
        <v/>
      </c>
      <c r="G51" s="30" t="str" cm="1">
        <f t="array" aca="1" ref="G51" ca="1">Common_InputFunctions.Utility_DisplayArrayInTable(Common_SourceData.Common_SourceData_ConvertGasElementalToMolecular_Data(),Table_GasToMolecularConversionFactor[[#Headers],[Gas]], 0)</f>
        <v/>
      </c>
      <c r="H51" s="30" t="e">
        <f ca="1">Table_GasToMolecularConversionFactor[[#This Row],[Conversion factor 1]]/Table_GasToMolecularConversionFactor[[#This Row],[Conversion factor 2]]</f>
        <v>#VALUE!</v>
      </c>
    </row>
    <row r="52" spans="1:8" ht="20.100000000000001" customHeight="1" x14ac:dyDescent="0.25">
      <c r="A52"/>
      <c r="D52" s="30" t="str" cm="1">
        <f t="array" aca="1" ref="D52" ca="1">Common_InputFunctions.Utility_DisplayArrayInTable(Common_SourceData.Common_SourceData_ConvertGasElementalToMolecular_Data(),Table_GasToMolecularConversionFactor[[#Headers],[Gas]], 0)</f>
        <v/>
      </c>
      <c r="E52" s="30" t="str" cm="1">
        <f t="array" aca="1" ref="E52" ca="1">Common_InputFunctions.Utility_DisplayArrayInTable(Common_SourceData.Common_SourceData_ConvertGasElementalToMolecular_Data(),Table_GasToMolecularConversionFactor[[#Headers],[Gas]], 0)</f>
        <v/>
      </c>
      <c r="F52" s="30" t="str" cm="1">
        <f t="array" aca="1" ref="F52" ca="1">Common_InputFunctions.Utility_DisplayArrayInTable(Common_SourceData.Common_SourceData_ConvertGasElementalToMolecular_Data(),Table_GasToMolecularConversionFactor[[#Headers],[Gas]], 0)</f>
        <v/>
      </c>
      <c r="G52" s="30" t="str" cm="1">
        <f t="array" aca="1" ref="G52" ca="1">Common_InputFunctions.Utility_DisplayArrayInTable(Common_SourceData.Common_SourceData_ConvertGasElementalToMolecular_Data(),Table_GasToMolecularConversionFactor[[#Headers],[Gas]], 0)</f>
        <v/>
      </c>
      <c r="H52" s="30" t="e">
        <f ca="1">Table_GasToMolecularConversionFactor[[#This Row],[Conversion factor 1]]/Table_GasToMolecularConversionFactor[[#This Row],[Conversion factor 2]]</f>
        <v>#VALUE!</v>
      </c>
    </row>
    <row r="53" spans="1:8" ht="20.100000000000001" customHeight="1" x14ac:dyDescent="0.25">
      <c r="A53"/>
      <c r="D53" s="30" t="str" cm="1">
        <f t="array" aca="1" ref="D53" ca="1">Common_InputFunctions.Utility_DisplayArrayInTable(Common_SourceData.Common_SourceData_ConvertGasElementalToMolecular_Data(),Table_GasToMolecularConversionFactor[[#Headers],[Gas]], 0)</f>
        <v/>
      </c>
      <c r="E53" s="30" t="str" cm="1">
        <f t="array" aca="1" ref="E53" ca="1">Common_InputFunctions.Utility_DisplayArrayInTable(Common_SourceData.Common_SourceData_ConvertGasElementalToMolecular_Data(),Table_GasToMolecularConversionFactor[[#Headers],[Gas]], 0)</f>
        <v/>
      </c>
      <c r="F53" s="30" t="str" cm="1">
        <f t="array" aca="1" ref="F53" ca="1">Common_InputFunctions.Utility_DisplayArrayInTable(Common_SourceData.Common_SourceData_ConvertGasElementalToMolecular_Data(),Table_GasToMolecularConversionFactor[[#Headers],[Gas]], 0)</f>
        <v/>
      </c>
      <c r="G53" s="30" t="str" cm="1">
        <f t="array" aca="1" ref="G53" ca="1">Common_InputFunctions.Utility_DisplayArrayInTable(Common_SourceData.Common_SourceData_ConvertGasElementalToMolecular_Data(),Table_GasToMolecularConversionFactor[[#Headers],[Gas]], 0)</f>
        <v/>
      </c>
      <c r="H53" s="30" t="e">
        <f ca="1">Table_GasToMolecularConversionFactor[[#This Row],[Conversion factor 1]]/Table_GasToMolecularConversionFactor[[#This Row],[Conversion factor 2]]</f>
        <v>#VALUE!</v>
      </c>
    </row>
    <row r="54" spans="1:8" ht="20.100000000000001" customHeight="1" x14ac:dyDescent="0.25">
      <c r="A54"/>
      <c r="D54" s="30" t="str" cm="1">
        <f t="array" aca="1" ref="D54" ca="1">Common_InputFunctions.Utility_DisplayArrayInTable(Common_SourceData.Common_SourceData_ConvertGasElementalToMolecular_Data(),Table_GasToMolecularConversionFactor[[#Headers],[Gas]], 0)</f>
        <v/>
      </c>
      <c r="E54" s="30" t="str" cm="1">
        <f t="array" aca="1" ref="E54" ca="1">Common_InputFunctions.Utility_DisplayArrayInTable(Common_SourceData.Common_SourceData_ConvertGasElementalToMolecular_Data(),Table_GasToMolecularConversionFactor[[#Headers],[Gas]], 0)</f>
        <v/>
      </c>
      <c r="F54" s="30" t="str" cm="1">
        <f t="array" aca="1" ref="F54" ca="1">Common_InputFunctions.Utility_DisplayArrayInTable(Common_SourceData.Common_SourceData_ConvertGasElementalToMolecular_Data(),Table_GasToMolecularConversionFactor[[#Headers],[Gas]], 0)</f>
        <v/>
      </c>
      <c r="G54" s="30" t="str" cm="1">
        <f t="array" aca="1" ref="G54" ca="1">Common_InputFunctions.Utility_DisplayArrayInTable(Common_SourceData.Common_SourceData_ConvertGasElementalToMolecular_Data(),Table_GasToMolecularConversionFactor[[#Headers],[Gas]], 0)</f>
        <v/>
      </c>
      <c r="H54" s="30" t="e">
        <f ca="1">Table_GasToMolecularConversionFactor[[#This Row],[Conversion factor 1]]/Table_GasToMolecularConversionFactor[[#This Row],[Conversion factor 2]]</f>
        <v>#VALUE!</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8"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33</v>
      </c>
      <c r="E63" s="30" t="s">
        <v>34</v>
      </c>
    </row>
    <row r="64" spans="1:8" ht="20.100000000000001" customHeight="1" x14ac:dyDescent="0.25">
      <c r="A64"/>
      <c r="D64" s="30" t="str" cm="1">
        <f t="array" aca="1" ref="D64" ca="1">Common_InputFunctions.Utility_DisplayArrayInTable(Common_SourceData.Common_SourceData_WetAndDryZones_Data(), Table_SourceData_WetDryZones[[#Headers],[Climate zone]], 0)</f>
        <v/>
      </c>
      <c r="E64" s="30" t="str" cm="1">
        <f t="array" aca="1" ref="E64" ca="1">Common_InputFunctions.Utility_DisplayArrayInTable(Common_SourceData.Common_SourceData_WetAndDryZones_Data(), Table_SourceData_WetDryZones[[#Headers],[Climate zone]], 0)</f>
        <v/>
      </c>
    </row>
    <row r="65" spans="1:5" ht="20.100000000000001" customHeight="1" x14ac:dyDescent="0.25">
      <c r="A65"/>
      <c r="D65" s="30" t="str" cm="1">
        <f t="array" aca="1" ref="D65" ca="1">Common_InputFunctions.Utility_DisplayArrayInTable(Common_SourceData.Common_SourceData_WetAndDryZones_Data(), Table_SourceData_WetDryZones[[#Headers],[Climate zone]], 0)</f>
        <v/>
      </c>
      <c r="E65" s="30" t="str" cm="1">
        <f t="array" aca="1" ref="E65" ca="1">Common_InputFunctions.Utility_DisplayArrayInTable(Common_SourceData.Common_SourceData_WetAndDryZones_Data(), Table_SourceData_WetDryZones[[#Headers],[Climate zone]], 0)</f>
        <v/>
      </c>
    </row>
    <row r="66" spans="1:5" ht="20.100000000000001" customHeight="1" x14ac:dyDescent="0.25">
      <c r="A66"/>
      <c r="D66" s="30" t="str" cm="1">
        <f t="array" aca="1" ref="D66" ca="1">Common_InputFunctions.Utility_DisplayArrayInTable(Common_SourceData.Common_SourceData_WetAndDryZones_Data(), Table_SourceData_WetDryZones[[#Headers],[Climate zone]], 0)</f>
        <v/>
      </c>
      <c r="E66" s="30" t="str" cm="1">
        <f t="array" aca="1" ref="E66" ca="1">Common_InputFunctions.Utility_DisplayArrayInTable(Common_SourceData.Common_SourceData_WetAndDryZones_Data(), Table_SourceData_WetDryZones[[#Headers],[Climate zone]], 0)</f>
        <v/>
      </c>
    </row>
    <row r="67" spans="1:5" ht="20.100000000000001" customHeight="1" x14ac:dyDescent="0.25">
      <c r="A67"/>
      <c r="D67" s="30" t="str" cm="1">
        <f t="array" aca="1" ref="D67" ca="1">Common_InputFunctions.Utility_DisplayArrayInTable(Common_SourceData.Common_SourceData_WetAndDryZones_Data(), Table_SourceData_WetDryZones[[#Headers],[Climate zone]], 0)</f>
        <v/>
      </c>
      <c r="E67" s="30" t="str" cm="1">
        <f t="array" aca="1" ref="E67" ca="1">Common_InputFunctions.Utility_DisplayArrayInTable(Common_SourceData.Common_SourceData_WetAndDryZones_Data(), Table_SourceData_WetDryZones[[#Headers],[Climate zone]], 0)</f>
        <v/>
      </c>
    </row>
    <row r="68" spans="1:5" ht="20.100000000000001" customHeight="1" x14ac:dyDescent="0.25">
      <c r="A68"/>
      <c r="D68" s="30" t="str" cm="1">
        <f t="array" aca="1" ref="D68" ca="1">Common_InputFunctions.Utility_DisplayArrayInTable(Common_SourceData.Common_SourceData_WetAndDryZones_Data(), Table_SourceData_WetDryZones[[#Headers],[Climate zone]], 0)</f>
        <v/>
      </c>
      <c r="E68" s="30" t="str" cm="1">
        <f t="array" aca="1" ref="E68" ca="1">Common_InputFunctions.Utility_DisplayArrayInTable(Common_SourceData.Common_SourceData_WetAndDryZones_Data(), Table_SourceData_WetDryZones[[#Headers],[Climate zone]], 0)</f>
        <v/>
      </c>
    </row>
    <row r="69" spans="1:5" ht="20.100000000000001" customHeight="1" x14ac:dyDescent="0.25">
      <c r="A69"/>
      <c r="D69" s="30" t="str" cm="1">
        <f t="array" aca="1" ref="D69" ca="1">Common_InputFunctions.Utility_DisplayArrayInTable(Common_SourceData.Common_SourceData_WetAndDryZones_Data(), Table_SourceData_WetDryZones[[#Headers],[Climate zone]], 0)</f>
        <v/>
      </c>
      <c r="E69" s="30" t="str" cm="1">
        <f t="array" aca="1" ref="E69" ca="1">Common_InputFunctions.Utility_DisplayArrayInTable(Common_SourceData.Common_SourceData_WetAndDryZones_Data(), Table_SourceData_WetDryZones[[#Headers],[Climate zone]], 0)</f>
        <v/>
      </c>
    </row>
    <row r="70" spans="1:5" ht="20.100000000000001" customHeight="1" x14ac:dyDescent="0.25">
      <c r="A70"/>
      <c r="D70" s="30" t="str" cm="1">
        <f t="array" aca="1" ref="D70" ca="1">Common_InputFunctions.Utility_DisplayArrayInTable(Common_SourceData.Common_SourceData_WetAndDryZones_Data(), Table_SourceData_WetDryZones[[#Headers],[Climate zone]], 0)</f>
        <v/>
      </c>
      <c r="E70" s="30" t="str" cm="1">
        <f t="array" aca="1" ref="E70" ca="1">Common_InputFunctions.Utility_DisplayArrayInTable(Common_SourceData.Common_SourceData_WetAndDryZones_Data(), Table_SourceData_WetDryZones[[#Headers],[Climate zone]], 0)</f>
        <v/>
      </c>
    </row>
    <row r="71" spans="1:5" ht="20.100000000000001" customHeight="1" x14ac:dyDescent="0.25">
      <c r="A71"/>
      <c r="D71" s="30" t="str" cm="1">
        <f t="array" aca="1" ref="D71" ca="1">Common_InputFunctions.Utility_DisplayArrayInTable(Common_SourceData.Common_SourceData_WetAndDryZones_Data(), Table_SourceData_WetDryZones[[#Headers],[Climate zone]], 0)</f>
        <v/>
      </c>
      <c r="E71" s="30" t="str" cm="1">
        <f t="array" aca="1" ref="E71" ca="1">Common_InputFunctions.Utility_DisplayArrayInTable(Common_SourceData.Common_SourceData_WetAndDryZones_Data(), Table_SourceData_WetDryZones[[#Headers],[Climate zone]], 0)</f>
        <v/>
      </c>
    </row>
    <row r="72" spans="1:5" ht="20.100000000000001" customHeight="1" x14ac:dyDescent="0.25">
      <c r="A72"/>
      <c r="D72" s="30" t="str" cm="1">
        <f t="array" aca="1" ref="D72" ca="1">Common_InputFunctions.Utility_DisplayArrayInTable(Common_SourceData.Common_SourceData_WetAndDryZones_Data(), Table_SourceData_WetDryZones[[#Headers],[Climate zone]], 0)</f>
        <v/>
      </c>
      <c r="E72" s="30" t="str" cm="1">
        <f t="array" aca="1" ref="E72" ca="1">Common_InputFunctions.Utility_DisplayArrayInTable(Common_SourceData.Common_SourceData_WetAndDryZones_Data(), Table_SourceData_WetDryZones[[#Headers],[Climate zone]], 0)</f>
        <v/>
      </c>
    </row>
    <row r="73" spans="1:5" ht="20.100000000000001" customHeight="1" x14ac:dyDescent="0.25">
      <c r="A73"/>
      <c r="D73" s="30" t="str" cm="1">
        <f t="array" aca="1" ref="D73" ca="1">Common_InputFunctions.Utility_DisplayArrayInTable(Common_SourceData.Common_SourceData_WetAndDryZones_Data(), Table_SourceData_WetDryZones[[#Headers],[Climate zone]], 0)</f>
        <v/>
      </c>
      <c r="E73" s="30" t="str" cm="1">
        <f t="array" aca="1" ref="E73" ca="1">Common_InputFunctions.Utility_DisplayArrayInTable(Common_SourceData.Common_SourceData_WetAndDryZones_Data(), Table_SourceData_WetDryZones[[#Headers],[Climate zone]], 0)</f>
        <v/>
      </c>
    </row>
    <row r="74" spans="1:5" ht="20.100000000000001" customHeight="1" x14ac:dyDescent="0.25">
      <c r="A74"/>
      <c r="D74" s="30" t="str" cm="1">
        <f t="array" aca="1" ref="D74" ca="1">Common_InputFunctions.Utility_DisplayArrayInTable(Common_SourceData.Common_SourceData_WetAndDryZones_Data(), Table_SourceData_WetDryZones[[#Headers],[Climate zone]], 0)</f>
        <v/>
      </c>
      <c r="E74" s="30" t="str" cm="1">
        <f t="array" aca="1" ref="E74" ca="1">Common_InputFunctions.Utility_DisplayArrayInTable(Common_SourceData.Common_SourceData_WetAndDryZones_Data(), Table_SourceData_WetDryZones[[#Headers],[Climate zone]], 0)</f>
        <v/>
      </c>
    </row>
    <row r="75" spans="1:5" ht="20.100000000000001" customHeight="1" x14ac:dyDescent="0.25">
      <c r="A75"/>
      <c r="D75" s="30" t="str" cm="1">
        <f t="array" aca="1" ref="D75" ca="1">Common_InputFunctions.Utility_DisplayArrayInTable(Common_SourceData.Common_SourceData_WetAndDryZones_Data(), Table_SourceData_WetDryZones[[#Headers],[Climate zone]], 0)</f>
        <v/>
      </c>
      <c r="E75" s="30" t="str" cm="1">
        <f t="array" aca="1" ref="E75" ca="1">Common_InputFunctions.Utility_DisplayArrayInTable(Common_SourceData.Common_SourceData_WetAndDryZones_Data(), Table_SourceData_WetDryZones[[#Headers],[Climate zone]], 0)</f>
        <v/>
      </c>
    </row>
    <row r="76" spans="1:5" ht="20.100000000000001" customHeight="1" x14ac:dyDescent="0.25">
      <c r="A76"/>
      <c r="D76" s="30" t="str" cm="1">
        <f t="array" aca="1" ref="D76" ca="1">Common_InputFunctions.Utility_DisplayArrayInTable(Common_SourceData.Common_SourceData_WetAndDryZones_Data(), Table_SourceData_WetDryZones[[#Headers],[Climate zone]], 0)</f>
        <v/>
      </c>
      <c r="E76" s="30" t="str" cm="1">
        <f t="array" aca="1" ref="E76" ca="1">Common_InputFunctions.Utility_DisplayArrayInTable(Common_SourceData.Common_SourceData_WetAndDryZones_Data(), Table_SourceData_WetDryZones[[#Headers],[Climate zone]], 0)</f>
        <v/>
      </c>
    </row>
    <row r="77" spans="1:5" ht="20.100000000000001" customHeight="1" x14ac:dyDescent="0.25">
      <c r="A77"/>
      <c r="D77" s="30" t="str" cm="1">
        <f t="array" aca="1" ref="D77" ca="1">Common_InputFunctions.Utility_DisplayArrayInTable(Common_SourceData.Common_SourceData_WetAndDryZones_Data(), Table_SourceData_WetDryZones[[#Headers],[Climate zone]], 0)</f>
        <v/>
      </c>
      <c r="E77" s="30" t="str" cm="1">
        <f t="array" aca="1" ref="E77" ca="1">Common_InputFunctions.Utility_DisplayArrayInTable(Common_SourceData.Common_SourceData_WetAndDryZones_Data(), Table_SourceData_WetDryZones[[#Headers],[Climate zone]], 0)</f>
        <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8"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33</v>
      </c>
      <c r="E89" s="30" t="s">
        <v>35</v>
      </c>
      <c r="F89" s="30" t="s">
        <v>36</v>
      </c>
      <c r="G89" s="30" t="s">
        <v>37</v>
      </c>
      <c r="H89" s="30" t="s">
        <v>38</v>
      </c>
      <c r="I89" s="30" t="s">
        <v>39</v>
      </c>
      <c r="J89" s="30" t="s">
        <v>40</v>
      </c>
      <c r="K89" s="30" t="s">
        <v>41</v>
      </c>
      <c r="L89" s="30" t="s">
        <v>42</v>
      </c>
      <c r="M89" s="30" t="s">
        <v>43</v>
      </c>
      <c r="N89" s="30" t="s">
        <v>44</v>
      </c>
      <c r="O89" s="30" t="s">
        <v>45</v>
      </c>
      <c r="P89" s="30" t="s">
        <v>46</v>
      </c>
      <c r="Q89" s="30" t="s">
        <v>47</v>
      </c>
      <c r="R89" s="30" t="s">
        <v>48</v>
      </c>
      <c r="S89" s="30" t="s">
        <v>49</v>
      </c>
      <c r="T89" s="30"/>
    </row>
    <row r="90" spans="1:20" ht="20.100000000000001" customHeight="1" x14ac:dyDescent="0.25">
      <c r="A90"/>
      <c r="D90" s="30" t="str" cm="1">
        <f t="array" aca="1" ref="D90" ca="1">Common_InputFunctions.Utility_DisplayArrayInTable(Common_SourceData.Common_SourceData_ClimateZones_Data(), Table_SourceData_ClimateZones[[#Headers],[Climate zone]], 0)</f>
        <v/>
      </c>
      <c r="E90" s="30" t="str" cm="1">
        <f t="array" aca="1" ref="E90" ca="1">Common_InputFunctions.Utility_DisplayArrayInTable(Common_SourceData.Common_SourceData_ClimateZones_Data(), Table_SourceData_ClimateZones[[#Headers],[Climate zone]], 0)</f>
        <v/>
      </c>
      <c r="F90" s="30" t="str" cm="1">
        <f t="array" aca="1" ref="F90" ca="1">Common_InputFunctions.Utility_DisplayArrayInTable(Common_SourceData.Common_SourceData_ClimateZones_Data(), Table_SourceData_ClimateZones[[#Headers],[Climate zone]], 0)</f>
        <v/>
      </c>
      <c r="G90" s="30" t="str" cm="1">
        <f t="array" aca="1" ref="G90" ca="1">Common_InputFunctions.Utility_DisplayArrayInTable(Common_SourceData.Common_SourceData_ClimateZones_Data(), Table_SourceData_ClimateZones[[#Headers],[Climate zone]], 0)</f>
        <v/>
      </c>
      <c r="H90" s="30" t="str" cm="1">
        <f t="array" aca="1" ref="H90" ca="1">Common_InputFunctions.Utility_DisplayArrayInTable(Common_SourceData.Common_SourceData_ClimateZones_Data(), Table_SourceData_ClimateZones[[#Headers],[Climate zone]], 0)</f>
        <v/>
      </c>
      <c r="I90" s="30" t="str" cm="1">
        <f t="array" aca="1" ref="I90" ca="1">Common_InputFunctions.Utility_DisplayArrayInTable(Common_SourceData.Common_SourceData_ClimateZones_Data(), Table_SourceData_ClimateZones[[#Headers],[Climate zone]], 0)</f>
        <v/>
      </c>
      <c r="J90" s="30" t="str" cm="1">
        <f t="array" aca="1" ref="J90" ca="1">Common_InputFunctions.Utility_DisplayArrayInTable(Common_SourceData.Common_SourceData_ClimateZones_Data(), Table_SourceData_ClimateZones[[#Headers],[Climate zone]], 0)</f>
        <v/>
      </c>
      <c r="K90" s="30" t="str" cm="1">
        <f t="array" aca="1" ref="K90" ca="1">Common_InputFunctions.Utility_DisplayArrayInTable(Common_SourceData.Common_SourceData_ClimateZones_Data(), Table_SourceData_ClimateZones[[#Headers],[Climate zone]], 0)</f>
        <v/>
      </c>
      <c r="L90" s="30" t="str" cm="1">
        <f t="array" aca="1" ref="L90" ca="1">Common_InputFunctions.Utility_DisplayArrayInTable(Common_SourceData.Common_SourceData_ClimateZones_Data(), Table_SourceData_ClimateZones[[#Headers],[Climate zone]], 0)</f>
        <v/>
      </c>
      <c r="M90" s="30" t="str" cm="1">
        <f t="array" aca="1" ref="M90" ca="1">Common_InputFunctions.Utility_DisplayArrayInTable(Common_SourceData.Common_SourceData_ClimateZones_Data(), Table_SourceData_ClimateZones[[#Headers],[Climate zone]], 0)</f>
        <v/>
      </c>
      <c r="N90" s="30" t="str" cm="1">
        <f t="array" aca="1" ref="N90" ca="1">Common_InputFunctions.Utility_DisplayArrayInTable(Common_SourceData.Common_SourceData_ClimateZones_Data(), Table_SourceData_ClimateZones[[#Headers],[Climate zone]], 0)</f>
        <v/>
      </c>
      <c r="O90" s="30" t="str" cm="1">
        <f t="array" aca="1" ref="O90" ca="1">Common_InputFunctions.Utility_DisplayArrayInTable(Common_SourceData.Common_SourceData_ClimateZones_Data(), Table_SourceData_ClimateZones[[#Headers],[Climate zone]], 0)</f>
        <v/>
      </c>
      <c r="P90" s="30" t="str" cm="1">
        <f t="array" aca="1" ref="P90" ca="1">Common_InputFunctions.Utility_DisplayArrayInTable(Common_SourceData.Common_SourceData_ClimateZones_Data(), Table_SourceData_ClimateZones[[#Headers],[Climate zone]], 0)</f>
        <v/>
      </c>
      <c r="Q90" s="30" t="str" cm="1">
        <f t="array" aca="1" ref="Q90" ca="1">Common_InputFunctions.Utility_DisplayArrayInTable(Common_SourceData.Common_SourceData_ClimateZones_Data(), Table_SourceData_ClimateZones[[#Headers],[Climate zone]], 0)</f>
        <v/>
      </c>
      <c r="R90" s="30" t="str" cm="1">
        <f t="array" aca="1" ref="R90" ca="1">Common_InputFunctions.Utility_DisplayArrayInTable(Common_SourceData.Common_SourceData_ClimateZones_Data(), Table_SourceData_ClimateZones[[#Headers],[Climate zone]], 0)</f>
        <v/>
      </c>
      <c r="S90" s="30" t="str" cm="1">
        <f t="array" aca="1" ref="S90" ca="1">Common_InputFunctions.Utility_DisplayArrayInTable(Common_SourceData.Common_SourceData_ClimateZones_Data(), Table_SourceData_ClimateZones[[#Headers],[Climate zone]], 0)</f>
        <v/>
      </c>
      <c r="T90" s="30"/>
    </row>
    <row r="91" spans="1:20" ht="20.100000000000001" customHeight="1" x14ac:dyDescent="0.25">
      <c r="A91"/>
      <c r="D91" s="30" t="str" cm="1">
        <f t="array" aca="1" ref="D91" ca="1">Common_InputFunctions.Utility_DisplayArrayInTable(Common_SourceData.Common_SourceData_ClimateZones_Data(), Table_SourceData_ClimateZones[[#Headers],[Climate zone]], 0)</f>
        <v/>
      </c>
      <c r="E91" s="30" t="str" cm="1">
        <f t="array" aca="1" ref="E91" ca="1">Common_InputFunctions.Utility_DisplayArrayInTable(Common_SourceData.Common_SourceData_ClimateZones_Data(), Table_SourceData_ClimateZones[[#Headers],[Climate zone]], 0)</f>
        <v/>
      </c>
      <c r="F91" s="30" t="str" cm="1">
        <f t="array" aca="1" ref="F91" ca="1">Common_InputFunctions.Utility_DisplayArrayInTable(Common_SourceData.Common_SourceData_ClimateZones_Data(), Table_SourceData_ClimateZones[[#Headers],[Climate zone]], 0)</f>
        <v/>
      </c>
      <c r="G91" s="30" t="str" cm="1">
        <f t="array" aca="1" ref="G91" ca="1">Common_InputFunctions.Utility_DisplayArrayInTable(Common_SourceData.Common_SourceData_ClimateZones_Data(), Table_SourceData_ClimateZones[[#Headers],[Climate zone]], 0)</f>
        <v/>
      </c>
      <c r="H91" s="30" t="str" cm="1">
        <f t="array" aca="1" ref="H91" ca="1">Common_InputFunctions.Utility_DisplayArrayInTable(Common_SourceData.Common_SourceData_ClimateZones_Data(), Table_SourceData_ClimateZones[[#Headers],[Climate zone]], 0)</f>
        <v/>
      </c>
      <c r="I91" s="30" t="str" cm="1">
        <f t="array" aca="1" ref="I91" ca="1">Common_InputFunctions.Utility_DisplayArrayInTable(Common_SourceData.Common_SourceData_ClimateZones_Data(), Table_SourceData_ClimateZones[[#Headers],[Climate zone]], 0)</f>
        <v/>
      </c>
      <c r="J91" s="30" t="str" cm="1">
        <f t="array" aca="1" ref="J91" ca="1">Common_InputFunctions.Utility_DisplayArrayInTable(Common_SourceData.Common_SourceData_ClimateZones_Data(), Table_SourceData_ClimateZones[[#Headers],[Climate zone]], 0)</f>
        <v/>
      </c>
      <c r="K91" s="30" t="str" cm="1">
        <f t="array" aca="1" ref="K91" ca="1">Common_InputFunctions.Utility_DisplayArrayInTable(Common_SourceData.Common_SourceData_ClimateZones_Data(), Table_SourceData_ClimateZones[[#Headers],[Climate zone]], 0)</f>
        <v/>
      </c>
      <c r="L91" s="30" t="str" cm="1">
        <f t="array" aca="1" ref="L91" ca="1">Common_InputFunctions.Utility_DisplayArrayInTable(Common_SourceData.Common_SourceData_ClimateZones_Data(), Table_SourceData_ClimateZones[[#Headers],[Climate zone]], 0)</f>
        <v/>
      </c>
      <c r="M91" s="30" t="str" cm="1">
        <f t="array" aca="1" ref="M91" ca="1">Common_InputFunctions.Utility_DisplayArrayInTable(Common_SourceData.Common_SourceData_ClimateZones_Data(), Table_SourceData_ClimateZones[[#Headers],[Climate zone]], 0)</f>
        <v/>
      </c>
      <c r="N91" s="30" t="str" cm="1">
        <f t="array" aca="1" ref="N91" ca="1">Common_InputFunctions.Utility_DisplayArrayInTable(Common_SourceData.Common_SourceData_ClimateZones_Data(), Table_SourceData_ClimateZones[[#Headers],[Climate zone]], 0)</f>
        <v/>
      </c>
      <c r="O91" s="30" t="str" cm="1">
        <f t="array" aca="1" ref="O91" ca="1">Common_InputFunctions.Utility_DisplayArrayInTable(Common_SourceData.Common_SourceData_ClimateZones_Data(), Table_SourceData_ClimateZones[[#Headers],[Climate zone]], 0)</f>
        <v/>
      </c>
      <c r="P91" s="30" t="str" cm="1">
        <f t="array" aca="1" ref="P91" ca="1">Common_InputFunctions.Utility_DisplayArrayInTable(Common_SourceData.Common_SourceData_ClimateZones_Data(), Table_SourceData_ClimateZones[[#Headers],[Climate zone]], 0)</f>
        <v/>
      </c>
      <c r="Q91" s="30" t="str" cm="1">
        <f t="array" aca="1" ref="Q91" ca="1">Common_InputFunctions.Utility_DisplayArrayInTable(Common_SourceData.Common_SourceData_ClimateZones_Data(), Table_SourceData_ClimateZones[[#Headers],[Climate zone]], 0)</f>
        <v/>
      </c>
      <c r="R91" s="30" t="str" cm="1">
        <f t="array" aca="1" ref="R91" ca="1">Common_InputFunctions.Utility_DisplayArrayInTable(Common_SourceData.Common_SourceData_ClimateZones_Data(), Table_SourceData_ClimateZones[[#Headers],[Climate zone]], 0)</f>
        <v/>
      </c>
      <c r="S91" s="30" t="str" cm="1">
        <f t="array" aca="1" ref="S91" ca="1">Common_InputFunctions.Utility_DisplayArrayInTable(Common_SourceData.Common_SourceData_ClimateZones_Data(), Table_SourceData_ClimateZones[[#Headers],[Climate zone]], 0)</f>
        <v/>
      </c>
      <c r="T91" s="30"/>
    </row>
    <row r="92" spans="1:20" ht="20.100000000000001" customHeight="1" x14ac:dyDescent="0.25">
      <c r="A92"/>
      <c r="D92" s="30" t="str" cm="1">
        <f t="array" aca="1" ref="D92" ca="1">Common_InputFunctions.Utility_DisplayArrayInTable(Common_SourceData.Common_SourceData_ClimateZones_Data(), Table_SourceData_ClimateZones[[#Headers],[Climate zone]], 0)</f>
        <v/>
      </c>
      <c r="E92" s="30" t="str" cm="1">
        <f t="array" aca="1" ref="E92" ca="1">Common_InputFunctions.Utility_DisplayArrayInTable(Common_SourceData.Common_SourceData_ClimateZones_Data(), Table_SourceData_ClimateZones[[#Headers],[Climate zone]], 0)</f>
        <v/>
      </c>
      <c r="F92" s="30" t="str" cm="1">
        <f t="array" aca="1" ref="F92" ca="1">Common_InputFunctions.Utility_DisplayArrayInTable(Common_SourceData.Common_SourceData_ClimateZones_Data(), Table_SourceData_ClimateZones[[#Headers],[Climate zone]], 0)</f>
        <v/>
      </c>
      <c r="G92" s="30" t="str" cm="1">
        <f t="array" aca="1" ref="G92" ca="1">Common_InputFunctions.Utility_DisplayArrayInTable(Common_SourceData.Common_SourceData_ClimateZones_Data(), Table_SourceData_ClimateZones[[#Headers],[Climate zone]], 0)</f>
        <v/>
      </c>
      <c r="H92" s="30" t="str" cm="1">
        <f t="array" aca="1" ref="H92" ca="1">Common_InputFunctions.Utility_DisplayArrayInTable(Common_SourceData.Common_SourceData_ClimateZones_Data(), Table_SourceData_ClimateZones[[#Headers],[Climate zone]], 0)</f>
        <v/>
      </c>
      <c r="I92" s="30" t="str" cm="1">
        <f t="array" aca="1" ref="I92" ca="1">Common_InputFunctions.Utility_DisplayArrayInTable(Common_SourceData.Common_SourceData_ClimateZones_Data(), Table_SourceData_ClimateZones[[#Headers],[Climate zone]], 0)</f>
        <v/>
      </c>
      <c r="J92" s="30" t="str" cm="1">
        <f t="array" aca="1" ref="J92" ca="1">Common_InputFunctions.Utility_DisplayArrayInTable(Common_SourceData.Common_SourceData_ClimateZones_Data(), Table_SourceData_ClimateZones[[#Headers],[Climate zone]], 0)</f>
        <v/>
      </c>
      <c r="K92" s="30" t="str" cm="1">
        <f t="array" aca="1" ref="K92" ca="1">Common_InputFunctions.Utility_DisplayArrayInTable(Common_SourceData.Common_SourceData_ClimateZones_Data(), Table_SourceData_ClimateZones[[#Headers],[Climate zone]], 0)</f>
        <v/>
      </c>
      <c r="L92" s="30" t="str" cm="1">
        <f t="array" aca="1" ref="L92" ca="1">Common_InputFunctions.Utility_DisplayArrayInTable(Common_SourceData.Common_SourceData_ClimateZones_Data(), Table_SourceData_ClimateZones[[#Headers],[Climate zone]], 0)</f>
        <v/>
      </c>
      <c r="M92" s="30" t="str" cm="1">
        <f t="array" aca="1" ref="M92" ca="1">Common_InputFunctions.Utility_DisplayArrayInTable(Common_SourceData.Common_SourceData_ClimateZones_Data(), Table_SourceData_ClimateZones[[#Headers],[Climate zone]], 0)</f>
        <v/>
      </c>
      <c r="N92" s="30" t="str" cm="1">
        <f t="array" aca="1" ref="N92" ca="1">Common_InputFunctions.Utility_DisplayArrayInTable(Common_SourceData.Common_SourceData_ClimateZones_Data(), Table_SourceData_ClimateZones[[#Headers],[Climate zone]], 0)</f>
        <v/>
      </c>
      <c r="O92" s="30" t="str" cm="1">
        <f t="array" aca="1" ref="O92" ca="1">Common_InputFunctions.Utility_DisplayArrayInTable(Common_SourceData.Common_SourceData_ClimateZones_Data(), Table_SourceData_ClimateZones[[#Headers],[Climate zone]], 0)</f>
        <v/>
      </c>
      <c r="P92" s="30" t="str" cm="1">
        <f t="array" aca="1" ref="P92" ca="1">Common_InputFunctions.Utility_DisplayArrayInTable(Common_SourceData.Common_SourceData_ClimateZones_Data(), Table_SourceData_ClimateZones[[#Headers],[Climate zone]], 0)</f>
        <v/>
      </c>
      <c r="Q92" s="30" t="str" cm="1">
        <f t="array" aca="1" ref="Q92" ca="1">Common_InputFunctions.Utility_DisplayArrayInTable(Common_SourceData.Common_SourceData_ClimateZones_Data(), Table_SourceData_ClimateZones[[#Headers],[Climate zone]], 0)</f>
        <v/>
      </c>
      <c r="R92" s="30" t="str" cm="1">
        <f t="array" aca="1" ref="R92" ca="1">Common_InputFunctions.Utility_DisplayArrayInTable(Common_SourceData.Common_SourceData_ClimateZones_Data(), Table_SourceData_ClimateZones[[#Headers],[Climate zone]], 0)</f>
        <v/>
      </c>
      <c r="S92" s="30" t="str" cm="1">
        <f t="array" aca="1" ref="S92" ca="1">Common_InputFunctions.Utility_DisplayArrayInTable(Common_SourceData.Common_SourceData_ClimateZones_Data(), Table_SourceData_ClimateZones[[#Headers],[Climate zone]], 0)</f>
        <v/>
      </c>
      <c r="T92" s="30"/>
    </row>
    <row r="93" spans="1:20" ht="20.100000000000001" customHeight="1" x14ac:dyDescent="0.25">
      <c r="A93"/>
      <c r="D93" s="30" t="str" cm="1">
        <f t="array" aca="1" ref="D93" ca="1">Common_InputFunctions.Utility_DisplayArrayInTable(Common_SourceData.Common_SourceData_ClimateZones_Data(), Table_SourceData_ClimateZones[[#Headers],[Climate zone]], 0)</f>
        <v/>
      </c>
      <c r="E93" s="30" t="str" cm="1">
        <f t="array" aca="1" ref="E93" ca="1">Common_InputFunctions.Utility_DisplayArrayInTable(Common_SourceData.Common_SourceData_ClimateZones_Data(), Table_SourceData_ClimateZones[[#Headers],[Climate zone]], 0)</f>
        <v/>
      </c>
      <c r="F93" s="30" t="str" cm="1">
        <f t="array" aca="1" ref="F93" ca="1">Common_InputFunctions.Utility_DisplayArrayInTable(Common_SourceData.Common_SourceData_ClimateZones_Data(), Table_SourceData_ClimateZones[[#Headers],[Climate zone]], 0)</f>
        <v/>
      </c>
      <c r="G93" s="30" t="str" cm="1">
        <f t="array" aca="1" ref="G93" ca="1">Common_InputFunctions.Utility_DisplayArrayInTable(Common_SourceData.Common_SourceData_ClimateZones_Data(), Table_SourceData_ClimateZones[[#Headers],[Climate zone]], 0)</f>
        <v/>
      </c>
      <c r="H93" s="30" t="str" cm="1">
        <f t="array" aca="1" ref="H93" ca="1">Common_InputFunctions.Utility_DisplayArrayInTable(Common_SourceData.Common_SourceData_ClimateZones_Data(), Table_SourceData_ClimateZones[[#Headers],[Climate zone]], 0)</f>
        <v/>
      </c>
      <c r="I93" s="30" t="str" cm="1">
        <f t="array" aca="1" ref="I93" ca="1">Common_InputFunctions.Utility_DisplayArrayInTable(Common_SourceData.Common_SourceData_ClimateZones_Data(), Table_SourceData_ClimateZones[[#Headers],[Climate zone]], 0)</f>
        <v/>
      </c>
      <c r="J93" s="30" t="str" cm="1">
        <f t="array" aca="1" ref="J93" ca="1">Common_InputFunctions.Utility_DisplayArrayInTable(Common_SourceData.Common_SourceData_ClimateZones_Data(), Table_SourceData_ClimateZones[[#Headers],[Climate zone]], 0)</f>
        <v/>
      </c>
      <c r="K93" s="30" t="str" cm="1">
        <f t="array" aca="1" ref="K93" ca="1">Common_InputFunctions.Utility_DisplayArrayInTable(Common_SourceData.Common_SourceData_ClimateZones_Data(), Table_SourceData_ClimateZones[[#Headers],[Climate zone]], 0)</f>
        <v/>
      </c>
      <c r="L93" s="30" t="str" cm="1">
        <f t="array" aca="1" ref="L93" ca="1">Common_InputFunctions.Utility_DisplayArrayInTable(Common_SourceData.Common_SourceData_ClimateZones_Data(), Table_SourceData_ClimateZones[[#Headers],[Climate zone]], 0)</f>
        <v/>
      </c>
      <c r="M93" s="30" t="str" cm="1">
        <f t="array" aca="1" ref="M93" ca="1">Common_InputFunctions.Utility_DisplayArrayInTable(Common_SourceData.Common_SourceData_ClimateZones_Data(), Table_SourceData_ClimateZones[[#Headers],[Climate zone]], 0)</f>
        <v/>
      </c>
      <c r="N93" s="30" t="str" cm="1">
        <f t="array" aca="1" ref="N93" ca="1">Common_InputFunctions.Utility_DisplayArrayInTable(Common_SourceData.Common_SourceData_ClimateZones_Data(), Table_SourceData_ClimateZones[[#Headers],[Climate zone]], 0)</f>
        <v/>
      </c>
      <c r="O93" s="30" t="str" cm="1">
        <f t="array" aca="1" ref="O93" ca="1">Common_InputFunctions.Utility_DisplayArrayInTable(Common_SourceData.Common_SourceData_ClimateZones_Data(), Table_SourceData_ClimateZones[[#Headers],[Climate zone]], 0)</f>
        <v/>
      </c>
      <c r="P93" s="30" t="str" cm="1">
        <f t="array" aca="1" ref="P93" ca="1">Common_InputFunctions.Utility_DisplayArrayInTable(Common_SourceData.Common_SourceData_ClimateZones_Data(), Table_SourceData_ClimateZones[[#Headers],[Climate zone]], 0)</f>
        <v/>
      </c>
      <c r="Q93" s="30" t="str" cm="1">
        <f t="array" aca="1" ref="Q93" ca="1">Common_InputFunctions.Utility_DisplayArrayInTable(Common_SourceData.Common_SourceData_ClimateZones_Data(), Table_SourceData_ClimateZones[[#Headers],[Climate zone]], 0)</f>
        <v/>
      </c>
      <c r="R93" s="30" t="str" cm="1">
        <f t="array" aca="1" ref="R93" ca="1">Common_InputFunctions.Utility_DisplayArrayInTable(Common_SourceData.Common_SourceData_ClimateZones_Data(), Table_SourceData_ClimateZones[[#Headers],[Climate zone]], 0)</f>
        <v/>
      </c>
      <c r="S93" s="30" t="str" cm="1">
        <f t="array" aca="1" ref="S93" ca="1">Common_InputFunctions.Utility_DisplayArrayInTable(Common_SourceData.Common_SourceData_ClimateZones_Data(), Table_SourceData_ClimateZones[[#Headers],[Climate zone]], 0)</f>
        <v/>
      </c>
      <c r="T93" s="30"/>
    </row>
    <row r="94" spans="1:20" ht="20.100000000000001" customHeight="1" x14ac:dyDescent="0.25">
      <c r="A94"/>
      <c r="D94" s="30" t="str" cm="1">
        <f t="array" aca="1" ref="D94" ca="1">Common_InputFunctions.Utility_DisplayArrayInTable(Common_SourceData.Common_SourceData_ClimateZones_Data(), Table_SourceData_ClimateZones[[#Headers],[Climate zone]], 0)</f>
        <v/>
      </c>
      <c r="E94" s="30" t="str" cm="1">
        <f t="array" aca="1" ref="E94" ca="1">Common_InputFunctions.Utility_DisplayArrayInTable(Common_SourceData.Common_SourceData_ClimateZones_Data(), Table_SourceData_ClimateZones[[#Headers],[Climate zone]], 0)</f>
        <v/>
      </c>
      <c r="F94" s="30" t="str" cm="1">
        <f t="array" aca="1" ref="F94" ca="1">Common_InputFunctions.Utility_DisplayArrayInTable(Common_SourceData.Common_SourceData_ClimateZones_Data(), Table_SourceData_ClimateZones[[#Headers],[Climate zone]], 0)</f>
        <v/>
      </c>
      <c r="G94" s="30" t="str" cm="1">
        <f t="array" aca="1" ref="G94" ca="1">Common_InputFunctions.Utility_DisplayArrayInTable(Common_SourceData.Common_SourceData_ClimateZones_Data(), Table_SourceData_ClimateZones[[#Headers],[Climate zone]], 0)</f>
        <v/>
      </c>
      <c r="H94" s="30" t="str" cm="1">
        <f t="array" aca="1" ref="H94" ca="1">Common_InputFunctions.Utility_DisplayArrayInTable(Common_SourceData.Common_SourceData_ClimateZones_Data(), Table_SourceData_ClimateZones[[#Headers],[Climate zone]], 0)</f>
        <v/>
      </c>
      <c r="I94" s="30" t="str" cm="1">
        <f t="array" aca="1" ref="I94" ca="1">Common_InputFunctions.Utility_DisplayArrayInTable(Common_SourceData.Common_SourceData_ClimateZones_Data(), Table_SourceData_ClimateZones[[#Headers],[Climate zone]], 0)</f>
        <v/>
      </c>
      <c r="J94" s="30" t="str" cm="1">
        <f t="array" aca="1" ref="J94" ca="1">Common_InputFunctions.Utility_DisplayArrayInTable(Common_SourceData.Common_SourceData_ClimateZones_Data(), Table_SourceData_ClimateZones[[#Headers],[Climate zone]], 0)</f>
        <v/>
      </c>
      <c r="K94" s="30" t="str" cm="1">
        <f t="array" aca="1" ref="K94" ca="1">Common_InputFunctions.Utility_DisplayArrayInTable(Common_SourceData.Common_SourceData_ClimateZones_Data(), Table_SourceData_ClimateZones[[#Headers],[Climate zone]], 0)</f>
        <v/>
      </c>
      <c r="L94" s="30" t="str" cm="1">
        <f t="array" aca="1" ref="L94" ca="1">Common_InputFunctions.Utility_DisplayArrayInTable(Common_SourceData.Common_SourceData_ClimateZones_Data(), Table_SourceData_ClimateZones[[#Headers],[Climate zone]], 0)</f>
        <v/>
      </c>
      <c r="M94" s="30" t="str" cm="1">
        <f t="array" aca="1" ref="M94" ca="1">Common_InputFunctions.Utility_DisplayArrayInTable(Common_SourceData.Common_SourceData_ClimateZones_Data(), Table_SourceData_ClimateZones[[#Headers],[Climate zone]], 0)</f>
        <v/>
      </c>
      <c r="N94" s="30" t="str" cm="1">
        <f t="array" aca="1" ref="N94" ca="1">Common_InputFunctions.Utility_DisplayArrayInTable(Common_SourceData.Common_SourceData_ClimateZones_Data(), Table_SourceData_ClimateZones[[#Headers],[Climate zone]], 0)</f>
        <v/>
      </c>
      <c r="O94" s="30" t="str" cm="1">
        <f t="array" aca="1" ref="O94" ca="1">Common_InputFunctions.Utility_DisplayArrayInTable(Common_SourceData.Common_SourceData_ClimateZones_Data(), Table_SourceData_ClimateZones[[#Headers],[Climate zone]], 0)</f>
        <v/>
      </c>
      <c r="P94" s="30" t="str" cm="1">
        <f t="array" aca="1" ref="P94" ca="1">Common_InputFunctions.Utility_DisplayArrayInTable(Common_SourceData.Common_SourceData_ClimateZones_Data(), Table_SourceData_ClimateZones[[#Headers],[Climate zone]], 0)</f>
        <v/>
      </c>
      <c r="Q94" s="30" t="str" cm="1">
        <f t="array" aca="1" ref="Q94" ca="1">Common_InputFunctions.Utility_DisplayArrayInTable(Common_SourceData.Common_SourceData_ClimateZones_Data(), Table_SourceData_ClimateZones[[#Headers],[Climate zone]], 0)</f>
        <v/>
      </c>
      <c r="R94" s="30" t="str" cm="1">
        <f t="array" aca="1" ref="R94" ca="1">Common_InputFunctions.Utility_DisplayArrayInTable(Common_SourceData.Common_SourceData_ClimateZones_Data(), Table_SourceData_ClimateZones[[#Headers],[Climate zone]], 0)</f>
        <v/>
      </c>
      <c r="S94" s="30" t="str" cm="1">
        <f t="array" aca="1" ref="S94" ca="1">Common_InputFunctions.Utility_DisplayArrayInTable(Common_SourceData.Common_SourceData_ClimateZones_Data(), Table_SourceData_ClimateZones[[#Headers],[Climate zone]], 0)</f>
        <v/>
      </c>
      <c r="T94" s="30"/>
    </row>
    <row r="95" spans="1:20" ht="20.100000000000001" customHeight="1" x14ac:dyDescent="0.25">
      <c r="A95"/>
      <c r="D95" s="30" t="str" cm="1">
        <f t="array" aca="1" ref="D95" ca="1">Common_InputFunctions.Utility_DisplayArrayInTable(Common_SourceData.Common_SourceData_ClimateZones_Data(), Table_SourceData_ClimateZones[[#Headers],[Climate zone]], 0)</f>
        <v/>
      </c>
      <c r="E95" s="30" t="str" cm="1">
        <f t="array" aca="1" ref="E95" ca="1">Common_InputFunctions.Utility_DisplayArrayInTable(Common_SourceData.Common_SourceData_ClimateZones_Data(), Table_SourceData_ClimateZones[[#Headers],[Climate zone]], 0)</f>
        <v/>
      </c>
      <c r="F95" s="30" t="str" cm="1">
        <f t="array" aca="1" ref="F95" ca="1">Common_InputFunctions.Utility_DisplayArrayInTable(Common_SourceData.Common_SourceData_ClimateZones_Data(), Table_SourceData_ClimateZones[[#Headers],[Climate zone]], 0)</f>
        <v/>
      </c>
      <c r="G95" s="30" t="str" cm="1">
        <f t="array" aca="1" ref="G95" ca="1">Common_InputFunctions.Utility_DisplayArrayInTable(Common_SourceData.Common_SourceData_ClimateZones_Data(), Table_SourceData_ClimateZones[[#Headers],[Climate zone]], 0)</f>
        <v/>
      </c>
      <c r="H95" s="30" t="str" cm="1">
        <f t="array" aca="1" ref="H95" ca="1">Common_InputFunctions.Utility_DisplayArrayInTable(Common_SourceData.Common_SourceData_ClimateZones_Data(), Table_SourceData_ClimateZones[[#Headers],[Climate zone]], 0)</f>
        <v/>
      </c>
      <c r="I95" s="30" t="str" cm="1">
        <f t="array" aca="1" ref="I95" ca="1">Common_InputFunctions.Utility_DisplayArrayInTable(Common_SourceData.Common_SourceData_ClimateZones_Data(), Table_SourceData_ClimateZones[[#Headers],[Climate zone]], 0)</f>
        <v/>
      </c>
      <c r="J95" s="30" t="str" cm="1">
        <f t="array" aca="1" ref="J95" ca="1">Common_InputFunctions.Utility_DisplayArrayInTable(Common_SourceData.Common_SourceData_ClimateZones_Data(), Table_SourceData_ClimateZones[[#Headers],[Climate zone]], 0)</f>
        <v/>
      </c>
      <c r="K95" s="30" t="str" cm="1">
        <f t="array" aca="1" ref="K95" ca="1">Common_InputFunctions.Utility_DisplayArrayInTable(Common_SourceData.Common_SourceData_ClimateZones_Data(), Table_SourceData_ClimateZones[[#Headers],[Climate zone]], 0)</f>
        <v/>
      </c>
      <c r="L95" s="30" t="str" cm="1">
        <f t="array" aca="1" ref="L95" ca="1">Common_InputFunctions.Utility_DisplayArrayInTable(Common_SourceData.Common_SourceData_ClimateZones_Data(), Table_SourceData_ClimateZones[[#Headers],[Climate zone]], 0)</f>
        <v/>
      </c>
      <c r="M95" s="30" t="str" cm="1">
        <f t="array" aca="1" ref="M95" ca="1">Common_InputFunctions.Utility_DisplayArrayInTable(Common_SourceData.Common_SourceData_ClimateZones_Data(), Table_SourceData_ClimateZones[[#Headers],[Climate zone]], 0)</f>
        <v/>
      </c>
      <c r="N95" s="30" t="str" cm="1">
        <f t="array" aca="1" ref="N95" ca="1">Common_InputFunctions.Utility_DisplayArrayInTable(Common_SourceData.Common_SourceData_ClimateZones_Data(), Table_SourceData_ClimateZones[[#Headers],[Climate zone]], 0)</f>
        <v/>
      </c>
      <c r="O95" s="30" t="str" cm="1">
        <f t="array" aca="1" ref="O95" ca="1">Common_InputFunctions.Utility_DisplayArrayInTable(Common_SourceData.Common_SourceData_ClimateZones_Data(), Table_SourceData_ClimateZones[[#Headers],[Climate zone]], 0)</f>
        <v/>
      </c>
      <c r="P95" s="30" t="str" cm="1">
        <f t="array" aca="1" ref="P95" ca="1">Common_InputFunctions.Utility_DisplayArrayInTable(Common_SourceData.Common_SourceData_ClimateZones_Data(), Table_SourceData_ClimateZones[[#Headers],[Climate zone]], 0)</f>
        <v/>
      </c>
      <c r="Q95" s="30" t="str" cm="1">
        <f t="array" aca="1" ref="Q95" ca="1">Common_InputFunctions.Utility_DisplayArrayInTable(Common_SourceData.Common_SourceData_ClimateZones_Data(), Table_SourceData_ClimateZones[[#Headers],[Climate zone]], 0)</f>
        <v/>
      </c>
      <c r="R95" s="30" t="str" cm="1">
        <f t="array" aca="1" ref="R95" ca="1">Common_InputFunctions.Utility_DisplayArrayInTable(Common_SourceData.Common_SourceData_ClimateZones_Data(), Table_SourceData_ClimateZones[[#Headers],[Climate zone]], 0)</f>
        <v/>
      </c>
      <c r="S95" s="30" t="str" cm="1">
        <f t="array" aca="1" ref="S95" ca="1">Common_InputFunctions.Utility_DisplayArrayInTable(Common_SourceData.Common_SourceData_ClimateZones_Data(), Table_SourceData_ClimateZones[[#Headers],[Climate zone]], 0)</f>
        <v/>
      </c>
      <c r="T95" s="30"/>
    </row>
    <row r="96" spans="1:20" ht="20.100000000000001" customHeight="1" x14ac:dyDescent="0.25">
      <c r="A96"/>
      <c r="D96" s="30" t="str" cm="1">
        <f t="array" aca="1" ref="D96" ca="1">Common_InputFunctions.Utility_DisplayArrayInTable(Common_SourceData.Common_SourceData_ClimateZones_Data(), Table_SourceData_ClimateZones[[#Headers],[Climate zone]], 0)</f>
        <v/>
      </c>
      <c r="E96" s="30" t="str" cm="1">
        <f t="array" aca="1" ref="E96" ca="1">Common_InputFunctions.Utility_DisplayArrayInTable(Common_SourceData.Common_SourceData_ClimateZones_Data(), Table_SourceData_ClimateZones[[#Headers],[Climate zone]], 0)</f>
        <v/>
      </c>
      <c r="F96" s="30" t="str" cm="1">
        <f t="array" aca="1" ref="F96" ca="1">Common_InputFunctions.Utility_DisplayArrayInTable(Common_SourceData.Common_SourceData_ClimateZones_Data(), Table_SourceData_ClimateZones[[#Headers],[Climate zone]], 0)</f>
        <v/>
      </c>
      <c r="G96" s="30" t="str" cm="1">
        <f t="array" aca="1" ref="G96" ca="1">Common_InputFunctions.Utility_DisplayArrayInTable(Common_SourceData.Common_SourceData_ClimateZones_Data(), Table_SourceData_ClimateZones[[#Headers],[Climate zone]], 0)</f>
        <v/>
      </c>
      <c r="H96" s="30" t="str" cm="1">
        <f t="array" aca="1" ref="H96" ca="1">Common_InputFunctions.Utility_DisplayArrayInTable(Common_SourceData.Common_SourceData_ClimateZones_Data(), Table_SourceData_ClimateZones[[#Headers],[Climate zone]], 0)</f>
        <v/>
      </c>
      <c r="I96" s="30" t="str" cm="1">
        <f t="array" aca="1" ref="I96" ca="1">Common_InputFunctions.Utility_DisplayArrayInTable(Common_SourceData.Common_SourceData_ClimateZones_Data(), Table_SourceData_ClimateZones[[#Headers],[Climate zone]], 0)</f>
        <v/>
      </c>
      <c r="J96" s="30" t="str" cm="1">
        <f t="array" aca="1" ref="J96" ca="1">Common_InputFunctions.Utility_DisplayArrayInTable(Common_SourceData.Common_SourceData_ClimateZones_Data(), Table_SourceData_ClimateZones[[#Headers],[Climate zone]], 0)</f>
        <v/>
      </c>
      <c r="K96" s="30" t="str" cm="1">
        <f t="array" aca="1" ref="K96" ca="1">Common_InputFunctions.Utility_DisplayArrayInTable(Common_SourceData.Common_SourceData_ClimateZones_Data(), Table_SourceData_ClimateZones[[#Headers],[Climate zone]], 0)</f>
        <v/>
      </c>
      <c r="L96" s="30" t="str" cm="1">
        <f t="array" aca="1" ref="L96" ca="1">Common_InputFunctions.Utility_DisplayArrayInTable(Common_SourceData.Common_SourceData_ClimateZones_Data(), Table_SourceData_ClimateZones[[#Headers],[Climate zone]], 0)</f>
        <v/>
      </c>
      <c r="M96" s="30" t="str" cm="1">
        <f t="array" aca="1" ref="M96" ca="1">Common_InputFunctions.Utility_DisplayArrayInTable(Common_SourceData.Common_SourceData_ClimateZones_Data(), Table_SourceData_ClimateZones[[#Headers],[Climate zone]], 0)</f>
        <v/>
      </c>
      <c r="N96" s="30" t="str" cm="1">
        <f t="array" aca="1" ref="N96" ca="1">Common_InputFunctions.Utility_DisplayArrayInTable(Common_SourceData.Common_SourceData_ClimateZones_Data(), Table_SourceData_ClimateZones[[#Headers],[Climate zone]], 0)</f>
        <v/>
      </c>
      <c r="O96" s="30" t="str" cm="1">
        <f t="array" aca="1" ref="O96" ca="1">Common_InputFunctions.Utility_DisplayArrayInTable(Common_SourceData.Common_SourceData_ClimateZones_Data(), Table_SourceData_ClimateZones[[#Headers],[Climate zone]], 0)</f>
        <v/>
      </c>
      <c r="P96" s="30" t="str" cm="1">
        <f t="array" aca="1" ref="P96" ca="1">Common_InputFunctions.Utility_DisplayArrayInTable(Common_SourceData.Common_SourceData_ClimateZones_Data(), Table_SourceData_ClimateZones[[#Headers],[Climate zone]], 0)</f>
        <v/>
      </c>
      <c r="Q96" s="30" t="str" cm="1">
        <f t="array" aca="1" ref="Q96" ca="1">Common_InputFunctions.Utility_DisplayArrayInTable(Common_SourceData.Common_SourceData_ClimateZones_Data(), Table_SourceData_ClimateZones[[#Headers],[Climate zone]], 0)</f>
        <v/>
      </c>
      <c r="R96" s="30" t="str" cm="1">
        <f t="array" aca="1" ref="R96" ca="1">Common_InputFunctions.Utility_DisplayArrayInTable(Common_SourceData.Common_SourceData_ClimateZones_Data(), Table_SourceData_ClimateZones[[#Headers],[Climate zone]], 0)</f>
        <v/>
      </c>
      <c r="S96" s="30" t="str" cm="1">
        <f t="array" aca="1" ref="S96" ca="1">Common_InputFunctions.Utility_DisplayArrayInTable(Common_SourceData.Common_SourceData_ClimateZones_Data(), Table_SourceData_ClimateZones[[#Headers],[Climate zone]], 0)</f>
        <v/>
      </c>
      <c r="T96" s="30"/>
    </row>
    <row r="97" spans="1:20" ht="20.100000000000001" customHeight="1" x14ac:dyDescent="0.25">
      <c r="A97"/>
      <c r="D97" s="30" t="str" cm="1">
        <f t="array" aca="1" ref="D97" ca="1">Common_InputFunctions.Utility_DisplayArrayInTable(Common_SourceData.Common_SourceData_ClimateZones_Data(), Table_SourceData_ClimateZones[[#Headers],[Climate zone]], 0)</f>
        <v/>
      </c>
      <c r="E97" s="30" t="str" cm="1">
        <f t="array" aca="1" ref="E97" ca="1">Common_InputFunctions.Utility_DisplayArrayInTable(Common_SourceData.Common_SourceData_ClimateZones_Data(), Table_SourceData_ClimateZones[[#Headers],[Climate zone]], 0)</f>
        <v/>
      </c>
      <c r="F97" s="30" t="str" cm="1">
        <f t="array" aca="1" ref="F97" ca="1">Common_InputFunctions.Utility_DisplayArrayInTable(Common_SourceData.Common_SourceData_ClimateZones_Data(), Table_SourceData_ClimateZones[[#Headers],[Climate zone]], 0)</f>
        <v/>
      </c>
      <c r="G97" s="30" t="str" cm="1">
        <f t="array" aca="1" ref="G97" ca="1">Common_InputFunctions.Utility_DisplayArrayInTable(Common_SourceData.Common_SourceData_ClimateZones_Data(), Table_SourceData_ClimateZones[[#Headers],[Climate zone]], 0)</f>
        <v/>
      </c>
      <c r="H97" s="30" t="str" cm="1">
        <f t="array" aca="1" ref="H97" ca="1">Common_InputFunctions.Utility_DisplayArrayInTable(Common_SourceData.Common_SourceData_ClimateZones_Data(), Table_SourceData_ClimateZones[[#Headers],[Climate zone]], 0)</f>
        <v/>
      </c>
      <c r="I97" s="30" t="str" cm="1">
        <f t="array" aca="1" ref="I97" ca="1">Common_InputFunctions.Utility_DisplayArrayInTable(Common_SourceData.Common_SourceData_ClimateZones_Data(), Table_SourceData_ClimateZones[[#Headers],[Climate zone]], 0)</f>
        <v/>
      </c>
      <c r="J97" s="30" t="str" cm="1">
        <f t="array" aca="1" ref="J97" ca="1">Common_InputFunctions.Utility_DisplayArrayInTable(Common_SourceData.Common_SourceData_ClimateZones_Data(), Table_SourceData_ClimateZones[[#Headers],[Climate zone]], 0)</f>
        <v/>
      </c>
      <c r="K97" s="30" t="str" cm="1">
        <f t="array" aca="1" ref="K97" ca="1">Common_InputFunctions.Utility_DisplayArrayInTable(Common_SourceData.Common_SourceData_ClimateZones_Data(), Table_SourceData_ClimateZones[[#Headers],[Climate zone]], 0)</f>
        <v/>
      </c>
      <c r="L97" s="30" t="str" cm="1">
        <f t="array" aca="1" ref="L97" ca="1">Common_InputFunctions.Utility_DisplayArrayInTable(Common_SourceData.Common_SourceData_ClimateZones_Data(), Table_SourceData_ClimateZones[[#Headers],[Climate zone]], 0)</f>
        <v/>
      </c>
      <c r="M97" s="30" t="str" cm="1">
        <f t="array" aca="1" ref="M97" ca="1">Common_InputFunctions.Utility_DisplayArrayInTable(Common_SourceData.Common_SourceData_ClimateZones_Data(), Table_SourceData_ClimateZones[[#Headers],[Climate zone]], 0)</f>
        <v/>
      </c>
      <c r="N97" s="30" t="str" cm="1">
        <f t="array" aca="1" ref="N97" ca="1">Common_InputFunctions.Utility_DisplayArrayInTable(Common_SourceData.Common_SourceData_ClimateZones_Data(), Table_SourceData_ClimateZones[[#Headers],[Climate zone]], 0)</f>
        <v/>
      </c>
      <c r="O97" s="30" t="str" cm="1">
        <f t="array" aca="1" ref="O97" ca="1">Common_InputFunctions.Utility_DisplayArrayInTable(Common_SourceData.Common_SourceData_ClimateZones_Data(), Table_SourceData_ClimateZones[[#Headers],[Climate zone]], 0)</f>
        <v/>
      </c>
      <c r="P97" s="30" t="str" cm="1">
        <f t="array" aca="1" ref="P97" ca="1">Common_InputFunctions.Utility_DisplayArrayInTable(Common_SourceData.Common_SourceData_ClimateZones_Data(), Table_SourceData_ClimateZones[[#Headers],[Climate zone]], 0)</f>
        <v/>
      </c>
      <c r="Q97" s="30" t="str" cm="1">
        <f t="array" aca="1" ref="Q97" ca="1">Common_InputFunctions.Utility_DisplayArrayInTable(Common_SourceData.Common_SourceData_ClimateZones_Data(), Table_SourceData_ClimateZones[[#Headers],[Climate zone]], 0)</f>
        <v/>
      </c>
      <c r="R97" s="30" t="str" cm="1">
        <f t="array" aca="1" ref="R97" ca="1">Common_InputFunctions.Utility_DisplayArrayInTable(Common_SourceData.Common_SourceData_ClimateZones_Data(), Table_SourceData_ClimateZones[[#Headers],[Climate zone]], 0)</f>
        <v/>
      </c>
      <c r="S97" s="30" t="str" cm="1">
        <f t="array" aca="1" ref="S97" ca="1">Common_InputFunctions.Utility_DisplayArrayInTable(Common_SourceData.Common_SourceData_ClimateZones_Data(), Table_SourceData_ClimateZones[[#Headers],[Climate zone]], 0)</f>
        <v/>
      </c>
      <c r="T97" s="30"/>
    </row>
    <row r="98" spans="1:20" ht="20.100000000000001" customHeight="1" x14ac:dyDescent="0.25">
      <c r="A98"/>
    </row>
    <row r="99" spans="1:20" ht="20.100000000000001" customHeight="1" x14ac:dyDescent="0.25">
      <c r="A99"/>
      <c r="D99" s="16" t="str" cm="1">
        <f t="array" ref="D99:D102">Common_SourceData.Common_SourceData_ClimateZones_Appendices()</f>
        <v>Note:</v>
      </c>
    </row>
    <row r="100" spans="1:20" ht="20.100000000000001" customHeight="1" x14ac:dyDescent="0.25">
      <c r="A100"/>
      <c r="D100" s="16" t="str">
        <v>MAT = mean annual temperature</v>
      </c>
    </row>
    <row r="101" spans="1:20" ht="20.100000000000001" customHeight="1" x14ac:dyDescent="0.25">
      <c r="A101"/>
      <c r="D101" s="16" t="str">
        <v>MAP = mean annual precipitation</v>
      </c>
    </row>
    <row r="102" spans="1:20" ht="20.100000000000001" customHeight="1" x14ac:dyDescent="0.25">
      <c r="A102"/>
      <c r="D102" s="16" t="str">
        <v>PET = potential evapotranspiration</v>
      </c>
    </row>
    <row r="103" spans="1:20" ht="20.100000000000001" customHeight="1" x14ac:dyDescent="0.25">
      <c r="A103"/>
      <c r="D103" s="16"/>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8"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50</v>
      </c>
      <c r="E109" s="30" t="s">
        <v>35</v>
      </c>
      <c r="F109" s="30" t="s">
        <v>51</v>
      </c>
      <c r="G109" s="30" t="s">
        <v>52</v>
      </c>
    </row>
    <row r="110" spans="1:20" ht="20.100000000000001" customHeight="1" x14ac:dyDescent="0.25">
      <c r="A110"/>
      <c r="D110" s="30" t="str" cm="1">
        <f t="array" aca="1" ref="D110" ca="1">Common_InputFunctions.Utility_DisplayArrayInTable(Common_SourceData.Common_SourceData_TemperatureZones_Data(),Table_SourceData_TemperatureZones[[#Headers],[Temperature Zone]],0)</f>
        <v/>
      </c>
      <c r="E110" s="30" t="str" cm="1">
        <f t="array" aca="1" ref="E110" ca="1">Common_InputFunctions.Utility_DisplayArrayInTable(Common_SourceData.Common_SourceData_TemperatureZones_Data(),Table_SourceData_TemperatureZones[[#Headers],[Temperature Zone]],0)</f>
        <v/>
      </c>
      <c r="F110" s="30" t="str" cm="1">
        <f t="array" aca="1" ref="F110" ca="1">Common_InputFunctions.Utility_DisplayArrayInTable(Common_SourceData.Common_SourceData_TemperatureZones_Data(),Table_SourceData_TemperatureZones[[#Headers],[Temperature Zone]],0)</f>
        <v/>
      </c>
      <c r="G110" s="30" t="str" cm="1">
        <f t="array" aca="1" ref="G110" ca="1">Common_InputFunctions.Utility_DisplayArrayInTable(Common_SourceData.Common_SourceData_TemperatureZones_Data(),Table_SourceData_TemperatureZones[[#Headers],[Temperature Zone]],0)</f>
        <v/>
      </c>
    </row>
    <row r="111" spans="1:20" ht="20.100000000000001" customHeight="1" x14ac:dyDescent="0.25">
      <c r="A111"/>
      <c r="D111" s="30" t="str" cm="1">
        <f t="array" aca="1" ref="D111" ca="1">Common_InputFunctions.Utility_DisplayArrayInTable(Common_SourceData.Common_SourceData_TemperatureZones_Data(),Table_SourceData_TemperatureZones[[#Headers],[Temperature Zone]],0)</f>
        <v/>
      </c>
      <c r="E111" s="30" t="str" cm="1">
        <f t="array" aca="1" ref="E111" ca="1">Common_InputFunctions.Utility_DisplayArrayInTable(Common_SourceData.Common_SourceData_TemperatureZones_Data(),Table_SourceData_TemperatureZones[[#Headers],[Temperature Zone]],0)</f>
        <v/>
      </c>
      <c r="F111" s="30" t="str" cm="1">
        <f t="array" aca="1" ref="F111" ca="1">Common_InputFunctions.Utility_DisplayArrayInTable(Common_SourceData.Common_SourceData_TemperatureZones_Data(),Table_SourceData_TemperatureZones[[#Headers],[Temperature Zone]],0)</f>
        <v/>
      </c>
      <c r="G111" s="30" t="str" cm="1">
        <f t="array" aca="1" ref="G111" ca="1">Common_InputFunctions.Utility_DisplayArrayInTable(Common_SourceData.Common_SourceData_TemperatureZones_Data(),Table_SourceData_TemperatureZones[[#Headers],[Temperature Zone]],0)</f>
        <v/>
      </c>
    </row>
    <row r="112" spans="1:20" ht="20.100000000000001" customHeight="1" x14ac:dyDescent="0.25">
      <c r="A112"/>
      <c r="D112" s="30" t="str" cm="1">
        <f t="array" aca="1" ref="D112" ca="1">Common_InputFunctions.Utility_DisplayArrayInTable(Common_SourceData.Common_SourceData_TemperatureZones_Data(),Table_SourceData_TemperatureZones[[#Headers],[Temperature Zone]],0)</f>
        <v/>
      </c>
      <c r="E112" s="30" t="str" cm="1">
        <f t="array" aca="1" ref="E112" ca="1">Common_InputFunctions.Utility_DisplayArrayInTable(Common_SourceData.Common_SourceData_TemperatureZones_Data(),Table_SourceData_TemperatureZones[[#Headers],[Temperature Zone]],0)</f>
        <v/>
      </c>
      <c r="F112" s="30" t="str" cm="1">
        <f t="array" aca="1" ref="F112" ca="1">Common_InputFunctions.Utility_DisplayArrayInTable(Common_SourceData.Common_SourceData_TemperatureZones_Data(),Table_SourceData_TemperatureZones[[#Headers],[Temperature Zone]],0)</f>
        <v/>
      </c>
      <c r="G112" s="30" t="str" cm="1">
        <f t="array" aca="1" ref="G112" ca="1">Common_InputFunctions.Utility_DisplayArrayInTable(Common_SourceData.Common_SourceData_TemperatureZones_Data(),Table_SourceData_TemperatureZones[[#Headers],[Temperature Zone]],0)</f>
        <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8"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53</v>
      </c>
      <c r="E119" s="30" t="s">
        <v>54</v>
      </c>
      <c r="F119" s="30" t="s">
        <v>42</v>
      </c>
      <c r="G119" s="30" t="s">
        <v>43</v>
      </c>
      <c r="BN119" s="32"/>
    </row>
    <row r="120" spans="1:66" ht="20.100000000000001" customHeight="1" x14ac:dyDescent="0.25">
      <c r="A120"/>
      <c r="D120" s="30" t="str" cm="1">
        <f t="array" aca="1" ref="D120" ca="1">Common_InputFunctions.Utility_DisplayArrayInTable(Common_SourceData.Common_SourceData_RainfallZones_Data(),Table_SourceData_RainfallZones[[#Headers],[Rainfall Zone]],0)</f>
        <v/>
      </c>
      <c r="E120" s="30" t="str" cm="1">
        <f t="array" aca="1" ref="E120" ca="1">Common_InputFunctions.Utility_DisplayArrayInTable(Common_SourceData.Common_SourceData_RainfallZones_Data(),Table_SourceData_RainfallZones[[#Headers],[Rainfall Zone]],0)</f>
        <v/>
      </c>
      <c r="F120" s="30" t="str" cm="1">
        <f t="array" aca="1" ref="F120" ca="1">Common_InputFunctions.Utility_DisplayArrayInTable(Common_SourceData.Common_SourceData_RainfallZones_Data(),Table_SourceData_RainfallZones[[#Headers],[Rainfall Zone]],0)</f>
        <v/>
      </c>
      <c r="G120" s="30" t="str" cm="1">
        <f t="array" aca="1" ref="G120" ca="1">Common_InputFunctions.Utility_DisplayArrayInTable(Common_SourceData.Common_SourceData_RainfallZones_Data(),Table_SourceData_RainfallZones[[#Headers],[Rainfall Zone]],0)</f>
        <v/>
      </c>
      <c r="BN120" s="32"/>
    </row>
    <row r="121" spans="1:66" ht="20.100000000000001" customHeight="1" x14ac:dyDescent="0.25">
      <c r="A121"/>
      <c r="D121" s="30" t="str" cm="1">
        <f t="array" aca="1" ref="D121" ca="1">Common_InputFunctions.Utility_DisplayArrayInTable(Common_SourceData.Common_SourceData_RainfallZones_Data(),Table_SourceData_RainfallZones[[#Headers],[Rainfall Zone]],0)</f>
        <v/>
      </c>
      <c r="E121" s="30" t="str" cm="1">
        <f t="array" aca="1" ref="E121" ca="1">Common_InputFunctions.Utility_DisplayArrayInTable(Common_SourceData.Common_SourceData_RainfallZones_Data(),Table_SourceData_RainfallZones[[#Headers],[Rainfall Zone]],0)</f>
        <v/>
      </c>
      <c r="F121" s="30" t="str" cm="1">
        <f t="array" aca="1" ref="F121" ca="1">Common_InputFunctions.Utility_DisplayArrayInTable(Common_SourceData.Common_SourceData_RainfallZones_Data(),Table_SourceData_RainfallZones[[#Headers],[Rainfall Zone]],0)</f>
        <v/>
      </c>
      <c r="G121" s="30" t="str" cm="1">
        <f t="array" aca="1" ref="G121" ca="1">Common_InputFunctions.Utility_DisplayArrayInTable(Common_SourceData.Common_SourceData_RainfallZones_Data(),Table_SourceData_RainfallZones[[#Headers],[Rainfall Zone]],0)</f>
        <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55</v>
      </c>
      <c r="E127" s="30" t="s">
        <v>56</v>
      </c>
    </row>
    <row r="128" spans="1:66" ht="20.100000000000001" customHeight="1" x14ac:dyDescent="0.25">
      <c r="A128"/>
      <c r="D128" s="30" t="str" cm="1">
        <f t="array" aca="1" ref="D128" ca="1">Common_InputFunctions.Utility_DisplayArrayInTable(Common_SourceData.Common_SourceData_LeachingZones_Data(), Table_SourceData_LeachingZones[[#Headers],[Leaching Zone]], 0)</f>
        <v/>
      </c>
      <c r="E128" s="30" t="str" cm="1">
        <f t="array" aca="1" ref="E128" ca="1">Common_InputFunctions.Utility_DisplayArrayInTable(Common_SourceData.Common_SourceData_LeachingZones_Data(), Table_SourceData_LeachingZones[[#Headers],[Leaching Zone]], 0)</f>
        <v/>
      </c>
    </row>
    <row r="129" spans="1:77" ht="20.100000000000001" customHeight="1" x14ac:dyDescent="0.25">
      <c r="A129"/>
      <c r="D129" s="30" t="str" cm="1">
        <f t="array" aca="1" ref="D129" ca="1">Common_InputFunctions.Utility_DisplayArrayInTable(Common_SourceData.Common_SourceData_LeachingZones_Data(), Table_SourceData_LeachingZones[[#Headers],[Leaching Zone]], 0)</f>
        <v/>
      </c>
      <c r="E129" s="30" t="str" cm="1">
        <f t="array" aca="1" ref="E129" ca="1">Common_InputFunctions.Utility_DisplayArrayInTable(Common_SourceData.Common_SourceData_LeachingZones_Data(), Table_SourceData_LeachingZones[[#Headers],[Leaching Zone]], 0)</f>
        <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28" t="str" cm="1">
        <f t="array" ref="D133">Common_SourceData.Common_SourceData_FracWET_Source()</f>
        <v>VEERG 2026:5.5.2.3 Constant Parameters</v>
      </c>
      <c r="E133" s="9"/>
    </row>
    <row r="134" spans="1:77" ht="20.100000000000001" customHeight="1" x14ac:dyDescent="0.25">
      <c r="A134"/>
      <c r="D134" t="s">
        <v>57</v>
      </c>
      <c r="E134" t="s">
        <v>58</v>
      </c>
    </row>
    <row r="135" spans="1:77" ht="20.100000000000001" customHeight="1" x14ac:dyDescent="0.25">
      <c r="A135"/>
      <c r="D135" t="str" cm="1">
        <f t="array" aca="1" ref="D135" ca="1">Common_InputFunctions.Utility_DisplayArrayInTable(Common_SourceData.Common_SourceData_FracWET_Data(),Table_SourceData_FracWET[[#Headers],[Is in leaching zone]],0)</f>
        <v/>
      </c>
      <c r="E135" t="str" cm="1">
        <f t="array" aca="1" ref="E135" ca="1">Common_InputFunctions.Utility_DisplayArrayInTable(Common_SourceData.Common_SourceData_FracWET_Data(),Table_SourceData_FracWET[[#Headers],[Is in leaching zone]],0)</f>
        <v/>
      </c>
    </row>
    <row r="136" spans="1:77" ht="20.100000000000001" customHeight="1" x14ac:dyDescent="0.25">
      <c r="A136"/>
      <c r="D136" s="1" t="str" cm="1">
        <f t="array" aca="1" ref="D136" ca="1">Common_InputFunctions.Utility_DisplayArrayInTable(Common_SourceData.Common_SourceData_FracWET_Data(),Table_SourceData_FracWET[[#Headers],[Is in leaching zone]],0)</f>
        <v/>
      </c>
      <c r="E136" s="30" t="str" cm="1">
        <f t="array" aca="1" ref="E136" ca="1">Common_InputFunctions.Utility_DisplayArrayInTable(Common_SourceData.Common_SourceData_FracWET_Data(),Table_SourceData_FracWET[[#Headers],[Is in leaching zone]],0)</f>
        <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8"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59</v>
      </c>
      <c r="E142" s="30" t="s">
        <v>58</v>
      </c>
      <c r="BN142" s="32"/>
    </row>
    <row r="143" spans="1:77" ht="20.100000000000001" customHeight="1" x14ac:dyDescent="0.25">
      <c r="A143"/>
      <c r="D143" s="30" t="str" cm="1">
        <f t="array" aca="1" ref="D143" ca="1">Common_InputFunctions.Utility_DisplayArrayInTable(Common_SourceData.Common_SourceData_FracWETIrrigation_Data(), Table_SourceData_FracWETIrrigation[[#Headers],[Irrigation type i]], 0)</f>
        <v/>
      </c>
      <c r="E143" s="30" t="str" cm="1">
        <f t="array" aca="1" ref="E143" ca="1">Common_InputFunctions.Utility_DisplayArrayInTable(Common_SourceData.Common_SourceData_FracWETIrrigation_Data(), Table_SourceData_FracWETIrrigation[[#Headers],[Irrigation type i]], 0)</f>
        <v/>
      </c>
      <c r="BN143" s="32"/>
    </row>
    <row r="144" spans="1:77" ht="20.100000000000001" customHeight="1" x14ac:dyDescent="0.25">
      <c r="A144"/>
      <c r="D144" s="1" t="str" cm="1">
        <f t="array" aca="1" ref="D144" ca="1">Common_InputFunctions.Utility_DisplayArrayInTable(Common_SourceData.Common_SourceData_FracWETIrrigation_Data(), Table_SourceData_FracWETIrrigation[[#Headers],[Irrigation type i]], 0)</f>
        <v/>
      </c>
      <c r="E144" s="30" t="str" cm="1">
        <f t="array" aca="1" ref="E144" ca="1">Common_InputFunctions.Utility_DisplayArrayInTable(Common_SourceData.Common_SourceData_FracWETIrrigation_Data(), Table_SourceData_FracWETIrrigation[[#Headers],[Irrigation type i]], 0)</f>
        <v/>
      </c>
      <c r="BN144" s="32"/>
    </row>
    <row r="145" spans="1:66" ht="20.100000000000001" customHeight="1" x14ac:dyDescent="0.25">
      <c r="A145"/>
      <c r="D145" s="1" t="str" cm="1">
        <f t="array" aca="1" ref="D145" ca="1">Common_InputFunctions.Utility_DisplayArrayInTable(Common_SourceData.Common_SourceData_FracWETIrrigation_Data(), Table_SourceData_FracWETIrrigation[[#Headers],[Irrigation type i]], 0)</f>
        <v/>
      </c>
      <c r="E145" s="30" t="str" cm="1">
        <f t="array" aca="1" ref="E145" ca="1">Common_InputFunctions.Utility_DisplayArrayInTable(Common_SourceData.Common_SourceData_FracWETIrrigation_Data(), Table_SourceData_FracWETIrrigation[[#Headers],[Irrigation type i]], 0)</f>
        <v/>
      </c>
      <c r="BN145" s="32"/>
    </row>
    <row r="146" spans="1:66" ht="20.100000000000001" customHeight="1" x14ac:dyDescent="0.25">
      <c r="A146"/>
      <c r="D146" s="1" t="str" cm="1">
        <f t="array" aca="1" ref="D146" ca="1">Common_InputFunctions.Utility_DisplayArrayInTable(Common_SourceData.Common_SourceData_FracWETIrrigation_Data(), Table_SourceData_FracWETIrrigation[[#Headers],[Irrigation type i]], 0)</f>
        <v/>
      </c>
      <c r="E146" s="30" t="str" cm="1">
        <f t="array" aca="1" ref="E146" ca="1">Common_InputFunctions.Utility_DisplayArrayInTable(Common_SourceData.Common_SourceData_FracWETIrrigation_Data(), Table_SourceData_FracWETIrrigation[[#Headers],[Irrigation type i]], 0)</f>
        <v/>
      </c>
      <c r="BN146" s="32"/>
    </row>
    <row r="147" spans="1:66" ht="20.100000000000001" customHeight="1" x14ac:dyDescent="0.25">
      <c r="A147"/>
      <c r="D147" s="1" t="str" cm="1">
        <f t="array" aca="1" ref="D147" ca="1">Common_InputFunctions.Utility_DisplayArrayInTable(Common_SourceData.Common_SourceData_FracWETIrrigation_Data(), Table_SourceData_FracWETIrrigation[[#Headers],[Irrigation type i]], 0)</f>
        <v/>
      </c>
      <c r="E147" s="30" t="str" cm="1">
        <f t="array" aca="1" ref="E147" ca="1">Common_InputFunctions.Utility_DisplayArrayInTable(Common_SourceData.Common_SourceData_FracWETIrrigation_Data(), Table_SourceData_FracWETIrrigation[[#Headers],[Irrigation type i]], 0)</f>
        <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8"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60</v>
      </c>
      <c r="E153" s="30" t="s">
        <v>61</v>
      </c>
      <c r="BC153" s="35"/>
      <c r="BD153" s="35"/>
      <c r="BE153" s="35"/>
      <c r="BF153" s="35"/>
      <c r="BG153" s="35"/>
      <c r="BH153" s="35"/>
      <c r="BI153" s="35"/>
      <c r="BJ153" s="35"/>
      <c r="BK153" s="35"/>
      <c r="BL153" s="35"/>
      <c r="BM153" s="35"/>
    </row>
    <row r="154" spans="1:66" ht="20.100000000000001" customHeight="1" x14ac:dyDescent="0.25">
      <c r="A154"/>
      <c r="D154" s="30" t="str" cm="1">
        <f t="array" aca="1" ref="D154" ca="1">Common_InputFunctions.Utility_DisplayArrayInTable(Common_SourceData.Common_SourceData_DataScores_Scope3_Data(), Table_SourceData_DataScores_Scope3[[#Headers],[Data source]], 0)</f>
        <v/>
      </c>
      <c r="E154" s="30" t="str" cm="1">
        <f t="array" aca="1" ref="E154" ca="1">Common_InputFunctions.Utility_DisplayArrayInTable(Common_SourceData.Common_SourceData_DataScores_Scope3_Data(), Table_SourceData_DataScores_Scope3[[#Headers],[Data source]], 0)</f>
        <v/>
      </c>
      <c r="BC154" s="35"/>
      <c r="BD154" s="35"/>
      <c r="BE154" s="35"/>
      <c r="BF154" s="35"/>
      <c r="BG154" s="35"/>
      <c r="BH154" s="35"/>
      <c r="BI154" s="35"/>
      <c r="BJ154" s="35"/>
      <c r="BK154" s="35"/>
      <c r="BL154" s="35"/>
      <c r="BM154" s="35"/>
    </row>
    <row r="155" spans="1:66" ht="20.100000000000001" customHeight="1" x14ac:dyDescent="0.25">
      <c r="A155"/>
      <c r="D155" s="30" t="str" cm="1">
        <f t="array" aca="1" ref="D155" ca="1">Common_InputFunctions.Utility_DisplayArrayInTable(Common_SourceData.Common_SourceData_DataScores_Scope3_Data(), Table_SourceData_DataScores_Scope3[[#Headers],[Data source]], 0)</f>
        <v/>
      </c>
      <c r="E155" s="30" t="str" cm="1">
        <f t="array" aca="1" ref="E155" ca="1">Common_InputFunctions.Utility_DisplayArrayInTable(Common_SourceData.Common_SourceData_DataScores_Scope3_Data(), Table_SourceData_DataScores_Scope3[[#Headers],[Data source]], 0)</f>
        <v/>
      </c>
      <c r="BC155" s="35"/>
      <c r="BD155" s="35"/>
      <c r="BE155" s="35"/>
      <c r="BF155" s="35"/>
      <c r="BG155" s="35"/>
      <c r="BH155" s="35"/>
      <c r="BI155" s="35"/>
      <c r="BJ155" s="35"/>
      <c r="BK155" s="35"/>
      <c r="BL155" s="35"/>
      <c r="BM155" s="35"/>
    </row>
    <row r="156" spans="1:66" ht="20.100000000000001" customHeight="1" x14ac:dyDescent="0.25">
      <c r="A156"/>
      <c r="D156" s="30" t="str" cm="1">
        <f t="array" aca="1" ref="D156" ca="1">Common_InputFunctions.Utility_DisplayArrayInTable(Common_SourceData.Common_SourceData_DataScores_Scope3_Data(), Table_SourceData_DataScores_Scope3[[#Headers],[Data source]], 0)</f>
        <v/>
      </c>
      <c r="E156" s="30" t="str" cm="1">
        <f t="array" aca="1" ref="E156" ca="1">Common_InputFunctions.Utility_DisplayArrayInTable(Common_SourceData.Common_SourceData_DataScores_Scope3_Data(), Table_SourceData_DataScores_Scope3[[#Headers],[Data source]], 0)</f>
        <v/>
      </c>
    </row>
    <row r="157" spans="1:66" ht="20.100000000000001" customHeight="1" x14ac:dyDescent="0.25">
      <c r="A157"/>
      <c r="D157" s="30" t="str" cm="1">
        <f t="array" aca="1" ref="D157" ca="1">Common_InputFunctions.Utility_DisplayArrayInTable(Common_SourceData.Common_SourceData_DataScores_Scope3_Data(), Table_SourceData_DataScores_Scope3[[#Headers],[Data source]], 0)</f>
        <v/>
      </c>
      <c r="E157" s="30" t="str" cm="1">
        <f t="array" aca="1" ref="E157" ca="1">Common_InputFunctions.Utility_DisplayArrayInTable(Common_SourceData.Common_SourceData_DataScores_Scope3_Data(), Table_SourceData_DataScores_Scope3[[#Headers],[Data source]], 0)</f>
        <v/>
      </c>
    </row>
    <row r="158" spans="1:66" ht="20.100000000000001" customHeight="1" x14ac:dyDescent="0.25">
      <c r="A158"/>
      <c r="D158" s="30" t="str" cm="1">
        <f t="array" aca="1" ref="D158" ca="1">Common_InputFunctions.Utility_DisplayArrayInTable(Common_SourceData.Common_SourceData_DataScores_Scope3_Data(), Table_SourceData_DataScores_Scope3[[#Headers],[Data source]], 0)</f>
        <v/>
      </c>
      <c r="E158" s="30" t="str" cm="1">
        <f t="array" aca="1" ref="E158" ca="1">Common_InputFunctions.Utility_DisplayArrayInTable(Common_SourceData.Common_SourceData_DataScores_Scope3_Data(), Table_SourceData_DataScores_Scope3[[#Headers],[Data source]], 0)</f>
        <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8" t="str" cm="1">
        <f t="array" ref="D168">Common_SourceData.Common_SourceData_EFleach_Source()</f>
        <v>VEERG 2026:5.5.2.3 Constant Parameters</v>
      </c>
      <c r="BN168" s="32"/>
      <c r="BO168" s="32"/>
      <c r="BP168" s="32"/>
    </row>
    <row r="169" spans="4:68" ht="20.100000000000001" customHeight="1" x14ac:dyDescent="0.25">
      <c r="D169" s="28"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8"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8" t="str" cm="1">
        <f t="array" ref="D179">Common_SourceData.Common_SourceData_EFN2O_Source()</f>
        <v>VEERG 2026: Table A.2.2.1</v>
      </c>
      <c r="BN179" s="32"/>
      <c r="BO179" s="32"/>
      <c r="BP179" s="32"/>
    </row>
    <row r="180" spans="4:68" ht="20.100000000000001" customHeight="1" x14ac:dyDescent="0.25">
      <c r="D180" s="16"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62</v>
      </c>
      <c r="E186" s="30" t="s">
        <v>63</v>
      </c>
      <c r="F186" s="30" t="s">
        <v>64</v>
      </c>
      <c r="G186" s="30" t="s">
        <v>65</v>
      </c>
      <c r="H186" s="30" t="s">
        <v>66</v>
      </c>
    </row>
    <row r="187" spans="4:68" ht="20.100000000000001" customHeight="1" x14ac:dyDescent="0.25">
      <c r="D187" s="30" t="str" cm="1">
        <f t="array" aca="1" ref="D187" ca="1">Common_InputFunctions.Utility_DisplayArrayInTable(Common_SourceData.Common_SourceData_EFN2O_Data(), Table_SourceData_Common_EFN2O[[#Headers],[Production system j]], 0)</f>
        <v/>
      </c>
      <c r="E187" s="30" t="str" cm="1">
        <f t="array" aca="1" ref="E187" ca="1">Common_InputFunctions.Utility_DisplayArrayInTable(Common_SourceData.Common_SourceData_EFN2O_Data(), Table_SourceData_Common_EFN2O[[#Headers],[Production system j]], 0)</f>
        <v/>
      </c>
      <c r="F187" s="30" t="str" cm="1">
        <f t="array" aca="1" ref="F187" ca="1">Common_InputFunctions.Utility_DisplayArrayInTable(Common_SourceData.Common_SourceData_EFN2O_Data(), Table_SourceData_Common_EFN2O[[#Headers],[Production system j]], 0)</f>
        <v/>
      </c>
      <c r="G187" s="30" t="str" cm="1">
        <f t="array" aca="1" ref="G187" ca="1">Common_InputFunctions.Utility_DisplayArrayInTable(Common_SourceData.Common_SourceData_EFN2O_Data(), Table_SourceData_Common_EFN2O[[#Headers],[Production system j]], 0)</f>
        <v/>
      </c>
      <c r="H187" s="30" t="str" cm="1">
        <f t="array" aca="1" ref="H187" ca="1">Common_InputFunctions.Utility_DisplayArrayInTable(Common_SourceData.Common_SourceData_EFN2O_Data(), Table_SourceData_Common_EFN2O[[#Headers],[Production system j]], 0)</f>
        <v/>
      </c>
    </row>
    <row r="188" spans="4:68" ht="20.100000000000001" customHeight="1" x14ac:dyDescent="0.25">
      <c r="D188" s="30" t="str" cm="1">
        <f t="array" aca="1" ref="D188" ca="1">Common_InputFunctions.Utility_DisplayArrayInTable(Common_SourceData.Common_SourceData_EFN2O_Data(), Table_SourceData_Common_EFN2O[[#Headers],[Production system j]], 0)</f>
        <v/>
      </c>
      <c r="E188" s="30" t="str" cm="1">
        <f t="array" aca="1" ref="E188" ca="1">Common_InputFunctions.Utility_DisplayArrayInTable(Common_SourceData.Common_SourceData_EFN2O_Data(), Table_SourceData_Common_EFN2O[[#Headers],[Production system j]], 0)</f>
        <v/>
      </c>
      <c r="F188" s="30" t="str" cm="1">
        <f t="array" aca="1" ref="F188" ca="1">Common_InputFunctions.Utility_DisplayArrayInTable(Common_SourceData.Common_SourceData_EFN2O_Data(), Table_SourceData_Common_EFN2O[[#Headers],[Production system j]], 0)</f>
        <v/>
      </c>
      <c r="G188" s="30" t="str" cm="1">
        <f t="array" aca="1" ref="G188" ca="1">Common_InputFunctions.Utility_DisplayArrayInTable(Common_SourceData.Common_SourceData_EFN2O_Data(), Table_SourceData_Common_EFN2O[[#Headers],[Production system j]], 0)</f>
        <v/>
      </c>
      <c r="H188" s="30" t="str" cm="1">
        <f t="array" aca="1" ref="H188" ca="1">Common_InputFunctions.Utility_DisplayArrayInTable(Common_SourceData.Common_SourceData_EFN2O_Data(), Table_SourceData_Common_EFN2O[[#Headers],[Production system j]], 0)</f>
        <v/>
      </c>
    </row>
    <row r="189" spans="4:68" ht="20.100000000000001" customHeight="1" x14ac:dyDescent="0.25">
      <c r="D189" s="30" t="str" cm="1">
        <f t="array" aca="1" ref="D189" ca="1">Common_InputFunctions.Utility_DisplayArrayInTable(Common_SourceData.Common_SourceData_EFN2O_Data(), Table_SourceData_Common_EFN2O[[#Headers],[Production system j]], 0)</f>
        <v/>
      </c>
      <c r="E189" s="30" t="str" cm="1">
        <f t="array" aca="1" ref="E189" ca="1">Common_InputFunctions.Utility_DisplayArrayInTable(Common_SourceData.Common_SourceData_EFN2O_Data(), Table_SourceData_Common_EFN2O[[#Headers],[Production system j]], 0)</f>
        <v/>
      </c>
      <c r="F189" s="30" t="str" cm="1">
        <f t="array" aca="1" ref="F189" ca="1">Common_InputFunctions.Utility_DisplayArrayInTable(Common_SourceData.Common_SourceData_EFN2O_Data(), Table_SourceData_Common_EFN2O[[#Headers],[Production system j]], 0)</f>
        <v/>
      </c>
      <c r="G189" s="30" t="str" cm="1">
        <f t="array" aca="1" ref="G189" ca="1">Common_InputFunctions.Utility_DisplayArrayInTable(Common_SourceData.Common_SourceData_EFN2O_Data(), Table_SourceData_Common_EFN2O[[#Headers],[Production system j]], 0)</f>
        <v/>
      </c>
      <c r="H189" s="30" t="str" cm="1">
        <f t="array" aca="1" ref="H189" ca="1">Common_InputFunctions.Utility_DisplayArrayInTable(Common_SourceData.Common_SourceData_EFN2O_Data(), Table_SourceData_Common_EFN2O[[#Headers],[Production system j]], 0)</f>
        <v/>
      </c>
    </row>
    <row r="190" spans="4:68" ht="20.100000000000001" customHeight="1" x14ac:dyDescent="0.25">
      <c r="D190" s="30" t="str" cm="1">
        <f t="array" aca="1" ref="D190" ca="1">Common_InputFunctions.Utility_DisplayArrayInTable(Common_SourceData.Common_SourceData_EFN2O_Data(), Table_SourceData_Common_EFN2O[[#Headers],[Production system j]], 0)</f>
        <v/>
      </c>
      <c r="E190" s="30" t="str" cm="1">
        <f t="array" aca="1" ref="E190" ca="1">Common_InputFunctions.Utility_DisplayArrayInTable(Common_SourceData.Common_SourceData_EFN2O_Data(), Table_SourceData_Common_EFN2O[[#Headers],[Production system j]], 0)</f>
        <v/>
      </c>
      <c r="F190" s="30" t="str" cm="1">
        <f t="array" aca="1" ref="F190" ca="1">Common_InputFunctions.Utility_DisplayArrayInTable(Common_SourceData.Common_SourceData_EFN2O_Data(), Table_SourceData_Common_EFN2O[[#Headers],[Production system j]], 0)</f>
        <v/>
      </c>
      <c r="G190" s="30" t="str" cm="1">
        <f t="array" aca="1" ref="G190" ca="1">Common_InputFunctions.Utility_DisplayArrayInTable(Common_SourceData.Common_SourceData_EFN2O_Data(), Table_SourceData_Common_EFN2O[[#Headers],[Production system j]], 0)</f>
        <v/>
      </c>
      <c r="H190" s="30" t="str" cm="1">
        <f t="array" aca="1" ref="H190" ca="1">Common_InputFunctions.Utility_DisplayArrayInTable(Common_SourceData.Common_SourceData_EFN2O_Data(), Table_SourceData_Common_EFN2O[[#Headers],[Production system j]], 0)</f>
        <v/>
      </c>
    </row>
    <row r="191" spans="4:68" ht="20.100000000000001" customHeight="1" x14ac:dyDescent="0.25">
      <c r="D191" s="30" t="str" cm="1">
        <f t="array" aca="1" ref="D191" ca="1">Common_InputFunctions.Utility_DisplayArrayInTable(Common_SourceData.Common_SourceData_EFN2O_Data(), Table_SourceData_Common_EFN2O[[#Headers],[Production system j]], 0)</f>
        <v/>
      </c>
      <c r="E191" s="30" t="str" cm="1">
        <f t="array" aca="1" ref="E191" ca="1">Common_InputFunctions.Utility_DisplayArrayInTable(Common_SourceData.Common_SourceData_EFN2O_Data(), Table_SourceData_Common_EFN2O[[#Headers],[Production system j]], 0)</f>
        <v/>
      </c>
      <c r="F191" s="30" t="str" cm="1">
        <f t="array" aca="1" ref="F191" ca="1">Common_InputFunctions.Utility_DisplayArrayInTable(Common_SourceData.Common_SourceData_EFN2O_Data(), Table_SourceData_Common_EFN2O[[#Headers],[Production system j]], 0)</f>
        <v/>
      </c>
      <c r="G191" s="30" t="str" cm="1">
        <f t="array" aca="1" ref="G191" ca="1">Common_InputFunctions.Utility_DisplayArrayInTable(Common_SourceData.Common_SourceData_EFN2O_Data(), Table_SourceData_Common_EFN2O[[#Headers],[Production system j]], 0)</f>
        <v/>
      </c>
      <c r="H191" s="30" t="str" cm="1">
        <f t="array" aca="1" ref="H191" ca="1">Common_InputFunctions.Utility_DisplayArrayInTable(Common_SourceData.Common_SourceData_EFN2O_Data(), Table_SourceData_Common_EFN2O[[#Headers],[Production system j]], 0)</f>
        <v/>
      </c>
    </row>
    <row r="192" spans="4:68" ht="20.100000000000001" customHeight="1" x14ac:dyDescent="0.25">
      <c r="D192" s="30" t="str" cm="1">
        <f t="array" aca="1" ref="D192" ca="1">Common_InputFunctions.Utility_DisplayArrayInTable(Common_SourceData.Common_SourceData_EFN2O_Data(), Table_SourceData_Common_EFN2O[[#Headers],[Production system j]], 0)</f>
        <v/>
      </c>
      <c r="E192" s="30" t="str" cm="1">
        <f t="array" aca="1" ref="E192" ca="1">Common_InputFunctions.Utility_DisplayArrayInTable(Common_SourceData.Common_SourceData_EFN2O_Data(), Table_SourceData_Common_EFN2O[[#Headers],[Production system j]], 0)</f>
        <v/>
      </c>
      <c r="F192" s="30" t="str" cm="1">
        <f t="array" aca="1" ref="F192" ca="1">Common_InputFunctions.Utility_DisplayArrayInTable(Common_SourceData.Common_SourceData_EFN2O_Data(), Table_SourceData_Common_EFN2O[[#Headers],[Production system j]], 0)</f>
        <v/>
      </c>
      <c r="G192" s="30" t="str" cm="1">
        <f t="array" aca="1" ref="G192" ca="1">Common_InputFunctions.Utility_DisplayArrayInTable(Common_SourceData.Common_SourceData_EFN2O_Data(), Table_SourceData_Common_EFN2O[[#Headers],[Production system j]], 0)</f>
        <v/>
      </c>
      <c r="H192" s="30" t="str" cm="1">
        <f t="array" aca="1" ref="H192" ca="1">Common_InputFunctions.Utility_DisplayArrayInTable(Common_SourceData.Common_SourceData_EFN2O_Data(), Table_SourceData_Common_EFN2O[[#Headers],[Production system j]], 0)</f>
        <v/>
      </c>
    </row>
    <row r="193" spans="4:8" ht="20.100000000000001" customHeight="1" x14ac:dyDescent="0.25">
      <c r="D193" s="30" t="str" cm="1">
        <f t="array" aca="1" ref="D193" ca="1">Common_InputFunctions.Utility_DisplayArrayInTable(Common_SourceData.Common_SourceData_EFN2O_Data(), Table_SourceData_Common_EFN2O[[#Headers],[Production system j]], 0)</f>
        <v/>
      </c>
      <c r="E193" s="30" t="str" cm="1">
        <f t="array" aca="1" ref="E193" ca="1">Common_InputFunctions.Utility_DisplayArrayInTable(Common_SourceData.Common_SourceData_EFN2O_Data(), Table_SourceData_Common_EFN2O[[#Headers],[Production system j]], 0)</f>
        <v/>
      </c>
      <c r="F193" s="30" t="str" cm="1">
        <f t="array" aca="1" ref="F193" ca="1">Common_InputFunctions.Utility_DisplayArrayInTable(Common_SourceData.Common_SourceData_EFN2O_Data(), Table_SourceData_Common_EFN2O[[#Headers],[Production system j]], 0)</f>
        <v/>
      </c>
      <c r="G193" s="30" t="str" cm="1">
        <f t="array" aca="1" ref="G193" ca="1">Common_InputFunctions.Utility_DisplayArrayInTable(Common_SourceData.Common_SourceData_EFN2O_Data(), Table_SourceData_Common_EFN2O[[#Headers],[Production system j]], 0)</f>
        <v/>
      </c>
      <c r="H193" s="30" t="str" cm="1">
        <f t="array" aca="1" ref="H193" ca="1">Common_InputFunctions.Utility_DisplayArrayInTable(Common_SourceData.Common_SourceData_EFN2O_Data(), Table_SourceData_Common_EFN2O[[#Headers],[Production system j]], 0)</f>
        <v/>
      </c>
    </row>
    <row r="194" spans="4:8" ht="20.100000000000001" customHeight="1" x14ac:dyDescent="0.25">
      <c r="D194" s="30" t="str" cm="1">
        <f t="array" aca="1" ref="D194" ca="1">Common_InputFunctions.Utility_DisplayArrayInTable(Common_SourceData.Common_SourceData_EFN2O_Data(), Table_SourceData_Common_EFN2O[[#Headers],[Production system j]], 0)</f>
        <v/>
      </c>
      <c r="E194" s="30" t="str" cm="1">
        <f t="array" aca="1" ref="E194" ca="1">Common_InputFunctions.Utility_DisplayArrayInTable(Common_SourceData.Common_SourceData_EFN2O_Data(), Table_SourceData_Common_EFN2O[[#Headers],[Production system j]], 0)</f>
        <v/>
      </c>
      <c r="F194" s="30" t="str" cm="1">
        <f t="array" aca="1" ref="F194" ca="1">Common_InputFunctions.Utility_DisplayArrayInTable(Common_SourceData.Common_SourceData_EFN2O_Data(), Table_SourceData_Common_EFN2O[[#Headers],[Production system j]], 0)</f>
        <v/>
      </c>
      <c r="G194" s="30" t="str" cm="1">
        <f t="array" aca="1" ref="G194" ca="1">Common_InputFunctions.Utility_DisplayArrayInTable(Common_SourceData.Common_SourceData_EFN2O_Data(), Table_SourceData_Common_EFN2O[[#Headers],[Production system j]], 0)</f>
        <v/>
      </c>
      <c r="H194" s="30" t="str" cm="1">
        <f t="array" aca="1" ref="H194" ca="1">Common_InputFunctions.Utility_DisplayArrayInTable(Common_SourceData.Common_SourceData_EFN2O_Data(), Table_SourceData_Common_EFN2O[[#Headers],[Production system j]], 0)</f>
        <v/>
      </c>
    </row>
    <row r="195" spans="4:8" ht="20.100000000000001" customHeight="1" x14ac:dyDescent="0.25">
      <c r="D195" s="30" t="str" cm="1">
        <f t="array" aca="1" ref="D195" ca="1">Common_InputFunctions.Utility_DisplayArrayInTable(Common_SourceData.Common_SourceData_EFN2O_Data(), Table_SourceData_Common_EFN2O[[#Headers],[Production system j]], 0)</f>
        <v/>
      </c>
      <c r="E195" s="30" t="str" cm="1">
        <f t="array" aca="1" ref="E195" ca="1">Common_InputFunctions.Utility_DisplayArrayInTable(Common_SourceData.Common_SourceData_EFN2O_Data(), Table_SourceData_Common_EFN2O[[#Headers],[Production system j]], 0)</f>
        <v/>
      </c>
      <c r="F195" s="30" t="str" cm="1">
        <f t="array" aca="1" ref="F195" ca="1">Common_InputFunctions.Utility_DisplayArrayInTable(Common_SourceData.Common_SourceData_EFN2O_Data(), Table_SourceData_Common_EFN2O[[#Headers],[Production system j]], 0)</f>
        <v/>
      </c>
      <c r="G195" s="30" t="str" cm="1">
        <f t="array" aca="1" ref="G195" ca="1">Common_InputFunctions.Utility_DisplayArrayInTable(Common_SourceData.Common_SourceData_EFN2O_Data(), Table_SourceData_Common_EFN2O[[#Headers],[Production system j]], 0)</f>
        <v/>
      </c>
      <c r="H195" s="30" t="str" cm="1">
        <f t="array" aca="1" ref="H195" ca="1">Common_InputFunctions.Utility_DisplayArrayInTable(Common_SourceData.Common_SourceData_EFN2O_Data(), Table_SourceData_Common_EFN2O[[#Headers],[Production system j]], 0)</f>
        <v/>
      </c>
    </row>
    <row r="196" spans="4:8" ht="20.100000000000001" customHeight="1" x14ac:dyDescent="0.25">
      <c r="D196" s="30" t="str" cm="1">
        <f t="array" aca="1" ref="D196" ca="1">Common_InputFunctions.Utility_DisplayArrayInTable(Common_SourceData.Common_SourceData_EFN2O_Data(), Table_SourceData_Common_EFN2O[[#Headers],[Production system j]], 0)</f>
        <v/>
      </c>
      <c r="E196" s="30" t="str" cm="1">
        <f t="array" aca="1" ref="E196" ca="1">Common_InputFunctions.Utility_DisplayArrayInTable(Common_SourceData.Common_SourceData_EFN2O_Data(), Table_SourceData_Common_EFN2O[[#Headers],[Production system j]], 0)</f>
        <v/>
      </c>
      <c r="F196" s="30" t="str" cm="1">
        <f t="array" aca="1" ref="F196" ca="1">Common_InputFunctions.Utility_DisplayArrayInTable(Common_SourceData.Common_SourceData_EFN2O_Data(), Table_SourceData_Common_EFN2O[[#Headers],[Production system j]], 0)</f>
        <v/>
      </c>
      <c r="G196" s="30" t="str" cm="1">
        <f t="array" aca="1" ref="G196" ca="1">Common_InputFunctions.Utility_DisplayArrayInTable(Common_SourceData.Common_SourceData_EFN2O_Data(), Table_SourceData_Common_EFN2O[[#Headers],[Production system j]], 0)</f>
        <v/>
      </c>
      <c r="H196" s="30" t="str" cm="1">
        <f t="array" aca="1" ref="H196" ca="1">Common_InputFunctions.Utility_DisplayArrayInTable(Common_SourceData.Common_SourceData_EFN2O_Data(), Table_SourceData_Common_EFN2O[[#Headers],[Production system j]], 0)</f>
        <v/>
      </c>
    </row>
    <row r="197" spans="4:8" x14ac:dyDescent="0.25">
      <c r="D197" s="30" t="str" cm="1">
        <f t="array" aca="1" ref="D197" ca="1">Common_InputFunctions.Utility_DisplayArrayInTable(Common_SourceData.Common_SourceData_EFN2O_Data(), Table_SourceData_Common_EFN2O[[#Headers],[Production system j]], 0)</f>
        <v/>
      </c>
      <c r="E197" s="30" t="str" cm="1">
        <f t="array" aca="1" ref="E197" ca="1">Common_InputFunctions.Utility_DisplayArrayInTable(Common_SourceData.Common_SourceData_EFN2O_Data(), Table_SourceData_Common_EFN2O[[#Headers],[Production system j]], 0)</f>
        <v/>
      </c>
      <c r="F197" s="30" t="str" cm="1">
        <f t="array" aca="1" ref="F197" ca="1">Common_InputFunctions.Utility_DisplayArrayInTable(Common_SourceData.Common_SourceData_EFN2O_Data(), Table_SourceData_Common_EFN2O[[#Headers],[Production system j]], 0)</f>
        <v/>
      </c>
      <c r="G197" s="30" t="str" cm="1">
        <f t="array" aca="1" ref="G197" ca="1">Common_InputFunctions.Utility_DisplayArrayInTable(Common_SourceData.Common_SourceData_EFN2O_Data(), Table_SourceData_Common_EFN2O[[#Headers],[Production system j]], 0)</f>
        <v/>
      </c>
      <c r="H197" s="30" t="str" cm="1">
        <f t="array" aca="1" ref="H197" ca="1">Common_InputFunctions.Utility_DisplayArrayInTable(Common_SourceData.Common_SourceData_EFN2O_Data(), Table_SourceData_Common_EFN2O[[#Headers],[Production system j]], 0)</f>
        <v/>
      </c>
    </row>
    <row r="198" spans="4:8" x14ac:dyDescent="0.25">
      <c r="D198" s="30" t="str" cm="1">
        <f t="array" aca="1" ref="D198" ca="1">Common_InputFunctions.Utility_DisplayArrayInTable(Common_SourceData.Common_SourceData_EFN2O_Data(), Table_SourceData_Common_EFN2O[[#Headers],[Production system j]], 0)</f>
        <v/>
      </c>
      <c r="E198" s="30" t="str" cm="1">
        <f t="array" aca="1" ref="E198" ca="1">Common_InputFunctions.Utility_DisplayArrayInTable(Common_SourceData.Common_SourceData_EFN2O_Data(), Table_SourceData_Common_EFN2O[[#Headers],[Production system j]], 0)</f>
        <v/>
      </c>
      <c r="F198" s="30" t="str" cm="1">
        <f t="array" aca="1" ref="F198" ca="1">Common_InputFunctions.Utility_DisplayArrayInTable(Common_SourceData.Common_SourceData_EFN2O_Data(), Table_SourceData_Common_EFN2O[[#Headers],[Production system j]], 0)</f>
        <v/>
      </c>
      <c r="G198" s="30" t="str" cm="1">
        <f t="array" aca="1" ref="G198" ca="1">Common_InputFunctions.Utility_DisplayArrayInTable(Common_SourceData.Common_SourceData_EFN2O_Data(), Table_SourceData_Common_EFN2O[[#Headers],[Production system j]], 0)</f>
        <v/>
      </c>
      <c r="H198" s="30" t="str" cm="1">
        <f t="array" aca="1" ref="H198" ca="1">Common_InputFunctions.Utility_DisplayArrayInTable(Common_SourceData.Common_SourceData_EFN2O_Data(), Table_SourceData_Common_EFN2O[[#Headers],[Production system j]], 0)</f>
        <v/>
      </c>
    </row>
    <row r="199" spans="4:8" x14ac:dyDescent="0.25">
      <c r="D199" s="30" t="str" cm="1">
        <f t="array" aca="1" ref="D199" ca="1">Common_InputFunctions.Utility_DisplayArrayInTable(Common_SourceData.Common_SourceData_EFN2O_Data(), Table_SourceData_Common_EFN2O[[#Headers],[Production system j]], 0)</f>
        <v/>
      </c>
      <c r="E199" s="30" t="str" cm="1">
        <f t="array" aca="1" ref="E199" ca="1">Common_InputFunctions.Utility_DisplayArrayInTable(Common_SourceData.Common_SourceData_EFN2O_Data(), Table_SourceData_Common_EFN2O[[#Headers],[Production system j]], 0)</f>
        <v/>
      </c>
      <c r="F199" s="30" t="str" cm="1">
        <f t="array" aca="1" ref="F199" ca="1">Common_InputFunctions.Utility_DisplayArrayInTable(Common_SourceData.Common_SourceData_EFN2O_Data(), Table_SourceData_Common_EFN2O[[#Headers],[Production system j]], 0)</f>
        <v/>
      </c>
      <c r="G199" s="30" t="str" cm="1">
        <f t="array" aca="1" ref="G199" ca="1">Common_InputFunctions.Utility_DisplayArrayInTable(Common_SourceData.Common_SourceData_EFN2O_Data(), Table_SourceData_Common_EFN2O[[#Headers],[Production system j]], 0)</f>
        <v/>
      </c>
      <c r="H199" s="30" t="str" cm="1">
        <f t="array" aca="1" ref="H199" ca="1">Common_InputFunctions.Utility_DisplayArrayInTable(Common_SourceData.Common_SourceData_EFN2O_Data(), Table_SourceData_Common_EFN2O[[#Headers],[Production system j]], 0)</f>
        <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0" t="s">
        <v>33</v>
      </c>
      <c r="E206" s="30" t="s">
        <v>67</v>
      </c>
    </row>
    <row r="207" spans="4:8" x14ac:dyDescent="0.25">
      <c r="D207" s="30" t="str" cm="1">
        <f t="array" aca="1" ref="D207" ca="1">Common_InputFunctions.Utility_DisplayArrayInTable(Common_SourceData.Common_SourceData_EFPastureRangeAndPaddock_Data(), Table_SourceData_EFPastureRangeAndPaddock[[#Headers],[Climate zone]], 0)</f>
        <v/>
      </c>
      <c r="E207" s="30" t="str" cm="1">
        <f t="array" aca="1" ref="E207" ca="1">Common_InputFunctions.Utility_DisplayArrayInTable(Common_SourceData.Common_SourceData_EFPastureRangeAndPaddock_Data(), Table_SourceData_EFPastureRangeAndPaddock[[#Headers],[Climate zone]], 0)</f>
        <v/>
      </c>
    </row>
    <row r="208" spans="4:8" x14ac:dyDescent="0.25">
      <c r="D208" s="1" t="str" cm="1">
        <f t="array" aca="1" ref="D208" ca="1">Common_InputFunctions.Utility_DisplayArrayInTable(Common_SourceData.Common_SourceData_EFPastureRangeAndPaddock_Data(), Table_SourceData_EFPastureRangeAndPaddock[[#Headers],[Climate zone]], 0)</f>
        <v/>
      </c>
      <c r="E208" s="30" t="str" cm="1">
        <f t="array" aca="1" ref="E208" ca="1">Common_InputFunctions.Utility_DisplayArrayInTable(Common_SourceData.Common_SourceData_EFPastureRangeAndPaddock_Data(), Table_SourceData_EFPastureRangeAndPaddock[[#Headers],[Climate zone]], 0)</f>
        <v/>
      </c>
    </row>
    <row r="211" spans="4:5" x14ac:dyDescent="0.25">
      <c r="D211" s="1" t="str" cm="1">
        <f t="array" ref="D211">Common_SourceData.Common_SourceData_MonthsToSeasons_Title()</f>
        <v>Months to Seasons Mapping</v>
      </c>
    </row>
    <row r="212" spans="4:5" x14ac:dyDescent="0.25">
      <c r="D212" s="30" t="s">
        <v>68</v>
      </c>
      <c r="E212" s="30" t="s">
        <v>69</v>
      </c>
    </row>
    <row r="213" spans="4:5" x14ac:dyDescent="0.25">
      <c r="D213" s="30" t="str" cm="1">
        <f t="array" aca="1" ref="D213" ca="1">Common_InputFunctions.Utility_DisplayArrayInTable(Common_SourceData.Common_SourceData_MonthsToSeasons_Data(), Table_SourceData_Common_MonthToSeason[[#Headers],[Month]], 0)</f>
        <v/>
      </c>
      <c r="E213" s="30" t="str" cm="1">
        <f t="array" aca="1" ref="E213" ca="1">Common_InputFunctions.Utility_DisplayArrayInTable(Common_SourceData.Common_SourceData_MonthsToSeasons_Data(), Table_SourceData_Common_MonthToSeason[[#Headers],[Month]], 0)</f>
        <v/>
      </c>
    </row>
    <row r="214" spans="4:5" x14ac:dyDescent="0.25">
      <c r="D214" s="1" t="str" cm="1">
        <f t="array" aca="1" ref="D214" ca="1">Common_InputFunctions.Utility_DisplayArrayInTable(Common_SourceData.Common_SourceData_MonthsToSeasons_Data(), Table_SourceData_Common_MonthToSeason[[#Headers],[Month]], 0)</f>
        <v/>
      </c>
      <c r="E214" s="30" t="str" cm="1">
        <f t="array" aca="1" ref="E214" ca="1">Common_InputFunctions.Utility_DisplayArrayInTable(Common_SourceData.Common_SourceData_MonthsToSeasons_Data(), Table_SourceData_Common_MonthToSeason[[#Headers],[Month]], 0)</f>
        <v/>
      </c>
    </row>
    <row r="215" spans="4:5" x14ac:dyDescent="0.25">
      <c r="D215" s="1" t="str" cm="1">
        <f t="array" aca="1" ref="D215" ca="1">Common_InputFunctions.Utility_DisplayArrayInTable(Common_SourceData.Common_SourceData_MonthsToSeasons_Data(), Table_SourceData_Common_MonthToSeason[[#Headers],[Month]], 0)</f>
        <v/>
      </c>
      <c r="E215" s="30" t="str" cm="1">
        <f t="array" aca="1" ref="E215" ca="1">Common_InputFunctions.Utility_DisplayArrayInTable(Common_SourceData.Common_SourceData_MonthsToSeasons_Data(), Table_SourceData_Common_MonthToSeason[[#Headers],[Month]], 0)</f>
        <v/>
      </c>
    </row>
    <row r="216" spans="4:5" x14ac:dyDescent="0.25">
      <c r="D216" s="1" t="str" cm="1">
        <f t="array" aca="1" ref="D216" ca="1">Common_InputFunctions.Utility_DisplayArrayInTable(Common_SourceData.Common_SourceData_MonthsToSeasons_Data(), Table_SourceData_Common_MonthToSeason[[#Headers],[Month]], 0)</f>
        <v/>
      </c>
      <c r="E216" s="30" t="str" cm="1">
        <f t="array" aca="1" ref="E216" ca="1">Common_InputFunctions.Utility_DisplayArrayInTable(Common_SourceData.Common_SourceData_MonthsToSeasons_Data(), Table_SourceData_Common_MonthToSeason[[#Headers],[Month]], 0)</f>
        <v/>
      </c>
    </row>
    <row r="217" spans="4:5" x14ac:dyDescent="0.25">
      <c r="D217" s="1" t="str" cm="1">
        <f t="array" aca="1" ref="D217" ca="1">Common_InputFunctions.Utility_DisplayArrayInTable(Common_SourceData.Common_SourceData_MonthsToSeasons_Data(), Table_SourceData_Common_MonthToSeason[[#Headers],[Month]], 0)</f>
        <v/>
      </c>
      <c r="E217" s="30" t="str" cm="1">
        <f t="array" aca="1" ref="E217" ca="1">Common_InputFunctions.Utility_DisplayArrayInTable(Common_SourceData.Common_SourceData_MonthsToSeasons_Data(), Table_SourceData_Common_MonthToSeason[[#Headers],[Month]], 0)</f>
        <v/>
      </c>
    </row>
    <row r="218" spans="4:5" x14ac:dyDescent="0.25">
      <c r="D218" s="1" t="str" cm="1">
        <f t="array" aca="1" ref="D218" ca="1">Common_InputFunctions.Utility_DisplayArrayInTable(Common_SourceData.Common_SourceData_MonthsToSeasons_Data(), Table_SourceData_Common_MonthToSeason[[#Headers],[Month]], 0)</f>
        <v/>
      </c>
      <c r="E218" s="30" t="str" cm="1">
        <f t="array" aca="1" ref="E218" ca="1">Common_InputFunctions.Utility_DisplayArrayInTable(Common_SourceData.Common_SourceData_MonthsToSeasons_Data(), Table_SourceData_Common_MonthToSeason[[#Headers],[Month]], 0)</f>
        <v/>
      </c>
    </row>
    <row r="219" spans="4:5" x14ac:dyDescent="0.25">
      <c r="D219" s="1" t="str" cm="1">
        <f t="array" aca="1" ref="D219" ca="1">Common_InputFunctions.Utility_DisplayArrayInTable(Common_SourceData.Common_SourceData_MonthsToSeasons_Data(), Table_SourceData_Common_MonthToSeason[[#Headers],[Month]], 0)</f>
        <v/>
      </c>
      <c r="E219" s="30" t="str" cm="1">
        <f t="array" aca="1" ref="E219" ca="1">Common_InputFunctions.Utility_DisplayArrayInTable(Common_SourceData.Common_SourceData_MonthsToSeasons_Data(), Table_SourceData_Common_MonthToSeason[[#Headers],[Month]], 0)</f>
        <v/>
      </c>
    </row>
    <row r="220" spans="4:5" x14ac:dyDescent="0.25">
      <c r="D220" s="1" t="str" cm="1">
        <f t="array" aca="1" ref="D220" ca="1">Common_InputFunctions.Utility_DisplayArrayInTable(Common_SourceData.Common_SourceData_MonthsToSeasons_Data(), Table_SourceData_Common_MonthToSeason[[#Headers],[Month]], 0)</f>
        <v/>
      </c>
      <c r="E220" s="30" t="str" cm="1">
        <f t="array" aca="1" ref="E220" ca="1">Common_InputFunctions.Utility_DisplayArrayInTable(Common_SourceData.Common_SourceData_MonthsToSeasons_Data(), Table_SourceData_Common_MonthToSeason[[#Headers],[Month]], 0)</f>
        <v/>
      </c>
    </row>
    <row r="221" spans="4:5" x14ac:dyDescent="0.25">
      <c r="D221" s="1" t="str" cm="1">
        <f t="array" aca="1" ref="D221" ca="1">Common_InputFunctions.Utility_DisplayArrayInTable(Common_SourceData.Common_SourceData_MonthsToSeasons_Data(), Table_SourceData_Common_MonthToSeason[[#Headers],[Month]], 0)</f>
        <v/>
      </c>
      <c r="E221" s="30" t="str" cm="1">
        <f t="array" aca="1" ref="E221" ca="1">Common_InputFunctions.Utility_DisplayArrayInTable(Common_SourceData.Common_SourceData_MonthsToSeasons_Data(), Table_SourceData_Common_MonthToSeason[[#Headers],[Month]], 0)</f>
        <v/>
      </c>
    </row>
    <row r="222" spans="4:5" x14ac:dyDescent="0.25">
      <c r="D222" s="1" t="str" cm="1">
        <f t="array" aca="1" ref="D222" ca="1">Common_InputFunctions.Utility_DisplayArrayInTable(Common_SourceData.Common_SourceData_MonthsToSeasons_Data(), Table_SourceData_Common_MonthToSeason[[#Headers],[Month]], 0)</f>
        <v/>
      </c>
      <c r="E222" s="30" t="str" cm="1">
        <f t="array" aca="1" ref="E222" ca="1">Common_InputFunctions.Utility_DisplayArrayInTable(Common_SourceData.Common_SourceData_MonthsToSeasons_Data(), Table_SourceData_Common_MonthToSeason[[#Headers],[Month]], 0)</f>
        <v/>
      </c>
    </row>
    <row r="223" spans="4:5" x14ac:dyDescent="0.25">
      <c r="D223" s="1" t="str" cm="1">
        <f t="array" aca="1" ref="D223" ca="1">Common_InputFunctions.Utility_DisplayArrayInTable(Common_SourceData.Common_SourceData_MonthsToSeasons_Data(), Table_SourceData_Common_MonthToSeason[[#Headers],[Month]], 0)</f>
        <v/>
      </c>
      <c r="E223" s="30" t="str" cm="1">
        <f t="array" aca="1" ref="E223" ca="1">Common_InputFunctions.Utility_DisplayArrayInTable(Common_SourceData.Common_SourceData_MonthsToSeasons_Data(), Table_SourceData_Common_MonthToSeason[[#Headers],[Month]], 0)</f>
        <v/>
      </c>
    </row>
    <row r="224" spans="4:5" x14ac:dyDescent="0.25">
      <c r="D224" s="1" t="str" cm="1">
        <f t="array" aca="1" ref="D224" ca="1">Common_InputFunctions.Utility_DisplayArrayInTable(Common_SourceData.Common_SourceData_MonthsToSeasons_Data(), Table_SourceData_Common_MonthToSeason[[#Headers],[Month]], 0)</f>
        <v/>
      </c>
      <c r="E224" s="30" t="str" cm="1">
        <f t="array" aca="1" ref="E224" ca="1">Common_InputFunctions.Utility_DisplayArrayInTable(Common_SourceData.Common_SourceData_MonthsToSeasons_Data(), Table_SourceData_Common_MonthToSeason[[#Headers],[Month]], 0)</f>
        <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70</v>
      </c>
      <c r="E231" s="30" t="s">
        <v>71</v>
      </c>
      <c r="F231" s="37" t="s">
        <v>72</v>
      </c>
      <c r="G231" s="30" t="s">
        <v>73</v>
      </c>
      <c r="H231" s="30" t="s">
        <v>74</v>
      </c>
      <c r="I231" s="30" t="s">
        <v>75</v>
      </c>
      <c r="J231" s="30" t="s">
        <v>76</v>
      </c>
      <c r="K231" s="30" t="s">
        <v>77</v>
      </c>
      <c r="L231" s="30" t="s">
        <v>78</v>
      </c>
      <c r="M231" s="30" t="s">
        <v>79</v>
      </c>
      <c r="N231" s="30" t="s">
        <v>80</v>
      </c>
      <c r="O231" s="30" t="s">
        <v>81</v>
      </c>
      <c r="P231" s="30" t="s">
        <v>82</v>
      </c>
      <c r="Q231" s="30" t="s">
        <v>83</v>
      </c>
      <c r="R231" s="30" t="s">
        <v>84</v>
      </c>
      <c r="S231" s="30" t="s">
        <v>85</v>
      </c>
    </row>
    <row r="232" spans="4:19" x14ac:dyDescent="0.25">
      <c r="D232" s="30" t="str" cm="1">
        <f t="array" aca="1" ref="D232" ca="1">Common_InputFunctions.Utility_DisplayArrayInTable(Common_SourceData.Common_SourceData_MCFTemperatureZone_Data(),Table_SourceData_Common_MCFTemperatureZone[[#Headers],[Temperature zone]],0)</f>
        <v/>
      </c>
      <c r="E232" s="30" t="str" cm="1">
        <f t="array" aca="1" ref="E232" ca="1">Common_InputFunctions.Utility_DisplayArrayInTable(Common_SourceData.Common_SourceData_MCFTemperatureZone_Data(),Table_SourceData_Common_MCFTemperatureZone[[#Headers],[Temperature zone]],0)</f>
        <v/>
      </c>
      <c r="F232" s="30" t="str" cm="1">
        <f t="array" aca="1" ref="F232" ca="1">Common_InputFunctions.Utility_DisplayArrayInTable(Common_SourceData.Common_SourceData_MCFTemperatureZone_Data(),Table_SourceData_Common_MCFTemperatureZone[[#Headers],[Temperature zone]],0)</f>
        <v/>
      </c>
      <c r="G232" s="30" t="str" cm="1">
        <f t="array" aca="1" ref="G232" ca="1">Common_InputFunctions.Utility_DisplayArrayInTable(Common_SourceData.Common_SourceData_MCFTemperatureZone_Data(),Table_SourceData_Common_MCFTemperatureZone[[#Headers],[Temperature zone]],0)</f>
        <v/>
      </c>
      <c r="H232" s="30" t="str" cm="1">
        <f t="array" aca="1" ref="H232" ca="1">Common_InputFunctions.Utility_DisplayArrayInTable(Common_SourceData.Common_SourceData_MCFTemperatureZone_Data(),Table_SourceData_Common_MCFTemperatureZone[[#Headers],[Temperature zone]],0)</f>
        <v/>
      </c>
      <c r="I232" s="30" t="str" cm="1">
        <f t="array" aca="1" ref="I232" ca="1">Common_InputFunctions.Utility_DisplayArrayInTable(Common_SourceData.Common_SourceData_MCFTemperatureZone_Data(),Table_SourceData_Common_MCFTemperatureZone[[#Headers],[Temperature zone]],0)</f>
        <v/>
      </c>
      <c r="J232" s="30" t="str" cm="1">
        <f t="array" aca="1" ref="J232" ca="1">Common_InputFunctions.Utility_DisplayArrayInTable(Common_SourceData.Common_SourceData_MCFTemperatureZone_Data(),Table_SourceData_Common_MCFTemperatureZone[[#Headers],[Temperature zone]],0)</f>
        <v/>
      </c>
      <c r="K232" s="30" t="str" cm="1">
        <f t="array" aca="1" ref="K232" ca="1">Common_InputFunctions.Utility_DisplayArrayInTable(Common_SourceData.Common_SourceData_MCFTemperatureZone_Data(),Table_SourceData_Common_MCFTemperatureZone[[#Headers],[Temperature zone]],0)</f>
        <v/>
      </c>
      <c r="L232" s="30" t="str" cm="1">
        <f t="array" aca="1" ref="L232" ca="1">Common_InputFunctions.Utility_DisplayArrayInTable(Common_SourceData.Common_SourceData_MCFTemperatureZone_Data(),Table_SourceData_Common_MCFTemperatureZone[[#Headers],[Temperature zone]],0)</f>
        <v/>
      </c>
      <c r="M232" s="30" t="str" cm="1">
        <f t="array" aca="1" ref="M232" ca="1">Common_InputFunctions.Utility_DisplayArrayInTable(Common_SourceData.Common_SourceData_MCFTemperatureZone_Data(),Table_SourceData_Common_MCFTemperatureZone[[#Headers],[Temperature zone]],0)</f>
        <v/>
      </c>
      <c r="N232" s="30" t="str" cm="1">
        <f t="array" aca="1" ref="N232" ca="1">Common_InputFunctions.Utility_DisplayArrayInTable(Common_SourceData.Common_SourceData_MCFTemperatureZone_Data(),Table_SourceData_Common_MCFTemperatureZone[[#Headers],[Temperature zone]],0)</f>
        <v/>
      </c>
      <c r="O232" s="30" t="str" cm="1">
        <f t="array" aca="1" ref="O232" ca="1">Common_InputFunctions.Utility_DisplayArrayInTable(Common_SourceData.Common_SourceData_MCFTemperatureZone_Data(),Table_SourceData_Common_MCFTemperatureZone[[#Headers],[Temperature zone]],0)</f>
        <v/>
      </c>
      <c r="P232" s="30" t="str" cm="1">
        <f t="array" aca="1" ref="P232" ca="1">Common_InputFunctions.Utility_DisplayArrayInTable(Common_SourceData.Common_SourceData_MCFTemperatureZone_Data(),Table_SourceData_Common_MCFTemperatureZone[[#Headers],[Temperature zone]],0)</f>
        <v/>
      </c>
      <c r="Q232" s="30" t="str" cm="1">
        <f t="array" aca="1" ref="Q232" ca="1">Common_InputFunctions.Utility_DisplayArrayInTable(Common_SourceData.Common_SourceData_MCFTemperatureZone_Data(),Table_SourceData_Common_MCFTemperatureZone[[#Headers],[Temperature zone]],0)</f>
        <v/>
      </c>
      <c r="R232" s="30" t="str" cm="1">
        <f t="array" aca="1" ref="R232" ca="1">Common_InputFunctions.Utility_DisplayArrayInTable(Common_SourceData.Common_SourceData_MCFTemperatureZone_Data(),Table_SourceData_Common_MCFTemperatureZone[[#Headers],[Temperature zone]],0)</f>
        <v/>
      </c>
      <c r="S232" s="30" t="str" cm="1">
        <f t="array" aca="1" ref="S232" ca="1">Common_InputFunctions.Utility_DisplayArrayInTable(Common_SourceData.Common_SourceData_MCFTemperatureZone_Data(),Table_SourceData_Common_MCFTemperatureZone[[#Headers],[Temperature zone]],0)</f>
        <v/>
      </c>
    </row>
    <row r="233" spans="4:19" x14ac:dyDescent="0.25">
      <c r="D233" s="1" t="str" cm="1">
        <f t="array" aca="1" ref="D233" ca="1">Common_InputFunctions.Utility_DisplayArrayInTable(Common_SourceData.Common_SourceData_MCFTemperatureZone_Data(),Table_SourceData_Common_MCFTemperatureZone[[#Headers],[Temperature zone]],0)</f>
        <v/>
      </c>
      <c r="E233" s="30" t="str" cm="1">
        <f t="array" aca="1" ref="E233" ca="1">Common_InputFunctions.Utility_DisplayArrayInTable(Common_SourceData.Common_SourceData_MCFTemperatureZone_Data(),Table_SourceData_Common_MCFTemperatureZone[[#Headers],[Temperature zone]],0)</f>
        <v/>
      </c>
      <c r="F233" s="30" t="str" cm="1">
        <f t="array" aca="1" ref="F233" ca="1">Common_InputFunctions.Utility_DisplayArrayInTable(Common_SourceData.Common_SourceData_MCFTemperatureZone_Data(),Table_SourceData_Common_MCFTemperatureZone[[#Headers],[Temperature zone]],0)</f>
        <v/>
      </c>
      <c r="G233" s="30" t="str" cm="1">
        <f t="array" aca="1" ref="G233" ca="1">Common_InputFunctions.Utility_DisplayArrayInTable(Common_SourceData.Common_SourceData_MCFTemperatureZone_Data(),Table_SourceData_Common_MCFTemperatureZone[[#Headers],[Temperature zone]],0)</f>
        <v/>
      </c>
      <c r="H233" s="30" t="str" cm="1">
        <f t="array" aca="1" ref="H233" ca="1">Common_InputFunctions.Utility_DisplayArrayInTable(Common_SourceData.Common_SourceData_MCFTemperatureZone_Data(),Table_SourceData_Common_MCFTemperatureZone[[#Headers],[Temperature zone]],0)</f>
        <v/>
      </c>
      <c r="I233" s="30" t="str" cm="1">
        <f t="array" aca="1" ref="I233" ca="1">Common_InputFunctions.Utility_DisplayArrayInTable(Common_SourceData.Common_SourceData_MCFTemperatureZone_Data(),Table_SourceData_Common_MCFTemperatureZone[[#Headers],[Temperature zone]],0)</f>
        <v/>
      </c>
      <c r="J233" s="30" t="str" cm="1">
        <f t="array" aca="1" ref="J233" ca="1">Common_InputFunctions.Utility_DisplayArrayInTable(Common_SourceData.Common_SourceData_MCFTemperatureZone_Data(),Table_SourceData_Common_MCFTemperatureZone[[#Headers],[Temperature zone]],0)</f>
        <v/>
      </c>
      <c r="K233" s="30" t="str" cm="1">
        <f t="array" aca="1" ref="K233" ca="1">Common_InputFunctions.Utility_DisplayArrayInTable(Common_SourceData.Common_SourceData_MCFTemperatureZone_Data(),Table_SourceData_Common_MCFTemperatureZone[[#Headers],[Temperature zone]],0)</f>
        <v/>
      </c>
      <c r="L233" s="30" t="str" cm="1">
        <f t="array" aca="1" ref="L233" ca="1">Common_InputFunctions.Utility_DisplayArrayInTable(Common_SourceData.Common_SourceData_MCFTemperatureZone_Data(),Table_SourceData_Common_MCFTemperatureZone[[#Headers],[Temperature zone]],0)</f>
        <v/>
      </c>
      <c r="M233" s="30" t="str" cm="1">
        <f t="array" aca="1" ref="M233" ca="1">Common_InputFunctions.Utility_DisplayArrayInTable(Common_SourceData.Common_SourceData_MCFTemperatureZone_Data(),Table_SourceData_Common_MCFTemperatureZone[[#Headers],[Temperature zone]],0)</f>
        <v/>
      </c>
      <c r="N233" s="30" t="str" cm="1">
        <f t="array" aca="1" ref="N233" ca="1">Common_InputFunctions.Utility_DisplayArrayInTable(Common_SourceData.Common_SourceData_MCFTemperatureZone_Data(),Table_SourceData_Common_MCFTemperatureZone[[#Headers],[Temperature zone]],0)</f>
        <v/>
      </c>
      <c r="O233" s="30" t="str" cm="1">
        <f t="array" aca="1" ref="O233" ca="1">Common_InputFunctions.Utility_DisplayArrayInTable(Common_SourceData.Common_SourceData_MCFTemperatureZone_Data(),Table_SourceData_Common_MCFTemperatureZone[[#Headers],[Temperature zone]],0)</f>
        <v/>
      </c>
      <c r="P233" s="30" t="str" cm="1">
        <f t="array" aca="1" ref="P233" ca="1">Common_InputFunctions.Utility_DisplayArrayInTable(Common_SourceData.Common_SourceData_MCFTemperatureZone_Data(),Table_SourceData_Common_MCFTemperatureZone[[#Headers],[Temperature zone]],0)</f>
        <v/>
      </c>
      <c r="Q233" s="30" t="str" cm="1">
        <f t="array" aca="1" ref="Q233" ca="1">Common_InputFunctions.Utility_DisplayArrayInTable(Common_SourceData.Common_SourceData_MCFTemperatureZone_Data(),Table_SourceData_Common_MCFTemperatureZone[[#Headers],[Temperature zone]],0)</f>
        <v/>
      </c>
      <c r="R233" s="30" t="str" cm="1">
        <f t="array" aca="1" ref="R233" ca="1">Common_InputFunctions.Utility_DisplayArrayInTable(Common_SourceData.Common_SourceData_MCFTemperatureZone_Data(),Table_SourceData_Common_MCFTemperatureZone[[#Headers],[Temperature zone]],0)</f>
        <v/>
      </c>
      <c r="S233" s="30" t="str" cm="1">
        <f t="array" aca="1" ref="S233" ca="1">Common_InputFunctions.Utility_DisplayArrayInTable(Common_SourceData.Common_SourceData_MCFTemperatureZone_Data(),Table_SourceData_Common_MCFTemperatureZone[[#Headers],[Temperature zone]],0)</f>
        <v/>
      </c>
    </row>
    <row r="234" spans="4:19" x14ac:dyDescent="0.25">
      <c r="D234" s="1" t="str" cm="1">
        <f t="array" aca="1" ref="D234" ca="1">Common_InputFunctions.Utility_DisplayArrayInTable(Common_SourceData.Common_SourceData_MCFTemperatureZone_Data(),Table_SourceData_Common_MCFTemperatureZone[[#Headers],[Temperature zone]],0)</f>
        <v/>
      </c>
      <c r="E234" s="30" t="str" cm="1">
        <f t="array" aca="1" ref="E234" ca="1">Common_InputFunctions.Utility_DisplayArrayInTable(Common_SourceData.Common_SourceData_MCFTemperatureZone_Data(),Table_SourceData_Common_MCFTemperatureZone[[#Headers],[Temperature zone]],0)</f>
        <v/>
      </c>
      <c r="F234" s="30" t="str" cm="1">
        <f t="array" aca="1" ref="F234" ca="1">Common_InputFunctions.Utility_DisplayArrayInTable(Common_SourceData.Common_SourceData_MCFTemperatureZone_Data(),Table_SourceData_Common_MCFTemperatureZone[[#Headers],[Temperature zone]],0)</f>
        <v/>
      </c>
      <c r="G234" s="30" t="str" cm="1">
        <f t="array" aca="1" ref="G234" ca="1">Common_InputFunctions.Utility_DisplayArrayInTable(Common_SourceData.Common_SourceData_MCFTemperatureZone_Data(),Table_SourceData_Common_MCFTemperatureZone[[#Headers],[Temperature zone]],0)</f>
        <v/>
      </c>
      <c r="H234" s="30" t="str" cm="1">
        <f t="array" aca="1" ref="H234" ca="1">Common_InputFunctions.Utility_DisplayArrayInTable(Common_SourceData.Common_SourceData_MCFTemperatureZone_Data(),Table_SourceData_Common_MCFTemperatureZone[[#Headers],[Temperature zone]],0)</f>
        <v/>
      </c>
      <c r="I234" s="30" t="str" cm="1">
        <f t="array" aca="1" ref="I234" ca="1">Common_InputFunctions.Utility_DisplayArrayInTable(Common_SourceData.Common_SourceData_MCFTemperatureZone_Data(),Table_SourceData_Common_MCFTemperatureZone[[#Headers],[Temperature zone]],0)</f>
        <v/>
      </c>
      <c r="J234" s="30" t="str" cm="1">
        <f t="array" aca="1" ref="J234" ca="1">Common_InputFunctions.Utility_DisplayArrayInTable(Common_SourceData.Common_SourceData_MCFTemperatureZone_Data(),Table_SourceData_Common_MCFTemperatureZone[[#Headers],[Temperature zone]],0)</f>
        <v/>
      </c>
      <c r="K234" s="30" t="str" cm="1">
        <f t="array" aca="1" ref="K234" ca="1">Common_InputFunctions.Utility_DisplayArrayInTable(Common_SourceData.Common_SourceData_MCFTemperatureZone_Data(),Table_SourceData_Common_MCFTemperatureZone[[#Headers],[Temperature zone]],0)</f>
        <v/>
      </c>
      <c r="L234" s="30" t="str" cm="1">
        <f t="array" aca="1" ref="L234" ca="1">Common_InputFunctions.Utility_DisplayArrayInTable(Common_SourceData.Common_SourceData_MCFTemperatureZone_Data(),Table_SourceData_Common_MCFTemperatureZone[[#Headers],[Temperature zone]],0)</f>
        <v/>
      </c>
      <c r="M234" s="30" t="str" cm="1">
        <f t="array" aca="1" ref="M234" ca="1">Common_InputFunctions.Utility_DisplayArrayInTable(Common_SourceData.Common_SourceData_MCFTemperatureZone_Data(),Table_SourceData_Common_MCFTemperatureZone[[#Headers],[Temperature zone]],0)</f>
        <v/>
      </c>
      <c r="N234" s="30" t="str" cm="1">
        <f t="array" aca="1" ref="N234" ca="1">Common_InputFunctions.Utility_DisplayArrayInTable(Common_SourceData.Common_SourceData_MCFTemperatureZone_Data(),Table_SourceData_Common_MCFTemperatureZone[[#Headers],[Temperature zone]],0)</f>
        <v/>
      </c>
      <c r="O234" s="30" t="str" cm="1">
        <f t="array" aca="1" ref="O234" ca="1">Common_InputFunctions.Utility_DisplayArrayInTable(Common_SourceData.Common_SourceData_MCFTemperatureZone_Data(),Table_SourceData_Common_MCFTemperatureZone[[#Headers],[Temperature zone]],0)</f>
        <v/>
      </c>
      <c r="P234" s="30" t="str" cm="1">
        <f t="array" aca="1" ref="P234" ca="1">Common_InputFunctions.Utility_DisplayArrayInTable(Common_SourceData.Common_SourceData_MCFTemperatureZone_Data(),Table_SourceData_Common_MCFTemperatureZone[[#Headers],[Temperature zone]],0)</f>
        <v/>
      </c>
      <c r="Q234" s="30" t="str" cm="1">
        <f t="array" aca="1" ref="Q234" ca="1">Common_InputFunctions.Utility_DisplayArrayInTable(Common_SourceData.Common_SourceData_MCFTemperatureZone_Data(),Table_SourceData_Common_MCFTemperatureZone[[#Headers],[Temperature zone]],0)</f>
        <v/>
      </c>
      <c r="R234" s="30" t="str" cm="1">
        <f t="array" aca="1" ref="R234" ca="1">Common_InputFunctions.Utility_DisplayArrayInTable(Common_SourceData.Common_SourceData_MCFTemperatureZone_Data(),Table_SourceData_Common_MCFTemperatureZone[[#Headers],[Temperature zone]],0)</f>
        <v/>
      </c>
      <c r="S234" s="30" t="str" cm="1">
        <f t="array" aca="1" ref="S234" ca="1">Common_InputFunctions.Utility_DisplayArrayInTable(Common_SourceData.Common_SourceData_MCFTemperatureZone_Data(),Table_SourceData_Common_MCFTemperatureZone[[#Headers],[Temperature zone]],0)</f>
        <v/>
      </c>
    </row>
    <row r="235" spans="4:19" x14ac:dyDescent="0.25">
      <c r="D235" s="1" t="str" cm="1">
        <f t="array" aca="1" ref="D235" ca="1">Common_InputFunctions.Utility_DisplayArrayInTable(Common_SourceData.Common_SourceData_MCFTemperatureZone_Data(),Table_SourceData_Common_MCFTemperatureZone[[#Headers],[Temperature zone]],0)</f>
        <v/>
      </c>
      <c r="E235" s="30" t="str" cm="1">
        <f t="array" aca="1" ref="E235" ca="1">Common_InputFunctions.Utility_DisplayArrayInTable(Common_SourceData.Common_SourceData_MCFTemperatureZone_Data(),Table_SourceData_Common_MCFTemperatureZone[[#Headers],[Temperature zone]],0)</f>
        <v/>
      </c>
      <c r="F235" s="30" t="str" cm="1">
        <f t="array" aca="1" ref="F235" ca="1">Common_InputFunctions.Utility_DisplayArrayInTable(Common_SourceData.Common_SourceData_MCFTemperatureZone_Data(),Table_SourceData_Common_MCFTemperatureZone[[#Headers],[Temperature zone]],0)</f>
        <v/>
      </c>
      <c r="G235" s="30" t="str" cm="1">
        <f t="array" aca="1" ref="G235" ca="1">Common_InputFunctions.Utility_DisplayArrayInTable(Common_SourceData.Common_SourceData_MCFTemperatureZone_Data(),Table_SourceData_Common_MCFTemperatureZone[[#Headers],[Temperature zone]],0)</f>
        <v/>
      </c>
      <c r="H235" s="30" t="str" cm="1">
        <f t="array" aca="1" ref="H235" ca="1">Common_InputFunctions.Utility_DisplayArrayInTable(Common_SourceData.Common_SourceData_MCFTemperatureZone_Data(),Table_SourceData_Common_MCFTemperatureZone[[#Headers],[Temperature zone]],0)</f>
        <v/>
      </c>
      <c r="I235" s="30" t="str" cm="1">
        <f t="array" aca="1" ref="I235" ca="1">Common_InputFunctions.Utility_DisplayArrayInTable(Common_SourceData.Common_SourceData_MCFTemperatureZone_Data(),Table_SourceData_Common_MCFTemperatureZone[[#Headers],[Temperature zone]],0)</f>
        <v/>
      </c>
      <c r="J235" s="30" t="str" cm="1">
        <f t="array" aca="1" ref="J235" ca="1">Common_InputFunctions.Utility_DisplayArrayInTable(Common_SourceData.Common_SourceData_MCFTemperatureZone_Data(),Table_SourceData_Common_MCFTemperatureZone[[#Headers],[Temperature zone]],0)</f>
        <v/>
      </c>
      <c r="K235" s="30" t="str" cm="1">
        <f t="array" aca="1" ref="K235" ca="1">Common_InputFunctions.Utility_DisplayArrayInTable(Common_SourceData.Common_SourceData_MCFTemperatureZone_Data(),Table_SourceData_Common_MCFTemperatureZone[[#Headers],[Temperature zone]],0)</f>
        <v/>
      </c>
      <c r="L235" s="30" t="str" cm="1">
        <f t="array" aca="1" ref="L235" ca="1">Common_InputFunctions.Utility_DisplayArrayInTable(Common_SourceData.Common_SourceData_MCFTemperatureZone_Data(),Table_SourceData_Common_MCFTemperatureZone[[#Headers],[Temperature zone]],0)</f>
        <v/>
      </c>
      <c r="M235" s="30" t="str" cm="1">
        <f t="array" aca="1" ref="M235" ca="1">Common_InputFunctions.Utility_DisplayArrayInTable(Common_SourceData.Common_SourceData_MCFTemperatureZone_Data(),Table_SourceData_Common_MCFTemperatureZone[[#Headers],[Temperature zone]],0)</f>
        <v/>
      </c>
      <c r="N235" s="30" t="str" cm="1">
        <f t="array" aca="1" ref="N235" ca="1">Common_InputFunctions.Utility_DisplayArrayInTable(Common_SourceData.Common_SourceData_MCFTemperatureZone_Data(),Table_SourceData_Common_MCFTemperatureZone[[#Headers],[Temperature zone]],0)</f>
        <v/>
      </c>
      <c r="O235" s="30" t="str" cm="1">
        <f t="array" aca="1" ref="O235" ca="1">Common_InputFunctions.Utility_DisplayArrayInTable(Common_SourceData.Common_SourceData_MCFTemperatureZone_Data(),Table_SourceData_Common_MCFTemperatureZone[[#Headers],[Temperature zone]],0)</f>
        <v/>
      </c>
      <c r="P235" s="30" t="str" cm="1">
        <f t="array" aca="1" ref="P235" ca="1">Common_InputFunctions.Utility_DisplayArrayInTable(Common_SourceData.Common_SourceData_MCFTemperatureZone_Data(),Table_SourceData_Common_MCFTemperatureZone[[#Headers],[Temperature zone]],0)</f>
        <v/>
      </c>
      <c r="Q235" s="30" t="str" cm="1">
        <f t="array" aca="1" ref="Q235" ca="1">Common_InputFunctions.Utility_DisplayArrayInTable(Common_SourceData.Common_SourceData_MCFTemperatureZone_Data(),Table_SourceData_Common_MCFTemperatureZone[[#Headers],[Temperature zone]],0)</f>
        <v/>
      </c>
      <c r="R235" s="30" t="str" cm="1">
        <f t="array" aca="1" ref="R235" ca="1">Common_InputFunctions.Utility_DisplayArrayInTable(Common_SourceData.Common_SourceData_MCFTemperatureZone_Data(),Table_SourceData_Common_MCFTemperatureZone[[#Headers],[Temperature zone]],0)</f>
        <v/>
      </c>
      <c r="S235" s="30" t="str" cm="1">
        <f t="array" aca="1" ref="S235" ca="1">Common_InputFunctions.Utility_DisplayArrayInTable(Common_SourceData.Common_SourceData_MCFTemperatureZone_Data(),Table_SourceData_Common_MCFTemperatureZone[[#Headers],[Temperature zone]],0)</f>
        <v/>
      </c>
    </row>
    <row r="236" spans="4:19" x14ac:dyDescent="0.25">
      <c r="D236" s="1" t="str" cm="1">
        <f t="array" aca="1" ref="D236" ca="1">Common_InputFunctions.Utility_DisplayArrayInTable(Common_SourceData.Common_SourceData_MCFTemperatureZone_Data(),Table_SourceData_Common_MCFTemperatureZone[[#Headers],[Temperature zone]],0)</f>
        <v/>
      </c>
      <c r="E236" s="30" t="str" cm="1">
        <f t="array" aca="1" ref="E236" ca="1">Common_InputFunctions.Utility_DisplayArrayInTable(Common_SourceData.Common_SourceData_MCFTemperatureZone_Data(),Table_SourceData_Common_MCFTemperatureZone[[#Headers],[Temperature zone]],0)</f>
        <v/>
      </c>
      <c r="F236" s="30" t="str" cm="1">
        <f t="array" aca="1" ref="F236" ca="1">Common_InputFunctions.Utility_DisplayArrayInTable(Common_SourceData.Common_SourceData_MCFTemperatureZone_Data(),Table_SourceData_Common_MCFTemperatureZone[[#Headers],[Temperature zone]],0)</f>
        <v/>
      </c>
      <c r="G236" s="30" t="str" cm="1">
        <f t="array" aca="1" ref="G236" ca="1">Common_InputFunctions.Utility_DisplayArrayInTable(Common_SourceData.Common_SourceData_MCFTemperatureZone_Data(),Table_SourceData_Common_MCFTemperatureZone[[#Headers],[Temperature zone]],0)</f>
        <v/>
      </c>
      <c r="H236" s="30" t="str" cm="1">
        <f t="array" aca="1" ref="H236" ca="1">Common_InputFunctions.Utility_DisplayArrayInTable(Common_SourceData.Common_SourceData_MCFTemperatureZone_Data(),Table_SourceData_Common_MCFTemperatureZone[[#Headers],[Temperature zone]],0)</f>
        <v/>
      </c>
      <c r="I236" s="30" t="str" cm="1">
        <f t="array" aca="1" ref="I236" ca="1">Common_InputFunctions.Utility_DisplayArrayInTable(Common_SourceData.Common_SourceData_MCFTemperatureZone_Data(),Table_SourceData_Common_MCFTemperatureZone[[#Headers],[Temperature zone]],0)</f>
        <v/>
      </c>
      <c r="J236" s="30" t="str" cm="1">
        <f t="array" aca="1" ref="J236" ca="1">Common_InputFunctions.Utility_DisplayArrayInTable(Common_SourceData.Common_SourceData_MCFTemperatureZone_Data(),Table_SourceData_Common_MCFTemperatureZone[[#Headers],[Temperature zone]],0)</f>
        <v/>
      </c>
      <c r="K236" s="30" t="str" cm="1">
        <f t="array" aca="1" ref="K236" ca="1">Common_InputFunctions.Utility_DisplayArrayInTable(Common_SourceData.Common_SourceData_MCFTemperatureZone_Data(),Table_SourceData_Common_MCFTemperatureZone[[#Headers],[Temperature zone]],0)</f>
        <v/>
      </c>
      <c r="L236" s="30" t="str" cm="1">
        <f t="array" aca="1" ref="L236" ca="1">Common_InputFunctions.Utility_DisplayArrayInTable(Common_SourceData.Common_SourceData_MCFTemperatureZone_Data(),Table_SourceData_Common_MCFTemperatureZone[[#Headers],[Temperature zone]],0)</f>
        <v/>
      </c>
      <c r="M236" s="30" t="str" cm="1">
        <f t="array" aca="1" ref="M236" ca="1">Common_InputFunctions.Utility_DisplayArrayInTable(Common_SourceData.Common_SourceData_MCFTemperatureZone_Data(),Table_SourceData_Common_MCFTemperatureZone[[#Headers],[Temperature zone]],0)</f>
        <v/>
      </c>
      <c r="N236" s="30" t="str" cm="1">
        <f t="array" aca="1" ref="N236" ca="1">Common_InputFunctions.Utility_DisplayArrayInTable(Common_SourceData.Common_SourceData_MCFTemperatureZone_Data(),Table_SourceData_Common_MCFTemperatureZone[[#Headers],[Temperature zone]],0)</f>
        <v/>
      </c>
      <c r="O236" s="30" t="str" cm="1">
        <f t="array" aca="1" ref="O236" ca="1">Common_InputFunctions.Utility_DisplayArrayInTable(Common_SourceData.Common_SourceData_MCFTemperatureZone_Data(),Table_SourceData_Common_MCFTemperatureZone[[#Headers],[Temperature zone]],0)</f>
        <v/>
      </c>
      <c r="P236" s="30" t="str" cm="1">
        <f t="array" aca="1" ref="P236" ca="1">Common_InputFunctions.Utility_DisplayArrayInTable(Common_SourceData.Common_SourceData_MCFTemperatureZone_Data(),Table_SourceData_Common_MCFTemperatureZone[[#Headers],[Temperature zone]],0)</f>
        <v/>
      </c>
      <c r="Q236" s="30" t="str" cm="1">
        <f t="array" aca="1" ref="Q236" ca="1">Common_InputFunctions.Utility_DisplayArrayInTable(Common_SourceData.Common_SourceData_MCFTemperatureZone_Data(),Table_SourceData_Common_MCFTemperatureZone[[#Headers],[Temperature zone]],0)</f>
        <v/>
      </c>
      <c r="R236" s="30" t="str" cm="1">
        <f t="array" aca="1" ref="R236" ca="1">Common_InputFunctions.Utility_DisplayArrayInTable(Common_SourceData.Common_SourceData_MCFTemperatureZone_Data(),Table_SourceData_Common_MCFTemperatureZone[[#Headers],[Temperature zone]],0)</f>
        <v/>
      </c>
      <c r="S236" s="30" t="str" cm="1">
        <f t="array" aca="1" ref="S236" ca="1">Common_InputFunctions.Utility_DisplayArrayInTable(Common_SourceData.Common_SourceData_MCFTemperatureZone_Data(),Table_SourceData_Common_MCFTemperatureZone[[#Headers],[Temperature zone]],0)</f>
        <v/>
      </c>
    </row>
    <row r="237" spans="4:19" x14ac:dyDescent="0.25">
      <c r="D237" s="1" t="str" cm="1">
        <f t="array" aca="1" ref="D237" ca="1">Common_InputFunctions.Utility_DisplayArrayInTable(Common_SourceData.Common_SourceData_MCFTemperatureZone_Data(),Table_SourceData_Common_MCFTemperatureZone[[#Headers],[Temperature zone]],0)</f>
        <v/>
      </c>
      <c r="E237" s="30" t="str" cm="1">
        <f t="array" aca="1" ref="E237" ca="1">Common_InputFunctions.Utility_DisplayArrayInTable(Common_SourceData.Common_SourceData_MCFTemperatureZone_Data(),Table_SourceData_Common_MCFTemperatureZone[[#Headers],[Temperature zone]],0)</f>
        <v/>
      </c>
      <c r="F237" s="30" t="str" cm="1">
        <f t="array" aca="1" ref="F237" ca="1">Common_InputFunctions.Utility_DisplayArrayInTable(Common_SourceData.Common_SourceData_MCFTemperatureZone_Data(),Table_SourceData_Common_MCFTemperatureZone[[#Headers],[Temperature zone]],0)</f>
        <v/>
      </c>
      <c r="G237" s="30" t="str" cm="1">
        <f t="array" aca="1" ref="G237" ca="1">Common_InputFunctions.Utility_DisplayArrayInTable(Common_SourceData.Common_SourceData_MCFTemperatureZone_Data(),Table_SourceData_Common_MCFTemperatureZone[[#Headers],[Temperature zone]],0)</f>
        <v/>
      </c>
      <c r="H237" s="30" t="str" cm="1">
        <f t="array" aca="1" ref="H237" ca="1">Common_InputFunctions.Utility_DisplayArrayInTable(Common_SourceData.Common_SourceData_MCFTemperatureZone_Data(),Table_SourceData_Common_MCFTemperatureZone[[#Headers],[Temperature zone]],0)</f>
        <v/>
      </c>
      <c r="I237" s="30" t="str" cm="1">
        <f t="array" aca="1" ref="I237" ca="1">Common_InputFunctions.Utility_DisplayArrayInTable(Common_SourceData.Common_SourceData_MCFTemperatureZone_Data(),Table_SourceData_Common_MCFTemperatureZone[[#Headers],[Temperature zone]],0)</f>
        <v/>
      </c>
      <c r="J237" s="30" t="str" cm="1">
        <f t="array" aca="1" ref="J237" ca="1">Common_InputFunctions.Utility_DisplayArrayInTable(Common_SourceData.Common_SourceData_MCFTemperatureZone_Data(),Table_SourceData_Common_MCFTemperatureZone[[#Headers],[Temperature zone]],0)</f>
        <v/>
      </c>
      <c r="K237" s="30" t="str" cm="1">
        <f t="array" aca="1" ref="K237" ca="1">Common_InputFunctions.Utility_DisplayArrayInTable(Common_SourceData.Common_SourceData_MCFTemperatureZone_Data(),Table_SourceData_Common_MCFTemperatureZone[[#Headers],[Temperature zone]],0)</f>
        <v/>
      </c>
      <c r="L237" s="30" t="str" cm="1">
        <f t="array" aca="1" ref="L237" ca="1">Common_InputFunctions.Utility_DisplayArrayInTable(Common_SourceData.Common_SourceData_MCFTemperatureZone_Data(),Table_SourceData_Common_MCFTemperatureZone[[#Headers],[Temperature zone]],0)</f>
        <v/>
      </c>
      <c r="M237" s="30" t="str" cm="1">
        <f t="array" aca="1" ref="M237" ca="1">Common_InputFunctions.Utility_DisplayArrayInTable(Common_SourceData.Common_SourceData_MCFTemperatureZone_Data(),Table_SourceData_Common_MCFTemperatureZone[[#Headers],[Temperature zone]],0)</f>
        <v/>
      </c>
      <c r="N237" s="30" t="str" cm="1">
        <f t="array" aca="1" ref="N237" ca="1">Common_InputFunctions.Utility_DisplayArrayInTable(Common_SourceData.Common_SourceData_MCFTemperatureZone_Data(),Table_SourceData_Common_MCFTemperatureZone[[#Headers],[Temperature zone]],0)</f>
        <v/>
      </c>
      <c r="O237" s="30" t="str" cm="1">
        <f t="array" aca="1" ref="O237" ca="1">Common_InputFunctions.Utility_DisplayArrayInTable(Common_SourceData.Common_SourceData_MCFTemperatureZone_Data(),Table_SourceData_Common_MCFTemperatureZone[[#Headers],[Temperature zone]],0)</f>
        <v/>
      </c>
      <c r="P237" s="30" t="str" cm="1">
        <f t="array" aca="1" ref="P237" ca="1">Common_InputFunctions.Utility_DisplayArrayInTable(Common_SourceData.Common_SourceData_MCFTemperatureZone_Data(),Table_SourceData_Common_MCFTemperatureZone[[#Headers],[Temperature zone]],0)</f>
        <v/>
      </c>
      <c r="Q237" s="30" t="str" cm="1">
        <f t="array" aca="1" ref="Q237" ca="1">Common_InputFunctions.Utility_DisplayArrayInTable(Common_SourceData.Common_SourceData_MCFTemperatureZone_Data(),Table_SourceData_Common_MCFTemperatureZone[[#Headers],[Temperature zone]],0)</f>
        <v/>
      </c>
      <c r="R237" s="30" t="str" cm="1">
        <f t="array" aca="1" ref="R237" ca="1">Common_InputFunctions.Utility_DisplayArrayInTable(Common_SourceData.Common_SourceData_MCFTemperatureZone_Data(),Table_SourceData_Common_MCFTemperatureZone[[#Headers],[Temperature zone]],0)</f>
        <v/>
      </c>
      <c r="S237" s="30" t="str" cm="1">
        <f t="array" aca="1" ref="S237" ca="1">Common_InputFunctions.Utility_DisplayArrayInTable(Common_SourceData.Common_SourceData_MCFTemperatureZone_Data(),Table_SourceData_Common_MCFTemperatureZone[[#Headers],[Temperature zone]],0)</f>
        <v/>
      </c>
    </row>
    <row r="238" spans="4:19" x14ac:dyDescent="0.25">
      <c r="D238" s="1" t="str" cm="1">
        <f t="array" aca="1" ref="D238" ca="1">Common_InputFunctions.Utility_DisplayArrayInTable(Common_SourceData.Common_SourceData_MCFTemperatureZone_Data(),Table_SourceData_Common_MCFTemperatureZone[[#Headers],[Temperature zone]],0)</f>
        <v/>
      </c>
      <c r="E238" s="30" t="str" cm="1">
        <f t="array" aca="1" ref="E238" ca="1">Common_InputFunctions.Utility_DisplayArrayInTable(Common_SourceData.Common_SourceData_MCFTemperatureZone_Data(),Table_SourceData_Common_MCFTemperatureZone[[#Headers],[Temperature zone]],0)</f>
        <v/>
      </c>
      <c r="F238" s="30" t="str" cm="1">
        <f t="array" aca="1" ref="F238" ca="1">Common_InputFunctions.Utility_DisplayArrayInTable(Common_SourceData.Common_SourceData_MCFTemperatureZone_Data(),Table_SourceData_Common_MCFTemperatureZone[[#Headers],[Temperature zone]],0)</f>
        <v/>
      </c>
      <c r="G238" s="30" t="str" cm="1">
        <f t="array" aca="1" ref="G238" ca="1">Common_InputFunctions.Utility_DisplayArrayInTable(Common_SourceData.Common_SourceData_MCFTemperatureZone_Data(),Table_SourceData_Common_MCFTemperatureZone[[#Headers],[Temperature zone]],0)</f>
        <v/>
      </c>
      <c r="H238" s="30" t="str" cm="1">
        <f t="array" aca="1" ref="H238" ca="1">Common_InputFunctions.Utility_DisplayArrayInTable(Common_SourceData.Common_SourceData_MCFTemperatureZone_Data(),Table_SourceData_Common_MCFTemperatureZone[[#Headers],[Temperature zone]],0)</f>
        <v/>
      </c>
      <c r="I238" s="30" t="str" cm="1">
        <f t="array" aca="1" ref="I238" ca="1">Common_InputFunctions.Utility_DisplayArrayInTable(Common_SourceData.Common_SourceData_MCFTemperatureZone_Data(),Table_SourceData_Common_MCFTemperatureZone[[#Headers],[Temperature zone]],0)</f>
        <v/>
      </c>
      <c r="J238" s="30" t="str" cm="1">
        <f t="array" aca="1" ref="J238" ca="1">Common_InputFunctions.Utility_DisplayArrayInTable(Common_SourceData.Common_SourceData_MCFTemperatureZone_Data(),Table_SourceData_Common_MCFTemperatureZone[[#Headers],[Temperature zone]],0)</f>
        <v/>
      </c>
      <c r="K238" s="30" t="str" cm="1">
        <f t="array" aca="1" ref="K238" ca="1">Common_InputFunctions.Utility_DisplayArrayInTable(Common_SourceData.Common_SourceData_MCFTemperatureZone_Data(),Table_SourceData_Common_MCFTemperatureZone[[#Headers],[Temperature zone]],0)</f>
        <v/>
      </c>
      <c r="L238" s="30" t="str" cm="1">
        <f t="array" aca="1" ref="L238" ca="1">Common_InputFunctions.Utility_DisplayArrayInTable(Common_SourceData.Common_SourceData_MCFTemperatureZone_Data(),Table_SourceData_Common_MCFTemperatureZone[[#Headers],[Temperature zone]],0)</f>
        <v/>
      </c>
      <c r="M238" s="30" t="str" cm="1">
        <f t="array" aca="1" ref="M238" ca="1">Common_InputFunctions.Utility_DisplayArrayInTable(Common_SourceData.Common_SourceData_MCFTemperatureZone_Data(),Table_SourceData_Common_MCFTemperatureZone[[#Headers],[Temperature zone]],0)</f>
        <v/>
      </c>
      <c r="N238" s="30" t="str" cm="1">
        <f t="array" aca="1" ref="N238" ca="1">Common_InputFunctions.Utility_DisplayArrayInTable(Common_SourceData.Common_SourceData_MCFTemperatureZone_Data(),Table_SourceData_Common_MCFTemperatureZone[[#Headers],[Temperature zone]],0)</f>
        <v/>
      </c>
      <c r="O238" s="30" t="str" cm="1">
        <f t="array" aca="1" ref="O238" ca="1">Common_InputFunctions.Utility_DisplayArrayInTable(Common_SourceData.Common_SourceData_MCFTemperatureZone_Data(),Table_SourceData_Common_MCFTemperatureZone[[#Headers],[Temperature zone]],0)</f>
        <v/>
      </c>
      <c r="P238" s="30" t="str" cm="1">
        <f t="array" aca="1" ref="P238" ca="1">Common_InputFunctions.Utility_DisplayArrayInTable(Common_SourceData.Common_SourceData_MCFTemperatureZone_Data(),Table_SourceData_Common_MCFTemperatureZone[[#Headers],[Temperature zone]],0)</f>
        <v/>
      </c>
      <c r="Q238" s="30" t="str" cm="1">
        <f t="array" aca="1" ref="Q238" ca="1">Common_InputFunctions.Utility_DisplayArrayInTable(Common_SourceData.Common_SourceData_MCFTemperatureZone_Data(),Table_SourceData_Common_MCFTemperatureZone[[#Headers],[Temperature zone]],0)</f>
        <v/>
      </c>
      <c r="R238" s="30" t="str" cm="1">
        <f t="array" aca="1" ref="R238" ca="1">Common_InputFunctions.Utility_DisplayArrayInTable(Common_SourceData.Common_SourceData_MCFTemperatureZone_Data(),Table_SourceData_Common_MCFTemperatureZone[[#Headers],[Temperature zone]],0)</f>
        <v/>
      </c>
      <c r="S238" s="30" t="str" cm="1">
        <f t="array" aca="1" ref="S238" ca="1">Common_InputFunctions.Utility_DisplayArrayInTable(Common_SourceData.Common_SourceData_MCFTemperatureZone_Data(),Table_SourceData_Common_MCFTemperatureZone[[#Headers],[Temperature zone]],0)</f>
        <v/>
      </c>
    </row>
    <row r="239" spans="4:19" x14ac:dyDescent="0.25">
      <c r="D239" s="1" t="str" cm="1">
        <f t="array" aca="1" ref="D239" ca="1">Common_InputFunctions.Utility_DisplayArrayInTable(Common_SourceData.Common_SourceData_MCFTemperatureZone_Data(),Table_SourceData_Common_MCFTemperatureZone[[#Headers],[Temperature zone]],0)</f>
        <v/>
      </c>
      <c r="E239" s="30" t="str" cm="1">
        <f t="array" aca="1" ref="E239" ca="1">Common_InputFunctions.Utility_DisplayArrayInTable(Common_SourceData.Common_SourceData_MCFTemperatureZone_Data(),Table_SourceData_Common_MCFTemperatureZone[[#Headers],[Temperature zone]],0)</f>
        <v/>
      </c>
      <c r="F239" s="30" t="str" cm="1">
        <f t="array" aca="1" ref="F239" ca="1">Common_InputFunctions.Utility_DisplayArrayInTable(Common_SourceData.Common_SourceData_MCFTemperatureZone_Data(),Table_SourceData_Common_MCFTemperatureZone[[#Headers],[Temperature zone]],0)</f>
        <v/>
      </c>
      <c r="G239" s="30" t="str" cm="1">
        <f t="array" aca="1" ref="G239" ca="1">Common_InputFunctions.Utility_DisplayArrayInTable(Common_SourceData.Common_SourceData_MCFTemperatureZone_Data(),Table_SourceData_Common_MCFTemperatureZone[[#Headers],[Temperature zone]],0)</f>
        <v/>
      </c>
      <c r="H239" s="30" t="str" cm="1">
        <f t="array" aca="1" ref="H239" ca="1">Common_InputFunctions.Utility_DisplayArrayInTable(Common_SourceData.Common_SourceData_MCFTemperatureZone_Data(),Table_SourceData_Common_MCFTemperatureZone[[#Headers],[Temperature zone]],0)</f>
        <v/>
      </c>
      <c r="I239" s="30" t="str" cm="1">
        <f t="array" aca="1" ref="I239" ca="1">Common_InputFunctions.Utility_DisplayArrayInTable(Common_SourceData.Common_SourceData_MCFTemperatureZone_Data(),Table_SourceData_Common_MCFTemperatureZone[[#Headers],[Temperature zone]],0)</f>
        <v/>
      </c>
      <c r="J239" s="30" t="str" cm="1">
        <f t="array" aca="1" ref="J239" ca="1">Common_InputFunctions.Utility_DisplayArrayInTable(Common_SourceData.Common_SourceData_MCFTemperatureZone_Data(),Table_SourceData_Common_MCFTemperatureZone[[#Headers],[Temperature zone]],0)</f>
        <v/>
      </c>
      <c r="K239" s="30" t="str" cm="1">
        <f t="array" aca="1" ref="K239" ca="1">Common_InputFunctions.Utility_DisplayArrayInTable(Common_SourceData.Common_SourceData_MCFTemperatureZone_Data(),Table_SourceData_Common_MCFTemperatureZone[[#Headers],[Temperature zone]],0)</f>
        <v/>
      </c>
      <c r="L239" s="30" t="str" cm="1">
        <f t="array" aca="1" ref="L239" ca="1">Common_InputFunctions.Utility_DisplayArrayInTable(Common_SourceData.Common_SourceData_MCFTemperatureZone_Data(),Table_SourceData_Common_MCFTemperatureZone[[#Headers],[Temperature zone]],0)</f>
        <v/>
      </c>
      <c r="M239" s="30" t="str" cm="1">
        <f t="array" aca="1" ref="M239" ca="1">Common_InputFunctions.Utility_DisplayArrayInTable(Common_SourceData.Common_SourceData_MCFTemperatureZone_Data(),Table_SourceData_Common_MCFTemperatureZone[[#Headers],[Temperature zone]],0)</f>
        <v/>
      </c>
      <c r="N239" s="30" t="str" cm="1">
        <f t="array" aca="1" ref="N239" ca="1">Common_InputFunctions.Utility_DisplayArrayInTable(Common_SourceData.Common_SourceData_MCFTemperatureZone_Data(),Table_SourceData_Common_MCFTemperatureZone[[#Headers],[Temperature zone]],0)</f>
        <v/>
      </c>
      <c r="O239" s="30" t="str" cm="1">
        <f t="array" aca="1" ref="O239" ca="1">Common_InputFunctions.Utility_DisplayArrayInTable(Common_SourceData.Common_SourceData_MCFTemperatureZone_Data(),Table_SourceData_Common_MCFTemperatureZone[[#Headers],[Temperature zone]],0)</f>
        <v/>
      </c>
      <c r="P239" s="30" t="str" cm="1">
        <f t="array" aca="1" ref="P239" ca="1">Common_InputFunctions.Utility_DisplayArrayInTable(Common_SourceData.Common_SourceData_MCFTemperatureZone_Data(),Table_SourceData_Common_MCFTemperatureZone[[#Headers],[Temperature zone]],0)</f>
        <v/>
      </c>
      <c r="Q239" s="30" t="str" cm="1">
        <f t="array" aca="1" ref="Q239" ca="1">Common_InputFunctions.Utility_DisplayArrayInTable(Common_SourceData.Common_SourceData_MCFTemperatureZone_Data(),Table_SourceData_Common_MCFTemperatureZone[[#Headers],[Temperature zone]],0)</f>
        <v/>
      </c>
      <c r="R239" s="30" t="str" cm="1">
        <f t="array" aca="1" ref="R239" ca="1">Common_InputFunctions.Utility_DisplayArrayInTable(Common_SourceData.Common_SourceData_MCFTemperatureZone_Data(),Table_SourceData_Common_MCFTemperatureZone[[#Headers],[Temperature zone]],0)</f>
        <v/>
      </c>
      <c r="S239" s="30" t="str" cm="1">
        <f t="array" aca="1" ref="S239" ca="1">Common_InputFunctions.Utility_DisplayArrayInTable(Common_SourceData.Common_SourceData_MCFTemperatureZone_Data(),Table_SourceData_Common_MCFTemperatureZone[[#Headers],[Temperature zone]],0)</f>
        <v/>
      </c>
    </row>
    <row r="240" spans="4:19" x14ac:dyDescent="0.25">
      <c r="D240" s="1" t="str" cm="1">
        <f t="array" aca="1" ref="D240" ca="1">Common_InputFunctions.Utility_DisplayArrayInTable(Common_SourceData.Common_SourceData_MCFTemperatureZone_Data(),Table_SourceData_Common_MCFTemperatureZone[[#Headers],[Temperature zone]],0)</f>
        <v/>
      </c>
      <c r="E240" s="30" t="str" cm="1">
        <f t="array" aca="1" ref="E240" ca="1">Common_InputFunctions.Utility_DisplayArrayInTable(Common_SourceData.Common_SourceData_MCFTemperatureZone_Data(),Table_SourceData_Common_MCFTemperatureZone[[#Headers],[Temperature zone]],0)</f>
        <v/>
      </c>
      <c r="F240" s="30" t="str" cm="1">
        <f t="array" aca="1" ref="F240" ca="1">Common_InputFunctions.Utility_DisplayArrayInTable(Common_SourceData.Common_SourceData_MCFTemperatureZone_Data(),Table_SourceData_Common_MCFTemperatureZone[[#Headers],[Temperature zone]],0)</f>
        <v/>
      </c>
      <c r="G240" s="30" t="str" cm="1">
        <f t="array" aca="1" ref="G240" ca="1">Common_InputFunctions.Utility_DisplayArrayInTable(Common_SourceData.Common_SourceData_MCFTemperatureZone_Data(),Table_SourceData_Common_MCFTemperatureZone[[#Headers],[Temperature zone]],0)</f>
        <v/>
      </c>
      <c r="H240" s="30" t="str" cm="1">
        <f t="array" aca="1" ref="H240" ca="1">Common_InputFunctions.Utility_DisplayArrayInTable(Common_SourceData.Common_SourceData_MCFTemperatureZone_Data(),Table_SourceData_Common_MCFTemperatureZone[[#Headers],[Temperature zone]],0)</f>
        <v/>
      </c>
      <c r="I240" s="30" t="str" cm="1">
        <f t="array" aca="1" ref="I240" ca="1">Common_InputFunctions.Utility_DisplayArrayInTable(Common_SourceData.Common_SourceData_MCFTemperatureZone_Data(),Table_SourceData_Common_MCFTemperatureZone[[#Headers],[Temperature zone]],0)</f>
        <v/>
      </c>
      <c r="J240" s="30" t="str" cm="1">
        <f t="array" aca="1" ref="J240" ca="1">Common_InputFunctions.Utility_DisplayArrayInTable(Common_SourceData.Common_SourceData_MCFTemperatureZone_Data(),Table_SourceData_Common_MCFTemperatureZone[[#Headers],[Temperature zone]],0)</f>
        <v/>
      </c>
      <c r="K240" s="30" t="str" cm="1">
        <f t="array" aca="1" ref="K240" ca="1">Common_InputFunctions.Utility_DisplayArrayInTable(Common_SourceData.Common_SourceData_MCFTemperatureZone_Data(),Table_SourceData_Common_MCFTemperatureZone[[#Headers],[Temperature zone]],0)</f>
        <v/>
      </c>
      <c r="L240" s="30" t="str" cm="1">
        <f t="array" aca="1" ref="L240" ca="1">Common_InputFunctions.Utility_DisplayArrayInTable(Common_SourceData.Common_SourceData_MCFTemperatureZone_Data(),Table_SourceData_Common_MCFTemperatureZone[[#Headers],[Temperature zone]],0)</f>
        <v/>
      </c>
      <c r="M240" s="30" t="str" cm="1">
        <f t="array" aca="1" ref="M240" ca="1">Common_InputFunctions.Utility_DisplayArrayInTable(Common_SourceData.Common_SourceData_MCFTemperatureZone_Data(),Table_SourceData_Common_MCFTemperatureZone[[#Headers],[Temperature zone]],0)</f>
        <v/>
      </c>
      <c r="N240" s="30" t="str" cm="1">
        <f t="array" aca="1" ref="N240" ca="1">Common_InputFunctions.Utility_DisplayArrayInTable(Common_SourceData.Common_SourceData_MCFTemperatureZone_Data(),Table_SourceData_Common_MCFTemperatureZone[[#Headers],[Temperature zone]],0)</f>
        <v/>
      </c>
      <c r="O240" s="30" t="str" cm="1">
        <f t="array" aca="1" ref="O240" ca="1">Common_InputFunctions.Utility_DisplayArrayInTable(Common_SourceData.Common_SourceData_MCFTemperatureZone_Data(),Table_SourceData_Common_MCFTemperatureZone[[#Headers],[Temperature zone]],0)</f>
        <v/>
      </c>
      <c r="P240" s="30" t="str" cm="1">
        <f t="array" aca="1" ref="P240" ca="1">Common_InputFunctions.Utility_DisplayArrayInTable(Common_SourceData.Common_SourceData_MCFTemperatureZone_Data(),Table_SourceData_Common_MCFTemperatureZone[[#Headers],[Temperature zone]],0)</f>
        <v/>
      </c>
      <c r="Q240" s="30" t="str" cm="1">
        <f t="array" aca="1" ref="Q240" ca="1">Common_InputFunctions.Utility_DisplayArrayInTable(Common_SourceData.Common_SourceData_MCFTemperatureZone_Data(),Table_SourceData_Common_MCFTemperatureZone[[#Headers],[Temperature zone]],0)</f>
        <v/>
      </c>
      <c r="R240" s="30" t="str" cm="1">
        <f t="array" aca="1" ref="R240" ca="1">Common_InputFunctions.Utility_DisplayArrayInTable(Common_SourceData.Common_SourceData_MCFTemperatureZone_Data(),Table_SourceData_Common_MCFTemperatureZone[[#Headers],[Temperature zone]],0)</f>
        <v/>
      </c>
      <c r="S240" s="30" t="str" cm="1">
        <f t="array" aca="1" ref="S240" ca="1">Common_InputFunctions.Utility_DisplayArrayInTable(Common_SourceData.Common_SourceData_MCFTemperatureZone_Data(),Table_SourceData_Common_MCFTemperatureZone[[#Headers],[Temperature zone]],0)</f>
        <v/>
      </c>
    </row>
    <row r="241" spans="4:19" x14ac:dyDescent="0.25">
      <c r="D241" s="1" t="str" cm="1">
        <f t="array" aca="1" ref="D241" ca="1">Common_InputFunctions.Utility_DisplayArrayInTable(Common_SourceData.Common_SourceData_MCFTemperatureZone_Data(),Table_SourceData_Common_MCFTemperatureZone[[#Headers],[Temperature zone]],0)</f>
        <v/>
      </c>
      <c r="E241" s="30" t="str" cm="1">
        <f t="array" aca="1" ref="E241" ca="1">Common_InputFunctions.Utility_DisplayArrayInTable(Common_SourceData.Common_SourceData_MCFTemperatureZone_Data(),Table_SourceData_Common_MCFTemperatureZone[[#Headers],[Temperature zone]],0)</f>
        <v/>
      </c>
      <c r="F241" s="30" t="str" cm="1">
        <f t="array" aca="1" ref="F241" ca="1">Common_InputFunctions.Utility_DisplayArrayInTable(Common_SourceData.Common_SourceData_MCFTemperatureZone_Data(),Table_SourceData_Common_MCFTemperatureZone[[#Headers],[Temperature zone]],0)</f>
        <v/>
      </c>
      <c r="G241" s="30" t="str" cm="1">
        <f t="array" aca="1" ref="G241" ca="1">Common_InputFunctions.Utility_DisplayArrayInTable(Common_SourceData.Common_SourceData_MCFTemperatureZone_Data(),Table_SourceData_Common_MCFTemperatureZone[[#Headers],[Temperature zone]],0)</f>
        <v/>
      </c>
      <c r="H241" s="30" t="str" cm="1">
        <f t="array" aca="1" ref="H241" ca="1">Common_InputFunctions.Utility_DisplayArrayInTable(Common_SourceData.Common_SourceData_MCFTemperatureZone_Data(),Table_SourceData_Common_MCFTemperatureZone[[#Headers],[Temperature zone]],0)</f>
        <v/>
      </c>
      <c r="I241" s="30" t="str" cm="1">
        <f t="array" aca="1" ref="I241" ca="1">Common_InputFunctions.Utility_DisplayArrayInTable(Common_SourceData.Common_SourceData_MCFTemperatureZone_Data(),Table_SourceData_Common_MCFTemperatureZone[[#Headers],[Temperature zone]],0)</f>
        <v/>
      </c>
      <c r="J241" s="30" t="str" cm="1">
        <f t="array" aca="1" ref="J241" ca="1">Common_InputFunctions.Utility_DisplayArrayInTable(Common_SourceData.Common_SourceData_MCFTemperatureZone_Data(),Table_SourceData_Common_MCFTemperatureZone[[#Headers],[Temperature zone]],0)</f>
        <v/>
      </c>
      <c r="K241" s="30" t="str" cm="1">
        <f t="array" aca="1" ref="K241" ca="1">Common_InputFunctions.Utility_DisplayArrayInTable(Common_SourceData.Common_SourceData_MCFTemperatureZone_Data(),Table_SourceData_Common_MCFTemperatureZone[[#Headers],[Temperature zone]],0)</f>
        <v/>
      </c>
      <c r="L241" s="30" t="str" cm="1">
        <f t="array" aca="1" ref="L241" ca="1">Common_InputFunctions.Utility_DisplayArrayInTable(Common_SourceData.Common_SourceData_MCFTemperatureZone_Data(),Table_SourceData_Common_MCFTemperatureZone[[#Headers],[Temperature zone]],0)</f>
        <v/>
      </c>
      <c r="M241" s="30" t="str" cm="1">
        <f t="array" aca="1" ref="M241" ca="1">Common_InputFunctions.Utility_DisplayArrayInTable(Common_SourceData.Common_SourceData_MCFTemperatureZone_Data(),Table_SourceData_Common_MCFTemperatureZone[[#Headers],[Temperature zone]],0)</f>
        <v/>
      </c>
      <c r="N241" s="30" t="str" cm="1">
        <f t="array" aca="1" ref="N241" ca="1">Common_InputFunctions.Utility_DisplayArrayInTable(Common_SourceData.Common_SourceData_MCFTemperatureZone_Data(),Table_SourceData_Common_MCFTemperatureZone[[#Headers],[Temperature zone]],0)</f>
        <v/>
      </c>
      <c r="O241" s="30" t="str" cm="1">
        <f t="array" aca="1" ref="O241" ca="1">Common_InputFunctions.Utility_DisplayArrayInTable(Common_SourceData.Common_SourceData_MCFTemperatureZone_Data(),Table_SourceData_Common_MCFTemperatureZone[[#Headers],[Temperature zone]],0)</f>
        <v/>
      </c>
      <c r="P241" s="30" t="str" cm="1">
        <f t="array" aca="1" ref="P241" ca="1">Common_InputFunctions.Utility_DisplayArrayInTable(Common_SourceData.Common_SourceData_MCFTemperatureZone_Data(),Table_SourceData_Common_MCFTemperatureZone[[#Headers],[Temperature zone]],0)</f>
        <v/>
      </c>
      <c r="Q241" s="30" t="str" cm="1">
        <f t="array" aca="1" ref="Q241" ca="1">Common_InputFunctions.Utility_DisplayArrayInTable(Common_SourceData.Common_SourceData_MCFTemperatureZone_Data(),Table_SourceData_Common_MCFTemperatureZone[[#Headers],[Temperature zone]],0)</f>
        <v/>
      </c>
      <c r="R241" s="30" t="str" cm="1">
        <f t="array" aca="1" ref="R241" ca="1">Common_InputFunctions.Utility_DisplayArrayInTable(Common_SourceData.Common_SourceData_MCFTemperatureZone_Data(),Table_SourceData_Common_MCFTemperatureZone[[#Headers],[Temperature zone]],0)</f>
        <v/>
      </c>
      <c r="S241" s="30" t="str" cm="1">
        <f t="array" aca="1" ref="S241" ca="1">Common_InputFunctions.Utility_DisplayArrayInTable(Common_SourceData.Common_SourceData_MCFTemperatureZone_Data(),Table_SourceData_Common_MCFTemperatureZone[[#Headers],[Temperature zone]],0)</f>
        <v/>
      </c>
    </row>
    <row r="242" spans="4:19" x14ac:dyDescent="0.25">
      <c r="D242" s="1" t="str" cm="1">
        <f t="array" aca="1" ref="D242" ca="1">Common_InputFunctions.Utility_DisplayArrayInTable(Common_SourceData.Common_SourceData_MCFTemperatureZone_Data(),Table_SourceData_Common_MCFTemperatureZone[[#Headers],[Temperature zone]],0)</f>
        <v/>
      </c>
      <c r="E242" s="30" t="str" cm="1">
        <f t="array" aca="1" ref="E242" ca="1">Common_InputFunctions.Utility_DisplayArrayInTable(Common_SourceData.Common_SourceData_MCFTemperatureZone_Data(),Table_SourceData_Common_MCFTemperatureZone[[#Headers],[Temperature zone]],0)</f>
        <v/>
      </c>
      <c r="F242" s="30" t="str" cm="1">
        <f t="array" aca="1" ref="F242" ca="1">Common_InputFunctions.Utility_DisplayArrayInTable(Common_SourceData.Common_SourceData_MCFTemperatureZone_Data(),Table_SourceData_Common_MCFTemperatureZone[[#Headers],[Temperature zone]],0)</f>
        <v/>
      </c>
      <c r="G242" s="30" t="str" cm="1">
        <f t="array" aca="1" ref="G242" ca="1">Common_InputFunctions.Utility_DisplayArrayInTable(Common_SourceData.Common_SourceData_MCFTemperatureZone_Data(),Table_SourceData_Common_MCFTemperatureZone[[#Headers],[Temperature zone]],0)</f>
        <v/>
      </c>
      <c r="H242" s="30" t="str" cm="1">
        <f t="array" aca="1" ref="H242" ca="1">Common_InputFunctions.Utility_DisplayArrayInTable(Common_SourceData.Common_SourceData_MCFTemperatureZone_Data(),Table_SourceData_Common_MCFTemperatureZone[[#Headers],[Temperature zone]],0)</f>
        <v/>
      </c>
      <c r="I242" s="30" t="str" cm="1">
        <f t="array" aca="1" ref="I242" ca="1">Common_InputFunctions.Utility_DisplayArrayInTable(Common_SourceData.Common_SourceData_MCFTemperatureZone_Data(),Table_SourceData_Common_MCFTemperatureZone[[#Headers],[Temperature zone]],0)</f>
        <v/>
      </c>
      <c r="J242" s="30" t="str" cm="1">
        <f t="array" aca="1" ref="J242" ca="1">Common_InputFunctions.Utility_DisplayArrayInTable(Common_SourceData.Common_SourceData_MCFTemperatureZone_Data(),Table_SourceData_Common_MCFTemperatureZone[[#Headers],[Temperature zone]],0)</f>
        <v/>
      </c>
      <c r="K242" s="30" t="str" cm="1">
        <f t="array" aca="1" ref="K242" ca="1">Common_InputFunctions.Utility_DisplayArrayInTable(Common_SourceData.Common_SourceData_MCFTemperatureZone_Data(),Table_SourceData_Common_MCFTemperatureZone[[#Headers],[Temperature zone]],0)</f>
        <v/>
      </c>
      <c r="L242" s="30" t="str" cm="1">
        <f t="array" aca="1" ref="L242" ca="1">Common_InputFunctions.Utility_DisplayArrayInTable(Common_SourceData.Common_SourceData_MCFTemperatureZone_Data(),Table_SourceData_Common_MCFTemperatureZone[[#Headers],[Temperature zone]],0)</f>
        <v/>
      </c>
      <c r="M242" s="30" t="str" cm="1">
        <f t="array" aca="1" ref="M242" ca="1">Common_InputFunctions.Utility_DisplayArrayInTable(Common_SourceData.Common_SourceData_MCFTemperatureZone_Data(),Table_SourceData_Common_MCFTemperatureZone[[#Headers],[Temperature zone]],0)</f>
        <v/>
      </c>
      <c r="N242" s="30" t="str" cm="1">
        <f t="array" aca="1" ref="N242" ca="1">Common_InputFunctions.Utility_DisplayArrayInTable(Common_SourceData.Common_SourceData_MCFTemperatureZone_Data(),Table_SourceData_Common_MCFTemperatureZone[[#Headers],[Temperature zone]],0)</f>
        <v/>
      </c>
      <c r="O242" s="30" t="str" cm="1">
        <f t="array" aca="1" ref="O242" ca="1">Common_InputFunctions.Utility_DisplayArrayInTable(Common_SourceData.Common_SourceData_MCFTemperatureZone_Data(),Table_SourceData_Common_MCFTemperatureZone[[#Headers],[Temperature zone]],0)</f>
        <v/>
      </c>
      <c r="P242" s="30" t="str" cm="1">
        <f t="array" aca="1" ref="P242" ca="1">Common_InputFunctions.Utility_DisplayArrayInTable(Common_SourceData.Common_SourceData_MCFTemperatureZone_Data(),Table_SourceData_Common_MCFTemperatureZone[[#Headers],[Temperature zone]],0)</f>
        <v/>
      </c>
      <c r="Q242" s="30" t="str" cm="1">
        <f t="array" aca="1" ref="Q242" ca="1">Common_InputFunctions.Utility_DisplayArrayInTable(Common_SourceData.Common_SourceData_MCFTemperatureZone_Data(),Table_SourceData_Common_MCFTemperatureZone[[#Headers],[Temperature zone]],0)</f>
        <v/>
      </c>
      <c r="R242" s="30" t="str" cm="1">
        <f t="array" aca="1" ref="R242" ca="1">Common_InputFunctions.Utility_DisplayArrayInTable(Common_SourceData.Common_SourceData_MCFTemperatureZone_Data(),Table_SourceData_Common_MCFTemperatureZone[[#Headers],[Temperature zone]],0)</f>
        <v/>
      </c>
      <c r="S242" s="30" t="str" cm="1">
        <f t="array" aca="1" ref="S242" ca="1">Common_InputFunctions.Utility_DisplayArrayInTable(Common_SourceData.Common_SourceData_MCFTemperatureZone_Data(),Table_SourceData_Common_MCFTemperatureZone[[#Headers],[Temperature zone]],0)</f>
        <v/>
      </c>
    </row>
    <row r="243" spans="4:19" x14ac:dyDescent="0.25">
      <c r="D243" s="1" t="str" cm="1">
        <f t="array" aca="1" ref="D243" ca="1">Common_InputFunctions.Utility_DisplayArrayInTable(Common_SourceData.Common_SourceData_MCFTemperatureZone_Data(),Table_SourceData_Common_MCFTemperatureZone[[#Headers],[Temperature zone]],0)</f>
        <v/>
      </c>
      <c r="E243" s="30" t="str" cm="1">
        <f t="array" aca="1" ref="E243" ca="1">Common_InputFunctions.Utility_DisplayArrayInTable(Common_SourceData.Common_SourceData_MCFTemperatureZone_Data(),Table_SourceData_Common_MCFTemperatureZone[[#Headers],[Temperature zone]],0)</f>
        <v/>
      </c>
      <c r="F243" s="30" t="str" cm="1">
        <f t="array" aca="1" ref="F243" ca="1">Common_InputFunctions.Utility_DisplayArrayInTable(Common_SourceData.Common_SourceData_MCFTemperatureZone_Data(),Table_SourceData_Common_MCFTemperatureZone[[#Headers],[Temperature zone]],0)</f>
        <v/>
      </c>
      <c r="G243" s="30" t="str" cm="1">
        <f t="array" aca="1" ref="G243" ca="1">Common_InputFunctions.Utility_DisplayArrayInTable(Common_SourceData.Common_SourceData_MCFTemperatureZone_Data(),Table_SourceData_Common_MCFTemperatureZone[[#Headers],[Temperature zone]],0)</f>
        <v/>
      </c>
      <c r="H243" s="30" t="str" cm="1">
        <f t="array" aca="1" ref="H243" ca="1">Common_InputFunctions.Utility_DisplayArrayInTable(Common_SourceData.Common_SourceData_MCFTemperatureZone_Data(),Table_SourceData_Common_MCFTemperatureZone[[#Headers],[Temperature zone]],0)</f>
        <v/>
      </c>
      <c r="I243" s="30" t="str" cm="1">
        <f t="array" aca="1" ref="I243" ca="1">Common_InputFunctions.Utility_DisplayArrayInTable(Common_SourceData.Common_SourceData_MCFTemperatureZone_Data(),Table_SourceData_Common_MCFTemperatureZone[[#Headers],[Temperature zone]],0)</f>
        <v/>
      </c>
      <c r="J243" s="30" t="str" cm="1">
        <f t="array" aca="1" ref="J243" ca="1">Common_InputFunctions.Utility_DisplayArrayInTable(Common_SourceData.Common_SourceData_MCFTemperatureZone_Data(),Table_SourceData_Common_MCFTemperatureZone[[#Headers],[Temperature zone]],0)</f>
        <v/>
      </c>
      <c r="K243" s="30" t="str" cm="1">
        <f t="array" aca="1" ref="K243" ca="1">Common_InputFunctions.Utility_DisplayArrayInTable(Common_SourceData.Common_SourceData_MCFTemperatureZone_Data(),Table_SourceData_Common_MCFTemperatureZone[[#Headers],[Temperature zone]],0)</f>
        <v/>
      </c>
      <c r="L243" s="30" t="str" cm="1">
        <f t="array" aca="1" ref="L243" ca="1">Common_InputFunctions.Utility_DisplayArrayInTable(Common_SourceData.Common_SourceData_MCFTemperatureZone_Data(),Table_SourceData_Common_MCFTemperatureZone[[#Headers],[Temperature zone]],0)</f>
        <v/>
      </c>
      <c r="M243" s="30" t="str" cm="1">
        <f t="array" aca="1" ref="M243" ca="1">Common_InputFunctions.Utility_DisplayArrayInTable(Common_SourceData.Common_SourceData_MCFTemperatureZone_Data(),Table_SourceData_Common_MCFTemperatureZone[[#Headers],[Temperature zone]],0)</f>
        <v/>
      </c>
      <c r="N243" s="30" t="str" cm="1">
        <f t="array" aca="1" ref="N243" ca="1">Common_InputFunctions.Utility_DisplayArrayInTable(Common_SourceData.Common_SourceData_MCFTemperatureZone_Data(),Table_SourceData_Common_MCFTemperatureZone[[#Headers],[Temperature zone]],0)</f>
        <v/>
      </c>
      <c r="O243" s="30" t="str" cm="1">
        <f t="array" aca="1" ref="O243" ca="1">Common_InputFunctions.Utility_DisplayArrayInTable(Common_SourceData.Common_SourceData_MCFTemperatureZone_Data(),Table_SourceData_Common_MCFTemperatureZone[[#Headers],[Temperature zone]],0)</f>
        <v/>
      </c>
      <c r="P243" s="30" t="str" cm="1">
        <f t="array" aca="1" ref="P243" ca="1">Common_InputFunctions.Utility_DisplayArrayInTable(Common_SourceData.Common_SourceData_MCFTemperatureZone_Data(),Table_SourceData_Common_MCFTemperatureZone[[#Headers],[Temperature zone]],0)</f>
        <v/>
      </c>
      <c r="Q243" s="30" t="str" cm="1">
        <f t="array" aca="1" ref="Q243" ca="1">Common_InputFunctions.Utility_DisplayArrayInTable(Common_SourceData.Common_SourceData_MCFTemperatureZone_Data(),Table_SourceData_Common_MCFTemperatureZone[[#Headers],[Temperature zone]],0)</f>
        <v/>
      </c>
      <c r="R243" s="30" t="str" cm="1">
        <f t="array" aca="1" ref="R243" ca="1">Common_InputFunctions.Utility_DisplayArrayInTable(Common_SourceData.Common_SourceData_MCFTemperatureZone_Data(),Table_SourceData_Common_MCFTemperatureZone[[#Headers],[Temperature zone]],0)</f>
        <v/>
      </c>
      <c r="S243" s="30" t="str" cm="1">
        <f t="array" aca="1" ref="S243" ca="1">Common_InputFunctions.Utility_DisplayArrayInTable(Common_SourceData.Common_SourceData_MCFTemperatureZone_Data(),Table_SourceData_Common_MCFTemperatureZone[[#Headers],[Temperature zone]],0)</f>
        <v/>
      </c>
    </row>
    <row r="244" spans="4:19" x14ac:dyDescent="0.25">
      <c r="D244" s="1" t="str" cm="1">
        <f t="array" aca="1" ref="D244" ca="1">Common_InputFunctions.Utility_DisplayArrayInTable(Common_SourceData.Common_SourceData_MCFTemperatureZone_Data(),Table_SourceData_Common_MCFTemperatureZone[[#Headers],[Temperature zone]],0)</f>
        <v/>
      </c>
      <c r="E244" s="30" t="str" cm="1">
        <f t="array" aca="1" ref="E244" ca="1">Common_InputFunctions.Utility_DisplayArrayInTable(Common_SourceData.Common_SourceData_MCFTemperatureZone_Data(),Table_SourceData_Common_MCFTemperatureZone[[#Headers],[Temperature zone]],0)</f>
        <v/>
      </c>
      <c r="F244" s="30" t="str" cm="1">
        <f t="array" aca="1" ref="F244" ca="1">Common_InputFunctions.Utility_DisplayArrayInTable(Common_SourceData.Common_SourceData_MCFTemperatureZone_Data(),Table_SourceData_Common_MCFTemperatureZone[[#Headers],[Temperature zone]],0)</f>
        <v/>
      </c>
      <c r="G244" s="30" t="str" cm="1">
        <f t="array" aca="1" ref="G244" ca="1">Common_InputFunctions.Utility_DisplayArrayInTable(Common_SourceData.Common_SourceData_MCFTemperatureZone_Data(),Table_SourceData_Common_MCFTemperatureZone[[#Headers],[Temperature zone]],0)</f>
        <v/>
      </c>
      <c r="H244" s="30" t="str" cm="1">
        <f t="array" aca="1" ref="H244" ca="1">Common_InputFunctions.Utility_DisplayArrayInTable(Common_SourceData.Common_SourceData_MCFTemperatureZone_Data(),Table_SourceData_Common_MCFTemperatureZone[[#Headers],[Temperature zone]],0)</f>
        <v/>
      </c>
      <c r="I244" s="30" t="str" cm="1">
        <f t="array" aca="1" ref="I244" ca="1">Common_InputFunctions.Utility_DisplayArrayInTable(Common_SourceData.Common_SourceData_MCFTemperatureZone_Data(),Table_SourceData_Common_MCFTemperatureZone[[#Headers],[Temperature zone]],0)</f>
        <v/>
      </c>
      <c r="J244" s="30" t="str" cm="1">
        <f t="array" aca="1" ref="J244" ca="1">Common_InputFunctions.Utility_DisplayArrayInTable(Common_SourceData.Common_SourceData_MCFTemperatureZone_Data(),Table_SourceData_Common_MCFTemperatureZone[[#Headers],[Temperature zone]],0)</f>
        <v/>
      </c>
      <c r="K244" s="30" t="str" cm="1">
        <f t="array" aca="1" ref="K244" ca="1">Common_InputFunctions.Utility_DisplayArrayInTable(Common_SourceData.Common_SourceData_MCFTemperatureZone_Data(),Table_SourceData_Common_MCFTemperatureZone[[#Headers],[Temperature zone]],0)</f>
        <v/>
      </c>
      <c r="L244" s="30" t="str" cm="1">
        <f t="array" aca="1" ref="L244" ca="1">Common_InputFunctions.Utility_DisplayArrayInTable(Common_SourceData.Common_SourceData_MCFTemperatureZone_Data(),Table_SourceData_Common_MCFTemperatureZone[[#Headers],[Temperature zone]],0)</f>
        <v/>
      </c>
      <c r="M244" s="30" t="str" cm="1">
        <f t="array" aca="1" ref="M244" ca="1">Common_InputFunctions.Utility_DisplayArrayInTable(Common_SourceData.Common_SourceData_MCFTemperatureZone_Data(),Table_SourceData_Common_MCFTemperatureZone[[#Headers],[Temperature zone]],0)</f>
        <v/>
      </c>
      <c r="N244" s="30" t="str" cm="1">
        <f t="array" aca="1" ref="N244" ca="1">Common_InputFunctions.Utility_DisplayArrayInTable(Common_SourceData.Common_SourceData_MCFTemperatureZone_Data(),Table_SourceData_Common_MCFTemperatureZone[[#Headers],[Temperature zone]],0)</f>
        <v/>
      </c>
      <c r="O244" s="30" t="str" cm="1">
        <f t="array" aca="1" ref="O244" ca="1">Common_InputFunctions.Utility_DisplayArrayInTable(Common_SourceData.Common_SourceData_MCFTemperatureZone_Data(),Table_SourceData_Common_MCFTemperatureZone[[#Headers],[Temperature zone]],0)</f>
        <v/>
      </c>
      <c r="P244" s="30" t="str" cm="1">
        <f t="array" aca="1" ref="P244" ca="1">Common_InputFunctions.Utility_DisplayArrayInTable(Common_SourceData.Common_SourceData_MCFTemperatureZone_Data(),Table_SourceData_Common_MCFTemperatureZone[[#Headers],[Temperature zone]],0)</f>
        <v/>
      </c>
      <c r="Q244" s="30" t="str" cm="1">
        <f t="array" aca="1" ref="Q244" ca="1">Common_InputFunctions.Utility_DisplayArrayInTable(Common_SourceData.Common_SourceData_MCFTemperatureZone_Data(),Table_SourceData_Common_MCFTemperatureZone[[#Headers],[Temperature zone]],0)</f>
        <v/>
      </c>
      <c r="R244" s="30" t="str" cm="1">
        <f t="array" aca="1" ref="R244" ca="1">Common_InputFunctions.Utility_DisplayArrayInTable(Common_SourceData.Common_SourceData_MCFTemperatureZone_Data(),Table_SourceData_Common_MCFTemperatureZone[[#Headers],[Temperature zone]],0)</f>
        <v/>
      </c>
      <c r="S244" s="30" t="str" cm="1">
        <f t="array" aca="1" ref="S244" ca="1">Common_InputFunctions.Utility_DisplayArrayInTable(Common_SourceData.Common_SourceData_MCFTemperatureZone_Data(),Table_SourceData_Common_MCFTemperatureZone[[#Headers],[Temperature zone]],0)</f>
        <v/>
      </c>
    </row>
    <row r="245" spans="4:19" x14ac:dyDescent="0.25">
      <c r="D245" s="1" t="str" cm="1">
        <f t="array" aca="1" ref="D245" ca="1">Common_InputFunctions.Utility_DisplayArrayInTable(Common_SourceData.Common_SourceData_MCFTemperatureZone_Data(),Table_SourceData_Common_MCFTemperatureZone[[#Headers],[Temperature zone]],0)</f>
        <v/>
      </c>
      <c r="E245" s="30" t="str" cm="1">
        <f t="array" aca="1" ref="E245" ca="1">Common_InputFunctions.Utility_DisplayArrayInTable(Common_SourceData.Common_SourceData_MCFTemperatureZone_Data(),Table_SourceData_Common_MCFTemperatureZone[[#Headers],[Temperature zone]],0)</f>
        <v/>
      </c>
      <c r="F245" s="30" t="str" cm="1">
        <f t="array" aca="1" ref="F245" ca="1">Common_InputFunctions.Utility_DisplayArrayInTable(Common_SourceData.Common_SourceData_MCFTemperatureZone_Data(),Table_SourceData_Common_MCFTemperatureZone[[#Headers],[Temperature zone]],0)</f>
        <v/>
      </c>
      <c r="G245" s="30" t="str" cm="1">
        <f t="array" aca="1" ref="G245" ca="1">Common_InputFunctions.Utility_DisplayArrayInTable(Common_SourceData.Common_SourceData_MCFTemperatureZone_Data(),Table_SourceData_Common_MCFTemperatureZone[[#Headers],[Temperature zone]],0)</f>
        <v/>
      </c>
      <c r="H245" s="30" t="str" cm="1">
        <f t="array" aca="1" ref="H245" ca="1">Common_InputFunctions.Utility_DisplayArrayInTable(Common_SourceData.Common_SourceData_MCFTemperatureZone_Data(),Table_SourceData_Common_MCFTemperatureZone[[#Headers],[Temperature zone]],0)</f>
        <v/>
      </c>
      <c r="I245" s="30" t="str" cm="1">
        <f t="array" aca="1" ref="I245" ca="1">Common_InputFunctions.Utility_DisplayArrayInTable(Common_SourceData.Common_SourceData_MCFTemperatureZone_Data(),Table_SourceData_Common_MCFTemperatureZone[[#Headers],[Temperature zone]],0)</f>
        <v/>
      </c>
      <c r="J245" s="30" t="str" cm="1">
        <f t="array" aca="1" ref="J245" ca="1">Common_InputFunctions.Utility_DisplayArrayInTable(Common_SourceData.Common_SourceData_MCFTemperatureZone_Data(),Table_SourceData_Common_MCFTemperatureZone[[#Headers],[Temperature zone]],0)</f>
        <v/>
      </c>
      <c r="K245" s="30" t="str" cm="1">
        <f t="array" aca="1" ref="K245" ca="1">Common_InputFunctions.Utility_DisplayArrayInTable(Common_SourceData.Common_SourceData_MCFTemperatureZone_Data(),Table_SourceData_Common_MCFTemperatureZone[[#Headers],[Temperature zone]],0)</f>
        <v/>
      </c>
      <c r="L245" s="30" t="str" cm="1">
        <f t="array" aca="1" ref="L245" ca="1">Common_InputFunctions.Utility_DisplayArrayInTable(Common_SourceData.Common_SourceData_MCFTemperatureZone_Data(),Table_SourceData_Common_MCFTemperatureZone[[#Headers],[Temperature zone]],0)</f>
        <v/>
      </c>
      <c r="M245" s="30" t="str" cm="1">
        <f t="array" aca="1" ref="M245" ca="1">Common_InputFunctions.Utility_DisplayArrayInTable(Common_SourceData.Common_SourceData_MCFTemperatureZone_Data(),Table_SourceData_Common_MCFTemperatureZone[[#Headers],[Temperature zone]],0)</f>
        <v/>
      </c>
      <c r="N245" s="30" t="str" cm="1">
        <f t="array" aca="1" ref="N245" ca="1">Common_InputFunctions.Utility_DisplayArrayInTable(Common_SourceData.Common_SourceData_MCFTemperatureZone_Data(),Table_SourceData_Common_MCFTemperatureZone[[#Headers],[Temperature zone]],0)</f>
        <v/>
      </c>
      <c r="O245" s="30" t="str" cm="1">
        <f t="array" aca="1" ref="O245" ca="1">Common_InputFunctions.Utility_DisplayArrayInTable(Common_SourceData.Common_SourceData_MCFTemperatureZone_Data(),Table_SourceData_Common_MCFTemperatureZone[[#Headers],[Temperature zone]],0)</f>
        <v/>
      </c>
      <c r="P245" s="30" t="str" cm="1">
        <f t="array" aca="1" ref="P245" ca="1">Common_InputFunctions.Utility_DisplayArrayInTable(Common_SourceData.Common_SourceData_MCFTemperatureZone_Data(),Table_SourceData_Common_MCFTemperatureZone[[#Headers],[Temperature zone]],0)</f>
        <v/>
      </c>
      <c r="Q245" s="30" t="str" cm="1">
        <f t="array" aca="1" ref="Q245" ca="1">Common_InputFunctions.Utility_DisplayArrayInTable(Common_SourceData.Common_SourceData_MCFTemperatureZone_Data(),Table_SourceData_Common_MCFTemperatureZone[[#Headers],[Temperature zone]],0)</f>
        <v/>
      </c>
      <c r="R245" s="30" t="str" cm="1">
        <f t="array" aca="1" ref="R245" ca="1">Common_InputFunctions.Utility_DisplayArrayInTable(Common_SourceData.Common_SourceData_MCFTemperatureZone_Data(),Table_SourceData_Common_MCFTemperatureZone[[#Headers],[Temperature zone]],0)</f>
        <v/>
      </c>
      <c r="S245" s="30" t="str" cm="1">
        <f t="array" aca="1" ref="S245" ca="1">Common_InputFunctions.Utility_DisplayArrayInTable(Common_SourceData.Common_SourceData_MCFTemperatureZone_Data(),Table_SourceData_Common_MCFTemperatureZone[[#Headers],[Temperature zone]],0)</f>
        <v/>
      </c>
    </row>
    <row r="246" spans="4:19" x14ac:dyDescent="0.25">
      <c r="D246" s="1" t="str" cm="1">
        <f t="array" aca="1" ref="D246" ca="1">Common_InputFunctions.Utility_DisplayArrayInTable(Common_SourceData.Common_SourceData_MCFTemperatureZone_Data(),Table_SourceData_Common_MCFTemperatureZone[[#Headers],[Temperature zone]],0)</f>
        <v/>
      </c>
      <c r="E246" s="30" t="str" cm="1">
        <f t="array" aca="1" ref="E246" ca="1">Common_InputFunctions.Utility_DisplayArrayInTable(Common_SourceData.Common_SourceData_MCFTemperatureZone_Data(),Table_SourceData_Common_MCFTemperatureZone[[#Headers],[Temperature zone]],0)</f>
        <v/>
      </c>
      <c r="F246" s="30" t="str" cm="1">
        <f t="array" aca="1" ref="F246" ca="1">Common_InputFunctions.Utility_DisplayArrayInTable(Common_SourceData.Common_SourceData_MCFTemperatureZone_Data(),Table_SourceData_Common_MCFTemperatureZone[[#Headers],[Temperature zone]],0)</f>
        <v/>
      </c>
      <c r="G246" s="30" t="str" cm="1">
        <f t="array" aca="1" ref="G246" ca="1">Common_InputFunctions.Utility_DisplayArrayInTable(Common_SourceData.Common_SourceData_MCFTemperatureZone_Data(),Table_SourceData_Common_MCFTemperatureZone[[#Headers],[Temperature zone]],0)</f>
        <v/>
      </c>
      <c r="H246" s="30" t="str" cm="1">
        <f t="array" aca="1" ref="H246" ca="1">Common_InputFunctions.Utility_DisplayArrayInTable(Common_SourceData.Common_SourceData_MCFTemperatureZone_Data(),Table_SourceData_Common_MCFTemperatureZone[[#Headers],[Temperature zone]],0)</f>
        <v/>
      </c>
      <c r="I246" s="30" t="str" cm="1">
        <f t="array" aca="1" ref="I246" ca="1">Common_InputFunctions.Utility_DisplayArrayInTable(Common_SourceData.Common_SourceData_MCFTemperatureZone_Data(),Table_SourceData_Common_MCFTemperatureZone[[#Headers],[Temperature zone]],0)</f>
        <v/>
      </c>
      <c r="J246" s="30" t="str" cm="1">
        <f t="array" aca="1" ref="J246" ca="1">Common_InputFunctions.Utility_DisplayArrayInTable(Common_SourceData.Common_SourceData_MCFTemperatureZone_Data(),Table_SourceData_Common_MCFTemperatureZone[[#Headers],[Temperature zone]],0)</f>
        <v/>
      </c>
      <c r="K246" s="30" t="str" cm="1">
        <f t="array" aca="1" ref="K246" ca="1">Common_InputFunctions.Utility_DisplayArrayInTable(Common_SourceData.Common_SourceData_MCFTemperatureZone_Data(),Table_SourceData_Common_MCFTemperatureZone[[#Headers],[Temperature zone]],0)</f>
        <v/>
      </c>
      <c r="L246" s="30" t="str" cm="1">
        <f t="array" aca="1" ref="L246" ca="1">Common_InputFunctions.Utility_DisplayArrayInTable(Common_SourceData.Common_SourceData_MCFTemperatureZone_Data(),Table_SourceData_Common_MCFTemperatureZone[[#Headers],[Temperature zone]],0)</f>
        <v/>
      </c>
      <c r="M246" s="30" t="str" cm="1">
        <f t="array" aca="1" ref="M246" ca="1">Common_InputFunctions.Utility_DisplayArrayInTable(Common_SourceData.Common_SourceData_MCFTemperatureZone_Data(),Table_SourceData_Common_MCFTemperatureZone[[#Headers],[Temperature zone]],0)</f>
        <v/>
      </c>
      <c r="N246" s="30" t="str" cm="1">
        <f t="array" aca="1" ref="N246" ca="1">Common_InputFunctions.Utility_DisplayArrayInTable(Common_SourceData.Common_SourceData_MCFTemperatureZone_Data(),Table_SourceData_Common_MCFTemperatureZone[[#Headers],[Temperature zone]],0)</f>
        <v/>
      </c>
      <c r="O246" s="30" t="str" cm="1">
        <f t="array" aca="1" ref="O246" ca="1">Common_InputFunctions.Utility_DisplayArrayInTable(Common_SourceData.Common_SourceData_MCFTemperatureZone_Data(),Table_SourceData_Common_MCFTemperatureZone[[#Headers],[Temperature zone]],0)</f>
        <v/>
      </c>
      <c r="P246" s="30" t="str" cm="1">
        <f t="array" aca="1" ref="P246" ca="1">Common_InputFunctions.Utility_DisplayArrayInTable(Common_SourceData.Common_SourceData_MCFTemperatureZone_Data(),Table_SourceData_Common_MCFTemperatureZone[[#Headers],[Temperature zone]],0)</f>
        <v/>
      </c>
      <c r="Q246" s="30" t="str" cm="1">
        <f t="array" aca="1" ref="Q246" ca="1">Common_InputFunctions.Utility_DisplayArrayInTable(Common_SourceData.Common_SourceData_MCFTemperatureZone_Data(),Table_SourceData_Common_MCFTemperatureZone[[#Headers],[Temperature zone]],0)</f>
        <v/>
      </c>
      <c r="R246" s="30" t="str" cm="1">
        <f t="array" aca="1" ref="R246" ca="1">Common_InputFunctions.Utility_DisplayArrayInTable(Common_SourceData.Common_SourceData_MCFTemperatureZone_Data(),Table_SourceData_Common_MCFTemperatureZone[[#Headers],[Temperature zone]],0)</f>
        <v/>
      </c>
      <c r="S246" s="30" t="str" cm="1">
        <f t="array" aca="1" ref="S246" ca="1">Common_InputFunctions.Utility_DisplayArrayInTable(Common_SourceData.Common_SourceData_MCFTemperatureZone_Data(),Table_SourceData_Common_MCFTemperatureZone[[#Headers],[Temperature zone]],0)</f>
        <v/>
      </c>
    </row>
    <row r="247" spans="4:19" x14ac:dyDescent="0.25">
      <c r="D247" s="1" t="str" cm="1">
        <f t="array" aca="1" ref="D247" ca="1">Common_InputFunctions.Utility_DisplayArrayInTable(Common_SourceData.Common_SourceData_MCFTemperatureZone_Data(),Table_SourceData_Common_MCFTemperatureZone[[#Headers],[Temperature zone]],0)</f>
        <v/>
      </c>
      <c r="E247" s="30" t="str" cm="1">
        <f t="array" aca="1" ref="E247" ca="1">Common_InputFunctions.Utility_DisplayArrayInTable(Common_SourceData.Common_SourceData_MCFTemperatureZone_Data(),Table_SourceData_Common_MCFTemperatureZone[[#Headers],[Temperature zone]],0)</f>
        <v/>
      </c>
      <c r="F247" s="30" t="str" cm="1">
        <f t="array" aca="1" ref="F247" ca="1">Common_InputFunctions.Utility_DisplayArrayInTable(Common_SourceData.Common_SourceData_MCFTemperatureZone_Data(),Table_SourceData_Common_MCFTemperatureZone[[#Headers],[Temperature zone]],0)</f>
        <v/>
      </c>
      <c r="G247" s="30" t="str" cm="1">
        <f t="array" aca="1" ref="G247" ca="1">Common_InputFunctions.Utility_DisplayArrayInTable(Common_SourceData.Common_SourceData_MCFTemperatureZone_Data(),Table_SourceData_Common_MCFTemperatureZone[[#Headers],[Temperature zone]],0)</f>
        <v/>
      </c>
      <c r="H247" s="30" t="str" cm="1">
        <f t="array" aca="1" ref="H247" ca="1">Common_InputFunctions.Utility_DisplayArrayInTable(Common_SourceData.Common_SourceData_MCFTemperatureZone_Data(),Table_SourceData_Common_MCFTemperatureZone[[#Headers],[Temperature zone]],0)</f>
        <v/>
      </c>
      <c r="I247" s="30" t="str" cm="1">
        <f t="array" aca="1" ref="I247" ca="1">Common_InputFunctions.Utility_DisplayArrayInTable(Common_SourceData.Common_SourceData_MCFTemperatureZone_Data(),Table_SourceData_Common_MCFTemperatureZone[[#Headers],[Temperature zone]],0)</f>
        <v/>
      </c>
      <c r="J247" s="30" t="str" cm="1">
        <f t="array" aca="1" ref="J247" ca="1">Common_InputFunctions.Utility_DisplayArrayInTable(Common_SourceData.Common_SourceData_MCFTemperatureZone_Data(),Table_SourceData_Common_MCFTemperatureZone[[#Headers],[Temperature zone]],0)</f>
        <v/>
      </c>
      <c r="K247" s="30" t="str" cm="1">
        <f t="array" aca="1" ref="K247" ca="1">Common_InputFunctions.Utility_DisplayArrayInTable(Common_SourceData.Common_SourceData_MCFTemperatureZone_Data(),Table_SourceData_Common_MCFTemperatureZone[[#Headers],[Temperature zone]],0)</f>
        <v/>
      </c>
      <c r="L247" s="30" t="str" cm="1">
        <f t="array" aca="1" ref="L247" ca="1">Common_InputFunctions.Utility_DisplayArrayInTable(Common_SourceData.Common_SourceData_MCFTemperatureZone_Data(),Table_SourceData_Common_MCFTemperatureZone[[#Headers],[Temperature zone]],0)</f>
        <v/>
      </c>
      <c r="M247" s="30" t="str" cm="1">
        <f t="array" aca="1" ref="M247" ca="1">Common_InputFunctions.Utility_DisplayArrayInTable(Common_SourceData.Common_SourceData_MCFTemperatureZone_Data(),Table_SourceData_Common_MCFTemperatureZone[[#Headers],[Temperature zone]],0)</f>
        <v/>
      </c>
      <c r="N247" s="30" t="str" cm="1">
        <f t="array" aca="1" ref="N247" ca="1">Common_InputFunctions.Utility_DisplayArrayInTable(Common_SourceData.Common_SourceData_MCFTemperatureZone_Data(),Table_SourceData_Common_MCFTemperatureZone[[#Headers],[Temperature zone]],0)</f>
        <v/>
      </c>
      <c r="O247" s="30" t="str" cm="1">
        <f t="array" aca="1" ref="O247" ca="1">Common_InputFunctions.Utility_DisplayArrayInTable(Common_SourceData.Common_SourceData_MCFTemperatureZone_Data(),Table_SourceData_Common_MCFTemperatureZone[[#Headers],[Temperature zone]],0)</f>
        <v/>
      </c>
      <c r="P247" s="30" t="str" cm="1">
        <f t="array" aca="1" ref="P247" ca="1">Common_InputFunctions.Utility_DisplayArrayInTable(Common_SourceData.Common_SourceData_MCFTemperatureZone_Data(),Table_SourceData_Common_MCFTemperatureZone[[#Headers],[Temperature zone]],0)</f>
        <v/>
      </c>
      <c r="Q247" s="30" t="str" cm="1">
        <f t="array" aca="1" ref="Q247" ca="1">Common_InputFunctions.Utility_DisplayArrayInTable(Common_SourceData.Common_SourceData_MCFTemperatureZone_Data(),Table_SourceData_Common_MCFTemperatureZone[[#Headers],[Temperature zone]],0)</f>
        <v/>
      </c>
      <c r="R247" s="30" t="str" cm="1">
        <f t="array" aca="1" ref="R247" ca="1">Common_InputFunctions.Utility_DisplayArrayInTable(Common_SourceData.Common_SourceData_MCFTemperatureZone_Data(),Table_SourceData_Common_MCFTemperatureZone[[#Headers],[Temperature zone]],0)</f>
        <v/>
      </c>
      <c r="S247" s="30" t="str" cm="1">
        <f t="array" aca="1" ref="S247" ca="1">Common_InputFunctions.Utility_DisplayArrayInTable(Common_SourceData.Common_SourceData_MCFTemperatureZone_Data(),Table_SourceData_Common_MCFTemperatureZone[[#Headers],[Temperature zone]],0)</f>
        <v/>
      </c>
    </row>
    <row r="248" spans="4:19" x14ac:dyDescent="0.25">
      <c r="D248" s="1" t="str" cm="1">
        <f t="array" aca="1" ref="D248" ca="1">Common_InputFunctions.Utility_DisplayArrayInTable(Common_SourceData.Common_SourceData_MCFTemperatureZone_Data(),Table_SourceData_Common_MCFTemperatureZone[[#Headers],[Temperature zone]],0)</f>
        <v/>
      </c>
      <c r="E248" s="30" t="str" cm="1">
        <f t="array" aca="1" ref="E248" ca="1">Common_InputFunctions.Utility_DisplayArrayInTable(Common_SourceData.Common_SourceData_MCFTemperatureZone_Data(),Table_SourceData_Common_MCFTemperatureZone[[#Headers],[Temperature zone]],0)</f>
        <v/>
      </c>
      <c r="F248" s="30" t="str" cm="1">
        <f t="array" aca="1" ref="F248" ca="1">Common_InputFunctions.Utility_DisplayArrayInTable(Common_SourceData.Common_SourceData_MCFTemperatureZone_Data(),Table_SourceData_Common_MCFTemperatureZone[[#Headers],[Temperature zone]],0)</f>
        <v/>
      </c>
      <c r="G248" s="30" t="str" cm="1">
        <f t="array" aca="1" ref="G248" ca="1">Common_InputFunctions.Utility_DisplayArrayInTable(Common_SourceData.Common_SourceData_MCFTemperatureZone_Data(),Table_SourceData_Common_MCFTemperatureZone[[#Headers],[Temperature zone]],0)</f>
        <v/>
      </c>
      <c r="H248" s="30" t="str" cm="1">
        <f t="array" aca="1" ref="H248" ca="1">Common_InputFunctions.Utility_DisplayArrayInTable(Common_SourceData.Common_SourceData_MCFTemperatureZone_Data(),Table_SourceData_Common_MCFTemperatureZone[[#Headers],[Temperature zone]],0)</f>
        <v/>
      </c>
      <c r="I248" s="30" t="str" cm="1">
        <f t="array" aca="1" ref="I248" ca="1">Common_InputFunctions.Utility_DisplayArrayInTable(Common_SourceData.Common_SourceData_MCFTemperatureZone_Data(),Table_SourceData_Common_MCFTemperatureZone[[#Headers],[Temperature zone]],0)</f>
        <v/>
      </c>
      <c r="J248" s="30" t="str" cm="1">
        <f t="array" aca="1" ref="J248" ca="1">Common_InputFunctions.Utility_DisplayArrayInTable(Common_SourceData.Common_SourceData_MCFTemperatureZone_Data(),Table_SourceData_Common_MCFTemperatureZone[[#Headers],[Temperature zone]],0)</f>
        <v/>
      </c>
      <c r="K248" s="30" t="str" cm="1">
        <f t="array" aca="1" ref="K248" ca="1">Common_InputFunctions.Utility_DisplayArrayInTable(Common_SourceData.Common_SourceData_MCFTemperatureZone_Data(),Table_SourceData_Common_MCFTemperatureZone[[#Headers],[Temperature zone]],0)</f>
        <v/>
      </c>
      <c r="L248" s="30" t="str" cm="1">
        <f t="array" aca="1" ref="L248" ca="1">Common_InputFunctions.Utility_DisplayArrayInTable(Common_SourceData.Common_SourceData_MCFTemperatureZone_Data(),Table_SourceData_Common_MCFTemperatureZone[[#Headers],[Temperature zone]],0)</f>
        <v/>
      </c>
      <c r="M248" s="30" t="str" cm="1">
        <f t="array" aca="1" ref="M248" ca="1">Common_InputFunctions.Utility_DisplayArrayInTable(Common_SourceData.Common_SourceData_MCFTemperatureZone_Data(),Table_SourceData_Common_MCFTemperatureZone[[#Headers],[Temperature zone]],0)</f>
        <v/>
      </c>
      <c r="N248" s="30" t="str" cm="1">
        <f t="array" aca="1" ref="N248" ca="1">Common_InputFunctions.Utility_DisplayArrayInTable(Common_SourceData.Common_SourceData_MCFTemperatureZone_Data(),Table_SourceData_Common_MCFTemperatureZone[[#Headers],[Temperature zone]],0)</f>
        <v/>
      </c>
      <c r="O248" s="30" t="str" cm="1">
        <f t="array" aca="1" ref="O248" ca="1">Common_InputFunctions.Utility_DisplayArrayInTable(Common_SourceData.Common_SourceData_MCFTemperatureZone_Data(),Table_SourceData_Common_MCFTemperatureZone[[#Headers],[Temperature zone]],0)</f>
        <v/>
      </c>
      <c r="P248" s="30" t="str" cm="1">
        <f t="array" aca="1" ref="P248" ca="1">Common_InputFunctions.Utility_DisplayArrayInTable(Common_SourceData.Common_SourceData_MCFTemperatureZone_Data(),Table_SourceData_Common_MCFTemperatureZone[[#Headers],[Temperature zone]],0)</f>
        <v/>
      </c>
      <c r="Q248" s="30" t="str" cm="1">
        <f t="array" aca="1" ref="Q248" ca="1">Common_InputFunctions.Utility_DisplayArrayInTable(Common_SourceData.Common_SourceData_MCFTemperatureZone_Data(),Table_SourceData_Common_MCFTemperatureZone[[#Headers],[Temperature zone]],0)</f>
        <v/>
      </c>
      <c r="R248" s="30" t="str" cm="1">
        <f t="array" aca="1" ref="R248" ca="1">Common_InputFunctions.Utility_DisplayArrayInTable(Common_SourceData.Common_SourceData_MCFTemperatureZone_Data(),Table_SourceData_Common_MCFTemperatureZone[[#Headers],[Temperature zone]],0)</f>
        <v/>
      </c>
      <c r="S248" s="30" t="str" cm="1">
        <f t="array" aca="1" ref="S248" ca="1">Common_InputFunctions.Utility_DisplayArrayInTable(Common_SourceData.Common_SourceData_MCFTemperatureZone_Data(),Table_SourceData_Common_MCFTemperatureZone[[#Headers],[Temperature zone]],0)</f>
        <v/>
      </c>
    </row>
    <row r="249" spans="4:19" x14ac:dyDescent="0.25">
      <c r="D249" s="1" t="str" cm="1">
        <f t="array" aca="1" ref="D249" ca="1">Common_InputFunctions.Utility_DisplayArrayInTable(Common_SourceData.Common_SourceData_MCFTemperatureZone_Data(),Table_SourceData_Common_MCFTemperatureZone[[#Headers],[Temperature zone]],0)</f>
        <v/>
      </c>
      <c r="E249" s="30" t="str" cm="1">
        <f t="array" aca="1" ref="E249" ca="1">Common_InputFunctions.Utility_DisplayArrayInTable(Common_SourceData.Common_SourceData_MCFTemperatureZone_Data(),Table_SourceData_Common_MCFTemperatureZone[[#Headers],[Temperature zone]],0)</f>
        <v/>
      </c>
      <c r="F249" s="30" t="str" cm="1">
        <f t="array" aca="1" ref="F249" ca="1">Common_InputFunctions.Utility_DisplayArrayInTable(Common_SourceData.Common_SourceData_MCFTemperatureZone_Data(),Table_SourceData_Common_MCFTemperatureZone[[#Headers],[Temperature zone]],0)</f>
        <v/>
      </c>
      <c r="G249" s="30" t="str" cm="1">
        <f t="array" aca="1" ref="G249" ca="1">Common_InputFunctions.Utility_DisplayArrayInTable(Common_SourceData.Common_SourceData_MCFTemperatureZone_Data(),Table_SourceData_Common_MCFTemperatureZone[[#Headers],[Temperature zone]],0)</f>
        <v/>
      </c>
      <c r="H249" s="30" t="str" cm="1">
        <f t="array" aca="1" ref="H249" ca="1">Common_InputFunctions.Utility_DisplayArrayInTable(Common_SourceData.Common_SourceData_MCFTemperatureZone_Data(),Table_SourceData_Common_MCFTemperatureZone[[#Headers],[Temperature zone]],0)</f>
        <v/>
      </c>
      <c r="I249" s="30" t="str" cm="1">
        <f t="array" aca="1" ref="I249" ca="1">Common_InputFunctions.Utility_DisplayArrayInTable(Common_SourceData.Common_SourceData_MCFTemperatureZone_Data(),Table_SourceData_Common_MCFTemperatureZone[[#Headers],[Temperature zone]],0)</f>
        <v/>
      </c>
      <c r="J249" s="30" t="str" cm="1">
        <f t="array" aca="1" ref="J249" ca="1">Common_InputFunctions.Utility_DisplayArrayInTable(Common_SourceData.Common_SourceData_MCFTemperatureZone_Data(),Table_SourceData_Common_MCFTemperatureZone[[#Headers],[Temperature zone]],0)</f>
        <v/>
      </c>
      <c r="K249" s="30" t="str" cm="1">
        <f t="array" aca="1" ref="K249" ca="1">Common_InputFunctions.Utility_DisplayArrayInTable(Common_SourceData.Common_SourceData_MCFTemperatureZone_Data(),Table_SourceData_Common_MCFTemperatureZone[[#Headers],[Temperature zone]],0)</f>
        <v/>
      </c>
      <c r="L249" s="30" t="str" cm="1">
        <f t="array" aca="1" ref="L249" ca="1">Common_InputFunctions.Utility_DisplayArrayInTable(Common_SourceData.Common_SourceData_MCFTemperatureZone_Data(),Table_SourceData_Common_MCFTemperatureZone[[#Headers],[Temperature zone]],0)</f>
        <v/>
      </c>
      <c r="M249" s="30" t="str" cm="1">
        <f t="array" aca="1" ref="M249" ca="1">Common_InputFunctions.Utility_DisplayArrayInTable(Common_SourceData.Common_SourceData_MCFTemperatureZone_Data(),Table_SourceData_Common_MCFTemperatureZone[[#Headers],[Temperature zone]],0)</f>
        <v/>
      </c>
      <c r="N249" s="30" t="str" cm="1">
        <f t="array" aca="1" ref="N249" ca="1">Common_InputFunctions.Utility_DisplayArrayInTable(Common_SourceData.Common_SourceData_MCFTemperatureZone_Data(),Table_SourceData_Common_MCFTemperatureZone[[#Headers],[Temperature zone]],0)</f>
        <v/>
      </c>
      <c r="O249" s="30" t="str" cm="1">
        <f t="array" aca="1" ref="O249" ca="1">Common_InputFunctions.Utility_DisplayArrayInTable(Common_SourceData.Common_SourceData_MCFTemperatureZone_Data(),Table_SourceData_Common_MCFTemperatureZone[[#Headers],[Temperature zone]],0)</f>
        <v/>
      </c>
      <c r="P249" s="30" t="str" cm="1">
        <f t="array" aca="1" ref="P249" ca="1">Common_InputFunctions.Utility_DisplayArrayInTable(Common_SourceData.Common_SourceData_MCFTemperatureZone_Data(),Table_SourceData_Common_MCFTemperatureZone[[#Headers],[Temperature zone]],0)</f>
        <v/>
      </c>
      <c r="Q249" s="30" t="str" cm="1">
        <f t="array" aca="1" ref="Q249" ca="1">Common_InputFunctions.Utility_DisplayArrayInTable(Common_SourceData.Common_SourceData_MCFTemperatureZone_Data(),Table_SourceData_Common_MCFTemperatureZone[[#Headers],[Temperature zone]],0)</f>
        <v/>
      </c>
      <c r="R249" s="30" t="str" cm="1">
        <f t="array" aca="1" ref="R249" ca="1">Common_InputFunctions.Utility_DisplayArrayInTable(Common_SourceData.Common_SourceData_MCFTemperatureZone_Data(),Table_SourceData_Common_MCFTemperatureZone[[#Headers],[Temperature zone]],0)</f>
        <v/>
      </c>
      <c r="S249" s="30" t="str" cm="1">
        <f t="array" aca="1" ref="S249" ca="1">Common_InputFunctions.Utility_DisplayArrayInTable(Common_SourceData.Common_SourceData_MCFTemperatureZone_Data(),Table_SourceData_Common_MCFTemperatureZone[[#Headers],[Temperature zone]],0)</f>
        <v/>
      </c>
    </row>
    <row r="250" spans="4:19" x14ac:dyDescent="0.25">
      <c r="D250" s="1" t="str" cm="1">
        <f t="array" aca="1" ref="D250" ca="1">Common_InputFunctions.Utility_DisplayArrayInTable(Common_SourceData.Common_SourceData_MCFTemperatureZone_Data(),Table_SourceData_Common_MCFTemperatureZone[[#Headers],[Temperature zone]],0)</f>
        <v/>
      </c>
      <c r="E250" s="30" t="str" cm="1">
        <f t="array" aca="1" ref="E250" ca="1">Common_InputFunctions.Utility_DisplayArrayInTable(Common_SourceData.Common_SourceData_MCFTemperatureZone_Data(),Table_SourceData_Common_MCFTemperatureZone[[#Headers],[Temperature zone]],0)</f>
        <v/>
      </c>
      <c r="F250" s="30" t="str" cm="1">
        <f t="array" aca="1" ref="F250" ca="1">Common_InputFunctions.Utility_DisplayArrayInTable(Common_SourceData.Common_SourceData_MCFTemperatureZone_Data(),Table_SourceData_Common_MCFTemperatureZone[[#Headers],[Temperature zone]],0)</f>
        <v/>
      </c>
      <c r="G250" s="30" t="str" cm="1">
        <f t="array" aca="1" ref="G250" ca="1">Common_InputFunctions.Utility_DisplayArrayInTable(Common_SourceData.Common_SourceData_MCFTemperatureZone_Data(),Table_SourceData_Common_MCFTemperatureZone[[#Headers],[Temperature zone]],0)</f>
        <v/>
      </c>
      <c r="H250" s="30" t="str" cm="1">
        <f t="array" aca="1" ref="H250" ca="1">Common_InputFunctions.Utility_DisplayArrayInTable(Common_SourceData.Common_SourceData_MCFTemperatureZone_Data(),Table_SourceData_Common_MCFTemperatureZone[[#Headers],[Temperature zone]],0)</f>
        <v/>
      </c>
      <c r="I250" s="30" t="str" cm="1">
        <f t="array" aca="1" ref="I250" ca="1">Common_InputFunctions.Utility_DisplayArrayInTable(Common_SourceData.Common_SourceData_MCFTemperatureZone_Data(),Table_SourceData_Common_MCFTemperatureZone[[#Headers],[Temperature zone]],0)</f>
        <v/>
      </c>
      <c r="J250" s="30" t="str" cm="1">
        <f t="array" aca="1" ref="J250" ca="1">Common_InputFunctions.Utility_DisplayArrayInTable(Common_SourceData.Common_SourceData_MCFTemperatureZone_Data(),Table_SourceData_Common_MCFTemperatureZone[[#Headers],[Temperature zone]],0)</f>
        <v/>
      </c>
      <c r="K250" s="30" t="str" cm="1">
        <f t="array" aca="1" ref="K250" ca="1">Common_InputFunctions.Utility_DisplayArrayInTable(Common_SourceData.Common_SourceData_MCFTemperatureZone_Data(),Table_SourceData_Common_MCFTemperatureZone[[#Headers],[Temperature zone]],0)</f>
        <v/>
      </c>
      <c r="L250" s="30" t="str" cm="1">
        <f t="array" aca="1" ref="L250" ca="1">Common_InputFunctions.Utility_DisplayArrayInTable(Common_SourceData.Common_SourceData_MCFTemperatureZone_Data(),Table_SourceData_Common_MCFTemperatureZone[[#Headers],[Temperature zone]],0)</f>
        <v/>
      </c>
      <c r="M250" s="30" t="str" cm="1">
        <f t="array" aca="1" ref="M250" ca="1">Common_InputFunctions.Utility_DisplayArrayInTable(Common_SourceData.Common_SourceData_MCFTemperatureZone_Data(),Table_SourceData_Common_MCFTemperatureZone[[#Headers],[Temperature zone]],0)</f>
        <v/>
      </c>
      <c r="N250" s="30" t="str" cm="1">
        <f t="array" aca="1" ref="N250" ca="1">Common_InputFunctions.Utility_DisplayArrayInTable(Common_SourceData.Common_SourceData_MCFTemperatureZone_Data(),Table_SourceData_Common_MCFTemperatureZone[[#Headers],[Temperature zone]],0)</f>
        <v/>
      </c>
      <c r="O250" s="30" t="str" cm="1">
        <f t="array" aca="1" ref="O250" ca="1">Common_InputFunctions.Utility_DisplayArrayInTable(Common_SourceData.Common_SourceData_MCFTemperatureZone_Data(),Table_SourceData_Common_MCFTemperatureZone[[#Headers],[Temperature zone]],0)</f>
        <v/>
      </c>
      <c r="P250" s="30" t="str" cm="1">
        <f t="array" aca="1" ref="P250" ca="1">Common_InputFunctions.Utility_DisplayArrayInTable(Common_SourceData.Common_SourceData_MCFTemperatureZone_Data(),Table_SourceData_Common_MCFTemperatureZone[[#Headers],[Temperature zone]],0)</f>
        <v/>
      </c>
      <c r="Q250" s="30" t="str" cm="1">
        <f t="array" aca="1" ref="Q250" ca="1">Common_InputFunctions.Utility_DisplayArrayInTable(Common_SourceData.Common_SourceData_MCFTemperatureZone_Data(),Table_SourceData_Common_MCFTemperatureZone[[#Headers],[Temperature zone]],0)</f>
        <v/>
      </c>
      <c r="R250" s="30" t="str" cm="1">
        <f t="array" aca="1" ref="R250" ca="1">Common_InputFunctions.Utility_DisplayArrayInTable(Common_SourceData.Common_SourceData_MCFTemperatureZone_Data(),Table_SourceData_Common_MCFTemperatureZone[[#Headers],[Temperature zone]],0)</f>
        <v/>
      </c>
      <c r="S250" s="30" t="str" cm="1">
        <f t="array" aca="1" ref="S250" ca="1">Common_InputFunctions.Utility_DisplayArrayInTable(Common_SourceData.Common_SourceData_MCFTemperatureZone_Data(),Table_SourceData_Common_MCFTemperatureZone[[#Headers],[Temperature zone]],0)</f>
        <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6" x14ac:dyDescent="0.25">
      <c r="D257" s="30" t="s">
        <v>86</v>
      </c>
      <c r="E257" s="30" t="s">
        <v>87</v>
      </c>
    </row>
    <row r="258" spans="4:6" x14ac:dyDescent="0.25">
      <c r="D258" s="30" t="str" cm="1">
        <f t="array" aca="1" ref="D258" ca="1">Common_InputFunctions.Utility_DisplayArrayInTable(Common_SourceData.Common_SourceData_EFOrganicFertiliserAndCropResidues_Data(), Table_SourceData_Common_EFOrganicFertCropResidues[[#Headers],[Climate Zone]], 0)</f>
        <v/>
      </c>
      <c r="E258" s="30" t="str" cm="1">
        <f t="array" aca="1" ref="E258" ca="1">Common_InputFunctions.Utility_DisplayArrayInTable(Common_SourceData.Common_SourceData_EFOrganicFertiliserAndCropResidues_Data(), Table_SourceData_Common_EFOrganicFertCropResidues[[#Headers],[Climate Zone]], 0)</f>
        <v/>
      </c>
    </row>
    <row r="259" spans="4:6" x14ac:dyDescent="0.25">
      <c r="D259" s="1" t="str" cm="1">
        <f t="array" aca="1" ref="D259" ca="1">Common_InputFunctions.Utility_DisplayArrayInTable(Common_SourceData.Common_SourceData_EFOrganicFertiliserAndCropResidues_Data(), Table_SourceData_Common_EFOrganicFertCropResidues[[#Headers],[Climate Zone]], 0)</f>
        <v/>
      </c>
      <c r="E259" s="30" t="str" cm="1">
        <f t="array" aca="1" ref="E259" ca="1">Common_InputFunctions.Utility_DisplayArrayInTable(Common_SourceData.Common_SourceData_EFOrganicFertiliserAndCropResidues_Data(), Table_SourceData_Common_EFOrganicFertCropResidues[[#Headers],[Climate Zone]], 0)</f>
        <v/>
      </c>
    </row>
    <row r="263" spans="4:6" ht="23.25" x14ac:dyDescent="0.25">
      <c r="D263" s="2" t="s">
        <v>210</v>
      </c>
    </row>
    <row r="264" spans="4:6" x14ac:dyDescent="0.25">
      <c r="D264" s="1" t="s">
        <v>211</v>
      </c>
    </row>
    <row r="265" spans="4:6" x14ac:dyDescent="0.25">
      <c r="D265" s="30" t="s">
        <v>212</v>
      </c>
      <c r="E265" s="30" t="s">
        <v>213</v>
      </c>
      <c r="F265" s="30" t="s">
        <v>205</v>
      </c>
    </row>
    <row r="266" spans="4:6" x14ac:dyDescent="0.25">
      <c r="D266" s="30" t="s">
        <v>214</v>
      </c>
      <c r="E266" s="30" t="s">
        <v>215</v>
      </c>
      <c r="F266" s="30">
        <v>5</v>
      </c>
    </row>
    <row r="267" spans="4:6" x14ac:dyDescent="0.25">
      <c r="D267" s="30" t="s">
        <v>216</v>
      </c>
      <c r="E267" s="30" t="s">
        <v>207</v>
      </c>
      <c r="F267" s="30">
        <v>4</v>
      </c>
    </row>
    <row r="268" spans="4:6" x14ac:dyDescent="0.25">
      <c r="D268" s="30" t="s">
        <v>217</v>
      </c>
      <c r="E268" s="30" t="s">
        <v>218</v>
      </c>
      <c r="F268" s="30">
        <v>3</v>
      </c>
    </row>
    <row r="269" spans="4:6" x14ac:dyDescent="0.25">
      <c r="D269" s="30" t="s">
        <v>219</v>
      </c>
      <c r="E269" s="30" t="s">
        <v>220</v>
      </c>
      <c r="F269" s="30">
        <v>2</v>
      </c>
    </row>
    <row r="270" spans="4:6" x14ac:dyDescent="0.25">
      <c r="D270" s="30" t="s">
        <v>221</v>
      </c>
      <c r="E270" s="30" t="s">
        <v>222</v>
      </c>
      <c r="F270" s="30">
        <v>1</v>
      </c>
    </row>
    <row r="273" spans="4:6" x14ac:dyDescent="0.25">
      <c r="D273" s="1" t="s">
        <v>223</v>
      </c>
    </row>
    <row r="274" spans="4:6" x14ac:dyDescent="0.25">
      <c r="D274" s="30" t="s">
        <v>212</v>
      </c>
      <c r="E274" s="30" t="s">
        <v>213</v>
      </c>
      <c r="F274" s="30" t="s">
        <v>205</v>
      </c>
    </row>
    <row r="275" spans="4:6" x14ac:dyDescent="0.25">
      <c r="D275" s="30" t="s">
        <v>224</v>
      </c>
      <c r="E275" s="30" t="s">
        <v>208</v>
      </c>
      <c r="F275" s="30">
        <v>5</v>
      </c>
    </row>
    <row r="276" spans="4:6" x14ac:dyDescent="0.25">
      <c r="D276" s="30" t="s">
        <v>225</v>
      </c>
      <c r="E276" s="30" t="s">
        <v>226</v>
      </c>
      <c r="F276" s="30">
        <v>4</v>
      </c>
    </row>
    <row r="277" spans="4:6" x14ac:dyDescent="0.25">
      <c r="D277" s="30" t="s">
        <v>227</v>
      </c>
      <c r="E277" s="30" t="s">
        <v>228</v>
      </c>
      <c r="F277" s="30">
        <v>3</v>
      </c>
    </row>
    <row r="278" spans="4:6" x14ac:dyDescent="0.25">
      <c r="D278" s="30" t="s">
        <v>229</v>
      </c>
      <c r="E278" s="30" t="s">
        <v>230</v>
      </c>
      <c r="F278" s="30">
        <v>2</v>
      </c>
    </row>
    <row r="279" spans="4:6" x14ac:dyDescent="0.25">
      <c r="D279" s="30" t="s">
        <v>231</v>
      </c>
      <c r="E279" s="30" t="s">
        <v>232</v>
      </c>
      <c r="F279" s="30">
        <v>1</v>
      </c>
    </row>
    <row r="282" spans="4:6" x14ac:dyDescent="0.25">
      <c r="D282" s="1" t="s">
        <v>233</v>
      </c>
    </row>
    <row r="283" spans="4:6" x14ac:dyDescent="0.25">
      <c r="D283" s="30" t="s">
        <v>212</v>
      </c>
      <c r="E283" s="30" t="s">
        <v>213</v>
      </c>
      <c r="F283" s="30" t="s">
        <v>205</v>
      </c>
    </row>
    <row r="284" spans="4:6" x14ac:dyDescent="0.25">
      <c r="D284" s="30" t="s">
        <v>234</v>
      </c>
      <c r="E284" s="30" t="s">
        <v>235</v>
      </c>
      <c r="F284" s="30">
        <v>5</v>
      </c>
    </row>
    <row r="285" spans="4:6" x14ac:dyDescent="0.25">
      <c r="D285" s="30" t="s">
        <v>236</v>
      </c>
      <c r="E285" s="30" t="s">
        <v>237</v>
      </c>
      <c r="F285" s="30">
        <v>4</v>
      </c>
    </row>
    <row r="286" spans="4:6" x14ac:dyDescent="0.25">
      <c r="D286" s="30" t="s">
        <v>238</v>
      </c>
      <c r="E286" s="30" t="s">
        <v>209</v>
      </c>
      <c r="F286" s="30">
        <v>3</v>
      </c>
    </row>
    <row r="287" spans="4:6" x14ac:dyDescent="0.25">
      <c r="D287" s="30" t="s">
        <v>239</v>
      </c>
      <c r="E287" s="30" t="s">
        <v>240</v>
      </c>
      <c r="F287" s="30">
        <v>2</v>
      </c>
    </row>
    <row r="288" spans="4:6" x14ac:dyDescent="0.25">
      <c r="D288" s="30" t="s">
        <v>241</v>
      </c>
      <c r="E288" s="30" t="s">
        <v>242</v>
      </c>
      <c r="F288" s="30">
        <v>1</v>
      </c>
    </row>
    <row r="291" spans="4:6" x14ac:dyDescent="0.25">
      <c r="D291" s="1" t="s">
        <v>243</v>
      </c>
    </row>
    <row r="292" spans="4:6" x14ac:dyDescent="0.25">
      <c r="D292" s="30" t="s">
        <v>212</v>
      </c>
      <c r="E292" s="30" t="s">
        <v>213</v>
      </c>
      <c r="F292" s="30" t="s">
        <v>205</v>
      </c>
    </row>
    <row r="293" spans="4:6" x14ac:dyDescent="0.25">
      <c r="D293" s="30" t="s">
        <v>244</v>
      </c>
      <c r="E293" s="30" t="s">
        <v>245</v>
      </c>
      <c r="F293" s="30">
        <v>5</v>
      </c>
    </row>
    <row r="294" spans="4:6" x14ac:dyDescent="0.25">
      <c r="D294" s="30" t="s">
        <v>246</v>
      </c>
      <c r="E294" s="30" t="s">
        <v>247</v>
      </c>
      <c r="F294" s="30">
        <v>4</v>
      </c>
    </row>
    <row r="295" spans="4:6" x14ac:dyDescent="0.25">
      <c r="D295" s="30" t="s">
        <v>248</v>
      </c>
      <c r="E295" s="30" t="s">
        <v>249</v>
      </c>
      <c r="F295" s="30">
        <v>3</v>
      </c>
    </row>
    <row r="296" spans="4:6" x14ac:dyDescent="0.25">
      <c r="D296" s="30" t="s">
        <v>250</v>
      </c>
      <c r="E296" s="30" t="s">
        <v>251</v>
      </c>
      <c r="F296" s="30">
        <v>2</v>
      </c>
    </row>
    <row r="297" spans="4:6" x14ac:dyDescent="0.25">
      <c r="D297" s="30" t="s">
        <v>252</v>
      </c>
      <c r="E297" s="30" t="s">
        <v>253</v>
      </c>
      <c r="F297" s="3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33</vt:i4>
      </vt:variant>
    </vt:vector>
  </HeadingPairs>
  <TitlesOfParts>
    <vt:vector size="41" baseType="lpstr">
      <vt:lpstr>Home</vt:lpstr>
      <vt:lpstr>Results</vt:lpstr>
      <vt:lpstr>Input - Site</vt:lpstr>
      <vt:lpstr>Input - Enterprise</vt:lpstr>
      <vt:lpstr>Input - Livestock sales</vt:lpstr>
      <vt:lpstr>Input - Fert Prod System</vt:lpstr>
      <vt:lpstr>Input - Data quality</vt:lpstr>
      <vt:lpstr>Constants - Common</vt:lpstr>
      <vt:lpstr>Common_SourceData_DensityOfMethane_Data</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2026-08-10T06:24:53Z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