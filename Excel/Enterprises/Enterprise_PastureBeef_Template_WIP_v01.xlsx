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9256770-0F63-4E93-9105-C317254B0803}" xr6:coauthVersionLast="47" xr6:coauthVersionMax="47" xr10:uidLastSave="{00000000-0000-0000-0000-000000000000}"/>
  <bookViews>
    <workbookView xWindow="720" yWindow="510" windowWidth="27450" windowHeight="15630" activeTab="1" xr2:uid="{992023F3-CAB7-4E5B-A348-08D563A0EF40}"/>
  </bookViews>
  <sheets>
    <sheet name="Home" sheetId="71" r:id="rId1"/>
    <sheet name="Results - Activity period" sheetId="13" r:id="rId2"/>
    <sheet name="Results - Product EI" sheetId="81" r:id="rId3"/>
    <sheet name="Input - Site" sheetId="75" r:id="rId4"/>
    <sheet name="Input - Enterprise" sheetId="72" r:id="rId5"/>
    <sheet name="Input - Fert Prod System" sheetId="76" r:id="rId6"/>
    <sheet name="Input - Livestock sales" sheetId="77"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Enterprise'!$E$73</definedName>
    <definedName name="Result_EmissionsForWholeProductionCycle_Method1">'Input - Enterprise'!$E$60</definedName>
    <definedName name="Result_EmissionsForWholeProductionCycle_Method2">'Input - Enterprise'!$F$60</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ResultsTable_ActivityPeriod_Scope1">'Results - Activity period'!$D$8:$J$34</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81" l="1"/>
  <c r="E37" i="81"/>
  <c r="F36" i="81"/>
  <c r="E36" i="81"/>
  <c r="F68" i="13" l="1"/>
  <c r="E68" i="13"/>
  <c r="F67" i="13"/>
  <c r="E67" i="13"/>
  <c r="F44" i="81"/>
  <c r="G44" i="81"/>
  <c r="E52" i="13" a="1"/>
  <c r="E52" i="13" s="1"/>
  <c r="D52" i="13" a="1"/>
  <c r="D52" i="13"/>
  <c r="G60" i="81"/>
  <c r="H54" i="81"/>
  <c r="H52" i="81"/>
  <c r="F60" i="81"/>
  <c r="G48" i="81"/>
  <c r="G56" i="81" s="1"/>
  <c r="G46" i="81"/>
  <c r="G47" i="81" s="1"/>
  <c r="G55" i="81" s="1"/>
  <c r="F48" i="81"/>
  <c r="F46" i="81"/>
  <c r="D34" i="13" a="1"/>
  <c r="D34" i="13" s="1"/>
  <c r="E34" i="13" a="1"/>
  <c r="E34" i="13" s="1"/>
  <c r="F34" i="13" s="1"/>
  <c r="G54" i="81" l="1"/>
  <c r="I46" i="81"/>
  <c r="I47" i="81" s="1"/>
  <c r="I44" i="81"/>
  <c r="I45" i="81" s="1"/>
  <c r="G52" i="81"/>
  <c r="G45" i="81"/>
  <c r="G53" i="81" s="1"/>
  <c r="I47" i="13" l="1"/>
  <c r="I42" i="13"/>
  <c r="H54" i="13"/>
  <c r="H48" i="13"/>
  <c r="H42" i="13"/>
  <c r="F55" i="13" a="1"/>
  <c r="F55" i="13" s="1"/>
  <c r="I55" i="13" s="1"/>
  <c r="E55" i="13" a="1"/>
  <c r="E55" i="13" s="1"/>
  <c r="H55" i="13" s="1"/>
  <c r="F53" i="13" a="1"/>
  <c r="F53" i="13" s="1"/>
  <c r="I53" i="13" s="1"/>
  <c r="E53" i="13" a="1"/>
  <c r="E53" i="13"/>
  <c r="H53" i="13" s="1"/>
  <c r="E54" i="13" a="1"/>
  <c r="E54" i="13" s="1"/>
  <c r="F54" i="13" s="1"/>
  <c r="I54" i="13" s="1"/>
  <c r="F52" i="13"/>
  <c r="I52" i="13" s="1"/>
  <c r="E51" i="13" a="1"/>
  <c r="E51" i="13" s="1"/>
  <c r="F51" i="13" s="1"/>
  <c r="I51" i="13" s="1"/>
  <c r="F50" i="13" a="1"/>
  <c r="F50" i="13" s="1"/>
  <c r="I50" i="13" s="1"/>
  <c r="E50" i="13" a="1"/>
  <c r="E50" i="13"/>
  <c r="H50" i="13" s="1"/>
  <c r="F49" i="13" a="1"/>
  <c r="F49" i="13" s="1"/>
  <c r="I49" i="13" s="1"/>
  <c r="E49" i="13" a="1"/>
  <c r="E49" i="13" s="1"/>
  <c r="H49" i="13" s="1"/>
  <c r="F48" i="13" a="1"/>
  <c r="F48" i="13" s="1"/>
  <c r="I48" i="13" s="1"/>
  <c r="E48" i="13" a="1"/>
  <c r="E48" i="13" s="1"/>
  <c r="F47" i="13" a="1"/>
  <c r="F47" i="13" s="1"/>
  <c r="E47" i="13" a="1"/>
  <c r="E47" i="13"/>
  <c r="H47" i="13" s="1"/>
  <c r="F46" i="13" a="1"/>
  <c r="F46" i="13" s="1"/>
  <c r="I46" i="13" s="1"/>
  <c r="E46" i="13" a="1"/>
  <c r="E46" i="13" s="1"/>
  <c r="H46" i="13" s="1"/>
  <c r="F45" i="13" a="1"/>
  <c r="F45" i="13"/>
  <c r="I45" i="13" s="1"/>
  <c r="E45" i="13" a="1"/>
  <c r="E45" i="13" s="1"/>
  <c r="H45" i="13" s="1"/>
  <c r="F44" i="13" a="1"/>
  <c r="F44" i="13" s="1"/>
  <c r="I44" i="13" s="1"/>
  <c r="E44" i="13" a="1"/>
  <c r="E44" i="13" s="1"/>
  <c r="H44" i="13" s="1"/>
  <c r="F43" i="13" a="1"/>
  <c r="F43" i="13" s="1"/>
  <c r="I43" i="13" s="1"/>
  <c r="E43" i="13" a="1"/>
  <c r="E43" i="13" s="1"/>
  <c r="H43" i="13" s="1"/>
  <c r="F42" i="13" a="1"/>
  <c r="F42" i="13" s="1"/>
  <c r="E42" i="13" a="1"/>
  <c r="E42" i="13" s="1"/>
  <c r="F41" i="13" a="1"/>
  <c r="F41" i="13"/>
  <c r="I41" i="13" s="1"/>
  <c r="E41" i="13" a="1"/>
  <c r="E41" i="13" s="1"/>
  <c r="H41" i="13" s="1"/>
  <c r="F40" i="13" a="1"/>
  <c r="F40" i="13"/>
  <c r="I40" i="13" s="1"/>
  <c r="I56" i="13" s="1"/>
  <c r="E40" i="13" a="1"/>
  <c r="E40" i="13"/>
  <c r="H40" i="13" s="1"/>
  <c r="H56" i="13" s="1"/>
  <c r="H52" i="13" l="1"/>
  <c r="H51" i="13"/>
  <c r="D64" i="13"/>
  <c r="D32" i="81"/>
  <c r="D40" i="81"/>
  <c r="F56" i="81"/>
  <c r="H55" i="81"/>
  <c r="F54" i="81"/>
  <c r="H53" i="81"/>
  <c r="F47" i="81"/>
  <c r="F55" i="81" s="1"/>
  <c r="H46" i="81"/>
  <c r="H47" i="81" s="1"/>
  <c r="F45" i="81"/>
  <c r="F53" i="81" s="1"/>
  <c r="D4" i="13"/>
  <c r="D59" i="13"/>
  <c r="E72" i="72"/>
  <c r="E71" i="72"/>
  <c r="E70" i="72"/>
  <c r="G43" i="72"/>
  <c r="E69" i="72" s="1"/>
  <c r="D49" i="72"/>
  <c r="D65" i="72"/>
  <c r="D68" i="72" a="1"/>
  <c r="D51" i="72" a="1"/>
  <c r="D51" i="72" s="1"/>
  <c r="D55" i="72" a="1"/>
  <c r="E58" i="72"/>
  <c r="F58" i="72"/>
  <c r="E59" i="72"/>
  <c r="F59" i="72"/>
  <c r="E83" i="78"/>
  <c r="J79" i="78"/>
  <c r="J78" i="78"/>
  <c r="J77" i="78"/>
  <c r="J76" i="78"/>
  <c r="J81" i="78" s="1"/>
  <c r="J69" i="78"/>
  <c r="J68" i="78"/>
  <c r="J67" i="78"/>
  <c r="J66" i="78"/>
  <c r="J71" i="78" s="1"/>
  <c r="E61" i="13" l="1"/>
  <c r="H44" i="81"/>
  <c r="H45" i="81" s="1"/>
  <c r="F52" i="81"/>
  <c r="D68" i="72"/>
  <c r="F57" i="72"/>
  <c r="E57" i="72"/>
  <c r="D55" i="72"/>
  <c r="J26" i="78"/>
  <c r="J43" i="78"/>
  <c r="J53" i="78"/>
  <c r="J62" i="78"/>
  <c r="J15" i="78"/>
  <c r="J8" i="78"/>
  <c r="J60" i="78"/>
  <c r="J59" i="78"/>
  <c r="J58" i="78"/>
  <c r="J57" i="78"/>
  <c r="J47" i="78"/>
  <c r="J51" i="78"/>
  <c r="J50" i="78"/>
  <c r="J49" i="78"/>
  <c r="J48" i="78"/>
  <c r="J31" i="78"/>
  <c r="J41" i="78"/>
  <c r="J40" i="78"/>
  <c r="J39" i="78"/>
  <c r="J38" i="78"/>
  <c r="J37" i="78"/>
  <c r="J36" i="78"/>
  <c r="J35" i="78"/>
  <c r="J34" i="78"/>
  <c r="J33" i="78"/>
  <c r="J32" i="78"/>
  <c r="J30" i="78"/>
  <c r="J19" i="78"/>
  <c r="J24" i="78"/>
  <c r="J23" i="78"/>
  <c r="J22" i="78"/>
  <c r="J21" i="78"/>
  <c r="J20" i="78"/>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68" i="72" l="1"/>
  <c r="E73" i="72" s="1"/>
  <c r="E55" i="72"/>
  <c r="F55" i="72"/>
  <c r="H48" i="79"/>
  <c r="H52" i="79"/>
  <c r="E22" i="75"/>
  <c r="E20" i="75"/>
  <c r="E21" i="75" s="1"/>
  <c r="E19" i="75"/>
  <c r="H50" i="79"/>
  <c r="H54" i="79"/>
  <c r="H49" i="79"/>
  <c r="H53" i="79"/>
  <c r="H51" i="79"/>
  <c r="E22" i="72"/>
  <c r="I16" i="77" l="1"/>
  <c r="I15" i="77"/>
  <c r="I14" i="77"/>
  <c r="I13" i="77"/>
  <c r="I12" i="77"/>
  <c r="I11" i="77"/>
  <c r="I10" i="77"/>
  <c r="I9" i="77"/>
  <c r="I8" i="77"/>
  <c r="I7" i="77"/>
  <c r="E10" i="76" a="1"/>
  <c r="E10" i="76" s="1"/>
  <c r="E9" i="76" a="1"/>
  <c r="E9" i="76" s="1"/>
  <c r="E29" i="72" l="1"/>
  <c r="E9" i="13" l="1" a="1"/>
  <c r="E9" i="13" s="1"/>
  <c r="H9" i="13" s="1" a="1"/>
  <c r="H9" i="13" s="1"/>
  <c r="H28" i="13" s="1"/>
  <c r="F13" i="13" a="1"/>
  <c r="F13" i="13" s="1"/>
  <c r="I13" i="13" s="1" a="1"/>
  <c r="I13" i="13" s="1"/>
  <c r="E13" i="13" a="1"/>
  <c r="E13" i="13" s="1"/>
  <c r="H13" i="13" s="1" a="1"/>
  <c r="H13" i="13" s="1"/>
  <c r="F12" i="13" a="1"/>
  <c r="F12" i="13" s="1"/>
  <c r="I12" i="13" s="1" a="1"/>
  <c r="I12" i="13" s="1"/>
  <c r="E12" i="13" a="1"/>
  <c r="E12" i="13" s="1"/>
  <c r="H12" i="13" s="1" a="1"/>
  <c r="H12" i="13" s="1"/>
  <c r="F11" i="13" a="1"/>
  <c r="F11" i="13" s="1"/>
  <c r="I11" i="13" s="1" a="1"/>
  <c r="I11" i="13" s="1"/>
  <c r="E11" i="13" a="1"/>
  <c r="E11" i="13" s="1"/>
  <c r="H11" i="13" s="1" a="1"/>
  <c r="H11" i="13" s="1"/>
  <c r="F10" i="13" a="1"/>
  <c r="F10" i="13" s="1"/>
  <c r="I10" i="13" s="1" a="1"/>
  <c r="I10" i="13" s="1"/>
  <c r="E10" i="13" a="1"/>
  <c r="E10" i="13" s="1"/>
  <c r="H10" i="13" s="1" a="1"/>
  <c r="H10" i="1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F20" i="13" a="1"/>
  <c r="F20" i="13" s="1"/>
  <c r="I20" i="13" s="1" a="1"/>
  <c r="I20" i="13" s="1"/>
  <c r="E20" i="13" a="1"/>
  <c r="E20" i="13" s="1"/>
  <c r="H20" i="13" s="1" a="1"/>
  <c r="H20" i="13" s="1"/>
  <c r="E19" i="13" a="1"/>
  <c r="E19" i="13" s="1"/>
  <c r="H19" i="13" s="1" a="1"/>
  <c r="H19" i="13" s="1"/>
  <c r="E18" i="13" a="1"/>
  <c r="E18" i="13" s="1"/>
  <c r="H18" i="13" s="1" a="1"/>
  <c r="H18" i="13" s="1"/>
  <c r="E17" i="13" a="1"/>
  <c r="E17" i="13" s="1"/>
  <c r="E16" i="13" a="1"/>
  <c r="E16" i="13" s="1"/>
  <c r="H16" i="13" s="1" a="1"/>
  <c r="H16" i="13" s="1"/>
  <c r="E15" i="13" a="1"/>
  <c r="E15" i="13" s="1"/>
  <c r="F15" i="13" s="1"/>
  <c r="I15" i="13" s="1"/>
  <c r="F14" i="13" a="1"/>
  <c r="F14" i="13" s="1"/>
  <c r="I14" i="13" s="1" a="1"/>
  <c r="I14" i="13" s="1"/>
  <c r="E14" i="13" a="1"/>
  <c r="E14" i="13" s="1"/>
  <c r="H14" i="13" s="1" a="1"/>
  <c r="H14" i="13" s="1"/>
  <c r="F9" i="13" a="1"/>
  <c r="F9" i="13" s="1"/>
  <c r="I9" i="13" s="1" a="1"/>
  <c r="I9" i="13" s="1"/>
  <c r="I28" i="13" s="1"/>
  <c r="E13" i="72"/>
  <c r="E18" i="75"/>
  <c r="A20" i="75"/>
  <c r="A19" i="75"/>
  <c r="A18" i="75"/>
  <c r="A17" i="75"/>
  <c r="A14" i="75"/>
  <c r="A13" i="75"/>
  <c r="A12" i="75"/>
  <c r="A11" i="75"/>
  <c r="A8" i="75"/>
  <c r="A7" i="75"/>
  <c r="A4" i="75"/>
  <c r="A3" i="75"/>
  <c r="E20" i="72"/>
  <c r="D40" i="72" l="1"/>
  <c r="F23" i="13"/>
  <c r="I23" i="13" s="1" a="1"/>
  <c r="I23" i="13" s="1"/>
  <c r="F24" i="13"/>
  <c r="I24" i="13" s="1" a="1"/>
  <c r="I24" i="13" s="1"/>
  <c r="H24" i="13" a="1"/>
  <c r="H24" i="13" s="1"/>
  <c r="F26" i="13"/>
  <c r="I26" i="13" s="1" a="1"/>
  <c r="I26" i="13" s="1"/>
  <c r="H26" i="13" a="1"/>
  <c r="H26" i="13" s="1"/>
  <c r="F18" i="13"/>
  <c r="I18" i="13" s="1" a="1"/>
  <c r="I18" i="13" s="1"/>
  <c r="I34" i="13"/>
  <c r="I35" i="13" s="1"/>
  <c r="F22" i="13"/>
  <c r="I22" i="13" s="1"/>
  <c r="F17" i="13"/>
  <c r="I17" i="13" s="1"/>
  <c r="H17" i="13"/>
  <c r="F19" i="13"/>
  <c r="I19" i="13" s="1" a="1"/>
  <c r="I19" i="13" s="1"/>
  <c r="H15" i="13"/>
  <c r="F25" i="13"/>
  <c r="I25" i="13" s="1"/>
  <c r="F27" i="13"/>
  <c r="I27" i="13" s="1" a="1"/>
  <c r="I27" i="13" s="1"/>
  <c r="F16" i="13"/>
  <c r="I16" i="13" s="1" a="1"/>
  <c r="I16" i="13" s="1"/>
  <c r="E56" i="72" l="1"/>
  <c r="E60" i="72" s="1"/>
  <c r="F56" i="72"/>
  <c r="F60" i="72" s="1"/>
  <c r="A20" i="13"/>
  <c r="A19" i="13"/>
  <c r="A18" i="13"/>
  <c r="A17" i="13"/>
  <c r="A14" i="13"/>
  <c r="A13" i="13"/>
  <c r="A12" i="13"/>
  <c r="A11" i="13"/>
  <c r="A8" i="13"/>
  <c r="A7" i="13"/>
  <c r="A4" i="13"/>
  <c r="A3" i="13"/>
  <c r="K54" i="81" l="1"/>
  <c r="K44" i="81"/>
  <c r="K46" i="81"/>
  <c r="K52" i="81"/>
  <c r="J44" i="81"/>
  <c r="J52" i="81"/>
  <c r="J46" i="81"/>
  <c r="J54" i="81"/>
  <c r="K60" i="81" l="1"/>
  <c r="J60" i="81"/>
  <c r="K55" i="81"/>
  <c r="K53" i="81"/>
  <c r="K47" i="81"/>
  <c r="K45" i="81"/>
  <c r="J55" i="81"/>
  <c r="J53" i="81"/>
  <c r="J47" i="81"/>
  <c r="J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<sst xmlns="http://schemas.openxmlformats.org/spreadsheetml/2006/main" count="712" uniqueCount="354">
  <si>
    <t>Home</t>
  </si>
  <si>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</si>
  <si>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</si>
  <si>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</si>
  <si>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</si>
  <si>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</si>
  <si>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</si>
  <si>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</si>
  <si>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</si>
  <si>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</si>
  <si>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</si>
  <si>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</si>
  <si>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</si>
  <si>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</si>
  <si>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</si>
  <si>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</si>
  <si>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</si>
  <si>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</si>
  <si>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</si>
  <si>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</si>
  <si>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</si>
  <si>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</si>
  <si>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</si>
  <si>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</si>
  <si>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</si>
  <si>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</si>
  <si>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</si>
  <si>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</si>
  <si>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</si>
  <si>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</si>
  <si>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</si>
  <si>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</si>
  <si>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</si>
  <si>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</si>
  <si>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</si>
  <si>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</si>
  <si>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</si>
  <si>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</si>
  <si>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</si>
  <si>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</si>
  <si>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</si>
  <si>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</si>
  <si>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</si>
  <si>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</si>
  <si>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</si>
  <si>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</si>
  <si>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</si>
  <si>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</si>
  <si>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</si>
  <si>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</si>
  <si>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</si>
  <si>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</si>
  <si>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</si>
  <si>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</si>
  <si>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</si>
  <si>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</si>
  <si>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</si>
  <si>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</si>
  <si>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</si>
  <si>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</si>
  <si>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</si>
  <si>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</si>
  <si>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</si>
  <si>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</si>
  <si>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</si>
  <si>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</si>
  <si>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</si>
  <si>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</si>
  <si>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</si>
  <si>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</si>
  <si>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</si>
  <si>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</si>
  <si>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</si>
  <si>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</si>
  <si>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</si>
  <si>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</si>
  <si>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</si>
  <si>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</si>
  <si>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</si>
  <si>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</si>
  <si>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</si>
  <si>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</si>
  <si>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</si>
  <si>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</si>
  <si>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</si>
  <si>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</si>
  <si>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</si>
  <si>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</si>
  <si>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</si>
  <si>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</si>
  <si>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</si>
  <si>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</si>
  <si>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</si>
  <si>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</si>
  <si>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</si>
  <si>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</si>
  <si>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</si>
  <si>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</si>
  <si>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</si>
  <si>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</si>
  <si>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</si>
  <si>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</si>
  <si>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</si>
  <si>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</si>
  <si>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</si>
  <si>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</si>
  <si>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</si>
  <si>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</si>
  <si>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</si>
  <si>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</si>
  <si>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</si>
  <si>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</si>
  <si>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</si>
  <si>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</si>
  <si>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</si>
  <si>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</si>
  <si>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</si>
  <si>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</si>
  <si>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</si>
  <si>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</si>
  <si>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</si>
  <si>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</si>
  <si>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</si>
  <si>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</si>
  <si>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</si>
  <si>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</si>
  <si>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</si>
  <si>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</si>
  <si>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</si>
  <si>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</si>
  <si>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</si>
  <si>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</si>
  <si>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</si>
  <si>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</si>
  <si>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</si>
  <si>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</si>
  <si>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</si>
  <si>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</si>
  <si>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</si>
  <si>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</si>
  <si>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</si>
  <si>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</si>
  <si>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</si>
  <si>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</si>
  <si>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</si>
  <si>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</si>
  <si>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</si>
  <si>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</si>
  <si>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</si>
  <si>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</si>
  <si>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</si>
  <si>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</si>
  <si>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</si>
  <si>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</si>
  <si>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</si>
  <si>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</si>
  <si>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</si>
  <si>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</si>
  <si>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</si>
  <si>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</si>
  <si>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</si>
  <si>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</si>
  <si>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</si>
  <si>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</si>
  <si>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</si>
  <si>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</si>
  <si>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</si>
  <si>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</si>
  <si>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</si>
  <si>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</si>
  <si>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</si>
  <si>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</si>
  <si>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</si>
  <si>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</si>
  <si>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</si>
  <si>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</si>
  <si>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</si>
  <si>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</si>
  <si>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</si>
  <si>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</si>
  <si>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</si>
  <si>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</si>
  <si>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</si>
  <si>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</si>
  <si>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</si>
  <si>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</si>
  <si>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</si>
  <si>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</si>
  <si>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</si>
  <si>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</si>
  <si>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</si>
  <si>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</si>
  <si>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</si>
  <si>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</si>
  <si>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</si>
  <si>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</si>
  <si>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</si>
  <si>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</si>
  <si>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</si>
  <si>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</si>
  <si>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</si>
  <si>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</si>
  <si>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</si>
  <si>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</si>
  <si>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</si>
  <si>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</si>
  <si>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</si>
  <si>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</si>
  <si>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</si>
  <si>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</si>
  <si>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</si>
  <si>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</si>
  <si>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</si>
  <si>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</si>
  <si>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</si>
  <si>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</si>
  <si>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</si>
  <si>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</si>
  <si>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</si>
  <si>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</si>
  <si>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</si>
  <si>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</si>
  <si>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</si>
  <si>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</si>
  <si>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</si>
  <si>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</si>
  <si>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</si>
  <si>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</si>
  <si>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</si>
  <si>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</si>
  <si>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</si>
  <si>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</si>
  <si>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</si>
  <si>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</si>
  <si>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</si>
  <si>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</si>
  <si>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</si>
  <si>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</si>
  <si>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</si>
  <si>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</si>
  <si>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</si>
  <si>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</si>
  <si>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</si>
  <si>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</si>
  <si>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</si>
  <si>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</si>
  <si>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</si>
  <si>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</si>
  <si>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</si>
  <si>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</si>
  <si>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</si>
  <si>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</si>
  <si>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</si>
  <si>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Liveweight grown</t>
  </si>
  <si>
    <t>Between 21% and 50%</t>
  </si>
  <si>
    <t>Manure produced</t>
  </si>
  <si>
    <t>Regional-level data from a government or industry database/survey</t>
  </si>
  <si>
    <t>Between 51% and 90%</t>
  </si>
  <si>
    <t>Manure sold</t>
  </si>
  <si>
    <t>Percent income from liveweight sold</t>
  </si>
  <si>
    <t>Percent income from manure sold</t>
  </si>
  <si>
    <t>Site</t>
  </si>
  <si>
    <t>Within 2 years of this emissions calculation period</t>
  </si>
  <si>
    <t>Within 3 years of this emissions calculation period</t>
  </si>
  <si>
    <t>Pasture Beef</t>
  </si>
  <si>
    <t>Livestock production region</t>
  </si>
  <si>
    <t>Cattle breed</t>
  </si>
  <si>
    <t>Head count</t>
  </si>
  <si>
    <t>Liveweight</t>
  </si>
  <si>
    <t>Liveweight gain</t>
  </si>
  <si>
    <t>Less than 20%</t>
  </si>
  <si>
    <t>Dry matter digestibility of diet</t>
  </si>
  <si>
    <t>Unknown</t>
  </si>
  <si>
    <t>Crude protein in diet</t>
  </si>
  <si>
    <t>Livestock access to water bodies</t>
  </si>
  <si>
    <t>Calving timing</t>
  </si>
  <si>
    <t>Calving rates</t>
  </si>
  <si>
    <t>Livestock sales</t>
  </si>
  <si>
    <t>Livestock purchases</t>
  </si>
  <si>
    <t>Pasture management</t>
  </si>
  <si>
    <t>Pasture type</t>
  </si>
  <si>
    <t>Area under pasture</t>
  </si>
  <si>
    <t>Pasture yield</t>
  </si>
  <si>
    <t>State-level data from a government or industry database/survey</t>
  </si>
  <si>
    <t>Area of pasture renewed or removed</t>
  </si>
  <si>
    <t>Fertiliser applications</t>
  </si>
  <si>
    <t>Branded inorganic fertiliser applications</t>
  </si>
  <si>
    <t>Custom inorganic fertiliser blend applications</t>
  </si>
  <si>
    <t>Lime applications</t>
  </si>
  <si>
    <t>Organic fertiliser applications</t>
  </si>
  <si>
    <t>Fuel consumption</t>
  </si>
  <si>
    <t>Electricity consumption</t>
  </si>
  <si>
    <t>Inbound freight use</t>
  </si>
  <si>
    <t>Outbound freight use</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</si>
  <si>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</si>
  <si>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</si>
  <si>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</si>
  <si>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</si>
  <si>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</si>
  <si>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</si>
  <si>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</si>
  <si>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</si>
  <si>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</si>
  <si>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</si>
  <si>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</si>
  <si>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purchases</t>
  </si>
  <si>
    <t>Electricity generation</t>
  </si>
  <si>
    <t>Fuel and electricity</t>
  </si>
  <si>
    <t>Farm input purchases</t>
  </si>
  <si>
    <t>Farm input purchases, freight and waste outputs</t>
  </si>
  <si>
    <t>Solid waste generation and treatment</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</si>
  <si>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</si>
  <si>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</si>
  <si>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</si>
  <si>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</si>
  <si>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</si>
  <si>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</si>
  <si>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</si>
  <si>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</si>
  <si>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</si>
  <si>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</si>
  <si>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</si>
  <si>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</si>
  <si>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</si>
  <si>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</si>
  <si>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</si>
  <si>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</si>
  <si>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</si>
  <si>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</si>
  <si>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</si>
  <si>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</si>
  <si>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</si>
  <si>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</si>
  <si>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</si>
  <si>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</si>
  <si>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</si>
  <si>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</si>
  <si>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</si>
  <si>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</si>
  <si>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</si>
  <si>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</si>
  <si>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</si>
  <si>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</si>
  <si>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</si>
  <si>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</si>
  <si>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</si>
  <si>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</si>
  <si>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</si>
  <si>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</si>
  <si>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</si>
  <si>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</si>
  <si>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</si>
  <si>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</si>
  <si>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Total emissions excluding removals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</si>
</sst>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49" fontId="0" fillId="0" borderId="0" xfId="14" applyNumberFormat="1" applyFont="1" applyBorder="1">
      <alignment horizontal="center" vertical="center"/>
    </xf>
    <xf numFmtId="0" fontId="3" fillId="12" borderId="17" xfId="15" applyBorder="1">
      <alignment horizontal="center" vertical="center"/>
    </xf>
    <xf numFmtId="0" fontId="39" fillId="0" borderId="0" xfId="66"/>
    <xf numFmtId="0" fontId="50" fillId="9" borderId="4" xfId="34" applyFont="1">
      <alignment horizontal="left" vertical="center" indent="1"/>
    </xf>
    <xf numFmtId="0" fontId="20" fillId="10" borderId="0" xfId="35">
      <alignment horizontal="left" vertical="center" indent="1"/>
    </xf>
    <xf numFmtId="0" fontId="27" fillId="4" borderId="1" xfId="8" applyBorder="1">
      <alignment horizontal="left" vertical="center"/>
    </xf>
    <xf numFmtId="0" fontId="51" fillId="4" borderId="0" xfId="8" applyFont="1">
      <alignment horizontal="left" vertical="center"/>
    </xf>
    <xf numFmtId="0" fontId="52" fillId="4" borderId="0" xfId="8" applyFo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0" borderId="0" xfId="32" applyFont="1"/>
    <xf numFmtId="0" fontId="40" fillId="4" borderId="1" xfId="8" applyFont="1" applyBorder="1">
      <alignment horizontal="left" vertical="center"/>
    </xf>
    <xf numFmtId="0" fontId="6" fillId="4" borderId="1" xfId="53" applyBorder="1">
      <alignment horizontal="left" vertical="center"/>
    </xf>
    <xf numFmtId="0" fontId="54" fillId="4" borderId="1" xfId="53" applyFont="1" applyBorder="1">
      <alignment horizontal="left" vertical="center"/>
    </xf>
    <xf numFmtId="0" fontId="54" fillId="4" borderId="0" xfId="53" applyFont="1">
      <alignment horizontal="left" vertical="center"/>
    </xf>
    <xf numFmtId="0" fontId="27" fillId="11" borderId="0" xfId="8"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extLst>
              <c:ext xmlns:c16="http://schemas.microsoft.com/office/drawing/2014/chart" uri="{C3380CC4-5D6E-409C-BE32-E72D297353CC}">
                <c16:uniqueId val="{00000073-1931-495F-914F-43EC2EA99D04}"/>
              </c:ext>
            </c:extLst>
          </c:dPt>
          <c:dPt>
            <c:idx val="1"/>
            <c:bubble3D val="0"/>
            <c:extLst>
              <c:ext xmlns:c16="http://schemas.microsoft.com/office/drawing/2014/chart" uri="{C3380CC4-5D6E-409C-BE32-E72D297353CC}">
                <c16:uniqueId val="{00000074-1931-495F-914F-43EC2EA99D04}"/>
              </c:ext>
            </c:extLst>
          </c:dPt>
          <c:dPt>
            <c:idx val="2"/>
            <c:bubble3D val="0"/>
            <c:extLst>
              <c:ext xmlns:c16="http://schemas.microsoft.com/office/drawing/2014/chart" uri="{C3380CC4-5D6E-409C-BE32-E72D297353CC}">
                <c16:uniqueId val="{00000075-1931-495F-914F-43EC2EA99D04}"/>
              </c:ext>
            </c:extLst>
          </c:dPt>
          <c:dPt>
            <c:idx val="3"/>
            <c:bubble3D val="0"/>
            <c:extLst>
              <c:ext xmlns:c16="http://schemas.microsoft.com/office/drawing/2014/chart" uri="{C3380CC4-5D6E-409C-BE32-E72D297353CC}">
                <c16:uniqueId val="{00000076-1931-495F-914F-43EC2EA99D04}"/>
              </c:ext>
            </c:extLst>
          </c:dPt>
          <c:dPt>
            <c:idx val="4"/>
            <c:bubble3D val="0"/>
            <c:extLst>
              <c:ext xmlns:c16="http://schemas.microsoft.com/office/drawing/2014/chart" uri="{C3380CC4-5D6E-409C-BE32-E72D297353CC}">
                <c16:uniqueId val="{00000077-1931-495F-914F-43EC2EA99D04}"/>
              </c:ext>
            </c:extLst>
          </c:dPt>
          <c:dPt>
            <c:idx val="5"/>
            <c:bubble3D val="0"/>
            <c:extLst>
              <c:ext xmlns:c16="http://schemas.microsoft.com/office/drawing/2014/chart" uri="{C3380CC4-5D6E-409C-BE32-E72D297353CC}">
                <c16:uniqueId val="{00000078-1931-495F-914F-43EC2EA99D04}"/>
              </c:ext>
            </c:extLst>
          </c:dPt>
          <c:dPt>
            <c:idx val="6"/>
            <c:bubble3D val="0"/>
            <c:extLst>
              <c:ext xmlns:c16="http://schemas.microsoft.com/office/drawing/2014/chart" uri="{C3380CC4-5D6E-409C-BE32-E72D297353CC}">
                <c16:uniqueId val="{00000079-1931-495F-914F-43EC2EA99D04}"/>
              </c:ext>
            </c:extLst>
          </c:dPt>
          <c:dPt>
            <c:idx val="7"/>
            <c:bubble3D val="0"/>
            <c:extLst>
              <c:ext xmlns:c16="http://schemas.microsoft.com/office/drawing/2014/chart" uri="{C3380CC4-5D6E-409C-BE32-E72D297353CC}">
                <c16:uniqueId val="{0000007A-1931-495F-914F-43EC2EA99D04}"/>
              </c:ext>
            </c:extLst>
          </c:dPt>
          <c:dPt>
            <c:idx val="8"/>
            <c:bubble3D val="0"/>
            <c:extLst>
              <c:ext xmlns:c16="http://schemas.microsoft.com/office/drawing/2014/chart" uri="{C3380CC4-5D6E-409C-BE32-E72D297353CC}">
                <c16:uniqueId val="{0000007B-1931-495F-914F-43EC2EA99D04}"/>
              </c:ext>
            </c:extLst>
          </c:dPt>
          <c:dPt>
            <c:idx val="9"/>
            <c:bubble3D val="0"/>
            <c:extLst>
              <c:ext xmlns:c16="http://schemas.microsoft.com/office/drawing/2014/chart" uri="{C3380CC4-5D6E-409C-BE32-E72D297353CC}">
                <c16:uniqueId val="{0000007C-1931-495F-914F-43EC2EA99D04}"/>
              </c:ext>
            </c:extLst>
          </c:dPt>
          <c:dPt>
            <c:idx val="10"/>
            <c:bubble3D val="0"/>
            <c:extLst>
              <c:ext xmlns:c16="http://schemas.microsoft.com/office/drawing/2014/chart" uri="{C3380CC4-5D6E-409C-BE32-E72D297353CC}">
                <c16:uniqueId val="{0000007D-1931-495F-914F-43EC2EA99D04}"/>
              </c:ext>
            </c:extLst>
          </c:dPt>
          <c:dPt>
            <c:idx val="11"/>
            <c:bubble3D val="0"/>
            <c:extLst>
              <c:ext xmlns:c16="http://schemas.microsoft.com/office/drawing/2014/chart" uri="{C3380CC4-5D6E-409C-BE32-E72D297353CC}">
                <c16:uniqueId val="{0000007E-1931-495F-914F-43EC2EA99D04}"/>
              </c:ext>
            </c:extLst>
          </c:dPt>
          <c:dPt>
            <c:idx val="12"/>
            <c:bubble3D val="0"/>
            <c:extLst>
              <c:ext xmlns:c16="http://schemas.microsoft.com/office/drawing/2014/chart" uri="{C3380CC4-5D6E-409C-BE32-E72D297353CC}">
                <c16:uniqueId val="{0000007F-1931-495F-914F-43EC2EA99D04}"/>
              </c:ext>
            </c:extLst>
          </c:dPt>
          <c:dPt>
            <c:idx val="13"/>
            <c:bubble3D val="0"/>
            <c:extLst>
              <c:ext xmlns:c16="http://schemas.microsoft.com/office/drawing/2014/chart" uri="{C3380CC4-5D6E-409C-BE32-E72D297353CC}">
                <c16:uniqueId val="{00000080-1931-495F-914F-43EC2EA99D04}"/>
              </c:ext>
            </c:extLst>
          </c:dPt>
          <c:dPt>
            <c:idx val="14"/>
            <c:bubble3D val="0"/>
            <c:extLst>
              <c:ext xmlns:c16="http://schemas.microsoft.com/office/drawing/2014/chart" uri="{C3380CC4-5D6E-409C-BE32-E72D297353CC}">
                <c16:uniqueId val="{00000081-1931-495F-914F-43EC2EA99D04}"/>
              </c:ext>
            </c:extLst>
          </c:dPt>
          <c:dPt>
            <c:idx val="15"/>
            <c:bubble3D val="0"/>
            <c:extLst>
              <c:ext xmlns:c16="http://schemas.microsoft.com/office/drawing/2014/chart" uri="{C3380CC4-5D6E-409C-BE32-E72D297353CC}">
                <c16:uniqueId val="{00000082-1931-495F-914F-43EC2EA99D04}"/>
              </c:ext>
            </c:extLst>
          </c:dPt>
          <c:dPt>
            <c:idx val="16"/>
            <c:bubble3D val="0"/>
            <c:extLst>
              <c:ext xmlns:c16="http://schemas.microsoft.com/office/drawing/2014/chart" uri="{C3380CC4-5D6E-409C-BE32-E72D297353CC}">
                <c16:uniqueId val="{00000083-1931-495F-914F-43EC2EA99D04}"/>
              </c:ext>
            </c:extLst>
          </c:dPt>
          <c:dPt>
            <c:idx val="17"/>
            <c:bubble3D val="0"/>
            <c:extLst>
              <c:ext xmlns:c16="http://schemas.microsoft.com/office/drawing/2014/chart" uri="{C3380CC4-5D6E-409C-BE32-E72D297353CC}">
                <c16:uniqueId val="{00000084-1931-495F-914F-43EC2EA99D04}"/>
              </c:ext>
            </c:extLst>
          </c:dPt>
          <c:dPt>
            <c:idx val="18"/>
            <c:bubble3D val="0"/>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72-1931-495F-914F-43EC2EA99D04}"/>
            </c:ext>
          </c:extLst>
        </c:ser>
        <c:ser>
          <c:idx val="0"/>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3A-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C-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E-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0-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2-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44-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6-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8-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A-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E-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50-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52-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54-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56-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58-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5A-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5C-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E-1931-495F-914F-43EC2EA99D04}"/>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60-1931-495F-914F-43EC2EA99D04}"/>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62-1931-495F-914F-43EC2EA99D04}"/>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64-1931-495F-914F-43EC2EA99D04}"/>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66-1931-495F-914F-43EC2EA99D04}"/>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68-1931-495F-914F-43EC2EA99D04}"/>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6A-1931-495F-914F-43EC2EA99D04}"/>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6C-1931-495F-914F-43EC2EA99D04}"/>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6E-1931-495F-914F-43EC2EA99D04}"/>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70-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71-1931-495F-914F-43EC2EA99D04}"/>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#NAME?</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800" b="1" i="0" u="none" strike="noStrike">
              <a:solidFill>
                <a:srgbClr val="0C769E"/>
              </a:solidFill>
              <a:latin typeface="Times New Roman"/>
              <a:cs typeface="Times New Roman"/>
            </a:rPr>
            <a:pPr/>
            <a:t>#NAME?</a:t>
          </a:fld>
          <a:endParaRPr lang="en-AU" sz="28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5"/>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54"/>
    <tableColumn id="6" xr3:uid="{11350DC8-38DD-4ED1-9576-EFE00DF98F4A}" name="Evidence files" dataDxfId="53"/>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52"/>
    <tableColumn id="6" xr3:uid="{AB44CE99-224A-437D-A5B1-932D9C46AAB8}" name="Evidence files" dataDxfId="51"/>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50"/>
    <tableColumn id="6" xr3:uid="{8407DCE3-2C71-4594-89B2-6C5DC5A27F02}" name="Evidence files" dataDxfId="49"/>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8"/>
    <tableColumn id="6" xr3:uid="{4E8DFB0B-42BF-4238-AE47-4694D0ABF414}" name="Evidence files" dataDxfId="47"/>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6"/>
    <tableColumn id="6" xr3:uid="{59BA769D-6DE0-45F8-9AE4-CE630F78ADD3}" name="Evidence files" dataDxfId="45"/>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4"/>
    <tableColumn id="6" xr3:uid="{5014AEED-6FC3-4D88-9D37-146835135CBE}" name="Evidence files" dataDxfId="43"/>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79" totalsRowShown="0" headerRowCellStyle="Input table column header">
  <autoFilter ref="D75:J79"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
    <tableColumn id="6" xr3:uid="{A8148FCB-F76E-4E6E-A140-C2F5CA96A211}" name="Evidence files" dataDxfId="41"/>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4" dataCellStyle="Content normal"/>
    <tableColumn id="2" xr3:uid="{FB5C0130-8C56-4920-AC12-9A8601CC1D07}" name="Description" dataDxfId="3"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2"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1"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0"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2.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6" t="str">
        <f>HYPERLINK("#'Home'!A1", "Home")</f>
        <v>Home</v>
      </c>
    </row>
    <row r="6" spans="1:1" x14ac:dyDescent="0.25">
      <c r="A6" s="87"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tabSelected="1" topLeftCell="A49" zoomScaleNormal="100" workbookViewId="0">
      <selection activeCell="E67" sqref="E67:G67"/>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1" customFormat="1" ht="30" customHeight="1" x14ac:dyDescent="0.35">
      <c r="A1" s="11" t="e" vm="1">
        <v>#VALUE!</v>
      </c>
      <c r="C1" s="94" t="s">
        <v>313</v>
      </c>
      <c r="D1" s="94"/>
      <c r="E1" s="94"/>
      <c r="F1" s="94"/>
      <c r="G1" s="94"/>
      <c r="H1" s="94"/>
      <c r="I1" s="94"/>
      <c r="J1" s="94"/>
      <c r="K1" s="94"/>
    </row>
    <row r="2" spans="1:11" s="3" customFormat="1" ht="20.100000000000001" customHeight="1" x14ac:dyDescent="0.25"/>
    <row r="3" spans="1:11" ht="20.100000000000001" customHeight="1" x14ac:dyDescent="0.25">
      <c r="A3" s="5" t="str">
        <f>HYPERLINK("#'Home'!A1", "Home")</f>
        <v>Home</v>
      </c>
    </row>
    <row r="4" spans="1:11" ht="20.100000000000001" customHeight="1" x14ac:dyDescent="0.25">
      <c r="A4" s="5" t="str">
        <f>HYPERLINK("#'Results'!A1", "Results")</f>
        <v>Results</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5">
      <c r="A5" s="4"/>
    </row>
    <row r="6" spans="1:11" ht="20.100000000000001" customHeight="1" x14ac:dyDescent="0.25">
      <c r="A6" s="8" t="s">
        <v>1</v>
      </c>
      <c r="D6" s="80" t="s">
        <v>330</v>
      </c>
    </row>
    <row r="7" spans="1:11" ht="20.100000000000001" customHeight="1" x14ac:dyDescent="0.25">
      <c r="A7" s="5" t="str">
        <f>HYPERLINK("#'Input - Site'!A1", "Site")</f>
        <v>Site</v>
      </c>
    </row>
    <row r="8" spans="1:11" ht="20.100000000000001" customHeight="1" x14ac:dyDescent="0.25">
      <c r="A8" s="5" t="str">
        <f>HYPERLINK("#'Input - Pasture Beef'!A1", "Pasture Beef")</f>
        <v>Pasture Beef</v>
      </c>
      <c r="D8" s="12" t="s">
        <v>4</v>
      </c>
      <c r="E8" s="12" t="s">
        <v>8</v>
      </c>
      <c r="F8" s="12" t="s">
        <v>9</v>
      </c>
      <c r="G8" s="12" t="s">
        <v>5</v>
      </c>
      <c r="H8" s="12" t="s">
        <v>10</v>
      </c>
      <c r="I8" s="12" t="s">
        <v>11</v>
      </c>
      <c r="J8" s="12"/>
    </row>
    <row r="9" spans="1:11" ht="20.100000000000001" customHeight="1" x14ac:dyDescent="0.25">
      <c r="A9" s="5"/>
      <c r="D9" s="1" t="s">
        <v>147</v>
      </c>
      <c r="E9" s="1" t="e" cm="1">
        <f t="array" ref="E9">VEERG_3_2_1_1__1_TotalAnnualMethaneFromEntericFermentation_Result_Method1</f>
        <v>#NAME?</v>
      </c>
      <c r="F9" s="1" t="e" cm="1">
        <f t="array" ref="F9">VEERG_3_2_1_1__1_TotalAnnualMethaneFromEntericFermentation_Result_Method2</f>
        <v>#NAME?</v>
      </c>
      <c r="G9" s="10" t="s">
        <v>6</v>
      </c>
      <c r="H9" s="1" t="e" cm="1">
        <f t="array" ref="H9">Common_Equations.Common_ConvertCH4ToCO2e(E9,_xlfn.XLOOKUP("CH4", Table_GWPData[Gas],Table_GWPData[CO2-e factor]))</f>
        <v>#NAME?</v>
      </c>
      <c r="I9" s="1" t="e" cm="1">
        <f t="array" ref="I9">Common_Equations.Common_ConvertCH4ToCO2e(F9,_xlfn.XLOOKUP("CH4", Table_GWPData[Gas],Table_GWPData[CO2-e factor]))</f>
        <v>#NAME?</v>
      </c>
      <c r="J9" s="10" t="s">
        <v>7</v>
      </c>
    </row>
    <row r="10" spans="1:11" ht="20.100000000000001" customHeight="1" x14ac:dyDescent="0.25">
      <c r="A10" s="7" t="s">
        <v>3</v>
      </c>
      <c r="D10" s="1" t="s">
        <v>12</v>
      </c>
      <c r="E10" s="1" t="e" cm="1">
        <f t="array" ref="E10">VEERG_4_2_1_1__1_TotalAnnualMethaneProductionFromManureManagement_Result_Method1</f>
        <v>#NAME?</v>
      </c>
      <c r="F10" s="1" t="e" cm="1">
        <f t="array" ref="F10">VEERG_4_2_1_1__1_TotalAnnualMethaneProductionFromManureManagement_Result_Method2</f>
        <v>#NAME?</v>
      </c>
      <c r="G10" s="10" t="s">
        <v>6</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7</v>
      </c>
    </row>
    <row r="11" spans="1:11" ht="20.100000000000001" customHeight="1" x14ac:dyDescent="0.25">
      <c r="A11" s="5" t="str">
        <f>HYPERLINK("#'4.2.1.1-2 Methane'!A1", "4.2.1.1-2 Methane")</f>
        <v>4.2.1.1-2 Methane</v>
      </c>
      <c r="D11" s="1" t="s">
        <v>14</v>
      </c>
      <c r="E11" s="1" t="e" cm="1">
        <f t="array" ref="E11">VEERG_4_2_1_3__1_DirectNitrousOxideEmissionsOnPasture_Result_Method1</f>
        <v>#NAME?</v>
      </c>
      <c r="F11" s="1" t="e" cm="1">
        <f t="array" ref="F11">VEERG_4_2_1_3__1_DirectNitrousOxideEmissionsOnPasture_Result_Method2</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7</v>
      </c>
    </row>
    <row r="12" spans="1:11" ht="20.100000000000001" customHeight="1" x14ac:dyDescent="0.25">
      <c r="A12" s="5" t="str">
        <f>HYPERLINK("#'4.2.1.3-4 Soil direct N2O'!A1", "4.2.1.3-4 Soil direct N2O")</f>
        <v>4.2.1.3-4 Soil direct N2O</v>
      </c>
      <c r="D12" s="1" t="s">
        <v>15</v>
      </c>
      <c r="E12" s="1" t="e" cm="1">
        <f t="array" ref="E12">VEERG_4_2_1_5__1_AtmosphericDepositionEmissionsFromUrineAndDungOnPasture_Result_Method1</f>
        <v>#NAME?</v>
      </c>
      <c r="F12" s="1" t="e" cm="1">
        <f t="array" ref="F12">VEERG_4_2_1_5__1_AtmosphericDepositionEmissionsFromUrineAndDungOnPasture_Result_Method2</f>
        <v>#NAME?</v>
      </c>
      <c r="G12" s="10" t="s">
        <v>13</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7</v>
      </c>
    </row>
    <row r="13" spans="1:11" ht="20.100000000000001" customHeight="1" x14ac:dyDescent="0.25">
      <c r="A13" s="5" t="str">
        <f>HYPERLINK("#'4.2.1.5-6 Soil Atmos Dep'!A1", "4.2.1.5-6 Soil atm. deposition")</f>
        <v>4.2.1.5-6 Soil atm. deposition</v>
      </c>
      <c r="D13" s="1" t="s">
        <v>16</v>
      </c>
      <c r="E13" s="1" t="e" cm="1">
        <f t="array" ref="E13">VEERG_4_2_1_7__1_LeachingAndRunoffEmissionsFromUrineAndDungOnPasture_Result_Method1</f>
        <v>#NAME?</v>
      </c>
      <c r="F13" s="1" t="e" cm="1">
        <f t="array" ref="F13">VEERG_4_2_1_7__1_LeachingAndRunoffEmissionsFromUrineAndDungOnPasture_Result_Method2</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7</v>
      </c>
    </row>
    <row r="14" spans="1:11" ht="20.100000000000001" customHeight="1" x14ac:dyDescent="0.25">
      <c r="A14" s="5" t="str">
        <f>HYPERLINK("#'4.2.1.7-8 Soil leach runoff'!A1", "4.2.1.7-8 Soil leach &amp; runoff")</f>
        <v>4.2.1.7-8 Soil leach &amp; runoff</v>
      </c>
      <c r="D14" s="1" t="s">
        <v>148</v>
      </c>
      <c r="E14" s="1" t="e" cm="1">
        <f t="array" ref="E14">VEERG_5_1_1_1__1_InorganicFertiliserApplicationN2OEmissions_Result_Method1</f>
        <v>#NAME?</v>
      </c>
      <c r="F14" s="1" t="e" cm="1">
        <f t="array" ref="F14">VEERG_5_1_1_1__1_InorganicFertiliserApplicationN2OEmissions_Result_Method2</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7</v>
      </c>
    </row>
    <row r="15" spans="1:11" ht="20.100000000000001" customHeight="1" x14ac:dyDescent="0.25">
      <c r="A15" s="5"/>
      <c r="D15" s="1" t="s">
        <v>149</v>
      </c>
      <c r="E15" s="1" t="e" cm="1">
        <f t="array" ref="E15">VEERG_5_1_1_3__1_InorganicFertiliserApplicationCO2Emissions_Result_Method1</f>
        <v>#NAME?</v>
      </c>
      <c r="F15" s="1" t="e">
        <f>E15</f>
        <v>#NAME?</v>
      </c>
      <c r="G15" s="10" t="s">
        <v>139</v>
      </c>
      <c r="H15" s="1" t="e">
        <f>E15</f>
        <v>#NAME?</v>
      </c>
      <c r="I15" s="1" t="e">
        <f>F15</f>
        <v>#NAME?</v>
      </c>
      <c r="J15" s="10" t="s">
        <v>7</v>
      </c>
    </row>
    <row r="16" spans="1:11" ht="20.100000000000001" customHeight="1" x14ac:dyDescent="0.25">
      <c r="A16" s="6" t="s">
        <v>2</v>
      </c>
      <c r="D16" s="1" t="s">
        <v>150</v>
      </c>
      <c r="E16" s="1" t="e" cm="1">
        <f t="array" ref="E16">VEERG_5_2_1_1__2_MassOfNitrogenInOrganicFertiliser_Result_Method1</f>
        <v>#NAME?</v>
      </c>
      <c r="F16" s="1" t="e">
        <f>E16</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7</v>
      </c>
    </row>
    <row r="17" spans="1:10" ht="20.100000000000001" customHeight="1" x14ac:dyDescent="0.25">
      <c r="A17" s="5" t="str">
        <f>HYPERLINK("#'Constants - Pasture Beef'!A1", "Constants - Pasture Beef")</f>
        <v>Constants - Pasture Beef</v>
      </c>
      <c r="D17" s="1" t="s">
        <v>151</v>
      </c>
      <c r="E17" s="1" t="e" cm="1">
        <f t="array" ref="E17">VEERG_5_3_1_1__1_LimeApplicationCO2Emissions_Result_Method1</f>
        <v>#NAME?</v>
      </c>
      <c r="F17" s="1" t="e">
        <f>E17</f>
        <v>#NAME?</v>
      </c>
      <c r="G17" s="10" t="s">
        <v>139</v>
      </c>
      <c r="H17" s="1" t="e">
        <f>E17</f>
        <v>#NAME?</v>
      </c>
      <c r="I17" s="1" t="e">
        <f>F17</f>
        <v>#NAME?</v>
      </c>
      <c r="J17" s="10" t="s">
        <v>7</v>
      </c>
    </row>
    <row r="18" spans="1:10" ht="20.100000000000001" customHeight="1" x14ac:dyDescent="0.25">
      <c r="A18" s="5" t="str">
        <f>HYPERLINK("#'Constants - Livestock'!A1", "Constants - Livestock")</f>
        <v>Constants - Livestock</v>
      </c>
      <c r="D18" s="1" t="s">
        <v>152</v>
      </c>
      <c r="E18" s="1" t="e" cm="1">
        <f t="array" ref="E18">VEERG_5_4_1_3__1_OrganicFertiliserAtmosphericDepositionN2OEmissions_Result_Method1</f>
        <v>#NAME?</v>
      </c>
      <c r="F18" s="1" t="e">
        <f>E18</f>
        <v>#NAME?</v>
      </c>
      <c r="G18" s="10" t="s">
        <v>13</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7</v>
      </c>
    </row>
    <row r="19" spans="1:10" ht="20.100000000000001" customHeight="1" x14ac:dyDescent="0.25">
      <c r="A19" s="5" t="str">
        <f>HYPERLINK("#'Constants - Common'!A1", "Constants - Common")</f>
        <v>Constants - Common</v>
      </c>
      <c r="D19" s="1" t="s">
        <v>153</v>
      </c>
      <c r="E19" s="1" t="e" cm="1">
        <f t="array" ref="E19">VEERG_5_5_1_1__1_FertiliserLeachingAndRunoffN2OEmissions_result_Method1</f>
        <v>#NAME?</v>
      </c>
      <c r="F19" s="1" t="e">
        <f>E19</f>
        <v>#NAME?</v>
      </c>
      <c r="G19" s="10" t="s">
        <v>13</v>
      </c>
      <c r="H19" s="1" t="e" cm="1">
        <f t="array" ref="H19">Common_Equations.Common_ConvertN2OToCO2e(E19,_xlfn.XLOOKUP("N2O", Table_GWPData[Gas],Table_GWPData[CO2-e factor]))</f>
        <v>#NAME?</v>
      </c>
      <c r="I19" s="1" t="e" cm="1">
        <f t="array" ref="I19">Common_Equations.Common_ConvertN2OToCO2e(F19,_xlfn.XLOOKUP("N2O", Table_GWPData[Gas],Table_GWPData[CO2-e factor]))</f>
        <v>#NAME?</v>
      </c>
      <c r="J19" s="10" t="s">
        <v>7</v>
      </c>
    </row>
    <row r="20" spans="1:10" ht="20.100000000000001" customHeight="1" x14ac:dyDescent="0.25">
      <c r="A20" s="5" t="str">
        <f>HYPERLINK("#'Acknowledgements'!A1", "Acknowledgements")</f>
        <v>Acknowledgements</v>
      </c>
      <c r="D20" s="1" t="s">
        <v>154</v>
      </c>
      <c r="E20" s="1" t="e" cm="1">
        <f t="array" ref="E20">VEERG_6_2_1_1__1__NitrousOxideEmissionsFromPastureResidues_Result_Method1</f>
        <v>#NAME?</v>
      </c>
      <c r="F20" s="1" t="e" cm="1">
        <f t="array" ref="F20">VEERG_6_2_1_1__1__NitrousOxideEmissionsFromPastureResidues_Result_Method2</f>
        <v>#NAME?</v>
      </c>
      <c r="G20" s="10" t="s">
        <v>13</v>
      </c>
      <c r="H20" s="1" t="e" cm="1">
        <f t="array" ref="H20">Common_Equations.Common_ConvertN2OToCO2e(E20,_xlfn.XLOOKUP("N2O", Table_GWPData[Gas],Table_GWPData[CO2-e factor]))</f>
        <v>#NAME?</v>
      </c>
      <c r="I20" s="1" t="e" cm="1">
        <f t="array" ref="I20">Common_Equations.Common_ConvertN2OToCO2e(F20,_xlfn.XLOOKUP("N2O", Table_GWPData[Gas],Table_GWPData[CO2-e factor]))</f>
        <v>#NAME?</v>
      </c>
      <c r="J20" s="10" t="s">
        <v>7</v>
      </c>
    </row>
    <row r="21" spans="1:10" ht="20.100000000000001" customHeight="1" x14ac:dyDescent="0.25">
      <c r="D21" s="1" t="s">
        <v>155</v>
      </c>
      <c r="E21" s="1" t="e" cm="1">
        <f t="array" ref="E21">VEERG_6_3_1_1__1__LeachingAndRunoffEmissionsCropAndPastureResidue_PastureOnly_Result_Method1</f>
        <v>#NAME?</v>
      </c>
      <c r="F21" s="1" t="e" cm="1">
        <f t="array" ref="F21">VEERG_6_3_1_1__1__LeachingAndRunoffEmissionsCropAndPastureResidue_PastureOnly_Result_Method2</f>
        <v>#NAME?</v>
      </c>
      <c r="G21" s="10" t="s">
        <v>13</v>
      </c>
      <c r="H21" s="1" t="e" cm="1">
        <f t="array" ref="H21">Common_Equations.Common_ConvertN2OToCO2e(E21,_xlfn.XLOOKUP("N2O", Table_GWPData[Gas],Table_GWPData[CO2-e factor]))</f>
        <v>#NAME?</v>
      </c>
      <c r="I21" s="1" t="e" cm="1">
        <f t="array" ref="I21">Common_Equations.Common_ConvertN2OToCO2e(F21,_xlfn.XLOOKUP("N2O", Table_GWPData[Gas],Table_GWPData[CO2-e factor]))</f>
        <v>#NAME?</v>
      </c>
      <c r="J21" s="10" t="s">
        <v>7</v>
      </c>
    </row>
    <row r="22" spans="1:10" ht="20.100000000000001" customHeight="1" x14ac:dyDescent="0.25">
      <c r="A22" s="5"/>
      <c r="D22" s="1" t="s">
        <v>156</v>
      </c>
      <c r="E22" s="1" t="e" cm="1">
        <f t="array" ref="E22">VEERG_8_1_1_1__1_FuelCombustionTransport_Result_CO2</f>
        <v>#NAME?</v>
      </c>
      <c r="F22" s="1" t="e">
        <f>E22</f>
        <v>#NAME?</v>
      </c>
      <c r="G22" s="10" t="s">
        <v>139</v>
      </c>
      <c r="H22" s="1" t="e">
        <f>E22</f>
        <v>#NAME?</v>
      </c>
      <c r="I22" s="1" t="e">
        <f>F22</f>
        <v>#NAME?</v>
      </c>
      <c r="J22" s="10" t="s">
        <v>7</v>
      </c>
    </row>
    <row r="23" spans="1:10" ht="20.100000000000001" customHeight="1" x14ac:dyDescent="0.25">
      <c r="A23" s="5"/>
      <c r="D23" s="1" t="s">
        <v>158</v>
      </c>
      <c r="E23" s="1" t="e" cm="1">
        <f t="array" ref="E23">VEERG_8_1_1_1__1_FuelCombustionTransport_Result_CH4</f>
        <v>#NAME?</v>
      </c>
      <c r="F23" s="1" t="e">
        <f>E23</f>
        <v>#NAME?</v>
      </c>
      <c r="G23" s="10" t="s">
        <v>6</v>
      </c>
      <c r="H23" s="1" t="e" cm="1">
        <f t="array" ref="H23">Common_Equations.Common_ConvertCH4ToCO2e(E23,_xlfn.XLOOKUP("CH4", Table_GWPData[Gas],Table_GWPData[CO2-e factor]))</f>
        <v>#NAME?</v>
      </c>
      <c r="I23" s="1" t="e" cm="1">
        <f t="array" ref="I23">Common_Equations.Common_ConvertCH4ToCO2e(F23,_xlfn.XLOOKUP("CH4", Table_GWPData[Gas],Table_GWPData[CO2-e factor]))</f>
        <v>#NAME?</v>
      </c>
      <c r="J23" s="10" t="s">
        <v>7</v>
      </c>
    </row>
    <row r="24" spans="1:10" ht="20.100000000000001" customHeight="1" x14ac:dyDescent="0.25">
      <c r="A24" s="5"/>
      <c r="D24" s="1" t="s">
        <v>157</v>
      </c>
      <c r="E24" s="1" t="e" cm="1">
        <f t="array" ref="E24">VEERG_8_1_1_1__1_FuelCombustionTransport_Result_N2O</f>
        <v>#NAME?</v>
      </c>
      <c r="F24" s="1" t="e">
        <f>E24</f>
        <v>#NAME?</v>
      </c>
      <c r="G24" s="10" t="s">
        <v>13</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7</v>
      </c>
    </row>
    <row r="25" spans="1:10" ht="20.100000000000001" customHeight="1" x14ac:dyDescent="0.25">
      <c r="D25" s="1" t="s">
        <v>159</v>
      </c>
      <c r="E25" s="1" t="e" cm="1">
        <f t="array" ref="E25">VEERG_8_2_1_1__1_FuelCombustionStationary_Result_CO2</f>
        <v>#NAME?</v>
      </c>
      <c r="F25" s="1" t="e">
        <f>E25</f>
        <v>#NAME?</v>
      </c>
      <c r="G25" s="10" t="s">
        <v>139</v>
      </c>
      <c r="H25" s="1" t="e">
        <f>E25</f>
        <v>#NAME?</v>
      </c>
      <c r="I25" s="1" t="e">
        <f>F25</f>
        <v>#NAME?</v>
      </c>
      <c r="J25" s="10" t="s">
        <v>7</v>
      </c>
    </row>
    <row r="26" spans="1:10" ht="20.100000000000001" customHeight="1" x14ac:dyDescent="0.25">
      <c r="D26" s="1" t="s">
        <v>160</v>
      </c>
      <c r="E26" s="1" t="e" cm="1">
        <f t="array" ref="E26">VEERG_8_2_1_1__1_FuelCombustionStationary_Result_CH4</f>
        <v>#NAME?</v>
      </c>
      <c r="F26" s="1" t="e">
        <f t="shared" ref="F26:F27" si="0">E26</f>
        <v>#NAME?</v>
      </c>
      <c r="G26" s="10" t="s">
        <v>6</v>
      </c>
      <c r="H26" s="1" t="e" cm="1">
        <f t="array" ref="H26">Common_Equations.Common_ConvertCH4ToCO2e(E26,_xlfn.XLOOKUP("CH4", Table_GWPData[Gas],Table_GWPData[CO2-e factor]))</f>
        <v>#NAME?</v>
      </c>
      <c r="I26" s="1" t="e" cm="1">
        <f t="array" ref="I26">Common_Equations.Common_ConvertCH4ToCO2e(F26,_xlfn.XLOOKUP("CH4", Table_GWPData[Gas],Table_GWPData[CO2-e factor]))</f>
        <v>#NAME?</v>
      </c>
      <c r="J26" s="10" t="s">
        <v>7</v>
      </c>
    </row>
    <row r="27" spans="1:10" ht="20.100000000000001" customHeight="1" x14ac:dyDescent="0.25">
      <c r="D27" s="1" t="s">
        <v>161</v>
      </c>
      <c r="E27" s="1" t="e" cm="1">
        <f t="array" ref="E27">VEERG_8_2_1_1__1_FuelCombustionStationary_Result_N2O</f>
        <v>#NAME?</v>
      </c>
      <c r="F27" s="1" t="e">
        <f t="shared" si="0"/>
        <v>#NAME?</v>
      </c>
      <c r="G27" s="10" t="s">
        <v>13</v>
      </c>
      <c r="H27" s="1" t="e" cm="1">
        <f t="array" ref="H27">Common_Equations.Common_ConvertN2OToCO2e(E27,_xlfn.XLOOKUP("N2O", Table_GWPData[Gas],Table_GWPData[CO2-e factor]))</f>
        <v>#NAME?</v>
      </c>
      <c r="I27" s="1" t="e" cm="1">
        <f t="array" ref="I27">Common_Equations.Common_ConvertN2OToCO2e(F27,_xlfn.XLOOKUP("N2O", Table_GWPData[Gas],Table_GWPData[CO2-e factor]))</f>
        <v>#NAME?</v>
      </c>
      <c r="J27" s="10" t="s">
        <v>7</v>
      </c>
    </row>
    <row r="28" spans="1:10" ht="20.100000000000001" customHeight="1" x14ac:dyDescent="0.25">
      <c r="D28" s="92" t="s">
        <v>326</v>
      </c>
      <c r="E28" s="93"/>
      <c r="F28" s="93"/>
      <c r="G28" s="93"/>
      <c r="H28" s="92" t="e">
        <f>SUM(H9:H27)</f>
        <v>#NAME?</v>
      </c>
      <c r="I28" s="92" t="e">
        <f>SUM(I9:I27)</f>
        <v>#NAME?</v>
      </c>
      <c r="J28" s="97" t="s">
        <v>7</v>
      </c>
    </row>
    <row r="29" spans="1:10" ht="20.100000000000001" customHeight="1" x14ac:dyDescent="0.25"/>
    <row r="30" spans="1:10" ht="20.100000000000001" customHeight="1" x14ac:dyDescent="0.25"/>
    <row r="31" spans="1:10" ht="20.100000000000001" customHeight="1" x14ac:dyDescent="0.25">
      <c r="D31" s="80" t="s">
        <v>327</v>
      </c>
    </row>
    <row r="32" spans="1:10" ht="20.100000000000001" customHeight="1" x14ac:dyDescent="0.25"/>
    <row r="33" spans="4:10" ht="20.100000000000001" customHeight="1" x14ac:dyDescent="0.25">
      <c r="D33" s="12" t="s">
        <v>328</v>
      </c>
      <c r="E33" s="12" t="s">
        <v>8</v>
      </c>
      <c r="F33" s="12" t="s">
        <v>9</v>
      </c>
      <c r="G33" s="12" t="s">
        <v>5</v>
      </c>
      <c r="H33" s="12" t="s">
        <v>10</v>
      </c>
      <c r="I33" s="12" t="s">
        <v>11</v>
      </c>
      <c r="J33" s="12"/>
    </row>
    <row r="34" spans="4:10" ht="20.100000000000001" customHeight="1" x14ac:dyDescent="0.25">
      <c r="D34" s="1" t="e" cm="1">
        <f t="array" ref="D34">"14.1.1-2 Purchased electricity " &amp; IF(X_Cell_Electricity_CalculationMethod="Location-based (simpler)", "(Location-based)", "(Market-based)")</f>
        <v>#NAME?</v>
      </c>
      <c r="E34" s="1" t="e" cm="1">
        <f t="array" ref="E34">IF(X_Cell_Electricity_CalculationMethod="Location-based (simpler)", VEERG_14_1_1__1_LocationBasedScopeElectricityEmissions_Result_Method1, VEERG_14_1_2__1_MarketBasedScopeElectricityEmissionsVariation_Result_Method1)</f>
        <v>#NAME?</v>
      </c>
      <c r="F34" s="1" t="e">
        <f>E34</f>
        <v>#NAME?</v>
      </c>
      <c r="G34" s="10" t="s">
        <v>7</v>
      </c>
      <c r="H34" s="1" t="e">
        <f>E34</f>
        <v>#NAME?</v>
      </c>
      <c r="I34" s="1" t="e">
        <f>F34</f>
        <v>#NAME?</v>
      </c>
      <c r="J34" s="10" t="s">
        <v>7</v>
      </c>
    </row>
    <row r="35" spans="4:10" ht="20.100000000000001" customHeight="1" x14ac:dyDescent="0.25">
      <c r="D35" s="92" t="s">
        <v>329</v>
      </c>
      <c r="E35" s="93"/>
      <c r="F35" s="93"/>
      <c r="G35" s="93"/>
      <c r="H35" s="92" t="e">
        <f>SUM(H34:H34)</f>
        <v>#NAME?</v>
      </c>
      <c r="I35" s="92" t="e">
        <f>SUM(I34:I34)</f>
        <v>#NAME?</v>
      </c>
      <c r="J35" s="97" t="s">
        <v>7</v>
      </c>
    </row>
    <row r="36" spans="4:10" ht="20.100000000000001" customHeight="1" x14ac:dyDescent="0.25"/>
    <row r="37" spans="4:10" ht="20.100000000000001" customHeight="1" x14ac:dyDescent="0.25"/>
    <row r="38" spans="4:10" ht="20.100000000000001" customHeight="1" x14ac:dyDescent="0.25">
      <c r="D38" s="80" t="s">
        <v>331</v>
      </c>
    </row>
    <row r="39" spans="4:10" ht="20.100000000000001" customHeight="1" x14ac:dyDescent="0.25">
      <c r="D39" s="12" t="s">
        <v>332</v>
      </c>
      <c r="E39" s="12" t="s">
        <v>8</v>
      </c>
      <c r="F39" s="12" t="s">
        <v>9</v>
      </c>
      <c r="G39" s="12" t="s">
        <v>5</v>
      </c>
      <c r="H39" s="12" t="s">
        <v>10</v>
      </c>
      <c r="I39" s="12" t="s">
        <v>11</v>
      </c>
      <c r="J39" s="12"/>
    </row>
    <row r="40" spans="4:10" ht="20.100000000000001" customHeight="1" x14ac:dyDescent="0.25">
      <c r="D40" s="1" t="s">
        <v>333</v>
      </c>
      <c r="E40" s="1" t="e" cm="1">
        <f t="array" ref="E40">VEERG_15_1_1_1__1_EmissionsFromPurchasedLivestock_Result_Method1</f>
        <v>#NAME?</v>
      </c>
      <c r="F40" s="1" t="e" cm="1">
        <f t="array" ref="F40">VEERG_15_1_1_1__1_EmissionsFromPurchasedLivestock_Result_Method2</f>
        <v>#NAME?</v>
      </c>
      <c r="G40" s="10" t="s">
        <v>7</v>
      </c>
      <c r="H40" s="1" t="e">
        <f>E40</f>
        <v>#NAME?</v>
      </c>
      <c r="I40" s="1" t="e">
        <f>F40</f>
        <v>#NAME?</v>
      </c>
      <c r="J40" s="10" t="s">
        <v>7</v>
      </c>
    </row>
    <row r="41" spans="4:10" ht="20.100000000000001" customHeight="1" x14ac:dyDescent="0.25">
      <c r="D41" s="1" t="s">
        <v>334</v>
      </c>
      <c r="E41" s="1" t="e" cm="1">
        <f t="array" ref="E41">VEERG_15_2_1_1__1_EmissionsFromPurchasedFeed_Result_Method1</f>
        <v>#NAME?</v>
      </c>
      <c r="F41" s="1" t="e" cm="1">
        <f t="array" ref="F41">VEERG_15_2_1_1__1_EmissionsFromPurchasedFeed_Result_Method2</f>
        <v>#NAME?</v>
      </c>
      <c r="G41" s="10" t="s">
        <v>7</v>
      </c>
      <c r="H41" s="1" t="e">
        <f t="shared" ref="H41:H52" si="1">E41</f>
        <v>#NAME?</v>
      </c>
      <c r="I41" s="1" t="e">
        <f t="shared" ref="I41:I52" si="2">F41</f>
        <v>#NAME?</v>
      </c>
      <c r="J41" s="10" t="s">
        <v>7</v>
      </c>
    </row>
    <row r="42" spans="4:10" ht="20.100000000000001" customHeight="1" x14ac:dyDescent="0.25">
      <c r="D42" s="1" t="s">
        <v>335</v>
      </c>
      <c r="E42" s="1" t="e" cm="1">
        <f t="array" ref="E42">VEERG_15_3_1_1__1_EmissionsFromPurchasedMineralSupplements_Result_Method1</f>
        <v>#NAME?</v>
      </c>
      <c r="F42" s="1" t="e" cm="1">
        <f t="array" ref="F42">VEERG_15_3_1_1__1_EmissionsFromPurchasedMineralSupplements_Result_Method2</f>
        <v>#NAME?</v>
      </c>
      <c r="G42" s="10" t="s">
        <v>7</v>
      </c>
      <c r="H42" s="1" t="e">
        <f t="shared" si="1"/>
        <v>#NAME?</v>
      </c>
      <c r="I42" s="1" t="e">
        <f t="shared" si="2"/>
        <v>#NAME?</v>
      </c>
      <c r="J42" s="10" t="s">
        <v>7</v>
      </c>
    </row>
    <row r="43" spans="4:10" ht="20.100000000000001" customHeight="1" x14ac:dyDescent="0.25">
      <c r="D43" s="1" t="s">
        <v>336</v>
      </c>
      <c r="E43" s="1" t="e" cm="1">
        <f t="array" ref="E43">VEERG_15_4_1_1__2_EmissionsFromPurchasedFertiliserComponentsVariation_Result_Method1</f>
        <v>#NAME?</v>
      </c>
      <c r="F43" s="1" t="e" cm="1">
        <f t="array" ref="F43">VEERG_15_4_1_1__2_EmissionsFromPurchasedFertiliserComponentsVariation_Result_Method2</f>
        <v>#NAME?</v>
      </c>
      <c r="G43" s="10" t="s">
        <v>7</v>
      </c>
      <c r="H43" s="1" t="e">
        <f t="shared" si="1"/>
        <v>#NAME?</v>
      </c>
      <c r="I43" s="1" t="e">
        <f t="shared" si="2"/>
        <v>#NAME?</v>
      </c>
      <c r="J43" s="10" t="s">
        <v>7</v>
      </c>
    </row>
    <row r="44" spans="4:10" ht="20.100000000000001" customHeight="1" x14ac:dyDescent="0.25">
      <c r="D44" s="1" t="s">
        <v>337</v>
      </c>
      <c r="E44" s="1" t="e" cm="1">
        <f t="array" ref="E44">VEERG_15_5_1_1__1_EmissionsFromPurchasedAgrichemicals_Result_Method1</f>
        <v>#NAME?</v>
      </c>
      <c r="F44" s="1" t="e" cm="1">
        <f t="array" ref="F44">VEERG_15_5_1_1__1_EmissionsFromPurchasedAgrichemicals_Result_Method2</f>
        <v>#NAME?</v>
      </c>
      <c r="G44" s="10" t="s">
        <v>7</v>
      </c>
      <c r="H44" s="1" t="e">
        <f t="shared" si="1"/>
        <v>#NAME?</v>
      </c>
      <c r="I44" s="1" t="e">
        <f t="shared" si="2"/>
        <v>#NAME?</v>
      </c>
      <c r="J44" s="10" t="s">
        <v>7</v>
      </c>
    </row>
    <row r="45" spans="4:10" ht="20.100000000000001" customHeight="1" x14ac:dyDescent="0.25">
      <c r="D45" s="1" t="s">
        <v>338</v>
      </c>
      <c r="E45" s="1" t="e" cm="1">
        <f t="array" ref="E45">VEERG_15_6_1_1__1_EmissionsFromPurchasedLime_Result_Method1</f>
        <v>#NAME?</v>
      </c>
      <c r="F45" s="1" t="e" cm="1">
        <f t="array" ref="F45">VEERG_15_6_1_1__1_EmissionsFromPurchasedLime_Result_Method2</f>
        <v>#NAME?</v>
      </c>
      <c r="G45" s="10" t="s">
        <v>7</v>
      </c>
      <c r="H45" s="1" t="e">
        <f t="shared" si="1"/>
        <v>#NAME?</v>
      </c>
      <c r="I45" s="1" t="e">
        <f t="shared" si="2"/>
        <v>#NAME?</v>
      </c>
      <c r="J45" s="10" t="s">
        <v>7</v>
      </c>
    </row>
    <row r="46" spans="4:10" ht="20.100000000000001" customHeight="1" x14ac:dyDescent="0.25">
      <c r="D46" s="1" t="s">
        <v>339</v>
      </c>
      <c r="E46" s="1" t="e" cm="1">
        <f t="array" ref="E46">VEERG_15_7_1_1__1_EmissionsFromPurchasedServices_Result_Method1</f>
        <v>#NAME?</v>
      </c>
      <c r="F46" s="1" t="e" cm="1">
        <f t="array" ref="F46">VEERG_15_7_1_1__1_EmissionsFromPurchasedServices_Result_Method2</f>
        <v>#NAME?</v>
      </c>
      <c r="G46" s="10" t="s">
        <v>7</v>
      </c>
      <c r="H46" s="1" t="e">
        <f t="shared" si="1"/>
        <v>#NAME?</v>
      </c>
      <c r="I46" s="1" t="e">
        <f t="shared" si="2"/>
        <v>#NAME?</v>
      </c>
      <c r="J46" s="10" t="s">
        <v>7</v>
      </c>
    </row>
    <row r="47" spans="4:10" ht="20.100000000000001" customHeight="1" x14ac:dyDescent="0.25">
      <c r="D47" s="1" t="s">
        <v>340</v>
      </c>
      <c r="E47" s="1" t="e" cm="1">
        <f t="array" ref="E47">VEERG_15_10_1_1__1_OtherPurchasedGoodsAndServices_CleaningChemicals_Result_Method1</f>
        <v>#NAME?</v>
      </c>
      <c r="F47" s="1" t="e" cm="1">
        <f t="array" ref="F47">VEERG_15_10_1_1__1_OtherPurchasedGoodsAndServices_CleaningChemicals_Result_Method2</f>
        <v>#NAME?</v>
      </c>
      <c r="G47" s="10" t="s">
        <v>7</v>
      </c>
      <c r="H47" s="1" t="e">
        <f t="shared" si="1"/>
        <v>#NAME?</v>
      </c>
      <c r="I47" s="1" t="e">
        <f t="shared" si="2"/>
        <v>#NAME?</v>
      </c>
      <c r="J47" s="10" t="s">
        <v>7</v>
      </c>
    </row>
    <row r="48" spans="4:10" ht="20.100000000000001" customHeight="1" x14ac:dyDescent="0.25">
      <c r="D48" s="1" t="s">
        <v>341</v>
      </c>
      <c r="E48" s="1" t="e" cm="1">
        <f t="array" ref="E48">VEERG_15_10_1_1__1_OtherPurchasedGoodsAndServices_PharmacyChemicals_Result_Method1</f>
        <v>#NAME?</v>
      </c>
      <c r="F48" s="1" t="e" cm="1">
        <f t="array" ref="F48">VEERG_15_10_1_1__1_OtherPurchasedGoodsAndServices_PharmacyChemicals_Result_Method2</f>
        <v>#NAME?</v>
      </c>
      <c r="G48" s="10" t="s">
        <v>7</v>
      </c>
      <c r="H48" s="1" t="e">
        <f t="shared" si="1"/>
        <v>#NAME?</v>
      </c>
      <c r="I48" s="1" t="e">
        <f t="shared" si="2"/>
        <v>#NAME?</v>
      </c>
      <c r="J48" s="10" t="s">
        <v>7</v>
      </c>
    </row>
    <row r="49" spans="4:10" ht="20.100000000000001" customHeight="1" x14ac:dyDescent="0.25">
      <c r="D49" s="1" t="s">
        <v>342</v>
      </c>
      <c r="E49" s="1" t="e" cm="1">
        <f t="array" ref="E49">VEERG_15_10_1_1__1_OtherPurchasedGoodsAndServices_Misc_Result_Method1</f>
        <v>#NAME?</v>
      </c>
      <c r="F49" s="1" t="e" cm="1">
        <f t="array" ref="F49">VEERG_15_10_1_1__1_OtherPurchasedGoodsAndServices_Misc_Result_Method2</f>
        <v>#NAME?</v>
      </c>
      <c r="G49" s="10" t="s">
        <v>7</v>
      </c>
      <c r="H49" s="1" t="e">
        <f t="shared" si="1"/>
        <v>#NAME?</v>
      </c>
      <c r="I49" s="1" t="e">
        <f t="shared" si="2"/>
        <v>#NAME?</v>
      </c>
      <c r="J49" s="10" t="s">
        <v>7</v>
      </c>
    </row>
    <row r="50" spans="4:10" ht="20.100000000000001" customHeight="1" x14ac:dyDescent="0.25">
      <c r="D50" s="1" t="s">
        <v>343</v>
      </c>
      <c r="E50" s="1" t="e" cm="1">
        <f t="array" ref="E50">VEERG_15_10_1_1__1_OtherPurchasedGoodsAndServices_Uncategorised_Result_Method1</f>
        <v>#NAME?</v>
      </c>
      <c r="F50" s="1" t="e" cm="1">
        <f t="array" ref="F50">VEERG_15_10_1_1__1_OtherPurchasedGoodsAndServices_Uncategorised_Result_Method2</f>
        <v>#NAME?</v>
      </c>
      <c r="G50" s="10" t="s">
        <v>7</v>
      </c>
      <c r="H50" s="1" t="e">
        <f t="shared" si="1"/>
        <v>#NAME?</v>
      </c>
      <c r="I50" s="1" t="e">
        <f t="shared" si="2"/>
        <v>#NAME?</v>
      </c>
      <c r="J50" s="10" t="s">
        <v>7</v>
      </c>
    </row>
    <row r="51" spans="4:10" ht="20.100000000000001" customHeight="1" x14ac:dyDescent="0.25">
      <c r="D51" s="1" t="s">
        <v>344</v>
      </c>
      <c r="E51" s="1" t="e" cm="1">
        <f t="array" ref="E51">VEERG_15_11_1_1__1_TotalUpstreamEmissionsFromFuel_Result</f>
        <v>#NAME?</v>
      </c>
      <c r="F51" s="1" t="e">
        <f>E51</f>
        <v>#NAME?</v>
      </c>
      <c r="G51" s="10" t="s">
        <v>7</v>
      </c>
      <c r="H51" s="1" t="e">
        <f t="shared" si="1"/>
        <v>#NAME?</v>
      </c>
      <c r="I51" s="1" t="e">
        <f t="shared" si="2"/>
        <v>#NAME?</v>
      </c>
      <c r="J51" s="10" t="s">
        <v>7</v>
      </c>
    </row>
    <row r="52" spans="4:10" ht="20.100000000000001" customHeight="1" x14ac:dyDescent="0.25">
      <c r="D52" s="1" t="e" cm="1">
        <f t="array" ref="D52">"15.12.1.1 Purchased electricity " &amp; IF(X_Cell_Electricity_CalculationMethod="Location-based (simpler)", "(Location-based)", "(Market-based)")</f>
        <v>#NAME?</v>
      </c>
      <c r="E52" s="1" t="e" cm="1">
        <f t="array" ref="E52">IF(X_Cell_Electricity_CalculationMethod="Location-based (simpler)", VEERG_15_12_1_1__1_UpstreamPurchasedElectricityLocationBased_Result, VEERG_15_12_1_1__1_UpstreamPurchasedElectricityMarketBased_Result)</f>
        <v>#NAME?</v>
      </c>
      <c r="F52" s="1" t="e">
        <f>E52</f>
        <v>#NAME?</v>
      </c>
      <c r="G52" s="10" t="s">
        <v>7</v>
      </c>
      <c r="H52" s="1" t="e">
        <f t="shared" si="1"/>
        <v>#NAME?</v>
      </c>
      <c r="I52" s="1" t="e">
        <f t="shared" si="2"/>
        <v>#NAME?</v>
      </c>
      <c r="J52" s="10" t="s">
        <v>7</v>
      </c>
    </row>
    <row r="53" spans="4:10" ht="20.100000000000001" customHeight="1" x14ac:dyDescent="0.25">
      <c r="D53" s="1" t="s">
        <v>345</v>
      </c>
      <c r="E53" s="1" t="e" cm="1">
        <f t="array" ref="E53">VEERG_15_14_1_1__1_EmbeddedEmissionsFromUpstreamFreight_Incoming_Result_Method1</f>
        <v>#NAME?</v>
      </c>
      <c r="F53" s="1" t="e" cm="1">
        <f t="array" ref="F53">VEERG_15_14_1_1__1_EmbeddedEmissionsFromUpstreamFreight_Incoming_Result_Method2</f>
        <v>#NAME?</v>
      </c>
      <c r="G53" s="10" t="s">
        <v>7</v>
      </c>
      <c r="H53" s="1" t="e">
        <f>E53</f>
        <v>#NAME?</v>
      </c>
      <c r="I53" s="1" t="e">
        <f>F53</f>
        <v>#NAME?</v>
      </c>
      <c r="J53" s="10" t="s">
        <v>7</v>
      </c>
    </row>
    <row r="54" spans="4:10" ht="20.100000000000001" customHeight="1" x14ac:dyDescent="0.25">
      <c r="D54" s="1" t="s">
        <v>346</v>
      </c>
      <c r="E54" s="1" t="e" cm="1">
        <f t="array" ref="E54">VEERG_10_1_1_1__1_EmissionsFromWasteManagement_Scope3_Result_Method1</f>
        <v>#NAME?</v>
      </c>
      <c r="F54" s="1" t="e">
        <f>E54</f>
        <v>#NAME?</v>
      </c>
      <c r="G54" s="10" t="s">
        <v>7</v>
      </c>
      <c r="H54" s="1" t="e">
        <f t="shared" ref="H54:H55" si="3">E54</f>
        <v>#NAME?</v>
      </c>
      <c r="I54" s="1" t="e">
        <f t="shared" ref="I54:I55" si="4">F54</f>
        <v>#NAME?</v>
      </c>
      <c r="J54" s="10" t="s">
        <v>7</v>
      </c>
    </row>
    <row r="55" spans="4:10" ht="20.100000000000001" customHeight="1" x14ac:dyDescent="0.25">
      <c r="D55" s="1" t="s">
        <v>347</v>
      </c>
      <c r="E55" s="1" t="e" cm="1">
        <f t="array" ref="E55">VEERG_15_14_1_1__1_EmbeddedEmissionsFromUpstreamFreight_Outgoing_Result_Method1</f>
        <v>#NAME?</v>
      </c>
      <c r="F55" s="1" t="e" cm="1">
        <f t="array" ref="F55">VEERG_15_14_1_1__1_EmbeddedEmissionsFromUpstreamFreight_Outgoing_Result_Method2</f>
        <v>#NAME?</v>
      </c>
      <c r="G55" s="10" t="s">
        <v>7</v>
      </c>
      <c r="H55" s="1" t="e">
        <f t="shared" si="3"/>
        <v>#NAME?</v>
      </c>
      <c r="I55" s="1" t="e">
        <f t="shared" si="4"/>
        <v>#NAME?</v>
      </c>
      <c r="J55" s="10" t="s">
        <v>7</v>
      </c>
    </row>
    <row r="56" spans="4:10" ht="20.100000000000001" customHeight="1" x14ac:dyDescent="0.25">
      <c r="D56" s="92" t="s">
        <v>348</v>
      </c>
      <c r="E56" s="93"/>
      <c r="F56" s="93"/>
      <c r="G56" s="93"/>
      <c r="H56" s="92" t="e">
        <f>SUM(H40:H55)</f>
        <v>#NAME?</v>
      </c>
      <c r="I56" s="92" t="e">
        <f>SUM(I40:I55)</f>
        <v>#NAME?</v>
      </c>
      <c r="J56" s="97" t="s">
        <v>7</v>
      </c>
    </row>
    <row r="57" spans="4:10" ht="20.100000000000001" customHeight="1" x14ac:dyDescent="0.25"/>
    <row r="58" spans="4:10" ht="20.100000000000001" customHeight="1" x14ac:dyDescent="0.25"/>
    <row r="59" spans="4:10" ht="20.100000000000001" customHeight="1" x14ac:dyDescent="0.25">
      <c r="D59" s="80" t="str">
        <f>"Carbon removals from plantings for the activity period " &amp; TEXT(X_Cell_Site_StartDate, "d mmmm yyyy") &amp; " and " &amp; TEXT(X_Cell_Site_EndDate, "d mmmm yyyy")</f>
        <v>Carbon removals from plantings for the activity period 1 January 2024 and 31 December 2024</v>
      </c>
    </row>
    <row r="60" spans="4:10" ht="20.100000000000001" customHeight="1" x14ac:dyDescent="0.25"/>
    <row r="61" spans="4:10" ht="20.100000000000001" customHeight="1" x14ac:dyDescent="0.25">
      <c r="D61" s="92" t="s">
        <v>323</v>
      </c>
      <c r="E61" s="93">
        <f>SUM(Table_Input_Enterprise_PlantingRemovals[Removal allocated to this enterprise])</f>
        <v>0</v>
      </c>
      <c r="F61" s="97" t="s">
        <v>139</v>
      </c>
    </row>
    <row r="62" spans="4:10" ht="20.100000000000001" customHeight="1" x14ac:dyDescent="0.25"/>
    <row r="63" spans="4:10" ht="20.100000000000001" customHeight="1" x14ac:dyDescent="0.25"/>
    <row r="64" spans="4:10" ht="20.100000000000001" customHeight="1" x14ac:dyDescent="0.25">
      <c r="D64" s="80" t="str">
        <f>"Net emissions for the activity period " &amp; TEXT(X_Cell_Site_StartDate, "d mmmm yyyy") &amp; " and " &amp; TEXT(X_Cell_Site_EndDate, "d mmmm yyyy")</f>
        <v>Net emissions for the activity period 1 January 2024 and 31 December 2024</v>
      </c>
    </row>
    <row r="65" spans="4:7" ht="20.100000000000001" customHeight="1" x14ac:dyDescent="0.25"/>
    <row r="66" spans="4:7" ht="20.100000000000001" customHeight="1" x14ac:dyDescent="0.25">
      <c r="D66" s="12"/>
      <c r="E66" s="12" t="s">
        <v>142</v>
      </c>
      <c r="F66" s="12" t="s">
        <v>143</v>
      </c>
    </row>
    <row r="67" spans="4:7" ht="20.100000000000001" customHeight="1" x14ac:dyDescent="0.25">
      <c r="D67" s="90" t="s">
        <v>353</v>
      </c>
      <c r="E67" s="91" t="e">
        <f>Result_Enterprise_Scope1_Method1+Result_Enterprise_Scope2_Method1+Result_Enterprise_Scope3_Method1</f>
        <v>#NAME?</v>
      </c>
      <c r="F67" s="91" t="e">
        <f>Result_Enterprise_Scope1_Method2+Result_Enterprise_Scope2_Method2+Result_Enterprise_Scope3_Method2</f>
        <v>#NAME?</v>
      </c>
      <c r="G67" s="98" t="s">
        <v>325</v>
      </c>
    </row>
    <row r="68" spans="4:7" ht="20.100000000000001" customHeight="1" x14ac:dyDescent="0.25">
      <c r="D68" s="90" t="s">
        <v>324</v>
      </c>
      <c r="E68" s="91" t="e">
        <f>Result_Enterprise_Gross_Method1-Result_Enterprise_Removals</f>
        <v>#NAME?</v>
      </c>
      <c r="F68" s="91" t="e">
        <f>Result_Enterprise_Gross_Method2-Result_Enterprise_Removals</f>
        <v>#NAME?</v>
      </c>
      <c r="G68" s="98" t="s">
        <v>325</v>
      </c>
    </row>
    <row r="69" spans="4:7" ht="20.100000000000001" customHeight="1" x14ac:dyDescent="0.25"/>
    <row r="70" spans="4:7" ht="20.100000000000001" customHeight="1" x14ac:dyDescent="0.25"/>
    <row r="71" spans="4:7" ht="20.100000000000001" customHeight="1" x14ac:dyDescent="0.25"/>
    <row r="72" spans="4:7" ht="20.100000000000001" customHeight="1" x14ac:dyDescent="0.25"/>
    <row r="73" spans="4:7" ht="20.100000000000001" customHeight="1" x14ac:dyDescent="0.25"/>
    <row r="74" spans="4:7" ht="20.100000000000001" customHeight="1" x14ac:dyDescent="0.25"/>
    <row r="75" spans="4: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C1:R60"/>
  <sheetViews>
    <sheetView showGridLines="0" topLeftCell="A12" zoomScale="85" zoomScaleNormal="85" workbookViewId="0">
      <selection activeCell="F38" sqref="F38"/>
    </sheetView>
  </sheetViews>
  <sheetFormatPr defaultRowHeight="15.75" x14ac:dyDescent="0.25"/>
  <cols>
    <col min="1" max="1" width="30.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3:18" s="94" customFormat="1" ht="25.5" x14ac:dyDescent="0.35">
      <c r="C1" s="94" t="s">
        <v>312</v>
      </c>
    </row>
    <row r="2" spans="3:18" s="3" customFormat="1" x14ac:dyDescent="0.25"/>
    <row r="3" spans="3:18" x14ac:dyDescent="0.25">
      <c r="C3" s="99"/>
      <c r="D3" s="99"/>
      <c r="E3" s="99"/>
      <c r="F3" s="99"/>
      <c r="G3" s="99"/>
      <c r="H3" s="99"/>
      <c r="I3" s="99"/>
      <c r="J3" s="99"/>
      <c r="K3" s="99"/>
      <c r="L3" s="99"/>
      <c r="M3" s="99"/>
      <c r="N3" s="99"/>
      <c r="O3" s="99"/>
      <c r="P3" s="99"/>
      <c r="Q3" s="99"/>
      <c r="R3" s="99"/>
    </row>
    <row r="32" spans="4:4" ht="23.25" x14ac:dyDescent="0.25">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5" spans="4:12" x14ac:dyDescent="0.25">
      <c r="D35" s="12"/>
      <c r="E35" s="12" t="s">
        <v>142</v>
      </c>
      <c r="F35" s="12" t="s">
        <v>143</v>
      </c>
      <c r="G35" s="12"/>
    </row>
    <row r="36" spans="4:12" x14ac:dyDescent="0.25">
      <c r="D36" s="78" t="s">
        <v>322</v>
      </c>
      <c r="E36" s="1" t="e">
        <f>Result_EmissionsForWholeProductionCycle_Method1</f>
        <v>#NAME?</v>
      </c>
      <c r="F36" s="1" t="e">
        <f>Result_EmissionsForWholeProductionCycle_Method2</f>
        <v>#NAME?</v>
      </c>
      <c r="G36" s="10" t="s">
        <v>7</v>
      </c>
    </row>
    <row r="37" spans="4:12" x14ac:dyDescent="0.25">
      <c r="D37" s="78" t="s">
        <v>314</v>
      </c>
      <c r="E37" s="1" t="e">
        <f>Result_EmissionsForWholeProductionCycle_Method1-Result_CarbonRemovalsFromPlantings</f>
        <v>#NAME?</v>
      </c>
      <c r="F37" s="1" t="e">
        <f>Result_EmissionsForWholeProductionCycle_Method2-Result_CarbonRemovalsFromPlantings</f>
        <v>#NAME?</v>
      </c>
      <c r="G37" s="10" t="s">
        <v>7</v>
      </c>
    </row>
    <row r="39" spans="4:12" x14ac:dyDescent="0.25">
      <c r="D39" s="89"/>
      <c r="E39" s="89"/>
      <c r="F39" s="89"/>
      <c r="G39" s="89"/>
      <c r="H39" s="89"/>
      <c r="I39" s="89"/>
      <c r="J39" s="89"/>
    </row>
    <row r="40" spans="4:12" ht="23.25" x14ac:dyDescent="0.25">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2" spans="4:12" ht="18.75" x14ac:dyDescent="0.25">
      <c r="D42" s="80" t="s">
        <v>172</v>
      </c>
    </row>
    <row r="43" spans="4:12" x14ac:dyDescent="0.25">
      <c r="D43" s="12" t="s">
        <v>145</v>
      </c>
      <c r="E43" s="12" t="s">
        <v>132</v>
      </c>
      <c r="F43" s="12" t="s">
        <v>349</v>
      </c>
      <c r="G43" s="12" t="s">
        <v>350</v>
      </c>
      <c r="H43" s="12" t="s">
        <v>351</v>
      </c>
      <c r="I43" s="12" t="s">
        <v>352</v>
      </c>
      <c r="J43" s="12" t="s">
        <v>130</v>
      </c>
      <c r="K43" s="12" t="s">
        <v>131</v>
      </c>
      <c r="L43" s="12" t="s">
        <v>127</v>
      </c>
    </row>
    <row r="44" spans="4:12" x14ac:dyDescent="0.25">
      <c r="D44" s="1" t="s">
        <v>176</v>
      </c>
      <c r="E44" s="1" t="s">
        <v>133</v>
      </c>
      <c r="F44" s="1">
        <f>X_Cell_Enterprise_LiveweightSold</f>
        <v>5</v>
      </c>
      <c r="G44" s="1">
        <f>X_Cell_Enterprise_LiveweightSold</f>
        <v>5</v>
      </c>
      <c r="H44" s="1" t="e">
        <f>F44/(F44+F46)</f>
        <v>#VALUE!</v>
      </c>
      <c r="I44" s="1" t="e">
        <f>G44/(G44+G46)</f>
        <v>#VALUE!</v>
      </c>
      <c r="J44" s="1" t="e">
        <f>(Result_EmissionsForWholeProductionCycle_Method1/F44)*H44</f>
        <v>#NAME?</v>
      </c>
      <c r="K44" s="1" t="e">
        <f>(Result_EmissionsForWholeProductionCycle_Method2/G44)*I44</f>
        <v>#NAME?</v>
      </c>
      <c r="L44" s="10" t="s">
        <v>128</v>
      </c>
    </row>
    <row r="45" spans="4:12" x14ac:dyDescent="0.25">
      <c r="D45" s="1" t="s">
        <v>177</v>
      </c>
      <c r="E45" s="1" t="s">
        <v>133</v>
      </c>
      <c r="F45" s="1">
        <f>F44</f>
        <v>5</v>
      </c>
      <c r="G45" s="1">
        <f>G44</f>
        <v>5</v>
      </c>
      <c r="H45" s="1" t="e">
        <f>H44</f>
        <v>#VALUE!</v>
      </c>
      <c r="I45" s="1" t="e">
        <f>I44</f>
        <v>#VALUE!</v>
      </c>
      <c r="J45" s="1" t="e">
        <f>(Result_NetEmissions_Method1/F45)*H45</f>
        <v>#NAME?</v>
      </c>
      <c r="K45" s="1" t="e">
        <f>(Result_NetEmissions_Method2/G45)*I45</f>
        <v>#NAME?</v>
      </c>
      <c r="L45" s="10" t="s">
        <v>128</v>
      </c>
    </row>
    <row r="46" spans="4:12" x14ac:dyDescent="0.25">
      <c r="D46" s="1" t="s">
        <v>178</v>
      </c>
      <c r="E46" s="1" t="s">
        <v>134</v>
      </c>
      <c r="F46" s="1" t="e">
        <f>X_Cell_Enteprise_ManureProduced_Method1*X_Cell_Enteprise_PercentManureSold</f>
        <v>#VALUE!</v>
      </c>
      <c r="G46" s="1" t="e">
        <f>X_Cell_Enteprise_ManureProduced_Method2*X_Cell_Enteprise_PercentManureSold</f>
        <v>#VALUE!</v>
      </c>
      <c r="H46" s="1" t="e">
        <f>F46/(F44+F46)</f>
        <v>#VALUE!</v>
      </c>
      <c r="I46" s="1" t="e">
        <f>G46/(G44+G46)</f>
        <v>#VALUE!</v>
      </c>
      <c r="J46" s="1" t="e">
        <f>(Result_EmissionsForWholeProductionCycle_Method1/F46)*H46</f>
        <v>#NAME?</v>
      </c>
      <c r="K46" s="1" t="e">
        <f>(Result_EmissionsForWholeProductionCycle_Method2/G46)*I46</f>
        <v>#NAME?</v>
      </c>
      <c r="L46" s="10" t="s">
        <v>129</v>
      </c>
    </row>
    <row r="47" spans="4:12" x14ac:dyDescent="0.25">
      <c r="D47" s="1" t="s">
        <v>179</v>
      </c>
      <c r="E47" s="1" t="s">
        <v>134</v>
      </c>
      <c r="F47" s="1" t="e">
        <f>F46</f>
        <v>#VALUE!</v>
      </c>
      <c r="G47" s="1" t="e">
        <f>G46</f>
        <v>#VALUE!</v>
      </c>
      <c r="H47" s="1" t="e">
        <f>H46</f>
        <v>#VALUE!</v>
      </c>
      <c r="I47" s="1" t="e">
        <f>I46</f>
        <v>#VALUE!</v>
      </c>
      <c r="J47" s="1" t="e">
        <f>(Result_NetEmissions_Method1/F47)*H47</f>
        <v>#NAME?</v>
      </c>
      <c r="K47" s="1" t="e">
        <f>(Result_NetEmissions_Method2/G47)*I47</f>
        <v>#NAME?</v>
      </c>
      <c r="L47" s="10" t="s">
        <v>129</v>
      </c>
    </row>
    <row r="48" spans="4:12" x14ac:dyDescent="0.25">
      <c r="D48" s="1" t="s">
        <v>135</v>
      </c>
      <c r="E48" s="1" t="s">
        <v>137</v>
      </c>
      <c r="F48" s="1" t="e">
        <f>X_Cell_Enteprise_ManureProduced_Method1*X_Cell_Enteprise_PercentManureAppliedAsFertiliserOwnFarm</f>
        <v>#VALUE!</v>
      </c>
      <c r="G48" s="1" t="e">
        <f>X_Cell_Enteprise_ManureProduced_Method2*X_Cell_Enteprise_PercentManureAppliedAsFertiliserOwnFarm</f>
        <v>#VALUE!</v>
      </c>
      <c r="H48" s="1" t="s">
        <v>136</v>
      </c>
      <c r="I48" s="1" t="s">
        <v>136</v>
      </c>
      <c r="J48" s="1" t="s">
        <v>136</v>
      </c>
      <c r="K48" s="1" t="s">
        <v>136</v>
      </c>
      <c r="L48" s="10"/>
    </row>
    <row r="50" spans="4:12" ht="18.75" x14ac:dyDescent="0.25">
      <c r="D50" s="80" t="s">
        <v>173</v>
      </c>
    </row>
    <row r="51" spans="4:12" x14ac:dyDescent="0.25">
      <c r="D51" s="12" t="s">
        <v>145</v>
      </c>
      <c r="E51" s="12" t="s">
        <v>132</v>
      </c>
      <c r="F51" s="12" t="s">
        <v>349</v>
      </c>
      <c r="G51" s="12" t="s">
        <v>350</v>
      </c>
      <c r="H51" s="12" t="s">
        <v>174</v>
      </c>
      <c r="I51" s="12"/>
      <c r="J51" s="12" t="s">
        <v>130</v>
      </c>
      <c r="K51" s="12" t="s">
        <v>131</v>
      </c>
      <c r="L51" s="12" t="s">
        <v>127</v>
      </c>
    </row>
    <row r="52" spans="4:12" x14ac:dyDescent="0.25">
      <c r="D52" s="1" t="s">
        <v>176</v>
      </c>
      <c r="E52" s="1" t="s">
        <v>133</v>
      </c>
      <c r="F52" s="1">
        <f t="shared" ref="F52:G56" si="0">F44</f>
        <v>5</v>
      </c>
      <c r="G52" s="1">
        <f t="shared" si="0"/>
        <v>5</v>
      </c>
      <c r="H52" s="1">
        <f>X_Cell_Enteprise_PercentIncomeFromLiveweight</f>
        <v>0.8</v>
      </c>
      <c r="J52" s="1" t="e">
        <f>(Result_EmissionsForWholeProductionCycle_Method1/F52)*H52</f>
        <v>#NAME?</v>
      </c>
      <c r="K52" s="1" t="e">
        <f>(Result_EmissionsForWholeProductionCycle_Method2/G52)*H52</f>
        <v>#NAME?</v>
      </c>
      <c r="L52" s="10" t="s">
        <v>128</v>
      </c>
    </row>
    <row r="53" spans="4:12" x14ac:dyDescent="0.25">
      <c r="D53" s="1" t="s">
        <v>177</v>
      </c>
      <c r="E53" s="1" t="s">
        <v>133</v>
      </c>
      <c r="F53" s="1">
        <f t="shared" si="0"/>
        <v>5</v>
      </c>
      <c r="G53" s="1">
        <f t="shared" si="0"/>
        <v>5</v>
      </c>
      <c r="H53" s="1">
        <f>H52</f>
        <v>0.8</v>
      </c>
      <c r="J53" s="1" t="e">
        <f>(Result_NetEmissions_Method1/F53)*H53</f>
        <v>#NAME?</v>
      </c>
      <c r="K53" s="1" t="e">
        <f>(Result_NetEmissions_Method2/G53)*H53</f>
        <v>#NAME?</v>
      </c>
      <c r="L53" s="10" t="s">
        <v>128</v>
      </c>
    </row>
    <row r="54" spans="4:12" x14ac:dyDescent="0.25">
      <c r="D54" s="1" t="s">
        <v>178</v>
      </c>
      <c r="E54" s="1" t="s">
        <v>134</v>
      </c>
      <c r="F54" s="1" t="e">
        <f t="shared" si="0"/>
        <v>#VALUE!</v>
      </c>
      <c r="G54" s="1" t="e">
        <f t="shared" si="0"/>
        <v>#VALUE!</v>
      </c>
      <c r="H54" s="1">
        <f>X_Cell_Enteprise_PercentIncomeFromManure</f>
        <v>0.2</v>
      </c>
      <c r="J54" s="1" t="e">
        <f>(Result_EmissionsForWholeProductionCycle_Method1/F54)*H54</f>
        <v>#NAME?</v>
      </c>
      <c r="K54" s="1" t="e">
        <f>(Result_EmissionsForWholeProductionCycle_Method2/G54)*H54</f>
        <v>#NAME?</v>
      </c>
      <c r="L54" s="10" t="s">
        <v>129</v>
      </c>
    </row>
    <row r="55" spans="4:12" x14ac:dyDescent="0.25">
      <c r="D55" s="1" t="s">
        <v>179</v>
      </c>
      <c r="E55" s="1" t="s">
        <v>134</v>
      </c>
      <c r="F55" s="1" t="e">
        <f t="shared" si="0"/>
        <v>#VALUE!</v>
      </c>
      <c r="G55" s="1" t="e">
        <f t="shared" si="0"/>
        <v>#VALUE!</v>
      </c>
      <c r="H55" s="1">
        <f>H54</f>
        <v>0.2</v>
      </c>
      <c r="J55" s="1" t="e">
        <f>(Result_NetEmissions_Method1/F55)*H55</f>
        <v>#NAME?</v>
      </c>
      <c r="K55" s="1" t="e">
        <f>(Result_NetEmissions_Method2/G55)*H55</f>
        <v>#NAME?</v>
      </c>
      <c r="L55" s="10" t="s">
        <v>129</v>
      </c>
    </row>
    <row r="56" spans="4:12" x14ac:dyDescent="0.25">
      <c r="D56" s="1" t="s">
        <v>135</v>
      </c>
      <c r="E56" s="1" t="s">
        <v>137</v>
      </c>
      <c r="F56" s="1" t="e">
        <f t="shared" si="0"/>
        <v>#VALUE!</v>
      </c>
      <c r="G56" s="1" t="e">
        <f t="shared" si="0"/>
        <v>#VALUE!</v>
      </c>
      <c r="H56" s="1" t="s">
        <v>136</v>
      </c>
      <c r="J56" s="1" t="s">
        <v>136</v>
      </c>
      <c r="K56" s="1" t="s">
        <v>136</v>
      </c>
      <c r="L56" s="10"/>
    </row>
    <row r="58" spans="4:12" ht="18.75" x14ac:dyDescent="0.25">
      <c r="D58" s="80" t="s">
        <v>175</v>
      </c>
    </row>
    <row r="59" spans="4:12" x14ac:dyDescent="0.25">
      <c r="D59" s="12" t="s">
        <v>145</v>
      </c>
      <c r="E59" s="12" t="s">
        <v>132</v>
      </c>
      <c r="F59" s="12" t="s">
        <v>349</v>
      </c>
      <c r="G59" s="12" t="s">
        <v>350</v>
      </c>
      <c r="H59" s="12"/>
      <c r="I59" s="12"/>
      <c r="J59" s="12" t="s">
        <v>130</v>
      </c>
      <c r="K59" s="12" t="s">
        <v>131</v>
      </c>
      <c r="L59" s="12" t="s">
        <v>127</v>
      </c>
    </row>
    <row r="60" spans="4:12" x14ac:dyDescent="0.25">
      <c r="D60" s="1" t="s">
        <v>144</v>
      </c>
      <c r="E60" s="1" t="s">
        <v>136</v>
      </c>
      <c r="F60" s="1" t="str">
        <f>X_Cell_Enteprise_LiveweightGrown_Method1</f>
        <v>=SUM(Enterprise_PastureBeef_InputFunctions.multiplyCorrespondingCells('Input - Pasture Beef'!X_Table_PastureBeef_Head_Method1, 'Input - Pasture Beef'!X_Table_PastureBeef_Duration_Method1, 'Input - Pasture Beef'!X_Table_PastureBeef_LiveweightGain_Method1))*10^-3</v>
      </c>
      <c r="G60" s="1" t="str">
        <f>X_Cell_Enteprise_LiveweightGrown_Method2</f>
        <v>=SUM(Enterprise_PastureBeef_InputFunctions.multiplyCorrespondingCells('Input - Pasture Beef'!X_Table_PastureBeef_Head_Method2, 'Input - Pasture Beef'!X_Table_PastureBeef_Duration_Method2, 'Input - Pasture Beef'!X_Table_PastureBeef_LiveweightGain_Method2))*10^-3</v>
      </c>
      <c r="J60" s="1" t="e">
        <f>Result_NetEmissions_Method1/F60</f>
        <v>#NAME?</v>
      </c>
      <c r="K60" s="1" t="e">
        <f>Result_NetEmissions_Method1/G60</f>
        <v>#NAME?</v>
      </c>
      <c r="L60" s="10" t="s">
        <v>146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96</v>
      </c>
    </row>
    <row r="2" spans="1:24" s="23" customFormat="1" ht="20.100000000000001" customHeight="1" x14ac:dyDescent="0.25">
      <c r="A2" s="3"/>
      <c r="C2" s="3"/>
      <c r="D2" s="3"/>
      <c r="E2" s="3"/>
      <c r="F2" s="3"/>
      <c r="G2" s="3"/>
      <c r="H2" s="3"/>
      <c r="I2" s="3"/>
      <c r="J2" s="3"/>
    </row>
    <row r="3" spans="1:24" ht="20.100000000000001" customHeight="1" x14ac:dyDescent="0.25">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100000000000001" customHeight="1" x14ac:dyDescent="0.25">
      <c r="A4" s="5" t="str">
        <f>HYPERLINK("#'Results'!A1", "Results")</f>
        <v>Results</v>
      </c>
      <c r="C4" s="31"/>
      <c r="D4" s="31"/>
      <c r="E4" s="31"/>
      <c r="F4" s="31"/>
      <c r="G4" s="31"/>
      <c r="H4" s="31"/>
      <c r="I4" s="31"/>
      <c r="J4" s="31"/>
      <c r="K4" s="31"/>
    </row>
    <row r="5" spans="1:24" ht="20.100000000000001" customHeight="1" x14ac:dyDescent="0.25">
      <c r="D5" s="2" t="s">
        <v>105</v>
      </c>
      <c r="N5" s="32"/>
    </row>
    <row r="6" spans="1:24" ht="20.100000000000001" customHeight="1" x14ac:dyDescent="0.25">
      <c r="A6" s="8" t="s">
        <v>1</v>
      </c>
      <c r="N6" s="34"/>
    </row>
    <row r="7" spans="1:24" ht="20.100000000000001" customHeight="1" x14ac:dyDescent="0.25">
      <c r="A7" s="5" t="str">
        <f>HYPERLINK("#'Input - Site'!A1", "Site")</f>
        <v>Site</v>
      </c>
      <c r="D7" s="44" t="s">
        <v>106</v>
      </c>
      <c r="E7" s="45"/>
      <c r="F7" s="45"/>
      <c r="G7" s="46"/>
    </row>
    <row r="8" spans="1:24" ht="20.100000000000001" customHeight="1" x14ac:dyDescent="0.25">
      <c r="A8" s="5" t="str">
        <f>HYPERLINK("#'Input - Pasture Beef'!A1", "Pasture Beef")</f>
        <v>Pasture Beef</v>
      </c>
      <c r="D8" s="47" t="s">
        <v>107</v>
      </c>
      <c r="E8" s="48"/>
      <c r="F8" s="48"/>
      <c r="G8" s="49"/>
    </row>
    <row r="9" spans="1:24" ht="20.100000000000001" customHeight="1" x14ac:dyDescent="0.25">
      <c r="A9" s="5"/>
      <c r="D9" s="1"/>
      <c r="E9" s="50"/>
      <c r="F9" s="17"/>
      <c r="N9" s="36"/>
    </row>
    <row r="10" spans="1:24" ht="20.100000000000001" customHeight="1" x14ac:dyDescent="0.25">
      <c r="A10" s="7" t="s">
        <v>3</v>
      </c>
      <c r="D10" s="1" t="s">
        <v>108</v>
      </c>
      <c r="E10" s="14" t="s">
        <v>109</v>
      </c>
      <c r="F10" s="17" t="s">
        <v>110</v>
      </c>
      <c r="N10" s="36"/>
    </row>
    <row r="11" spans="1:24" ht="20.100000000000001" customHeight="1" x14ac:dyDescent="0.25">
      <c r="A11" s="5" t="str">
        <f>HYPERLINK("#'4.2.1.1-2 Methane'!A1", "4.2.1.1-2 Methane")</f>
        <v>4.2.1.1-2 Methane</v>
      </c>
      <c r="D11" s="1" t="s">
        <v>111</v>
      </c>
      <c r="E11" s="14" t="s">
        <v>112</v>
      </c>
      <c r="F11" s="17" t="s">
        <v>110</v>
      </c>
      <c r="G11" s="1"/>
      <c r="N11" s="41"/>
    </row>
    <row r="12" spans="1:24" ht="20.100000000000001" customHeight="1" x14ac:dyDescent="0.25">
      <c r="A12" s="5" t="str">
        <f>HYPERLINK("#'4.2.1.3-4 Soil direct N2O'!A1", "4.2.1.3-4 Soil direct N2O")</f>
        <v>4.2.1.3-4 Soil direct N2O</v>
      </c>
      <c r="D12" s="1" t="s">
        <v>113</v>
      </c>
      <c r="E12" s="14" t="s">
        <v>114</v>
      </c>
      <c r="F12" s="17" t="s">
        <v>110</v>
      </c>
    </row>
    <row r="13" spans="1:24" ht="20.100000000000001" customHeight="1" x14ac:dyDescent="0.25">
      <c r="A13" s="5" t="str">
        <f>HYPERLINK("#'4.2.1.5-6 Soil Atmos Dep'!A1", "4.2.1.5-6 Soil atm. deposition")</f>
        <v>4.2.1.5-6 Soil atm. deposition</v>
      </c>
      <c r="D13" s="1" t="s">
        <v>46</v>
      </c>
      <c r="E13" s="35">
        <v>307.7</v>
      </c>
      <c r="F13" s="17" t="s">
        <v>115</v>
      </c>
      <c r="N13" s="43"/>
      <c r="O13" s="43"/>
    </row>
    <row r="14" spans="1:24" ht="20.100000000000001" customHeight="1" x14ac:dyDescent="0.25">
      <c r="A14" s="5" t="str">
        <f>HYPERLINK("#'4.2.1.7-8 Soil leach runoff'!A1", "4.2.1.7-8 Soil leach &amp; runoff")</f>
        <v>4.2.1.7-8 Soil leach &amp; runoff</v>
      </c>
      <c r="D14" s="1" t="s">
        <v>116</v>
      </c>
      <c r="E14" s="35">
        <v>18</v>
      </c>
      <c r="F14" s="17" t="s">
        <v>117</v>
      </c>
      <c r="N14" s="43"/>
      <c r="O14" s="43"/>
    </row>
    <row r="15" spans="1:24" ht="20.100000000000001" customHeight="1" x14ac:dyDescent="0.25">
      <c r="A15" s="5"/>
      <c r="D15" s="1" t="s">
        <v>118</v>
      </c>
      <c r="E15" s="35">
        <v>601</v>
      </c>
      <c r="F15" s="17" t="s">
        <v>119</v>
      </c>
      <c r="N15" s="43"/>
      <c r="O15" s="43"/>
    </row>
    <row r="16" spans="1:24" ht="20.100000000000001" customHeight="1" x14ac:dyDescent="0.25">
      <c r="A16" s="6" t="s">
        <v>2</v>
      </c>
      <c r="D16" s="13" t="s">
        <v>120</v>
      </c>
      <c r="E16" s="35">
        <v>1326</v>
      </c>
      <c r="F16" s="17" t="s">
        <v>119</v>
      </c>
      <c r="N16" s="43"/>
      <c r="O16" s="43"/>
    </row>
    <row r="17" spans="1:25" ht="20.100000000000001" customHeight="1" x14ac:dyDescent="0.25">
      <c r="A17" s="5" t="str">
        <f>HYPERLINK("#'Constants - Pasture Beef'!A1", "Constants - Pasture Beef")</f>
        <v>Constants - Pasture Beef</v>
      </c>
      <c r="D17" s="1" t="s">
        <v>121</v>
      </c>
      <c r="E17" s="35">
        <v>7</v>
      </c>
      <c r="F17" s="17" t="s">
        <v>122</v>
      </c>
    </row>
    <row r="18" spans="1:25" ht="20.100000000000001" customHeight="1" x14ac:dyDescent="0.25">
      <c r="A18" s="5" t="str">
        <f>HYPERLINK("#'Constants - Livestock'!A1", "Constants - Livestock")</f>
        <v>Constants - Livestock</v>
      </c>
      <c r="D18" s="13" t="s">
        <v>123</v>
      </c>
      <c r="E18" s="16">
        <f>E15/E16</f>
        <v>0.45324283559577677</v>
      </c>
      <c r="F18" s="17"/>
    </row>
    <row r="19" spans="1:25" ht="20.100000000000001" customHeight="1" x14ac:dyDescent="0.25">
      <c r="A19" s="5" t="str">
        <f>HYPERLINK("#'Constants - Common'!A1", "Constants - Common")</f>
        <v>Constants - Common</v>
      </c>
      <c r="D19" s="13" t="s">
        <v>74</v>
      </c>
      <c r="E19" s="16" t="str">
        <f>Common_InputFunctions.Utility_LookupItemFromMinMax(E15,Table_SourceData_RainfallZones[Min rainfall],Table_SourceData_RainfallZones[Max rainfall],Table_SourceData_RainfallZones[Rainfall Zone])</f>
        <v>High rainfall</v>
      </c>
      <c r="G19" s="51"/>
      <c r="N19" s="32"/>
    </row>
    <row r="20" spans="1:25" ht="20.100000000000001" customHeight="1" x14ac:dyDescent="0.25">
      <c r="A20" s="5" t="str">
        <f>HYPERLINK("#'Acknowledgements'!A1", "Acknowledgements")</f>
        <v>Acknowledgements</v>
      </c>
      <c r="D20" s="1" t="s">
        <v>41</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100000000000001" customHeight="1" x14ac:dyDescent="0.25">
      <c r="A21"/>
      <c r="D21" s="1" t="s">
        <v>124</v>
      </c>
      <c r="E21" s="16" t="str">
        <f>Common_InputFunctions.Utility_LookupValueInTable($E$20,Table_SourceData_WetDryZones[Climate zone],Table_SourceData_WetDryZones[Wet or Dry Zone])</f>
        <v>Dry climate zone</v>
      </c>
      <c r="F21" s="1"/>
      <c r="G21" s="50"/>
    </row>
    <row r="22" spans="1:25" ht="20.100000000000001" customHeight="1" x14ac:dyDescent="0.25">
      <c r="A22" s="5"/>
      <c r="D22" s="1" t="s">
        <v>78</v>
      </c>
      <c r="E22" s="16" t="str">
        <f>Common_InputFunctions.Utility_LookupItemFromMinMax(E14,Table_SourceData_TemperatureZones[Min MAT],Table_SourceData_TemperatureZones[Max MAT],Table_SourceData_TemperatureZones[Temperature Zone])</f>
        <v>Temperate</v>
      </c>
      <c r="G22" s="54"/>
    </row>
    <row r="23" spans="1:25" ht="20.100000000000001" customHeight="1" x14ac:dyDescent="0.25">
      <c r="A23" s="5"/>
    </row>
    <row r="24" spans="1:25" ht="20.100000000000001" customHeight="1" x14ac:dyDescent="0.25">
      <c r="A24" s="5"/>
    </row>
    <row r="25" spans="1:25" ht="20.100000000000001" customHeight="1" x14ac:dyDescent="0.25">
      <c r="A25"/>
      <c r="N25" s="3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2"/>
      <c r="M30" s="52"/>
      <c r="N30" s="52"/>
      <c r="O30" s="52"/>
      <c r="P30" s="52"/>
      <c r="Q30" s="52"/>
      <c r="R30" s="52"/>
      <c r="S30" s="52"/>
      <c r="T30" s="52"/>
      <c r="U30" s="52"/>
      <c r="V30" s="52"/>
      <c r="W30" s="52"/>
      <c r="X30" s="52"/>
      <c r="Y30" s="52"/>
    </row>
    <row r="31" spans="1:25" ht="20.100000000000001" customHeight="1" x14ac:dyDescent="0.25">
      <c r="A31"/>
      <c r="L31" s="53"/>
      <c r="M31" s="53"/>
      <c r="N31" s="53"/>
      <c r="O31" s="53"/>
      <c r="P31" s="53"/>
      <c r="Q31" s="53"/>
      <c r="R31" s="53"/>
      <c r="S31" s="53"/>
      <c r="T31" s="53"/>
      <c r="U31" s="53"/>
      <c r="V31" s="53"/>
      <c r="W31" s="53"/>
      <c r="X31" s="53"/>
      <c r="Y31" s="53"/>
    </row>
    <row r="32" spans="1:25" ht="20.100000000000001" customHeight="1" x14ac:dyDescent="0.25">
      <c r="A32"/>
      <c r="L32" s="53"/>
      <c r="M32" s="53"/>
      <c r="N32" s="53"/>
      <c r="O32" s="53"/>
      <c r="P32" s="53"/>
      <c r="Q32" s="53"/>
      <c r="R32" s="53"/>
      <c r="S32" s="53"/>
      <c r="T32" s="53"/>
      <c r="U32" s="53"/>
      <c r="V32" s="53"/>
      <c r="W32" s="53"/>
      <c r="X32" s="53"/>
      <c r="Y32" s="53"/>
    </row>
    <row r="33" spans="1:25" ht="20.100000000000001" customHeight="1" x14ac:dyDescent="0.25">
      <c r="A33"/>
      <c r="L33" s="53"/>
      <c r="M33" s="53"/>
      <c r="N33" s="53"/>
      <c r="O33" s="53"/>
      <c r="P33" s="53"/>
      <c r="Q33" s="53"/>
      <c r="R33" s="53"/>
      <c r="S33" s="53"/>
      <c r="T33" s="53"/>
      <c r="U33" s="53"/>
      <c r="V33" s="53"/>
      <c r="W33" s="53"/>
      <c r="X33" s="53"/>
      <c r="Y33" s="53"/>
    </row>
    <row r="34" spans="1:25" ht="20.100000000000001" customHeight="1" x14ac:dyDescent="0.25">
      <c r="A34"/>
      <c r="J34" s="55"/>
      <c r="K34" s="56"/>
      <c r="L34" s="53"/>
      <c r="M34" s="53"/>
      <c r="N34" s="53"/>
      <c r="O34" s="53"/>
      <c r="P34" s="53"/>
      <c r="Q34" s="53"/>
      <c r="R34" s="53"/>
      <c r="S34" s="53"/>
      <c r="T34" s="53"/>
      <c r="U34" s="53"/>
      <c r="V34" s="53"/>
      <c r="W34" s="53"/>
      <c r="X34" s="53"/>
      <c r="Y34" s="53"/>
    </row>
    <row r="35" spans="1:25" ht="20.100000000000001" customHeight="1" x14ac:dyDescent="0.25">
      <c r="A35"/>
      <c r="J35" s="55"/>
      <c r="K35" s="56"/>
      <c r="L35" s="53"/>
      <c r="M35" s="53"/>
      <c r="N35" s="53"/>
      <c r="O35" s="53"/>
      <c r="P35" s="53"/>
      <c r="Q35" s="53"/>
      <c r="R35" s="53"/>
      <c r="S35" s="53"/>
      <c r="T35" s="53"/>
      <c r="U35" s="53"/>
      <c r="V35" s="53"/>
      <c r="W35" s="53"/>
      <c r="X35" s="53"/>
      <c r="Y35" s="53"/>
    </row>
    <row r="36" spans="1:25" ht="20.100000000000001" customHeight="1" x14ac:dyDescent="0.25">
      <c r="A36"/>
      <c r="D36" s="57"/>
      <c r="E36" s="57"/>
      <c r="F36" s="58"/>
      <c r="G36" s="55"/>
      <c r="H36" s="55"/>
      <c r="I36" s="59"/>
      <c r="J36" s="55"/>
      <c r="K36" s="56"/>
      <c r="L36" s="53"/>
      <c r="M36" s="53"/>
      <c r="N36" s="53"/>
      <c r="O36" s="53"/>
      <c r="P36" s="53"/>
      <c r="Q36" s="53"/>
      <c r="R36" s="53"/>
      <c r="S36" s="53"/>
      <c r="T36" s="53"/>
      <c r="U36" s="53"/>
      <c r="V36" s="53"/>
      <c r="W36" s="53"/>
      <c r="X36" s="53"/>
      <c r="Y36" s="53"/>
    </row>
    <row r="37" spans="1:25" ht="20.100000000000001" customHeight="1" x14ac:dyDescent="0.25">
      <c r="A37"/>
      <c r="D37" s="57"/>
      <c r="E37" s="57"/>
      <c r="F37" s="58"/>
      <c r="G37" s="55"/>
      <c r="H37" s="55"/>
      <c r="I37" s="59"/>
      <c r="J37" s="55"/>
      <c r="K37" s="56"/>
      <c r="L37" s="53"/>
      <c r="M37" s="53"/>
      <c r="N37" s="53"/>
      <c r="O37" s="53"/>
      <c r="P37" s="53"/>
      <c r="Q37" s="53"/>
      <c r="R37" s="53"/>
      <c r="S37" s="53"/>
      <c r="T37" s="53"/>
      <c r="U37" s="53"/>
      <c r="V37" s="53"/>
      <c r="W37" s="53"/>
      <c r="X37" s="53"/>
      <c r="Y37" s="53"/>
    </row>
    <row r="38" spans="1:25" ht="20.100000000000001" customHeight="1" x14ac:dyDescent="0.25">
      <c r="A38"/>
      <c r="D38" s="57"/>
      <c r="E38" s="57"/>
      <c r="F38" s="58"/>
      <c r="G38" s="55"/>
      <c r="H38" s="55"/>
      <c r="I38" s="59"/>
      <c r="J38" s="55"/>
      <c r="K38" s="56"/>
      <c r="L38" s="53"/>
      <c r="M38" s="53"/>
      <c r="N38" s="53"/>
      <c r="O38" s="53"/>
      <c r="P38" s="53"/>
      <c r="Q38" s="53"/>
      <c r="R38" s="53"/>
      <c r="S38" s="53"/>
      <c r="T38" s="53"/>
      <c r="U38" s="53"/>
      <c r="V38" s="53"/>
      <c r="W38" s="53"/>
      <c r="X38" s="53"/>
      <c r="Y38" s="53"/>
    </row>
    <row r="39" spans="1:25" ht="20.100000000000001" customHeight="1" x14ac:dyDescent="0.25">
      <c r="A39"/>
      <c r="D39" s="57"/>
      <c r="E39" s="57"/>
      <c r="F39" s="58"/>
      <c r="G39" s="55"/>
      <c r="H39" s="55"/>
      <c r="I39" s="59"/>
      <c r="J39" s="55"/>
      <c r="K39" s="56"/>
      <c r="L39" s="53"/>
      <c r="M39" s="53"/>
      <c r="N39" s="53"/>
      <c r="O39" s="53"/>
      <c r="P39" s="53"/>
      <c r="Q39" s="53"/>
      <c r="R39" s="53"/>
      <c r="S39" s="53"/>
      <c r="T39" s="53"/>
      <c r="U39" s="53"/>
      <c r="V39" s="53"/>
      <c r="W39" s="53"/>
      <c r="X39" s="53"/>
      <c r="Y39" s="53"/>
    </row>
    <row r="40" spans="1:25" ht="20.100000000000001" customHeight="1" x14ac:dyDescent="0.25">
      <c r="A40"/>
      <c r="D40" s="60"/>
      <c r="E40" s="60"/>
      <c r="F40" s="60"/>
      <c r="G40" s="61"/>
      <c r="H40" s="62"/>
      <c r="I40" s="62"/>
      <c r="J40" s="62"/>
      <c r="K40" s="62"/>
      <c r="L40" s="63"/>
      <c r="M40" s="63"/>
      <c r="N40" s="63"/>
      <c r="O40" s="63"/>
      <c r="P40" s="63"/>
      <c r="Q40" s="63"/>
      <c r="R40" s="63"/>
      <c r="S40" s="63"/>
      <c r="T40" s="63"/>
      <c r="U40" s="63"/>
      <c r="V40" s="63"/>
      <c r="W40" s="63"/>
      <c r="X40" s="63"/>
      <c r="Y40" s="6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4"/>
      <c r="E47" s="64"/>
      <c r="F47" s="64"/>
      <c r="G47" s="64"/>
      <c r="H47" s="64"/>
    </row>
    <row r="48" spans="1:25" ht="20.100000000000001" customHeight="1" x14ac:dyDescent="0.25">
      <c r="D48" s="65"/>
      <c r="E48" s="65"/>
      <c r="F48" s="66"/>
      <c r="G48" s="66"/>
      <c r="H48" s="65"/>
    </row>
    <row r="49" spans="4:8" ht="20.100000000000001" customHeight="1" x14ac:dyDescent="0.25">
      <c r="D49" s="65"/>
      <c r="E49" s="65"/>
      <c r="F49" s="66"/>
      <c r="G49" s="66"/>
      <c r="H49" s="65"/>
    </row>
    <row r="50" spans="4:8" ht="20.100000000000001" customHeight="1" x14ac:dyDescent="0.25">
      <c r="D50" s="65"/>
      <c r="E50" s="65"/>
      <c r="F50" s="66"/>
      <c r="G50" s="66"/>
      <c r="H50" s="65"/>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2"/>
    </row>
    <row r="56" spans="4:8" ht="20.100000000000001" customHeight="1" x14ac:dyDescent="0.25"/>
    <row r="57" spans="4:8" ht="20.100000000000001" customHeight="1" x14ac:dyDescent="0.25">
      <c r="D57" s="7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7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75"/>
      <c r="E69" s="75"/>
      <c r="F69" s="75"/>
      <c r="G69" s="75"/>
      <c r="H69" s="75"/>
      <c r="I69" s="75"/>
    </row>
    <row r="70" spans="4:9" ht="20.100000000000001" customHeight="1" x14ac:dyDescent="0.25">
      <c r="D70" s="75"/>
      <c r="E70" s="75"/>
      <c r="F70" s="75"/>
      <c r="G70" s="75"/>
      <c r="H70" s="75"/>
      <c r="I70" s="75"/>
    </row>
    <row r="71" spans="4:9" ht="20.100000000000001" customHeight="1" x14ac:dyDescent="0.25">
      <c r="D71" s="75"/>
      <c r="E71" s="75"/>
      <c r="F71" s="75"/>
      <c r="G71" s="75"/>
      <c r="H71" s="75"/>
      <c r="I71" s="75"/>
    </row>
    <row r="72" spans="4:9" ht="20.100000000000001" customHeight="1" x14ac:dyDescent="0.25">
      <c r="D72" s="75"/>
      <c r="E72" s="75"/>
      <c r="F72" s="75"/>
      <c r="G72" s="75"/>
      <c r="H72" s="75"/>
      <c r="I72" s="7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6"/>
    </row>
    <row r="79" spans="4:9" ht="20.100000000000001" customHeight="1" x14ac:dyDescent="0.25">
      <c r="D79" s="76"/>
    </row>
    <row r="80" spans="4:9" ht="20.100000000000001" customHeight="1" x14ac:dyDescent="0.25">
      <c r="D80" s="76"/>
    </row>
    <row r="81" spans="4:4" ht="20.100000000000001" customHeight="1" x14ac:dyDescent="0.25">
      <c r="D81" s="76"/>
    </row>
    <row r="82" spans="4:4" ht="20.100000000000001" customHeight="1" x14ac:dyDescent="0.25">
      <c r="D82" s="7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73"/>
  <sheetViews>
    <sheetView showGridLines="0" topLeftCell="A40" zoomScaleNormal="100" workbookViewId="0">
      <selection activeCell="D43" sqref="D4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3:10" ht="25.5" x14ac:dyDescent="0.35">
      <c r="C1" s="29" t="s">
        <v>162</v>
      </c>
      <c r="D1" s="23"/>
      <c r="E1" s="23"/>
      <c r="F1" s="23"/>
      <c r="G1" s="23"/>
      <c r="H1" s="23"/>
      <c r="I1" s="23"/>
      <c r="J1" s="23"/>
    </row>
    <row r="2" spans="3:10" x14ac:dyDescent="0.25">
      <c r="C2" s="3"/>
      <c r="D2" s="3"/>
      <c r="E2" s="3"/>
      <c r="F2" s="3"/>
      <c r="G2" s="3"/>
      <c r="H2" s="3"/>
      <c r="I2" s="3"/>
      <c r="J2" s="3"/>
    </row>
    <row r="3" spans="3:10" ht="20.25" x14ac:dyDescent="0.25">
      <c r="C3" s="30"/>
      <c r="D3" s="30"/>
      <c r="E3" s="30"/>
      <c r="F3" s="30"/>
      <c r="G3" s="30"/>
      <c r="H3" s="30"/>
      <c r="I3" s="30"/>
      <c r="J3" s="30"/>
    </row>
    <row r="5" spans="3:10" ht="23.25" x14ac:dyDescent="0.25">
      <c r="D5" s="2" t="s">
        <v>97</v>
      </c>
      <c r="E5" s="26"/>
      <c r="F5" s="26"/>
      <c r="G5" s="26"/>
    </row>
    <row r="6" spans="3:10" x14ac:dyDescent="0.25">
      <c r="D6" s="33"/>
      <c r="E6" s="26"/>
      <c r="F6" s="26"/>
      <c r="G6" s="26"/>
    </row>
    <row r="7" spans="3:10" x14ac:dyDescent="0.25">
      <c r="D7" s="1" t="s">
        <v>98</v>
      </c>
      <c r="E7" s="35" t="s">
        <v>99</v>
      </c>
      <c r="F7" s="17"/>
      <c r="G7" s="26"/>
    </row>
    <row r="8" spans="3:10" x14ac:dyDescent="0.25">
      <c r="D8" s="13" t="s">
        <v>100</v>
      </c>
      <c r="E8" s="35" t="s">
        <v>101</v>
      </c>
      <c r="F8" s="26"/>
      <c r="G8" s="26"/>
    </row>
    <row r="9" spans="3:10" x14ac:dyDescent="0.25">
      <c r="D9" s="26"/>
      <c r="E9" s="26"/>
      <c r="F9" s="26"/>
      <c r="G9" s="26"/>
    </row>
    <row r="10" spans="3:10" x14ac:dyDescent="0.25">
      <c r="D10" s="37" t="s">
        <v>102</v>
      </c>
      <c r="E10" s="38"/>
      <c r="F10" s="39"/>
      <c r="G10" s="40"/>
    </row>
    <row r="11" spans="3:10" x14ac:dyDescent="0.25">
      <c r="D11" s="26"/>
      <c r="E11" s="26"/>
      <c r="F11" s="26"/>
      <c r="G11" s="26"/>
    </row>
    <row r="12" spans="3:10" x14ac:dyDescent="0.25">
      <c r="D12" s="13" t="s">
        <v>20</v>
      </c>
      <c r="E12" s="15">
        <v>45292</v>
      </c>
      <c r="F12" s="17" t="s">
        <v>103</v>
      </c>
      <c r="G12" s="26"/>
    </row>
    <row r="13" spans="3:10" x14ac:dyDescent="0.25">
      <c r="D13" s="13" t="s">
        <v>21</v>
      </c>
      <c r="E13" s="42">
        <f>DATE(YEAR(E12)+1,MONTH(E12),DAY(E12))-1</f>
        <v>45657</v>
      </c>
      <c r="F13" s="17" t="s">
        <v>104</v>
      </c>
      <c r="G13" s="26"/>
    </row>
    <row r="14" spans="3:10" x14ac:dyDescent="0.25">
      <c r="F14" s="26"/>
      <c r="G14" s="26"/>
    </row>
    <row r="16" spans="3:10" ht="23.25" x14ac:dyDescent="0.25">
      <c r="D16" s="2" t="s">
        <v>22</v>
      </c>
    </row>
    <row r="18" spans="4:7" x14ac:dyDescent="0.25">
      <c r="D18" s="1" t="s">
        <v>17</v>
      </c>
      <c r="E18" s="15">
        <v>45231</v>
      </c>
      <c r="F18" s="17" t="s">
        <v>103</v>
      </c>
    </row>
    <row r="19" spans="4:7" x14ac:dyDescent="0.25">
      <c r="D19" s="1" t="s">
        <v>18</v>
      </c>
      <c r="E19" s="15">
        <v>45747</v>
      </c>
      <c r="F19" s="17" t="s">
        <v>103</v>
      </c>
    </row>
    <row r="20" spans="4:7" x14ac:dyDescent="0.25">
      <c r="D20" s="1" t="s">
        <v>19</v>
      </c>
      <c r="E20" s="16">
        <f>DATEDIF(E18,E19+1,"m")</f>
        <v>17</v>
      </c>
      <c r="F20" s="17" t="s">
        <v>126</v>
      </c>
    </row>
    <row r="22" spans="4:7" x14ac:dyDescent="0.25">
      <c r="D22" s="1" t="s">
        <v>23</v>
      </c>
      <c r="E22" s="79">
        <f>SUM(Table_Input_LivestockSales[Total liveweight sold])*10^-3</f>
        <v>5</v>
      </c>
      <c r="G22" s="17" t="s">
        <v>29</v>
      </c>
    </row>
    <row r="23" spans="4:7" x14ac:dyDescent="0.25">
      <c r="D23" s="1" t="s">
        <v>24</v>
      </c>
      <c r="E23" s="79" t="s">
        <v>168</v>
      </c>
      <c r="G23" s="17" t="s">
        <v>29</v>
      </c>
    </row>
    <row r="24" spans="4:7" x14ac:dyDescent="0.25">
      <c r="D24" s="1" t="s">
        <v>25</v>
      </c>
      <c r="E24" s="79" t="s">
        <v>169</v>
      </c>
      <c r="G24" s="17" t="s">
        <v>29</v>
      </c>
    </row>
    <row r="25" spans="4:7" x14ac:dyDescent="0.25">
      <c r="D25" s="1" t="s">
        <v>164</v>
      </c>
      <c r="E25" s="79" t="s">
        <v>171</v>
      </c>
      <c r="G25" s="17" t="s">
        <v>29</v>
      </c>
    </row>
    <row r="26" spans="4:7" x14ac:dyDescent="0.25">
      <c r="D26" s="1" t="s">
        <v>165</v>
      </c>
      <c r="E26" s="79" t="s">
        <v>170</v>
      </c>
      <c r="G26" s="17" t="s">
        <v>29</v>
      </c>
    </row>
    <row r="27" spans="4:7" x14ac:dyDescent="0.25">
      <c r="D27" s="1" t="s">
        <v>26</v>
      </c>
      <c r="E27" s="19">
        <v>0.1</v>
      </c>
      <c r="G27" s="17" t="s">
        <v>163</v>
      </c>
    </row>
    <row r="28" spans="4:7" x14ac:dyDescent="0.25">
      <c r="D28" s="1" t="s">
        <v>27</v>
      </c>
      <c r="E28" s="19">
        <v>0.2</v>
      </c>
      <c r="G28" s="17" t="s">
        <v>163</v>
      </c>
    </row>
    <row r="29" spans="4:7" x14ac:dyDescent="0.25">
      <c r="D29" s="1" t="s">
        <v>28</v>
      </c>
      <c r="E29" s="20">
        <f>100%-E27-E28</f>
        <v>0.7</v>
      </c>
      <c r="G29" s="17" t="s">
        <v>163</v>
      </c>
    </row>
    <row r="31" spans="4:7" x14ac:dyDescent="0.25">
      <c r="D31" s="1" t="s">
        <v>166</v>
      </c>
      <c r="E31" s="19">
        <v>0.8</v>
      </c>
      <c r="G31" s="17" t="s">
        <v>163</v>
      </c>
    </row>
    <row r="32" spans="4:7" x14ac:dyDescent="0.25">
      <c r="D32" s="1" t="s">
        <v>167</v>
      </c>
      <c r="E32" s="19">
        <v>0.2</v>
      </c>
      <c r="G32" s="17" t="s">
        <v>163</v>
      </c>
    </row>
    <row r="37" spans="4:7" ht="23.25" x14ac:dyDescent="0.25">
      <c r="D37" s="2" t="s">
        <v>320</v>
      </c>
    </row>
    <row r="40" spans="4:7" ht="18.75" x14ac:dyDescent="0.25">
      <c r="D40" s="80" t="str">
        <f>"Carbon captured from " &amp; TEXT(X_Cell_Site_StartDate, "d mmmm yyyy") &amp; " to " &amp; TEXT(X_Cell_Site_EndDate, "d, mmmm, yyyy") &amp; " from environmental plantings"</f>
        <v>Carbon captured from 1 January 2024 to 31, December, 2024 from environmental plantings</v>
      </c>
    </row>
    <row r="42" spans="4:7" x14ac:dyDescent="0.25">
      <c r="D42" s="21" t="s">
        <v>315</v>
      </c>
      <c r="E42" s="21" t="s">
        <v>316</v>
      </c>
      <c r="F42" s="21" t="s">
        <v>317</v>
      </c>
      <c r="G42" s="83" t="s">
        <v>319</v>
      </c>
    </row>
    <row r="43" spans="4:7" x14ac:dyDescent="0.25">
      <c r="D43" s="35"/>
      <c r="E43" s="77"/>
      <c r="F43" s="19"/>
      <c r="G43" s="1">
        <f>Table_Input_Enterprise_PlantingRemovals[[#This Row],[Total removed CO2]]*Table_Input_Enterprise_PlantingRemovals[[#This Row],[Percent allocated to this enterprise]]</f>
        <v>0</v>
      </c>
    </row>
    <row r="47" spans="4:7" ht="23.25" x14ac:dyDescent="0.25">
      <c r="D47" s="2" t="s">
        <v>321</v>
      </c>
    </row>
    <row r="49" spans="4:7" ht="18.75" x14ac:dyDescent="0.25">
      <c r="D49"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1" spans="4:7" x14ac:dyDescent="0.25">
      <c r="D51" s="81"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4:7" x14ac:dyDescent="0.25">
      <c r="D52" s="1" t="s">
        <v>318</v>
      </c>
    </row>
    <row r="54" spans="4:7" x14ac:dyDescent="0.25">
      <c r="D54" s="83" t="s">
        <v>125</v>
      </c>
      <c r="E54" s="83" t="s">
        <v>10</v>
      </c>
      <c r="F54" s="83" t="s">
        <v>11</v>
      </c>
    </row>
    <row r="55" spans="4:7" x14ac:dyDescent="0.25">
      <c r="D55" s="1" t="str" cm="1">
        <f t="array" ref="D55:D57">Common_InputFunctions.getOverlappingReportingPeriods(X_Cell_Enterprise_ProductionTimeframeStart,X_Cell_Enterprise_ProductionTimeframeEnd,X_Cell_Site_StartDate)</f>
        <v>01 Jan 2023 to 31 Dec 2023</v>
      </c>
      <c r="E55" s="77" t="str">
        <f>IF(ISBLANK($D55), 0, IF(ISNUMBER(SEARCH("reporting", $D55)), Result_Enterprise_Scope1_Method1, "Enter value"))</f>
        <v>Enter value</v>
      </c>
      <c r="F55" s="77" t="str">
        <f>IF(ISBLANK($D55), 0, IF(ISNUMBER(SEARCH("reporting", $D55)), Result_Enterprise_Scope1_Method2, "Enter value"))</f>
        <v>Enter value</v>
      </c>
      <c r="G55" s="10" t="s">
        <v>7</v>
      </c>
    </row>
    <row r="56" spans="4:7" x14ac:dyDescent="0.25">
      <c r="D56" s="1" t="str">
        <v>01 Jan 2024 to 31 Dec 2024 (This reporting cycle)</v>
      </c>
      <c r="E56" s="77" t="e">
        <f>IF(ISBLANK($D56), 0, IF(ISNUMBER(SEARCH("reporting", $D56)), Result_Enterprise_Scope1_Method1, "Enter value"))</f>
        <v>#NAME?</v>
      </c>
      <c r="F56" s="77" t="e">
        <f>IF(ISBLANK($D56), 0, IF(ISNUMBER(SEARCH("reporting", $D56)), Result_Enterprise_Scope1_Method2, "Enter value"))</f>
        <v>#NAME?</v>
      </c>
      <c r="G56" s="10" t="s">
        <v>7</v>
      </c>
    </row>
    <row r="57" spans="4:7" x14ac:dyDescent="0.25">
      <c r="D57" s="1" t="str">
        <v>01 Jan 2025 to 31 Dec 2025</v>
      </c>
      <c r="E57" s="77" t="str">
        <f>IF(ISBLANK($D57), 0, IF(ISNUMBER(SEARCH("reporting", $D57)), Result_Enterprise_Scope1_Method1, "Enter value"))</f>
        <v>Enter value</v>
      </c>
      <c r="F57" s="77" t="str">
        <f>IF(ISBLANK($D57), 0, IF(ISNUMBER(SEARCH("reporting", $D57)), Result_Enterprise_Scope1_Method2, "Enter value"))</f>
        <v>Enter value</v>
      </c>
      <c r="G57" s="10" t="s">
        <v>7</v>
      </c>
    </row>
    <row r="58" spans="4:7" x14ac:dyDescent="0.25">
      <c r="E58" s="77">
        <f>IF(ISBLANK($D58), 0, IF(ISNUMBER(SEARCH("reporting", $D58)), Result_Enterprise_Scope1_Method1, "Enter value"))</f>
        <v>0</v>
      </c>
      <c r="F58" s="77">
        <f>IF(ISBLANK($D58), 0, IF(ISNUMBER(SEARCH("reporting", $D58)), Result_Enterprise_Scope1_Method2, "Enter value"))</f>
        <v>0</v>
      </c>
      <c r="G58" s="10" t="s">
        <v>7</v>
      </c>
    </row>
    <row r="59" spans="4:7" x14ac:dyDescent="0.25">
      <c r="E59" s="77">
        <f>IF(ISBLANK($D59), 0, IF(ISNUMBER(SEARCH("reporting", $D59)), Result_Enterprise_Scope1_Method1, "Enter value"))</f>
        <v>0</v>
      </c>
      <c r="F59" s="77">
        <f>IF(ISBLANK($D59), 0, IF(ISNUMBER(SEARCH("reporting", $D59)), Result_Enterprise_Scope1_Method2, "Enter value"))</f>
        <v>0</v>
      </c>
      <c r="G59" s="10" t="s">
        <v>7</v>
      </c>
    </row>
    <row r="60" spans="4:7" x14ac:dyDescent="0.25">
      <c r="D60" s="95" t="s">
        <v>140</v>
      </c>
      <c r="E60" s="89" t="e">
        <f>SUM(E55:E59)</f>
        <v>#NAME?</v>
      </c>
      <c r="F60" s="89" t="e">
        <f>SUM(F55:F59)</f>
        <v>#NAME?</v>
      </c>
      <c r="G60" s="96" t="s">
        <v>7</v>
      </c>
    </row>
    <row r="65" spans="4:6" ht="18.75" x14ac:dyDescent="0.25">
      <c r="D65"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6" x14ac:dyDescent="0.25">
      <c r="D67" s="83" t="s">
        <v>125</v>
      </c>
      <c r="E67" s="83" t="s">
        <v>138</v>
      </c>
      <c r="F67" s="83"/>
    </row>
    <row r="68" spans="4:6" x14ac:dyDescent="0.25">
      <c r="D68" s="1" t="str" cm="1">
        <f t="array" ref="D68:D70">Common_InputFunctions.getOverlappingReportingPeriods(X_Cell_Enterprise_ProductionTimeframeStart,X_Cell_Enterprise_ProductionTimeframeEnd,X_Cell_Site_StartDate)</f>
        <v>01 Jan 2023 to 31 Dec 2023</v>
      </c>
      <c r="E68" s="77" t="str">
        <f>IF(ISBLANK($D68), 0, IF(ISNUMBER(SEARCH("reporting", $D68)), SUM(Table_Input_Enterprise_PlantingRemovals[Removal allocated to this enterprise]), "Enter value"))</f>
        <v>Enter value</v>
      </c>
      <c r="F68" s="10" t="s">
        <v>139</v>
      </c>
    </row>
    <row r="69" spans="4:6" x14ac:dyDescent="0.25">
      <c r="D69" s="1" t="str">
        <v>01 Jan 2024 to 31 Dec 2024 (This reporting cycle)</v>
      </c>
      <c r="E69" s="77">
        <f>IF(ISBLANK($D69), 0, IF(ISNUMBER(SEARCH("reporting", $D69)), SUM(Table_Input_Enterprise_PlantingRemovals[Removal allocated to this enterprise]), "Enter value"))</f>
        <v>0</v>
      </c>
      <c r="F69" s="10" t="s">
        <v>139</v>
      </c>
    </row>
    <row r="70" spans="4:6" x14ac:dyDescent="0.25">
      <c r="D70" s="1" t="str">
        <v>01 Jan 2025 to 31 Dec 2025</v>
      </c>
      <c r="E70" s="77" t="str">
        <f>IF(ISBLANK($D70), 0, IF(ISNUMBER(SEARCH("reporting", $D70)), SUM(Table_Input_Enterprise_PlantingRemovals[Removal allocated to this enterprise]), "Enter value"))</f>
        <v>Enter value</v>
      </c>
      <c r="F70" s="10" t="s">
        <v>139</v>
      </c>
    </row>
    <row r="71" spans="4:6" x14ac:dyDescent="0.25">
      <c r="E71" s="77">
        <f>IF(ISBLANK($D71), 0, IF(ISNUMBER(SEARCH("reporting", $D71)), SUM(Table_Input_Enterprise_PlantingRemovals[Removal allocated to this enterprise]), "Enter value"))</f>
        <v>0</v>
      </c>
      <c r="F71" s="10" t="s">
        <v>139</v>
      </c>
    </row>
    <row r="72" spans="4:6" x14ac:dyDescent="0.25">
      <c r="E72" s="77">
        <f>IF(ISBLANK($D72), 0, IF(ISNUMBER(SEARCH("reporting", $D72)), SUM(Table_Input_Enterprise_PlantingRemovals[Removal allocated to this enterprise]), "Enter value"))</f>
        <v>0</v>
      </c>
      <c r="F72" s="10" t="s">
        <v>139</v>
      </c>
    </row>
    <row r="73" spans="4:6" x14ac:dyDescent="0.25">
      <c r="D73" s="95" t="s">
        <v>141</v>
      </c>
      <c r="E73" s="89">
        <f>SUM(E68:E72)</f>
        <v>0</v>
      </c>
      <c r="F73" s="96" t="s">
        <v>139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25.5" x14ac:dyDescent="0.35">
      <c r="A1" s="11" t="e" vm="1">
        <v>#VALUE!</v>
      </c>
      <c r="C1" s="11" t="s">
        <v>180</v>
      </c>
    </row>
    <row r="2" spans="1:11" s="3" customFormat="1" x14ac:dyDescent="0.25"/>
    <row r="3" spans="1:11" ht="20.25" x14ac:dyDescent="0.25">
      <c r="C3" s="30"/>
      <c r="D3" s="30"/>
      <c r="E3" s="30"/>
      <c r="F3" s="30"/>
      <c r="G3" s="30"/>
      <c r="H3" s="30"/>
      <c r="I3" s="30"/>
      <c r="J3" s="30"/>
      <c r="K3" s="30"/>
    </row>
    <row r="5" spans="1:11" x14ac:dyDescent="0.25">
      <c r="D5" s="71" t="s">
        <v>185</v>
      </c>
      <c r="E5" s="71"/>
      <c r="F5" s="71"/>
      <c r="G5" s="71"/>
    </row>
    <row r="6" spans="1:11" x14ac:dyDescent="0.25">
      <c r="F6" s="17"/>
    </row>
    <row r="7" spans="1:11" x14ac:dyDescent="0.25">
      <c r="D7" s="1" t="s">
        <v>181</v>
      </c>
      <c r="E7" s="16" t="s">
        <v>184</v>
      </c>
      <c r="F7" s="17"/>
    </row>
    <row r="8" spans="1:11" x14ac:dyDescent="0.25">
      <c r="D8" s="1" t="s">
        <v>182</v>
      </c>
      <c r="E8" s="16" t="s">
        <v>184</v>
      </c>
      <c r="F8" s="17"/>
    </row>
    <row r="9" spans="1:11" x14ac:dyDescent="0.25">
      <c r="D9" s="1" t="s">
        <v>73</v>
      </c>
      <c r="E9" s="16" t="e" cm="1">
        <f t="array" ref="E9">X_Cell_Pasture_IrrigationMethod</f>
        <v>#NAME?</v>
      </c>
    </row>
    <row r="10" spans="1:11" x14ac:dyDescent="0.25">
      <c r="D10" s="1" t="s">
        <v>183</v>
      </c>
      <c r="E10" s="1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zoomScaleNormal="10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1" customFormat="1" ht="25.5" x14ac:dyDescent="0.35">
      <c r="A1" s="11" t="e" vm="1">
        <v>#VALUE!</v>
      </c>
      <c r="C1" s="11" t="s">
        <v>186</v>
      </c>
    </row>
    <row r="2" spans="1:13" s="3" customFormat="1" x14ac:dyDescent="0.25"/>
    <row r="3" spans="1:13" ht="20.25" x14ac:dyDescent="0.25">
      <c r="C3" s="30"/>
      <c r="D3" s="30"/>
      <c r="E3" s="30"/>
      <c r="F3" s="30"/>
      <c r="G3" s="30"/>
      <c r="H3" s="30"/>
      <c r="I3" s="30"/>
      <c r="J3" s="30"/>
      <c r="K3" s="30"/>
      <c r="L3" s="30"/>
      <c r="M3" s="30"/>
    </row>
    <row r="5" spans="1:13" x14ac:dyDescent="0.25">
      <c r="D5" s="81" t="s">
        <v>187</v>
      </c>
    </row>
    <row r="6" spans="1:13" x14ac:dyDescent="0.25">
      <c r="D6" s="21" t="s">
        <v>188</v>
      </c>
      <c r="E6" s="21" t="s">
        <v>189</v>
      </c>
      <c r="F6" s="21" t="s">
        <v>190</v>
      </c>
      <c r="G6" s="21" t="s">
        <v>191</v>
      </c>
      <c r="H6" s="21" t="s">
        <v>192</v>
      </c>
      <c r="I6" s="21" t="s">
        <v>193</v>
      </c>
    </row>
    <row r="7" spans="1:13" x14ac:dyDescent="0.25">
      <c r="D7" s="35"/>
      <c r="E7" s="14" t="s">
        <v>194</v>
      </c>
      <c r="F7" s="82">
        <v>45566</v>
      </c>
      <c r="G7" s="21">
        <v>10</v>
      </c>
      <c r="H7" s="21">
        <v>500</v>
      </c>
      <c r="I7" s="16">
        <f t="shared" ref="I7:I16" si="0">G7*H7</f>
        <v>5000</v>
      </c>
    </row>
    <row r="8" spans="1:13" x14ac:dyDescent="0.25">
      <c r="D8" s="35"/>
      <c r="E8" s="14"/>
      <c r="F8" s="82"/>
      <c r="G8" s="21"/>
      <c r="H8" s="21"/>
      <c r="I8" s="16">
        <f t="shared" si="0"/>
        <v>0</v>
      </c>
    </row>
    <row r="9" spans="1:13" x14ac:dyDescent="0.25">
      <c r="D9" s="35"/>
      <c r="E9" s="14"/>
      <c r="F9" s="82"/>
      <c r="G9" s="21"/>
      <c r="H9" s="21"/>
      <c r="I9" s="16">
        <f t="shared" si="0"/>
        <v>0</v>
      </c>
    </row>
    <row r="10" spans="1:13" x14ac:dyDescent="0.25">
      <c r="D10" s="35"/>
      <c r="E10" s="14"/>
      <c r="F10" s="82"/>
      <c r="G10" s="21"/>
      <c r="H10" s="21"/>
      <c r="I10" s="16">
        <f t="shared" si="0"/>
        <v>0</v>
      </c>
    </row>
    <row r="11" spans="1:13" x14ac:dyDescent="0.25">
      <c r="D11" s="35"/>
      <c r="E11" s="14"/>
      <c r="F11" s="82"/>
      <c r="G11" s="21"/>
      <c r="H11" s="21"/>
      <c r="I11" s="16">
        <f t="shared" si="0"/>
        <v>0</v>
      </c>
    </row>
    <row r="12" spans="1:13" x14ac:dyDescent="0.25">
      <c r="D12" s="35"/>
      <c r="E12" s="14"/>
      <c r="F12" s="82"/>
      <c r="G12" s="21"/>
      <c r="H12" s="21"/>
      <c r="I12" s="16">
        <f t="shared" si="0"/>
        <v>0</v>
      </c>
    </row>
    <row r="13" spans="1:13" x14ac:dyDescent="0.25">
      <c r="D13" s="35"/>
      <c r="E13" s="14"/>
      <c r="F13" s="82"/>
      <c r="G13" s="21"/>
      <c r="H13" s="21"/>
      <c r="I13" s="16">
        <f t="shared" si="0"/>
        <v>0</v>
      </c>
    </row>
    <row r="14" spans="1:13" x14ac:dyDescent="0.25">
      <c r="D14" s="35"/>
      <c r="E14" s="14"/>
      <c r="F14" s="82"/>
      <c r="G14" s="21"/>
      <c r="H14" s="21"/>
      <c r="I14" s="16">
        <f t="shared" si="0"/>
        <v>0</v>
      </c>
    </row>
    <row r="15" spans="1:13" x14ac:dyDescent="0.25">
      <c r="D15" s="35"/>
      <c r="E15" s="14"/>
      <c r="F15" s="82"/>
      <c r="G15" s="21"/>
      <c r="H15" s="21"/>
      <c r="I15" s="16">
        <f t="shared" si="0"/>
        <v>0</v>
      </c>
    </row>
    <row r="16" spans="1:13" x14ac:dyDescent="0.25">
      <c r="D16" s="35"/>
      <c r="E16" s="14"/>
      <c r="F16" s="82"/>
      <c r="G16" s="21"/>
      <c r="H16" s="21"/>
      <c r="I16" s="1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83"/>
  <sheetViews>
    <sheetView showGridLines="0" topLeftCell="A56" zoomScaleNormal="100" workbookViewId="0">
      <selection activeCell="E87" sqref="E87"/>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195</v>
      </c>
    </row>
    <row r="2" spans="3:13" s="3" customFormat="1" x14ac:dyDescent="0.25"/>
    <row r="3" spans="3:13" ht="20.25" x14ac:dyDescent="0.25">
      <c r="C3" s="30"/>
      <c r="D3" s="30"/>
      <c r="E3" s="30"/>
      <c r="F3" s="30"/>
      <c r="G3" s="30"/>
      <c r="H3" s="30"/>
      <c r="I3" s="30"/>
      <c r="J3" s="30"/>
      <c r="K3" s="30"/>
      <c r="L3" s="30"/>
      <c r="M3" s="30"/>
    </row>
    <row r="5" spans="3:13" ht="23.25" x14ac:dyDescent="0.25">
      <c r="D5" s="2" t="s">
        <v>246</v>
      </c>
    </row>
    <row r="7" spans="3:13" x14ac:dyDescent="0.25">
      <c r="D7" s="83" t="s">
        <v>304</v>
      </c>
      <c r="E7" s="83" t="s">
        <v>247</v>
      </c>
      <c r="F7" s="83" t="s">
        <v>248</v>
      </c>
      <c r="G7" s="83" t="s">
        <v>249</v>
      </c>
      <c r="H7" s="83" t="s">
        <v>196</v>
      </c>
      <c r="I7" s="83" t="s">
        <v>197</v>
      </c>
      <c r="J7" s="83" t="s">
        <v>198</v>
      </c>
    </row>
    <row r="8" spans="3:13" x14ac:dyDescent="0.25">
      <c r="D8" s="1" t="s">
        <v>23</v>
      </c>
      <c r="E8" s="14" t="s">
        <v>250</v>
      </c>
      <c r="F8" s="14" t="s">
        <v>294</v>
      </c>
      <c r="G8" s="14" t="s">
        <v>252</v>
      </c>
      <c r="H8" s="84"/>
      <c r="I8" s="84"/>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1" t="s">
        <v>253</v>
      </c>
      <c r="E9" s="14" t="s">
        <v>262</v>
      </c>
      <c r="F9" s="14" t="s">
        <v>251</v>
      </c>
      <c r="G9" s="14" t="s">
        <v>257</v>
      </c>
      <c r="H9" s="84"/>
      <c r="I9" s="84"/>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1" t="s">
        <v>255</v>
      </c>
      <c r="E10" s="14" t="s">
        <v>263</v>
      </c>
      <c r="F10" s="14" t="s">
        <v>256</v>
      </c>
      <c r="G10" s="14" t="s">
        <v>257</v>
      </c>
      <c r="H10" s="84"/>
      <c r="I10" s="84"/>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1" t="s">
        <v>258</v>
      </c>
      <c r="E11" s="14" t="s">
        <v>296</v>
      </c>
      <c r="F11" s="14" t="s">
        <v>283</v>
      </c>
      <c r="G11" s="14" t="s">
        <v>270</v>
      </c>
      <c r="H11" s="84"/>
      <c r="I11" s="84"/>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3" x14ac:dyDescent="0.25">
      <c r="D12" s="1" t="s">
        <v>259</v>
      </c>
      <c r="E12" s="14" t="s">
        <v>297</v>
      </c>
      <c r="F12" s="14" t="s">
        <v>295</v>
      </c>
      <c r="G12" s="14" t="s">
        <v>272</v>
      </c>
      <c r="H12" s="84"/>
      <c r="I12" s="84"/>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3" x14ac:dyDescent="0.25">
      <c r="D13" s="1" t="s">
        <v>260</v>
      </c>
      <c r="E13" s="14" t="s">
        <v>250</v>
      </c>
      <c r="F13" s="14" t="s">
        <v>251</v>
      </c>
      <c r="G13" s="14" t="s">
        <v>252</v>
      </c>
      <c r="H13" s="84"/>
      <c r="I13" s="84"/>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3:13" x14ac:dyDescent="0.25">
      <c r="J15" s="89">
        <f>SUM(Table_Input_DataQuality_Enterprise[Score])</f>
        <v>60</v>
      </c>
    </row>
    <row r="16" spans="3:13" ht="23.25" x14ac:dyDescent="0.25">
      <c r="D16" s="2" t="s">
        <v>261</v>
      </c>
    </row>
    <row r="18" spans="4:10" x14ac:dyDescent="0.25">
      <c r="D18" s="83" t="s">
        <v>304</v>
      </c>
      <c r="E18" s="83" t="s">
        <v>247</v>
      </c>
      <c r="F18" s="83" t="s">
        <v>248</v>
      </c>
      <c r="G18" s="83" t="s">
        <v>249</v>
      </c>
      <c r="H18" s="83" t="s">
        <v>196</v>
      </c>
      <c r="I18" s="83" t="s">
        <v>197</v>
      </c>
      <c r="J18" s="83" t="s">
        <v>198</v>
      </c>
    </row>
    <row r="19" spans="4:10" x14ac:dyDescent="0.25">
      <c r="D19" s="1" t="s">
        <v>113</v>
      </c>
      <c r="E19" s="14" t="s">
        <v>262</v>
      </c>
      <c r="F19" s="14" t="s">
        <v>256</v>
      </c>
      <c r="G19" s="14" t="s">
        <v>252</v>
      </c>
      <c r="H19" s="84"/>
      <c r="I19" s="84"/>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
        <v>46</v>
      </c>
      <c r="E20" s="14" t="s">
        <v>262</v>
      </c>
      <c r="F20" s="14" t="s">
        <v>256</v>
      </c>
      <c r="G20" s="14" t="s">
        <v>252</v>
      </c>
      <c r="H20" s="84"/>
      <c r="I20" s="84"/>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
        <v>116</v>
      </c>
      <c r="E21" s="14" t="s">
        <v>262</v>
      </c>
      <c r="F21" s="14" t="s">
        <v>256</v>
      </c>
      <c r="G21" s="14" t="s">
        <v>252</v>
      </c>
      <c r="H21" s="84"/>
      <c r="I21" s="84"/>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1" t="s">
        <v>118</v>
      </c>
      <c r="E22" s="14" t="s">
        <v>250</v>
      </c>
      <c r="F22" s="14" t="s">
        <v>251</v>
      </c>
      <c r="G22" s="14" t="s">
        <v>252</v>
      </c>
      <c r="H22" s="84"/>
      <c r="I22" s="84"/>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c r="D23" s="1" t="s">
        <v>120</v>
      </c>
      <c r="E23" s="14" t="s">
        <v>262</v>
      </c>
      <c r="F23" s="14" t="s">
        <v>256</v>
      </c>
      <c r="G23" s="14" t="s">
        <v>252</v>
      </c>
      <c r="H23" s="84"/>
      <c r="I23" s="84"/>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1" t="s">
        <v>121</v>
      </c>
      <c r="E24" s="85" t="s">
        <v>263</v>
      </c>
      <c r="F24" s="85" t="s">
        <v>256</v>
      </c>
      <c r="G24" s="85" t="s">
        <v>252</v>
      </c>
      <c r="H24" s="84"/>
      <c r="I24" s="84"/>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4:10" x14ac:dyDescent="0.25">
      <c r="J26" s="89">
        <f>SUM(Table_Input_DataQuality_Site[Score])</f>
        <v>73</v>
      </c>
    </row>
    <row r="27" spans="4:10" ht="23.25" x14ac:dyDescent="0.25">
      <c r="D27" s="2" t="s">
        <v>264</v>
      </c>
    </row>
    <row r="29" spans="4:10" x14ac:dyDescent="0.25">
      <c r="D29" s="83" t="s">
        <v>304</v>
      </c>
      <c r="E29" s="83" t="s">
        <v>247</v>
      </c>
      <c r="F29" s="83" t="s">
        <v>248</v>
      </c>
      <c r="G29" s="83" t="s">
        <v>249</v>
      </c>
      <c r="H29" s="83" t="s">
        <v>196</v>
      </c>
      <c r="I29" s="83" t="s">
        <v>197</v>
      </c>
      <c r="J29" s="83" t="s">
        <v>198</v>
      </c>
    </row>
    <row r="30" spans="4:10" x14ac:dyDescent="0.25">
      <c r="D30" s="1" t="s">
        <v>265</v>
      </c>
      <c r="E30" s="14" t="s">
        <v>250</v>
      </c>
      <c r="F30" s="14" t="s">
        <v>256</v>
      </c>
      <c r="G30" s="14" t="s">
        <v>252</v>
      </c>
      <c r="H30" s="84"/>
      <c r="I30" s="84"/>
      <c r="J3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4:10" x14ac:dyDescent="0.25">
      <c r="D31" s="1" t="s">
        <v>266</v>
      </c>
      <c r="E31" s="14" t="s">
        <v>250</v>
      </c>
      <c r="F31" s="14" t="s">
        <v>251</v>
      </c>
      <c r="G31" s="14" t="s">
        <v>252</v>
      </c>
      <c r="H31" s="84"/>
      <c r="I31" s="84"/>
      <c r="J3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4:10" x14ac:dyDescent="0.25">
      <c r="D32" s="1" t="s">
        <v>267</v>
      </c>
      <c r="E32" s="14" t="s">
        <v>250</v>
      </c>
      <c r="F32" s="14" t="s">
        <v>251</v>
      </c>
      <c r="G32" s="14" t="s">
        <v>257</v>
      </c>
      <c r="H32" s="84"/>
      <c r="I32" s="84"/>
      <c r="J32"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4:10" x14ac:dyDescent="0.25">
      <c r="D33" s="1" t="s">
        <v>268</v>
      </c>
      <c r="E33" s="14" t="s">
        <v>250</v>
      </c>
      <c r="F33" s="14" t="s">
        <v>251</v>
      </c>
      <c r="G33" s="14" t="s">
        <v>254</v>
      </c>
      <c r="H33" s="84"/>
      <c r="I33" s="84"/>
      <c r="J33"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4:10" x14ac:dyDescent="0.25">
      <c r="D34" s="1" t="s">
        <v>269</v>
      </c>
      <c r="E34" s="14" t="s">
        <v>250</v>
      </c>
      <c r="F34" s="14" t="s">
        <v>251</v>
      </c>
      <c r="G34" s="14" t="s">
        <v>270</v>
      </c>
      <c r="H34" s="84"/>
      <c r="I34" s="84"/>
      <c r="J34"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4:10" x14ac:dyDescent="0.25">
      <c r="D35" s="1" t="s">
        <v>271</v>
      </c>
      <c r="E35" s="14" t="s">
        <v>250</v>
      </c>
      <c r="F35" s="85" t="s">
        <v>256</v>
      </c>
      <c r="G35" s="85" t="s">
        <v>272</v>
      </c>
      <c r="H35" s="84"/>
      <c r="I35" s="84"/>
      <c r="J35"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4:10" x14ac:dyDescent="0.25">
      <c r="D36" s="1" t="s">
        <v>273</v>
      </c>
      <c r="E36" s="14" t="s">
        <v>250</v>
      </c>
      <c r="F36" s="85" t="s">
        <v>256</v>
      </c>
      <c r="G36" s="85" t="s">
        <v>272</v>
      </c>
      <c r="H36" s="84"/>
      <c r="I36" s="84"/>
      <c r="J36"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1" t="s">
        <v>274</v>
      </c>
      <c r="E37" s="14" t="s">
        <v>250</v>
      </c>
      <c r="F37" s="85" t="s">
        <v>251</v>
      </c>
      <c r="G37" s="85" t="s">
        <v>252</v>
      </c>
      <c r="H37" s="84"/>
      <c r="I37" s="84"/>
      <c r="J37"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4:10" x14ac:dyDescent="0.25">
      <c r="D38" s="1" t="s">
        <v>275</v>
      </c>
      <c r="E38" s="14" t="s">
        <v>250</v>
      </c>
      <c r="F38" s="85" t="s">
        <v>251</v>
      </c>
      <c r="G38" s="85" t="s">
        <v>257</v>
      </c>
      <c r="H38" s="84"/>
      <c r="I38" s="84"/>
      <c r="J38"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4:10" x14ac:dyDescent="0.25">
      <c r="D39" s="1" t="s">
        <v>276</v>
      </c>
      <c r="E39" s="14" t="s">
        <v>250</v>
      </c>
      <c r="F39" s="85" t="s">
        <v>251</v>
      </c>
      <c r="G39" s="85" t="s">
        <v>257</v>
      </c>
      <c r="H39" s="84"/>
      <c r="I39" s="84"/>
      <c r="J39"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4:10" x14ac:dyDescent="0.25">
      <c r="D40" s="1" t="s">
        <v>277</v>
      </c>
      <c r="E40" s="14" t="s">
        <v>250</v>
      </c>
      <c r="F40" s="85" t="s">
        <v>251</v>
      </c>
      <c r="G40" s="85" t="s">
        <v>252</v>
      </c>
      <c r="H40" s="84"/>
      <c r="I40" s="84"/>
      <c r="J4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4:10" x14ac:dyDescent="0.25">
      <c r="D41" s="1" t="s">
        <v>278</v>
      </c>
      <c r="E41" s="14" t="s">
        <v>250</v>
      </c>
      <c r="F41" s="85" t="s">
        <v>251</v>
      </c>
      <c r="G41" s="85" t="s">
        <v>252</v>
      </c>
      <c r="H41" s="84"/>
      <c r="I41" s="84"/>
      <c r="J4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3" spans="4:10" x14ac:dyDescent="0.25">
      <c r="J43" s="89">
        <f>SUM(Table_Input_DataQuality_PastureBeef[Score])</f>
        <v>149</v>
      </c>
    </row>
    <row r="44" spans="4:10" ht="23.25" x14ac:dyDescent="0.25">
      <c r="D44" s="2" t="s">
        <v>279</v>
      </c>
    </row>
    <row r="46" spans="4:10" x14ac:dyDescent="0.25">
      <c r="D46" s="83" t="s">
        <v>304</v>
      </c>
      <c r="E46" s="83" t="s">
        <v>247</v>
      </c>
      <c r="F46" s="83" t="s">
        <v>248</v>
      </c>
      <c r="G46" s="83" t="s">
        <v>249</v>
      </c>
      <c r="H46" s="83" t="s">
        <v>196</v>
      </c>
      <c r="I46" s="83" t="s">
        <v>197</v>
      </c>
      <c r="J46" s="83" t="s">
        <v>198</v>
      </c>
    </row>
    <row r="47" spans="4:10" x14ac:dyDescent="0.25">
      <c r="D47" s="1" t="s">
        <v>280</v>
      </c>
      <c r="E47" s="14" t="s">
        <v>250</v>
      </c>
      <c r="F47" s="14" t="s">
        <v>251</v>
      </c>
      <c r="G47" s="14" t="s">
        <v>252</v>
      </c>
      <c r="H47" s="84"/>
      <c r="I47" s="84"/>
      <c r="J4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1" t="s">
        <v>73</v>
      </c>
      <c r="E48" s="14" t="s">
        <v>250</v>
      </c>
      <c r="F48" s="14" t="s">
        <v>251</v>
      </c>
      <c r="G48" s="14" t="s">
        <v>252</v>
      </c>
      <c r="H48" s="84"/>
      <c r="I48" s="84"/>
      <c r="J4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1" t="s">
        <v>281</v>
      </c>
      <c r="E49" s="14" t="s">
        <v>250</v>
      </c>
      <c r="F49" s="14" t="s">
        <v>251</v>
      </c>
      <c r="G49" s="14" t="s">
        <v>252</v>
      </c>
      <c r="H49" s="84"/>
      <c r="I49" s="84"/>
      <c r="J4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4:10" x14ac:dyDescent="0.25">
      <c r="D50" s="1" t="s">
        <v>282</v>
      </c>
      <c r="E50" s="14" t="s">
        <v>250</v>
      </c>
      <c r="F50" s="14" t="s">
        <v>283</v>
      </c>
      <c r="G50" s="14" t="s">
        <v>272</v>
      </c>
      <c r="H50" s="84"/>
      <c r="I50" s="84"/>
      <c r="J5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4:10" x14ac:dyDescent="0.25">
      <c r="D51" s="1" t="s">
        <v>284</v>
      </c>
      <c r="E51" s="14" t="s">
        <v>250</v>
      </c>
      <c r="F51" s="14" t="s">
        <v>251</v>
      </c>
      <c r="G51" s="14" t="s">
        <v>252</v>
      </c>
      <c r="H51" s="84"/>
      <c r="I51" s="84"/>
      <c r="J5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3" spans="4:10" x14ac:dyDescent="0.25">
      <c r="J53" s="89">
        <f>SUM(Table_Input_DataQuality_PastureManagement[Score])</f>
        <v>64</v>
      </c>
    </row>
    <row r="54" spans="4:10" ht="23.25" x14ac:dyDescent="0.25">
      <c r="D54" s="2" t="s">
        <v>285</v>
      </c>
    </row>
    <row r="56" spans="4:10" x14ac:dyDescent="0.25">
      <c r="D56" s="83" t="s">
        <v>304</v>
      </c>
      <c r="E56" s="83" t="s">
        <v>247</v>
      </c>
      <c r="F56" s="83" t="s">
        <v>248</v>
      </c>
      <c r="G56" s="83" t="s">
        <v>249</v>
      </c>
      <c r="H56" s="83" t="s">
        <v>196</v>
      </c>
      <c r="I56" s="83" t="s">
        <v>197</v>
      </c>
      <c r="J56" s="83" t="s">
        <v>198</v>
      </c>
    </row>
    <row r="57" spans="4:10" x14ac:dyDescent="0.25">
      <c r="D57" s="1" t="s">
        <v>286</v>
      </c>
      <c r="E57" s="14" t="s">
        <v>250</v>
      </c>
      <c r="F57" s="14" t="s">
        <v>251</v>
      </c>
      <c r="G57" s="14" t="s">
        <v>257</v>
      </c>
      <c r="H57" s="84"/>
      <c r="I57" s="84"/>
      <c r="J57"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4:10" x14ac:dyDescent="0.25">
      <c r="D58" s="1" t="s">
        <v>287</v>
      </c>
      <c r="E58" s="14" t="s">
        <v>250</v>
      </c>
      <c r="F58" s="14" t="s">
        <v>251</v>
      </c>
      <c r="G58" s="14" t="s">
        <v>252</v>
      </c>
      <c r="H58" s="84"/>
      <c r="I58" s="84"/>
      <c r="J58"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1" t="s">
        <v>288</v>
      </c>
      <c r="E59" s="14" t="s">
        <v>250</v>
      </c>
      <c r="F59" s="14" t="s">
        <v>251</v>
      </c>
      <c r="G59" s="14" t="s">
        <v>252</v>
      </c>
      <c r="H59" s="84"/>
      <c r="I59" s="84"/>
      <c r="J5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4:10" x14ac:dyDescent="0.25">
      <c r="D60" s="1" t="s">
        <v>289</v>
      </c>
      <c r="E60" s="14" t="s">
        <v>250</v>
      </c>
      <c r="F60" s="14" t="s">
        <v>251</v>
      </c>
      <c r="G60" s="14" t="s">
        <v>252</v>
      </c>
      <c r="H60" s="84"/>
      <c r="I60" s="84"/>
      <c r="J6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4:10" x14ac:dyDescent="0.25">
      <c r="J62" s="89">
        <f>SUM(Table_Input_DataQuality_FertiliserApplications[Score])</f>
        <v>55</v>
      </c>
    </row>
    <row r="63" spans="4:10" ht="23.25" x14ac:dyDescent="0.25">
      <c r="D63" s="2" t="s">
        <v>307</v>
      </c>
    </row>
    <row r="65" spans="4:10" x14ac:dyDescent="0.25">
      <c r="D65" s="83" t="s">
        <v>304</v>
      </c>
      <c r="E65" s="83" t="s">
        <v>247</v>
      </c>
      <c r="F65" s="83" t="s">
        <v>248</v>
      </c>
      <c r="G65" s="83" t="s">
        <v>249</v>
      </c>
      <c r="H65" s="83" t="s">
        <v>196</v>
      </c>
      <c r="I65" s="83" t="s">
        <v>197</v>
      </c>
      <c r="J65" s="83" t="s">
        <v>198</v>
      </c>
    </row>
    <row r="66" spans="4:10" x14ac:dyDescent="0.25">
      <c r="D66" s="1" t="s">
        <v>305</v>
      </c>
      <c r="E66" s="14" t="s">
        <v>250</v>
      </c>
      <c r="F66" s="14" t="s">
        <v>251</v>
      </c>
      <c r="G66" s="14" t="s">
        <v>257</v>
      </c>
      <c r="H66" s="84"/>
      <c r="I66" s="84"/>
      <c r="J6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c r="D67" s="1" t="s">
        <v>290</v>
      </c>
      <c r="E67" s="14" t="s">
        <v>250</v>
      </c>
      <c r="F67" s="14" t="s">
        <v>251</v>
      </c>
      <c r="G67" s="14" t="s">
        <v>252</v>
      </c>
      <c r="H67" s="84"/>
      <c r="I67" s="84"/>
      <c r="J6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
        <v>291</v>
      </c>
      <c r="E68" s="14" t="s">
        <v>250</v>
      </c>
      <c r="F68" s="14" t="s">
        <v>251</v>
      </c>
      <c r="G68" s="14" t="s">
        <v>252</v>
      </c>
      <c r="H68" s="84"/>
      <c r="I68" s="84"/>
      <c r="J6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c r="D69" s="1" t="s">
        <v>306</v>
      </c>
      <c r="E69" s="14" t="s">
        <v>250</v>
      </c>
      <c r="F69" s="14" t="s">
        <v>251</v>
      </c>
      <c r="G69" s="14" t="s">
        <v>252</v>
      </c>
      <c r="H69" s="84"/>
      <c r="I69" s="84"/>
      <c r="J6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c r="J71" s="89">
        <f>SUM(Table_Input_DataQuality_FuelElectricity[Score])</f>
        <v>55</v>
      </c>
    </row>
    <row r="73" spans="4:10" ht="23.25" x14ac:dyDescent="0.25">
      <c r="D73" s="2" t="s">
        <v>309</v>
      </c>
    </row>
    <row r="75" spans="4:10" x14ac:dyDescent="0.25">
      <c r="D75" s="83" t="s">
        <v>304</v>
      </c>
      <c r="E75" s="83" t="s">
        <v>247</v>
      </c>
      <c r="F75" s="83" t="s">
        <v>248</v>
      </c>
      <c r="G75" s="83" t="s">
        <v>249</v>
      </c>
      <c r="H75" s="83" t="s">
        <v>196</v>
      </c>
      <c r="I75" s="83" t="s">
        <v>197</v>
      </c>
      <c r="J75" s="83" t="s">
        <v>198</v>
      </c>
    </row>
    <row r="76" spans="4:10" x14ac:dyDescent="0.25">
      <c r="D76" s="1" t="s">
        <v>308</v>
      </c>
      <c r="E76" s="14" t="s">
        <v>250</v>
      </c>
      <c r="F76" s="14" t="s">
        <v>251</v>
      </c>
      <c r="G76" s="14" t="s">
        <v>257</v>
      </c>
      <c r="H76" s="84"/>
      <c r="I76" s="84"/>
      <c r="J7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c r="D77" s="1" t="s">
        <v>292</v>
      </c>
      <c r="E77" s="14" t="s">
        <v>250</v>
      </c>
      <c r="F77" s="14" t="s">
        <v>251</v>
      </c>
      <c r="G77" s="14" t="s">
        <v>252</v>
      </c>
      <c r="H77" s="84"/>
      <c r="I77" s="84"/>
      <c r="J7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
        <v>293</v>
      </c>
      <c r="E78" s="14" t="s">
        <v>250</v>
      </c>
      <c r="F78" s="14" t="s">
        <v>251</v>
      </c>
      <c r="G78" s="14" t="s">
        <v>252</v>
      </c>
      <c r="H78" s="84"/>
      <c r="I78" s="84"/>
      <c r="J7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c r="D79" s="1" t="s">
        <v>310</v>
      </c>
      <c r="E79" s="14" t="s">
        <v>250</v>
      </c>
      <c r="F79" s="14" t="s">
        <v>251</v>
      </c>
      <c r="G79" s="14" t="s">
        <v>252</v>
      </c>
      <c r="H79" s="84"/>
      <c r="I79" s="84"/>
      <c r="J7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89">
        <f>SUM(Table_Input_DataQuality_FarmInputsFreightWaste[Score])</f>
        <v>55</v>
      </c>
    </row>
    <row r="83" spans="4:10" ht="20.25" x14ac:dyDescent="0.25">
      <c r="D83" s="92" t="s">
        <v>311</v>
      </c>
      <c r="E83" s="93" t="str">
        <f>(J15+J26+J43+J53+J62+J71+J81)&amp;"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615</v>
      </c>
    </row>
  </sheetData>
  <dataValidations count="3">
    <dataValidation type="list" allowBlank="1" showInputMessage="1" showErrorMessage="1" sqref="F8:F13 F19:F24 F30:F41 F47:F51 F57:F60 F66:F69 F76:F79"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79"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79"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9" zoomScaleNormal="100" workbookViewId="0">
      <selection activeCell="I276" sqref="I276"/>
    </sheetView>
  </sheetViews>
  <sheetFormatPr defaultColWidth="9.140625" defaultRowHeight="15.75" x14ac:dyDescent="0.25"/>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30</v>
      </c>
    </row>
    <row r="2" spans="1:65" s="3" customFormat="1" ht="20.100000000000001" customHeight="1" x14ac:dyDescent="0.25">
      <c r="A2"/>
    </row>
    <row r="3" spans="1:65" ht="20.100000000000001" customHeight="1" x14ac:dyDescent="0.25">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100000000000001" customHeight="1" x14ac:dyDescent="0.25">
      <c r="A4"/>
      <c r="BM4" s="26"/>
    </row>
    <row r="5" spans="1:65" ht="20.100000000000001" customHeight="1" x14ac:dyDescent="0.25">
      <c r="A5"/>
      <c r="D5" s="2" t="str" cm="1">
        <f t="array" ref="D5">Common_SourceData.Common_SourceData_AustralianStatesTerritories_Title()</f>
        <v>Australian states and territories</v>
      </c>
      <c r="BM5" s="26"/>
    </row>
    <row r="6" spans="1:65" ht="20.100000000000001" customHeight="1" x14ac:dyDescent="0.25">
      <c r="A6" s="87" t="s">
        <v>2</v>
      </c>
      <c r="D6" s="21" t="s">
        <v>31</v>
      </c>
      <c r="E6" s="21" t="s">
        <v>32</v>
      </c>
      <c r="F6" s="21" t="s">
        <v>33</v>
      </c>
    </row>
    <row r="7" spans="1:65" ht="20.100000000000001" customHeight="1" x14ac:dyDescent="0.25">
      <c r="A7" s="88"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100000000000001" customHeight="1" x14ac:dyDescent="0.25">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100000000000001" customHeight="1" x14ac:dyDescent="0.25">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100000000000001" customHeight="1" x14ac:dyDescent="0.25">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1" t="s">
        <v>34</v>
      </c>
    </row>
    <row r="21" spans="1:4" ht="20.100000000000001" customHeight="1" x14ac:dyDescent="0.25">
      <c r="A21"/>
      <c r="D21" s="21" t="str" cm="1">
        <f t="array" ref="D21">Common_InputFunctions.Utility_DisplayArrayInTable(Common_SourceData.Common_SourceData_WASA4Areas_Data(), Table_WASA4Areas[[#Headers],[SA 4 Name]], 0)</f>
        <v>Bunbury</v>
      </c>
    </row>
    <row r="22" spans="1:4" ht="20.100000000000001" customHeight="1" x14ac:dyDescent="0.25">
      <c r="A22"/>
      <c r="D22" s="21" t="str" cm="1">
        <f t="array" ref="D22">Common_InputFunctions.Utility_DisplayArrayInTable(Common_SourceData.Common_SourceData_WASA4Areas_Data(), Table_WASA4Areas[[#Headers],[SA 4 Name]], 0)</f>
        <v>Mandurah</v>
      </c>
    </row>
    <row r="23" spans="1:4" ht="20.100000000000001" customHeight="1" x14ac:dyDescent="0.25">
      <c r="A23"/>
      <c r="D23" s="21" t="str" cm="1">
        <f t="array" ref="D23">Common_InputFunctions.Utility_DisplayArrayInTable(Common_SourceData.Common_SourceData_WASA4Areas_Data(), Table_WASA4Areas[[#Headers],[SA 4 Name]], 0)</f>
        <v>Perth - Inner</v>
      </c>
    </row>
    <row r="24" spans="1:4" ht="20.100000000000001" customHeight="1" x14ac:dyDescent="0.25">
      <c r="A24"/>
      <c r="D24" s="21" t="str" cm="1">
        <f t="array" ref="D24">Common_InputFunctions.Utility_DisplayArrayInTable(Common_SourceData.Common_SourceData_WASA4Areas_Data(), Table_WASA4Areas[[#Headers],[SA 4 Name]], 0)</f>
        <v>Perth - North East</v>
      </c>
    </row>
    <row r="25" spans="1:4" ht="20.100000000000001" customHeight="1" x14ac:dyDescent="0.25">
      <c r="A25"/>
      <c r="D25" s="21" t="str" cm="1">
        <f t="array" ref="D25">Common_InputFunctions.Utility_DisplayArrayInTable(Common_SourceData.Common_SourceData_WASA4Areas_Data(), Table_WASA4Areas[[#Headers],[SA 4 Name]], 0)</f>
        <v>Perth - North West</v>
      </c>
    </row>
    <row r="26" spans="1:4" ht="20.100000000000001" customHeight="1" x14ac:dyDescent="0.25">
      <c r="A26"/>
      <c r="D26" s="21" t="str" cm="1">
        <f t="array" ref="D26">Common_InputFunctions.Utility_DisplayArrayInTable(Common_SourceData.Common_SourceData_WASA4Areas_Data(), Table_WASA4Areas[[#Headers],[SA 4 Name]], 0)</f>
        <v>Perth - South East</v>
      </c>
    </row>
    <row r="27" spans="1:4" ht="20.100000000000001" customHeight="1" x14ac:dyDescent="0.25">
      <c r="A27"/>
      <c r="D27" s="21" t="str" cm="1">
        <f t="array" ref="D27">Common_InputFunctions.Utility_DisplayArrayInTable(Common_SourceData.Common_SourceData_WASA4Areas_Data(), Table_WASA4Areas[[#Headers],[SA 4 Name]], 0)</f>
        <v>Perth - South West</v>
      </c>
    </row>
    <row r="28" spans="1:4" ht="20.100000000000001" customHeight="1" x14ac:dyDescent="0.25">
      <c r="A28"/>
      <c r="D28" s="2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1" t="s">
        <v>35</v>
      </c>
      <c r="E36" s="21" t="s">
        <v>36</v>
      </c>
    </row>
    <row r="37" spans="1:8" ht="20.100000000000001" customHeight="1" x14ac:dyDescent="0.25">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100000000000001" customHeight="1" x14ac:dyDescent="0.25">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100000000000001" customHeight="1" x14ac:dyDescent="0.25">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100000000000001" customHeight="1" x14ac:dyDescent="0.25">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100000000000001" customHeight="1" x14ac:dyDescent="0.25">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100000000000001" customHeight="1" x14ac:dyDescent="0.25">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100000000000001" customHeight="1" x14ac:dyDescent="0.25">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1" t="s">
        <v>35</v>
      </c>
      <c r="E47" s="21" t="s">
        <v>37</v>
      </c>
      <c r="F47" s="21" t="s">
        <v>38</v>
      </c>
      <c r="G47" s="21" t="s">
        <v>39</v>
      </c>
      <c r="H47" s="21" t="s">
        <v>40</v>
      </c>
    </row>
    <row r="48" spans="1:8" ht="20.100000000000001" customHeight="1" x14ac:dyDescent="0.25">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100000000000001" customHeight="1" x14ac:dyDescent="0.25">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100000000000001" customHeight="1" x14ac:dyDescent="0.25">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100000000000001" customHeight="1" x14ac:dyDescent="0.25">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100000000000001" customHeight="1" x14ac:dyDescent="0.25">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100000000000001" customHeight="1" x14ac:dyDescent="0.25">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100000000000001" customHeight="1" x14ac:dyDescent="0.25">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7" t="str" cm="1">
        <f t="array" ref="D59:D61">"⚠️" &amp; Common_SourceData.Common_SourceData_WetAndDryZones_Variation()</f>
        <v>⚠️VARIATION OF SOURCE DATA:</v>
      </c>
    </row>
    <row r="60" spans="1:8" ht="20.100000000000001" customHeight="1" x14ac:dyDescent="0.25">
      <c r="A60"/>
      <c r="D60" s="27" t="str">
        <v>⚠️Added warm / cool temperate moist / dry - low frost and high temp classes to accommodate climate scenarios excluded by VEERG criteria.</v>
      </c>
    </row>
    <row r="61" spans="1:8" ht="20.100000000000001" customHeight="1" x14ac:dyDescent="0.25">
      <c r="A61"/>
      <c r="D61" s="27" t="str">
        <v>⚠️Fixed typo - Changed 'Fry' to 'Dry'.</v>
      </c>
    </row>
    <row r="62" spans="1:8" ht="20.100000000000001" customHeight="1" x14ac:dyDescent="0.25">
      <c r="A62"/>
    </row>
    <row r="63" spans="1:8" ht="20.100000000000001" customHeight="1" x14ac:dyDescent="0.25">
      <c r="A63"/>
      <c r="D63" s="21" t="s">
        <v>41</v>
      </c>
      <c r="E63" s="21" t="s">
        <v>42</v>
      </c>
    </row>
    <row r="64" spans="1:8" ht="20.100000000000001" customHeight="1" x14ac:dyDescent="0.25">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7" t="str" cm="1">
        <f t="array" ref="D83:D87">"⚠️" &amp; Common_SourceData.Common_SourceData_ClimateZones_Variation()</f>
        <v>⚠️VARIATION OF SOURCE DATA:</v>
      </c>
    </row>
    <row r="84" spans="1:20" ht="20.100000000000001" customHeight="1" x14ac:dyDescent="0.25">
      <c r="A84"/>
      <c r="D84" s="27" t="str">
        <v>⚠️Added warm / cool temperate moist / dry - low frost and high temp classes to accommodate climate scenarios excluded by VEERG criteria.</v>
      </c>
    </row>
    <row r="85" spans="1:20" ht="20.100000000000001" customHeight="1" x14ac:dyDescent="0.25">
      <c r="A85"/>
      <c r="D85" s="27" t="str">
        <v>⚠️Fixed typo in MAT value for warm temperate dry - changed 10 to 11.</v>
      </c>
    </row>
    <row r="86" spans="1:20" ht="20.100000000000001" customHeight="1" x14ac:dyDescent="0.25">
      <c r="A86"/>
      <c r="D86" s="27" t="str">
        <v>⚠️Added min and max columns for MAT, MAP, frost days per year, elevation, MAP:PET to calculate zones from real climate data.</v>
      </c>
    </row>
    <row r="87" spans="1:20" ht="20.100000000000001" customHeight="1" x14ac:dyDescent="0.25">
      <c r="A87"/>
      <c r="D87" s="27" t="str">
        <v>⚠️GAF accepts rainfall as a proxy for precipitation.</v>
      </c>
    </row>
    <row r="88" spans="1:20" ht="20.100000000000001" customHeight="1" x14ac:dyDescent="0.25">
      <c r="A88"/>
    </row>
    <row r="89" spans="1:20" ht="20.100000000000001" customHeight="1" x14ac:dyDescent="0.25">
      <c r="A89"/>
      <c r="D89" s="21" t="s">
        <v>41</v>
      </c>
      <c r="E89" s="21" t="s">
        <v>43</v>
      </c>
      <c r="F89" s="21" t="s">
        <v>44</v>
      </c>
      <c r="G89" s="21" t="s">
        <v>45</v>
      </c>
      <c r="H89" s="21" t="s">
        <v>46</v>
      </c>
      <c r="I89" s="21" t="s">
        <v>47</v>
      </c>
      <c r="J89" s="21" t="s">
        <v>48</v>
      </c>
      <c r="K89" s="21" t="s">
        <v>49</v>
      </c>
      <c r="L89" s="21" t="s">
        <v>50</v>
      </c>
      <c r="M89" s="21" t="s">
        <v>51</v>
      </c>
      <c r="N89" s="21" t="s">
        <v>52</v>
      </c>
      <c r="O89" s="21" t="s">
        <v>53</v>
      </c>
      <c r="P89" s="21" t="s">
        <v>54</v>
      </c>
      <c r="Q89" s="21" t="s">
        <v>55</v>
      </c>
      <c r="R89" s="21" t="s">
        <v>56</v>
      </c>
      <c r="S89" s="21" t="s">
        <v>57</v>
      </c>
      <c r="T89" s="21"/>
    </row>
    <row r="90" spans="1:20" ht="20.100000000000001" customHeight="1" x14ac:dyDescent="0.25">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100000000000001" customHeight="1" x14ac:dyDescent="0.25">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100000000000001" customHeight="1" x14ac:dyDescent="0.25">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100000000000001" customHeight="1" x14ac:dyDescent="0.25">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100000000000001" customHeight="1" x14ac:dyDescent="0.25">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100000000000001" customHeight="1" x14ac:dyDescent="0.25">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100000000000001" customHeight="1" x14ac:dyDescent="0.25">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100000000000001" customHeight="1" x14ac:dyDescent="0.25">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1" t="s">
        <v>58</v>
      </c>
      <c r="E109" s="21" t="s">
        <v>43</v>
      </c>
      <c r="F109" s="21" t="s">
        <v>59</v>
      </c>
      <c r="G109" s="21" t="s">
        <v>60</v>
      </c>
    </row>
    <row r="110" spans="1:20" ht="20.100000000000001" customHeight="1" x14ac:dyDescent="0.25">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3"/>
    </row>
    <row r="116" spans="1:66" ht="20.100000000000001" customHeight="1" x14ac:dyDescent="0.25">
      <c r="A116"/>
      <c r="D116" s="18" t="str" cm="1">
        <f t="array" ref="D116">Common_SourceData.Common_SourceData_RainfallZones_Source()</f>
        <v>VEERG 2026: Table 1.3: Climate and Rainfall zone classifications and definitions</v>
      </c>
      <c r="BN116" s="23"/>
    </row>
    <row r="117" spans="1:66" ht="20.100000000000001" customHeight="1" x14ac:dyDescent="0.25">
      <c r="A117"/>
      <c r="D117" s="27" t="str" cm="1">
        <f t="array" ref="D117">"⚠️" &amp; Common_SourceData.Common_SourceData_RainfallZones_Variation()</f>
        <v>⚠️VARIATION OF SOURCE DATA: Added extra Rainfall min and Rainfall max columns to calculate zone from real rainfall data.</v>
      </c>
      <c r="BN117" s="23"/>
    </row>
    <row r="118" spans="1:66" ht="20.100000000000001" customHeight="1" x14ac:dyDescent="0.25">
      <c r="A118"/>
      <c r="BN118" s="23"/>
    </row>
    <row r="119" spans="1:66" ht="20.100000000000001" customHeight="1" x14ac:dyDescent="0.25">
      <c r="A119"/>
      <c r="D119" s="21" t="s">
        <v>61</v>
      </c>
      <c r="E119" s="21" t="s">
        <v>62</v>
      </c>
      <c r="F119" s="21" t="s">
        <v>50</v>
      </c>
      <c r="G119" s="21" t="s">
        <v>51</v>
      </c>
      <c r="BN119" s="23"/>
    </row>
    <row r="120" spans="1:66" ht="20.100000000000001" customHeight="1" x14ac:dyDescent="0.25">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100000000000001" customHeight="1" x14ac:dyDescent="0.25">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100000000000001" customHeight="1" x14ac:dyDescent="0.25">
      <c r="A122"/>
      <c r="BN122" s="2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1" t="s">
        <v>63</v>
      </c>
      <c r="E127" s="21" t="s">
        <v>64</v>
      </c>
    </row>
    <row r="128" spans="1:66" ht="20.100000000000001" customHeight="1" x14ac:dyDescent="0.25">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3"/>
      <c r="BO138" s="23"/>
      <c r="BP138" s="23"/>
      <c r="BQ138" s="23"/>
      <c r="BR138" s="23"/>
      <c r="BS138" s="23"/>
      <c r="BT138" s="23"/>
      <c r="BU138" s="23"/>
      <c r="BV138" s="23"/>
      <c r="BW138" s="23"/>
      <c r="BX138" s="23"/>
      <c r="BY138" s="23"/>
    </row>
    <row r="139" spans="1:77" ht="20.100000000000001" customHeight="1" x14ac:dyDescent="0.25">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100000000000001" customHeight="1" x14ac:dyDescent="0.25">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100000000000001" customHeight="1" x14ac:dyDescent="0.25">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100000000000001" customHeight="1" x14ac:dyDescent="0.25">
      <c r="A142"/>
      <c r="D142" s="21" t="s">
        <v>67</v>
      </c>
      <c r="E142" s="21" t="s">
        <v>66</v>
      </c>
      <c r="BN142" s="23"/>
    </row>
    <row r="143" spans="1:77" ht="20.100000000000001" customHeight="1" x14ac:dyDescent="0.25">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100000000000001" customHeight="1" x14ac:dyDescent="0.25">
      <c r="A148"/>
      <c r="BN148" s="23"/>
    </row>
    <row r="149" spans="1:66" ht="20.100000000000001" customHeight="1" x14ac:dyDescent="0.25">
      <c r="A149"/>
      <c r="BN149" s="23"/>
    </row>
    <row r="150" spans="1:66" ht="20.100000000000001" customHeight="1" x14ac:dyDescent="0.25">
      <c r="A150"/>
      <c r="D150" s="2" t="str" cm="1">
        <f t="array" ref="D150">Common_SourceData.Common_SourceData_DataScores_Scope3_Title()</f>
        <v>Australian data scores for scope 3</v>
      </c>
      <c r="BN150" s="23"/>
    </row>
    <row r="151" spans="1:66" ht="20.100000000000001" customHeight="1" x14ac:dyDescent="0.25">
      <c r="A151"/>
      <c r="D151" s="18" t="str" cm="1">
        <f t="array" ref="D151">Common_SourceData.Common_SourceData_DataScores_Scope3_Source()</f>
        <v>VEERG 2026: XXXXXXXX</v>
      </c>
      <c r="BN151" s="23"/>
    </row>
    <row r="152" spans="1:66" ht="20.100000000000001" customHeight="1" x14ac:dyDescent="0.25">
      <c r="A152"/>
      <c r="BN152" s="23"/>
    </row>
    <row r="153" spans="1:66" ht="20.100000000000001" customHeight="1" x14ac:dyDescent="0.25">
      <c r="A153"/>
      <c r="D153" s="21" t="s">
        <v>68</v>
      </c>
      <c r="E153" s="21" t="s">
        <v>69</v>
      </c>
      <c r="BC153" s="26"/>
      <c r="BD153" s="26"/>
      <c r="BE153" s="26"/>
      <c r="BF153" s="26"/>
      <c r="BG153" s="26"/>
      <c r="BH153" s="26"/>
      <c r="BI153" s="26"/>
      <c r="BJ153" s="26"/>
      <c r="BK153" s="26"/>
      <c r="BL153" s="26"/>
      <c r="BM153" s="26"/>
    </row>
    <row r="154" spans="1:66" ht="20.100000000000001" customHeight="1" x14ac:dyDescent="0.25">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100000000000001" customHeight="1" x14ac:dyDescent="0.25">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100000000000001" customHeight="1" x14ac:dyDescent="0.25">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3"/>
      <c r="BO165" s="23"/>
      <c r="BP165" s="23"/>
    </row>
    <row r="166" spans="4:68" ht="20.100000000000001" customHeight="1" x14ac:dyDescent="0.25">
      <c r="BN166" s="23"/>
      <c r="BO166" s="23"/>
      <c r="BP166" s="23"/>
    </row>
    <row r="167" spans="4:68" ht="20.100000000000001" customHeight="1" x14ac:dyDescent="0.25">
      <c r="D167" s="2" t="str" cm="1">
        <f t="array" ref="D167">Common_SourceData.Common_SourceData_EFleach_Title()</f>
        <v>Emission factor for nitrogen leaching and runoff</v>
      </c>
      <c r="BN167" s="23"/>
      <c r="BO167" s="23"/>
      <c r="BP167" s="23"/>
    </row>
    <row r="168" spans="4:68" ht="20.100000000000001" customHeight="1" x14ac:dyDescent="0.25">
      <c r="D168" s="18" t="str" cm="1">
        <f t="array" ref="D168">Common_SourceData.Common_SourceData_EFleach_Source()</f>
        <v>VEERG 2026:5.5.2.3 Constant Parameters</v>
      </c>
      <c r="BN168" s="23"/>
      <c r="BO168" s="23"/>
      <c r="BP168" s="23"/>
    </row>
    <row r="169" spans="4:68" ht="20.100000000000001" customHeight="1" x14ac:dyDescent="0.25">
      <c r="D169" s="18" t="str" cm="1">
        <f t="array" ref="D169">Common_SourceData.Common_SourceData_EFleach_NIRReference()</f>
        <v>National Inventory Report Volume 1: Equation 3.D.B_10</v>
      </c>
      <c r="BN169" s="23"/>
      <c r="BO169" s="23"/>
      <c r="BP169" s="23"/>
    </row>
    <row r="170" spans="4:68" ht="20.100000000000001" customHeight="1" x14ac:dyDescent="0.25">
      <c r="D170" s="1" t="str" cm="1">
        <f t="array" ref="D170:E170">Common_SourceData.Common_SourceData_EFleach_Data()</f>
        <v>EFleach</v>
      </c>
      <c r="E170" s="1">
        <v>1.0999999999999999E-2</v>
      </c>
      <c r="BN170" s="23"/>
      <c r="BO170" s="23"/>
      <c r="BP170" s="23"/>
    </row>
    <row r="171" spans="4:68" ht="20.100000000000001" customHeight="1" x14ac:dyDescent="0.25">
      <c r="BN171" s="23"/>
      <c r="BO171" s="23"/>
      <c r="BP171" s="23"/>
    </row>
    <row r="172" spans="4:68" ht="20.100000000000001" customHeight="1" x14ac:dyDescent="0.25">
      <c r="BN172" s="23"/>
      <c r="BO172" s="23"/>
      <c r="BP172" s="23"/>
    </row>
    <row r="173" spans="4:68" ht="20.100000000000001" customHeight="1" x14ac:dyDescent="0.25">
      <c r="D173" s="2" t="str" cm="1">
        <f t="array" ref="D173">Common_SourceData.Common_SourceData_DensityOfMethane_Title()</f>
        <v>p = density of methane</v>
      </c>
      <c r="BN173" s="23"/>
      <c r="BO173" s="23"/>
      <c r="BP173" s="23"/>
    </row>
    <row r="174" spans="4:68" ht="20.100000000000001" customHeight="1" x14ac:dyDescent="0.25">
      <c r="D174" s="18" t="str" cm="1">
        <f t="array" ref="D174">Common_SourceData.Common_SourceData_DensityOfMethane_Source()</f>
        <v>National Inventory Report 2023 Volume 1: Equations 3.B.1a_2, 3.B.1c_2, 3.B.3_1, 3.B.4g_2</v>
      </c>
      <c r="BN174" s="23"/>
      <c r="BO174" s="23"/>
      <c r="BP174" s="23"/>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3"/>
      <c r="BO175" s="23"/>
      <c r="BP175" s="23"/>
    </row>
    <row r="176" spans="4:68" ht="20.100000000000001" customHeight="1" x14ac:dyDescent="0.25">
      <c r="BN176" s="23"/>
      <c r="BO176" s="23"/>
      <c r="BP176" s="23"/>
    </row>
    <row r="177" spans="4:68" ht="20.100000000000001" customHeight="1" x14ac:dyDescent="0.25">
      <c r="BN177" s="23"/>
      <c r="BO177" s="23"/>
      <c r="BP177" s="23"/>
    </row>
    <row r="178" spans="4:68" ht="20.100000000000001" customHeight="1" x14ac:dyDescent="0.25">
      <c r="D178" s="2" t="str" cm="1">
        <f t="array" ref="D178">Common_SourceData.Common_SourceData_EFN2O_Title()</f>
        <v>Nitrous oxide emission factors for inorganic fertiliser application</v>
      </c>
      <c r="BN178" s="23"/>
      <c r="BO178" s="23"/>
      <c r="BP178" s="23"/>
    </row>
    <row r="179" spans="4:68" ht="20.100000000000001" customHeight="1" x14ac:dyDescent="0.25">
      <c r="D179" s="18" t="str" cm="1">
        <f t="array" ref="D179">Common_SourceData.Common_SourceData_EFN2O_Source()</f>
        <v>VEERG 2026: Table A.2.2.1</v>
      </c>
      <c r="BN179" s="23"/>
      <c r="BO179" s="23"/>
      <c r="BP179" s="23"/>
    </row>
    <row r="180" spans="4:68" ht="20.100000000000001" customHeight="1" x14ac:dyDescent="0.25">
      <c r="D180" s="10" t="str" cm="1">
        <f t="array" ref="D180">Common_SourceData.Common_SourceData_EFN2O_Unit()</f>
        <v>(kg N2O-N / kg N</v>
      </c>
    </row>
    <row r="181" spans="4:68" ht="20.100000000000001" customHeight="1" x14ac:dyDescent="0.25">
      <c r="D181" s="27" t="str" cm="1">
        <f t="array" ref="D181:D185">Common_SourceData.Common_SourceData_EFN2O_Variation()</f>
        <v>VARIATION OF SOURCE DATA:</v>
      </c>
    </row>
    <row r="182" spans="4:68" ht="20.100000000000001" customHeight="1" x14ac:dyDescent="0.25">
      <c r="D182" s="27" t="str">
        <v>Removed duplicate 'Aquaculture' row.</v>
      </c>
    </row>
    <row r="183" spans="4:68" ht="20.100000000000001" customHeight="1" x14ac:dyDescent="0.25">
      <c r="D183" s="27" t="str">
        <v>Removed asterisks to aid lookup.</v>
      </c>
    </row>
    <row r="184" spans="4:68" ht="20.100000000000001" customHeight="1" x14ac:dyDescent="0.25">
      <c r="D184" s="27" t="str">
        <v>Added 'production system only', 'rainfall zone' and 'irrigation method' columns to aid lookup.</v>
      </c>
    </row>
    <row r="185" spans="4:68" ht="20.100000000000001" customHeight="1" x14ac:dyDescent="0.25">
      <c r="D185" s="27" t="str">
        <v>Duplicated 'non-irrigated pasture' row with same EF for low and high rainfall zones to aid lookup.</v>
      </c>
    </row>
    <row r="186" spans="4:68" ht="20.100000000000001" customHeight="1" x14ac:dyDescent="0.25">
      <c r="D186" s="21" t="s">
        <v>70</v>
      </c>
      <c r="E186" s="21" t="s">
        <v>71</v>
      </c>
      <c r="F186" s="21" t="s">
        <v>72</v>
      </c>
      <c r="G186" s="21" t="s">
        <v>73</v>
      </c>
      <c r="H186" s="21" t="s">
        <v>74</v>
      </c>
    </row>
    <row r="187" spans="4:68" ht="20.100000000000001" customHeight="1" x14ac:dyDescent="0.25">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100000000000001" customHeight="1" x14ac:dyDescent="0.25">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100000000000001" customHeight="1" x14ac:dyDescent="0.25">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100000000000001" customHeight="1" x14ac:dyDescent="0.25">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100000000000001" customHeight="1" x14ac:dyDescent="0.25">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100000000000001" customHeight="1" x14ac:dyDescent="0.25">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x14ac:dyDescent="0.25">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x14ac:dyDescent="0.25">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x14ac:dyDescent="0.25">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7"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1" t="s">
        <v>41</v>
      </c>
      <c r="E206" s="21" t="s">
        <v>75</v>
      </c>
    </row>
    <row r="207" spans="4:8" x14ac:dyDescent="0.25">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1" t="s">
        <v>76</v>
      </c>
      <c r="E212" s="21" t="s">
        <v>77</v>
      </c>
    </row>
    <row r="213" spans="4:5" x14ac:dyDescent="0.25">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1" t="s">
        <v>78</v>
      </c>
      <c r="E231" s="21" t="s">
        <v>79</v>
      </c>
      <c r="F231" s="28" t="s">
        <v>80</v>
      </c>
      <c r="G231" s="21" t="s">
        <v>81</v>
      </c>
      <c r="H231" s="21" t="s">
        <v>82</v>
      </c>
      <c r="I231" s="21" t="s">
        <v>83</v>
      </c>
      <c r="J231" s="21" t="s">
        <v>84</v>
      </c>
      <c r="K231" s="21" t="s">
        <v>85</v>
      </c>
      <c r="L231" s="21" t="s">
        <v>86</v>
      </c>
      <c r="M231" s="21" t="s">
        <v>87</v>
      </c>
      <c r="N231" s="21" t="s">
        <v>88</v>
      </c>
      <c r="O231" s="21" t="s">
        <v>89</v>
      </c>
      <c r="P231" s="21" t="s">
        <v>90</v>
      </c>
      <c r="Q231" s="21" t="s">
        <v>91</v>
      </c>
      <c r="R231" s="21" t="s">
        <v>92</v>
      </c>
      <c r="S231" s="21" t="s">
        <v>93</v>
      </c>
    </row>
    <row r="232" spans="4:19" x14ac:dyDescent="0.25">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1" t="s">
        <v>94</v>
      </c>
      <c r="E257" s="21" t="s">
        <v>95</v>
      </c>
    </row>
    <row r="258" spans="4:66" x14ac:dyDescent="0.25">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202</v>
      </c>
    </row>
    <row r="264" spans="4:66" x14ac:dyDescent="0.25">
      <c r="D264" s="1" t="s">
        <v>203</v>
      </c>
    </row>
    <row r="265" spans="4:66" x14ac:dyDescent="0.25">
      <c r="D265" s="21" t="s">
        <v>298</v>
      </c>
      <c r="E265" s="21" t="s">
        <v>204</v>
      </c>
      <c r="F265" s="21" t="s">
        <v>205</v>
      </c>
      <c r="G265" s="21" t="s">
        <v>198</v>
      </c>
      <c r="V265" s="1"/>
      <c r="BN265" s="23"/>
    </row>
    <row r="266" spans="4:66" x14ac:dyDescent="0.25">
      <c r="D266" s="21" t="s">
        <v>250</v>
      </c>
      <c r="E266" s="21" t="s">
        <v>206</v>
      </c>
      <c r="F266" s="21" t="s">
        <v>207</v>
      </c>
      <c r="G266" s="21">
        <v>5</v>
      </c>
      <c r="V266" s="1"/>
      <c r="BN266" s="23"/>
    </row>
    <row r="267" spans="4:66" x14ac:dyDescent="0.25">
      <c r="D267" s="21" t="s">
        <v>262</v>
      </c>
      <c r="E267" s="21" t="s">
        <v>208</v>
      </c>
      <c r="F267" s="21" t="s">
        <v>199</v>
      </c>
      <c r="G267" s="21">
        <v>4</v>
      </c>
      <c r="V267" s="1"/>
      <c r="BN267" s="23"/>
    </row>
    <row r="268" spans="4:66" x14ac:dyDescent="0.25">
      <c r="D268" s="21" t="s">
        <v>263</v>
      </c>
      <c r="E268" s="21" t="s">
        <v>209</v>
      </c>
      <c r="F268" s="21" t="s">
        <v>210</v>
      </c>
      <c r="G268" s="21">
        <v>3</v>
      </c>
      <c r="V268" s="1"/>
      <c r="BN268" s="23"/>
    </row>
    <row r="269" spans="4:66" x14ac:dyDescent="0.25">
      <c r="D269" s="21" t="s">
        <v>296</v>
      </c>
      <c r="E269" s="21" t="s">
        <v>211</v>
      </c>
      <c r="F269" s="21" t="s">
        <v>212</v>
      </c>
      <c r="G269" s="21">
        <v>2</v>
      </c>
      <c r="V269" s="1"/>
      <c r="BN269" s="23"/>
    </row>
    <row r="270" spans="4:66" x14ac:dyDescent="0.25">
      <c r="D270" s="21" t="s">
        <v>297</v>
      </c>
      <c r="E270" s="21" t="s">
        <v>213</v>
      </c>
      <c r="F270" s="21" t="s">
        <v>214</v>
      </c>
      <c r="G270" s="21">
        <v>1</v>
      </c>
      <c r="V270" s="1"/>
      <c r="BN270" s="23"/>
    </row>
    <row r="273" spans="4:66" x14ac:dyDescent="0.25">
      <c r="D273" s="1" t="s">
        <v>215</v>
      </c>
    </row>
    <row r="274" spans="4:66" x14ac:dyDescent="0.25">
      <c r="D274" s="21" t="s">
        <v>298</v>
      </c>
      <c r="E274" s="21" t="s">
        <v>204</v>
      </c>
      <c r="F274" s="21" t="s">
        <v>205</v>
      </c>
      <c r="G274" s="21" t="s">
        <v>198</v>
      </c>
      <c r="V274" s="1"/>
      <c r="BN274" s="23"/>
    </row>
    <row r="275" spans="4:66" x14ac:dyDescent="0.25">
      <c r="D275" s="21" t="s">
        <v>294</v>
      </c>
      <c r="E275" s="21" t="s">
        <v>216</v>
      </c>
      <c r="F275" s="21" t="s">
        <v>200</v>
      </c>
      <c r="G275" s="21">
        <v>5</v>
      </c>
      <c r="V275" s="1"/>
      <c r="BN275" s="23"/>
    </row>
    <row r="276" spans="4:66" x14ac:dyDescent="0.25">
      <c r="D276" s="21" t="s">
        <v>251</v>
      </c>
      <c r="E276" s="21" t="s">
        <v>217</v>
      </c>
      <c r="F276" s="21" t="s">
        <v>218</v>
      </c>
      <c r="G276" s="21">
        <v>4</v>
      </c>
      <c r="V276" s="1"/>
      <c r="BN276" s="23"/>
    </row>
    <row r="277" spans="4:66" x14ac:dyDescent="0.25">
      <c r="D277" s="21" t="s">
        <v>256</v>
      </c>
      <c r="E277" s="21" t="s">
        <v>219</v>
      </c>
      <c r="F277" s="21" t="s">
        <v>220</v>
      </c>
      <c r="G277" s="21">
        <v>3</v>
      </c>
      <c r="V277" s="1"/>
      <c r="BN277" s="23"/>
    </row>
    <row r="278" spans="4:66" x14ac:dyDescent="0.25">
      <c r="D278" s="21" t="s">
        <v>283</v>
      </c>
      <c r="E278" s="21" t="s">
        <v>221</v>
      </c>
      <c r="F278" s="21" t="s">
        <v>222</v>
      </c>
      <c r="G278" s="21">
        <v>2</v>
      </c>
      <c r="V278" s="1"/>
      <c r="BN278" s="23"/>
    </row>
    <row r="279" spans="4:66" x14ac:dyDescent="0.25">
      <c r="D279" s="21" t="s">
        <v>295</v>
      </c>
      <c r="E279" s="21" t="s">
        <v>223</v>
      </c>
      <c r="F279" s="21" t="s">
        <v>224</v>
      </c>
      <c r="G279" s="21">
        <v>1</v>
      </c>
      <c r="V279" s="1"/>
      <c r="BN279" s="23"/>
    </row>
    <row r="282" spans="4:66" x14ac:dyDescent="0.25">
      <c r="D282" s="1" t="s">
        <v>225</v>
      </c>
    </row>
    <row r="283" spans="4:66" x14ac:dyDescent="0.25">
      <c r="D283" s="21" t="s">
        <v>298</v>
      </c>
      <c r="E283" s="21" t="s">
        <v>204</v>
      </c>
      <c r="F283" s="21" t="s">
        <v>205</v>
      </c>
      <c r="G283" s="21" t="s">
        <v>198</v>
      </c>
      <c r="V283" s="1"/>
      <c r="BN283" s="23"/>
    </row>
    <row r="284" spans="4:66" x14ac:dyDescent="0.25">
      <c r="D284" s="21" t="s">
        <v>252</v>
      </c>
      <c r="E284" s="21" t="s">
        <v>226</v>
      </c>
      <c r="F284" s="21" t="s">
        <v>227</v>
      </c>
      <c r="G284" s="21">
        <v>5</v>
      </c>
      <c r="V284" s="1"/>
      <c r="BN284" s="23"/>
    </row>
    <row r="285" spans="4:66" x14ac:dyDescent="0.25">
      <c r="D285" s="21" t="s">
        <v>257</v>
      </c>
      <c r="E285" s="21" t="s">
        <v>228</v>
      </c>
      <c r="F285" s="21" t="s">
        <v>229</v>
      </c>
      <c r="G285" s="21">
        <v>4</v>
      </c>
      <c r="V285" s="1"/>
      <c r="BN285" s="23"/>
    </row>
    <row r="286" spans="4:66" x14ac:dyDescent="0.25">
      <c r="D286" s="21" t="s">
        <v>254</v>
      </c>
      <c r="E286" s="21" t="s">
        <v>230</v>
      </c>
      <c r="F286" s="21" t="s">
        <v>201</v>
      </c>
      <c r="G286" s="21">
        <v>3</v>
      </c>
      <c r="V286" s="1"/>
      <c r="BN286" s="23"/>
    </row>
    <row r="287" spans="4:66" x14ac:dyDescent="0.25">
      <c r="D287" s="21" t="s">
        <v>270</v>
      </c>
      <c r="E287" s="21" t="s">
        <v>231</v>
      </c>
      <c r="F287" s="21" t="s">
        <v>232</v>
      </c>
      <c r="G287" s="21">
        <v>2</v>
      </c>
      <c r="V287" s="1"/>
      <c r="BN287" s="23"/>
    </row>
    <row r="288" spans="4:66" x14ac:dyDescent="0.25">
      <c r="D288" s="21" t="s">
        <v>272</v>
      </c>
      <c r="E288" s="21" t="s">
        <v>233</v>
      </c>
      <c r="F288" s="21" t="s">
        <v>234</v>
      </c>
      <c r="G288" s="21">
        <v>1</v>
      </c>
      <c r="V288" s="1"/>
      <c r="BN288" s="23"/>
    </row>
    <row r="291" spans="4:66" x14ac:dyDescent="0.25">
      <c r="D291" s="1" t="s">
        <v>235</v>
      </c>
    </row>
    <row r="292" spans="4:66" x14ac:dyDescent="0.25">
      <c r="D292" s="21" t="s">
        <v>298</v>
      </c>
      <c r="E292" s="21" t="s">
        <v>204</v>
      </c>
      <c r="F292" s="21" t="s">
        <v>205</v>
      </c>
      <c r="G292" s="21" t="s">
        <v>198</v>
      </c>
      <c r="V292" s="1"/>
      <c r="BN292" s="23"/>
    </row>
    <row r="293" spans="4:66" x14ac:dyDescent="0.25">
      <c r="D293" s="21" t="s">
        <v>299</v>
      </c>
      <c r="E293" s="21" t="s">
        <v>236</v>
      </c>
      <c r="F293" s="21" t="s">
        <v>237</v>
      </c>
      <c r="G293" s="21">
        <v>5</v>
      </c>
      <c r="V293" s="1"/>
      <c r="BN293" s="23"/>
    </row>
    <row r="294" spans="4:66" x14ac:dyDescent="0.25">
      <c r="D294" s="21" t="s">
        <v>300</v>
      </c>
      <c r="E294" s="21" t="s">
        <v>238</v>
      </c>
      <c r="F294" s="21" t="s">
        <v>239</v>
      </c>
      <c r="G294" s="21">
        <v>4</v>
      </c>
      <c r="V294" s="1"/>
      <c r="BN294" s="23"/>
    </row>
    <row r="295" spans="4:66" x14ac:dyDescent="0.25">
      <c r="D295" s="21" t="s">
        <v>301</v>
      </c>
      <c r="E295" s="21" t="s">
        <v>240</v>
      </c>
      <c r="F295" s="21" t="s">
        <v>241</v>
      </c>
      <c r="G295" s="21">
        <v>3</v>
      </c>
      <c r="V295" s="1"/>
      <c r="BN295" s="23"/>
    </row>
    <row r="296" spans="4:66" x14ac:dyDescent="0.25">
      <c r="D296" s="21" t="s">
        <v>302</v>
      </c>
      <c r="E296" s="21" t="s">
        <v>242</v>
      </c>
      <c r="F296" s="21" t="s">
        <v>243</v>
      </c>
      <c r="G296" s="21">
        <v>2</v>
      </c>
      <c r="V296" s="1"/>
      <c r="BN296" s="23"/>
    </row>
    <row r="297" spans="4:66" x14ac:dyDescent="0.25">
      <c r="D297" s="21" t="s">
        <v>303</v>
      </c>
      <c r="E297" s="21" t="s">
        <v>244</v>
      </c>
      <c r="F297" s="21" t="s">
        <v>245</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54</vt:i4>
      </vt:variant>
    </vt:vector>
  </HeadingPairs>
  <TitlesOfParts>
    <vt:vector size="63" baseType="lpstr">
      <vt:lpstr>Home</vt:lpstr>
      <vt:lpstr>Results - Activity period</vt:lpstr>
      <vt:lpstr>Results - Product EI</vt:lpstr>
      <vt:lpstr>Input - Site</vt:lpstr>
      <vt:lpstr>Input - Enterprise</vt:lpstr>
      <vt:lpstr>Input - Fert Prod System</vt:lpstr>
      <vt:lpstr>Input - Livestock sales</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X_ResultsTable_ActivityPeriod_Scope1</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2026-08-18T14:54:45Z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