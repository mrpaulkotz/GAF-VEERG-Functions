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A29CCB5C-993B-42EE-AEB4-DF4B635279E4}" xr6:coauthVersionLast="47" xr6:coauthVersionMax="47" xr10:uidLastSave="{00000000-0000-0000-0000-000000000000}"/>
  <bookViews>
    <workbookView xWindow="825" yWindow="855" windowWidth="37785" windowHeight="19140" activeTab="7" xr2:uid="{992023F3-CAB7-4E5B-A348-08D563A0EF40}"/>
  </bookViews>
  <sheets>
    <sheet name="Home" sheetId="71" r:id="rId1"/>
    <sheet name="Results" sheetId="13" r:id="rId2"/>
    <sheet name="Input - Site" sheetId="75" r:id="rId3"/>
    <sheet name="Input - Enterprise" sheetId="72" r:id="rId4"/>
    <sheet name="Input - Fert Prod System" sheetId="76" r:id="rId5"/>
    <sheet name="Input - Livestock sales" sheetId="77" r:id="rId6"/>
    <sheet name="Input - Data quality" sheetId="78" r:id="rId7"/>
    <sheet name="Constants - Common" sheetId="74" r:id="rId8"/>
  </sheets>
  <definedNames>
    <definedName name="Common_Equations.Common_ConvertCH4ToCO2e" localSheetId="6">_xlfn.LAMBDA(_xlpm.E_CH4,_xlpm.GWP_CH4, _xlpm.E_CH4 * _xlpm.GWP_CH4)</definedName>
    <definedName name="Common_Equations.Common_ConvertCH4ToCO2e">_xlfn.LAMBDA(_xlpm.E_CH4,_xlpm.GWP_CH4, _xlpm.E_CH4 * _xlpm.GWP_CH4)</definedName>
    <definedName name="Common_Equations.Common_ConvertCH4ToCO2e_Arguments" localSheetId="6">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6">_xlfn.LAMBDA(_xlpm.E_N2O,_xlpm.GWP_N2O, _xlpm.E_N2O * _xlpm.GWP_N2O)</definedName>
    <definedName name="Common_Equations.Common_ConvertN2OToCO2e">_xlfn.LAMBDA(_xlpm.E_N2O,_xlpm.GWP_N2O, _xlpm.E_N2O * _xlpm.GWP_N2O)</definedName>
    <definedName name="Common_Equations.Common_ConvertN2OToCO2e_Arguments" localSheetId="6">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6">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 localSheetId="6">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6">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6">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6">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6">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6">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6">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6">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6">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 localSheetId="6">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 localSheetId="6">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6">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6">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6">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6">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6">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6">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6">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6">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6">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6">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6">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 localSheetId="6">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 localSheetId="6">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6">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6">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6">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6">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 i="78" l="1"/>
  <c r="J12" i="78"/>
  <c r="J11" i="78"/>
  <c r="J10" i="78"/>
  <c r="J9" i="78"/>
  <c r="J8" i="78"/>
  <c r="J24" i="78"/>
  <c r="J23" i="78"/>
  <c r="J22" i="78"/>
  <c r="J21" i="78"/>
  <c r="J20" i="78"/>
  <c r="J19" i="78"/>
  <c r="J41" i="78"/>
  <c r="J40" i="78"/>
  <c r="J39" i="78"/>
  <c r="J38" i="78"/>
  <c r="J37" i="78"/>
  <c r="J36" i="78"/>
  <c r="J35" i="78"/>
  <c r="J34" i="78"/>
  <c r="J33" i="78"/>
  <c r="J32" i="78"/>
  <c r="J31" i="78"/>
  <c r="J30" i="78"/>
  <c r="J51" i="78"/>
  <c r="J50" i="78"/>
  <c r="J49" i="78"/>
  <c r="J48" i="78"/>
  <c r="J47" i="78"/>
  <c r="J60" i="78"/>
  <c r="J59" i="78"/>
  <c r="J58" i="78"/>
  <c r="J57" i="78"/>
  <c r="E52" i="13" l="1"/>
  <c r="E51" i="13"/>
  <c r="F41" i="13"/>
  <c r="E41" i="13"/>
  <c r="F40" i="13"/>
  <c r="E40" i="13"/>
  <c r="E22" i="72"/>
  <c r="I16" i="77" l="1"/>
  <c r="I15" i="77"/>
  <c r="I14" i="77"/>
  <c r="I13" i="77"/>
  <c r="I12" i="77"/>
  <c r="I11" i="77"/>
  <c r="I10" i="77"/>
  <c r="I9" i="77"/>
  <c r="I8" i="77"/>
  <c r="I7" i="77"/>
  <c r="E10" i="76" a="1"/>
  <c r="E10" i="76" s="1"/>
  <c r="E9" i="76" a="1"/>
  <c r="E9" i="76" s="1"/>
  <c r="G75" i="13" l="1"/>
  <c r="G73" i="13"/>
  <c r="F76" i="13"/>
  <c r="F75" i="13"/>
  <c r="F74" i="13"/>
  <c r="F64" i="13"/>
  <c r="F65" i="13" s="1"/>
  <c r="G74" i="13"/>
  <c r="G72" i="13"/>
  <c r="E29" i="72"/>
  <c r="F72" i="13" l="1"/>
  <c r="F73" i="13"/>
  <c r="E7" i="13" a="1"/>
  <c r="E7" i="13" s="1"/>
  <c r="F11" i="13" a="1"/>
  <c r="F11" i="13" s="1"/>
  <c r="E11" i="13" a="1"/>
  <c r="E11" i="13" s="1"/>
  <c r="F10" i="13" a="1"/>
  <c r="F10" i="13" s="1"/>
  <c r="E10" i="13" a="1"/>
  <c r="E10" i="13" s="1"/>
  <c r="F9" i="13" a="1"/>
  <c r="F9" i="13" s="1"/>
  <c r="E9" i="13" a="1"/>
  <c r="E9" i="13" s="1"/>
  <c r="F8" i="13" a="1"/>
  <c r="F8" i="13" s="1"/>
  <c r="E8" i="13" a="1"/>
  <c r="E8" i="13" s="1"/>
  <c r="E27" i="13" a="1"/>
  <c r="E27" i="13" s="1"/>
  <c r="E26" i="13" a="1"/>
  <c r="E26" i="13" s="1"/>
  <c r="H26" i="13" s="1"/>
  <c r="E25" i="13" a="1"/>
  <c r="E25" i="13" s="1"/>
  <c r="E24" i="13" a="1"/>
  <c r="E24" i="13" s="1"/>
  <c r="F24" i="13" s="1"/>
  <c r="E23" i="13" a="1"/>
  <c r="E23" i="13" s="1"/>
  <c r="H23" i="13" s="1"/>
  <c r="F21" i="13"/>
  <c r="E22" i="13" a="1"/>
  <c r="E22" i="13" s="1"/>
  <c r="F22" i="13" s="1"/>
  <c r="E21" i="13" a="1"/>
  <c r="E21" i="13" s="1"/>
  <c r="E20" i="13" a="1"/>
  <c r="E20" i="13" s="1"/>
  <c r="H20" i="13" s="1"/>
  <c r="F19" i="13" a="1"/>
  <c r="F19" i="13" s="1"/>
  <c r="E19" i="13" a="1"/>
  <c r="E19" i="13" s="1"/>
  <c r="F18" i="13" a="1"/>
  <c r="F18" i="13" s="1"/>
  <c r="E18" i="13" a="1"/>
  <c r="E18" i="13" s="1"/>
  <c r="E17" i="13" a="1"/>
  <c r="E17" i="13" s="1"/>
  <c r="E16" i="13" a="1"/>
  <c r="E16" i="13" s="1"/>
  <c r="E15" i="13" a="1"/>
  <c r="E15" i="13" s="1"/>
  <c r="E14" i="13" a="1"/>
  <c r="E14" i="13" s="1"/>
  <c r="E13" i="13" a="1"/>
  <c r="E13" i="13" s="1"/>
  <c r="F13" i="13" s="1"/>
  <c r="I13" i="13" s="1"/>
  <c r="F12" i="13" a="1"/>
  <c r="F12" i="13" s="1"/>
  <c r="E12" i="13" a="1"/>
  <c r="E12" i="13" s="1"/>
  <c r="F7" i="13" a="1"/>
  <c r="F7" i="13" s="1"/>
  <c r="D37" i="13" a="1"/>
  <c r="D48" i="13" a="1"/>
  <c r="F81" i="13"/>
  <c r="F80" i="13"/>
  <c r="F68" i="13"/>
  <c r="F66" i="13"/>
  <c r="D33" i="13" a="1"/>
  <c r="D33"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E50" i="13" l="1"/>
  <c r="E49" i="13"/>
  <c r="D37" i="13"/>
  <c r="F39" i="13"/>
  <c r="E39" i="13"/>
  <c r="H16" i="13" a="1"/>
  <c r="H16" i="13" s="1"/>
  <c r="F16" i="13"/>
  <c r="I16" i="13" s="1" a="1"/>
  <c r="I16" i="13" s="1"/>
  <c r="D48" i="13"/>
  <c r="E48" i="13" s="1"/>
  <c r="E53" i="13" s="1"/>
  <c r="H17" i="13" a="1"/>
  <c r="H17" i="13" s="1"/>
  <c r="H18" i="13" a="1"/>
  <c r="H18" i="13" s="1"/>
  <c r="F26" i="13"/>
  <c r="I26" i="13" s="1"/>
  <c r="I18" i="13" a="1"/>
  <c r="I18" i="13" s="1"/>
  <c r="H8" i="13" a="1"/>
  <c r="H8" i="13" s="1"/>
  <c r="H19" i="13" a="1"/>
  <c r="H19" i="13" s="1"/>
  <c r="I8" i="13" a="1"/>
  <c r="I8" i="13" s="1"/>
  <c r="I19" i="13" a="1"/>
  <c r="I19" i="13" s="1"/>
  <c r="H9" i="13" a="1"/>
  <c r="H9" i="13" s="1"/>
  <c r="I7" i="13" a="1"/>
  <c r="I7" i="13" s="1"/>
  <c r="I28" i="13" s="1"/>
  <c r="F38" i="13" s="1"/>
  <c r="I9" i="13" a="1"/>
  <c r="I9" i="13" s="1"/>
  <c r="H12" i="13" a="1"/>
  <c r="H12" i="13" s="1"/>
  <c r="H21" i="13" a="1"/>
  <c r="H21" i="13" s="1"/>
  <c r="H10" i="13" a="1"/>
  <c r="H10" i="13" s="1"/>
  <c r="I12" i="13" a="1"/>
  <c r="I12" i="13" s="1"/>
  <c r="I22" i="13" a="1"/>
  <c r="I22" i="13" s="1"/>
  <c r="I10" i="13" a="1"/>
  <c r="I10" i="13" s="1"/>
  <c r="F20" i="13"/>
  <c r="I20" i="13" s="1"/>
  <c r="H11" i="13" a="1"/>
  <c r="H11" i="13" s="1"/>
  <c r="E22" i="75"/>
  <c r="H14" i="13" a="1"/>
  <c r="H14" i="13" s="1"/>
  <c r="I21" i="13" a="1"/>
  <c r="I21" i="13" s="1"/>
  <c r="I11" i="13" a="1"/>
  <c r="I11" i="13" s="1"/>
  <c r="H7" i="13" a="1"/>
  <c r="H7" i="13" s="1"/>
  <c r="H28" i="13" s="1"/>
  <c r="E38" i="13" s="1"/>
  <c r="I24" i="13" a="1"/>
  <c r="I24" i="13" s="1"/>
  <c r="H25" i="13" a="1"/>
  <c r="H25" i="13" s="1"/>
  <c r="G64" i="13"/>
  <c r="G65" i="13" s="1"/>
  <c r="F67" i="13"/>
  <c r="H27" i="13"/>
  <c r="F27" i="13"/>
  <c r="I27" i="13" s="1"/>
  <c r="F15" i="13"/>
  <c r="I15" i="13" s="1"/>
  <c r="H15" i="13"/>
  <c r="F17" i="13"/>
  <c r="I17" i="13" s="1" a="1"/>
  <c r="I17" i="13" s="1"/>
  <c r="H24" i="13" a="1"/>
  <c r="H24" i="13" s="1"/>
  <c r="H13" i="13"/>
  <c r="F23" i="13"/>
  <c r="I23" i="13" s="1"/>
  <c r="F25" i="13"/>
  <c r="I25" i="13" s="1" a="1"/>
  <c r="I25" i="13" s="1"/>
  <c r="H22" i="13" a="1"/>
  <c r="H22" i="13" s="1"/>
  <c r="F14" i="13"/>
  <c r="I14" i="13" s="1" a="1"/>
  <c r="I14" i="13" s="1"/>
  <c r="E19" i="75"/>
  <c r="E20" i="75"/>
  <c r="E21" i="75" s="1"/>
  <c r="H54" i="74"/>
  <c r="H51" i="74"/>
  <c r="H49" i="74"/>
  <c r="G66" i="13"/>
  <c r="G67" i="13" s="1"/>
  <c r="H53" i="74"/>
  <c r="H48" i="74"/>
  <c r="H52" i="74"/>
  <c r="H50" i="74"/>
  <c r="E37" i="13" l="1"/>
  <c r="F37" i="13"/>
  <c r="A20" i="13"/>
  <c r="A19" i="13"/>
  <c r="A18" i="13"/>
  <c r="A17" i="13"/>
  <c r="A14" i="13"/>
  <c r="A13" i="13"/>
  <c r="A12" i="13"/>
  <c r="A11" i="13"/>
  <c r="A8" i="13"/>
  <c r="A7" i="13"/>
  <c r="A4" i="13"/>
  <c r="A3" i="13"/>
  <c r="E42" i="13" l="1"/>
  <c r="H64" i="13" s="1"/>
  <c r="H72" i="13" l="1"/>
  <c r="H66" i="13"/>
  <c r="H74" i="13"/>
  <c r="E59" i="13"/>
  <c r="F42" i="13"/>
  <c r="H67" i="13" l="1"/>
  <c r="H73" i="13"/>
  <c r="H75" i="13"/>
  <c r="H80" i="13"/>
  <c r="H65" i="13"/>
  <c r="I74" i="13"/>
  <c r="I66" i="13"/>
  <c r="I72" i="13"/>
  <c r="I64" i="13"/>
  <c r="F59" i="13"/>
  <c r="I67" i="13" l="1"/>
  <c r="I73" i="13"/>
  <c r="I75" i="13"/>
  <c r="I81"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<sst xmlns="http://schemas.openxmlformats.org/spreadsheetml/2006/main" count="591" uniqueCount="319">
  <si>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</si>
  <si>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</si>
  <si>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</si>
  <si>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</si>
  <si>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</si>
  <si>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</si>
  <si>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</si>
  <si>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</si>
  <si>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</si>
  <si>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</si>
  <si>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</si>
  <si>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</si>
  <si>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</si>
  <si>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</si>
  <si>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</si>
  <si>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</si>
  <si>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</si>
  <si>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</si>
  <si>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</si>
  <si>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</si>
  <si>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</si>
  <si>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</si>
  <si>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</si>
  <si>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</si>
  <si>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</si>
  <si>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</si>
  <si>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</si>
  <si>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</si>
  <si>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</si>
  <si>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</si>
  <si>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</si>
  <si>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</si>
  <si>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</si>
  <si>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</si>
  <si>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</si>
  <si>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</si>
  <si>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</si>
  <si>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</si>
  <si>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</si>
  <si>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</si>
  <si>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</si>
  <si>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</si>
  <si>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</si>
  <si>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</si>
  <si>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</si>
  <si>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</si>
  <si>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</si>
  <si>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</si>
  <si>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</si>
  <si>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</si>
  <si>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</si>
  <si>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</si>
  <si>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</si>
  <si>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</si>
  <si>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</si>
  <si>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</si>
  <si>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</si>
  <si>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</si>
  <si>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</si>
  <si>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</si>
  <si>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</si>
  <si>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</si>
  <si>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</si>
  <si>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</si>
  <si>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</si>
  <si>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</si>
  <si>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</si>
  <si>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</si>
  <si>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</si>
  <si>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</si>
  <si>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</si>
  <si>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</si>
  <si>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</si>
  <si>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</si>
  <si>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</si>
  <si>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</si>
  <si>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</si>
  <si>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</si>
  <si>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</si>
  <si>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</si>
  <si>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</si>
  <si>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</si>
  <si>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</si>
  <si>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</si>
  <si>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</si>
  <si>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</si>
  <si>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</si>
  <si>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</si>
  <si>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</si>
  <si>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</si>
  <si>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</si>
  <si>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</si>
  <si>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</si>
  <si>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</si>
  <si>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</si>
  <si>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</si>
  <si>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</si>
  <si>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</si>
  <si>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</si>
  <si>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</si>
  <si>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</si>
  <si>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</si>
  <si>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</si>
  <si>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</si>
  <si>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</si>
  <si>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</si>
  <si>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</si>
  <si>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</si>
  <si>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</si>
  <si>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</si>
  <si>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</si>
  <si>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</si>
  <si>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</si>
  <si>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</si>
  <si>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</si>
  <si>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</si>
  <si>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</si>
  <si>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</si>
  <si>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</si>
  <si>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</si>
  <si>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</si>
  <si>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</si>
  <si>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</si>
  <si>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</si>
  <si>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</si>
  <si>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</si>
  <si>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</si>
  <si>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</si>
  <si>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</si>
  <si>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</si>
  <si>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</si>
  <si>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</si>
  <si>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</si>
  <si>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</si>
  <si>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</si>
  <si>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</si>
  <si>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</si>
  <si>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</si>
  <si>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</si>
  <si>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</si>
  <si>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</si>
  <si>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</si>
  <si>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</si>
  <si>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</si>
  <si>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</si>
  <si>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</si>
  <si>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</si>
  <si>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</si>
  <si>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</si>
  <si>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</si>
  <si>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</si>
  <si>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</si>
  <si>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</si>
  <si>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</si>
  <si>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</si>
  <si>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</si>
  <si>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</si>
  <si>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</si>
  <si>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</si>
  <si>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</si>
  <si>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</si>
  <si>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</si>
  <si>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</si>
  <si>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</si>
  <si>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</si>
  <si>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</si>
  <si>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</si>
  <si>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</si>
  <si>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</si>
  <si>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</si>
  <si>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</si>
  <si>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</si>
  <si>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</si>
  <si>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</si>
  <si>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</si>
  <si>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</si>
  <si>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</si>
  <si>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</si>
  <si>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</si>
  <si>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</si>
  <si>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</si>
  <si>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</si>
  <si>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</si>
  <si>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</si>
  <si>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</si>
  <si>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</si>
  <si>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</si>
  <si>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</si>
  <si>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</si>
  <si>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</si>
  <si>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</si>
  <si>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</si>
  <si>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</si>
  <si>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</si>
  <si>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</si>
  <si>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</si>
  <si>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</si>
  <si>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</si>
  <si>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</si>
  <si>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</si>
  <si>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</si>
  <si>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</si>
  <si>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</si>
  <si>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</si>
  <si>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</si>
  <si>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</si>
  <si>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</si>
  <si>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</si>
  <si>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Input</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</si>
  <si>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</si>
  <si>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</si>
  <si>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</si>
  <si>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</si>
  <si>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</si>
  <si>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</si>
  <si>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</si>
  <si>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</si>
  <si>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</si>
  <si>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</si>
  <si>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</si>
  <si>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</si>
  <si>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</si>
  <si>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</si>
  <si>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</si>
  <si>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</si>
  <si>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</si>
  <si>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</si>
  <si>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</si>
  <si>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</si>
  <si>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</si>
  <si>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</si>
  <si>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</si>
  <si>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</si>
  <si>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</si>
  <si>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</si>
  <si>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</si>
  <si>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</si>
  <si>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</si>
  <si>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</si>
  <si>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</si>
  <si>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</si>
  <si>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</si>
  <si>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</si>
  <si>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</si>
  <si>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</si>
  <si>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</si>
  <si>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</si>
  <si>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</si>
  <si>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</si>
  <si>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</si>
  <si>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</si>
  <si>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</si>
  <si>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</si>
  <si>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</si>
  <si>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</si>
  <si>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</si>
  <si>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</si>
  <si>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</si>
  <si>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</si>
  <si>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</si>
  <si>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</si>
  <si>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</si>
  <si>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</si>
  <si>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</si>
  <si>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</si>
  <si>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</si>
  <si>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Liveweight grown</t>
  </si>
  <si>
    <t>Between 21% and 50%</t>
  </si>
  <si>
    <t>Manure produced</t>
  </si>
  <si>
    <t>Regional-level data from a government or industry database/survey</t>
  </si>
  <si>
    <t>Between 51% and 90%</t>
  </si>
  <si>
    <t>Manure sold</t>
  </si>
  <si>
    <t>Percent income from liveweight sold</t>
  </si>
  <si>
    <t>Percent income from manure sold</t>
  </si>
  <si>
    <t>Site</t>
  </si>
  <si>
    <t>Within 2 years of this emissions calculation period</t>
  </si>
  <si>
    <t>Within 3 years of this emissions calculation period</t>
  </si>
  <si>
    <t>Pasture Beef</t>
  </si>
  <si>
    <t>Livestock production region</t>
  </si>
  <si>
    <t>Cattle breed</t>
  </si>
  <si>
    <t>Head count</t>
  </si>
  <si>
    <t>Liveweight</t>
  </si>
  <si>
    <t>Liveweight gain</t>
  </si>
  <si>
    <t>Less than 20%</t>
  </si>
  <si>
    <t>Dry matter digestibility of diet</t>
  </si>
  <si>
    <t>Unknown</t>
  </si>
  <si>
    <t>Crude protein in diet</t>
  </si>
  <si>
    <t>Livestock access to water bodies</t>
  </si>
  <si>
    <t>Calving timing</t>
  </si>
  <si>
    <t>Calving rates</t>
  </si>
  <si>
    <t>Livestock sales</t>
  </si>
  <si>
    <t>Livestock purchases</t>
  </si>
  <si>
    <t>Pasture management</t>
  </si>
  <si>
    <t>Pasture type</t>
  </si>
  <si>
    <t>Area under pasture</t>
  </si>
  <si>
    <t>Pasture yield</t>
  </si>
  <si>
    <t>State-level data from a government or industry database/survey</t>
  </si>
  <si>
    <t>Area of pasture renewed or removed</t>
  </si>
  <si>
    <t>Fertiliser applications</t>
  </si>
  <si>
    <t>Branded inorganic fertiliser applications</t>
  </si>
  <si>
    <t>Custom inorganic fertiliser blend applications</t>
  </si>
  <si>
    <t>Lime applications</t>
  </si>
  <si>
    <t>Organic fertiliser applications</t>
  </si>
  <si>
    <t>Farm inputs</t>
  </si>
  <si>
    <t>Fuel consumption</t>
  </si>
  <si>
    <t>Electricity consumption</t>
  </si>
  <si>
    <t>Inbound freight use</t>
  </si>
  <si>
    <t>Outbound freight use</t>
  </si>
  <si>
    <t>Solid waste generated</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</si>
  <si>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</si>
  <si>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</si>
  <si>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</si>
  <si>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</si>
  <si>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</si>
  <si>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</si>
  <si>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This location with spatial partitioning</t>
  </si>
  <si>
    <t>National-level data from a government or industry database/survey</t>
  </si>
  <si>
    <t>Within 4 years of this emissions calculation period</t>
  </si>
  <si>
    <t>Unknown, or more than 4 years of this emissions calculation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</si>
</sst>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1">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0" fontId="0" fillId="0" borderId="0" xfId="14" applyFont="1" applyBorder="1">
      <alignment horizontal="center" vertical="center"/>
    </xf>
    <xf numFmtId="49" fontId="0" fillId="0" borderId="0" xfId="14" applyNumberFormat="1" applyFont="1" applyBorder="1">
      <alignment horizontal="center" vertical="center"/>
    </xf>
    <xf numFmtId="0" fontId="0" fillId="0" borderId="2" xfId="14" applyFont="1">
      <alignment horizontal="center" vertical="center"/>
    </xf>
    <xf numFmtId="0" fontId="0" fillId="0" borderId="17" xfId="14" applyFont="1" applyBorder="1">
      <alignment horizontal="center" vertical="center"/>
    </xf>
    <xf numFmtId="0" fontId="3" fillId="12" borderId="17" xfId="15" applyBorder="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3"/>
      <tableStyleElement type="headerRow" dxfId="62"/>
      <tableStyleElement type="totalRow" dxfId="61"/>
      <tableStyleElement type="firstColumn" dxfId="60"/>
      <tableStyleElement type="firstRowStripe" dxfId="59"/>
      <tableStyleElement type="secondRowStripe" dxfId="58"/>
    </tableStyle>
    <tableStyle name="Equation table" pivot="0" count="6" xr9:uid="{B247698E-E41D-4CCD-AA0A-C14817E9DE65}">
      <tableStyleElement type="wholeTable" dxfId="57"/>
      <tableStyleElement type="headerRow" dxfId="56"/>
      <tableStyleElement type="totalRow" dxfId="55"/>
      <tableStyleElement type="firstColumn" dxfId="54"/>
      <tableStyleElement type="firstRowStripe" dxfId="53"/>
      <tableStyleElement type="secondRowStripe" dxfId="52"/>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1"/>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Input"/>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13"/>
    <tableColumn id="6" xr3:uid="{11350DC8-38DD-4ED1-9576-EFE00DF98F4A}" name="Evidence files" dataDxfId="12"/>
    <tableColumn id="7" xr3:uid="{CE5261A6-B4FC-4B62-A6AC-54C6FAAD82CB}"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Input"/>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11"/>
    <tableColumn id="6" xr3:uid="{AB44CE99-224A-437D-A5B1-932D9C46AAB8}" name="Evidence files" dataDxfId="10"/>
    <tableColumn id="7" xr3:uid="{1FE786EC-0690-4DC1-8777-E78069DC2895}"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Input"/>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9"/>
    <tableColumn id="6" xr3:uid="{8407DCE3-2C71-4594-89B2-6C5DC5A27F02}" name="Evidence files" dataDxfId="8"/>
    <tableColumn id="7" xr3:uid="{55D19874-2970-424B-BFAA-72F0A3A76D94}" name="Score" dataCellStyle="Input number general calculated">
      <calculatedColumnFormula>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Input"/>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7"/>
    <tableColumn id="6" xr3:uid="{4E8DFB0B-42BF-4238-AE47-4694D0ABF414}" name="Evidence files" dataDxfId="6"/>
    <tableColumn id="7" xr3:uid="{99FD6CF0-B6A4-43E3-9E7B-C0828CA99963}"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Input"/>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5"/>
    <tableColumn id="6" xr3:uid="{59BA769D-6DE0-45F8-9AE4-CE630F78ADD3}" name="Evidence files" dataDxfId="4"/>
    <tableColumn id="7" xr3:uid="{AAA07962-65D6-499A-961F-5DA90E26C83A}"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3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3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3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3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3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67FAD42-8AB4-4639-8450-9624BA991C99}" name="Table_SourceData_DataQuality_TemporalRepresentativeness" displayName="Table_SourceData_DataQuality_TemporalRepresentativeness" ref="D264:G269" totalsRowShown="0">
  <autoFilter ref="D264:G269" xr:uid="{D67FAD42-8AB4-4639-8450-9624BA991C99}"/>
  <tableColumns count="4">
    <tableColumn id="4" xr3:uid="{19444EFC-AE36-4982-AEBD-DD73A302FEC2}" name="User friendly description" dataDxfId="0" dataCellStyle="Content normal"/>
    <tableColumn id="2" xr3:uid="{BB7A2FA0-2DBA-461D-86D5-20BE3BA4442F}" name="Description" dataDxfId="14" dataCellStyle="Content normal"/>
    <tableColumn id="1" xr3:uid="{1F666E78-71B7-439A-9E9A-8AFF806F863D}" name="ID"/>
    <tableColumn id="3" xr3:uid="{62ADD8B0-D687-477D-8393-8E35D21C44C6}"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860289C-54F1-46B6-957C-F43CBE9E0DBB}" name="Table_SourceData_DataQuality_SpatialRepresentativeness" displayName="Table_SourceData_DataQuality_SpatialRepresentativeness" ref="D273:G278" totalsRowShown="0">
  <autoFilter ref="D273:G278" xr:uid="{7860289C-54F1-46B6-957C-F43CBE9E0DBB}"/>
  <tableColumns count="4">
    <tableColumn id="4" xr3:uid="{D380063A-6A70-4B5D-8BD7-F51DE1FE453F}" name="User friendly description" dataDxfId="1" dataCellStyle="Content normal"/>
    <tableColumn id="1" xr3:uid="{D95B8C13-8D86-4A4A-A000-1F89CE2D86B7}" name="Description"/>
    <tableColumn id="2" xr3:uid="{95351E60-8737-45C1-A0BE-50DBBC0A970A}" name="ID"/>
    <tableColumn id="3" xr3:uid="{A3ABCE21-112B-4195-B265-6D8EEB647E6B}"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DD725B3-FDA5-4225-9D58-9E34EC8559B7}" name="Table_SourceData_DataQuality_SampleSize" displayName="Table_SourceData_DataQuality_SampleSize" ref="D282:G287" totalsRowShown="0">
  <autoFilter ref="D282:G287" xr:uid="{5DD725B3-FDA5-4225-9D58-9E34EC8559B7}"/>
  <tableColumns count="4">
    <tableColumn id="4" xr3:uid="{0A87EBD7-AA0F-4302-AFB6-49839D6A3ABC}" name="User friendly description" dataDxfId="2" dataCellStyle="Content normal"/>
    <tableColumn id="1" xr3:uid="{B3EB1AF9-AE0B-482C-9726-EF94130BD165}" name="Description"/>
    <tableColumn id="2" xr3:uid="{81F12800-BD14-48B6-BBD7-11A52C1A242F}" name="ID"/>
    <tableColumn id="3" xr3:uid="{2BC66157-5609-4F40-A1AF-E55836AD12D0}"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F961497-023C-425B-9879-ABCCA294B409}" name="Table_SourceData_DataQuality_Scope3" displayName="Table_SourceData_DataQuality_Scope3" ref="D291:G296" totalsRowShown="0">
  <autoFilter ref="D291:G296" xr:uid="{8F961497-023C-425B-9879-ABCCA294B409}"/>
  <tableColumns count="4">
    <tableColumn id="4" xr3:uid="{56CE06A9-C4B3-40DA-A725-611D147A389D}" name="User friendly description" dataDxfId="3" dataCellStyle="Content normal"/>
    <tableColumn id="1" xr3:uid="{B271FAE5-F987-4924-9893-6D5B599D736A}" name="Description"/>
    <tableColumn id="2" xr3:uid="{DFD7954D-1200-493B-BC3F-EDA5DB6BAD03}" name="ID"/>
    <tableColumn id="3" xr3:uid="{21357CF9-5130-4206-BE2A-5ABEA5021FA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21" Type="http://schemas.openxmlformats.org/officeDocument/2006/relationships/table" Target="../tables/table26.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20" Type="http://schemas.openxmlformats.org/officeDocument/2006/relationships/table" Target="../tables/table25.xml"/><Relationship Id="rId1" Type="http://schemas.openxmlformats.org/officeDocument/2006/relationships/printerSettings" Target="../printerSettings/printerSettings2.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19" Type="http://schemas.openxmlformats.org/officeDocument/2006/relationships/table" Target="../tables/table24.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 Id="rId22"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2" zoomScaleNormal="100" workbookViewId="0">
      <selection activeCell="E54" sqref="E5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191</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155</v>
      </c>
      <c r="E7" s="19" t="e" cm="1">
        <f t="array" ref="E7">VEERG_3_2_1_1__1_TotalAnnualMethaneFromEntericFermentation_Result_Method1</f>
        <v>#NAME?</v>
      </c>
      <c r="F7" s="19" t="e" cm="1">
        <f t="array" ref="F7">VEERG_3_2_1_1__1_TotalAnnualMethaneFromEntericFermentation_Result_Method2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13</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15</v>
      </c>
      <c r="E9" s="19" t="e" cm="1">
        <f t="array" ref="E9">VEERG_4_2_1_3__1_DirectNitrousOxideEmissionsOnPasture_Result_Method1</f>
        <v>#NAME?</v>
      </c>
      <c r="F9" s="19" t="e" cm="1">
        <f t="array" ref="F9">VEERG_4_2_1_3__1_DirectNitrousOxideEmissionsOnPasture_Result_Method2</f>
        <v>#NAME?</v>
      </c>
      <c r="G9" s="16" t="s">
        <v>14</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16</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14</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17</v>
      </c>
      <c r="E11" s="19" t="e" cm="1">
        <f t="array" ref="E11">VEERG_4_2_1_7__1_LeachingAndRunoffEmissionsFromUrineAndDungOnPasture_Result_Method1</f>
        <v>#NAME?</v>
      </c>
      <c r="F11" s="19" t="e" cm="1">
        <f t="array" ref="F11">VEERG_4_2_1_7__1_LeachingAndRunoffEmissionsFromUrineAndDungOnPasture_Result_Method2</f>
        <v>#NAME?</v>
      </c>
      <c r="G11" s="16" t="s">
        <v>14</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156</v>
      </c>
      <c r="E12" s="19" t="e" cm="1">
        <f t="array" ref="E12">VEERG_5_1_1_1__1_InorganicFertiliserApplicationN2OEmissions_Result_Method1</f>
        <v>#NAME?</v>
      </c>
      <c r="F12" s="19" t="e" cm="1">
        <f t="array" ref="F12">VEERG_5_1_1_1__1_InorganicFertiliserApplicationN2OEmissions_Result_Method2</f>
        <v>#NAME?</v>
      </c>
      <c r="G12" s="16" t="s">
        <v>14</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157</v>
      </c>
      <c r="E13" s="19" t="e" cm="1">
        <f t="array" ref="E13">VEERG_5_1_1_3__1_InorganicFertiliserApplicationCO2Emissions_Result_Method1</f>
        <v>#NAME?</v>
      </c>
      <c r="F13" s="19" t="e">
        <f>E13</f>
        <v>#NAME?</v>
      </c>
      <c r="G13" s="16" t="s">
        <v>145</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158</v>
      </c>
      <c r="E14" s="19" t="e" cm="1">
        <f t="array" ref="E14">VEERG_5_2_1_1__2_MassOfNitrogenInOrganicFertiliser_Result_Method1</f>
        <v>#NAME?</v>
      </c>
      <c r="F14" s="19" t="e">
        <f>E14</f>
        <v>#NAME?</v>
      </c>
      <c r="G14" s="16" t="s">
        <v>14</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159</v>
      </c>
      <c r="E15" s="19" t="e" cm="1">
        <f t="array" ref="E15">VEERG_5_3_1_1__1_LimeApplicationCO2Emissions_Result_Method1</f>
        <v>#NAME?</v>
      </c>
      <c r="F15" s="19" t="e">
        <f>E15</f>
        <v>#NAME?</v>
      </c>
      <c r="G15" s="16" t="s">
        <v>145</v>
      </c>
      <c r="H15" s="19" t="e">
        <f>E15</f>
        <v>#NAME?</v>
      </c>
      <c r="I15" s="19" t="e">
        <f>F15</f>
        <v>#NAME?</v>
      </c>
      <c r="J15" s="16" t="s">
        <v>8</v>
      </c>
      <c r="K15" s="9"/>
    </row>
    <row r="16" spans="1:11" ht="20.100000000000001" customHeight="1" x14ac:dyDescent="0.25">
      <c r="A16" s="6" t="s">
        <v>2</v>
      </c>
      <c r="C16" s="9"/>
      <c r="D16" s="1" t="s">
        <v>160</v>
      </c>
      <c r="E16" s="19" t="e" cm="1">
        <f t="array" ref="E16">VEERG_5_4_1_3__1_OrganicFertiliserAtmosphericDepositionN2OEmissions_Result_Method1</f>
        <v>#NAME?</v>
      </c>
      <c r="F16" s="19" t="e">
        <f>E16</f>
        <v>#NAME?</v>
      </c>
      <c r="G16" s="16" t="s">
        <v>14</v>
      </c>
      <c r="H16" s="19" t="e" cm="1">
        <f t="array" ref="H16">Common_Equations.Common_ConvertN2OToCO2e(E16,_xlfn.XLOOKUP("N2O", Table_GWPData[Gas],Table_GWPData[CO2-e factor]))</f>
        <v>#NAME?</v>
      </c>
      <c r="I16" s="19" t="e" cm="1">
        <f t="array" ref="I16">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161</v>
      </c>
      <c r="E17" s="19" t="e" cm="1">
        <f t="array" ref="E17">VEERG_5_5_1_1__1_FertiliserLeachingAndRunoffN2OEmissions_result_Method1</f>
        <v>#NAME?</v>
      </c>
      <c r="F17" s="19" t="e">
        <f>E17</f>
        <v>#NAME?</v>
      </c>
      <c r="G17" s="16" t="s">
        <v>14</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162</v>
      </c>
      <c r="E18" s="19" t="e" cm="1">
        <f t="array" ref="E18">VEERG_6_2_1_1__1__NitrousOxideEmissionsFromPastureResidues_Result_Method1</f>
        <v>#NAME?</v>
      </c>
      <c r="F18" s="19" t="e" cm="1">
        <f t="array" ref="F18">VEERG_6_2_1_1__1__NitrousOxideEmissionsFromPastureResidues_Result_Method2</f>
        <v>#NAME?</v>
      </c>
      <c r="G18" s="16" t="s">
        <v>14</v>
      </c>
      <c r="H18" s="19" t="e" cm="1">
        <f t="array" ref="H18">Common_Equations.Common_ConvertN2OToCO2e(E18,_xlfn.XLOOKUP("N2O", Table_GWPData[Gas],Table_GWPData[CO2-e factor]))</f>
        <v>#NAME?</v>
      </c>
      <c r="I18" s="19" t="e" cm="1">
        <f t="array" ref="I18">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163</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14</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164</v>
      </c>
      <c r="E20" s="19" t="e" cm="1">
        <f t="array" ref="E20">VEERG_8_1_1_1__1_FuelCombustionTransport_Result_CO2</f>
        <v>#NAME?</v>
      </c>
      <c r="F20" s="19" t="e">
        <f>E20</f>
        <v>#NAME?</v>
      </c>
      <c r="G20" s="16" t="s">
        <v>145</v>
      </c>
      <c r="H20" s="19" t="e">
        <f>E20</f>
        <v>#NAME?</v>
      </c>
      <c r="I20" s="19" t="e">
        <f>F20</f>
        <v>#NAME?</v>
      </c>
      <c r="J20" s="16" t="s">
        <v>8</v>
      </c>
      <c r="K20" s="9"/>
    </row>
    <row r="21" spans="1:11" ht="20.100000000000001" customHeight="1" x14ac:dyDescent="0.25">
      <c r="C21" s="9"/>
      <c r="D21" s="1" t="s">
        <v>166</v>
      </c>
      <c r="E21" s="19" t="e" cm="1">
        <f t="array" ref="E21">VEERG_8_1_1_1__1_FuelCombustionTransport_Result_CH4</f>
        <v>#NAME?</v>
      </c>
      <c r="F21" s="19" t="e">
        <f>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165</v>
      </c>
      <c r="E22" s="19" t="e" cm="1">
        <f t="array" ref="E22">VEERG_8_1_1_1__1_FuelCombustionTransport_Result_N2O</f>
        <v>#NAME?</v>
      </c>
      <c r="F22" s="19" t="e">
        <f>E22</f>
        <v>#NAME?</v>
      </c>
      <c r="G22" s="16" t="s">
        <v>14</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167</v>
      </c>
      <c r="E23" s="19" t="e" cm="1">
        <f t="array" ref="E23">VEERG_8_2_1_1__1_FuelCombustionStationary_Result_CO2</f>
        <v>#NAME?</v>
      </c>
      <c r="F23" s="19" t="e">
        <f>E23</f>
        <v>#NAME?</v>
      </c>
      <c r="G23" s="16" t="s">
        <v>145</v>
      </c>
      <c r="H23" s="19" t="e">
        <f>E23</f>
        <v>#NAME?</v>
      </c>
      <c r="I23" s="19" t="e">
        <f>F23</f>
        <v>#NAME?</v>
      </c>
      <c r="J23" s="16" t="s">
        <v>8</v>
      </c>
      <c r="K23" s="9"/>
    </row>
    <row r="24" spans="1:11" ht="20.100000000000001" customHeight="1" x14ac:dyDescent="0.25">
      <c r="A24" s="5"/>
      <c r="C24" s="9"/>
      <c r="D24" s="1" t="s">
        <v>168</v>
      </c>
      <c r="E24" s="19" t="e" cm="1">
        <f t="array" ref="E24">VEERG_8_2_1_1__1_FuelCombustionStationary_Result_CH4</f>
        <v>#NAME?</v>
      </c>
      <c r="F24" s="19" t="e">
        <f t="shared" ref="F24:F27" si="0">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169</v>
      </c>
      <c r="E25" s="19" t="e" cm="1">
        <f t="array" ref="E25">VEERG_8_2_1_1__1_FuelCombustionStationary_Result_N2O</f>
        <v>#NAME?</v>
      </c>
      <c r="F25" s="19" t="e">
        <f t="shared" si="0"/>
        <v>#NAME?</v>
      </c>
      <c r="G25" s="16" t="s">
        <v>14</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170</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171</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SUM(H7:H27)</f>
        <v>#NAME?</v>
      </c>
      <c r="I28" s="20" t="e">
        <f>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126</v>
      </c>
      <c r="E32" s="1"/>
      <c r="F32" s="1"/>
      <c r="G32" s="1"/>
      <c r="H32" s="14"/>
      <c r="I32" s="9"/>
      <c r="J32" s="9"/>
      <c r="K32" s="9"/>
    </row>
    <row r="33" spans="3:11" ht="20.100000000000001" customHeight="1" x14ac:dyDescent="0.3">
      <c r="C33" s="9"/>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128</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127</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7" t="str">
        <f>IF(ISBLANK($D37), 0, IF(ISNUMBER(SEARCH("reporting", $D37)), Result_Enterprise_Method1, "Enter value"))</f>
        <v>Enter value</v>
      </c>
      <c r="F37" s="87" t="str">
        <f>IF(ISBLANK($D37), 0,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7" t="e">
        <f>IF(ISBLANK($D38), 0, IF(ISNUMBER(SEARCH("reporting", $D38)), Result_Enterprise_Method1, "Enter value"))</f>
        <v>#NAME?</v>
      </c>
      <c r="F38" s="87" t="e">
        <f>IF(ISBLANK($D38), 0, IF(ISNUMBER(SEARCH("reporting", $D38)), Result_Enterprise_Method2, "Enter value"))</f>
        <v>#NAME?</v>
      </c>
      <c r="G38" s="16" t="s">
        <v>8</v>
      </c>
      <c r="H38" s="14"/>
      <c r="I38" s="9"/>
      <c r="J38" s="9"/>
      <c r="K38" s="9"/>
    </row>
    <row r="39" spans="3:11" ht="20.100000000000001" customHeight="1" x14ac:dyDescent="0.3">
      <c r="C39" s="9"/>
      <c r="D39" s="1" t="str">
        <v>01 Jan 2025 to 31 Dec 2025</v>
      </c>
      <c r="E39" s="87" t="str">
        <f>IF(ISBLANK($D39), 0, IF(ISNUMBER(SEARCH("reporting", $D39)), Result_Enterprise_Method1, "Enter value"))</f>
        <v>Enter value</v>
      </c>
      <c r="F39" s="87" t="str">
        <f>IF(ISBLANK($D39), 0, IF(ISNUMBER(SEARCH("reporting", $D39)), Result_Enterprise_Method2, "Enter value"))</f>
        <v>Enter value</v>
      </c>
      <c r="G39" s="16" t="s">
        <v>8</v>
      </c>
      <c r="H39" s="14"/>
      <c r="I39" s="9"/>
      <c r="J39" s="9"/>
      <c r="K39" s="9"/>
    </row>
    <row r="40" spans="3:11" ht="20.100000000000001" customHeight="1" x14ac:dyDescent="0.3">
      <c r="C40" s="9"/>
      <c r="D40" s="1"/>
      <c r="E40" s="87">
        <f>IF(ISBLANK($D40), 0, IF(ISNUMBER(SEARCH("reporting", $D40)), Result_Enterprise_Method1, "Enter value"))</f>
        <v>0</v>
      </c>
      <c r="F40" s="87">
        <f>IF(ISBLANK($D40), 0, IF(ISNUMBER(SEARCH("reporting", $D40)), Result_Enterprise_Method2, "Enter value"))</f>
        <v>0</v>
      </c>
      <c r="G40" s="16" t="s">
        <v>8</v>
      </c>
      <c r="H40" s="14"/>
      <c r="I40" s="9"/>
      <c r="J40" s="9"/>
      <c r="K40" s="9"/>
    </row>
    <row r="41" spans="3:11" ht="20.100000000000001" customHeight="1" x14ac:dyDescent="0.3">
      <c r="C41" s="9"/>
      <c r="D41" s="89"/>
      <c r="E41" s="87">
        <f>IF(ISBLANK($D41), 0, IF(ISNUMBER(SEARCH("reporting", $D41)), Result_Enterprise_Method1, "Enter value"))</f>
        <v>0</v>
      </c>
      <c r="F41" s="87">
        <f>IF(ISBLANK($D41), 0, IF(ISNUMBER(SEARCH("reporting", $D41)), Result_Enterprise_Method2, "Enter value"))</f>
        <v>0</v>
      </c>
      <c r="G41" s="16" t="s">
        <v>8</v>
      </c>
      <c r="H41" s="14"/>
      <c r="I41" s="9"/>
      <c r="J41" s="9"/>
      <c r="K41" s="9"/>
    </row>
    <row r="42" spans="3:11" ht="20.100000000000001" customHeight="1" x14ac:dyDescent="0.3">
      <c r="C42" s="9"/>
      <c r="D42" s="15" t="s">
        <v>146</v>
      </c>
      <c r="E42" s="20" t="e">
        <f>SUM(E37:E41)</f>
        <v>#NAME?</v>
      </c>
      <c r="F42" s="20" t="e">
        <f>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143</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127</v>
      </c>
      <c r="E47" s="21" t="s">
        <v>144</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7" t="str">
        <f>IF(ISBLANK(D48), 0, "Enter value")</f>
        <v>Enter value</v>
      </c>
      <c r="F48" s="16" t="s">
        <v>145</v>
      </c>
      <c r="G48" s="1"/>
      <c r="H48" s="1"/>
      <c r="I48" s="1"/>
      <c r="J48" s="1"/>
      <c r="K48" s="9"/>
    </row>
    <row r="49" spans="3:11" ht="20.100000000000001" customHeight="1" x14ac:dyDescent="0.25">
      <c r="C49" s="9"/>
      <c r="D49" s="1" t="str">
        <v>01 Jan 2024 to 31 Dec 2024 (This reporting cycle)</v>
      </c>
      <c r="E49" s="87" t="str">
        <f t="shared" ref="E49:E52" si="1">IF(ISBLANK(D49), 0, "Enter value")</f>
        <v>Enter value</v>
      </c>
      <c r="F49" s="16" t="s">
        <v>145</v>
      </c>
      <c r="G49" s="1"/>
      <c r="H49" s="1"/>
      <c r="I49" s="1"/>
      <c r="J49" s="1"/>
      <c r="K49" s="9"/>
    </row>
    <row r="50" spans="3:11" ht="20.100000000000001" customHeight="1" x14ac:dyDescent="0.25">
      <c r="C50" s="9"/>
      <c r="D50" s="1" t="str">
        <v>01 Jan 2025 to 31 Dec 2025</v>
      </c>
      <c r="E50" s="87" t="str">
        <f t="shared" si="1"/>
        <v>Enter value</v>
      </c>
      <c r="F50" s="16" t="s">
        <v>145</v>
      </c>
      <c r="G50" s="1"/>
      <c r="H50" s="1"/>
      <c r="I50" s="1"/>
      <c r="J50" s="1"/>
      <c r="K50" s="9"/>
    </row>
    <row r="51" spans="3:11" ht="20.100000000000001" customHeight="1" x14ac:dyDescent="0.25">
      <c r="C51" s="9"/>
      <c r="D51" s="1"/>
      <c r="E51" s="87">
        <f t="shared" si="1"/>
        <v>0</v>
      </c>
      <c r="F51" s="16" t="s">
        <v>145</v>
      </c>
      <c r="G51" s="1"/>
      <c r="H51" s="1"/>
      <c r="I51" s="1"/>
      <c r="J51" s="1"/>
      <c r="K51" s="9"/>
    </row>
    <row r="52" spans="3:11" ht="20.100000000000001" customHeight="1" x14ac:dyDescent="0.25">
      <c r="C52" s="9"/>
      <c r="D52" s="1"/>
      <c r="E52" s="87">
        <f t="shared" si="1"/>
        <v>0</v>
      </c>
      <c r="F52" s="16" t="s">
        <v>145</v>
      </c>
      <c r="G52" s="1"/>
      <c r="H52" s="1"/>
      <c r="I52" s="9"/>
      <c r="J52" s="9"/>
      <c r="K52" s="9"/>
    </row>
    <row r="53" spans="3:11" ht="20.100000000000001" customHeight="1" x14ac:dyDescent="0.3">
      <c r="C53" s="9"/>
      <c r="D53" s="15" t="s">
        <v>147</v>
      </c>
      <c r="E53" s="20">
        <f>SUM(E48:E52)</f>
        <v>0</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130</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149</v>
      </c>
      <c r="F58" s="21" t="s">
        <v>150</v>
      </c>
      <c r="G58" s="1"/>
      <c r="H58" s="1"/>
      <c r="I58" s="1"/>
      <c r="J58" s="1"/>
      <c r="K58" s="9"/>
    </row>
    <row r="59" spans="3:11" ht="20.100000000000001" customHeight="1" x14ac:dyDescent="0.3">
      <c r="C59" s="9"/>
      <c r="D59" s="90" t="s">
        <v>148</v>
      </c>
      <c r="E59" s="88" t="e">
        <f>E42-E53</f>
        <v>#NAME?</v>
      </c>
      <c r="F59" s="88" t="e">
        <f>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1"/>
      <c r="E61" s="1"/>
      <c r="F61" s="1"/>
      <c r="G61" s="1"/>
      <c r="H61" s="1"/>
      <c r="I61" s="1"/>
      <c r="J61" s="1"/>
      <c r="K61" s="9"/>
    </row>
    <row r="62" spans="3:11" ht="20.100000000000001" customHeight="1" x14ac:dyDescent="0.25">
      <c r="C62" s="9"/>
      <c r="D62" s="92" t="s">
        <v>182</v>
      </c>
      <c r="E62" s="1"/>
      <c r="F62" s="1"/>
      <c r="G62" s="1"/>
      <c r="H62" s="1"/>
      <c r="I62" s="1"/>
      <c r="J62" s="1"/>
      <c r="K62" s="9"/>
    </row>
    <row r="63" spans="3:11" ht="20.100000000000001" customHeight="1" x14ac:dyDescent="0.25">
      <c r="C63" s="9"/>
      <c r="D63" s="21" t="s">
        <v>153</v>
      </c>
      <c r="E63" s="21" t="s">
        <v>137</v>
      </c>
      <c r="F63" s="21" t="s">
        <v>131</v>
      </c>
      <c r="G63" s="21" t="s">
        <v>184</v>
      </c>
      <c r="H63" s="21" t="s">
        <v>135</v>
      </c>
      <c r="I63" s="21" t="s">
        <v>136</v>
      </c>
      <c r="J63" s="21" t="s">
        <v>132</v>
      </c>
      <c r="K63" s="9"/>
    </row>
    <row r="64" spans="3:11" ht="20.100000000000001" customHeight="1" x14ac:dyDescent="0.25">
      <c r="C64" s="9"/>
      <c r="D64" s="1" t="s">
        <v>187</v>
      </c>
      <c r="E64" s="1" t="s">
        <v>138</v>
      </c>
      <c r="F64" s="19">
        <f>'Input - Enterprise'!E22</f>
        <v>5</v>
      </c>
      <c r="G64" s="19" t="e">
        <f>F64/(F64+F66)</f>
        <v>#VALUE!</v>
      </c>
      <c r="H64" s="19" t="e">
        <f>(Result_EmissionsForWholeProductionCycle_Method1/F64)*G64</f>
        <v>#NAME?</v>
      </c>
      <c r="I64" s="19" t="e">
        <f>(Result_EmissionsForWholeProductionCycle_Method2/F64)*G64</f>
        <v>#NAME?</v>
      </c>
      <c r="J64" s="16" t="s">
        <v>133</v>
      </c>
      <c r="K64" s="9"/>
    </row>
    <row r="65" spans="3:11" ht="20.100000000000001" customHeight="1" x14ac:dyDescent="0.25">
      <c r="C65" s="9"/>
      <c r="D65" s="1" t="s">
        <v>188</v>
      </c>
      <c r="E65" s="1" t="s">
        <v>138</v>
      </c>
      <c r="F65" s="19">
        <f>F64</f>
        <v>5</v>
      </c>
      <c r="G65" s="19" t="e">
        <f>G64</f>
        <v>#VALUE!</v>
      </c>
      <c r="H65" s="19" t="e">
        <f>(Result_NetEmissions_Method1/F65)*G65</f>
        <v>#NAME?</v>
      </c>
      <c r="I65" s="19" t="e">
        <f>(Result_NetEmissions_Method2/F65)*G65</f>
        <v>#NAME?</v>
      </c>
      <c r="J65" s="16" t="s">
        <v>133</v>
      </c>
      <c r="K65" s="9"/>
    </row>
    <row r="66" spans="3:11" ht="20.100000000000001" customHeight="1" x14ac:dyDescent="0.25">
      <c r="C66" s="9"/>
      <c r="D66" s="1" t="s">
        <v>189</v>
      </c>
      <c r="E66" s="1" t="s">
        <v>139</v>
      </c>
      <c r="F66" s="19" t="e">
        <f>'Input - Enterprise'!E25*'Input - Enterprise'!E26</f>
        <v>#VALUE!</v>
      </c>
      <c r="G66" s="19" t="e">
        <f>F66/(F64+F66)</f>
        <v>#VALUE!</v>
      </c>
      <c r="H66" s="19" t="e">
        <f>(Result_EmissionsForWholeProductionCycle_Method1/F66)*G66</f>
        <v>#NAME?</v>
      </c>
      <c r="I66" s="19" t="e">
        <f>(Result_EmissionsForWholeProductionCycle_Method2/F66)*G66</f>
        <v>#NAME?</v>
      </c>
      <c r="J66" s="16" t="s">
        <v>134</v>
      </c>
      <c r="K66" s="9"/>
    </row>
    <row r="67" spans="3:11" ht="20.100000000000001" customHeight="1" x14ac:dyDescent="0.25">
      <c r="C67" s="9"/>
      <c r="D67" s="1" t="s">
        <v>190</v>
      </c>
      <c r="E67" s="1" t="s">
        <v>139</v>
      </c>
      <c r="F67" s="19" t="e">
        <f>F66</f>
        <v>#VALUE!</v>
      </c>
      <c r="G67" s="19" t="e">
        <f>G66</f>
        <v>#VALUE!</v>
      </c>
      <c r="H67" s="19" t="e">
        <f>(Result_NetEmissions_Method1/F67)*G67</f>
        <v>#NAME?</v>
      </c>
      <c r="I67" s="19" t="e">
        <f>(Result_NetEmissions_Method2/F67)*G67</f>
        <v>#NAME?</v>
      </c>
      <c r="J67" s="16" t="s">
        <v>134</v>
      </c>
      <c r="K67" s="9"/>
    </row>
    <row r="68" spans="3:11" ht="20.100000000000001" customHeight="1" x14ac:dyDescent="0.25">
      <c r="C68" s="9"/>
      <c r="D68" s="1" t="s">
        <v>140</v>
      </c>
      <c r="E68" s="1" t="s">
        <v>142</v>
      </c>
      <c r="F68" s="19" t="e">
        <f>'Input - Enterprise'!E25*'Input - Enterprise'!E27</f>
        <v>#VALUE!</v>
      </c>
      <c r="G68" s="19" t="s">
        <v>141</v>
      </c>
      <c r="H68" s="19" t="s">
        <v>141</v>
      </c>
      <c r="I68" s="19" t="s">
        <v>141</v>
      </c>
      <c r="J68" s="9"/>
      <c r="K68" s="9"/>
    </row>
    <row r="69" spans="3:11" ht="20.100000000000001" customHeight="1" x14ac:dyDescent="0.25">
      <c r="C69" s="9"/>
      <c r="D69" s="1"/>
      <c r="E69" s="1"/>
      <c r="F69" s="19"/>
      <c r="G69" s="19"/>
      <c r="H69" s="19"/>
      <c r="I69" s="19"/>
      <c r="J69" s="18"/>
      <c r="K69" s="9"/>
    </row>
    <row r="70" spans="3:11" ht="20.100000000000001" customHeight="1" x14ac:dyDescent="0.25">
      <c r="C70" s="9"/>
      <c r="D70" s="92" t="s">
        <v>183</v>
      </c>
      <c r="E70" s="1"/>
      <c r="F70" s="1"/>
      <c r="G70" s="1"/>
      <c r="H70" s="1"/>
      <c r="I70" s="1"/>
      <c r="J70" s="1"/>
      <c r="K70" s="9"/>
    </row>
    <row r="71" spans="3:11" ht="20.100000000000001" customHeight="1" x14ac:dyDescent="0.25">
      <c r="C71" s="9"/>
      <c r="D71" s="21" t="s">
        <v>153</v>
      </c>
      <c r="E71" s="21" t="s">
        <v>137</v>
      </c>
      <c r="F71" s="21" t="s">
        <v>131</v>
      </c>
      <c r="G71" s="21" t="s">
        <v>185</v>
      </c>
      <c r="H71" s="21" t="s">
        <v>135</v>
      </c>
      <c r="I71" s="21" t="s">
        <v>136</v>
      </c>
      <c r="J71" s="21" t="s">
        <v>132</v>
      </c>
      <c r="K71" s="9"/>
    </row>
    <row r="72" spans="3:11" ht="20.100000000000001" customHeight="1" x14ac:dyDescent="0.25">
      <c r="C72" s="9"/>
      <c r="D72" s="1" t="s">
        <v>187</v>
      </c>
      <c r="E72" s="1" t="s">
        <v>138</v>
      </c>
      <c r="F72" s="19">
        <f>F64</f>
        <v>5</v>
      </c>
      <c r="G72" s="19">
        <f>'Input - Enterprise'!E31</f>
        <v>0.8</v>
      </c>
      <c r="H72" s="19" t="e">
        <f>(Result_EmissionsForWholeProductionCycle_Method1/F72)*G72</f>
        <v>#NAME?</v>
      </c>
      <c r="I72" s="19" t="e">
        <f>(Result_EmissionsForWholeProductionCycle_Method2/F72)*G72</f>
        <v>#NAME?</v>
      </c>
      <c r="J72" s="16" t="s">
        <v>133</v>
      </c>
      <c r="K72" s="9"/>
    </row>
    <row r="73" spans="3:11" ht="20.100000000000001" customHeight="1" x14ac:dyDescent="0.25">
      <c r="C73" s="9"/>
      <c r="D73" s="1" t="s">
        <v>188</v>
      </c>
      <c r="E73" s="1" t="s">
        <v>138</v>
      </c>
      <c r="F73" s="19">
        <f>F64</f>
        <v>5</v>
      </c>
      <c r="G73" s="19">
        <f>G72</f>
        <v>0.8</v>
      </c>
      <c r="H73" s="19" t="e">
        <f>(Result_NetEmissions_Method1/F73)*G73</f>
        <v>#NAME?</v>
      </c>
      <c r="I73" s="19" t="e">
        <f>(Result_NetEmissions_Method2/F73)*G73</f>
        <v>#NAME?</v>
      </c>
      <c r="J73" s="16" t="s">
        <v>133</v>
      </c>
      <c r="K73" s="9"/>
    </row>
    <row r="74" spans="3:11" ht="20.100000000000001" customHeight="1" x14ac:dyDescent="0.25">
      <c r="C74" s="9"/>
      <c r="D74" s="1" t="s">
        <v>189</v>
      </c>
      <c r="E74" s="1" t="s">
        <v>139</v>
      </c>
      <c r="F74" s="19" t="e">
        <f>F66</f>
        <v>#VALUE!</v>
      </c>
      <c r="G74" s="19">
        <f>'Input - Enterprise'!E32</f>
        <v>0.2</v>
      </c>
      <c r="H74" s="19" t="e">
        <f>(Result_EmissionsForWholeProductionCycle_Method1/F74)*G74</f>
        <v>#NAME?</v>
      </c>
      <c r="I74" s="19" t="e">
        <f>(Result_EmissionsForWholeProductionCycle_Method2/F74)*G74</f>
        <v>#NAME?</v>
      </c>
      <c r="J74" s="16" t="s">
        <v>134</v>
      </c>
      <c r="K74" s="9"/>
    </row>
    <row r="75" spans="3:11" ht="20.100000000000001" customHeight="1" x14ac:dyDescent="0.25">
      <c r="C75" s="9"/>
      <c r="D75" s="1" t="s">
        <v>190</v>
      </c>
      <c r="E75" s="1" t="s">
        <v>139</v>
      </c>
      <c r="F75" s="19" t="e">
        <f>F67</f>
        <v>#VALUE!</v>
      </c>
      <c r="G75" s="19">
        <f>G74</f>
        <v>0.2</v>
      </c>
      <c r="H75" s="19" t="e">
        <f>(Result_NetEmissions_Method1/F75)*G75</f>
        <v>#NAME?</v>
      </c>
      <c r="I75" s="19" t="e">
        <f>(Result_NetEmissions_Method2/F75)*G75</f>
        <v>#NAME?</v>
      </c>
      <c r="J75" s="16" t="s">
        <v>134</v>
      </c>
      <c r="K75" s="9"/>
    </row>
    <row r="76" spans="3:11" ht="15.75" x14ac:dyDescent="0.25">
      <c r="C76" s="9"/>
      <c r="D76" s="1" t="s">
        <v>140</v>
      </c>
      <c r="E76" s="1" t="s">
        <v>142</v>
      </c>
      <c r="F76" s="19" t="e">
        <f>F68</f>
        <v>#VALUE!</v>
      </c>
      <c r="G76" s="19" t="s">
        <v>141</v>
      </c>
      <c r="H76" s="19" t="s">
        <v>141</v>
      </c>
      <c r="I76" s="19" t="s">
        <v>141</v>
      </c>
      <c r="J76" s="9"/>
      <c r="K76" s="9"/>
    </row>
    <row r="77" spans="3:11" ht="15.75" x14ac:dyDescent="0.25">
      <c r="C77" s="9"/>
      <c r="D77" s="1"/>
      <c r="E77" s="1"/>
      <c r="F77" s="1"/>
      <c r="G77" s="1"/>
      <c r="H77" s="1"/>
      <c r="I77" s="1"/>
      <c r="J77" s="1"/>
      <c r="K77" s="9"/>
    </row>
    <row r="78" spans="3:11" ht="18.75" x14ac:dyDescent="0.25">
      <c r="C78" s="9"/>
      <c r="D78" s="92" t="s">
        <v>186</v>
      </c>
      <c r="E78" s="1"/>
      <c r="F78" s="1"/>
      <c r="G78" s="1"/>
      <c r="H78" s="1"/>
      <c r="I78" s="1"/>
      <c r="J78" s="1"/>
      <c r="K78" s="9"/>
    </row>
    <row r="79" spans="3:11" ht="15.75" x14ac:dyDescent="0.25">
      <c r="C79" s="9"/>
      <c r="D79" s="21" t="s">
        <v>153</v>
      </c>
      <c r="E79" s="21" t="s">
        <v>137</v>
      </c>
      <c r="F79" s="21" t="s">
        <v>131</v>
      </c>
      <c r="G79" s="21" t="s">
        <v>185</v>
      </c>
      <c r="H79" s="21" t="s">
        <v>135</v>
      </c>
      <c r="I79" s="21" t="s">
        <v>136</v>
      </c>
      <c r="J79" s="21" t="s">
        <v>132</v>
      </c>
      <c r="K79" s="9"/>
    </row>
    <row r="80" spans="3:11" ht="15.75" x14ac:dyDescent="0.25">
      <c r="C80" s="9"/>
      <c r="D80" s="1" t="s">
        <v>151</v>
      </c>
      <c r="E80" s="1" t="s">
        <v>141</v>
      </c>
      <c r="F80"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80" s="19" t="s">
        <v>141</v>
      </c>
      <c r="H80" s="19" t="e">
        <f>E59/F80</f>
        <v>#NAME?</v>
      </c>
      <c r="I80" s="19" t="s">
        <v>141</v>
      </c>
      <c r="J80" s="16" t="s">
        <v>154</v>
      </c>
      <c r="K80" s="9"/>
    </row>
    <row r="81" spans="3:11" ht="15.75" x14ac:dyDescent="0.25">
      <c r="C81" s="9"/>
      <c r="D81" s="1" t="s">
        <v>152</v>
      </c>
      <c r="E81" s="1" t="s">
        <v>141</v>
      </c>
      <c r="F81"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81" s="19" t="s">
        <v>141</v>
      </c>
      <c r="H81" s="19" t="s">
        <v>141</v>
      </c>
      <c r="I81" s="19" t="e">
        <f>F59/F81</f>
        <v>#NAME?</v>
      </c>
      <c r="J81" s="16" t="s">
        <v>154</v>
      </c>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106</v>
      </c>
      <c r="N5" s="42"/>
    </row>
    <row r="6" spans="1:24" ht="20.100000000000001" customHeight="1" x14ac:dyDescent="0.25">
      <c r="A6" s="8" t="s">
        <v>1</v>
      </c>
      <c r="N6" s="44"/>
    </row>
    <row r="7" spans="1:24" ht="20.100000000000001" customHeight="1" x14ac:dyDescent="0.25">
      <c r="A7" s="5" t="str">
        <f>HYPERLINK("#'Input - Site'!A1", "Site")</f>
        <v>Site</v>
      </c>
      <c r="D7" s="54" t="s">
        <v>107</v>
      </c>
      <c r="E7" s="55"/>
      <c r="F7" s="55"/>
      <c r="G7" s="56"/>
    </row>
    <row r="8" spans="1:24" ht="20.100000000000001" customHeight="1" x14ac:dyDescent="0.25">
      <c r="A8" s="5" t="str">
        <f>HYPERLINK("#'Input - Pasture Beef'!A1", "Pasture Beef")</f>
        <v>Pasture Beef</v>
      </c>
      <c r="D8" s="57" t="s">
        <v>108</v>
      </c>
      <c r="E8" s="58"/>
      <c r="F8" s="58"/>
      <c r="G8" s="59"/>
    </row>
    <row r="9" spans="1:24" ht="20.100000000000001" customHeight="1" x14ac:dyDescent="0.25">
      <c r="A9" s="5"/>
      <c r="D9" s="1"/>
      <c r="E9" s="60"/>
      <c r="F9" s="27"/>
      <c r="N9" s="46"/>
    </row>
    <row r="10" spans="1:24" ht="20.100000000000001" customHeight="1" x14ac:dyDescent="0.25">
      <c r="A10" s="7" t="s">
        <v>3</v>
      </c>
      <c r="D10" s="1" t="s">
        <v>109</v>
      </c>
      <c r="E10" s="24" t="s">
        <v>110</v>
      </c>
      <c r="F10" s="27" t="s">
        <v>111</v>
      </c>
      <c r="N10" s="46"/>
    </row>
    <row r="11" spans="1:24" ht="20.100000000000001" customHeight="1" x14ac:dyDescent="0.25">
      <c r="A11" s="5" t="str">
        <f>HYPERLINK("#'4.2.1.1-2 Methane'!A1", "4.2.1.1-2 Methane")</f>
        <v>4.2.1.1-2 Methane</v>
      </c>
      <c r="D11" s="1" t="s">
        <v>112</v>
      </c>
      <c r="E11" s="24" t="s">
        <v>113</v>
      </c>
      <c r="F11" s="27" t="s">
        <v>111</v>
      </c>
      <c r="G11" s="1"/>
      <c r="N11" s="51"/>
    </row>
    <row r="12" spans="1:24" ht="20.100000000000001" customHeight="1" x14ac:dyDescent="0.25">
      <c r="A12" s="5" t="str">
        <f>HYPERLINK("#'4.2.1.3-4 Soil direct N2O'!A1", "4.2.1.3-4 Soil direct N2O")</f>
        <v>4.2.1.3-4 Soil direct N2O</v>
      </c>
      <c r="D12" s="1" t="s">
        <v>114</v>
      </c>
      <c r="E12" s="24" t="s">
        <v>115</v>
      </c>
      <c r="F12" s="27" t="s">
        <v>111</v>
      </c>
    </row>
    <row r="13" spans="1:24" ht="20.100000000000001" customHeight="1" x14ac:dyDescent="0.25">
      <c r="A13" s="5" t="str">
        <f>HYPERLINK("#'4.2.1.5-6 Soil Atmos Dep'!A1", "4.2.1.5-6 Soil atm. deposition")</f>
        <v>4.2.1.5-6 Soil atm. deposition</v>
      </c>
      <c r="D13" s="1" t="s">
        <v>47</v>
      </c>
      <c r="E13" s="45">
        <v>307.7</v>
      </c>
      <c r="F13" s="27" t="s">
        <v>116</v>
      </c>
      <c r="N13" s="53"/>
      <c r="O13" s="53"/>
    </row>
    <row r="14" spans="1:24" ht="20.100000000000001" customHeight="1" x14ac:dyDescent="0.25">
      <c r="A14" s="5" t="str">
        <f>HYPERLINK("#'4.2.1.7-8 Soil leach runoff'!A1", "4.2.1.7-8 Soil leach &amp; runoff")</f>
        <v>4.2.1.7-8 Soil leach &amp; runoff</v>
      </c>
      <c r="D14" s="1" t="s">
        <v>117</v>
      </c>
      <c r="E14" s="45">
        <v>18</v>
      </c>
      <c r="F14" s="27" t="s">
        <v>118</v>
      </c>
      <c r="N14" s="53"/>
      <c r="O14" s="53"/>
    </row>
    <row r="15" spans="1:24" ht="20.100000000000001" customHeight="1" x14ac:dyDescent="0.25">
      <c r="A15" s="5"/>
      <c r="D15" s="1" t="s">
        <v>119</v>
      </c>
      <c r="E15" s="45">
        <v>601</v>
      </c>
      <c r="F15" s="27" t="s">
        <v>120</v>
      </c>
      <c r="N15" s="53"/>
      <c r="O15" s="53"/>
    </row>
    <row r="16" spans="1:24" ht="20.100000000000001" customHeight="1" x14ac:dyDescent="0.25">
      <c r="A16" s="6" t="s">
        <v>2</v>
      </c>
      <c r="D16" s="23" t="s">
        <v>121</v>
      </c>
      <c r="E16" s="45">
        <v>1326</v>
      </c>
      <c r="F16" s="27" t="s">
        <v>120</v>
      </c>
      <c r="N16" s="53"/>
      <c r="O16" s="53"/>
    </row>
    <row r="17" spans="1:25" ht="20.100000000000001" customHeight="1" x14ac:dyDescent="0.25">
      <c r="A17" s="5" t="str">
        <f>HYPERLINK("#'Constants - Pasture Beef'!A1", "Constants - Pasture Beef")</f>
        <v>Constants - Pasture Beef</v>
      </c>
      <c r="D17" s="1" t="s">
        <v>122</v>
      </c>
      <c r="E17" s="45">
        <v>7</v>
      </c>
      <c r="F17" s="27" t="s">
        <v>123</v>
      </c>
    </row>
    <row r="18" spans="1:25" ht="20.100000000000001" customHeight="1" x14ac:dyDescent="0.25">
      <c r="A18" s="5" t="str">
        <f>HYPERLINK("#'Constants - Livestock'!A1", "Constants - Livestock")</f>
        <v>Constants - Livestock</v>
      </c>
      <c r="D18" s="23" t="s">
        <v>124</v>
      </c>
      <c r="E18" s="26">
        <f>E15/E16</f>
        <v>0.45324283559577677</v>
      </c>
      <c r="F18" s="27"/>
    </row>
    <row r="19" spans="1:25" ht="20.100000000000001" customHeight="1" x14ac:dyDescent="0.25">
      <c r="A19" s="5" t="str">
        <f>HYPERLINK("#'Constants - Common'!A1", "Constants - Common")</f>
        <v>Constants - Common</v>
      </c>
      <c r="D19" s="23" t="s">
        <v>75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42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125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79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32"/>
  <sheetViews>
    <sheetView showGridLines="0" topLeftCell="A4" workbookViewId="0">
      <selection activeCell="E13" sqref="E1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172</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98</v>
      </c>
      <c r="E5" s="36"/>
      <c r="F5" s="36"/>
      <c r="G5" s="36"/>
    </row>
    <row r="6" spans="3:10" x14ac:dyDescent="0.25">
      <c r="D6" s="43"/>
      <c r="E6" s="36"/>
      <c r="F6" s="36"/>
      <c r="G6" s="36"/>
    </row>
    <row r="7" spans="3:10" x14ac:dyDescent="0.25">
      <c r="D7" s="1" t="s">
        <v>99</v>
      </c>
      <c r="E7" s="45" t="s">
        <v>100</v>
      </c>
      <c r="F7" s="27"/>
      <c r="G7" s="36"/>
    </row>
    <row r="8" spans="3:10" x14ac:dyDescent="0.25">
      <c r="D8" s="23" t="s">
        <v>101</v>
      </c>
      <c r="E8" s="45" t="s">
        <v>102</v>
      </c>
      <c r="F8" s="36"/>
      <c r="G8" s="36"/>
    </row>
    <row r="9" spans="3:10" x14ac:dyDescent="0.25">
      <c r="D9" s="36"/>
      <c r="E9" s="36"/>
      <c r="F9" s="36"/>
      <c r="G9" s="36"/>
    </row>
    <row r="10" spans="3:10" x14ac:dyDescent="0.25">
      <c r="D10" s="47" t="s">
        <v>103</v>
      </c>
      <c r="E10" s="48"/>
      <c r="F10" s="49"/>
      <c r="G10" s="50"/>
    </row>
    <row r="11" spans="3:10" x14ac:dyDescent="0.25">
      <c r="D11" s="36"/>
      <c r="E11" s="36"/>
      <c r="F11" s="36"/>
      <c r="G11" s="36"/>
    </row>
    <row r="12" spans="3:10" x14ac:dyDescent="0.25">
      <c r="D12" s="23" t="s">
        <v>21</v>
      </c>
      <c r="E12" s="25">
        <v>45292</v>
      </c>
      <c r="F12" s="27" t="s">
        <v>104</v>
      </c>
      <c r="G12" s="36"/>
    </row>
    <row r="13" spans="3:10" x14ac:dyDescent="0.25">
      <c r="D13" s="23" t="s">
        <v>22</v>
      </c>
      <c r="E13" s="52">
        <f>DATE(YEAR(E12)+1,MONTH(E12),DAY(E12))-1</f>
        <v>45657</v>
      </c>
      <c r="F13" s="27" t="s">
        <v>105</v>
      </c>
      <c r="G13" s="36"/>
    </row>
    <row r="14" spans="3:10" x14ac:dyDescent="0.25">
      <c r="F14" s="36"/>
      <c r="G14" s="36"/>
    </row>
    <row r="16" spans="3:10" ht="23.25" x14ac:dyDescent="0.25">
      <c r="D16" s="2" t="s">
        <v>23</v>
      </c>
    </row>
    <row r="18" spans="4:7" x14ac:dyDescent="0.25">
      <c r="D18" s="1" t="s">
        <v>18</v>
      </c>
      <c r="E18" s="25">
        <v>45231</v>
      </c>
      <c r="F18" s="27" t="s">
        <v>104</v>
      </c>
    </row>
    <row r="19" spans="4:7" x14ac:dyDescent="0.25">
      <c r="D19" s="1" t="s">
        <v>19</v>
      </c>
      <c r="E19" s="25">
        <v>45747</v>
      </c>
      <c r="F19" s="27" t="s">
        <v>104</v>
      </c>
    </row>
    <row r="20" spans="4:7" x14ac:dyDescent="0.25">
      <c r="D20" s="1" t="s">
        <v>20</v>
      </c>
      <c r="E20" s="26">
        <f>DATEDIF(E18,E19+1,"m")</f>
        <v>17</v>
      </c>
      <c r="F20" s="27" t="s">
        <v>129</v>
      </c>
    </row>
    <row r="22" spans="4:7" x14ac:dyDescent="0.25">
      <c r="D22" s="1" t="s">
        <v>24</v>
      </c>
      <c r="E22" s="91">
        <f>SUM(Table_Input_LivestockSales[Total liveweight sold])*10^-3</f>
        <v>5</v>
      </c>
      <c r="G22" s="27" t="s">
        <v>30</v>
      </c>
    </row>
    <row r="23" spans="4:7" x14ac:dyDescent="0.25">
      <c r="D23" s="1" t="s">
        <v>25</v>
      </c>
      <c r="E23" s="91" t="s">
        <v>178</v>
      </c>
      <c r="G23" s="27" t="s">
        <v>30</v>
      </c>
    </row>
    <row r="24" spans="4:7" x14ac:dyDescent="0.25">
      <c r="D24" s="1" t="s">
        <v>26</v>
      </c>
      <c r="E24" s="91" t="s">
        <v>179</v>
      </c>
      <c r="G24" s="27" t="s">
        <v>30</v>
      </c>
    </row>
    <row r="25" spans="4:7" x14ac:dyDescent="0.25">
      <c r="D25" s="1" t="s">
        <v>174</v>
      </c>
      <c r="E25" s="91" t="s">
        <v>181</v>
      </c>
      <c r="G25" s="27" t="s">
        <v>30</v>
      </c>
    </row>
    <row r="26" spans="4:7" x14ac:dyDescent="0.25">
      <c r="D26" s="1" t="s">
        <v>175</v>
      </c>
      <c r="E26" s="91" t="s">
        <v>180</v>
      </c>
      <c r="G26" s="27" t="s">
        <v>30</v>
      </c>
    </row>
    <row r="27" spans="4:7" x14ac:dyDescent="0.25">
      <c r="D27" s="1" t="s">
        <v>27</v>
      </c>
      <c r="E27" s="29">
        <v>0.1</v>
      </c>
      <c r="G27" s="27" t="s">
        <v>173</v>
      </c>
    </row>
    <row r="28" spans="4:7" x14ac:dyDescent="0.25">
      <c r="D28" s="1" t="s">
        <v>28</v>
      </c>
      <c r="E28" s="29">
        <v>0.2</v>
      </c>
      <c r="G28" s="27" t="s">
        <v>173</v>
      </c>
    </row>
    <row r="29" spans="4:7" x14ac:dyDescent="0.25">
      <c r="D29" s="1" t="s">
        <v>29</v>
      </c>
      <c r="E29" s="30">
        <f>100%-E27-E28</f>
        <v>0.7</v>
      </c>
      <c r="G29" s="27" t="s">
        <v>173</v>
      </c>
    </row>
    <row r="31" spans="4:7" x14ac:dyDescent="0.25">
      <c r="D31" s="1" t="s">
        <v>176</v>
      </c>
      <c r="E31" s="29">
        <v>0.8</v>
      </c>
      <c r="G31" s="27" t="s">
        <v>173</v>
      </c>
    </row>
    <row r="32" spans="4:7" x14ac:dyDescent="0.25">
      <c r="D32" s="1" t="s">
        <v>177</v>
      </c>
      <c r="E32" s="29">
        <v>0.2</v>
      </c>
      <c r="G32" s="27" t="s">
        <v>173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workbookViewId="0"/>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192</v>
      </c>
    </row>
    <row r="2" spans="1:11" s="3" customFormat="1" x14ac:dyDescent="0.25"/>
    <row r="3" spans="1:11" ht="20.25" x14ac:dyDescent="0.25">
      <c r="C3" s="40"/>
      <c r="D3" s="40"/>
      <c r="E3" s="40"/>
      <c r="F3" s="40"/>
      <c r="G3" s="40"/>
      <c r="H3" s="40"/>
      <c r="I3" s="40"/>
      <c r="J3" s="40"/>
      <c r="K3" s="40"/>
    </row>
    <row r="5" spans="1:11" x14ac:dyDescent="0.25">
      <c r="D5" s="81" t="s">
        <v>197</v>
      </c>
      <c r="E5" s="81"/>
      <c r="F5" s="81"/>
      <c r="G5" s="81"/>
    </row>
    <row r="6" spans="1:11" x14ac:dyDescent="0.25">
      <c r="F6" s="27"/>
    </row>
    <row r="7" spans="1:11" x14ac:dyDescent="0.25">
      <c r="D7" s="1" t="s">
        <v>193</v>
      </c>
      <c r="E7" s="26" t="s">
        <v>196</v>
      </c>
      <c r="F7" s="27"/>
    </row>
    <row r="8" spans="1:11" x14ac:dyDescent="0.25">
      <c r="D8" s="1" t="s">
        <v>194</v>
      </c>
      <c r="E8" s="26" t="s">
        <v>196</v>
      </c>
      <c r="F8" s="27"/>
    </row>
    <row r="9" spans="1:11" x14ac:dyDescent="0.25">
      <c r="D9" s="1" t="s">
        <v>74</v>
      </c>
      <c r="E9" s="26" t="e" cm="1">
        <f t="array" ref="E9">X_Cell_Pasture_IrrigationMethod</f>
        <v>#NAME?</v>
      </c>
    </row>
    <row r="10" spans="1:11" x14ac:dyDescent="0.25">
      <c r="D10" s="1" t="s">
        <v>195</v>
      </c>
      <c r="E10" s="26" t="e" cm="1">
        <f t="array" ref="E10">X_Cell_Pasture_AreaUnderPasture</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16"/>
  <sheetViews>
    <sheetView showGridLines="0" workbookViewId="0">
      <selection activeCell="H12" sqref="H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198</v>
      </c>
    </row>
    <row r="2" spans="1:13" s="3" customFormat="1" x14ac:dyDescent="0.25"/>
    <row r="3" spans="1:13" ht="20.25" x14ac:dyDescent="0.25">
      <c r="C3" s="40"/>
      <c r="D3" s="40"/>
      <c r="E3" s="40"/>
      <c r="F3" s="40"/>
      <c r="G3" s="40"/>
      <c r="H3" s="40"/>
      <c r="I3" s="40"/>
      <c r="J3" s="40"/>
      <c r="K3" s="40"/>
      <c r="L3" s="40"/>
      <c r="M3" s="40"/>
    </row>
    <row r="5" spans="1:13" x14ac:dyDescent="0.25">
      <c r="D5" s="93" t="s">
        <v>199</v>
      </c>
    </row>
    <row r="6" spans="1:13" x14ac:dyDescent="0.25">
      <c r="D6" s="31" t="s">
        <v>200</v>
      </c>
      <c r="E6" s="31" t="s">
        <v>201</v>
      </c>
      <c r="F6" s="31" t="s">
        <v>202</v>
      </c>
      <c r="G6" s="31" t="s">
        <v>203</v>
      </c>
      <c r="H6" s="31" t="s">
        <v>204</v>
      </c>
      <c r="I6" s="31" t="s">
        <v>205</v>
      </c>
    </row>
    <row r="7" spans="1:13" x14ac:dyDescent="0.25">
      <c r="D7" s="45"/>
      <c r="E7" s="24" t="s">
        <v>206</v>
      </c>
      <c r="F7" s="94">
        <v>45566</v>
      </c>
      <c r="G7" s="31">
        <v>10</v>
      </c>
      <c r="H7" s="31">
        <v>500</v>
      </c>
      <c r="I7" s="26">
        <f t="shared" ref="I7:I16" si="0">G7*H7</f>
        <v>5000</v>
      </c>
    </row>
    <row r="8" spans="1:13" x14ac:dyDescent="0.25">
      <c r="D8" s="45"/>
      <c r="E8" s="24"/>
      <c r="F8" s="94"/>
      <c r="G8" s="31"/>
      <c r="H8" s="31"/>
      <c r="I8" s="26">
        <f t="shared" si="0"/>
        <v>0</v>
      </c>
    </row>
    <row r="9" spans="1:13" x14ac:dyDescent="0.25">
      <c r="D9" s="45"/>
      <c r="E9" s="24"/>
      <c r="F9" s="94"/>
      <c r="G9" s="31"/>
      <c r="H9" s="31"/>
      <c r="I9" s="26">
        <f t="shared" si="0"/>
        <v>0</v>
      </c>
    </row>
    <row r="10" spans="1:13" x14ac:dyDescent="0.25">
      <c r="D10" s="45"/>
      <c r="E10" s="24"/>
      <c r="F10" s="94"/>
      <c r="G10" s="31"/>
      <c r="H10" s="31"/>
      <c r="I10" s="26">
        <f t="shared" si="0"/>
        <v>0</v>
      </c>
    </row>
    <row r="11" spans="1:13" x14ac:dyDescent="0.25">
      <c r="D11" s="45"/>
      <c r="E11" s="24"/>
      <c r="F11" s="94"/>
      <c r="G11" s="31"/>
      <c r="H11" s="31"/>
      <c r="I11" s="26">
        <f t="shared" si="0"/>
        <v>0</v>
      </c>
    </row>
    <row r="12" spans="1:13" x14ac:dyDescent="0.25">
      <c r="D12" s="45"/>
      <c r="E12" s="24"/>
      <c r="F12" s="94"/>
      <c r="G12" s="31"/>
      <c r="H12" s="31"/>
      <c r="I12" s="26">
        <f t="shared" si="0"/>
        <v>0</v>
      </c>
    </row>
    <row r="13" spans="1:13" x14ac:dyDescent="0.25">
      <c r="D13" s="45"/>
      <c r="E13" s="24"/>
      <c r="F13" s="94"/>
      <c r="G13" s="31"/>
      <c r="H13" s="31"/>
      <c r="I13" s="26">
        <f t="shared" si="0"/>
        <v>0</v>
      </c>
    </row>
    <row r="14" spans="1:13" x14ac:dyDescent="0.25">
      <c r="D14" s="45"/>
      <c r="E14" s="24"/>
      <c r="F14" s="94"/>
      <c r="G14" s="31"/>
      <c r="H14" s="31"/>
      <c r="I14" s="26">
        <f t="shared" si="0"/>
        <v>0</v>
      </c>
    </row>
    <row r="15" spans="1:13" x14ac:dyDescent="0.25">
      <c r="D15" s="45"/>
      <c r="E15" s="24"/>
      <c r="F15" s="94"/>
      <c r="G15" s="31"/>
      <c r="H15" s="31"/>
      <c r="I15" s="26">
        <f t="shared" si="0"/>
        <v>0</v>
      </c>
    </row>
    <row r="16" spans="1:13" x14ac:dyDescent="0.25">
      <c r="D16" s="45"/>
      <c r="E16" s="24"/>
      <c r="F16" s="94"/>
      <c r="G16" s="31"/>
      <c r="H16" s="31"/>
      <c r="I16" s="26">
        <f t="shared" si="0"/>
        <v>0</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C1:M71"/>
  <sheetViews>
    <sheetView showGridLines="0" topLeftCell="A37" workbookViewId="0">
      <selection activeCell="F16" sqref="F16"/>
    </sheetView>
  </sheetViews>
  <sheetFormatPr defaultRowHeight="15.75" x14ac:dyDescent="0.25"/>
  <cols>
    <col min="1" max="1" width="30.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3" width="30.7109375" style="1" customWidth="1"/>
    <col min="14" max="14" width="30.7109375" customWidth="1"/>
  </cols>
  <sheetData>
    <row r="1" spans="3:13" s="17" customFormat="1" ht="25.5" x14ac:dyDescent="0.35">
      <c r="C1" s="17" t="s">
        <v>207</v>
      </c>
    </row>
    <row r="2" spans="3:13" s="3" customFormat="1" x14ac:dyDescent="0.25"/>
    <row r="3" spans="3:13" ht="20.25" x14ac:dyDescent="0.25">
      <c r="C3" s="40"/>
      <c r="D3" s="40"/>
      <c r="E3" s="40"/>
      <c r="F3" s="40"/>
      <c r="G3" s="40"/>
      <c r="H3" s="40"/>
      <c r="I3" s="40"/>
      <c r="J3" s="40"/>
      <c r="K3" s="40"/>
      <c r="L3" s="40"/>
      <c r="M3" s="40"/>
    </row>
    <row r="5" spans="3:13" ht="23.25" x14ac:dyDescent="0.25">
      <c r="D5" s="2" t="s">
        <v>259</v>
      </c>
    </row>
    <row r="7" spans="3:13" x14ac:dyDescent="0.25">
      <c r="D7" s="95" t="s">
        <v>208</v>
      </c>
      <c r="E7" s="95" t="s">
        <v>260</v>
      </c>
      <c r="F7" s="95" t="s">
        <v>261</v>
      </c>
      <c r="G7" s="95" t="s">
        <v>262</v>
      </c>
      <c r="H7" s="95" t="s">
        <v>209</v>
      </c>
      <c r="I7" s="95" t="s">
        <v>210</v>
      </c>
      <c r="J7" s="95" t="s">
        <v>211</v>
      </c>
    </row>
    <row r="8" spans="3:13" x14ac:dyDescent="0.25">
      <c r="D8" s="96" t="s">
        <v>24</v>
      </c>
      <c r="E8" s="24" t="s">
        <v>263</v>
      </c>
      <c r="F8" s="24" t="s">
        <v>315</v>
      </c>
      <c r="G8" s="24" t="s">
        <v>265</v>
      </c>
      <c r="H8" s="97"/>
      <c r="I8" s="97"/>
      <c r="J8"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3" x14ac:dyDescent="0.25">
      <c r="D9" s="96" t="s">
        <v>266</v>
      </c>
      <c r="E9" s="24" t="s">
        <v>275</v>
      </c>
      <c r="F9" s="24" t="s">
        <v>264</v>
      </c>
      <c r="G9" s="24" t="s">
        <v>270</v>
      </c>
      <c r="H9" s="97"/>
      <c r="I9" s="97"/>
      <c r="J9"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3:13" x14ac:dyDescent="0.25">
      <c r="D10" s="96" t="s">
        <v>268</v>
      </c>
      <c r="E10" s="24" t="s">
        <v>276</v>
      </c>
      <c r="F10" s="24" t="s">
        <v>269</v>
      </c>
      <c r="G10" s="24" t="s">
        <v>270</v>
      </c>
      <c r="H10" s="97"/>
      <c r="I10" s="97"/>
      <c r="J10"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3:13" x14ac:dyDescent="0.25">
      <c r="D11" s="96" t="s">
        <v>271</v>
      </c>
      <c r="E11" s="24" t="s">
        <v>317</v>
      </c>
      <c r="F11" s="24" t="s">
        <v>296</v>
      </c>
      <c r="G11" s="24" t="s">
        <v>283</v>
      </c>
      <c r="H11" s="97"/>
      <c r="I11" s="97"/>
      <c r="J11"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3:13" x14ac:dyDescent="0.25">
      <c r="D12" s="96" t="s">
        <v>272</v>
      </c>
      <c r="E12" s="24" t="s">
        <v>318</v>
      </c>
      <c r="F12" s="24" t="s">
        <v>316</v>
      </c>
      <c r="G12" s="24" t="s">
        <v>285</v>
      </c>
      <c r="H12" s="97"/>
      <c r="I12" s="97"/>
      <c r="J12"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3:13" x14ac:dyDescent="0.25">
      <c r="D13" s="96" t="s">
        <v>273</v>
      </c>
      <c r="E13" s="24" t="s">
        <v>263</v>
      </c>
      <c r="F13" s="24" t="s">
        <v>264</v>
      </c>
      <c r="G13" s="24" t="s">
        <v>265</v>
      </c>
      <c r="H13" s="97"/>
      <c r="I13" s="97"/>
      <c r="J13" s="2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6" spans="3:13" ht="23.25" x14ac:dyDescent="0.25">
      <c r="D16" s="2" t="s">
        <v>274</v>
      </c>
    </row>
    <row r="18" spans="4:10" x14ac:dyDescent="0.25">
      <c r="D18" s="95" t="s">
        <v>208</v>
      </c>
      <c r="E18" s="95" t="s">
        <v>260</v>
      </c>
      <c r="F18" s="95" t="s">
        <v>261</v>
      </c>
      <c r="G18" s="95" t="s">
        <v>262</v>
      </c>
      <c r="H18" s="95" t="s">
        <v>209</v>
      </c>
      <c r="I18" s="95" t="s">
        <v>210</v>
      </c>
      <c r="J18" s="95" t="s">
        <v>211</v>
      </c>
    </row>
    <row r="19" spans="4:10" x14ac:dyDescent="0.25">
      <c r="D19" s="96" t="s">
        <v>114</v>
      </c>
      <c r="E19" s="24" t="s">
        <v>275</v>
      </c>
      <c r="F19" s="24" t="s">
        <v>269</v>
      </c>
      <c r="G19" s="24" t="s">
        <v>265</v>
      </c>
      <c r="H19" s="97"/>
      <c r="I19" s="97"/>
      <c r="J19"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4:10" x14ac:dyDescent="0.25">
      <c r="D20" s="98" t="s">
        <v>47</v>
      </c>
      <c r="E20" s="24" t="s">
        <v>275</v>
      </c>
      <c r="F20" s="24" t="s">
        <v>269</v>
      </c>
      <c r="G20" s="24" t="s">
        <v>265</v>
      </c>
      <c r="H20" s="97"/>
      <c r="I20" s="97"/>
      <c r="J20"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x14ac:dyDescent="0.25">
      <c r="D21" s="98" t="s">
        <v>117</v>
      </c>
      <c r="E21" s="24" t="s">
        <v>275</v>
      </c>
      <c r="F21" s="24" t="s">
        <v>269</v>
      </c>
      <c r="G21" s="24" t="s">
        <v>265</v>
      </c>
      <c r="H21" s="97"/>
      <c r="I21" s="97"/>
      <c r="J21"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x14ac:dyDescent="0.25">
      <c r="D22" s="98" t="s">
        <v>119</v>
      </c>
      <c r="E22" s="24" t="s">
        <v>263</v>
      </c>
      <c r="F22" s="24" t="s">
        <v>264</v>
      </c>
      <c r="G22" s="24" t="s">
        <v>265</v>
      </c>
      <c r="H22" s="97"/>
      <c r="I22" s="97"/>
      <c r="J22"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4:10" x14ac:dyDescent="0.25">
      <c r="D23" s="98" t="s">
        <v>121</v>
      </c>
      <c r="E23" s="24" t="s">
        <v>275</v>
      </c>
      <c r="F23" s="24" t="s">
        <v>269</v>
      </c>
      <c r="G23" s="24" t="s">
        <v>265</v>
      </c>
      <c r="H23" s="97"/>
      <c r="I23" s="97"/>
      <c r="J23"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4:10" x14ac:dyDescent="0.25">
      <c r="D24" s="99" t="s">
        <v>122</v>
      </c>
      <c r="E24" s="100" t="s">
        <v>276</v>
      </c>
      <c r="F24" s="100" t="s">
        <v>269</v>
      </c>
      <c r="G24" s="100" t="s">
        <v>265</v>
      </c>
      <c r="H24" s="97"/>
      <c r="I24" s="97"/>
      <c r="J24" s="2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7" spans="4:10" ht="23.25" x14ac:dyDescent="0.25">
      <c r="D27" s="2" t="s">
        <v>277</v>
      </c>
    </row>
    <row r="29" spans="4:10" x14ac:dyDescent="0.25">
      <c r="D29" s="95" t="s">
        <v>208</v>
      </c>
      <c r="E29" s="95" t="s">
        <v>260</v>
      </c>
      <c r="F29" s="95" t="s">
        <v>261</v>
      </c>
      <c r="G29" s="95" t="s">
        <v>262</v>
      </c>
      <c r="H29" s="95" t="s">
        <v>209</v>
      </c>
      <c r="I29" s="95" t="s">
        <v>210</v>
      </c>
      <c r="J29" s="95" t="s">
        <v>211</v>
      </c>
    </row>
    <row r="30" spans="4:10" x14ac:dyDescent="0.25">
      <c r="D30" s="96" t="s">
        <v>278</v>
      </c>
      <c r="E30" s="24" t="s">
        <v>263</v>
      </c>
      <c r="F30" s="24" t="s">
        <v>269</v>
      </c>
      <c r="G30" s="24" t="s">
        <v>265</v>
      </c>
      <c r="H30" s="97"/>
      <c r="I30" s="97"/>
      <c r="J30"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4:10" x14ac:dyDescent="0.25">
      <c r="D31" s="98" t="s">
        <v>279</v>
      </c>
      <c r="E31" s="24" t="s">
        <v>263</v>
      </c>
      <c r="F31" s="24" t="s">
        <v>264</v>
      </c>
      <c r="G31" s="24" t="s">
        <v>265</v>
      </c>
      <c r="H31" s="97"/>
      <c r="I31" s="97"/>
      <c r="J31"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4:10" x14ac:dyDescent="0.25">
      <c r="D32" s="98" t="s">
        <v>280</v>
      </c>
      <c r="E32" s="24" t="s">
        <v>263</v>
      </c>
      <c r="F32" s="24" t="s">
        <v>264</v>
      </c>
      <c r="G32" s="24" t="s">
        <v>270</v>
      </c>
      <c r="H32" s="97"/>
      <c r="I32" s="97"/>
      <c r="J32"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4:10" x14ac:dyDescent="0.25">
      <c r="D33" s="98" t="s">
        <v>281</v>
      </c>
      <c r="E33" s="24" t="s">
        <v>263</v>
      </c>
      <c r="F33" s="24" t="s">
        <v>264</v>
      </c>
      <c r="G33" s="24" t="s">
        <v>267</v>
      </c>
      <c r="H33" s="97"/>
      <c r="I33" s="97"/>
      <c r="J33"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4:10" x14ac:dyDescent="0.25">
      <c r="D34" s="98" t="s">
        <v>282</v>
      </c>
      <c r="E34" s="24" t="s">
        <v>263</v>
      </c>
      <c r="F34" s="24" t="s">
        <v>264</v>
      </c>
      <c r="G34" s="24" t="s">
        <v>283</v>
      </c>
      <c r="H34" s="97"/>
      <c r="I34" s="97"/>
      <c r="J34"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4:10" x14ac:dyDescent="0.25">
      <c r="D35" s="99" t="s">
        <v>284</v>
      </c>
      <c r="E35" s="24" t="s">
        <v>263</v>
      </c>
      <c r="F35" s="100" t="s">
        <v>269</v>
      </c>
      <c r="G35" s="100" t="s">
        <v>285</v>
      </c>
      <c r="H35" s="97"/>
      <c r="I35" s="97"/>
      <c r="J35"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4:10" x14ac:dyDescent="0.25">
      <c r="D36" s="96" t="s">
        <v>286</v>
      </c>
      <c r="E36" s="24" t="s">
        <v>263</v>
      </c>
      <c r="F36" s="100" t="s">
        <v>269</v>
      </c>
      <c r="G36" s="100" t="s">
        <v>285</v>
      </c>
      <c r="H36" s="97"/>
      <c r="I36" s="97"/>
      <c r="J36"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4:10" x14ac:dyDescent="0.25">
      <c r="D37" s="96" t="s">
        <v>287</v>
      </c>
      <c r="E37" s="24" t="s">
        <v>263</v>
      </c>
      <c r="F37" s="100" t="s">
        <v>264</v>
      </c>
      <c r="G37" s="100" t="s">
        <v>265</v>
      </c>
      <c r="H37" s="97"/>
      <c r="I37" s="97"/>
      <c r="J37"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4:10" x14ac:dyDescent="0.25">
      <c r="D38" s="96" t="s">
        <v>288</v>
      </c>
      <c r="E38" s="24" t="s">
        <v>263</v>
      </c>
      <c r="F38" s="100" t="s">
        <v>264</v>
      </c>
      <c r="G38" s="100" t="s">
        <v>270</v>
      </c>
      <c r="H38" s="97"/>
      <c r="I38" s="97"/>
      <c r="J38"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4:10" x14ac:dyDescent="0.25">
      <c r="D39" s="96" t="s">
        <v>289</v>
      </c>
      <c r="E39" s="24" t="s">
        <v>263</v>
      </c>
      <c r="F39" s="100" t="s">
        <v>264</v>
      </c>
      <c r="G39" s="100" t="s">
        <v>270</v>
      </c>
      <c r="H39" s="97"/>
      <c r="I39" s="97"/>
      <c r="J39"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4:10" x14ac:dyDescent="0.25">
      <c r="D40" s="96" t="s">
        <v>290</v>
      </c>
      <c r="E40" s="24" t="s">
        <v>263</v>
      </c>
      <c r="F40" s="100" t="s">
        <v>264</v>
      </c>
      <c r="G40" s="100" t="s">
        <v>265</v>
      </c>
      <c r="H40" s="97"/>
      <c r="I40" s="97"/>
      <c r="J40"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4:10" x14ac:dyDescent="0.25">
      <c r="D41" s="96" t="s">
        <v>291</v>
      </c>
      <c r="E41" s="24" t="s">
        <v>263</v>
      </c>
      <c r="F41" s="100" t="s">
        <v>264</v>
      </c>
      <c r="G41" s="100" t="s">
        <v>265</v>
      </c>
      <c r="H41" s="97"/>
      <c r="I41" s="97"/>
      <c r="J41" s="2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4" spans="4:10" ht="23.25" x14ac:dyDescent="0.25">
      <c r="D44" s="2" t="s">
        <v>292</v>
      </c>
    </row>
    <row r="46" spans="4:10" x14ac:dyDescent="0.25">
      <c r="D46" s="95" t="s">
        <v>208</v>
      </c>
      <c r="E46" s="95" t="s">
        <v>260</v>
      </c>
      <c r="F46" s="95" t="s">
        <v>261</v>
      </c>
      <c r="G46" s="95" t="s">
        <v>262</v>
      </c>
      <c r="H46" s="95" t="s">
        <v>209</v>
      </c>
      <c r="I46" s="95" t="s">
        <v>210</v>
      </c>
      <c r="J46" s="95" t="s">
        <v>211</v>
      </c>
    </row>
    <row r="47" spans="4:10" x14ac:dyDescent="0.25">
      <c r="D47" s="96" t="s">
        <v>293</v>
      </c>
      <c r="E47" s="24" t="s">
        <v>263</v>
      </c>
      <c r="F47" s="24" t="s">
        <v>264</v>
      </c>
      <c r="G47" s="24" t="s">
        <v>265</v>
      </c>
      <c r="H47" s="97"/>
      <c r="I47" s="97"/>
      <c r="J47"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4:10" x14ac:dyDescent="0.25">
      <c r="D48" s="98" t="s">
        <v>74</v>
      </c>
      <c r="E48" s="24" t="s">
        <v>263</v>
      </c>
      <c r="F48" s="24" t="s">
        <v>264</v>
      </c>
      <c r="G48" s="24" t="s">
        <v>265</v>
      </c>
      <c r="H48" s="97"/>
      <c r="I48" s="97"/>
      <c r="J48"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4:10" x14ac:dyDescent="0.25">
      <c r="D49" s="98" t="s">
        <v>294</v>
      </c>
      <c r="E49" s="24" t="s">
        <v>263</v>
      </c>
      <c r="F49" s="24" t="s">
        <v>264</v>
      </c>
      <c r="G49" s="24" t="s">
        <v>265</v>
      </c>
      <c r="H49" s="97"/>
      <c r="I49" s="97"/>
      <c r="J49"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4:10" x14ac:dyDescent="0.25">
      <c r="D50" s="98" t="s">
        <v>295</v>
      </c>
      <c r="E50" s="24" t="s">
        <v>263</v>
      </c>
      <c r="F50" s="24" t="s">
        <v>296</v>
      </c>
      <c r="G50" s="24" t="s">
        <v>285</v>
      </c>
      <c r="H50" s="97"/>
      <c r="I50" s="97"/>
      <c r="J50"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4:10" x14ac:dyDescent="0.25">
      <c r="D51" s="98" t="s">
        <v>297</v>
      </c>
      <c r="E51" s="24" t="s">
        <v>263</v>
      </c>
      <c r="F51" s="24" t="s">
        <v>264</v>
      </c>
      <c r="G51" s="24" t="s">
        <v>265</v>
      </c>
      <c r="H51" s="97"/>
      <c r="I51" s="97"/>
      <c r="J51" s="2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4" spans="4:10" ht="23.25" x14ac:dyDescent="0.25">
      <c r="D54" s="2" t="s">
        <v>298</v>
      </c>
    </row>
    <row r="56" spans="4:10" x14ac:dyDescent="0.25">
      <c r="D56" s="95" t="s">
        <v>208</v>
      </c>
      <c r="E56" s="95" t="s">
        <v>260</v>
      </c>
      <c r="F56" s="95" t="s">
        <v>261</v>
      </c>
      <c r="G56" s="95" t="s">
        <v>262</v>
      </c>
      <c r="H56" s="95" t="s">
        <v>209</v>
      </c>
      <c r="I56" s="95" t="s">
        <v>210</v>
      </c>
      <c r="J56" s="95" t="s">
        <v>211</v>
      </c>
    </row>
    <row r="57" spans="4:10" x14ac:dyDescent="0.25">
      <c r="D57" s="96" t="s">
        <v>299</v>
      </c>
      <c r="E57" s="24" t="s">
        <v>263</v>
      </c>
      <c r="F57" s="24" t="s">
        <v>264</v>
      </c>
      <c r="G57" s="24" t="s">
        <v>270</v>
      </c>
      <c r="H57" s="97"/>
      <c r="I57" s="97"/>
      <c r="J57" s="2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4:10" x14ac:dyDescent="0.25">
      <c r="D58" s="98" t="s">
        <v>300</v>
      </c>
      <c r="E58" s="24" t="s">
        <v>263</v>
      </c>
      <c r="F58" s="24" t="s">
        <v>264</v>
      </c>
      <c r="G58" s="24" t="s">
        <v>265</v>
      </c>
      <c r="H58" s="97"/>
      <c r="I58" s="97"/>
      <c r="J58" s="2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4:10" x14ac:dyDescent="0.25">
      <c r="D59" s="98" t="s">
        <v>301</v>
      </c>
      <c r="E59" s="24" t="s">
        <v>263</v>
      </c>
      <c r="F59" s="24" t="s">
        <v>264</v>
      </c>
      <c r="G59" s="24" t="s">
        <v>265</v>
      </c>
      <c r="H59" s="97"/>
      <c r="I59" s="97"/>
      <c r="J59" s="2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4:10" x14ac:dyDescent="0.25">
      <c r="D60" s="98" t="s">
        <v>302</v>
      </c>
      <c r="E60" s="24" t="s">
        <v>263</v>
      </c>
      <c r="F60" s="24" t="s">
        <v>264</v>
      </c>
      <c r="G60" s="24" t="s">
        <v>265</v>
      </c>
      <c r="H60" s="97"/>
      <c r="I60" s="97"/>
      <c r="J60" s="2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3" spans="4:10" x14ac:dyDescent="0.25">
      <c r="D63" s="1" t="s">
        <v>303</v>
      </c>
    </row>
    <row r="64" spans="4:10" x14ac:dyDescent="0.25">
      <c r="D64" s="1" t="s">
        <v>304</v>
      </c>
    </row>
    <row r="65" spans="4:4" x14ac:dyDescent="0.25">
      <c r="D65" s="1" t="s">
        <v>305</v>
      </c>
    </row>
    <row r="66" spans="4:4" x14ac:dyDescent="0.25">
      <c r="D66" s="1" t="s">
        <v>306</v>
      </c>
    </row>
    <row r="67" spans="4:4" x14ac:dyDescent="0.25">
      <c r="D67" s="1" t="s">
        <v>307</v>
      </c>
    </row>
    <row r="71" spans="4:4" x14ac:dyDescent="0.25">
      <c r="D71" s="1" t="s">
        <v>308</v>
      </c>
    </row>
  </sheetData>
  <dataValidations count="3">
    <dataValidation type="list" allowBlank="1" showInputMessage="1" showErrorMessage="1" sqref="F8:F13 F19:F24 F30:F41 F47:F51 F57:F60" xr:uid="{7A41F482-9DC2-427F-BD67-9E7030E9FA1D}">
      <formula1>INDIRECT("Table_SourceData_DataQuality_SpatialRepresentativeness[User friendly description]")</formula1>
    </dataValidation>
    <dataValidation type="list" allowBlank="1" showInputMessage="1" showErrorMessage="1" sqref="E8:E13 E19:E24 E30:E41 E47:E51 E57:E60" xr:uid="{A2F79B94-E5F1-44B9-A20F-B6166F7EA291}">
      <formula1>INDIRECT("Table_SourceData_DataQuality_TemporalRepresentativeness[User friendly description]")</formula1>
    </dataValidation>
    <dataValidation type="list" allowBlank="1" showInputMessage="1" showErrorMessage="1" sqref="G8:G13 G19:G24 G30:G41 G47:G51 G57:G60" xr:uid="{BA67DDE5-AE35-4EC9-9563-5791102272E4}">
      <formula1>INDIRECT("Table_SourceData_DataQuality_SampleSize[User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96"/>
  <sheetViews>
    <sheetView showGridLines="0" tabSelected="1" topLeftCell="A260" zoomScale="85" zoomScaleNormal="85" workbookViewId="0">
      <selection activeCell="H307" sqref="H307"/>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31</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32</v>
      </c>
      <c r="E6" s="31" t="s">
        <v>33</v>
      </c>
      <c r="F6" s="31" t="s">
        <v>34</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35</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36</v>
      </c>
      <c r="E36" s="31" t="s">
        <v>37</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36</v>
      </c>
      <c r="E47" s="31" t="s">
        <v>38</v>
      </c>
      <c r="F47" s="31" t="s">
        <v>39</v>
      </c>
      <c r="G47" s="31" t="s">
        <v>40</v>
      </c>
      <c r="H47" s="31" t="s">
        <v>41</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42</v>
      </c>
      <c r="E63" s="31" t="s">
        <v>43</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42</v>
      </c>
      <c r="E89" s="31" t="s">
        <v>44</v>
      </c>
      <c r="F89" s="31" t="s">
        <v>45</v>
      </c>
      <c r="G89" s="31" t="s">
        <v>46</v>
      </c>
      <c r="H89" s="31" t="s">
        <v>47</v>
      </c>
      <c r="I89" s="31" t="s">
        <v>48</v>
      </c>
      <c r="J89" s="31" t="s">
        <v>49</v>
      </c>
      <c r="K89" s="31" t="s">
        <v>50</v>
      </c>
      <c r="L89" s="31" t="s">
        <v>51</v>
      </c>
      <c r="M89" s="31" t="s">
        <v>52</v>
      </c>
      <c r="N89" s="31" t="s">
        <v>53</v>
      </c>
      <c r="O89" s="31" t="s">
        <v>54</v>
      </c>
      <c r="P89" s="31" t="s">
        <v>55</v>
      </c>
      <c r="Q89" s="31" t="s">
        <v>56</v>
      </c>
      <c r="R89" s="31" t="s">
        <v>57</v>
      </c>
      <c r="S89" s="31" t="s">
        <v>58</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59</v>
      </c>
      <c r="E109" s="31" t="s">
        <v>44</v>
      </c>
      <c r="F109" s="31" t="s">
        <v>60</v>
      </c>
      <c r="G109" s="31" t="s">
        <v>61</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62</v>
      </c>
      <c r="E119" s="31" t="s">
        <v>63</v>
      </c>
      <c r="F119" s="31" t="s">
        <v>51</v>
      </c>
      <c r="G119" s="31" t="s">
        <v>52</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64</v>
      </c>
      <c r="E127" s="31" t="s">
        <v>65</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66</v>
      </c>
      <c r="E134" t="s">
        <v>67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68</v>
      </c>
      <c r="E142" s="31" t="s">
        <v>67</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69</v>
      </c>
      <c r="E153" s="31" t="s">
        <v>70</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71</v>
      </c>
      <c r="E186" s="31" t="s">
        <v>72</v>
      </c>
      <c r="F186" s="31" t="s">
        <v>73</v>
      </c>
      <c r="G186" s="31" t="s">
        <v>74</v>
      </c>
      <c r="H186" s="31" t="s">
        <v>75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42</v>
      </c>
      <c r="E206" s="31" t="s">
        <v>76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77</v>
      </c>
      <c r="E212" s="31" t="s">
        <v>78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79</v>
      </c>
      <c r="E231" s="31" t="s">
        <v>80</v>
      </c>
      <c r="F231" s="38" t="s">
        <v>81</v>
      </c>
      <c r="G231" s="31" t="s">
        <v>82</v>
      </c>
      <c r="H231" s="31" t="s">
        <v>83</v>
      </c>
      <c r="I231" s="31" t="s">
        <v>84</v>
      </c>
      <c r="J231" s="31" t="s">
        <v>85</v>
      </c>
      <c r="K231" s="31" t="s">
        <v>86</v>
      </c>
      <c r="L231" s="31" t="s">
        <v>87</v>
      </c>
      <c r="M231" s="31" t="s">
        <v>88</v>
      </c>
      <c r="N231" s="31" t="s">
        <v>89</v>
      </c>
      <c r="O231" s="31" t="s">
        <v>90</v>
      </c>
      <c r="P231" s="31" t="s">
        <v>91</v>
      </c>
      <c r="Q231" s="31" t="s">
        <v>92</v>
      </c>
      <c r="R231" s="31" t="s">
        <v>93</v>
      </c>
      <c r="S231" s="31" t="s">
        <v>94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66" x14ac:dyDescent="0.25">
      <c r="D257" s="31" t="s">
        <v>95</v>
      </c>
      <c r="E257" s="31" t="s">
        <v>96</v>
      </c>
    </row>
    <row r="258" spans="4:66"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row r="262" spans="4:66" ht="23.25" x14ac:dyDescent="0.25">
      <c r="D262" s="2" t="s">
        <v>215</v>
      </c>
    </row>
    <row r="263" spans="4:66" x14ac:dyDescent="0.25">
      <c r="D263" s="1" t="s">
        <v>216</v>
      </c>
    </row>
    <row r="264" spans="4:66" x14ac:dyDescent="0.25">
      <c r="D264" s="31" t="s">
        <v>309</v>
      </c>
      <c r="E264" s="31" t="s">
        <v>217</v>
      </c>
      <c r="F264" s="31" t="s">
        <v>218</v>
      </c>
      <c r="G264" s="31" t="s">
        <v>211</v>
      </c>
      <c r="V264" s="1"/>
      <c r="BN264" s="33"/>
    </row>
    <row r="265" spans="4:66" x14ac:dyDescent="0.25">
      <c r="D265" s="31" t="s">
        <v>263</v>
      </c>
      <c r="E265" s="31" t="s">
        <v>219</v>
      </c>
      <c r="F265" s="31" t="s">
        <v>220</v>
      </c>
      <c r="G265" s="31">
        <v>5</v>
      </c>
      <c r="V265" s="1"/>
      <c r="BN265" s="33"/>
    </row>
    <row r="266" spans="4:66" x14ac:dyDescent="0.25">
      <c r="D266" s="31" t="s">
        <v>275</v>
      </c>
      <c r="E266" s="31" t="s">
        <v>221</v>
      </c>
      <c r="F266" s="31" t="s">
        <v>212</v>
      </c>
      <c r="G266" s="31">
        <v>4</v>
      </c>
      <c r="V266" s="1"/>
      <c r="BN266" s="33"/>
    </row>
    <row r="267" spans="4:66" x14ac:dyDescent="0.25">
      <c r="D267" s="31" t="s">
        <v>276</v>
      </c>
      <c r="E267" s="31" t="s">
        <v>222</v>
      </c>
      <c r="F267" s="31" t="s">
        <v>223</v>
      </c>
      <c r="G267" s="31">
        <v>3</v>
      </c>
      <c r="V267" s="1"/>
      <c r="BN267" s="33"/>
    </row>
    <row r="268" spans="4:66" x14ac:dyDescent="0.25">
      <c r="D268" s="31" t="s">
        <v>317</v>
      </c>
      <c r="E268" s="31" t="s">
        <v>224</v>
      </c>
      <c r="F268" s="31" t="s">
        <v>225</v>
      </c>
      <c r="G268" s="31">
        <v>2</v>
      </c>
      <c r="V268" s="1"/>
      <c r="BN268" s="33"/>
    </row>
    <row r="269" spans="4:66" x14ac:dyDescent="0.25">
      <c r="D269" s="31" t="s">
        <v>318</v>
      </c>
      <c r="E269" s="31" t="s">
        <v>226</v>
      </c>
      <c r="F269" s="31" t="s">
        <v>227</v>
      </c>
      <c r="G269" s="31">
        <v>1</v>
      </c>
      <c r="V269" s="1"/>
      <c r="BN269" s="33"/>
    </row>
    <row r="272" spans="4:66" x14ac:dyDescent="0.25">
      <c r="D272" s="1" t="s">
        <v>228</v>
      </c>
    </row>
    <row r="273" spans="4:66" x14ac:dyDescent="0.25">
      <c r="D273" s="31" t="s">
        <v>309</v>
      </c>
      <c r="E273" s="31" t="s">
        <v>217</v>
      </c>
      <c r="F273" s="31" t="s">
        <v>218</v>
      </c>
      <c r="G273" s="31" t="s">
        <v>211</v>
      </c>
      <c r="V273" s="1"/>
      <c r="BN273" s="33"/>
    </row>
    <row r="274" spans="4:66" x14ac:dyDescent="0.25">
      <c r="D274" s="31" t="s">
        <v>315</v>
      </c>
      <c r="E274" s="31" t="s">
        <v>229</v>
      </c>
      <c r="F274" s="31" t="s">
        <v>213</v>
      </c>
      <c r="G274" s="31">
        <v>5</v>
      </c>
      <c r="V274" s="1"/>
      <c r="BN274" s="33"/>
    </row>
    <row r="275" spans="4:66" x14ac:dyDescent="0.25">
      <c r="D275" s="31" t="s">
        <v>264</v>
      </c>
      <c r="E275" s="31" t="s">
        <v>230</v>
      </c>
      <c r="F275" s="31" t="s">
        <v>231</v>
      </c>
      <c r="G275" s="31">
        <v>4</v>
      </c>
      <c r="V275" s="1"/>
      <c r="BN275" s="33"/>
    </row>
    <row r="276" spans="4:66" x14ac:dyDescent="0.25">
      <c r="D276" s="31" t="s">
        <v>269</v>
      </c>
      <c r="E276" s="31" t="s">
        <v>232</v>
      </c>
      <c r="F276" s="31" t="s">
        <v>233</v>
      </c>
      <c r="G276" s="31">
        <v>3</v>
      </c>
      <c r="V276" s="1"/>
      <c r="BN276" s="33"/>
    </row>
    <row r="277" spans="4:66" x14ac:dyDescent="0.25">
      <c r="D277" s="31" t="s">
        <v>296</v>
      </c>
      <c r="E277" s="31" t="s">
        <v>234</v>
      </c>
      <c r="F277" s="31" t="s">
        <v>235</v>
      </c>
      <c r="G277" s="31">
        <v>2</v>
      </c>
      <c r="V277" s="1"/>
      <c r="BN277" s="33"/>
    </row>
    <row r="278" spans="4:66" x14ac:dyDescent="0.25">
      <c r="D278" s="31" t="s">
        <v>316</v>
      </c>
      <c r="E278" s="31" t="s">
        <v>236</v>
      </c>
      <c r="F278" s="31" t="s">
        <v>237</v>
      </c>
      <c r="G278" s="31">
        <v>1</v>
      </c>
      <c r="V278" s="1"/>
      <c r="BN278" s="33"/>
    </row>
    <row r="281" spans="4:66" x14ac:dyDescent="0.25">
      <c r="D281" s="1" t="s">
        <v>238</v>
      </c>
    </row>
    <row r="282" spans="4:66" x14ac:dyDescent="0.25">
      <c r="D282" s="31" t="s">
        <v>309</v>
      </c>
      <c r="E282" s="31" t="s">
        <v>217</v>
      </c>
      <c r="F282" s="31" t="s">
        <v>218</v>
      </c>
      <c r="G282" s="31" t="s">
        <v>211</v>
      </c>
      <c r="V282" s="1"/>
      <c r="BN282" s="33"/>
    </row>
    <row r="283" spans="4:66" x14ac:dyDescent="0.25">
      <c r="D283" s="31" t="s">
        <v>265</v>
      </c>
      <c r="E283" s="31" t="s">
        <v>239</v>
      </c>
      <c r="F283" s="31" t="s">
        <v>240</v>
      </c>
      <c r="G283" s="31">
        <v>5</v>
      </c>
      <c r="V283" s="1"/>
      <c r="BN283" s="33"/>
    </row>
    <row r="284" spans="4:66" x14ac:dyDescent="0.25">
      <c r="D284" s="31" t="s">
        <v>270</v>
      </c>
      <c r="E284" s="31" t="s">
        <v>241</v>
      </c>
      <c r="F284" s="31" t="s">
        <v>242</v>
      </c>
      <c r="G284" s="31">
        <v>4</v>
      </c>
      <c r="V284" s="1"/>
      <c r="BN284" s="33"/>
    </row>
    <row r="285" spans="4:66" x14ac:dyDescent="0.25">
      <c r="D285" s="31" t="s">
        <v>267</v>
      </c>
      <c r="E285" s="31" t="s">
        <v>243</v>
      </c>
      <c r="F285" s="31" t="s">
        <v>214</v>
      </c>
      <c r="G285" s="31">
        <v>3</v>
      </c>
      <c r="V285" s="1"/>
      <c r="BN285" s="33"/>
    </row>
    <row r="286" spans="4:66" x14ac:dyDescent="0.25">
      <c r="D286" s="31" t="s">
        <v>283</v>
      </c>
      <c r="E286" s="31" t="s">
        <v>244</v>
      </c>
      <c r="F286" s="31" t="s">
        <v>245</v>
      </c>
      <c r="G286" s="31">
        <v>2</v>
      </c>
      <c r="V286" s="1"/>
      <c r="BN286" s="33"/>
    </row>
    <row r="287" spans="4:66" x14ac:dyDescent="0.25">
      <c r="D287" s="31" t="s">
        <v>285</v>
      </c>
      <c r="E287" s="31" t="s">
        <v>246</v>
      </c>
      <c r="F287" s="31" t="s">
        <v>247</v>
      </c>
      <c r="G287" s="31">
        <v>1</v>
      </c>
      <c r="V287" s="1"/>
      <c r="BN287" s="33"/>
    </row>
    <row r="290" spans="4:66" x14ac:dyDescent="0.25">
      <c r="D290" s="1" t="s">
        <v>248</v>
      </c>
    </row>
    <row r="291" spans="4:66" x14ac:dyDescent="0.25">
      <c r="D291" s="31" t="s">
        <v>309</v>
      </c>
      <c r="E291" s="31" t="s">
        <v>217</v>
      </c>
      <c r="F291" s="31" t="s">
        <v>218</v>
      </c>
      <c r="G291" s="31" t="s">
        <v>211</v>
      </c>
      <c r="V291" s="1"/>
      <c r="BN291" s="33"/>
    </row>
    <row r="292" spans="4:66" x14ac:dyDescent="0.25">
      <c r="D292" s="31" t="s">
        <v>310</v>
      </c>
      <c r="E292" s="31" t="s">
        <v>249</v>
      </c>
      <c r="F292" s="31" t="s">
        <v>250</v>
      </c>
      <c r="G292" s="31">
        <v>5</v>
      </c>
      <c r="V292" s="1"/>
      <c r="BN292" s="33"/>
    </row>
    <row r="293" spans="4:66" x14ac:dyDescent="0.25">
      <c r="D293" s="31" t="s">
        <v>311</v>
      </c>
      <c r="E293" s="31" t="s">
        <v>251</v>
      </c>
      <c r="F293" s="31" t="s">
        <v>252</v>
      </c>
      <c r="G293" s="31">
        <v>4</v>
      </c>
      <c r="V293" s="1"/>
      <c r="BN293" s="33"/>
    </row>
    <row r="294" spans="4:66" x14ac:dyDescent="0.25">
      <c r="D294" s="31" t="s">
        <v>312</v>
      </c>
      <c r="E294" s="31" t="s">
        <v>253</v>
      </c>
      <c r="F294" s="31" t="s">
        <v>254</v>
      </c>
      <c r="G294" s="31">
        <v>3</v>
      </c>
      <c r="V294" s="1"/>
      <c r="BN294" s="33"/>
    </row>
    <row r="295" spans="4:66" x14ac:dyDescent="0.25">
      <c r="D295" s="31" t="s">
        <v>313</v>
      </c>
      <c r="E295" s="31" t="s">
        <v>255</v>
      </c>
      <c r="F295" s="31" t="s">
        <v>256</v>
      </c>
      <c r="G295" s="31">
        <v>2</v>
      </c>
      <c r="V295" s="1"/>
      <c r="BN295" s="33"/>
    </row>
    <row r="296" spans="4:66" x14ac:dyDescent="0.25">
      <c r="D296" s="31" t="s">
        <v>314</v>
      </c>
      <c r="E296" s="31" t="s">
        <v>257</v>
      </c>
      <c r="F296" s="31" t="s">
        <v>258</v>
      </c>
      <c r="G296" s="31">
        <v>1</v>
      </c>
      <c r="V296" s="1"/>
      <c r="BN296" s="33"/>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32</vt:i4>
      </vt:variant>
    </vt:vector>
  </HeadingPairs>
  <TitlesOfParts>
    <vt:vector size="40" baseType="lpstr">
      <vt:lpstr>Home</vt:lpstr>
      <vt:lpstr>Results</vt:lpstr>
      <vt:lpstr>Input - Site</vt:lpstr>
      <vt:lpstr>Input - Enterprise</vt:lpstr>
      <vt:lpstr>Input - Fert Prod System</vt:lpstr>
      <vt:lpstr>Input - Livestock sales</vt:lpstr>
      <vt:lpstr>Input - Data quality</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2026-08-10T05:46:15Z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