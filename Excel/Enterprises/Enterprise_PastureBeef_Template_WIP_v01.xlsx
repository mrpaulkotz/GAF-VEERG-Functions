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738712A-C951-41F1-A808-133CA9B4E7B7}" xr6:coauthVersionLast="47" xr6:coauthVersionMax="47" xr10:uidLastSave="{00000000-0000-0000-0000-000000000000}"/>
  <bookViews>
    <workbookView xWindow="3630" yWindow="585" windowWidth="37785" windowHeight="19140" firstSheet="4" activeTab="6"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Livestock sales" sheetId="77" r:id="rId6"/>
    <sheet name="Input - Data quality" sheetId="78" r:id="rId7"/>
    <sheet name="Constants - Common" sheetId="7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78" l="1"/>
  <c r="J60" i="78"/>
  <c r="J59" i="78"/>
  <c r="J58" i="78"/>
  <c r="J57" i="78"/>
  <c r="J47" i="78"/>
  <c r="J51" i="78"/>
  <c r="J50" i="78"/>
  <c r="J49" i="78"/>
  <c r="J48" i="78"/>
  <c r="J31" i="78"/>
  <c r="J41" i="78"/>
  <c r="J40" i="78"/>
  <c r="J39" i="78"/>
  <c r="J38" i="78"/>
  <c r="J37" i="78"/>
  <c r="J36" i="78"/>
  <c r="J35" i="78"/>
  <c r="J34" i="78"/>
  <c r="J33" i="78"/>
  <c r="J32" i="78"/>
  <c r="J30" i="78"/>
  <c r="J19" i="78"/>
  <c r="J24" i="78"/>
  <c r="J23" i="78"/>
  <c r="J22" i="78"/>
  <c r="J21" i="78"/>
  <c r="J20" i="78"/>
  <c r="J9" i="78"/>
  <c r="J13" i="78"/>
  <c r="J12" i="78"/>
  <c r="J11" i="78"/>
  <c r="J1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H48" i="79" l="1"/>
  <c r="H52" i="79"/>
  <c r="E22" i="75"/>
  <c r="E20" i="75"/>
  <c r="E21" i="75" s="1"/>
  <c r="E19" i="75"/>
  <c r="H50" i="79"/>
  <c r="I18" i="13" a="1"/>
  <c r="I18" i="13" s="1"/>
  <c r="I10" i="13" a="1"/>
  <c r="I10" i="13" s="1"/>
  <c r="H19" i="13" a="1"/>
  <c r="H19" i="13" s="1"/>
  <c r="H11" i="13" a="1"/>
  <c r="H11" i="13" s="1"/>
  <c r="I19" i="13" a="1"/>
  <c r="I19" i="13" s="1"/>
  <c r="I11" i="13" a="1"/>
  <c r="I11" i="13" s="1"/>
  <c r="H21" i="13" a="1"/>
  <c r="H21" i="13" s="1"/>
  <c r="H12" i="13" a="1"/>
  <c r="H12" i="13" s="1"/>
  <c r="I21" i="13" a="1"/>
  <c r="I21" i="13" s="1"/>
  <c r="I12" i="13" a="1"/>
  <c r="I12" i="13" s="1"/>
  <c r="H22" i="13" a="1"/>
  <c r="H22" i="13" s="1"/>
  <c r="H14" i="13" a="1"/>
  <c r="H14" i="13" s="1"/>
  <c r="I22" i="13" a="1"/>
  <c r="I22" i="13" s="1"/>
  <c r="H24" i="13" a="1"/>
  <c r="H24" i="13" s="1"/>
  <c r="H7" i="13" a="1"/>
  <c r="H7" i="13" s="1"/>
  <c r="I14" i="13" a="1"/>
  <c r="I14" i="13" s="1"/>
  <c r="I24" i="13" a="1"/>
  <c r="I24" i="13" s="1"/>
  <c r="I7" i="13" a="1"/>
  <c r="I7" i="13" s="1"/>
  <c r="H16" i="13" a="1"/>
  <c r="H16" i="13" s="1"/>
  <c r="H25" i="13" a="1"/>
  <c r="H25" i="13" s="1"/>
  <c r="H8" i="13" a="1"/>
  <c r="H8" i="13" s="1"/>
  <c r="I16" i="13" a="1"/>
  <c r="I16" i="13" s="1"/>
  <c r="I25" i="13" a="1"/>
  <c r="I25" i="13" s="1"/>
  <c r="I8" i="13" a="1"/>
  <c r="I8" i="13" s="1"/>
  <c r="H17" i="13" a="1"/>
  <c r="H17" i="13" s="1"/>
  <c r="H9" i="13" a="1"/>
  <c r="H9" i="13" s="1"/>
  <c r="I17" i="13" a="1"/>
  <c r="I17" i="13" s="1"/>
  <c r="I9" i="13" a="1"/>
  <c r="I9" i="13" s="1"/>
  <c r="H18" i="13" a="1"/>
  <c r="H18" i="13" s="1"/>
  <c r="H10" i="13" a="1"/>
  <c r="H10" i="13" s="1"/>
  <c r="H54" i="79"/>
  <c r="H49" i="79"/>
  <c r="H53" i="79"/>
  <c r="H51" i="79"/>
  <c r="E52" i="13"/>
  <c r="E51" i="13"/>
  <c r="F41" i="13"/>
  <c r="E41" i="13"/>
  <c r="F40" i="13"/>
  <c r="E40" i="13"/>
  <c r="E22" i="72"/>
  <c r="I16" i="77" l="1"/>
  <c r="I15" i="77"/>
  <c r="I14" i="77"/>
  <c r="I13" i="77"/>
  <c r="I12" i="77"/>
  <c r="I11" i="77"/>
  <c r="I10" i="77"/>
  <c r="I9" i="77"/>
  <c r="I8" i="77"/>
  <c r="I7" i="77"/>
  <c r="E10" i="76" a="1"/>
  <c r="E10" i="76" s="1"/>
  <c r="E9" i="76" a="1"/>
  <c r="E9" i="76" s="1"/>
  <c r="G75" i="13" l="1"/>
  <c r="G73" i="13"/>
  <c r="F76" i="13"/>
  <c r="F75" i="13"/>
  <c r="F74" i="13"/>
  <c r="F64" i="13"/>
  <c r="F65" i="13" s="1"/>
  <c r="G74" i="13"/>
  <c r="G72" i="13"/>
  <c r="E29" i="72"/>
  <c r="F72" i="13" l="1"/>
  <c r="F73" i="13"/>
  <c r="E7" i="13" a="1"/>
  <c r="E7" i="13" s="1"/>
  <c r="F11" i="13" a="1"/>
  <c r="F11" i="13" s="1"/>
  <c r="E11" i="13" a="1"/>
  <c r="E11" i="13" s="1"/>
  <c r="F10" i="13" a="1"/>
  <c r="F10" i="13" s="1"/>
  <c r="E10" i="13" a="1"/>
  <c r="E10" i="13" s="1"/>
  <c r="F9" i="13" a="1"/>
  <c r="F9" i="13" s="1"/>
  <c r="E9" i="13" a="1"/>
  <c r="E9" i="13" s="1"/>
  <c r="F8" i="13" a="1"/>
  <c r="F8" i="13" s="1"/>
  <c r="E8" i="13" a="1"/>
  <c r="E8" i="13" s="1"/>
  <c r="E27" i="13" a="1"/>
  <c r="E27" i="13" s="1"/>
  <c r="E26" i="13" a="1"/>
  <c r="E26" i="13" s="1"/>
  <c r="H26" i="13" s="1"/>
  <c r="E25" i="13" a="1"/>
  <c r="E25" i="13" s="1"/>
  <c r="E24" i="13" a="1"/>
  <c r="E24" i="13" s="1"/>
  <c r="F24" i="13" s="1"/>
  <c r="E23" i="13" a="1"/>
  <c r="E23" i="13" s="1"/>
  <c r="H23" i="13" s="1"/>
  <c r="F21" i="13"/>
  <c r="E22" i="13" a="1"/>
  <c r="E22" i="13" s="1"/>
  <c r="F22" i="13" s="1"/>
  <c r="E21" i="13" a="1"/>
  <c r="E21" i="13" s="1"/>
  <c r="E20" i="13" a="1"/>
  <c r="E20" i="13" s="1"/>
  <c r="H20" i="13" s="1"/>
  <c r="F19" i="13" a="1"/>
  <c r="F19" i="13" s="1"/>
  <c r="E19" i="13" a="1"/>
  <c r="E19" i="13" s="1"/>
  <c r="F18" i="13" a="1"/>
  <c r="F18" i="13" s="1"/>
  <c r="E18" i="13" a="1"/>
  <c r="E18" i="13" s="1"/>
  <c r="E17" i="13" a="1"/>
  <c r="E17" i="13" s="1"/>
  <c r="E16" i="13" a="1"/>
  <c r="E16" i="13" s="1"/>
  <c r="E15" i="13" a="1"/>
  <c r="E15" i="13" s="1"/>
  <c r="E14" i="13" a="1"/>
  <c r="E14" i="13" s="1"/>
  <c r="E13" i="13" a="1"/>
  <c r="E13" i="13" s="1"/>
  <c r="F13" i="13" s="1"/>
  <c r="I13" i="13" s="1"/>
  <c r="F12" i="13" a="1"/>
  <c r="F12" i="13" s="1"/>
  <c r="E12" i="13" a="1"/>
  <c r="E12" i="13" s="1"/>
  <c r="F7" i="13" a="1"/>
  <c r="F7" i="13" s="1"/>
  <c r="D37" i="13" a="1"/>
  <c r="D48" i="13" a="1"/>
  <c r="F81" i="13"/>
  <c r="F80" i="13"/>
  <c r="F68" i="13"/>
  <c r="F66" i="13"/>
  <c r="D33" i="13" a="1"/>
  <c r="D33" i="13" s="1"/>
  <c r="E13" i="72"/>
  <c r="D4" i="13" s="1"/>
  <c r="E18" i="75"/>
  <c r="A20" i="75"/>
  <c r="A19" i="75"/>
  <c r="A18" i="75"/>
  <c r="A17" i="75"/>
  <c r="A14" i="75"/>
  <c r="A13" i="75"/>
  <c r="A12" i="75"/>
  <c r="A11" i="75"/>
  <c r="A8" i="75"/>
  <c r="A7" i="75"/>
  <c r="A4" i="75"/>
  <c r="A3" i="75"/>
  <c r="E20" i="72"/>
  <c r="E50" i="13" l="1"/>
  <c r="E49" i="13"/>
  <c r="D37" i="13"/>
  <c r="F39" i="13"/>
  <c r="E39" i="13"/>
  <c r="F16" i="13"/>
  <c r="D48" i="13"/>
  <c r="E48" i="13" s="1"/>
  <c r="F26" i="13"/>
  <c r="I26" i="13" s="1"/>
  <c r="I28" i="13"/>
  <c r="F38" i="13" s="1"/>
  <c r="F20" i="13"/>
  <c r="I20" i="13" s="1"/>
  <c r="H28" i="13"/>
  <c r="E38" i="13" s="1"/>
  <c r="G64" i="13"/>
  <c r="G65" i="13" s="1"/>
  <c r="F67" i="13"/>
  <c r="H27" i="13"/>
  <c r="F27" i="13"/>
  <c r="I27" i="13" s="1"/>
  <c r="F15" i="13"/>
  <c r="I15" i="13" s="1"/>
  <c r="H15" i="13"/>
  <c r="F17" i="13"/>
  <c r="H13" i="13"/>
  <c r="F23" i="13"/>
  <c r="I23" i="13" s="1"/>
  <c r="F25" i="13"/>
  <c r="F14" i="13"/>
  <c r="G66" i="13"/>
  <c r="G67" i="13" s="1"/>
  <c r="E53" i="13" l="1"/>
  <c r="E37" i="13"/>
  <c r="F37" i="13"/>
  <c r="A20" i="13"/>
  <c r="A19" i="13"/>
  <c r="A18" i="13"/>
  <c r="A17" i="13"/>
  <c r="A14" i="13"/>
  <c r="A13" i="13"/>
  <c r="A12" i="13"/>
  <c r="A11" i="13"/>
  <c r="A8" i="13"/>
  <c r="A7" i="13"/>
  <c r="A4" i="13"/>
  <c r="A3" i="13"/>
  <c r="E42" i="13" l="1"/>
  <c r="H64" i="13" s="1"/>
  <c r="H72" i="13" l="1"/>
  <c r="H66" i="13"/>
  <c r="H74" i="13"/>
  <c r="E59" i="13"/>
  <c r="F42" i="13"/>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<sst xmlns="http://schemas.openxmlformats.org/spreadsheetml/2006/main" count="593" uniqueCount="319">
  <si>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</si>
  <si>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</si>
  <si>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</si>
  <si>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</si>
  <si>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</si>
  <si>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</si>
  <si>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</si>
  <si>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</si>
  <si>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</si>
  <si>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</si>
  <si>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</si>
  <si>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</si>
  <si>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</si>
  <si>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</si>
  <si>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</si>
  <si>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</si>
  <si>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</si>
  <si>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</si>
  <si>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</si>
  <si>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</si>
  <si>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</si>
  <si>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</si>
  <si>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</si>
  <si>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</si>
  <si>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</si>
  <si>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</si>
  <si>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</si>
  <si>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</si>
  <si>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</si>
  <si>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</si>
  <si>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</si>
  <si>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</si>
  <si>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</si>
  <si>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</si>
  <si>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</si>
  <si>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</si>
  <si>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</si>
  <si>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</si>
  <si>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</si>
  <si>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</si>
  <si>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</si>
  <si>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</si>
  <si>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</si>
  <si>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</si>
  <si>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</si>
  <si>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</si>
  <si>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</si>
  <si>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</si>
  <si>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</si>
  <si>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</si>
  <si>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</si>
  <si>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</si>
  <si>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</si>
  <si>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</si>
  <si>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</si>
  <si>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</si>
  <si>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</si>
  <si>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</si>
  <si>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</si>
  <si>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</si>
  <si>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</si>
  <si>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</si>
  <si>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</si>
  <si>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</si>
  <si>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</si>
  <si>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</si>
  <si>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</si>
  <si>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</si>
  <si>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</si>
  <si>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</si>
  <si>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</si>
  <si>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</si>
  <si>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</si>
  <si>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</si>
  <si>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</si>
  <si>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</si>
  <si>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</si>
  <si>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</si>
  <si>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</si>
  <si>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</si>
  <si>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</si>
  <si>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</si>
  <si>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</si>
  <si>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</si>
  <si>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</si>
  <si>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</si>
  <si>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</si>
  <si>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</si>
  <si>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</si>
  <si>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</si>
  <si>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</si>
  <si>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</si>
  <si>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</si>
  <si>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</si>
  <si>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</si>
  <si>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</si>
  <si>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</si>
  <si>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</si>
  <si>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</si>
  <si>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</si>
  <si>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</si>
  <si>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</si>
  <si>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</si>
  <si>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</si>
  <si>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</si>
  <si>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</si>
  <si>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</si>
  <si>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</si>
  <si>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</si>
  <si>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</si>
  <si>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</si>
  <si>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</si>
  <si>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</si>
  <si>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</si>
  <si>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</si>
  <si>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</si>
  <si>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</si>
  <si>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</si>
  <si>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</si>
  <si>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</si>
  <si>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</si>
  <si>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</si>
  <si>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</si>
  <si>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</si>
  <si>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</si>
  <si>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</si>
  <si>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</si>
  <si>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</si>
  <si>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</si>
  <si>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</si>
  <si>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</si>
  <si>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</si>
  <si>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</si>
  <si>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</si>
  <si>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</si>
  <si>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</si>
  <si>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</si>
  <si>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</si>
  <si>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</si>
  <si>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</si>
  <si>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</si>
  <si>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</si>
  <si>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</si>
  <si>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</si>
  <si>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</si>
  <si>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</si>
  <si>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</si>
  <si>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</si>
  <si>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</si>
  <si>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</si>
  <si>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</si>
  <si>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</si>
  <si>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</si>
  <si>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</si>
  <si>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</si>
  <si>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</si>
  <si>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</si>
  <si>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</si>
  <si>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</si>
  <si>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</si>
  <si>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</si>
  <si>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</si>
  <si>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</si>
  <si>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</si>
  <si>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</si>
  <si>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</si>
  <si>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</si>
  <si>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</si>
  <si>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</si>
  <si>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</si>
  <si>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</si>
  <si>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</si>
  <si>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</si>
  <si>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</si>
  <si>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</si>
  <si>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</si>
  <si>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</si>
  <si>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</si>
  <si>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</si>
  <si>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</si>
  <si>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</si>
  <si>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</si>
  <si>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</si>
  <si>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</si>
  <si>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</si>
  <si>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</si>
  <si>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</si>
  <si>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</si>
  <si>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</si>
  <si>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</si>
  <si>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</si>
  <si>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</si>
  <si>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</si>
  <si>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</si>
  <si>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</si>
  <si>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</si>
  <si>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</si>
  <si>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</si>
  <si>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</si>
  <si>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</si>
  <si>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</si>
  <si>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</si>
  <si>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</si>
  <si>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</si>
  <si>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</si>
  <si>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</si>
  <si>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</si>
  <si>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</si>
  <si>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</si>
  <si>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</si>
  <si>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</si>
  <si>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</si>
  <si>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</si>
  <si>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</si>
  <si>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</si>
  <si>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</si>
  <si>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</si>
  <si>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</si>
  <si>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</si>
  <si>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</si>
  <si>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</si>
  <si>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</si>
  <si>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</si>
  <si>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</si>
  <si>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</si>
  <si>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</si>
  <si>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</si>
  <si>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</si>
  <si>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</si>
  <si>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</si>
  <si>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</si>
  <si>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</si>
  <si>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</si>
  <si>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</si>
  <si>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</si>
  <si>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</si>
  <si>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</si>
  <si>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</si>
  <si>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</si>
  <si>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</si>
  <si>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</si>
  <si>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</si>
  <si>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</si>
  <si>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</si>
  <si>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</si>
  <si>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</si>
  <si>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</si>
  <si>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</si>
  <si>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</si>
  <si>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</si>
  <si>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</si>
  <si>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</si>
  <si>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</si>
  <si>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</si>
  <si>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</si>
  <si>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</si>
  <si>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</si>
  <si>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</si>
  <si>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</si>
  <si>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</si>
  <si>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</si>
  <si>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</si>
  <si>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</si>
  <si>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</si>
  <si>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</si>
  <si>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</si>
  <si>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</si>
  <si>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</si>
  <si>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</si>
  <si>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</si>
  <si>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</si>
  <si>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</si>
  <si>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</si>
  <si>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</si>
  <si>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</si>
  <si>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</si>
  <si>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</si>
  <si>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</si>
  <si>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</si>
  <si>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</si>
  <si>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</si>
  <si>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</si>
  <si>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</si>
  <si>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</si>
  <si>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</si>
  <si>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</si>
  <si>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</si>
  <si>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</si>
  <si>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</si>
  <si>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</si>
  <si>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</si>
  <si>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</si>
  <si>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</si>
  <si>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</si>
  <si>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</si>
  <si>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</si>
  <si>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</si>
  <si>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</si>
  <si>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</si>
  <si>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</si>
  <si>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</si>
  <si>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</si>
  <si>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Farm inputs</t>
  </si>
  <si>
    <t>Fuel consumption</t>
  </si>
  <si>
    <t>Electricity consumption</t>
  </si>
  <si>
    <t>Inbound freight use</t>
  </si>
  <si>
    <t>Outbound freight use</t>
  </si>
  <si>
    <t>Solid waste generated</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</si>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</sst>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1">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49" fontId="0" fillId="0" borderId="0" xfId="14" applyNumberFormat="1" applyFont="1" applyBorder="1">
      <alignment horizontal="center" vertical="center"/>
    </xf>
    <xf numFmtId="0" fontId="3" fillId="12" borderId="17" xfId="15" applyBorder="1">
      <alignment horizontal="center" vertical="center"/>
    </xf>
    <xf numFmtId="0" fontId="42" fillId="0" borderId="0" xfId="66"/>
    <xf numFmtId="0" fontId="53" fillId="9" borderId="4" xfId="34" applyFont="1">
      <alignment horizontal="left" vertical="center" indent="1"/>
    </xf>
    <xf numFmtId="0" fontId="20" fillId="10" borderId="0" xfId="35">
      <alignment horizontal="left" vertical="center" indent="1"/>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3"/>
      <tableStyleElement type="headerRow" dxfId="62"/>
      <tableStyleElement type="totalRow" dxfId="61"/>
      <tableStyleElement type="firstColumn" dxfId="60"/>
      <tableStyleElement type="firstRowStripe" dxfId="59"/>
      <tableStyleElement type="secondRowStripe" dxfId="58"/>
    </tableStyle>
    <tableStyle name="Equation table" pivot="0" count="6" xr9:uid="{B247698E-E41D-4CCD-AA0A-C14817E9DE65}">
      <tableStyleElement type="wholeTable" dxfId="57"/>
      <tableStyleElement type="headerRow" dxfId="56"/>
      <tableStyleElement type="totalRow" dxfId="55"/>
      <tableStyleElement type="firstColumn" dxfId="54"/>
      <tableStyleElement type="firstRowStripe" dxfId="53"/>
      <tableStyleElement type="secondRowStripe" dxfId="52"/>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41"/>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51"/>
    <tableColumn id="6" xr3:uid="{11350DC8-38DD-4ED1-9576-EFE00DF98F4A}" name="Evidence files" dataDxfId="50"/>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49"/>
    <tableColumn id="6" xr3:uid="{AB44CE99-224A-437D-A5B1-932D9C46AAB8}" name="Evidence files" dataDxfId="48"/>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47"/>
    <tableColumn id="6" xr3:uid="{8407DCE3-2C71-4594-89B2-6C5DC5A27F02}" name="Evidence files" dataDxfId="46"/>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5"/>
    <tableColumn id="6" xr3:uid="{4E8DFB0B-42BF-4238-AE47-4694D0ABF414}" name="Evidence files" dataDxfId="44"/>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3"/>
    <tableColumn id="6" xr3:uid="{59BA769D-6DE0-45F8-9AE4-CE630F78ADD3}" name="Evidence files" dataDxfId="42"/>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4" dataCellStyle="Content normal"/>
    <tableColumn id="2" xr3:uid="{FB5C0130-8C56-4920-AC12-9A8601CC1D07}" name="Description" dataDxfId="3"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2"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1"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0"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2.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98" t="str">
        <f>HYPERLINK("#'Home'!A1", "Home")</f>
        <v>Home</v>
      </c>
    </row>
    <row r="6" spans="1:1" x14ac:dyDescent="0.25">
      <c r="A6" s="99"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zoomScaleNormal="100" workbookViewId="0">
      <selection activeCell="E54" sqref="E5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191</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0, IF(ISNUMBER(SEARCH("reporting", $D37)), Result_Enterprise_Method1, "Enter value"))</f>
        <v>Enter value</v>
      </c>
      <c r="F37" s="87" t="str">
        <f>IF(ISBLANK($D37), 0,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0, IF(ISNUMBER(SEARCH("reporting", $D38)), Result_Enterprise_Method1, "Enter value"))</f>
        <v>#NAME?</v>
      </c>
      <c r="F38" s="87" t="e">
        <f>IF(ISBLANK($D38), 0,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0, IF(ISNUMBER(SEARCH("reporting", $D39)), Result_Enterprise_Method1, "Enter value"))</f>
        <v>Enter value</v>
      </c>
      <c r="F39" s="87" t="str">
        <f>IF(ISBLANK($D39), 0, IF(ISNUMBER(SEARCH("reporting", $D39)), Result_Enterprise_Method2, "Enter value"))</f>
        <v>Enter value</v>
      </c>
      <c r="G39" s="16" t="s">
        <v>8</v>
      </c>
      <c r="H39" s="14"/>
      <c r="I39" s="9"/>
      <c r="J39" s="9"/>
      <c r="K39" s="9"/>
    </row>
    <row r="40" spans="3:11" ht="20.100000000000001" customHeight="1" x14ac:dyDescent="0.3">
      <c r="C40" s="9"/>
      <c r="D40" s="1"/>
      <c r="E40" s="87">
        <f>IF(ISBLANK($D40), 0, IF(ISNUMBER(SEARCH("reporting", $D40)), Result_Enterprise_Method1, "Enter value"))</f>
        <v>0</v>
      </c>
      <c r="F40" s="87">
        <f>IF(ISBLANK($D40), 0, IF(ISNUMBER(SEARCH("reporting", $D40)), Result_Enterprise_Method2, "Enter value"))</f>
        <v>0</v>
      </c>
      <c r="G40" s="16" t="s">
        <v>8</v>
      </c>
      <c r="H40" s="14"/>
      <c r="I40" s="9"/>
      <c r="J40" s="9"/>
      <c r="K40" s="9"/>
    </row>
    <row r="41" spans="3:11" ht="20.100000000000001" customHeight="1" x14ac:dyDescent="0.3">
      <c r="C41" s="9"/>
      <c r="D41" s="89"/>
      <c r="E41" s="87">
        <f>IF(ISBLANK($D41), 0, IF(ISNUMBER(SEARCH("reporting", $D41)), Result_Enterprise_Method1, "Enter value"))</f>
        <v>0</v>
      </c>
      <c r="F41" s="87">
        <f>IF(ISBLANK($D41), 0, IF(ISNUMBER(SEARCH("reporting", $D41)), Result_Enterprise_Method2, "Enter value"))</f>
        <v>0</v>
      </c>
      <c r="G41" s="16" t="s">
        <v>8</v>
      </c>
      <c r="H41" s="14"/>
      <c r="I41" s="9"/>
      <c r="J41" s="9"/>
      <c r="K41" s="9"/>
    </row>
    <row r="42" spans="3:11" ht="20.100000000000001" customHeight="1" x14ac:dyDescent="0.3">
      <c r="C42" s="9"/>
      <c r="D42" s="15" t="s">
        <v>146</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0,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0,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f t="shared" si="1"/>
        <v>0</v>
      </c>
      <c r="F51" s="16" t="s">
        <v>145</v>
      </c>
      <c r="G51" s="1"/>
      <c r="H51" s="1"/>
      <c r="I51" s="1"/>
      <c r="J51" s="1"/>
      <c r="K51" s="9"/>
    </row>
    <row r="52" spans="3:11" ht="20.100000000000001" customHeight="1" x14ac:dyDescent="0.25">
      <c r="C52" s="9"/>
      <c r="D52" s="1"/>
      <c r="E52" s="87">
        <f t="shared" si="1"/>
        <v>0</v>
      </c>
      <c r="F52" s="16" t="s">
        <v>145</v>
      </c>
      <c r="G52" s="1"/>
      <c r="H52" s="1"/>
      <c r="I52" s="9"/>
      <c r="J52" s="9"/>
      <c r="K52" s="9"/>
    </row>
    <row r="53" spans="3:11" ht="20.100000000000001" customHeight="1" x14ac:dyDescent="0.3">
      <c r="C53" s="9"/>
      <c r="D53" s="15" t="s">
        <v>147</v>
      </c>
      <c r="E53" s="20">
        <f>SUM(E48:E52)</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182</v>
      </c>
      <c r="E62" s="1"/>
      <c r="F62" s="1"/>
      <c r="G62" s="1"/>
      <c r="H62" s="1"/>
      <c r="I62" s="1"/>
      <c r="J62" s="1"/>
      <c r="K62" s="9"/>
    </row>
    <row r="63" spans="3:11" ht="20.100000000000001" customHeight="1" x14ac:dyDescent="0.25">
      <c r="C63" s="9"/>
      <c r="D63" s="21" t="s">
        <v>153</v>
      </c>
      <c r="E63" s="21" t="s">
        <v>137</v>
      </c>
      <c r="F63" s="21" t="s">
        <v>131</v>
      </c>
      <c r="G63" s="21" t="s">
        <v>184</v>
      </c>
      <c r="H63" s="21" t="s">
        <v>135</v>
      </c>
      <c r="I63" s="21" t="s">
        <v>136</v>
      </c>
      <c r="J63" s="21" t="s">
        <v>132</v>
      </c>
      <c r="K63" s="9"/>
    </row>
    <row r="64" spans="3:11" ht="20.100000000000001" customHeight="1" x14ac:dyDescent="0.25">
      <c r="C64" s="9"/>
      <c r="D64" s="1" t="s">
        <v>187</v>
      </c>
      <c r="E64" s="1" t="s">
        <v>138</v>
      </c>
      <c r="F64" s="19">
        <f>'Input - Enterprise'!E22</f>
        <v>5</v>
      </c>
      <c r="G64" s="19" t="e">
        <f>F64/(F64+F66)</f>
        <v>#VALUE!</v>
      </c>
      <c r="H64" s="19" t="e">
        <f>(Result_EmissionsForWholeProductionCycle_Method1/F64)*G64</f>
        <v>#NAME?</v>
      </c>
      <c r="I64" s="19" t="e">
        <f>(Result_EmissionsForWholeProductionCycle_Method2/F64)*G64</f>
        <v>#NAME?</v>
      </c>
      <c r="J64" s="16" t="s">
        <v>133</v>
      </c>
      <c r="K64" s="9"/>
    </row>
    <row r="65" spans="3:11" ht="20.100000000000001" customHeight="1" x14ac:dyDescent="0.25">
      <c r="C65" s="9"/>
      <c r="D65" s="1" t="s">
        <v>188</v>
      </c>
      <c r="E65" s="1" t="s">
        <v>138</v>
      </c>
      <c r="F65" s="19">
        <f>F64</f>
        <v>5</v>
      </c>
      <c r="G65" s="19" t="e">
        <f>G64</f>
        <v>#VALUE!</v>
      </c>
      <c r="H65" s="19" t="e">
        <f>(Result_NetEmissions_Method1/F65)*G65</f>
        <v>#NAME?</v>
      </c>
      <c r="I65" s="19" t="e">
        <f>(Result_NetEmissions_Method2/F65)*G65</f>
        <v>#NAME?</v>
      </c>
      <c r="J65" s="16" t="s">
        <v>133</v>
      </c>
      <c r="K65" s="9"/>
    </row>
    <row r="66" spans="3:11" ht="20.100000000000001" customHeight="1" x14ac:dyDescent="0.25">
      <c r="C66" s="9"/>
      <c r="D66" s="1" t="s">
        <v>189</v>
      </c>
      <c r="E66" s="1" t="s">
        <v>139</v>
      </c>
      <c r="F66" s="19" t="e">
        <f>'Input - Enterprise'!E25*'Input - Enterprise'!E26</f>
        <v>#VALUE!</v>
      </c>
      <c r="G66" s="19" t="e">
        <f>F66/(F64+F66)</f>
        <v>#VALUE!</v>
      </c>
      <c r="H66" s="19" t="e">
        <f>(Result_EmissionsForWholeProductionCycle_Method1/F66)*G66</f>
        <v>#NAME?</v>
      </c>
      <c r="I66" s="19" t="e">
        <f>(Result_EmissionsForWholeProductionCycle_Method2/F66)*G66</f>
        <v>#NAME?</v>
      </c>
      <c r="J66" s="16" t="s">
        <v>134</v>
      </c>
      <c r="K66" s="9"/>
    </row>
    <row r="67" spans="3:11" ht="20.100000000000001" customHeight="1" x14ac:dyDescent="0.25">
      <c r="C67" s="9"/>
      <c r="D67" s="1" t="s">
        <v>190</v>
      </c>
      <c r="E67" s="1" t="s">
        <v>139</v>
      </c>
      <c r="F67" s="19" t="e">
        <f>F66</f>
        <v>#VALUE!</v>
      </c>
      <c r="G67" s="19" t="e">
        <f>G66</f>
        <v>#VALUE!</v>
      </c>
      <c r="H67" s="19" t="e">
        <f>(Result_NetEmissions_Method1/F67)*G67</f>
        <v>#NAME?</v>
      </c>
      <c r="I67" s="19" t="e">
        <f>(Result_NetEmissions_Method2/F67)*G67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183</v>
      </c>
      <c r="E70" s="1"/>
      <c r="F70" s="1"/>
      <c r="G70" s="1"/>
      <c r="H70" s="1"/>
      <c r="I70" s="1"/>
      <c r="J70" s="1"/>
      <c r="K70" s="9"/>
    </row>
    <row r="71" spans="3:11" ht="20.100000000000001" customHeight="1" x14ac:dyDescent="0.25">
      <c r="C71" s="9"/>
      <c r="D71" s="21" t="s">
        <v>153</v>
      </c>
      <c r="E71" s="21" t="s">
        <v>137</v>
      </c>
      <c r="F71" s="21" t="s">
        <v>131</v>
      </c>
      <c r="G71" s="21" t="s">
        <v>185</v>
      </c>
      <c r="H71" s="21" t="s">
        <v>135</v>
      </c>
      <c r="I71" s="21" t="s">
        <v>136</v>
      </c>
      <c r="J71" s="21" t="s">
        <v>132</v>
      </c>
      <c r="K71" s="9"/>
    </row>
    <row r="72" spans="3:11" ht="20.100000000000001" customHeight="1" x14ac:dyDescent="0.25">
      <c r="C72" s="9"/>
      <c r="D72" s="1" t="s">
        <v>187</v>
      </c>
      <c r="E72" s="1" t="s">
        <v>138</v>
      </c>
      <c r="F72" s="19">
        <f>F64</f>
        <v>5</v>
      </c>
      <c r="G72" s="19">
        <f>'Input - Enterprise'!E31</f>
        <v>0.8</v>
      </c>
      <c r="H72" s="19" t="e">
        <f>(Result_EmissionsForWholeProductionCycle_Method1/F72)*G72</f>
        <v>#NAME?</v>
      </c>
      <c r="I72" s="19" t="e">
        <f>(Result_EmissionsForWholeProductionCycle_Method2/F72)*G72</f>
        <v>#NAME?</v>
      </c>
      <c r="J72" s="16" t="s">
        <v>133</v>
      </c>
      <c r="K72" s="9"/>
    </row>
    <row r="73" spans="3:11" ht="20.100000000000001" customHeight="1" x14ac:dyDescent="0.25">
      <c r="C73" s="9"/>
      <c r="D73" s="1" t="s">
        <v>188</v>
      </c>
      <c r="E73" s="1" t="s">
        <v>138</v>
      </c>
      <c r="F73" s="19">
        <f>F64</f>
        <v>5</v>
      </c>
      <c r="G73" s="19">
        <f>G72</f>
        <v>0.8</v>
      </c>
      <c r="H73" s="19" t="e">
        <f>(Result_NetEmissions_Method1/F73)*G73</f>
        <v>#NAME?</v>
      </c>
      <c r="I73" s="19" t="e">
        <f>(Result_NetEmissions_Method2/F73)*G73</f>
        <v>#NAME?</v>
      </c>
      <c r="J73" s="16" t="s">
        <v>133</v>
      </c>
      <c r="K73" s="9"/>
    </row>
    <row r="74" spans="3:11" ht="20.100000000000001" customHeight="1" x14ac:dyDescent="0.25">
      <c r="C74" s="9"/>
      <c r="D74" s="1" t="s">
        <v>189</v>
      </c>
      <c r="E74" s="1" t="s">
        <v>139</v>
      </c>
      <c r="F74" s="19" t="e">
        <f>F66</f>
        <v>#VALUE!</v>
      </c>
      <c r="G74" s="19">
        <f>'Input - Enterprise'!E32</f>
        <v>0.2</v>
      </c>
      <c r="H74" s="19" t="e">
        <f>(Result_EmissionsForWholeProductionCycle_Method1/F74)*G74</f>
        <v>#NAME?</v>
      </c>
      <c r="I74" s="19" t="e">
        <f>(Result_EmissionsForWholeProductionCycle_Method2/F74)*G74</f>
        <v>#NAME?</v>
      </c>
      <c r="J74" s="16" t="s">
        <v>134</v>
      </c>
      <c r="K74" s="9"/>
    </row>
    <row r="75" spans="3:11" ht="20.100000000000001" customHeight="1" x14ac:dyDescent="0.25">
      <c r="C75" s="9"/>
      <c r="D75" s="1" t="s">
        <v>190</v>
      </c>
      <c r="E75" s="1" t="s">
        <v>139</v>
      </c>
      <c r="F75" s="19" t="e">
        <f>F67</f>
        <v>#VALUE!</v>
      </c>
      <c r="G75" s="19">
        <f>G74</f>
        <v>0.2</v>
      </c>
      <c r="H75" s="19" t="e">
        <f>(Result_NetEmissions_Method1/F75)*G75</f>
        <v>#NAME?</v>
      </c>
      <c r="I75" s="19" t="e">
        <f>(Result_NetEmissions_Method2/F75)*G75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186</v>
      </c>
      <c r="E78" s="1"/>
      <c r="F78" s="1"/>
      <c r="G78" s="1"/>
      <c r="H78" s="1"/>
      <c r="I78" s="1"/>
      <c r="J78" s="1"/>
      <c r="K78" s="9"/>
    </row>
    <row r="79" spans="3:11" ht="15.75" x14ac:dyDescent="0.25">
      <c r="C79" s="9"/>
      <c r="D79" s="21" t="s">
        <v>153</v>
      </c>
      <c r="E79" s="21" t="s">
        <v>137</v>
      </c>
      <c r="F79" s="21" t="s">
        <v>131</v>
      </c>
      <c r="G79" s="21" t="s">
        <v>185</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2"/>
  <sheetViews>
    <sheetView showGridLines="0" topLeftCell="A4" zoomScaleNormal="100"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f>SUM(Table_Input_LivestockSales[Total liveweight sold])*10^-3</f>
        <v>5</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181</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192</v>
      </c>
    </row>
    <row r="2" spans="1:11" s="3" customFormat="1" x14ac:dyDescent="0.25"/>
    <row r="3" spans="1:11" ht="20.25" x14ac:dyDescent="0.25">
      <c r="C3" s="40"/>
      <c r="D3" s="40"/>
      <c r="E3" s="40"/>
      <c r="F3" s="40"/>
      <c r="G3" s="40"/>
      <c r="H3" s="40"/>
      <c r="I3" s="40"/>
      <c r="J3" s="40"/>
      <c r="K3" s="40"/>
    </row>
    <row r="5" spans="1:11" x14ac:dyDescent="0.25">
      <c r="D5" s="81" t="s">
        <v>197</v>
      </c>
      <c r="E5" s="81"/>
      <c r="F5" s="81"/>
      <c r="G5" s="81"/>
    </row>
    <row r="6" spans="1:11" x14ac:dyDescent="0.25">
      <c r="F6" s="27"/>
    </row>
    <row r="7" spans="1:11" x14ac:dyDescent="0.25">
      <c r="D7" s="1" t="s">
        <v>193</v>
      </c>
      <c r="E7" s="26" t="s">
        <v>196</v>
      </c>
      <c r="F7" s="27"/>
    </row>
    <row r="8" spans="1:11" x14ac:dyDescent="0.25">
      <c r="D8" s="1" t="s">
        <v>194</v>
      </c>
      <c r="E8" s="26" t="s">
        <v>196</v>
      </c>
      <c r="F8" s="27"/>
    </row>
    <row r="9" spans="1:11" x14ac:dyDescent="0.25">
      <c r="D9" s="1" t="s">
        <v>74</v>
      </c>
      <c r="E9" s="26" t="e" cm="1">
        <f t="array" ref="E9">X_Cell_Pasture_IrrigationMethod</f>
        <v>#NAME?</v>
      </c>
    </row>
    <row r="10" spans="1:11" x14ac:dyDescent="0.25">
      <c r="D10" s="1" t="s">
        <v>195</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16"/>
  <sheetViews>
    <sheetView showGridLines="0" zoomScaleNormal="10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198</v>
      </c>
    </row>
    <row r="2" spans="1:13" s="3" customFormat="1" x14ac:dyDescent="0.25"/>
    <row r="3" spans="1:13" ht="20.25" x14ac:dyDescent="0.25">
      <c r="C3" s="40"/>
      <c r="D3" s="40"/>
      <c r="E3" s="40"/>
      <c r="F3" s="40"/>
      <c r="G3" s="40"/>
      <c r="H3" s="40"/>
      <c r="I3" s="40"/>
      <c r="J3" s="40"/>
      <c r="K3" s="40"/>
      <c r="L3" s="40"/>
      <c r="M3" s="40"/>
    </row>
    <row r="5" spans="1:13" x14ac:dyDescent="0.25">
      <c r="D5" s="93" t="s">
        <v>199</v>
      </c>
    </row>
    <row r="6" spans="1:13" x14ac:dyDescent="0.25">
      <c r="D6" s="31" t="s">
        <v>200</v>
      </c>
      <c r="E6" s="31" t="s">
        <v>201</v>
      </c>
      <c r="F6" s="31" t="s">
        <v>202</v>
      </c>
      <c r="G6" s="31" t="s">
        <v>203</v>
      </c>
      <c r="H6" s="31" t="s">
        <v>204</v>
      </c>
      <c r="I6" s="31" t="s">
        <v>205</v>
      </c>
    </row>
    <row r="7" spans="1:13" x14ac:dyDescent="0.25">
      <c r="D7" s="45"/>
      <c r="E7" s="24" t="s">
        <v>206</v>
      </c>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M71"/>
  <sheetViews>
    <sheetView showGridLines="0" tabSelected="1" topLeftCell="A23" zoomScaleNormal="100" workbookViewId="0">
      <selection activeCell="E14" sqref="E14"/>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207</v>
      </c>
    </row>
    <row r="2" spans="3:13" s="3" customFormat="1" x14ac:dyDescent="0.25"/>
    <row r="3" spans="3:13" ht="20.25" x14ac:dyDescent="0.25">
      <c r="C3" s="40"/>
      <c r="D3" s="40"/>
      <c r="E3" s="40"/>
      <c r="F3" s="40"/>
      <c r="G3" s="40"/>
      <c r="H3" s="40"/>
      <c r="I3" s="40"/>
      <c r="J3" s="40"/>
      <c r="K3" s="40"/>
      <c r="L3" s="40"/>
      <c r="M3" s="40"/>
    </row>
    <row r="5" spans="3:13" ht="23.25" x14ac:dyDescent="0.25">
      <c r="D5" s="2" t="s">
        <v>258</v>
      </c>
    </row>
    <row r="7" spans="3:13" x14ac:dyDescent="0.25">
      <c r="D7" s="95" t="s">
        <v>318</v>
      </c>
      <c r="E7" s="95" t="s">
        <v>259</v>
      </c>
      <c r="F7" s="95" t="s">
        <v>260</v>
      </c>
      <c r="G7" s="95" t="s">
        <v>261</v>
      </c>
      <c r="H7" s="95" t="s">
        <v>208</v>
      </c>
      <c r="I7" s="95" t="s">
        <v>209</v>
      </c>
      <c r="J7" s="95" t="s">
        <v>210</v>
      </c>
    </row>
    <row r="8" spans="3:13" x14ac:dyDescent="0.25">
      <c r="D8" s="1" t="s">
        <v>24</v>
      </c>
      <c r="E8" s="24" t="s">
        <v>262</v>
      </c>
      <c r="F8" s="24" t="s">
        <v>308</v>
      </c>
      <c r="G8" s="24" t="s">
        <v>264</v>
      </c>
      <c r="H8" s="96"/>
      <c r="I8" s="96"/>
      <c r="J8"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1" t="s">
        <v>265</v>
      </c>
      <c r="E9" s="24" t="s">
        <v>274</v>
      </c>
      <c r="F9" s="24" t="s">
        <v>263</v>
      </c>
      <c r="G9" s="24" t="s">
        <v>269</v>
      </c>
      <c r="H9" s="96"/>
      <c r="I9" s="96"/>
      <c r="J9"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1" t="s">
        <v>267</v>
      </c>
      <c r="E10" s="24" t="s">
        <v>275</v>
      </c>
      <c r="F10" s="24" t="s">
        <v>268</v>
      </c>
      <c r="G10" s="24" t="s">
        <v>269</v>
      </c>
      <c r="H10" s="96"/>
      <c r="I10" s="96"/>
      <c r="J10"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1" t="s">
        <v>270</v>
      </c>
      <c r="E11" s="24" t="s">
        <v>310</v>
      </c>
      <c r="F11" s="24" t="s">
        <v>295</v>
      </c>
      <c r="G11" s="24" t="s">
        <v>282</v>
      </c>
      <c r="H11" s="96"/>
      <c r="I11" s="96"/>
      <c r="J11"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3" x14ac:dyDescent="0.25">
      <c r="D12" s="1" t="s">
        <v>271</v>
      </c>
      <c r="E12" s="24" t="s">
        <v>311</v>
      </c>
      <c r="F12" s="24" t="s">
        <v>309</v>
      </c>
      <c r="G12" s="24" t="s">
        <v>284</v>
      </c>
      <c r="H12" s="96"/>
      <c r="I12" s="96"/>
      <c r="J12"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3" x14ac:dyDescent="0.25">
      <c r="D13" s="1" t="s">
        <v>272</v>
      </c>
      <c r="E13" s="24" t="s">
        <v>262</v>
      </c>
      <c r="F13" s="24" t="s">
        <v>263</v>
      </c>
      <c r="G13" s="24" t="s">
        <v>264</v>
      </c>
      <c r="H13" s="96"/>
      <c r="I13" s="96"/>
      <c r="J13"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3:13" ht="23.25" x14ac:dyDescent="0.25">
      <c r="D16" s="2" t="s">
        <v>273</v>
      </c>
    </row>
    <row r="18" spans="4:10" x14ac:dyDescent="0.25">
      <c r="D18" s="95" t="s">
        <v>318</v>
      </c>
      <c r="E18" s="95" t="s">
        <v>259</v>
      </c>
      <c r="F18" s="95" t="s">
        <v>260</v>
      </c>
      <c r="G18" s="95" t="s">
        <v>261</v>
      </c>
      <c r="H18" s="95" t="s">
        <v>208</v>
      </c>
      <c r="I18" s="95" t="s">
        <v>209</v>
      </c>
      <c r="J18" s="95" t="s">
        <v>210</v>
      </c>
    </row>
    <row r="19" spans="4:10" x14ac:dyDescent="0.25">
      <c r="D19" s="1" t="s">
        <v>114</v>
      </c>
      <c r="E19" s="24" t="s">
        <v>274</v>
      </c>
      <c r="F19" s="24" t="s">
        <v>268</v>
      </c>
      <c r="G19" s="24" t="s">
        <v>264</v>
      </c>
      <c r="H19" s="96"/>
      <c r="I19" s="96"/>
      <c r="J19"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1" t="s">
        <v>47</v>
      </c>
      <c r="E20" s="24" t="s">
        <v>274</v>
      </c>
      <c r="F20" s="24" t="s">
        <v>268</v>
      </c>
      <c r="G20" s="24" t="s">
        <v>264</v>
      </c>
      <c r="H20" s="96"/>
      <c r="I20" s="96"/>
      <c r="J20"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1" t="s">
        <v>117</v>
      </c>
      <c r="E21" s="24" t="s">
        <v>274</v>
      </c>
      <c r="F21" s="24" t="s">
        <v>268</v>
      </c>
      <c r="G21" s="24" t="s">
        <v>264</v>
      </c>
      <c r="H21" s="96"/>
      <c r="I21" s="96"/>
      <c r="J21"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1" t="s">
        <v>119</v>
      </c>
      <c r="E22" s="24" t="s">
        <v>262</v>
      </c>
      <c r="F22" s="24" t="s">
        <v>263</v>
      </c>
      <c r="G22" s="24" t="s">
        <v>264</v>
      </c>
      <c r="H22" s="96"/>
      <c r="I22" s="96"/>
      <c r="J22"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c r="D23" s="1" t="s">
        <v>121</v>
      </c>
      <c r="E23" s="24" t="s">
        <v>274</v>
      </c>
      <c r="F23" s="24" t="s">
        <v>268</v>
      </c>
      <c r="G23" s="24" t="s">
        <v>264</v>
      </c>
      <c r="H23" s="96"/>
      <c r="I23" s="96"/>
      <c r="J23"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1" t="s">
        <v>122</v>
      </c>
      <c r="E24" s="97" t="s">
        <v>275</v>
      </c>
      <c r="F24" s="97" t="s">
        <v>268</v>
      </c>
      <c r="G24" s="97" t="s">
        <v>264</v>
      </c>
      <c r="H24" s="96"/>
      <c r="I24" s="96"/>
      <c r="J24"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4:10" ht="23.25" x14ac:dyDescent="0.25">
      <c r="D27" s="2" t="s">
        <v>276</v>
      </c>
    </row>
    <row r="29" spans="4:10" x14ac:dyDescent="0.25">
      <c r="D29" s="95" t="s">
        <v>318</v>
      </c>
      <c r="E29" s="95" t="s">
        <v>259</v>
      </c>
      <c r="F29" s="95" t="s">
        <v>260</v>
      </c>
      <c r="G29" s="95" t="s">
        <v>261</v>
      </c>
      <c r="H29" s="95" t="s">
        <v>208</v>
      </c>
      <c r="I29" s="95" t="s">
        <v>209</v>
      </c>
      <c r="J29" s="95" t="s">
        <v>210</v>
      </c>
    </row>
    <row r="30" spans="4:10" x14ac:dyDescent="0.25">
      <c r="D30" s="1" t="s">
        <v>277</v>
      </c>
      <c r="E30" s="24" t="s">
        <v>262</v>
      </c>
      <c r="F30" s="24" t="s">
        <v>268</v>
      </c>
      <c r="G30" s="24" t="s">
        <v>264</v>
      </c>
      <c r="H30" s="96"/>
      <c r="I30" s="96"/>
      <c r="J30"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4:10" x14ac:dyDescent="0.25">
      <c r="D31" s="1" t="s">
        <v>278</v>
      </c>
      <c r="E31" s="24" t="s">
        <v>262</v>
      </c>
      <c r="F31" s="24" t="s">
        <v>263</v>
      </c>
      <c r="G31" s="24" t="s">
        <v>264</v>
      </c>
      <c r="H31" s="96"/>
      <c r="I31" s="96"/>
      <c r="J31"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4:10" x14ac:dyDescent="0.25">
      <c r="D32" s="1" t="s">
        <v>279</v>
      </c>
      <c r="E32" s="24" t="s">
        <v>262</v>
      </c>
      <c r="F32" s="24" t="s">
        <v>263</v>
      </c>
      <c r="G32" s="24" t="s">
        <v>269</v>
      </c>
      <c r="H32" s="96"/>
      <c r="I32" s="96"/>
      <c r="J32"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4:10" x14ac:dyDescent="0.25">
      <c r="D33" s="1" t="s">
        <v>280</v>
      </c>
      <c r="E33" s="24" t="s">
        <v>262</v>
      </c>
      <c r="F33" s="24" t="s">
        <v>263</v>
      </c>
      <c r="G33" s="24" t="s">
        <v>266</v>
      </c>
      <c r="H33" s="96"/>
      <c r="I33" s="96"/>
      <c r="J33"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4:10" x14ac:dyDescent="0.25">
      <c r="D34" s="1" t="s">
        <v>281</v>
      </c>
      <c r="E34" s="24" t="s">
        <v>262</v>
      </c>
      <c r="F34" s="24" t="s">
        <v>263</v>
      </c>
      <c r="G34" s="24" t="s">
        <v>282</v>
      </c>
      <c r="H34" s="96"/>
      <c r="I34" s="96"/>
      <c r="J34"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4:10" x14ac:dyDescent="0.25">
      <c r="D35" s="1" t="s">
        <v>283</v>
      </c>
      <c r="E35" s="24" t="s">
        <v>262</v>
      </c>
      <c r="F35" s="97" t="s">
        <v>268</v>
      </c>
      <c r="G35" s="97" t="s">
        <v>284</v>
      </c>
      <c r="H35" s="96"/>
      <c r="I35" s="96"/>
      <c r="J35"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4:10" x14ac:dyDescent="0.25">
      <c r="D36" s="1" t="s">
        <v>285</v>
      </c>
      <c r="E36" s="24" t="s">
        <v>262</v>
      </c>
      <c r="F36" s="97" t="s">
        <v>268</v>
      </c>
      <c r="G36" s="97" t="s">
        <v>284</v>
      </c>
      <c r="H36" s="96"/>
      <c r="I36" s="96"/>
      <c r="J36"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c r="D37" s="1" t="s">
        <v>286</v>
      </c>
      <c r="E37" s="24" t="s">
        <v>262</v>
      </c>
      <c r="F37" s="97" t="s">
        <v>263</v>
      </c>
      <c r="G37" s="97" t="s">
        <v>264</v>
      </c>
      <c r="H37" s="96"/>
      <c r="I37" s="96"/>
      <c r="J37"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4:10" x14ac:dyDescent="0.25">
      <c r="D38" s="1" t="s">
        <v>287</v>
      </c>
      <c r="E38" s="24" t="s">
        <v>262</v>
      </c>
      <c r="F38" s="97" t="s">
        <v>263</v>
      </c>
      <c r="G38" s="97" t="s">
        <v>269</v>
      </c>
      <c r="H38" s="96"/>
      <c r="I38" s="96"/>
      <c r="J38"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4:10" x14ac:dyDescent="0.25">
      <c r="D39" s="1" t="s">
        <v>288</v>
      </c>
      <c r="E39" s="24" t="s">
        <v>262</v>
      </c>
      <c r="F39" s="97" t="s">
        <v>263</v>
      </c>
      <c r="G39" s="97" t="s">
        <v>269</v>
      </c>
      <c r="H39" s="96"/>
      <c r="I39" s="96"/>
      <c r="J39"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4:10" x14ac:dyDescent="0.25">
      <c r="D40" s="1" t="s">
        <v>289</v>
      </c>
      <c r="E40" s="24" t="s">
        <v>262</v>
      </c>
      <c r="F40" s="97" t="s">
        <v>263</v>
      </c>
      <c r="G40" s="97" t="s">
        <v>264</v>
      </c>
      <c r="H40" s="96"/>
      <c r="I40" s="96"/>
      <c r="J40"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4:10" x14ac:dyDescent="0.25">
      <c r="D41" s="1" t="s">
        <v>290</v>
      </c>
      <c r="E41" s="24" t="s">
        <v>262</v>
      </c>
      <c r="F41" s="97" t="s">
        <v>263</v>
      </c>
      <c r="G41" s="97" t="s">
        <v>264</v>
      </c>
      <c r="H41" s="96"/>
      <c r="I41" s="96"/>
      <c r="J41"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4" spans="4:10" ht="23.25" x14ac:dyDescent="0.25">
      <c r="D44" s="2" t="s">
        <v>291</v>
      </c>
    </row>
    <row r="46" spans="4:10" x14ac:dyDescent="0.25">
      <c r="D46" s="95" t="s">
        <v>318</v>
      </c>
      <c r="E46" s="95" t="s">
        <v>259</v>
      </c>
      <c r="F46" s="95" t="s">
        <v>260</v>
      </c>
      <c r="G46" s="95" t="s">
        <v>261</v>
      </c>
      <c r="H46" s="95" t="s">
        <v>208</v>
      </c>
      <c r="I46" s="95" t="s">
        <v>209</v>
      </c>
      <c r="J46" s="95" t="s">
        <v>210</v>
      </c>
    </row>
    <row r="47" spans="4:10" x14ac:dyDescent="0.25">
      <c r="D47" s="1" t="s">
        <v>292</v>
      </c>
      <c r="E47" s="24" t="s">
        <v>262</v>
      </c>
      <c r="F47" s="24" t="s">
        <v>263</v>
      </c>
      <c r="G47" s="24" t="s">
        <v>264</v>
      </c>
      <c r="H47" s="96"/>
      <c r="I47" s="96"/>
      <c r="J47"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c r="D48" s="1" t="s">
        <v>74</v>
      </c>
      <c r="E48" s="24" t="s">
        <v>262</v>
      </c>
      <c r="F48" s="24" t="s">
        <v>263</v>
      </c>
      <c r="G48" s="24" t="s">
        <v>264</v>
      </c>
      <c r="H48" s="96"/>
      <c r="I48" s="96"/>
      <c r="J48"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c r="D49" s="1" t="s">
        <v>293</v>
      </c>
      <c r="E49" s="24" t="s">
        <v>262</v>
      </c>
      <c r="F49" s="24" t="s">
        <v>263</v>
      </c>
      <c r="G49" s="24" t="s">
        <v>264</v>
      </c>
      <c r="H49" s="96"/>
      <c r="I49" s="96"/>
      <c r="J49"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4:10" x14ac:dyDescent="0.25">
      <c r="D50" s="1" t="s">
        <v>294</v>
      </c>
      <c r="E50" s="24" t="s">
        <v>262</v>
      </c>
      <c r="F50" s="24" t="s">
        <v>295</v>
      </c>
      <c r="G50" s="24" t="s">
        <v>284</v>
      </c>
      <c r="H50" s="96"/>
      <c r="I50" s="96"/>
      <c r="J50"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4:10" x14ac:dyDescent="0.25">
      <c r="D51" s="1" t="s">
        <v>296</v>
      </c>
      <c r="E51" s="24" t="s">
        <v>262</v>
      </c>
      <c r="F51" s="24" t="s">
        <v>263</v>
      </c>
      <c r="G51" s="24" t="s">
        <v>264</v>
      </c>
      <c r="H51" s="96"/>
      <c r="I51" s="96"/>
      <c r="J51"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4" spans="4:10" ht="23.25" x14ac:dyDescent="0.25">
      <c r="D54" s="2" t="s">
        <v>297</v>
      </c>
    </row>
    <row r="56" spans="4:10" x14ac:dyDescent="0.25">
      <c r="D56" s="95" t="s">
        <v>318</v>
      </c>
      <c r="E56" s="95" t="s">
        <v>259</v>
      </c>
      <c r="F56" s="95" t="s">
        <v>260</v>
      </c>
      <c r="G56" s="95" t="s">
        <v>261</v>
      </c>
      <c r="H56" s="95" t="s">
        <v>208</v>
      </c>
      <c r="I56" s="95" t="s">
        <v>209</v>
      </c>
      <c r="J56" s="95" t="s">
        <v>210</v>
      </c>
    </row>
    <row r="57" spans="4:10" x14ac:dyDescent="0.25">
      <c r="D57" s="1" t="s">
        <v>298</v>
      </c>
      <c r="E57" s="24" t="s">
        <v>262</v>
      </c>
      <c r="F57" s="24" t="s">
        <v>263</v>
      </c>
      <c r="G57" s="24" t="s">
        <v>269</v>
      </c>
      <c r="H57" s="96"/>
      <c r="I57" s="96"/>
      <c r="J57"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4:10" x14ac:dyDescent="0.25">
      <c r="D58" s="1" t="s">
        <v>299</v>
      </c>
      <c r="E58" s="24" t="s">
        <v>262</v>
      </c>
      <c r="F58" s="24" t="s">
        <v>263</v>
      </c>
      <c r="G58" s="24" t="s">
        <v>264</v>
      </c>
      <c r="H58" s="96"/>
      <c r="I58" s="96"/>
      <c r="J58"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c r="D59" s="1" t="s">
        <v>300</v>
      </c>
      <c r="E59" s="24" t="s">
        <v>262</v>
      </c>
      <c r="F59" s="24" t="s">
        <v>263</v>
      </c>
      <c r="G59" s="24" t="s">
        <v>264</v>
      </c>
      <c r="H59" s="96"/>
      <c r="I59" s="96"/>
      <c r="J59"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4:10" x14ac:dyDescent="0.25">
      <c r="D60" s="1" t="s">
        <v>301</v>
      </c>
      <c r="E60" s="24" t="s">
        <v>262</v>
      </c>
      <c r="F60" s="24" t="s">
        <v>263</v>
      </c>
      <c r="G60" s="24" t="s">
        <v>264</v>
      </c>
      <c r="H60" s="96"/>
      <c r="I60" s="96"/>
      <c r="J60"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3" spans="4:10" x14ac:dyDescent="0.25">
      <c r="D63" s="1" t="s">
        <v>302</v>
      </c>
    </row>
    <row r="64" spans="4:10" x14ac:dyDescent="0.25">
      <c r="D64" s="1" t="s">
        <v>303</v>
      </c>
    </row>
    <row r="65" spans="4:4" x14ac:dyDescent="0.25">
      <c r="D65" s="1" t="s">
        <v>304</v>
      </c>
    </row>
    <row r="66" spans="4:4" x14ac:dyDescent="0.25">
      <c r="D66" s="1" t="s">
        <v>305</v>
      </c>
    </row>
    <row r="67" spans="4:4" x14ac:dyDescent="0.25">
      <c r="D67" s="1" t="s">
        <v>306</v>
      </c>
    </row>
    <row r="71" spans="4:4" x14ac:dyDescent="0.25">
      <c r="D71" s="1" t="s">
        <v>307</v>
      </c>
    </row>
  </sheetData>
  <dataValidations count="3">
    <dataValidation type="list" allowBlank="1" showInputMessage="1" showErrorMessage="1" sqref="F8:F13 F19:F24 F30:F41 F47:F51 F57:F60" xr:uid="{7A41F482-9DC2-427F-BD67-9E7030E9FA1D}">
      <formula1>INDIRECT("Table_SourceData_DataQuality_SpatialRepresentativeness[User friendly description]")</formula1>
    </dataValidation>
    <dataValidation type="list" allowBlank="1" showInputMessage="1" showErrorMessage="1" sqref="E8:E13 E19:E24 E30:E41 E47:E51 E57:E60" xr:uid="{A2F79B94-E5F1-44B9-A20F-B6166F7EA291}">
      <formula1>INDIRECT("Table_SourceData_DataQuality_TemporalRepresentativeness[User friendly description]")</formula1>
    </dataValidation>
    <dataValidation type="list" allowBlank="1" showInputMessage="1" showErrorMessage="1" sqref="G8:G13 G19:G24 G30:G41 G47:G51 G57:G60" xr:uid="{BA67DDE5-AE35-4EC9-9563-5791102272E4}">
      <formula1>INDIRECT("Table_SourceData_DataQuality_SampleSize[User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59" zoomScaleNormal="100" workbookViewId="0">
      <selection activeCell="I276" sqref="I276"/>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c r="A2"/>
    </row>
    <row r="3" spans="1:6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s="99" t="s">
        <v>2</v>
      </c>
      <c r="D6" s="31" t="s">
        <v>32</v>
      </c>
      <c r="E6" s="31" t="s">
        <v>33</v>
      </c>
      <c r="F6" s="31" t="s">
        <v>34</v>
      </c>
    </row>
    <row r="7" spans="1:65" ht="20.100000000000001" customHeight="1" x14ac:dyDescent="0.25">
      <c r="A7" s="100" t="str">
        <f>HYPERLINK("#'Constants - Common'!A1", "Constants - Common")</f>
        <v>Constants - Common</v>
      </c>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A42"/>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A43"/>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28" t="str" cm="1">
        <f t="array" ref="D46">Common_SourceData.Common_SourceData_ConvertGasElementalToMolecular_Source()</f>
        <v>XXXXXXX</v>
      </c>
    </row>
    <row r="47" spans="1:8" ht="20.100000000000001" customHeight="1" x14ac:dyDescent="0.25">
      <c r="A47"/>
      <c r="D47" s="31" t="s">
        <v>36</v>
      </c>
      <c r="E47" s="31" t="s">
        <v>38</v>
      </c>
      <c r="F47" s="31" t="s">
        <v>39</v>
      </c>
      <c r="G47" s="31" t="s">
        <v>40</v>
      </c>
      <c r="H47" s="31" t="s">
        <v>41</v>
      </c>
    </row>
    <row r="48" spans="1:8" ht="20.100000000000001" customHeight="1" x14ac:dyDescent="0.25">
      <c r="A48"/>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1:8" ht="20.100000000000001" customHeight="1" x14ac:dyDescent="0.25">
      <c r="A49"/>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1:8" ht="20.100000000000001" customHeight="1" x14ac:dyDescent="0.25">
      <c r="A50"/>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1:8" ht="20.100000000000001" customHeight="1" x14ac:dyDescent="0.25">
      <c r="A51"/>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1:8" ht="20.100000000000001" customHeight="1" x14ac:dyDescent="0.25">
      <c r="A52"/>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1:8" ht="20.100000000000001" customHeight="1" x14ac:dyDescent="0.25">
      <c r="A53"/>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1:8" ht="20.100000000000001" customHeight="1" x14ac:dyDescent="0.25">
      <c r="A54"/>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8" t="str" cm="1">
        <f t="array" ref="D58">Common_SourceData.Common_SourceData_WetAndDryZones_Source()</f>
        <v>VEERG 2026: Table 1.2: Translating climate zones to wet and dry zones</v>
      </c>
    </row>
    <row r="59" spans="1:8" ht="20.100000000000001" customHeight="1" x14ac:dyDescent="0.25">
      <c r="A59"/>
      <c r="D59" s="37" t="str" cm="1">
        <f t="array" ref="D59:D61">"⚠️" &amp; Common_SourceData.Common_SourceData_WetAndDryZones_Variation()</f>
        <v>⚠️VARIATION OF SOURCE DATA:</v>
      </c>
    </row>
    <row r="60" spans="1:8" ht="20.100000000000001" customHeight="1" x14ac:dyDescent="0.25">
      <c r="A60"/>
      <c r="D60" s="37" t="str">
        <v>⚠️Added warm / cool temperate moist / dry - low frost and high temp classes to accommodate climate scenarios excluded by VEERG criteria.</v>
      </c>
    </row>
    <row r="61" spans="1:8" ht="20.100000000000001" customHeight="1" x14ac:dyDescent="0.25">
      <c r="A61"/>
      <c r="D61" s="37" t="str">
        <v>⚠️Fixed typo - Changed 'Fry' to 'Dry'.</v>
      </c>
    </row>
    <row r="62" spans="1:8" ht="20.100000000000001" customHeight="1" x14ac:dyDescent="0.25">
      <c r="A62"/>
    </row>
    <row r="63" spans="1:8" ht="20.100000000000001" customHeight="1" x14ac:dyDescent="0.25">
      <c r="A63"/>
      <c r="D63" s="31" t="s">
        <v>42</v>
      </c>
      <c r="E63" s="31" t="s">
        <v>43</v>
      </c>
    </row>
    <row r="64" spans="1:8" ht="20.100000000000001" customHeight="1" x14ac:dyDescent="0.25">
      <c r="A64"/>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8" t="str" cm="1">
        <f t="array" ref="D82">Common_SourceData.Common_SourceData_ClimateZones_Source()</f>
        <v>VEERG 2026: Table 1.3: Climate and Rainfall zone classifications and definitions</v>
      </c>
    </row>
    <row r="83" spans="1:20" ht="20.100000000000001" customHeight="1" x14ac:dyDescent="0.25">
      <c r="A83"/>
      <c r="D83" s="37" t="str" cm="1">
        <f t="array" ref="D83:D87">"⚠️" &amp; Common_SourceData.Common_SourceData_ClimateZones_Variation()</f>
        <v>⚠️VARIATION OF SOURCE DATA:</v>
      </c>
    </row>
    <row r="84" spans="1:20" ht="20.100000000000001" customHeight="1" x14ac:dyDescent="0.25">
      <c r="A84"/>
      <c r="D84" s="37" t="str">
        <v>⚠️Added warm / cool temperate moist / dry - low frost and high temp classes to accommodate climate scenarios excluded by VEERG criteria.</v>
      </c>
    </row>
    <row r="85" spans="1:20" ht="20.100000000000001" customHeight="1" x14ac:dyDescent="0.25">
      <c r="A85"/>
      <c r="D85" s="37" t="str">
        <v>⚠️Fixed typo in MAT value for warm temperate dry - changed 10 to 11.</v>
      </c>
    </row>
    <row r="86" spans="1:20" ht="20.100000000000001" customHeight="1" x14ac:dyDescent="0.25">
      <c r="A86"/>
      <c r="D86" s="37" t="str">
        <v>⚠️Added min and max columns for MAT, MAP, frost days per year, elevation, MAP:PET to calculate zones from real climate data.</v>
      </c>
    </row>
    <row r="87" spans="1:20" ht="20.100000000000001" customHeight="1" x14ac:dyDescent="0.25">
      <c r="A87"/>
      <c r="D87" s="37" t="str">
        <v>⚠️GAF accepts rainfall as a proxy for precipitation.</v>
      </c>
    </row>
    <row r="88" spans="1:20" ht="20.100000000000001" customHeight="1" x14ac:dyDescent="0.25">
      <c r="A88"/>
    </row>
    <row r="89" spans="1:20" ht="20.100000000000001" customHeight="1" x14ac:dyDescent="0.25">
      <c r="A89"/>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1:20" ht="20.100000000000001" customHeight="1" x14ac:dyDescent="0.25">
      <c r="A90"/>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1:20" ht="20.100000000000001" customHeight="1" x14ac:dyDescent="0.25">
      <c r="A91"/>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1:20" ht="20.100000000000001" customHeight="1" x14ac:dyDescent="0.25">
      <c r="A92"/>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1:20" ht="20.100000000000001" customHeight="1" x14ac:dyDescent="0.25">
      <c r="A93"/>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1:20" ht="20.100000000000001" customHeight="1" x14ac:dyDescent="0.25">
      <c r="A94"/>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1:20" ht="20.100000000000001" customHeight="1" x14ac:dyDescent="0.25">
      <c r="A9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1:20" ht="20.100000000000001" customHeight="1" x14ac:dyDescent="0.25">
      <c r="A96"/>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1:20" ht="20.100000000000001" customHeight="1" x14ac:dyDescent="0.25">
      <c r="A97"/>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1:20" ht="20.100000000000001" customHeight="1" x14ac:dyDescent="0.25">
      <c r="A98"/>
    </row>
    <row r="99" spans="1:20" ht="20.100000000000001" customHeight="1" x14ac:dyDescent="0.25">
      <c r="A99"/>
      <c r="D99" s="16" t="str" cm="1">
        <f t="array" ref="D99:D102">Common_SourceData.Common_SourceData_ClimateZones_Appendices()</f>
        <v>Note:</v>
      </c>
    </row>
    <row r="100" spans="1:20" ht="20.100000000000001" customHeight="1" x14ac:dyDescent="0.25">
      <c r="A100"/>
      <c r="D100" s="16" t="str">
        <v>MAT = mean annual temperature</v>
      </c>
    </row>
    <row r="101" spans="1:20" ht="20.100000000000001" customHeight="1" x14ac:dyDescent="0.25">
      <c r="A101"/>
      <c r="D101" s="16" t="str">
        <v>MAP = mean annual precipitation</v>
      </c>
    </row>
    <row r="102" spans="1:20" ht="20.100000000000001" customHeight="1" x14ac:dyDescent="0.25">
      <c r="A102"/>
      <c r="D102" s="16" t="str">
        <v>PET = potential evapotranspiration</v>
      </c>
    </row>
    <row r="103" spans="1:20" ht="20.100000000000001" customHeight="1" x14ac:dyDescent="0.25">
      <c r="A103"/>
      <c r="D103" s="16"/>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8" t="str" cm="1">
        <f t="array" ref="D106">Common_SourceData.Common_SourceData_TemperatureZones_Source()</f>
        <v>VEERG 2026: Table 1.3: Climate and Rainfall zone classifications and definitions</v>
      </c>
    </row>
    <row r="107" spans="1:20" ht="20.100000000000001" customHeight="1" x14ac:dyDescent="0.25">
      <c r="A107"/>
      <c r="D107" s="3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1" t="s">
        <v>59</v>
      </c>
      <c r="E109" s="31" t="s">
        <v>44</v>
      </c>
      <c r="F109" s="31" t="s">
        <v>60</v>
      </c>
      <c r="G109" s="31" t="s">
        <v>61</v>
      </c>
    </row>
    <row r="110" spans="1:20" ht="20.100000000000001" customHeight="1" x14ac:dyDescent="0.25">
      <c r="A110"/>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3"/>
    </row>
    <row r="116" spans="1:66" ht="20.100000000000001" customHeight="1" x14ac:dyDescent="0.25">
      <c r="A116"/>
      <c r="D116" s="28" t="str" cm="1">
        <f t="array" ref="D116">Common_SourceData.Common_SourceData_RainfallZones_Source()</f>
        <v>VEERG 2026: Table 1.3: Climate and Rainfall zone classifications and definitions</v>
      </c>
      <c r="BN116" s="33"/>
    </row>
    <row r="117" spans="1:66" ht="20.100000000000001" customHeight="1" x14ac:dyDescent="0.25">
      <c r="A117"/>
      <c r="D117" s="37" t="str" cm="1">
        <f t="array" ref="D117">"⚠️" &amp; Common_SourceData.Common_SourceData_RainfallZones_Variation()</f>
        <v>⚠️VARIATION OF SOURCE DATA: Added extra Rainfall min and Rainfall max columns to calculate zone from real rainfall data.</v>
      </c>
      <c r="BN117" s="33"/>
    </row>
    <row r="118" spans="1:66" ht="20.100000000000001" customHeight="1" x14ac:dyDescent="0.25">
      <c r="A118"/>
      <c r="BN118" s="33"/>
    </row>
    <row r="119" spans="1:66" ht="20.100000000000001" customHeight="1" x14ac:dyDescent="0.25">
      <c r="A119"/>
      <c r="D119" s="31" t="s">
        <v>62</v>
      </c>
      <c r="E119" s="31" t="s">
        <v>63</v>
      </c>
      <c r="F119" s="31" t="s">
        <v>51</v>
      </c>
      <c r="G119" s="31" t="s">
        <v>52</v>
      </c>
      <c r="BN119" s="33"/>
    </row>
    <row r="120" spans="1:66" ht="20.100000000000001" customHeight="1" x14ac:dyDescent="0.25">
      <c r="A120"/>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1:66" ht="20.100000000000001" customHeight="1" x14ac:dyDescent="0.25">
      <c r="A121"/>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1:66" ht="20.100000000000001" customHeight="1" x14ac:dyDescent="0.25">
      <c r="A122"/>
      <c r="BN122" s="3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1" t="s">
        <v>64</v>
      </c>
      <c r="E127" s="31" t="s">
        <v>65</v>
      </c>
    </row>
    <row r="128" spans="1:66" ht="20.100000000000001" customHeight="1" x14ac:dyDescent="0.25">
      <c r="A128"/>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28" t="str" cm="1">
        <f t="array" ref="D133">Common_SourceData.Common_SourceData_FracWET_Source()</f>
        <v>VEERG 2026:5.5.2.3 Constant Parameters</v>
      </c>
      <c r="E133" s="9"/>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3"/>
      <c r="BO138" s="33"/>
      <c r="BP138" s="33"/>
      <c r="BQ138" s="33"/>
      <c r="BR138" s="33"/>
      <c r="BS138" s="33"/>
      <c r="BT138" s="33"/>
      <c r="BU138" s="33"/>
      <c r="BV138" s="33"/>
      <c r="BW138" s="33"/>
      <c r="BX138" s="33"/>
      <c r="BY138" s="33"/>
    </row>
    <row r="139" spans="1:77" ht="20.100000000000001" customHeight="1" x14ac:dyDescent="0.25">
      <c r="A139"/>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1:77" ht="20.100000000000001" customHeight="1" x14ac:dyDescent="0.25">
      <c r="A140"/>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1:77" ht="20.100000000000001" customHeight="1" x14ac:dyDescent="0.25">
      <c r="A141"/>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1:77" ht="20.100000000000001" customHeight="1" x14ac:dyDescent="0.25">
      <c r="A142"/>
      <c r="D142" s="31" t="s">
        <v>68</v>
      </c>
      <c r="E142" s="31" t="s">
        <v>67</v>
      </c>
      <c r="BN142" s="33"/>
    </row>
    <row r="143" spans="1:77" ht="20.100000000000001" customHeight="1" x14ac:dyDescent="0.25">
      <c r="A143"/>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1:66" ht="20.100000000000001" customHeight="1" x14ac:dyDescent="0.25">
      <c r="A148"/>
      <c r="BN148" s="33"/>
    </row>
    <row r="149" spans="1:66" ht="20.100000000000001" customHeight="1" x14ac:dyDescent="0.25">
      <c r="A149"/>
      <c r="BN149" s="33"/>
    </row>
    <row r="150" spans="1:66" ht="20.100000000000001" customHeight="1" x14ac:dyDescent="0.25">
      <c r="A150"/>
      <c r="D150" s="2" t="str" cm="1">
        <f t="array" ref="D150">Common_SourceData.Common_SourceData_DataScores_Scope3_Title()</f>
        <v>Australian data scores for scope 3</v>
      </c>
      <c r="BN150" s="33"/>
    </row>
    <row r="151" spans="1:66" ht="20.100000000000001" customHeight="1" x14ac:dyDescent="0.25">
      <c r="A151"/>
      <c r="D151" s="28" t="str" cm="1">
        <f t="array" ref="D151">Common_SourceData.Common_SourceData_DataScores_Scope3_Source()</f>
        <v>VEERG 2026: XXXXXXXX</v>
      </c>
      <c r="BN151" s="33"/>
    </row>
    <row r="152" spans="1:66" ht="20.100000000000001" customHeight="1" x14ac:dyDescent="0.25">
      <c r="A152"/>
      <c r="BN152" s="33"/>
    </row>
    <row r="153" spans="1:66" ht="20.100000000000001" customHeight="1" x14ac:dyDescent="0.25">
      <c r="A153"/>
      <c r="D153" s="31" t="s">
        <v>69</v>
      </c>
      <c r="E153" s="31" t="s">
        <v>70</v>
      </c>
      <c r="BC153" s="36"/>
      <c r="BD153" s="36"/>
      <c r="BE153" s="36"/>
      <c r="BF153" s="36"/>
      <c r="BG153" s="36"/>
      <c r="BH153" s="36"/>
      <c r="BI153" s="36"/>
      <c r="BJ153" s="36"/>
      <c r="BK153" s="36"/>
      <c r="BL153" s="36"/>
      <c r="BM153" s="36"/>
    </row>
    <row r="154" spans="1:66" ht="20.100000000000001" customHeight="1" x14ac:dyDescent="0.25">
      <c r="A154"/>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1:66" ht="20.100000000000001" customHeight="1" x14ac:dyDescent="0.25">
      <c r="A15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1:66" ht="20.100000000000001" customHeight="1" x14ac:dyDescent="0.25">
      <c r="A156"/>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66" x14ac:dyDescent="0.25">
      <c r="D257" s="31" t="s">
        <v>95</v>
      </c>
      <c r="E257" s="31" t="s">
        <v>96</v>
      </c>
    </row>
    <row r="258" spans="4:66"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214</v>
      </c>
    </row>
    <row r="264" spans="4:66" x14ac:dyDescent="0.25">
      <c r="D264" s="1" t="s">
        <v>215</v>
      </c>
    </row>
    <row r="265" spans="4:66" x14ac:dyDescent="0.25">
      <c r="D265" s="31" t="s">
        <v>312</v>
      </c>
      <c r="E265" s="31" t="s">
        <v>216</v>
      </c>
      <c r="F265" s="31" t="s">
        <v>217</v>
      </c>
      <c r="G265" s="31" t="s">
        <v>210</v>
      </c>
      <c r="V265" s="1"/>
      <c r="BN265" s="33"/>
    </row>
    <row r="266" spans="4:66" x14ac:dyDescent="0.25">
      <c r="D266" s="31" t="s">
        <v>262</v>
      </c>
      <c r="E266" s="31" t="s">
        <v>218</v>
      </c>
      <c r="F266" s="31" t="s">
        <v>219</v>
      </c>
      <c r="G266" s="31">
        <v>5</v>
      </c>
      <c r="V266" s="1"/>
      <c r="BN266" s="33"/>
    </row>
    <row r="267" spans="4:66" x14ac:dyDescent="0.25">
      <c r="D267" s="31" t="s">
        <v>274</v>
      </c>
      <c r="E267" s="31" t="s">
        <v>220</v>
      </c>
      <c r="F267" s="31" t="s">
        <v>211</v>
      </c>
      <c r="G267" s="31">
        <v>4</v>
      </c>
      <c r="V267" s="1"/>
      <c r="BN267" s="33"/>
    </row>
    <row r="268" spans="4:66" x14ac:dyDescent="0.25">
      <c r="D268" s="31" t="s">
        <v>275</v>
      </c>
      <c r="E268" s="31" t="s">
        <v>221</v>
      </c>
      <c r="F268" s="31" t="s">
        <v>222</v>
      </c>
      <c r="G268" s="31">
        <v>3</v>
      </c>
      <c r="V268" s="1"/>
      <c r="BN268" s="33"/>
    </row>
    <row r="269" spans="4:66" x14ac:dyDescent="0.25">
      <c r="D269" s="31" t="s">
        <v>310</v>
      </c>
      <c r="E269" s="31" t="s">
        <v>223</v>
      </c>
      <c r="F269" s="31" t="s">
        <v>224</v>
      </c>
      <c r="G269" s="31">
        <v>2</v>
      </c>
      <c r="V269" s="1"/>
      <c r="BN269" s="33"/>
    </row>
    <row r="270" spans="4:66" x14ac:dyDescent="0.25">
      <c r="D270" s="31" t="s">
        <v>311</v>
      </c>
      <c r="E270" s="31" t="s">
        <v>225</v>
      </c>
      <c r="F270" s="31" t="s">
        <v>226</v>
      </c>
      <c r="G270" s="31">
        <v>1</v>
      </c>
      <c r="V270" s="1"/>
      <c r="BN270" s="33"/>
    </row>
    <row r="273" spans="4:66" x14ac:dyDescent="0.25">
      <c r="D273" s="1" t="s">
        <v>227</v>
      </c>
    </row>
    <row r="274" spans="4:66" x14ac:dyDescent="0.25">
      <c r="D274" s="31" t="s">
        <v>312</v>
      </c>
      <c r="E274" s="31" t="s">
        <v>216</v>
      </c>
      <c r="F274" s="31" t="s">
        <v>217</v>
      </c>
      <c r="G274" s="31" t="s">
        <v>210</v>
      </c>
      <c r="V274" s="1"/>
      <c r="BN274" s="33"/>
    </row>
    <row r="275" spans="4:66" x14ac:dyDescent="0.25">
      <c r="D275" s="31" t="s">
        <v>308</v>
      </c>
      <c r="E275" s="31" t="s">
        <v>228</v>
      </c>
      <c r="F275" s="31" t="s">
        <v>212</v>
      </c>
      <c r="G275" s="31">
        <v>5</v>
      </c>
      <c r="V275" s="1"/>
      <c r="BN275" s="33"/>
    </row>
    <row r="276" spans="4:66" x14ac:dyDescent="0.25">
      <c r="D276" s="31" t="s">
        <v>263</v>
      </c>
      <c r="E276" s="31" t="s">
        <v>229</v>
      </c>
      <c r="F276" s="31" t="s">
        <v>230</v>
      </c>
      <c r="G276" s="31">
        <v>4</v>
      </c>
      <c r="V276" s="1"/>
      <c r="BN276" s="33"/>
    </row>
    <row r="277" spans="4:66" x14ac:dyDescent="0.25">
      <c r="D277" s="31" t="s">
        <v>268</v>
      </c>
      <c r="E277" s="31" t="s">
        <v>231</v>
      </c>
      <c r="F277" s="31" t="s">
        <v>232</v>
      </c>
      <c r="G277" s="31">
        <v>3</v>
      </c>
      <c r="V277" s="1"/>
      <c r="BN277" s="33"/>
    </row>
    <row r="278" spans="4:66" x14ac:dyDescent="0.25">
      <c r="D278" s="31" t="s">
        <v>295</v>
      </c>
      <c r="E278" s="31" t="s">
        <v>233</v>
      </c>
      <c r="F278" s="31" t="s">
        <v>234</v>
      </c>
      <c r="G278" s="31">
        <v>2</v>
      </c>
      <c r="V278" s="1"/>
      <c r="BN278" s="33"/>
    </row>
    <row r="279" spans="4:66" x14ac:dyDescent="0.25">
      <c r="D279" s="31" t="s">
        <v>309</v>
      </c>
      <c r="E279" s="31" t="s">
        <v>235</v>
      </c>
      <c r="F279" s="31" t="s">
        <v>236</v>
      </c>
      <c r="G279" s="31">
        <v>1</v>
      </c>
      <c r="V279" s="1"/>
      <c r="BN279" s="33"/>
    </row>
    <row r="282" spans="4:66" x14ac:dyDescent="0.25">
      <c r="D282" s="1" t="s">
        <v>237</v>
      </c>
    </row>
    <row r="283" spans="4:66" x14ac:dyDescent="0.25">
      <c r="D283" s="31" t="s">
        <v>312</v>
      </c>
      <c r="E283" s="31" t="s">
        <v>216</v>
      </c>
      <c r="F283" s="31" t="s">
        <v>217</v>
      </c>
      <c r="G283" s="31" t="s">
        <v>210</v>
      </c>
      <c r="V283" s="1"/>
      <c r="BN283" s="33"/>
    </row>
    <row r="284" spans="4:66" x14ac:dyDescent="0.25">
      <c r="D284" s="31" t="s">
        <v>264</v>
      </c>
      <c r="E284" s="31" t="s">
        <v>238</v>
      </c>
      <c r="F284" s="31" t="s">
        <v>239</v>
      </c>
      <c r="G284" s="31">
        <v>5</v>
      </c>
      <c r="V284" s="1"/>
      <c r="BN284" s="33"/>
    </row>
    <row r="285" spans="4:66" x14ac:dyDescent="0.25">
      <c r="D285" s="31" t="s">
        <v>269</v>
      </c>
      <c r="E285" s="31" t="s">
        <v>240</v>
      </c>
      <c r="F285" s="31" t="s">
        <v>241</v>
      </c>
      <c r="G285" s="31">
        <v>4</v>
      </c>
      <c r="V285" s="1"/>
      <c r="BN285" s="33"/>
    </row>
    <row r="286" spans="4:66" x14ac:dyDescent="0.25">
      <c r="D286" s="31" t="s">
        <v>266</v>
      </c>
      <c r="E286" s="31" t="s">
        <v>242</v>
      </c>
      <c r="F286" s="31" t="s">
        <v>213</v>
      </c>
      <c r="G286" s="31">
        <v>3</v>
      </c>
      <c r="V286" s="1"/>
      <c r="BN286" s="33"/>
    </row>
    <row r="287" spans="4:66" x14ac:dyDescent="0.25">
      <c r="D287" s="31" t="s">
        <v>282</v>
      </c>
      <c r="E287" s="31" t="s">
        <v>243</v>
      </c>
      <c r="F287" s="31" t="s">
        <v>244</v>
      </c>
      <c r="G287" s="31">
        <v>2</v>
      </c>
      <c r="V287" s="1"/>
      <c r="BN287" s="33"/>
    </row>
    <row r="288" spans="4:66" x14ac:dyDescent="0.25">
      <c r="D288" s="31" t="s">
        <v>284</v>
      </c>
      <c r="E288" s="31" t="s">
        <v>245</v>
      </c>
      <c r="F288" s="31" t="s">
        <v>246</v>
      </c>
      <c r="G288" s="31">
        <v>1</v>
      </c>
      <c r="V288" s="1"/>
      <c r="BN288" s="33"/>
    </row>
    <row r="291" spans="4:66" x14ac:dyDescent="0.25">
      <c r="D291" s="1" t="s">
        <v>247</v>
      </c>
    </row>
    <row r="292" spans="4:66" x14ac:dyDescent="0.25">
      <c r="D292" s="31" t="s">
        <v>312</v>
      </c>
      <c r="E292" s="31" t="s">
        <v>216</v>
      </c>
      <c r="F292" s="31" t="s">
        <v>217</v>
      </c>
      <c r="G292" s="31" t="s">
        <v>210</v>
      </c>
      <c r="V292" s="1"/>
      <c r="BN292" s="33"/>
    </row>
    <row r="293" spans="4:66" x14ac:dyDescent="0.25">
      <c r="D293" s="31" t="s">
        <v>313</v>
      </c>
      <c r="E293" s="31" t="s">
        <v>248</v>
      </c>
      <c r="F293" s="31" t="s">
        <v>249</v>
      </c>
      <c r="G293" s="31">
        <v>5</v>
      </c>
      <c r="V293" s="1"/>
      <c r="BN293" s="33"/>
    </row>
    <row r="294" spans="4:66" x14ac:dyDescent="0.25">
      <c r="D294" s="31" t="s">
        <v>314</v>
      </c>
      <c r="E294" s="31" t="s">
        <v>250</v>
      </c>
      <c r="F294" s="31" t="s">
        <v>251</v>
      </c>
      <c r="G294" s="31">
        <v>4</v>
      </c>
      <c r="V294" s="1"/>
      <c r="BN294" s="33"/>
    </row>
    <row r="295" spans="4:66" x14ac:dyDescent="0.25">
      <c r="D295" s="31" t="s">
        <v>315</v>
      </c>
      <c r="E295" s="31" t="s">
        <v>252</v>
      </c>
      <c r="F295" s="31" t="s">
        <v>253</v>
      </c>
      <c r="G295" s="31">
        <v>3</v>
      </c>
      <c r="V295" s="1"/>
      <c r="BN295" s="33"/>
    </row>
    <row r="296" spans="4:66" x14ac:dyDescent="0.25">
      <c r="D296" s="31" t="s">
        <v>316</v>
      </c>
      <c r="E296" s="31" t="s">
        <v>254</v>
      </c>
      <c r="F296" s="31" t="s">
        <v>255</v>
      </c>
      <c r="G296" s="31">
        <v>2</v>
      </c>
      <c r="V296" s="1"/>
      <c r="BN296" s="33"/>
    </row>
    <row r="297" spans="4:66" x14ac:dyDescent="0.25">
      <c r="D297" s="31" t="s">
        <v>317</v>
      </c>
      <c r="E297" s="31" t="s">
        <v>256</v>
      </c>
      <c r="F297" s="31" t="s">
        <v>257</v>
      </c>
      <c r="G297" s="31">
        <v>1</v>
      </c>
      <c r="V297" s="1"/>
      <c r="BN297" s="3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33</vt:i4>
      </vt:variant>
    </vt:vector>
  </HeadingPairs>
  <TitlesOfParts>
    <vt:vector size="41" baseType="lpstr">
      <vt:lpstr>Home</vt:lpstr>
      <vt:lpstr>Results</vt:lpstr>
      <vt:lpstr>Input - Site</vt:lpstr>
      <vt:lpstr>Input - Enterprise</vt:lpstr>
      <vt:lpstr>Input - Fert Prod System</vt:lpstr>
      <vt:lpstr>Input - Livestock sales</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2026-08-11T07:38:04Z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