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E627771-0161-402E-9E77-45D4CEA4F452}" xr6:coauthVersionLast="47" xr6:coauthVersionMax="47" xr10:uidLastSave="{00000000-0000-0000-0000-000000000000}"/>
  <bookViews>
    <workbookView xWindow="1140" yWindow="180" windowWidth="35640" windowHeight="18855" activeTab="1" xr2:uid="{992023F3-CAB7-4E5B-A348-08D563A0EF40}"/>
  </bookViews>
  <sheets>
    <sheet name="Home" sheetId="71" r:id="rId1"/>
    <sheet name="Results" sheetId="13" r:id="rId2"/>
    <sheet name="Input - Site" sheetId="75" r:id="rId3"/>
    <sheet name="Input - Enterprise" sheetId="72" r:id="rId4"/>
    <sheet name="Constants - Common" sheetId="74" r:id="rId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Enterprise_Method1">Results!$H$28</definedName>
    <definedName name="Result_Enterprise_Method2">Results!$I$28</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4_2_1_1__1_TotalAnnualMethaneProductionFromManureManagement_Result_Method1">#REF!</definedName>
    <definedName name="VEERG_4_2_1_1__1_TotalAnnualMethaneProductionFromManureManagement_Result_Method2">#REF!</definedName>
    <definedName name="VEERG_4_2_1_3__1_DirectNitrousOxideEmissionsOnPasture_Result_Method1">#REF!</definedName>
    <definedName name="VEERG_4_2_1_3__1_DirectNitrousOxideEmissionsOnPasture_Result_Method2">#REF!</definedName>
    <definedName name="VEERG_4_2_1_5__1_AtmosphericDepositionEmissionsFromUrineAndDungOnPasture_Result_Method1">#REF!</definedName>
    <definedName name="VEERG_4_2_1_5__1_AtmosphericDepositionEmissionsFromUrineAndDungOnPasture_Result_Method2">#REF!</definedName>
    <definedName name="VEERG_4_2_1_7__1_LeachingAndRunoffEmissionsFromUrineAndDungOnPasture_Result_Method1">#REF!</definedName>
    <definedName name="VEERG_4_2_1_7__1_LeachingAndRunoffEmissionsFromUrineAndDungOnPasture_Result_Method2">#REF!</definedName>
    <definedName name="X_Cell_Enterprise_ProductionTimeframeEnd">'Input - Enterprise'!$E$19</definedName>
    <definedName name="X_Cell_Enterprise_ProductionTimeframeStart">'Input - Enterprise'!$E$18</definedName>
    <definedName name="X_Cell_PastureBeef_Breed">#REF!</definedName>
    <definedName name="X_Cell_PastureBeef_FencedWater">#REF!</definedName>
    <definedName name="X_Cell_PastureBeef_GrazingIrrigationMethod">#REF!</definedName>
    <definedName name="X_Cell_PastureBeef_GrazingProductionSystem">#REF!</definedName>
    <definedName name="X_Cell_PastureBeef_ProductionRegion">#REF!</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PastureBeef_CrudeProtein_Method1">#REF!</definedName>
    <definedName name="X_Table_PastureBeef_CrudeProtein_Method2">#REF!</definedName>
    <definedName name="X_Table_PastureBeef_DryMatterDigestibility_Method1">#REF!</definedName>
    <definedName name="X_Table_PastureBeef_DryMatterDigestibility_Method2">#REF!</definedName>
    <definedName name="X_Table_PastureBeef_Duration_Method1">#REF!</definedName>
    <definedName name="X_Table_PastureBeef_Duration_Method2">#REF!</definedName>
    <definedName name="X_Table_PastureBeef_Head_Method1">#REF!</definedName>
    <definedName name="X_Table_PastureBeef_Head_Method2">#REF!</definedName>
    <definedName name="X_Table_PastureBeef_Liveweight_Method1">#REF!</definedName>
    <definedName name="X_Table_PastureBeef_Liveweight_Method2">#REF!</definedName>
    <definedName name="X_Table_PastureBeef_LiveweightGain_Method1">#REF!</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8" i="13" l="1"/>
  <c r="H28" i="13"/>
  <c r="F27" i="13"/>
  <c r="F26" i="13"/>
  <c r="F25" i="13"/>
  <c r="F24" i="13"/>
  <c r="F23" i="13"/>
  <c r="E27" i="13" a="1"/>
  <c r="E27" i="13"/>
  <c r="E26" i="13" a="1"/>
  <c r="E26" i="13" s="1"/>
  <c r="E25" i="13" a="1"/>
  <c r="E25" i="13" s="1"/>
  <c r="E24" i="13" a="1"/>
  <c r="E24" i="13" s="1"/>
  <c r="E23" i="13" a="1"/>
  <c r="E23" i="13" s="1"/>
  <c r="F22" i="13"/>
  <c r="F21" i="13"/>
  <c r="F20" i="13"/>
  <c r="E22" i="13" a="1"/>
  <c r="E22" i="13" s="1"/>
  <c r="E21" i="13" a="1"/>
  <c r="E21" i="13" s="1"/>
  <c r="E20" i="13" a="1"/>
  <c r="E20" i="13" s="1"/>
  <c r="F19" i="13" a="1"/>
  <c r="F19" i="13" s="1"/>
  <c r="E19" i="13" a="1"/>
  <c r="E19" i="13" s="1"/>
  <c r="F18" i="13" a="1"/>
  <c r="F18" i="13" s="1"/>
  <c r="E18" i="13" a="1"/>
  <c r="E18" i="13" s="1"/>
  <c r="F17" i="13"/>
  <c r="E17" i="13" a="1"/>
  <c r="E17" i="13" s="1"/>
  <c r="F16" i="13"/>
  <c r="E16" i="13" a="1"/>
  <c r="E16" i="13"/>
  <c r="F15" i="13"/>
  <c r="E15" i="13" a="1"/>
  <c r="E15" i="13"/>
  <c r="F14" i="13"/>
  <c r="E14" i="13" a="1"/>
  <c r="E14" i="13" s="1"/>
  <c r="F13" i="13"/>
  <c r="E13" i="13" a="1"/>
  <c r="E13" i="13" s="1"/>
  <c r="F12" i="13" a="1"/>
  <c r="F12" i="13"/>
  <c r="E12" i="13" a="1"/>
  <c r="E12" i="13" s="1"/>
  <c r="F7" i="13" a="1"/>
  <c r="F7" i="13" s="1"/>
  <c r="E7" i="13" a="1"/>
  <c r="E7" i="13" s="1"/>
  <c r="F41" i="13"/>
  <c r="F40" i="13"/>
  <c r="E41" i="13"/>
  <c r="E40" i="13"/>
  <c r="D37" i="13" a="1"/>
  <c r="D37" i="13" s="1"/>
  <c r="F37" i="13" s="1"/>
  <c r="D48" i="13" a="1"/>
  <c r="D48" i="13" s="1"/>
  <c r="F67" i="13"/>
  <c r="F66" i="13"/>
  <c r="E53" i="13"/>
  <c r="F64" i="13"/>
  <c r="F63" i="13"/>
  <c r="D33" i="13" a="1"/>
  <c r="D33" i="13" s="1"/>
  <c r="E13" i="72"/>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H35" i="72"/>
  <c r="H34" i="72"/>
  <c r="E28" i="72"/>
  <c r="E20" i="72"/>
  <c r="E19" i="75" l="1"/>
  <c r="E20" i="75"/>
  <c r="E21" i="75" s="1"/>
  <c r="E37" i="13"/>
  <c r="E39" i="13"/>
  <c r="F39" i="13"/>
  <c r="H54" i="74"/>
  <c r="H51" i="74"/>
  <c r="H49" i="74"/>
  <c r="E22" i="72"/>
  <c r="F62" i="13" s="1"/>
  <c r="G63" i="13" s="1"/>
  <c r="H53" i="74"/>
  <c r="H48" i="74"/>
  <c r="H52" i="74"/>
  <c r="H50" i="74"/>
  <c r="G62" i="13" l="1"/>
  <c r="A20" i="13"/>
  <c r="A19" i="13"/>
  <c r="A18" i="13"/>
  <c r="A17" i="13"/>
  <c r="A14" i="13"/>
  <c r="A13" i="13"/>
  <c r="A12" i="13"/>
  <c r="A11" i="13"/>
  <c r="A8" i="13"/>
  <c r="A7" i="13"/>
  <c r="A4" i="13"/>
  <c r="A3" i="13"/>
  <c r="E38" i="13" l="1"/>
  <c r="E42" i="13" s="1"/>
  <c r="E59" i="13" l="1"/>
  <c r="H66" i="13" s="1"/>
  <c r="H62" i="13"/>
  <c r="H63" i="13"/>
  <c r="F38" i="13"/>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<sst xmlns="http://schemas.openxmlformats.org/spreadsheetml/2006/main" count="272" uniqueCount="187">
  <si>
    <t>Home</t>
  </si>
  <si>
    <t>INPUTS</t>
  </si>
  <si>
    <t>APPENDICES</t>
  </si>
  <si>
    <t>Emissions breakdown</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</si>
  <si>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</si>
  <si>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</si>
  <si>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</si>
  <si>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</si>
  <si>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</si>
  <si>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</si>
  <si>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</si>
  <si>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</si>
  <si>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</si>
  <si>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</si>
  <si>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</si>
  <si>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</si>
  <si>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</si>
  <si>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</si>
  <si>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</si>
  <si>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</si>
  <si>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</si>
  <si>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</si>
  <si>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</si>
  <si>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</si>
  <si>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</si>
  <si>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</si>
  <si>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</si>
  <si>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</si>
  <si>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</si>
  <si>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Manure produced</t>
  </si>
  <si>
    <t>Percent manure sold</t>
  </si>
  <si>
    <t>Percent manure applied as fertiliser on own farm</t>
  </si>
  <si>
    <t>Percent manure applied to soil with no purpose (as waste)</t>
  </si>
  <si>
    <t>Livestock sales</t>
  </si>
  <si>
    <t>⚠️ Livestock sales are not automatically reflected in the herd movement data - you will need to manually adjust head count and average liveweight</t>
  </si>
  <si>
    <t>Class</t>
  </si>
  <si>
    <t>Sale date</t>
  </si>
  <si>
    <t>Head sold</t>
  </si>
  <si>
    <t>Average weight per head (kg)</t>
  </si>
  <si>
    <t>Total liveweight sold</t>
  </si>
  <si>
    <t>Bulls &gt; 1 year</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</si>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</sst>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0" fontId="37" fillId="4" borderId="0" xfId="59">
      <alignment horizontal="left"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BCD503-838A-4523-932C-9BA527D1C34C}" name="Table_Input_LivestockSales3" displayName="Table_Input_LivestockSales3" ref="D33:H35" totalsRowShown="0">
  <autoFilter ref="D33:H35" xr:uid="{6CBCD503-838A-4523-932C-9BA527D1C34C}">
    <filterColumn colId="0" hiddenButton="1"/>
    <filterColumn colId="1" hiddenButton="1"/>
    <filterColumn colId="2" hiddenButton="1"/>
    <filterColumn colId="3" hiddenButton="1"/>
    <filterColumn colId="4" hiddenButton="1"/>
  </autoFilter>
  <tableColumns count="5">
    <tableColumn id="1" xr3:uid="{10611EAE-C98A-4772-A79C-DBC0DEE0D909}" name="Class"/>
    <tableColumn id="2" xr3:uid="{C72E6C94-BA4D-4748-84FC-BCCF1BBBA7D6}" name="Sale date"/>
    <tableColumn id="3" xr3:uid="{BC87B559-6411-49E0-9FED-D9EC6CFBBD83}" name="Head sold"/>
    <tableColumn id="4" xr3:uid="{F08DE3C5-21CB-42C6-A868-7EFDDF741BF4}" name="Average weight per head (kg)"/>
    <tableColumn id="5" xr3:uid="{9F84455A-39E1-4212-B9E8-759D853A4C96}" name="Total liveweight sold" dataCellStyle="Input number general calculated">
      <calculatedColumnFormula>F34*G34</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1.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topLeftCell="A42" zoomScaleNormal="100" workbookViewId="0">
      <selection activeCell="D48" sqref="D4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14</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
        <v>3</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5</v>
      </c>
      <c r="E6" s="21" t="s">
        <v>10</v>
      </c>
      <c r="F6" s="21" t="s">
        <v>11</v>
      </c>
      <c r="G6" s="21" t="s">
        <v>7</v>
      </c>
      <c r="H6" s="21" t="s">
        <v>12</v>
      </c>
      <c r="I6" s="21" t="s">
        <v>13</v>
      </c>
      <c r="J6" s="2"/>
      <c r="K6" s="9"/>
    </row>
    <row r="7" spans="1:11" ht="20.100000000000001" customHeight="1" x14ac:dyDescent="0.25">
      <c r="A7" s="5" t="str">
        <f>HYPERLINK("#'Input - Site'!A1", "Site")</f>
        <v>Site</v>
      </c>
      <c r="C7" s="9"/>
      <c r="D7" s="1" t="s">
        <v>168</v>
      </c>
      <c r="E7" s="19" t="e" cm="1">
        <f t="array" ref="E7">VEERG_3_2_1_1__1_TotalAnnualMethaneFromEntericFermentation_Result_Method1</f>
        <v>#NAME?</v>
      </c>
      <c r="F7" s="19" t="e" cm="1">
        <f t="array" ref="F7">VEERG_3_2_1_1__1_TotalAnnualMethaneFromEntericFermentation_Result_Method2</f>
        <v>#NAME?</v>
      </c>
      <c r="G7" s="16" t="s">
        <v>8</v>
      </c>
      <c r="H7" s="19"/>
      <c r="I7" s="19"/>
      <c r="J7" s="16" t="s">
        <v>9</v>
      </c>
      <c r="K7" s="9"/>
    </row>
    <row r="8" spans="1:11" ht="20.100000000000001" customHeight="1" x14ac:dyDescent="0.25">
      <c r="A8" s="5" t="str">
        <f>HYPERLINK("#'Input - Pasture Beef'!A1", "Pasture Beef")</f>
        <v>Pasture Beef</v>
      </c>
      <c r="C8" s="9"/>
      <c r="D8" s="1" t="s">
        <v>15</v>
      </c>
      <c r="E8" s="19"/>
      <c r="F8" s="19"/>
      <c r="G8" s="16" t="s">
        <v>8</v>
      </c>
      <c r="H8" s="19">
        <v>1</v>
      </c>
      <c r="I8" s="19">
        <v>2</v>
      </c>
      <c r="J8" s="16" t="s">
        <v>9</v>
      </c>
      <c r="K8" s="9"/>
    </row>
    <row r="9" spans="1:11" ht="20.100000000000001" customHeight="1" x14ac:dyDescent="0.25">
      <c r="A9" s="5"/>
      <c r="C9" s="9"/>
      <c r="D9" s="1" t="s">
        <v>17</v>
      </c>
      <c r="E9" s="19"/>
      <c r="F9" s="19"/>
      <c r="G9" s="16" t="s">
        <v>16</v>
      </c>
      <c r="H9" s="19">
        <v>2</v>
      </c>
      <c r="I9" s="19">
        <v>3</v>
      </c>
      <c r="J9" s="16" t="s">
        <v>9</v>
      </c>
      <c r="K9" s="9"/>
    </row>
    <row r="10" spans="1:11" ht="20.100000000000001" customHeight="1" x14ac:dyDescent="0.25">
      <c r="A10" s="7" t="s">
        <v>4</v>
      </c>
      <c r="C10" s="9"/>
      <c r="D10" s="1" t="s">
        <v>18</v>
      </c>
      <c r="E10" s="19"/>
      <c r="F10" s="19"/>
      <c r="G10" s="16" t="s">
        <v>16</v>
      </c>
      <c r="H10" s="19">
        <v>3</v>
      </c>
      <c r="I10" s="19">
        <v>4</v>
      </c>
      <c r="J10" s="16" t="s">
        <v>9</v>
      </c>
      <c r="K10" s="9"/>
    </row>
    <row r="11" spans="1:11" ht="20.100000000000001" customHeight="1" x14ac:dyDescent="0.25">
      <c r="A11" s="5" t="str">
        <f>HYPERLINK("#'4.2.1.1-2 Methane'!A1", "4.2.1.1-2 Methane")</f>
        <v>4.2.1.1-2 Methane</v>
      </c>
      <c r="C11" s="9"/>
      <c r="D11" s="1" t="s">
        <v>19</v>
      </c>
      <c r="E11" s="19"/>
      <c r="F11" s="19"/>
      <c r="G11" s="16" t="s">
        <v>16</v>
      </c>
      <c r="H11" s="19">
        <v>4</v>
      </c>
      <c r="I11" s="19">
        <v>5</v>
      </c>
      <c r="J11" s="16" t="s">
        <v>9</v>
      </c>
      <c r="K11" s="9"/>
    </row>
    <row r="12" spans="1:11" ht="20.100000000000001" customHeight="1" x14ac:dyDescent="0.25">
      <c r="A12" s="5" t="str">
        <f>HYPERLINK("#'4.2.1.3-4 Soil direct N2O'!A1", "4.2.1.3-4 Soil direct N2O")</f>
        <v>4.2.1.3-4 Soil direct N2O</v>
      </c>
      <c r="C12" s="9"/>
      <c r="D12" s="1" t="s">
        <v>169</v>
      </c>
      <c r="E12" s="19" t="e" cm="1">
        <f t="array" ref="E12">VEERG_5_1_1_1__1_InorganicFertiliserApplicationN2OEmissions_Result_Method1</f>
        <v>#NAME?</v>
      </c>
      <c r="F12" s="19" t="e" cm="1">
        <f t="array" ref="F12">VEERG_5_1_1_1__1_InorganicFertiliserApplicationN2OEmissions_Result_Method2</f>
        <v>#NAME?</v>
      </c>
      <c r="G12" s="16" t="s">
        <v>16</v>
      </c>
      <c r="H12" s="19"/>
      <c r="I12" s="19"/>
      <c r="J12" s="16" t="s">
        <v>9</v>
      </c>
      <c r="K12" s="9"/>
    </row>
    <row r="13" spans="1:11" ht="20.100000000000001" customHeight="1" x14ac:dyDescent="0.25">
      <c r="A13" s="5" t="str">
        <f>HYPERLINK("#'4.2.1.5-6 Soil Atmos Dep'!A1", "4.2.1.5-6 Soil atm. deposition")</f>
        <v>4.2.1.5-6 Soil atm. deposition</v>
      </c>
      <c r="C13" s="9"/>
      <c r="D13" s="1" t="s">
        <v>170</v>
      </c>
      <c r="E13" s="19" t="e" cm="1">
        <f t="array" ref="E13">VEERG_5_1_1_3__1_InorganicFertiliserApplicationCO2Emissions_Result_Method1</f>
        <v>#NAME?</v>
      </c>
      <c r="F13" s="19" t="e">
        <f>E13</f>
        <v>#NAME?</v>
      </c>
      <c r="G13" s="16" t="s">
        <v>158</v>
      </c>
      <c r="H13" s="19"/>
      <c r="I13" s="19"/>
      <c r="J13" s="16" t="s">
        <v>9</v>
      </c>
      <c r="K13" s="9"/>
    </row>
    <row r="14" spans="1:11" ht="20.100000000000001" customHeight="1" x14ac:dyDescent="0.25">
      <c r="A14" s="5" t="str">
        <f>HYPERLINK("#'4.2.1.7-8 Soil leach runoff'!A1", "4.2.1.7-8 Soil leach &amp; runoff")</f>
        <v>4.2.1.7-8 Soil leach &amp; runoff</v>
      </c>
      <c r="C14" s="9"/>
      <c r="D14" s="1" t="s">
        <v>171</v>
      </c>
      <c r="E14" s="19" t="e" cm="1">
        <f t="array" ref="E14">VEERG_5_2_1_1__2_MassOfNitrogenInOrganicFertiliser_Result_Method1</f>
        <v>#NAME?</v>
      </c>
      <c r="F14" s="19" t="e">
        <f>E14</f>
        <v>#NAME?</v>
      </c>
      <c r="G14" s="16" t="s">
        <v>16</v>
      </c>
      <c r="H14" s="19"/>
      <c r="I14" s="19"/>
      <c r="J14" s="16" t="s">
        <v>9</v>
      </c>
      <c r="K14" s="9"/>
    </row>
    <row r="15" spans="1:11" ht="20.100000000000001" customHeight="1" x14ac:dyDescent="0.25">
      <c r="A15" s="5"/>
      <c r="C15" s="9"/>
      <c r="D15" s="1" t="s">
        <v>172</v>
      </c>
      <c r="E15" s="19" t="e" cm="1">
        <f t="array" ref="E15">VEERG_5_3_1_1__1_LimeApplicationCO2Emissions_Result_Method1</f>
        <v>#NAME?</v>
      </c>
      <c r="F15" s="19" t="e">
        <f>E15</f>
        <v>#NAME?</v>
      </c>
      <c r="G15" s="16" t="s">
        <v>158</v>
      </c>
      <c r="H15" s="19"/>
      <c r="I15" s="19"/>
      <c r="J15" s="16" t="s">
        <v>9</v>
      </c>
      <c r="K15" s="9"/>
    </row>
    <row r="16" spans="1:11" ht="20.100000000000001" customHeight="1" x14ac:dyDescent="0.25">
      <c r="A16" s="6" t="s">
        <v>2</v>
      </c>
      <c r="C16" s="9"/>
      <c r="D16" s="1" t="s">
        <v>173</v>
      </c>
      <c r="E16" s="19" t="e" cm="1">
        <f t="array" ref="E16">VEERG_5_4_1_3__1_OrganicFertiliserAtmosphericDepositionN2OEmissions_Result_Method1</f>
        <v>#NAME?</v>
      </c>
      <c r="F16" s="19" t="e">
        <f>E16</f>
        <v>#NAME?</v>
      </c>
      <c r="G16" s="16" t="s">
        <v>16</v>
      </c>
      <c r="H16" s="19"/>
      <c r="I16" s="19"/>
      <c r="J16" s="16" t="s">
        <v>9</v>
      </c>
      <c r="K16" s="9"/>
    </row>
    <row r="17" spans="1:11" ht="20.100000000000001" customHeight="1" x14ac:dyDescent="0.25">
      <c r="A17" s="5" t="str">
        <f>HYPERLINK("#'Constants - Pasture Beef'!A1", "Constants - Pasture Beef")</f>
        <v>Constants - Pasture Beef</v>
      </c>
      <c r="C17" s="9"/>
      <c r="D17" s="1" t="s">
        <v>174</v>
      </c>
      <c r="E17" s="19" t="e" cm="1">
        <f t="array" ref="E17">VEERG_5_5_1_1__1_FertiliserLeachingAndRunoffN2OEmissions_result_Method1</f>
        <v>#NAME?</v>
      </c>
      <c r="F17" s="19" t="e">
        <f>E17</f>
        <v>#NAME?</v>
      </c>
      <c r="G17" s="16" t="s">
        <v>16</v>
      </c>
      <c r="H17" s="19"/>
      <c r="I17" s="19"/>
      <c r="J17" s="16" t="s">
        <v>9</v>
      </c>
      <c r="K17" s="9"/>
    </row>
    <row r="18" spans="1:11" ht="20.100000000000001" customHeight="1" x14ac:dyDescent="0.25">
      <c r="A18" s="5" t="str">
        <f>HYPERLINK("#'Constants - Livestock'!A1", "Constants - Livestock")</f>
        <v>Constants - Livestock</v>
      </c>
      <c r="C18" s="9"/>
      <c r="D18" s="1" t="s">
        <v>175</v>
      </c>
      <c r="E18" s="19" t="e" cm="1">
        <f t="array" ref="E18">VEERG_6_2_1_1__1__NitrousOxideEmissionsFromPastureResidues_Result_Method1</f>
        <v>#NAME?</v>
      </c>
      <c r="F18" s="19" t="e" cm="1">
        <f t="array" ref="F18">VEERG_6_2_1_1__1__NitrousOxideEmissionsFromPastureResidues_Result_Method2</f>
        <v>#NAME?</v>
      </c>
      <c r="G18" s="16" t="s">
        <v>16</v>
      </c>
      <c r="H18" s="19"/>
      <c r="I18" s="19"/>
      <c r="J18" s="16" t="s">
        <v>9</v>
      </c>
      <c r="K18" s="9"/>
    </row>
    <row r="19" spans="1:11" ht="20.100000000000001" customHeight="1" x14ac:dyDescent="0.25">
      <c r="A19" s="5" t="str">
        <f>HYPERLINK("#'Constants - Common'!A1", "Constants - Common")</f>
        <v>Constants - Common</v>
      </c>
      <c r="C19" s="9"/>
      <c r="D19" s="1" t="s">
        <v>176</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16</v>
      </c>
      <c r="H19" s="19"/>
      <c r="I19" s="19"/>
      <c r="J19" s="16" t="s">
        <v>9</v>
      </c>
      <c r="K19" s="9"/>
    </row>
    <row r="20" spans="1:11" ht="20.100000000000001" customHeight="1" x14ac:dyDescent="0.25">
      <c r="A20" s="5" t="str">
        <f>HYPERLINK("#'Acknowledgements'!A1", "Acknowledgements")</f>
        <v>Acknowledgements</v>
      </c>
      <c r="C20" s="9"/>
      <c r="D20" s="1" t="s">
        <v>177</v>
      </c>
      <c r="E20" s="19" t="e" cm="1">
        <f t="array" ref="E20">VEERG_8_1_1_1__1_FuelCombustionTransport_Result_CO2</f>
        <v>#NAME?</v>
      </c>
      <c r="F20" s="19" t="e">
        <f>E20</f>
        <v>#NAME?</v>
      </c>
      <c r="G20" s="16" t="s">
        <v>158</v>
      </c>
      <c r="H20" s="19"/>
      <c r="I20" s="19"/>
      <c r="J20" s="16" t="s">
        <v>9</v>
      </c>
      <c r="K20" s="9"/>
    </row>
    <row r="21" spans="1:11" ht="20.100000000000001" customHeight="1" x14ac:dyDescent="0.25">
      <c r="C21" s="9"/>
      <c r="D21" s="1" t="s">
        <v>179</v>
      </c>
      <c r="E21" s="19" t="e" cm="1">
        <f t="array" ref="E21">VEERG_8_1_1_1__1_FuelCombustionTransport_Result_CH4</f>
        <v>#NAME?</v>
      </c>
      <c r="F21" s="19" t="e">
        <f>E21</f>
        <v>#NAME?</v>
      </c>
      <c r="G21" s="16" t="s">
        <v>8</v>
      </c>
      <c r="H21" s="19"/>
      <c r="I21" s="19"/>
      <c r="J21" s="16" t="s">
        <v>9</v>
      </c>
      <c r="K21" s="9"/>
    </row>
    <row r="22" spans="1:11" ht="20.100000000000001" customHeight="1" x14ac:dyDescent="0.25">
      <c r="A22" s="5"/>
      <c r="C22" s="9"/>
      <c r="D22" s="1" t="s">
        <v>178</v>
      </c>
      <c r="E22" s="19" t="e" cm="1">
        <f t="array" ref="E22">VEERG_8_1_1_1__1_FuelCombustionTransport_Result_N2O</f>
        <v>#NAME?</v>
      </c>
      <c r="F22" s="19" t="e">
        <f>E22</f>
        <v>#NAME?</v>
      </c>
      <c r="G22" s="16" t="s">
        <v>16</v>
      </c>
      <c r="H22" s="19"/>
      <c r="I22" s="19"/>
      <c r="J22" s="16" t="s">
        <v>9</v>
      </c>
      <c r="K22" s="9"/>
    </row>
    <row r="23" spans="1:11" ht="20.100000000000001" customHeight="1" x14ac:dyDescent="0.25">
      <c r="A23" s="5"/>
      <c r="C23" s="9"/>
      <c r="D23" s="1" t="s">
        <v>180</v>
      </c>
      <c r="E23" s="19" t="e" cm="1">
        <f t="array" ref="E23">VEERG_8_2_1_1__1_FuelCombustionStationary_Result_CO2</f>
        <v>#NAME?</v>
      </c>
      <c r="F23" s="19" t="e">
        <f>E23</f>
        <v>#NAME?</v>
      </c>
      <c r="G23" s="16" t="s">
        <v>158</v>
      </c>
      <c r="H23" s="19"/>
      <c r="I23" s="19"/>
      <c r="J23" s="16" t="s">
        <v>9</v>
      </c>
      <c r="K23" s="9"/>
    </row>
    <row r="24" spans="1:11" ht="20.100000000000001" customHeight="1" x14ac:dyDescent="0.25">
      <c r="A24" s="5"/>
      <c r="C24" s="9"/>
      <c r="D24" s="1" t="s">
        <v>181</v>
      </c>
      <c r="E24" s="19" t="e" cm="1">
        <f t="array" ref="E24">VEERG_8_2_1_1__1_FuelCombustionStationary_Result_CH4</f>
        <v>#NAME?</v>
      </c>
      <c r="F24" s="19" t="e">
        <f t="shared" ref="F24:F27" si="0">E24</f>
        <v>#NAME?</v>
      </c>
      <c r="G24" s="16" t="s">
        <v>8</v>
      </c>
      <c r="H24" s="19"/>
      <c r="I24" s="19"/>
      <c r="J24" s="16" t="s">
        <v>9</v>
      </c>
      <c r="K24" s="9"/>
    </row>
    <row r="25" spans="1:11" ht="20.100000000000001" customHeight="1" x14ac:dyDescent="0.25">
      <c r="C25" s="9"/>
      <c r="D25" s="1" t="s">
        <v>182</v>
      </c>
      <c r="E25" s="19" t="e" cm="1">
        <f t="array" ref="E25">VEERG_8_2_1_1__1_FuelCombustionStationary_Result_N2O</f>
        <v>#NAME?</v>
      </c>
      <c r="F25" s="19" t="e">
        <f t="shared" si="0"/>
        <v>#NAME?</v>
      </c>
      <c r="G25" s="16" t="s">
        <v>16</v>
      </c>
      <c r="H25" s="19"/>
      <c r="I25" s="19"/>
      <c r="J25" s="16" t="s">
        <v>9</v>
      </c>
      <c r="K25" s="9"/>
    </row>
    <row r="26" spans="1:11" ht="20.100000000000001" customHeight="1" x14ac:dyDescent="0.25">
      <c r="C26" s="9"/>
      <c r="D26" s="1" t="s">
        <v>183</v>
      </c>
      <c r="E26" s="19" t="e" cm="1">
        <f t="array" ref="E26">VEERG_14_1_1__1_LocationBasedScopeElectricityEmissions_Result_Method1</f>
        <v>#NAME?</v>
      </c>
      <c r="F26" s="19" t="e">
        <f t="shared" si="0"/>
        <v>#NAME?</v>
      </c>
      <c r="G26" s="16" t="s">
        <v>9</v>
      </c>
      <c r="H26" s="19"/>
      <c r="I26" s="19"/>
      <c r="J26" s="16" t="s">
        <v>9</v>
      </c>
      <c r="K26" s="9"/>
    </row>
    <row r="27" spans="1:11" ht="20.100000000000001" customHeight="1" x14ac:dyDescent="0.25">
      <c r="C27" s="9"/>
      <c r="D27" s="1" t="s">
        <v>184</v>
      </c>
      <c r="E27" s="19" t="e" cm="1">
        <f t="array" ref="E27">VEERG_14_1_2__1_MarketBasedScopeElectricityEmissionsVariation_Result_Method1</f>
        <v>#NAME?</v>
      </c>
      <c r="F27" s="19" t="e">
        <f t="shared" si="0"/>
        <v>#NAME?</v>
      </c>
      <c r="G27" s="16" t="s">
        <v>9</v>
      </c>
      <c r="H27" s="19"/>
      <c r="I27" s="19"/>
      <c r="J27" s="16" t="s">
        <v>9</v>
      </c>
      <c r="K27" s="9"/>
    </row>
    <row r="28" spans="1:11" ht="20.100000000000001" customHeight="1" x14ac:dyDescent="0.3">
      <c r="C28" s="9"/>
      <c r="D28" s="15" t="s">
        <v>6</v>
      </c>
      <c r="E28" s="10"/>
      <c r="F28" s="10"/>
      <c r="G28" s="15"/>
      <c r="H28" s="20">
        <f>SUM(H7:H27)</f>
        <v>10</v>
      </c>
      <c r="I28" s="20">
        <f>SUM(I7:I27)</f>
        <v>14</v>
      </c>
      <c r="J28" s="16" t="s">
        <v>9</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137</v>
      </c>
      <c r="E32" s="1"/>
      <c r="F32" s="1"/>
      <c r="G32" s="1"/>
      <c r="H32" s="14"/>
      <c r="I32" s="9"/>
      <c r="J32" s="9"/>
      <c r="K32" s="9"/>
    </row>
    <row r="33" spans="3:11" ht="20.100000000000001" customHeight="1" x14ac:dyDescent="0.3">
      <c r="C33" s="9"/>
      <c r="D33" s="90"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139</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138</v>
      </c>
      <c r="E36" s="21" t="s">
        <v>12</v>
      </c>
      <c r="F36" s="21" t="s">
        <v>13</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8" t="str">
        <f>IF(ISBLANK($D37), "", IF(ISNUMBER(SEARCH("reporting", $D37)), Result_Enterprise_Method1, "Enter value"))</f>
        <v>Enter value</v>
      </c>
      <c r="F37" s="88" t="str">
        <f>IF(ISBLANK($D37), "", IF(ISNUMBER(SEARCH("reporting", $D37)), Result_Enterprise_Method2, "Enter value"))</f>
        <v>Enter value</v>
      </c>
      <c r="G37" s="16" t="s">
        <v>9</v>
      </c>
      <c r="H37" s="14"/>
      <c r="I37" s="9"/>
      <c r="J37" s="9"/>
      <c r="K37" s="9"/>
    </row>
    <row r="38" spans="3:11" ht="20.100000000000001" customHeight="1" x14ac:dyDescent="0.3">
      <c r="C38" s="9"/>
      <c r="D38" s="1" t="str">
        <v>01 Jan 2024 to 31 Dec 2024 (This reporting cycle)</v>
      </c>
      <c r="E38" s="88">
        <f>IF(ISBLANK($D38), "", IF(ISNUMBER(SEARCH("reporting", $D38)), Result_Enterprise_Method1, "Enter value"))</f>
        <v>10</v>
      </c>
      <c r="F38" s="88">
        <f>IF(ISBLANK($D38), "", IF(ISNUMBER(SEARCH("reporting", $D38)), Result_Enterprise_Method2, "Enter value"))</f>
        <v>14</v>
      </c>
      <c r="G38" s="16" t="s">
        <v>9</v>
      </c>
      <c r="H38" s="14"/>
      <c r="I38" s="9"/>
      <c r="J38" s="9"/>
      <c r="K38" s="9"/>
    </row>
    <row r="39" spans="3:11" ht="20.100000000000001" customHeight="1" x14ac:dyDescent="0.3">
      <c r="C39" s="9"/>
      <c r="D39" s="1" t="str">
        <v>01 Jan 2025 to 31 Dec 2025</v>
      </c>
      <c r="E39" s="88" t="str">
        <f>IF(ISBLANK($D39), "", IF(ISNUMBER(SEARCH("reporting", $D39)), Result_Enterprise_Method1, "Enter value"))</f>
        <v>Enter value</v>
      </c>
      <c r="F39" s="88" t="str">
        <f>IF(ISBLANK($D39), "", IF(ISNUMBER(SEARCH("reporting", $D39)), Result_Enterprise_Method2, "Enter value"))</f>
        <v>Enter value</v>
      </c>
      <c r="G39" s="16" t="s">
        <v>9</v>
      </c>
      <c r="H39" s="14"/>
      <c r="I39" s="9"/>
      <c r="J39" s="9"/>
      <c r="K39" s="9"/>
    </row>
    <row r="40" spans="3:11" ht="20.100000000000001" customHeight="1" x14ac:dyDescent="0.3">
      <c r="C40" s="9"/>
      <c r="D40" s="1"/>
      <c r="E40" s="88" t="str">
        <f>IF(ISBLANK($D40), "", IF(ISNUMBER(SEARCH("reporting", $D40)), Result_Enterprise_Method1, "Enter value"))</f>
        <v/>
      </c>
      <c r="F40" s="88" t="str">
        <f>IF(ISBLANK($D40), "", IF(ISNUMBER(SEARCH("reporting", $D40)), Result_Enterprise_Method2, "Enter value"))</f>
        <v/>
      </c>
      <c r="G40" s="16" t="s">
        <v>9</v>
      </c>
      <c r="H40" s="14"/>
      <c r="I40" s="9"/>
      <c r="J40" s="9"/>
      <c r="K40" s="9"/>
    </row>
    <row r="41" spans="3:11" ht="20.100000000000001" customHeight="1" x14ac:dyDescent="0.3">
      <c r="C41" s="9"/>
      <c r="D41" s="90"/>
      <c r="E41" s="88" t="str">
        <f>IF(ISBLANK($D41), "", IF(ISNUMBER(SEARCH("reporting", $D41)), Result_Enterprise_Method1, "Enter value"))</f>
        <v/>
      </c>
      <c r="F41" s="88" t="str">
        <f>IF(ISBLANK($D41), "", IF(ISNUMBER(SEARCH("reporting", $D41)), Result_Enterprise_Method2, "Enter value"))</f>
        <v/>
      </c>
      <c r="G41" s="16" t="s">
        <v>9</v>
      </c>
      <c r="H41" s="14"/>
      <c r="I41" s="9"/>
      <c r="J41" s="9"/>
      <c r="K41" s="9"/>
    </row>
    <row r="42" spans="3:11" ht="20.100000000000001" customHeight="1" x14ac:dyDescent="0.3">
      <c r="C42" s="9"/>
      <c r="D42" s="15" t="s">
        <v>159</v>
      </c>
      <c r="E42" s="20">
        <f>SUM(E37:E41)</f>
        <v>10</v>
      </c>
      <c r="F42" s="20">
        <f>SUM(F37:F41)</f>
        <v>14</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156</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138</v>
      </c>
      <c r="E47" s="21" t="s">
        <v>157</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8">
        <v>0.6</v>
      </c>
      <c r="F48" s="16" t="s">
        <v>158</v>
      </c>
      <c r="G48" s="1"/>
      <c r="H48" s="1"/>
      <c r="I48" s="1"/>
      <c r="J48" s="1"/>
      <c r="K48" s="9"/>
    </row>
    <row r="49" spans="3:11" ht="20.100000000000001" customHeight="1" x14ac:dyDescent="0.25">
      <c r="C49" s="9"/>
      <c r="D49" s="1" t="str">
        <v>01 Jan 2024 to 31 Dec 2024 (This reporting cycle)</v>
      </c>
      <c r="E49" s="88">
        <v>0.5</v>
      </c>
      <c r="F49" s="16" t="s">
        <v>158</v>
      </c>
      <c r="G49" s="1"/>
      <c r="H49" s="1"/>
      <c r="I49" s="1"/>
      <c r="J49" s="1"/>
      <c r="K49" s="9"/>
    </row>
    <row r="50" spans="3:11" ht="20.100000000000001" customHeight="1" x14ac:dyDescent="0.25">
      <c r="C50" s="9"/>
      <c r="D50" s="1" t="str">
        <v>01 Jan 2025 to 31 Dec 2025</v>
      </c>
      <c r="E50" s="88" t="s">
        <v>185</v>
      </c>
      <c r="F50" s="16" t="s">
        <v>158</v>
      </c>
      <c r="G50" s="1"/>
      <c r="H50" s="1"/>
      <c r="I50" s="1"/>
      <c r="J50" s="1"/>
      <c r="K50" s="9"/>
    </row>
    <row r="51" spans="3:11" ht="20.100000000000001" customHeight="1" x14ac:dyDescent="0.25">
      <c r="C51" s="9"/>
      <c r="D51" s="1"/>
      <c r="E51" s="88"/>
      <c r="F51" s="16" t="s">
        <v>158</v>
      </c>
      <c r="G51" s="1"/>
      <c r="H51" s="1"/>
      <c r="I51" s="1"/>
      <c r="J51" s="1"/>
      <c r="K51" s="9"/>
    </row>
    <row r="52" spans="3:11" ht="20.100000000000001" customHeight="1" x14ac:dyDescent="0.25">
      <c r="C52" s="9"/>
      <c r="D52" s="1"/>
      <c r="E52" s="88"/>
      <c r="F52" s="16" t="s">
        <v>158</v>
      </c>
      <c r="G52" s="1"/>
      <c r="H52" s="1"/>
      <c r="I52" s="9"/>
      <c r="J52" s="9"/>
      <c r="K52" s="9"/>
    </row>
    <row r="53" spans="3:11" ht="20.100000000000001" customHeight="1" x14ac:dyDescent="0.3">
      <c r="C53" s="9"/>
      <c r="D53" s="15" t="s">
        <v>160</v>
      </c>
      <c r="E53" s="20">
        <f>SUM(E48:E51)</f>
        <v>1.1000000000000001</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141</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162</v>
      </c>
      <c r="F58" s="21" t="s">
        <v>163</v>
      </c>
      <c r="G58" s="1"/>
      <c r="H58" s="1"/>
      <c r="I58" s="1"/>
      <c r="J58" s="1"/>
      <c r="K58" s="9"/>
    </row>
    <row r="59" spans="3:11" ht="20.100000000000001" customHeight="1" x14ac:dyDescent="0.3">
      <c r="C59" s="9"/>
      <c r="D59" s="91" t="s">
        <v>161</v>
      </c>
      <c r="E59" s="89">
        <f>E42-E53</f>
        <v>8.9</v>
      </c>
      <c r="F59" s="89">
        <f>F42-E53</f>
        <v>12.9</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21" t="s">
        <v>166</v>
      </c>
      <c r="E61" s="21" t="s">
        <v>150</v>
      </c>
      <c r="F61" s="21" t="s">
        <v>142</v>
      </c>
      <c r="G61" s="21" t="s">
        <v>144</v>
      </c>
      <c r="H61" s="21" t="s">
        <v>148</v>
      </c>
      <c r="I61" s="21" t="s">
        <v>149</v>
      </c>
      <c r="J61" s="21" t="s">
        <v>143</v>
      </c>
      <c r="K61" s="9"/>
    </row>
    <row r="62" spans="3:11" ht="20.100000000000001" customHeight="1" x14ac:dyDescent="0.25">
      <c r="C62" s="9"/>
      <c r="D62" s="1" t="s">
        <v>26</v>
      </c>
      <c r="E62" s="1" t="s">
        <v>151</v>
      </c>
      <c r="F62" s="19">
        <f>'Input - Enterprise'!E22</f>
        <v>9.5</v>
      </c>
      <c r="G62" s="19">
        <f>F62/(F62+F63)</f>
        <v>0.79166666666666663</v>
      </c>
      <c r="H62" s="19">
        <f>($E$42/F62)*G62</f>
        <v>0.83333333333333326</v>
      </c>
      <c r="I62" s="19">
        <f>($F$42/F62)*G62</f>
        <v>1.1666666666666665</v>
      </c>
      <c r="J62" s="16" t="s">
        <v>146</v>
      </c>
      <c r="K62" s="9"/>
    </row>
    <row r="63" spans="3:11" ht="20.100000000000001" customHeight="1" x14ac:dyDescent="0.25">
      <c r="C63" s="9"/>
      <c r="D63" s="1" t="s">
        <v>145</v>
      </c>
      <c r="E63" s="1" t="s">
        <v>152</v>
      </c>
      <c r="F63" s="19">
        <f>'Input - Enterprise'!E25*'Input - Enterprise'!E26</f>
        <v>2.5</v>
      </c>
      <c r="G63" s="19">
        <f>F63/(F62+F63)</f>
        <v>0.20833333333333334</v>
      </c>
      <c r="H63" s="19">
        <f>($E$42/F63)*G63</f>
        <v>0.83333333333333337</v>
      </c>
      <c r="I63" s="19">
        <f>($F$42/F63)*G63</f>
        <v>1.1666666666666667</v>
      </c>
      <c r="J63" s="16" t="s">
        <v>147</v>
      </c>
      <c r="K63" s="9"/>
    </row>
    <row r="64" spans="3:11" ht="20.100000000000001" customHeight="1" x14ac:dyDescent="0.25">
      <c r="C64" s="9"/>
      <c r="D64" s="1" t="s">
        <v>153</v>
      </c>
      <c r="E64" s="1" t="s">
        <v>155</v>
      </c>
      <c r="F64" s="19">
        <f>'Input - Enterprise'!E25*'Input - Enterprise'!E27</f>
        <v>1.5</v>
      </c>
      <c r="G64" s="19" t="s">
        <v>154</v>
      </c>
      <c r="H64" s="19" t="s">
        <v>154</v>
      </c>
      <c r="I64" s="19" t="s">
        <v>154</v>
      </c>
      <c r="J64" s="9"/>
      <c r="K64" s="9"/>
    </row>
    <row r="65" spans="3:11" ht="20.100000000000001" customHeight="1" x14ac:dyDescent="0.25">
      <c r="C65" s="9"/>
      <c r="D65" s="1"/>
      <c r="E65" s="1"/>
      <c r="F65" s="19"/>
      <c r="G65" s="19"/>
      <c r="H65" s="19"/>
      <c r="I65" s="19"/>
      <c r="J65" s="18"/>
      <c r="K65" s="9"/>
    </row>
    <row r="66" spans="3:11" ht="20.100000000000001" customHeight="1" x14ac:dyDescent="0.25">
      <c r="C66" s="9"/>
      <c r="D66" s="1" t="s">
        <v>164</v>
      </c>
      <c r="E66" s="1" t="s">
        <v>154</v>
      </c>
      <c r="F66" s="19">
        <f>'Input - Enterprise'!E23</f>
        <v>300</v>
      </c>
      <c r="G66" s="19" t="s">
        <v>154</v>
      </c>
      <c r="H66" s="19">
        <f>E59/F66</f>
        <v>2.9666666666666668E-2</v>
      </c>
      <c r="I66" s="19" t="s">
        <v>154</v>
      </c>
      <c r="J66" s="16" t="s">
        <v>167</v>
      </c>
      <c r="K66" s="9"/>
    </row>
    <row r="67" spans="3:11" ht="20.100000000000001" customHeight="1" x14ac:dyDescent="0.25">
      <c r="C67" s="9"/>
      <c r="D67" s="1" t="s">
        <v>165</v>
      </c>
      <c r="E67" s="1" t="s">
        <v>154</v>
      </c>
      <c r="F67" s="19">
        <f>'Input - Enterprise'!E24</f>
        <v>310</v>
      </c>
      <c r="G67" s="19" t="s">
        <v>154</v>
      </c>
      <c r="H67" s="19" t="s">
        <v>154</v>
      </c>
      <c r="I67" s="19">
        <f>F59/F67</f>
        <v>4.161290322580645E-2</v>
      </c>
      <c r="J67" s="16" t="s">
        <v>167</v>
      </c>
      <c r="K67" s="9"/>
    </row>
    <row r="68" spans="3:11" ht="20.100000000000001" customHeight="1" x14ac:dyDescent="0.25">
      <c r="C68" s="9"/>
      <c r="D68" s="1"/>
      <c r="E68" s="1"/>
      <c r="F68" s="1"/>
      <c r="G68" s="1"/>
      <c r="H68" s="18"/>
      <c r="I68" s="18"/>
      <c r="J68" s="18"/>
      <c r="K68" s="9"/>
    </row>
    <row r="69" spans="3:11" ht="20.100000000000001" customHeight="1" x14ac:dyDescent="0.25">
      <c r="C69" s="9"/>
      <c r="D69" s="1"/>
      <c r="E69" s="1"/>
      <c r="F69" s="1"/>
      <c r="G69" s="1"/>
      <c r="H69" s="9"/>
      <c r="I69" s="9"/>
      <c r="J69" s="9"/>
      <c r="K69" s="9"/>
    </row>
    <row r="70" spans="3:11" ht="20.100000000000001" customHeight="1" x14ac:dyDescent="0.25">
      <c r="C70" s="9"/>
      <c r="D70" s="1"/>
      <c r="E70" s="1"/>
      <c r="F70" s="1"/>
      <c r="G70" s="1"/>
      <c r="H70" s="9"/>
      <c r="I70" s="9"/>
      <c r="J70" s="9"/>
      <c r="K70" s="9"/>
    </row>
    <row r="71" spans="3:11" ht="20.100000000000001" customHeight="1" x14ac:dyDescent="0.25">
      <c r="C71" s="9"/>
      <c r="D71" s="1"/>
      <c r="E71" s="1"/>
      <c r="F71" s="1"/>
      <c r="G71" s="1"/>
      <c r="H71" s="9"/>
      <c r="I71" s="9"/>
      <c r="J71" s="9"/>
      <c r="K71" s="9"/>
    </row>
    <row r="72" spans="3:11" ht="20.100000000000001" customHeight="1" x14ac:dyDescent="0.25">
      <c r="C72" s="9"/>
      <c r="D72" s="1"/>
      <c r="E72" s="1"/>
      <c r="F72" s="1"/>
      <c r="G72" s="1"/>
      <c r="H72" s="9"/>
      <c r="I72" s="9"/>
      <c r="J72" s="9"/>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C3" sqref="C1:H3"/>
    </sheetView>
  </sheetViews>
  <sheetFormatPr defaultColWidth="9.140625" defaultRowHeight="15.75" x14ac:dyDescent="0.25"/>
  <cols>
    <col min="1" max="1" width="30.7109375" style="4" customWidth="1"/>
    <col min="2" max="2" width="4.7109375" style="34" customWidth="1"/>
    <col min="3" max="3" width="4.7109375" style="37" customWidth="1"/>
    <col min="4" max="4" width="60.7109375" style="37" customWidth="1"/>
    <col min="5" max="5" width="50.7109375" style="37" customWidth="1"/>
    <col min="6" max="11" width="28.7109375" style="37" customWidth="1"/>
    <col min="12" max="25" width="28.7109375" style="34" customWidth="1"/>
    <col min="26" max="27" width="9.140625" style="34"/>
    <col min="28" max="16384" width="9.140625" style="37"/>
  </cols>
  <sheetData>
    <row r="1" spans="1:24" s="34" customFormat="1" ht="30" customHeight="1" x14ac:dyDescent="0.35">
      <c r="A1" s="17" t="e" vm="1">
        <v>#VALUE!</v>
      </c>
      <c r="C1" s="40" t="s">
        <v>108</v>
      </c>
    </row>
    <row r="2" spans="1:24" s="34" customFormat="1" ht="20.100000000000001" customHeight="1" x14ac:dyDescent="0.25">
      <c r="A2" s="3"/>
      <c r="C2" s="3"/>
      <c r="D2" s="3"/>
      <c r="E2" s="3"/>
      <c r="F2" s="3"/>
      <c r="G2" s="3"/>
      <c r="H2" s="3"/>
      <c r="I2" s="3"/>
      <c r="J2" s="3"/>
    </row>
    <row r="3" spans="1:24" ht="20.100000000000001" customHeight="1" x14ac:dyDescent="0.25">
      <c r="A3" s="5" t="str">
        <f>HYPERLINK("#'Home'!A1", "Home")</f>
        <v>Home</v>
      </c>
      <c r="C3" s="41"/>
      <c r="D3" s="41"/>
      <c r="E3" s="41"/>
      <c r="F3" s="41"/>
      <c r="G3" s="41"/>
      <c r="H3" s="41"/>
      <c r="I3" s="41"/>
      <c r="J3" s="41"/>
      <c r="K3" s="41"/>
      <c r="M3" s="36"/>
      <c r="N3" s="36"/>
      <c r="O3" s="36"/>
      <c r="P3" s="36"/>
      <c r="Q3" s="36"/>
      <c r="R3" s="36"/>
      <c r="S3" s="36"/>
      <c r="T3" s="36"/>
      <c r="U3" s="36"/>
      <c r="V3" s="36"/>
      <c r="W3" s="36"/>
      <c r="X3" s="36"/>
    </row>
    <row r="4" spans="1:24" ht="20.100000000000001" customHeight="1" x14ac:dyDescent="0.25">
      <c r="A4" s="5" t="str">
        <f>HYPERLINK("#'Results'!A1", "Results")</f>
        <v>Results</v>
      </c>
      <c r="C4" s="42"/>
      <c r="D4" s="42"/>
      <c r="E4" s="42"/>
      <c r="F4" s="42"/>
      <c r="G4" s="42"/>
      <c r="H4" s="42"/>
      <c r="I4" s="42"/>
      <c r="J4" s="42"/>
      <c r="K4" s="42"/>
    </row>
    <row r="5" spans="1:24" ht="20.100000000000001" customHeight="1" x14ac:dyDescent="0.25">
      <c r="D5" s="2" t="s">
        <v>117</v>
      </c>
      <c r="N5" s="43"/>
    </row>
    <row r="6" spans="1:24" ht="20.100000000000001" customHeight="1" x14ac:dyDescent="0.25">
      <c r="A6" s="8" t="s">
        <v>1</v>
      </c>
      <c r="N6" s="45"/>
    </row>
    <row r="7" spans="1:24" ht="20.100000000000001" customHeight="1" x14ac:dyDescent="0.25">
      <c r="A7" s="5" t="str">
        <f>HYPERLINK("#'Input - Site'!A1", "Site")</f>
        <v>Site</v>
      </c>
      <c r="D7" s="55" t="s">
        <v>118</v>
      </c>
      <c r="E7" s="56"/>
      <c r="F7" s="56"/>
      <c r="G7" s="57"/>
    </row>
    <row r="8" spans="1:24" ht="20.100000000000001" customHeight="1" x14ac:dyDescent="0.25">
      <c r="A8" s="5" t="str">
        <f>HYPERLINK("#'Input - Pasture Beef'!A1", "Pasture Beef")</f>
        <v>Pasture Beef</v>
      </c>
      <c r="D8" s="58" t="s">
        <v>119</v>
      </c>
      <c r="E8" s="59"/>
      <c r="F8" s="59"/>
      <c r="G8" s="60"/>
    </row>
    <row r="9" spans="1:24" ht="20.100000000000001" customHeight="1" x14ac:dyDescent="0.25">
      <c r="A9" s="5"/>
      <c r="D9" s="1"/>
      <c r="E9" s="61"/>
      <c r="F9" s="28"/>
      <c r="N9" s="47"/>
    </row>
    <row r="10" spans="1:24" ht="20.100000000000001" customHeight="1" x14ac:dyDescent="0.25">
      <c r="A10" s="7" t="s">
        <v>4</v>
      </c>
      <c r="D10" s="1" t="s">
        <v>120</v>
      </c>
      <c r="E10" s="24" t="s">
        <v>121</v>
      </c>
      <c r="F10" s="28" t="s">
        <v>122</v>
      </c>
      <c r="N10" s="47"/>
    </row>
    <row r="11" spans="1:24" ht="20.100000000000001" customHeight="1" x14ac:dyDescent="0.25">
      <c r="A11" s="5" t="str">
        <f>HYPERLINK("#'4.2.1.1-2 Methane'!A1", "4.2.1.1-2 Methane")</f>
        <v>4.2.1.1-2 Methane</v>
      </c>
      <c r="D11" s="1" t="s">
        <v>123</v>
      </c>
      <c r="E11" s="24" t="s">
        <v>124</v>
      </c>
      <c r="F11" s="28" t="s">
        <v>122</v>
      </c>
      <c r="G11" s="1"/>
      <c r="N11" s="52"/>
    </row>
    <row r="12" spans="1:24" ht="20.100000000000001" customHeight="1" x14ac:dyDescent="0.25">
      <c r="A12" s="5" t="str">
        <f>HYPERLINK("#'4.2.1.3-4 Soil direct N2O'!A1", "4.2.1.3-4 Soil direct N2O")</f>
        <v>4.2.1.3-4 Soil direct N2O</v>
      </c>
      <c r="D12" s="1" t="s">
        <v>125</v>
      </c>
      <c r="E12" s="24" t="s">
        <v>126</v>
      </c>
      <c r="F12" s="28" t="s">
        <v>122</v>
      </c>
    </row>
    <row r="13" spans="1:24" ht="20.100000000000001" customHeight="1" x14ac:dyDescent="0.25">
      <c r="A13" s="5" t="str">
        <f>HYPERLINK("#'4.2.1.5-6 Soil Atmos Dep'!A1", "4.2.1.5-6 Soil atm. deposition")</f>
        <v>4.2.1.5-6 Soil atm. deposition</v>
      </c>
      <c r="D13" s="1" t="s">
        <v>58</v>
      </c>
      <c r="E13" s="46">
        <v>307.7</v>
      </c>
      <c r="F13" s="28" t="s">
        <v>127</v>
      </c>
      <c r="N13" s="54"/>
      <c r="O13" s="54"/>
    </row>
    <row r="14" spans="1:24" ht="20.100000000000001" customHeight="1" x14ac:dyDescent="0.25">
      <c r="A14" s="5" t="str">
        <f>HYPERLINK("#'4.2.1.7-8 Soil leach runoff'!A1", "4.2.1.7-8 Soil leach &amp; runoff")</f>
        <v>4.2.1.7-8 Soil leach &amp; runoff</v>
      </c>
      <c r="D14" s="1" t="s">
        <v>128</v>
      </c>
      <c r="E14" s="46">
        <v>18</v>
      </c>
      <c r="F14" s="28" t="s">
        <v>129</v>
      </c>
      <c r="N14" s="54"/>
      <c r="O14" s="54"/>
    </row>
    <row r="15" spans="1:24" ht="20.100000000000001" customHeight="1" x14ac:dyDescent="0.25">
      <c r="A15" s="5"/>
      <c r="D15" s="1" t="s">
        <v>130</v>
      </c>
      <c r="E15" s="46">
        <v>601</v>
      </c>
      <c r="F15" s="28" t="s">
        <v>131</v>
      </c>
      <c r="N15" s="54"/>
      <c r="O15" s="54"/>
    </row>
    <row r="16" spans="1:24" ht="20.100000000000001" customHeight="1" x14ac:dyDescent="0.25">
      <c r="A16" s="6" t="s">
        <v>2</v>
      </c>
      <c r="D16" s="23" t="s">
        <v>132</v>
      </c>
      <c r="E16" s="46">
        <v>1326</v>
      </c>
      <c r="F16" s="28" t="s">
        <v>131</v>
      </c>
      <c r="N16" s="54"/>
      <c r="O16" s="54"/>
    </row>
    <row r="17" spans="1:25" ht="20.100000000000001" customHeight="1" x14ac:dyDescent="0.25">
      <c r="A17" s="5" t="str">
        <f>HYPERLINK("#'Constants - Pasture Beef'!A1", "Constants - Pasture Beef")</f>
        <v>Constants - Pasture Beef</v>
      </c>
      <c r="D17" s="1" t="s">
        <v>133</v>
      </c>
      <c r="E17" s="46">
        <v>7</v>
      </c>
      <c r="F17" s="28" t="s">
        <v>134</v>
      </c>
    </row>
    <row r="18" spans="1:25" ht="20.100000000000001" customHeight="1" x14ac:dyDescent="0.25">
      <c r="A18" s="5" t="str">
        <f>HYPERLINK("#'Constants - Livestock'!A1", "Constants - Livestock")</f>
        <v>Constants - Livestock</v>
      </c>
      <c r="D18" s="23" t="s">
        <v>135</v>
      </c>
      <c r="E18" s="27">
        <f>E15/E16</f>
        <v>0.45324283559577677</v>
      </c>
      <c r="F18" s="28"/>
    </row>
    <row r="19" spans="1:25" ht="20.100000000000001" customHeight="1" x14ac:dyDescent="0.25">
      <c r="A19" s="5" t="str">
        <f>HYPERLINK("#'Constants - Common'!A1", "Constants - Common")</f>
        <v>Constants - Common</v>
      </c>
      <c r="D19" s="23" t="s">
        <v>86</v>
      </c>
      <c r="E19" s="27" t="str">
        <f>Common_InputFunctions.Utility_LookupItemFromMinMax(E15,Table_SourceData_RainfallZones[Min rainfall],Table_SourceData_RainfallZones[Max rainfall],Table_SourceData_RainfallZones[Rainfall Zone])</f>
        <v>High rainfall</v>
      </c>
      <c r="G19" s="62"/>
      <c r="N19" s="43"/>
    </row>
    <row r="20" spans="1:25" ht="20.100000000000001" customHeight="1" x14ac:dyDescent="0.25">
      <c r="A20" s="5" t="str">
        <f>HYPERLINK("#'Acknowledgements'!A1", "Acknowledgements")</f>
        <v>Acknowledgements</v>
      </c>
      <c r="D20" s="1" t="s">
        <v>53</v>
      </c>
      <c r="E20" s="27"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1"/>
      <c r="N20" s="45"/>
    </row>
    <row r="21" spans="1:25" ht="20.100000000000001" customHeight="1" x14ac:dyDescent="0.25">
      <c r="A21"/>
      <c r="D21" s="1" t="s">
        <v>136</v>
      </c>
      <c r="E21" s="27" t="str">
        <f>Common_InputFunctions.Utility_LookupValueInTable($E$20,Table_SourceData_WetDryZones[Climate zone],Table_SourceData_WetDryZones[Wet or Dry Zone])</f>
        <v>Dry climate zone</v>
      </c>
      <c r="F21" s="1"/>
      <c r="G21" s="61"/>
    </row>
    <row r="22" spans="1:25" ht="20.100000000000001" customHeight="1" x14ac:dyDescent="0.25">
      <c r="A22" s="5"/>
      <c r="D22" s="1" t="s">
        <v>90</v>
      </c>
      <c r="E22" s="27" t="str">
        <f>Common_InputFunctions.Utility_LookupItemFromMinMax(E14,Table_SourceData_TemperatureZones[Min MAT],Table_SourceData_TemperatureZones[Max MAT],Table_SourceData_TemperatureZones[Temperature Zone])</f>
        <v>Temperate</v>
      </c>
      <c r="G22" s="65"/>
    </row>
    <row r="23" spans="1:25" ht="20.100000000000001" customHeight="1" x14ac:dyDescent="0.25">
      <c r="A23" s="5"/>
    </row>
    <row r="24" spans="1:25" ht="20.100000000000001" customHeight="1" x14ac:dyDescent="0.25">
      <c r="A24" s="5"/>
    </row>
    <row r="25" spans="1:25" ht="20.100000000000001" customHeight="1" x14ac:dyDescent="0.25">
      <c r="A25"/>
      <c r="N25" s="45"/>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3"/>
      <c r="M30" s="63"/>
      <c r="N30" s="63"/>
      <c r="O30" s="63"/>
      <c r="P30" s="63"/>
      <c r="Q30" s="63"/>
      <c r="R30" s="63"/>
      <c r="S30" s="63"/>
      <c r="T30" s="63"/>
      <c r="U30" s="63"/>
      <c r="V30" s="63"/>
      <c r="W30" s="63"/>
      <c r="X30" s="63"/>
      <c r="Y30" s="63"/>
    </row>
    <row r="31" spans="1:25" ht="20.100000000000001" customHeight="1" x14ac:dyDescent="0.25">
      <c r="A31"/>
      <c r="L31" s="64"/>
      <c r="M31" s="64"/>
      <c r="N31" s="64"/>
      <c r="O31" s="64"/>
      <c r="P31" s="64"/>
      <c r="Q31" s="64"/>
      <c r="R31" s="64"/>
      <c r="S31" s="64"/>
      <c r="T31" s="64"/>
      <c r="U31" s="64"/>
      <c r="V31" s="64"/>
      <c r="W31" s="64"/>
      <c r="X31" s="64"/>
      <c r="Y31" s="64"/>
    </row>
    <row r="32" spans="1:25" ht="20.100000000000001" customHeight="1" x14ac:dyDescent="0.25">
      <c r="A32"/>
      <c r="L32" s="64"/>
      <c r="M32" s="64"/>
      <c r="N32" s="64"/>
      <c r="O32" s="64"/>
      <c r="P32" s="64"/>
      <c r="Q32" s="64"/>
      <c r="R32" s="64"/>
      <c r="S32" s="64"/>
      <c r="T32" s="64"/>
      <c r="U32" s="64"/>
      <c r="V32" s="64"/>
      <c r="W32" s="64"/>
      <c r="X32" s="64"/>
      <c r="Y32" s="64"/>
    </row>
    <row r="33" spans="1:25" ht="20.100000000000001" customHeight="1" x14ac:dyDescent="0.25">
      <c r="A33"/>
      <c r="L33" s="64"/>
      <c r="M33" s="64"/>
      <c r="N33" s="64"/>
      <c r="O33" s="64"/>
      <c r="P33" s="64"/>
      <c r="Q33" s="64"/>
      <c r="R33" s="64"/>
      <c r="S33" s="64"/>
      <c r="T33" s="64"/>
      <c r="U33" s="64"/>
      <c r="V33" s="64"/>
      <c r="W33" s="64"/>
      <c r="X33" s="64"/>
      <c r="Y33" s="64"/>
    </row>
    <row r="34" spans="1:25" ht="20.100000000000001" customHeight="1" x14ac:dyDescent="0.25">
      <c r="A34"/>
      <c r="J34" s="66"/>
      <c r="K34" s="67"/>
      <c r="L34" s="64"/>
      <c r="M34" s="64"/>
      <c r="N34" s="64"/>
      <c r="O34" s="64"/>
      <c r="P34" s="64"/>
      <c r="Q34" s="64"/>
      <c r="R34" s="64"/>
      <c r="S34" s="64"/>
      <c r="T34" s="64"/>
      <c r="U34" s="64"/>
      <c r="V34" s="64"/>
      <c r="W34" s="64"/>
      <c r="X34" s="64"/>
      <c r="Y34" s="64"/>
    </row>
    <row r="35" spans="1:25" ht="20.100000000000001" customHeight="1" x14ac:dyDescent="0.25">
      <c r="A35"/>
      <c r="J35" s="66"/>
      <c r="K35" s="67"/>
      <c r="L35" s="64"/>
      <c r="M35" s="64"/>
      <c r="N35" s="64"/>
      <c r="O35" s="64"/>
      <c r="P35" s="64"/>
      <c r="Q35" s="64"/>
      <c r="R35" s="64"/>
      <c r="S35" s="64"/>
      <c r="T35" s="64"/>
      <c r="U35" s="64"/>
      <c r="V35" s="64"/>
      <c r="W35" s="64"/>
      <c r="X35" s="64"/>
      <c r="Y35" s="64"/>
    </row>
    <row r="36" spans="1:25" ht="20.100000000000001" customHeight="1" x14ac:dyDescent="0.25">
      <c r="A36"/>
      <c r="D36" s="68"/>
      <c r="E36" s="68"/>
      <c r="F36" s="69"/>
      <c r="G36" s="66"/>
      <c r="H36" s="66"/>
      <c r="I36" s="70"/>
      <c r="J36" s="66"/>
      <c r="K36" s="67"/>
      <c r="L36" s="64"/>
      <c r="M36" s="64"/>
      <c r="N36" s="64"/>
      <c r="O36" s="64"/>
      <c r="P36" s="64"/>
      <c r="Q36" s="64"/>
      <c r="R36" s="64"/>
      <c r="S36" s="64"/>
      <c r="T36" s="64"/>
      <c r="U36" s="64"/>
      <c r="V36" s="64"/>
      <c r="W36" s="64"/>
      <c r="X36" s="64"/>
      <c r="Y36" s="64"/>
    </row>
    <row r="37" spans="1:25" ht="20.100000000000001" customHeight="1" x14ac:dyDescent="0.25">
      <c r="A37"/>
      <c r="D37" s="68"/>
      <c r="E37" s="68"/>
      <c r="F37" s="69"/>
      <c r="G37" s="66"/>
      <c r="H37" s="66"/>
      <c r="I37" s="70"/>
      <c r="J37" s="66"/>
      <c r="K37" s="67"/>
      <c r="L37" s="64"/>
      <c r="M37" s="64"/>
      <c r="N37" s="64"/>
      <c r="O37" s="64"/>
      <c r="P37" s="64"/>
      <c r="Q37" s="64"/>
      <c r="R37" s="64"/>
      <c r="S37" s="64"/>
      <c r="T37" s="64"/>
      <c r="U37" s="64"/>
      <c r="V37" s="64"/>
      <c r="W37" s="64"/>
      <c r="X37" s="64"/>
      <c r="Y37" s="64"/>
    </row>
    <row r="38" spans="1:25" ht="20.100000000000001" customHeight="1" x14ac:dyDescent="0.25">
      <c r="A38"/>
      <c r="D38" s="68"/>
      <c r="E38" s="68"/>
      <c r="F38" s="69"/>
      <c r="G38" s="66"/>
      <c r="H38" s="66"/>
      <c r="I38" s="70"/>
      <c r="J38" s="66"/>
      <c r="K38" s="67"/>
      <c r="L38" s="64"/>
      <c r="M38" s="64"/>
      <c r="N38" s="64"/>
      <c r="O38" s="64"/>
      <c r="P38" s="64"/>
      <c r="Q38" s="64"/>
      <c r="R38" s="64"/>
      <c r="S38" s="64"/>
      <c r="T38" s="64"/>
      <c r="U38" s="64"/>
      <c r="V38" s="64"/>
      <c r="W38" s="64"/>
      <c r="X38" s="64"/>
      <c r="Y38" s="64"/>
    </row>
    <row r="39" spans="1:25" ht="20.100000000000001" customHeight="1" x14ac:dyDescent="0.25">
      <c r="A39"/>
      <c r="D39" s="68"/>
      <c r="E39" s="68"/>
      <c r="F39" s="69"/>
      <c r="G39" s="66"/>
      <c r="H39" s="66"/>
      <c r="I39" s="70"/>
      <c r="J39" s="66"/>
      <c r="K39" s="67"/>
      <c r="L39" s="64"/>
      <c r="M39" s="64"/>
      <c r="N39" s="64"/>
      <c r="O39" s="64"/>
      <c r="P39" s="64"/>
      <c r="Q39" s="64"/>
      <c r="R39" s="64"/>
      <c r="S39" s="64"/>
      <c r="T39" s="64"/>
      <c r="U39" s="64"/>
      <c r="V39" s="64"/>
      <c r="W39" s="64"/>
      <c r="X39" s="64"/>
      <c r="Y39" s="64"/>
    </row>
    <row r="40" spans="1:25" ht="20.100000000000001" customHeight="1" x14ac:dyDescent="0.25">
      <c r="A40"/>
      <c r="D40" s="71"/>
      <c r="E40" s="71"/>
      <c r="F40" s="71"/>
      <c r="G40" s="72"/>
      <c r="H40" s="73"/>
      <c r="I40" s="73"/>
      <c r="J40" s="73"/>
      <c r="K40" s="73"/>
      <c r="L40" s="74"/>
      <c r="M40" s="74"/>
      <c r="N40" s="74"/>
      <c r="O40" s="74"/>
      <c r="P40" s="74"/>
      <c r="Q40" s="74"/>
      <c r="R40" s="74"/>
      <c r="S40" s="74"/>
      <c r="T40" s="74"/>
      <c r="U40" s="74"/>
      <c r="V40" s="74"/>
      <c r="W40" s="74"/>
      <c r="X40" s="74"/>
      <c r="Y40" s="7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5"/>
      <c r="E47" s="75"/>
      <c r="F47" s="75"/>
      <c r="G47" s="75"/>
      <c r="H47" s="75"/>
    </row>
    <row r="48" spans="1:25" ht="20.100000000000001" customHeight="1" x14ac:dyDescent="0.25">
      <c r="D48" s="76"/>
      <c r="E48" s="76"/>
      <c r="F48" s="77"/>
      <c r="G48" s="77"/>
      <c r="H48" s="76"/>
    </row>
    <row r="49" spans="4:8" ht="20.100000000000001" customHeight="1" x14ac:dyDescent="0.25">
      <c r="D49" s="76"/>
      <c r="E49" s="76"/>
      <c r="F49" s="77"/>
      <c r="G49" s="77"/>
      <c r="H49" s="76"/>
    </row>
    <row r="50" spans="4:8" ht="20.100000000000001" customHeight="1" x14ac:dyDescent="0.25">
      <c r="D50" s="76"/>
      <c r="E50" s="76"/>
      <c r="F50" s="77"/>
      <c r="G50" s="77"/>
      <c r="H50" s="76"/>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2"/>
    </row>
    <row r="56" spans="4:8" ht="20.100000000000001" customHeight="1" x14ac:dyDescent="0.25"/>
    <row r="57" spans="4:8" ht="20.100000000000001" customHeight="1" x14ac:dyDescent="0.25">
      <c r="D57" s="82"/>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82"/>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86"/>
      <c r="E69" s="86"/>
      <c r="F69" s="86"/>
      <c r="G69" s="86"/>
      <c r="H69" s="86"/>
      <c r="I69" s="86"/>
    </row>
    <row r="70" spans="4:9" ht="20.100000000000001" customHeight="1" x14ac:dyDescent="0.25">
      <c r="D70" s="86"/>
      <c r="E70" s="86"/>
      <c r="F70" s="86"/>
      <c r="G70" s="86"/>
      <c r="H70" s="86"/>
      <c r="I70" s="86"/>
    </row>
    <row r="71" spans="4:9" ht="20.100000000000001" customHeight="1" x14ac:dyDescent="0.25">
      <c r="D71" s="86"/>
      <c r="E71" s="86"/>
      <c r="F71" s="86"/>
      <c r="G71" s="86"/>
      <c r="H71" s="86"/>
      <c r="I71" s="86"/>
    </row>
    <row r="72" spans="4:9" ht="20.100000000000001" customHeight="1" x14ac:dyDescent="0.25">
      <c r="D72" s="86"/>
      <c r="E72" s="86"/>
      <c r="F72" s="86"/>
      <c r="G72" s="86"/>
      <c r="H72" s="86"/>
      <c r="I72" s="8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7"/>
    </row>
    <row r="79" spans="4:9" ht="20.100000000000001" customHeight="1" x14ac:dyDescent="0.25">
      <c r="D79" s="87"/>
    </row>
    <row r="80" spans="4:9" ht="20.100000000000001" customHeight="1" x14ac:dyDescent="0.25">
      <c r="D80" s="87"/>
    </row>
    <row r="81" spans="4:4" ht="20.100000000000001" customHeight="1" x14ac:dyDescent="0.25">
      <c r="D81" s="87"/>
    </row>
    <row r="82" spans="4:4" ht="20.100000000000001" customHeight="1" x14ac:dyDescent="0.25">
      <c r="D82" s="8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5"/>
  <sheetViews>
    <sheetView showGridLines="0" workbookViewId="0">
      <selection activeCell="I18" sqref="I1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40" t="s">
        <v>186</v>
      </c>
      <c r="D1" s="34"/>
      <c r="E1" s="34"/>
      <c r="F1" s="34"/>
      <c r="G1" s="34"/>
      <c r="H1" s="34"/>
      <c r="I1" s="34"/>
      <c r="J1" s="34"/>
    </row>
    <row r="2" spans="3:10" x14ac:dyDescent="0.25">
      <c r="C2" s="3"/>
      <c r="D2" s="3"/>
      <c r="E2" s="3"/>
      <c r="F2" s="3"/>
      <c r="G2" s="3"/>
      <c r="H2" s="3"/>
      <c r="I2" s="3"/>
      <c r="J2" s="3"/>
    </row>
    <row r="3" spans="3:10" ht="20.25" x14ac:dyDescent="0.25">
      <c r="C3" s="41"/>
      <c r="D3" s="41"/>
      <c r="E3" s="41"/>
      <c r="F3" s="41"/>
      <c r="G3" s="41"/>
      <c r="H3" s="41"/>
      <c r="I3" s="41"/>
      <c r="J3" s="41"/>
    </row>
    <row r="5" spans="3:10" ht="23.25" x14ac:dyDescent="0.25">
      <c r="D5" s="2" t="s">
        <v>109</v>
      </c>
      <c r="E5" s="37"/>
      <c r="F5" s="37"/>
      <c r="G5" s="37"/>
    </row>
    <row r="6" spans="3:10" x14ac:dyDescent="0.25">
      <c r="D6" s="44"/>
      <c r="E6" s="37"/>
      <c r="F6" s="37"/>
      <c r="G6" s="37"/>
    </row>
    <row r="7" spans="3:10" x14ac:dyDescent="0.25">
      <c r="D7" s="1" t="s">
        <v>110</v>
      </c>
      <c r="E7" s="46" t="s">
        <v>111</v>
      </c>
      <c r="F7" s="28"/>
      <c r="G7" s="37"/>
    </row>
    <row r="8" spans="3:10" x14ac:dyDescent="0.25">
      <c r="D8" s="23" t="s">
        <v>112</v>
      </c>
      <c r="E8" s="46" t="s">
        <v>113</v>
      </c>
      <c r="F8" s="37"/>
      <c r="G8" s="37"/>
    </row>
    <row r="9" spans="3:10" x14ac:dyDescent="0.25">
      <c r="D9" s="37"/>
      <c r="E9" s="37"/>
      <c r="F9" s="37"/>
      <c r="G9" s="37"/>
    </row>
    <row r="10" spans="3:10" x14ac:dyDescent="0.25">
      <c r="D10" s="48" t="s">
        <v>114</v>
      </c>
      <c r="E10" s="49"/>
      <c r="F10" s="50"/>
      <c r="G10" s="51"/>
    </row>
    <row r="11" spans="3:10" x14ac:dyDescent="0.25">
      <c r="D11" s="37"/>
      <c r="E11" s="37"/>
      <c r="F11" s="37"/>
      <c r="G11" s="37"/>
    </row>
    <row r="12" spans="3:10" x14ac:dyDescent="0.25">
      <c r="D12" s="23" t="s">
        <v>23</v>
      </c>
      <c r="E12" s="26">
        <v>45292</v>
      </c>
      <c r="F12" s="28" t="s">
        <v>115</v>
      </c>
      <c r="G12" s="37"/>
    </row>
    <row r="13" spans="3:10" x14ac:dyDescent="0.25">
      <c r="D13" s="23" t="s">
        <v>24</v>
      </c>
      <c r="E13" s="53">
        <f>DATE(YEAR(E12)+1,MONTH(E12),DAY(E12))-1</f>
        <v>45657</v>
      </c>
      <c r="F13" s="28" t="s">
        <v>116</v>
      </c>
      <c r="G13" s="37"/>
    </row>
    <row r="14" spans="3:10" x14ac:dyDescent="0.25">
      <c r="F14" s="37"/>
      <c r="G14" s="37"/>
    </row>
    <row r="16" spans="3:10" ht="23.25" x14ac:dyDescent="0.25">
      <c r="D16" s="2" t="s">
        <v>25</v>
      </c>
    </row>
    <row r="18" spans="4:6" x14ac:dyDescent="0.25">
      <c r="D18" s="1" t="s">
        <v>20</v>
      </c>
      <c r="E18" s="26">
        <v>45231</v>
      </c>
      <c r="F18" s="28" t="s">
        <v>115</v>
      </c>
    </row>
    <row r="19" spans="4:6" x14ac:dyDescent="0.25">
      <c r="D19" s="1" t="s">
        <v>21</v>
      </c>
      <c r="E19" s="26">
        <v>45747</v>
      </c>
      <c r="F19" s="28" t="s">
        <v>115</v>
      </c>
    </row>
    <row r="20" spans="4:6" x14ac:dyDescent="0.25">
      <c r="D20" s="1" t="s">
        <v>22</v>
      </c>
      <c r="E20" s="27">
        <f>DATEDIF(E18,E19+1,"m")</f>
        <v>17</v>
      </c>
      <c r="F20" s="28" t="s">
        <v>140</v>
      </c>
    </row>
    <row r="22" spans="4:6" x14ac:dyDescent="0.25">
      <c r="D22" s="1" t="s">
        <v>26</v>
      </c>
      <c r="E22" s="27">
        <f>SUM(Table_Input_LivestockSales3[Total liveweight sold])*10^-3</f>
        <v>9.5</v>
      </c>
      <c r="F22" s="28" t="s">
        <v>41</v>
      </c>
    </row>
    <row r="23" spans="4:6" x14ac:dyDescent="0.25">
      <c r="D23" s="1" t="s">
        <v>27</v>
      </c>
      <c r="E23" s="27">
        <v>300</v>
      </c>
      <c r="F23" s="28" t="s">
        <v>41</v>
      </c>
    </row>
    <row r="24" spans="4:6" x14ac:dyDescent="0.25">
      <c r="D24" s="1" t="s">
        <v>28</v>
      </c>
      <c r="E24" s="27">
        <v>310</v>
      </c>
      <c r="F24" s="28" t="s">
        <v>41</v>
      </c>
    </row>
    <row r="25" spans="4:6" x14ac:dyDescent="0.25">
      <c r="D25" s="1" t="s">
        <v>29</v>
      </c>
      <c r="E25" s="27">
        <v>5</v>
      </c>
      <c r="F25" s="28" t="s">
        <v>41</v>
      </c>
    </row>
    <row r="26" spans="4:6" x14ac:dyDescent="0.25">
      <c r="D26" s="1" t="s">
        <v>30</v>
      </c>
      <c r="E26" s="30">
        <v>0.5</v>
      </c>
    </row>
    <row r="27" spans="4:6" x14ac:dyDescent="0.25">
      <c r="D27" s="1" t="s">
        <v>31</v>
      </c>
      <c r="E27" s="30">
        <v>0.3</v>
      </c>
    </row>
    <row r="28" spans="4:6" x14ac:dyDescent="0.25">
      <c r="D28" s="1" t="s">
        <v>32</v>
      </c>
      <c r="E28" s="31">
        <f>100%-E26-E27</f>
        <v>0.2</v>
      </c>
    </row>
    <row r="31" spans="4:6" ht="23.25" x14ac:dyDescent="0.25">
      <c r="D31" s="2" t="s">
        <v>33</v>
      </c>
    </row>
    <row r="32" spans="4:6" x14ac:dyDescent="0.25">
      <c r="D32" s="25" t="s">
        <v>34</v>
      </c>
    </row>
    <row r="33" spans="4:8" x14ac:dyDescent="0.25">
      <c r="D33" s="32" t="s">
        <v>35</v>
      </c>
      <c r="E33" s="32" t="s">
        <v>36</v>
      </c>
      <c r="F33" s="32" t="s">
        <v>37</v>
      </c>
      <c r="G33" s="32" t="s">
        <v>38</v>
      </c>
      <c r="H33" s="32" t="s">
        <v>39</v>
      </c>
    </row>
    <row r="34" spans="4:8" x14ac:dyDescent="0.25">
      <c r="D34" s="32" t="s">
        <v>40</v>
      </c>
      <c r="E34" s="32">
        <v>45566</v>
      </c>
      <c r="F34" s="32">
        <v>10</v>
      </c>
      <c r="G34" s="32">
        <v>500</v>
      </c>
      <c r="H34" s="27">
        <f>F34*G34</f>
        <v>5000</v>
      </c>
    </row>
    <row r="35" spans="4:8" x14ac:dyDescent="0.25">
      <c r="D35" s="32" t="s">
        <v>40</v>
      </c>
      <c r="E35" s="32">
        <v>45415</v>
      </c>
      <c r="F35" s="32">
        <v>10</v>
      </c>
      <c r="G35" s="32">
        <v>450</v>
      </c>
      <c r="H35" s="27">
        <f>F35*G35</f>
        <v>4500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zoomScale="85" zoomScaleNormal="85" workbookViewId="0">
      <selection activeCell="F233" sqref="F233"/>
    </sheetView>
  </sheetViews>
  <sheetFormatPr defaultColWidth="9.140625" defaultRowHeight="15.75" x14ac:dyDescent="0.25"/>
  <cols>
    <col min="1" max="1" width="30.7109375" style="34" customWidth="1"/>
    <col min="2" max="2" width="2.7109375" style="34"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4" customWidth="1"/>
    <col min="34" max="39" width="21.85546875" style="34" customWidth="1"/>
    <col min="40" max="44" width="20.7109375" style="34" customWidth="1"/>
    <col min="45" max="65" width="9.140625" style="34"/>
    <col min="66" max="16384" width="9.140625" style="37"/>
  </cols>
  <sheetData>
    <row r="1" spans="1:65" s="33" customFormat="1" ht="30" customHeight="1" x14ac:dyDescent="0.35">
      <c r="A1" s="33" t="e" vm="1">
        <v>#VALUE!</v>
      </c>
      <c r="C1" s="33" t="s">
        <v>42</v>
      </c>
    </row>
    <row r="2" spans="1:65" s="3" customFormat="1" ht="20.100000000000001" customHeight="1" x14ac:dyDescent="0.25"/>
    <row r="3" spans="1:65" ht="20.100000000000001" customHeight="1" x14ac:dyDescent="0.25">
      <c r="A3"/>
      <c r="C3" s="35"/>
      <c r="D3" s="35"/>
      <c r="E3" s="35"/>
      <c r="F3" s="35"/>
      <c r="G3" s="35"/>
      <c r="H3" s="35"/>
      <c r="I3" s="35"/>
      <c r="J3" s="35"/>
      <c r="K3" s="35"/>
      <c r="L3" s="35"/>
      <c r="M3" s="35"/>
      <c r="N3" s="35"/>
      <c r="O3" s="35"/>
      <c r="P3" s="35"/>
      <c r="Q3" s="35"/>
      <c r="R3" s="35"/>
      <c r="S3" s="35"/>
      <c r="T3" s="35"/>
      <c r="U3" s="35"/>
      <c r="V3" s="36"/>
      <c r="W3" s="36"/>
    </row>
    <row r="4" spans="1:65" ht="20.100000000000001" customHeight="1" x14ac:dyDescent="0.25">
      <c r="A4"/>
      <c r="BM4" s="37"/>
    </row>
    <row r="5" spans="1:65" ht="20.100000000000001" customHeight="1" x14ac:dyDescent="0.25">
      <c r="A5"/>
      <c r="D5" s="2" t="str" cm="1">
        <f t="array" ref="D5">Common_SourceData.Common_SourceData_AustralianStatesTerritories_Title()</f>
        <v>Australian states and territories</v>
      </c>
      <c r="BM5" s="37"/>
    </row>
    <row r="6" spans="1:65" ht="20.100000000000001" customHeight="1" x14ac:dyDescent="0.25">
      <c r="A6"/>
      <c r="D6" s="32" t="s">
        <v>43</v>
      </c>
      <c r="E6" s="32" t="s">
        <v>44</v>
      </c>
      <c r="F6" s="32" t="s">
        <v>45</v>
      </c>
    </row>
    <row r="7" spans="1:65" ht="20.100000000000001" customHeight="1" x14ac:dyDescent="0.25">
      <c r="A7"/>
      <c r="D7" s="32" t="str" cm="1">
        <f t="array" ref="D7">Common_InputFunctions.Utility_DisplayArrayInTable(Common_SourceData.Common_SourceData_AustralianStatesTerritories_Data(),Table_AustralianStates[[#Headers],[State/Territory]],0)</f>
        <v>New South Wales</v>
      </c>
      <c r="E7" s="32" t="str" cm="1">
        <f t="array" ref="E7">Common_InputFunctions.Utility_DisplayArrayInTable(Common_SourceData.Common_SourceData_AustralianStatesTerritories_Data(),Table_AustralianStates[[#Headers],[State/Territory]],0)</f>
        <v>New South Wales</v>
      </c>
      <c r="F7" s="32" t="str" cm="1">
        <f t="array" ref="F7">Common_InputFunctions.Utility_DisplayArrayInTable(Common_SourceData.Common_SourceData_AustralianStatesTerritories_Data(),Table_AustralianStates[[#Headers],[State/Territory]],0)</f>
        <v>NSW</v>
      </c>
    </row>
    <row r="8" spans="1:65" ht="20.100000000000001" customHeight="1" x14ac:dyDescent="0.25">
      <c r="A8"/>
      <c r="D8" s="32" t="str" cm="1">
        <f t="array" ref="D8">Common_InputFunctions.Utility_DisplayArrayInTable(Common_SourceData.Common_SourceData_AustralianStatesTerritories_Data(),Table_AustralianStates[[#Headers],[State/Territory]],0)</f>
        <v>Australian Capital Territory</v>
      </c>
      <c r="E8" s="32" t="str" cm="1">
        <f t="array" ref="E8">Common_InputFunctions.Utility_DisplayArrayInTable(Common_SourceData.Common_SourceData_AustralianStatesTerritories_Data(),Table_AustralianStates[[#Headers],[State/Territory]],0)</f>
        <v>ACT</v>
      </c>
      <c r="F8" s="32" t="str" cm="1">
        <f t="array" ref="F8">Common_InputFunctions.Utility_DisplayArrayInTable(Common_SourceData.Common_SourceData_AustralianStatesTerritories_Data(),Table_AustralianStates[[#Headers],[State/Territory]],0)</f>
        <v>ACT</v>
      </c>
    </row>
    <row r="9" spans="1:65" ht="20.100000000000001" customHeight="1" x14ac:dyDescent="0.25">
      <c r="A9"/>
      <c r="D9" s="32" t="str" cm="1">
        <f t="array" ref="D9">Common_InputFunctions.Utility_DisplayArrayInTable(Common_SourceData.Common_SourceData_AustralianStatesTerritories_Data(),Table_AustralianStates[[#Headers],[State/Territory]],0)</f>
        <v>Victoria</v>
      </c>
      <c r="E9" s="32" t="str" cm="1">
        <f t="array" ref="E9">Common_InputFunctions.Utility_DisplayArrayInTable(Common_SourceData.Common_SourceData_AustralianStatesTerritories_Data(),Table_AustralianStates[[#Headers],[State/Territory]],0)</f>
        <v>Victoria</v>
      </c>
      <c r="F9" s="32"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2" t="str" cm="1">
        <f t="array" ref="D10">Common_InputFunctions.Utility_DisplayArrayInTable(Common_SourceData.Common_SourceData_AustralianStatesTerritories_Data(),Table_AustralianStates[[#Headers],[State/Territory]],0)</f>
        <v>Queensland</v>
      </c>
      <c r="E10" s="32" t="str" cm="1">
        <f t="array" ref="E10">Common_InputFunctions.Utility_DisplayArrayInTable(Common_SourceData.Common_SourceData_AustralianStatesTerritories_Data(),Table_AustralianStates[[#Headers],[State/Territory]],0)</f>
        <v>Queensland</v>
      </c>
      <c r="F10" s="32"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2" t="str" cm="1">
        <f t="array" ref="D11">Common_InputFunctions.Utility_DisplayArrayInTable(Common_SourceData.Common_SourceData_AustralianStatesTerritories_Data(),Table_AustralianStates[[#Headers],[State/Territory]],0)</f>
        <v>South Australia</v>
      </c>
      <c r="E11" s="32" t="str" cm="1">
        <f t="array" ref="E11">Common_InputFunctions.Utility_DisplayArrayInTable(Common_SourceData.Common_SourceData_AustralianStatesTerritories_Data(),Table_AustralianStates[[#Headers],[State/Territory]],0)</f>
        <v>South Australia</v>
      </c>
      <c r="F11" s="32" t="str" cm="1">
        <f t="array" ref="F11">Common_InputFunctions.Utility_DisplayArrayInTable(Common_SourceData.Common_SourceData_AustralianStatesTerritories_Data(),Table_AustralianStates[[#Headers],[State/Territory]],0)</f>
        <v>SA</v>
      </c>
      <c r="BM11" s="37"/>
    </row>
    <row r="12" spans="1:65" ht="20.100000000000001" customHeight="1" x14ac:dyDescent="0.25">
      <c r="A12"/>
      <c r="D12" s="32" t="str" cm="1">
        <f t="array" ref="D12">Common_InputFunctions.Utility_DisplayArrayInTable(Common_SourceData.Common_SourceData_AustralianStatesTerritories_Data(),Table_AustralianStates[[#Headers],[State/Territory]],0)</f>
        <v>Western Australia</v>
      </c>
      <c r="E12" s="32" t="str" cm="1">
        <f t="array" ref="E12">Common_InputFunctions.Utility_DisplayArrayInTable(Common_SourceData.Common_SourceData_AustralianStatesTerritories_Data(),Table_AustralianStates[[#Headers],[State/Territory]],0)</f>
        <v>Western Australia</v>
      </c>
      <c r="F12" s="32" t="str" cm="1">
        <f t="array" ref="F12">Common_InputFunctions.Utility_DisplayArrayInTable(Common_SourceData.Common_SourceData_AustralianStatesTerritories_Data(),Table_AustralianStates[[#Headers],[State/Territory]],0)</f>
        <v>WA</v>
      </c>
      <c r="BM12" s="37"/>
    </row>
    <row r="13" spans="1:65" ht="20.100000000000001" customHeight="1" x14ac:dyDescent="0.25">
      <c r="A13"/>
      <c r="D13" s="32" t="str" cm="1">
        <f t="array" ref="D13">Common_InputFunctions.Utility_DisplayArrayInTable(Common_SourceData.Common_SourceData_AustralianStatesTerritories_Data(),Table_AustralianStates[[#Headers],[State/Territory]],0)</f>
        <v>Tasmania</v>
      </c>
      <c r="E13" s="32" t="str" cm="1">
        <f t="array" ref="E13">Common_InputFunctions.Utility_DisplayArrayInTable(Common_SourceData.Common_SourceData_AustralianStatesTerritories_Data(),Table_AustralianStates[[#Headers],[State/Territory]],0)</f>
        <v>Tasmania</v>
      </c>
      <c r="F13" s="32"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2" t="str" cm="1">
        <f t="array" ref="D14">Common_InputFunctions.Utility_DisplayArrayInTable(Common_SourceData.Common_SourceData_AustralianStatesTerritories_Data(),Table_AustralianStates[[#Headers],[State/Territory]],0)</f>
        <v>Northern Territory</v>
      </c>
      <c r="E14" s="32" t="str" cm="1">
        <f t="array" ref="E14">Common_InputFunctions.Utility_DisplayArrayInTable(Common_SourceData.Common_SourceData_AustralianStatesTerritories_Data(),Table_AustralianStates[[#Headers],[State/Territory]],0)</f>
        <v>Northern Territory</v>
      </c>
      <c r="F14" s="32"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9" t="str" cm="1">
        <f t="array" ref="D19">Common_SourceData.Common_SourceData_WASA4Areas_Source()</f>
        <v>Australian Bureau of Statistics (ABS) - Statistical Areas Level 2 - 2021 - Shapefile</v>
      </c>
    </row>
    <row r="20" spans="1:4" ht="20.100000000000001" customHeight="1" x14ac:dyDescent="0.25">
      <c r="A20"/>
      <c r="D20" s="32" t="s">
        <v>46</v>
      </c>
    </row>
    <row r="21" spans="1:4" ht="20.100000000000001" customHeight="1" x14ac:dyDescent="0.25">
      <c r="A21"/>
      <c r="D21" s="32" t="str" cm="1">
        <f t="array" ref="D21">Common_InputFunctions.Utility_DisplayArrayInTable(Common_SourceData.Common_SourceData_WASA4Areas_Data(), Table_WASA4Areas[[#Headers],[SA 4 Name]], 0)</f>
        <v>Bunbury</v>
      </c>
    </row>
    <row r="22" spans="1:4" ht="20.100000000000001" customHeight="1" x14ac:dyDescent="0.25">
      <c r="A22"/>
      <c r="D22" s="32" t="str" cm="1">
        <f t="array" ref="D22">Common_InputFunctions.Utility_DisplayArrayInTable(Common_SourceData.Common_SourceData_WASA4Areas_Data(), Table_WASA4Areas[[#Headers],[SA 4 Name]], 0)</f>
        <v>Mandurah</v>
      </c>
    </row>
    <row r="23" spans="1:4" ht="20.100000000000001" customHeight="1" x14ac:dyDescent="0.25">
      <c r="A23"/>
      <c r="D23" s="32" t="str" cm="1">
        <f t="array" ref="D23">Common_InputFunctions.Utility_DisplayArrayInTable(Common_SourceData.Common_SourceData_WASA4Areas_Data(), Table_WASA4Areas[[#Headers],[SA 4 Name]], 0)</f>
        <v>Perth - Inner</v>
      </c>
    </row>
    <row r="24" spans="1:4" ht="20.100000000000001" customHeight="1" x14ac:dyDescent="0.25">
      <c r="A24"/>
      <c r="D24" s="32" t="str" cm="1">
        <f t="array" ref="D24">Common_InputFunctions.Utility_DisplayArrayInTable(Common_SourceData.Common_SourceData_WASA4Areas_Data(), Table_WASA4Areas[[#Headers],[SA 4 Name]], 0)</f>
        <v>Perth - North East</v>
      </c>
    </row>
    <row r="25" spans="1:4" ht="20.100000000000001" customHeight="1" x14ac:dyDescent="0.25">
      <c r="A25"/>
      <c r="D25" s="32" t="str" cm="1">
        <f t="array" ref="D25">Common_InputFunctions.Utility_DisplayArrayInTable(Common_SourceData.Common_SourceData_WASA4Areas_Data(), Table_WASA4Areas[[#Headers],[SA 4 Name]], 0)</f>
        <v>Perth - North West</v>
      </c>
    </row>
    <row r="26" spans="1:4" ht="20.100000000000001" customHeight="1" x14ac:dyDescent="0.25">
      <c r="A26"/>
      <c r="D26" s="32" t="str" cm="1">
        <f t="array" ref="D26">Common_InputFunctions.Utility_DisplayArrayInTable(Common_SourceData.Common_SourceData_WASA4Areas_Data(), Table_WASA4Areas[[#Headers],[SA 4 Name]], 0)</f>
        <v>Perth - South East</v>
      </c>
    </row>
    <row r="27" spans="1:4" ht="20.100000000000001" customHeight="1" x14ac:dyDescent="0.25">
      <c r="A27"/>
      <c r="D27" s="32" t="str" cm="1">
        <f t="array" ref="D27">Common_InputFunctions.Utility_DisplayArrayInTable(Common_SourceData.Common_SourceData_WASA4Areas_Data(), Table_WASA4Areas[[#Headers],[SA 4 Name]], 0)</f>
        <v>Perth - South West</v>
      </c>
    </row>
    <row r="28" spans="1:4" ht="20.100000000000001" customHeight="1" x14ac:dyDescent="0.25">
      <c r="A28"/>
      <c r="D28" s="32"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2"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2"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9" t="str" cm="1">
        <f t="array" ref="D35">Common_SourceData.Common_SourceData_GWP_Source()</f>
        <v>XXXXXXX</v>
      </c>
    </row>
    <row r="36" spans="1:8" ht="20.100000000000001" customHeight="1" x14ac:dyDescent="0.25">
      <c r="A36"/>
      <c r="D36" s="32" t="s">
        <v>47</v>
      </c>
      <c r="E36" s="32" t="s">
        <v>48</v>
      </c>
    </row>
    <row r="37" spans="1:8" ht="20.100000000000001" customHeight="1" x14ac:dyDescent="0.25">
      <c r="A37"/>
      <c r="D37" s="32" t="str" cm="1">
        <f t="array" ref="D37">Common_InputFunctions.Utility_DisplayArrayInTable(Common_SourceData.Common_SourceData_GWP_Data(), Table_GWPData[[#Headers],[Gas]], 0)</f>
        <v>CO2</v>
      </c>
      <c r="E37" s="32" cm="1">
        <f t="array" ref="E37">Common_InputFunctions.Utility_DisplayArrayInTable(Common_SourceData.Common_SourceData_GWP_Data(), Table_GWPData[[#Headers],[Gas]], 0)</f>
        <v>1</v>
      </c>
    </row>
    <row r="38" spans="1:8" ht="20.100000000000001" customHeight="1" x14ac:dyDescent="0.25">
      <c r="A38"/>
      <c r="D38" s="32" t="str" cm="1">
        <f t="array" ref="D38">Common_InputFunctions.Utility_DisplayArrayInTable(Common_SourceData.Common_SourceData_GWP_Data(), Table_GWPData[[#Headers],[Gas]], 0)</f>
        <v>CH4</v>
      </c>
      <c r="E38" s="32" cm="1">
        <f t="array" ref="E38">Common_InputFunctions.Utility_DisplayArrayInTable(Common_SourceData.Common_SourceData_GWP_Data(), Table_GWPData[[#Headers],[Gas]], 0)</f>
        <v>28</v>
      </c>
    </row>
    <row r="39" spans="1:8" ht="20.100000000000001" customHeight="1" x14ac:dyDescent="0.25">
      <c r="A39"/>
      <c r="D39" s="32" t="str" cm="1">
        <f t="array" ref="D39">Common_InputFunctions.Utility_DisplayArrayInTable(Common_SourceData.Common_SourceData_GWP_Data(), Table_GWPData[[#Headers],[Gas]], 0)</f>
        <v>N2O</v>
      </c>
      <c r="E39" s="32" cm="1">
        <f t="array" ref="E39">Common_InputFunctions.Utility_DisplayArrayInTable(Common_SourceData.Common_SourceData_GWP_Data(), Table_GWPData[[#Headers],[Gas]], 0)</f>
        <v>265</v>
      </c>
    </row>
    <row r="40" spans="1:8" ht="20.100000000000001" customHeight="1" x14ac:dyDescent="0.25">
      <c r="A40"/>
      <c r="D40" s="32" t="str" cm="1">
        <f t="array" ref="D40">Common_InputFunctions.Utility_DisplayArrayInTable(Common_SourceData.Common_SourceData_GWP_Data(), Table_GWPData[[#Headers],[Gas]], 0)</f>
        <v>CF4</v>
      </c>
      <c r="E40" s="32" cm="1">
        <f t="array" ref="E40">Common_InputFunctions.Utility_DisplayArrayInTable(Common_SourceData.Common_SourceData_GWP_Data(), Table_GWPData[[#Headers],[Gas]], 0)</f>
        <v>6630</v>
      </c>
    </row>
    <row r="41" spans="1:8" ht="20.100000000000001" customHeight="1" x14ac:dyDescent="0.25">
      <c r="A41"/>
      <c r="D41" s="32" t="str" cm="1">
        <f t="array" ref="D41">Common_InputFunctions.Utility_DisplayArrayInTable(Common_SourceData.Common_SourceData_GWP_Data(), Table_GWPData[[#Headers],[Gas]], 0)</f>
        <v>C2F6</v>
      </c>
      <c r="E41" s="32" cm="1">
        <f t="array" ref="E41">Common_InputFunctions.Utility_DisplayArrayInTable(Common_SourceData.Common_SourceData_GWP_Data(), Table_GWPData[[#Headers],[Gas]], 0)</f>
        <v>12200</v>
      </c>
    </row>
    <row r="42" spans="1:8" ht="20.100000000000001" customHeight="1" x14ac:dyDescent="0.25">
      <c r="D42" s="32" t="str" cm="1">
        <f t="array" ref="D42">Common_InputFunctions.Utility_DisplayArrayInTable(Common_SourceData.Common_SourceData_GWP_Data(), Table_GWPData[[#Headers],[Gas]], 0)</f>
        <v>SF6</v>
      </c>
      <c r="E42" s="32" cm="1">
        <f t="array" ref="E42">Common_InputFunctions.Utility_DisplayArrayInTable(Common_SourceData.Common_SourceData_GWP_Data(), Table_GWPData[[#Headers],[Gas]], 0)</f>
        <v>22800</v>
      </c>
    </row>
    <row r="43" spans="1:8" ht="20.100000000000001" customHeight="1" x14ac:dyDescent="0.25">
      <c r="D43" s="32" t="str" cm="1">
        <f t="array" ref="D43">Common_InputFunctions.Utility_DisplayArrayInTable(Common_SourceData.Common_SourceData_GWP_Data(), Table_GWPData[[#Headers],[Gas]], 0)</f>
        <v>NF3</v>
      </c>
      <c r="E43" s="32"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9" t="str" cm="1">
        <f t="array" ref="D46">Common_SourceData.Common_SourceData_ConvertGasElementalToMolecular_Source()</f>
        <v>XXXXXXX</v>
      </c>
    </row>
    <row r="47" spans="1:8" ht="20.100000000000001" customHeight="1" x14ac:dyDescent="0.25">
      <c r="D47" s="32" t="s">
        <v>47</v>
      </c>
      <c r="E47" s="32" t="s">
        <v>49</v>
      </c>
      <c r="F47" s="32" t="s">
        <v>50</v>
      </c>
      <c r="G47" s="32" t="s">
        <v>51</v>
      </c>
      <c r="H47" s="32" t="s">
        <v>52</v>
      </c>
    </row>
    <row r="48" spans="1:8" ht="20.100000000000001" customHeight="1" x14ac:dyDescent="0.25">
      <c r="D48" s="32" t="str" cm="1">
        <f t="array" ref="D48">Common_InputFunctions.Utility_DisplayArrayInTable(Common_SourceData.Common_SourceData_ConvertGasElementalToMolecular_Data(),Table_GasToMolecularConversionFactor[[#Headers],[Gas]], 0)</f>
        <v>CO2</v>
      </c>
      <c r="E48" s="32" t="str" cm="1">
        <f t="array" ref="E48">Common_InputFunctions.Utility_DisplayArrayInTable(Common_SourceData.Common_SourceData_ConvertGasElementalToMolecular_Data(),Table_GasToMolecularConversionFactor[[#Headers],[Gas]], 0)</f>
        <v>44/12</v>
      </c>
      <c r="F48" s="32" cm="1">
        <f t="array" ref="F48">Common_InputFunctions.Utility_DisplayArrayInTable(Common_SourceData.Common_SourceData_ConvertGasElementalToMolecular_Data(),Table_GasToMolecularConversionFactor[[#Headers],[Gas]], 0)</f>
        <v>44</v>
      </c>
      <c r="G48" s="32" cm="1">
        <f t="array" ref="G48">Common_InputFunctions.Utility_DisplayArrayInTable(Common_SourceData.Common_SourceData_ConvertGasElementalToMolecular_Data(),Table_GasToMolecularConversionFactor[[#Headers],[Gas]], 0)</f>
        <v>12</v>
      </c>
      <c r="H48" s="32">
        <f>Table_GasToMolecularConversionFactor[[#This Row],[Conversion factor 1]]/Table_GasToMolecularConversionFactor[[#This Row],[Conversion factor 2]]</f>
        <v>3.6666666666666665</v>
      </c>
    </row>
    <row r="49" spans="4:8" ht="20.100000000000001" customHeight="1" x14ac:dyDescent="0.25">
      <c r="D49" s="32" t="str" cm="1">
        <f t="array" ref="D49">Common_InputFunctions.Utility_DisplayArrayInTable(Common_SourceData.Common_SourceData_ConvertGasElementalToMolecular_Data(),Table_GasToMolecularConversionFactor[[#Headers],[Gas]], 0)</f>
        <v>CH4</v>
      </c>
      <c r="E49" s="32" t="str" cm="1">
        <f t="array" ref="E49">Common_InputFunctions.Utility_DisplayArrayInTable(Common_SourceData.Common_SourceData_ConvertGasElementalToMolecular_Data(),Table_GasToMolecularConversionFactor[[#Headers],[Gas]], 0)</f>
        <v>16/12</v>
      </c>
      <c r="F49" s="32" cm="1">
        <f t="array" ref="F49">Common_InputFunctions.Utility_DisplayArrayInTable(Common_SourceData.Common_SourceData_ConvertGasElementalToMolecular_Data(),Table_GasToMolecularConversionFactor[[#Headers],[Gas]], 0)</f>
        <v>16</v>
      </c>
      <c r="G49" s="32" cm="1">
        <f t="array" ref="G49">Common_InputFunctions.Utility_DisplayArrayInTable(Common_SourceData.Common_SourceData_ConvertGasElementalToMolecular_Data(),Table_GasToMolecularConversionFactor[[#Headers],[Gas]], 0)</f>
        <v>12</v>
      </c>
      <c r="H49" s="32">
        <f>Table_GasToMolecularConversionFactor[[#This Row],[Conversion factor 1]]/Table_GasToMolecularConversionFactor[[#This Row],[Conversion factor 2]]</f>
        <v>1.3333333333333333</v>
      </c>
    </row>
    <row r="50" spans="4:8" ht="20.100000000000001" customHeight="1" x14ac:dyDescent="0.25">
      <c r="D50" s="32" t="str" cm="1">
        <f t="array" ref="D50">Common_InputFunctions.Utility_DisplayArrayInTable(Common_SourceData.Common_SourceData_ConvertGasElementalToMolecular_Data(),Table_GasToMolecularConversionFactor[[#Headers],[Gas]], 0)</f>
        <v>N2O</v>
      </c>
      <c r="E50" s="32" t="str" cm="1">
        <f t="array" ref="E50">Common_InputFunctions.Utility_DisplayArrayInTable(Common_SourceData.Common_SourceData_ConvertGasElementalToMolecular_Data(),Table_GasToMolecularConversionFactor[[#Headers],[Gas]], 0)</f>
        <v>44/28</v>
      </c>
      <c r="F50" s="32" cm="1">
        <f t="array" ref="F50">Common_InputFunctions.Utility_DisplayArrayInTable(Common_SourceData.Common_SourceData_ConvertGasElementalToMolecular_Data(),Table_GasToMolecularConversionFactor[[#Headers],[Gas]], 0)</f>
        <v>44</v>
      </c>
      <c r="G50" s="32" cm="1">
        <f t="array" ref="G50">Common_InputFunctions.Utility_DisplayArrayInTable(Common_SourceData.Common_SourceData_ConvertGasElementalToMolecular_Data(),Table_GasToMolecularConversionFactor[[#Headers],[Gas]], 0)</f>
        <v>28</v>
      </c>
      <c r="H50" s="32">
        <f>Table_GasToMolecularConversionFactor[[#This Row],[Conversion factor 1]]/Table_GasToMolecularConversionFactor[[#This Row],[Conversion factor 2]]</f>
        <v>1.5714285714285714</v>
      </c>
    </row>
    <row r="51" spans="4:8" ht="20.100000000000001" customHeight="1" x14ac:dyDescent="0.25">
      <c r="D51" s="32" t="str" cm="1">
        <f t="array" ref="D51">Common_InputFunctions.Utility_DisplayArrayInTable(Common_SourceData.Common_SourceData_ConvertGasElementalToMolecular_Data(),Table_GasToMolecularConversionFactor[[#Headers],[Gas]], 0)</f>
        <v>Nox</v>
      </c>
      <c r="E51" s="32" t="str" cm="1">
        <f t="array" ref="E51">Common_InputFunctions.Utility_DisplayArrayInTable(Common_SourceData.Common_SourceData_ConvertGasElementalToMolecular_Data(),Table_GasToMolecularConversionFactor[[#Headers],[Gas]], 0)</f>
        <v>46/14</v>
      </c>
      <c r="F51" s="32" cm="1">
        <f t="array" ref="F51">Common_InputFunctions.Utility_DisplayArrayInTable(Common_SourceData.Common_SourceData_ConvertGasElementalToMolecular_Data(),Table_GasToMolecularConversionFactor[[#Headers],[Gas]], 0)</f>
        <v>46</v>
      </c>
      <c r="G51" s="32" cm="1">
        <f t="array" ref="G51">Common_InputFunctions.Utility_DisplayArrayInTable(Common_SourceData.Common_SourceData_ConvertGasElementalToMolecular_Data(),Table_GasToMolecularConversionFactor[[#Headers],[Gas]], 0)</f>
        <v>14</v>
      </c>
      <c r="H51" s="32">
        <f>Table_GasToMolecularConversionFactor[[#This Row],[Conversion factor 1]]/Table_GasToMolecularConversionFactor[[#This Row],[Conversion factor 2]]</f>
        <v>3.2857142857142856</v>
      </c>
    </row>
    <row r="52" spans="4:8" ht="20.100000000000001" customHeight="1" x14ac:dyDescent="0.25">
      <c r="D52" s="32" t="str" cm="1">
        <f t="array" ref="D52">Common_InputFunctions.Utility_DisplayArrayInTable(Common_SourceData.Common_SourceData_ConvertGasElementalToMolecular_Data(),Table_GasToMolecularConversionFactor[[#Headers],[Gas]], 0)</f>
        <v>CO</v>
      </c>
      <c r="E52" s="32" t="str" cm="1">
        <f t="array" ref="E52">Common_InputFunctions.Utility_DisplayArrayInTable(Common_SourceData.Common_SourceData_ConvertGasElementalToMolecular_Data(),Table_GasToMolecularConversionFactor[[#Headers],[Gas]], 0)</f>
        <v>28/12</v>
      </c>
      <c r="F52" s="32" cm="1">
        <f t="array" ref="F52">Common_InputFunctions.Utility_DisplayArrayInTable(Common_SourceData.Common_SourceData_ConvertGasElementalToMolecular_Data(),Table_GasToMolecularConversionFactor[[#Headers],[Gas]], 0)</f>
        <v>28</v>
      </c>
      <c r="G52" s="32" cm="1">
        <f t="array" ref="G52">Common_InputFunctions.Utility_DisplayArrayInTable(Common_SourceData.Common_SourceData_ConvertGasElementalToMolecular_Data(),Table_GasToMolecularConversionFactor[[#Headers],[Gas]], 0)</f>
        <v>12</v>
      </c>
      <c r="H52" s="32">
        <f>Table_GasToMolecularConversionFactor[[#This Row],[Conversion factor 1]]/Table_GasToMolecularConversionFactor[[#This Row],[Conversion factor 2]]</f>
        <v>2.3333333333333335</v>
      </c>
    </row>
    <row r="53" spans="4:8" ht="20.100000000000001" customHeight="1" x14ac:dyDescent="0.25">
      <c r="D53" s="32" t="str" cm="1">
        <f t="array" ref="D53">Common_InputFunctions.Utility_DisplayArrayInTable(Common_SourceData.Common_SourceData_ConvertGasElementalToMolecular_Data(),Table_GasToMolecularConversionFactor[[#Headers],[Gas]], 0)</f>
        <v>CO2 Lime</v>
      </c>
      <c r="E53" s="32" t="str" cm="1">
        <f t="array" ref="E53">Common_InputFunctions.Utility_DisplayArrayInTable(Common_SourceData.Common_SourceData_ConvertGasElementalToMolecular_Data(),Table_GasToMolecularConversionFactor[[#Headers],[Gas]], 0)</f>
        <v>44/12</v>
      </c>
      <c r="F53" s="32" cm="1">
        <f t="array" ref="F53">Common_InputFunctions.Utility_DisplayArrayInTable(Common_SourceData.Common_SourceData_ConvertGasElementalToMolecular_Data(),Table_GasToMolecularConversionFactor[[#Headers],[Gas]], 0)</f>
        <v>44</v>
      </c>
      <c r="G53" s="32" cm="1">
        <f t="array" ref="G53">Common_InputFunctions.Utility_DisplayArrayInTable(Common_SourceData.Common_SourceData_ConvertGasElementalToMolecular_Data(),Table_GasToMolecularConversionFactor[[#Headers],[Gas]], 0)</f>
        <v>12</v>
      </c>
      <c r="H53" s="32">
        <f>Table_GasToMolecularConversionFactor[[#This Row],[Conversion factor 1]]/Table_GasToMolecularConversionFactor[[#This Row],[Conversion factor 2]]</f>
        <v>3.6666666666666665</v>
      </c>
    </row>
    <row r="54" spans="4:8" ht="20.100000000000001" customHeight="1" x14ac:dyDescent="0.25">
      <c r="D54" s="32" t="str" cm="1">
        <f t="array" ref="D54">Common_InputFunctions.Utility_DisplayArrayInTable(Common_SourceData.Common_SourceData_ConvertGasElementalToMolecular_Data(),Table_GasToMolecularConversionFactor[[#Headers],[Gas]], 0)</f>
        <v>NMVOC</v>
      </c>
      <c r="E54" s="32" t="str" cm="1">
        <f t="array" ref="E54">Common_InputFunctions.Utility_DisplayArrayInTable(Common_SourceData.Common_SourceData_ConvertGasElementalToMolecular_Data(),Table_GasToMolecularConversionFactor[[#Headers],[Gas]], 0)</f>
        <v>14/12</v>
      </c>
      <c r="F54" s="32" cm="1">
        <f t="array" ref="F54">Common_InputFunctions.Utility_DisplayArrayInTable(Common_SourceData.Common_SourceData_ConvertGasElementalToMolecular_Data(),Table_GasToMolecularConversionFactor[[#Headers],[Gas]], 0)</f>
        <v>14</v>
      </c>
      <c r="G54" s="32" cm="1">
        <f t="array" ref="G54">Common_InputFunctions.Utility_DisplayArrayInTable(Common_SourceData.Common_SourceData_ConvertGasElementalToMolecular_Data(),Table_GasToMolecularConversionFactor[[#Headers],[Gas]], 0)</f>
        <v>12</v>
      </c>
      <c r="H54" s="32">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9" t="str" cm="1">
        <f t="array" ref="D58">Common_SourceData.Common_SourceData_WetAndDryZones_Source()</f>
        <v>VEERG 2026: Table 1.2: Translating climate zones to wet and dry zones</v>
      </c>
    </row>
    <row r="59" spans="4:8" ht="20.100000000000001" customHeight="1" x14ac:dyDescent="0.25">
      <c r="D59" s="38" t="str" cm="1">
        <f t="array" ref="D59:D61">"⚠️" &amp; Common_SourceData.Common_SourceData_WetAndDryZones_Variation()</f>
        <v>⚠️VARIATION OF SOURCE DATA:</v>
      </c>
    </row>
    <row r="60" spans="4:8" ht="20.100000000000001" customHeight="1" x14ac:dyDescent="0.25">
      <c r="D60" s="38" t="str">
        <v>⚠️Added warm / cool temperate moist / dry - low frost and high temp classes to accommodate climate scenarios excluded by VEERG criteria.</v>
      </c>
    </row>
    <row r="61" spans="4:8" ht="20.100000000000001" customHeight="1" x14ac:dyDescent="0.25">
      <c r="D61" s="38" t="str">
        <v>⚠️Fixed typo - Changed 'Fry' to 'Dry'.</v>
      </c>
    </row>
    <row r="62" spans="4:8" ht="20.100000000000001" customHeight="1" x14ac:dyDescent="0.25"/>
    <row r="63" spans="4:8" ht="20.100000000000001" customHeight="1" x14ac:dyDescent="0.25">
      <c r="D63" s="32" t="s">
        <v>53</v>
      </c>
      <c r="E63" s="32" t="s">
        <v>54</v>
      </c>
    </row>
    <row r="64" spans="4:8" ht="20.100000000000001" customHeight="1" x14ac:dyDescent="0.25">
      <c r="D64" s="32" t="str" cm="1">
        <f t="array" ref="D64">Common_InputFunctions.Utility_DisplayArrayInTable(Common_SourceData.Common_SourceData_WetAndDryZones_Data(), Table_SourceData_WetDryZones[[#Headers],[Climate zone]], 0)</f>
        <v>Tropical montane</v>
      </c>
      <c r="E64" s="32"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2" t="str" cm="1">
        <f t="array" ref="D65">Common_InputFunctions.Utility_DisplayArrayInTable(Common_SourceData.Common_SourceData_WetAndDryZones_Data(), Table_SourceData_WetDryZones[[#Headers],[Climate zone]], 0)</f>
        <v>Tropical wet</v>
      </c>
      <c r="E65" s="32"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2" t="str" cm="1">
        <f t="array" ref="D66">Common_InputFunctions.Utility_DisplayArrayInTable(Common_SourceData.Common_SourceData_WetAndDryZones_Data(), Table_SourceData_WetDryZones[[#Headers],[Climate zone]], 0)</f>
        <v>Tropical moist</v>
      </c>
      <c r="E66" s="32"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2" t="str" cm="1">
        <f t="array" ref="D67">Common_InputFunctions.Utility_DisplayArrayInTable(Common_SourceData.Common_SourceData_WetAndDryZones_Data(), Table_SourceData_WetDryZones[[#Headers],[Climate zone]], 0)</f>
        <v>Tropical dry</v>
      </c>
      <c r="E67" s="32"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2" t="str" cm="1">
        <f t="array" ref="D68">Common_InputFunctions.Utility_DisplayArrayInTable(Common_SourceData.Common_SourceData_WetAndDryZones_Data(), Table_SourceData_WetDryZones[[#Headers],[Climate zone]], 0)</f>
        <v>Warm temperate moist</v>
      </c>
      <c r="E68" s="32"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2" t="str" cm="1">
        <f t="array" ref="D69">Common_InputFunctions.Utility_DisplayArrayInTable(Common_SourceData.Common_SourceData_WetAndDryZones_Data(), Table_SourceData_WetDryZones[[#Headers],[Climate zone]], 0)</f>
        <v>Warm temperate dry</v>
      </c>
      <c r="E69" s="32"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2" t="str" cm="1">
        <f t="array" ref="D70">Common_InputFunctions.Utility_DisplayArrayInTable(Common_SourceData.Common_SourceData_WetAndDryZones_Data(), Table_SourceData_WetDryZones[[#Headers],[Climate zone]], 0)</f>
        <v>Cool temperate moist</v>
      </c>
      <c r="E70" s="32"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2" t="str" cm="1">
        <f t="array" ref="D71">Common_InputFunctions.Utility_DisplayArrayInTable(Common_SourceData.Common_SourceData_WetAndDryZones_Data(), Table_SourceData_WetDryZones[[#Headers],[Climate zone]], 0)</f>
        <v>Cool temperate dry</v>
      </c>
      <c r="E71" s="32"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2" t="str" cm="1">
        <f t="array" ref="D72">Common_InputFunctions.Utility_DisplayArrayInTable(Common_SourceData.Common_SourceData_WetAndDryZones_Data(), Table_SourceData_WetDryZones[[#Headers],[Climate zone]], 0)</f>
        <v>Warm temperate moist - low frost</v>
      </c>
      <c r="E72" s="32"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2" t="str" cm="1">
        <f t="array" ref="D73">Common_InputFunctions.Utility_DisplayArrayInTable(Common_SourceData.Common_SourceData_WetAndDryZones_Data(), Table_SourceData_WetDryZones[[#Headers],[Climate zone]], 0)</f>
        <v>Warm temperate dry - low frost</v>
      </c>
      <c r="E73" s="32"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2" t="str" cm="1">
        <f t="array" ref="D74">Common_InputFunctions.Utility_DisplayArrayInTable(Common_SourceData.Common_SourceData_WetAndDryZones_Data(), Table_SourceData_WetDryZones[[#Headers],[Climate zone]], 0)</f>
        <v>Warm temperate moist - high temp</v>
      </c>
      <c r="E74" s="32"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2" t="str" cm="1">
        <f t="array" ref="D75">Common_InputFunctions.Utility_DisplayArrayInTable(Common_SourceData.Common_SourceData_WetAndDryZones_Data(), Table_SourceData_WetDryZones[[#Headers],[Climate zone]], 0)</f>
        <v>Warm temperate dry - high temp</v>
      </c>
      <c r="E75" s="32"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2" t="str" cm="1">
        <f t="array" ref="D76">Common_InputFunctions.Utility_DisplayArrayInTable(Common_SourceData.Common_SourceData_WetAndDryZones_Data(), Table_SourceData_WetDryZones[[#Headers],[Climate zone]], 0)</f>
        <v>Cool temperate moist - low frost</v>
      </c>
      <c r="E76" s="32"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2" t="str" cm="1">
        <f t="array" ref="D77">Common_InputFunctions.Utility_DisplayArrayInTable(Common_SourceData.Common_SourceData_WetAndDryZones_Data(), Table_SourceData_WetDryZones[[#Headers],[Climate zone]], 0)</f>
        <v>Cool temperate dry - low frost</v>
      </c>
      <c r="E77" s="32"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9" t="str" cm="1">
        <f t="array" ref="D82">Common_SourceData.Common_SourceData_ClimateZones_Source()</f>
        <v>VEERG 2026: Table 1.3: Climate and Rainfall zone classifications and definitions</v>
      </c>
    </row>
    <row r="83" spans="4:20" ht="20.100000000000001" customHeight="1" x14ac:dyDescent="0.25">
      <c r="D83" s="38" t="str" cm="1">
        <f t="array" ref="D83:D87">"⚠️" &amp; Common_SourceData.Common_SourceData_ClimateZones_Variation()</f>
        <v>⚠️VARIATION OF SOURCE DATA:</v>
      </c>
    </row>
    <row r="84" spans="4:20" ht="20.100000000000001" customHeight="1" x14ac:dyDescent="0.25">
      <c r="D84" s="38" t="str">
        <v>⚠️Added warm / cool temperate moist / dry - low frost and high temp classes to accommodate climate scenarios excluded by VEERG criteria.</v>
      </c>
    </row>
    <row r="85" spans="4:20" ht="20.100000000000001" customHeight="1" x14ac:dyDescent="0.25">
      <c r="D85" s="38" t="str">
        <v>⚠️Fixed typo in MAT value for warm temperate dry - changed 10 to 11.</v>
      </c>
    </row>
    <row r="86" spans="4:20" ht="20.100000000000001" customHeight="1" x14ac:dyDescent="0.25">
      <c r="D86" s="38" t="str">
        <v>⚠️Added min and max columns for MAT, MAP, frost days per year, elevation, MAP:PET to calculate zones from real climate data.</v>
      </c>
    </row>
    <row r="87" spans="4:20" ht="20.100000000000001" customHeight="1" x14ac:dyDescent="0.25">
      <c r="D87" s="38" t="str">
        <v>⚠️GAF accepts rainfall as a proxy for precipitation.</v>
      </c>
    </row>
    <row r="88" spans="4:20" ht="20.100000000000001" customHeight="1" x14ac:dyDescent="0.25"/>
    <row r="89" spans="4:20" ht="20.100000000000001" customHeight="1" x14ac:dyDescent="0.25">
      <c r="D89" s="32" t="s">
        <v>53</v>
      </c>
      <c r="E89" s="32" t="s">
        <v>55</v>
      </c>
      <c r="F89" s="32" t="s">
        <v>56</v>
      </c>
      <c r="G89" s="32" t="s">
        <v>57</v>
      </c>
      <c r="H89" s="32" t="s">
        <v>58</v>
      </c>
      <c r="I89" s="32" t="s">
        <v>59</v>
      </c>
      <c r="J89" s="32" t="s">
        <v>60</v>
      </c>
      <c r="K89" s="32" t="s">
        <v>61</v>
      </c>
      <c r="L89" s="32" t="s">
        <v>62</v>
      </c>
      <c r="M89" s="32" t="s">
        <v>63</v>
      </c>
      <c r="N89" s="32" t="s">
        <v>64</v>
      </c>
      <c r="O89" s="32" t="s">
        <v>65</v>
      </c>
      <c r="P89" s="32" t="s">
        <v>66</v>
      </c>
      <c r="Q89" s="32" t="s">
        <v>67</v>
      </c>
      <c r="R89" s="32" t="s">
        <v>68</v>
      </c>
      <c r="S89" s="32" t="s">
        <v>69</v>
      </c>
      <c r="T89" s="32"/>
    </row>
    <row r="90" spans="4:20" ht="20.100000000000001" customHeight="1" x14ac:dyDescent="0.25">
      <c r="D90" s="32" t="str" cm="1">
        <f t="array" ref="D90">Common_InputFunctions.Utility_DisplayArrayInTable(Common_SourceData.Common_SourceData_ClimateZones_Data(), Table_SourceData_ClimateZones[[#Headers],[Climate zone]], 0)</f>
        <v>Tropical montane</v>
      </c>
      <c r="E90" s="32" t="str" cm="1">
        <f t="array" ref="E90">Common_InputFunctions.Utility_DisplayArrayInTable(Common_SourceData.Common_SourceData_ClimateZones_Data(), Table_SourceData_ClimateZones[[#Headers],[Climate zone]], 0)</f>
        <v>&gt; 18 C</v>
      </c>
      <c r="F90" s="32" t="str" cm="1">
        <f t="array" ref="F90">Common_InputFunctions.Utility_DisplayArrayInTable(Common_SourceData.Common_SourceData_ClimateZones_Data(), Table_SourceData_ClimateZones[[#Headers],[Climate zone]], 0)</f>
        <v>Any</v>
      </c>
      <c r="G90" s="32" t="str" cm="1">
        <f t="array" ref="G90">Common_InputFunctions.Utility_DisplayArrayInTable(Common_SourceData.Common_SourceData_ClimateZones_Data(), Table_SourceData_ClimateZones[[#Headers],[Climate zone]], 0)</f>
        <v>≤ 7</v>
      </c>
      <c r="H90" s="32" t="str" cm="1">
        <f t="array" ref="H90">Common_InputFunctions.Utility_DisplayArrayInTable(Common_SourceData.Common_SourceData_ClimateZones_Data(), Table_SourceData_ClimateZones[[#Headers],[Climate zone]], 0)</f>
        <v>&gt; 1000 m</v>
      </c>
      <c r="I90" s="32" t="str" cm="1">
        <f t="array" ref="I90">Common_InputFunctions.Utility_DisplayArrayInTable(Common_SourceData.Common_SourceData_ClimateZones_Data(), Table_SourceData_ClimateZones[[#Headers],[Climate zone]], 0)</f>
        <v>Any</v>
      </c>
      <c r="J90" s="32" cm="1">
        <f t="array" ref="J90">Common_InputFunctions.Utility_DisplayArrayInTable(Common_SourceData.Common_SourceData_ClimateZones_Data(), Table_SourceData_ClimateZones[[#Headers],[Climate zone]], 0)</f>
        <v>18.001000000000001</v>
      </c>
      <c r="K90" s="32" cm="1">
        <f t="array" ref="K90">Common_InputFunctions.Utility_DisplayArrayInTable(Common_SourceData.Common_SourceData_ClimateZones_Data(), Table_SourceData_ClimateZones[[#Headers],[Climate zone]], 0)</f>
        <v>999999</v>
      </c>
      <c r="L90" s="32" cm="1">
        <f t="array" ref="L90">Common_InputFunctions.Utility_DisplayArrayInTable(Common_SourceData.Common_SourceData_ClimateZones_Data(), Table_SourceData_ClimateZones[[#Headers],[Climate zone]], 0)</f>
        <v>-999999</v>
      </c>
      <c r="M90" s="32" cm="1">
        <f t="array" ref="M90">Common_InputFunctions.Utility_DisplayArrayInTable(Common_SourceData.Common_SourceData_ClimateZones_Data(), Table_SourceData_ClimateZones[[#Headers],[Climate zone]], 0)</f>
        <v>999999</v>
      </c>
      <c r="N90" s="32" cm="1">
        <f t="array" ref="N90">Common_InputFunctions.Utility_DisplayArrayInTable(Common_SourceData.Common_SourceData_ClimateZones_Data(), Table_SourceData_ClimateZones[[#Headers],[Climate zone]], 0)</f>
        <v>-999999</v>
      </c>
      <c r="O90" s="32" cm="1">
        <f t="array" ref="O90">Common_InputFunctions.Utility_DisplayArrayInTable(Common_SourceData.Common_SourceData_ClimateZones_Data(), Table_SourceData_ClimateZones[[#Headers],[Climate zone]], 0)</f>
        <v>7</v>
      </c>
      <c r="P90" s="32" cm="1">
        <f t="array" ref="P90">Common_InputFunctions.Utility_DisplayArrayInTable(Common_SourceData.Common_SourceData_ClimateZones_Data(), Table_SourceData_ClimateZones[[#Headers],[Climate zone]], 0)</f>
        <v>1000</v>
      </c>
      <c r="Q90" s="32" cm="1">
        <f t="array" ref="Q90">Common_InputFunctions.Utility_DisplayArrayInTable(Common_SourceData.Common_SourceData_ClimateZones_Data(), Table_SourceData_ClimateZones[[#Headers],[Climate zone]], 0)</f>
        <v>999999</v>
      </c>
      <c r="R90" s="32" cm="1">
        <f t="array" ref="R90">Common_InputFunctions.Utility_DisplayArrayInTable(Common_SourceData.Common_SourceData_ClimateZones_Data(), Table_SourceData_ClimateZones[[#Headers],[Climate zone]], 0)</f>
        <v>-999999</v>
      </c>
      <c r="S90" s="32" cm="1">
        <f t="array" ref="S90">Common_InputFunctions.Utility_DisplayArrayInTable(Common_SourceData.Common_SourceData_ClimateZones_Data(), Table_SourceData_ClimateZones[[#Headers],[Climate zone]], 0)</f>
        <v>999999</v>
      </c>
      <c r="T90" s="32"/>
    </row>
    <row r="91" spans="4:20" ht="20.100000000000001" customHeight="1" x14ac:dyDescent="0.25">
      <c r="D91" s="32" t="str" cm="1">
        <f t="array" ref="D91">Common_InputFunctions.Utility_DisplayArrayInTable(Common_SourceData.Common_SourceData_ClimateZones_Data(), Table_SourceData_ClimateZones[[#Headers],[Climate zone]], 0)</f>
        <v>Tropical wet</v>
      </c>
      <c r="E91" s="32" t="str" cm="1">
        <f t="array" ref="E91">Common_InputFunctions.Utility_DisplayArrayInTable(Common_SourceData.Common_SourceData_ClimateZones_Data(), Table_SourceData_ClimateZones[[#Headers],[Climate zone]], 0)</f>
        <v>&gt; 18 C</v>
      </c>
      <c r="F91" s="32" t="str" cm="1">
        <f t="array" ref="F91">Common_InputFunctions.Utility_DisplayArrayInTable(Common_SourceData.Common_SourceData_ClimateZones_Data(), Table_SourceData_ClimateZones[[#Headers],[Climate zone]], 0)</f>
        <v>&gt; 2000 mm</v>
      </c>
      <c r="G91" s="32" t="str" cm="1">
        <f t="array" ref="G91">Common_InputFunctions.Utility_DisplayArrayInTable(Common_SourceData.Common_SourceData_ClimateZones_Data(), Table_SourceData_ClimateZones[[#Headers],[Climate zone]], 0)</f>
        <v>≤ 7</v>
      </c>
      <c r="H91" s="32" t="str" cm="1">
        <f t="array" ref="H91">Common_InputFunctions.Utility_DisplayArrayInTable(Common_SourceData.Common_SourceData_ClimateZones_Data(), Table_SourceData_ClimateZones[[#Headers],[Climate zone]], 0)</f>
        <v>≤ 1000 m</v>
      </c>
      <c r="I91" s="32" t="str" cm="1">
        <f t="array" ref="I91">Common_InputFunctions.Utility_DisplayArrayInTable(Common_SourceData.Common_SourceData_ClimateZones_Data(), Table_SourceData_ClimateZones[[#Headers],[Climate zone]], 0)</f>
        <v>Any</v>
      </c>
      <c r="J91" s="32" cm="1">
        <f t="array" ref="J91">Common_InputFunctions.Utility_DisplayArrayInTable(Common_SourceData.Common_SourceData_ClimateZones_Data(), Table_SourceData_ClimateZones[[#Headers],[Climate zone]], 0)</f>
        <v>18.001000000000001</v>
      </c>
      <c r="K91" s="32" cm="1">
        <f t="array" ref="K91">Common_InputFunctions.Utility_DisplayArrayInTable(Common_SourceData.Common_SourceData_ClimateZones_Data(), Table_SourceData_ClimateZones[[#Headers],[Climate zone]], 0)</f>
        <v>999999</v>
      </c>
      <c r="L91" s="32" cm="1">
        <f t="array" ref="L91">Common_InputFunctions.Utility_DisplayArrayInTable(Common_SourceData.Common_SourceData_ClimateZones_Data(), Table_SourceData_ClimateZones[[#Headers],[Climate zone]], 0)</f>
        <v>2000.001</v>
      </c>
      <c r="M91" s="32" cm="1">
        <f t="array" ref="M91">Common_InputFunctions.Utility_DisplayArrayInTable(Common_SourceData.Common_SourceData_ClimateZones_Data(), Table_SourceData_ClimateZones[[#Headers],[Climate zone]], 0)</f>
        <v>999999</v>
      </c>
      <c r="N91" s="32" cm="1">
        <f t="array" ref="N91">Common_InputFunctions.Utility_DisplayArrayInTable(Common_SourceData.Common_SourceData_ClimateZones_Data(), Table_SourceData_ClimateZones[[#Headers],[Climate zone]], 0)</f>
        <v>-999999</v>
      </c>
      <c r="O91" s="32" cm="1">
        <f t="array" ref="O91">Common_InputFunctions.Utility_DisplayArrayInTable(Common_SourceData.Common_SourceData_ClimateZones_Data(), Table_SourceData_ClimateZones[[#Headers],[Climate zone]], 0)</f>
        <v>7</v>
      </c>
      <c r="P91" s="32" cm="1">
        <f t="array" ref="P91">Common_InputFunctions.Utility_DisplayArrayInTable(Common_SourceData.Common_SourceData_ClimateZones_Data(), Table_SourceData_ClimateZones[[#Headers],[Climate zone]], 0)</f>
        <v>-999999</v>
      </c>
      <c r="Q91" s="32" cm="1">
        <f t="array" ref="Q91">Common_InputFunctions.Utility_DisplayArrayInTable(Common_SourceData.Common_SourceData_ClimateZones_Data(), Table_SourceData_ClimateZones[[#Headers],[Climate zone]], 0)</f>
        <v>999.99900000000002</v>
      </c>
      <c r="R91" s="32" cm="1">
        <f t="array" ref="R91">Common_InputFunctions.Utility_DisplayArrayInTable(Common_SourceData.Common_SourceData_ClimateZones_Data(), Table_SourceData_ClimateZones[[#Headers],[Climate zone]], 0)</f>
        <v>-999999</v>
      </c>
      <c r="S91" s="32" cm="1">
        <f t="array" ref="S91">Common_InputFunctions.Utility_DisplayArrayInTable(Common_SourceData.Common_SourceData_ClimateZones_Data(), Table_SourceData_ClimateZones[[#Headers],[Climate zone]], 0)</f>
        <v>999999</v>
      </c>
      <c r="T91" s="32"/>
    </row>
    <row r="92" spans="4:20" ht="20.100000000000001" customHeight="1" x14ac:dyDescent="0.25">
      <c r="D92" s="32" t="str" cm="1">
        <f t="array" ref="D92">Common_InputFunctions.Utility_DisplayArrayInTable(Common_SourceData.Common_SourceData_ClimateZones_Data(), Table_SourceData_ClimateZones[[#Headers],[Climate zone]], 0)</f>
        <v>Tropical moist</v>
      </c>
      <c r="E92" s="32" t="str" cm="1">
        <f t="array" ref="E92">Common_InputFunctions.Utility_DisplayArrayInTable(Common_SourceData.Common_SourceData_ClimateZones_Data(), Table_SourceData_ClimateZones[[#Headers],[Climate zone]], 0)</f>
        <v>&gt; 18 C</v>
      </c>
      <c r="F92" s="32" t="str" cm="1">
        <f t="array" ref="F92">Common_InputFunctions.Utility_DisplayArrayInTable(Common_SourceData.Common_SourceData_ClimateZones_Data(), Table_SourceData_ClimateZones[[#Headers],[Climate zone]], 0)</f>
        <v>&gt; 1000 mm - ≤ 2000 mm</v>
      </c>
      <c r="G92" s="32" t="str" cm="1">
        <f t="array" ref="G92">Common_InputFunctions.Utility_DisplayArrayInTable(Common_SourceData.Common_SourceData_ClimateZones_Data(), Table_SourceData_ClimateZones[[#Headers],[Climate zone]], 0)</f>
        <v>≤ 7</v>
      </c>
      <c r="H92" s="32" t="str" cm="1">
        <f t="array" ref="H92">Common_InputFunctions.Utility_DisplayArrayInTable(Common_SourceData.Common_SourceData_ClimateZones_Data(), Table_SourceData_ClimateZones[[#Headers],[Climate zone]], 0)</f>
        <v>≤ 1000 m</v>
      </c>
      <c r="I92" s="32" t="str" cm="1">
        <f t="array" ref="I92">Common_InputFunctions.Utility_DisplayArrayInTable(Common_SourceData.Common_SourceData_ClimateZones_Data(), Table_SourceData_ClimateZones[[#Headers],[Climate zone]], 0)</f>
        <v>Any</v>
      </c>
      <c r="J92" s="32" cm="1">
        <f t="array" ref="J92">Common_InputFunctions.Utility_DisplayArrayInTable(Common_SourceData.Common_SourceData_ClimateZones_Data(), Table_SourceData_ClimateZones[[#Headers],[Climate zone]], 0)</f>
        <v>18.001000000000001</v>
      </c>
      <c r="K92" s="32" cm="1">
        <f t="array" ref="K92">Common_InputFunctions.Utility_DisplayArrayInTable(Common_SourceData.Common_SourceData_ClimateZones_Data(), Table_SourceData_ClimateZones[[#Headers],[Climate zone]], 0)</f>
        <v>999999</v>
      </c>
      <c r="L92" s="32" cm="1">
        <f t="array" ref="L92">Common_InputFunctions.Utility_DisplayArrayInTable(Common_SourceData.Common_SourceData_ClimateZones_Data(), Table_SourceData_ClimateZones[[#Headers],[Climate zone]], 0)</f>
        <v>1000.001</v>
      </c>
      <c r="M92" s="32" cm="1">
        <f t="array" ref="M92">Common_InputFunctions.Utility_DisplayArrayInTable(Common_SourceData.Common_SourceData_ClimateZones_Data(), Table_SourceData_ClimateZones[[#Headers],[Climate zone]], 0)</f>
        <v>2000</v>
      </c>
      <c r="N92" s="32" cm="1">
        <f t="array" ref="N92">Common_InputFunctions.Utility_DisplayArrayInTable(Common_SourceData.Common_SourceData_ClimateZones_Data(), Table_SourceData_ClimateZones[[#Headers],[Climate zone]], 0)</f>
        <v>-999999</v>
      </c>
      <c r="O92" s="32" cm="1">
        <f t="array" ref="O92">Common_InputFunctions.Utility_DisplayArrayInTable(Common_SourceData.Common_SourceData_ClimateZones_Data(), Table_SourceData_ClimateZones[[#Headers],[Climate zone]], 0)</f>
        <v>7</v>
      </c>
      <c r="P92" s="32" cm="1">
        <f t="array" ref="P92">Common_InputFunctions.Utility_DisplayArrayInTable(Common_SourceData.Common_SourceData_ClimateZones_Data(), Table_SourceData_ClimateZones[[#Headers],[Climate zone]], 0)</f>
        <v>-999999</v>
      </c>
      <c r="Q92" s="32" cm="1">
        <f t="array" ref="Q92">Common_InputFunctions.Utility_DisplayArrayInTable(Common_SourceData.Common_SourceData_ClimateZones_Data(), Table_SourceData_ClimateZones[[#Headers],[Climate zone]], 0)</f>
        <v>999.99900000000002</v>
      </c>
      <c r="R92" s="32" cm="1">
        <f t="array" ref="R92">Common_InputFunctions.Utility_DisplayArrayInTable(Common_SourceData.Common_SourceData_ClimateZones_Data(), Table_SourceData_ClimateZones[[#Headers],[Climate zone]], 0)</f>
        <v>-999999</v>
      </c>
      <c r="S92" s="32" cm="1">
        <f t="array" ref="S92">Common_InputFunctions.Utility_DisplayArrayInTable(Common_SourceData.Common_SourceData_ClimateZones_Data(), Table_SourceData_ClimateZones[[#Headers],[Climate zone]], 0)</f>
        <v>999999</v>
      </c>
      <c r="T92" s="32"/>
    </row>
    <row r="93" spans="4:20" ht="20.100000000000001" customHeight="1" x14ac:dyDescent="0.25">
      <c r="D93" s="32" t="str" cm="1">
        <f t="array" ref="D93">Common_InputFunctions.Utility_DisplayArrayInTable(Common_SourceData.Common_SourceData_ClimateZones_Data(), Table_SourceData_ClimateZones[[#Headers],[Climate zone]], 0)</f>
        <v>Tropical dry</v>
      </c>
      <c r="E93" s="32" t="str" cm="1">
        <f t="array" ref="E93">Common_InputFunctions.Utility_DisplayArrayInTable(Common_SourceData.Common_SourceData_ClimateZones_Data(), Table_SourceData_ClimateZones[[#Headers],[Climate zone]], 0)</f>
        <v>&gt; 18 C</v>
      </c>
      <c r="F93" s="32" t="str" cm="1">
        <f t="array" ref="F93">Common_InputFunctions.Utility_DisplayArrayInTable(Common_SourceData.Common_SourceData_ClimateZones_Data(), Table_SourceData_ClimateZones[[#Headers],[Climate zone]], 0)</f>
        <v>≤ 1000 mm</v>
      </c>
      <c r="G93" s="32" t="str" cm="1">
        <f t="array" ref="G93">Common_InputFunctions.Utility_DisplayArrayInTable(Common_SourceData.Common_SourceData_ClimateZones_Data(), Table_SourceData_ClimateZones[[#Headers],[Climate zone]], 0)</f>
        <v>≤ 7</v>
      </c>
      <c r="H93" s="32" t="str" cm="1">
        <f t="array" ref="H93">Common_InputFunctions.Utility_DisplayArrayInTable(Common_SourceData.Common_SourceData_ClimateZones_Data(), Table_SourceData_ClimateZones[[#Headers],[Climate zone]], 0)</f>
        <v>≤ 1000 m</v>
      </c>
      <c r="I93" s="32" t="str" cm="1">
        <f t="array" ref="I93">Common_InputFunctions.Utility_DisplayArrayInTable(Common_SourceData.Common_SourceData_ClimateZones_Data(), Table_SourceData_ClimateZones[[#Headers],[Climate zone]], 0)</f>
        <v>Any</v>
      </c>
      <c r="J93" s="32" cm="1">
        <f t="array" ref="J93">Common_InputFunctions.Utility_DisplayArrayInTable(Common_SourceData.Common_SourceData_ClimateZones_Data(), Table_SourceData_ClimateZones[[#Headers],[Climate zone]], 0)</f>
        <v>18.001000000000001</v>
      </c>
      <c r="K93" s="32" cm="1">
        <f t="array" ref="K93">Common_InputFunctions.Utility_DisplayArrayInTable(Common_SourceData.Common_SourceData_ClimateZones_Data(), Table_SourceData_ClimateZones[[#Headers],[Climate zone]], 0)</f>
        <v>999999</v>
      </c>
      <c r="L93" s="32" cm="1">
        <f t="array" ref="L93">Common_InputFunctions.Utility_DisplayArrayInTable(Common_SourceData.Common_SourceData_ClimateZones_Data(), Table_SourceData_ClimateZones[[#Headers],[Climate zone]], 0)</f>
        <v>-999999</v>
      </c>
      <c r="M93" s="32" cm="1">
        <f t="array" ref="M93">Common_InputFunctions.Utility_DisplayArrayInTable(Common_SourceData.Common_SourceData_ClimateZones_Data(), Table_SourceData_ClimateZones[[#Headers],[Climate zone]], 0)</f>
        <v>1000</v>
      </c>
      <c r="N93" s="32" cm="1">
        <f t="array" ref="N93">Common_InputFunctions.Utility_DisplayArrayInTable(Common_SourceData.Common_SourceData_ClimateZones_Data(), Table_SourceData_ClimateZones[[#Headers],[Climate zone]], 0)</f>
        <v>-999999</v>
      </c>
      <c r="O93" s="32" cm="1">
        <f t="array" ref="O93">Common_InputFunctions.Utility_DisplayArrayInTable(Common_SourceData.Common_SourceData_ClimateZones_Data(), Table_SourceData_ClimateZones[[#Headers],[Climate zone]], 0)</f>
        <v>7</v>
      </c>
      <c r="P93" s="32" cm="1">
        <f t="array" ref="P93">Common_InputFunctions.Utility_DisplayArrayInTable(Common_SourceData.Common_SourceData_ClimateZones_Data(), Table_SourceData_ClimateZones[[#Headers],[Climate zone]], 0)</f>
        <v>-999999</v>
      </c>
      <c r="Q93" s="32" cm="1">
        <f t="array" ref="Q93">Common_InputFunctions.Utility_DisplayArrayInTable(Common_SourceData.Common_SourceData_ClimateZones_Data(), Table_SourceData_ClimateZones[[#Headers],[Climate zone]], 0)</f>
        <v>999.99900000000002</v>
      </c>
      <c r="R93" s="32" cm="1">
        <f t="array" ref="R93">Common_InputFunctions.Utility_DisplayArrayInTable(Common_SourceData.Common_SourceData_ClimateZones_Data(), Table_SourceData_ClimateZones[[#Headers],[Climate zone]], 0)</f>
        <v>-999999</v>
      </c>
      <c r="S93" s="32" cm="1">
        <f t="array" ref="S93">Common_InputFunctions.Utility_DisplayArrayInTable(Common_SourceData.Common_SourceData_ClimateZones_Data(), Table_SourceData_ClimateZones[[#Headers],[Climate zone]], 0)</f>
        <v>999999</v>
      </c>
      <c r="T93" s="32"/>
    </row>
    <row r="94" spans="4:20" ht="20.100000000000001" customHeight="1" x14ac:dyDescent="0.25">
      <c r="D94" s="32" t="str" cm="1">
        <f t="array" ref="D94">Common_InputFunctions.Utility_DisplayArrayInTable(Common_SourceData.Common_SourceData_ClimateZones_Data(), Table_SourceData_ClimateZones[[#Headers],[Climate zone]], 0)</f>
        <v>Warm temperate moist</v>
      </c>
      <c r="E94" s="32" t="str" cm="1">
        <f t="array" ref="E94">Common_InputFunctions.Utility_DisplayArrayInTable(Common_SourceData.Common_SourceData_ClimateZones_Data(), Table_SourceData_ClimateZones[[#Headers],[Climate zone]], 0)</f>
        <v>&gt; 10 C</v>
      </c>
      <c r="F94" s="32" t="str" cm="1">
        <f t="array" ref="F94">Common_InputFunctions.Utility_DisplayArrayInTable(Common_SourceData.Common_SourceData_ClimateZones_Data(), Table_SourceData_ClimateZones[[#Headers],[Climate zone]], 0)</f>
        <v>Any</v>
      </c>
      <c r="G94" s="32" t="str" cm="1">
        <f t="array" ref="G94">Common_InputFunctions.Utility_DisplayArrayInTable(Common_SourceData.Common_SourceData_ClimateZones_Data(), Table_SourceData_ClimateZones[[#Headers],[Climate zone]], 0)</f>
        <v>Any</v>
      </c>
      <c r="H94" s="32" t="str" cm="1">
        <f t="array" ref="H94">Common_InputFunctions.Utility_DisplayArrayInTable(Common_SourceData.Common_SourceData_ClimateZones_Data(), Table_SourceData_ClimateZones[[#Headers],[Climate zone]], 0)</f>
        <v>Any</v>
      </c>
      <c r="I94" s="32" t="str" cm="1">
        <f t="array" ref="I94">Common_InputFunctions.Utility_DisplayArrayInTable(Common_SourceData.Common_SourceData_ClimateZones_Data(), Table_SourceData_ClimateZones[[#Headers],[Climate zone]], 0)</f>
        <v>&gt; 1</v>
      </c>
      <c r="J94" s="32" cm="1">
        <f t="array" ref="J94">Common_InputFunctions.Utility_DisplayArrayInTable(Common_SourceData.Common_SourceData_ClimateZones_Data(), Table_SourceData_ClimateZones[[#Headers],[Climate zone]], 0)</f>
        <v>10.000999999999999</v>
      </c>
      <c r="K94" s="32" cm="1">
        <f t="array" ref="K94">Common_InputFunctions.Utility_DisplayArrayInTable(Common_SourceData.Common_SourceData_ClimateZones_Data(), Table_SourceData_ClimateZones[[#Headers],[Climate zone]], 0)</f>
        <v>999999</v>
      </c>
      <c r="L94" s="32" cm="1">
        <f t="array" ref="L94">Common_InputFunctions.Utility_DisplayArrayInTable(Common_SourceData.Common_SourceData_ClimateZones_Data(), Table_SourceData_ClimateZones[[#Headers],[Climate zone]], 0)</f>
        <v>-999999</v>
      </c>
      <c r="M94" s="32" cm="1">
        <f t="array" ref="M94">Common_InputFunctions.Utility_DisplayArrayInTable(Common_SourceData.Common_SourceData_ClimateZones_Data(), Table_SourceData_ClimateZones[[#Headers],[Climate zone]], 0)</f>
        <v>999999</v>
      </c>
      <c r="N94" s="32" cm="1">
        <f t="array" ref="N94">Common_InputFunctions.Utility_DisplayArrayInTable(Common_SourceData.Common_SourceData_ClimateZones_Data(), Table_SourceData_ClimateZones[[#Headers],[Climate zone]], 0)</f>
        <v>-999999</v>
      </c>
      <c r="O94" s="32" cm="1">
        <f t="array" ref="O94">Common_InputFunctions.Utility_DisplayArrayInTable(Common_SourceData.Common_SourceData_ClimateZones_Data(), Table_SourceData_ClimateZones[[#Headers],[Climate zone]], 0)</f>
        <v>999999</v>
      </c>
      <c r="P94" s="32" cm="1">
        <f t="array" ref="P94">Common_InputFunctions.Utility_DisplayArrayInTable(Common_SourceData.Common_SourceData_ClimateZones_Data(), Table_SourceData_ClimateZones[[#Headers],[Climate zone]], 0)</f>
        <v>-999999</v>
      </c>
      <c r="Q94" s="32" cm="1">
        <f t="array" ref="Q94">Common_InputFunctions.Utility_DisplayArrayInTable(Common_SourceData.Common_SourceData_ClimateZones_Data(), Table_SourceData_ClimateZones[[#Headers],[Climate zone]], 0)</f>
        <v>999999</v>
      </c>
      <c r="R94" s="32" cm="1">
        <f t="array" ref="R94">Common_InputFunctions.Utility_DisplayArrayInTable(Common_SourceData.Common_SourceData_ClimateZones_Data(), Table_SourceData_ClimateZones[[#Headers],[Climate zone]], 0)</f>
        <v>1.0009999999999999</v>
      </c>
      <c r="S94" s="32" cm="1">
        <f t="array" ref="S94">Common_InputFunctions.Utility_DisplayArrayInTable(Common_SourceData.Common_SourceData_ClimateZones_Data(), Table_SourceData_ClimateZones[[#Headers],[Climate zone]], 0)</f>
        <v>999999</v>
      </c>
      <c r="T94" s="32"/>
    </row>
    <row r="95" spans="4:20" ht="20.100000000000001" customHeight="1" x14ac:dyDescent="0.25">
      <c r="D95" s="32" t="str" cm="1">
        <f t="array" ref="D95">Common_InputFunctions.Utility_DisplayArrayInTable(Common_SourceData.Common_SourceData_ClimateZones_Data(), Table_SourceData_ClimateZones[[#Headers],[Climate zone]], 0)</f>
        <v>Warm temperate dry</v>
      </c>
      <c r="E95" s="32" t="str" cm="1">
        <f t="array" ref="E95">Common_InputFunctions.Utility_DisplayArrayInTable(Common_SourceData.Common_SourceData_ClimateZones_Data(), Table_SourceData_ClimateZones[[#Headers],[Climate zone]], 0)</f>
        <v>&gt; 10 C</v>
      </c>
      <c r="F95" s="32" t="str" cm="1">
        <f t="array" ref="F95">Common_InputFunctions.Utility_DisplayArrayInTable(Common_SourceData.Common_SourceData_ClimateZones_Data(), Table_SourceData_ClimateZones[[#Headers],[Climate zone]], 0)</f>
        <v>Any</v>
      </c>
      <c r="G95" s="32" t="str" cm="1">
        <f t="array" ref="G95">Common_InputFunctions.Utility_DisplayArrayInTable(Common_SourceData.Common_SourceData_ClimateZones_Data(), Table_SourceData_ClimateZones[[#Headers],[Climate zone]], 0)</f>
        <v>Any</v>
      </c>
      <c r="H95" s="32" t="str" cm="1">
        <f t="array" ref="H95">Common_InputFunctions.Utility_DisplayArrayInTable(Common_SourceData.Common_SourceData_ClimateZones_Data(), Table_SourceData_ClimateZones[[#Headers],[Climate zone]], 0)</f>
        <v>Any</v>
      </c>
      <c r="I95" s="32" t="str" cm="1">
        <f t="array" ref="I95">Common_InputFunctions.Utility_DisplayArrayInTable(Common_SourceData.Common_SourceData_ClimateZones_Data(), Table_SourceData_ClimateZones[[#Headers],[Climate zone]], 0)</f>
        <v>≤ 1</v>
      </c>
      <c r="J95" s="32" cm="1">
        <f t="array" ref="J95">Common_InputFunctions.Utility_DisplayArrayInTable(Common_SourceData.Common_SourceData_ClimateZones_Data(), Table_SourceData_ClimateZones[[#Headers],[Climate zone]], 0)</f>
        <v>10.000999999999999</v>
      </c>
      <c r="K95" s="32" cm="1">
        <f t="array" ref="K95">Common_InputFunctions.Utility_DisplayArrayInTable(Common_SourceData.Common_SourceData_ClimateZones_Data(), Table_SourceData_ClimateZones[[#Headers],[Climate zone]], 0)</f>
        <v>999999</v>
      </c>
      <c r="L95" s="32" cm="1">
        <f t="array" ref="L95">Common_InputFunctions.Utility_DisplayArrayInTable(Common_SourceData.Common_SourceData_ClimateZones_Data(), Table_SourceData_ClimateZones[[#Headers],[Climate zone]], 0)</f>
        <v>-999999</v>
      </c>
      <c r="M95" s="32" cm="1">
        <f t="array" ref="M95">Common_InputFunctions.Utility_DisplayArrayInTable(Common_SourceData.Common_SourceData_ClimateZones_Data(), Table_SourceData_ClimateZones[[#Headers],[Climate zone]], 0)</f>
        <v>999999</v>
      </c>
      <c r="N95" s="32" cm="1">
        <f t="array" ref="N95">Common_InputFunctions.Utility_DisplayArrayInTable(Common_SourceData.Common_SourceData_ClimateZones_Data(), Table_SourceData_ClimateZones[[#Headers],[Climate zone]], 0)</f>
        <v>-999999</v>
      </c>
      <c r="O95" s="32" cm="1">
        <f t="array" ref="O95">Common_InputFunctions.Utility_DisplayArrayInTable(Common_SourceData.Common_SourceData_ClimateZones_Data(), Table_SourceData_ClimateZones[[#Headers],[Climate zone]], 0)</f>
        <v>999999</v>
      </c>
      <c r="P95" s="32" cm="1">
        <f t="array" ref="P95">Common_InputFunctions.Utility_DisplayArrayInTable(Common_SourceData.Common_SourceData_ClimateZones_Data(), Table_SourceData_ClimateZones[[#Headers],[Climate zone]], 0)</f>
        <v>-999999</v>
      </c>
      <c r="Q95" s="32" cm="1">
        <f t="array" ref="Q95">Common_InputFunctions.Utility_DisplayArrayInTable(Common_SourceData.Common_SourceData_ClimateZones_Data(), Table_SourceData_ClimateZones[[#Headers],[Climate zone]], 0)</f>
        <v>999999</v>
      </c>
      <c r="R95" s="32" cm="1">
        <f t="array" ref="R95">Common_InputFunctions.Utility_DisplayArrayInTable(Common_SourceData.Common_SourceData_ClimateZones_Data(), Table_SourceData_ClimateZones[[#Headers],[Climate zone]], 0)</f>
        <v>-999999</v>
      </c>
      <c r="S95" s="32" cm="1">
        <f t="array" ref="S95">Common_InputFunctions.Utility_DisplayArrayInTable(Common_SourceData.Common_SourceData_ClimateZones_Data(), Table_SourceData_ClimateZones[[#Headers],[Climate zone]], 0)</f>
        <v>1</v>
      </c>
      <c r="T95" s="32"/>
    </row>
    <row r="96" spans="4:20" ht="20.100000000000001" customHeight="1" x14ac:dyDescent="0.25">
      <c r="D96" s="32" t="str" cm="1">
        <f t="array" ref="D96">Common_InputFunctions.Utility_DisplayArrayInTable(Common_SourceData.Common_SourceData_ClimateZones_Data(), Table_SourceData_ClimateZones[[#Headers],[Climate zone]], 0)</f>
        <v>Cool temperate moist</v>
      </c>
      <c r="E96" s="32" t="str" cm="1">
        <f t="array" ref="E96">Common_InputFunctions.Utility_DisplayArrayInTable(Common_SourceData.Common_SourceData_ClimateZones_Data(), Table_SourceData_ClimateZones[[#Headers],[Climate zone]], 0)</f>
        <v>&gt; 0 C - ≤ 10 C</v>
      </c>
      <c r="F96" s="32" t="str" cm="1">
        <f t="array" ref="F96">Common_InputFunctions.Utility_DisplayArrayInTable(Common_SourceData.Common_SourceData_ClimateZones_Data(), Table_SourceData_ClimateZones[[#Headers],[Climate zone]], 0)</f>
        <v>Any</v>
      </c>
      <c r="G96" s="32" t="str" cm="1">
        <f t="array" ref="G96">Common_InputFunctions.Utility_DisplayArrayInTable(Common_SourceData.Common_SourceData_ClimateZones_Data(), Table_SourceData_ClimateZones[[#Headers],[Climate zone]], 0)</f>
        <v>Any</v>
      </c>
      <c r="H96" s="32" t="str" cm="1">
        <f t="array" ref="H96">Common_InputFunctions.Utility_DisplayArrayInTable(Common_SourceData.Common_SourceData_ClimateZones_Data(), Table_SourceData_ClimateZones[[#Headers],[Climate zone]], 0)</f>
        <v>Any</v>
      </c>
      <c r="I96" s="32" t="str" cm="1">
        <f t="array" ref="I96">Common_InputFunctions.Utility_DisplayArrayInTable(Common_SourceData.Common_SourceData_ClimateZones_Data(), Table_SourceData_ClimateZones[[#Headers],[Climate zone]], 0)</f>
        <v>&gt; 1</v>
      </c>
      <c r="J96" s="32" cm="1">
        <f t="array" ref="J96">Common_InputFunctions.Utility_DisplayArrayInTable(Common_SourceData.Common_SourceData_ClimateZones_Data(), Table_SourceData_ClimateZones[[#Headers],[Climate zone]], 0)</f>
        <v>-999999</v>
      </c>
      <c r="K96" s="32" cm="1">
        <f t="array" ref="K96">Common_InputFunctions.Utility_DisplayArrayInTable(Common_SourceData.Common_SourceData_ClimateZones_Data(), Table_SourceData_ClimateZones[[#Headers],[Climate zone]], 0)</f>
        <v>10</v>
      </c>
      <c r="L96" s="32" cm="1">
        <f t="array" ref="L96">Common_InputFunctions.Utility_DisplayArrayInTable(Common_SourceData.Common_SourceData_ClimateZones_Data(), Table_SourceData_ClimateZones[[#Headers],[Climate zone]], 0)</f>
        <v>-999999</v>
      </c>
      <c r="M96" s="32" cm="1">
        <f t="array" ref="M96">Common_InputFunctions.Utility_DisplayArrayInTable(Common_SourceData.Common_SourceData_ClimateZones_Data(), Table_SourceData_ClimateZones[[#Headers],[Climate zone]], 0)</f>
        <v>999999</v>
      </c>
      <c r="N96" s="32" cm="1">
        <f t="array" ref="N96">Common_InputFunctions.Utility_DisplayArrayInTable(Common_SourceData.Common_SourceData_ClimateZones_Data(), Table_SourceData_ClimateZones[[#Headers],[Climate zone]], 0)</f>
        <v>-999999</v>
      </c>
      <c r="O96" s="32" cm="1">
        <f t="array" ref="O96">Common_InputFunctions.Utility_DisplayArrayInTable(Common_SourceData.Common_SourceData_ClimateZones_Data(), Table_SourceData_ClimateZones[[#Headers],[Climate zone]], 0)</f>
        <v>999999</v>
      </c>
      <c r="P96" s="32" cm="1">
        <f t="array" ref="P96">Common_InputFunctions.Utility_DisplayArrayInTable(Common_SourceData.Common_SourceData_ClimateZones_Data(), Table_SourceData_ClimateZones[[#Headers],[Climate zone]], 0)</f>
        <v>-999999</v>
      </c>
      <c r="Q96" s="32" cm="1">
        <f t="array" ref="Q96">Common_InputFunctions.Utility_DisplayArrayInTable(Common_SourceData.Common_SourceData_ClimateZones_Data(), Table_SourceData_ClimateZones[[#Headers],[Climate zone]], 0)</f>
        <v>999999</v>
      </c>
      <c r="R96" s="32" cm="1">
        <f t="array" ref="R96">Common_InputFunctions.Utility_DisplayArrayInTable(Common_SourceData.Common_SourceData_ClimateZones_Data(), Table_SourceData_ClimateZones[[#Headers],[Climate zone]], 0)</f>
        <v>1.0009999999999999</v>
      </c>
      <c r="S96" s="32" cm="1">
        <f t="array" ref="S96">Common_InputFunctions.Utility_DisplayArrayInTable(Common_SourceData.Common_SourceData_ClimateZones_Data(), Table_SourceData_ClimateZones[[#Headers],[Climate zone]], 0)</f>
        <v>999999</v>
      </c>
      <c r="T96" s="32"/>
    </row>
    <row r="97" spans="4:20" ht="20.100000000000001" customHeight="1" x14ac:dyDescent="0.25">
      <c r="D97" s="32" t="str" cm="1">
        <f t="array" ref="D97">Common_InputFunctions.Utility_DisplayArrayInTable(Common_SourceData.Common_SourceData_ClimateZones_Data(), Table_SourceData_ClimateZones[[#Headers],[Climate zone]], 0)</f>
        <v>Cool temperate dry</v>
      </c>
      <c r="E97" s="32" t="str" cm="1">
        <f t="array" ref="E97">Common_InputFunctions.Utility_DisplayArrayInTable(Common_SourceData.Common_SourceData_ClimateZones_Data(), Table_SourceData_ClimateZones[[#Headers],[Climate zone]], 0)</f>
        <v>&gt; 0 C - ≤ 10 C</v>
      </c>
      <c r="F97" s="32" t="str" cm="1">
        <f t="array" ref="F97">Common_InputFunctions.Utility_DisplayArrayInTable(Common_SourceData.Common_SourceData_ClimateZones_Data(), Table_SourceData_ClimateZones[[#Headers],[Climate zone]], 0)</f>
        <v>Any</v>
      </c>
      <c r="G97" s="32" t="str" cm="1">
        <f t="array" ref="G97">Common_InputFunctions.Utility_DisplayArrayInTable(Common_SourceData.Common_SourceData_ClimateZones_Data(), Table_SourceData_ClimateZones[[#Headers],[Climate zone]], 0)</f>
        <v>Any</v>
      </c>
      <c r="H97" s="32" t="str" cm="1">
        <f t="array" ref="H97">Common_InputFunctions.Utility_DisplayArrayInTable(Common_SourceData.Common_SourceData_ClimateZones_Data(), Table_SourceData_ClimateZones[[#Headers],[Climate zone]], 0)</f>
        <v>Any</v>
      </c>
      <c r="I97" s="32" t="str" cm="1">
        <f t="array" ref="I97">Common_InputFunctions.Utility_DisplayArrayInTable(Common_SourceData.Common_SourceData_ClimateZones_Data(), Table_SourceData_ClimateZones[[#Headers],[Climate zone]], 0)</f>
        <v>≤ 1</v>
      </c>
      <c r="J97" s="32" cm="1">
        <f t="array" ref="J97">Common_InputFunctions.Utility_DisplayArrayInTable(Common_SourceData.Common_SourceData_ClimateZones_Data(), Table_SourceData_ClimateZones[[#Headers],[Climate zone]], 0)</f>
        <v>-999999</v>
      </c>
      <c r="K97" s="32" cm="1">
        <f t="array" ref="K97">Common_InputFunctions.Utility_DisplayArrayInTable(Common_SourceData.Common_SourceData_ClimateZones_Data(), Table_SourceData_ClimateZones[[#Headers],[Climate zone]], 0)</f>
        <v>10</v>
      </c>
      <c r="L97" s="32" cm="1">
        <f t="array" ref="L97">Common_InputFunctions.Utility_DisplayArrayInTable(Common_SourceData.Common_SourceData_ClimateZones_Data(), Table_SourceData_ClimateZones[[#Headers],[Climate zone]], 0)</f>
        <v>-999999</v>
      </c>
      <c r="M97" s="32" cm="1">
        <f t="array" ref="M97">Common_InputFunctions.Utility_DisplayArrayInTable(Common_SourceData.Common_SourceData_ClimateZones_Data(), Table_SourceData_ClimateZones[[#Headers],[Climate zone]], 0)</f>
        <v>999999</v>
      </c>
      <c r="N97" s="32" cm="1">
        <f t="array" ref="N97">Common_InputFunctions.Utility_DisplayArrayInTable(Common_SourceData.Common_SourceData_ClimateZones_Data(), Table_SourceData_ClimateZones[[#Headers],[Climate zone]], 0)</f>
        <v>-999999</v>
      </c>
      <c r="O97" s="32" cm="1">
        <f t="array" ref="O97">Common_InputFunctions.Utility_DisplayArrayInTable(Common_SourceData.Common_SourceData_ClimateZones_Data(), Table_SourceData_ClimateZones[[#Headers],[Climate zone]], 0)</f>
        <v>999999</v>
      </c>
      <c r="P97" s="32" cm="1">
        <f t="array" ref="P97">Common_InputFunctions.Utility_DisplayArrayInTable(Common_SourceData.Common_SourceData_ClimateZones_Data(), Table_SourceData_ClimateZones[[#Headers],[Climate zone]], 0)</f>
        <v>-999999</v>
      </c>
      <c r="Q97" s="32" cm="1">
        <f t="array" ref="Q97">Common_InputFunctions.Utility_DisplayArrayInTable(Common_SourceData.Common_SourceData_ClimateZones_Data(), Table_SourceData_ClimateZones[[#Headers],[Climate zone]], 0)</f>
        <v>999999</v>
      </c>
      <c r="R97" s="32" cm="1">
        <f t="array" ref="R97">Common_InputFunctions.Utility_DisplayArrayInTable(Common_SourceData.Common_SourceData_ClimateZones_Data(), Table_SourceData_ClimateZones[[#Headers],[Climate zone]], 0)</f>
        <v>-999999</v>
      </c>
      <c r="S97" s="32" cm="1">
        <f t="array" ref="S97">Common_InputFunctions.Utility_DisplayArrayInTable(Common_SourceData.Common_SourceData_ClimateZones_Data(), Table_SourceData_ClimateZones[[#Headers],[Climate zone]], 0)</f>
        <v>1</v>
      </c>
      <c r="T97" s="32"/>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9" t="str" cm="1">
        <f t="array" ref="D106">Common_SourceData.Common_SourceData_TemperatureZones_Source()</f>
        <v>VEERG 2026: Table 1.3: Climate and Rainfall zone classifications and definitions</v>
      </c>
    </row>
    <row r="107" spans="4:20" ht="20.100000000000001" customHeight="1" x14ac:dyDescent="0.25">
      <c r="D107" s="3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2" t="s">
        <v>70</v>
      </c>
      <c r="E109" s="32" t="s">
        <v>55</v>
      </c>
      <c r="F109" s="32" t="s">
        <v>71</v>
      </c>
      <c r="G109" s="32" t="s">
        <v>72</v>
      </c>
    </row>
    <row r="110" spans="4:20" ht="20.100000000000001" customHeight="1" x14ac:dyDescent="0.25">
      <c r="D110" s="32" t="str" cm="1">
        <f t="array" ref="D110">Common_InputFunctions.Utility_DisplayArrayInTable(Common_SourceData.Common_SourceData_TemperatureZones_Data(),Table_SourceData_TemperatureZones[[#Headers],[Temperature Zone]],0)</f>
        <v>Warm</v>
      </c>
      <c r="E110" s="32" t="str" cm="1">
        <f t="array" ref="E110">Common_InputFunctions.Utility_DisplayArrayInTable(Common_SourceData.Common_SourceData_TemperatureZones_Data(),Table_SourceData_TemperatureZones[[#Headers],[Temperature Zone]],0)</f>
        <v>≥ 26 C</v>
      </c>
      <c r="F110" s="32" cm="1">
        <f t="array" ref="F110">Common_InputFunctions.Utility_DisplayArrayInTable(Common_SourceData.Common_SourceData_TemperatureZones_Data(),Table_SourceData_TemperatureZones[[#Headers],[Temperature Zone]],0)</f>
        <v>26</v>
      </c>
      <c r="G110" s="32" cm="1">
        <f t="array" ref="G110">Common_InputFunctions.Utility_DisplayArrayInTable(Common_SourceData.Common_SourceData_TemperatureZones_Data(),Table_SourceData_TemperatureZones[[#Headers],[Temperature Zone]],0)</f>
        <v>999999</v>
      </c>
    </row>
    <row r="111" spans="4:20" ht="20.100000000000001" customHeight="1" x14ac:dyDescent="0.25">
      <c r="D111" s="32" t="str" cm="1">
        <f t="array" ref="D111">Common_InputFunctions.Utility_DisplayArrayInTable(Common_SourceData.Common_SourceData_TemperatureZones_Data(),Table_SourceData_TemperatureZones[[#Headers],[Temperature Zone]],0)</f>
        <v>Temperate</v>
      </c>
      <c r="E111" s="32" t="str" cm="1">
        <f t="array" ref="E111">Common_InputFunctions.Utility_DisplayArrayInTable(Common_SourceData.Common_SourceData_TemperatureZones_Data(),Table_SourceData_TemperatureZones[[#Headers],[Temperature Zone]],0)</f>
        <v>15 - 25 C</v>
      </c>
      <c r="F111" s="32" cm="1">
        <f t="array" ref="F111">Common_InputFunctions.Utility_DisplayArrayInTable(Common_SourceData.Common_SourceData_TemperatureZones_Data(),Table_SourceData_TemperatureZones[[#Headers],[Temperature Zone]],0)</f>
        <v>15</v>
      </c>
      <c r="G111" s="32"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2" t="str" cm="1">
        <f t="array" ref="D112">Common_InputFunctions.Utility_DisplayArrayInTable(Common_SourceData.Common_SourceData_TemperatureZones_Data(),Table_SourceData_TemperatureZones[[#Headers],[Temperature Zone]],0)</f>
        <v>Cool</v>
      </c>
      <c r="E112" s="32" t="str" cm="1">
        <f t="array" ref="E112">Common_InputFunctions.Utility_DisplayArrayInTable(Common_SourceData.Common_SourceData_TemperatureZones_Data(),Table_SourceData_TemperatureZones[[#Headers],[Temperature Zone]],0)</f>
        <v>≤ 14 C</v>
      </c>
      <c r="F112" s="32" cm="1">
        <f t="array" ref="F112">Common_InputFunctions.Utility_DisplayArrayInTable(Common_SourceData.Common_SourceData_TemperatureZones_Data(),Table_SourceData_TemperatureZones[[#Headers],[Temperature Zone]],0)</f>
        <v>-999999</v>
      </c>
      <c r="G112" s="32"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4"/>
    </row>
    <row r="116" spans="4:66" ht="20.100000000000001" customHeight="1" x14ac:dyDescent="0.25">
      <c r="D116" s="29" t="str" cm="1">
        <f t="array" ref="D116">Common_SourceData.Common_SourceData_RainfallZones_Source()</f>
        <v>VEERG 2026: Table 1.3: Climate and Rainfall zone classifications and definitions</v>
      </c>
      <c r="BN116" s="34"/>
    </row>
    <row r="117" spans="4:66" ht="20.100000000000001" customHeight="1" x14ac:dyDescent="0.25">
      <c r="D117" s="38" t="str" cm="1">
        <f t="array" ref="D117">"⚠️" &amp; Common_SourceData.Common_SourceData_RainfallZones_Variation()</f>
        <v>⚠️VARIATION OF SOURCE DATA: Added extra Rainfall min and Rainfall max columns to calculate zone from real rainfall data.</v>
      </c>
      <c r="BN117" s="34"/>
    </row>
    <row r="118" spans="4:66" ht="20.100000000000001" customHeight="1" x14ac:dyDescent="0.25">
      <c r="BN118" s="34"/>
    </row>
    <row r="119" spans="4:66" ht="20.100000000000001" customHeight="1" x14ac:dyDescent="0.25">
      <c r="D119" s="32" t="s">
        <v>73</v>
      </c>
      <c r="E119" s="32" t="s">
        <v>74</v>
      </c>
      <c r="F119" s="32" t="s">
        <v>62</v>
      </c>
      <c r="G119" s="32" t="s">
        <v>63</v>
      </c>
      <c r="BN119" s="34"/>
    </row>
    <row r="120" spans="4:66" ht="20.100000000000001" customHeight="1" x14ac:dyDescent="0.25">
      <c r="D120" s="32" t="str" cm="1">
        <f t="array" ref="D120">Common_InputFunctions.Utility_DisplayArrayInTable(Common_SourceData.Common_SourceData_RainfallZones_Data(),Table_SourceData_RainfallZones[[#Headers],[Rainfall Zone]],0)</f>
        <v>High rainfall</v>
      </c>
      <c r="E120" s="32" t="str" cm="1">
        <f t="array" ref="E120">Common_InputFunctions.Utility_DisplayArrayInTable(Common_SourceData.Common_SourceData_RainfallZones_Data(),Table_SourceData_RainfallZones[[#Headers],[Rainfall Zone]],0)</f>
        <v>Annual rainfall &gt; 600mm</v>
      </c>
      <c r="F120" s="32" cm="1">
        <f t="array" ref="F120">Common_InputFunctions.Utility_DisplayArrayInTable(Common_SourceData.Common_SourceData_RainfallZones_Data(),Table_SourceData_RainfallZones[[#Headers],[Rainfall Zone]],0)</f>
        <v>600.00099999999998</v>
      </c>
      <c r="G120" s="32" cm="1">
        <f t="array" ref="G120">Common_InputFunctions.Utility_DisplayArrayInTable(Common_SourceData.Common_SourceData_RainfallZones_Data(),Table_SourceData_RainfallZones[[#Headers],[Rainfall Zone]],0)</f>
        <v>999999</v>
      </c>
      <c r="BN120" s="34"/>
    </row>
    <row r="121" spans="4:66" ht="20.100000000000001" customHeight="1" x14ac:dyDescent="0.25">
      <c r="D121" s="32" t="str" cm="1">
        <f t="array" ref="D121">Common_InputFunctions.Utility_DisplayArrayInTable(Common_SourceData.Common_SourceData_RainfallZones_Data(),Table_SourceData_RainfallZones[[#Headers],[Rainfall Zone]],0)</f>
        <v>Low rainfall</v>
      </c>
      <c r="E121" s="32" t="str" cm="1">
        <f t="array" ref="E121">Common_InputFunctions.Utility_DisplayArrayInTable(Common_SourceData.Common_SourceData_RainfallZones_Data(),Table_SourceData_RainfallZones[[#Headers],[Rainfall Zone]],0)</f>
        <v>Annual rainfall ≤ 600mm</v>
      </c>
      <c r="F121" s="32" cm="1">
        <f t="array" ref="F121">Common_InputFunctions.Utility_DisplayArrayInTable(Common_SourceData.Common_SourceData_RainfallZones_Data(),Table_SourceData_RainfallZones[[#Headers],[Rainfall Zone]],0)</f>
        <v>-999999</v>
      </c>
      <c r="G121" s="32" cm="1">
        <f t="array" ref="G121">Common_InputFunctions.Utility_DisplayArrayInTable(Common_SourceData.Common_SourceData_RainfallZones_Data(),Table_SourceData_RainfallZones[[#Headers],[Rainfall Zone]],0)</f>
        <v>600</v>
      </c>
      <c r="BN121" s="34"/>
    </row>
    <row r="122" spans="4:66" ht="20.100000000000001" customHeight="1" x14ac:dyDescent="0.25">
      <c r="BN122" s="34"/>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9"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2" t="s">
        <v>75</v>
      </c>
      <c r="E127" s="32" t="s">
        <v>76</v>
      </c>
    </row>
    <row r="128" spans="4:66" ht="20.100000000000001" customHeight="1" x14ac:dyDescent="0.25">
      <c r="D128" s="32" t="str" cm="1">
        <f t="array" ref="D128">Common_InputFunctions.Utility_DisplayArrayInTable(Common_SourceData.Common_SourceData_LeachingZones_Data(), Table_SourceData_LeachingZones[[#Headers],[Leaching Zone]], 0)</f>
        <v>Leaching occurs</v>
      </c>
      <c r="E128" s="32"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2" t="str" cm="1">
        <f t="array" ref="D129">Common_InputFunctions.Utility_DisplayArrayInTable(Common_SourceData.Common_SourceData_LeachingZones_Data(), Table_SourceData_LeachingZones[[#Headers],[Leaching Zone]], 0)</f>
        <v>Leaching does not occur</v>
      </c>
      <c r="E129" s="32"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9" t="str" cm="1">
        <f t="array" ref="D133">Common_SourceData.Common_SourceData_FracWET_Source()</f>
        <v>VEERG 2026:5.5.2.3 Constant Parameters</v>
      </c>
      <c r="E133" s="9"/>
    </row>
    <row r="134" spans="4:77" ht="20.100000000000001" customHeight="1" x14ac:dyDescent="0.25">
      <c r="D134" t="s">
        <v>77</v>
      </c>
      <c r="E134" t="s">
        <v>78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2"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4"/>
      <c r="BO138" s="34"/>
      <c r="BP138" s="34"/>
      <c r="BQ138" s="34"/>
      <c r="BR138" s="34"/>
      <c r="BS138" s="34"/>
      <c r="BT138" s="34"/>
      <c r="BU138" s="34"/>
      <c r="BV138" s="34"/>
      <c r="BW138" s="34"/>
      <c r="BX138" s="34"/>
      <c r="BY138" s="34"/>
    </row>
    <row r="139" spans="4:77" ht="20.100000000000001" customHeight="1" x14ac:dyDescent="0.25">
      <c r="D139" s="2" t="str" cm="1">
        <f t="array" ref="D139">Common_SourceData.Common_SourceData_FracWETIrrigation_Title()</f>
        <v>FracWET for irrigation types</v>
      </c>
      <c r="BN139" s="34"/>
      <c r="BO139" s="34"/>
      <c r="BP139" s="34"/>
      <c r="BQ139" s="34"/>
      <c r="BR139" s="34"/>
      <c r="BS139" s="34"/>
      <c r="BT139" s="34"/>
      <c r="BU139" s="34"/>
      <c r="BV139" s="34"/>
      <c r="BW139" s="34"/>
      <c r="BX139" s="34"/>
      <c r="BY139" s="34"/>
    </row>
    <row r="140" spans="4:77" ht="20.100000000000001" customHeight="1" x14ac:dyDescent="0.25">
      <c r="D140" s="29" t="str" cm="1">
        <f t="array" ref="D140">Common_SourceData.Common_SourceData_FracWETIrrigation_Source()</f>
        <v>VEERG 2026: Chapter 1, section 1.8.2 Leaching, climate and rainfall zones</v>
      </c>
      <c r="BN140" s="34"/>
      <c r="BO140" s="34"/>
      <c r="BP140" s="34"/>
      <c r="BQ140" s="34"/>
      <c r="BR140" s="34"/>
      <c r="BS140" s="34"/>
      <c r="BT140" s="34"/>
      <c r="BU140" s="34"/>
      <c r="BV140" s="34"/>
      <c r="BW140" s="34"/>
      <c r="BX140" s="34"/>
      <c r="BY140" s="34"/>
    </row>
    <row r="141" spans="4:77" ht="20.100000000000001" customHeight="1" x14ac:dyDescent="0.25">
      <c r="D141" s="38" t="str" cm="1">
        <f t="array" ref="D141">Common_SourceData.Common_SourceData_FracWETIrrigation_Variation()</f>
        <v>VARIATION FROM SOURCE DATA: Table created based on VEERG text 'Areas are subject to leaching (i.e., in the leaching zone) when... the land is irrigated (except drip irrigation).'</v>
      </c>
      <c r="BN141" s="34"/>
    </row>
    <row r="142" spans="4:77" ht="20.100000000000001" customHeight="1" x14ac:dyDescent="0.25">
      <c r="D142" s="32" t="s">
        <v>79</v>
      </c>
      <c r="E142" s="32" t="s">
        <v>78</v>
      </c>
      <c r="BN142" s="34"/>
    </row>
    <row r="143" spans="4:77" ht="20.100000000000001" customHeight="1" x14ac:dyDescent="0.25">
      <c r="D143" s="32" t="str" cm="1">
        <f t="array" ref="D143">Common_InputFunctions.Utility_DisplayArrayInTable(Common_SourceData.Common_SourceData_FracWETIrrigation_Data(), Table_SourceData_FracWETIrrigation[[#Headers],[Irrigation type i]], 0)</f>
        <v>Not irrigated</v>
      </c>
      <c r="E143" s="32" cm="1">
        <f t="array" ref="E143">Common_InputFunctions.Utility_DisplayArrayInTable(Common_SourceData.Common_SourceData_FracWETIrrigation_Data(), Table_SourceData_FracWETIrrigation[[#Headers],[Irrigation type i]], 0)</f>
        <v>0</v>
      </c>
      <c r="BN143" s="34"/>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2" cm="1">
        <f t="array" ref="E144">Common_InputFunctions.Utility_DisplayArrayInTable(Common_SourceData.Common_SourceData_FracWETIrrigation_Data(), Table_SourceData_FracWETIrrigation[[#Headers],[Irrigation type i]], 0)</f>
        <v>0</v>
      </c>
      <c r="BN144" s="34"/>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2" cm="1">
        <f t="array" ref="E145">Common_InputFunctions.Utility_DisplayArrayInTable(Common_SourceData.Common_SourceData_FracWETIrrigation_Data(), Table_SourceData_FracWETIrrigation[[#Headers],[Irrigation type i]], 0)</f>
        <v>1</v>
      </c>
      <c r="BN145" s="34"/>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2" cm="1">
        <f t="array" ref="E146">Common_InputFunctions.Utility_DisplayArrayInTable(Common_SourceData.Common_SourceData_FracWETIrrigation_Data(), Table_SourceData_FracWETIrrigation[[#Headers],[Irrigation type i]], 0)</f>
        <v>1</v>
      </c>
      <c r="BN146" s="34"/>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2" cm="1">
        <f t="array" ref="E147">Common_InputFunctions.Utility_DisplayArrayInTable(Common_SourceData.Common_SourceData_FracWETIrrigation_Data(), Table_SourceData_FracWETIrrigation[[#Headers],[Irrigation type i]], 0)</f>
        <v>1</v>
      </c>
      <c r="BN147" s="34"/>
    </row>
    <row r="148" spans="4:66" ht="20.100000000000001" customHeight="1" x14ac:dyDescent="0.25">
      <c r="BN148" s="34"/>
    </row>
    <row r="149" spans="4:66" ht="20.100000000000001" customHeight="1" x14ac:dyDescent="0.25">
      <c r="BN149" s="34"/>
    </row>
    <row r="150" spans="4:66" ht="20.100000000000001" customHeight="1" x14ac:dyDescent="0.25">
      <c r="D150" s="2" t="str" cm="1">
        <f t="array" ref="D150">Common_SourceData.Common_SourceData_DataScores_Scope3_Title()</f>
        <v>Australian data scores for scope 3</v>
      </c>
      <c r="BN150" s="34"/>
    </row>
    <row r="151" spans="4:66" ht="20.100000000000001" customHeight="1" x14ac:dyDescent="0.25">
      <c r="D151" s="29" t="str" cm="1">
        <f t="array" ref="D151">Common_SourceData.Common_SourceData_DataScores_Scope3_Source()</f>
        <v>VEERG 2026: XXXXXXXX</v>
      </c>
      <c r="BN151" s="34"/>
    </row>
    <row r="152" spans="4:66" ht="20.100000000000001" customHeight="1" x14ac:dyDescent="0.25">
      <c r="BN152" s="34"/>
    </row>
    <row r="153" spans="4:66" ht="20.100000000000001" customHeight="1" x14ac:dyDescent="0.25">
      <c r="D153" s="32" t="s">
        <v>80</v>
      </c>
      <c r="E153" s="32" t="s">
        <v>81</v>
      </c>
      <c r="BC153" s="37"/>
      <c r="BD153" s="37"/>
      <c r="BE153" s="37"/>
      <c r="BF153" s="37"/>
      <c r="BG153" s="37"/>
      <c r="BH153" s="37"/>
      <c r="BI153" s="37"/>
      <c r="BJ153" s="37"/>
      <c r="BK153" s="37"/>
      <c r="BL153" s="37"/>
      <c r="BM153" s="37"/>
    </row>
    <row r="154" spans="4:66" ht="20.100000000000001" customHeight="1" x14ac:dyDescent="0.25">
      <c r="D154" s="32" t="str" cm="1">
        <f t="array" ref="D154">Common_InputFunctions.Utility_DisplayArrayInTable(Common_SourceData.Common_SourceData_DataScores_Scope3_Data(), Table_SourceData_DataScores_Scope3[[#Headers],[Data source]], 0)</f>
        <v>International scope 3 database</v>
      </c>
      <c r="E154" s="32" cm="1">
        <f t="array" ref="E154">Common_InputFunctions.Utility_DisplayArrayInTable(Common_SourceData.Common_SourceData_DataScores_Scope3_Data(), Table_SourceData_DataScores_Scope3[[#Headers],[Data source]], 0)</f>
        <v>1</v>
      </c>
      <c r="BC154" s="37"/>
      <c r="BD154" s="37"/>
      <c r="BE154" s="37"/>
      <c r="BF154" s="37"/>
      <c r="BG154" s="37"/>
      <c r="BH154" s="37"/>
      <c r="BI154" s="37"/>
      <c r="BJ154" s="37"/>
      <c r="BK154" s="37"/>
      <c r="BL154" s="37"/>
      <c r="BM154" s="37"/>
    </row>
    <row r="155" spans="4:66" ht="20.100000000000001" customHeight="1" x14ac:dyDescent="0.25">
      <c r="D155" s="32" t="str" cm="1">
        <f t="array" ref="D155">Common_InputFunctions.Utility_DisplayArrayInTable(Common_SourceData.Common_SourceData_DataScores_Scope3_Data(), Table_SourceData_DataScores_Scope3[[#Headers],[Data source]], 0)</f>
        <v>Australian scope 3 database</v>
      </c>
      <c r="E155" s="32" cm="1">
        <f t="array" ref="E155">Common_InputFunctions.Utility_DisplayArrayInTable(Common_SourceData.Common_SourceData_DataScores_Scope3_Data(), Table_SourceData_DataScores_Scope3[[#Headers],[Data source]], 0)</f>
        <v>2</v>
      </c>
      <c r="BC155" s="37"/>
      <c r="BD155" s="37"/>
      <c r="BE155" s="37"/>
      <c r="BF155" s="37"/>
      <c r="BG155" s="37"/>
      <c r="BH155" s="37"/>
      <c r="BI155" s="37"/>
      <c r="BJ155" s="37"/>
      <c r="BK155" s="37"/>
      <c r="BL155" s="37"/>
      <c r="BM155" s="37"/>
    </row>
    <row r="156" spans="4:66" ht="20.100000000000001" customHeight="1" x14ac:dyDescent="0.25">
      <c r="D156" s="32" t="str" cm="1">
        <f t="array" ref="D156">Common_InputFunctions.Utility_DisplayArrayInTable(Common_SourceData.Common_SourceData_DataScores_Scope3_Data(), Table_SourceData_DataScores_Scope3[[#Headers],[Data source]], 0)</f>
        <v>State or regional scope 3 database</v>
      </c>
      <c r="E156" s="32" cm="1">
        <f t="array" ref="E156">Common_InputFunctions.Utility_DisplayArrayInTable(Common_SourceData.Common_SourceData_DataScores_Scope3_Data(), Table_SourceData_DataScores_Scope3[[#Headers],[Data source]], 0)</f>
        <v>3</v>
      </c>
    </row>
    <row r="157" spans="4:66" ht="20.100000000000001" customHeight="1" x14ac:dyDescent="0.25">
      <c r="D157" s="32" t="str" cm="1">
        <f t="array" ref="D157">Common_InputFunctions.Utility_DisplayArrayInTable(Common_SourceData.Common_SourceData_DataScores_Scope3_Data(), Table_SourceData_DataScores_Scope3[[#Headers],[Data source]], 0)</f>
        <v>Emissions intensity calculated from approved method</v>
      </c>
      <c r="E157" s="32" cm="1">
        <f t="array" ref="E157">Common_InputFunctions.Utility_DisplayArrayInTable(Common_SourceData.Common_SourceData_DataScores_Scope3_Data(), Table_SourceData_DataScores_Scope3[[#Headers],[Data source]], 0)</f>
        <v>4</v>
      </c>
    </row>
    <row r="158" spans="4:66" ht="20.100000000000001" customHeight="1" x14ac:dyDescent="0.25">
      <c r="D158" s="32" t="str" cm="1">
        <f t="array" ref="D158">Common_InputFunctions.Utility_DisplayArrayInTable(Common_SourceData.Common_SourceData_DataScores_Scope3_Data(), Table_SourceData_DataScores_Scope3[[#Headers],[Data source]], 0)</f>
        <v>Verified credential matching ISO14067</v>
      </c>
      <c r="E158" s="32"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9" t="str" cm="1">
        <f t="array" ref="D162">Common_SourceData.Common_SourceData_FracLEACH_Source()</f>
        <v>VEERG 2026:5.5.2.3 Constant Parameters</v>
      </c>
      <c r="E162" s="9"/>
    </row>
    <row r="163" spans="4:68" ht="20.100000000000001" customHeight="1" x14ac:dyDescent="0.25">
      <c r="D163" s="29"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4"/>
      <c r="BO165" s="34"/>
      <c r="BP165" s="34"/>
    </row>
    <row r="166" spans="4:68" ht="20.100000000000001" customHeight="1" x14ac:dyDescent="0.25">
      <c r="BN166" s="34"/>
      <c r="BO166" s="34"/>
      <c r="BP166" s="34"/>
    </row>
    <row r="167" spans="4:68" ht="20.100000000000001" customHeight="1" x14ac:dyDescent="0.25">
      <c r="D167" s="2" t="str" cm="1">
        <f t="array" ref="D167">Common_SourceData.Common_SourceData_EFleach_Title()</f>
        <v>Emission factor for nitrogen leaching and runoff</v>
      </c>
      <c r="BN167" s="34"/>
      <c r="BO167" s="34"/>
      <c r="BP167" s="34"/>
    </row>
    <row r="168" spans="4:68" ht="20.100000000000001" customHeight="1" x14ac:dyDescent="0.25">
      <c r="D168" s="29" t="str" cm="1">
        <f t="array" ref="D168">Common_SourceData.Common_SourceData_EFleach_Source()</f>
        <v>VEERG 2026:5.5.2.3 Constant Parameters</v>
      </c>
      <c r="BN168" s="34"/>
      <c r="BO168" s="34"/>
      <c r="BP168" s="34"/>
    </row>
    <row r="169" spans="4:68" ht="20.100000000000001" customHeight="1" x14ac:dyDescent="0.25">
      <c r="D169" s="29" t="str" cm="1">
        <f t="array" ref="D169">Common_SourceData.Common_SourceData_EFleach_NIRReference()</f>
        <v>National Inventory Report Volume 1: Equation 3.D.B_10</v>
      </c>
      <c r="BN169" s="34"/>
      <c r="BO169" s="34"/>
      <c r="BP169" s="34"/>
    </row>
    <row r="170" spans="4:68" ht="20.100000000000001" customHeight="1" x14ac:dyDescent="0.25">
      <c r="D170" s="1" t="str" cm="1">
        <f t="array" ref="D170:E170">Common_SourceData.Common_SourceData_EFleach_Data()</f>
        <v>EFleach</v>
      </c>
      <c r="E170" s="1">
        <v>1.0999999999999999E-2</v>
      </c>
      <c r="BN170" s="34"/>
      <c r="BO170" s="34"/>
      <c r="BP170" s="34"/>
    </row>
    <row r="171" spans="4:68" ht="20.100000000000001" customHeight="1" x14ac:dyDescent="0.25">
      <c r="BN171" s="34"/>
      <c r="BO171" s="34"/>
      <c r="BP171" s="34"/>
    </row>
    <row r="172" spans="4:68" ht="20.100000000000001" customHeight="1" x14ac:dyDescent="0.25">
      <c r="BN172" s="34"/>
      <c r="BO172" s="34"/>
      <c r="BP172" s="34"/>
    </row>
    <row r="173" spans="4:68" ht="20.100000000000001" customHeight="1" x14ac:dyDescent="0.25">
      <c r="D173" s="2" t="str" cm="1">
        <f t="array" ref="D173">Common_SourceData.Common_SourceData_DensityOfMethane_Title()</f>
        <v>p = density of methane</v>
      </c>
      <c r="BN173" s="34"/>
      <c r="BO173" s="34"/>
      <c r="BP173" s="34"/>
    </row>
    <row r="174" spans="4:68" ht="20.100000000000001" customHeight="1" x14ac:dyDescent="0.25">
      <c r="D174" s="29" t="str" cm="1">
        <f t="array" ref="D174">Common_SourceData.Common_SourceData_DensityOfMethane_Source()</f>
        <v>National Inventory Report 2023 Volume 1: Equations 3.B.1a_2, 3.B.1c_2, 3.B.3_1, 3.B.4g_2</v>
      </c>
      <c r="BN174" s="34"/>
      <c r="BO174" s="34"/>
      <c r="BP174" s="34"/>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4"/>
      <c r="BO175" s="34"/>
      <c r="BP175" s="34"/>
    </row>
    <row r="176" spans="4:68" ht="20.100000000000001" customHeight="1" x14ac:dyDescent="0.25">
      <c r="BN176" s="34"/>
      <c r="BO176" s="34"/>
      <c r="BP176" s="34"/>
    </row>
    <row r="177" spans="4:68" ht="20.100000000000001" customHeight="1" x14ac:dyDescent="0.25">
      <c r="BN177" s="34"/>
      <c r="BO177" s="34"/>
      <c r="BP177" s="34"/>
    </row>
    <row r="178" spans="4:68" ht="20.100000000000001" customHeight="1" x14ac:dyDescent="0.25">
      <c r="D178" s="2" t="str" cm="1">
        <f t="array" ref="D178">Common_SourceData.Common_SourceData_EFN2O_Title()</f>
        <v>Nitrous oxide emission factors for inorganic fertiliser application</v>
      </c>
      <c r="BN178" s="34"/>
      <c r="BO178" s="34"/>
      <c r="BP178" s="34"/>
    </row>
    <row r="179" spans="4:68" ht="20.100000000000001" customHeight="1" x14ac:dyDescent="0.25">
      <c r="D179" s="29" t="str" cm="1">
        <f t="array" ref="D179">Common_SourceData.Common_SourceData_EFN2O_Source()</f>
        <v>VEERG 2026: Table A.2.2.1</v>
      </c>
      <c r="BN179" s="34"/>
      <c r="BO179" s="34"/>
      <c r="BP179" s="34"/>
    </row>
    <row r="180" spans="4:68" ht="20.100000000000001" customHeight="1" x14ac:dyDescent="0.25">
      <c r="D180" s="16" t="str" cm="1">
        <f t="array" ref="D180">Common_SourceData.Common_SourceData_EFN2O_Unit()</f>
        <v>(kg N2O-N / kg N</v>
      </c>
    </row>
    <row r="181" spans="4:68" ht="20.100000000000001" customHeight="1" x14ac:dyDescent="0.25">
      <c r="D181" s="38" t="str" cm="1">
        <f t="array" ref="D181:D185">Common_SourceData.Common_SourceData_EFN2O_Variation()</f>
        <v>VARIATION OF SOURCE DATA:</v>
      </c>
    </row>
    <row r="182" spans="4:68" ht="20.100000000000001" customHeight="1" x14ac:dyDescent="0.25">
      <c r="D182" s="38" t="str">
        <v>Removed duplicate 'Aquaculture' row.</v>
      </c>
    </row>
    <row r="183" spans="4:68" ht="20.100000000000001" customHeight="1" x14ac:dyDescent="0.25">
      <c r="D183" s="38" t="str">
        <v>Removed asterisks to aid lookup.</v>
      </c>
    </row>
    <row r="184" spans="4:68" ht="20.100000000000001" customHeight="1" x14ac:dyDescent="0.25">
      <c r="D184" s="38" t="str">
        <v>Added 'production system only', 'rainfall zone' and 'irrigation method' columns to aid lookup.</v>
      </c>
    </row>
    <row r="185" spans="4:68" ht="20.100000000000001" customHeight="1" x14ac:dyDescent="0.25">
      <c r="D185" s="38" t="str">
        <v>Duplicated 'non-irrigated pasture' row with same EF for low and high rainfall zones to aid lookup.</v>
      </c>
    </row>
    <row r="186" spans="4:68" ht="20.100000000000001" customHeight="1" x14ac:dyDescent="0.25">
      <c r="D186" s="32" t="s">
        <v>82</v>
      </c>
      <c r="E186" s="32" t="s">
        <v>83</v>
      </c>
      <c r="F186" s="32" t="s">
        <v>84</v>
      </c>
      <c r="G186" s="32" t="s">
        <v>85</v>
      </c>
      <c r="H186" s="32" t="s">
        <v>86</v>
      </c>
    </row>
    <row r="187" spans="4:68" ht="20.100000000000001" customHeight="1" x14ac:dyDescent="0.25">
      <c r="D187" s="32" t="str" cm="1">
        <f t="array" ref="D187">Common_InputFunctions.Utility_DisplayArrayInTable(Common_SourceData.Common_SourceData_EFN2O_Data(), Table_SourceData_Common_EFN2O[[#Headers],[Production system j]], 0)</f>
        <v>Irrigated pasture</v>
      </c>
      <c r="E187" s="32" cm="1">
        <f t="array" ref="E187">Common_InputFunctions.Utility_DisplayArrayInTable(Common_SourceData.Common_SourceData_EFN2O_Data(), Table_SourceData_Common_EFN2O[[#Headers],[Production system j]], 0)</f>
        <v>5.8999999999999999E-3</v>
      </c>
      <c r="F187" s="32" t="str" cm="1">
        <f t="array" ref="F187">Common_InputFunctions.Utility_DisplayArrayInTable(Common_SourceData.Common_SourceData_EFN2O_Data(), Table_SourceData_Common_EFN2O[[#Headers],[Production system j]], 0)</f>
        <v>Pasture</v>
      </c>
      <c r="G187" s="32" t="str" cm="1">
        <f t="array" ref="G187">Common_InputFunctions.Utility_DisplayArrayInTable(Common_SourceData.Common_SourceData_EFN2O_Data(), Table_SourceData_Common_EFN2O[[#Headers],[Production system j]], 0)</f>
        <v>Any</v>
      </c>
      <c r="H187" s="32" t="str" cm="1">
        <f t="array" ref="H187">Common_InputFunctions.Utility_DisplayArrayInTable(Common_SourceData.Common_SourceData_EFN2O_Data(), Table_SourceData_Common_EFN2O[[#Headers],[Production system j]], 0)</f>
        <v>Any</v>
      </c>
    </row>
    <row r="188" spans="4:68" ht="20.100000000000001" customHeight="1" x14ac:dyDescent="0.25">
      <c r="D188" s="32" t="str" cm="1">
        <f t="array" ref="D188">Common_InputFunctions.Utility_DisplayArrayInTable(Common_SourceData.Common_SourceData_EFN2O_Data(), Table_SourceData_Common_EFN2O[[#Headers],[Production system j]], 0)</f>
        <v>Irrigated crop</v>
      </c>
      <c r="E188" s="32" cm="1">
        <f t="array" ref="E188">Common_InputFunctions.Utility_DisplayArrayInTable(Common_SourceData.Common_SourceData_EFN2O_Data(), Table_SourceData_Common_EFN2O[[#Headers],[Production system j]], 0)</f>
        <v>7.0000000000000001E-3</v>
      </c>
      <c r="F188" s="32" t="str" cm="1">
        <f t="array" ref="F188">Common_InputFunctions.Utility_DisplayArrayInTable(Common_SourceData.Common_SourceData_EFN2O_Data(), Table_SourceData_Common_EFN2O[[#Headers],[Production system j]], 0)</f>
        <v>Crop</v>
      </c>
      <c r="G188" s="32" t="str" cm="1">
        <f t="array" ref="G188">Common_InputFunctions.Utility_DisplayArrayInTable(Common_SourceData.Common_SourceData_EFN2O_Data(), Table_SourceData_Common_EFN2O[[#Headers],[Production system j]], 0)</f>
        <v>Any</v>
      </c>
      <c r="H188" s="32" t="str" cm="1">
        <f t="array" ref="H188">Common_InputFunctions.Utility_DisplayArrayInTable(Common_SourceData.Common_SourceData_EFN2O_Data(), Table_SourceData_Common_EFN2O[[#Headers],[Production system j]], 0)</f>
        <v>Any</v>
      </c>
    </row>
    <row r="189" spans="4:68" ht="20.100000000000001" customHeight="1" x14ac:dyDescent="0.25">
      <c r="D189" s="32" t="str" cm="1">
        <f t="array" ref="D189">Common_InputFunctions.Utility_DisplayArrayInTable(Common_SourceData.Common_SourceData_EFN2O_Data(), Table_SourceData_Common_EFN2O[[#Headers],[Production system j]], 0)</f>
        <v>Non-irrigated pasture</v>
      </c>
      <c r="E189" s="32" cm="1">
        <f t="array" ref="E189">Common_InputFunctions.Utility_DisplayArrayInTable(Common_SourceData.Common_SourceData_EFN2O_Data(), Table_SourceData_Common_EFN2O[[#Headers],[Production system j]], 0)</f>
        <v>1.8E-3</v>
      </c>
      <c r="F189" s="32" t="str" cm="1">
        <f t="array" ref="F189">Common_InputFunctions.Utility_DisplayArrayInTable(Common_SourceData.Common_SourceData_EFN2O_Data(), Table_SourceData_Common_EFN2O[[#Headers],[Production system j]], 0)</f>
        <v>Pasture</v>
      </c>
      <c r="G189" s="32" t="str" cm="1">
        <f t="array" ref="G189">Common_InputFunctions.Utility_DisplayArrayInTable(Common_SourceData.Common_SourceData_EFN2O_Data(), Table_SourceData_Common_EFN2O[[#Headers],[Production system j]], 0)</f>
        <v>Not irrigated</v>
      </c>
      <c r="H189" s="32"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2" t="str" cm="1">
        <f t="array" ref="D190">Common_InputFunctions.Utility_DisplayArrayInTable(Common_SourceData.Common_SourceData_EFN2O_Data(), Table_SourceData_Common_EFN2O[[#Headers],[Production system j]], 0)</f>
        <v>Non-irrigated pasture</v>
      </c>
      <c r="E190" s="32" cm="1">
        <f t="array" ref="E190">Common_InputFunctions.Utility_DisplayArrayInTable(Common_SourceData.Common_SourceData_EFN2O_Data(), Table_SourceData_Common_EFN2O[[#Headers],[Production system j]], 0)</f>
        <v>1.8E-3</v>
      </c>
      <c r="F190" s="32" t="str" cm="1">
        <f t="array" ref="F190">Common_InputFunctions.Utility_DisplayArrayInTable(Common_SourceData.Common_SourceData_EFN2O_Data(), Table_SourceData_Common_EFN2O[[#Headers],[Production system j]], 0)</f>
        <v>Pasture</v>
      </c>
      <c r="G190" s="32" t="str" cm="1">
        <f t="array" ref="G190">Common_InputFunctions.Utility_DisplayArrayInTable(Common_SourceData.Common_SourceData_EFN2O_Data(), Table_SourceData_Common_EFN2O[[#Headers],[Production system j]], 0)</f>
        <v>Not irrigated</v>
      </c>
      <c r="H190" s="32"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2" t="str" cm="1">
        <f t="array" ref="D191">Common_InputFunctions.Utility_DisplayArrayInTable(Common_SourceData.Common_SourceData_EFN2O_Data(), Table_SourceData_Common_EFN2O[[#Headers],[Production system j]], 0)</f>
        <v>Non-irrigated crop (low rainfall)</v>
      </c>
      <c r="E191" s="32" cm="1">
        <f t="array" ref="E191">Common_InputFunctions.Utility_DisplayArrayInTable(Common_SourceData.Common_SourceData_EFN2O_Data(), Table_SourceData_Common_EFN2O[[#Headers],[Production system j]], 0)</f>
        <v>2.8999999999999998E-3</v>
      </c>
      <c r="F191" s="32" t="str" cm="1">
        <f t="array" ref="F191">Common_InputFunctions.Utility_DisplayArrayInTable(Common_SourceData.Common_SourceData_EFN2O_Data(), Table_SourceData_Common_EFN2O[[#Headers],[Production system j]], 0)</f>
        <v>Crop</v>
      </c>
      <c r="G191" s="32" t="str" cm="1">
        <f t="array" ref="G191">Common_InputFunctions.Utility_DisplayArrayInTable(Common_SourceData.Common_SourceData_EFN2O_Data(), Table_SourceData_Common_EFN2O[[#Headers],[Production system j]], 0)</f>
        <v>Not irrigated</v>
      </c>
      <c r="H191" s="32"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2" t="str" cm="1">
        <f t="array" ref="D192">Common_InputFunctions.Utility_DisplayArrayInTable(Common_SourceData.Common_SourceData_EFN2O_Data(), Table_SourceData_Common_EFN2O[[#Headers],[Production system j]], 0)</f>
        <v>Non-irrigated crop (high rainfall)</v>
      </c>
      <c r="E192" s="32" cm="1">
        <f t="array" ref="E192">Common_InputFunctions.Utility_DisplayArrayInTable(Common_SourceData.Common_SourceData_EFN2O_Data(), Table_SourceData_Common_EFN2O[[#Headers],[Production system j]], 0)</f>
        <v>8.0000000000000002E-3</v>
      </c>
      <c r="F192" s="32" t="str" cm="1">
        <f t="array" ref="F192">Common_InputFunctions.Utility_DisplayArrayInTable(Common_SourceData.Common_SourceData_EFN2O_Data(), Table_SourceData_Common_EFN2O[[#Headers],[Production system j]], 0)</f>
        <v>Crop</v>
      </c>
      <c r="G192" s="32" t="str" cm="1">
        <f t="array" ref="G192">Common_InputFunctions.Utility_DisplayArrayInTable(Common_SourceData.Common_SourceData_EFN2O_Data(), Table_SourceData_Common_EFN2O[[#Headers],[Production system j]], 0)</f>
        <v>Not irrigated</v>
      </c>
      <c r="H192" s="32"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2" t="str" cm="1">
        <f t="array" ref="D193">Common_InputFunctions.Utility_DisplayArrayInTable(Common_SourceData.Common_SourceData_EFN2O_Data(), Table_SourceData_Common_EFN2O[[#Headers],[Production system j]], 0)</f>
        <v>Sugar</v>
      </c>
      <c r="E193" s="32" cm="1">
        <f t="array" ref="E193">Common_InputFunctions.Utility_DisplayArrayInTable(Common_SourceData.Common_SourceData_EFN2O_Data(), Table_SourceData_Common_EFN2O[[#Headers],[Production system j]], 0)</f>
        <v>1.9900000000000001E-2</v>
      </c>
      <c r="F193" s="32" t="str" cm="1">
        <f t="array" ref="F193">Common_InputFunctions.Utility_DisplayArrayInTable(Common_SourceData.Common_SourceData_EFN2O_Data(), Table_SourceData_Common_EFN2O[[#Headers],[Production system j]], 0)</f>
        <v>Sugar</v>
      </c>
      <c r="G193" s="32" t="str" cm="1">
        <f t="array" ref="G193">Common_InputFunctions.Utility_DisplayArrayInTable(Common_SourceData.Common_SourceData_EFN2O_Data(), Table_SourceData_Common_EFN2O[[#Headers],[Production system j]], 0)</f>
        <v>Any</v>
      </c>
      <c r="H193" s="32" t="str" cm="1">
        <f t="array" ref="H193">Common_InputFunctions.Utility_DisplayArrayInTable(Common_SourceData.Common_SourceData_EFN2O_Data(), Table_SourceData_Common_EFN2O[[#Headers],[Production system j]], 0)</f>
        <v>Any</v>
      </c>
    </row>
    <row r="194" spans="4:8" ht="20.100000000000001" customHeight="1" x14ac:dyDescent="0.25">
      <c r="D194" s="32" t="str" cm="1">
        <f t="array" ref="D194">Common_InputFunctions.Utility_DisplayArrayInTable(Common_SourceData.Common_SourceData_EFN2O_Data(), Table_SourceData_Common_EFN2O[[#Headers],[Production system j]], 0)</f>
        <v>Cotton</v>
      </c>
      <c r="E194" s="32" cm="1">
        <f t="array" ref="E194">Common_InputFunctions.Utility_DisplayArrayInTable(Common_SourceData.Common_SourceData_EFN2O_Data(), Table_SourceData_Common_EFN2O[[#Headers],[Production system j]], 0)</f>
        <v>5.3E-3</v>
      </c>
      <c r="F194" s="32" t="str" cm="1">
        <f t="array" ref="F194">Common_InputFunctions.Utility_DisplayArrayInTable(Common_SourceData.Common_SourceData_EFN2O_Data(), Table_SourceData_Common_EFN2O[[#Headers],[Production system j]], 0)</f>
        <v>Cotton</v>
      </c>
      <c r="G194" s="32" t="str" cm="1">
        <f t="array" ref="G194">Common_InputFunctions.Utility_DisplayArrayInTable(Common_SourceData.Common_SourceData_EFN2O_Data(), Table_SourceData_Common_EFN2O[[#Headers],[Production system j]], 0)</f>
        <v>Any</v>
      </c>
      <c r="H194" s="32" t="str" cm="1">
        <f t="array" ref="H194">Common_InputFunctions.Utility_DisplayArrayInTable(Common_SourceData.Common_SourceData_EFN2O_Data(), Table_SourceData_Common_EFN2O[[#Headers],[Production system j]], 0)</f>
        <v>Any</v>
      </c>
    </row>
    <row r="195" spans="4:8" ht="20.100000000000001" customHeight="1" x14ac:dyDescent="0.25">
      <c r="D195" s="32" t="str" cm="1">
        <f t="array" ref="D195">Common_InputFunctions.Utility_DisplayArrayInTable(Common_SourceData.Common_SourceData_EFN2O_Data(), Table_SourceData_Common_EFN2O[[#Headers],[Production system j]], 0)</f>
        <v>Horticultural crops</v>
      </c>
      <c r="E195" s="32" cm="1">
        <f t="array" ref="E195">Common_InputFunctions.Utility_DisplayArrayInTable(Common_SourceData.Common_SourceData_EFN2O_Data(), Table_SourceData_Common_EFN2O[[#Headers],[Production system j]], 0)</f>
        <v>6.4000000000000003E-3</v>
      </c>
      <c r="F195" s="32" t="str" cm="1">
        <f t="array" ref="F195">Common_InputFunctions.Utility_DisplayArrayInTable(Common_SourceData.Common_SourceData_EFN2O_Data(), Table_SourceData_Common_EFN2O[[#Headers],[Production system j]], 0)</f>
        <v>Horticultural crops</v>
      </c>
      <c r="G195" s="32" t="str" cm="1">
        <f t="array" ref="G195">Common_InputFunctions.Utility_DisplayArrayInTable(Common_SourceData.Common_SourceData_EFN2O_Data(), Table_SourceData_Common_EFN2O[[#Headers],[Production system j]], 0)</f>
        <v>Any</v>
      </c>
      <c r="H195" s="32" t="str" cm="1">
        <f t="array" ref="H195">Common_InputFunctions.Utility_DisplayArrayInTable(Common_SourceData.Common_SourceData_EFN2O_Data(), Table_SourceData_Common_EFN2O[[#Headers],[Production system j]], 0)</f>
        <v>Any</v>
      </c>
    </row>
    <row r="196" spans="4:8" ht="20.100000000000001" customHeight="1" x14ac:dyDescent="0.25">
      <c r="D196" s="32" t="str" cm="1">
        <f t="array" ref="D196">Common_InputFunctions.Utility_DisplayArrayInTable(Common_SourceData.Common_SourceData_EFN2O_Data(), Table_SourceData_Common_EFN2O[[#Headers],[Production system j]], 0)</f>
        <v>Rice (continuous flooding)</v>
      </c>
      <c r="E196" s="32" cm="1">
        <f t="array" ref="E196">Common_InputFunctions.Utility_DisplayArrayInTable(Common_SourceData.Common_SourceData_EFN2O_Data(), Table_SourceData_Common_EFN2O[[#Headers],[Production system j]], 0)</f>
        <v>3.0000000000000001E-3</v>
      </c>
      <c r="F196" s="32" t="str" cm="1">
        <f t="array" ref="F196">Common_InputFunctions.Utility_DisplayArrayInTable(Common_SourceData.Common_SourceData_EFN2O_Data(), Table_SourceData_Common_EFN2O[[#Headers],[Production system j]], 0)</f>
        <v>Rice</v>
      </c>
      <c r="G196" s="32" t="str" cm="1">
        <f t="array" ref="G196">Common_InputFunctions.Utility_DisplayArrayInTable(Common_SourceData.Common_SourceData_EFN2O_Data(), Table_SourceData_Common_EFN2O[[#Headers],[Production system j]], 0)</f>
        <v>Continuous flooding</v>
      </c>
      <c r="H196" s="32" t="str" cm="1">
        <f t="array" ref="H196">Common_InputFunctions.Utility_DisplayArrayInTable(Common_SourceData.Common_SourceData_EFN2O_Data(), Table_SourceData_Common_EFN2O[[#Headers],[Production system j]], 0)</f>
        <v>Any</v>
      </c>
    </row>
    <row r="197" spans="4:8" x14ac:dyDescent="0.25">
      <c r="D197" s="32" t="str" cm="1">
        <f t="array" ref="D197">Common_InputFunctions.Utility_DisplayArrayInTable(Common_SourceData.Common_SourceData_EFN2O_Data(), Table_SourceData_Common_EFN2O[[#Headers],[Production system j]], 0)</f>
        <v>Rice (single and multiple drainage, or alternate wetting and drying)</v>
      </c>
      <c r="E197" s="32" cm="1">
        <f t="array" ref="E197">Common_InputFunctions.Utility_DisplayArrayInTable(Common_SourceData.Common_SourceData_EFN2O_Data(), Table_SourceData_Common_EFN2O[[#Headers],[Production system j]], 0)</f>
        <v>5.0000000000000001E-3</v>
      </c>
      <c r="F197" s="32" t="str" cm="1">
        <f t="array" ref="F197">Common_InputFunctions.Utility_DisplayArrayInTable(Common_SourceData.Common_SourceData_EFN2O_Data(), Table_SourceData_Common_EFN2O[[#Headers],[Production system j]], 0)</f>
        <v>Rice</v>
      </c>
      <c r="G197" s="32" t="str" cm="1">
        <f t="array" ref="G197">Common_InputFunctions.Utility_DisplayArrayInTable(Common_SourceData.Common_SourceData_EFN2O_Data(), Table_SourceData_Common_EFN2O[[#Headers],[Production system j]], 0)</f>
        <v>Single and multiple drainage, or alternate wetting and drying</v>
      </c>
      <c r="H197" s="32" t="str" cm="1">
        <f t="array" ref="H197">Common_InputFunctions.Utility_DisplayArrayInTable(Common_SourceData.Common_SourceData_EFN2O_Data(), Table_SourceData_Common_EFN2O[[#Headers],[Production system j]], 0)</f>
        <v>Any</v>
      </c>
    </row>
    <row r="198" spans="4:8" x14ac:dyDescent="0.25">
      <c r="D198" s="32" t="str" cm="1">
        <f t="array" ref="D198">Common_InputFunctions.Utility_DisplayArrayInTable(Common_SourceData.Common_SourceData_EFN2O_Data(), Table_SourceData_Common_EFN2O[[#Headers],[Production system j]], 0)</f>
        <v>Aquaculture</v>
      </c>
      <c r="E198" s="32" cm="1">
        <f t="array" ref="E198">Common_InputFunctions.Utility_DisplayArrayInTable(Common_SourceData.Common_SourceData_EFN2O_Data(), Table_SourceData_Common_EFN2O[[#Headers],[Production system j]], 0)</f>
        <v>2.5999999999999999E-3</v>
      </c>
      <c r="F198" s="32" t="str" cm="1">
        <f t="array" ref="F198">Common_InputFunctions.Utility_DisplayArrayInTable(Common_SourceData.Common_SourceData_EFN2O_Data(), Table_SourceData_Common_EFN2O[[#Headers],[Production system j]], 0)</f>
        <v>Aquaculture</v>
      </c>
      <c r="G198" s="32" t="str" cm="1">
        <f t="array" ref="G198">Common_InputFunctions.Utility_DisplayArrayInTable(Common_SourceData.Common_SourceData_EFN2O_Data(), Table_SourceData_Common_EFN2O[[#Headers],[Production system j]], 0)</f>
        <v>Any</v>
      </c>
      <c r="H198" s="32" t="str" cm="1">
        <f t="array" ref="H198">Common_InputFunctions.Utility_DisplayArrayInTable(Common_SourceData.Common_SourceData_EFN2O_Data(), Table_SourceData_Common_EFN2O[[#Headers],[Production system j]], 0)</f>
        <v>Any</v>
      </c>
    </row>
    <row r="199" spans="4:8" x14ac:dyDescent="0.25">
      <c r="D199" s="32" t="str" cm="1">
        <f t="array" ref="D199">Common_InputFunctions.Utility_DisplayArrayInTable(Common_SourceData.Common_SourceData_EFN2O_Data(), Table_SourceData_Common_EFN2O[[#Headers],[Production system j]], 0)</f>
        <v>Forestry</v>
      </c>
      <c r="E199" s="32" cm="1">
        <f t="array" ref="E199">Common_InputFunctions.Utility_DisplayArrayInTable(Common_SourceData.Common_SourceData_EFN2O_Data(), Table_SourceData_Common_EFN2O[[#Headers],[Production system j]], 0)</f>
        <v>1.8E-3</v>
      </c>
      <c r="F199" s="32" t="str" cm="1">
        <f t="array" ref="F199">Common_InputFunctions.Utility_DisplayArrayInTable(Common_SourceData.Common_SourceData_EFN2O_Data(), Table_SourceData_Common_EFN2O[[#Headers],[Production system j]], 0)</f>
        <v>Forestry</v>
      </c>
      <c r="G199" s="32" t="str" cm="1">
        <f t="array" ref="G199">Common_InputFunctions.Utility_DisplayArrayInTable(Common_SourceData.Common_SourceData_EFN2O_Data(), Table_SourceData_Common_EFN2O[[#Headers],[Production system j]], 0)</f>
        <v>Any</v>
      </c>
      <c r="H199" s="32"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9" t="str" cm="1">
        <f t="array" ref="D203">Common_SourceData.Common_SourceData_EFPastureRangeAndPaddock_Source()</f>
        <v>VEERG 2026: Table A.2.2.2</v>
      </c>
    </row>
    <row r="204" spans="4:8" x14ac:dyDescent="0.25">
      <c r="D204" s="38"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2" t="s">
        <v>53</v>
      </c>
      <c r="E206" s="32" t="s">
        <v>87</v>
      </c>
    </row>
    <row r="207" spans="4:8" x14ac:dyDescent="0.25">
      <c r="D207" s="32" t="str" cm="1">
        <f t="array" ref="D207">Common_InputFunctions.Utility_DisplayArrayInTable(Common_SourceData.Common_SourceData_EFPastureRangeAndPaddock_Data(), Table_SourceData_EFPastureRangeAndPaddock[[#Headers],[Climate zone]], 0)</f>
        <v>Wet climate zone</v>
      </c>
      <c r="E207" s="32"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2"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2" t="s">
        <v>88</v>
      </c>
      <c r="E212" s="32" t="s">
        <v>89</v>
      </c>
    </row>
    <row r="213" spans="4:5" x14ac:dyDescent="0.25">
      <c r="D213" s="32" t="str" cm="1">
        <f t="array" ref="D213">Common_InputFunctions.Utility_DisplayArrayInTable(Common_SourceData.Common_SourceData_MonthsToSeasons_Data(), Table_SourceData_Common_MonthToSeason[[#Headers],[Month]], 0)</f>
        <v>January</v>
      </c>
      <c r="E213" s="32"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2"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2"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2"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2"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2"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2"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2"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2"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2"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2"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2"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9" t="str" cm="1">
        <f t="array" ref="D228">Common_SourceData.Common_SourceData_MCFTemperatureZone_Source()</f>
        <v>VEERG 2026: Table A.1.8.1</v>
      </c>
    </row>
    <row r="229" spans="4:19" x14ac:dyDescent="0.25">
      <c r="D229" s="3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2" t="s">
        <v>90</v>
      </c>
      <c r="E231" s="32" t="s">
        <v>91</v>
      </c>
      <c r="F231" s="39" t="s">
        <v>92</v>
      </c>
      <c r="G231" s="32" t="s">
        <v>93</v>
      </c>
      <c r="H231" s="32" t="s">
        <v>94</v>
      </c>
      <c r="I231" s="32" t="s">
        <v>95</v>
      </c>
      <c r="J231" s="32" t="s">
        <v>96</v>
      </c>
      <c r="K231" s="32" t="s">
        <v>97</v>
      </c>
      <c r="L231" s="32" t="s">
        <v>98</v>
      </c>
      <c r="M231" s="32" t="s">
        <v>99</v>
      </c>
      <c r="N231" s="32" t="s">
        <v>100</v>
      </c>
      <c r="O231" s="32" t="s">
        <v>101</v>
      </c>
      <c r="P231" s="32" t="s">
        <v>102</v>
      </c>
      <c r="Q231" s="32" t="s">
        <v>103</v>
      </c>
      <c r="R231" s="32" t="s">
        <v>104</v>
      </c>
      <c r="S231" s="32" t="s">
        <v>105</v>
      </c>
    </row>
    <row r="232" spans="4:19" x14ac:dyDescent="0.25">
      <c r="D232" s="32" t="str" cm="1">
        <f t="array" ref="D232">Common_InputFunctions.Utility_DisplayArrayInTable(Common_SourceData.Common_SourceData_MCFTemperatureZone_Data(),Table_SourceData_Common_MCFTemperatureZone[[#Headers],[Temperature zone]],0)</f>
        <v>Cool</v>
      </c>
      <c r="E232" s="32" t="str" cm="1">
        <f t="array" ref="E232">Common_InputFunctions.Utility_DisplayArrayInTable(Common_SourceData.Common_SourceData_MCFTemperatureZone_Data(),Table_SourceData_Common_MCFTemperatureZone[[#Headers],[Temperature zone]],0)</f>
        <v>≤10</v>
      </c>
      <c r="F232" s="32" cm="1">
        <f t="array" ref="F232">Common_InputFunctions.Utility_DisplayArrayInTable(Common_SourceData.Common_SourceData_MCFTemperatureZone_Data(),Table_SourceData_Common_MCFTemperatureZone[[#Headers],[Temperature zone]],0)</f>
        <v>0.66</v>
      </c>
      <c r="G232" s="32" cm="1">
        <f t="array" ref="G232">Common_InputFunctions.Utility_DisplayArrayInTable(Common_SourceData.Common_SourceData_MCFTemperatureZone_Data(),Table_SourceData_Common_MCFTemperatureZone[[#Headers],[Temperature zone]],0)</f>
        <v>0.1</v>
      </c>
      <c r="H232" s="32" cm="1">
        <f t="array" ref="H232">Common_InputFunctions.Utility_DisplayArrayInTable(Common_SourceData.Common_SourceData_MCFTemperatureZone_Data(),Table_SourceData_Common_MCFTemperatureZone[[#Headers],[Temperature zone]],0)</f>
        <v>0.1</v>
      </c>
      <c r="I232" s="32" cm="1">
        <f t="array" ref="I232">Common_InputFunctions.Utility_DisplayArrayInTable(Common_SourceData.Common_SourceData_MCFTemperatureZone_Data(),Table_SourceData_Common_MCFTemperatureZone[[#Headers],[Temperature zone]],0)</f>
        <v>1E-3</v>
      </c>
      <c r="J232" s="32" cm="1">
        <f t="array" ref="J232">Common_InputFunctions.Utility_DisplayArrayInTable(Common_SourceData.Common_SourceData_MCFTemperatureZone_Data(),Table_SourceData_Common_MCFTemperatureZone[[#Headers],[Temperature zone]],0)</f>
        <v>5.0000000000000001E-3</v>
      </c>
      <c r="K232" s="32" cm="1">
        <f t="array" ref="K232">Common_InputFunctions.Utility_DisplayArrayInTable(Common_SourceData.Common_SourceData_MCFTemperatureZone_Data(),Table_SourceData_Common_MCFTemperatureZone[[#Headers],[Temperature zone]],0)</f>
        <v>0.02</v>
      </c>
      <c r="L232" s="32" cm="1">
        <f t="array" ref="L232">Common_InputFunctions.Utility_DisplayArrayInTable(Common_SourceData.Common_SourceData_MCFTemperatureZone_Data(),Table_SourceData_Common_MCFTemperatureZone[[#Headers],[Temperature zone]],0)</f>
        <v>0.03</v>
      </c>
      <c r="M232" s="32" cm="1">
        <f t="array" ref="M232">Common_InputFunctions.Utility_DisplayArrayInTable(Common_SourceData.Common_SourceData_MCFTemperatureZone_Data(),Table_SourceData_Common_MCFTemperatureZone[[#Headers],[Temperature zone]],0)</f>
        <v>0.04</v>
      </c>
      <c r="N232" s="32" cm="1">
        <f t="array" ref="N232">Common_InputFunctions.Utility_DisplayArrayInTable(Common_SourceData.Common_SourceData_MCFTemperatureZone_Data(),Table_SourceData_Common_MCFTemperatureZone[[#Headers],[Temperature zone]],0)</f>
        <v>1.4999999999999999E-2</v>
      </c>
      <c r="O232" s="32" cm="1">
        <f t="array" ref="O232">Common_InputFunctions.Utility_DisplayArrayInTable(Common_SourceData.Common_SourceData_MCFTemperatureZone_Data(),Table_SourceData_Common_MCFTemperatureZone[[#Headers],[Temperature zone]],0)</f>
        <v>1.4999999999999999E-2</v>
      </c>
      <c r="P232" s="32" cm="1">
        <f t="array" ref="P232">Common_InputFunctions.Utility_DisplayArrayInTable(Common_SourceData.Common_SourceData_MCFTemperatureZone_Data(),Table_SourceData_Common_MCFTemperatureZone[[#Headers],[Temperature zone]],0)</f>
        <v>0</v>
      </c>
      <c r="Q232" s="32" cm="1">
        <f t="array" ref="Q232">Common_InputFunctions.Utility_DisplayArrayInTable(Common_SourceData.Common_SourceData_MCFTemperatureZone_Data(),Table_SourceData_Common_MCFTemperatureZone[[#Headers],[Temperature zone]],0)</f>
        <v>0</v>
      </c>
      <c r="R232" s="32" cm="1">
        <f t="array" ref="R232">Common_InputFunctions.Utility_DisplayArrayInTable(Common_SourceData.Common_SourceData_MCFTemperatureZone_Data(),Table_SourceData_Common_MCFTemperatureZone[[#Headers],[Temperature zone]],0)</f>
        <v>4.7000000000000002E-3</v>
      </c>
      <c r="S232" s="32"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2" cm="1">
        <f t="array" ref="E233">Common_InputFunctions.Utility_DisplayArrayInTable(Common_SourceData.Common_SourceData_MCFTemperatureZone_Data(),Table_SourceData_Common_MCFTemperatureZone[[#Headers],[Temperature zone]],0)</f>
        <v>11</v>
      </c>
      <c r="F233" s="32" cm="1">
        <f t="array" ref="F233">Common_InputFunctions.Utility_DisplayArrayInTable(Common_SourceData.Common_SourceData_MCFTemperatureZone_Data(),Table_SourceData_Common_MCFTemperatureZone[[#Headers],[Temperature zone]],0)</f>
        <v>0.68</v>
      </c>
      <c r="G233" s="32" cm="1">
        <f t="array" ref="G233">Common_InputFunctions.Utility_DisplayArrayInTable(Common_SourceData.Common_SourceData_MCFTemperatureZone_Data(),Table_SourceData_Common_MCFTemperatureZone[[#Headers],[Temperature zone]],0)</f>
        <v>0.1</v>
      </c>
      <c r="H233" s="32" cm="1">
        <f t="array" ref="H233">Common_InputFunctions.Utility_DisplayArrayInTable(Common_SourceData.Common_SourceData_MCFTemperatureZone_Data(),Table_SourceData_Common_MCFTemperatureZone[[#Headers],[Temperature zone]],0)</f>
        <v>0.11</v>
      </c>
      <c r="I233" s="32" cm="1">
        <f t="array" ref="I233">Common_InputFunctions.Utility_DisplayArrayInTable(Common_SourceData.Common_SourceData_MCFTemperatureZone_Data(),Table_SourceData_Common_MCFTemperatureZone[[#Headers],[Temperature zone]],0)</f>
        <v>1E-3</v>
      </c>
      <c r="J233" s="32" cm="1">
        <f t="array" ref="J233">Common_InputFunctions.Utility_DisplayArrayInTable(Common_SourceData.Common_SourceData_MCFTemperatureZone_Data(),Table_SourceData_Common_MCFTemperatureZone[[#Headers],[Temperature zone]],0)</f>
        <v>5.0000000000000001E-3</v>
      </c>
      <c r="K233" s="32" cm="1">
        <f t="array" ref="K233">Common_InputFunctions.Utility_DisplayArrayInTable(Common_SourceData.Common_SourceData_MCFTemperatureZone_Data(),Table_SourceData_Common_MCFTemperatureZone[[#Headers],[Temperature zone]],0)</f>
        <v>0.02</v>
      </c>
      <c r="L233" s="32" cm="1">
        <f t="array" ref="L233">Common_InputFunctions.Utility_DisplayArrayInTable(Common_SourceData.Common_SourceData_MCFTemperatureZone_Data(),Table_SourceData_Common_MCFTemperatureZone[[#Headers],[Temperature zone]],0)</f>
        <v>0.03</v>
      </c>
      <c r="M233" s="32" cm="1">
        <f t="array" ref="M233">Common_InputFunctions.Utility_DisplayArrayInTable(Common_SourceData.Common_SourceData_MCFTemperatureZone_Data(),Table_SourceData_Common_MCFTemperatureZone[[#Headers],[Temperature zone]],0)</f>
        <v>0.04</v>
      </c>
      <c r="N233" s="32" cm="1">
        <f t="array" ref="N233">Common_InputFunctions.Utility_DisplayArrayInTable(Common_SourceData.Common_SourceData_MCFTemperatureZone_Data(),Table_SourceData_Common_MCFTemperatureZone[[#Headers],[Temperature zone]],0)</f>
        <v>1.4999999999999999E-2</v>
      </c>
      <c r="O233" s="32" cm="1">
        <f t="array" ref="O233">Common_InputFunctions.Utility_DisplayArrayInTable(Common_SourceData.Common_SourceData_MCFTemperatureZone_Data(),Table_SourceData_Common_MCFTemperatureZone[[#Headers],[Temperature zone]],0)</f>
        <v>1.4999999999999999E-2</v>
      </c>
      <c r="P233" s="32" cm="1">
        <f t="array" ref="P233">Common_InputFunctions.Utility_DisplayArrayInTable(Common_SourceData.Common_SourceData_MCFTemperatureZone_Data(),Table_SourceData_Common_MCFTemperatureZone[[#Headers],[Temperature zone]],0)</f>
        <v>0</v>
      </c>
      <c r="Q233" s="32" cm="1">
        <f t="array" ref="Q233">Common_InputFunctions.Utility_DisplayArrayInTable(Common_SourceData.Common_SourceData_MCFTemperatureZone_Data(),Table_SourceData_Common_MCFTemperatureZone[[#Headers],[Temperature zone]],0)</f>
        <v>0</v>
      </c>
      <c r="R233" s="32" cm="1">
        <f t="array" ref="R233">Common_InputFunctions.Utility_DisplayArrayInTable(Common_SourceData.Common_SourceData_MCFTemperatureZone_Data(),Table_SourceData_Common_MCFTemperatureZone[[#Headers],[Temperature zone]],0)</f>
        <v>4.7000000000000002E-3</v>
      </c>
      <c r="S233" s="32"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2" cm="1">
        <f t="array" ref="E234">Common_InputFunctions.Utility_DisplayArrayInTable(Common_SourceData.Common_SourceData_MCFTemperatureZone_Data(),Table_SourceData_Common_MCFTemperatureZone[[#Headers],[Temperature zone]],0)</f>
        <v>12</v>
      </c>
      <c r="F234" s="32" cm="1">
        <f t="array" ref="F234">Common_InputFunctions.Utility_DisplayArrayInTable(Common_SourceData.Common_SourceData_MCFTemperatureZone_Data(),Table_SourceData_Common_MCFTemperatureZone[[#Headers],[Temperature zone]],0)</f>
        <v>0.7</v>
      </c>
      <c r="G234" s="32" cm="1">
        <f t="array" ref="G234">Common_InputFunctions.Utility_DisplayArrayInTable(Common_SourceData.Common_SourceData_MCFTemperatureZone_Data(),Table_SourceData_Common_MCFTemperatureZone[[#Headers],[Temperature zone]],0)</f>
        <v>0.1</v>
      </c>
      <c r="H234" s="32" cm="1">
        <f t="array" ref="H234">Common_InputFunctions.Utility_DisplayArrayInTable(Common_SourceData.Common_SourceData_MCFTemperatureZone_Data(),Table_SourceData_Common_MCFTemperatureZone[[#Headers],[Temperature zone]],0)</f>
        <v>0.13</v>
      </c>
      <c r="I234" s="32" cm="1">
        <f t="array" ref="I234">Common_InputFunctions.Utility_DisplayArrayInTable(Common_SourceData.Common_SourceData_MCFTemperatureZone_Data(),Table_SourceData_Common_MCFTemperatureZone[[#Headers],[Temperature zone]],0)</f>
        <v>1E-3</v>
      </c>
      <c r="J234" s="32" cm="1">
        <f t="array" ref="J234">Common_InputFunctions.Utility_DisplayArrayInTable(Common_SourceData.Common_SourceData_MCFTemperatureZone_Data(),Table_SourceData_Common_MCFTemperatureZone[[#Headers],[Temperature zone]],0)</f>
        <v>5.0000000000000001E-3</v>
      </c>
      <c r="K234" s="32" cm="1">
        <f t="array" ref="K234">Common_InputFunctions.Utility_DisplayArrayInTable(Common_SourceData.Common_SourceData_MCFTemperatureZone_Data(),Table_SourceData_Common_MCFTemperatureZone[[#Headers],[Temperature zone]],0)</f>
        <v>0.02</v>
      </c>
      <c r="L234" s="32" cm="1">
        <f t="array" ref="L234">Common_InputFunctions.Utility_DisplayArrayInTable(Common_SourceData.Common_SourceData_MCFTemperatureZone_Data(),Table_SourceData_Common_MCFTemperatureZone[[#Headers],[Temperature zone]],0)</f>
        <v>0.03</v>
      </c>
      <c r="M234" s="32" cm="1">
        <f t="array" ref="M234">Common_InputFunctions.Utility_DisplayArrayInTable(Common_SourceData.Common_SourceData_MCFTemperatureZone_Data(),Table_SourceData_Common_MCFTemperatureZone[[#Headers],[Temperature zone]],0)</f>
        <v>0.04</v>
      </c>
      <c r="N234" s="32" cm="1">
        <f t="array" ref="N234">Common_InputFunctions.Utility_DisplayArrayInTable(Common_SourceData.Common_SourceData_MCFTemperatureZone_Data(),Table_SourceData_Common_MCFTemperatureZone[[#Headers],[Temperature zone]],0)</f>
        <v>1.4999999999999999E-2</v>
      </c>
      <c r="O234" s="32" cm="1">
        <f t="array" ref="O234">Common_InputFunctions.Utility_DisplayArrayInTable(Common_SourceData.Common_SourceData_MCFTemperatureZone_Data(),Table_SourceData_Common_MCFTemperatureZone[[#Headers],[Temperature zone]],0)</f>
        <v>1.4999999999999999E-2</v>
      </c>
      <c r="P234" s="32" cm="1">
        <f t="array" ref="P234">Common_InputFunctions.Utility_DisplayArrayInTable(Common_SourceData.Common_SourceData_MCFTemperatureZone_Data(),Table_SourceData_Common_MCFTemperatureZone[[#Headers],[Temperature zone]],0)</f>
        <v>0</v>
      </c>
      <c r="Q234" s="32" cm="1">
        <f t="array" ref="Q234">Common_InputFunctions.Utility_DisplayArrayInTable(Common_SourceData.Common_SourceData_MCFTemperatureZone_Data(),Table_SourceData_Common_MCFTemperatureZone[[#Headers],[Temperature zone]],0)</f>
        <v>0</v>
      </c>
      <c r="R234" s="32" cm="1">
        <f t="array" ref="R234">Common_InputFunctions.Utility_DisplayArrayInTable(Common_SourceData.Common_SourceData_MCFTemperatureZone_Data(),Table_SourceData_Common_MCFTemperatureZone[[#Headers],[Temperature zone]],0)</f>
        <v>4.7000000000000002E-3</v>
      </c>
      <c r="S234" s="32"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2" cm="1">
        <f t="array" ref="E235">Common_InputFunctions.Utility_DisplayArrayInTable(Common_SourceData.Common_SourceData_MCFTemperatureZone_Data(),Table_SourceData_Common_MCFTemperatureZone[[#Headers],[Temperature zone]],0)</f>
        <v>13</v>
      </c>
      <c r="F235" s="32" cm="1">
        <f t="array" ref="F235">Common_InputFunctions.Utility_DisplayArrayInTable(Common_SourceData.Common_SourceData_MCFTemperatureZone_Data(),Table_SourceData_Common_MCFTemperatureZone[[#Headers],[Temperature zone]],0)</f>
        <v>0.71</v>
      </c>
      <c r="G235" s="32" cm="1">
        <f t="array" ref="G235">Common_InputFunctions.Utility_DisplayArrayInTable(Common_SourceData.Common_SourceData_MCFTemperatureZone_Data(),Table_SourceData_Common_MCFTemperatureZone[[#Headers],[Temperature zone]],0)</f>
        <v>0.1</v>
      </c>
      <c r="H235" s="32" cm="1">
        <f t="array" ref="H235">Common_InputFunctions.Utility_DisplayArrayInTable(Common_SourceData.Common_SourceData_MCFTemperatureZone_Data(),Table_SourceData_Common_MCFTemperatureZone[[#Headers],[Temperature zone]],0)</f>
        <v>0.14000000000000001</v>
      </c>
      <c r="I235" s="32" cm="1">
        <f t="array" ref="I235">Common_InputFunctions.Utility_DisplayArrayInTable(Common_SourceData.Common_SourceData_MCFTemperatureZone_Data(),Table_SourceData_Common_MCFTemperatureZone[[#Headers],[Temperature zone]],0)</f>
        <v>1E-3</v>
      </c>
      <c r="J235" s="32" cm="1">
        <f t="array" ref="J235">Common_InputFunctions.Utility_DisplayArrayInTable(Common_SourceData.Common_SourceData_MCFTemperatureZone_Data(),Table_SourceData_Common_MCFTemperatureZone[[#Headers],[Temperature zone]],0)</f>
        <v>5.0000000000000001E-3</v>
      </c>
      <c r="K235" s="32" cm="1">
        <f t="array" ref="K235">Common_InputFunctions.Utility_DisplayArrayInTable(Common_SourceData.Common_SourceData_MCFTemperatureZone_Data(),Table_SourceData_Common_MCFTemperatureZone[[#Headers],[Temperature zone]],0)</f>
        <v>0.02</v>
      </c>
      <c r="L235" s="32" cm="1">
        <f t="array" ref="L235">Common_InputFunctions.Utility_DisplayArrayInTable(Common_SourceData.Common_SourceData_MCFTemperatureZone_Data(),Table_SourceData_Common_MCFTemperatureZone[[#Headers],[Temperature zone]],0)</f>
        <v>0.03</v>
      </c>
      <c r="M235" s="32" cm="1">
        <f t="array" ref="M235">Common_InputFunctions.Utility_DisplayArrayInTable(Common_SourceData.Common_SourceData_MCFTemperatureZone_Data(),Table_SourceData_Common_MCFTemperatureZone[[#Headers],[Temperature zone]],0)</f>
        <v>0.04</v>
      </c>
      <c r="N235" s="32" cm="1">
        <f t="array" ref="N235">Common_InputFunctions.Utility_DisplayArrayInTable(Common_SourceData.Common_SourceData_MCFTemperatureZone_Data(),Table_SourceData_Common_MCFTemperatureZone[[#Headers],[Temperature zone]],0)</f>
        <v>1.4999999999999999E-2</v>
      </c>
      <c r="O235" s="32" cm="1">
        <f t="array" ref="O235">Common_InputFunctions.Utility_DisplayArrayInTable(Common_SourceData.Common_SourceData_MCFTemperatureZone_Data(),Table_SourceData_Common_MCFTemperatureZone[[#Headers],[Temperature zone]],0)</f>
        <v>1.4999999999999999E-2</v>
      </c>
      <c r="P235" s="32" cm="1">
        <f t="array" ref="P235">Common_InputFunctions.Utility_DisplayArrayInTable(Common_SourceData.Common_SourceData_MCFTemperatureZone_Data(),Table_SourceData_Common_MCFTemperatureZone[[#Headers],[Temperature zone]],0)</f>
        <v>0</v>
      </c>
      <c r="Q235" s="32" cm="1">
        <f t="array" ref="Q235">Common_InputFunctions.Utility_DisplayArrayInTable(Common_SourceData.Common_SourceData_MCFTemperatureZone_Data(),Table_SourceData_Common_MCFTemperatureZone[[#Headers],[Temperature zone]],0)</f>
        <v>0</v>
      </c>
      <c r="R235" s="32" cm="1">
        <f t="array" ref="R235">Common_InputFunctions.Utility_DisplayArrayInTable(Common_SourceData.Common_SourceData_MCFTemperatureZone_Data(),Table_SourceData_Common_MCFTemperatureZone[[#Headers],[Temperature zone]],0)</f>
        <v>4.7000000000000002E-3</v>
      </c>
      <c r="S235" s="32"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2" cm="1">
        <f t="array" ref="E236">Common_InputFunctions.Utility_DisplayArrayInTable(Common_SourceData.Common_SourceData_MCFTemperatureZone_Data(),Table_SourceData_Common_MCFTemperatureZone[[#Headers],[Temperature zone]],0)</f>
        <v>14</v>
      </c>
      <c r="F236" s="32" cm="1">
        <f t="array" ref="F236">Common_InputFunctions.Utility_DisplayArrayInTable(Common_SourceData.Common_SourceData_MCFTemperatureZone_Data(),Table_SourceData_Common_MCFTemperatureZone[[#Headers],[Temperature zone]],0)</f>
        <v>0.73</v>
      </c>
      <c r="G236" s="32" cm="1">
        <f t="array" ref="G236">Common_InputFunctions.Utility_DisplayArrayInTable(Common_SourceData.Common_SourceData_MCFTemperatureZone_Data(),Table_SourceData_Common_MCFTemperatureZone[[#Headers],[Temperature zone]],0)</f>
        <v>0.1</v>
      </c>
      <c r="H236" s="32" cm="1">
        <f t="array" ref="H236">Common_InputFunctions.Utility_DisplayArrayInTable(Common_SourceData.Common_SourceData_MCFTemperatureZone_Data(),Table_SourceData_Common_MCFTemperatureZone[[#Headers],[Temperature zone]],0)</f>
        <v>0.15</v>
      </c>
      <c r="I236" s="32" cm="1">
        <f t="array" ref="I236">Common_InputFunctions.Utility_DisplayArrayInTable(Common_SourceData.Common_SourceData_MCFTemperatureZone_Data(),Table_SourceData_Common_MCFTemperatureZone[[#Headers],[Temperature zone]],0)</f>
        <v>1E-3</v>
      </c>
      <c r="J236" s="32" cm="1">
        <f t="array" ref="J236">Common_InputFunctions.Utility_DisplayArrayInTable(Common_SourceData.Common_SourceData_MCFTemperatureZone_Data(),Table_SourceData_Common_MCFTemperatureZone[[#Headers],[Temperature zone]],0)</f>
        <v>5.0000000000000001E-3</v>
      </c>
      <c r="K236" s="32" cm="1">
        <f t="array" ref="K236">Common_InputFunctions.Utility_DisplayArrayInTable(Common_SourceData.Common_SourceData_MCFTemperatureZone_Data(),Table_SourceData_Common_MCFTemperatureZone[[#Headers],[Temperature zone]],0)</f>
        <v>0.02</v>
      </c>
      <c r="L236" s="32" cm="1">
        <f t="array" ref="L236">Common_InputFunctions.Utility_DisplayArrayInTable(Common_SourceData.Common_SourceData_MCFTemperatureZone_Data(),Table_SourceData_Common_MCFTemperatureZone[[#Headers],[Temperature zone]],0)</f>
        <v>0.03</v>
      </c>
      <c r="M236" s="32" cm="1">
        <f t="array" ref="M236">Common_InputFunctions.Utility_DisplayArrayInTable(Common_SourceData.Common_SourceData_MCFTemperatureZone_Data(),Table_SourceData_Common_MCFTemperatureZone[[#Headers],[Temperature zone]],0)</f>
        <v>0.04</v>
      </c>
      <c r="N236" s="32" cm="1">
        <f t="array" ref="N236">Common_InputFunctions.Utility_DisplayArrayInTable(Common_SourceData.Common_SourceData_MCFTemperatureZone_Data(),Table_SourceData_Common_MCFTemperatureZone[[#Headers],[Temperature zone]],0)</f>
        <v>1.4999999999999999E-2</v>
      </c>
      <c r="O236" s="32" cm="1">
        <f t="array" ref="O236">Common_InputFunctions.Utility_DisplayArrayInTable(Common_SourceData.Common_SourceData_MCFTemperatureZone_Data(),Table_SourceData_Common_MCFTemperatureZone[[#Headers],[Temperature zone]],0)</f>
        <v>1.4999999999999999E-2</v>
      </c>
      <c r="P236" s="32" cm="1">
        <f t="array" ref="P236">Common_InputFunctions.Utility_DisplayArrayInTable(Common_SourceData.Common_SourceData_MCFTemperatureZone_Data(),Table_SourceData_Common_MCFTemperatureZone[[#Headers],[Temperature zone]],0)</f>
        <v>0</v>
      </c>
      <c r="Q236" s="32" cm="1">
        <f t="array" ref="Q236">Common_InputFunctions.Utility_DisplayArrayInTable(Common_SourceData.Common_SourceData_MCFTemperatureZone_Data(),Table_SourceData_Common_MCFTemperatureZone[[#Headers],[Temperature zone]],0)</f>
        <v>0</v>
      </c>
      <c r="R236" s="32" cm="1">
        <f t="array" ref="R236">Common_InputFunctions.Utility_DisplayArrayInTable(Common_SourceData.Common_SourceData_MCFTemperatureZone_Data(),Table_SourceData_Common_MCFTemperatureZone[[#Headers],[Temperature zone]],0)</f>
        <v>4.7000000000000002E-3</v>
      </c>
      <c r="S236" s="32"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2" cm="1">
        <f t="array" ref="E237">Common_InputFunctions.Utility_DisplayArrayInTable(Common_SourceData.Common_SourceData_MCFTemperatureZone_Data(),Table_SourceData_Common_MCFTemperatureZone[[#Headers],[Temperature zone]],0)</f>
        <v>15</v>
      </c>
      <c r="F237" s="32" cm="1">
        <f t="array" ref="F237">Common_InputFunctions.Utility_DisplayArrayInTable(Common_SourceData.Common_SourceData_MCFTemperatureZone_Data(),Table_SourceData_Common_MCFTemperatureZone[[#Headers],[Temperature zone]],0)</f>
        <v>0.74</v>
      </c>
      <c r="G237" s="32" cm="1">
        <f t="array" ref="G237">Common_InputFunctions.Utility_DisplayArrayInTable(Common_SourceData.Common_SourceData_MCFTemperatureZone_Data(),Table_SourceData_Common_MCFTemperatureZone[[#Headers],[Temperature zone]],0)</f>
        <v>0.1</v>
      </c>
      <c r="H237" s="32" cm="1">
        <f t="array" ref="H237">Common_InputFunctions.Utility_DisplayArrayInTable(Common_SourceData.Common_SourceData_MCFTemperatureZone_Data(),Table_SourceData_Common_MCFTemperatureZone[[#Headers],[Temperature zone]],0)</f>
        <v>0.17</v>
      </c>
      <c r="I237" s="32" cm="1">
        <f t="array" ref="I237">Common_InputFunctions.Utility_DisplayArrayInTable(Common_SourceData.Common_SourceData_MCFTemperatureZone_Data(),Table_SourceData_Common_MCFTemperatureZone[[#Headers],[Temperature zone]],0)</f>
        <v>5.0000000000000001E-3</v>
      </c>
      <c r="J237" s="32" cm="1">
        <f t="array" ref="J237">Common_InputFunctions.Utility_DisplayArrayInTable(Common_SourceData.Common_SourceData_MCFTemperatureZone_Data(),Table_SourceData_Common_MCFTemperatureZone[[#Headers],[Temperature zone]],0)</f>
        <v>0.01</v>
      </c>
      <c r="K237" s="32" cm="1">
        <f t="array" ref="K237">Common_InputFunctions.Utility_DisplayArrayInTable(Common_SourceData.Common_SourceData_MCFTemperatureZone_Data(),Table_SourceData_Common_MCFTemperatureZone[[#Headers],[Temperature zone]],0)</f>
        <v>0.02</v>
      </c>
      <c r="L237" s="32" cm="1">
        <f t="array" ref="L237">Common_InputFunctions.Utility_DisplayArrayInTable(Common_SourceData.Common_SourceData_MCFTemperatureZone_Data(),Table_SourceData_Common_MCFTemperatureZone[[#Headers],[Temperature zone]],0)</f>
        <v>0.03</v>
      </c>
      <c r="M237" s="32" cm="1">
        <f t="array" ref="M237">Common_InputFunctions.Utility_DisplayArrayInTable(Common_SourceData.Common_SourceData_MCFTemperatureZone_Data(),Table_SourceData_Common_MCFTemperatureZone[[#Headers],[Temperature zone]],0)</f>
        <v>0.04</v>
      </c>
      <c r="N237" s="32" cm="1">
        <f t="array" ref="N237">Common_InputFunctions.Utility_DisplayArrayInTable(Common_SourceData.Common_SourceData_MCFTemperatureZone_Data(),Table_SourceData_Common_MCFTemperatureZone[[#Headers],[Temperature zone]],0)</f>
        <v>1.4999999999999999E-2</v>
      </c>
      <c r="O237" s="32" cm="1">
        <f t="array" ref="O237">Common_InputFunctions.Utility_DisplayArrayInTable(Common_SourceData.Common_SourceData_MCFTemperatureZone_Data(),Table_SourceData_Common_MCFTemperatureZone[[#Headers],[Temperature zone]],0)</f>
        <v>1.4999999999999999E-2</v>
      </c>
      <c r="P237" s="32" cm="1">
        <f t="array" ref="P237">Common_InputFunctions.Utility_DisplayArrayInTable(Common_SourceData.Common_SourceData_MCFTemperatureZone_Data(),Table_SourceData_Common_MCFTemperatureZone[[#Headers],[Temperature zone]],0)</f>
        <v>0</v>
      </c>
      <c r="Q237" s="32" cm="1">
        <f t="array" ref="Q237">Common_InputFunctions.Utility_DisplayArrayInTable(Common_SourceData.Common_SourceData_MCFTemperatureZone_Data(),Table_SourceData_Common_MCFTemperatureZone[[#Headers],[Temperature zone]],0)</f>
        <v>0</v>
      </c>
      <c r="R237" s="32" cm="1">
        <f t="array" ref="R237">Common_InputFunctions.Utility_DisplayArrayInTable(Common_SourceData.Common_SourceData_MCFTemperatureZone_Data(),Table_SourceData_Common_MCFTemperatureZone[[#Headers],[Temperature zone]],0)</f>
        <v>4.7000000000000002E-3</v>
      </c>
      <c r="S237" s="32"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2" cm="1">
        <f t="array" ref="E238">Common_InputFunctions.Utility_DisplayArrayInTable(Common_SourceData.Common_SourceData_MCFTemperatureZone_Data(),Table_SourceData_Common_MCFTemperatureZone[[#Headers],[Temperature zone]],0)</f>
        <v>16</v>
      </c>
      <c r="F238" s="32" cm="1">
        <f t="array" ref="F238">Common_InputFunctions.Utility_DisplayArrayInTable(Common_SourceData.Common_SourceData_MCFTemperatureZone_Data(),Table_SourceData_Common_MCFTemperatureZone[[#Headers],[Temperature zone]],0)</f>
        <v>0.75</v>
      </c>
      <c r="G238" s="32" cm="1">
        <f t="array" ref="G238">Common_InputFunctions.Utility_DisplayArrayInTable(Common_SourceData.Common_SourceData_MCFTemperatureZone_Data(),Table_SourceData_Common_MCFTemperatureZone[[#Headers],[Temperature zone]],0)</f>
        <v>0.1</v>
      </c>
      <c r="H238" s="32" cm="1">
        <f t="array" ref="H238">Common_InputFunctions.Utility_DisplayArrayInTable(Common_SourceData.Common_SourceData_MCFTemperatureZone_Data(),Table_SourceData_Common_MCFTemperatureZone[[#Headers],[Temperature zone]],0)</f>
        <v>0.18</v>
      </c>
      <c r="I238" s="32" cm="1">
        <f t="array" ref="I238">Common_InputFunctions.Utility_DisplayArrayInTable(Common_SourceData.Common_SourceData_MCFTemperatureZone_Data(),Table_SourceData_Common_MCFTemperatureZone[[#Headers],[Temperature zone]],0)</f>
        <v>5.0000000000000001E-3</v>
      </c>
      <c r="J238" s="32" cm="1">
        <f t="array" ref="J238">Common_InputFunctions.Utility_DisplayArrayInTable(Common_SourceData.Common_SourceData_MCFTemperatureZone_Data(),Table_SourceData_Common_MCFTemperatureZone[[#Headers],[Temperature zone]],0)</f>
        <v>0.01</v>
      </c>
      <c r="K238" s="32" cm="1">
        <f t="array" ref="K238">Common_InputFunctions.Utility_DisplayArrayInTable(Common_SourceData.Common_SourceData_MCFTemperatureZone_Data(),Table_SourceData_Common_MCFTemperatureZone[[#Headers],[Temperature zone]],0)</f>
        <v>0.02</v>
      </c>
      <c r="L238" s="32" cm="1">
        <f t="array" ref="L238">Common_InputFunctions.Utility_DisplayArrayInTable(Common_SourceData.Common_SourceData_MCFTemperatureZone_Data(),Table_SourceData_Common_MCFTemperatureZone[[#Headers],[Temperature zone]],0)</f>
        <v>0.03</v>
      </c>
      <c r="M238" s="32" cm="1">
        <f t="array" ref="M238">Common_InputFunctions.Utility_DisplayArrayInTable(Common_SourceData.Common_SourceData_MCFTemperatureZone_Data(),Table_SourceData_Common_MCFTemperatureZone[[#Headers],[Temperature zone]],0)</f>
        <v>0.04</v>
      </c>
      <c r="N238" s="32" cm="1">
        <f t="array" ref="N238">Common_InputFunctions.Utility_DisplayArrayInTable(Common_SourceData.Common_SourceData_MCFTemperatureZone_Data(),Table_SourceData_Common_MCFTemperatureZone[[#Headers],[Temperature zone]],0)</f>
        <v>1.4999999999999999E-2</v>
      </c>
      <c r="O238" s="32" cm="1">
        <f t="array" ref="O238">Common_InputFunctions.Utility_DisplayArrayInTable(Common_SourceData.Common_SourceData_MCFTemperatureZone_Data(),Table_SourceData_Common_MCFTemperatureZone[[#Headers],[Temperature zone]],0)</f>
        <v>1.4999999999999999E-2</v>
      </c>
      <c r="P238" s="32" cm="1">
        <f t="array" ref="P238">Common_InputFunctions.Utility_DisplayArrayInTable(Common_SourceData.Common_SourceData_MCFTemperatureZone_Data(),Table_SourceData_Common_MCFTemperatureZone[[#Headers],[Temperature zone]],0)</f>
        <v>0</v>
      </c>
      <c r="Q238" s="32" cm="1">
        <f t="array" ref="Q238">Common_InputFunctions.Utility_DisplayArrayInTable(Common_SourceData.Common_SourceData_MCFTemperatureZone_Data(),Table_SourceData_Common_MCFTemperatureZone[[#Headers],[Temperature zone]],0)</f>
        <v>0</v>
      </c>
      <c r="R238" s="32" cm="1">
        <f t="array" ref="R238">Common_InputFunctions.Utility_DisplayArrayInTable(Common_SourceData.Common_SourceData_MCFTemperatureZone_Data(),Table_SourceData_Common_MCFTemperatureZone[[#Headers],[Temperature zone]],0)</f>
        <v>4.7000000000000002E-3</v>
      </c>
      <c r="S238" s="32"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2" cm="1">
        <f t="array" ref="E239">Common_InputFunctions.Utility_DisplayArrayInTable(Common_SourceData.Common_SourceData_MCFTemperatureZone_Data(),Table_SourceData_Common_MCFTemperatureZone[[#Headers],[Temperature zone]],0)</f>
        <v>17</v>
      </c>
      <c r="F239" s="32" cm="1">
        <f t="array" ref="F239">Common_InputFunctions.Utility_DisplayArrayInTable(Common_SourceData.Common_SourceData_MCFTemperatureZone_Data(),Table_SourceData_Common_MCFTemperatureZone[[#Headers],[Temperature zone]],0)</f>
        <v>0.76</v>
      </c>
      <c r="G239" s="32" cm="1">
        <f t="array" ref="G239">Common_InputFunctions.Utility_DisplayArrayInTable(Common_SourceData.Common_SourceData_MCFTemperatureZone_Data(),Table_SourceData_Common_MCFTemperatureZone[[#Headers],[Temperature zone]],0)</f>
        <v>0.1</v>
      </c>
      <c r="H239" s="32" cm="1">
        <f t="array" ref="H239">Common_InputFunctions.Utility_DisplayArrayInTable(Common_SourceData.Common_SourceData_MCFTemperatureZone_Data(),Table_SourceData_Common_MCFTemperatureZone[[#Headers],[Temperature zone]],0)</f>
        <v>0.2</v>
      </c>
      <c r="I239" s="32" cm="1">
        <f t="array" ref="I239">Common_InputFunctions.Utility_DisplayArrayInTable(Common_SourceData.Common_SourceData_MCFTemperatureZone_Data(),Table_SourceData_Common_MCFTemperatureZone[[#Headers],[Temperature zone]],0)</f>
        <v>5.0000000000000001E-3</v>
      </c>
      <c r="J239" s="32" cm="1">
        <f t="array" ref="J239">Common_InputFunctions.Utility_DisplayArrayInTable(Common_SourceData.Common_SourceData_MCFTemperatureZone_Data(),Table_SourceData_Common_MCFTemperatureZone[[#Headers],[Temperature zone]],0)</f>
        <v>0.01</v>
      </c>
      <c r="K239" s="32" cm="1">
        <f t="array" ref="K239">Common_InputFunctions.Utility_DisplayArrayInTable(Common_SourceData.Common_SourceData_MCFTemperatureZone_Data(),Table_SourceData_Common_MCFTemperatureZone[[#Headers],[Temperature zone]],0)</f>
        <v>0.02</v>
      </c>
      <c r="L239" s="32" cm="1">
        <f t="array" ref="L239">Common_InputFunctions.Utility_DisplayArrayInTable(Common_SourceData.Common_SourceData_MCFTemperatureZone_Data(),Table_SourceData_Common_MCFTemperatureZone[[#Headers],[Temperature zone]],0)</f>
        <v>0.03</v>
      </c>
      <c r="M239" s="32" cm="1">
        <f t="array" ref="M239">Common_InputFunctions.Utility_DisplayArrayInTable(Common_SourceData.Common_SourceData_MCFTemperatureZone_Data(),Table_SourceData_Common_MCFTemperatureZone[[#Headers],[Temperature zone]],0)</f>
        <v>0.04</v>
      </c>
      <c r="N239" s="32" cm="1">
        <f t="array" ref="N239">Common_InputFunctions.Utility_DisplayArrayInTable(Common_SourceData.Common_SourceData_MCFTemperatureZone_Data(),Table_SourceData_Common_MCFTemperatureZone[[#Headers],[Temperature zone]],0)</f>
        <v>1.4999999999999999E-2</v>
      </c>
      <c r="O239" s="32" cm="1">
        <f t="array" ref="O239">Common_InputFunctions.Utility_DisplayArrayInTable(Common_SourceData.Common_SourceData_MCFTemperatureZone_Data(),Table_SourceData_Common_MCFTemperatureZone[[#Headers],[Temperature zone]],0)</f>
        <v>1.4999999999999999E-2</v>
      </c>
      <c r="P239" s="32" cm="1">
        <f t="array" ref="P239">Common_InputFunctions.Utility_DisplayArrayInTable(Common_SourceData.Common_SourceData_MCFTemperatureZone_Data(),Table_SourceData_Common_MCFTemperatureZone[[#Headers],[Temperature zone]],0)</f>
        <v>0</v>
      </c>
      <c r="Q239" s="32" cm="1">
        <f t="array" ref="Q239">Common_InputFunctions.Utility_DisplayArrayInTable(Common_SourceData.Common_SourceData_MCFTemperatureZone_Data(),Table_SourceData_Common_MCFTemperatureZone[[#Headers],[Temperature zone]],0)</f>
        <v>0</v>
      </c>
      <c r="R239" s="32" cm="1">
        <f t="array" ref="R239">Common_InputFunctions.Utility_DisplayArrayInTable(Common_SourceData.Common_SourceData_MCFTemperatureZone_Data(),Table_SourceData_Common_MCFTemperatureZone[[#Headers],[Temperature zone]],0)</f>
        <v>4.7000000000000002E-3</v>
      </c>
      <c r="S239" s="32"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2" cm="1">
        <f t="array" ref="E240">Common_InputFunctions.Utility_DisplayArrayInTable(Common_SourceData.Common_SourceData_MCFTemperatureZone_Data(),Table_SourceData_Common_MCFTemperatureZone[[#Headers],[Temperature zone]],0)</f>
        <v>18</v>
      </c>
      <c r="F240" s="32" cm="1">
        <f t="array" ref="F240">Common_InputFunctions.Utility_DisplayArrayInTable(Common_SourceData.Common_SourceData_MCFTemperatureZone_Data(),Table_SourceData_Common_MCFTemperatureZone[[#Headers],[Temperature zone]],0)</f>
        <v>0.77</v>
      </c>
      <c r="G240" s="32" cm="1">
        <f t="array" ref="G240">Common_InputFunctions.Utility_DisplayArrayInTable(Common_SourceData.Common_SourceData_MCFTemperatureZone_Data(),Table_SourceData_Common_MCFTemperatureZone[[#Headers],[Temperature zone]],0)</f>
        <v>0.1</v>
      </c>
      <c r="H240" s="32" cm="1">
        <f t="array" ref="H240">Common_InputFunctions.Utility_DisplayArrayInTable(Common_SourceData.Common_SourceData_MCFTemperatureZone_Data(),Table_SourceData_Common_MCFTemperatureZone[[#Headers],[Temperature zone]],0)</f>
        <v>0.22</v>
      </c>
      <c r="I240" s="32" cm="1">
        <f t="array" ref="I240">Common_InputFunctions.Utility_DisplayArrayInTable(Common_SourceData.Common_SourceData_MCFTemperatureZone_Data(),Table_SourceData_Common_MCFTemperatureZone[[#Headers],[Temperature zone]],0)</f>
        <v>5.0000000000000001E-3</v>
      </c>
      <c r="J240" s="32" cm="1">
        <f t="array" ref="J240">Common_InputFunctions.Utility_DisplayArrayInTable(Common_SourceData.Common_SourceData_MCFTemperatureZone_Data(),Table_SourceData_Common_MCFTemperatureZone[[#Headers],[Temperature zone]],0)</f>
        <v>0.01</v>
      </c>
      <c r="K240" s="32" cm="1">
        <f t="array" ref="K240">Common_InputFunctions.Utility_DisplayArrayInTable(Common_SourceData.Common_SourceData_MCFTemperatureZone_Data(),Table_SourceData_Common_MCFTemperatureZone[[#Headers],[Temperature zone]],0)</f>
        <v>0.02</v>
      </c>
      <c r="L240" s="32" cm="1">
        <f t="array" ref="L240">Common_InputFunctions.Utility_DisplayArrayInTable(Common_SourceData.Common_SourceData_MCFTemperatureZone_Data(),Table_SourceData_Common_MCFTemperatureZone[[#Headers],[Temperature zone]],0)</f>
        <v>0.03</v>
      </c>
      <c r="M240" s="32" cm="1">
        <f t="array" ref="M240">Common_InputFunctions.Utility_DisplayArrayInTable(Common_SourceData.Common_SourceData_MCFTemperatureZone_Data(),Table_SourceData_Common_MCFTemperatureZone[[#Headers],[Temperature zone]],0)</f>
        <v>0.04</v>
      </c>
      <c r="N240" s="32" cm="1">
        <f t="array" ref="N240">Common_InputFunctions.Utility_DisplayArrayInTable(Common_SourceData.Common_SourceData_MCFTemperatureZone_Data(),Table_SourceData_Common_MCFTemperatureZone[[#Headers],[Temperature zone]],0)</f>
        <v>1.4999999999999999E-2</v>
      </c>
      <c r="O240" s="32" cm="1">
        <f t="array" ref="O240">Common_InputFunctions.Utility_DisplayArrayInTable(Common_SourceData.Common_SourceData_MCFTemperatureZone_Data(),Table_SourceData_Common_MCFTemperatureZone[[#Headers],[Temperature zone]],0)</f>
        <v>1.4999999999999999E-2</v>
      </c>
      <c r="P240" s="32" cm="1">
        <f t="array" ref="P240">Common_InputFunctions.Utility_DisplayArrayInTable(Common_SourceData.Common_SourceData_MCFTemperatureZone_Data(),Table_SourceData_Common_MCFTemperatureZone[[#Headers],[Temperature zone]],0)</f>
        <v>0</v>
      </c>
      <c r="Q240" s="32" cm="1">
        <f t="array" ref="Q240">Common_InputFunctions.Utility_DisplayArrayInTable(Common_SourceData.Common_SourceData_MCFTemperatureZone_Data(),Table_SourceData_Common_MCFTemperatureZone[[#Headers],[Temperature zone]],0)</f>
        <v>0</v>
      </c>
      <c r="R240" s="32" cm="1">
        <f t="array" ref="R240">Common_InputFunctions.Utility_DisplayArrayInTable(Common_SourceData.Common_SourceData_MCFTemperatureZone_Data(),Table_SourceData_Common_MCFTemperatureZone[[#Headers],[Temperature zone]],0)</f>
        <v>4.7000000000000002E-3</v>
      </c>
      <c r="S240" s="32"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2" cm="1">
        <f t="array" ref="E241">Common_InputFunctions.Utility_DisplayArrayInTable(Common_SourceData.Common_SourceData_MCFTemperatureZone_Data(),Table_SourceData_Common_MCFTemperatureZone[[#Headers],[Temperature zone]],0)</f>
        <v>19</v>
      </c>
      <c r="F241" s="32" cm="1">
        <f t="array" ref="F241">Common_InputFunctions.Utility_DisplayArrayInTable(Common_SourceData.Common_SourceData_MCFTemperatureZone_Data(),Table_SourceData_Common_MCFTemperatureZone[[#Headers],[Temperature zone]],0)</f>
        <v>0.77</v>
      </c>
      <c r="G241" s="32" cm="1">
        <f t="array" ref="G241">Common_InputFunctions.Utility_DisplayArrayInTable(Common_SourceData.Common_SourceData_MCFTemperatureZone_Data(),Table_SourceData_Common_MCFTemperatureZone[[#Headers],[Temperature zone]],0)</f>
        <v>0.1</v>
      </c>
      <c r="H241" s="32" cm="1">
        <f t="array" ref="H241">Common_InputFunctions.Utility_DisplayArrayInTable(Common_SourceData.Common_SourceData_MCFTemperatureZone_Data(),Table_SourceData_Common_MCFTemperatureZone[[#Headers],[Temperature zone]],0)</f>
        <v>0.24</v>
      </c>
      <c r="I241" s="32" cm="1">
        <f t="array" ref="I241">Common_InputFunctions.Utility_DisplayArrayInTable(Common_SourceData.Common_SourceData_MCFTemperatureZone_Data(),Table_SourceData_Common_MCFTemperatureZone[[#Headers],[Temperature zone]],0)</f>
        <v>5.0000000000000001E-3</v>
      </c>
      <c r="J241" s="32" cm="1">
        <f t="array" ref="J241">Common_InputFunctions.Utility_DisplayArrayInTable(Common_SourceData.Common_SourceData_MCFTemperatureZone_Data(),Table_SourceData_Common_MCFTemperatureZone[[#Headers],[Temperature zone]],0)</f>
        <v>0.01</v>
      </c>
      <c r="K241" s="32" cm="1">
        <f t="array" ref="K241">Common_InputFunctions.Utility_DisplayArrayInTable(Common_SourceData.Common_SourceData_MCFTemperatureZone_Data(),Table_SourceData_Common_MCFTemperatureZone[[#Headers],[Temperature zone]],0)</f>
        <v>0.02</v>
      </c>
      <c r="L241" s="32" cm="1">
        <f t="array" ref="L241">Common_InputFunctions.Utility_DisplayArrayInTable(Common_SourceData.Common_SourceData_MCFTemperatureZone_Data(),Table_SourceData_Common_MCFTemperatureZone[[#Headers],[Temperature zone]],0)</f>
        <v>0.03</v>
      </c>
      <c r="M241" s="32" cm="1">
        <f t="array" ref="M241">Common_InputFunctions.Utility_DisplayArrayInTable(Common_SourceData.Common_SourceData_MCFTemperatureZone_Data(),Table_SourceData_Common_MCFTemperatureZone[[#Headers],[Temperature zone]],0)</f>
        <v>0.04</v>
      </c>
      <c r="N241" s="32" cm="1">
        <f t="array" ref="N241">Common_InputFunctions.Utility_DisplayArrayInTable(Common_SourceData.Common_SourceData_MCFTemperatureZone_Data(),Table_SourceData_Common_MCFTemperatureZone[[#Headers],[Temperature zone]],0)</f>
        <v>1.4999999999999999E-2</v>
      </c>
      <c r="O241" s="32" cm="1">
        <f t="array" ref="O241">Common_InputFunctions.Utility_DisplayArrayInTable(Common_SourceData.Common_SourceData_MCFTemperatureZone_Data(),Table_SourceData_Common_MCFTemperatureZone[[#Headers],[Temperature zone]],0)</f>
        <v>1.4999999999999999E-2</v>
      </c>
      <c r="P241" s="32" cm="1">
        <f t="array" ref="P241">Common_InputFunctions.Utility_DisplayArrayInTable(Common_SourceData.Common_SourceData_MCFTemperatureZone_Data(),Table_SourceData_Common_MCFTemperatureZone[[#Headers],[Temperature zone]],0)</f>
        <v>0</v>
      </c>
      <c r="Q241" s="32" cm="1">
        <f t="array" ref="Q241">Common_InputFunctions.Utility_DisplayArrayInTable(Common_SourceData.Common_SourceData_MCFTemperatureZone_Data(),Table_SourceData_Common_MCFTemperatureZone[[#Headers],[Temperature zone]],0)</f>
        <v>0</v>
      </c>
      <c r="R241" s="32" cm="1">
        <f t="array" ref="R241">Common_InputFunctions.Utility_DisplayArrayInTable(Common_SourceData.Common_SourceData_MCFTemperatureZone_Data(),Table_SourceData_Common_MCFTemperatureZone[[#Headers],[Temperature zone]],0)</f>
        <v>4.7000000000000002E-3</v>
      </c>
      <c r="S241" s="32"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2" cm="1">
        <f t="array" ref="E242">Common_InputFunctions.Utility_DisplayArrayInTable(Common_SourceData.Common_SourceData_MCFTemperatureZone_Data(),Table_SourceData_Common_MCFTemperatureZone[[#Headers],[Temperature zone]],0)</f>
        <v>20</v>
      </c>
      <c r="F242" s="32" cm="1">
        <f t="array" ref="F242">Common_InputFunctions.Utility_DisplayArrayInTable(Common_SourceData.Common_SourceData_MCFTemperatureZone_Data(),Table_SourceData_Common_MCFTemperatureZone[[#Headers],[Temperature zone]],0)</f>
        <v>0.78</v>
      </c>
      <c r="G242" s="32" cm="1">
        <f t="array" ref="G242">Common_InputFunctions.Utility_DisplayArrayInTable(Common_SourceData.Common_SourceData_MCFTemperatureZone_Data(),Table_SourceData_Common_MCFTemperatureZone[[#Headers],[Temperature zone]],0)</f>
        <v>0.1</v>
      </c>
      <c r="H242" s="32" cm="1">
        <f t="array" ref="H242">Common_InputFunctions.Utility_DisplayArrayInTable(Common_SourceData.Common_SourceData_MCFTemperatureZone_Data(),Table_SourceData_Common_MCFTemperatureZone[[#Headers],[Temperature zone]],0)</f>
        <v>0.26</v>
      </c>
      <c r="I242" s="32" cm="1">
        <f t="array" ref="I242">Common_InputFunctions.Utility_DisplayArrayInTable(Common_SourceData.Common_SourceData_MCFTemperatureZone_Data(),Table_SourceData_Common_MCFTemperatureZone[[#Headers],[Temperature zone]],0)</f>
        <v>5.0000000000000001E-3</v>
      </c>
      <c r="J242" s="32" cm="1">
        <f t="array" ref="J242">Common_InputFunctions.Utility_DisplayArrayInTable(Common_SourceData.Common_SourceData_MCFTemperatureZone_Data(),Table_SourceData_Common_MCFTemperatureZone[[#Headers],[Temperature zone]],0)</f>
        <v>0.01</v>
      </c>
      <c r="K242" s="32" cm="1">
        <f t="array" ref="K242">Common_InputFunctions.Utility_DisplayArrayInTable(Common_SourceData.Common_SourceData_MCFTemperatureZone_Data(),Table_SourceData_Common_MCFTemperatureZone[[#Headers],[Temperature zone]],0)</f>
        <v>0.02</v>
      </c>
      <c r="L242" s="32" cm="1">
        <f t="array" ref="L242">Common_InputFunctions.Utility_DisplayArrayInTable(Common_SourceData.Common_SourceData_MCFTemperatureZone_Data(),Table_SourceData_Common_MCFTemperatureZone[[#Headers],[Temperature zone]],0)</f>
        <v>0.03</v>
      </c>
      <c r="M242" s="32" cm="1">
        <f t="array" ref="M242">Common_InputFunctions.Utility_DisplayArrayInTable(Common_SourceData.Common_SourceData_MCFTemperatureZone_Data(),Table_SourceData_Common_MCFTemperatureZone[[#Headers],[Temperature zone]],0)</f>
        <v>0.04</v>
      </c>
      <c r="N242" s="32" cm="1">
        <f t="array" ref="N242">Common_InputFunctions.Utility_DisplayArrayInTable(Common_SourceData.Common_SourceData_MCFTemperatureZone_Data(),Table_SourceData_Common_MCFTemperatureZone[[#Headers],[Temperature zone]],0)</f>
        <v>1.4999999999999999E-2</v>
      </c>
      <c r="O242" s="32" cm="1">
        <f t="array" ref="O242">Common_InputFunctions.Utility_DisplayArrayInTable(Common_SourceData.Common_SourceData_MCFTemperatureZone_Data(),Table_SourceData_Common_MCFTemperatureZone[[#Headers],[Temperature zone]],0)</f>
        <v>1.4999999999999999E-2</v>
      </c>
      <c r="P242" s="32" cm="1">
        <f t="array" ref="P242">Common_InputFunctions.Utility_DisplayArrayInTable(Common_SourceData.Common_SourceData_MCFTemperatureZone_Data(),Table_SourceData_Common_MCFTemperatureZone[[#Headers],[Temperature zone]],0)</f>
        <v>0</v>
      </c>
      <c r="Q242" s="32" cm="1">
        <f t="array" ref="Q242">Common_InputFunctions.Utility_DisplayArrayInTable(Common_SourceData.Common_SourceData_MCFTemperatureZone_Data(),Table_SourceData_Common_MCFTemperatureZone[[#Headers],[Temperature zone]],0)</f>
        <v>0</v>
      </c>
      <c r="R242" s="32" cm="1">
        <f t="array" ref="R242">Common_InputFunctions.Utility_DisplayArrayInTable(Common_SourceData.Common_SourceData_MCFTemperatureZone_Data(),Table_SourceData_Common_MCFTemperatureZone[[#Headers],[Temperature zone]],0)</f>
        <v>4.7000000000000002E-3</v>
      </c>
      <c r="S242" s="32"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2" cm="1">
        <f t="array" ref="E243">Common_InputFunctions.Utility_DisplayArrayInTable(Common_SourceData.Common_SourceData_MCFTemperatureZone_Data(),Table_SourceData_Common_MCFTemperatureZone[[#Headers],[Temperature zone]],0)</f>
        <v>21</v>
      </c>
      <c r="F243" s="32" cm="1">
        <f t="array" ref="F243">Common_InputFunctions.Utility_DisplayArrayInTable(Common_SourceData.Common_SourceData_MCFTemperatureZone_Data(),Table_SourceData_Common_MCFTemperatureZone[[#Headers],[Temperature zone]],0)</f>
        <v>0.78</v>
      </c>
      <c r="G243" s="32" cm="1">
        <f t="array" ref="G243">Common_InputFunctions.Utility_DisplayArrayInTable(Common_SourceData.Common_SourceData_MCFTemperatureZone_Data(),Table_SourceData_Common_MCFTemperatureZone[[#Headers],[Temperature zone]],0)</f>
        <v>0.1</v>
      </c>
      <c r="H243" s="32" cm="1">
        <f t="array" ref="H243">Common_InputFunctions.Utility_DisplayArrayInTable(Common_SourceData.Common_SourceData_MCFTemperatureZone_Data(),Table_SourceData_Common_MCFTemperatureZone[[#Headers],[Temperature zone]],0)</f>
        <v>0.28999999999999998</v>
      </c>
      <c r="I243" s="32" cm="1">
        <f t="array" ref="I243">Common_InputFunctions.Utility_DisplayArrayInTable(Common_SourceData.Common_SourceData_MCFTemperatureZone_Data(),Table_SourceData_Common_MCFTemperatureZone[[#Headers],[Temperature zone]],0)</f>
        <v>5.0000000000000001E-3</v>
      </c>
      <c r="J243" s="32" cm="1">
        <f t="array" ref="J243">Common_InputFunctions.Utility_DisplayArrayInTable(Common_SourceData.Common_SourceData_MCFTemperatureZone_Data(),Table_SourceData_Common_MCFTemperatureZone[[#Headers],[Temperature zone]],0)</f>
        <v>0.01</v>
      </c>
      <c r="K243" s="32" cm="1">
        <f t="array" ref="K243">Common_InputFunctions.Utility_DisplayArrayInTable(Common_SourceData.Common_SourceData_MCFTemperatureZone_Data(),Table_SourceData_Common_MCFTemperatureZone[[#Headers],[Temperature zone]],0)</f>
        <v>0.02</v>
      </c>
      <c r="L243" s="32" cm="1">
        <f t="array" ref="L243">Common_InputFunctions.Utility_DisplayArrayInTable(Common_SourceData.Common_SourceData_MCFTemperatureZone_Data(),Table_SourceData_Common_MCFTemperatureZone[[#Headers],[Temperature zone]],0)</f>
        <v>0.03</v>
      </c>
      <c r="M243" s="32" cm="1">
        <f t="array" ref="M243">Common_InputFunctions.Utility_DisplayArrayInTable(Common_SourceData.Common_SourceData_MCFTemperatureZone_Data(),Table_SourceData_Common_MCFTemperatureZone[[#Headers],[Temperature zone]],0)</f>
        <v>0.04</v>
      </c>
      <c r="N243" s="32" cm="1">
        <f t="array" ref="N243">Common_InputFunctions.Utility_DisplayArrayInTable(Common_SourceData.Common_SourceData_MCFTemperatureZone_Data(),Table_SourceData_Common_MCFTemperatureZone[[#Headers],[Temperature zone]],0)</f>
        <v>1.4999999999999999E-2</v>
      </c>
      <c r="O243" s="32" cm="1">
        <f t="array" ref="O243">Common_InputFunctions.Utility_DisplayArrayInTable(Common_SourceData.Common_SourceData_MCFTemperatureZone_Data(),Table_SourceData_Common_MCFTemperatureZone[[#Headers],[Temperature zone]],0)</f>
        <v>1.4999999999999999E-2</v>
      </c>
      <c r="P243" s="32" cm="1">
        <f t="array" ref="P243">Common_InputFunctions.Utility_DisplayArrayInTable(Common_SourceData.Common_SourceData_MCFTemperatureZone_Data(),Table_SourceData_Common_MCFTemperatureZone[[#Headers],[Temperature zone]],0)</f>
        <v>0</v>
      </c>
      <c r="Q243" s="32" cm="1">
        <f t="array" ref="Q243">Common_InputFunctions.Utility_DisplayArrayInTable(Common_SourceData.Common_SourceData_MCFTemperatureZone_Data(),Table_SourceData_Common_MCFTemperatureZone[[#Headers],[Temperature zone]],0)</f>
        <v>0</v>
      </c>
      <c r="R243" s="32" cm="1">
        <f t="array" ref="R243">Common_InputFunctions.Utility_DisplayArrayInTable(Common_SourceData.Common_SourceData_MCFTemperatureZone_Data(),Table_SourceData_Common_MCFTemperatureZone[[#Headers],[Temperature zone]],0)</f>
        <v>4.7000000000000002E-3</v>
      </c>
      <c r="S243" s="32"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2" cm="1">
        <f t="array" ref="E244">Common_InputFunctions.Utility_DisplayArrayInTable(Common_SourceData.Common_SourceData_MCFTemperatureZone_Data(),Table_SourceData_Common_MCFTemperatureZone[[#Headers],[Temperature zone]],0)</f>
        <v>22</v>
      </c>
      <c r="F244" s="32" cm="1">
        <f t="array" ref="F244">Common_InputFunctions.Utility_DisplayArrayInTable(Common_SourceData.Common_SourceData_MCFTemperatureZone_Data(),Table_SourceData_Common_MCFTemperatureZone[[#Headers],[Temperature zone]],0)</f>
        <v>0.78</v>
      </c>
      <c r="G244" s="32" cm="1">
        <f t="array" ref="G244">Common_InputFunctions.Utility_DisplayArrayInTable(Common_SourceData.Common_SourceData_MCFTemperatureZone_Data(),Table_SourceData_Common_MCFTemperatureZone[[#Headers],[Temperature zone]],0)</f>
        <v>0.1</v>
      </c>
      <c r="H244" s="32" cm="1">
        <f t="array" ref="H244">Common_InputFunctions.Utility_DisplayArrayInTable(Common_SourceData.Common_SourceData_MCFTemperatureZone_Data(),Table_SourceData_Common_MCFTemperatureZone[[#Headers],[Temperature zone]],0)</f>
        <v>0.31</v>
      </c>
      <c r="I244" s="32" cm="1">
        <f t="array" ref="I244">Common_InputFunctions.Utility_DisplayArrayInTable(Common_SourceData.Common_SourceData_MCFTemperatureZone_Data(),Table_SourceData_Common_MCFTemperatureZone[[#Headers],[Temperature zone]],0)</f>
        <v>5.0000000000000001E-3</v>
      </c>
      <c r="J244" s="32" cm="1">
        <f t="array" ref="J244">Common_InputFunctions.Utility_DisplayArrayInTable(Common_SourceData.Common_SourceData_MCFTemperatureZone_Data(),Table_SourceData_Common_MCFTemperatureZone[[#Headers],[Temperature zone]],0)</f>
        <v>0.01</v>
      </c>
      <c r="K244" s="32" cm="1">
        <f t="array" ref="K244">Common_InputFunctions.Utility_DisplayArrayInTable(Common_SourceData.Common_SourceData_MCFTemperatureZone_Data(),Table_SourceData_Common_MCFTemperatureZone[[#Headers],[Temperature zone]],0)</f>
        <v>0.02</v>
      </c>
      <c r="L244" s="32" cm="1">
        <f t="array" ref="L244">Common_InputFunctions.Utility_DisplayArrayInTable(Common_SourceData.Common_SourceData_MCFTemperatureZone_Data(),Table_SourceData_Common_MCFTemperatureZone[[#Headers],[Temperature zone]],0)</f>
        <v>0.03</v>
      </c>
      <c r="M244" s="32" cm="1">
        <f t="array" ref="M244">Common_InputFunctions.Utility_DisplayArrayInTable(Common_SourceData.Common_SourceData_MCFTemperatureZone_Data(),Table_SourceData_Common_MCFTemperatureZone[[#Headers],[Temperature zone]],0)</f>
        <v>0.04</v>
      </c>
      <c r="N244" s="32" cm="1">
        <f t="array" ref="N244">Common_InputFunctions.Utility_DisplayArrayInTable(Common_SourceData.Common_SourceData_MCFTemperatureZone_Data(),Table_SourceData_Common_MCFTemperatureZone[[#Headers],[Temperature zone]],0)</f>
        <v>1.4999999999999999E-2</v>
      </c>
      <c r="O244" s="32" cm="1">
        <f t="array" ref="O244">Common_InputFunctions.Utility_DisplayArrayInTable(Common_SourceData.Common_SourceData_MCFTemperatureZone_Data(),Table_SourceData_Common_MCFTemperatureZone[[#Headers],[Temperature zone]],0)</f>
        <v>1.4999999999999999E-2</v>
      </c>
      <c r="P244" s="32" cm="1">
        <f t="array" ref="P244">Common_InputFunctions.Utility_DisplayArrayInTable(Common_SourceData.Common_SourceData_MCFTemperatureZone_Data(),Table_SourceData_Common_MCFTemperatureZone[[#Headers],[Temperature zone]],0)</f>
        <v>0</v>
      </c>
      <c r="Q244" s="32" cm="1">
        <f t="array" ref="Q244">Common_InputFunctions.Utility_DisplayArrayInTable(Common_SourceData.Common_SourceData_MCFTemperatureZone_Data(),Table_SourceData_Common_MCFTemperatureZone[[#Headers],[Temperature zone]],0)</f>
        <v>0</v>
      </c>
      <c r="R244" s="32" cm="1">
        <f t="array" ref="R244">Common_InputFunctions.Utility_DisplayArrayInTable(Common_SourceData.Common_SourceData_MCFTemperatureZone_Data(),Table_SourceData_Common_MCFTemperatureZone[[#Headers],[Temperature zone]],0)</f>
        <v>4.7000000000000002E-3</v>
      </c>
      <c r="S244" s="32"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2" cm="1">
        <f t="array" ref="E245">Common_InputFunctions.Utility_DisplayArrayInTable(Common_SourceData.Common_SourceData_MCFTemperatureZone_Data(),Table_SourceData_Common_MCFTemperatureZone[[#Headers],[Temperature zone]],0)</f>
        <v>23</v>
      </c>
      <c r="F245" s="32" cm="1">
        <f t="array" ref="F245">Common_InputFunctions.Utility_DisplayArrayInTable(Common_SourceData.Common_SourceData_MCFTemperatureZone_Data(),Table_SourceData_Common_MCFTemperatureZone[[#Headers],[Temperature zone]],0)</f>
        <v>0.79</v>
      </c>
      <c r="G245" s="32" cm="1">
        <f t="array" ref="G245">Common_InputFunctions.Utility_DisplayArrayInTable(Common_SourceData.Common_SourceData_MCFTemperatureZone_Data(),Table_SourceData_Common_MCFTemperatureZone[[#Headers],[Temperature zone]],0)</f>
        <v>0.1</v>
      </c>
      <c r="H245" s="32" cm="1">
        <f t="array" ref="H245">Common_InputFunctions.Utility_DisplayArrayInTable(Common_SourceData.Common_SourceData_MCFTemperatureZone_Data(),Table_SourceData_Common_MCFTemperatureZone[[#Headers],[Temperature zone]],0)</f>
        <v>0.34</v>
      </c>
      <c r="I245" s="32" cm="1">
        <f t="array" ref="I245">Common_InputFunctions.Utility_DisplayArrayInTable(Common_SourceData.Common_SourceData_MCFTemperatureZone_Data(),Table_SourceData_Common_MCFTemperatureZone[[#Headers],[Temperature zone]],0)</f>
        <v>5.0000000000000001E-3</v>
      </c>
      <c r="J245" s="32" cm="1">
        <f t="array" ref="J245">Common_InputFunctions.Utility_DisplayArrayInTable(Common_SourceData.Common_SourceData_MCFTemperatureZone_Data(),Table_SourceData_Common_MCFTemperatureZone[[#Headers],[Temperature zone]],0)</f>
        <v>0.01</v>
      </c>
      <c r="K245" s="32" cm="1">
        <f t="array" ref="K245">Common_InputFunctions.Utility_DisplayArrayInTable(Common_SourceData.Common_SourceData_MCFTemperatureZone_Data(),Table_SourceData_Common_MCFTemperatureZone[[#Headers],[Temperature zone]],0)</f>
        <v>0.02</v>
      </c>
      <c r="L245" s="32" cm="1">
        <f t="array" ref="L245">Common_InputFunctions.Utility_DisplayArrayInTable(Common_SourceData.Common_SourceData_MCFTemperatureZone_Data(),Table_SourceData_Common_MCFTemperatureZone[[#Headers],[Temperature zone]],0)</f>
        <v>0.03</v>
      </c>
      <c r="M245" s="32" cm="1">
        <f t="array" ref="M245">Common_InputFunctions.Utility_DisplayArrayInTable(Common_SourceData.Common_SourceData_MCFTemperatureZone_Data(),Table_SourceData_Common_MCFTemperatureZone[[#Headers],[Temperature zone]],0)</f>
        <v>0.04</v>
      </c>
      <c r="N245" s="32" cm="1">
        <f t="array" ref="N245">Common_InputFunctions.Utility_DisplayArrayInTable(Common_SourceData.Common_SourceData_MCFTemperatureZone_Data(),Table_SourceData_Common_MCFTemperatureZone[[#Headers],[Temperature zone]],0)</f>
        <v>1.4999999999999999E-2</v>
      </c>
      <c r="O245" s="32" cm="1">
        <f t="array" ref="O245">Common_InputFunctions.Utility_DisplayArrayInTable(Common_SourceData.Common_SourceData_MCFTemperatureZone_Data(),Table_SourceData_Common_MCFTemperatureZone[[#Headers],[Temperature zone]],0)</f>
        <v>1.4999999999999999E-2</v>
      </c>
      <c r="P245" s="32" cm="1">
        <f t="array" ref="P245">Common_InputFunctions.Utility_DisplayArrayInTable(Common_SourceData.Common_SourceData_MCFTemperatureZone_Data(),Table_SourceData_Common_MCFTemperatureZone[[#Headers],[Temperature zone]],0)</f>
        <v>0</v>
      </c>
      <c r="Q245" s="32" cm="1">
        <f t="array" ref="Q245">Common_InputFunctions.Utility_DisplayArrayInTable(Common_SourceData.Common_SourceData_MCFTemperatureZone_Data(),Table_SourceData_Common_MCFTemperatureZone[[#Headers],[Temperature zone]],0)</f>
        <v>0</v>
      </c>
      <c r="R245" s="32" cm="1">
        <f t="array" ref="R245">Common_InputFunctions.Utility_DisplayArrayInTable(Common_SourceData.Common_SourceData_MCFTemperatureZone_Data(),Table_SourceData_Common_MCFTemperatureZone[[#Headers],[Temperature zone]],0)</f>
        <v>4.7000000000000002E-3</v>
      </c>
      <c r="S245" s="32"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2" cm="1">
        <f t="array" ref="E246">Common_InputFunctions.Utility_DisplayArrayInTable(Common_SourceData.Common_SourceData_MCFTemperatureZone_Data(),Table_SourceData_Common_MCFTemperatureZone[[#Headers],[Temperature zone]],0)</f>
        <v>24</v>
      </c>
      <c r="F246" s="32" cm="1">
        <f t="array" ref="F246">Common_InputFunctions.Utility_DisplayArrayInTable(Common_SourceData.Common_SourceData_MCFTemperatureZone_Data(),Table_SourceData_Common_MCFTemperatureZone[[#Headers],[Temperature zone]],0)</f>
        <v>0.79</v>
      </c>
      <c r="G246" s="32" cm="1">
        <f t="array" ref="G246">Common_InputFunctions.Utility_DisplayArrayInTable(Common_SourceData.Common_SourceData_MCFTemperatureZone_Data(),Table_SourceData_Common_MCFTemperatureZone[[#Headers],[Temperature zone]],0)</f>
        <v>0.1</v>
      </c>
      <c r="H246" s="32" cm="1">
        <f t="array" ref="H246">Common_InputFunctions.Utility_DisplayArrayInTable(Common_SourceData.Common_SourceData_MCFTemperatureZone_Data(),Table_SourceData_Common_MCFTemperatureZone[[#Headers],[Temperature zone]],0)</f>
        <v>0.37</v>
      </c>
      <c r="I246" s="32" cm="1">
        <f t="array" ref="I246">Common_InputFunctions.Utility_DisplayArrayInTable(Common_SourceData.Common_SourceData_MCFTemperatureZone_Data(),Table_SourceData_Common_MCFTemperatureZone[[#Headers],[Temperature zone]],0)</f>
        <v>5.0000000000000001E-3</v>
      </c>
      <c r="J246" s="32" cm="1">
        <f t="array" ref="J246">Common_InputFunctions.Utility_DisplayArrayInTable(Common_SourceData.Common_SourceData_MCFTemperatureZone_Data(),Table_SourceData_Common_MCFTemperatureZone[[#Headers],[Temperature zone]],0)</f>
        <v>0.01</v>
      </c>
      <c r="K246" s="32" cm="1">
        <f t="array" ref="K246">Common_InputFunctions.Utility_DisplayArrayInTable(Common_SourceData.Common_SourceData_MCFTemperatureZone_Data(),Table_SourceData_Common_MCFTemperatureZone[[#Headers],[Temperature zone]],0)</f>
        <v>0.02</v>
      </c>
      <c r="L246" s="32" cm="1">
        <f t="array" ref="L246">Common_InputFunctions.Utility_DisplayArrayInTable(Common_SourceData.Common_SourceData_MCFTemperatureZone_Data(),Table_SourceData_Common_MCFTemperatureZone[[#Headers],[Temperature zone]],0)</f>
        <v>0.03</v>
      </c>
      <c r="M246" s="32" cm="1">
        <f t="array" ref="M246">Common_InputFunctions.Utility_DisplayArrayInTable(Common_SourceData.Common_SourceData_MCFTemperatureZone_Data(),Table_SourceData_Common_MCFTemperatureZone[[#Headers],[Temperature zone]],0)</f>
        <v>0.04</v>
      </c>
      <c r="N246" s="32" cm="1">
        <f t="array" ref="N246">Common_InputFunctions.Utility_DisplayArrayInTable(Common_SourceData.Common_SourceData_MCFTemperatureZone_Data(),Table_SourceData_Common_MCFTemperatureZone[[#Headers],[Temperature zone]],0)</f>
        <v>1.4999999999999999E-2</v>
      </c>
      <c r="O246" s="32" cm="1">
        <f t="array" ref="O246">Common_InputFunctions.Utility_DisplayArrayInTable(Common_SourceData.Common_SourceData_MCFTemperatureZone_Data(),Table_SourceData_Common_MCFTemperatureZone[[#Headers],[Temperature zone]],0)</f>
        <v>1.4999999999999999E-2</v>
      </c>
      <c r="P246" s="32" cm="1">
        <f t="array" ref="P246">Common_InputFunctions.Utility_DisplayArrayInTable(Common_SourceData.Common_SourceData_MCFTemperatureZone_Data(),Table_SourceData_Common_MCFTemperatureZone[[#Headers],[Temperature zone]],0)</f>
        <v>0</v>
      </c>
      <c r="Q246" s="32" cm="1">
        <f t="array" ref="Q246">Common_InputFunctions.Utility_DisplayArrayInTable(Common_SourceData.Common_SourceData_MCFTemperatureZone_Data(),Table_SourceData_Common_MCFTemperatureZone[[#Headers],[Temperature zone]],0)</f>
        <v>0</v>
      </c>
      <c r="R246" s="32" cm="1">
        <f t="array" ref="R246">Common_InputFunctions.Utility_DisplayArrayInTable(Common_SourceData.Common_SourceData_MCFTemperatureZone_Data(),Table_SourceData_Common_MCFTemperatureZone[[#Headers],[Temperature zone]],0)</f>
        <v>4.7000000000000002E-3</v>
      </c>
      <c r="S246" s="32"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2" cm="1">
        <f t="array" ref="E247">Common_InputFunctions.Utility_DisplayArrayInTable(Common_SourceData.Common_SourceData_MCFTemperatureZone_Data(),Table_SourceData_Common_MCFTemperatureZone[[#Headers],[Temperature zone]],0)</f>
        <v>25</v>
      </c>
      <c r="F247" s="32" cm="1">
        <f t="array" ref="F247">Common_InputFunctions.Utility_DisplayArrayInTable(Common_SourceData.Common_SourceData_MCFTemperatureZone_Data(),Table_SourceData_Common_MCFTemperatureZone[[#Headers],[Temperature zone]],0)</f>
        <v>0.79</v>
      </c>
      <c r="G247" s="32" cm="1">
        <f t="array" ref="G247">Common_InputFunctions.Utility_DisplayArrayInTable(Common_SourceData.Common_SourceData_MCFTemperatureZone_Data(),Table_SourceData_Common_MCFTemperatureZone[[#Headers],[Temperature zone]],0)</f>
        <v>0.1</v>
      </c>
      <c r="H247" s="32" cm="1">
        <f t="array" ref="H247">Common_InputFunctions.Utility_DisplayArrayInTable(Common_SourceData.Common_SourceData_MCFTemperatureZone_Data(),Table_SourceData_Common_MCFTemperatureZone[[#Headers],[Temperature zone]],0)</f>
        <v>0.41</v>
      </c>
      <c r="I247" s="32" cm="1">
        <f t="array" ref="I247">Common_InputFunctions.Utility_DisplayArrayInTable(Common_SourceData.Common_SourceData_MCFTemperatureZone_Data(),Table_SourceData_Common_MCFTemperatureZone[[#Headers],[Temperature zone]],0)</f>
        <v>5.0000000000000001E-3</v>
      </c>
      <c r="J247" s="32" cm="1">
        <f t="array" ref="J247">Common_InputFunctions.Utility_DisplayArrayInTable(Common_SourceData.Common_SourceData_MCFTemperatureZone_Data(),Table_SourceData_Common_MCFTemperatureZone[[#Headers],[Temperature zone]],0)</f>
        <v>0.01</v>
      </c>
      <c r="K247" s="32" cm="1">
        <f t="array" ref="K247">Common_InputFunctions.Utility_DisplayArrayInTable(Common_SourceData.Common_SourceData_MCFTemperatureZone_Data(),Table_SourceData_Common_MCFTemperatureZone[[#Headers],[Temperature zone]],0)</f>
        <v>0.02</v>
      </c>
      <c r="L247" s="32" cm="1">
        <f t="array" ref="L247">Common_InputFunctions.Utility_DisplayArrayInTable(Common_SourceData.Common_SourceData_MCFTemperatureZone_Data(),Table_SourceData_Common_MCFTemperatureZone[[#Headers],[Temperature zone]],0)</f>
        <v>0.03</v>
      </c>
      <c r="M247" s="32" cm="1">
        <f t="array" ref="M247">Common_InputFunctions.Utility_DisplayArrayInTable(Common_SourceData.Common_SourceData_MCFTemperatureZone_Data(),Table_SourceData_Common_MCFTemperatureZone[[#Headers],[Temperature zone]],0)</f>
        <v>0.04</v>
      </c>
      <c r="N247" s="32" cm="1">
        <f t="array" ref="N247">Common_InputFunctions.Utility_DisplayArrayInTable(Common_SourceData.Common_SourceData_MCFTemperatureZone_Data(),Table_SourceData_Common_MCFTemperatureZone[[#Headers],[Temperature zone]],0)</f>
        <v>1.4999999999999999E-2</v>
      </c>
      <c r="O247" s="32" cm="1">
        <f t="array" ref="O247">Common_InputFunctions.Utility_DisplayArrayInTable(Common_SourceData.Common_SourceData_MCFTemperatureZone_Data(),Table_SourceData_Common_MCFTemperatureZone[[#Headers],[Temperature zone]],0)</f>
        <v>1.4999999999999999E-2</v>
      </c>
      <c r="P247" s="32" cm="1">
        <f t="array" ref="P247">Common_InputFunctions.Utility_DisplayArrayInTable(Common_SourceData.Common_SourceData_MCFTemperatureZone_Data(),Table_SourceData_Common_MCFTemperatureZone[[#Headers],[Temperature zone]],0)</f>
        <v>0</v>
      </c>
      <c r="Q247" s="32" cm="1">
        <f t="array" ref="Q247">Common_InputFunctions.Utility_DisplayArrayInTable(Common_SourceData.Common_SourceData_MCFTemperatureZone_Data(),Table_SourceData_Common_MCFTemperatureZone[[#Headers],[Temperature zone]],0)</f>
        <v>0</v>
      </c>
      <c r="R247" s="32" cm="1">
        <f t="array" ref="R247">Common_InputFunctions.Utility_DisplayArrayInTable(Common_SourceData.Common_SourceData_MCFTemperatureZone_Data(),Table_SourceData_Common_MCFTemperatureZone[[#Headers],[Temperature zone]],0)</f>
        <v>4.7000000000000002E-3</v>
      </c>
      <c r="S247" s="32"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2" cm="1">
        <f t="array" ref="E248">Common_InputFunctions.Utility_DisplayArrayInTable(Common_SourceData.Common_SourceData_MCFTemperatureZone_Data(),Table_SourceData_Common_MCFTemperatureZone[[#Headers],[Temperature zone]],0)</f>
        <v>26</v>
      </c>
      <c r="F248" s="32" cm="1">
        <f t="array" ref="F248">Common_InputFunctions.Utility_DisplayArrayInTable(Common_SourceData.Common_SourceData_MCFTemperatureZone_Data(),Table_SourceData_Common_MCFTemperatureZone[[#Headers],[Temperature zone]],0)</f>
        <v>0.79</v>
      </c>
      <c r="G248" s="32" cm="1">
        <f t="array" ref="G248">Common_InputFunctions.Utility_DisplayArrayInTable(Common_SourceData.Common_SourceData_MCFTemperatureZone_Data(),Table_SourceData_Common_MCFTemperatureZone[[#Headers],[Temperature zone]],0)</f>
        <v>0.1</v>
      </c>
      <c r="H248" s="32" cm="1">
        <f t="array" ref="H248">Common_InputFunctions.Utility_DisplayArrayInTable(Common_SourceData.Common_SourceData_MCFTemperatureZone_Data(),Table_SourceData_Common_MCFTemperatureZone[[#Headers],[Temperature zone]],0)</f>
        <v>0.44</v>
      </c>
      <c r="I248" s="32" cm="1">
        <f t="array" ref="I248">Common_InputFunctions.Utility_DisplayArrayInTable(Common_SourceData.Common_SourceData_MCFTemperatureZone_Data(),Table_SourceData_Common_MCFTemperatureZone[[#Headers],[Temperature zone]],0)</f>
        <v>0.01</v>
      </c>
      <c r="J248" s="32" cm="1">
        <f t="array" ref="J248">Common_InputFunctions.Utility_DisplayArrayInTable(Common_SourceData.Common_SourceData_MCFTemperatureZone_Data(),Table_SourceData_Common_MCFTemperatureZone[[#Headers],[Temperature zone]],0)</f>
        <v>1.4999999999999999E-2</v>
      </c>
      <c r="K248" s="32" cm="1">
        <f t="array" ref="K248">Common_InputFunctions.Utility_DisplayArrayInTable(Common_SourceData.Common_SourceData_MCFTemperatureZone_Data(),Table_SourceData_Common_MCFTemperatureZone[[#Headers],[Temperature zone]],0)</f>
        <v>0.02</v>
      </c>
      <c r="L248" s="32" cm="1">
        <f t="array" ref="L248">Common_InputFunctions.Utility_DisplayArrayInTable(Common_SourceData.Common_SourceData_MCFTemperatureZone_Data(),Table_SourceData_Common_MCFTemperatureZone[[#Headers],[Temperature zone]],0)</f>
        <v>0.03</v>
      </c>
      <c r="M248" s="32" cm="1">
        <f t="array" ref="M248">Common_InputFunctions.Utility_DisplayArrayInTable(Common_SourceData.Common_SourceData_MCFTemperatureZone_Data(),Table_SourceData_Common_MCFTemperatureZone[[#Headers],[Temperature zone]],0)</f>
        <v>0.04</v>
      </c>
      <c r="N248" s="32" cm="1">
        <f t="array" ref="N248">Common_InputFunctions.Utility_DisplayArrayInTable(Common_SourceData.Common_SourceData_MCFTemperatureZone_Data(),Table_SourceData_Common_MCFTemperatureZone[[#Headers],[Temperature zone]],0)</f>
        <v>1.4999999999999999E-2</v>
      </c>
      <c r="O248" s="32" cm="1">
        <f t="array" ref="O248">Common_InputFunctions.Utility_DisplayArrayInTable(Common_SourceData.Common_SourceData_MCFTemperatureZone_Data(),Table_SourceData_Common_MCFTemperatureZone[[#Headers],[Temperature zone]],0)</f>
        <v>1.4999999999999999E-2</v>
      </c>
      <c r="P248" s="32" cm="1">
        <f t="array" ref="P248">Common_InputFunctions.Utility_DisplayArrayInTable(Common_SourceData.Common_SourceData_MCFTemperatureZone_Data(),Table_SourceData_Common_MCFTemperatureZone[[#Headers],[Temperature zone]],0)</f>
        <v>0</v>
      </c>
      <c r="Q248" s="32" cm="1">
        <f t="array" ref="Q248">Common_InputFunctions.Utility_DisplayArrayInTable(Common_SourceData.Common_SourceData_MCFTemperatureZone_Data(),Table_SourceData_Common_MCFTemperatureZone[[#Headers],[Temperature zone]],0)</f>
        <v>0</v>
      </c>
      <c r="R248" s="32" cm="1">
        <f t="array" ref="R248">Common_InputFunctions.Utility_DisplayArrayInTable(Common_SourceData.Common_SourceData_MCFTemperatureZone_Data(),Table_SourceData_Common_MCFTemperatureZone[[#Headers],[Temperature zone]],0)</f>
        <v>4.7000000000000002E-3</v>
      </c>
      <c r="S248" s="32"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2" cm="1">
        <f t="array" ref="E249">Common_InputFunctions.Utility_DisplayArrayInTable(Common_SourceData.Common_SourceData_MCFTemperatureZone_Data(),Table_SourceData_Common_MCFTemperatureZone[[#Headers],[Temperature zone]],0)</f>
        <v>27</v>
      </c>
      <c r="F249" s="32" cm="1">
        <f t="array" ref="F249">Common_InputFunctions.Utility_DisplayArrayInTable(Common_SourceData.Common_SourceData_MCFTemperatureZone_Data(),Table_SourceData_Common_MCFTemperatureZone[[#Headers],[Temperature zone]],0)</f>
        <v>0.8</v>
      </c>
      <c r="G249" s="32" cm="1">
        <f t="array" ref="G249">Common_InputFunctions.Utility_DisplayArrayInTable(Common_SourceData.Common_SourceData_MCFTemperatureZone_Data(),Table_SourceData_Common_MCFTemperatureZone[[#Headers],[Temperature zone]],0)</f>
        <v>0.1</v>
      </c>
      <c r="H249" s="32" cm="1">
        <f t="array" ref="H249">Common_InputFunctions.Utility_DisplayArrayInTable(Common_SourceData.Common_SourceData_MCFTemperatureZone_Data(),Table_SourceData_Common_MCFTemperatureZone[[#Headers],[Temperature zone]],0)</f>
        <v>0.48</v>
      </c>
      <c r="I249" s="32" cm="1">
        <f t="array" ref="I249">Common_InputFunctions.Utility_DisplayArrayInTable(Common_SourceData.Common_SourceData_MCFTemperatureZone_Data(),Table_SourceData_Common_MCFTemperatureZone[[#Headers],[Temperature zone]],0)</f>
        <v>0.01</v>
      </c>
      <c r="J249" s="32" cm="1">
        <f t="array" ref="J249">Common_InputFunctions.Utility_DisplayArrayInTable(Common_SourceData.Common_SourceData_MCFTemperatureZone_Data(),Table_SourceData_Common_MCFTemperatureZone[[#Headers],[Temperature zone]],0)</f>
        <v>1.4999999999999999E-2</v>
      </c>
      <c r="K249" s="32" cm="1">
        <f t="array" ref="K249">Common_InputFunctions.Utility_DisplayArrayInTable(Common_SourceData.Common_SourceData_MCFTemperatureZone_Data(),Table_SourceData_Common_MCFTemperatureZone[[#Headers],[Temperature zone]],0)</f>
        <v>0.02</v>
      </c>
      <c r="L249" s="32" cm="1">
        <f t="array" ref="L249">Common_InputFunctions.Utility_DisplayArrayInTable(Common_SourceData.Common_SourceData_MCFTemperatureZone_Data(),Table_SourceData_Common_MCFTemperatureZone[[#Headers],[Temperature zone]],0)</f>
        <v>0.03</v>
      </c>
      <c r="M249" s="32" cm="1">
        <f t="array" ref="M249">Common_InputFunctions.Utility_DisplayArrayInTable(Common_SourceData.Common_SourceData_MCFTemperatureZone_Data(),Table_SourceData_Common_MCFTemperatureZone[[#Headers],[Temperature zone]],0)</f>
        <v>0.04</v>
      </c>
      <c r="N249" s="32" cm="1">
        <f t="array" ref="N249">Common_InputFunctions.Utility_DisplayArrayInTable(Common_SourceData.Common_SourceData_MCFTemperatureZone_Data(),Table_SourceData_Common_MCFTemperatureZone[[#Headers],[Temperature zone]],0)</f>
        <v>1.4999999999999999E-2</v>
      </c>
      <c r="O249" s="32" cm="1">
        <f t="array" ref="O249">Common_InputFunctions.Utility_DisplayArrayInTable(Common_SourceData.Common_SourceData_MCFTemperatureZone_Data(),Table_SourceData_Common_MCFTemperatureZone[[#Headers],[Temperature zone]],0)</f>
        <v>1.4999999999999999E-2</v>
      </c>
      <c r="P249" s="32" cm="1">
        <f t="array" ref="P249">Common_InputFunctions.Utility_DisplayArrayInTable(Common_SourceData.Common_SourceData_MCFTemperatureZone_Data(),Table_SourceData_Common_MCFTemperatureZone[[#Headers],[Temperature zone]],0)</f>
        <v>0</v>
      </c>
      <c r="Q249" s="32" cm="1">
        <f t="array" ref="Q249">Common_InputFunctions.Utility_DisplayArrayInTable(Common_SourceData.Common_SourceData_MCFTemperatureZone_Data(),Table_SourceData_Common_MCFTemperatureZone[[#Headers],[Temperature zone]],0)</f>
        <v>0</v>
      </c>
      <c r="R249" s="32" cm="1">
        <f t="array" ref="R249">Common_InputFunctions.Utility_DisplayArrayInTable(Common_SourceData.Common_SourceData_MCFTemperatureZone_Data(),Table_SourceData_Common_MCFTemperatureZone[[#Headers],[Temperature zone]],0)</f>
        <v>4.7000000000000002E-3</v>
      </c>
      <c r="S249" s="32"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2" t="str" cm="1">
        <f t="array" ref="E250">Common_InputFunctions.Utility_DisplayArrayInTable(Common_SourceData.Common_SourceData_MCFTemperatureZone_Data(),Table_SourceData_Common_MCFTemperatureZone[[#Headers],[Temperature zone]],0)</f>
        <v>≥28</v>
      </c>
      <c r="F250" s="32" cm="1">
        <f t="array" ref="F250">Common_InputFunctions.Utility_DisplayArrayInTable(Common_SourceData.Common_SourceData_MCFTemperatureZone_Data(),Table_SourceData_Common_MCFTemperatureZone[[#Headers],[Temperature zone]],0)</f>
        <v>0.8</v>
      </c>
      <c r="G250" s="32" cm="1">
        <f t="array" ref="G250">Common_InputFunctions.Utility_DisplayArrayInTable(Common_SourceData.Common_SourceData_MCFTemperatureZone_Data(),Table_SourceData_Common_MCFTemperatureZone[[#Headers],[Temperature zone]],0)</f>
        <v>0.1</v>
      </c>
      <c r="H250" s="32" cm="1">
        <f t="array" ref="H250">Common_InputFunctions.Utility_DisplayArrayInTable(Common_SourceData.Common_SourceData_MCFTemperatureZone_Data(),Table_SourceData_Common_MCFTemperatureZone[[#Headers],[Temperature zone]],0)</f>
        <v>0.5</v>
      </c>
      <c r="I250" s="32" cm="1">
        <f t="array" ref="I250">Common_InputFunctions.Utility_DisplayArrayInTable(Common_SourceData.Common_SourceData_MCFTemperatureZone_Data(),Table_SourceData_Common_MCFTemperatureZone[[#Headers],[Temperature zone]],0)</f>
        <v>0.01</v>
      </c>
      <c r="J250" s="32" cm="1">
        <f t="array" ref="J250">Common_InputFunctions.Utility_DisplayArrayInTable(Common_SourceData.Common_SourceData_MCFTemperatureZone_Data(),Table_SourceData_Common_MCFTemperatureZone[[#Headers],[Temperature zone]],0)</f>
        <v>1.4999999999999999E-2</v>
      </c>
      <c r="K250" s="32" cm="1">
        <f t="array" ref="K250">Common_InputFunctions.Utility_DisplayArrayInTable(Common_SourceData.Common_SourceData_MCFTemperatureZone_Data(),Table_SourceData_Common_MCFTemperatureZone[[#Headers],[Temperature zone]],0)</f>
        <v>0.02</v>
      </c>
      <c r="L250" s="32" cm="1">
        <f t="array" ref="L250">Common_InputFunctions.Utility_DisplayArrayInTable(Common_SourceData.Common_SourceData_MCFTemperatureZone_Data(),Table_SourceData_Common_MCFTemperatureZone[[#Headers],[Temperature zone]],0)</f>
        <v>0.03</v>
      </c>
      <c r="M250" s="32" cm="1">
        <f t="array" ref="M250">Common_InputFunctions.Utility_DisplayArrayInTable(Common_SourceData.Common_SourceData_MCFTemperatureZone_Data(),Table_SourceData_Common_MCFTemperatureZone[[#Headers],[Temperature zone]],0)</f>
        <v>0.04</v>
      </c>
      <c r="N250" s="32" cm="1">
        <f t="array" ref="N250">Common_InputFunctions.Utility_DisplayArrayInTable(Common_SourceData.Common_SourceData_MCFTemperatureZone_Data(),Table_SourceData_Common_MCFTemperatureZone[[#Headers],[Temperature zone]],0)</f>
        <v>1.4999999999999999E-2</v>
      </c>
      <c r="O250" s="32" cm="1">
        <f t="array" ref="O250">Common_InputFunctions.Utility_DisplayArrayInTable(Common_SourceData.Common_SourceData_MCFTemperatureZone_Data(),Table_SourceData_Common_MCFTemperatureZone[[#Headers],[Temperature zone]],0)</f>
        <v>1.4999999999999999E-2</v>
      </c>
      <c r="P250" s="32" cm="1">
        <f t="array" ref="P250">Common_InputFunctions.Utility_DisplayArrayInTable(Common_SourceData.Common_SourceData_MCFTemperatureZone_Data(),Table_SourceData_Common_MCFTemperatureZone[[#Headers],[Temperature zone]],0)</f>
        <v>0</v>
      </c>
      <c r="Q250" s="32" cm="1">
        <f t="array" ref="Q250">Common_InputFunctions.Utility_DisplayArrayInTable(Common_SourceData.Common_SourceData_MCFTemperatureZone_Data(),Table_SourceData_Common_MCFTemperatureZone[[#Headers],[Temperature zone]],0)</f>
        <v>0</v>
      </c>
      <c r="R250" s="32" cm="1">
        <f t="array" ref="R250">Common_InputFunctions.Utility_DisplayArrayInTable(Common_SourceData.Common_SourceData_MCFTemperatureZone_Data(),Table_SourceData_Common_MCFTemperatureZone[[#Headers],[Temperature zone]],0)</f>
        <v>4.7000000000000002E-3</v>
      </c>
      <c r="S250" s="32"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9"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2" t="s">
        <v>106</v>
      </c>
      <c r="E257" s="32" t="s">
        <v>107</v>
      </c>
    </row>
    <row r="258" spans="4:5" x14ac:dyDescent="0.25">
      <c r="D258" s="32" t="str" cm="1">
        <f t="array" ref="D258">Common_InputFunctions.Utility_DisplayArrayInTable(Common_SourceData.Common_SourceData_EFOrganicFertiliserAndCropResidues_Data(), Table_SourceData_Common_EFOrganicFertCropResidues[[#Headers],[Climate Zone]], 0)</f>
        <v>Wet climate zone</v>
      </c>
      <c r="E258" s="32"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2"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20</vt:i4>
      </vt:variant>
    </vt:vector>
  </HeadingPairs>
  <TitlesOfParts>
    <vt:vector size="25" baseType="lpstr">
      <vt:lpstr>Home</vt:lpstr>
      <vt:lpstr>Results</vt:lpstr>
      <vt:lpstr>Input - Site</vt:lpstr>
      <vt:lpstr>Input - Enterprise</vt:lpstr>
      <vt:lpstr>Constants - Common</vt:lpstr>
      <vt:lpstr>Result_Enterprise_Method1</vt:lpstr>
      <vt:lpstr>Result_Enterprise_Method2</vt:lpstr>
      <vt:lpstr>X_Cell_Enterprise_ProductionTimeframeEnd</vt:lpstr>
      <vt:lpstr>X_Cell_Enterprise_ProductionTimeframeStart</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2026-07-13T06:58:04Z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