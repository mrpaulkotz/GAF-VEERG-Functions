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62E386D-219F-41A5-85F8-A5AC8AC1A436}" xr6:coauthVersionLast="47" xr6:coauthVersionMax="47" xr10:uidLastSave="{00000000-0000-0000-0000-000000000000}"/>
  <bookViews>
    <workbookView xWindow="765" yWindow="840" windowWidth="37785" windowHeight="19140" firstSheet="4" activeTab="6"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78" l="1"/>
  <c r="J60" i="78"/>
  <c r="J59" i="78"/>
  <c r="J58" i="78"/>
  <c r="J57" i="78"/>
  <c r="J47" i="78"/>
  <c r="J51" i="78"/>
  <c r="J50" i="78"/>
  <c r="J49" i="78"/>
  <c r="J48" i="78"/>
  <c r="J31" i="78"/>
  <c r="J41" i="78"/>
  <c r="J40" i="78"/>
  <c r="J39" i="78"/>
  <c r="J38" i="78"/>
  <c r="J37" i="78"/>
  <c r="J36" i="78"/>
  <c r="J35" i="78"/>
  <c r="J34" i="78"/>
  <c r="J33" i="78"/>
  <c r="J32" i="78"/>
  <c r="J30" i="78"/>
  <c r="J19" i="78"/>
  <c r="J24" i="78"/>
  <c r="J23" i="78"/>
  <c r="J22" i="78"/>
  <c r="J21" i="78"/>
  <c r="J20" i="78"/>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H48" i="79" l="1"/>
  <c r="H52" i="79"/>
  <c r="E22" i="75"/>
  <c r="E20" i="75"/>
  <c r="E21" i="75" s="1"/>
  <c r="E19" i="75"/>
  <c r="H50" i="79"/>
  <c r="I18" i="13" a="1"/>
  <c r="I18" i="13" s="1"/>
  <c r="I10" i="13" a="1"/>
  <c r="I10" i="13" s="1"/>
  <c r="H19" i="13" a="1"/>
  <c r="H19" i="13" s="1"/>
  <c r="H11" i="13" a="1"/>
  <c r="H11" i="13" s="1"/>
  <c r="I19" i="13" a="1"/>
  <c r="I19" i="13" s="1"/>
  <c r="I11" i="13" a="1"/>
  <c r="I11" i="13" s="1"/>
  <c r="H21" i="13" a="1"/>
  <c r="H21" i="13" s="1"/>
  <c r="H12" i="13" a="1"/>
  <c r="H12" i="13" s="1"/>
  <c r="I21" i="13" a="1"/>
  <c r="I21" i="13" s="1"/>
  <c r="I12" i="13" a="1"/>
  <c r="I12" i="13" s="1"/>
  <c r="H22" i="13" a="1"/>
  <c r="H22" i="13" s="1"/>
  <c r="H14" i="13" a="1"/>
  <c r="H14" i="13" s="1"/>
  <c r="I22" i="13" a="1"/>
  <c r="I22" i="13" s="1"/>
  <c r="H24" i="13" a="1"/>
  <c r="H24" i="13" s="1"/>
  <c r="H7" i="13" a="1"/>
  <c r="H7" i="13" s="1"/>
  <c r="I14" i="13" a="1"/>
  <c r="I14" i="13" s="1"/>
  <c r="I24" i="13" a="1"/>
  <c r="I24" i="13" s="1"/>
  <c r="I7" i="13" a="1"/>
  <c r="I7" i="13" s="1"/>
  <c r="H16" i="13" a="1"/>
  <c r="H16" i="13" s="1"/>
  <c r="H25" i="13" a="1"/>
  <c r="H25" i="13" s="1"/>
  <c r="H8" i="13" a="1"/>
  <c r="H8" i="13" s="1"/>
  <c r="I16" i="13" a="1"/>
  <c r="I16" i="13" s="1"/>
  <c r="I25" i="13" a="1"/>
  <c r="I25" i="13" s="1"/>
  <c r="I8" i="13" a="1"/>
  <c r="I8" i="13" s="1"/>
  <c r="H17" i="13" a="1"/>
  <c r="H17" i="13" s="1"/>
  <c r="H9" i="13" a="1"/>
  <c r="H9" i="13" s="1"/>
  <c r="I17" i="13" a="1"/>
  <c r="I17" i="13" s="1"/>
  <c r="I9" i="13" a="1"/>
  <c r="I9" i="13" s="1"/>
  <c r="H18" i="13" a="1"/>
  <c r="H18" i="13" s="1"/>
  <c r="H10" i="13" a="1"/>
  <c r="H10" i="13" s="1"/>
  <c r="H54" i="79"/>
  <c r="H49" i="79"/>
  <c r="H53" i="79"/>
  <c r="H51" i="79"/>
  <c r="E52" i="13"/>
  <c r="E51" i="13"/>
  <c r="F41" i="13"/>
  <c r="E41" i="13"/>
  <c r="F40" i="13"/>
  <c r="E40" i="13"/>
  <c r="E22" i="72"/>
  <c r="I16" i="77" l="1"/>
  <c r="I15" i="77"/>
  <c r="I14" i="77"/>
  <c r="I13" i="77"/>
  <c r="I12" i="77"/>
  <c r="I11" i="77"/>
  <c r="I10" i="77"/>
  <c r="I9" i="77"/>
  <c r="I8" i="77"/>
  <c r="I7" i="77"/>
  <c r="E10" i="76" a="1"/>
  <c r="E10" i="76" s="1"/>
  <c r="E9" i="76" a="1"/>
  <c r="E9" i="76" s="1"/>
  <c r="G75" i="13" l="1"/>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D37" i="13" a="1"/>
  <c r="D48" i="13" a="1"/>
  <c r="F81" i="13"/>
  <c r="F80" i="13"/>
  <c r="F68" i="13"/>
  <c r="F66" i="13"/>
  <c r="D33" i="13" a="1"/>
  <c r="D33" i="13" s="1"/>
  <c r="E13" i="72"/>
  <c r="D4" i="13" s="1"/>
  <c r="E18" i="75"/>
  <c r="A20" i="75"/>
  <c r="A19" i="75"/>
  <c r="A18" i="75"/>
  <c r="A17" i="75"/>
  <c r="A14" i="75"/>
  <c r="A13" i="75"/>
  <c r="A12" i="75"/>
  <c r="A11" i="75"/>
  <c r="A8" i="75"/>
  <c r="A7" i="75"/>
  <c r="A4" i="75"/>
  <c r="A3" i="75"/>
  <c r="E20" i="72"/>
  <c r="E50" i="13" l="1"/>
  <c r="E49" i="13"/>
  <c r="D37" i="13"/>
  <c r="F39" i="13"/>
  <c r="E39" i="13"/>
  <c r="F16" i="13"/>
  <c r="D48" i="13"/>
  <c r="E48" i="13" s="1"/>
  <c r="F26" i="13"/>
  <c r="I26" i="13" s="1"/>
  <c r="I28" i="13"/>
  <c r="F38" i="13" s="1"/>
  <c r="F20" i="13"/>
  <c r="I20" i="13" s="1"/>
  <c r="H28" i="13"/>
  <c r="E38" i="13" s="1"/>
  <c r="G64" i="13"/>
  <c r="G65" i="13" s="1"/>
  <c r="F67" i="13"/>
  <c r="H27" i="13"/>
  <c r="F27" i="13"/>
  <c r="I27" i="13" s="1"/>
  <c r="F15" i="13"/>
  <c r="I15" i="13" s="1"/>
  <c r="H15" i="13"/>
  <c r="F17" i="13"/>
  <c r="H13" i="13"/>
  <c r="F23" i="13"/>
  <c r="I23" i="13" s="1"/>
  <c r="F25" i="13"/>
  <c r="F14" i="13"/>
  <c r="G66" i="13"/>
  <c r="G67" i="13" s="1"/>
  <c r="E53" i="13" l="1"/>
  <c r="E37" i="13"/>
  <c r="F37" i="13"/>
  <c r="A20" i="13"/>
  <c r="A19" i="13"/>
  <c r="A18" i="13"/>
  <c r="A17" i="13"/>
  <c r="A14" i="13"/>
  <c r="A13" i="13"/>
  <c r="A12" i="13"/>
  <c r="A11" i="13"/>
  <c r="A8" i="13"/>
  <c r="A7" i="13"/>
  <c r="A4" i="13"/>
  <c r="A3" i="13"/>
  <c r="E42" i="13" l="1"/>
  <c r="H64" i="13" s="1"/>
  <c r="H72" i="13" l="1"/>
  <c r="H66" i="13"/>
  <c r="H74" i="13"/>
  <c r="E59" i="13"/>
  <c r="F42" i="13"/>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<sst xmlns="http://schemas.openxmlformats.org/spreadsheetml/2006/main" count="593" uniqueCount="319">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</sst>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4">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0" fillId="0" borderId="2" xfId="14" applyFont="1">
      <alignment horizontal="center" vertical="center"/>
    </xf>
    <xf numFmtId="0" fontId="0" fillId="0" borderId="17" xfId="14" applyFont="1" applyBorder="1">
      <alignment horizontal="center" vertical="center"/>
    </xf>
    <xf numFmtId="0" fontId="3" fillId="12" borderId="17" xfId="15"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10"/>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Input"/>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9"/>
    <tableColumn id="6" xr3:uid="{11350DC8-38DD-4ED1-9576-EFE00DF98F4A}" name="Evidence files" dataDxfId="8"/>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Input"/>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7"/>
    <tableColumn id="6" xr3:uid="{AB44CE99-224A-437D-A5B1-932D9C46AAB8}" name="Evidence files" dataDxfId="6"/>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Input"/>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
    <tableColumn id="6" xr3:uid="{8407DCE3-2C71-4594-89B2-6C5DC5A27F02}" name="Evidence files" dataDxfId="4"/>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Input"/>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3"/>
    <tableColumn id="6" xr3:uid="{4E8DFB0B-42BF-4238-AE47-4694D0ABF414}" name="Evidence files" dataDxfId="2"/>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Input"/>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1"/>
    <tableColumn id="6" xr3:uid="{59BA769D-6DE0-45F8-9AE4-CE630F78ADD3}" name="Evidence files" dataDxfId="0"/>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3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3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3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3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3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1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15" dataCellStyle="Content normal"/>
    <tableColumn id="2" xr3:uid="{FB5C0130-8C56-4920-AC12-9A8601CC1D07}" name="Description" dataDxfId="1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1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1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101" t="str">
        <f>HYPERLINK("#'Home'!A1", "Home")</f>
        <v>Home</v>
      </c>
    </row>
    <row r="6" spans="1:1" x14ac:dyDescent="0.25">
      <c r="A6" s="102"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E54" sqref="E5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0, IF(ISNUMBER(SEARCH("reporting", $D37)), Result_Enterprise_Method1, "Enter value"))</f>
        <v>Enter value</v>
      </c>
      <c r="F37" s="87" t="str">
        <f>IF(ISBLANK($D37), 0,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0, IF(ISNUMBER(SEARCH("reporting", $D38)), Result_Enterprise_Method1, "Enter value"))</f>
        <v>#NAME?</v>
      </c>
      <c r="F38" s="87" t="e">
        <f>IF(ISBLANK($D38), 0,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0, IF(ISNUMBER(SEARCH("reporting", $D39)), Result_Enterprise_Method1, "Enter value"))</f>
        <v>Enter value</v>
      </c>
      <c r="F39" s="87" t="str">
        <f>IF(ISBLANK($D39), 0, IF(ISNUMBER(SEARCH("reporting", $D39)), Result_Enterprise_Method2, "Enter value"))</f>
        <v>Enter value</v>
      </c>
      <c r="G39" s="16" t="s">
        <v>8</v>
      </c>
      <c r="H39" s="14"/>
      <c r="I39" s="9"/>
      <c r="J39" s="9"/>
      <c r="K39" s="9"/>
    </row>
    <row r="40" spans="3:11" ht="20.100000000000001" customHeight="1" x14ac:dyDescent="0.3">
      <c r="C40" s="9"/>
      <c r="D40" s="1"/>
      <c r="E40" s="87">
        <f>IF(ISBLANK($D40), 0, IF(ISNUMBER(SEARCH("reporting", $D40)), Result_Enterprise_Method1, "Enter value"))</f>
        <v>0</v>
      </c>
      <c r="F40" s="87">
        <f>IF(ISBLANK($D40), 0, IF(ISNUMBER(SEARCH("reporting", $D40)), Result_Enterprise_Method2, "Enter value"))</f>
        <v>0</v>
      </c>
      <c r="G40" s="16" t="s">
        <v>8</v>
      </c>
      <c r="H40" s="14"/>
      <c r="I40" s="9"/>
      <c r="J40" s="9"/>
      <c r="K40" s="9"/>
    </row>
    <row r="41" spans="3:11" ht="20.100000000000001" customHeight="1" x14ac:dyDescent="0.3">
      <c r="C41" s="9"/>
      <c r="D41" s="89"/>
      <c r="E41" s="87">
        <f>IF(ISBLANK($D41), 0, IF(ISNUMBER(SEARCH("reporting", $D41)), Result_Enterprise_Method1, "Enter value"))</f>
        <v>0</v>
      </c>
      <c r="F41" s="87">
        <f>IF(ISBLANK($D41), 0, IF(ISNUMBER(SEARCH("reporting", $D41)), Result_Enterprise_Method2, "Enter value"))</f>
        <v>0</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0,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0,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f t="shared" si="1"/>
        <v>0</v>
      </c>
      <c r="F51" s="16" t="s">
        <v>145</v>
      </c>
      <c r="G51" s="1"/>
      <c r="H51" s="1"/>
      <c r="I51" s="1"/>
      <c r="J51" s="1"/>
      <c r="K51" s="9"/>
    </row>
    <row r="52" spans="3:11" ht="20.100000000000001" customHeight="1" x14ac:dyDescent="0.25">
      <c r="C52" s="9"/>
      <c r="D52" s="1"/>
      <c r="E52" s="87">
        <f t="shared" si="1"/>
        <v>0</v>
      </c>
      <c r="F52" s="16" t="s">
        <v>145</v>
      </c>
      <c r="G52" s="1"/>
      <c r="H52" s="1"/>
      <c r="I52" s="9"/>
      <c r="J52" s="9"/>
      <c r="K52" s="9"/>
    </row>
    <row r="53" spans="3:11" ht="20.100000000000001" customHeight="1" x14ac:dyDescent="0.3">
      <c r="C53" s="9"/>
      <c r="D53" s="15" t="s">
        <v>147</v>
      </c>
      <c r="E53" s="20">
        <f>SUM(E48:E52)</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topLeftCell="A4" zoomScaleNormal="10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1"/>
  <sheetViews>
    <sheetView showGridLines="0" tabSelected="1" topLeftCell="F1" zoomScaleNormal="100" workbookViewId="0">
      <selection activeCell="J9" sqref="J9"/>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5" spans="3:13" ht="23.25" x14ac:dyDescent="0.25">
      <c r="D5" s="2" t="s">
        <v>259</v>
      </c>
    </row>
    <row r="7" spans="3:13" x14ac:dyDescent="0.25">
      <c r="D7" s="95" t="s">
        <v>208</v>
      </c>
      <c r="E7" s="95" t="s">
        <v>260</v>
      </c>
      <c r="F7" s="95" t="s">
        <v>261</v>
      </c>
      <c r="G7" s="95" t="s">
        <v>262</v>
      </c>
      <c r="H7" s="95" t="s">
        <v>209</v>
      </c>
      <c r="I7" s="95" t="s">
        <v>210</v>
      </c>
      <c r="J7" s="95" t="s">
        <v>211</v>
      </c>
    </row>
    <row r="8" spans="3:13" x14ac:dyDescent="0.25">
      <c r="D8" s="96" t="s">
        <v>24</v>
      </c>
      <c r="E8" s="24" t="s">
        <v>263</v>
      </c>
      <c r="F8" s="24" t="s">
        <v>309</v>
      </c>
      <c r="G8" s="24" t="s">
        <v>265</v>
      </c>
      <c r="H8" s="97"/>
      <c r="I8" s="97"/>
      <c r="J8"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96" t="s">
        <v>266</v>
      </c>
      <c r="E9" s="24" t="s">
        <v>275</v>
      </c>
      <c r="F9" s="24" t="s">
        <v>264</v>
      </c>
      <c r="G9" s="24" t="s">
        <v>270</v>
      </c>
      <c r="H9" s="97"/>
      <c r="I9" s="97"/>
      <c r="J9"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96" t="s">
        <v>268</v>
      </c>
      <c r="E10" s="24" t="s">
        <v>276</v>
      </c>
      <c r="F10" s="24" t="s">
        <v>269</v>
      </c>
      <c r="G10" s="24" t="s">
        <v>270</v>
      </c>
      <c r="H10" s="97"/>
      <c r="I10" s="97"/>
      <c r="J10"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96" t="s">
        <v>271</v>
      </c>
      <c r="E11" s="24" t="s">
        <v>311</v>
      </c>
      <c r="F11" s="24" t="s">
        <v>296</v>
      </c>
      <c r="G11" s="24" t="s">
        <v>283</v>
      </c>
      <c r="H11" s="97"/>
      <c r="I11" s="97"/>
      <c r="J11"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96" t="s">
        <v>272</v>
      </c>
      <c r="E12" s="24" t="s">
        <v>312</v>
      </c>
      <c r="F12" s="24" t="s">
        <v>310</v>
      </c>
      <c r="G12" s="24" t="s">
        <v>285</v>
      </c>
      <c r="H12" s="97"/>
      <c r="I12" s="97"/>
      <c r="J12"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96" t="s">
        <v>273</v>
      </c>
      <c r="E13" s="24" t="s">
        <v>263</v>
      </c>
      <c r="F13" s="24" t="s">
        <v>264</v>
      </c>
      <c r="G13" s="24" t="s">
        <v>265</v>
      </c>
      <c r="H13" s="97"/>
      <c r="I13" s="97"/>
      <c r="J13"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3:13" ht="23.25" x14ac:dyDescent="0.25">
      <c r="D16" s="2" t="s">
        <v>274</v>
      </c>
    </row>
    <row r="18" spans="4:10" x14ac:dyDescent="0.25">
      <c r="D18" s="95" t="s">
        <v>208</v>
      </c>
      <c r="E18" s="95" t="s">
        <v>260</v>
      </c>
      <c r="F18" s="95" t="s">
        <v>261</v>
      </c>
      <c r="G18" s="95" t="s">
        <v>262</v>
      </c>
      <c r="H18" s="95" t="s">
        <v>209</v>
      </c>
      <c r="I18" s="95" t="s">
        <v>210</v>
      </c>
      <c r="J18" s="95" t="s">
        <v>211</v>
      </c>
    </row>
    <row r="19" spans="4:10" x14ac:dyDescent="0.25">
      <c r="D19" s="96" t="s">
        <v>114</v>
      </c>
      <c r="E19" s="24" t="s">
        <v>275</v>
      </c>
      <c r="F19" s="24" t="s">
        <v>269</v>
      </c>
      <c r="G19" s="24" t="s">
        <v>265</v>
      </c>
      <c r="H19" s="97"/>
      <c r="I19" s="97"/>
      <c r="J19"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98" t="s">
        <v>47</v>
      </c>
      <c r="E20" s="24" t="s">
        <v>275</v>
      </c>
      <c r="F20" s="24" t="s">
        <v>269</v>
      </c>
      <c r="G20" s="24" t="s">
        <v>265</v>
      </c>
      <c r="H20" s="97"/>
      <c r="I20" s="97"/>
      <c r="J20"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98" t="s">
        <v>117</v>
      </c>
      <c r="E21" s="24" t="s">
        <v>275</v>
      </c>
      <c r="F21" s="24" t="s">
        <v>269</v>
      </c>
      <c r="G21" s="24" t="s">
        <v>265</v>
      </c>
      <c r="H21" s="97"/>
      <c r="I21" s="97"/>
      <c r="J21"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98" t="s">
        <v>119</v>
      </c>
      <c r="E22" s="24" t="s">
        <v>263</v>
      </c>
      <c r="F22" s="24" t="s">
        <v>264</v>
      </c>
      <c r="G22" s="24" t="s">
        <v>265</v>
      </c>
      <c r="H22" s="97"/>
      <c r="I22" s="97"/>
      <c r="J22"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98" t="s">
        <v>121</v>
      </c>
      <c r="E23" s="24" t="s">
        <v>275</v>
      </c>
      <c r="F23" s="24" t="s">
        <v>269</v>
      </c>
      <c r="G23" s="24" t="s">
        <v>265</v>
      </c>
      <c r="H23" s="97"/>
      <c r="I23" s="97"/>
      <c r="J23"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99" t="s">
        <v>122</v>
      </c>
      <c r="E24" s="100" t="s">
        <v>276</v>
      </c>
      <c r="F24" s="100" t="s">
        <v>269</v>
      </c>
      <c r="G24" s="100" t="s">
        <v>265</v>
      </c>
      <c r="H24" s="97"/>
      <c r="I24" s="97"/>
      <c r="J24"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4:10" ht="23.25" x14ac:dyDescent="0.25">
      <c r="D27" s="2" t="s">
        <v>277</v>
      </c>
    </row>
    <row r="29" spans="4:10" x14ac:dyDescent="0.25">
      <c r="D29" s="95" t="s">
        <v>208</v>
      </c>
      <c r="E29" s="95" t="s">
        <v>260</v>
      </c>
      <c r="F29" s="95" t="s">
        <v>261</v>
      </c>
      <c r="G29" s="95" t="s">
        <v>262</v>
      </c>
      <c r="H29" s="95" t="s">
        <v>209</v>
      </c>
      <c r="I29" s="95" t="s">
        <v>210</v>
      </c>
      <c r="J29" s="95" t="s">
        <v>211</v>
      </c>
    </row>
    <row r="30" spans="4:10" x14ac:dyDescent="0.25">
      <c r="D30" s="96" t="s">
        <v>278</v>
      </c>
      <c r="E30" s="24" t="s">
        <v>263</v>
      </c>
      <c r="F30" s="24" t="s">
        <v>269</v>
      </c>
      <c r="G30" s="24" t="s">
        <v>265</v>
      </c>
      <c r="H30" s="97"/>
      <c r="I30" s="97"/>
      <c r="J3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98" t="s">
        <v>279</v>
      </c>
      <c r="E31" s="24" t="s">
        <v>263</v>
      </c>
      <c r="F31" s="24" t="s">
        <v>264</v>
      </c>
      <c r="G31" s="24" t="s">
        <v>265</v>
      </c>
      <c r="H31" s="97"/>
      <c r="I31" s="97"/>
      <c r="J3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98" t="s">
        <v>280</v>
      </c>
      <c r="E32" s="24" t="s">
        <v>263</v>
      </c>
      <c r="F32" s="24" t="s">
        <v>264</v>
      </c>
      <c r="G32" s="24" t="s">
        <v>270</v>
      </c>
      <c r="H32" s="97"/>
      <c r="I32" s="97"/>
      <c r="J32"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98" t="s">
        <v>281</v>
      </c>
      <c r="E33" s="24" t="s">
        <v>263</v>
      </c>
      <c r="F33" s="24" t="s">
        <v>264</v>
      </c>
      <c r="G33" s="24" t="s">
        <v>267</v>
      </c>
      <c r="H33" s="97"/>
      <c r="I33" s="97"/>
      <c r="J33"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98" t="s">
        <v>282</v>
      </c>
      <c r="E34" s="24" t="s">
        <v>263</v>
      </c>
      <c r="F34" s="24" t="s">
        <v>264</v>
      </c>
      <c r="G34" s="24" t="s">
        <v>283</v>
      </c>
      <c r="H34" s="97"/>
      <c r="I34" s="97"/>
      <c r="J34"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99" t="s">
        <v>284</v>
      </c>
      <c r="E35" s="24" t="s">
        <v>263</v>
      </c>
      <c r="F35" s="100" t="s">
        <v>269</v>
      </c>
      <c r="G35" s="100" t="s">
        <v>285</v>
      </c>
      <c r="H35" s="97"/>
      <c r="I35" s="97"/>
      <c r="J35"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96" t="s">
        <v>286</v>
      </c>
      <c r="E36" s="24" t="s">
        <v>263</v>
      </c>
      <c r="F36" s="100" t="s">
        <v>269</v>
      </c>
      <c r="G36" s="100" t="s">
        <v>285</v>
      </c>
      <c r="H36" s="97"/>
      <c r="I36" s="97"/>
      <c r="J36"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96" t="s">
        <v>287</v>
      </c>
      <c r="E37" s="24" t="s">
        <v>263</v>
      </c>
      <c r="F37" s="100" t="s">
        <v>264</v>
      </c>
      <c r="G37" s="100" t="s">
        <v>265</v>
      </c>
      <c r="H37" s="97"/>
      <c r="I37" s="97"/>
      <c r="J37"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96" t="s">
        <v>288</v>
      </c>
      <c r="E38" s="24" t="s">
        <v>263</v>
      </c>
      <c r="F38" s="100" t="s">
        <v>264</v>
      </c>
      <c r="G38" s="100" t="s">
        <v>270</v>
      </c>
      <c r="H38" s="97"/>
      <c r="I38" s="97"/>
      <c r="J38"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96" t="s">
        <v>289</v>
      </c>
      <c r="E39" s="24" t="s">
        <v>263</v>
      </c>
      <c r="F39" s="100" t="s">
        <v>264</v>
      </c>
      <c r="G39" s="100" t="s">
        <v>270</v>
      </c>
      <c r="H39" s="97"/>
      <c r="I39" s="97"/>
      <c r="J39"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96" t="s">
        <v>290</v>
      </c>
      <c r="E40" s="24" t="s">
        <v>263</v>
      </c>
      <c r="F40" s="100" t="s">
        <v>264</v>
      </c>
      <c r="G40" s="100" t="s">
        <v>265</v>
      </c>
      <c r="H40" s="97"/>
      <c r="I40" s="97"/>
      <c r="J4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96" t="s">
        <v>291</v>
      </c>
      <c r="E41" s="24" t="s">
        <v>263</v>
      </c>
      <c r="F41" s="100" t="s">
        <v>264</v>
      </c>
      <c r="G41" s="100" t="s">
        <v>265</v>
      </c>
      <c r="H41" s="97"/>
      <c r="I41" s="97"/>
      <c r="J4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4" spans="4:10" ht="23.25" x14ac:dyDescent="0.25">
      <c r="D44" s="2" t="s">
        <v>292</v>
      </c>
    </row>
    <row r="46" spans="4:10" x14ac:dyDescent="0.25">
      <c r="D46" s="95" t="s">
        <v>208</v>
      </c>
      <c r="E46" s="95" t="s">
        <v>260</v>
      </c>
      <c r="F46" s="95" t="s">
        <v>261</v>
      </c>
      <c r="G46" s="95" t="s">
        <v>262</v>
      </c>
      <c r="H46" s="95" t="s">
        <v>209</v>
      </c>
      <c r="I46" s="95" t="s">
        <v>210</v>
      </c>
      <c r="J46" s="95" t="s">
        <v>211</v>
      </c>
    </row>
    <row r="47" spans="4:10" x14ac:dyDescent="0.25">
      <c r="D47" s="96" t="s">
        <v>293</v>
      </c>
      <c r="E47" s="24" t="s">
        <v>263</v>
      </c>
      <c r="F47" s="24" t="s">
        <v>264</v>
      </c>
      <c r="G47" s="24" t="s">
        <v>265</v>
      </c>
      <c r="H47" s="97"/>
      <c r="I47" s="97"/>
      <c r="J47"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98" t="s">
        <v>74</v>
      </c>
      <c r="E48" s="24" t="s">
        <v>263</v>
      </c>
      <c r="F48" s="24" t="s">
        <v>264</v>
      </c>
      <c r="G48" s="24" t="s">
        <v>265</v>
      </c>
      <c r="H48" s="97"/>
      <c r="I48" s="97"/>
      <c r="J48"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98" t="s">
        <v>294</v>
      </c>
      <c r="E49" s="24" t="s">
        <v>263</v>
      </c>
      <c r="F49" s="24" t="s">
        <v>264</v>
      </c>
      <c r="G49" s="24" t="s">
        <v>265</v>
      </c>
      <c r="H49" s="97"/>
      <c r="I49" s="97"/>
      <c r="J49"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98" t="s">
        <v>295</v>
      </c>
      <c r="E50" s="24" t="s">
        <v>263</v>
      </c>
      <c r="F50" s="24" t="s">
        <v>296</v>
      </c>
      <c r="G50" s="24" t="s">
        <v>285</v>
      </c>
      <c r="H50" s="97"/>
      <c r="I50" s="97"/>
      <c r="J50"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98" t="s">
        <v>297</v>
      </c>
      <c r="E51" s="24" t="s">
        <v>263</v>
      </c>
      <c r="F51" s="24" t="s">
        <v>264</v>
      </c>
      <c r="G51" s="24" t="s">
        <v>265</v>
      </c>
      <c r="H51" s="97"/>
      <c r="I51" s="97"/>
      <c r="J51"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4" spans="4:10" ht="23.25" x14ac:dyDescent="0.25">
      <c r="D54" s="2" t="s">
        <v>298</v>
      </c>
    </row>
    <row r="56" spans="4:10" x14ac:dyDescent="0.25">
      <c r="D56" s="95" t="s">
        <v>208</v>
      </c>
      <c r="E56" s="95" t="s">
        <v>260</v>
      </c>
      <c r="F56" s="95" t="s">
        <v>261</v>
      </c>
      <c r="G56" s="95" t="s">
        <v>262</v>
      </c>
      <c r="H56" s="95" t="s">
        <v>209</v>
      </c>
      <c r="I56" s="95" t="s">
        <v>210</v>
      </c>
      <c r="J56" s="95" t="s">
        <v>211</v>
      </c>
    </row>
    <row r="57" spans="4:10" x14ac:dyDescent="0.25">
      <c r="D57" s="96" t="s">
        <v>299</v>
      </c>
      <c r="E57" s="24" t="s">
        <v>263</v>
      </c>
      <c r="F57" s="24" t="s">
        <v>264</v>
      </c>
      <c r="G57" s="24" t="s">
        <v>270</v>
      </c>
      <c r="H57" s="97"/>
      <c r="I57" s="97"/>
      <c r="J57"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98" t="s">
        <v>300</v>
      </c>
      <c r="E58" s="24" t="s">
        <v>263</v>
      </c>
      <c r="F58" s="24" t="s">
        <v>264</v>
      </c>
      <c r="G58" s="24" t="s">
        <v>265</v>
      </c>
      <c r="H58" s="97"/>
      <c r="I58" s="97"/>
      <c r="J58"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98" t="s">
        <v>301</v>
      </c>
      <c r="E59" s="24" t="s">
        <v>263</v>
      </c>
      <c r="F59" s="24" t="s">
        <v>264</v>
      </c>
      <c r="G59" s="24" t="s">
        <v>265</v>
      </c>
      <c r="H59" s="97"/>
      <c r="I59" s="97"/>
      <c r="J59"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98" t="s">
        <v>302</v>
      </c>
      <c r="E60" s="24" t="s">
        <v>263</v>
      </c>
      <c r="F60" s="24" t="s">
        <v>264</v>
      </c>
      <c r="G60" s="24" t="s">
        <v>265</v>
      </c>
      <c r="H60" s="97"/>
      <c r="I60" s="97"/>
      <c r="J60"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3" spans="4:10" x14ac:dyDescent="0.25">
      <c r="D63" s="1" t="s">
        <v>303</v>
      </c>
    </row>
    <row r="64" spans="4:10" x14ac:dyDescent="0.25">
      <c r="D64" s="1" t="s">
        <v>304</v>
      </c>
    </row>
    <row r="65" spans="4:4" x14ac:dyDescent="0.25">
      <c r="D65" s="1" t="s">
        <v>305</v>
      </c>
    </row>
    <row r="66" spans="4:4" x14ac:dyDescent="0.25">
      <c r="D66" s="1" t="s">
        <v>306</v>
      </c>
    </row>
    <row r="67" spans="4:4" x14ac:dyDescent="0.25">
      <c r="D67" s="1" t="s">
        <v>307</v>
      </c>
    </row>
    <row r="71" spans="4:4" x14ac:dyDescent="0.25">
      <c r="D71" s="1" t="s">
        <v>308</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s="102" t="s">
        <v>2</v>
      </c>
      <c r="D6" s="31" t="s">
        <v>32</v>
      </c>
      <c r="E6" s="31" t="s">
        <v>33</v>
      </c>
      <c r="F6" s="31" t="s">
        <v>34</v>
      </c>
    </row>
    <row r="7" spans="1:65" ht="20.100000000000001" customHeight="1" x14ac:dyDescent="0.25">
      <c r="A7" s="103" t="str">
        <f>HYPERLINK("#'Constants - Common'!A1", "Constants - Common")</f>
        <v>Constants - Common</v>
      </c>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A42"/>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A43"/>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1" t="s">
        <v>36</v>
      </c>
      <c r="E47" s="31" t="s">
        <v>38</v>
      </c>
      <c r="F47" s="31" t="s">
        <v>39</v>
      </c>
      <c r="G47" s="31" t="s">
        <v>40</v>
      </c>
      <c r="H47" s="31" t="s">
        <v>41</v>
      </c>
    </row>
    <row r="48" spans="1:8" ht="20.100000000000001" customHeight="1" x14ac:dyDescent="0.25">
      <c r="A48"/>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1:8" ht="20.100000000000001" customHeight="1" x14ac:dyDescent="0.25">
      <c r="A49"/>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1:8" ht="20.100000000000001" customHeight="1" x14ac:dyDescent="0.25">
      <c r="A50"/>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1:8" ht="20.100000000000001" customHeight="1" x14ac:dyDescent="0.25">
      <c r="A51"/>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1:8" ht="20.100000000000001" customHeight="1" x14ac:dyDescent="0.25">
      <c r="A52"/>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1:8" ht="20.100000000000001" customHeight="1" x14ac:dyDescent="0.25">
      <c r="A53"/>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1:8" ht="20.100000000000001" customHeight="1" x14ac:dyDescent="0.25">
      <c r="A54"/>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42</v>
      </c>
      <c r="E63" s="31" t="s">
        <v>43</v>
      </c>
    </row>
    <row r="64" spans="1:8" ht="20.100000000000001" customHeight="1" x14ac:dyDescent="0.25">
      <c r="A64"/>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1:20" ht="20.100000000000001" customHeight="1" x14ac:dyDescent="0.25">
      <c r="A90"/>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1:20" ht="20.100000000000001" customHeight="1" x14ac:dyDescent="0.25">
      <c r="A91"/>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1:20" ht="20.100000000000001" customHeight="1" x14ac:dyDescent="0.25">
      <c r="A92"/>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1:20" ht="20.100000000000001" customHeight="1" x14ac:dyDescent="0.25">
      <c r="A93"/>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1:20" ht="20.100000000000001" customHeight="1" x14ac:dyDescent="0.25">
      <c r="A94"/>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1:20" ht="20.100000000000001" customHeight="1" x14ac:dyDescent="0.25">
      <c r="A9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1:20" ht="20.100000000000001" customHeight="1" x14ac:dyDescent="0.25">
      <c r="A96"/>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1:20" ht="20.100000000000001" customHeight="1" x14ac:dyDescent="0.25">
      <c r="A97"/>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59</v>
      </c>
      <c r="E109" s="31" t="s">
        <v>44</v>
      </c>
      <c r="F109" s="31" t="s">
        <v>60</v>
      </c>
      <c r="G109" s="31" t="s">
        <v>61</v>
      </c>
    </row>
    <row r="110" spans="1:20" ht="20.100000000000001" customHeight="1" x14ac:dyDescent="0.25">
      <c r="A110"/>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62</v>
      </c>
      <c r="E119" s="31" t="s">
        <v>63</v>
      </c>
      <c r="F119" s="31" t="s">
        <v>51</v>
      </c>
      <c r="G119" s="31" t="s">
        <v>52</v>
      </c>
      <c r="BN119" s="33"/>
    </row>
    <row r="120" spans="1:66" ht="20.100000000000001" customHeight="1" x14ac:dyDescent="0.25">
      <c r="A120"/>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1:66" ht="20.100000000000001" customHeight="1" x14ac:dyDescent="0.25">
      <c r="A121"/>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64</v>
      </c>
      <c r="E127" s="31" t="s">
        <v>65</v>
      </c>
    </row>
    <row r="128" spans="1:66" ht="20.100000000000001" customHeight="1" x14ac:dyDescent="0.25">
      <c r="A128"/>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68</v>
      </c>
      <c r="E142" s="31" t="s">
        <v>67</v>
      </c>
      <c r="BN142" s="33"/>
    </row>
    <row r="143" spans="1:77" ht="20.100000000000001" customHeight="1" x14ac:dyDescent="0.25">
      <c r="A143"/>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69</v>
      </c>
      <c r="E153" s="31" t="s">
        <v>70</v>
      </c>
      <c r="BC153" s="36"/>
      <c r="BD153" s="36"/>
      <c r="BE153" s="36"/>
      <c r="BF153" s="36"/>
      <c r="BG153" s="36"/>
      <c r="BH153" s="36"/>
      <c r="BI153" s="36"/>
      <c r="BJ153" s="36"/>
      <c r="BK153" s="36"/>
      <c r="BL153" s="36"/>
      <c r="BM153" s="36"/>
    </row>
    <row r="154" spans="1:66" ht="20.100000000000001" customHeight="1" x14ac:dyDescent="0.25">
      <c r="A154"/>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1:66" ht="20.100000000000001" customHeight="1" x14ac:dyDescent="0.25">
      <c r="A15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1:66" ht="20.100000000000001" customHeight="1" x14ac:dyDescent="0.25">
      <c r="A156"/>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6" x14ac:dyDescent="0.25">
      <c r="D257" s="31" t="s">
        <v>95</v>
      </c>
      <c r="E257" s="31" t="s">
        <v>96</v>
      </c>
    </row>
    <row r="258" spans="4:66"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215</v>
      </c>
    </row>
    <row r="264" spans="4:66" x14ac:dyDescent="0.25">
      <c r="D264" s="1" t="s">
        <v>216</v>
      </c>
    </row>
    <row r="265" spans="4:66" x14ac:dyDescent="0.25">
      <c r="D265" s="31" t="s">
        <v>313</v>
      </c>
      <c r="E265" s="31" t="s">
        <v>217</v>
      </c>
      <c r="F265" s="31" t="s">
        <v>218</v>
      </c>
      <c r="G265" s="31" t="s">
        <v>211</v>
      </c>
      <c r="V265" s="1"/>
      <c r="BN265" s="33"/>
    </row>
    <row r="266" spans="4:66" x14ac:dyDescent="0.25">
      <c r="D266" s="31" t="s">
        <v>263</v>
      </c>
      <c r="E266" s="31" t="s">
        <v>219</v>
      </c>
      <c r="F266" s="31" t="s">
        <v>220</v>
      </c>
      <c r="G266" s="31">
        <v>5</v>
      </c>
      <c r="V266" s="1"/>
      <c r="BN266" s="33"/>
    </row>
    <row r="267" spans="4:66" x14ac:dyDescent="0.25">
      <c r="D267" s="31" t="s">
        <v>275</v>
      </c>
      <c r="E267" s="31" t="s">
        <v>221</v>
      </c>
      <c r="F267" s="31" t="s">
        <v>212</v>
      </c>
      <c r="G267" s="31">
        <v>4</v>
      </c>
      <c r="V267" s="1"/>
      <c r="BN267" s="33"/>
    </row>
    <row r="268" spans="4:66" x14ac:dyDescent="0.25">
      <c r="D268" s="31" t="s">
        <v>276</v>
      </c>
      <c r="E268" s="31" t="s">
        <v>222</v>
      </c>
      <c r="F268" s="31" t="s">
        <v>223</v>
      </c>
      <c r="G268" s="31">
        <v>3</v>
      </c>
      <c r="V268" s="1"/>
      <c r="BN268" s="33"/>
    </row>
    <row r="269" spans="4:66" x14ac:dyDescent="0.25">
      <c r="D269" s="31" t="s">
        <v>311</v>
      </c>
      <c r="E269" s="31" t="s">
        <v>224</v>
      </c>
      <c r="F269" s="31" t="s">
        <v>225</v>
      </c>
      <c r="G269" s="31">
        <v>2</v>
      </c>
      <c r="V269" s="1"/>
      <c r="BN269" s="33"/>
    </row>
    <row r="270" spans="4:66" x14ac:dyDescent="0.25">
      <c r="D270" s="31" t="s">
        <v>312</v>
      </c>
      <c r="E270" s="31" t="s">
        <v>226</v>
      </c>
      <c r="F270" s="31" t="s">
        <v>227</v>
      </c>
      <c r="G270" s="31">
        <v>1</v>
      </c>
      <c r="V270" s="1"/>
      <c r="BN270" s="33"/>
    </row>
    <row r="273" spans="4:66" x14ac:dyDescent="0.25">
      <c r="D273" s="1" t="s">
        <v>228</v>
      </c>
    </row>
    <row r="274" spans="4:66" x14ac:dyDescent="0.25">
      <c r="D274" s="31" t="s">
        <v>313</v>
      </c>
      <c r="E274" s="31" t="s">
        <v>217</v>
      </c>
      <c r="F274" s="31" t="s">
        <v>218</v>
      </c>
      <c r="G274" s="31" t="s">
        <v>211</v>
      </c>
      <c r="V274" s="1"/>
      <c r="BN274" s="33"/>
    </row>
    <row r="275" spans="4:66" x14ac:dyDescent="0.25">
      <c r="D275" s="31" t="s">
        <v>309</v>
      </c>
      <c r="E275" s="31" t="s">
        <v>229</v>
      </c>
      <c r="F275" s="31" t="s">
        <v>213</v>
      </c>
      <c r="G275" s="31">
        <v>5</v>
      </c>
      <c r="V275" s="1"/>
      <c r="BN275" s="33"/>
    </row>
    <row r="276" spans="4:66" x14ac:dyDescent="0.25">
      <c r="D276" s="31" t="s">
        <v>264</v>
      </c>
      <c r="E276" s="31" t="s">
        <v>230</v>
      </c>
      <c r="F276" s="31" t="s">
        <v>231</v>
      </c>
      <c r="G276" s="31">
        <v>4</v>
      </c>
      <c r="V276" s="1"/>
      <c r="BN276" s="33"/>
    </row>
    <row r="277" spans="4:66" x14ac:dyDescent="0.25">
      <c r="D277" s="31" t="s">
        <v>269</v>
      </c>
      <c r="E277" s="31" t="s">
        <v>232</v>
      </c>
      <c r="F277" s="31" t="s">
        <v>233</v>
      </c>
      <c r="G277" s="31">
        <v>3</v>
      </c>
      <c r="V277" s="1"/>
      <c r="BN277" s="33"/>
    </row>
    <row r="278" spans="4:66" x14ac:dyDescent="0.25">
      <c r="D278" s="31" t="s">
        <v>296</v>
      </c>
      <c r="E278" s="31" t="s">
        <v>234</v>
      </c>
      <c r="F278" s="31" t="s">
        <v>235</v>
      </c>
      <c r="G278" s="31">
        <v>2</v>
      </c>
      <c r="V278" s="1"/>
      <c r="BN278" s="33"/>
    </row>
    <row r="279" spans="4:66" x14ac:dyDescent="0.25">
      <c r="D279" s="31" t="s">
        <v>310</v>
      </c>
      <c r="E279" s="31" t="s">
        <v>236</v>
      </c>
      <c r="F279" s="31" t="s">
        <v>237</v>
      </c>
      <c r="G279" s="31">
        <v>1</v>
      </c>
      <c r="V279" s="1"/>
      <c r="BN279" s="33"/>
    </row>
    <row r="282" spans="4:66" x14ac:dyDescent="0.25">
      <c r="D282" s="1" t="s">
        <v>238</v>
      </c>
    </row>
    <row r="283" spans="4:66" x14ac:dyDescent="0.25">
      <c r="D283" s="31" t="s">
        <v>313</v>
      </c>
      <c r="E283" s="31" t="s">
        <v>217</v>
      </c>
      <c r="F283" s="31" t="s">
        <v>218</v>
      </c>
      <c r="G283" s="31" t="s">
        <v>211</v>
      </c>
      <c r="V283" s="1"/>
      <c r="BN283" s="33"/>
    </row>
    <row r="284" spans="4:66" x14ac:dyDescent="0.25">
      <c r="D284" s="31" t="s">
        <v>265</v>
      </c>
      <c r="E284" s="31" t="s">
        <v>239</v>
      </c>
      <c r="F284" s="31" t="s">
        <v>240</v>
      </c>
      <c r="G284" s="31">
        <v>5</v>
      </c>
      <c r="V284" s="1"/>
      <c r="BN284" s="33"/>
    </row>
    <row r="285" spans="4:66" x14ac:dyDescent="0.25">
      <c r="D285" s="31" t="s">
        <v>270</v>
      </c>
      <c r="E285" s="31" t="s">
        <v>241</v>
      </c>
      <c r="F285" s="31" t="s">
        <v>242</v>
      </c>
      <c r="G285" s="31">
        <v>4</v>
      </c>
      <c r="V285" s="1"/>
      <c r="BN285" s="33"/>
    </row>
    <row r="286" spans="4:66" x14ac:dyDescent="0.25">
      <c r="D286" s="31" t="s">
        <v>267</v>
      </c>
      <c r="E286" s="31" t="s">
        <v>243</v>
      </c>
      <c r="F286" s="31" t="s">
        <v>214</v>
      </c>
      <c r="G286" s="31">
        <v>3</v>
      </c>
      <c r="V286" s="1"/>
      <c r="BN286" s="33"/>
    </row>
    <row r="287" spans="4:66" x14ac:dyDescent="0.25">
      <c r="D287" s="31" t="s">
        <v>283</v>
      </c>
      <c r="E287" s="31" t="s">
        <v>244</v>
      </c>
      <c r="F287" s="31" t="s">
        <v>245</v>
      </c>
      <c r="G287" s="31">
        <v>2</v>
      </c>
      <c r="V287" s="1"/>
      <c r="BN287" s="33"/>
    </row>
    <row r="288" spans="4:66" x14ac:dyDescent="0.25">
      <c r="D288" s="31" t="s">
        <v>285</v>
      </c>
      <c r="E288" s="31" t="s">
        <v>246</v>
      </c>
      <c r="F288" s="31" t="s">
        <v>247</v>
      </c>
      <c r="G288" s="31">
        <v>1</v>
      </c>
      <c r="V288" s="1"/>
      <c r="BN288" s="33"/>
    </row>
    <row r="291" spans="4:66" x14ac:dyDescent="0.25">
      <c r="D291" s="1" t="s">
        <v>248</v>
      </c>
    </row>
    <row r="292" spans="4:66" x14ac:dyDescent="0.25">
      <c r="D292" s="31" t="s">
        <v>313</v>
      </c>
      <c r="E292" s="31" t="s">
        <v>217</v>
      </c>
      <c r="F292" s="31" t="s">
        <v>218</v>
      </c>
      <c r="G292" s="31" t="s">
        <v>211</v>
      </c>
      <c r="V292" s="1"/>
      <c r="BN292" s="33"/>
    </row>
    <row r="293" spans="4:66" x14ac:dyDescent="0.25">
      <c r="D293" s="31" t="s">
        <v>314</v>
      </c>
      <c r="E293" s="31" t="s">
        <v>249</v>
      </c>
      <c r="F293" s="31" t="s">
        <v>250</v>
      </c>
      <c r="G293" s="31">
        <v>5</v>
      </c>
      <c r="V293" s="1"/>
      <c r="BN293" s="33"/>
    </row>
    <row r="294" spans="4:66" x14ac:dyDescent="0.25">
      <c r="D294" s="31" t="s">
        <v>315</v>
      </c>
      <c r="E294" s="31" t="s">
        <v>251</v>
      </c>
      <c r="F294" s="31" t="s">
        <v>252</v>
      </c>
      <c r="G294" s="31">
        <v>4</v>
      </c>
      <c r="V294" s="1"/>
      <c r="BN294" s="33"/>
    </row>
    <row r="295" spans="4:66" x14ac:dyDescent="0.25">
      <c r="D295" s="31" t="s">
        <v>316</v>
      </c>
      <c r="E295" s="31" t="s">
        <v>253</v>
      </c>
      <c r="F295" s="31" t="s">
        <v>254</v>
      </c>
      <c r="G295" s="31">
        <v>3</v>
      </c>
      <c r="V295" s="1"/>
      <c r="BN295" s="33"/>
    </row>
    <row r="296" spans="4:66" x14ac:dyDescent="0.25">
      <c r="D296" s="31" t="s">
        <v>317</v>
      </c>
      <c r="E296" s="31" t="s">
        <v>255</v>
      </c>
      <c r="F296" s="31" t="s">
        <v>256</v>
      </c>
      <c r="G296" s="31">
        <v>2</v>
      </c>
      <c r="V296" s="1"/>
      <c r="BN296" s="33"/>
    </row>
    <row r="297" spans="4:66" x14ac:dyDescent="0.25">
      <c r="D297" s="31" t="s">
        <v>318</v>
      </c>
      <c r="E297" s="31" t="s">
        <v>257</v>
      </c>
      <c r="F297" s="31" t="s">
        <v>258</v>
      </c>
      <c r="G297" s="31">
        <v>1</v>
      </c>
      <c r="V297" s="1"/>
      <c r="BN297" s="3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33</vt:i4>
      </vt:variant>
    </vt:vector>
  </HeadingPairs>
  <TitlesOfParts>
    <vt:vector size="41" baseType="lpstr">
      <vt:lpstr>Home</vt:lpstr>
      <vt:lpstr>Results</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2026-08-11T01:36:09Z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