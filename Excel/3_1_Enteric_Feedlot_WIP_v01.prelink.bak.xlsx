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12AB1677-35BE-4583-B86A-E6DCBAA53FF5}" xr6:coauthVersionLast="47" xr6:coauthVersionMax="47" xr10:uidLastSave="{00000000-0000-0000-0000-000000000000}"/>
  <bookViews>
    <workbookView xWindow="1560" yWindow="1560" windowWidth="21600" windowHeight="12645" activeTab="3" xr2:uid="{992023F3-CAB7-4E5B-A348-08D563A0EF40}"/>
  </bookViews>
  <sheets>
    <sheet name="Home" sheetId="71" r:id="rId1"/>
    <sheet name="Overview" sheetId="100" r:id="rId2"/>
    <sheet name="Results" sheetId="13" r:id="rId3"/>
    <sheet name="Input - Site" sheetId="15" r:id="rId4"/>
    <sheet name="Input - Feedlot" sheetId="70" r:id="rId5"/>
    <sheet name="3.1.1.1-2 Enteric Methane" sheetId="69" r:id="rId6"/>
    <sheet name="Constants - Feedlot" sheetId="79" r:id="rId7"/>
    <sheet name="Constants - Common" sheetId="104" r:id="rId8"/>
    <sheet name="Constants - Livestock" sheetId="43" r:id="rId9"/>
    <sheet name="Acknowledgements" sheetId="72" r:id="rId10"/>
    <sheet name="Tab template" sheetId="74" r:id="rId11"/>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_Feedlot_AverageHead_Domestic">'Input - Feedlot'!$E$8</definedName>
    <definedName name="Input_Feedlot_AverageHead_LongFed">'Input - Feedlot'!$G$8</definedName>
    <definedName name="Input_Feedlot_AverageHead_MidFed">'Input - Feedlot'!$F$8</definedName>
    <definedName name="Input_Feedlot_DurationOfStay_Domestic">'Input - Feedlot'!$E$9</definedName>
    <definedName name="Input_Feedlot_DurationOfStay_LongFed">'Input - Feedlot'!$G$9</definedName>
    <definedName name="Input_Feedlot_DurationOfStay_MidFed">'Input - Feedlot'!$F$9</definedName>
    <definedName name="Input_Feedlot_EtherExtract_Domestic">'Input - Feedlot'!$E$20</definedName>
    <definedName name="Input_Feedlot_EtherExtract_LongFed">'Input - Feedlot'!$G$20</definedName>
    <definedName name="Input_Feedlot_EtherExtract_MidFed">'Input - Feedlot'!$F$20</definedName>
    <definedName name="Input_Feedlot_FeedIntake_Domestic">'Input - Feedlot'!$E$19</definedName>
    <definedName name="Input_Feedlot_FeedIntake_LongFed">'Input - Feedlot'!$G$19</definedName>
    <definedName name="Input_Feedlot_FeedIntake_MidFed">'Input - Feedlot'!$F$19</definedName>
    <definedName name="Input_Feedlot_NDF_Domestic">'Input - Feedlot'!$E$21</definedName>
    <definedName name="Input_Feedlot_NDF_LongFed">'Input - Feedlot'!$G$21</definedName>
    <definedName name="Input_Feedlot_NDF_MidFed">'Input - Feedlot'!$F$21</definedName>
    <definedName name="Input_Site_FarmName">'Input - Site'!$E$7</definedName>
    <definedName name="Input_Site_ReportingEntityName">'Input - Site'!$E$8</definedName>
    <definedName name="Input_Site_StartDate">'Input - Site'!$E$12</definedName>
    <definedName name="M1_Table_E_CH4">'3.1.1.1-2 Enteric Methane'!$D$64:$F$65</definedName>
    <definedName name="M1_Table_EE_j">'3.1.1.1-2 Enteric Methane'!$D$24:$F$25</definedName>
    <definedName name="M1_Table_I_j">'3.1.1.1-2 Enteric Methane'!$D$19:$F$20</definedName>
    <definedName name="M1_Table_M_j">'3.1.1.1-2 Enteric Methane'!$D$34:$F$35</definedName>
    <definedName name="M1_Table_NDF_j">'3.1.1.1-2 Enteric Methane'!$D$29:$F$30</definedName>
    <definedName name="M2_Table_E_CH4">'3.1.1.1-2 Enteric Methane'!$M$64:$O$65</definedName>
    <definedName name="M2_Table_EE_j">'3.1.1.1-2 Enteric Methane'!$M$24:$O$25</definedName>
    <definedName name="M2_Table_I_j">'3.1.1.1-2 Enteric Methane'!$M$19:$O$20</definedName>
    <definedName name="M2_Table_M_j">'3.1.1.1-2 Enteric Methane'!$M$34:$O$35</definedName>
    <definedName name="M2_Table_NDF_j">'3.1.1.1-2 Enteric Methane'!$M$29:$O$30</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 name="Table_D_j">'3.1.1.1-2 Enteric Methane'!$D$54:$F$55</definedName>
    <definedName name="Table_N_j">'3.1.1.1-2 Enteric Methane'!$D$59:$F$60</definedName>
    <definedName name="VEERG_3_1_1_1__1_TotalAnnualMethaneFromEntericFermentation_Result">'3.1.1.1-2 Enteric Methane'!$E$67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79" l="1"/>
  <c r="G28" i="79"/>
  <c r="P70" i="69"/>
  <c r="G70" i="69"/>
  <c r="E259" i="104" a="1"/>
  <c r="E259" i="104" s="1"/>
  <c r="D259" i="104" a="1"/>
  <c r="D259" i="104" s="1"/>
  <c r="E258" i="104" a="1"/>
  <c r="E258" i="104" s="1"/>
  <c r="D258" i="104" a="1"/>
  <c r="D258" i="104" s="1"/>
  <c r="D256" i="104"/>
  <c r="D256" i="104" a="1"/>
  <c r="D255" i="104" a="1"/>
  <c r="D255" i="104" s="1"/>
  <c r="D254" i="104"/>
  <c r="D254" i="104" a="1"/>
  <c r="D253" i="104" a="1"/>
  <c r="D253" i="104" s="1"/>
  <c r="S250" i="104" a="1"/>
  <c r="S250" i="104" s="1"/>
  <c r="R250" i="104" a="1"/>
  <c r="R250" i="104" s="1"/>
  <c r="Q250" i="104" a="1"/>
  <c r="Q250" i="104" s="1"/>
  <c r="P250" i="104" a="1"/>
  <c r="P250" i="104" s="1"/>
  <c r="O250" i="104" a="1"/>
  <c r="O250" i="104" s="1"/>
  <c r="N250" i="104" a="1"/>
  <c r="N250" i="104" s="1"/>
  <c r="M250" i="104" a="1"/>
  <c r="M250" i="104" s="1"/>
  <c r="L250" i="104" a="1"/>
  <c r="L250" i="104" s="1"/>
  <c r="K250" i="104" a="1"/>
  <c r="K250" i="104" s="1"/>
  <c r="J250" i="104" a="1"/>
  <c r="J250" i="104" s="1"/>
  <c r="I250" i="104" a="1"/>
  <c r="I250" i="104" s="1"/>
  <c r="H250" i="104" a="1"/>
  <c r="H250" i="104" s="1"/>
  <c r="G250" i="104" a="1"/>
  <c r="G250" i="104" s="1"/>
  <c r="F250" i="104" a="1"/>
  <c r="F250" i="104" s="1"/>
  <c r="E250" i="104" a="1"/>
  <c r="E250" i="104" s="1"/>
  <c r="D250" i="104" a="1"/>
  <c r="D250" i="104" s="1"/>
  <c r="S249" i="104" a="1"/>
  <c r="S249" i="104" s="1"/>
  <c r="R249" i="104" a="1"/>
  <c r="R249" i="104" s="1"/>
  <c r="Q249" i="104" a="1"/>
  <c r="Q249" i="104" s="1"/>
  <c r="P249" i="104" a="1"/>
  <c r="P249" i="104" s="1"/>
  <c r="O249" i="104" a="1"/>
  <c r="O249" i="104" s="1"/>
  <c r="N249" i="104" a="1"/>
  <c r="N249" i="104" s="1"/>
  <c r="M249" i="104" a="1"/>
  <c r="M249" i="104" s="1"/>
  <c r="L249" i="104" a="1"/>
  <c r="L249" i="104" s="1"/>
  <c r="K249" i="104" a="1"/>
  <c r="K249" i="104" s="1"/>
  <c r="J249" i="104" a="1"/>
  <c r="J249" i="104" s="1"/>
  <c r="I249" i="104" a="1"/>
  <c r="I249" i="104" s="1"/>
  <c r="H249" i="104" a="1"/>
  <c r="H249" i="104" s="1"/>
  <c r="G249" i="104" a="1"/>
  <c r="G249" i="104" s="1"/>
  <c r="F249" i="104" a="1"/>
  <c r="F249" i="104" s="1"/>
  <c r="E249" i="104" a="1"/>
  <c r="E249" i="104" s="1"/>
  <c r="D249" i="104" a="1"/>
  <c r="D249" i="104" s="1"/>
  <c r="S248" i="104" a="1"/>
  <c r="S248" i="104" s="1"/>
  <c r="R248" i="104" a="1"/>
  <c r="R248" i="104" s="1"/>
  <c r="Q248" i="104" a="1"/>
  <c r="Q248" i="104" s="1"/>
  <c r="P248" i="104" a="1"/>
  <c r="P248" i="104" s="1"/>
  <c r="O248" i="104" a="1"/>
  <c r="O248" i="104" s="1"/>
  <c r="N248" i="104" a="1"/>
  <c r="N248" i="104" s="1"/>
  <c r="M248" i="104" a="1"/>
  <c r="M248" i="104" s="1"/>
  <c r="L248" i="104" a="1"/>
  <c r="L248" i="104" s="1"/>
  <c r="K248" i="104" a="1"/>
  <c r="K248" i="104" s="1"/>
  <c r="J248" i="104" a="1"/>
  <c r="J248" i="104" s="1"/>
  <c r="I248" i="104" a="1"/>
  <c r="I248" i="104" s="1"/>
  <c r="H248" i="104" a="1"/>
  <c r="H248" i="104" s="1"/>
  <c r="G248" i="104" a="1"/>
  <c r="G248" i="104" s="1"/>
  <c r="F248" i="104" a="1"/>
  <c r="F248" i="104" s="1"/>
  <c r="E248" i="104" a="1"/>
  <c r="E248" i="104" s="1"/>
  <c r="D248" i="104" a="1"/>
  <c r="D248" i="104" s="1"/>
  <c r="S247" i="104" a="1"/>
  <c r="S247" i="104" s="1"/>
  <c r="R247" i="104" a="1"/>
  <c r="R247" i="104" s="1"/>
  <c r="Q247" i="104" a="1"/>
  <c r="Q247" i="104" s="1"/>
  <c r="P247" i="104" a="1"/>
  <c r="P247" i="104" s="1"/>
  <c r="O247" i="104" a="1"/>
  <c r="O247" i="104" s="1"/>
  <c r="N247" i="104" a="1"/>
  <c r="N247" i="104" s="1"/>
  <c r="M247" i="104" a="1"/>
  <c r="M247" i="104" s="1"/>
  <c r="L247" i="104" a="1"/>
  <c r="L247" i="104" s="1"/>
  <c r="K247" i="104" a="1"/>
  <c r="K247" i="104" s="1"/>
  <c r="J247" i="104" a="1"/>
  <c r="J247" i="104" s="1"/>
  <c r="I247" i="104" a="1"/>
  <c r="I247" i="104" s="1"/>
  <c r="H247" i="104" a="1"/>
  <c r="H247" i="104" s="1"/>
  <c r="G247" i="104" a="1"/>
  <c r="G247" i="104" s="1"/>
  <c r="F247" i="104" a="1"/>
  <c r="F247" i="104" s="1"/>
  <c r="E247" i="104" a="1"/>
  <c r="E247" i="104" s="1"/>
  <c r="D247" i="104" a="1"/>
  <c r="D247" i="104" s="1"/>
  <c r="S246" i="104" a="1"/>
  <c r="S246" i="104" s="1"/>
  <c r="R246" i="104" a="1"/>
  <c r="R246" i="104" s="1"/>
  <c r="Q246" i="104" a="1"/>
  <c r="Q246" i="104" s="1"/>
  <c r="P246" i="104" a="1"/>
  <c r="P246" i="104" s="1"/>
  <c r="O246" i="104" a="1"/>
  <c r="O246" i="104" s="1"/>
  <c r="N246" i="104" a="1"/>
  <c r="N246" i="104" s="1"/>
  <c r="M246" i="104" a="1"/>
  <c r="M246" i="104" s="1"/>
  <c r="L246" i="104" a="1"/>
  <c r="L246" i="104" s="1"/>
  <c r="K246" i="104" a="1"/>
  <c r="K246" i="104" s="1"/>
  <c r="J246" i="104" a="1"/>
  <c r="J246" i="104" s="1"/>
  <c r="I246" i="104" a="1"/>
  <c r="I246" i="104" s="1"/>
  <c r="H246" i="104" a="1"/>
  <c r="H246" i="104" s="1"/>
  <c r="G246" i="104" a="1"/>
  <c r="G246" i="104" s="1"/>
  <c r="F246" i="104" a="1"/>
  <c r="F246" i="104" s="1"/>
  <c r="E246" i="104" a="1"/>
  <c r="E246" i="104" s="1"/>
  <c r="D246" i="104" a="1"/>
  <c r="D246" i="104" s="1"/>
  <c r="S245" i="104" a="1"/>
  <c r="S245" i="104" s="1"/>
  <c r="R245" i="104" a="1"/>
  <c r="R245" i="104" s="1"/>
  <c r="Q245" i="104" a="1"/>
  <c r="Q245" i="104" s="1"/>
  <c r="P245" i="104" a="1"/>
  <c r="P245" i="104" s="1"/>
  <c r="O245" i="104" a="1"/>
  <c r="O245" i="104" s="1"/>
  <c r="N245" i="104" a="1"/>
  <c r="N245" i="104" s="1"/>
  <c r="M245" i="104" a="1"/>
  <c r="M245" i="104" s="1"/>
  <c r="L245" i="104" a="1"/>
  <c r="L245" i="104" s="1"/>
  <c r="K245" i="104" a="1"/>
  <c r="K245" i="104" s="1"/>
  <c r="J245" i="104" a="1"/>
  <c r="J245" i="104" s="1"/>
  <c r="I245" i="104" a="1"/>
  <c r="I245" i="104" s="1"/>
  <c r="H245" i="104" a="1"/>
  <c r="H245" i="104" s="1"/>
  <c r="G245" i="104" a="1"/>
  <c r="G245" i="104" s="1"/>
  <c r="F245" i="104" a="1"/>
  <c r="F245" i="104" s="1"/>
  <c r="E245" i="104" a="1"/>
  <c r="E245" i="104" s="1"/>
  <c r="D245" i="104" a="1"/>
  <c r="D245" i="104" s="1"/>
  <c r="S244" i="104" a="1"/>
  <c r="S244" i="104" s="1"/>
  <c r="R244" i="104" a="1"/>
  <c r="R244" i="104" s="1"/>
  <c r="Q244" i="104" a="1"/>
  <c r="Q244" i="104" s="1"/>
  <c r="P244" i="104" a="1"/>
  <c r="P244" i="104" s="1"/>
  <c r="O244" i="104" a="1"/>
  <c r="O244" i="104" s="1"/>
  <c r="N244" i="104" a="1"/>
  <c r="N244" i="104" s="1"/>
  <c r="M244" i="104" a="1"/>
  <c r="M244" i="104" s="1"/>
  <c r="L244" i="104" a="1"/>
  <c r="L244" i="104" s="1"/>
  <c r="K244" i="104" a="1"/>
  <c r="K244" i="104" s="1"/>
  <c r="J244" i="104" a="1"/>
  <c r="J244" i="104" s="1"/>
  <c r="I244" i="104" a="1"/>
  <c r="I244" i="104" s="1"/>
  <c r="H244" i="104" a="1"/>
  <c r="H244" i="104" s="1"/>
  <c r="G244" i="104" a="1"/>
  <c r="G244" i="104" s="1"/>
  <c r="F244" i="104" a="1"/>
  <c r="F244" i="104" s="1"/>
  <c r="E244" i="104" a="1"/>
  <c r="E244" i="104" s="1"/>
  <c r="D244" i="104" a="1"/>
  <c r="D244" i="104" s="1"/>
  <c r="S243" i="104" a="1"/>
  <c r="S243" i="104" s="1"/>
  <c r="R243" i="104" a="1"/>
  <c r="R243" i="104" s="1"/>
  <c r="Q243" i="104" a="1"/>
  <c r="Q243" i="104" s="1"/>
  <c r="P243" i="104" a="1"/>
  <c r="P243" i="104" s="1"/>
  <c r="O243" i="104" a="1"/>
  <c r="O243" i="104" s="1"/>
  <c r="N243" i="104" a="1"/>
  <c r="N243" i="104" s="1"/>
  <c r="M243" i="104" a="1"/>
  <c r="M243" i="104" s="1"/>
  <c r="L243" i="104" a="1"/>
  <c r="L243" i="104" s="1"/>
  <c r="K243" i="104" a="1"/>
  <c r="K243" i="104" s="1"/>
  <c r="J243" i="104" a="1"/>
  <c r="J243" i="104" s="1"/>
  <c r="I243" i="104" a="1"/>
  <c r="I243" i="104" s="1"/>
  <c r="H243" i="104" a="1"/>
  <c r="H243" i="104" s="1"/>
  <c r="G243" i="104" a="1"/>
  <c r="G243" i="104" s="1"/>
  <c r="F243" i="104" a="1"/>
  <c r="F243" i="104" s="1"/>
  <c r="E243" i="104" a="1"/>
  <c r="E243" i="104" s="1"/>
  <c r="D243" i="104" a="1"/>
  <c r="D243" i="104" s="1"/>
  <c r="S242" i="104" a="1"/>
  <c r="S242" i="104" s="1"/>
  <c r="R242" i="104" a="1"/>
  <c r="R242" i="104" s="1"/>
  <c r="Q242" i="104" a="1"/>
  <c r="Q242" i="104" s="1"/>
  <c r="P242" i="104" a="1"/>
  <c r="P242" i="104" s="1"/>
  <c r="O242" i="104" a="1"/>
  <c r="O242" i="104" s="1"/>
  <c r="N242" i="104" a="1"/>
  <c r="N242" i="104" s="1"/>
  <c r="M242" i="104" a="1"/>
  <c r="M242" i="104" s="1"/>
  <c r="L242" i="104" a="1"/>
  <c r="L242" i="104" s="1"/>
  <c r="K242" i="104" a="1"/>
  <c r="K242" i="104" s="1"/>
  <c r="J242" i="104" a="1"/>
  <c r="J242" i="104" s="1"/>
  <c r="I242" i="104" a="1"/>
  <c r="I242" i="104" s="1"/>
  <c r="H242" i="104" a="1"/>
  <c r="H242" i="104" s="1"/>
  <c r="G242" i="104" a="1"/>
  <c r="G242" i="104" s="1"/>
  <c r="F242" i="104" a="1"/>
  <c r="F242" i="104" s="1"/>
  <c r="E242" i="104" a="1"/>
  <c r="E242" i="104" s="1"/>
  <c r="D242" i="104" a="1"/>
  <c r="D242" i="104" s="1"/>
  <c r="S241" i="104" a="1"/>
  <c r="S241" i="104" s="1"/>
  <c r="R241" i="104" a="1"/>
  <c r="R241" i="104" s="1"/>
  <c r="Q241" i="104" a="1"/>
  <c r="Q241" i="104" s="1"/>
  <c r="P241" i="104" a="1"/>
  <c r="P241" i="104" s="1"/>
  <c r="O241" i="104" a="1"/>
  <c r="O241" i="104" s="1"/>
  <c r="N241" i="104" a="1"/>
  <c r="N241" i="104" s="1"/>
  <c r="M241" i="104" a="1"/>
  <c r="M241" i="104" s="1"/>
  <c r="L241" i="104" a="1"/>
  <c r="L241" i="104" s="1"/>
  <c r="K241" i="104" a="1"/>
  <c r="K241" i="104" s="1"/>
  <c r="J241" i="104" a="1"/>
  <c r="J241" i="104" s="1"/>
  <c r="I241" i="104" a="1"/>
  <c r="I241" i="104" s="1"/>
  <c r="H241" i="104" a="1"/>
  <c r="H241" i="104" s="1"/>
  <c r="G241" i="104" a="1"/>
  <c r="G241" i="104" s="1"/>
  <c r="F241" i="104" a="1"/>
  <c r="F241" i="104" s="1"/>
  <c r="E241" i="104" a="1"/>
  <c r="E241" i="104" s="1"/>
  <c r="D241" i="104" a="1"/>
  <c r="D241" i="104" s="1"/>
  <c r="S240" i="104" a="1"/>
  <c r="S240" i="104" s="1"/>
  <c r="R240" i="104" a="1"/>
  <c r="R240" i="104" s="1"/>
  <c r="Q240" i="104" a="1"/>
  <c r="Q240" i="104" s="1"/>
  <c r="P240" i="104" a="1"/>
  <c r="P240" i="104" s="1"/>
  <c r="O240" i="104" a="1"/>
  <c r="O240" i="104" s="1"/>
  <c r="N240" i="104" a="1"/>
  <c r="N240" i="104" s="1"/>
  <c r="M240" i="104" a="1"/>
  <c r="M240" i="104" s="1"/>
  <c r="L240" i="104" a="1"/>
  <c r="L240" i="104" s="1"/>
  <c r="K240" i="104" a="1"/>
  <c r="K240" i="104" s="1"/>
  <c r="J240" i="104" a="1"/>
  <c r="J240" i="104" s="1"/>
  <c r="I240" i="104" a="1"/>
  <c r="I240" i="104" s="1"/>
  <c r="H240" i="104" a="1"/>
  <c r="H240" i="104" s="1"/>
  <c r="G240" i="104" a="1"/>
  <c r="G240" i="104" s="1"/>
  <c r="F240" i="104" a="1"/>
  <c r="F240" i="104" s="1"/>
  <c r="E240" i="104" a="1"/>
  <c r="E240" i="104" s="1"/>
  <c r="D240" i="104" a="1"/>
  <c r="D240" i="104" s="1"/>
  <c r="S239" i="104" a="1"/>
  <c r="S239" i="104" s="1"/>
  <c r="R239" i="104" a="1"/>
  <c r="R239" i="104" s="1"/>
  <c r="Q239" i="104" a="1"/>
  <c r="Q239" i="104" s="1"/>
  <c r="P239" i="104" a="1"/>
  <c r="P239" i="104" s="1"/>
  <c r="O239" i="104" a="1"/>
  <c r="O239" i="104" s="1"/>
  <c r="N239" i="104" a="1"/>
  <c r="N239" i="104" s="1"/>
  <c r="M239" i="104" a="1"/>
  <c r="M239" i="104" s="1"/>
  <c r="L239" i="104" a="1"/>
  <c r="L239" i="104" s="1"/>
  <c r="K239" i="104" a="1"/>
  <c r="K239" i="104" s="1"/>
  <c r="J239" i="104" a="1"/>
  <c r="J239" i="104" s="1"/>
  <c r="I239" i="104" a="1"/>
  <c r="I239" i="104" s="1"/>
  <c r="H239" i="104" a="1"/>
  <c r="H239" i="104" s="1"/>
  <c r="G239" i="104" a="1"/>
  <c r="G239" i="104" s="1"/>
  <c r="F239" i="104" a="1"/>
  <c r="F239" i="104" s="1"/>
  <c r="E239" i="104" a="1"/>
  <c r="E239" i="104" s="1"/>
  <c r="D239" i="104" a="1"/>
  <c r="D239" i="104" s="1"/>
  <c r="S238" i="104" a="1"/>
  <c r="S238" i="104" s="1"/>
  <c r="R238" i="104" a="1"/>
  <c r="R238" i="104" s="1"/>
  <c r="Q238" i="104" a="1"/>
  <c r="Q238" i="104" s="1"/>
  <c r="P238" i="104" a="1"/>
  <c r="P238" i="104" s="1"/>
  <c r="O238" i="104" a="1"/>
  <c r="O238" i="104" s="1"/>
  <c r="N238" i="104" a="1"/>
  <c r="N238" i="104" s="1"/>
  <c r="M238" i="104" a="1"/>
  <c r="M238" i="104" s="1"/>
  <c r="L238" i="104" a="1"/>
  <c r="L238" i="104" s="1"/>
  <c r="K238" i="104" a="1"/>
  <c r="K238" i="104" s="1"/>
  <c r="J238" i="104" a="1"/>
  <c r="J238" i="104" s="1"/>
  <c r="I238" i="104" a="1"/>
  <c r="I238" i="104" s="1"/>
  <c r="H238" i="104" a="1"/>
  <c r="H238" i="104" s="1"/>
  <c r="G238" i="104" a="1"/>
  <c r="G238" i="104" s="1"/>
  <c r="F238" i="104" a="1"/>
  <c r="F238" i="104" s="1"/>
  <c r="E238" i="104" a="1"/>
  <c r="E238" i="104" s="1"/>
  <c r="D238" i="104" a="1"/>
  <c r="D238" i="104" s="1"/>
  <c r="S237" i="104" a="1"/>
  <c r="S237" i="104" s="1"/>
  <c r="R237" i="104" a="1"/>
  <c r="R237" i="104" s="1"/>
  <c r="Q237" i="104" a="1"/>
  <c r="Q237" i="104" s="1"/>
  <c r="P237" i="104" a="1"/>
  <c r="P237" i="104" s="1"/>
  <c r="O237" i="104" a="1"/>
  <c r="O237" i="104" s="1"/>
  <c r="N237" i="104" a="1"/>
  <c r="N237" i="104" s="1"/>
  <c r="M237" i="104" a="1"/>
  <c r="M237" i="104" s="1"/>
  <c r="L237" i="104" a="1"/>
  <c r="L237" i="104" s="1"/>
  <c r="K237" i="104" a="1"/>
  <c r="K237" i="104" s="1"/>
  <c r="J237" i="104" a="1"/>
  <c r="J237" i="104" s="1"/>
  <c r="I237" i="104" a="1"/>
  <c r="I237" i="104" s="1"/>
  <c r="H237" i="104" a="1"/>
  <c r="H237" i="104" s="1"/>
  <c r="G237" i="104" a="1"/>
  <c r="G237" i="104" s="1"/>
  <c r="F237" i="104" a="1"/>
  <c r="F237" i="104" s="1"/>
  <c r="E237" i="104" a="1"/>
  <c r="E237" i="104" s="1"/>
  <c r="D237" i="104" a="1"/>
  <c r="D237" i="104" s="1"/>
  <c r="S236" i="104" a="1"/>
  <c r="S236" i="104" s="1"/>
  <c r="R236" i="104" a="1"/>
  <c r="R236" i="104" s="1"/>
  <c r="Q236" i="104" a="1"/>
  <c r="Q236" i="104" s="1"/>
  <c r="P236" i="104" a="1"/>
  <c r="P236" i="104" s="1"/>
  <c r="O236" i="104" a="1"/>
  <c r="O236" i="104" s="1"/>
  <c r="N236" i="104" a="1"/>
  <c r="N236" i="104" s="1"/>
  <c r="M236" i="104" a="1"/>
  <c r="M236" i="104" s="1"/>
  <c r="L236" i="104" a="1"/>
  <c r="L236" i="104" s="1"/>
  <c r="K236" i="104" a="1"/>
  <c r="K236" i="104" s="1"/>
  <c r="J236" i="104" a="1"/>
  <c r="J236" i="104" s="1"/>
  <c r="I236" i="104" a="1"/>
  <c r="I236" i="104" s="1"/>
  <c r="H236" i="104" a="1"/>
  <c r="H236" i="104" s="1"/>
  <c r="G236" i="104" a="1"/>
  <c r="G236" i="104" s="1"/>
  <c r="F236" i="104" a="1"/>
  <c r="F236" i="104" s="1"/>
  <c r="E236" i="104" a="1"/>
  <c r="E236" i="104" s="1"/>
  <c r="D236" i="104" a="1"/>
  <c r="D236" i="104" s="1"/>
  <c r="S235" i="104" a="1"/>
  <c r="S235" i="104" s="1"/>
  <c r="R235" i="104" a="1"/>
  <c r="R235" i="104" s="1"/>
  <c r="Q235" i="104" a="1"/>
  <c r="Q235" i="104" s="1"/>
  <c r="P235" i="104" a="1"/>
  <c r="P235" i="104" s="1"/>
  <c r="O235" i="104" a="1"/>
  <c r="O235" i="104" s="1"/>
  <c r="N235" i="104" a="1"/>
  <c r="N235" i="104" s="1"/>
  <c r="M235" i="104" a="1"/>
  <c r="M235" i="104" s="1"/>
  <c r="L235" i="104" a="1"/>
  <c r="L235" i="104" s="1"/>
  <c r="K235" i="104" a="1"/>
  <c r="K235" i="104" s="1"/>
  <c r="J235" i="104" a="1"/>
  <c r="J235" i="104" s="1"/>
  <c r="I235" i="104" a="1"/>
  <c r="I235" i="104" s="1"/>
  <c r="H235" i="104" a="1"/>
  <c r="H235" i="104" s="1"/>
  <c r="G235" i="104" a="1"/>
  <c r="G235" i="104" s="1"/>
  <c r="F235" i="104" a="1"/>
  <c r="F235" i="104" s="1"/>
  <c r="E235" i="104" a="1"/>
  <c r="E235" i="104" s="1"/>
  <c r="D235" i="104" a="1"/>
  <c r="D235" i="104" s="1"/>
  <c r="S234" i="104" a="1"/>
  <c r="S234" i="104" s="1"/>
  <c r="R234" i="104" a="1"/>
  <c r="R234" i="104" s="1"/>
  <c r="Q234" i="104" a="1"/>
  <c r="Q234" i="104" s="1"/>
  <c r="P234" i="104" a="1"/>
  <c r="P234" i="104" s="1"/>
  <c r="O234" i="104" a="1"/>
  <c r="O234" i="104" s="1"/>
  <c r="N234" i="104" a="1"/>
  <c r="N234" i="104" s="1"/>
  <c r="M234" i="104" a="1"/>
  <c r="M234" i="104" s="1"/>
  <c r="L234" i="104" a="1"/>
  <c r="L234" i="104" s="1"/>
  <c r="K234" i="104" a="1"/>
  <c r="K234" i="104" s="1"/>
  <c r="J234" i="104" a="1"/>
  <c r="J234" i="104" s="1"/>
  <c r="I234" i="104" a="1"/>
  <c r="I234" i="104" s="1"/>
  <c r="H234" i="104" a="1"/>
  <c r="H234" i="104" s="1"/>
  <c r="G234" i="104" a="1"/>
  <c r="G234" i="104" s="1"/>
  <c r="F234" i="104" a="1"/>
  <c r="F234" i="104" s="1"/>
  <c r="E234" i="104" a="1"/>
  <c r="E234" i="104" s="1"/>
  <c r="D234" i="104" a="1"/>
  <c r="D234" i="104" s="1"/>
  <c r="S233" i="104" a="1"/>
  <c r="S233" i="104" s="1"/>
  <c r="R233" i="104" a="1"/>
  <c r="R233" i="104" s="1"/>
  <c r="Q233" i="104" a="1"/>
  <c r="Q233" i="104" s="1"/>
  <c r="P233" i="104" a="1"/>
  <c r="P233" i="104" s="1"/>
  <c r="O233" i="104" a="1"/>
  <c r="O233" i="104" s="1"/>
  <c r="N233" i="104" a="1"/>
  <c r="N233" i="104" s="1"/>
  <c r="M233" i="104" a="1"/>
  <c r="M233" i="104" s="1"/>
  <c r="L233" i="104" a="1"/>
  <c r="L233" i="104" s="1"/>
  <c r="K233" i="104" a="1"/>
  <c r="K233" i="104" s="1"/>
  <c r="J233" i="104" a="1"/>
  <c r="J233" i="104" s="1"/>
  <c r="I233" i="104" a="1"/>
  <c r="I233" i="104" s="1"/>
  <c r="H233" i="104" a="1"/>
  <c r="H233" i="104" s="1"/>
  <c r="G233" i="104" a="1"/>
  <c r="G233" i="104" s="1"/>
  <c r="F233" i="104" a="1"/>
  <c r="F233" i="104" s="1"/>
  <c r="E233" i="104" a="1"/>
  <c r="E233" i="104" s="1"/>
  <c r="D233" i="104" a="1"/>
  <c r="D233" i="104" s="1"/>
  <c r="S232" i="104" a="1"/>
  <c r="S232" i="104" s="1"/>
  <c r="R232" i="104" a="1"/>
  <c r="R232" i="104" s="1"/>
  <c r="Q232" i="104" a="1"/>
  <c r="Q232" i="104" s="1"/>
  <c r="P232" i="104" a="1"/>
  <c r="P232" i="104" s="1"/>
  <c r="O232" i="104" a="1"/>
  <c r="O232" i="104" s="1"/>
  <c r="N232" i="104" a="1"/>
  <c r="N232" i="104" s="1"/>
  <c r="M232" i="104" a="1"/>
  <c r="M232" i="104" s="1"/>
  <c r="L232" i="104" a="1"/>
  <c r="L232" i="104" s="1"/>
  <c r="K232" i="104" a="1"/>
  <c r="K232" i="104" s="1"/>
  <c r="J232" i="104" a="1"/>
  <c r="J232" i="104" s="1"/>
  <c r="I232" i="104" a="1"/>
  <c r="I232" i="104" s="1"/>
  <c r="H232" i="104" a="1"/>
  <c r="H232" i="104" s="1"/>
  <c r="G232" i="104" a="1"/>
  <c r="G232" i="104" s="1"/>
  <c r="F232" i="104" a="1"/>
  <c r="F232" i="104" s="1"/>
  <c r="E232" i="104" a="1"/>
  <c r="E232" i="104" s="1"/>
  <c r="D232" i="104" a="1"/>
  <c r="D232" i="104" s="1"/>
  <c r="D229" i="104" a="1"/>
  <c r="D229" i="104" s="1"/>
  <c r="D228" i="104"/>
  <c r="D228" i="104" a="1"/>
  <c r="D227" i="104"/>
  <c r="D227" i="104" a="1"/>
  <c r="E224" i="104" a="1"/>
  <c r="E224" i="104" s="1"/>
  <c r="D224" i="104" a="1"/>
  <c r="D224" i="104" s="1"/>
  <c r="E223" i="104" a="1"/>
  <c r="E223" i="104" s="1"/>
  <c r="D223" i="104" a="1"/>
  <c r="D223" i="104" s="1"/>
  <c r="E222" i="104" a="1"/>
  <c r="E222" i="104" s="1"/>
  <c r="D222" i="104" a="1"/>
  <c r="D222" i="104" s="1"/>
  <c r="E221" i="104" a="1"/>
  <c r="E221" i="104" s="1"/>
  <c r="D221" i="104" a="1"/>
  <c r="D221" i="104" s="1"/>
  <c r="E220" i="104" a="1"/>
  <c r="E220" i="104" s="1"/>
  <c r="D220" i="104" a="1"/>
  <c r="D220" i="104" s="1"/>
  <c r="E219" i="104" a="1"/>
  <c r="E219" i="104" s="1"/>
  <c r="D219" i="104" a="1"/>
  <c r="D219" i="104" s="1"/>
  <c r="E218" i="104" a="1"/>
  <c r="E218" i="104" s="1"/>
  <c r="D218" i="104" a="1"/>
  <c r="D218" i="104" s="1"/>
  <c r="E217" i="104" a="1"/>
  <c r="E217" i="104" s="1"/>
  <c r="D217" i="104" a="1"/>
  <c r="D217" i="104" s="1"/>
  <c r="E216" i="104" a="1"/>
  <c r="E216" i="104" s="1"/>
  <c r="D216" i="104" a="1"/>
  <c r="D216" i="104" s="1"/>
  <c r="E215" i="104" a="1"/>
  <c r="E215" i="104" s="1"/>
  <c r="D215" i="104" a="1"/>
  <c r="D215" i="104" s="1"/>
  <c r="E214" i="104" a="1"/>
  <c r="E214" i="104" s="1"/>
  <c r="D214" i="104" a="1"/>
  <c r="D214" i="104" s="1"/>
  <c r="E213" i="104" a="1"/>
  <c r="E213" i="104" s="1"/>
  <c r="D213" i="104" a="1"/>
  <c r="D213" i="104" s="1"/>
  <c r="D211" i="104"/>
  <c r="D211" i="104" a="1"/>
  <c r="E208" i="104" a="1"/>
  <c r="E208" i="104" s="1"/>
  <c r="D208" i="104" a="1"/>
  <c r="D208" i="104" s="1"/>
  <c r="E207" i="104" a="1"/>
  <c r="E207" i="104" s="1"/>
  <c r="D207" i="104" a="1"/>
  <c r="D207" i="104" s="1"/>
  <c r="D205" i="104" a="1"/>
  <c r="D205" i="104" s="1"/>
  <c r="D204" i="104" a="1"/>
  <c r="D204" i="104" s="1"/>
  <c r="D203" i="104" a="1"/>
  <c r="D203" i="104" s="1"/>
  <c r="D202" i="104" a="1"/>
  <c r="D202" i="104" s="1"/>
  <c r="H199" i="104" a="1"/>
  <c r="H199" i="104" s="1"/>
  <c r="G199" i="104" a="1"/>
  <c r="G199" i="104" s="1"/>
  <c r="F199" i="104" a="1"/>
  <c r="F199" i="104" s="1"/>
  <c r="E199" i="104" a="1"/>
  <c r="E199" i="104" s="1"/>
  <c r="D199" i="104" a="1"/>
  <c r="D199" i="104" s="1"/>
  <c r="H198" i="104" a="1"/>
  <c r="H198" i="104" s="1"/>
  <c r="G198" i="104" a="1"/>
  <c r="G198" i="104" s="1"/>
  <c r="F198" i="104" a="1"/>
  <c r="F198" i="104" s="1"/>
  <c r="E198" i="104" a="1"/>
  <c r="E198" i="104" s="1"/>
  <c r="D198" i="104" a="1"/>
  <c r="D198" i="104" s="1"/>
  <c r="H197" i="104" a="1"/>
  <c r="H197" i="104" s="1"/>
  <c r="G197" i="104" a="1"/>
  <c r="G197" i="104" s="1"/>
  <c r="F197" i="104" a="1"/>
  <c r="F197" i="104" s="1"/>
  <c r="E197" i="104" a="1"/>
  <c r="E197" i="104" s="1"/>
  <c r="D197" i="104" a="1"/>
  <c r="D197" i="104" s="1"/>
  <c r="H196" i="104" a="1"/>
  <c r="H196" i="104" s="1"/>
  <c r="G196" i="104" a="1"/>
  <c r="G196" i="104" s="1"/>
  <c r="F196" i="104" a="1"/>
  <c r="F196" i="104" s="1"/>
  <c r="E196" i="104" a="1"/>
  <c r="E196" i="104" s="1"/>
  <c r="D196" i="104" a="1"/>
  <c r="D196" i="104" s="1"/>
  <c r="H195" i="104" a="1"/>
  <c r="H195" i="104" s="1"/>
  <c r="G195" i="104" a="1"/>
  <c r="G195" i="104" s="1"/>
  <c r="F195" i="104" a="1"/>
  <c r="F195" i="104" s="1"/>
  <c r="E195" i="104" a="1"/>
  <c r="E195" i="104" s="1"/>
  <c r="D195" i="104" a="1"/>
  <c r="D195" i="104" s="1"/>
  <c r="H194" i="104" a="1"/>
  <c r="H194" i="104" s="1"/>
  <c r="G194" i="104" a="1"/>
  <c r="G194" i="104" s="1"/>
  <c r="F194" i="104" a="1"/>
  <c r="F194" i="104" s="1"/>
  <c r="E194" i="104" a="1"/>
  <c r="E194" i="104" s="1"/>
  <c r="D194" i="104" a="1"/>
  <c r="D194" i="104" s="1"/>
  <c r="H193" i="104" a="1"/>
  <c r="H193" i="104" s="1"/>
  <c r="G193" i="104" a="1"/>
  <c r="G193" i="104" s="1"/>
  <c r="F193" i="104" a="1"/>
  <c r="F193" i="104" s="1"/>
  <c r="E193" i="104" a="1"/>
  <c r="E193" i="104" s="1"/>
  <c r="D193" i="104" a="1"/>
  <c r="D193" i="104" s="1"/>
  <c r="H192" i="104" a="1"/>
  <c r="H192" i="104" s="1"/>
  <c r="G192" i="104" a="1"/>
  <c r="G192" i="104" s="1"/>
  <c r="F192" i="104" a="1"/>
  <c r="F192" i="104" s="1"/>
  <c r="E192" i="104" a="1"/>
  <c r="E192" i="104" s="1"/>
  <c r="D192" i="104" a="1"/>
  <c r="D192" i="104" s="1"/>
  <c r="H191" i="104" a="1"/>
  <c r="H191" i="104" s="1"/>
  <c r="G191" i="104" a="1"/>
  <c r="G191" i="104" s="1"/>
  <c r="F191" i="104" a="1"/>
  <c r="F191" i="104" s="1"/>
  <c r="E191" i="104" a="1"/>
  <c r="E191" i="104" s="1"/>
  <c r="D191" i="104" a="1"/>
  <c r="D191" i="104" s="1"/>
  <c r="H190" i="104" a="1"/>
  <c r="H190" i="104" s="1"/>
  <c r="G190" i="104" a="1"/>
  <c r="G190" i="104" s="1"/>
  <c r="F190" i="104" a="1"/>
  <c r="F190" i="104" s="1"/>
  <c r="E190" i="104" a="1"/>
  <c r="E190" i="104" s="1"/>
  <c r="D190" i="104" a="1"/>
  <c r="D190" i="104" s="1"/>
  <c r="H189" i="104" a="1"/>
  <c r="H189" i="104" s="1"/>
  <c r="G189" i="104" a="1"/>
  <c r="G189" i="104" s="1"/>
  <c r="F189" i="104" a="1"/>
  <c r="F189" i="104" s="1"/>
  <c r="E189" i="104" a="1"/>
  <c r="E189" i="104" s="1"/>
  <c r="D189" i="104" a="1"/>
  <c r="D189" i="104" s="1"/>
  <c r="H188" i="104" a="1"/>
  <c r="H188" i="104" s="1"/>
  <c r="G188" i="104" a="1"/>
  <c r="G188" i="104" s="1"/>
  <c r="F188" i="104" a="1"/>
  <c r="F188" i="104" s="1"/>
  <c r="E188" i="104" a="1"/>
  <c r="E188" i="104" s="1"/>
  <c r="D188" i="104" a="1"/>
  <c r="D188" i="104" s="1"/>
  <c r="H187" i="104" a="1"/>
  <c r="H187" i="104" s="1"/>
  <c r="G187" i="104" a="1"/>
  <c r="G187" i="104" s="1"/>
  <c r="F187" i="104" a="1"/>
  <c r="F187" i="104" s="1"/>
  <c r="E187" i="104" a="1"/>
  <c r="E187" i="104" s="1"/>
  <c r="D187" i="104" a="1"/>
  <c r="D187" i="104" s="1"/>
  <c r="D181" i="104" a="1"/>
  <c r="D181" i="104" s="1"/>
  <c r="D180" i="104" a="1"/>
  <c r="D180" i="104" s="1"/>
  <c r="D179" i="104" a="1"/>
  <c r="D179" i="104" s="1"/>
  <c r="D178" i="104" a="1"/>
  <c r="D178" i="104" s="1"/>
  <c r="E175" i="104" a="1"/>
  <c r="E175" i="104" s="1"/>
  <c r="D175" i="104" a="1"/>
  <c r="D175" i="104" s="1"/>
  <c r="D174" i="104" a="1"/>
  <c r="D174" i="104" s="1"/>
  <c r="D173" i="104" a="1"/>
  <c r="D173" i="104" s="1"/>
  <c r="D170" i="104" a="1"/>
  <c r="D170" i="104" s="1"/>
  <c r="D169" i="104"/>
  <c r="D169" i="104" a="1"/>
  <c r="D168" i="104"/>
  <c r="D168" i="104" a="1"/>
  <c r="D167" i="104" a="1"/>
  <c r="D167" i="104" s="1"/>
  <c r="D164" i="104" a="1"/>
  <c r="D164" i="104" s="1"/>
  <c r="D163" i="104"/>
  <c r="D163" i="104" a="1"/>
  <c r="D162" i="104" a="1"/>
  <c r="D162" i="104" s="1"/>
  <c r="D161" i="104" a="1"/>
  <c r="D161" i="104" s="1"/>
  <c r="E158" i="104" a="1"/>
  <c r="E158" i="104" s="1"/>
  <c r="D158" i="104" a="1"/>
  <c r="D158" i="104" s="1"/>
  <c r="E157" i="104" a="1"/>
  <c r="E157" i="104" s="1"/>
  <c r="D157" i="104" a="1"/>
  <c r="D157" i="104" s="1"/>
  <c r="E156" i="104" a="1"/>
  <c r="E156" i="104" s="1"/>
  <c r="D156" i="104" a="1"/>
  <c r="D156" i="104" s="1"/>
  <c r="E155" i="104" a="1"/>
  <c r="E155" i="104" s="1"/>
  <c r="D155" i="104" a="1"/>
  <c r="D155" i="104" s="1"/>
  <c r="E154" i="104" a="1"/>
  <c r="E154" i="104" s="1"/>
  <c r="D154" i="104" a="1"/>
  <c r="D154" i="104" s="1"/>
  <c r="D151" i="104" a="1"/>
  <c r="D151" i="104" s="1"/>
  <c r="D150" i="104" a="1"/>
  <c r="D150" i="104" s="1"/>
  <c r="E147" i="104" a="1"/>
  <c r="E147" i="104" s="1"/>
  <c r="D147" i="104" a="1"/>
  <c r="D147" i="104" s="1"/>
  <c r="E146" i="104" a="1"/>
  <c r="E146" i="104" s="1"/>
  <c r="D146" i="104" a="1"/>
  <c r="D146" i="104" s="1"/>
  <c r="E145" i="104" a="1"/>
  <c r="E145" i="104" s="1"/>
  <c r="D145" i="104" a="1"/>
  <c r="D145" i="104" s="1"/>
  <c r="E144" i="104" a="1"/>
  <c r="E144" i="104" s="1"/>
  <c r="D144" i="104" a="1"/>
  <c r="D144" i="104" s="1"/>
  <c r="E143" i="104" a="1"/>
  <c r="E143" i="104" s="1"/>
  <c r="D143" i="104" a="1"/>
  <c r="D143" i="104" s="1"/>
  <c r="D141" i="104"/>
  <c r="D141" i="104" a="1"/>
  <c r="D140" i="104"/>
  <c r="D140" i="104" a="1"/>
  <c r="D139" i="104"/>
  <c r="D139" i="104" a="1"/>
  <c r="E136" i="104" a="1"/>
  <c r="E136" i="104" s="1"/>
  <c r="D136" i="104" a="1"/>
  <c r="D136" i="104" s="1"/>
  <c r="E135" i="104" a="1"/>
  <c r="E135" i="104" s="1"/>
  <c r="D135" i="104" a="1"/>
  <c r="D135" i="104" s="1"/>
  <c r="D133" i="104" a="1"/>
  <c r="D133" i="104" s="1"/>
  <c r="D132" i="104" a="1"/>
  <c r="D132" i="104" s="1"/>
  <c r="E129" i="104" a="1"/>
  <c r="E129" i="104" s="1"/>
  <c r="D129" i="104" a="1"/>
  <c r="D129" i="104" s="1"/>
  <c r="E128" i="104" a="1"/>
  <c r="E128" i="104" s="1"/>
  <c r="D128" i="104" a="1"/>
  <c r="D128" i="104" s="1"/>
  <c r="D125" i="104"/>
  <c r="D125" i="104" a="1"/>
  <c r="D124" i="104"/>
  <c r="D124" i="104" a="1"/>
  <c r="G121" i="104" a="1"/>
  <c r="G121" i="104" s="1"/>
  <c r="F121" i="104" a="1"/>
  <c r="F121" i="104" s="1"/>
  <c r="E121" i="104" a="1"/>
  <c r="E121" i="104" s="1"/>
  <c r="D121" i="104" a="1"/>
  <c r="D121" i="104" s="1"/>
  <c r="G120" i="104" a="1"/>
  <c r="G120" i="104" s="1"/>
  <c r="F120" i="104" a="1"/>
  <c r="F120" i="104" s="1"/>
  <c r="E120" i="104" a="1"/>
  <c r="E120" i="104" s="1"/>
  <c r="D120" i="104" a="1"/>
  <c r="D120" i="104" s="1"/>
  <c r="D117" i="104" a="1"/>
  <c r="D117" i="104" s="1"/>
  <c r="D116" i="104" a="1"/>
  <c r="D116" i="104" s="1"/>
  <c r="D115" i="104" a="1"/>
  <c r="D115" i="104" s="1"/>
  <c r="G112" i="104" a="1"/>
  <c r="G112" i="104" s="1"/>
  <c r="F112" i="104" a="1"/>
  <c r="F112" i="104" s="1"/>
  <c r="E112" i="104" a="1"/>
  <c r="E112" i="104" s="1"/>
  <c r="D112" i="104" a="1"/>
  <c r="D112" i="104" s="1"/>
  <c r="G111" i="104" a="1"/>
  <c r="G111" i="104" s="1"/>
  <c r="F111" i="104" a="1"/>
  <c r="F111" i="104" s="1"/>
  <c r="E111" i="104" a="1"/>
  <c r="E111" i="104" s="1"/>
  <c r="D111" i="104" a="1"/>
  <c r="D111" i="104" s="1"/>
  <c r="G110" i="104" a="1"/>
  <c r="G110" i="104" s="1"/>
  <c r="F110" i="104" a="1"/>
  <c r="F110" i="104" s="1"/>
  <c r="E110" i="104" a="1"/>
  <c r="E110" i="104" s="1"/>
  <c r="D110" i="104" a="1"/>
  <c r="D110" i="104" s="1"/>
  <c r="D107" i="104" a="1"/>
  <c r="D107" i="104" s="1"/>
  <c r="D106" i="104" a="1"/>
  <c r="D106" i="104" s="1"/>
  <c r="D105" i="104"/>
  <c r="D105" i="104" a="1"/>
  <c r="D99" i="104" a="1"/>
  <c r="D99"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D90" i="104" a="1"/>
  <c r="D90" i="104" s="1"/>
  <c r="D83" i="104" a="1"/>
  <c r="D83" i="104" s="1"/>
  <c r="D82" i="104" a="1"/>
  <c r="D82" i="104" s="1"/>
  <c r="D81" i="104" a="1"/>
  <c r="D81" i="104" s="1"/>
  <c r="E77" i="104" a="1"/>
  <c r="E77" i="104" s="1"/>
  <c r="D77" i="104" a="1"/>
  <c r="D77" i="104" s="1"/>
  <c r="E76" i="104" a="1"/>
  <c r="E76" i="104" s="1"/>
  <c r="D76" i="104" a="1"/>
  <c r="D76" i="104" s="1"/>
  <c r="E75" i="104" a="1"/>
  <c r="E75" i="104" s="1"/>
  <c r="D75" i="104" a="1"/>
  <c r="D75" i="104" s="1"/>
  <c r="E74" i="104" a="1"/>
  <c r="E74" i="104" s="1"/>
  <c r="D74" i="104" a="1"/>
  <c r="D74" i="104" s="1"/>
  <c r="E73" i="104" a="1"/>
  <c r="E73" i="104" s="1"/>
  <c r="D73" i="104" a="1"/>
  <c r="D73" i="104" s="1"/>
  <c r="E72" i="104" a="1"/>
  <c r="E72" i="104" s="1"/>
  <c r="D72" i="104" a="1"/>
  <c r="D72" i="104" s="1"/>
  <c r="E71" i="104" a="1"/>
  <c r="E71" i="104" s="1"/>
  <c r="D71" i="104" a="1"/>
  <c r="D71" i="104" s="1"/>
  <c r="E70" i="104" a="1"/>
  <c r="E70" i="104" s="1"/>
  <c r="D70" i="104" a="1"/>
  <c r="D70" i="104" s="1"/>
  <c r="E69" i="104" a="1"/>
  <c r="E69" i="104" s="1"/>
  <c r="D69" i="104" a="1"/>
  <c r="D69" i="104" s="1"/>
  <c r="E68" i="104" a="1"/>
  <c r="E68" i="104" s="1"/>
  <c r="D68" i="104" a="1"/>
  <c r="D68" i="104" s="1"/>
  <c r="E67" i="104" a="1"/>
  <c r="E67" i="104" s="1"/>
  <c r="D67" i="104" a="1"/>
  <c r="D67" i="104" s="1"/>
  <c r="E66" i="104" a="1"/>
  <c r="E66" i="104" s="1"/>
  <c r="D66" i="104" a="1"/>
  <c r="D66" i="104" s="1"/>
  <c r="E65" i="104" a="1"/>
  <c r="E65" i="104" s="1"/>
  <c r="D65" i="104" a="1"/>
  <c r="D65" i="104" s="1"/>
  <c r="E64" i="104" a="1"/>
  <c r="E64" i="104" s="1"/>
  <c r="D64" i="104" a="1"/>
  <c r="D64" i="104" s="1"/>
  <c r="D59" i="104" a="1"/>
  <c r="D59" i="104" s="1"/>
  <c r="D58" i="104" a="1"/>
  <c r="D58" i="104" s="1"/>
  <c r="D57" i="104" a="1"/>
  <c r="D57" i="104" s="1"/>
  <c r="G54" i="104" a="1"/>
  <c r="G54" i="104" s="1"/>
  <c r="F54" i="104" a="1"/>
  <c r="F54" i="104" s="1"/>
  <c r="E54" i="104" a="1"/>
  <c r="E54" i="104" s="1"/>
  <c r="D54" i="104" a="1"/>
  <c r="D54" i="104" s="1"/>
  <c r="G53" i="104" a="1"/>
  <c r="G53" i="104" s="1"/>
  <c r="F53" i="104" a="1"/>
  <c r="F53" i="104" s="1"/>
  <c r="E53" i="104" a="1"/>
  <c r="E53" i="104" s="1"/>
  <c r="D53" i="104" a="1"/>
  <c r="D53" i="104" s="1"/>
  <c r="G52" i="104" a="1"/>
  <c r="G52" i="104" s="1"/>
  <c r="F52" i="104" a="1"/>
  <c r="F52" i="104" s="1"/>
  <c r="E52" i="104" a="1"/>
  <c r="E52" i="104" s="1"/>
  <c r="D52" i="104" a="1"/>
  <c r="D52" i="104" s="1"/>
  <c r="G51" i="104" a="1"/>
  <c r="G51" i="104" s="1"/>
  <c r="F51" i="104" a="1"/>
  <c r="F51" i="104" s="1"/>
  <c r="E51" i="104" a="1"/>
  <c r="E51" i="104" s="1"/>
  <c r="D51" i="104" a="1"/>
  <c r="D51" i="104" s="1"/>
  <c r="G50" i="104" a="1"/>
  <c r="G50" i="104" s="1"/>
  <c r="F50" i="104" a="1"/>
  <c r="F50" i="104" s="1"/>
  <c r="E50" i="104" a="1"/>
  <c r="E50" i="104" s="1"/>
  <c r="D50" i="104" a="1"/>
  <c r="D50" i="104" s="1"/>
  <c r="G49" i="104" a="1"/>
  <c r="G49" i="104" s="1"/>
  <c r="F49" i="104" a="1"/>
  <c r="F49" i="104" s="1"/>
  <c r="E49" i="104" a="1"/>
  <c r="E49" i="104" s="1"/>
  <c r="D49" i="104" a="1"/>
  <c r="D49" i="104" s="1"/>
  <c r="G48" i="104" a="1"/>
  <c r="G48" i="104" s="1"/>
  <c r="F48" i="104" a="1"/>
  <c r="F48" i="104" s="1"/>
  <c r="E48" i="104" a="1"/>
  <c r="E48" i="104" s="1"/>
  <c r="D48" i="104" a="1"/>
  <c r="D48" i="104" s="1"/>
  <c r="D46" i="104" a="1"/>
  <c r="D46" i="104" s="1"/>
  <c r="D45" i="104" a="1"/>
  <c r="D45" i="104" s="1"/>
  <c r="E43" i="104" a="1"/>
  <c r="E43" i="104" s="1"/>
  <c r="D43" i="104" a="1"/>
  <c r="D43" i="104" s="1"/>
  <c r="E42" i="104" a="1"/>
  <c r="E42" i="104" s="1"/>
  <c r="D42" i="104" a="1"/>
  <c r="D42" i="104" s="1"/>
  <c r="E41" i="104" a="1"/>
  <c r="E41" i="104" s="1"/>
  <c r="D41" i="104" a="1"/>
  <c r="D41" i="104" s="1"/>
  <c r="E40" i="104" a="1"/>
  <c r="E40" i="104" s="1"/>
  <c r="D40" i="104" a="1"/>
  <c r="D40" i="104" s="1"/>
  <c r="E39" i="104" a="1"/>
  <c r="E39" i="104" s="1"/>
  <c r="D39" i="104" a="1"/>
  <c r="D39" i="104" s="1"/>
  <c r="E38" i="104" a="1"/>
  <c r="E38" i="104" s="1"/>
  <c r="D38" i="104" a="1"/>
  <c r="D38" i="104" s="1"/>
  <c r="E37" i="104" a="1"/>
  <c r="E37" i="104" s="1"/>
  <c r="D37" i="104" a="1"/>
  <c r="D37" i="104" s="1"/>
  <c r="D35" i="104" a="1"/>
  <c r="D35" i="104" s="1"/>
  <c r="D34" i="104" a="1"/>
  <c r="D34" i="104" s="1"/>
  <c r="D30" i="104" a="1"/>
  <c r="D30" i="104" s="1"/>
  <c r="D29" i="104" a="1"/>
  <c r="D29" i="104" s="1"/>
  <c r="D28" i="104" a="1"/>
  <c r="D28" i="104" s="1"/>
  <c r="D27" i="104" a="1"/>
  <c r="D27" i="104" s="1"/>
  <c r="D26" i="104" a="1"/>
  <c r="D26" i="104" s="1"/>
  <c r="D25" i="104" a="1"/>
  <c r="D25" i="104" s="1"/>
  <c r="D24" i="104" a="1"/>
  <c r="D24" i="104" s="1"/>
  <c r="D23" i="104" a="1"/>
  <c r="D23" i="104" s="1"/>
  <c r="D22" i="104" a="1"/>
  <c r="D22" i="104" s="1"/>
  <c r="D21" i="104" a="1"/>
  <c r="D21" i="104" s="1"/>
  <c r="D19" i="104" a="1"/>
  <c r="D19" i="104" s="1"/>
  <c r="D18" i="104" a="1"/>
  <c r="D18" i="104" s="1"/>
  <c r="F14" i="104" a="1"/>
  <c r="F14" i="104" s="1"/>
  <c r="E14" i="104" a="1"/>
  <c r="E14" i="104" s="1"/>
  <c r="D14" i="104" a="1"/>
  <c r="D14" i="104" s="1"/>
  <c r="F13" i="104" a="1"/>
  <c r="F13" i="104" s="1"/>
  <c r="E13" i="104" a="1"/>
  <c r="E13" i="104" s="1"/>
  <c r="D13" i="104" a="1"/>
  <c r="D13" i="104" s="1"/>
  <c r="F12" i="104" a="1"/>
  <c r="F12" i="104" s="1"/>
  <c r="E12" i="104" a="1"/>
  <c r="E12" i="104" s="1"/>
  <c r="D12" i="104" a="1"/>
  <c r="D12" i="104" s="1"/>
  <c r="F11" i="104" a="1"/>
  <c r="F11" i="104" s="1"/>
  <c r="E11" i="104" a="1"/>
  <c r="E11" i="104" s="1"/>
  <c r="D11" i="104" a="1"/>
  <c r="D11" i="104" s="1"/>
  <c r="F10" i="104" a="1"/>
  <c r="F10" i="104" s="1"/>
  <c r="E10" i="104" a="1"/>
  <c r="E10" i="104" s="1"/>
  <c r="D10" i="104" a="1"/>
  <c r="D10" i="104" s="1"/>
  <c r="F9" i="104" a="1"/>
  <c r="F9" i="104" s="1"/>
  <c r="E9" i="104" a="1"/>
  <c r="E9" i="104" s="1"/>
  <c r="D9" i="104" a="1"/>
  <c r="D9" i="104" s="1"/>
  <c r="F8" i="104" a="1"/>
  <c r="F8" i="104" s="1"/>
  <c r="E8" i="104" a="1"/>
  <c r="E8" i="104" s="1"/>
  <c r="D8" i="104" a="1"/>
  <c r="D8" i="104" s="1"/>
  <c r="F7" i="104" a="1"/>
  <c r="F7" i="104" s="1"/>
  <c r="E7" i="104" a="1"/>
  <c r="E7" i="104" s="1"/>
  <c r="D7" i="104" a="1"/>
  <c r="D7" i="104" s="1"/>
  <c r="D5" i="104" a="1"/>
  <c r="D5" i="104" s="1"/>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00"/>
  <c r="A17" i="100"/>
  <c r="A16" i="100"/>
  <c r="A15" i="100"/>
  <c r="A12" i="100"/>
  <c r="A9" i="100"/>
  <c r="A8" i="100"/>
  <c r="A5" i="100"/>
  <c r="A4" i="100"/>
  <c r="A3" i="100"/>
  <c r="A12" i="13"/>
  <c r="A18" i="13"/>
  <c r="A17" i="13"/>
  <c r="A16" i="13"/>
  <c r="A15" i="13"/>
  <c r="I49" i="69" a="1"/>
  <c r="I49" i="69" s="1"/>
  <c r="G48" i="69" a="1"/>
  <c r="G48" i="69" s="1"/>
  <c r="D48" i="69" a="1"/>
  <c r="D48" i="69" s="1"/>
  <c r="E46" i="69" a="1"/>
  <c r="E46" i="69" s="1"/>
  <c r="E45" i="69" a="1"/>
  <c r="E45" i="69" s="1"/>
  <c r="D40" i="69" a="1"/>
  <c r="D40" i="69" s="1"/>
  <c r="D39" i="69" a="1"/>
  <c r="D39" i="69" s="1"/>
  <c r="I15" i="69" a="1"/>
  <c r="I15" i="69" s="1"/>
  <c r="G13" i="69" a="1"/>
  <c r="G13" i="69" s="1"/>
  <c r="G20" i="69" s="1"/>
  <c r="D13" i="69" a="1"/>
  <c r="D13" i="69" s="1"/>
  <c r="E11" i="69" a="1"/>
  <c r="E11" i="69" s="1"/>
  <c r="P35" i="69" s="1"/>
  <c r="E10" i="69" a="1"/>
  <c r="E10" i="69" s="1"/>
  <c r="D6" i="69" a="1"/>
  <c r="D6" i="69" s="1"/>
  <c r="D5" i="69" a="1"/>
  <c r="D5" i="69" s="1"/>
  <c r="E7" i="69" a="1"/>
  <c r="E41" i="69" a="1"/>
  <c r="H52" i="104" l="1"/>
  <c r="H49" i="104"/>
  <c r="H50" i="104"/>
  <c r="H54" i="104"/>
  <c r="H48" i="104"/>
  <c r="H51" i="104"/>
  <c r="H53" i="104"/>
  <c r="E41" i="69"/>
  <c r="P20" i="69"/>
  <c r="P30" i="69"/>
  <c r="P25" i="69"/>
  <c r="G30" i="69"/>
  <c r="G25" i="69"/>
  <c r="E7" i="69"/>
  <c r="A9" i="13"/>
  <c r="A8" i="13"/>
  <c r="A5" i="13"/>
  <c r="A4" i="13"/>
  <c r="A3" i="13"/>
  <c r="I50" i="69" l="1" a="1"/>
  <c r="I50" i="69" s="1"/>
  <c r="I48" i="69" a="1"/>
  <c r="I48" i="69" s="1"/>
  <c r="G55" i="69"/>
  <c r="G60" i="69" l="1"/>
  <c r="I14" i="69" a="1"/>
  <c r="I14" i="69" s="1"/>
  <c r="I13" i="69" a="1"/>
  <c r="I13" i="69" s="1"/>
  <c r="O72" i="69" l="1" a="1"/>
  <c r="O72" i="69" s="1"/>
  <c r="M69" i="69" a="1"/>
  <c r="M69" i="69" s="1"/>
  <c r="D117" i="79" l="1"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A39" i="74"/>
  <c r="A38" i="74"/>
  <c r="A37" i="74"/>
  <c r="A36" i="74"/>
  <c r="A33" i="74"/>
  <c r="A30" i="74"/>
  <c r="A29" i="74"/>
  <c r="A28" i="74"/>
  <c r="A27" i="74"/>
  <c r="A26" i="74"/>
  <c r="A25" i="74"/>
  <c r="A24" i="74"/>
  <c r="A19" i="74"/>
  <c r="A18" i="74"/>
  <c r="A15" i="74"/>
  <c r="A14" i="74"/>
  <c r="A13" i="74"/>
  <c r="A12" i="74"/>
  <c r="A11" i="74"/>
  <c r="A10" i="74"/>
  <c r="A9" i="74"/>
  <c r="A8" i="74"/>
  <c r="A7" i="74"/>
  <c r="A4" i="74"/>
  <c r="E19" i="70" l="1" a="1"/>
  <c r="E19" i="70" s="1"/>
  <c r="G14" i="70" a="1"/>
  <c r="G14" i="70" s="1"/>
  <c r="E15" i="70" a="1"/>
  <c r="E15" i="70" s="1"/>
  <c r="F14" i="70" a="1"/>
  <c r="F14" i="70" s="1"/>
  <c r="E14" i="70" a="1"/>
  <c r="E14" i="70" s="1"/>
  <c r="G21" i="70" a="1"/>
  <c r="G21" i="70" s="1"/>
  <c r="O30" i="69" s="1"/>
  <c r="F19" i="70" a="1"/>
  <c r="F19" i="70" s="1"/>
  <c r="G19" i="70" a="1"/>
  <c r="G19" i="70" s="1"/>
  <c r="G15" i="70" a="1"/>
  <c r="G15" i="70" s="1"/>
  <c r="E16" i="70" a="1"/>
  <c r="E16" i="70" s="1"/>
  <c r="D30" i="69" s="1"/>
  <c r="F16" i="70" a="1"/>
  <c r="F16" i="70" s="1"/>
  <c r="E30" i="69" s="1"/>
  <c r="G16" i="70" a="1"/>
  <c r="G16" i="70" s="1"/>
  <c r="F30" i="69" s="1"/>
  <c r="E20" i="70" a="1"/>
  <c r="E20" i="70" s="1"/>
  <c r="M25" i="69" s="1"/>
  <c r="E21" i="70" a="1"/>
  <c r="E21" i="70" s="1"/>
  <c r="M30" i="69" s="1"/>
  <c r="F21" i="70" a="1"/>
  <c r="F21" i="70" s="1"/>
  <c r="N30" i="69" s="1"/>
  <c r="F15" i="70" a="1"/>
  <c r="F15" i="70" s="1"/>
  <c r="F20" i="70" a="1"/>
  <c r="F20" i="70" s="1"/>
  <c r="N25" i="69" s="1"/>
  <c r="G20" i="70" a="1"/>
  <c r="G20" i="70" s="1"/>
  <c r="O25" i="69" s="1"/>
  <c r="D69" i="69" a="1"/>
  <c r="D69" i="69" s="1"/>
  <c r="F72" i="69" a="1"/>
  <c r="F72" i="69" s="1"/>
  <c r="M20" i="69" l="1"/>
  <c r="M35" i="69" s="1" a="1"/>
  <c r="M35" i="69" s="1"/>
  <c r="M65" i="69" s="1" a="1"/>
  <c r="M65" i="69" s="1"/>
  <c r="N20" i="69"/>
  <c r="N35" i="69" s="1" a="1"/>
  <c r="N35" i="69" s="1"/>
  <c r="N65" i="69" s="1" a="1"/>
  <c r="N65" i="69" s="1"/>
  <c r="O20" i="69"/>
  <c r="O35" i="69" s="1" a="1"/>
  <c r="O35" i="69" s="1"/>
  <c r="O65" i="69" s="1" a="1"/>
  <c r="O65" i="69" s="1"/>
  <c r="F60" i="69" l="1"/>
  <c r="E60" i="69"/>
  <c r="D60" i="69"/>
  <c r="F55" i="69"/>
  <c r="E55" i="69"/>
  <c r="D55" i="69"/>
  <c r="D8" i="70"/>
  <c r="D9" i="70"/>
  <c r="G35" i="69" l="1"/>
  <c r="P65" i="69"/>
  <c r="H69" i="69"/>
  <c r="Q69" i="69"/>
  <c r="G65" i="69"/>
  <c r="O67" i="69"/>
  <c r="F67" i="69"/>
  <c r="G7" i="13" s="1"/>
  <c r="F25" i="69"/>
  <c r="E25" i="69"/>
  <c r="D25" i="69"/>
  <c r="F20" i="69"/>
  <c r="F35" i="69" s="1" a="1"/>
  <c r="F35" i="69" s="1"/>
  <c r="F65" i="69" s="1" a="1"/>
  <c r="F65" i="69" s="1"/>
  <c r="E20" i="69"/>
  <c r="E35" i="69" s="1" a="1"/>
  <c r="E35" i="69" s="1"/>
  <c r="E65" i="69" s="1" a="1"/>
  <c r="E65" i="69" s="1"/>
  <c r="D20" i="69"/>
  <c r="D35" i="69" s="1" a="1"/>
  <c r="D35" i="69" s="1"/>
  <c r="D65" i="69" s="1" a="1"/>
  <c r="D65"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0" i="79"/>
  <c r="E67" i="69" l="1"/>
  <c r="G69" i="69" s="1"/>
  <c r="E72" i="69" s="1" a="1"/>
  <c r="E72" i="69" s="1"/>
  <c r="H7" i="13" s="1"/>
  <c r="H8" i="13" s="1"/>
  <c r="N67" i="69"/>
  <c r="P69" i="69" s="1"/>
  <c r="N72" i="69" s="1" a="1"/>
  <c r="N72" i="69" s="1"/>
  <c r="I7" i="13" s="1"/>
  <c r="I8" i="13" s="1"/>
  <c r="E7" i="13" l="1"/>
  <c r="F7" i="13"/>
  <c r="E13" i="1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<sst xmlns="http://schemas.openxmlformats.org/spreadsheetml/2006/main" count="287" uniqueCount="188">
  <si>
    <t>Home</t>
  </si>
  <si>
    <t>N2O MMS</t>
  </si>
  <si>
    <t>Sources &amp; acknowledgements</t>
  </si>
  <si>
    <t>INPUTS</t>
  </si>
  <si>
    <t>APPENDICES</t>
  </si>
  <si>
    <t>Emissions breakdown</t>
  </si>
  <si>
    <t>Test Farms</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</si>
  <si>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</si>
  <si>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</si>
  <si>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</si>
  <si>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</si>
  <si>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</si>
  <si>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</si>
  <si>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</si>
  <si>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</si>
  <si>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</si>
  <si>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</si>
  <si>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</si>
  <si>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</si>
  <si>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</si>
  <si>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</si>
  <si>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</si>
  <si>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</si>
  <si>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</si>
  <si>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</si>
  <si>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</si>
  <si>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</si>
  <si>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</si>
  <si>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</si>
  <si>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</si>
  <si>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</si>
  <si>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</si>
  <si>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</si>
  <si>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</si>
  <si>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</si>
  <si>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</si>
  <si>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</si>
  <si>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</si>
  <si>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</si>
  <si>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</si>
  <si>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</si>
  <si>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</si>
  <si>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</si>
  <si>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</si>
  <si>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</si>
  <si>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</si>
  <si>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</si>
  <si>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</si>
  <si>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</si>
  <si>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</si>
  <si>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</si>
  <si>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</si>
  <si>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</si>
  <si>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</si>
  <si>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</si>
  <si>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</si>
  <si>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</si>
  <si>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</si>
  <si>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</si>
  <si>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</si>
  <si>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</si>
  <si>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</si>
  <si>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</si>
  <si>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</si>
  <si>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</si>
  <si>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</si>
  <si>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</si>
  <si>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</si>
  <si>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</si>
  <si>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</si>
  <si>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</si>
  <si>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</si>
  <si>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</si>
  <si>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</si>
  <si>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</si>
  <si>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</si>
  <si>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</si>
  <si>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</si>
  <si>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NIR definition</t>
  </si>
  <si>
    <t>Intake</t>
  </si>
  <si>
    <t>MMS m</t>
  </si>
  <si>
    <t>kg dry matter / head  day</t>
  </si>
  <si>
    <t>Treatment stage T</t>
  </si>
  <si>
    <t>Feedlot manure management systems</t>
  </si>
  <si>
    <t>Herd movement</t>
  </si>
  <si>
    <t>Duration of stay</t>
  </si>
  <si>
    <t>head</t>
  </si>
  <si>
    <t>Table_D_j</t>
  </si>
  <si>
    <t>Table_N_j</t>
  </si>
  <si>
    <t>Number of head in each group</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</si>
  <si>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</si>
  <si>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</si>
  <si>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</si>
  <si>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</si>
  <si>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</si>
  <si>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</si>
  <si>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</si>
  <si>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</si>
  <si>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</si>
  <si>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</si>
  <si>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</si>
  <si>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</si>
  <si>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</si>
  <si>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</si>
  <si>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</si>
  <si>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</si>
  <si>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M1_Table_I_j</t>
  </si>
  <si>
    <t>M2_Table_I_j</t>
  </si>
  <si>
    <t>Method 1</t>
  </si>
  <si>
    <t>Method 2</t>
  </si>
  <si>
    <t>Dry matter intake (Method 1)</t>
  </si>
  <si>
    <t>Dry matter intake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</si>
  <si>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</si>
  <si>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</si>
  <si>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</si>
  <si>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</si>
  <si>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</si>
  <si>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</si>
  <si>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</si>
  <si>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Feedlot crop or pasture production systems</t>
  </si>
  <si>
    <t>Production system</t>
  </si>
  <si>
    <t>Irrigation methods</t>
  </si>
  <si>
    <t>Not irrigated</t>
  </si>
  <si>
    <t>Drip irrigation</t>
  </si>
  <si>
    <t>Sprinkler irrigation</t>
  </si>
  <si>
    <t>Surface irrigation</t>
  </si>
  <si>
    <t>Other irrigation</t>
  </si>
  <si>
    <t>Total</t>
  </si>
  <si>
    <t>GHG Unit</t>
  </si>
  <si>
    <t>CO2-e unit</t>
  </si>
  <si>
    <t>Method 1 default values (Do not edit)</t>
  </si>
  <si>
    <t>Method 2 custom values (Edit if known)</t>
  </si>
  <si>
    <t>Irrigation type i</t>
  </si>
  <si>
    <t>EFPRP</t>
  </si>
  <si>
    <t>Month</t>
  </si>
  <si>
    <t>Season</t>
  </si>
  <si>
    <t>Acknowledgements</t>
  </si>
  <si>
    <t>GHG emissions method 1</t>
  </si>
  <si>
    <t>GHG emissions method 2</t>
  </si>
  <si>
    <t>CO2-e emissions method 1</t>
  </si>
  <si>
    <t>t CO2e</t>
  </si>
  <si>
    <t>CO2-e emissions method 2</t>
  </si>
  <si>
    <t>Direct application</t>
  </si>
  <si>
    <t>days</t>
  </si>
  <si>
    <t>fraction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</si>
  <si>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</si>
  <si>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</si>
  <si>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</si>
  <si>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</si>
  <si>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</si>
  <si>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</si>
  <si>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</si>
  <si>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</si>
  <si>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</si>
  <si>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</si>
  <si>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</si>
  <si>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</si>
  <si>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</si>
  <si>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</si>
  <si>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</si>
  <si>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</si>
  <si>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Ether extract</t>
  </si>
  <si>
    <t>NDF</t>
  </si>
  <si>
    <t>M1_Table_EE_j</t>
  </si>
  <si>
    <t>Ether extract (Method 1)</t>
  </si>
  <si>
    <t>M1_Table_NDF_j</t>
  </si>
  <si>
    <t>Neutral detergent fibre (Method 1)</t>
  </si>
  <si>
    <t>M1_Table_M_j</t>
  </si>
  <si>
    <t>Daily production of enteric methane (Method 1)</t>
  </si>
  <si>
    <t>M2_Table_M_j</t>
  </si>
  <si>
    <t>Daily production of enteric methane (Method 2)</t>
  </si>
  <si>
    <t>M2_Table_EE_j</t>
  </si>
  <si>
    <t>Ether extract (Method 2)</t>
  </si>
  <si>
    <t>M2_Table_NDF_j</t>
  </si>
  <si>
    <t>Neutral detergent fibre (Method 2)</t>
  </si>
  <si>
    <r>
      <t>E</t>
    </r>
    <r>
      <rPr>
        <b/>
        <vertAlign val="subscript"/>
        <sz val="16"/>
        <color theme="1" tint="0.24994659260841701"/>
        <rFont val="Times New Roman"/>
        <family val="1"/>
      </rPr>
      <t>enteric</t>
    </r>
    <r>
      <rPr>
        <b/>
        <sz val="16"/>
        <color theme="1" tint="0.24994659260841701"/>
        <rFont val="Times New Roman"/>
        <family val="1"/>
      </rPr>
      <t xml:space="preserve"> (Method 1)</t>
    </r>
  </si>
  <si>
    <r>
      <t>E</t>
    </r>
    <r>
      <rPr>
        <b/>
        <vertAlign val="subscript"/>
        <sz val="16"/>
        <color theme="1" tint="0.24994659260841701"/>
        <rFont val="Times New Roman"/>
        <family val="1"/>
      </rPr>
      <t>enteric</t>
    </r>
    <r>
      <rPr>
        <b/>
        <sz val="16"/>
        <color theme="1" tint="0.24994659260841701"/>
        <rFont val="Times New Roman"/>
        <family val="1"/>
      </rPr>
      <t xml:space="preserve"> (Method 2)</t>
    </r>
  </si>
  <si>
    <t>3.1: Enteric Methane: Beef feedlot: Overview</t>
  </si>
  <si>
    <t>3.1 Enteric Methane: Beef Feedlot: Results</t>
  </si>
  <si>
    <t>💡 Below is a diagram that maps the equations used to calculate emissions and how they interact with each other.</t>
  </si>
  <si>
    <t>3.1.1.1-2 Enteric Methane Beef Feedlot</t>
  </si>
  <si>
    <t>Input - Feedlot</t>
  </si>
  <si>
    <t>Climate Zone</t>
  </si>
  <si>
    <t>EFNi &amp; EFN2Oi</t>
  </si>
  <si>
    <t>M2_Table_E_CH4</t>
  </si>
  <si>
    <t>Methane emissions for each group, MMS and treatment stage (Method 2)</t>
  </si>
  <si>
    <t>M1_Table_E_CH4</t>
  </si>
  <si>
    <t>Methane emissions for each group, MMS and treatment stage (Method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</si>
</sst>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1"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2" fillId="4" borderId="0">
      <alignment horizontal="left" vertical="center"/>
    </xf>
    <xf numFmtId="0" fontId="37"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40"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4" borderId="2">
      <alignment horizontal="center" vertical="center"/>
    </xf>
    <xf numFmtId="0" fontId="58" fillId="15" borderId="2">
      <alignment horizontal="center" vertical="center"/>
    </xf>
    <xf numFmtId="0" fontId="33" fillId="4" borderId="2">
      <alignment horizontal="left" vertical="center"/>
    </xf>
    <xf numFmtId="0" fontId="59" fillId="4" borderId="2">
      <alignment horizontal="left" vertical="center"/>
    </xf>
  </cellStyleXfs>
  <cellXfs count="115">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1"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19" fillId="9" borderId="5" xfId="35">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22" fillId="5" borderId="0" xfId="37">
      <alignment horizontal="left" vertical="center" indent="1"/>
    </xf>
    <xf numFmtId="0" fontId="22" fillId="8" borderId="0" xfId="38">
      <alignment horizontal="left" vertical="center" indent="1"/>
    </xf>
    <xf numFmtId="0" fontId="43"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8"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6" fillId="0" borderId="0" xfId="5" applyFill="1">
      <alignment horizontal="left" vertical="center"/>
    </xf>
    <xf numFmtId="0" fontId="41"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5" fillId="0" borderId="0" xfId="0" applyFont="1"/>
    <xf numFmtId="0" fontId="38"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9" fillId="4" borderId="0" xfId="8" applyFont="1">
      <alignment horizontal="left" vertical="center"/>
    </xf>
    <xf numFmtId="0" fontId="6" fillId="4" borderId="0" xfId="55">
      <alignment horizontal="left" vertical="center"/>
    </xf>
    <xf numFmtId="0" fontId="40" fillId="4" borderId="0" xfId="56">
      <alignment horizontal="left" vertical="center"/>
    </xf>
    <xf numFmtId="0" fontId="10" fillId="0" borderId="0" xfId="57"/>
    <xf numFmtId="0" fontId="33" fillId="4" borderId="2" xfId="54" applyAlignment="1">
      <alignment horizontal="left" vertical="center"/>
    </xf>
    <xf numFmtId="0" fontId="33" fillId="4" borderId="7" xfId="54" applyBorder="1" applyAlignment="1">
      <alignment horizontal="left" vertical="center"/>
    </xf>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2" fillId="0" borderId="0" xfId="7" applyFont="1" applyFill="1" applyAlignment="1">
      <alignment horizontal="left" vertical="center" indent="1"/>
    </xf>
    <xf numFmtId="0" fontId="2" fillId="0" borderId="2" xfId="58">
      <alignment horizontal="center" vertical="center"/>
    </xf>
    <xf numFmtId="0" fontId="42" fillId="0" borderId="0" xfId="34" applyFont="1">
      <alignment horizontal="left" vertical="center" indent="1"/>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3" fillId="13" borderId="10" xfId="40" applyBorder="1">
      <alignment horizontal="left" vertical="center"/>
    </xf>
    <xf numFmtId="0" fontId="43" fillId="13" borderId="12" xfId="40" applyBorder="1">
      <alignment horizontal="left" vertical="center"/>
    </xf>
    <xf numFmtId="0" fontId="43" fillId="13" borderId="14" xfId="40" applyBorder="1">
      <alignment horizontal="left" vertical="center"/>
    </xf>
    <xf numFmtId="0" fontId="43" fillId="13" borderId="13" xfId="40" applyBorder="1">
      <alignment horizontal="left" vertical="center"/>
    </xf>
    <xf numFmtId="0" fontId="43" fillId="13" borderId="15" xfId="40" applyBorder="1">
      <alignment horizontal="left" vertical="center"/>
    </xf>
    <xf numFmtId="0" fontId="43" fillId="13" borderId="17" xfId="40" applyBorder="1">
      <alignment horizontal="left" vertical="center"/>
    </xf>
    <xf numFmtId="0" fontId="43" fillId="13" borderId="11" xfId="40" applyBorder="1">
      <alignment horizontal="left" vertical="center"/>
    </xf>
    <xf numFmtId="0" fontId="43" fillId="13" borderId="16" xfId="40" applyBorder="1">
      <alignment horizontal="left" vertical="center"/>
    </xf>
    <xf numFmtId="0" fontId="43" fillId="13" borderId="18" xfId="40" applyBorder="1">
      <alignment horizontal="left" vertical="center"/>
    </xf>
    <xf numFmtId="0" fontId="0" fillId="0" borderId="0" xfId="1" applyFont="1" applyFill="1">
      <alignment horizontal="left" vertical="center" indent="1"/>
      <protection locked="0"/>
    </xf>
    <xf numFmtId="0" fontId="47" fillId="4" borderId="0" xfId="60">
      <alignment horizontal="left" vertical="center"/>
    </xf>
    <xf numFmtId="0" fontId="46" fillId="4" borderId="0" xfId="59">
      <alignment horizontal="left" vertical="center"/>
    </xf>
    <xf numFmtId="3" fontId="2" fillId="0" borderId="2" xfId="18">
      <alignment horizontal="center" vertical="center"/>
    </xf>
    <xf numFmtId="3" fontId="33" fillId="4" borderId="2" xfId="54" applyNumberFormat="1">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5" applyFont="1" applyBorder="1">
      <alignment horizontal="left" vertical="center"/>
    </xf>
    <xf numFmtId="0" fontId="33" fillId="4" borderId="19" xfId="54" applyBorder="1">
      <alignment horizontal="center" vertical="center"/>
    </xf>
    <xf numFmtId="0" fontId="6" fillId="4" borderId="1" xfId="55" applyBorder="1">
      <alignment horizontal="left" vertical="center"/>
    </xf>
    <xf numFmtId="0" fontId="53" fillId="4" borderId="0" xfId="61">
      <alignment horizontal="left" vertical="center"/>
    </xf>
    <xf numFmtId="0" fontId="54" fillId="2" borderId="0" xfId="8" applyFont="1" applyFill="1">
      <alignment horizontal="left" vertical="center"/>
    </xf>
    <xf numFmtId="0" fontId="43"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5" fillId="11" borderId="0" xfId="62">
      <alignment horizontal="center" vertical="center"/>
    </xf>
    <xf numFmtId="0" fontId="22" fillId="11" borderId="0" xfId="63">
      <alignment horizontal="left" vertical="center" indent="1"/>
    </xf>
    <xf numFmtId="0" fontId="56" fillId="0" borderId="0" xfId="2" applyFont="1"/>
    <xf numFmtId="0" fontId="57" fillId="14" borderId="2" xfId="64">
      <alignment horizontal="center" vertical="center"/>
    </xf>
    <xf numFmtId="0" fontId="58" fillId="15" borderId="2" xfId="65">
      <alignment horizontal="center" vertical="center"/>
    </xf>
    <xf numFmtId="0" fontId="33" fillId="4" borderId="2" xfId="66">
      <alignment horizontal="left" vertical="center"/>
    </xf>
    <xf numFmtId="0" fontId="59" fillId="4" borderId="2" xfId="67">
      <alignment horizontal="left" vertical="center"/>
    </xf>
    <xf numFmtId="0" fontId="33" fillId="4" borderId="6" xfId="66" applyBorder="1">
      <alignment horizontal="left" vertical="center"/>
    </xf>
    <xf numFmtId="0" fontId="33" fillId="4" borderId="7" xfId="66" applyBorder="1">
      <alignment horizontal="left" vertical="center"/>
    </xf>
    <xf numFmtId="0" fontId="60" fillId="9" borderId="0" xfId="32" applyFont="1" applyFill="1"/>
    <xf numFmtId="0" fontId="38" fillId="9" borderId="0" xfId="8" applyFill="1">
      <alignment horizontal="left" vertical="center"/>
    </xf>
    <xf numFmtId="0" fontId="17" fillId="11" borderId="0" xfId="31" applyFill="1">
      <alignment vertical="center"/>
    </xf>
    <xf numFmtId="0" fontId="43" fillId="13" borderId="20" xfId="40" applyBorder="1">
      <alignment horizontal="left" vertical="center"/>
    </xf>
    <xf numFmtId="0" fontId="44" fillId="13" borderId="21" xfId="40" applyFont="1" applyBorder="1">
      <alignment horizontal="left" vertical="center"/>
    </xf>
    <xf numFmtId="0" fontId="43" fillId="13" borderId="21" xfId="40" applyBorder="1">
      <alignment horizontal="left" vertical="center"/>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76">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1.1.1-2 Enteric Methane'!D39"/><Relationship Id="rId1" Type="http://schemas.openxmlformats.org/officeDocument/2006/relationships/hyperlink" Target="#'3.1.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3.1.1.1-2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1.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Daily production of enteric methane</a:t>
          </a:fld>
          <a:endParaRPr lang="en-AU" sz="1000">
            <a:solidFill>
              <a:srgbClr val="0C769E"/>
            </a:solidFill>
          </a:endParaRPr>
        </a:p>
      </xdr:txBody>
    </xdr:sp>
    <xdr:clientData/>
  </xdr:twoCellAnchor>
  <xdr:twoCellAnchor>
    <xdr:from>
      <xdr:col>3</xdr:col>
      <xdr:colOff>576200</xdr:colOff>
      <xdr:row>15</xdr:row>
      <xdr:rowOff>54910</xdr:rowOff>
    </xdr:from>
    <xdr:to>
      <xdr:col>6</xdr:col>
      <xdr:colOff>256679</xdr:colOff>
      <xdr:row>18</xdr:row>
      <xdr:rowOff>27010</xdr:rowOff>
    </xdr:to>
    <xdr:sp macro="" textlink="'3.1.1.1-2 Enteric Methane'!D39">
      <xdr:nvSpPr>
        <xdr:cNvPr id="20" name="TextBox 19">
          <a:hlinkClick xmlns:r="http://schemas.openxmlformats.org/officeDocument/2006/relationships" r:id="rId2"/>
          <a:extLst>
            <a:ext uri="{FF2B5EF4-FFF2-40B4-BE49-F238E27FC236}">
              <a16:creationId xmlns:a16="http://schemas.microsoft.com/office/drawing/2014/main" id="{050A7C22-4BD7-4D52-9D6E-89987EDCC59C}"/>
            </a:ext>
          </a:extLst>
        </xdr:cNvPr>
        <xdr:cNvSpPr txBox="1"/>
      </xdr:nvSpPr>
      <xdr:spPr>
        <a:xfrm>
          <a:off x="3252725" y="3903010"/>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production from enteric fermentation in feedlot beef cattle</a:t>
          </a:fld>
          <a:endParaRPr lang="en-AU" sz="1000" b="1">
            <a:solidFill>
              <a:srgbClr val="0C769E"/>
            </a:solidFill>
          </a:endParaRPr>
        </a:p>
      </xdr:txBody>
    </xdr:sp>
    <xdr:clientData/>
  </xdr:twoCellAnchor>
  <xdr:twoCellAnchor>
    <xdr:from>
      <xdr:col>5</xdr:col>
      <xdr:colOff>105291</xdr:colOff>
      <xdr:row>12</xdr:row>
      <xdr:rowOff>84710</xdr:rowOff>
    </xdr:from>
    <xdr:to>
      <xdr:col>5</xdr:col>
      <xdr:colOff>117991</xdr:colOff>
      <xdr:row>15</xdr:row>
      <xdr:rowOff>61259</xdr:rowOff>
    </xdr:to>
    <xdr:cxnSp macro="">
      <xdr:nvCxnSpPr>
        <xdr:cNvPr id="7" name="Connector: Curved 6">
          <a:extLst>
            <a:ext uri="{FF2B5EF4-FFF2-40B4-BE49-F238E27FC236}">
              <a16:creationId xmlns:a16="http://schemas.microsoft.com/office/drawing/2014/main" id="{EEA36610-345A-E469-2064-F09BCE8567FD}"/>
            </a:ext>
          </a:extLst>
        </xdr:cNvPr>
        <xdr:cNvCxnSpPr>
          <a:stCxn id="16" idx="2"/>
          <a:endCxn id="20" idx="0"/>
        </xdr:cNvCxnSpPr>
      </xdr:nvCxnSpPr>
      <xdr:spPr>
        <a:xfrm rot="5400000">
          <a:off x="3647616" y="3543260"/>
          <a:ext cx="719499"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5.11×</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−4.00×</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+2.26×</m:t>
                        </m:r>
                        <m:r>
                          <a:rPr lang="en-AU" sz="1100" i="1">
                            <a:latin typeface="Cambria Math" panose="02040503050406030204" pitchFamily="18" charset="0"/>
                          </a:rPr>
                          <m:t>𝑁𝐷</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𝑀_𝑗=(5.11×𝐼_𝑗−4.00×𝐸𝐸_𝑗+2.26×𝑁𝐷𝐹_𝑗 )×10^(−3)</a:t>
              </a:r>
              <a:endParaRPr lang="en-AU" sz="11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𝐸_𝑒𝑛𝑡𝑒𝑟𝑖𝑐=∑10_𝑗▒(𝐷_𝑗×𝑀_𝑗×𝑁_𝑗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3"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2"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1"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0"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59"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8"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7"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6"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5"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4"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3"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7"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0"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7"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6"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60F4D5-69C3-498B-8768-94305C20B0A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1475CB9-98D1-4367-81FE-766354D03859}" name="State/Territory">
      <calculatedColumnFormula array="1">Common_InputFunctions.Utility_DisplayArrayInTable(Common_SourceData.Common_SourceData_AustralianStatesTerritories_Data(),Table_AustralianStates[[#Headers],[State/Territory]],0)</calculatedColumnFormula>
    </tableColumn>
    <tableColumn id="2" xr3:uid="{E5F4A4C1-F79D-42CE-8C7B-73B43952AF82}" name="Common Name">
      <calculatedColumnFormula array="1">Common_InputFunctions.Utility_DisplayArrayInTable(Common_SourceData.Common_SourceData_AustralianStatesTerritories_Data(),Table_AustralianStates[[#Headers],[State/Territory]],0)</calculatedColumnFormula>
    </tableColumn>
    <tableColumn id="3" xr3:uid="{1ED2BE90-6504-4529-96D4-F2168C2206D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E790257-56EE-4D3A-9E9F-63BBBD489E9B}" name="Table_WASA4Areas" displayName="Table_WASA4Areas" ref="D20:D30" totalsRowShown="0">
  <autoFilter ref="D20:D30" xr:uid="{5FA81339-C6C8-4D36-BEEA-6C4AEDD9E676}">
    <filterColumn colId="0" hiddenButton="1"/>
  </autoFilter>
  <tableColumns count="1">
    <tableColumn id="1" xr3:uid="{4834DA3C-E2C6-46A6-8B67-669901690AE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748BD76-E957-4735-8DCC-4AA536F7251B}" name="Table_GWPData" displayName="Table_GWPData" ref="D36:E43" totalsRowShown="0">
  <autoFilter ref="D36:E43" xr:uid="{B8E87A66-3E41-4AD3-925D-01EE21B43D7A}">
    <filterColumn colId="0" hiddenButton="1"/>
    <filterColumn colId="1" hiddenButton="1"/>
  </autoFilter>
  <tableColumns count="2">
    <tableColumn id="1" xr3:uid="{BC533CA1-A19D-4D88-851F-C6B55789EEF0}" name="Gas">
      <calculatedColumnFormula array="1">Common_InputFunctions.Utility_DisplayArrayInTable(Common_SourceData.Common_SourceData_GWP_Data(), Table_GWPData[[#Headers],[Gas]], 0)</calculatedColumnFormula>
    </tableColumn>
    <tableColumn id="2" xr3:uid="{0744ED04-F9F9-4292-9C48-DCEC4CDB7B4B}"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DA84FD9-456A-4D76-8824-68BDCA1A024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E8A5F5D-380F-444B-895F-03A04F993303}" name="Gas">
      <calculatedColumnFormula array="1">Common_InputFunctions.Utility_DisplayArrayInTable(Common_SourceData.Common_SourceData_ConvertGasElementalToMolecular_Data(),Table_GasToMolecularConversionFactor[[#Headers],[Gas]], 0)</calculatedColumnFormula>
    </tableColumn>
    <tableColumn id="5" xr3:uid="{04DD10EA-0C74-4AE3-847F-091B6E17E288}" name="Conversion factor">
      <calculatedColumnFormula array="1">Common_InputFunctions.Utility_DisplayArrayInTable(Common_SourceData.Common_SourceData_ConvertGasElementalToMolecular_Data(),Table_GasToMolecularConversionFactor[[#Headers],[Gas]], 0)</calculatedColumnFormula>
    </tableColumn>
    <tableColumn id="2" xr3:uid="{B3B93DCD-8572-498D-8FD9-DE5161A7023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AEFFF08-7C7F-45E3-BC84-7908AF11C80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1AE1CC4-4B45-4D28-ACD1-DCB5A0BDE3F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E2FCFF0-2F5D-46AD-A562-2B5CA89C224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B64EF18-D941-4F52-A1B2-667BE97CB82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8934DD4-8710-4F12-95E3-FF8487499DD5}"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06CB93CF-EB6F-4172-85A6-ABDCD87EBE4A}"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9031FFF8-3C81-4F0A-BD57-02808D6AA1A2}"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BEBBB14D-687E-40D7-8A5C-830F1BF21708}"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59D992F0-26FC-4409-8EFD-219C6E95F62E}"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9E1C5BA7-00D4-456C-BD35-A1A477A849E3}"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B7E08E46-7D40-4A1B-85A5-2CBC68950E27}"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8DB33ADB-7FE8-4683-A42A-7B517C31FB73}"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66872F0F-8733-4F0D-BAA4-7FB3E232EC5B}"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5BE2D3A3-9488-4CDA-A5C9-C914DE17BBDA}"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87A2B35F-81EF-49FE-8E1C-DF65C2C68825}"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511CC549-5A99-4B0F-A28E-3A5AB574B811}"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9C4D55D3-27D4-4F56-AA8B-6A3586706EBF}"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96690360-D247-477E-86B7-F95A760E53DE}"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ADA6D733-164A-4027-9A96-8515CB5C69FD}"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4F274C9-B9BB-4501-85EC-CEB9C416829E}"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D84D891-CBE0-4BBE-A645-C24CA6B914EA}"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BF4189CF-7E91-483C-B1DA-119B7CA28079}"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652E3F2-AB22-4ACF-92AA-A6AEB37E80B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3C0E923-E589-4E34-8701-DB8EC6258A11}" name="Temperature Zone">
      <calculatedColumnFormula array="1">Common_InputFunctions.Utility_DisplayArrayInTable(Common_SourceData.Common_SourceData_TemperatureZones_Data(),Table_SourceData_TemperatureZones[[#Headers],[Temperature Zone]],0)</calculatedColumnFormula>
    </tableColumn>
    <tableColumn id="2" xr3:uid="{2B796427-73F3-481B-866C-FC3D56EAC122}" name="MAT">
      <calculatedColumnFormula array="1">Common_InputFunctions.Utility_DisplayArrayInTable(Common_SourceData.Common_SourceData_TemperatureZones_Data(),Table_SourceData_TemperatureZones[[#Headers],[Temperature Zone]],0)</calculatedColumnFormula>
    </tableColumn>
    <tableColumn id="3" xr3:uid="{72A35A9F-A175-428E-B2EB-AC78527D302C}" name="Min MAT">
      <calculatedColumnFormula array="1">Common_InputFunctions.Utility_DisplayArrayInTable(Common_SourceData.Common_SourceData_TemperatureZones_Data(),Table_SourceData_TemperatureZones[[#Headers],[Temperature Zone]],0)</calculatedColumnFormula>
    </tableColumn>
    <tableColumn id="4" xr3:uid="{CD803C3A-FF96-4FB2-82D8-DF68F7FD4FAF}"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1B19C0A-7DDB-4C72-962E-11F810EE97D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169E5E8D-C34D-47F5-B252-308C64B2880E}" name="Rainfall Zone">
      <calculatedColumnFormula array="1">Common_InputFunctions.Utility_DisplayArrayInTable(Common_SourceData.Common_SourceData_RainfallZones_Data(),Table_SourceData_RainfallZones[[#Headers],[Rainfall Zone]],0)</calculatedColumnFormula>
    </tableColumn>
    <tableColumn id="2" xr3:uid="{8CFE46F1-75D3-4205-9E55-D423C5463F3F}" name="Annual rainfall">
      <calculatedColumnFormula array="1">Common_InputFunctions.Utility_DisplayArrayInTable(Common_SourceData.Common_SourceData_RainfallZones_Data(),Table_SourceData_RainfallZones[[#Headers],[Rainfall Zone]],0)</calculatedColumnFormula>
    </tableColumn>
    <tableColumn id="3" xr3:uid="{4B1B458B-AD21-49F5-8369-2CD9ED4BD265}" name="Min rainfall">
      <calculatedColumnFormula array="1">Common_InputFunctions.Utility_DisplayArrayInTable(Common_SourceData.Common_SourceData_RainfallZones_Data(),Table_SourceData_RainfallZones[[#Headers],[Rainfall Zone]],0)</calculatedColumnFormula>
    </tableColumn>
    <tableColumn id="4" xr3:uid="{AF4E98C3-D944-414B-AF4E-208AC435F00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C9C6153-67ED-43A0-BB11-3152817F4A3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82FB12E-F809-4A9A-B37A-85414450FA6F}" name="Leaching Zone">
      <calculatedColumnFormula array="1">Common_InputFunctions.Utility_DisplayArrayInTable(Common_SourceData.Common_SourceData_LeachingZones_Data(), Table_SourceData_LeachingZones[[#Headers],[Leaching Zone]], 0)</calculatedColumnFormula>
    </tableColumn>
    <tableColumn id="2" xr3:uid="{0FD0F4F6-7D42-4B2D-8796-FBB825513B17}"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164EC0D-8973-4934-B8F1-FE2B07D75D6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EDF6BC1-FBEA-43D1-BAB8-589DC6D872BB}" name="Data source">
      <calculatedColumnFormula array="1">Common_InputFunctions.Utility_DisplayArrayInTable(Common_SourceData.Common_SourceData_DataScores_Scope3_Data(), Table_SourceData_DataScores_Scope3[[#Headers],[Data source]], 0)</calculatedColumnFormula>
    </tableColumn>
    <tableColumn id="2" xr3:uid="{79475CCF-6312-464A-BB69-601104A11DD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AACEA5C-382D-4B14-A21A-584728A7A10A}" name="Table_SourceData_FracWET" displayName="Table_SourceData_FracWET" ref="D134:E136" totalsRowShown="0">
  <autoFilter ref="D134:E136" xr:uid="{308E99BE-FE1F-47A4-B2CA-97217277C4E9}">
    <filterColumn colId="0" hiddenButton="1"/>
    <filterColumn colId="1" hiddenButton="1"/>
  </autoFilter>
  <tableColumns count="2">
    <tableColumn id="1" xr3:uid="{1E665611-2A06-4990-943E-3A4799B10AB6}" name="Is in leaching zone">
      <calculatedColumnFormula array="1">Common_InputFunctions.Utility_DisplayArrayInTable(Common_SourceData.Common_SourceData_FracWET_Data(),Table_SourceData_FracWET[[#Headers],[Is in leaching zone]],0)</calculatedColumnFormula>
    </tableColumn>
    <tableColumn id="2" xr3:uid="{134E4DE7-4018-49B4-A248-DB8DC2091153}"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954D004-F7FF-487B-8ECC-8B6762D9145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6A40F661-DD2F-48D3-BEE9-E870DCD60A1F}" name="Production system j">
      <calculatedColumnFormula array="1">Common_InputFunctions.Utility_DisplayArrayInTable(Common_SourceData.Common_SourceData_EFN2O_Data(), Table_SourceData_Common_EFN2O[[#Headers],[Production system j]], 0)</calculatedColumnFormula>
    </tableColumn>
    <tableColumn id="2" xr3:uid="{DA9A0C1F-9EF4-45CB-83CE-2B2305C02ED1}" name="EFN2O">
      <calculatedColumnFormula array="1">Common_InputFunctions.Utility_DisplayArrayInTable(Common_SourceData.Common_SourceData_EFN2O_Data(), Table_SourceData_Common_EFN2O[[#Headers],[Production system j]], 0)</calculatedColumnFormula>
    </tableColumn>
    <tableColumn id="3" xr3:uid="{962D76BC-C77F-4BA9-B913-0F026AA43412}" name="Production system only">
      <calculatedColumnFormula array="1">Common_InputFunctions.Utility_DisplayArrayInTable(Common_SourceData.Common_SourceData_EFN2O_Data(), Table_SourceData_Common_EFN2O[[#Headers],[Production system j]], 0)</calculatedColumnFormula>
    </tableColumn>
    <tableColumn id="4" xr3:uid="{A3125B9E-6342-4A8E-8C3E-42B994D345EF}" name="Irrigation method">
      <calculatedColumnFormula array="1">Common_InputFunctions.Utility_DisplayArrayInTable(Common_SourceData.Common_SourceData_EFN2O_Data(), Table_SourceData_Common_EFN2O[[#Headers],[Production system j]], 0)</calculatedColumnFormula>
    </tableColumn>
    <tableColumn id="5" xr3:uid="{95E9A13E-A6A1-455A-A238-C6E400DACCB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A81D7DF-D521-47CD-9997-D2FA82C2043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3A046A8-F626-4FF3-907F-4B0DAD89B65D}" name="Irrigation type i">
      <calculatedColumnFormula array="1">Common_InputFunctions.Utility_DisplayArrayInTable(Common_SourceData.Common_SourceData_FracWETIrrigation_Data(), Table_SourceData_FracWETIrrigation[[#Headers],[Irrigation type i]], 0)</calculatedColumnFormula>
    </tableColumn>
    <tableColumn id="2" xr3:uid="{EC56680E-26F7-4CD4-9B4E-8D94050B8B3A}"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BF6CDDB-DBF7-4904-BC00-BEC1CE565B2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A7DA6D-4FD9-48B7-8692-976739B5EBFA}"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856FD95-9BF9-4137-9F2E-6A19B9836C4C}"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2768C421-456F-43F8-B739-653A2BE4EBE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FF9A772-EFFC-444F-BBE8-44684CE6962C}" name="Month">
      <calculatedColumnFormula array="1">Common_InputFunctions.Utility_DisplayArrayInTable(Common_SourceData.Common_SourceData_MonthsToSeasons_Data(), Table_SourceData_Common_MonthToSeason[[#Headers],[Month]], 0)</calculatedColumnFormula>
    </tableColumn>
    <tableColumn id="2" xr3:uid="{421B5A67-A1A2-4019-8983-556D10F00BD3}"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0E07D5C-E8D0-4C56-A75B-4F8F7065DEC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6135E2F-47ED-4165-BCE8-E09A9339B6EA}"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A87C324-8830-481A-BA66-519246FF91B8}"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98192B9B-A9EF-4BCA-8213-AD89F4FB17D1}"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DF4811D-6FFB-47B7-9A7A-BD1A91562CF1}"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C930055-7DE9-48EA-9192-907B77F27A47}"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7D04A66-911D-48C0-B67E-E2E95C60F3DB}"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9CE292C-B840-4D27-8590-8257B11311C1}"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227B547-816D-47AC-A539-76F90520D98E}"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B1F7993-5EA3-44BA-AD58-97AAE49863D8}"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B863BF6-1410-4A46-8164-4B2A89B2BDC4}"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ED0BC85-C592-41E0-B3A6-CFF080241C64}"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306A651-7FD4-4E5E-9FDA-21CC5A7F4900}"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4EBB78D-AEC6-4FC6-9C0E-0A40C564C66F}"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B1AEE62D-B3E4-4300-8533-926546EAB1D2}"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101CAF7-41B1-4308-B1E9-17F4ED339B8B}"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C26A283-2E03-4AEC-B940-7DE455FCC417}"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CE6C831-099B-49FD-A2C5-4C34BCDB4A3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25AAD2A-CB71-4DC4-987D-F99C09AD1EE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7A889B50-9EC8-44AA-9CB8-C6FD4BE457A4}"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8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3.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63" t="e" vm="1">
        <v>#VALUE!</v>
      </c>
      <c r="C1" s="109" t="s">
        <v>177</v>
      </c>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row>
    <row r="2" spans="1:64" ht="20.100000000000001" customHeight="1" x14ac:dyDescent="0.25">
      <c r="A2" s="9"/>
      <c r="C2" s="110"/>
      <c r="D2" s="110"/>
      <c r="E2" s="110"/>
      <c r="F2" s="110"/>
      <c r="G2" s="110"/>
      <c r="H2" s="110"/>
      <c r="I2" s="110"/>
      <c r="J2" s="110"/>
      <c r="K2" s="110"/>
      <c r="L2" s="110"/>
      <c r="M2" s="110"/>
      <c r="N2" s="110"/>
      <c r="O2" s="110"/>
      <c r="P2" s="110"/>
      <c r="Q2" s="110"/>
      <c r="R2" s="110"/>
      <c r="S2" s="110"/>
      <c r="T2" s="110"/>
      <c r="U2" s="110"/>
      <c r="V2" s="110"/>
      <c r="W2" s="110"/>
      <c r="X2" s="110"/>
      <c r="Y2" s="110"/>
      <c r="Z2" s="110"/>
      <c r="AA2" s="110"/>
      <c r="AB2" s="110"/>
      <c r="AC2" s="110"/>
      <c r="AD2" s="110"/>
      <c r="AE2" s="110"/>
      <c r="AF2" s="110"/>
      <c r="AG2" s="110"/>
    </row>
    <row r="3" spans="1:64" ht="20.100000000000001" customHeight="1" x14ac:dyDescent="0.25">
      <c r="A3" s="17" t="str">
        <f>HYPERLINK("#'Home'!A1", "Home")</f>
        <v>Home</v>
      </c>
      <c r="C3" s="111"/>
      <c r="D3" s="111"/>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c r="AY3" s="111"/>
      <c r="AZ3" s="111"/>
      <c r="BA3" s="111"/>
      <c r="BB3" s="111"/>
      <c r="BC3" s="111"/>
      <c r="BD3" s="111"/>
      <c r="BE3" s="111"/>
      <c r="BF3" s="111"/>
      <c r="BG3" s="111"/>
      <c r="BH3" s="111"/>
      <c r="BI3" s="111"/>
      <c r="BJ3" s="111"/>
      <c r="BK3" s="111"/>
      <c r="BL3" s="111"/>
    </row>
    <row r="4" spans="1:64" ht="20.100000000000001" customHeight="1" x14ac:dyDescent="0.25">
      <c r="A4" s="10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12" t="s">
        <v>179</v>
      </c>
      <c r="E5" s="112"/>
      <c r="F5" s="112"/>
      <c r="G5" s="112"/>
      <c r="H5" s="112"/>
      <c r="I5" s="96"/>
      <c r="J5" s="79"/>
      <c r="K5" s="79"/>
      <c r="L5" s="79"/>
      <c r="M5" s="79"/>
      <c r="N5" s="79"/>
      <c r="O5" s="75"/>
      <c r="P5" s="1"/>
      <c r="Q5" s="1"/>
      <c r="R5" s="1"/>
      <c r="S5" s="1"/>
      <c r="T5" s="1"/>
      <c r="U5" s="1"/>
      <c r="V5" s="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13" t="s">
        <v>159</v>
      </c>
      <c r="E6" s="114"/>
      <c r="F6" s="114"/>
      <c r="G6" s="114"/>
      <c r="H6" s="114"/>
      <c r="I6" s="81"/>
      <c r="J6" s="78"/>
      <c r="K6" s="78"/>
      <c r="L6" s="78"/>
      <c r="M6" s="78"/>
      <c r="N6" s="78"/>
      <c r="O6" s="76"/>
      <c r="P6" s="1"/>
      <c r="Q6" s="1"/>
      <c r="R6" s="1"/>
      <c r="S6" s="1"/>
      <c r="T6" s="1"/>
      <c r="U6" s="1"/>
      <c r="V6" s="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58</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HYPERLINK("#'3.1.1.1-2 Enteric Methane'!A1", "3.1.1.1-2 Enteric Methane")</f>
        <v>3.1.1.1-2 Enteric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8" t="s">
        <v>4</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HYPERLINK("#'Constants - Feedlot'!A1", "Constants - Feedlot")</f>
        <v>Constants - Feedlot</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I7" sqref="I7"/>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3" t="e" vm="1">
        <v>#VALUE!</v>
      </c>
      <c r="C1" s="102" t="s">
        <v>178</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01" t="str">
        <f>HYPERLINK("#'Results'!A1", "Results")</f>
        <v>Results</v>
      </c>
      <c r="C5" s="24"/>
      <c r="D5" s="28"/>
      <c r="E5" s="29"/>
      <c r="F5" s="29"/>
      <c r="G5" s="29"/>
      <c r="H5" s="26"/>
      <c r="I5" s="24"/>
      <c r="J5" s="24"/>
      <c r="K5" s="24"/>
      <c r="L5" s="24"/>
    </row>
    <row r="6" spans="1:12" ht="20.100000000000001" customHeight="1" x14ac:dyDescent="0.25">
      <c r="A6" s="16"/>
      <c r="C6" s="24"/>
      <c r="D6" s="100" t="s">
        <v>114</v>
      </c>
      <c r="E6" s="100" t="s">
        <v>137</v>
      </c>
      <c r="F6" s="100" t="s">
        <v>138</v>
      </c>
      <c r="G6" s="100" t="s">
        <v>128</v>
      </c>
      <c r="H6" s="100" t="s">
        <v>139</v>
      </c>
      <c r="I6" s="100" t="s">
        <v>141</v>
      </c>
      <c r="J6" s="100" t="s">
        <v>129</v>
      </c>
      <c r="K6" s="24"/>
      <c r="L6" s="24"/>
    </row>
    <row r="7" spans="1:12" ht="20.100000000000001" customHeight="1" x14ac:dyDescent="0.25">
      <c r="A7" s="20" t="s">
        <v>3</v>
      </c>
      <c r="C7" s="24"/>
      <c r="D7" s="1" t="s">
        <v>160</v>
      </c>
      <c r="E7" s="98">
        <f>'3.1.1.1-2 Enteric Methane'!E67</f>
        <v>35.420230000000004</v>
      </c>
      <c r="F7" s="98">
        <f>'3.1.1.1-2 Enteric Methane'!N67</f>
        <v>35.420230000000004</v>
      </c>
      <c r="G7" s="52" t="str">
        <f>'3.1.1.1-2 Enteric Methane'!F67</f>
        <v>t CH4</v>
      </c>
      <c r="H7" s="98">
        <f>'3.1.1.1-2 Enteric Methane'!E72</f>
        <v>991.7664400000001</v>
      </c>
      <c r="I7" s="98">
        <f>'3.1.1.1-2 Enteric Methane'!N72</f>
        <v>991.7664400000001</v>
      </c>
      <c r="J7" s="52" t="s">
        <v>140</v>
      </c>
      <c r="K7" s="24"/>
      <c r="L7" s="24"/>
    </row>
    <row r="8" spans="1:12" ht="20.100000000000001" customHeight="1" x14ac:dyDescent="0.3">
      <c r="A8" s="17" t="str">
        <f>HYPERLINK("#'Input - Site'!A1", "Site")</f>
        <v>Site</v>
      </c>
      <c r="C8" s="24"/>
      <c r="D8" s="31" t="s">
        <v>127</v>
      </c>
      <c r="E8" s="25"/>
      <c r="F8" s="31"/>
      <c r="G8" s="31"/>
      <c r="H8" s="99">
        <f>SUM(H7:H7)</f>
        <v>991.7664400000001</v>
      </c>
      <c r="I8" s="99">
        <f>SUM(I7:I7)</f>
        <v>991.7664400000001</v>
      </c>
      <c r="J8" s="93" t="s">
        <v>140</v>
      </c>
      <c r="K8" s="24"/>
      <c r="L8" s="24"/>
    </row>
    <row r="9" spans="1:12" ht="20.100000000000001" customHeight="1" x14ac:dyDescent="0.25">
      <c r="A9" s="17" t="str">
        <f>HYPERLINK("#'Input - Feedlot'!A1", "Feedlot")</f>
        <v>Feedlot</v>
      </c>
      <c r="C9" s="24"/>
      <c r="D9" s="1"/>
      <c r="E9" s="1"/>
      <c r="F9" s="1"/>
      <c r="G9" s="26"/>
      <c r="H9" s="24"/>
      <c r="I9" s="1"/>
      <c r="J9" s="1"/>
      <c r="K9" s="24"/>
      <c r="L9" s="24"/>
    </row>
    <row r="10" spans="1:12" ht="20.100000000000001" customHeight="1" x14ac:dyDescent="0.25">
      <c r="A10" s="17"/>
      <c r="C10" s="24"/>
      <c r="D10" s="1"/>
      <c r="E10" s="1"/>
      <c r="F10" s="1"/>
      <c r="G10" s="1"/>
      <c r="H10" s="1"/>
      <c r="I10" s="1"/>
      <c r="J10" s="1"/>
      <c r="K10" s="24"/>
      <c r="L10" s="24"/>
    </row>
    <row r="11" spans="1:12" ht="20.100000000000001" customHeight="1" x14ac:dyDescent="0.25">
      <c r="A11" s="19" t="s">
        <v>58</v>
      </c>
      <c r="C11" s="24"/>
      <c r="D11" s="1"/>
      <c r="E11" s="1"/>
      <c r="F11" s="1"/>
      <c r="G11" s="1"/>
      <c r="H11" s="1"/>
      <c r="I11" s="1"/>
      <c r="J11" s="1"/>
      <c r="K11" s="24"/>
      <c r="L11" s="24"/>
    </row>
    <row r="12" spans="1:12" ht="20.100000000000001" customHeight="1" x14ac:dyDescent="0.25">
      <c r="A12" s="17" t="str">
        <f>HYPERLINK("#'3.1.1.1-2 Enteric Methane'!A1", "3.1.1.1-2 Enteric Methane")</f>
        <v>3.1.1.1-2 Enteric Methane</v>
      </c>
      <c r="C12" s="24"/>
      <c r="D12" s="1"/>
      <c r="E12" s="1"/>
      <c r="F12" s="1"/>
      <c r="G12" s="1"/>
      <c r="H12" s="1"/>
      <c r="I12" s="1"/>
      <c r="J12" s="1"/>
      <c r="K12" s="24"/>
      <c r="L12" s="24"/>
    </row>
    <row r="13" spans="1:12" ht="20.100000000000001" customHeight="1" x14ac:dyDescent="0.25">
      <c r="C13" s="24"/>
      <c r="D13" s="1"/>
      <c r="E13" s="1"/>
      <c r="F13" s="1"/>
      <c r="G13" s="1"/>
      <c r="H13" s="1"/>
      <c r="I13" s="1"/>
      <c r="J13" s="1"/>
      <c r="K13" s="24"/>
      <c r="L13" s="24"/>
    </row>
    <row r="14" spans="1:12" ht="20.100000000000001" customHeight="1" x14ac:dyDescent="0.25">
      <c r="A14" s="18" t="s">
        <v>4</v>
      </c>
      <c r="C14" s="24"/>
      <c r="D14" s="1"/>
      <c r="E14" s="1"/>
      <c r="F14" s="1"/>
      <c r="G14" s="1"/>
      <c r="H14" s="1"/>
      <c r="I14" s="1"/>
      <c r="J14" s="1"/>
      <c r="K14" s="24"/>
      <c r="L14" s="24"/>
    </row>
    <row r="15" spans="1:12" ht="20.100000000000001" customHeight="1" x14ac:dyDescent="0.25">
      <c r="A15" s="17" t="str">
        <f>HYPERLINK("#'Constants - Feedlot'!A1", "Constants - Feedlot")</f>
        <v>Constants - Feedlot</v>
      </c>
      <c r="C15" s="24"/>
      <c r="D15" s="1"/>
      <c r="E15" s="1"/>
      <c r="F15" s="1"/>
      <c r="G15" s="1"/>
      <c r="H15" s="1"/>
      <c r="I15" s="1"/>
      <c r="J15" s="1"/>
      <c r="K15" s="24"/>
      <c r="L15" s="24"/>
    </row>
    <row r="16" spans="1:12" ht="20.100000000000001" customHeight="1" x14ac:dyDescent="0.25">
      <c r="A16" s="17" t="str">
        <f>HYPERLINK("#'Constants - Livestock'!A1", "Constants - Livestock")</f>
        <v>Constants - Livestock</v>
      </c>
      <c r="C16" s="24"/>
      <c r="D16" s="1"/>
      <c r="E16" s="1"/>
      <c r="F16" s="1"/>
      <c r="G16" s="1"/>
      <c r="H16" s="1"/>
      <c r="I16" s="1"/>
      <c r="J16" s="1"/>
      <c r="K16" s="24"/>
      <c r="L16" s="24"/>
    </row>
    <row r="17" spans="1:12" ht="20.100000000000001" customHeight="1" x14ac:dyDescent="0.25">
      <c r="A17" s="17" t="str">
        <f>HYPERLINK("#'Constants - Common'!A1", "Constants - Common")</f>
        <v>Constants - Common</v>
      </c>
      <c r="C17" s="24"/>
      <c r="D17" s="1"/>
      <c r="E17" s="1"/>
      <c r="F17" s="1"/>
      <c r="G17" s="1"/>
      <c r="H17" s="1"/>
      <c r="I17" s="1"/>
      <c r="J17" s="1"/>
      <c r="K17" s="24"/>
      <c r="L17" s="24"/>
    </row>
    <row r="18" spans="1:12" ht="20.100000000000001" customHeight="1" x14ac:dyDescent="0.25">
      <c r="A18" s="17" t="str">
        <f>HYPERLINK("#'Acknowledgements'!A1", "Acknowledgements")</f>
        <v>Acknowledgements</v>
      </c>
      <c r="C18" s="24"/>
      <c r="D18" s="1"/>
      <c r="E18" s="1"/>
      <c r="F18" s="1"/>
      <c r="G18" s="1"/>
      <c r="H18" s="1"/>
      <c r="I18" s="1"/>
      <c r="J18" s="1"/>
      <c r="K18" s="24"/>
      <c r="L18" s="24"/>
    </row>
    <row r="19" spans="1:12" ht="20.100000000000001" customHeight="1" x14ac:dyDescent="0.25">
      <c r="C19" s="24"/>
      <c r="D19" s="1"/>
      <c r="E19" s="1"/>
      <c r="F19" s="1"/>
      <c r="G19" s="1"/>
      <c r="H19" s="1"/>
      <c r="I19" s="1"/>
      <c r="J19" s="1"/>
      <c r="K19" s="24"/>
      <c r="L19" s="24"/>
    </row>
    <row r="20" spans="1:12" ht="20.100000000000001" customHeight="1" x14ac:dyDescent="0.25">
      <c r="C20" s="24"/>
      <c r="D20" s="1"/>
      <c r="E20" s="1"/>
      <c r="F20" s="1"/>
      <c r="G20" s="1"/>
      <c r="H20" s="1"/>
      <c r="I20" s="1"/>
      <c r="J20" s="1"/>
      <c r="K20" s="24"/>
      <c r="L20" s="24"/>
    </row>
    <row r="21" spans="1:12" ht="20.100000000000001" customHeight="1" x14ac:dyDescent="0.25">
      <c r="A21" s="17"/>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97"/>
      <c r="J38" s="97"/>
      <c r="K38" s="97"/>
      <c r="L38" s="24"/>
    </row>
    <row r="39" spans="3:12" ht="20.100000000000001" customHeight="1" x14ac:dyDescent="0.25">
      <c r="C39" s="24"/>
      <c r="D39" s="1"/>
      <c r="E39" s="1"/>
      <c r="F39" s="1"/>
      <c r="G39" s="1"/>
      <c r="H39" s="1"/>
      <c r="I39" s="97"/>
      <c r="J39" s="97"/>
      <c r="K39" s="97"/>
      <c r="L39" s="24"/>
    </row>
    <row r="40" spans="3:12" ht="20.100000000000001" customHeight="1" x14ac:dyDescent="0.25">
      <c r="C40" s="24"/>
      <c r="D40" s="1"/>
      <c r="E40" s="1"/>
      <c r="F40" s="1"/>
      <c r="G40" s="1"/>
      <c r="H40" s="1"/>
      <c r="I40" s="97"/>
      <c r="J40" s="97"/>
      <c r="K40" s="97"/>
      <c r="L40" s="24"/>
    </row>
    <row r="41" spans="3:12" ht="20.100000000000001" customHeight="1" x14ac:dyDescent="0.25">
      <c r="C41" s="24"/>
      <c r="D41" s="1"/>
      <c r="E41" s="1"/>
      <c r="F41" s="1"/>
      <c r="G41" s="1"/>
      <c r="H41" s="1"/>
      <c r="I41" s="97"/>
      <c r="J41" s="97"/>
      <c r="K41" s="97"/>
      <c r="L41" s="24"/>
    </row>
    <row r="42" spans="3:12" ht="20.100000000000001" customHeight="1" x14ac:dyDescent="0.25">
      <c r="C42" s="24"/>
      <c r="D42" s="1"/>
      <c r="E42" s="1"/>
      <c r="F42" s="1"/>
      <c r="G42" s="1"/>
      <c r="H42" s="1"/>
      <c r="I42" s="97"/>
      <c r="J42" s="97"/>
      <c r="K42" s="97"/>
      <c r="L42" s="24"/>
    </row>
    <row r="43" spans="3:12" ht="20.100000000000001" customHeight="1" x14ac:dyDescent="0.25">
      <c r="C43" s="24"/>
      <c r="D43" s="1"/>
      <c r="E43" s="1"/>
      <c r="F43" s="1"/>
      <c r="G43" s="1"/>
      <c r="H43" s="1"/>
      <c r="I43" s="97"/>
      <c r="J43" s="97"/>
      <c r="K43" s="97"/>
      <c r="L43" s="24"/>
    </row>
    <row r="44" spans="3:12" ht="20.100000000000001" customHeight="1" x14ac:dyDescent="0.25">
      <c r="C44" s="24"/>
      <c r="D44" s="1"/>
      <c r="E44" s="1"/>
      <c r="F44" s="1"/>
      <c r="G44" s="1"/>
      <c r="H44" s="1"/>
      <c r="I44" s="97"/>
      <c r="J44" s="97"/>
      <c r="K44" s="97"/>
      <c r="L44" s="24"/>
    </row>
    <row r="45" spans="3:12" ht="20.100000000000001" customHeight="1" x14ac:dyDescent="0.25">
      <c r="C45" s="24"/>
      <c r="D45" s="1"/>
      <c r="E45" s="1"/>
      <c r="F45" s="1"/>
      <c r="G45" s="1"/>
      <c r="H45" s="1"/>
      <c r="I45" s="97"/>
      <c r="J45" s="97"/>
      <c r="K45" s="97"/>
      <c r="L45" s="24"/>
    </row>
    <row r="46" spans="3:12" ht="20.100000000000001" customHeight="1" x14ac:dyDescent="0.25">
      <c r="C46" s="24"/>
      <c r="D46" s="1"/>
      <c r="E46" s="1"/>
      <c r="F46" s="1"/>
      <c r="G46" s="1"/>
      <c r="H46" s="1"/>
      <c r="I46" s="97"/>
      <c r="J46" s="97"/>
      <c r="K46" s="97"/>
      <c r="L46" s="24"/>
    </row>
    <row r="47" spans="3:12" ht="20.100000000000001" customHeight="1" x14ac:dyDescent="0.25">
      <c r="C47" s="24"/>
      <c r="D47" s="1"/>
      <c r="E47" s="1"/>
      <c r="F47" s="1"/>
      <c r="G47" s="1"/>
      <c r="H47" s="1"/>
      <c r="I47" s="97"/>
      <c r="J47" s="97"/>
      <c r="K47" s="97"/>
      <c r="L47" s="24"/>
    </row>
    <row r="48" spans="3:12" ht="20.100000000000001" customHeight="1" x14ac:dyDescent="0.25">
      <c r="C48" s="24"/>
      <c r="D48" s="1"/>
      <c r="E48" s="1"/>
      <c r="F48" s="1"/>
      <c r="G48" s="1"/>
      <c r="H48" s="1"/>
      <c r="I48" s="97"/>
      <c r="J48" s="97"/>
      <c r="K48" s="97"/>
      <c r="L48" s="24"/>
    </row>
    <row r="49" spans="3:12" ht="20.100000000000001" customHeight="1" x14ac:dyDescent="0.25">
      <c r="C49" s="24"/>
      <c r="D49" s="1"/>
      <c r="E49" s="1"/>
      <c r="F49" s="1"/>
      <c r="G49" s="1"/>
      <c r="H49" s="97"/>
      <c r="I49" s="97"/>
      <c r="J49" s="97"/>
      <c r="K49" s="97"/>
      <c r="L49" s="24"/>
    </row>
    <row r="50" spans="3:12" ht="20.100000000000001" customHeight="1" x14ac:dyDescent="0.25">
      <c r="C50" s="24"/>
      <c r="D50" s="1"/>
      <c r="E50" s="1"/>
      <c r="F50" s="1"/>
      <c r="G50" s="1"/>
      <c r="H50" s="97"/>
      <c r="I50" s="97"/>
      <c r="J50" s="97"/>
      <c r="K50" s="97"/>
      <c r="L50" s="24"/>
    </row>
    <row r="51" spans="3:12" ht="20.100000000000001" customHeight="1" x14ac:dyDescent="0.25">
      <c r="C51" s="24"/>
      <c r="D51" s="1"/>
      <c r="E51" s="1"/>
      <c r="F51" s="1"/>
      <c r="G51" s="1"/>
      <c r="H51" s="97"/>
      <c r="I51" s="97"/>
      <c r="J51" s="97"/>
      <c r="K51" s="97"/>
      <c r="L51" s="24"/>
    </row>
    <row r="52" spans="3:12" ht="20.100000000000001" customHeight="1" x14ac:dyDescent="0.25">
      <c r="C52" s="24"/>
      <c r="D52" s="1"/>
      <c r="E52" s="1"/>
      <c r="F52" s="1"/>
      <c r="G52" s="1"/>
      <c r="H52" s="97"/>
      <c r="I52" s="97"/>
      <c r="J52" s="97"/>
      <c r="K52" s="97"/>
      <c r="L52" s="24"/>
    </row>
    <row r="53" spans="3:12" ht="20.100000000000001" customHeight="1" x14ac:dyDescent="0.25">
      <c r="C53" s="24"/>
      <c r="D53" s="1"/>
      <c r="E53" s="1"/>
      <c r="F53" s="1"/>
      <c r="G53" s="1"/>
      <c r="H53" s="97"/>
      <c r="I53" s="97"/>
      <c r="J53" s="97"/>
      <c r="K53" s="97"/>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abSelected="1" zoomScaleNormal="100" workbookViewId="0">
      <selection activeCell="E27" sqref="E27"/>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73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5"/>
      <c r="D4" s="65"/>
      <c r="E4" s="65"/>
      <c r="F4" s="65"/>
      <c r="G4" s="65"/>
      <c r="H4" s="65"/>
      <c r="I4" s="65"/>
      <c r="J4" s="65"/>
      <c r="K4" s="65"/>
    </row>
    <row r="5" spans="1:24" ht="20.100000000000001" customHeight="1" x14ac:dyDescent="0.25">
      <c r="A5" s="17" t="str">
        <f>HYPERLINK("#'Results'!A1", "Results")</f>
        <v>Results</v>
      </c>
      <c r="D5" s="6" t="s">
        <v>9</v>
      </c>
      <c r="N5" s="40"/>
    </row>
    <row r="6" spans="1:24" ht="20.100000000000001" customHeight="1" x14ac:dyDescent="0.25">
      <c r="D6" s="14"/>
      <c r="N6" s="41"/>
    </row>
    <row r="7" spans="1:24" ht="20.100000000000001" customHeight="1" x14ac:dyDescent="0.25">
      <c r="A7" s="20" t="s">
        <v>3</v>
      </c>
      <c r="D7" s="1" t="s">
        <v>7</v>
      </c>
      <c r="E7" s="33" t="s">
        <v>6</v>
      </c>
      <c r="F7" s="2"/>
    </row>
    <row r="8" spans="1:24" ht="20.100000000000001" customHeight="1" x14ac:dyDescent="0.25">
      <c r="A8" s="21" t="str">
        <f>HYPERLINK("#'Input - Site'!A1", "Site")</f>
        <v>Site</v>
      </c>
      <c r="D8" s="10" t="s">
        <v>54</v>
      </c>
      <c r="E8" s="33" t="s">
        <v>55</v>
      </c>
    </row>
    <row r="9" spans="1:24" ht="20.100000000000001" customHeight="1" x14ac:dyDescent="0.25">
      <c r="A9" s="17" t="str">
        <f>HYPERLINK("#'Input - Feedlot'!A1", "Feedlot")</f>
        <v>Feedlot</v>
      </c>
      <c r="N9" s="42"/>
    </row>
    <row r="10" spans="1:24" ht="20.100000000000001" customHeight="1" x14ac:dyDescent="0.25">
      <c r="A10" s="17"/>
      <c r="D10" s="82" t="s">
        <v>72</v>
      </c>
      <c r="E10" s="80"/>
      <c r="F10" s="83"/>
      <c r="G10" s="77"/>
      <c r="N10" s="42"/>
    </row>
    <row r="11" spans="1:24" ht="20.100000000000001" customHeight="1" x14ac:dyDescent="0.25">
      <c r="A11" s="19" t="s">
        <v>58</v>
      </c>
      <c r="N11" s="43"/>
    </row>
    <row r="12" spans="1:24" ht="20.100000000000001" customHeight="1" x14ac:dyDescent="0.25">
      <c r="A12" s="17" t="str">
        <f>HYPERLINK("#'3.1.1.1-2 Enteric Methane'!A1", "3.1.1.1-2 Enteric Methane")</f>
        <v>3.1.1.1-2 Enteric Methane</v>
      </c>
      <c r="D12" s="10" t="s">
        <v>76</v>
      </c>
      <c r="E12" s="59">
        <v>45292</v>
      </c>
      <c r="F12" s="2" t="s">
        <v>53</v>
      </c>
    </row>
    <row r="13" spans="1:24" ht="20.100000000000001" customHeight="1" x14ac:dyDescent="0.25">
      <c r="A13"/>
      <c r="D13" s="10" t="s">
        <v>77</v>
      </c>
      <c r="E13" s="66">
        <f>DATE(YEAR(E12)+1,MONTH(E12),DAY(E12))-1</f>
        <v>45657</v>
      </c>
      <c r="F13" s="2" t="s">
        <v>10</v>
      </c>
      <c r="N13" s="38"/>
      <c r="O13" s="38"/>
    </row>
    <row r="14" spans="1:24" ht="20.100000000000001" customHeight="1" x14ac:dyDescent="0.25">
      <c r="A14" s="18" t="s">
        <v>4</v>
      </c>
      <c r="N14" s="38"/>
      <c r="O14" s="38"/>
    </row>
    <row r="15" spans="1:24" ht="20.100000000000001" customHeight="1" x14ac:dyDescent="0.25">
      <c r="A15" s="17" t="str">
        <f>HYPERLINK("#'Constants - Feedlot'!A1", "Constants - Feedlot")</f>
        <v>Constants - Feedlot</v>
      </c>
      <c r="D15" s="34"/>
      <c r="E15" s="34"/>
      <c r="F15" s="34"/>
      <c r="G15" s="34"/>
      <c r="H15" s="34"/>
      <c r="I15" s="34"/>
      <c r="J15" s="34"/>
      <c r="K15" s="34"/>
      <c r="N15" s="38"/>
      <c r="O15" s="38"/>
    </row>
    <row r="16" spans="1:24" ht="20.100000000000001" customHeight="1" x14ac:dyDescent="0.25">
      <c r="A16" s="17" t="str">
        <f>HYPERLINK("#'Constants - Livestock'!A1", "Constants - Livestock")</f>
        <v>Constants - Livestock</v>
      </c>
      <c r="D16" s="34"/>
      <c r="E16" s="34"/>
      <c r="F16" s="34"/>
      <c r="G16" s="34"/>
      <c r="H16" s="34"/>
      <c r="I16" s="34"/>
      <c r="J16" s="34"/>
      <c r="K16" s="34"/>
      <c r="N16" s="38"/>
      <c r="O16" s="38"/>
    </row>
    <row r="17" spans="1:25" ht="20.100000000000001" customHeight="1" x14ac:dyDescent="0.25">
      <c r="A17" s="17" t="str">
        <f>HYPERLINK("#'Constants - Common'!A1", "Constants - Common")</f>
        <v>Constants - Common</v>
      </c>
      <c r="D17" s="34"/>
      <c r="E17" s="34"/>
      <c r="F17" s="34"/>
      <c r="G17" s="34"/>
      <c r="H17" s="34"/>
      <c r="I17" s="34"/>
      <c r="J17" s="34"/>
      <c r="K17" s="34"/>
    </row>
    <row r="18" spans="1:25" ht="20.100000000000001" customHeight="1" x14ac:dyDescent="0.25">
      <c r="A18" s="17" t="str">
        <f>HYPERLINK("#'Acknowledgements'!A1", "Acknowledgements")</f>
        <v>Acknowledgements</v>
      </c>
      <c r="D18" s="34"/>
      <c r="E18" s="34"/>
      <c r="F18" s="34"/>
      <c r="G18" s="34"/>
      <c r="H18" s="34"/>
      <c r="I18" s="34"/>
      <c r="J18" s="34"/>
      <c r="K18" s="34"/>
    </row>
    <row r="19" spans="1:25" ht="20.100000000000001" customHeight="1" x14ac:dyDescent="0.25">
      <c r="A19"/>
      <c r="D19" s="34"/>
      <c r="E19" s="34"/>
      <c r="F19" s="34"/>
      <c r="G19" s="34"/>
      <c r="H19" s="34"/>
      <c r="I19" s="34"/>
      <c r="J19" s="34"/>
      <c r="K19" s="34"/>
      <c r="N19" s="40"/>
    </row>
    <row r="20" spans="1:25" ht="20.100000000000001" customHeight="1" x14ac:dyDescent="0.25">
      <c r="A20"/>
      <c r="D20" s="34"/>
      <c r="E20" s="34"/>
      <c r="F20" s="34"/>
      <c r="G20" s="34"/>
      <c r="H20" s="34"/>
      <c r="I20" s="34"/>
      <c r="J20" s="34"/>
      <c r="K20" s="34"/>
      <c r="N20" s="41"/>
    </row>
    <row r="21" spans="1:25" ht="20.100000000000001" customHeight="1" x14ac:dyDescent="0.25">
      <c r="A21" s="17"/>
      <c r="D21" s="34"/>
      <c r="E21" s="34"/>
      <c r="F21" s="34"/>
      <c r="G21" s="34"/>
      <c r="H21" s="34"/>
      <c r="I21" s="34"/>
      <c r="J21" s="34"/>
      <c r="K21" s="34"/>
    </row>
    <row r="22" spans="1:25" ht="20.100000000000001" customHeight="1" x14ac:dyDescent="0.25">
      <c r="A22"/>
      <c r="D22" s="34"/>
      <c r="E22" s="34"/>
      <c r="F22" s="34"/>
      <c r="G22" s="34"/>
      <c r="H22" s="34"/>
      <c r="I22" s="34"/>
      <c r="J22" s="34"/>
      <c r="K22" s="34"/>
    </row>
    <row r="23" spans="1:25" ht="20.100000000000001" customHeight="1" x14ac:dyDescent="0.25">
      <c r="A23"/>
      <c r="D23" s="34"/>
      <c r="E23" s="34"/>
      <c r="F23" s="34"/>
      <c r="G23" s="34"/>
      <c r="H23" s="34"/>
      <c r="I23" s="34"/>
      <c r="J23" s="34"/>
      <c r="K23" s="34"/>
    </row>
    <row r="24" spans="1:25" ht="20.100000000000001" customHeight="1" x14ac:dyDescent="0.25">
      <c r="A24"/>
      <c r="D24" s="34"/>
      <c r="E24" s="34"/>
      <c r="F24" s="34"/>
      <c r="G24" s="34"/>
      <c r="H24" s="34"/>
      <c r="I24" s="34"/>
      <c r="J24" s="34"/>
      <c r="K24" s="34"/>
    </row>
    <row r="25" spans="1:25" ht="20.100000000000001" customHeight="1" x14ac:dyDescent="0.25">
      <c r="A25"/>
      <c r="D25" s="34"/>
      <c r="E25" s="34"/>
      <c r="F25" s="34"/>
      <c r="G25" s="34"/>
      <c r="H25" s="34"/>
      <c r="I25" s="34"/>
      <c r="J25" s="34"/>
      <c r="K25" s="34"/>
      <c r="N25" s="41"/>
    </row>
    <row r="26" spans="1:25" ht="20.100000000000001" customHeight="1" x14ac:dyDescent="0.25">
      <c r="A26"/>
      <c r="D26" s="34"/>
      <c r="E26" s="34"/>
      <c r="F26" s="34"/>
      <c r="G26" s="34"/>
      <c r="H26" s="34"/>
      <c r="I26" s="34"/>
      <c r="J26" s="34"/>
      <c r="K26" s="34"/>
    </row>
    <row r="27" spans="1:25" ht="20.100000000000001" customHeight="1" x14ac:dyDescent="0.25">
      <c r="A27"/>
      <c r="D27" s="34"/>
      <c r="E27" s="34"/>
      <c r="F27" s="34"/>
      <c r="G27" s="34"/>
      <c r="H27" s="34"/>
      <c r="I27" s="34"/>
      <c r="J27" s="34"/>
      <c r="K27" s="34"/>
    </row>
    <row r="28" spans="1:25" ht="20.100000000000001" customHeight="1" x14ac:dyDescent="0.25">
      <c r="A28"/>
      <c r="D28" s="34"/>
      <c r="E28" s="34"/>
      <c r="F28" s="34"/>
      <c r="G28" s="34"/>
      <c r="H28" s="34"/>
      <c r="I28" s="34"/>
      <c r="J28" s="34"/>
      <c r="K28" s="34"/>
    </row>
    <row r="29" spans="1:25" ht="20.100000000000001" customHeight="1" x14ac:dyDescent="0.25">
      <c r="A29"/>
      <c r="D29" s="34"/>
      <c r="E29" s="34"/>
      <c r="F29" s="34"/>
      <c r="G29" s="34"/>
      <c r="H29" s="34"/>
      <c r="I29" s="34"/>
      <c r="J29" s="34"/>
      <c r="K29" s="34"/>
    </row>
    <row r="30" spans="1:25" ht="20.100000000000001" customHeight="1" x14ac:dyDescent="0.25">
      <c r="A30"/>
      <c r="D30" s="34"/>
      <c r="E30" s="34"/>
      <c r="F30" s="34"/>
      <c r="G30" s="34"/>
      <c r="H30" s="34"/>
      <c r="I30" s="34"/>
      <c r="J30" s="34"/>
      <c r="K30" s="34"/>
      <c r="L30" s="47"/>
      <c r="M30" s="47"/>
      <c r="N30" s="47"/>
      <c r="O30" s="47"/>
      <c r="P30" s="47"/>
      <c r="Q30" s="47"/>
      <c r="R30" s="47"/>
      <c r="S30" s="47"/>
      <c r="T30" s="47"/>
      <c r="U30" s="47"/>
      <c r="V30" s="47"/>
      <c r="W30" s="47"/>
      <c r="X30" s="47"/>
      <c r="Y30" s="47"/>
    </row>
    <row r="31" spans="1:25" ht="20.100000000000001" customHeight="1" x14ac:dyDescent="0.25">
      <c r="A31"/>
      <c r="D31" s="34"/>
      <c r="E31" s="34"/>
      <c r="F31" s="34"/>
      <c r="G31" s="34"/>
      <c r="H31" s="34"/>
      <c r="I31" s="34"/>
      <c r="J31" s="34"/>
      <c r="K31" s="34"/>
      <c r="L31" s="46"/>
      <c r="M31" s="46"/>
      <c r="N31" s="46"/>
      <c r="O31" s="46"/>
      <c r="P31" s="46"/>
      <c r="Q31" s="46"/>
      <c r="R31" s="46"/>
      <c r="S31" s="46"/>
      <c r="T31" s="46"/>
      <c r="U31" s="46"/>
      <c r="V31" s="46"/>
      <c r="W31" s="46"/>
      <c r="X31" s="46"/>
      <c r="Y31" s="46"/>
    </row>
    <row r="32" spans="1:25" ht="20.100000000000001" customHeight="1" x14ac:dyDescent="0.25">
      <c r="A32"/>
      <c r="D32" s="34"/>
      <c r="E32" s="34"/>
      <c r="F32" s="34"/>
      <c r="G32" s="34"/>
      <c r="H32" s="34"/>
      <c r="I32" s="34"/>
      <c r="J32" s="34"/>
      <c r="K32" s="34"/>
      <c r="L32" s="46"/>
      <c r="M32" s="46"/>
      <c r="N32" s="46"/>
      <c r="O32" s="46"/>
      <c r="P32" s="46"/>
      <c r="Q32" s="46"/>
      <c r="R32" s="46"/>
      <c r="S32" s="46"/>
      <c r="T32" s="46"/>
      <c r="U32" s="46"/>
      <c r="V32" s="46"/>
      <c r="W32" s="46"/>
      <c r="X32" s="46"/>
      <c r="Y32" s="46"/>
    </row>
    <row r="33" spans="1:25" ht="20.100000000000001" customHeight="1" x14ac:dyDescent="0.25">
      <c r="A33"/>
      <c r="D33" s="34"/>
      <c r="E33" s="34"/>
      <c r="F33" s="34"/>
      <c r="G33" s="34"/>
      <c r="H33" s="34"/>
      <c r="I33" s="34"/>
      <c r="J33" s="34"/>
      <c r="K33" s="34"/>
      <c r="L33" s="46"/>
      <c r="M33" s="46"/>
      <c r="N33" s="46"/>
      <c r="O33" s="46"/>
      <c r="P33" s="46"/>
      <c r="Q33" s="46"/>
      <c r="R33" s="46"/>
      <c r="S33" s="46"/>
      <c r="T33" s="46"/>
      <c r="U33" s="46"/>
      <c r="V33" s="46"/>
      <c r="W33" s="46"/>
      <c r="X33" s="46"/>
      <c r="Y33" s="46"/>
    </row>
    <row r="34" spans="1:25" ht="20.100000000000001" customHeight="1" x14ac:dyDescent="0.25">
      <c r="A34"/>
      <c r="D34" s="34"/>
      <c r="E34" s="34"/>
      <c r="F34" s="34"/>
      <c r="G34" s="34"/>
      <c r="H34" s="34"/>
      <c r="I34" s="34"/>
      <c r="J34" s="34"/>
      <c r="K34" s="34"/>
      <c r="L34" s="46"/>
      <c r="M34" s="46"/>
      <c r="N34" s="46"/>
      <c r="O34" s="46"/>
      <c r="P34" s="46"/>
      <c r="Q34" s="46"/>
      <c r="R34" s="46"/>
      <c r="S34" s="46"/>
      <c r="T34" s="46"/>
      <c r="U34" s="46"/>
      <c r="V34" s="46"/>
      <c r="W34" s="46"/>
      <c r="X34" s="46"/>
      <c r="Y34" s="46"/>
    </row>
    <row r="35" spans="1:25" ht="20.100000000000001" customHeight="1" x14ac:dyDescent="0.25">
      <c r="A35"/>
      <c r="D35" s="34"/>
      <c r="E35" s="34"/>
      <c r="F35" s="34"/>
      <c r="G35" s="34"/>
      <c r="H35" s="34"/>
      <c r="I35" s="34"/>
      <c r="J35" s="34"/>
      <c r="K35" s="34"/>
      <c r="L35" s="46"/>
      <c r="M35" s="46"/>
      <c r="N35" s="46"/>
      <c r="O35" s="46"/>
      <c r="P35" s="46"/>
      <c r="Q35" s="46"/>
      <c r="R35" s="46"/>
      <c r="S35" s="46"/>
      <c r="T35" s="46"/>
      <c r="U35" s="46"/>
      <c r="V35" s="46"/>
      <c r="W35" s="46"/>
      <c r="X35" s="46"/>
      <c r="Y35" s="46"/>
    </row>
    <row r="36" spans="1:25" ht="20.100000000000001" customHeight="1" x14ac:dyDescent="0.25">
      <c r="A36"/>
      <c r="D36" s="34"/>
      <c r="E36" s="34"/>
      <c r="F36" s="34"/>
      <c r="G36" s="34"/>
      <c r="H36" s="34"/>
      <c r="I36" s="34"/>
      <c r="J36" s="34"/>
      <c r="K36" s="34"/>
      <c r="L36" s="46"/>
      <c r="M36" s="46"/>
      <c r="N36" s="46"/>
      <c r="O36" s="46"/>
      <c r="P36" s="46"/>
      <c r="Q36" s="46"/>
      <c r="R36" s="46"/>
      <c r="S36" s="46"/>
      <c r="T36" s="46"/>
      <c r="U36" s="46"/>
      <c r="V36" s="46"/>
      <c r="W36" s="46"/>
      <c r="X36" s="46"/>
      <c r="Y36" s="46"/>
    </row>
    <row r="37" spans="1:25" ht="20.100000000000001" customHeight="1" x14ac:dyDescent="0.25">
      <c r="A37"/>
      <c r="D37" s="34"/>
      <c r="E37" s="34"/>
      <c r="F37" s="34"/>
      <c r="G37" s="34"/>
      <c r="H37" s="34"/>
      <c r="I37" s="34"/>
      <c r="J37" s="34"/>
      <c r="K37" s="34"/>
      <c r="L37" s="46"/>
      <c r="M37" s="46"/>
      <c r="N37" s="46"/>
      <c r="O37" s="46"/>
      <c r="P37" s="46"/>
      <c r="Q37" s="46"/>
      <c r="R37" s="46"/>
      <c r="S37" s="46"/>
      <c r="T37" s="46"/>
      <c r="U37" s="46"/>
      <c r="V37" s="46"/>
      <c r="W37" s="46"/>
      <c r="X37" s="46"/>
      <c r="Y37" s="46"/>
    </row>
    <row r="38" spans="1:25" ht="20.100000000000001" customHeight="1" x14ac:dyDescent="0.25">
      <c r="A38"/>
      <c r="D38" s="34"/>
      <c r="E38" s="34"/>
      <c r="F38" s="34"/>
      <c r="G38" s="34"/>
      <c r="H38" s="34"/>
      <c r="I38" s="34"/>
      <c r="J38" s="34"/>
      <c r="K38" s="34"/>
      <c r="L38" s="46"/>
      <c r="M38" s="46"/>
      <c r="N38" s="46"/>
      <c r="O38" s="46"/>
      <c r="P38" s="46"/>
      <c r="Q38" s="46"/>
      <c r="R38" s="46"/>
      <c r="S38" s="46"/>
      <c r="T38" s="46"/>
      <c r="U38" s="46"/>
      <c r="V38" s="46"/>
      <c r="W38" s="46"/>
      <c r="X38" s="46"/>
      <c r="Y38" s="46"/>
    </row>
    <row r="39" spans="1:25" ht="20.100000000000001" customHeight="1" x14ac:dyDescent="0.25">
      <c r="A39"/>
      <c r="D39" s="34"/>
      <c r="E39" s="34"/>
      <c r="F39" s="34"/>
      <c r="G39" s="34"/>
      <c r="H39" s="34"/>
      <c r="I39" s="34"/>
      <c r="J39" s="34"/>
      <c r="K39" s="34"/>
      <c r="L39" s="46"/>
      <c r="M39" s="46"/>
      <c r="N39" s="46"/>
      <c r="O39" s="46"/>
      <c r="P39" s="46"/>
      <c r="Q39" s="46"/>
      <c r="R39" s="46"/>
      <c r="S39" s="46"/>
      <c r="T39" s="46"/>
      <c r="U39" s="46"/>
      <c r="V39" s="46"/>
      <c r="W39" s="46"/>
      <c r="X39" s="46"/>
      <c r="Y39" s="46"/>
    </row>
    <row r="40" spans="1:25" ht="20.100000000000001" customHeight="1" x14ac:dyDescent="0.25">
      <c r="A40"/>
      <c r="D40" s="34"/>
      <c r="E40" s="34"/>
      <c r="F40" s="34"/>
      <c r="G40" s="34"/>
      <c r="H40" s="34"/>
      <c r="I40" s="34"/>
      <c r="J40" s="34"/>
      <c r="K40" s="34"/>
      <c r="L40" s="48"/>
      <c r="M40" s="48"/>
      <c r="N40" s="48"/>
      <c r="O40" s="48"/>
      <c r="P40" s="48"/>
      <c r="Q40" s="48"/>
      <c r="R40" s="48"/>
      <c r="S40" s="48"/>
      <c r="T40" s="48"/>
      <c r="U40" s="48"/>
      <c r="V40" s="48"/>
      <c r="W40" s="48"/>
      <c r="X40" s="48"/>
      <c r="Y40" s="48"/>
    </row>
    <row r="41" spans="1:25" ht="20.100000000000001" customHeight="1" x14ac:dyDescent="0.25">
      <c r="A41"/>
      <c r="D41" s="34"/>
      <c r="E41" s="34"/>
      <c r="F41" s="34"/>
      <c r="G41" s="34"/>
      <c r="H41" s="34"/>
      <c r="I41" s="34"/>
      <c r="J41" s="34"/>
      <c r="K41" s="34"/>
    </row>
    <row r="42" spans="1:25" ht="20.100000000000001" customHeight="1" x14ac:dyDescent="0.25">
      <c r="A42"/>
      <c r="D42" s="34"/>
      <c r="E42" s="34"/>
      <c r="F42" s="34"/>
      <c r="G42" s="34"/>
      <c r="H42" s="34"/>
      <c r="I42" s="34"/>
      <c r="J42" s="34"/>
      <c r="K42" s="34"/>
    </row>
    <row r="43" spans="1:25" ht="20.100000000000001" customHeight="1" x14ac:dyDescent="0.25">
      <c r="A43"/>
      <c r="D43" s="34"/>
      <c r="E43" s="34"/>
      <c r="F43" s="34"/>
      <c r="G43" s="34"/>
      <c r="H43" s="34"/>
      <c r="I43" s="34"/>
      <c r="J43" s="34"/>
      <c r="K43" s="34"/>
    </row>
    <row r="44" spans="1:25" ht="20.100000000000001" customHeight="1" x14ac:dyDescent="0.25">
      <c r="D44" s="34"/>
      <c r="E44" s="34"/>
      <c r="F44" s="34"/>
      <c r="G44" s="34"/>
      <c r="H44" s="34"/>
      <c r="I44" s="34"/>
      <c r="J44" s="34"/>
      <c r="K44" s="34"/>
    </row>
    <row r="45" spans="1:25" ht="20.100000000000001" customHeight="1" x14ac:dyDescent="0.25">
      <c r="D45" s="34"/>
      <c r="E45" s="34"/>
      <c r="F45" s="34"/>
      <c r="G45" s="34"/>
      <c r="H45" s="34"/>
      <c r="I45" s="34"/>
      <c r="J45" s="34"/>
      <c r="K45" s="34"/>
    </row>
    <row r="46" spans="1:25" ht="20.100000000000001" customHeight="1" x14ac:dyDescent="0.25">
      <c r="D46" s="34"/>
      <c r="E46" s="34"/>
      <c r="F46" s="34"/>
      <c r="G46" s="34"/>
      <c r="H46" s="34"/>
      <c r="I46" s="34"/>
      <c r="J46" s="34"/>
      <c r="K46" s="34"/>
    </row>
    <row r="47" spans="1:25" ht="20.100000000000001" customHeight="1" x14ac:dyDescent="0.25">
      <c r="D47" s="34"/>
      <c r="E47" s="34"/>
      <c r="F47" s="34"/>
      <c r="G47" s="34"/>
      <c r="H47" s="34"/>
      <c r="I47" s="34"/>
      <c r="J47" s="34"/>
      <c r="K47" s="34"/>
    </row>
    <row r="48" spans="1:25" ht="20.100000000000001" customHeight="1" x14ac:dyDescent="0.25">
      <c r="D48" s="34"/>
      <c r="E48" s="34"/>
      <c r="F48" s="34"/>
      <c r="G48" s="34"/>
      <c r="H48" s="34"/>
      <c r="I48" s="34"/>
      <c r="J48" s="34"/>
      <c r="K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67"/>
      <c r="E51" s="68"/>
      <c r="F51" s="68"/>
      <c r="G51" s="68"/>
      <c r="H51" s="69"/>
    </row>
    <row r="52" spans="4:8" ht="20.100000000000001" customHeight="1" x14ac:dyDescent="0.25"/>
    <row r="53" spans="4:8" ht="20.100000000000001" customHeight="1" x14ac:dyDescent="0.25"/>
    <row r="54" spans="4:8" ht="20.100000000000001" customHeight="1" x14ac:dyDescent="0.25">
      <c r="G54" s="70"/>
    </row>
    <row r="55" spans="4:8" ht="20.100000000000001" customHeight="1" x14ac:dyDescent="0.25">
      <c r="D55" s="6"/>
    </row>
    <row r="56" spans="4:8" ht="20.100000000000001" customHeight="1" x14ac:dyDescent="0.25"/>
    <row r="57" spans="4:8" ht="20.100000000000001" customHeight="1" x14ac:dyDescent="0.25">
      <c r="D57" s="23"/>
      <c r="F57" s="71"/>
    </row>
    <row r="58" spans="4:8" ht="20.100000000000001" customHeight="1" x14ac:dyDescent="0.25">
      <c r="D58" s="1"/>
      <c r="E58" s="72"/>
    </row>
    <row r="59" spans="4:8" ht="20.100000000000001" customHeight="1" x14ac:dyDescent="0.25">
      <c r="D59" s="1"/>
      <c r="E59" s="72"/>
    </row>
    <row r="60" spans="4:8" ht="20.100000000000001" customHeight="1" x14ac:dyDescent="0.25">
      <c r="D60" s="1"/>
      <c r="E60" s="73"/>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72"/>
    </row>
    <row r="65" spans="4:9" ht="20.100000000000001" customHeight="1" x14ac:dyDescent="0.25">
      <c r="D65" s="1"/>
      <c r="E65" s="72"/>
    </row>
    <row r="66" spans="4:9" ht="20.100000000000001" customHeight="1" x14ac:dyDescent="0.25">
      <c r="D66" s="1"/>
      <c r="E66" s="73"/>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4"/>
    </row>
    <row r="79" spans="4:9" ht="20.100000000000001" customHeight="1" x14ac:dyDescent="0.25">
      <c r="D79" s="74"/>
    </row>
    <row r="80" spans="4:9" ht="20.100000000000001" customHeight="1" x14ac:dyDescent="0.25">
      <c r="D80" s="74"/>
    </row>
    <row r="81" spans="4:4" ht="20.100000000000001" customHeight="1" x14ac:dyDescent="0.25">
      <c r="D81" s="74"/>
    </row>
    <row r="82" spans="4:4" ht="20.100000000000001" customHeight="1" x14ac:dyDescent="0.25">
      <c r="D82" s="74"/>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G21" sqref="G21"/>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4" customWidth="1"/>
    <col min="15" max="20" width="30.7109375" style="54" customWidth="1"/>
    <col min="21" max="21" width="4.7109375" style="54" customWidth="1"/>
  </cols>
  <sheetData>
    <row r="1" spans="1:21" s="63" customFormat="1" ht="30" customHeight="1" x14ac:dyDescent="0.35">
      <c r="A1" s="63" t="e" vm="1">
        <v>#VALUE!</v>
      </c>
      <c r="C1" s="63" t="s">
        <v>181</v>
      </c>
      <c r="N1" s="54"/>
      <c r="O1" s="54"/>
      <c r="P1" s="54"/>
      <c r="Q1" s="54"/>
      <c r="R1" s="54"/>
      <c r="S1" s="54"/>
      <c r="T1" s="54"/>
      <c r="U1" s="54"/>
    </row>
    <row r="2" spans="1:21" s="9" customFormat="1" ht="20.100000000000001" customHeight="1" x14ac:dyDescent="0.25">
      <c r="N2" s="54"/>
      <c r="O2" s="54"/>
      <c r="P2" s="54"/>
      <c r="Q2" s="54"/>
      <c r="R2" s="54"/>
      <c r="S2" s="54"/>
      <c r="T2" s="54"/>
      <c r="U2" s="54"/>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84</v>
      </c>
    </row>
    <row r="6" spans="1:21" ht="20.100000000000001" customHeight="1" x14ac:dyDescent="0.25">
      <c r="A6" s="16"/>
    </row>
    <row r="7" spans="1:21" ht="20.100000000000001" customHeight="1" x14ac:dyDescent="0.25">
      <c r="A7" s="20" t="s">
        <v>3</v>
      </c>
      <c r="D7" s="58"/>
      <c r="E7" s="39" t="s">
        <v>96</v>
      </c>
      <c r="F7" s="39" t="s">
        <v>97</v>
      </c>
      <c r="G7" s="39" t="s">
        <v>98</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24 and 31 Dec 24</v>
      </c>
      <c r="E8" s="87">
        <v>4300</v>
      </c>
      <c r="F8" s="87">
        <v>100</v>
      </c>
      <c r="G8" s="87">
        <v>100</v>
      </c>
      <c r="H8" s="2" t="s">
        <v>86</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24 and 31 Dec 24</v>
      </c>
      <c r="E9" s="87">
        <v>90</v>
      </c>
      <c r="F9" s="87">
        <v>140</v>
      </c>
      <c r="G9" s="87">
        <v>250</v>
      </c>
      <c r="H9" s="2" t="s">
        <v>143</v>
      </c>
      <c r="I9" s="2"/>
      <c r="J9" s="2"/>
      <c r="K9" s="2"/>
    </row>
    <row r="10" spans="1:21" ht="20.100000000000001" customHeight="1" x14ac:dyDescent="0.25">
      <c r="A10" s="17"/>
    </row>
    <row r="11" spans="1:21" ht="20.100000000000001" customHeight="1" x14ac:dyDescent="0.25">
      <c r="A11" s="19" t="s">
        <v>58</v>
      </c>
      <c r="D11" s="6" t="s">
        <v>79</v>
      </c>
    </row>
    <row r="12" spans="1:21" ht="20.100000000000001" customHeight="1" x14ac:dyDescent="0.25">
      <c r="A12" s="17" t="str">
        <f>HYPERLINK("#'3.1.1.1-2 Enteric Methane'!A1", "3.1.1.1-2 Enteric Methane")</f>
        <v>3.1.1.1-2 Enteric Methane</v>
      </c>
    </row>
    <row r="13" spans="1:21" ht="20.100000000000001" customHeight="1" x14ac:dyDescent="0.25">
      <c r="D13" s="58" t="s">
        <v>130</v>
      </c>
      <c r="E13" s="39" t="s">
        <v>96</v>
      </c>
      <c r="F13" s="39" t="s">
        <v>97</v>
      </c>
      <c r="G13" s="39" t="s">
        <v>98</v>
      </c>
    </row>
    <row r="14" spans="1:21" ht="20.100000000000001" customHeight="1" x14ac:dyDescent="0.25">
      <c r="A14" s="18" t="s">
        <v>4</v>
      </c>
      <c r="D14" s="1" t="s">
        <v>102</v>
      </c>
      <c r="E14" s="50" cm="1">
        <f t="array" ref="E14">_xlfn.XLOOKUP(1, (Table_SourceData_Feedlot_AnimalCharacteristics[Feedlot type] = E$13) * (Table_SourceData_Feedlot_AnimalCharacteristics[Characteristic] = $D$14), Table_SourceData_Feedlot_AnimalCharacteristics[2020-2023], "Not Found")</f>
        <v>10.4</v>
      </c>
      <c r="F14" s="50" cm="1">
        <f t="array" ref="F14">_xlfn.XLOOKUP(1, (Table_SourceData_Feedlot_AnimalCharacteristics[Feedlot type] = F$13) * (Table_SourceData_Feedlot_AnimalCharacteristics[Characteristic] = $D$14), Table_SourceData_Feedlot_AnimalCharacteristics[2020-2023], "Not Found")</f>
        <v>10.8</v>
      </c>
      <c r="G14" s="50" cm="1">
        <f t="array" ref="G14">_xlfn.XLOOKUP(1, (Table_SourceData_Feedlot_AnimalCharacteristics[Feedlot type] = G$13) * (Table_SourceData_Feedlot_AnimalCharacteristics[Characteristic] = $D$14), Table_SourceData_Feedlot_AnimalCharacteristics[2020-2023], "Not Found")</f>
        <v>8.1999999999999993</v>
      </c>
      <c r="H14" s="2" t="s">
        <v>81</v>
      </c>
      <c r="I14" s="2"/>
      <c r="J14" s="2"/>
      <c r="K14" s="2"/>
    </row>
    <row r="15" spans="1:21" ht="20.100000000000001" customHeight="1" x14ac:dyDescent="0.25">
      <c r="A15" s="17" t="str">
        <f>HYPERLINK("#'Constants - Feedlot'!A1", "Constants - Feedlot")</f>
        <v>Constants - Feedlot</v>
      </c>
      <c r="D15" s="1" t="s">
        <v>161</v>
      </c>
      <c r="E15" s="50" cm="1">
        <f t="array" ref="E15">_xlfn.XLOOKUP(1, (Table_SourceData_Feedlot_DietProperties[Feedlot type] = E$13) * (Table_SourceData_Feedlot_DietProperties[Nutrient analysis] = $D$15), Table_SourceData_Feedlot_DietProperties[2020-2023 Converted to fraction], "Not Found")</f>
        <v>4.8</v>
      </c>
      <c r="F15" s="50" cm="1">
        <f t="array" ref="F15">_xlfn.XLOOKUP(1, (Table_SourceData_Feedlot_DietProperties[Feedlot type] = F$13) * (Table_SourceData_Feedlot_DietProperties[Nutrient analysis] = $D$15), Table_SourceData_Feedlot_DietProperties[2020-2023 Converted to fraction], "Not Found")</f>
        <v>5</v>
      </c>
      <c r="G15" s="50" cm="1">
        <f t="array" ref="G15">_xlfn.XLOOKUP(1, (Table_SourceData_Feedlot_DietProperties[Feedlot type] = G$13) * (Table_SourceData_Feedlot_DietProperties[Nutrient analysis] = $D$15), Table_SourceData_Feedlot_DietProperties[2020-2023 Converted to fraction], "Not Found")</f>
        <v>5.5</v>
      </c>
      <c r="H15" s="2" t="s">
        <v>144</v>
      </c>
      <c r="I15" s="2"/>
      <c r="J15" s="2"/>
      <c r="K15" s="2"/>
    </row>
    <row r="16" spans="1:21" ht="20.100000000000001" customHeight="1" x14ac:dyDescent="0.25">
      <c r="A16" s="17" t="str">
        <f>HYPERLINK("#'Constants - Livestock'!A1", "Constants - Livestock")</f>
        <v>Constants - Livestock</v>
      </c>
      <c r="D16" s="1" t="s">
        <v>162</v>
      </c>
      <c r="E16" s="50" cm="1">
        <f t="array" ref="E16">_xlfn.XLOOKUP(1, (Table_SourceData_Feedlot_DietProperties[Feedlot type] = E$13) * (Table_SourceData_Feedlot_DietProperties[Nutrient analysis] = $D$16), Table_SourceData_Feedlot_DietProperties[2020-2023 Converted to fraction], "Not Found")</f>
        <v>22</v>
      </c>
      <c r="F16" s="50" cm="1">
        <f t="array" ref="F16">_xlfn.XLOOKUP(1, (Table_SourceData_Feedlot_DietProperties[Feedlot type] = F$13) * (Table_SourceData_Feedlot_DietProperties[Nutrient analysis] = $D$16), Table_SourceData_Feedlot_DietProperties[2020-2023 Converted to fraction], "Not Found")</f>
        <v>22</v>
      </c>
      <c r="G16" s="50" cm="1">
        <f t="array" ref="G16">_xlfn.XLOOKUP(1, (Table_SourceData_Feedlot_DietProperties[Feedlot type] = G$13) * (Table_SourceData_Feedlot_DietProperties[Nutrient analysis] = $D$16), Table_SourceData_Feedlot_DietProperties[2020-2023 Converted to fraction], "Not Found")</f>
        <v>24</v>
      </c>
      <c r="H16" s="2" t="s">
        <v>144</v>
      </c>
      <c r="I16" s="2"/>
      <c r="J16" s="2"/>
      <c r="K16" s="2"/>
    </row>
    <row r="17" spans="1:11" ht="20.100000000000001" customHeight="1" x14ac:dyDescent="0.25">
      <c r="A17" s="17" t="str">
        <f>HYPERLINK("#'Constants - Common'!A1", "Constants - Common")</f>
        <v>Constants - Common</v>
      </c>
      <c r="J17" s="2"/>
      <c r="K17" s="2"/>
    </row>
    <row r="18" spans="1:11" ht="20.100000000000001" customHeight="1" x14ac:dyDescent="0.25">
      <c r="A18" s="17" t="str">
        <f>HYPERLINK("#'Acknowledgements'!A1", "Acknowledgements")</f>
        <v>Acknowledgements</v>
      </c>
      <c r="D18" s="58" t="s">
        <v>131</v>
      </c>
      <c r="E18" s="39" t="s">
        <v>96</v>
      </c>
      <c r="F18" s="39" t="s">
        <v>97</v>
      </c>
      <c r="G18" s="39" t="s">
        <v>98</v>
      </c>
    </row>
    <row r="19" spans="1:11" ht="20.100000000000001" customHeight="1" x14ac:dyDescent="0.25">
      <c r="D19" s="1" t="s">
        <v>102</v>
      </c>
      <c r="E19" s="61" cm="1">
        <f t="array" ref="E19">_xlfn.XLOOKUP(1, (Table_SourceData_Feedlot_AnimalCharacteristics[Feedlot type] = E$18) * (Table_SourceData_Feedlot_AnimalCharacteristics[Characteristic] = $D$19), Table_SourceData_Feedlot_AnimalCharacteristics[2020-2023], "Not Found")</f>
        <v>10.4</v>
      </c>
      <c r="F19" s="61" cm="1">
        <f t="array" ref="F19">_xlfn.XLOOKUP(1, (Table_SourceData_Feedlot_AnimalCharacteristics[Feedlot type] = F$18) * (Table_SourceData_Feedlot_AnimalCharacteristics[Characteristic] = $D$19), Table_SourceData_Feedlot_AnimalCharacteristics[2020-2023], "Not Found")</f>
        <v>10.8</v>
      </c>
      <c r="G19" s="61" cm="1">
        <f t="array" ref="G19">_xlfn.XLOOKUP(1, (Table_SourceData_Feedlot_AnimalCharacteristics[Feedlot type] = G$18) * (Table_SourceData_Feedlot_AnimalCharacteristics[Characteristic] = $D$19), Table_SourceData_Feedlot_AnimalCharacteristics[2020-2023], "Not Found")</f>
        <v>8.1999999999999993</v>
      </c>
      <c r="H19" s="2" t="s">
        <v>81</v>
      </c>
      <c r="I19" s="2"/>
    </row>
    <row r="20" spans="1:11" ht="20.100000000000001" customHeight="1" x14ac:dyDescent="0.25">
      <c r="D20" s="1" t="s">
        <v>161</v>
      </c>
      <c r="E20" s="61" cm="1">
        <f t="array" ref="E20">_xlfn.XLOOKUP(1, (Table_SourceData_Feedlot_DietProperties[Feedlot type] = E$18) * (Table_SourceData_Feedlot_DietProperties[Nutrient analysis] = $D$20), Table_SourceData_Feedlot_DietProperties[2020-2023 Converted to fraction], "Not Found")</f>
        <v>4.8</v>
      </c>
      <c r="F20" s="61" cm="1">
        <f t="array" ref="F20">_xlfn.XLOOKUP(1, (Table_SourceData_Feedlot_DietProperties[Feedlot type] = F$18) * (Table_SourceData_Feedlot_DietProperties[Nutrient analysis] = $D$20), Table_SourceData_Feedlot_DietProperties[2020-2023 Converted to fraction], "Not Found")</f>
        <v>5</v>
      </c>
      <c r="G20" s="61" cm="1">
        <f t="array" ref="G20">_xlfn.XLOOKUP(1, (Table_SourceData_Feedlot_DietProperties[Feedlot type] = G$18) * (Table_SourceData_Feedlot_DietProperties[Nutrient analysis] = $D$20), Table_SourceData_Feedlot_DietProperties[2020-2023 Converted to fraction], "Not Found")</f>
        <v>5.5</v>
      </c>
      <c r="H20" s="2" t="s">
        <v>144</v>
      </c>
      <c r="I20" s="2"/>
      <c r="J20" s="2"/>
      <c r="K20" s="2"/>
    </row>
    <row r="21" spans="1:11" ht="20.100000000000001" customHeight="1" x14ac:dyDescent="0.25">
      <c r="A21" s="17"/>
      <c r="D21" s="1" t="s">
        <v>162</v>
      </c>
      <c r="E21" s="61" cm="1">
        <f t="array" ref="E21">_xlfn.XLOOKUP(1, (Table_SourceData_Feedlot_DietProperties[Feedlot type] = E$18) * (Table_SourceData_Feedlot_DietProperties[Nutrient analysis] = $D$21), Table_SourceData_Feedlot_DietProperties[2020-2023 Converted to fraction], "Not Found")</f>
        <v>22</v>
      </c>
      <c r="F21" s="61" cm="1">
        <f t="array" ref="F21">_xlfn.XLOOKUP(1, (Table_SourceData_Feedlot_DietProperties[Feedlot type] = F$18) * (Table_SourceData_Feedlot_DietProperties[Nutrient analysis] = $D$21), Table_SourceData_Feedlot_DietProperties[2020-2023 Converted to fraction], "Not Found")</f>
        <v>22</v>
      </c>
      <c r="G21" s="61" cm="1">
        <f t="array" ref="G21">_xlfn.XLOOKUP(1, (Table_SourceData_Feedlot_DietProperties[Feedlot type] = G$18) * (Table_SourceData_Feedlot_DietProperties[Nutrient analysis] = $D$21), Table_SourceData_Feedlot_DietProperties[2020-2023 Converted to fraction], "Not Found")</f>
        <v>24</v>
      </c>
      <c r="H21" s="2" t="s">
        <v>144</v>
      </c>
      <c r="I21" s="2"/>
      <c r="J21" s="2"/>
      <c r="K21" s="2"/>
    </row>
    <row r="22" spans="1:11" ht="20.100000000000001" customHeight="1" x14ac:dyDescent="0.25">
      <c r="J22" s="2"/>
      <c r="K22" s="2"/>
    </row>
    <row r="23" spans="1:11" ht="20.100000000000001" customHeight="1" x14ac:dyDescent="0.25">
      <c r="J23" s="2"/>
      <c r="K23" s="2"/>
    </row>
    <row r="24" spans="1:11" ht="20.100000000000001" customHeight="1" x14ac:dyDescent="0.25"/>
    <row r="25" spans="1:11" ht="20.100000000000001" customHeight="1" x14ac:dyDescent="0.25">
      <c r="A25" s="17"/>
      <c r="D25" s="6"/>
    </row>
    <row r="26" spans="1:11" ht="20.100000000000001" customHeight="1" x14ac:dyDescent="0.25">
      <c r="A26" s="17"/>
    </row>
    <row r="27" spans="1:11" ht="20.100000000000001" customHeight="1" x14ac:dyDescent="0.25">
      <c r="A27" s="17"/>
    </row>
    <row r="28" spans="1:11" ht="20.100000000000001" customHeight="1" x14ac:dyDescent="0.25">
      <c r="A28" s="17"/>
    </row>
    <row r="29" spans="1:11" ht="20.100000000000001" customHeight="1" x14ac:dyDescent="0.25">
      <c r="A29" s="17"/>
    </row>
    <row r="30" spans="1:11" ht="20.100000000000001" customHeight="1" x14ac:dyDescent="0.25">
      <c r="A30" s="17"/>
    </row>
    <row r="31" spans="1:11" ht="20.100000000000001" customHeight="1" x14ac:dyDescent="0.25">
      <c r="A31" s="62"/>
    </row>
    <row r="32" spans="1:11" ht="20.100000000000001" customHeight="1" x14ac:dyDescent="0.25">
      <c r="A32" s="62"/>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row r="39" spans="1:11" ht="20.100000000000001" customHeight="1" x14ac:dyDescent="0.25">
      <c r="A39" s="17"/>
    </row>
    <row r="40" spans="1:11" ht="20.100000000000001" customHeight="1" x14ac:dyDescent="0.25"/>
    <row r="41" spans="1:11" ht="20.100000000000001" customHeight="1" x14ac:dyDescent="0.25">
      <c r="A41" s="44"/>
    </row>
    <row r="42" spans="1:11" ht="20.100000000000001" customHeight="1" x14ac:dyDescent="0.25"/>
    <row r="43" spans="1:11" ht="20.100000000000001" customHeight="1" x14ac:dyDescent="0.25"/>
    <row r="44" spans="1:11" ht="20.100000000000001" customHeight="1" x14ac:dyDescent="0.25"/>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94"/>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zoomScaleNormal="100" workbookViewId="0">
      <selection activeCell="G20" sqref="G20"/>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180</v>
      </c>
      <c r="K1"/>
    </row>
    <row r="2" spans="1:19" s="9" customFormat="1" ht="20.100000000000001" customHeight="1" x14ac:dyDescent="0.25">
      <c r="K2"/>
    </row>
    <row r="3" spans="1:19" ht="20.100000000000001" customHeight="1" x14ac:dyDescent="0.25">
      <c r="A3" s="17" t="str">
        <f>HYPERLINK("#'Home'!A1", "Home")</f>
        <v>Home</v>
      </c>
      <c r="C3" s="4"/>
      <c r="D3" s="4" t="s">
        <v>108</v>
      </c>
      <c r="E3" s="4"/>
      <c r="F3" s="4"/>
      <c r="G3" s="4"/>
      <c r="H3" s="4"/>
      <c r="I3" s="4"/>
      <c r="J3" s="4"/>
      <c r="L3" s="4"/>
      <c r="M3" s="4" t="s">
        <v>109</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EntericMethane_Feedlot_Equations.VEERG_3_1_1_1__2_DailyEntericMethaneProduction_Title()</f>
        <v>Daily production of enteric methane</v>
      </c>
    </row>
    <row r="6" spans="1:19" ht="20.100000000000001" customHeight="1" x14ac:dyDescent="0.25">
      <c r="A6" s="16"/>
      <c r="D6" s="5" t="str" cm="1">
        <f t="array" ref="D6">EntericMethane_Feedlot_Equations.VEERG_3_1_1_1__2_DailyEntericMethaneProduction_Source()</f>
        <v>VEERG 2026: 3.1.1.1, Equation (2)</v>
      </c>
    </row>
    <row r="7" spans="1:19" ht="20.100000000000001" customHeight="1" x14ac:dyDescent="0.25">
      <c r="A7" s="20" t="s">
        <v>3</v>
      </c>
      <c r="D7" s="13" t="s">
        <v>17</v>
      </c>
      <c r="E7" s="13" t="str" cm="1">
        <f t="array" aca="1" ref="E7" ca="1">Common_InputFunctions.Utility_DisplayFunctionName(D35)</f>
        <v>=EntericMethane_Feedlot_Equations.VEERG_3_1_1_1__2_DailyEntericMethaneProduction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1" t="s">
        <v>20</v>
      </c>
      <c r="E10" s="1" t="str" cm="1">
        <f t="array" ref="E10">EntericMethane_Feedlot_Equations.VEERG_3_1_1_1__2_DailyEntericMethaneProduction_Variable()</f>
        <v>M_j</v>
      </c>
    </row>
    <row r="11" spans="1:19" ht="20.100000000000001" customHeight="1" x14ac:dyDescent="0.25">
      <c r="A11" s="19" t="s">
        <v>58</v>
      </c>
      <c r="D11" s="51" t="s">
        <v>11</v>
      </c>
      <c r="E11" s="52" t="str" cm="1">
        <f t="array" ref="E11">EntericMethane_Feedlot_Equations.VEERG_3_1_1_1__2_DailyEntericMethaneProduction_Unit()</f>
        <v>kg CH4/head/day</v>
      </c>
    </row>
    <row r="12" spans="1:19" ht="20.100000000000001" customHeight="1" x14ac:dyDescent="0.25">
      <c r="A12" s="22" t="str">
        <f>HYPERLINK("#'3.1.1.1-2 Enteric Methane'!A1", "3.1.1.1-2 Enteric Methane")</f>
        <v>3.1.1.1-2 Enteric Methane</v>
      </c>
    </row>
    <row r="13" spans="1:19" ht="20.100000000000001" customHeight="1" x14ac:dyDescent="0.25">
      <c r="D13" s="105" t="str" cm="1">
        <f t="array" ref="D13:E15">_xlfn.CHOOSECOLS(EntericMethane_Feedlot_Equations.VEERG_3_1_1_1__2_DailyEntericMethaneProduction_Arguments(),1,2)</f>
        <v>I_j</v>
      </c>
      <c r="E13" s="108" t="str">
        <v>dry matter intake</v>
      </c>
      <c r="F13" s="107"/>
      <c r="G13" s="105" t="str" cm="1">
        <f t="array" ref="G13:H15">_xlfn.CHOOSECOLS(EntericMethane_Feedlot_Equations.VEERG_3_1_1_1__2_DailyEntericMethaneProduction_Arguments(),3,4)</f>
        <v>kg DM/head/day</v>
      </c>
      <c r="H13" s="103" t="str">
        <v>Input</v>
      </c>
      <c r="I13" s="106" t="str" cm="1">
        <f t="array" aca="1" ref="I13" ca="1">HYPERLINK(Common_InputFunctions.Utility_SourceHyperlink($D$17),$D$17)</f>
        <v>M1_Table_I_j</v>
      </c>
    </row>
    <row r="14" spans="1:19" ht="20.100000000000001" customHeight="1" x14ac:dyDescent="0.25">
      <c r="A14" s="18" t="s">
        <v>4</v>
      </c>
      <c r="D14" s="105" t="str">
        <v>EE_j</v>
      </c>
      <c r="E14" s="108" t="str">
        <v>ether extract as a percentage of I_j</v>
      </c>
      <c r="F14" s="107"/>
      <c r="G14" s="105" t="str">
        <v>per cent</v>
      </c>
      <c r="H14" s="103" t="str">
        <v>Input</v>
      </c>
      <c r="I14" s="106" t="str" cm="1">
        <f t="array" aca="1" ref="I14" ca="1">HYPERLINK(Common_InputFunctions.Utility_SourceHyperlink($D$22),$D$22)</f>
        <v>M1_Table_EE_j</v>
      </c>
    </row>
    <row r="15" spans="1:19" ht="20.100000000000001" customHeight="1" x14ac:dyDescent="0.25">
      <c r="A15" s="17" t="str">
        <f>HYPERLINK("#'Constants - Feedlot'!A1", "Constants - Feedlot")</f>
        <v>Constants - Feedlot</v>
      </c>
      <c r="D15" s="105" t="str">
        <v>NDF_j</v>
      </c>
      <c r="E15" s="108" t="str">
        <v>neutral detergent fibre as a percentage of I_j</v>
      </c>
      <c r="F15" s="107"/>
      <c r="G15" s="105" t="str">
        <v>per cent</v>
      </c>
      <c r="H15" s="103" t="str">
        <v>Input</v>
      </c>
      <c r="I15" s="106" t="str" cm="1">
        <f t="array" aca="1" ref="I15" ca="1">HYPERLINK(Common_InputFunctions.Utility_SourceHyperlink($D$27),$D$27)</f>
        <v>M1_Table_NDF_j</v>
      </c>
    </row>
    <row r="16" spans="1:19" ht="20.100000000000001" customHeight="1" x14ac:dyDescent="0.25">
      <c r="A16" s="17" t="str">
        <f>HYPERLINK("#'Constants - Livestock'!A1", "Constants - Livestock")</f>
        <v>Constants - Livestock</v>
      </c>
    </row>
    <row r="17" spans="1:16" ht="20.100000000000001" customHeight="1" x14ac:dyDescent="0.25">
      <c r="A17" s="17" t="str">
        <f>HYPERLINK("#'Constants - Common'!A1", "Constants - Common")</f>
        <v>Constants - Common</v>
      </c>
      <c r="D17" s="86" t="s">
        <v>106</v>
      </c>
      <c r="M17" s="86" t="s">
        <v>107</v>
      </c>
    </row>
    <row r="18" spans="1:16" ht="20.100000000000001" customHeight="1" x14ac:dyDescent="0.25">
      <c r="A18" s="17" t="str">
        <f>HYPERLINK("#'Acknowledgements'!A1", "Acknowledgements")</f>
        <v>Acknowledgements</v>
      </c>
      <c r="D18" s="85" t="s">
        <v>110</v>
      </c>
      <c r="M18" s="85" t="s">
        <v>111</v>
      </c>
    </row>
    <row r="19" spans="1:16" ht="20.100000000000001" customHeight="1" x14ac:dyDescent="0.25">
      <c r="D19" s="39" t="s">
        <v>96</v>
      </c>
      <c r="E19" s="39" t="s">
        <v>97</v>
      </c>
      <c r="F19" s="39" t="s">
        <v>98</v>
      </c>
      <c r="M19" s="39" t="s">
        <v>96</v>
      </c>
      <c r="N19" s="39" t="s">
        <v>97</v>
      </c>
      <c r="O19" s="39" t="s">
        <v>98</v>
      </c>
    </row>
    <row r="20" spans="1:16" ht="20.100000000000001" customHeight="1" x14ac:dyDescent="0.25">
      <c r="D20" s="50">
        <f>'Input - Feedlot'!$E$14</f>
        <v>10.4</v>
      </c>
      <c r="E20" s="50">
        <f>'Input - Feedlot'!$F$14</f>
        <v>10.8</v>
      </c>
      <c r="F20" s="50">
        <f>'Input - Feedlot'!$G$14</f>
        <v>8.1999999999999993</v>
      </c>
      <c r="G20" s="2" t="str">
        <f>$G$13</f>
        <v>kg DM/head/day</v>
      </c>
      <c r="M20" s="50">
        <f>'Input - Feedlot'!$E$19</f>
        <v>10.4</v>
      </c>
      <c r="N20" s="50">
        <f>'Input - Feedlot'!$F$19</f>
        <v>10.8</v>
      </c>
      <c r="O20" s="50">
        <f>'Input - Feedlot'!$G$19</f>
        <v>8.1999999999999993</v>
      </c>
      <c r="P20" s="2" t="str">
        <f>$G$13</f>
        <v>kg DM/head/day</v>
      </c>
    </row>
    <row r="21" spans="1:16" ht="20.100000000000001" customHeight="1" x14ac:dyDescent="0.25">
      <c r="A21" s="17"/>
    </row>
    <row r="22" spans="1:16" ht="20.100000000000001" customHeight="1" x14ac:dyDescent="0.25">
      <c r="D22" s="86" t="s">
        <v>163</v>
      </c>
      <c r="M22" s="86" t="s">
        <v>171</v>
      </c>
    </row>
    <row r="23" spans="1:16" ht="20.100000000000001" customHeight="1" x14ac:dyDescent="0.25">
      <c r="D23" s="85" t="s">
        <v>164</v>
      </c>
      <c r="M23" s="85" t="s">
        <v>172</v>
      </c>
    </row>
    <row r="24" spans="1:16" ht="20.100000000000001" customHeight="1" x14ac:dyDescent="0.25">
      <c r="D24" s="39" t="s">
        <v>96</v>
      </c>
      <c r="E24" s="39" t="s">
        <v>97</v>
      </c>
      <c r="F24" s="39" t="s">
        <v>98</v>
      </c>
      <c r="M24" s="39" t="s">
        <v>96</v>
      </c>
      <c r="N24" s="39" t="s">
        <v>97</v>
      </c>
      <c r="O24" s="39" t="s">
        <v>98</v>
      </c>
    </row>
    <row r="25" spans="1:16" ht="20.100000000000001" customHeight="1" x14ac:dyDescent="0.25">
      <c r="A25" s="17"/>
      <c r="D25" s="50">
        <f>'Input - Feedlot'!$E$15</f>
        <v>4.8</v>
      </c>
      <c r="E25" s="50">
        <f>'Input - Feedlot'!$F$15</f>
        <v>5</v>
      </c>
      <c r="F25" s="50">
        <f>'Input - Feedlot'!$G$15</f>
        <v>5.5</v>
      </c>
      <c r="G25" s="2" t="str">
        <f>$G$14</f>
        <v>per cent</v>
      </c>
      <c r="M25" s="50">
        <f>'Input - Feedlot'!$E$20</f>
        <v>4.8</v>
      </c>
      <c r="N25" s="50">
        <f>'Input - Feedlot'!$F$20</f>
        <v>5</v>
      </c>
      <c r="O25" s="50">
        <f>'Input - Feedlot'!$G$20</f>
        <v>5.5</v>
      </c>
      <c r="P25" s="2" t="str">
        <f>$G$14</f>
        <v>per cent</v>
      </c>
    </row>
    <row r="26" spans="1:16" ht="20.100000000000001" customHeight="1" x14ac:dyDescent="0.25"/>
    <row r="27" spans="1:16" ht="20.100000000000001" customHeight="1" x14ac:dyDescent="0.25">
      <c r="D27" s="86" t="s">
        <v>165</v>
      </c>
      <c r="M27" s="86" t="s">
        <v>173</v>
      </c>
    </row>
    <row r="28" spans="1:16" ht="20.100000000000001" customHeight="1" x14ac:dyDescent="0.25">
      <c r="D28" s="85" t="s">
        <v>166</v>
      </c>
      <c r="M28" s="85" t="s">
        <v>174</v>
      </c>
    </row>
    <row r="29" spans="1:16" ht="20.100000000000001" customHeight="1" x14ac:dyDescent="0.25">
      <c r="D29" s="39" t="s">
        <v>96</v>
      </c>
      <c r="E29" s="39" t="s">
        <v>97</v>
      </c>
      <c r="F29" s="39" t="s">
        <v>98</v>
      </c>
      <c r="M29" s="39" t="s">
        <v>96</v>
      </c>
      <c r="N29" s="39" t="s">
        <v>97</v>
      </c>
      <c r="O29" s="39" t="s">
        <v>98</v>
      </c>
    </row>
    <row r="30" spans="1:16" ht="20.100000000000001" customHeight="1" x14ac:dyDescent="0.25">
      <c r="D30" s="50">
        <f>'Input - Feedlot'!$E$16</f>
        <v>22</v>
      </c>
      <c r="E30" s="50">
        <f>'Input - Feedlot'!$F$16</f>
        <v>22</v>
      </c>
      <c r="F30" s="50">
        <f>'Input - Feedlot'!$G$16</f>
        <v>24</v>
      </c>
      <c r="G30" s="2" t="str">
        <f>$G$15</f>
        <v>per cent</v>
      </c>
      <c r="M30" s="50">
        <f>'Input - Feedlot'!$E$21</f>
        <v>22</v>
      </c>
      <c r="N30" s="50">
        <f>'Input - Feedlot'!$F$21</f>
        <v>22</v>
      </c>
      <c r="O30" s="50">
        <f>'Input - Feedlot'!$G$21</f>
        <v>24</v>
      </c>
      <c r="P30" s="2" t="str">
        <f>$G$15</f>
        <v>per cent</v>
      </c>
    </row>
    <row r="31" spans="1:16" ht="20.100000000000001" customHeight="1" x14ac:dyDescent="0.25"/>
    <row r="32" spans="1:16" ht="20.100000000000001" customHeight="1" x14ac:dyDescent="0.25">
      <c r="D32" s="86" t="s">
        <v>167</v>
      </c>
      <c r="M32" s="86" t="s">
        <v>169</v>
      </c>
    </row>
    <row r="33" spans="3:18" ht="20.100000000000001" customHeight="1" x14ac:dyDescent="0.25">
      <c r="D33" s="85" t="s">
        <v>168</v>
      </c>
      <c r="M33" s="85" t="s">
        <v>170</v>
      </c>
    </row>
    <row r="34" spans="3:18" ht="20.100000000000001" customHeight="1" x14ac:dyDescent="0.25">
      <c r="D34" s="49" t="s">
        <v>96</v>
      </c>
      <c r="E34" s="49" t="s">
        <v>97</v>
      </c>
      <c r="F34" s="49" t="s">
        <v>98</v>
      </c>
      <c r="M34" s="49" t="s">
        <v>96</v>
      </c>
      <c r="N34" s="49" t="s">
        <v>97</v>
      </c>
      <c r="O34" s="49" t="s">
        <v>98</v>
      </c>
    </row>
    <row r="35" spans="3:18" ht="20.100000000000001" customHeight="1" x14ac:dyDescent="0.25">
      <c r="D35" s="50" cm="1">
        <f t="array" ref="D35">EntericMethane_Feedlot_Equations.VEERG_3_1_1_1__2_DailyEntericMethaneProduction(D20,D25,D30)</f>
        <v>8.3664000000000002E-2</v>
      </c>
      <c r="E35" s="50" cm="1">
        <f t="array" ref="E35">EntericMethane_Feedlot_Equations.VEERG_3_1_1_1__2_DailyEntericMethaneProduction(E20,E25,E30)</f>
        <v>8.4908000000000011E-2</v>
      </c>
      <c r="F35" s="50" cm="1">
        <f t="array" ref="F35">EntericMethane_Feedlot_Equations.VEERG_3_1_1_1__2_DailyEntericMethaneProduction(F20,F25,F30)</f>
        <v>7.4142E-2</v>
      </c>
      <c r="G35" s="2" t="str">
        <f>$E$11</f>
        <v>kg CH4/head/day</v>
      </c>
      <c r="M35" s="50" cm="1">
        <f t="array" ref="M35">EntericMethane_Feedlot_Equations.VEERG_3_1_1_1__2_DailyEntericMethaneProduction(M20,M25,M30)</f>
        <v>8.3664000000000002E-2</v>
      </c>
      <c r="N35" s="50" cm="1">
        <f t="array" ref="N35">EntericMethane_Feedlot_Equations.VEERG_3_1_1_1__2_DailyEntericMethaneProduction(N20,N25,N30)</f>
        <v>8.4908000000000011E-2</v>
      </c>
      <c r="O35" s="50" cm="1">
        <f t="array" ref="O35">EntericMethane_Feedlot_Equations.VEERG_3_1_1_1__2_DailyEntericMethaneProduction(O20,O25,O30)</f>
        <v>7.4142E-2</v>
      </c>
      <c r="P35" s="2" t="str">
        <f>$E$11</f>
        <v>kg CH4/head/day</v>
      </c>
    </row>
    <row r="36" spans="3:18" ht="20.100000000000001" customHeight="1" x14ac:dyDescent="0.25"/>
    <row r="37" spans="3:18" ht="20.100000000000001" customHeight="1" x14ac:dyDescent="0.25"/>
    <row r="38" spans="3:18" ht="20.100000000000001" customHeight="1" x14ac:dyDescent="0.25">
      <c r="C38" s="45"/>
      <c r="D38" s="45"/>
      <c r="E38" s="45"/>
      <c r="F38" s="45"/>
      <c r="G38" s="45"/>
      <c r="H38" s="45"/>
      <c r="I38" s="45"/>
      <c r="J38" s="45"/>
      <c r="L38" s="45"/>
      <c r="M38" s="45"/>
      <c r="N38" s="45"/>
      <c r="O38" s="45"/>
      <c r="P38" s="45"/>
      <c r="Q38" s="45"/>
      <c r="R38" s="45"/>
    </row>
    <row r="39" spans="3:18" ht="20.100000000000001" customHeight="1" x14ac:dyDescent="0.25">
      <c r="D39" s="6" t="str" cm="1">
        <f t="array" ref="D39">EntericMethane_Feedlot_Equations.VEERG_3_1_1_1__1_TotalAnnualMethaneFromEntericFermentation_Title()</f>
        <v>Total annual methane production from enteric fermentation in feedlot beef cattle</v>
      </c>
    </row>
    <row r="40" spans="3:18" ht="20.100000000000001" customHeight="1" x14ac:dyDescent="0.25">
      <c r="D40" s="5" t="str" cm="1">
        <f t="array" ref="D40">EntericMethane_Feedlot_Equations.VEERG_3_1_1_1__1_TotalAnnualMethaneFromEntericFermentation_Source()</f>
        <v>VEERG 2026: 3.1.1.1, Equation (1)</v>
      </c>
    </row>
    <row r="41" spans="3:18" ht="20.100000000000001" customHeight="1" x14ac:dyDescent="0.25">
      <c r="D41" s="13" t="s">
        <v>17</v>
      </c>
      <c r="E41" s="13" t="str" cm="1">
        <f t="array" aca="1" ref="E41" ca="1">Common_InputFunctions.Utility_DisplayFunctionName(D65)</f>
        <v>=EntericMethane_Feedlot_Equations.VEERG_3_1_1_1__1_TotalAnnualMethaneFromEntericFermentation</v>
      </c>
    </row>
    <row r="42" spans="3:18" ht="20.100000000000001" customHeight="1" x14ac:dyDescent="0.25"/>
    <row r="43" spans="3:18" ht="20.100000000000001" customHeight="1" x14ac:dyDescent="0.25">
      <c r="D43" s="6"/>
    </row>
    <row r="44" spans="3:18" ht="20.100000000000001" customHeight="1" x14ac:dyDescent="0.25"/>
    <row r="45" spans="3:18" ht="20.100000000000001" customHeight="1" x14ac:dyDescent="0.25">
      <c r="D45" s="51" t="s">
        <v>20</v>
      </c>
      <c r="E45" s="1" t="str" cm="1">
        <f t="array" ref="E45">EntericMethane_Feedlot_Equations.VEERG_3_1_1_1__1_TotalAnnualMethaneFromEntericFermentation_Variable()</f>
        <v>E_enteric</v>
      </c>
    </row>
    <row r="46" spans="3:18" ht="20.100000000000001" customHeight="1" x14ac:dyDescent="0.25">
      <c r="D46" s="51" t="s">
        <v>11</v>
      </c>
      <c r="E46" s="52" t="str" cm="1">
        <f t="array" ref="E46">EntericMethane_Feedlot_Equations.VEERG_3_1_1_1__1_TotalAnnualMethaneFromEntericFermentation_Unit()</f>
        <v>t CH4</v>
      </c>
    </row>
    <row r="47" spans="3:18" ht="20.100000000000001" customHeight="1" x14ac:dyDescent="0.25"/>
    <row r="48" spans="3:18" ht="20.100000000000001" customHeight="1" x14ac:dyDescent="0.25">
      <c r="D48" s="105" t="str" cm="1">
        <f t="array" ref="D48:E50">_xlfn.CHOOSECOLS(EntericMethane_Feedlot_Equations.VEERG_3_1_1_1__1_TotalAnnualMethaneFromEntericFermentation_Arguments(),1,2)</f>
        <v>D_j</v>
      </c>
      <c r="E48" s="108" t="str">
        <v>duration of stay of each cattle lot</v>
      </c>
      <c r="F48" s="107"/>
      <c r="G48" s="105" t="str" cm="1">
        <f t="array" ref="G48:H50">_xlfn.CHOOSECOLS(EntericMethane_Feedlot_Equations.VEERG_3_1_1_1__1_TotalAnnualMethaneFromEntericFermentation_Arguments(),3,4)</f>
        <v>days</v>
      </c>
      <c r="H48" s="103" t="str">
        <v>Input</v>
      </c>
      <c r="I48" s="106" t="str" cm="1">
        <f t="array" aca="1" ref="I48" ca="1">HYPERLINK(Common_InputFunctions.Utility_SourceHyperlink($D$52),$D$52)</f>
        <v>Table_D_j</v>
      </c>
    </row>
    <row r="49" spans="4:15" ht="20.100000000000001" customHeight="1" x14ac:dyDescent="0.25">
      <c r="D49" s="105" t="str">
        <v>M_j</v>
      </c>
      <c r="E49" s="108" t="str">
        <v>daily methane production</v>
      </c>
      <c r="F49" s="107"/>
      <c r="G49" s="105" t="str">
        <v>kg CH4/head/day</v>
      </c>
      <c r="H49" s="104" t="str">
        <v>Calculated from 3.1.1.1, (2)</v>
      </c>
      <c r="I49" s="106" t="str" cm="1">
        <f t="array" aca="1" ref="I49" ca="1">HYPERLINK(Common_InputFunctions.Utility_SourceHyperlink($D$32),$D$32)</f>
        <v>M1_Table_M_j</v>
      </c>
    </row>
    <row r="50" spans="4:15" ht="20.100000000000001" customHeight="1" x14ac:dyDescent="0.25">
      <c r="D50" s="105" t="str">
        <v>N_j</v>
      </c>
      <c r="E50" s="108" t="str">
        <v>numbers of feedlot cattle in each cattle lot</v>
      </c>
      <c r="F50" s="107"/>
      <c r="G50" s="105" t="str">
        <v>head</v>
      </c>
      <c r="H50" s="103" t="str">
        <v>Input</v>
      </c>
      <c r="I50" s="106" t="str" cm="1">
        <f t="array" aca="1" ref="I50" ca="1">HYPERLINK(Common_InputFunctions.Utility_SourceHyperlink($D$57),$D$57)</f>
        <v>Table_N_j</v>
      </c>
    </row>
    <row r="51" spans="4:15" ht="20.100000000000001" customHeight="1" x14ac:dyDescent="0.25"/>
    <row r="52" spans="4:15" ht="20.100000000000001" customHeight="1" x14ac:dyDescent="0.25">
      <c r="D52" s="86" t="s">
        <v>87</v>
      </c>
    </row>
    <row r="53" spans="4:15" ht="20.100000000000001" customHeight="1" x14ac:dyDescent="0.25">
      <c r="D53" s="85" t="s">
        <v>85</v>
      </c>
    </row>
    <row r="54" spans="4:15" ht="20.100000000000001" customHeight="1" x14ac:dyDescent="0.25">
      <c r="D54" s="39" t="s">
        <v>96</v>
      </c>
      <c r="E54" s="39" t="s">
        <v>97</v>
      </c>
      <c r="F54" s="39" t="s">
        <v>98</v>
      </c>
    </row>
    <row r="55" spans="4:15" ht="20.100000000000001" customHeight="1" x14ac:dyDescent="0.25">
      <c r="D55" s="88">
        <f>'Input - Feedlot'!$E$9</f>
        <v>90</v>
      </c>
      <c r="E55" s="88">
        <f>'Input - Feedlot'!$F$9</f>
        <v>140</v>
      </c>
      <c r="F55" s="88">
        <f>'Input - Feedlot'!$G$9</f>
        <v>250</v>
      </c>
      <c r="G55" s="2" t="str">
        <f>G48</f>
        <v>days</v>
      </c>
    </row>
    <row r="56" spans="4:15" ht="20.100000000000001" customHeight="1" x14ac:dyDescent="0.25"/>
    <row r="57" spans="4:15" ht="20.100000000000001" customHeight="1" x14ac:dyDescent="0.25">
      <c r="D57" s="86" t="s">
        <v>88</v>
      </c>
    </row>
    <row r="58" spans="4:15" ht="20.100000000000001" customHeight="1" x14ac:dyDescent="0.25">
      <c r="D58" s="85" t="s">
        <v>89</v>
      </c>
    </row>
    <row r="59" spans="4:15" ht="20.100000000000001" customHeight="1" x14ac:dyDescent="0.25">
      <c r="D59" s="39" t="s">
        <v>96</v>
      </c>
      <c r="E59" s="39" t="s">
        <v>97</v>
      </c>
      <c r="F59" s="39" t="s">
        <v>98</v>
      </c>
    </row>
    <row r="60" spans="4:15" ht="20.100000000000001" customHeight="1" x14ac:dyDescent="0.25">
      <c r="D60" s="88">
        <f>'Input - Feedlot'!$E$8</f>
        <v>4300</v>
      </c>
      <c r="E60" s="88">
        <f>'Input - Feedlot'!$F$8</f>
        <v>100</v>
      </c>
      <c r="F60" s="88">
        <f>'Input - Feedlot'!$G$8</f>
        <v>100</v>
      </c>
      <c r="G60" s="2" t="str">
        <f>G50</f>
        <v>head</v>
      </c>
    </row>
    <row r="61" spans="4:15" ht="20.100000000000001" customHeight="1" x14ac:dyDescent="0.25"/>
    <row r="62" spans="4:15" ht="20.100000000000001" customHeight="1" x14ac:dyDescent="0.25">
      <c r="D62" s="86" t="s">
        <v>186</v>
      </c>
      <c r="M62" s="86" t="s">
        <v>184</v>
      </c>
    </row>
    <row r="63" spans="4:15" ht="20.100000000000001" customHeight="1" x14ac:dyDescent="0.25">
      <c r="D63" s="85" t="s">
        <v>187</v>
      </c>
      <c r="M63" s="85" t="s">
        <v>185</v>
      </c>
    </row>
    <row r="64" spans="4:15" ht="20.100000000000001" customHeight="1" x14ac:dyDescent="0.25">
      <c r="D64" s="49" t="s">
        <v>96</v>
      </c>
      <c r="E64" s="49" t="s">
        <v>97</v>
      </c>
      <c r="F64" s="49" t="s">
        <v>98</v>
      </c>
      <c r="M64" s="49" t="s">
        <v>96</v>
      </c>
      <c r="N64" s="49" t="s">
        <v>97</v>
      </c>
      <c r="O64" s="49" t="s">
        <v>98</v>
      </c>
    </row>
    <row r="65" spans="4:17" ht="20.100000000000001" customHeight="1" x14ac:dyDescent="0.25">
      <c r="D65" s="50" cm="1">
        <f t="array" ref="D65">EntericMethane_Feedlot_Equations.VEERG_3_1_1_1__1_TotalAnnualMethaneFromEntericFermentation(D55,D35,D60)</f>
        <v>32.377968000000003</v>
      </c>
      <c r="E65" s="50" cm="1">
        <f t="array" ref="E65">EntericMethane_Feedlot_Equations.VEERG_3_1_1_1__1_TotalAnnualMethaneFromEntericFermentation(E55,E35,E60)</f>
        <v>1.1887120000000002</v>
      </c>
      <c r="F65" s="50" cm="1">
        <f t="array" ref="F65">EntericMethane_Feedlot_Equations.VEERG_3_1_1_1__1_TotalAnnualMethaneFromEntericFermentation(F55,F35,F60)</f>
        <v>1.85355</v>
      </c>
      <c r="G65" s="2" t="str">
        <f>$E$46</f>
        <v>t CH4</v>
      </c>
      <c r="M65" s="50" cm="1">
        <f t="array" ref="M65">EntericMethane_Feedlot_Equations.VEERG_3_1_1_1__1_TotalAnnualMethaneFromEntericFermentation(D55,M35,D60)</f>
        <v>32.377968000000003</v>
      </c>
      <c r="N65" s="50" cm="1">
        <f t="array" ref="N65">EntericMethane_Feedlot_Equations.VEERG_3_1_1_1__1_TotalAnnualMethaneFromEntericFermentation(E55,N35,E60)</f>
        <v>1.1887120000000002</v>
      </c>
      <c r="O65" s="50" cm="1">
        <f t="array" ref="O65">EntericMethane_Feedlot_Equations.VEERG_3_1_1_1__1_TotalAnnualMethaneFromEntericFermentation(F55,O35,F60)</f>
        <v>1.85355</v>
      </c>
      <c r="P65" s="2" t="str">
        <f>$E$46</f>
        <v>t CH4</v>
      </c>
    </row>
    <row r="66" spans="4:17" ht="20.100000000000001" customHeight="1" x14ac:dyDescent="0.25"/>
    <row r="67" spans="4:17" ht="20.100000000000001" customHeight="1" x14ac:dyDescent="0.25">
      <c r="D67" s="89" t="s">
        <v>175</v>
      </c>
      <c r="E67" s="90">
        <f>SUM(D65:F65)</f>
        <v>35.420230000000004</v>
      </c>
      <c r="F67" s="91" t="str">
        <f>$E$46</f>
        <v>t CH4</v>
      </c>
      <c r="M67" s="89" t="s">
        <v>176</v>
      </c>
      <c r="N67" s="90">
        <f>SUM(M65:O65)</f>
        <v>35.420230000000004</v>
      </c>
      <c r="O67" s="91" t="str">
        <f>$E$46</f>
        <v>t CH4</v>
      </c>
    </row>
    <row r="68" spans="4:17" ht="20.100000000000001" customHeight="1" x14ac:dyDescent="0.25"/>
    <row r="69" spans="4:17" ht="20.100000000000001" customHeight="1" x14ac:dyDescent="0.25">
      <c r="D69" s="55" t="str" cm="1">
        <f t="array" ref="D69:E70">Common_Equations.Common_ConvertCH4ToCO2e_Arguments()</f>
        <v>ECH4</v>
      </c>
      <c r="E69" s="56" t="str">
        <v>Methane emissions (t CH4)</v>
      </c>
      <c r="F69" s="92"/>
      <c r="G69" s="50">
        <f>E67</f>
        <v>35.420230000000004</v>
      </c>
      <c r="H69" s="2" t="str">
        <f>$E$46</f>
        <v>t CH4</v>
      </c>
      <c r="M69" s="55" t="str" cm="1">
        <f t="array" ref="M69:N70">Common_Equations.Common_ConvertCH4ToCO2e_Arguments()</f>
        <v>ECH4</v>
      </c>
      <c r="N69" s="56" t="str">
        <v>Methane emissions (t CH4)</v>
      </c>
      <c r="O69" s="92"/>
      <c r="P69" s="50">
        <f>N67</f>
        <v>35.420230000000004</v>
      </c>
      <c r="Q69" s="2" t="str">
        <f>$E$46</f>
        <v>t CH4</v>
      </c>
    </row>
    <row r="70" spans="4:17" ht="20.100000000000001" customHeight="1" x14ac:dyDescent="0.25">
      <c r="D70" s="55" t="str">
        <v>GWPCH4</v>
      </c>
      <c r="E70" s="56" t="str">
        <v>Global warming potential for methane (t CO2-e / t CH4)</v>
      </c>
      <c r="F70" s="92"/>
      <c r="G70" s="50">
        <f>Common_InputFunctions.Utility_LookupValueInTableNumber("CH4",Table_GWPData[Gas],Table_GWPData[CO2-e factor])</f>
        <v>28</v>
      </c>
      <c r="M70" s="55" t="str">
        <v>GWPCH4</v>
      </c>
      <c r="N70" s="56" t="str">
        <v>Global warming potential for methane (t CO2-e / t CH4)</v>
      </c>
      <c r="O70" s="92"/>
      <c r="P70" s="50">
        <f>Common_InputFunctions.Utility_LookupValueInTableNumber("CH4",Table_GWPData[Gas],Table_GWPData[CO2-e factor])</f>
        <v>28</v>
      </c>
    </row>
    <row r="71" spans="4:17" ht="20.100000000000001" customHeight="1" x14ac:dyDescent="0.25"/>
    <row r="72" spans="4:17" ht="20.100000000000001" customHeight="1" x14ac:dyDescent="0.25">
      <c r="D72" s="45" t="s">
        <v>112</v>
      </c>
      <c r="E72" s="45" cm="1">
        <f t="array" ref="E72">Common_Equations.Common_ConvertCH4ToCO2e(G69,G70)</f>
        <v>991.7664400000001</v>
      </c>
      <c r="F72" s="93" t="str" cm="1">
        <f t="array" ref="F72">Common_Equations.Common_ConvertN2OToCO2e_Unit()</f>
        <v>t CO2e</v>
      </c>
      <c r="M72" s="45" t="s">
        <v>113</v>
      </c>
      <c r="N72" s="45" cm="1">
        <f t="array" ref="N72">Common_Equations.Common_ConvertCH4ToCO2e(P69,P70)</f>
        <v>991.7664400000001</v>
      </c>
      <c r="O72" s="93" t="str" cm="1">
        <f t="array" ref="O72">Common_Equations.Common_ConvertN2OToCO2e_Unit()</f>
        <v>t CO2e</v>
      </c>
    </row>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33:G133 E138:G138 D55:F55 D60:F60 N138:P13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1" workbookViewId="0">
      <selection activeCell="I112" sqref="I112"/>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95</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1" t="str" cm="1">
        <f t="array" ref="D7">SourceData_Feedlot.SourceData_Feedlot_VSL_Variable()</f>
        <v>VSL</v>
      </c>
      <c r="E7" s="1" cm="1">
        <f t="array" ref="E7">SourceData_Feedlot.SourceData_Feedlot_VSL_Data()</f>
        <v>0.5</v>
      </c>
      <c r="F7" s="52"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58</v>
      </c>
      <c r="D11" s="5" t="str" cm="1">
        <f t="array" ref="D11">SourceData_Feedlot.SourceData_Feedlot_MMSm1T3_Source()</f>
        <v>VEERG 2026: 4.1.2.3 CONSTANTS</v>
      </c>
      <c r="M11" s="1"/>
    </row>
    <row r="12" spans="1:21" ht="20.100000000000001" customHeight="1" x14ac:dyDescent="0.25">
      <c r="A12" s="17" t="str">
        <f>HYPERLINK("#'3.1.1.1-2 Enteric Methane'!A1", "3.1.1.1-2 Enteric Methane")</f>
        <v>3.1.1.1-2 Enteric Methane</v>
      </c>
      <c r="D12" s="51" t="str" cm="1">
        <f t="array" ref="D12">SourceData_Feedlot.SourceData_Feedlot_MMSm1T3_Variable()</f>
        <v>MMSm1T3</v>
      </c>
      <c r="E12" s="1" cm="1">
        <f t="array" ref="E12">SourceData_Feedlot.SourceData_Feedlot_MMSm1T3_Data()</f>
        <v>0.02</v>
      </c>
      <c r="F12" s="52" t="str" cm="1">
        <f t="array" ref="F12">SourceData_Feedlot.SourceData_Feedlot_MMSm1T3_Unit()</f>
        <v>Fraction</v>
      </c>
      <c r="M12" s="1"/>
    </row>
    <row r="13" spans="1:21" ht="20.100000000000001" customHeight="1" x14ac:dyDescent="0.25">
      <c r="M13" s="1"/>
    </row>
    <row r="14" spans="1:21" ht="20.100000000000001" customHeight="1" x14ac:dyDescent="0.25">
      <c r="A14" s="18" t="s">
        <v>4</v>
      </c>
      <c r="M14" s="1"/>
    </row>
    <row r="15" spans="1:21" ht="20.100000000000001" customHeight="1" x14ac:dyDescent="0.25">
      <c r="A15" s="64" t="str">
        <f>HYPERLINK("#'Constants - Feedlot'!A1", "Constants - Feedlot")</f>
        <v>Constants - Feedlot</v>
      </c>
      <c r="D15" s="6" t="str" cm="1">
        <f t="array" ref="D15">SourceData_Feedlot.SourceData_Feedlot_AshContent_Title()</f>
        <v>Ash content of manure.</v>
      </c>
      <c r="M15" s="1"/>
    </row>
    <row r="16" spans="1:21" ht="20.100000000000001" customHeight="1" x14ac:dyDescent="0.25">
      <c r="A16" s="17" t="str">
        <f>HYPERLINK("#'Constants - Livestock'!A1", "Constants - Livestock")</f>
        <v>Constants - Livestock</v>
      </c>
      <c r="D16" s="5" t="str" cm="1">
        <f t="array" ref="D16">SourceData_Feedlot.SourceData_Feedlot_AshContent_Source()</f>
        <v>VEERG 2026: 4.1.2.3 CONSTANTS</v>
      </c>
      <c r="M16" s="1"/>
    </row>
    <row r="17" spans="1:13" ht="20.100000000000001" customHeight="1" x14ac:dyDescent="0.25">
      <c r="A17" s="17" t="str">
        <f>HYPERLINK("#'Constants - Common'!A1", "Constants - Common")</f>
        <v>Constants - Common</v>
      </c>
      <c r="D17" s="51" t="str" cm="1">
        <f t="array" ref="D17">SourceData_Feedlot.SourceData_Feedlot_AshContent_Variable()</f>
        <v>A</v>
      </c>
      <c r="E17" s="1" cm="1">
        <f t="array" ref="E17">SourceData_Feedlot.SourceData_Feedlot_AshContent_Data()</f>
        <v>0.16</v>
      </c>
      <c r="F17" s="52" t="str" cm="1">
        <f t="array" ref="F17">SourceData_Feedlot.SourceData_Feedlot_AshContent_Unit()</f>
        <v>Fraction</v>
      </c>
      <c r="M17" s="1"/>
    </row>
    <row r="18" spans="1:13" ht="20.100000000000001" customHeight="1" x14ac:dyDescent="0.25">
      <c r="A18" s="17" t="str">
        <f>HYPERLINK("#'Acknowledgements'!A1", "Acknowledgements")</f>
        <v>Acknowledgements</v>
      </c>
      <c r="M18" s="1"/>
    </row>
    <row r="19" spans="1:13" ht="20.100000000000001" customHeight="1" x14ac:dyDescent="0.25">
      <c r="M19" s="1"/>
    </row>
    <row r="20" spans="1:13" ht="20.100000000000001" customHeight="1" x14ac:dyDescent="0.25">
      <c r="D20" s="6" t="str" cm="1">
        <f t="array" ref="D20">SourceData_Feedlot.SourceData_Feedlot_MethaneEmissionsPotential_Title()</f>
        <v>Methane emissions potential.</v>
      </c>
      <c r="M20" s="1"/>
    </row>
    <row r="21" spans="1:13" ht="20.100000000000001" customHeight="1" x14ac:dyDescent="0.25">
      <c r="A21" s="17"/>
      <c r="D21" s="5" t="str" cm="1">
        <f t="array" ref="D21">SourceData_Feedlot.SourceData_Feedlot_MethaneEmissionsPotential_Source()</f>
        <v>VEERG 2026: 4.1.2.3 CONSTANTS</v>
      </c>
      <c r="M21" s="1"/>
    </row>
    <row r="22" spans="1:13" ht="20.100000000000001" customHeight="1" x14ac:dyDescent="0.25">
      <c r="D22" s="51" t="str" cm="1">
        <f t="array" ref="D22">SourceData_Feedlot.SourceData_Feedlot_MethaneEmissionsPotential_Variable()</f>
        <v>B0</v>
      </c>
      <c r="E22" s="1" cm="1">
        <f t="array" ref="E22">SourceData_Feedlot.SourceData_Feedlot_MethaneEmissionsPotential_Data()</f>
        <v>0.19</v>
      </c>
      <c r="F22" s="52"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M24" s="1"/>
    </row>
    <row r="25" spans="1:13" ht="20.100000000000001" customHeight="1" x14ac:dyDescent="0.25">
      <c r="A25" s="17"/>
      <c r="D25" s="6" t="s">
        <v>83</v>
      </c>
      <c r="G25" s="6" t="s">
        <v>119</v>
      </c>
      <c r="J25" s="6" t="s">
        <v>121</v>
      </c>
      <c r="M25" s="1"/>
    </row>
    <row r="26" spans="1:13" ht="20.100000000000001" customHeight="1" x14ac:dyDescent="0.25">
      <c r="M26" s="1"/>
    </row>
    <row r="27" spans="1:13" ht="20.100000000000001" customHeight="1" x14ac:dyDescent="0.25">
      <c r="D27" s="84" t="s">
        <v>50</v>
      </c>
      <c r="E27" s="37" t="s">
        <v>63</v>
      </c>
      <c r="G27" s="37" t="s">
        <v>120</v>
      </c>
      <c r="J27" s="37" t="s">
        <v>118</v>
      </c>
      <c r="M27" s="1"/>
    </row>
    <row r="28" spans="1:13" ht="20.100000000000001" customHeight="1" x14ac:dyDescent="0.25">
      <c r="D28" s="37" t="str">
        <f>'Constants - Livestock'!$E$16</f>
        <v>Drylot (feed pad)</v>
      </c>
      <c r="E28" s="37" t="str">
        <f>'Constants - Livestock'!$F$16</f>
        <v>Drylot (feed pad) (m=5)</v>
      </c>
      <c r="G28" s="37" t="str">
        <f>'Constants - Common'!$F$188</f>
        <v>Crop</v>
      </c>
      <c r="J28" s="37" t="s">
        <v>122</v>
      </c>
      <c r="M28" s="1"/>
    </row>
    <row r="29" spans="1:13" ht="20.100000000000001" customHeight="1" x14ac:dyDescent="0.25">
      <c r="D29" s="37" t="str">
        <f>'Constants - Livestock'!$E$15</f>
        <v>Solid storage</v>
      </c>
      <c r="E29" s="37" t="str">
        <f>'Constants - Livestock'!$F$15</f>
        <v>Solid storage (m=4)</v>
      </c>
      <c r="G29" s="1" t="str">
        <f>'Constants - Common'!$F$187</f>
        <v>Pasture</v>
      </c>
      <c r="J29" s="37" t="s">
        <v>123</v>
      </c>
      <c r="M29" s="1"/>
    </row>
    <row r="30" spans="1:13" ht="20.100000000000001" customHeight="1" x14ac:dyDescent="0.25">
      <c r="D30" s="37" t="str">
        <f>'Constants - Livestock'!$E$17</f>
        <v>Composting (passive windrow)</v>
      </c>
      <c r="E30" s="37" t="str">
        <f>'Constants - Livestock'!$F$17</f>
        <v>Composting (passive windrow) (m=6)</v>
      </c>
      <c r="J30" s="1" t="s">
        <v>124</v>
      </c>
      <c r="M30" s="1"/>
    </row>
    <row r="31" spans="1:13" ht="20.100000000000001" customHeight="1" x14ac:dyDescent="0.25">
      <c r="D31" s="37" t="str">
        <f>'Constants - Livestock'!$E$26</f>
        <v>Direct application</v>
      </c>
      <c r="E31" s="37" t="str">
        <f>'Constants - Livestock'!$F$26</f>
        <v>Direct application (m=13)</v>
      </c>
      <c r="J31" s="1" t="s">
        <v>125</v>
      </c>
      <c r="M31" s="1"/>
    </row>
    <row r="32" spans="1:13" ht="20.100000000000001" customHeight="1" x14ac:dyDescent="0.25">
      <c r="D32" s="1" t="str">
        <f>'Constants - Livestock'!$E$10</f>
        <v>Anaerobic lagoon</v>
      </c>
      <c r="E32" s="1" t="str">
        <f>'Constants - Livestock'!$F$10</f>
        <v>Anaerobic lagoon (m=1)</v>
      </c>
      <c r="J32" s="1" t="s">
        <v>126</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7" t="s">
        <v>90</v>
      </c>
      <c r="E38" s="37" t="s">
        <v>103</v>
      </c>
      <c r="M38" s="1"/>
    </row>
    <row r="39" spans="4:13" ht="20.100000000000001" customHeight="1" x14ac:dyDescent="0.25">
      <c r="D39" s="37" t="str" cm="1">
        <f t="array" ref="D39">Common_InputFunctions.Utility_DisplayArrayInTable(SourceData_Feedlot.SourceData_Feedlot_DurationOfStay_Data(), Table_SourceData_Feedlot_LengthOfStay[[#Headers],[Feedlot type]], 0)</f>
        <v>Domestic</v>
      </c>
      <c r="E39" s="37"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7"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7"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3" t="str" cm="1">
        <f t="array" ref="D46:D48">SourceData_Feedlot.SourceData_Feedlot_AnimalCharacteristics_Variation()</f>
        <v>VARIATION ON SOURCE:</v>
      </c>
      <c r="M46" s="24"/>
    </row>
    <row r="47" spans="4:13" ht="20.100000000000001" customHeight="1" x14ac:dyDescent="0.25">
      <c r="D47" s="53" t="str">
        <v>Moved feedlot types to a separate column to aid lookup.</v>
      </c>
      <c r="M47" s="24"/>
    </row>
    <row r="48" spans="4:13" ht="20.100000000000001" customHeight="1" x14ac:dyDescent="0.25">
      <c r="D48" s="53" t="str">
        <v>Named 'characteristic' column - original has header 'Unit' which covers two columns)</v>
      </c>
      <c r="M48" s="24"/>
    </row>
    <row r="49" spans="4:13" ht="20.100000000000001" customHeight="1" x14ac:dyDescent="0.25">
      <c r="D49" s="37" t="s">
        <v>90</v>
      </c>
      <c r="E49" s="37" t="s">
        <v>100</v>
      </c>
      <c r="F49" s="37" t="s">
        <v>11</v>
      </c>
      <c r="G49" s="37" t="s">
        <v>101</v>
      </c>
      <c r="H49" s="37" t="s">
        <v>92</v>
      </c>
      <c r="I49" s="37" t="s">
        <v>93</v>
      </c>
      <c r="J49" s="37" t="s">
        <v>94</v>
      </c>
      <c r="M49" s="24"/>
    </row>
    <row r="50" spans="4:13" ht="20.100000000000001" customHeight="1" x14ac:dyDescent="0.25">
      <c r="D50" s="37" t="str" cm="1">
        <f t="array" ref="D50">Common_InputFunctions.Utility_DisplayArrayInTable(SourceData_Feedlot.SourceData_Feedlot_AnimalCharacteristics_Data(), Table_SourceData_Feedlot_AnimalCharacteristics[[#Headers],[Feedlot type]], 0)</f>
        <v>Domestic</v>
      </c>
      <c r="E50" s="37" t="str" cm="1">
        <f t="array" ref="E50">Common_InputFunctions.Utility_DisplayArrayInTable(SourceData_Feedlot.SourceData_Feedlot_AnimalCharacteristics_Data(), Table_SourceData_Feedlot_AnimalCharacteristics[[#Headers],[Feedlot type]], 0)</f>
        <v>Days on feed</v>
      </c>
      <c r="F50" s="37" t="str" cm="1">
        <f t="array" ref="F50">Common_InputFunctions.Utility_DisplayArrayInTable(SourceData_Feedlot.SourceData_Feedlot_AnimalCharacteristics_Data(), Table_SourceData_Feedlot_AnimalCharacteristics[[#Headers],[Feedlot type]], 0)</f>
        <v>days</v>
      </c>
      <c r="G50" s="37" cm="1">
        <f t="array" ref="G50">Common_InputFunctions.Utility_DisplayArrayInTable(SourceData_Feedlot.SourceData_Feedlot_AnimalCharacteristics_Data(), Table_SourceData_Feedlot_AnimalCharacteristics[[#Headers],[Feedlot type]], 0)</f>
        <v>70</v>
      </c>
      <c r="H50" s="37" cm="1">
        <f t="array" ref="H50">Common_InputFunctions.Utility_DisplayArrayInTable(SourceData_Feedlot.SourceData_Feedlot_AnimalCharacteristics_Data(), Table_SourceData_Feedlot_AnimalCharacteristics[[#Headers],[Feedlot type]], 0)</f>
        <v>70</v>
      </c>
      <c r="I50" s="37" cm="1">
        <f t="array" ref="I50">Common_InputFunctions.Utility_DisplayArrayInTable(SourceData_Feedlot.SourceData_Feedlot_AnimalCharacteristics_Data(), Table_SourceData_Feedlot_AnimalCharacteristics[[#Headers],[Feedlot type]], 0)</f>
        <v>70</v>
      </c>
      <c r="J50" s="37"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7" t="str" cm="1">
        <f t="array" ref="E51">Common_InputFunctions.Utility_DisplayArrayInTable(SourceData_Feedlot.SourceData_Feedlot_AnimalCharacteristics_Data(), Table_SourceData_Feedlot_AnimalCharacteristics[[#Headers],[Feedlot type]], 0)</f>
        <v>Feed intake</v>
      </c>
      <c r="F51" s="37" t="str" cm="1">
        <f t="array" ref="F51">Common_InputFunctions.Utility_DisplayArrayInTable(SourceData_Feedlot.SourceData_Feedlot_AnimalCharacteristics_Data(), Table_SourceData_Feedlot_AnimalCharacteristics[[#Headers],[Feedlot type]], 0)</f>
        <v>kg DM/day</v>
      </c>
      <c r="G51" s="37" cm="1">
        <f t="array" ref="G51">Common_InputFunctions.Utility_DisplayArrayInTable(SourceData_Feedlot.SourceData_Feedlot_AnimalCharacteristics_Data(), Table_SourceData_Feedlot_AnimalCharacteristics[[#Headers],[Feedlot type]], 0)</f>
        <v>10</v>
      </c>
      <c r="H51" s="37" cm="1">
        <f t="array" ref="H51">Common_InputFunctions.Utility_DisplayArrayInTable(SourceData_Feedlot.SourceData_Feedlot_AnimalCharacteristics_Data(), Table_SourceData_Feedlot_AnimalCharacteristics[[#Headers],[Feedlot type]], 0)</f>
        <v>10</v>
      </c>
      <c r="I51" s="37" cm="1">
        <f t="array" ref="I51">Common_InputFunctions.Utility_DisplayArrayInTable(SourceData_Feedlot.SourceData_Feedlot_AnimalCharacteristics_Data(), Table_SourceData_Feedlot_AnimalCharacteristics[[#Headers],[Feedlot type]], 0)</f>
        <v>10.4</v>
      </c>
      <c r="J51" s="37"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7" t="str" cm="1">
        <f t="array" ref="E52">Common_InputFunctions.Utility_DisplayArrayInTable(SourceData_Feedlot.SourceData_Feedlot_AnimalCharacteristics_Data(), Table_SourceData_Feedlot_AnimalCharacteristics[[#Headers],[Feedlot type]], 0)</f>
        <v>N retention</v>
      </c>
      <c r="F52" s="37" t="str" cm="1">
        <f t="array" ref="F52">Common_InputFunctions.Utility_DisplayArrayInTable(SourceData_Feedlot.SourceData_Feedlot_AnimalCharacteristics_Data(), Table_SourceData_Feedlot_AnimalCharacteristics[[#Headers],[Feedlot type]], 0)</f>
        <v>per cent of intake</v>
      </c>
      <c r="G52" s="37" cm="1">
        <f t="array" ref="G52">Common_InputFunctions.Utility_DisplayArrayInTable(SourceData_Feedlot.SourceData_Feedlot_AnimalCharacteristics_Data(), Table_SourceData_Feedlot_AnimalCharacteristics[[#Headers],[Feedlot type]], 0)</f>
        <v>21.1</v>
      </c>
      <c r="H52" s="37" cm="1">
        <f t="array" ref="H52">Common_InputFunctions.Utility_DisplayArrayInTable(SourceData_Feedlot.SourceData_Feedlot_AnimalCharacteristics_Data(), Table_SourceData_Feedlot_AnimalCharacteristics[[#Headers],[Feedlot type]], 0)</f>
        <v>20.399999999999999</v>
      </c>
      <c r="I52" s="37" cm="1">
        <f t="array" ref="I52">Common_InputFunctions.Utility_DisplayArrayInTable(SourceData_Feedlot.SourceData_Feedlot_AnimalCharacteristics_Data(), Table_SourceData_Feedlot_AnimalCharacteristics[[#Headers],[Feedlot type]], 0)</f>
        <v>20.399999999999999</v>
      </c>
      <c r="J52" s="37"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7" t="str" cm="1">
        <f t="array" ref="E53">Common_InputFunctions.Utility_DisplayArrayInTable(SourceData_Feedlot.SourceData_Feedlot_AnimalCharacteristics_Data(), Table_SourceData_Feedlot_AnimalCharacteristics[[#Headers],[Feedlot type]], 0)</f>
        <v>Days on feed</v>
      </c>
      <c r="F53" s="37" t="str" cm="1">
        <f t="array" ref="F53">Common_InputFunctions.Utility_DisplayArrayInTable(SourceData_Feedlot.SourceData_Feedlot_AnimalCharacteristics_Data(), Table_SourceData_Feedlot_AnimalCharacteristics[[#Headers],[Feedlot type]], 0)</f>
        <v>days</v>
      </c>
      <c r="G53" s="37" cm="1">
        <f t="array" ref="G53">Common_InputFunctions.Utility_DisplayArrayInTable(SourceData_Feedlot.SourceData_Feedlot_AnimalCharacteristics_Data(), Table_SourceData_Feedlot_AnimalCharacteristics[[#Headers],[Feedlot type]], 0)</f>
        <v>115</v>
      </c>
      <c r="H53" s="37" cm="1">
        <f t="array" ref="H53">Common_InputFunctions.Utility_DisplayArrayInTable(SourceData_Feedlot.SourceData_Feedlot_AnimalCharacteristics_Data(), Table_SourceData_Feedlot_AnimalCharacteristics[[#Headers],[Feedlot type]], 0)</f>
        <v>115</v>
      </c>
      <c r="I53" s="37" cm="1">
        <f t="array" ref="I53">Common_InputFunctions.Utility_DisplayArrayInTable(SourceData_Feedlot.SourceData_Feedlot_AnimalCharacteristics_Data(), Table_SourceData_Feedlot_AnimalCharacteristics[[#Headers],[Feedlot type]], 0)</f>
        <v>120</v>
      </c>
      <c r="J53" s="37"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7" t="str" cm="1">
        <f t="array" ref="E54">Common_InputFunctions.Utility_DisplayArrayInTable(SourceData_Feedlot.SourceData_Feedlot_AnimalCharacteristics_Data(), Table_SourceData_Feedlot_AnimalCharacteristics[[#Headers],[Feedlot type]], 0)</f>
        <v>Feed intake</v>
      </c>
      <c r="F54" s="37" t="str" cm="1">
        <f t="array" ref="F54">Common_InputFunctions.Utility_DisplayArrayInTable(SourceData_Feedlot.SourceData_Feedlot_AnimalCharacteristics_Data(), Table_SourceData_Feedlot_AnimalCharacteristics[[#Headers],[Feedlot type]], 0)</f>
        <v>kg DM/day</v>
      </c>
      <c r="G54" s="37" cm="1">
        <f t="array" ref="G54">Common_InputFunctions.Utility_DisplayArrayInTable(SourceData_Feedlot.SourceData_Feedlot_AnimalCharacteristics_Data(), Table_SourceData_Feedlot_AnimalCharacteristics[[#Headers],[Feedlot type]], 0)</f>
        <v>11.2</v>
      </c>
      <c r="H54" s="37" cm="1">
        <f t="array" ref="H54">Common_InputFunctions.Utility_DisplayArrayInTable(SourceData_Feedlot.SourceData_Feedlot_AnimalCharacteristics_Data(), Table_SourceData_Feedlot_AnimalCharacteristics[[#Headers],[Feedlot type]], 0)</f>
        <v>10.8</v>
      </c>
      <c r="I54" s="37" cm="1">
        <f t="array" ref="I54">Common_InputFunctions.Utility_DisplayArrayInTable(SourceData_Feedlot.SourceData_Feedlot_AnimalCharacteristics_Data(), Table_SourceData_Feedlot_AnimalCharacteristics[[#Headers],[Feedlot type]], 0)</f>
        <v>10.8</v>
      </c>
      <c r="J54" s="37"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7" t="str" cm="1">
        <f t="array" ref="E55">Common_InputFunctions.Utility_DisplayArrayInTable(SourceData_Feedlot.SourceData_Feedlot_AnimalCharacteristics_Data(), Table_SourceData_Feedlot_AnimalCharacteristics[[#Headers],[Feedlot type]], 0)</f>
        <v>N retention</v>
      </c>
      <c r="F55" s="37" t="str" cm="1">
        <f t="array" ref="F55">Common_InputFunctions.Utility_DisplayArrayInTable(SourceData_Feedlot.SourceData_Feedlot_AnimalCharacteristics_Data(), Table_SourceData_Feedlot_AnimalCharacteristics[[#Headers],[Feedlot type]], 0)</f>
        <v>per cent of intake</v>
      </c>
      <c r="G55" s="37" cm="1">
        <f t="array" ref="G55">Common_InputFunctions.Utility_DisplayArrayInTable(SourceData_Feedlot.SourceData_Feedlot_AnimalCharacteristics_Data(), Table_SourceData_Feedlot_AnimalCharacteristics[[#Headers],[Feedlot type]], 0)</f>
        <v>12.5</v>
      </c>
      <c r="H55" s="37" cm="1">
        <f t="array" ref="H55">Common_InputFunctions.Utility_DisplayArrayInTable(SourceData_Feedlot.SourceData_Feedlot_AnimalCharacteristics_Data(), Table_SourceData_Feedlot_AnimalCharacteristics[[#Headers],[Feedlot type]], 0)</f>
        <v>12.7</v>
      </c>
      <c r="I55" s="37" cm="1">
        <f t="array" ref="I55">Common_InputFunctions.Utility_DisplayArrayInTable(SourceData_Feedlot.SourceData_Feedlot_AnimalCharacteristics_Data(), Table_SourceData_Feedlot_AnimalCharacteristics[[#Headers],[Feedlot type]], 0)</f>
        <v>12.7</v>
      </c>
      <c r="J55" s="37"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7" t="str" cm="1">
        <f t="array" ref="E56">Common_InputFunctions.Utility_DisplayArrayInTable(SourceData_Feedlot.SourceData_Feedlot_AnimalCharacteristics_Data(), Table_SourceData_Feedlot_AnimalCharacteristics[[#Headers],[Feedlot type]], 0)</f>
        <v>Days on feed</v>
      </c>
      <c r="F56" s="37" t="str" cm="1">
        <f t="array" ref="F56">Common_InputFunctions.Utility_DisplayArrayInTable(SourceData_Feedlot.SourceData_Feedlot_AnimalCharacteristics_Data(), Table_SourceData_Feedlot_AnimalCharacteristics[[#Headers],[Feedlot type]], 0)</f>
        <v>days</v>
      </c>
      <c r="G56" s="37" cm="1">
        <f t="array" ref="G56">Common_InputFunctions.Utility_DisplayArrayInTable(SourceData_Feedlot.SourceData_Feedlot_AnimalCharacteristics_Data(), Table_SourceData_Feedlot_AnimalCharacteristics[[#Headers],[Feedlot type]], 0)</f>
        <v>250</v>
      </c>
      <c r="H56" s="37" cm="1">
        <f t="array" ref="H56">Common_InputFunctions.Utility_DisplayArrayInTable(SourceData_Feedlot.SourceData_Feedlot_AnimalCharacteristics_Data(), Table_SourceData_Feedlot_AnimalCharacteristics[[#Headers],[Feedlot type]], 0)</f>
        <v>250</v>
      </c>
      <c r="I56" s="37" cm="1">
        <f t="array" ref="I56">Common_InputFunctions.Utility_DisplayArrayInTable(SourceData_Feedlot.SourceData_Feedlot_AnimalCharacteristics_Data(), Table_SourceData_Feedlot_AnimalCharacteristics[[#Headers],[Feedlot type]], 0)</f>
        <v>250</v>
      </c>
      <c r="J56" s="37"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7" t="str" cm="1">
        <f t="array" ref="E57">Common_InputFunctions.Utility_DisplayArrayInTable(SourceData_Feedlot.SourceData_Feedlot_AnimalCharacteristics_Data(), Table_SourceData_Feedlot_AnimalCharacteristics[[#Headers],[Feedlot type]], 0)</f>
        <v>Feed intake</v>
      </c>
      <c r="F57" s="37" t="str" cm="1">
        <f t="array" ref="F57">Common_InputFunctions.Utility_DisplayArrayInTable(SourceData_Feedlot.SourceData_Feedlot_AnimalCharacteristics_Data(), Table_SourceData_Feedlot_AnimalCharacteristics[[#Headers],[Feedlot type]], 0)</f>
        <v>kg DM/day</v>
      </c>
      <c r="G57" s="37" cm="1">
        <f t="array" ref="G57">Common_InputFunctions.Utility_DisplayArrayInTable(SourceData_Feedlot.SourceData_Feedlot_AnimalCharacteristics_Data(), Table_SourceData_Feedlot_AnimalCharacteristics[[#Headers],[Feedlot type]], 0)</f>
        <v>9</v>
      </c>
      <c r="H57" s="37" cm="1">
        <f t="array" ref="H57">Common_InputFunctions.Utility_DisplayArrayInTable(SourceData_Feedlot.SourceData_Feedlot_AnimalCharacteristics_Data(), Table_SourceData_Feedlot_AnimalCharacteristics[[#Headers],[Feedlot type]], 0)</f>
        <v>8.5</v>
      </c>
      <c r="I57" s="37" cm="1">
        <f t="array" ref="I57">Common_InputFunctions.Utility_DisplayArrayInTable(SourceData_Feedlot.SourceData_Feedlot_AnimalCharacteristics_Data(), Table_SourceData_Feedlot_AnimalCharacteristics[[#Headers],[Feedlot type]], 0)</f>
        <v>8.1999999999999993</v>
      </c>
      <c r="J57" s="37"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7" t="str" cm="1">
        <f t="array" ref="E58">Common_InputFunctions.Utility_DisplayArrayInTable(SourceData_Feedlot.SourceData_Feedlot_AnimalCharacteristics_Data(), Table_SourceData_Feedlot_AnimalCharacteristics[[#Headers],[Feedlot type]], 0)</f>
        <v>N retention</v>
      </c>
      <c r="F58" s="37" t="str" cm="1">
        <f t="array" ref="F58">Common_InputFunctions.Utility_DisplayArrayInTable(SourceData_Feedlot.SourceData_Feedlot_AnimalCharacteristics_Data(), Table_SourceData_Feedlot_AnimalCharacteristics[[#Headers],[Feedlot type]], 0)</f>
        <v>per cent of intake</v>
      </c>
      <c r="G58" s="37" cm="1">
        <f t="array" ref="G58">Common_InputFunctions.Utility_DisplayArrayInTable(SourceData_Feedlot.SourceData_Feedlot_AnimalCharacteristics_Data(), Table_SourceData_Feedlot_AnimalCharacteristics[[#Headers],[Feedlot type]], 0)</f>
        <v>6.6</v>
      </c>
      <c r="H58" s="37" cm="1">
        <f t="array" ref="H58">Common_InputFunctions.Utility_DisplayArrayInTable(SourceData_Feedlot.SourceData_Feedlot_AnimalCharacteristics_Data(), Table_SourceData_Feedlot_AnimalCharacteristics[[#Headers],[Feedlot type]], 0)</f>
        <v>7</v>
      </c>
      <c r="I58" s="37" cm="1">
        <f t="array" ref="I58">Common_InputFunctions.Utility_DisplayArrayInTable(SourceData_Feedlot.SourceData_Feedlot_AnimalCharacteristics_Data(), Table_SourceData_Feedlot_AnimalCharacteristics[[#Headers],[Feedlot type]], 0)</f>
        <v>7</v>
      </c>
      <c r="J58" s="37"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3" t="str" cm="1">
        <f t="array" ref="D63:D65">SourceData_Feedlot.SourceData_Feedlot_DietProperties_Variation()</f>
        <v>VARIATION ON SOURCE:</v>
      </c>
      <c r="M63" s="24"/>
    </row>
    <row r="64" spans="4:13" ht="20.100000000000001" customHeight="1" x14ac:dyDescent="0.25">
      <c r="D64" s="53" t="str">
        <v>Added 'Converted to fraction column and converted NDF and Ether extract values to fractions.</v>
      </c>
      <c r="M64" s="24"/>
    </row>
    <row r="65" spans="4:13" ht="20.100000000000001" customHeight="1" x14ac:dyDescent="0.25">
      <c r="D65" s="53" t="str">
        <v>Moved feedlot types to a separate column to aid lookup.</v>
      </c>
      <c r="M65" s="24"/>
    </row>
    <row r="66" spans="4:13" ht="20.100000000000001" customHeight="1" x14ac:dyDescent="0.25">
      <c r="D66" s="37" t="s">
        <v>90</v>
      </c>
      <c r="E66" s="37" t="s">
        <v>91</v>
      </c>
      <c r="F66" s="37" t="s">
        <v>11</v>
      </c>
      <c r="G66" s="37" t="s">
        <v>92</v>
      </c>
      <c r="H66" s="37" t="s">
        <v>93</v>
      </c>
      <c r="I66" s="37" t="s">
        <v>94</v>
      </c>
      <c r="J66" s="37" t="s">
        <v>99</v>
      </c>
      <c r="M66" s="24"/>
    </row>
    <row r="67" spans="4:13" ht="20.100000000000001" customHeight="1" x14ac:dyDescent="0.25">
      <c r="D67" s="37" t="str" cm="1">
        <f t="array" ref="D67">Common_InputFunctions.Utility_DisplayArrayInTable(SourceData_Feedlot.SourceData_Feedlot_DietProperties_Data(), Table_SourceData_Feedlot_DietProperties[[#Headers],[Feedlot type]], 0)</f>
        <v>Domestic</v>
      </c>
      <c r="E67" s="37" t="str" cm="1">
        <f t="array" ref="E67">Common_InputFunctions.Utility_DisplayArrayInTable(SourceData_Feedlot.SourceData_Feedlot_DietProperties_Data(), Table_SourceData_Feedlot_DietProperties[[#Headers],[Feedlot type]], 0)</f>
        <v>Dry matter digestibility</v>
      </c>
      <c r="F67" s="37" t="str" cm="1">
        <f t="array" ref="F67">Common_InputFunctions.Utility_DisplayArrayInTable(SourceData_Feedlot.SourceData_Feedlot_DietProperties_Data(), Table_SourceData_Feedlot_DietProperties[[#Headers],[Feedlot type]], 0)</f>
        <v>fraction</v>
      </c>
      <c r="G67" s="37" cm="1">
        <f t="array" ref="G67">Common_InputFunctions.Utility_DisplayArrayInTable(SourceData_Feedlot.SourceData_Feedlot_DietProperties_Data(), Table_SourceData_Feedlot_DietProperties[[#Headers],[Feedlot type]], 0)</f>
        <v>0.81</v>
      </c>
      <c r="H67" s="37" cm="1">
        <f t="array" ref="H67">Common_InputFunctions.Utility_DisplayArrayInTable(SourceData_Feedlot.SourceData_Feedlot_DietProperties_Data(), Table_SourceData_Feedlot_DietProperties[[#Headers],[Feedlot type]], 0)</f>
        <v>0.81</v>
      </c>
      <c r="I67" s="37" cm="1">
        <f t="array" ref="I67">Common_InputFunctions.Utility_DisplayArrayInTable(SourceData_Feedlot.SourceData_Feedlot_DietProperties_Data(), Table_SourceData_Feedlot_DietProperties[[#Headers],[Feedlot type]], 0)</f>
        <v>0.81</v>
      </c>
      <c r="J67" s="37"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7" t="str" cm="1">
        <f t="array" ref="E68">Common_InputFunctions.Utility_DisplayArrayInTable(SourceData_Feedlot.SourceData_Feedlot_DietProperties_Data(), Table_SourceData_Feedlot_DietProperties[[#Headers],[Feedlot type]], 0)</f>
        <v>Crude protein</v>
      </c>
      <c r="F68" s="37" t="str" cm="1">
        <f t="array" ref="F68">Common_InputFunctions.Utility_DisplayArrayInTable(SourceData_Feedlot.SourceData_Feedlot_DietProperties_Data(), Table_SourceData_Feedlot_DietProperties[[#Headers],[Feedlot type]], 0)</f>
        <v>fraction</v>
      </c>
      <c r="G68" s="37" cm="1">
        <f t="array" ref="G68">Common_InputFunctions.Utility_DisplayArrayInTable(SourceData_Feedlot.SourceData_Feedlot_DietProperties_Data(), Table_SourceData_Feedlot_DietProperties[[#Headers],[Feedlot type]], 0)</f>
        <v>0.14000000000000001</v>
      </c>
      <c r="H68" s="37" cm="1">
        <f t="array" ref="H68">Common_InputFunctions.Utility_DisplayArrayInTable(SourceData_Feedlot.SourceData_Feedlot_DietProperties_Data(), Table_SourceData_Feedlot_DietProperties[[#Headers],[Feedlot type]], 0)</f>
        <v>0.14000000000000001</v>
      </c>
      <c r="I68" s="37" cm="1">
        <f t="array" ref="I68">Common_InputFunctions.Utility_DisplayArrayInTable(SourceData_Feedlot.SourceData_Feedlot_DietProperties_Data(), Table_SourceData_Feedlot_DietProperties[[#Headers],[Feedlot type]], 0)</f>
        <v>0.14000000000000001</v>
      </c>
      <c r="J68" s="37"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7" t="str" cm="1">
        <f t="array" ref="E69">Common_InputFunctions.Utility_DisplayArrayInTable(SourceData_Feedlot.SourceData_Feedlot_DietProperties_Data(), Table_SourceData_Feedlot_DietProperties[[#Headers],[Feedlot type]], 0)</f>
        <v>NDF</v>
      </c>
      <c r="F69" s="37" t="str" cm="1">
        <f t="array" ref="F69">Common_InputFunctions.Utility_DisplayArrayInTable(SourceData_Feedlot.SourceData_Feedlot_DietProperties_Data(), Table_SourceData_Feedlot_DietProperties[[#Headers],[Feedlot type]], 0)</f>
        <v>per cent</v>
      </c>
      <c r="G69" s="37" cm="1">
        <f t="array" ref="G69">Common_InputFunctions.Utility_DisplayArrayInTable(SourceData_Feedlot.SourceData_Feedlot_DietProperties_Data(), Table_SourceData_Feedlot_DietProperties[[#Headers],[Feedlot type]], 0)</f>
        <v>23</v>
      </c>
      <c r="H69" s="37" cm="1">
        <f t="array" ref="H69">Common_InputFunctions.Utility_DisplayArrayInTable(SourceData_Feedlot.SourceData_Feedlot_DietProperties_Data(), Table_SourceData_Feedlot_DietProperties[[#Headers],[Feedlot type]], 0)</f>
        <v>22</v>
      </c>
      <c r="I69" s="37" cm="1">
        <f t="array" ref="I69">Common_InputFunctions.Utility_DisplayArrayInTable(SourceData_Feedlot.SourceData_Feedlot_DietProperties_Data(), Table_SourceData_Feedlot_DietProperties[[#Headers],[Feedlot type]], 0)</f>
        <v>22</v>
      </c>
      <c r="J69" s="37"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7" t="str" cm="1">
        <f t="array" ref="E70">Common_InputFunctions.Utility_DisplayArrayInTable(SourceData_Feedlot.SourceData_Feedlot_DietProperties_Data(), Table_SourceData_Feedlot_DietProperties[[#Headers],[Feedlot type]], 0)</f>
        <v>Ether Extract</v>
      </c>
      <c r="F70" s="37" t="str" cm="1">
        <f t="array" ref="F70">Common_InputFunctions.Utility_DisplayArrayInTable(SourceData_Feedlot.SourceData_Feedlot_DietProperties_Data(), Table_SourceData_Feedlot_DietProperties[[#Headers],[Feedlot type]], 0)</f>
        <v>per cent</v>
      </c>
      <c r="G70" s="37" cm="1">
        <f t="array" ref="G70">Common_InputFunctions.Utility_DisplayArrayInTable(SourceData_Feedlot.SourceData_Feedlot_DietProperties_Data(), Table_SourceData_Feedlot_DietProperties[[#Headers],[Feedlot type]], 0)</f>
        <v>4.5</v>
      </c>
      <c r="H70" s="37" cm="1">
        <f t="array" ref="H70">Common_InputFunctions.Utility_DisplayArrayInTable(SourceData_Feedlot.SourceData_Feedlot_DietProperties_Data(), Table_SourceData_Feedlot_DietProperties[[#Headers],[Feedlot type]], 0)</f>
        <v>4.5</v>
      </c>
      <c r="I70" s="37" cm="1">
        <f t="array" ref="I70">Common_InputFunctions.Utility_DisplayArrayInTable(SourceData_Feedlot.SourceData_Feedlot_DietProperties_Data(), Table_SourceData_Feedlot_DietProperties[[#Headers],[Feedlot type]], 0)</f>
        <v>4.8</v>
      </c>
      <c r="J70" s="37"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7" t="str" cm="1">
        <f t="array" ref="E71">Common_InputFunctions.Utility_DisplayArrayInTable(SourceData_Feedlot.SourceData_Feedlot_DietProperties_Data(), Table_SourceData_Feedlot_DietProperties[[#Headers],[Feedlot type]], 0)</f>
        <v>Dry matter digestibility</v>
      </c>
      <c r="F71" s="37" t="str" cm="1">
        <f t="array" ref="F71">Common_InputFunctions.Utility_DisplayArrayInTable(SourceData_Feedlot.SourceData_Feedlot_DietProperties_Data(), Table_SourceData_Feedlot_DietProperties[[#Headers],[Feedlot type]], 0)</f>
        <v>fraction</v>
      </c>
      <c r="G71" s="37" cm="1">
        <f t="array" ref="G71">Common_InputFunctions.Utility_DisplayArrayInTable(SourceData_Feedlot.SourceData_Feedlot_DietProperties_Data(), Table_SourceData_Feedlot_DietProperties[[#Headers],[Feedlot type]], 0)</f>
        <v>0.81</v>
      </c>
      <c r="H71" s="37" cm="1">
        <f t="array" ref="H71">Common_InputFunctions.Utility_DisplayArrayInTable(SourceData_Feedlot.SourceData_Feedlot_DietProperties_Data(), Table_SourceData_Feedlot_DietProperties[[#Headers],[Feedlot type]], 0)</f>
        <v>0.81</v>
      </c>
      <c r="I71" s="37" cm="1">
        <f t="array" ref="I71">Common_InputFunctions.Utility_DisplayArrayInTable(SourceData_Feedlot.SourceData_Feedlot_DietProperties_Data(), Table_SourceData_Feedlot_DietProperties[[#Headers],[Feedlot type]], 0)</f>
        <v>0.81</v>
      </c>
      <c r="J71" s="37"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7" t="str" cm="1">
        <f t="array" ref="E72">Common_InputFunctions.Utility_DisplayArrayInTable(SourceData_Feedlot.SourceData_Feedlot_DietProperties_Data(), Table_SourceData_Feedlot_DietProperties[[#Headers],[Feedlot type]], 0)</f>
        <v>Crude protein</v>
      </c>
      <c r="F72" s="37" t="str" cm="1">
        <f t="array" ref="F72">Common_InputFunctions.Utility_DisplayArrayInTable(SourceData_Feedlot.SourceData_Feedlot_DietProperties_Data(), Table_SourceData_Feedlot_DietProperties[[#Headers],[Feedlot type]], 0)</f>
        <v>fraction</v>
      </c>
      <c r="G72" s="37" cm="1">
        <f t="array" ref="G72">Common_InputFunctions.Utility_DisplayArrayInTable(SourceData_Feedlot.SourceData_Feedlot_DietProperties_Data(), Table_SourceData_Feedlot_DietProperties[[#Headers],[Feedlot type]], 0)</f>
        <v>0.13</v>
      </c>
      <c r="H72" s="37" cm="1">
        <f t="array" ref="H72">Common_InputFunctions.Utility_DisplayArrayInTable(SourceData_Feedlot.SourceData_Feedlot_DietProperties_Data(), Table_SourceData_Feedlot_DietProperties[[#Headers],[Feedlot type]], 0)</f>
        <v>0.125</v>
      </c>
      <c r="I72" s="37" cm="1">
        <f t="array" ref="I72">Common_InputFunctions.Utility_DisplayArrayInTable(SourceData_Feedlot.SourceData_Feedlot_DietProperties_Data(), Table_SourceData_Feedlot_DietProperties[[#Headers],[Feedlot type]], 0)</f>
        <v>0.12</v>
      </c>
      <c r="J72" s="37"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7" t="str" cm="1">
        <f t="array" ref="E73">Common_InputFunctions.Utility_DisplayArrayInTable(SourceData_Feedlot.SourceData_Feedlot_DietProperties_Data(), Table_SourceData_Feedlot_DietProperties[[#Headers],[Feedlot type]], 0)</f>
        <v>NDF</v>
      </c>
      <c r="F73" s="37" t="str" cm="1">
        <f t="array" ref="F73">Common_InputFunctions.Utility_DisplayArrayInTable(SourceData_Feedlot.SourceData_Feedlot_DietProperties_Data(), Table_SourceData_Feedlot_DietProperties[[#Headers],[Feedlot type]], 0)</f>
        <v>per cent</v>
      </c>
      <c r="G73" s="37" cm="1">
        <f t="array" ref="G73">Common_InputFunctions.Utility_DisplayArrayInTable(SourceData_Feedlot.SourceData_Feedlot_DietProperties_Data(), Table_SourceData_Feedlot_DietProperties[[#Headers],[Feedlot type]], 0)</f>
        <v>24</v>
      </c>
      <c r="H73" s="37" cm="1">
        <f t="array" ref="H73">Common_InputFunctions.Utility_DisplayArrayInTable(SourceData_Feedlot.SourceData_Feedlot_DietProperties_Data(), Table_SourceData_Feedlot_DietProperties[[#Headers],[Feedlot type]], 0)</f>
        <v>22</v>
      </c>
      <c r="I73" s="37" cm="1">
        <f t="array" ref="I73">Common_InputFunctions.Utility_DisplayArrayInTable(SourceData_Feedlot.SourceData_Feedlot_DietProperties_Data(), Table_SourceData_Feedlot_DietProperties[[#Headers],[Feedlot type]], 0)</f>
        <v>22</v>
      </c>
      <c r="J73" s="37"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7" t="str" cm="1">
        <f t="array" ref="E74">Common_InputFunctions.Utility_DisplayArrayInTable(SourceData_Feedlot.SourceData_Feedlot_DietProperties_Data(), Table_SourceData_Feedlot_DietProperties[[#Headers],[Feedlot type]], 0)</f>
        <v>Ether Extract</v>
      </c>
      <c r="F74" s="37" t="str" cm="1">
        <f t="array" ref="F74">Common_InputFunctions.Utility_DisplayArrayInTable(SourceData_Feedlot.SourceData_Feedlot_DietProperties_Data(), Table_SourceData_Feedlot_DietProperties[[#Headers],[Feedlot type]], 0)</f>
        <v>per cent</v>
      </c>
      <c r="G74" s="37" cm="1">
        <f t="array" ref="G74">Common_InputFunctions.Utility_DisplayArrayInTable(SourceData_Feedlot.SourceData_Feedlot_DietProperties_Data(), Table_SourceData_Feedlot_DietProperties[[#Headers],[Feedlot type]], 0)</f>
        <v>5</v>
      </c>
      <c r="H74" s="37" cm="1">
        <f t="array" ref="H74">Common_InputFunctions.Utility_DisplayArrayInTable(SourceData_Feedlot.SourceData_Feedlot_DietProperties_Data(), Table_SourceData_Feedlot_DietProperties[[#Headers],[Feedlot type]], 0)</f>
        <v>5</v>
      </c>
      <c r="I74" s="37" cm="1">
        <f t="array" ref="I74">Common_InputFunctions.Utility_DisplayArrayInTable(SourceData_Feedlot.SourceData_Feedlot_DietProperties_Data(), Table_SourceData_Feedlot_DietProperties[[#Headers],[Feedlot type]], 0)</f>
        <v>5</v>
      </c>
      <c r="J74" s="37"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7" t="str" cm="1">
        <f t="array" ref="E75">Common_InputFunctions.Utility_DisplayArrayInTable(SourceData_Feedlot.SourceData_Feedlot_DietProperties_Data(), Table_SourceData_Feedlot_DietProperties[[#Headers],[Feedlot type]], 0)</f>
        <v>Dry matter digestibility</v>
      </c>
      <c r="F75" s="37" t="str" cm="1">
        <f t="array" ref="F75">Common_InputFunctions.Utility_DisplayArrayInTable(SourceData_Feedlot.SourceData_Feedlot_DietProperties_Data(), Table_SourceData_Feedlot_DietProperties[[#Headers],[Feedlot type]], 0)</f>
        <v>fraction</v>
      </c>
      <c r="G75" s="37" cm="1">
        <f t="array" ref="G75">Common_InputFunctions.Utility_DisplayArrayInTable(SourceData_Feedlot.SourceData_Feedlot_DietProperties_Data(), Table_SourceData_Feedlot_DietProperties[[#Headers],[Feedlot type]], 0)</f>
        <v>0.81</v>
      </c>
      <c r="H75" s="37" cm="1">
        <f t="array" ref="H75">Common_InputFunctions.Utility_DisplayArrayInTable(SourceData_Feedlot.SourceData_Feedlot_DietProperties_Data(), Table_SourceData_Feedlot_DietProperties[[#Headers],[Feedlot type]], 0)</f>
        <v>0.81</v>
      </c>
      <c r="I75" s="37" cm="1">
        <f t="array" ref="I75">Common_InputFunctions.Utility_DisplayArrayInTable(SourceData_Feedlot.SourceData_Feedlot_DietProperties_Data(), Table_SourceData_Feedlot_DietProperties[[#Headers],[Feedlot type]], 0)</f>
        <v>0.81</v>
      </c>
      <c r="J75" s="37"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7" t="str" cm="1">
        <f t="array" ref="E76">Common_InputFunctions.Utility_DisplayArrayInTable(SourceData_Feedlot.SourceData_Feedlot_DietProperties_Data(), Table_SourceData_Feedlot_DietProperties[[#Headers],[Feedlot type]], 0)</f>
        <v>Crude protein</v>
      </c>
      <c r="F76" s="37" t="str" cm="1">
        <f t="array" ref="F76">Common_InputFunctions.Utility_DisplayArrayInTable(SourceData_Feedlot.SourceData_Feedlot_DietProperties_Data(), Table_SourceData_Feedlot_DietProperties[[#Headers],[Feedlot type]], 0)</f>
        <v>fraction</v>
      </c>
      <c r="G76" s="37" cm="1">
        <f t="array" ref="G76">Common_InputFunctions.Utility_DisplayArrayInTable(SourceData_Feedlot.SourceData_Feedlot_DietProperties_Data(), Table_SourceData_Feedlot_DietProperties[[#Headers],[Feedlot type]], 0)</f>
        <v>0.13</v>
      </c>
      <c r="H76" s="37" cm="1">
        <f t="array" ref="H76">Common_InputFunctions.Utility_DisplayArrayInTable(SourceData_Feedlot.SourceData_Feedlot_DietProperties_Data(), Table_SourceData_Feedlot_DietProperties[[#Headers],[Feedlot type]], 0)</f>
        <v>0.125</v>
      </c>
      <c r="I76" s="37" cm="1">
        <f t="array" ref="I76">Common_InputFunctions.Utility_DisplayArrayInTable(SourceData_Feedlot.SourceData_Feedlot_DietProperties_Data(), Table_SourceData_Feedlot_DietProperties[[#Headers],[Feedlot type]], 0)</f>
        <v>0.12</v>
      </c>
      <c r="J76" s="37"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7" t="str" cm="1">
        <f t="array" ref="E77">Common_InputFunctions.Utility_DisplayArrayInTable(SourceData_Feedlot.SourceData_Feedlot_DietProperties_Data(), Table_SourceData_Feedlot_DietProperties[[#Headers],[Feedlot type]], 0)</f>
        <v>NDF</v>
      </c>
      <c r="F77" s="37" t="str" cm="1">
        <f t="array" ref="F77">Common_InputFunctions.Utility_DisplayArrayInTable(SourceData_Feedlot.SourceData_Feedlot_DietProperties_Data(), Table_SourceData_Feedlot_DietProperties[[#Headers],[Feedlot type]], 0)</f>
        <v>per cent</v>
      </c>
      <c r="G77" s="37" cm="1">
        <f t="array" ref="G77">Common_InputFunctions.Utility_DisplayArrayInTable(SourceData_Feedlot.SourceData_Feedlot_DietProperties_Data(), Table_SourceData_Feedlot_DietProperties[[#Headers],[Feedlot type]], 0)</f>
        <v>24</v>
      </c>
      <c r="H77" s="37" cm="1">
        <f t="array" ref="H77">Common_InputFunctions.Utility_DisplayArrayInTable(SourceData_Feedlot.SourceData_Feedlot_DietProperties_Data(), Table_SourceData_Feedlot_DietProperties[[#Headers],[Feedlot type]], 0)</f>
        <v>24</v>
      </c>
      <c r="I77" s="37" cm="1">
        <f t="array" ref="I77">Common_InputFunctions.Utility_DisplayArrayInTable(SourceData_Feedlot.SourceData_Feedlot_DietProperties_Data(), Table_SourceData_Feedlot_DietProperties[[#Headers],[Feedlot type]], 0)</f>
        <v>24</v>
      </c>
      <c r="J77" s="37"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7" t="str" cm="1">
        <f t="array" ref="E78">Common_InputFunctions.Utility_DisplayArrayInTable(SourceData_Feedlot.SourceData_Feedlot_DietProperties_Data(), Table_SourceData_Feedlot_DietProperties[[#Headers],[Feedlot type]], 0)</f>
        <v>Ether Extract</v>
      </c>
      <c r="F78" s="37" t="str" cm="1">
        <f t="array" ref="F78">Common_InputFunctions.Utility_DisplayArrayInTable(SourceData_Feedlot.SourceData_Feedlot_DietProperties_Data(), Table_SourceData_Feedlot_DietProperties[[#Headers],[Feedlot type]], 0)</f>
        <v>per cent</v>
      </c>
      <c r="G78" s="37" cm="1">
        <f t="array" ref="G78">Common_InputFunctions.Utility_DisplayArrayInTable(SourceData_Feedlot.SourceData_Feedlot_DietProperties_Data(), Table_SourceData_Feedlot_DietProperties[[#Headers],[Feedlot type]], 0)</f>
        <v>5</v>
      </c>
      <c r="H78" s="37" cm="1">
        <f t="array" ref="H78">Common_InputFunctions.Utility_DisplayArrayInTable(SourceData_Feedlot.SourceData_Feedlot_DietProperties_Data(), Table_SourceData_Feedlot_DietProperties[[#Headers],[Feedlot type]], 0)</f>
        <v>5</v>
      </c>
      <c r="I78" s="37" cm="1">
        <f t="array" ref="I78">Common_InputFunctions.Utility_DisplayArrayInTable(SourceData_Feedlot.SourceData_Feedlot_DietProperties_Data(), Table_SourceData_Feedlot_DietProperties[[#Headers],[Feedlot type]], 0)</f>
        <v>5.5</v>
      </c>
      <c r="J78" s="37"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3" t="str" cm="1">
        <f t="array" ref="D83:D86">SourceData_Feedlot.SourceData_Feedlot_MCF_Variation()</f>
        <v>VARIATION ON SOURCE:</v>
      </c>
      <c r="M83" s="1"/>
    </row>
    <row r="84" spans="4:14" ht="20.100000000000001" customHeight="1" x14ac:dyDescent="0.25">
      <c r="D84" s="53" t="str">
        <v>Duplicated NSW values for ACT</v>
      </c>
      <c r="M84" s="1"/>
    </row>
    <row r="85" spans="4:14" ht="20.100000000000001" customHeight="1" x14ac:dyDescent="0.25">
      <c r="D85" s="53" t="str">
        <v>Added NT column that duplicates QLD values as per advice from source data provider.</v>
      </c>
      <c r="M85" s="1"/>
    </row>
    <row r="86" spans="4:14" ht="20.100000000000001" customHeight="1" x14ac:dyDescent="0.25">
      <c r="D86" s="53" t="str">
        <v>Added TAS column that duplicates VIC values as per advice from source data provider.</v>
      </c>
      <c r="M86" s="1"/>
    </row>
    <row r="87" spans="4:14" ht="20.100000000000001" customHeight="1" x14ac:dyDescent="0.25">
      <c r="M87" s="1"/>
    </row>
    <row r="88" spans="4:14" ht="20.100000000000001" customHeight="1" x14ac:dyDescent="0.25">
      <c r="D88" s="37" t="s">
        <v>82</v>
      </c>
      <c r="E88" s="37" t="s">
        <v>80</v>
      </c>
      <c r="F88" s="37" t="s">
        <v>65</v>
      </c>
      <c r="G88" s="37" t="s">
        <v>64</v>
      </c>
      <c r="H88" s="37" t="s">
        <v>67</v>
      </c>
      <c r="I88" s="37" t="s">
        <v>66</v>
      </c>
      <c r="J88" s="37" t="s">
        <v>68</v>
      </c>
      <c r="K88" s="37" t="s">
        <v>70</v>
      </c>
      <c r="L88" s="37" t="s">
        <v>71</v>
      </c>
      <c r="M88" s="37" t="s">
        <v>69</v>
      </c>
      <c r="N88" s="37" t="s">
        <v>78</v>
      </c>
    </row>
    <row r="89" spans="4:14" ht="20.100000000000001" customHeight="1" x14ac:dyDescent="0.25">
      <c r="D89" s="37" t="str" cm="1">
        <f t="array" ref="D89">Common_InputFunctions.Utility_DisplayArrayInTable(SourceData_Feedlot.SourceData_Feedlot_MCF_Data(), Table_SourceData_Feedlot_MCF[[#Headers],[Treatment stage T]], 0)</f>
        <v>Primary</v>
      </c>
      <c r="E89" s="37" t="str" cm="1">
        <f t="array" ref="E89">Common_InputFunctions.Utility_DisplayArrayInTable(SourceData_Feedlot.SourceData_Feedlot_MCF_Data(), Table_SourceData_Feedlot_MCF[[#Headers],[Treatment stage T]], 0)</f>
        <v>Dry lot (Feedpad)</v>
      </c>
      <c r="F89" s="37" cm="1">
        <f t="array" ref="F89">Common_InputFunctions.Utility_DisplayArrayInTable(SourceData_Feedlot.SourceData_Feedlot_MCF_Data(), Table_SourceData_Feedlot_MCF[[#Headers],[Treatment stage T]], 0)</f>
        <v>0.01</v>
      </c>
      <c r="G89" s="37" cm="1">
        <f t="array" ref="G89">Common_InputFunctions.Utility_DisplayArrayInTable(SourceData_Feedlot.SourceData_Feedlot_MCF_Data(), Table_SourceData_Feedlot_MCF[[#Headers],[Treatment stage T]], 0)</f>
        <v>0.01</v>
      </c>
      <c r="H89" s="37" cm="1">
        <f t="array" ref="H89">Common_InputFunctions.Utility_DisplayArrayInTable(SourceData_Feedlot.SourceData_Feedlot_MCF_Data(), Table_SourceData_Feedlot_MCF[[#Headers],[Treatment stage T]], 0)</f>
        <v>0.03</v>
      </c>
      <c r="I89" s="37" cm="1">
        <f t="array" ref="I89">Common_InputFunctions.Utility_DisplayArrayInTable(SourceData_Feedlot.SourceData_Feedlot_MCF_Data(), Table_SourceData_Feedlot_MCF[[#Headers],[Treatment stage T]], 0)</f>
        <v>0.03</v>
      </c>
      <c r="J89" s="37" cm="1">
        <f t="array" ref="J89">Common_InputFunctions.Utility_DisplayArrayInTable(SourceData_Feedlot.SourceData_Feedlot_MCF_Data(), Table_SourceData_Feedlot_MCF[[#Headers],[Treatment stage T]], 0)</f>
        <v>0.01</v>
      </c>
      <c r="K89" s="37" cm="1">
        <f t="array" ref="K89">Common_InputFunctions.Utility_DisplayArrayInTable(SourceData_Feedlot.SourceData_Feedlot_MCF_Data(), Table_SourceData_Feedlot_MCF[[#Headers],[Treatment stage T]], 0)</f>
        <v>0.01</v>
      </c>
      <c r="L89" s="37" cm="1">
        <f t="array" ref="L89">Common_InputFunctions.Utility_DisplayArrayInTable(SourceData_Feedlot.SourceData_Feedlot_MCF_Data(), Table_SourceData_Feedlot_MCF[[#Headers],[Treatment stage T]], 0)</f>
        <v>0.01</v>
      </c>
      <c r="M89" s="37" cm="1">
        <f t="array" ref="M89">Common_InputFunctions.Utility_DisplayArrayInTable(SourceData_Feedlot.SourceData_Feedlot_MCF_Data(), Table_SourceData_Feedlot_MCF[[#Headers],[Treatment stage T]], 0)</f>
        <v>0.01</v>
      </c>
      <c r="N89" s="37"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7" t="str" cm="1">
        <f t="array" ref="E90">Common_InputFunctions.Utility_DisplayArrayInTable(SourceData_Feedlot.SourceData_Feedlot_MCF_Data(), Table_SourceData_Feedlot_MCF[[#Headers],[Treatment stage T]], 0)</f>
        <v>Solid Storage (Stockpile)</v>
      </c>
      <c r="F90" s="37" cm="1">
        <f t="array" ref="F90">Common_InputFunctions.Utility_DisplayArrayInTable(SourceData_Feedlot.SourceData_Feedlot_MCF_Data(), Table_SourceData_Feedlot_MCF[[#Headers],[Treatment stage T]], 0)</f>
        <v>0.02</v>
      </c>
      <c r="G90" s="37" cm="1">
        <f t="array" ref="G90">Common_InputFunctions.Utility_DisplayArrayInTable(SourceData_Feedlot.SourceData_Feedlot_MCF_Data(), Table_SourceData_Feedlot_MCF[[#Headers],[Treatment stage T]], 0)</f>
        <v>0.02</v>
      </c>
      <c r="H90" s="37" cm="1">
        <f t="array" ref="H90">Common_InputFunctions.Utility_DisplayArrayInTable(SourceData_Feedlot.SourceData_Feedlot_MCF_Data(), Table_SourceData_Feedlot_MCF[[#Headers],[Treatment stage T]], 0)</f>
        <v>0.02</v>
      </c>
      <c r="I90" s="37" cm="1">
        <f t="array" ref="I90">Common_InputFunctions.Utility_DisplayArrayInTable(SourceData_Feedlot.SourceData_Feedlot_MCF_Data(), Table_SourceData_Feedlot_MCF[[#Headers],[Treatment stage T]], 0)</f>
        <v>0.02</v>
      </c>
      <c r="J90" s="37" cm="1">
        <f t="array" ref="J90">Common_InputFunctions.Utility_DisplayArrayInTable(SourceData_Feedlot.SourceData_Feedlot_MCF_Data(), Table_SourceData_Feedlot_MCF[[#Headers],[Treatment stage T]], 0)</f>
        <v>0.02</v>
      </c>
      <c r="K90" s="37" cm="1">
        <f t="array" ref="K90">Common_InputFunctions.Utility_DisplayArrayInTable(SourceData_Feedlot.SourceData_Feedlot_MCF_Data(), Table_SourceData_Feedlot_MCF[[#Headers],[Treatment stage T]], 0)</f>
        <v>0.02</v>
      </c>
      <c r="L90" s="37" cm="1">
        <f t="array" ref="L90">Common_InputFunctions.Utility_DisplayArrayInTable(SourceData_Feedlot.SourceData_Feedlot_MCF_Data(), Table_SourceData_Feedlot_MCF[[#Headers],[Treatment stage T]], 0)</f>
        <v>0.02</v>
      </c>
      <c r="M90" s="37" cm="1">
        <f t="array" ref="M90">Common_InputFunctions.Utility_DisplayArrayInTable(SourceData_Feedlot.SourceData_Feedlot_MCF_Data(), Table_SourceData_Feedlot_MCF[[#Headers],[Treatment stage T]], 0)</f>
        <v>0.02</v>
      </c>
      <c r="N90" s="37"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7" t="str" cm="1">
        <f t="array" ref="E91">Common_InputFunctions.Utility_DisplayArrayInTable(SourceData_Feedlot.SourceData_Feedlot_MCF_Data(), Table_SourceData_Feedlot_MCF[[#Headers],[Treatment stage T]], 0)</f>
        <v>Composting (Passive Windrow)</v>
      </c>
      <c r="F91" s="37" cm="1">
        <f t="array" ref="F91">Common_InputFunctions.Utility_DisplayArrayInTable(SourceData_Feedlot.SourceData_Feedlot_MCF_Data(), Table_SourceData_Feedlot_MCF[[#Headers],[Treatment stage T]], 0)</f>
        <v>0.01</v>
      </c>
      <c r="G91" s="37" cm="1">
        <f t="array" ref="G91">Common_InputFunctions.Utility_DisplayArrayInTable(SourceData_Feedlot.SourceData_Feedlot_MCF_Data(), Table_SourceData_Feedlot_MCF[[#Headers],[Treatment stage T]], 0)</f>
        <v>0.01</v>
      </c>
      <c r="H91" s="37" cm="1">
        <f t="array" ref="H91">Common_InputFunctions.Utility_DisplayArrayInTable(SourceData_Feedlot.SourceData_Feedlot_MCF_Data(), Table_SourceData_Feedlot_MCF[[#Headers],[Treatment stage T]], 0)</f>
        <v>0.01</v>
      </c>
      <c r="I91" s="37" cm="1">
        <f t="array" ref="I91">Common_InputFunctions.Utility_DisplayArrayInTable(SourceData_Feedlot.SourceData_Feedlot_MCF_Data(), Table_SourceData_Feedlot_MCF[[#Headers],[Treatment stage T]], 0)</f>
        <v>0.01</v>
      </c>
      <c r="J91" s="37" cm="1">
        <f t="array" ref="J91">Common_InputFunctions.Utility_DisplayArrayInTable(SourceData_Feedlot.SourceData_Feedlot_MCF_Data(), Table_SourceData_Feedlot_MCF[[#Headers],[Treatment stage T]], 0)</f>
        <v>0.01</v>
      </c>
      <c r="K91" s="37" cm="1">
        <f t="array" ref="K91">Common_InputFunctions.Utility_DisplayArrayInTable(SourceData_Feedlot.SourceData_Feedlot_MCF_Data(), Table_SourceData_Feedlot_MCF[[#Headers],[Treatment stage T]], 0)</f>
        <v>0.01</v>
      </c>
      <c r="L91" s="37" cm="1">
        <f t="array" ref="L91">Common_InputFunctions.Utility_DisplayArrayInTable(SourceData_Feedlot.SourceData_Feedlot_MCF_Data(), Table_SourceData_Feedlot_MCF[[#Headers],[Treatment stage T]], 0)</f>
        <v>0.01</v>
      </c>
      <c r="M91" s="37" cm="1">
        <f t="array" ref="M91">Common_InputFunctions.Utility_DisplayArrayInTable(SourceData_Feedlot.SourceData_Feedlot_MCF_Data(), Table_SourceData_Feedlot_MCF[[#Headers],[Treatment stage T]], 0)</f>
        <v>0.01</v>
      </c>
      <c r="N91" s="37"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7" t="str" cm="1">
        <f t="array" ref="E92">Common_InputFunctions.Utility_DisplayArrayInTable(SourceData_Feedlot.SourceData_Feedlot_MCF_Data(), Table_SourceData_Feedlot_MCF[[#Headers],[Treatment stage T]], 0)</f>
        <v>Direct Application to soil</v>
      </c>
      <c r="F92" s="37" cm="1">
        <f t="array" ref="F92">Common_InputFunctions.Utility_DisplayArrayInTable(SourceData_Feedlot.SourceData_Feedlot_MCF_Data(), Table_SourceData_Feedlot_MCF[[#Headers],[Treatment stage T]], 0)</f>
        <v>0</v>
      </c>
      <c r="G92" s="37" cm="1">
        <f t="array" ref="G92">Common_InputFunctions.Utility_DisplayArrayInTable(SourceData_Feedlot.SourceData_Feedlot_MCF_Data(), Table_SourceData_Feedlot_MCF[[#Headers],[Treatment stage T]], 0)</f>
        <v>0</v>
      </c>
      <c r="H92" s="37" cm="1">
        <f t="array" ref="H92">Common_InputFunctions.Utility_DisplayArrayInTable(SourceData_Feedlot.SourceData_Feedlot_MCF_Data(), Table_SourceData_Feedlot_MCF[[#Headers],[Treatment stage T]], 0)</f>
        <v>0</v>
      </c>
      <c r="I92" s="37" cm="1">
        <f t="array" ref="I92">Common_InputFunctions.Utility_DisplayArrayInTable(SourceData_Feedlot.SourceData_Feedlot_MCF_Data(), Table_SourceData_Feedlot_MCF[[#Headers],[Treatment stage T]], 0)</f>
        <v>0</v>
      </c>
      <c r="J92" s="37" cm="1">
        <f t="array" ref="J92">Common_InputFunctions.Utility_DisplayArrayInTable(SourceData_Feedlot.SourceData_Feedlot_MCF_Data(), Table_SourceData_Feedlot_MCF[[#Headers],[Treatment stage T]], 0)</f>
        <v>0</v>
      </c>
      <c r="K92" s="37" cm="1">
        <f t="array" ref="K92">Common_InputFunctions.Utility_DisplayArrayInTable(SourceData_Feedlot.SourceData_Feedlot_MCF_Data(), Table_SourceData_Feedlot_MCF[[#Headers],[Treatment stage T]], 0)</f>
        <v>0</v>
      </c>
      <c r="L92" s="37" cm="1">
        <f t="array" ref="L92">Common_InputFunctions.Utility_DisplayArrayInTable(SourceData_Feedlot.SourceData_Feedlot_MCF_Data(), Table_SourceData_Feedlot_MCF[[#Headers],[Treatment stage T]], 0)</f>
        <v>0</v>
      </c>
      <c r="M92" s="37" cm="1">
        <f t="array" ref="M92">Common_InputFunctions.Utility_DisplayArrayInTable(SourceData_Feedlot.SourceData_Feedlot_MCF_Data(), Table_SourceData_Feedlot_MCF[[#Headers],[Treatment stage T]], 0)</f>
        <v>0</v>
      </c>
      <c r="N92" s="37"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7" t="str" cm="1">
        <f t="array" ref="E93">Common_InputFunctions.Utility_DisplayArrayInTable(SourceData_Feedlot.SourceData_Feedlot_MCF_Data(), Table_SourceData_Feedlot_MCF[[#Headers],[Treatment stage T]], 0)</f>
        <v>Uncovered anaerobic lagoon (Effluent pond)</v>
      </c>
      <c r="F93" s="37" cm="1">
        <f t="array" ref="F93">Common_InputFunctions.Utility_DisplayArrayInTable(SourceData_Feedlot.SourceData_Feedlot_MCF_Data(), Table_SourceData_Feedlot_MCF[[#Headers],[Treatment stage T]], 0)</f>
        <v>0.75</v>
      </c>
      <c r="G93" s="37" cm="1">
        <f t="array" ref="G93">Common_InputFunctions.Utility_DisplayArrayInTable(SourceData_Feedlot.SourceData_Feedlot_MCF_Data(), Table_SourceData_Feedlot_MCF[[#Headers],[Treatment stage T]], 0)</f>
        <v>0.75</v>
      </c>
      <c r="H93" s="37" cm="1">
        <f t="array" ref="H93">Common_InputFunctions.Utility_DisplayArrayInTable(SourceData_Feedlot.SourceData_Feedlot_MCF_Data(), Table_SourceData_Feedlot_MCF[[#Headers],[Treatment stage T]], 0)</f>
        <v>0.77</v>
      </c>
      <c r="I93" s="37" cm="1">
        <f t="array" ref="I93">Common_InputFunctions.Utility_DisplayArrayInTable(SourceData_Feedlot.SourceData_Feedlot_MCF_Data(), Table_SourceData_Feedlot_MCF[[#Headers],[Treatment stage T]], 0)</f>
        <v>0.77</v>
      </c>
      <c r="J93" s="37" cm="1">
        <f t="array" ref="J93">Common_InputFunctions.Utility_DisplayArrayInTable(SourceData_Feedlot.SourceData_Feedlot_MCF_Data(), Table_SourceData_Feedlot_MCF[[#Headers],[Treatment stage T]], 0)</f>
        <v>0.75</v>
      </c>
      <c r="K93" s="37" cm="1">
        <f t="array" ref="K93">Common_InputFunctions.Utility_DisplayArrayInTable(SourceData_Feedlot.SourceData_Feedlot_MCF_Data(), Table_SourceData_Feedlot_MCF[[#Headers],[Treatment stage T]], 0)</f>
        <v>0.75</v>
      </c>
      <c r="L93" s="37" cm="1">
        <f t="array" ref="L93">Common_InputFunctions.Utility_DisplayArrayInTable(SourceData_Feedlot.SourceData_Feedlot_MCF_Data(), Table_SourceData_Feedlot_MCF[[#Headers],[Treatment stage T]], 0)</f>
        <v>0.77</v>
      </c>
      <c r="M93" s="37" cm="1">
        <f t="array" ref="M93">Common_InputFunctions.Utility_DisplayArrayInTable(SourceData_Feedlot.SourceData_Feedlot_MCF_Data(), Table_SourceData_Feedlot_MCF[[#Headers],[Treatment stage T]], 0)</f>
        <v>0.75</v>
      </c>
      <c r="N93" s="37"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3" t="str" cm="1">
        <f t="array" ref="D98:D99">SourceData_Feedlot.SourceData_Feedlot_NitrousOxideEFs_Variation()</f>
        <v>VARIATION ON SOURCE:</v>
      </c>
      <c r="M98" s="24"/>
    </row>
    <row r="99" spans="4:14" ht="20.100000000000001" customHeight="1" x14ac:dyDescent="0.25">
      <c r="D99" s="53" t="str">
        <v>Added 'NIR definition' column with MMS names that match NIR definitions.</v>
      </c>
      <c r="M99" s="24"/>
    </row>
    <row r="100" spans="4:14" ht="20.100000000000001" customHeight="1" x14ac:dyDescent="0.25">
      <c r="D100" s="37" t="s">
        <v>82</v>
      </c>
      <c r="E100" s="37" t="s">
        <v>80</v>
      </c>
      <c r="F100" s="37" t="s">
        <v>104</v>
      </c>
      <c r="G100" s="37" t="s">
        <v>78</v>
      </c>
      <c r="M100" s="1"/>
      <c r="N100" s="24"/>
    </row>
    <row r="101" spans="4:14" ht="20.100000000000001" customHeight="1" x14ac:dyDescent="0.25">
      <c r="D101" s="37" t="str" cm="1">
        <f t="array" ref="D101">Common_InputFunctions.Utility_DisplayArrayInTable(SourceData_Feedlot.SourceData_Feedlot_NitrousOxideEFs_Data(), Table_SourceData_Feedlot_NO2EFs[[#Headers],[Treatment stage T]], 0)</f>
        <v>Primary</v>
      </c>
      <c r="E101" s="37" t="str" cm="1">
        <f t="array" ref="E101">Common_InputFunctions.Utility_DisplayArrayInTable(SourceData_Feedlot.SourceData_Feedlot_NitrousOxideEFs_Data(), Table_SourceData_Feedlot_NO2EFs[[#Headers],[Treatment stage T]], 0)</f>
        <v>Dry lot (Feedpad)</v>
      </c>
      <c r="F101" s="37" cm="1">
        <f t="array" ref="F101">Common_InputFunctions.Utility_DisplayArrayInTable(SourceData_Feedlot.SourceData_Feedlot_NitrousOxideEFs_Data(), Table_SourceData_Feedlot_NO2EFs[[#Headers],[Treatment stage T]], 0)</f>
        <v>5.4000000000000003E-3</v>
      </c>
      <c r="G101" s="37"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7" t="str" cm="1">
        <f t="array" ref="E102">Common_InputFunctions.Utility_DisplayArrayInTable(SourceData_Feedlot.SourceData_Feedlot_NitrousOxideEFs_Data(), Table_SourceData_Feedlot_NO2EFs[[#Headers],[Treatment stage T]], 0)</f>
        <v>Solid Storage (Stockpile)</v>
      </c>
      <c r="F102" s="37" cm="1">
        <f t="array" ref="F102">Common_InputFunctions.Utility_DisplayArrayInTable(SourceData_Feedlot.SourceData_Feedlot_NitrousOxideEFs_Data(), Table_SourceData_Feedlot_NO2EFs[[#Headers],[Treatment stage T]], 0)</f>
        <v>5.0000000000000001E-3</v>
      </c>
      <c r="G102" s="37"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7" t="str" cm="1">
        <f t="array" ref="E103">Common_InputFunctions.Utility_DisplayArrayInTable(SourceData_Feedlot.SourceData_Feedlot_NitrousOxideEFs_Data(), Table_SourceData_Feedlot_NO2EFs[[#Headers],[Treatment stage T]], 0)</f>
        <v>Composting (Passive Windrow)</v>
      </c>
      <c r="F103" s="37" cm="1">
        <f t="array" ref="F103">Common_InputFunctions.Utility_DisplayArrayInTable(SourceData_Feedlot.SourceData_Feedlot_NitrousOxideEFs_Data(), Table_SourceData_Feedlot_NO2EFs[[#Headers],[Treatment stage T]], 0)</f>
        <v>0.01</v>
      </c>
      <c r="G103" s="37"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7" t="str" cm="1">
        <f t="array" ref="E104">Common_InputFunctions.Utility_DisplayArrayInTable(SourceData_Feedlot.SourceData_Feedlot_NitrousOxideEFs_Data(), Table_SourceData_Feedlot_NO2EFs[[#Headers],[Treatment stage T]], 0)</f>
        <v>Direct Application to soil</v>
      </c>
      <c r="F104" s="37" cm="1">
        <f t="array" ref="F104">Common_InputFunctions.Utility_DisplayArrayInTable(SourceData_Feedlot.SourceData_Feedlot_NitrousOxideEFs_Data(), Table_SourceData_Feedlot_NO2EFs[[#Headers],[Treatment stage T]], 0)</f>
        <v>0</v>
      </c>
      <c r="G104" s="37"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7" t="str" cm="1">
        <f t="array" ref="E105">Common_InputFunctions.Utility_DisplayArrayInTable(SourceData_Feedlot.SourceData_Feedlot_NitrousOxideEFs_Data(), Table_SourceData_Feedlot_NO2EFs[[#Headers],[Treatment stage T]], 0)</f>
        <v>Uncovered anaerobic lagoon (Effluent Pond)</v>
      </c>
      <c r="F105" s="37" cm="1">
        <f t="array" ref="F105">Common_InputFunctions.Utility_DisplayArrayInTable(SourceData_Feedlot.SourceData_Feedlot_NitrousOxideEFs_Data(), Table_SourceData_Feedlot_NO2EFs[[#Headers],[Treatment stage T]], 0)</f>
        <v>0</v>
      </c>
      <c r="G105" s="37"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3" t="str" cm="1">
        <f t="array" ref="D110:D111">SourceData_Feedlot.SourceData_Feedlot_FracNVolatilised_Variation()</f>
        <v>VARIATION ON SOURCE:</v>
      </c>
      <c r="M110" s="24"/>
    </row>
    <row r="111" spans="4:14" ht="20.100000000000001" customHeight="1" x14ac:dyDescent="0.25">
      <c r="D111" s="53" t="str">
        <v>Added 'NIR definition' column with MMS names that match NIR definitions.</v>
      </c>
      <c r="M111" s="24"/>
    </row>
    <row r="112" spans="4:14" ht="20.100000000000001" customHeight="1" x14ac:dyDescent="0.25">
      <c r="D112" s="95" t="s">
        <v>82</v>
      </c>
      <c r="E112" s="95" t="s">
        <v>80</v>
      </c>
      <c r="F112" s="95" t="s">
        <v>105</v>
      </c>
      <c r="G112" s="95" t="s">
        <v>78</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5BB2-1C48-48CB-B0A9-6744D232A85A}">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59</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13</v>
      </c>
      <c r="E6" s="37" t="s">
        <v>14</v>
      </c>
      <c r="F6" s="37" t="s">
        <v>15</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16</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18</v>
      </c>
      <c r="E36" s="37" t="s">
        <v>19</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18</v>
      </c>
      <c r="E47" s="37" t="s">
        <v>21</v>
      </c>
      <c r="F47" s="37" t="s">
        <v>22</v>
      </c>
      <c r="G47" s="37" t="s">
        <v>23</v>
      </c>
      <c r="H47" s="37" t="s">
        <v>24</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8</v>
      </c>
      <c r="E63" s="37" t="s">
        <v>38</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8</v>
      </c>
      <c r="E89" s="37" t="s">
        <v>26</v>
      </c>
      <c r="F89" s="37" t="s">
        <v>27</v>
      </c>
      <c r="G89" s="37" t="s">
        <v>28</v>
      </c>
      <c r="H89" s="37" t="s">
        <v>29</v>
      </c>
      <c r="I89" s="37" t="s">
        <v>30</v>
      </c>
      <c r="J89" s="37" t="s">
        <v>31</v>
      </c>
      <c r="K89" s="37" t="s">
        <v>32</v>
      </c>
      <c r="L89" s="37" t="s">
        <v>33</v>
      </c>
      <c r="M89" s="37" t="s">
        <v>34</v>
      </c>
      <c r="N89" s="37" t="s">
        <v>35</v>
      </c>
      <c r="O89" s="37" t="s">
        <v>39</v>
      </c>
      <c r="P89" s="37" t="s">
        <v>36</v>
      </c>
      <c r="Q89" s="37" t="s">
        <v>40</v>
      </c>
      <c r="R89" s="37" t="s">
        <v>37</v>
      </c>
      <c r="S89" s="37" t="s">
        <v>41</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43</v>
      </c>
      <c r="E109" s="37" t="s">
        <v>26</v>
      </c>
      <c r="F109" s="37" t="s">
        <v>44</v>
      </c>
      <c r="G109" s="37" t="s">
        <v>45</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46</v>
      </c>
      <c r="E119" s="37" t="s">
        <v>47</v>
      </c>
      <c r="F119" s="37" t="s">
        <v>33</v>
      </c>
      <c r="G119" s="37" t="s">
        <v>34</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48</v>
      </c>
      <c r="E127" s="37" t="s">
        <v>49</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132</v>
      </c>
      <c r="E142" s="37" t="s">
        <v>75</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51</v>
      </c>
      <c r="E153" s="37" t="s">
        <v>52</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115</v>
      </c>
      <c r="E186" s="37" t="s">
        <v>116</v>
      </c>
      <c r="F186" s="37" t="s">
        <v>117</v>
      </c>
      <c r="G186" s="37" t="s">
        <v>118</v>
      </c>
      <c r="H186" s="37" t="s">
        <v>25</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8</v>
      </c>
      <c r="E206" s="37" t="s">
        <v>133</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134</v>
      </c>
      <c r="E212" s="37" t="s">
        <v>135</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42</v>
      </c>
      <c r="E231" s="37" t="s">
        <v>145</v>
      </c>
      <c r="F231" s="36" t="s">
        <v>146</v>
      </c>
      <c r="G231" s="37" t="s">
        <v>147</v>
      </c>
      <c r="H231" s="37" t="s">
        <v>148</v>
      </c>
      <c r="I231" s="37" t="s">
        <v>149</v>
      </c>
      <c r="J231" s="37" t="s">
        <v>150</v>
      </c>
      <c r="K231" s="37" t="s">
        <v>151</v>
      </c>
      <c r="L231" s="37" t="s">
        <v>152</v>
      </c>
      <c r="M231" s="37" t="s">
        <v>153</v>
      </c>
      <c r="N231" s="37" t="s">
        <v>154</v>
      </c>
      <c r="O231" s="37" t="s">
        <v>155</v>
      </c>
      <c r="P231" s="37" t="s">
        <v>156</v>
      </c>
      <c r="Q231" s="37" t="s">
        <v>142</v>
      </c>
      <c r="R231" s="37" t="s">
        <v>157</v>
      </c>
      <c r="S231" s="37" t="s">
        <v>158</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182</v>
      </c>
      <c r="E257" s="37" t="s">
        <v>183</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0" t="e" vm="1">
        <v>#VALUE!</v>
      </c>
      <c r="C1" s="8" t="s">
        <v>61</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6" t="s">
        <v>62</v>
      </c>
      <c r="E9" s="37" t="s">
        <v>12</v>
      </c>
      <c r="F9" s="37" t="s">
        <v>63</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58</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HYPERLINK("#'3.1.1.1-2 Enteric Methane'!A1", "3.1.1.1-2 Enteric Methane")</f>
        <v>3.1.1.1-2 Enteric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8" t="s">
        <v>4</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HYPERLINK("#'Constants - Feedlot'!A1", "Constants - Feedlot")</f>
        <v>Constants - Feedlot</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64" t="str">
        <f>HYPERLINK("#'Constants - Livestock'!A1", "Constants - Livestock")</f>
        <v>Constants - Livestock</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Common'!A1", "Constants - Common")</f>
        <v>Constants - Common</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HYPERLINK("#'Acknowledgements'!A1", "Acknowledgements")</f>
        <v>Acknowledgements</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136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2" t="s">
        <v>60</v>
      </c>
    </row>
    <row r="17" spans="1:1" ht="20.100000000000001" customHeight="1" x14ac:dyDescent="0.25">
      <c r="A17" s="62" t="s">
        <v>56</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58</v>
      </c>
    </row>
    <row r="22" spans="1:1" ht="20.100000000000001" customHeight="1" x14ac:dyDescent="0.25">
      <c r="A22" s="62" t="s">
        <v>1</v>
      </c>
    </row>
    <row r="23" spans="1:1" ht="20.100000000000001" customHeight="1" x14ac:dyDescent="0.25">
      <c r="A23" s="62" t="s">
        <v>57</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2" t="s">
        <v>60</v>
      </c>
    </row>
    <row r="32" spans="1:1" ht="20.100000000000001" customHeight="1" x14ac:dyDescent="0.25">
      <c r="A32" s="62" t="s">
        <v>56</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2"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TAG8AdQByAGMAZQBEAGEAdABhAF8ARgBlAGUAZABsAG8AdAAiACwAIgB0AGUAeAB0ACIAOgAiAC8AKgAgAFwAbgAtAC0ALQAtAC0ALQAtAC0ALQAtAC0ALQAtAC0ALQAtAC0ALQAtAC0ALQAtAC0ALQAtAC0ALQAtAC0ALQAtAC0ALQAtAC0ALQAtAC0AXABuAFMAbwB1AHIAYwBlAEQAYQB0AGEAXwBGAGUAZQBkAGwAbwB0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GAGUAZQBkAGwAbwB0AF8AVgBTAEwAXwBUAGkAdABsAGUAXABuACAAIAA9AEwAQQBNAEIARABBACgAXAAiAEYAZQBlAGQAbABvAHQAIAAtACAARgByAGEAYwB0AGkAbwBuACAAbwBmACAAdgBvAGwAYQB0AGkAbABlACAAcwBvAGwAaQBkAHMAIABsAG8AcwB0ACAAZAB1AHIAaQBuAGcAIABzAHQAbwByAGEAZwBlACAAaQBuACAAdABoAGUAIABwAHIAaQBtAGEAcgB5ACAAcwB5AHMAdABlAG0AXAAiACkAOwBcAG4AXABuAFMAbwB1AHIAYwBlAEQAYQB0AGEAXwBGAGUAZQBkAGwAbwB0AF8AVgBTAEwAXwBWAGEAcgBpAGEAYgBsAGUAXABuACAAIAA9AEwAQQBNAEIARABBACgAXAAiAFYAUwBMAFwAIgApADsAXABuAFwAbgBTAG8AdQByAGMAZQBEAGEAdABhAF8ARgBlAGUAZABsAG8AdABfAFYAUwBMAF8AVQBuAGkAdABcAG4AIAAgAD0ATABBAE0AQgBEAEEAKABcACIARgByAGEAYwB0AGkAbwBuAFwAIgApADsAXABuAFwAbgBTAG8AdQByAGMAZQBEAGEAdABhAF8ARgBlAGUAZABsAG8AdABfAFYAUwBMAF8AUwBvAHUAcgBjAGUAXABuACAAIAA9AEwAQQBNAEIARABBACgAXAAiAFYARQBFAFIARwAgADIAMAAyADYAOgAgADQALgAxAC4AMgAuADMAIABDAE8ATgBTAFQAQQBOAFQAUwBcACIAKQA7AFwAbgBcAG4AUwBvAHUAcgBjAGUARABhAHQAYQBfAEYAZQBlAGQAbABvAHQAXwBWAFMATABfAFYAYQByAGkAYQB0AGkAbwBuAFwAbgAgACAAPQBMAEEATQBCAEQAQQAoAFwAIgBcACIAKQA7AFwAbgBcAG4AUwBvAHUAcgBjAGUARABhAHQAYQBfAEYAZQBlAGQAbABvAHQAXwBWAFMATABfAEQAYQB0AGEAXABuACAAIAA9AEwAQQBNAEIARABBACgAMAAuADUAKQA7AFwAbgBcAG4ALwAqACAAXABuAC0ALQAtAC0ALQAtAC0ALQAtAC0ALQAtAC0ALQAtAC0ALQAtAC0ALQAtAC0ALQAtAC0ALQAtAC0ALQAtAC0ALQAtAC0ALQAtAC0ALQBcAG4AUwBvAHUAcgBjAGUARABhAHQAYQBfAEYAZQBlAGQAbABvAHQAXwBNAE0AUwBtADEAVAAzAFwAb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BuAC0ALQAtAC0ALQAtAC0ALQAtAC0ALQAtAC0ALQAtAC0ALQAtAC0ALQAtAC0ALQAtAC0ALQAtAC0ALQAtAC0ALQAtAC0ALQAtAC0ALQBcAG4AKgAvAFwAbgBcAG4AUwBvAHUAcgBjAGUARABhAHQAYQBfAEYAZQBlAGQAbABvAHQAXwBNAE0AUwBtADEAVAAzAF8AVABpAHQAbABlAFwAbgAgACAAPQBMAEEATQBCAEQAQQAoAFwAI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AiACkAOwBcAG4AXABuAFMAbwB1AHIAYwBlAEQAYQB0AGEAXwBGAGUAZQBkAGwAbwB0AF8ATQBNAFMAbQAxAFQAMwBfAFYAYQByAGkAYQBiAGwAZQBcAG4AIAAgAD0ATABBAE0AQgBEAEEAKABcACIATQBNAFMAbQAxAFQAMwBcACIAKQA7AFwAbgBcAG4AUwBvAHUAcgBjAGUARABhAHQAYQBfAEYAZQBlAGQAbABvAHQAXwBNAE0AUwBtADEAVAAzAF8AVQBuAGkAdABcAG4AIAAgAD0ATABBAE0AQgBEAEEAKABcACIARgByAGEAYwB0AGkAbwBuAFwAIgApADsAXABuAFwAbgBTAG8AdQByAGMAZQBEAGEAdABhAF8ARgBlAGUAZABsAG8AdABfAE0ATQBTAG0AMQBUADMAXwBTAG8AdQByAGMAZQBcAG4AIAAgAD0ATABBAE0AQgBEAEEAKABcACIAVgBFAEUAUgBHACAAMgAwADIANgA6ACAANAAuADEALgAyAC4AMwAgAEMATwBOAFMAVABBAE4AVABTAFwAIgApADsAXABuAFwAbgBTAG8AdQByAGMAZQBEAGEAdABhAF8ARgBlAGUAZABsAG8AdABfAE0ATQBTAG0AMQBUADMAXwBWAGEAcgBpAGEAdABpAG8AbgBcAG4AIAAgAD0ATABBAE0AQgBEAEEAKABcACIAXAAiACkAOwBcAG4AXABuAFMAbwB1AHIAYwBlAEQAYQB0AGEAXwBGAGUAZQBkAGwAbwB0AF8ATQBNAFMAbQAxAFQAMwBfAEQAYQB0AGEAXABuACAAIAA9AEwAQQBNAEIARABBACgAMAAuADAAMgApADsAXABuAFwAbgAvACoAIABcAG4ALQAtAC0ALQAtAC0ALQAtAC0ALQAtAC0ALQAtAC0ALQAtAC0ALQAtAC0ALQAtAC0ALQAtAC0ALQAtAC0ALQAtAC0ALQAtAC0ALQAtAFwAbgBTAG8AdQByAGMAZQBEAGEAdABhAF8ARgBlAGUAZABsAG8AdABfAEEAcwBoAEMAbwBuAHQAZQBuAHQAXABuAEEAcwBoACAAYwBvAG4AdABlAG4AdAAgAG8AZgAgAG0AYQBuAHUAcgBlAC4AXABuAC0ALQAtAC0ALQAtAC0ALQAtAC0ALQAtAC0ALQAtAC0ALQAtAC0ALQAtAC0ALQAtAC0ALQAtAC0ALQAtAC0ALQAtAC0ALQAtAC0ALQBcAG4AKgAvAFwAbgBcAG4AUwBvAHUAcgBjAGUARABhAHQAYQBfAEYAZQBlAGQAbABvAHQAXwBBAHMAaABDAG8AbgB0AGUAbgB0AF8AVABpAHQAbABlAFwAbgAgACAAPQBMAEEATQBCAEQAQQAoAFwAIgBBAHMAaAAgAGMAbwBuAHQAZQBuAHQAIABvAGYAIABtAGEAbgB1AHIAZQAuAFwAIgApADsAXABuAFwAbgBTAG8AdQByAGMAZQBEAGEAdABhAF8ARgBlAGUAZABsAG8AdABfAEEAcwBoAEMAbwBuAHQAZQBuAHQAXwBWAGEAcgBpAGEAYgBsAGUAXABuACAAIAA9AEwAQQBNAEIARABBACgAXAAiAEEAXAAiACkAOwBcAG4AXABuAFMAbwB1AHIAYwBlAEQAYQB0AGEAXwBGAGUAZQBkAGwAbwB0AF8AQQBzAGgAQwBvAG4AdABlAG4AdABfAFUAbgBpAHQAXABuACAAIAA9AEwAQQBNAEIARABBACgAXAAiAEYAcgBhAGMAdABpAG8AbgBcACIAKQA7AFwAbgBcAG4AUwBvAHUAcgBjAGUARABhAHQAYQBfAEYAZQBlAGQAbABvAHQAXwBBAHMAaABDAG8AbgB0AGUAbgB0AF8AUwBvAHUAcgBjAGUAXABuACAAIAA9AEwAQQBNAEIARABBACgAXAAiAFYARQBFAFIARwAgADIAMAAyADYAOgAgADQALgAxAC4AMgAuADMAIABDAE8ATgBTAFQAQQBOAFQAUwBcACIAKQA7AFwAbgBcAG4AUwBvAHUAcgBjAGUARABhAHQAYQBfAEYAZQBlAGQAbABvAHQAXwBBAHMAaABDAG8AbgB0AGUAbgB0AF8AVgBhAHIAaQBhAHQAaQBvAG4AXABuACAAIAA9AEwAQQBNAEIARABBACgAXAAiAFwAIgApADsAXABuAFwAbgBTAG8AdQByAGMAZQBEAGEAdABhAF8ARgBlAGUAZABsAG8AdABfAEEAcwBoAEMAbwBuAHQAZQBuAHQAXwBEAGEAdABhAFwAbgAgACAAPQBMAEEATQBCAEQAQQAoADAALgAxADYAKQA7AFwAbgBcAG4ALwAqACAAXABuAC0ALQAtAC0ALQAtAC0ALQAtAC0ALQAtAC0ALQAtAC0ALQAtAC0ALQAtAC0ALQAtAC0ALQAtAC0ALQAtAC0ALQAtAC0ALQAtAC0ALQBcAG4AUwBvAHUAcgBjAGUARABhAHQAYQBfAEYAZQBlAGQAbABvAHQ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GAGUAZQBkAGwAbwB0AF8ATQBlAHQAaABhAG4AZQBFAG0AaQBzAHMAaQBvAG4AcwBQAG8AdABlAG4AdABpAGEAbABfAFQAaQB0AGwAZQBcAG4AIAAgAD0ATABBAE0AQgBEAEEAKABcACIATQBlAHQAaABhAG4AZQAgAGUAbQBpAHMAcwBpAG8AbgBzACAAcABvAHQAZQBuAHQAaQBhAGwALgBcACIAKQA7AFwAbgBcAG4AUwBvAHUAcgBjAGUARABhAHQAYQBfAEYAZQBlAGQAbABvAHQAXwBNAGUAdABoAGEAbgBlAEUAbQBpAHMAcwBpAG8AbgBzAFAAbwB0AGUAbgB0AGkAYQBsAF8AVgBhAHIAaQBhAGIAbABlAFwAbgAgACAAPQBMAEEATQBCAEQAQQAoAFwAIgBCADAAXAAiACkAOwBcAG4AXABuAFMAbwB1AHIAYwBlAEQAYQB0AGEAXwBGAGUAZQBkAGwAbwB0AF8ATQBlAHQAaABhAG4AZQBFAG0AaQBzAHMAaQBvAG4AcwBQAG8AdABlAG4AdABpAGEAbABfAFUAbgBpAHQAXABuACAAIAA9AEwAQQBNAEIARABBACgAXAAiAG0AMwAgAEMASAA0ACAALwAgAGsAZwAgAFYAUwBcACIAKQA7AFwAbgBcAG4AUwBvAHUAcgBjAGUARABhAHQAYQBfAEYAZQBlAGQAbABvAHQAXwBNAGUAdABoAGEAbgBlAEUAbQBpAHMAcwBpAG8AbgBzAFAAbwB0AGUAbgB0AGkAYQBsAF8AUwBvAHUAcgBjAGUAXABuACAAIAA9AEwAQQBNAEIARABBACgAXAAiAFYARQBFAFIARwAgADIAMAAyADYAOgAgADQALgAxAC4AMgAuADMAIABDAE8ATgBTAFQAQQBOAFQAUwBcACIAKQA7AFwAbgBcAG4AUwBvAHUAcgBjAGUARABhAHQAYQBfAEYAZQBlAGQAbABvAHQAXwBNAGUAdABoAGEAbgBlAEUAbQBpAHMAcwBpAG8AbgBzAFAAbwB0AGUAbgB0AGkAYQBsAF8AVgBhAHIAaQBhAHQAaQBvAG4AXABuACAAIAA9AEwAQQBNAEIARABBACgAXAAiAFwAIgApADsAXABuAFwAbgBTAG8AdQByAGMAZQBEAGEAdABhAF8ARgBlAGUAZABsAG8AdABfAE0AZQB0AGgAYQBuAGUARQBtAGkAcwBzAGkAbwBuAHMAUABvAHQAZQBuAHQAaQBhAGwAXwBEAGEAdABhAFwAbgAgACAAPQBMAEEATQBCAEQAQQAoADAALgAxADkAKQA7AFwAbgBcAG4AXABuAFMAbwB1AHIAYwBlAEQAYQB0AGEAXwBGAGUAZQBkAGwAbwB0AF8AUwB0AGEAZwBlADEATQBNAFMATwBwAHQAaQBvAG4AcwBcAG4AIAAgAD0ATABBAE0AQgBEAEEAKABcAG4AIAAgACAAIABNAEEASwBFAEEAUgBSAEEAWQAoADEALAAgADEALABcAG4AIAAgACAAIAAgACAATABBAE0AQgBEAEEAKAByACwAYwAsAFwAbgAgACAAIAAgACAAIAAgACAASQBOAEQARQBYACgAewBcAG4AIAAgACAAIAAgACAAIAAgACAAIABcACIARAByAHkAbABvAHQAIAAoAGYAZQBlAGQAIABwAGEAZAApAFwAIgBcAG4AIAAgACAAIAAgACAAIAAgAH0ALAAgAHIALAAgAGMAKQBcAG4AIAAgACAAIAAgACAAKQBcAG4AIAAgACAAIAApAFwAbgAgACAAKQA7AFwAbgBcAG4AUwBvAHUAcgBjAGUARABhAHQAYQBfAEYAZQBlAGQAbABvAHQAXwBTAHQAYQBnAGUAMgBNAE0AUwBPAHAAdABpAG8AbgBzAFwAbgAgACAAPQBMAEEATQBCAEQAQQAoAFwAbgAgACAAIAAgAE0AQQBLAEUAQQBSAFIAQQBZACgANAAsACAAMQAsAFwAbgAgACAAIAAgACAAIABMAEEATQBCAEQAQQAoAHIALABjACwAXABuACAAIAAgACAAIAAgACAAIABJAE4ARABFAFgAKAB7AFwAbgAgACAAIAAgACAAIAAgACAAIAAgAFwAIgBTAG8AbABpAGQAIABzAHQAbwByAGEAZwBlAFwAIgA7AFwAbgAgACAAIAAgACAAIAAgACAAIAAgAFwAIgBDAG8AbQBwAG8AcwB0AGkAbgBnACAAKABwAGEAcwBzAGkAdgBlACAAdwBpAG4AZAByAG8AdwApAFwAIgA7AFwAbgAgACAAIAAgACAAIAAgACAAIAAgAFwAIgBEAGkAcgBlAGMAdAAgAGEAcABwAGwAaQBjAGEAdABpAG8AbgBcACIAOwBcAG4AIAAgACAAIAAgACAAIAAgACAAIABcACIATgBvACAATQBNAFMAXAAiAFwAbgAgACAAIAAgACAAIAAgACAAfQAsACAAcgAsACAAYwApAFwAbgAgACAAIAAgACAAIAApAFwAbgAgACAAIAAgACkAXABuACAAIAApADsAXABuAFwAbgBTAG8AdQByAGMAZQBEAGEAdABhAF8ARgBlAGUAZABsAG8AdABfAFMAdABhAGcAZQAzAE0ATQBTAE8AcAB0AGkAbwBuAHMAXABuACAAIAA9AEwAQQBNAEIARABBACgAXABuACAAIAAgACAATQBBAEsARQBBAFIAUgBBAFkAKAAxACwAIAAxACwAXABuACAAIAAgACAAIAAgAEwAQQBNAEIARABBACgAcgAsAGMALABcAG4AIAAgACAAIAAgACAAIAAgAEkATgBEAEUAWAAoAHsAXABuACAAIAAgACAAIAAgACAAIAAgACAAXAAiAEEAbgBhAGUAcgBvAGIAaQBjACAAbABhAGcAbwBvAG4AXAAiAFwAbgAgACAAIAAgACAAIAAgACAAfQAsACAAcgAsACAAYwApAFwAbgAgACAAIAAgACAAIAApAFwAbgAgACAAIAAgACkAXABuACAAIAApADsAXABuAFwAbgBTAG8AdQByAGMAZQBEAGEAdABhAF8ARgBlAGUAZABsAG8AdABfAEwAaQB2AGUAcwB0AG8AYwBrAEMAbABhAHMAcwBlAHMAXABuACAAIAA9AEwAQQBNAEIARABBACgAXABuACAAIAAgACAATQBBAEsARQBBAFIAUgBBAFkAKAAzACwAIAAxACwAXABuACAAIAAgACAAIAAgAEwAQQBNAEIARABBACgAcgAsAGMALABcAG4AIAAgACAAIAAgACAAIAAgAEkATgBEAEUAWAAoAHsAXABuACAAIAAgACAAIAAgACAAIAAgACAAXAAiAEQAbwBtAGUAcwB0AGkAYwBcACIAOwAgAFwAbgAgACAAIAAgACAAIAAgACAAIAAgAFwAIgBFAHgAcABvAHIAdAAgAG0AaQBkACAAZgBlAGQAXAAiADsAIABcAG4AIAAgACAAIAAgACAAIAAgACAAIABcACIARQB4AHAAbwByAHQAIABsAG8AbgBnACAAZgBlAGQAXAAi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EAHUAcgBhAHQAaQBvAG4ATwBmAFMAdABhAHkAXABuAFQAYQBiAGwAZQAgAEEALgAxAC4AMQAuADEAOgAgAEIAZQBlAGYAIABmAGUAZQBkAGwAbwB0ACAAYwBhAHQAdABsAGUAIAAtACAARAB1AHIAYQB0AGkAbwBuACAAbwBmACAAcwB0AGEAeQAgACgAZABhAHkAcwApAFwAbgAtAC0ALQAtAC0ALQAtAC0ALQAtAC0ALQAtAC0ALQAtAC0ALQAtAC0ALQAtAC0ALQAtAC0ALQAtAC0ALQAtAC0ALQAtAC0ALQAtAC0AXABuACoALwBcAG4AXABuAFMAbwB1AHIAYwBlAEQAYQB0AGEAXwBGAGUAZQBkAGwAbwB0AF8ARAB1AHIAYQB0AGkAbwBuAE8AZgBTAHQAYQB5AF8AVABpAHQAbABlAFwAbgAgACAAPQBMAEEATQBCAEQAQQAoAFwAIgBCAGUAZQBmACAAZgBlAGUAZABsAG8AdAAgAGMAYQB0AHQAbABlACAALQAgAEQAdQByAGEAdABpAG8AbgAgAG8AZgAgAHMAdABhAHkAIAAoAGQAYQB5AHMAKQBcACIAKQA7AFwAbgBcAG4AUwBvAHUAcgBjAGUARABhAHQAYQBfAEYAZQBlAGQAbABvAHQAXwBEAHUAcgBhAHQAaQBvAG4ATwBmAFMAdABhAHkAXwBVAG4AaQB0AFwAbgAgACAAPQBMAEEATQBCAEQAQQAoAFwAIgBcACIAKQA7AFwAbgBcAG4AUwBvAHUAcgBjAGUARABhAHQAYQBfAEYAZQBlAGQAbABvAHQAXwBEAHUAcgBhAHQAaQBvAG4ATwBmAFMAdABhAHkAXwBTAG8AdQByAGMAZQBcAG4AIAAgAD0ATABBAE0AQgBEAEEAKABcACIAVgBFAEUAUgBHACAAMgAwADIANgA6ACAAVABhAGIAbABlACAAQQAuADEALgAxAC4AMQA6ACAAQgBlAGUAZgAgAGYAZQBlAGQAbABvAHQAIABjAGEAdAB0AGwAZQAgAC0AIABEAHUAcgBhAHQAaQBvAG4AIABvAGYAIABzAHQAYQB5ACAAKABkAGEAeQBzACkAXAAiACkAOwBcAG4AXABuAFMAbwB1AHIAYwBlAEQAYQB0AGEAXwBGAGUAZQBkAGwAbwB0AF8ARAB1AHIAYQB0AGkAbwBuAE8AZgBTAHQAYQB5AF8AVgBhAHIAaQBhAHQAaQBvAG4AXABuACAAIAA9AEwAQQBNAEIARABBACgAXAAiAFwAIgApADsAXABuAFwAbgBTAG8AdQByAGMAZQBEAGEAdABhAF8ARgBlAGUAZABsAG8AdABfAEQAdQByAGEAdABpAG8AbgBPAGYAUwB0AGEAeQBfAEQAYQB0AGEAXABuACAAIAA9AEwAQQBNAEIARABBACgAXABuACAAIAAgACAATQBBAEsARQBBAFIAUgBBAFkAKAA0ACwAIAAyACwAIABcAG4AIAAgACAAIAAgACAATABBAE0AQgBEAEEAKAByACwAYwAsACAAXABuACAAIAAgACAAIAAgACAAIABJAE4ARABFAFgAKAB7AFwAbgAgACAAIAAgACAAIAAgACAAIAAgAFwAIgBGAGUAZQBkAGwAbwB0ACAAdAB5AHAAZQBcACIALAAgAFwAIgBMAGUAbgBnAHQAaAAgAG8AZgAgAFMAdABhAHkAXAAiADsAXABuACAAIAAgACAAIAAgACAAIAAgACAAXAAiAEQAbwBtAGUAcwB0AGkAYwBcACIALAAgAFwAIgAxAC0AOAAwACAAZABhAHkAcwBcACIAOwBcAG4AIAAgACAAIAAgACAAIAAgACAAIABcACIATQBpAGQALQBmAGUAZABcACIALAAgAFwAIgA4ADEALQAyADAAMAAgAGQAYQB5AHMAXAAiADsAXABuACAAIAAgACAAIAAgACAAIAAgACAAXAAiAEwAbwBuAGcALQBmAGUAZABcACIALAAgAFwAIgAyADAAMQArACAAZABhAHkAcw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BAG4AaQBtAGEAbABDAGgAYQByAGEAYwB0AGUAcgBpAHMAdABpAGMAcwBcAG4AVABhAGIAbABlACAAQQAuADEALgAxAC4AMgA6ACAAQgBlAGUAZgAgAGYAZQBlAGQAbABvAHQAIABjAGEAdAB0AGwAZQAgAC0AIABBAG4AaQBtAGEAbAAgAGMAaABhAHIAYQBjAHQAZQByAGkAcwB0AGkAYwBzAFwAbgAtAC0ALQAtAC0ALQAtAC0ALQAtAC0ALQAtAC0ALQAtAC0ALQAtAC0ALQAtAC0ALQAtAC0ALQAtAC0ALQAtAC0ALQAtAC0ALQAtAC0AXABuACoALwBcAG4AXABuAFMAbwB1AHIAYwBlAEQAYQB0AGEAXwBGAGUAZQBkAGwAbwB0AF8AQQBuAGkAbQBhAGwAQwBoAGEAcgBhAGMAdABlAHIAaQBzAHQAaQBjAHMAXwBUAGkAdABsAGUAXABuACAAIAA9AEwAQQBNAEIARABBACgAXAAiAEIAZQBlAGYAIABmAGUAZQBkAGwAbwB0ACAAYwBhAHQAdABsAGUAIAAtACAAQQBuAGkAbQBhAGwAIABjAGgAYQByAGEAYwB0AGUAcgBpAHMAdABpAGMAcwBcACIAKQA7AFwAbgBcAG4AUwBvAHUAcgBjAGUARABhAHQAYQBfAEYAZQBlAGQAbABvAHQAXwBBAG4AaQBtAGEAbABDAGgAYQByAGEAYwB0AGUAcgBpAHMAdABpAGMAcwBfAFUAbgBpAHQAXABuACAAIAA9AEwAQQBNAEIARABBACgAXAAiAFwAIgApADsAXABuAFwAbgBTAG8AdQByAGMAZQBEAGEAdABhAF8ARgBlAGUAZABsAG8AdABfAEEAbgBpAG0AYQBsAEMAaABhAHIAYQBjAHQAZQByAGkAcwB0AGkAYwBzAF8AUwBvAHUAcgBjAGUAXABuACAAIAA9AEwAQQBNAEIARABBACgAXAAiAFYARQBFAFIARwAgADIAMAAyADYAOgAgAFQAYQBiAGwAZQAgAEEALgAxAC4AMQAuADIAOgAgAEIAZQBlAGYAIABmAGUAZQBkAGwAbwB0ACAAYwBhAHQAdABsAGUAIAAtACAAQQBuAGkAbQBhAGwAIABjAGgAYQByAGEAYwB0AGUAcgBpAHMAdABpAGMAcwBcACIAKQA7AFwAbgBcAG4AUwBvAHUAcgBjAGUARABhAHQAYQBfAEYAZQBlAGQAbABvAHQAXwBBAG4AaQBtAGEAbABDAGgAYQByAGEAYwB0AGUAcgBpAHMAdABpAGM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NAG8AdgBlAGQAIABmAGUAZQBkAGwAbwB0ACAAdAB5AHAAZQBzACAAdABvACAAYQAgAHMAZQBwAGEAcgBhAHQAZQAgAGMAbwBsAHUAbQBuACAAdABvACAAYQBpAGQAIABsAG8AbwBrAHUAcAAuAFwAIgA7AFwAbgAgACAAIAAgACAAIAAgACAAIAAgAFwAIgBOAGEAbQBlAGQAIABcAHUAMAAwADIANwBjAGgAYQByAGEAYwB0AGUAcgBpAHMAdABpAGMAXAB1ADAAMAAyADcAIABjAG8AbAB1AG0AbgAgAC0AIABvAHIAaQBnAGkAbgBhAGwAIABoAGEAcwAgAGgAZQBhAGQAZQByACAAXAB1ADAAMAAyADcAVQBuAGkAdABcAHUAMAAwADIANwAgAHcAaABpAGMAaAAgAGMAbwB2AGUAcgBzACAAdAB3AG8AIABjAG8AbAB1AG0AbgBzACkAXAAiAFwAbgAgACAAIAAgACAAIAAgACAAfQAsACAAcgAsACAAYwApAFwAbgAgACAAIAAgACAAIAApAFwAbgAgACAAIAAgACkAXABuACAAIAApADsAXABuAFwAbgBTAG8AdQByAGMAZQBEAGEAdABhAF8ARgBlAGUAZABsAG8AdABfAEEAbgBpAG0AYQBsAEMAaABhAHIAYQBjAHQAZQByAGkAcwB0AGkAYwBzAF8ARABhAHQAYQBcAG4AIAAgAD0ATABBAE0AQgBEAEEAKABcAG4AIAAgACAAIABNAEEASwBFAEEAUgBSAEEAWQAoADEAMAAsACAANwAsACAAXABuACAAIAAgACAAIAAgAEwAQQBNAEIARABBACgAcgAsAGMALAAgAFwAbgAgACAAIAAgACAAIAAgACAASQBOAEQARQBYACgAewBcAG4AIAAgACAAIAAgACAAIAAgACAAIABcACIARgBlAGUAZABsAG8AdAAgAHQAeQBwAGUAXAAiACwAIABcACIAQwBoAGEAcgBhAGMAdABlAHIAaQBzAHQAaQBjAFwAIgAsACAAXAAiAFUAbgBpAHQAXAAiACwAIABcACIAMgAwADAANQAtADIAMAAwADkAXAAiACwAIABcACIAMgAwADEAMAAtADIAMAAxADQAXAAiACwAIABcACIAMgAwADEANQAtADIAMAAxADkAXAAiACwAIABcACIAMgAwADIAMAAtADIAMAAyADMAXAAiADsAXABuACAAIAAgACAAIAAgACAAIAAgACAAXAAiAEQAbwBtAGUAcwB0AGkAYwBcACIALAAgAFwAIgBEAGEAeQBzACAAbwBuACAAZgBlAGUAZABcACIALAAgAFwAIgBkAGEAeQBzAFwAIgAsACAANwAwACwAIAA3ADAALAAgADcAMAAsACAANwA1ADsAXABuACAAIAAgACAAIAAgACAAIAAgACAAXAAiAEQAbwBtAGUAcwB0AGkAYwBcACIALAAgAFwAIgBGAGUAZQBkACAAaQBuAHQAYQBrAGUAXAAiACwAIABcACIAawBnACAARABNAC8AZABhAHkAXAAiACwAIAAxADAALgAwACwAIAAxADAALgAwACwAIAAxADAALgA0ACwAIAAxADAALgA0ADsAXABuACAAIAAgACAAIAAgACAAIAAgACAAXAAiAEQAbwBtAGUAcwB0AGkAYwBcACIALAAgAFwAIgBOACAAcgBlAHQAZQBuAHQAaQBvAG4AXAAiACwAIABcACIAcABlAHIAIABjAGUAbgB0ACAAbwBmACAAaQBuAHQAYQBrAGUAXAAiACwAIAAyADEALgAxACwAIAAyADAALgA0ACwAIAAyADAALgA0ACwAIAAyADAALgA0ADsAXABuACAAIAAgACAAIAAgACAAIAAgACAAXAAiAE0AaQBkAC0AZgBlAGQAXAAiACwAIABcACIARABhAHkAcwAgAG8AbgAgAGYAZQBlAGQAXAAiACwAIABcACIAZABhAHkAcwBcACIALAAgADEAMQA1ACwAIAAxADEANQAsACAAMQAyADAALAAgADEANQAwADsAXABuACAAIAAgACAAIAAgACAAIAAgACAAXAAiAE0AaQBkAC0AZgBlAGQAXAAiACwAIABcACIARgBlAGUAZAAgAGkAbgB0AGEAawBlAFwAIgAsACAAXAAiAGsAZwAgAEQATQAvAGQAYQB5AFwAIgAsACAAMQAxAC4AMgAsACAAMQAwAC4AOAAsACAAMQAwAC4AOAAsACAAMQAwAC4AOAA7AFwAbgAgACAAIAAgACAAIAAgACAAIAAgAFwAIgBNAGkAZAAtAGYAZQBkAFwAIgAsACAAXAAiAE4AIAByAGUAdABlAG4AdABpAG8AbgBcACIALAAgAFwAIgBwAGUAcgAgAGMAZQBuAHQAIABvAGYAIABpAG4AdABhAGsAZQBcACIALAAgADEAMgAuADUALAAgADEAMgAuADcALAAgADEAMgAuADcALAAgADEAMgAuADcAOwBcAG4AIAAgACAAIAAgACAAIAAgACAAIABcACIATABvAG4AZwAtAGYAZQBkAFwAIgAsACAAXAAiAEQAYQB5AHMAIABvAG4AIABmAGUAZQBkAFwAIgAsACAAXAAiAGQAYQB5AHMAXAAiACwAIAAyADUAMAAsACAAMgA1ADAALAAgADIANQAwACwAIAAyADUAMAA7AFwAbgAgACAAIAAgACAAIAAgACAAIAAgAFwAIgBMAG8AbgBnAC0AZgBlAGQAXAAiACwAIABcACIARgBlAGUAZAAgAGkAbgB0AGEAawBlAFwAIgAsACAAXAAiAGsAZwAgAEQATQAvAGQAYQB5AFwAIgAsACAAOQAuADAALAAgADgALgA1ACwAIAA4AC4AMgAsACAAOAAuADIAOwBcAG4AIAAgACAAIAAgACAAIAAgACAAIABcACIATABvAG4AZwAtAGYAZQBkAFwAIgAsACAAXAAiAE4AIAByAGUAdABlAG4AdABpAG8AbgBcACIALAAgAFwAIgBwAGUAcgAgAGMAZQBuAHQAIABvAGYAIABpAG4AdABhAGsAZQBcACIALAAgADYALgA2ACwAIAA3AC4AMAAsACAANwAuADAALAAgADcALgAwAFwAbgAgACAAIAAgACAAIAAgACAAfQAsACAAcgAsACAAYwApAFwAbgAgACAAIAAgACAAIAApAFwAbgAgACAAIAAgACkAXABuACAAIAApADsAXABuAFwAbgBcAG4AXABuAFwAbgBcAG4AXABuAFwAbgAvACoAIABcAG4ALQAtAC0ALQAtAC0ALQAtAC0ALQAtAC0ALQAtAC0ALQAtAC0ALQAtAC0ALQAtAC0ALQAtAC0ALQAtAC0ALQAtAC0ALQAtAC0ALQAtAFwAbgBTAG8AdQByAGMAZQBEAGEAdABhAF8ARgBlAGUAZABsAG8AdABfAEQAaQBlAHQAUAByAG8AcABlAHIAdABpAGUAcwBcAG4AVABhAGIAbABlACAAQQAuADEALgAxAC4AMwA6ACAAQgBlAGUAZgAgAGYAZQBlAGQAbABvAHQAIABjAGEAdAB0AGwAZQAgAC0AIABEAGkAZQB0ACAAcAByAG8AcABlAHIAdABpAGUAcwBcAG4ALQAtAC0ALQAtAC0ALQAtAC0ALQAtAC0ALQAtAC0ALQAtAC0ALQAtAC0ALQAtAC0ALQAtAC0ALQAtAC0ALQAtAC0ALQAtAC0ALQAtAFwAbgAqAC8AXABuAFwAbgBTAG8AdQByAGMAZQBEAGEAdABhAF8ARgBlAGUAZABsAG8AdABfAEQAaQBlAHQAUAByAG8AcABlAHIAdABpAGUAcwBfAFQAaQB0AGwAZQBcAG4AIAAgAD0ATABBAE0AQgBEAEEAKABcACIAQgBlAGUAZgAgAGYAZQBlAGQAbABvAHQAIABjAGEAdAB0AGwAZQAgAC0AIABEAGkAZQB0ACAAcAByAG8AcABlAHIAdABpAGUAcwBcACIAKQA7AFwAbgBcAG4AUwBvAHUAcgBjAGUARABhAHQAYQBfAEYAZQBlAGQAbABvAHQAXwBEAGkAZQB0AFAAcgBvAHAAZQByAHQAaQBlAHMAXwBVAG4AaQB0AFwAbgAgACAAPQBMAEEATQBCAEQAQQAoAFwAIgBcACIAKQA7AFwAbgBcAG4AUwBvAHUAcgBjAGUARABhAHQAYQBfAEYAZQBlAGQAbABvAHQAXwBEAGkAZQB0AFAAcgBvAHAAZQByAHQAaQBlAHMAXwBTAG8AdQByAGMAZQBcAG4AIAAgAD0ATABBAE0AQgBEAEEAKABcACIAVgBFAEUAUgBHACAAMgAwADIANgA6ACAAVABhAGIAbABlACAAQQAuADEALgAxAC4AMwA6ACAAQgBlAGUAZgAgAGYAZQBlAGQAbABvAHQAIABjAGEAdAB0AGwAZQAgAC0AIABEAGkAZQB0ACAAcAByAG8AcABlAHIAdABpAGUAcwBcACIAKQA7AFwAbgBcAG4AUwBvAHUAcgBjAGUARABhAHQAYQBfAEYAZQBlAGQAbABvAHQAXwBEAGkAZQB0AFAAcgBvAHAAZQByAHQAaQBl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QwBvAG4AdgBlAHIAdABlAGQAIAB0AG8AIABmAHIAYQBjAHQAaQBvAG4AIABjAG8AbAB1AG0AbgAgAGEAbgBkACAAYwBvAG4AdgBlAHIAdABlAGQAIABOAEQARgAgAGEAbgBkACAARQB0AGgAZQByACAAZQB4AHQAcgBhAGMAdAAgAHYAYQBsAHUAZQBzACAAdABvACAAZgByAGEAYwB0AGkAbwBuAHMALgBcACIAOwBcAG4AIAAgACAAIAAgACAAIAAgACAAIABcACIATQBvAHYAZQBkACAAZgBlAGUAZABsAG8AdAAgAHQAeQBwAGUAcwAgAHQAbwAgAGEAIABzAGUAcABhAHIAYQB0AGUAIABjAG8AbAB1AG0AbgAgAHQAbwAgAGEAaQBkACAAbABvAG8AawB1AHAALgBcACIAXABuACAAIAAgACAAIAAgACAAIAB9ACwAIAByACwAIABjACkAXABuACAAIAAgACAAIAAgACkAXABuACAAIAAgACAAKQBcAG4AIAAgACkAOwBcAG4AXABuAFMAbwB1AHIAYwBlAEQAYQB0AGEAXwBGAGUAZQBkAGwAbwB0AF8ARABpAGUAdABQAHIAbwBwAGUAcgB0AGkAZQBzAF8ARABhAHQAYQBcAG4AIAAgAD0ATABBAE0AQgBEAEEAKABcAG4AIAAgACAAIABNAEEASwBFAEEAUgBSAEEAWQAoADEAMwAsACAAOAAsACAAXABuACAAIAAgACAAIAAgAEwAQQBNAEIARABBACgAcgAsAGMALAAgAFwAbgAgACAAIAAgACAAIAAgACAASQBOAEQARQBYACgAewBcAG4AIAAgACAAIAAgACAAIAAgACAAIABcACIARgBlAGUAZABsAG8AdAAgAHQAeQBwAGUAXAAiACwAIABcACIATgB1AHQAcgBpAGUAbgB0ACAAYQBuAGEAbAB5AHMAaQBzAFwAIgAsACAAXAAiAFUAbgBpAHQAXAAiACwAIABcACIAMgAwADAANQAtADIAMAAwADkAXAAiACwAIABcACIAMgAwADEAMAAtADIAMAAxADQAXAAiACwAIABcACIAMgAwADEANQAtADIAMAAxADkAXAAiACwAIABcACIAMgAwADIAMAAtADIAMAAyADMAXAAiACwAIABcACIAQwBvAG4AdgBlAHIAdABlAGQAIAB0AG8AIABmAHIAYQBjAHQAaQBvAG4AXAAiADsAXABuACAAIAAgACAAIAAgACAAIAAgACAAXAAiAEQAbwBtAGUAcwB0AGkAYwBcACIALAAgAFwAIgBEAHIAeQAgAG0AYQB0AHQAZQByACAAZABpAGcAZQBzAHQAaQBiAGkAbABpAHQAeQBcACIALAAgAFwAIgBmAHIAYQBjAHQAaQBvAG4AXAAiACwAIAAwAC4AOAAxACwAIAAwAC4AOAAxACwAIAAwAC4AOAAxACwAIAAwAC4AOAAxACwAIAAwAC4AOAAxADsAXABuACAAIAAgACAAIAAgACAAIAAgACAAXAAiAEQAbwBtAGUAcwB0AGkAYwBcACIALAAgAFwAIgBDAHIAdQBkAGUAIABwAHIAbwB0AGUAaQBuAFwAIgAsACAAXAAiAGYAcgBhAGMAdABpAG8AbgBcACIALAAgADAALgAxADQALAAgADAALgAxADQALAAgADAALgAxADQALAAgADAALgAxADQALAAgADAALgAxADQAOwBcAG4AIAAgACAAIAAgACAAIAAgACAAIABcACIARABvAG0AZQBzAHQAaQBjAFwAIgAsACAAXAAiAE4ARABGAFwAIgAsACAAXAAiAHAAZQByACAAYwBlAG4AdABcACIALAAgADIAMwAuADAALAAgADIAMgAuADAALAAgADIAMgAuADAALAAgADIAMgAuADAALAAgADAALgAyADIAOwBcAG4AIAAgACAAIAAgACAAIAAgACAAIABcACIARABvAG0AZQBzAHQAaQBjAFwAIgAsACAAXAAiAEUAdABoAGUAcgAgAEUAeAB0AHIAYQBjAHQAXAAiACwAIABcACIAcABlAHIAIABjAGUAbgB0AFwAIgAsACAANAAuADUALAAgADQALgA1ACwAIAA0AC4AOAAsACAANAAuADgALAAgADAALgAwADQAOAA7AFwAbgAgACAAIAAgACAAIAAgACAAIAAgAFwAIgBNAGkAZAAtAGYAZQBkAFwAIgAsACAAXAAiAEQAcgB5ACAAbQBhAHQAdABlAHIAIABkAGkAZwBlAHMAdABpAGIAaQBsAGkAdAB5AFwAIgAsACAAXAAiAGYAcgBhAGMAdABpAG8AbgBcACIALAAgADAALgA4ADEALAAgADAALgA4ADEALAAgADAALgA4ADEALAAgADAALgA4ADEALAAgADAALgA4ADEAOwBcAG4AIAAgACAAIAAgACAAIAAgACAAIABcACIATQBpAGQALQBmAGUAZABcACIALAAgAFwAIgBDAHIAdQBkAGUAIABwAHIAbwB0AGUAaQBuAFwAIgAsACAAXAAiAGYAcgBhAGMAdABpAG8AbgBcACIALAAgADAALgAxADMALAAgADAALgAxADIANQAsACAAMAAuADEAMgAsACAAMAAuADEAMgAsACAAMAAuADEAMgA7AFwAbgAgACAAIAAgACAAIAAgACAAIAAgAFwAIgBNAGkAZAAtAGYAZQBkAFwAIgAsACAAXAAiAE4ARABGAFwAIgAsACAAXAAiAHAAZQByACAAYwBlAG4AdABcACIALAAgADIANAAuADAALAAgADIAMgAuADAALAAgADIAMgAuADAALAAgADIAMgAuADAALAAgADAALgAyADIAOwBcAG4AIAAgACAAIAAgACAAIAAgACAAIABcACIATQBpAGQALQBmAGUAZABcACIALAAgAFwAIgBFAHQAaABlAHIAIABFAHgAdAByAGEAYwB0AFwAIgAsACAAXAAiAHAAZQByACAAYwBlAG4AdABcACIALAAgADUALgAwACwAIAA1AC4AMAAsACAANQAuADAALAAgADUALgAwACwAIAAwAC4AMAA1ADsAXABuACAAIAAgACAAIAAgACAAIAAgACAAXAAiAEwAbwBuAGcALQBGAGUAZABcACIALAAgAFwAIgBEAHIAeQAgAG0AYQB0AHQAZQByACAAZABpAGcAZQBzAHQAaQBiAGkAbABpAHQAeQBcACIALAAgAFwAIgBmAHIAYQBjAHQAaQBvAG4AXAAiACwAIAAwAC4AOAAxACwAIAAwAC4AOAAxACwAIAAwAC4AOAAxACwAIAAwAC4AOAAxACwAIAAwAC4AOAAxADsAXABuACAAIAAgACAAIAAgACAAIAAgACAAXAAiAEwAbwBuAGcALQBGAGUAZABcACIALAAgAFwAIgBDAHIAdQBkAGUAIABwAHIAbwB0AGUAaQBuAFwAIgAsACAAXAAiAGYAcgBhAGMAdABpAG8AbgBcACIALAAgADAALgAxADMALAAgADAALgAxADIANQAsACAAMAAuADEAMgAsACAAMAAuADEAMgAsACAAMAAuADEAMgA7AFwAbgAgACAAIAAgACAAIAAgACAAIAAgAFwAIgBMAG8AbgBnAC0ARgBlAGQAXAAiACwAIABcACIATgBEAEYAXAAiACwAIABcACIAcABlAHIAIABjAGUAbgB0AFwAIgAsACAAMgA0AC4AMAAsACAAMgA0AC4AMAAsACAAMgA0AC4AMAAsACAAMgA0AC4AMAAsACAAMAAuADIANAA7AFwAbgAgACAAIAAgACAAIAAgACAAIAAgAFwAIgBMAG8AbgBnAC0ARgBlAGQAXAAiACwAIABcACIARQB0AGgAZQByACAARQB4AHQAcgBhAGMAdABcACIALAAgAFwAIgBwAGUAcgAgAGMAZQBuAHQAXAAiACwAIAA1AC4AMAAsACAANQAuADAALAAgADUALgA1ACwAIAA1AC4ANQAsACAAMAAuADAANQA1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NAEMARgBcAG4AVABhAGIAbABlACAAQQAuADEALgAxAC4ANAA6ACAAQgBlAGUAZgAgAGYAZQBlAGQAbABvAHQAIABjAGEAdAB0AGwAZQAgAC0AIABNAEMARgBzACAAKABmAHIAYQBjAHQAaQBvAG4AKQAgACgATQBDAEYAaQBtAFQAKQBcAG4ALQAtAC0ALQAtAC0ALQAtAC0ALQAtAC0ALQAtAC0ALQAtAC0ALQAtAC0ALQAtAC0ALQAtAC0ALQAtAC0ALQAtAC0ALQAtAC0ALQAtAFwAbgAqAC8AXABuAFwAbgBTAG8AdQByAGMAZQBEAGEAdABhAF8ARgBlAGUAZABsAG8AdABfAE0AQwBGAF8AVABpAHQAbABlAFwAbgAgACAAPQBMAEEATQBCAEQAQQAoAFwAIgBGAGUAZQBkAGwAbwB0ACAALQAgAE0AQwBGAHMAXAAiACkAOwBcAG4AXABuAFMAbwB1AHIAYwBlAEQAYQB0AGEAXwBGAGUAZQBkAGwAbwB0AF8ATQBDAEYAXwBVAG4AaQB0AFwAbgAgACAAPQBMAEEATQBCAEQAQQAoAFwAIgBcACIAKQA7AFwAbgBcAG4AUwBvAHUAcgBjAGUARABhAHQAYQBfAEYAZQBlAGQAbABvAHQAXwBNAEMARgBfAFMAbwB1AHIAYwBlAFwAbgAgACAAPQBMAEEATQBCAEQAQQAoAFwAIgBWAEUARQBSAEcAIAAyADAAMgA2ADoAIABUAGEAYgBsAGUAIABBAC4AMQAuADEALgA0ADoAIABCAGUAZQBmACAAZgBlAGUAZABsAG8AdAAgAGMAYQB0AHQAbABlACAALQAgAE0AQwBGAHMAIAAoAGYAcgBhAGMAdABpAG8AbgApACAAKABNAEMARgBpAG0AVAApAFwAIgApADsAXABuAFwAbgBTAG8AdQByAGMAZQBEAGEAdABhAF8ARgBlAGUAZABsAG8AdABfAE0AQwBGAF8AVgBhAHIAaQBhAHQAaQBvAG4AXABuACAAIAA9AEwAQQBNAEIARABBACgAXABuACAAIAAgACAATQBBAEsARQBBAFIAUgBBAFkAKAA0ACwAIAAxACwAIABcAG4AIAAgACAAIAAgACAATABBAE0AQgBEAEEAKAByACwAYwAsACAAXABuACAAIAAgACAAIAAgACAAIABJAE4ARABFAFgAKAB7AFwAbgAgACAAIAAgACAAIAAgACAAIAAgAFwAIgBWAEEAUgBJAEEAVABJAE8ATgAgAE8ATgAgAFMATwBVAFIAQwBFADoAXAAiADsAXABuACAAIAAgACAAIAAgACAAIAAgACAAXAAiAEQAdQBwAGwAaQBjAGEAdABlAGQAIABOAFMAVwAgAHYAYQBsAHUAZQBzACAAZgBvAHIAIABBAEMAVABcACIAOwBcAG4AIAAgACAAIAAgACAAIAAgACAAIABcACIAQQBkAGQAZQBkACAATgBUACAAYwBvAGwAdQBtAG4AIAB0AGgAYQB0ACAAZAB1AHAAbABpAGMAYQB0AGUAcwAgAFEATABEACAAdgBhAGwAdQBlAHMAIABhAHMAIABwAGUAcgAgAGEAZAB2AGkAYwBlACAAZgByAG8AbQAgAHMAbwB1AHIAYwBlACAAZABhAHQAYQAgAHAAcgBvAHYAaQBkAGUAcgAuAFwAIgA7AFwAbgAgACAAIAAgACAAIAAgACAAIAAgAFwAIgBBAGQAZABlAGQAIABUAEEAUwAgAGMAbwBsAHUAbQBuACAAdABoAGEAdAAgAGQAdQBwAGwAaQBjAGEAdABlAHMAIABWAEkAQwAgAHYAYQBsAHUAZQBzACAAYQBzACAAcABlAHIAIABhAGQAdgBpAGMAZQAgAGYAcgBvAG0AIABzAG8AdQByAGMAZQAgAGQAYQB0AGEAIABwAHIAbwB2AGkAZABlAHIAL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QBDAEYAXwBEAGEAdABhAFwAbgAgACAAPQBMAEEATQBCAEQAQQAoAFwAbgAgACAAIAAgAE0AQQBLAEUAQQBSAFIAQQBZACgANgAsACAAMQAxACwAIABcAG4AIAAgACAAIAAgACAATABBAE0AQgBEAEEAKAByACwAYwAsACAAXABuACAAIAAgACAAIAAgACAAIABJAE4ARABFAFgAKAB7AFwAbgAgACAAIAAgACAAIAAgACAAIAAgAFwAIgBUAHIAZQBhAHQAbQBlAG4AdAAgAHMAdABhAGcAZQAgAFQAXAAiACwAIABcACIATQBNAFMAIABtAFwAIgAsACAAXAAiAE4AUwBXAFwAIgAsACAAXAAiAEEAQwBUAFwAIgAsACAAXAAiAFEATABEAFwAIgAsACAAXAAiAE4AVABcACIALAAgAFwAIgBTAEEAXAAiACwAIABcACIAVgBJAEMAXAAiACwAIABcACIAVwBBAFwAIgAsACAAXAAiAFQAQQBTAFwAIgAsACAAXAAiAE4ASQBSACAAZABlAGYAaQBuAGkAdABpAG8AbgBcACIAOwBcAG4AIAAgACAAIAAgACAAIAAgACAAIABcACIAUAByAGkAbQBhAHIAeQBcACIALAAgAFwAIgBEAHIAeQAgAGwAbwB0ACAAKABGAGUAZQBkAHAAYQBkACkAXAAiACwAIAAwAC4AMAAxACwAIAAwAC4AMAAxACwAIAAwAC4AMAAzACwAIAAwAC4AMAAzACwAIAAwAC4AMAAxACwAIAAwAC4AMAAxACwAIAAwAC4AMAAxACwAIAAwAC4AMAAxACwAIABcACIARAByAHkAbABvAHQAIAAoAGYAZQBlAGQAIABwAGEAZAApAFwAIgA7ACAAXABuACAAIAAgACAAIAAgACAAIAAgACAAXAAiAFMAZQBjAG8AbgBkAGEAcgB5AFwAIgAsACAAXAAiAFMAbwBsAGkAZAAgAFMAdABvAHIAYQBnAGUAIAAoAFMAdABvAGMAawBwAGkAbABlACkAXAAiACwAIAAwAC4AMAAyACwAIAAwAC4AMAAyACwAIAAwAC4AMAAyACwAIAAwAC4AMAAyACwAIAAwAC4AMAAyACwAIAAwAC4AMAAyACwAIAAwAC4AMAAyACwAIAAwAC4AMAAyACwAIABcACIAUwBvAGwAaQBkACAAcwB0AG8AcgBhAGcAZQBcACIAOwAgAFwAbgAgACAAIAAgACAAIAAgACAAIAAgAFwAIgBTAGUAYwBvAG4AZABhAHIAeQBcACIALAAgAFwAIgBDAG8AbQBwAG8AcwB0AGkAbgBnACAAKABQAGEAcwBzAGkAdgBlACAAVwBpAG4AZAByAG8AdwApAFwAIgAsACAAMAAuADAAMQAsACAAMAAuADAAMQAsACAAMAAuADAAMQAsACAAMAAuADAAMQAsACAAMAAuADAAMQAsACAAMAAuADAAMQAsACAAMAAuADAAMQAsACAAMAAuADAAMQAsACAAXAAiAEMAbwBtAHAAbwBzAHQAaQBuAGcAIAAoAHAAYQBzAHMAaQB2AGUAIAB3AGkAbgBkAHIAbwB3ACkAXAAiADsAIABcAG4AIAAgACAAIAAgACAAIAAgACAAIABcACIAUwBlAGMAbwBuAGQAYQByAHkAXAAiACwAIABcACIARABpAHIAZQBjAHQAIABBAHAAcABsAGkAYwBhAHQAaQBvAG4AIAB0AG8AIABzAG8AaQBsAFwAIgAsACAAMAAsACAAMAAsACAAMAAsACAAMAAsACAAMAAsACAAMAAsACAAMAAsACAAMAAsACAAXAAiAEQAaQByAGUAYwB0ACAAYQBwAHAAbABpAGMAYQB0AGkAbwBuAFwAIgA7ACAAXABuACAAIAAgACAAIAAgACAAIAAgACAAXAAiAFQAZQByAHQAaQBhAHIAeQBcACIALAAgAFwAIgBVAG4AYwBvAHYAZQByAGUAZAAgAGEAbgBhAGUAcgBvAGIAaQBjACAAbABhAGcAbwBvAG4AIAAoAEUAZgBmAGwAdQBlAG4AdAAgAHAAbwBuAGQAKQBcACIALAAgADAALgA3ADUALAAgADAALgA3ADUALAAgADAALgA3ADcALAAgADAALgA3ADcALAAgADAALgA3ADUALAAgADAALgA3ADUALAAgADAALgA3ADcALAAgADAALgA3ADUALAAgAFwAIgBBAG4AYQBlAHIAbwBiAGkAYwAgAGwAYQBnAG8AbwBu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4AaQB0AHIAbwB1AHMATwB4AGkAZABlAEUARgBzAFwAbgBUAGEAYgBsAGUAIABBAC4AMQAuADEALgA1ADoAIABCAGUAZQBmACAAZgBlAGUAZABsAG8AdAAgAGMAYQB0AHQAbABlACAALQAgAE4AaQB0AHIAbwB1AHMAIABvAHgAaQBkAGUAIABFAEYAcwAgACgARQBGAG0AVAApAFwAbgAtAC0ALQAtAC0ALQAtAC0ALQAtAC0ALQAtAC0ALQAtAC0ALQAtAC0ALQAtAC0ALQAtAC0ALQAtAC0ALQAtAC0ALQAtAC0ALQAtAC0AXABuACoALwBcAG4AXABuAFMAbwB1AHIAYwBlAEQAYQB0AGEAXwBGAGUAZQBkAGwAbwB0AF8ATgBpAHQAcgBvAHUAcwBPAHgAaQBkAGUARQBGAHMAXwBUAGkAdABsAGUAXABuACAAIAA9AEwAQQBNAEIARABBACgAXAAiAEYAZQBlAGQAbABvAHQAIAAtACAATgBpAHQAcgBvAHUAcwAgAG8AeABpAGQAZQAgAEUARgBzAFwAIgApADsAXABuAFwAbgBTAG8AdQByAGMAZQBEAGEAdABhAF8ARgBlAGUAZABsAG8AdABfAE4AaQB0AHIAbwB1AHMATwB4AGkAZABlAEUARgBzAF8AVQBuAGkAdABcAG4AIAAgAD0ATABBAE0AQgBEAEEAKABcACIAXAAiACkAOwBcAG4AXABuAFMAbwB1AHIAYwBlAEQAYQB0AGEAXwBGAGUAZQBkAGwAbwB0AF8ATgBpAHQAcgBvAHUAcwBPAHgAaQBkAGUARQBGAHMAXwBTAG8AdQByAGMAZQBcAG4AIAAgAD0ATABBAE0AQgBEAEEAKABcACIAVgBFAEUAUgBHACAAMgAwADIANgA6ACAAVABhAGIAbABlACAAQQAuADEALgAxAC4ANQA6ACAAQgBlAGUAZgAgAGYAZQBlAGQAbABvAHQAIABjAGEAdAB0AGwAZQAgAC0AIABOAGkAdAByAG8AdQBzACAAbwB4AGkAZABlACAARQBGAHMAIAAoAEUARgBtAFQAKQBcACIAKQA7AFwAbgBcAG4AUwBvAHUAcgBjAGUARABhAHQAYQBfAEYAZQBlAGQAbABvAHQAXwBOAGkAdAByAG8AdQBzAE8AeABpAGQAZQBFAEYAcwBfAFYAYQByAGkAYQB0AGkAbwBuAFwAbgAgACAAPQBMAEEATQBCAEQAQQAoAFwAbgAgACAAIAAgAE0AQQBLAEUAQQBSAFIAQQBZACgAMg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OAGkAdAByAG8AdQBzAE8AeABpAGQAZQBFAEYAcw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UARgBtAFQAIAAoAGsAZwAgAE4AMgBPAC0ATgAvAGsAZwAgAE4AKQBcACIALAAgAFwAIgBOAEkAUgAgAGQAZQBmAGkAbgBpAHQAaQBvAG4AXAAiADsAXABuACAAIAAgACAAIAAgACAAIAAgACAAXAAiAFAAcgBpAG0AYQByAHkAXAAiACwAIABcACIARAByAHkAIABsAG8AdAAgACgARgBlAGUAZABwAGEAZAApAFwAIgAsACAAMAAuADAAMAA1ADQALAAgAFwAIgBEAHIAeQBsAG8AdAAgACgAZgBlAGUAZAAgAHAAYQBkACkAXAAiADsAXABuACAAIAAgACAAIAAgACAAIAAgACAAXAAiAFMAZQBjAG8AbgBkAGEAcgB5AFwAIgAsACAAXAAiAFMAbwBsAGkAZAAgAFMAdABvAHIAYQBnAGUAIAAoAFMAdABvAGMAawBwAGkAbABlACkAXAAiACwAIAAwAC4AMAAwADUALAAgAFwAIgBTAG8AbABpAGQAIABzAHQAbwByAGEAZwBlAFwAIgA7AFwAbgAgACAAIAAgACAAIAAgACAAIAAgAFwAIgBTAGUAYwBvAG4AZABhAHIAeQBcACIALAAgAFwAIgBDAG8AbQBwAG8AcwB0AGkAbgBnACAAKABQAGEAcwBzAGkAdgBlACAAVwBpAG4AZAByAG8AdwApAFwAIgAsACAAMAAuADAAMQ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UABvAG4AZAApAFwAIgAsACAAMA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RgByAGEAYwBOAFYAbwBsAGEAdABpAGwAaQBzAGUAZABcAG4AVABhAGIAbABlACAAQQAuADEALgAxAC4ANgA6ACAAQgBlAGUAZgAgAGYAZQBlAGQAbABvAHQAIABjAGEAdAB0AGwAZQAgAC0AIABGAHIAYQBjAHQAaQBvAG4AIABvAGYAIABOACAAdgBvAGwAYQB0AGkAbABpAHMAZQBkACAAYgB5ACAATQBNAFMAIAAoAEYAcgBhAGMARwBBAFMATQBtAFQAKQBcAG4ALQAtAC0ALQAtAC0ALQAtAC0ALQAtAC0ALQAtAC0ALQAtAC0ALQAtAC0ALQAtAC0ALQAtAC0ALQAtAC0ALQAtAC0ALQAtAC0ALQAtAFwAbgAqAC8AXABuAFwAbgBTAG8AdQByAGMAZQBEAGEAdABhAF8ARgBlAGUAZABsAG8AdABfAEYAcgBhAGMATgBWAG8AbABhAHQAaQBsAGkAcwBlAGQAXwBUAGkAdABsAGUAXABuACAAIAA9AEwAQQBNAEIARABBACgAXAAiAEYAZQBlAGQAbABvAHQAIAAtACAARgByAGEAYwB0AGkAbwBuACAAbwBmACAATgAgAHYAbwBsAGEAdABpAGwAaQBzAGUAZAAgAGIAeQAgAE0ATQBTACAAKABGAHIAYQBjAEcAQQBTAE0AbQBUACkAXAAiACkAOwBcAG4AXABuAFMAbwB1AHIAYwBlAEQAYQB0AGEAXwBGAGUAZQBkAGwAbwB0AF8ARgByAGEAYwBOAFYAbwBsAGEAdABpAGwAaQBzAGUAZABfAFUAbgBpAHQAXABuACAAIAA9AEwAQQBNAEIARABBACgAXAAiAFwAIgApADsAXABuAFwAbgBTAG8AdQByAGMAZQBEAGEAdABhAF8ARgBlAGUAZABsAG8AdABfAEYAcgBhAGMATgBWAG8AbABhAHQAaQBsAGkAcwBlAGQAXwBTAG8AdQByAGMAZQBcAG4AIAAgAD0ATABBAE0AQgBEAEEAKABcACIAVgBFAEUAUgBHACAAMgAwADIANgA6ACAAVABhAGIAbABlACAAQQAuADEALgAxAC4ANgA6ACAAQgBlAGUAZgAgAGYAZQBlAGQAbABvAHQAIABjAGEAdAB0AGwAZQAgAC0AIABGAHIAYQBjAHQAaQBvAG4AIABvAGYAIABOACAAdgBvAGwAYQB0AGkAbABpAHMAZQBkACAAYgB5ACAATQBNAFMAIAAoAEYAcgBhAGMARwBBAFMATQBtAFQAKQBcACIAKQA7AFwAbgBcAG4AUwBvAHUAcgBjAGUARABhAHQAYQBfAEYAZQBlAGQAbABvAHQAXwBGAHIAYQBjAE4AVgBvAGwAYQB0AGkAbABpAHMAZQBk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YAcgBhAGMATgBWAG8AbABhAHQAaQBsAGkAcwBlAGQAXwBEAGEAdABhAFwAbgAgACAAPQBMAEEATQBCAEQAQQAoAFwAbgAgACAAIAAgAE0AQQBLAEUAQQBSAFIAQQBZACgANgAsACAANAAsACAAXABuACAAIAAgACAAIAAgAEwAQQBNAEIARABBACgAcgAsAGMALAAgAFwAbgAgACAAIAAgACAAIAAgACAASQBOAEQARQBYACgAewBcAG4AIAAgACAAIAAgACAAIAAgACAAIABcACIAVAByAGUAYQB0AG0AZQBuAHQAIABzAHQAYQBnAGUAIABUAFwAIgAsACAAXAAiAE0ATQBTACAAbQBcACIALAAgAFwAIgBGAHIAYQBjAEcAQQBTAE0AbQBUACAAKABrAGcAIABOAEgAMwAtAE4AIAArACAATgBPAHgALQBOACkALwBrAGcAIABOAFwAIgAsACAAXAAiAE4ASQBSACAAZABlAGYAaQBuAGkAdABpAG8AbgBcACIAOwBcAG4AIAAgACAAIAAgACAAIAAgACAAIABcACIAUAByAGkAbQBhAHIAeQBcACIALAAgAFwAIgBEAHIAeQAgAGwAbwB0ACAAKABGAGUAZQBkAHAAYQBkACkAXAAiACwAIAAwAC4ANgAsACAAXAAiAEQAcgB5AGwAbwB0ACAAKABmAGUAZQBkACAAcABhAGQAKQBcACIAOwBcAG4AIAAgACAAIAAgACAAIAAgACAAIABcACIAUwBlAGMAbwBuAGQAYQByAHkAXAAiACwAIABcACIAUwBvAGwAaQBkACAAUwB0AG8AcgBhAGcAZQAgACgAUwB0AG8AYwBrAHAAaQBsAGUAKQBcACIALAAgADAALgAyADUALAAgAFwAIgBTAG8AbABpAGQAIABzAHQAbwByAGEAZwBlAFwAIgA7AFwAbgAgACAAIAAgACAAIAAgACAAIAAgAFwAIgBTAGUAYwBvAG4AZABhAHIAeQBcACIALAAgAFwAIgBDAG8AbQBwAG8AcwB0AGkAbgBnACAAKABQAGEAcwBzAGkAdgBlACAAVwBpAG4AZAByAG8AdwApAFwAIgAsACAAMAAuADQALAAgAFwAIgBDAG8AbQBwAG8AcwB0AGkAbgBnACAAKABwAGEAcwBzAGkAdgBlACAAdwBpAG4AZAByAG8AdwApAFwAIgA7AFwAbgAgACAAIAAgACAAIAAgACAAIAAgAFwAIgBTAGUAYwBvAG4AZABhAHIAeQBcACIALAAgAFwAIgBEAGkAcgBlAGMAdAAgAEEAcABwAGwAaQBjAGEAdABpAG8AbgAgAHQAbwAgAHMAbwBpAGwAXAAiACwAIAAwACwAIABcACIARABpAHIAZQBjAHQAIABhAHAAcABsAGkAYwBhAHQAaQBvAG4AXAAiADsAXABuACAAIAAgACAAIAAgACAAIAAgACAAXAAiAFQAZQByAHQAaQBhAHIAeQBcACIALAAgAFwAIgBVAG4AYwBvAHYAZQByAGUAZAAgAGEAbgBhAGUAcgBvAGIAaQBjACAAbABhAGcAbwBvAG4AIAAoAEUAZgBmAGwAdQBlAG4AdAAgAHAAbwBuAGQAKQBcACIALAAgADAALgAzADUALAAgAFwAIgBBAG4AYQBlAHIAbwBiAGkAYwAgAGwAYQBnAG8AbwBuAFwAIgBcAG4AIAAgACAAIAAgACAAIAAgAH0ALAAgAHIALAAgAGMAKQBcAG4AIAAgACAAIAAgACAAKQBcAG4AIAAgACAAIAApAFwAbgAgACAAKQA7AFwAbgBcAG4AIgB9ACwAewAiAHAAYQB0AGgAIgA6ACIALwBwAHIAbwBqAGUAYwB0AHMALwBFAG4AdABlAHIAaQBjAE0AZQB0AGgAYQBuAGUAXwBGAGUAZQBkAGwAbwB0AF8ARQBxAHUAYQB0AGkAbwBuAHMAIgAsACIAdABlAHgAdAAiADoAIgAvACoAXABuAD0APQA9AD0APQA9AD0APQA9AD0APQA9AD0APQA9AD0APQA9AD0APQA9AD0APQA9AD0APQA9AD0APQA9AD0APQA9AD0APQA9AD0APQA9AD0APQA9AD0APQA9AD0APQA9AD0APQA9AD0APQA9AD0APQA9AD0APQA9AD0APQA9AD0APQA9AD0APQA9AD0APQA9AD0APQA9AD0AXABuADMALgAxADoAIABFAG4AdABlAHIAaQBjACAATQBlAHQAaABhAG4AZQAgAC0AIABGAGUAZQBkAGwAbwB0ACAAQgBlAGUAZgBcAG4APQA9AD0APQA9AD0APQA9AD0APQA9AD0APQA9AD0APQA9AD0APQA9AD0APQA9AD0APQA9AD0APQA9AD0APQA9AD0APQA9AD0APQA9AD0APQA9AD0APQA9AD0APQA9AD0APQA9AD0APQA9AD0APQA9AD0APQA9AD0APQA9AD0APQA9AD0APQA9AD0APQA9AD0APQA9AD0APQBcAG4AMwAuADEALgAxAC4AMQAgAE0AZQB0AGgAbwBkACAAMQAgAC0AIABFAG4AdABlAHIAaQBj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Q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YAZQBlAGQAbABvAHQAIABiAGUAZQBmACAAYwBhAHQAdABsAGUAXABuAEUAXwBlAG4AdABlAHIAaQBjAFwAbgB0ACAAQwBIADQAXABuAEUAXwB7AGUAbgB0AGUAcgBpAGMAfQA9AFwAXABzAHUAbQBcAFwAbgBvAGwAaQBtAGkAdABzAF8AagAoAEQAXwBqAFwAXAB0AGkAbQBlAHMAIABNAF8AagBcAFwAdABpAG0AZQBzACAATgBfAGoAKQBcAFwAdABpAG0AZQBzACAAMQAwAF4AewAtADMAfQBcAG4ARABfAGoAIAA9ACAAZAB1AHIAYQB0AGkAbwBuACAAbwBmACAAcwB0AGEAeQAgAG8AZgAgAGUAYQBjAGgAIABjAGEAdAB0AGwAZQAgAGwAbwB0ACAAKABkAGEAeQBzACkAXABuAE0AXwBqACAAPQAgAGQAYQBpAGwAeQAgAG0AZQB0AGgAYQBuAGUAIABwAHIAbwBkAHUAYwB0AGkAbwBuACAAKABrAGcAIABDAEgANAAvAGgAZQBhAGQALwBkAGEAeQApAFwAbgBOAF8AagAgAD0AIABuAHUAbQBiAGUAcgBzACAAbwBmACAAZgBlAGUAZABsAG8AdAAgAGMAYQB0AHQAbABlACAAaQBuACAAZQBhAGMAaAAgAGMAYQB0AHQAbABlACAAbABvAHQAIAAoAGgAZQBhAGQAKQBcAG4ALQAtAC0ALQAtAC0ALQAtAC0ALQAtAC0ALQAtAC0ALQAtAC0ALQAtAC0ALQAtAC0ALQAtAC0ALQAtAC0ALQAtAC0ALQAtAC0ALQAtAFwAbgAqAC8AXABuAFwAbgBWAEUARQBSAEcAXwAzAF8AMQBfADEAXwAxAF8AXwAxAF8AVABvAHQAYQBsAEEAbgBuAHUAYQBsAE0AZQB0AGgAYQBuAGUARgByAG8AbQBFAG4AdABlAHIAaQBjAEYAZQByAG0AZQBuAHQAYQB0AGkAbwBuAFwAbgAgACAAPQBMAEEATQBCAEQAQQAoAFwAbgAgACAAIAAgAEQAXwBqACwAIABNAF8AagAsACAATgBfAGoALABcAG4AIAAgACAAIAAoAEQAXwBqACAAKgAgAE0AXwBqACAAKgAgAE4AXwBqACkAIAAqACAAMQAwACAAXgAgAC0AMwBcAG4AIAAgACkAOwBcAG4AXABuAFYARQBFAFIARwBfADMAXwAx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gBlAGUAZABsAG8AdAAgAGIAZQBlAGYAIABjAGEAdAB0AGwAZQBcACIAKQA7AFwAbgBcAG4AVgBFAEUAUgBHAF8AMwBfADEAXwAxAF8AMQBfAF8AMQBfAFQAbwB0AGEAbABBAG4AbgB1AGEAbABNAGUAdABoAGEAbgBlAEYAcgBvAG0ARQBuAHQAZQByAGkAYwBGAGUAcgBtAGUAbgB0AGEAdABpAG8AbgBfAFYAYQByAGkAYQBiAGwAZQBcAG4AIAAgAD0ATABBAE0AQgBEAEEAKABcACIARQBfAGUAbgB0AGUAcgBpAGMAXAAiACkAOwBcAG4AXABuAFYARQBFAFIARwBfADMAXwAxAF8AMQBfADEAXwBfADEAXwBUAG8AdABhAGwAQQBuAG4AdQBhAGwATQBlAHQAaABhAG4AZQBGAHIAbwBtAEUAbgB0AGUAcgBpAGMARgBlAHIAbQBlAG4AdABhAHQAaQBvAG4AXwBVAG4AaQB0AFwAbgAgACAAPQBMAEEATQBCAEQAQQAoAFwAIgB0ACAAQwBIADQAXAAiACkAOwBcAG4AXABuAFYARQBFAFIARwBfADMAXwAxAF8AMQBfADEAXwBfADEAXwBUAG8AdABhAGwAQQBuAG4AdQBhAGwATQBlAHQAaABhAG4AZQBGAHIAbwBtAEUAbgB0AGUAcgBpAGMARgBlAHIAbQBlAG4AdABhAHQAaQBvAG4AXwBTAG8AdQByAGMAZQBcAG4AIAAgAD0ATABBAE0AQgBEAEEAKABcACIAVgBFAEUAUgBHACAAMgAwADIANgA6ACAAMwAuADEALgAxAC4AMQAsACAARQBxAHUAYQB0AGkAbwBuACAAKAAxACkAXAAiACkAOwBcAG4AXABuAFYARQBFAFIARwBfADMAXwAxAF8AMQBfADEAXwBfADEAXwBUAG8AdABhAGwAQQBuAG4AdQBhAGwATQBlAHQAaABhAG4AZQBGAHIAbwBtAEUAbgB0AGUAcgBpAGMARgBlAHIAbQBlAG4AdABhAHQAaQBvAG4AXwBOAEkAUgBSAGUAZgBlAHIAZQBuAGMAZQBcAG4AIAAgAD0ATABBAE0AQgBEAEEAKABcACIAXAAiACkAOwBcAG4AXABuAFYARQBFAFIARwBfADMAXwAx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BEAF8AagBcAFwAdABpAG0AZQBzACAATQBfAGoAXABcAHQAaQBtAGUAcwAgAE4AXwBqACkAXABcAHQAaQBtAGUAcwAgADEAMABeAHsALQAzAH0AXAAiACkAOwBcAG4AXABuAFYARQBFAFIARwBfADMAXwAx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ZAB1AHIAYQB0AGkAbwBuACAAbwBmACAAcwB0AGEAeQAgAG8AZgAgAGUAYQBjAGgAIABjAGEAdAB0AGwAZQAgAGwAbwB0AFwAIgAsACAAXAAiAGQAYQB5AHMAXAAiACwAIABcACIASQBuAHAAdQB0AFwAIgA7AFwAbgAgACAAIAAgACAAIAAgACAAIAAgAFwAIgBNAF8AagBcACIALAAgAFwAIgBkAGEAaQBsAHkAIABtAGUAdABoAGEAbgBlACAAcAByAG8AZAB1AGMAdABpAG8AbgBcACIALAAgAFwAIgBrAGcAIABDAEgANAAvAGgAZQBhAGQALwBkAGEAeQBcACIALAAgAFwAIgBDAGEAbABjAHUAbABhAHQAZQBkACAAZgByAG8AbQAgADMALgAxAC4AMQAuADEALAAgACgAMgApAFwAIgA7AFwAbgAgACAAIAAgACAAIAAgACAAIAAgAFwAIgBOAF8AagBcACIALAAgAFwAIgBuAHUAbQBiAGUAcgBzACAAbwBmACAAZgBlAGUAZABsAG8AdAAgAGMAYQB0AHQAbABlACAAaQBuACAAZQBhAGMAaAAgAGMAYQB0AHQAbABlACAAbABvAHQ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EAXwAxAF8AMQBfAF8AMgBfAEQAYQBpAGwAeQBFAG4AdABlAHIAaQBjAE0AZQB0AGgAYQBuAGUAUAByAG8AZAB1AGMAdABpAG8AbgBcAG4ARABhAGkAbAB5ACAAcAByAG8AZAB1AGMAdABpAG8AbgAgAG8AZgAgAGUAbgB0AGUAcgBpAGMAIABtAGUAdABoAGEAbgBlAFwAbgBNAF8AagBcAG4AawBnACAAQwBIADQALwBoAGUAYQBkAC8AZABhAHkAXABuAE0AXwBqAD0AKAA1AC4AMQAxAFwAXAB0AGkAbQBlAHMAIABJAF8AagAtADQALgAwADAAXABcAHQAaQBtAGUAcwAgAEUARQBfAGoAKwAyAC4AMgA2AFwAXAB0AGkAbQBlAHMAIABOAEQARgBfAGoAKQBcAFwAdABpAG0AZQBzACAAMQAwAF4AewAtADMAfQBcAG4ASQBfAGoAIAA9ACAAZAByAHkAIABtAGEAdAB0AGUAcgAgAGkAbgB0AGEAawBlACAAKABrAGcAIABEAE0ALwBoAGUAYQBkAC8AZABhAHkAKQBcAG4ARQBFAF8AagAgAD0AIABlAHQAaABlAHIAIABlAHgAdAByAGEAYwB0ACAAYQBzACAAYQAgAHAAZQByAGMAZQBuAHQAYQBnAGUAIABvAGYAIABJAF8AagAgACgAcABlAHIAIABjAGUAbgB0ACkAXABuAE4ARABGAF8AagAgAD0AIABuAGUAdQB0AHIAYQBsACAAZABlAHQAZQByAGcAZQBuAHQAIABmAGkAYgByAGUAIABhAHMAIABhACAAcABlAHIAYwBlAG4AdABhAGcAZQAgAG8AZgAgAEkAXwBqACAAKABwAGUAcgAgAGMAZQBuAHQAKQBcAG4ALQAtAC0ALQAtAC0ALQAtAC0ALQAtAC0ALQAtAC0ALQAtAC0ALQAtAC0ALQAtAC0ALQAtAC0ALQAtAC0ALQAtAC0ALQAtAC0ALQAtAFwAbgAqAC8AXABuAFwAbgBWAEUARQBSAEcAXwAzAF8AMQBfADEAXwAxAF8AXwAyAF8ARABhAGkAbAB5AEUAbgB0AGUAcgBpAGMATQBlAHQAaABhAG4AZQBQAHIAbwBkAHUAYwB0AGkAbwBuAFwAbgAgACAAPQBMAEEATQBCAEQAQQAoAFwAbgAgACAAIAAgAEkAXwBqACwAIABFAEUAXwBqACwAIABOAEQARgBfAGoALABcAG4AIAAgACAAIAAoADUALgAxADEAIAAqACAASQBfAGoAIAAtACAANAAuADAAMAAgACoAIABFAEUAXwBqACAAKwAgADIALgAyADYAIAAqACAATgBEAEYAXwBqACkAIAAqACAAMQAwACAAXgAgAC0AMwBcAG4AIAAgACkAOwBcAG4AXABuAFYARQBFAFIARwBfADMAXwAx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EAXwAxAF8AMQBfAF8AMgBfAEQAYQBpAGwAeQBFAG4AdABlAHIAaQBjAE0AZQB0AGgAYQBuAGUAUAByAG8AZAB1AGMAdABpAG8AbgBfAFYAYQByAGkAYQBiAGwAZQBcAG4AIAAgAD0ATABBAE0AQgBEAEEAKABcACIATQBfAGoAXAAiACkAOwBcAG4AXABuAFYARQBFAFIARwBfADMAXwAxAF8AMQBfADEAXwBfADIAXwBEAGEAaQBsAHkARQBuAHQAZQByAGkAYwBNAGUAdABoAGEAbgBlAFAAcgBvAGQAdQBjAHQAaQBvAG4AXwBVAG4AaQB0AFwAbgAgACAAPQBMAEEATQBCAEQAQQAoAFwAIgBrAGcAIABDAEgANAAvAGgAZQBhAGQALwBkAGEAeQBcACIAKQA7AFwAbgBcAG4AVgBFAEUAUgBHAF8AMwBfADEAXwAxAF8AMQBfAF8AMgBfAEQAYQBpAGwAeQBFAG4AdABlAHIAaQBjAE0AZQB0AGgAYQBuAGUAUAByAG8AZAB1AGMAdABpAG8AbgBfAFMAbwB1AHIAYwBlAFwAbgAgACAAPQBMAEEATQBCAEQAQQAoAFwAIgBWAEUARQBSAEcAIAAyADAAMgA2ADoAIAAzAC4AMQAuADEALgAxACwAIABFAHEAdQBhAHQAaQBvAG4AIAAoADIAKQBcACIAKQA7AFwAbgBcAG4AVgBFAEUAUgBHAF8AMwBfADEAXwAxAF8AMQBfAF8AMgBfAEQAYQBpAGwAeQBFAG4AdABlAHIAaQBjAE0AZQB0AGgAYQBuAGUAUAByAG8AZAB1AGMAdABpAG8AbgBfAE4ASQBSAFIAZQBmAGUAcgBlAG4AYwBlAFwAbgAgACAAPQBMAEEATQBCAEQAQQAoAFwAIgBBAGwAbQBlAGkAZABhACAAZQB0ACAAYQBsAC4AIAAoADIAMAAyADUAKQBcACIAKQA7AFwAbgBcAG4AVgBFAEUAUgBHAF8AMwBfADEAXwAxAF8AMQBfAF8AMgBfAEQAYQBpAGwAeQBFAG4AdABlAHIAaQBjAE0AZQB0AGgAYQBuAGUAUAByAG8AZAB1AGMAdABpAG8AbgBfAEwAYQB0AGUAeABFAHEAdQBhAHQAaQBvAG4AXABuACAAIAA9AEwAQQBNAEIARABBACgAXAAiAE0AXwBqAD0AKAA1AC4AMQAxAFwAXAB0AGkAbQBlAHMAIABJAF8AagAtADQALgAwADAAXABcAHQAaQBtAGUAcwAgAEUARQBfAGoAKwAyAC4AMgA2AFwAXAB0AGkAbQBlAHMAIABOAEQARgBfAGoAKQBcAFwAdABpAG0AZQBzACAAMQAwAF4AewAtADMAfQBcACIAKQA7AFwAbgBcAG4AVgBFAEUAUgBHAF8AMwBfADEAXwAxAF8AMQBfAF8AMgBfAEQAYQBpAGwAeQBFAG4AdABlAHIAaQBjAE0AZQB0AGgAYQBuAGU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cACIALAAgAFwAIgBkAHIAeQAgAG0AYQB0AHQAZQByACAAaQBuAHQAYQBrAGUAXAAiACwAIABcACIAawBnACAARABNAC8AaABlAGEAZAAvAGQAYQB5AFwAIgAsACAAXAAiAEkAbgBwAHUAdABcACIAOwBcAG4AIAAgACAAIAAgACAAIAAgACAAIABcACIARQBFAF8AagBcACIALAAgAFwAIgBlAHQAaABlAHIAIABlAHgAdAByAGEAYwB0ACAAYQBzACAAYQAgAHAAZQByAGMAZQBuAHQAYQBnAGUAIABvAGYAIABJAF8AagBcACIALAAgAFwAIgBwAGUAcgAgAGMAZQBuAHQAXAAiACwAIABcACIASQBuAHAAdQB0AFwAIgA7AFwAbgAgACAAIAAgACAAIAAgACAAIAAgAFwAIgBOAEQARgBfAGoAXAAiACwAIABcACIAbgBlAHUAdAByAGEAbAAgAGQAZQB0AGUAcgBnAGUAbgB0ACAAZgBpAGIAcgBlACAAYQBzACAAYQAgAHAAZQByAGMAZQBuAHQAYQBnAGUAIABvAGYAIABJAF8AagBcACIALAAgAFwAIgBwAGUAcgAgAGMAZQBuAHQ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F8ASQBuAHAAdQB0AEYAdQBuAGMAdABpAG8AbgBzAC4AQwBvAG0AbQBvAG4AXwBHAGUAdABNAEMARgBUAGUAbQBwAGUAcgBhAHQAdQByAGUAWgBvAG4AZQAiACwAIgBTAG8AdQByAGMAZQBEAGEAdABhAF8ARgBlAGUAZABsAG8AdAAuAFMAbwB1AHIAYwBlAEQAYQB0AGEAXwBGAGUAZQBkAGwAbwB0AF8AVgBTAEwAXwBUAGkAdABsAGUAIgAsACIAUwBvAHUAcgBjAGUARABhAHQAYQBfAEYAZQBlAGQAbABvAHQALgBTAG8AdQByAGMAZQBEAGEAdABhAF8ARgBlAGUAZABsAG8AdABfAFYAUwBMAF8AVgBhAHIAaQBhAGIAbABlACIALAAiAFMAbwB1AHIAYwBlAEQAYQB0AGEAXwBGAGUAZQBkAGwAbwB0AC4AUwBvAHUAcgBjAGUARABhAHQAYQBfAEYAZQBlAGQAbABvAHQAXwBWAFMATABfAFUAbgBpAHQAIgAsACIAUwBvAHUAcgBjAGUARABhAHQAYQBfAEYAZQBlAGQAbABvAHQALgBTAG8AdQByAGMAZQBEAGEAdABhAF8ARgBlAGUAZABsAG8AdABfAFYAUwBMAF8AUwBvAHUAcgBjAGUAIgAsACIAUwBvAHUAcgBjAGUARABhAHQAYQBfAEYAZQBlAGQAbABvAHQALgBTAG8AdQByAGMAZQBEAGEAdABhAF8ARgBlAGUAZABsAG8AdABfAFYAUwBMAF8AVgBhAHIAaQBhAHQAaQBvAG4AIgAsACIAUwBvAHUAcgBjAGUARABhAHQAYQBfAEYAZQBlAGQAbABvAHQALgBTAG8AdQByAGMAZQBEAGEAdABhAF8ARgBlAGUAZABsAG8AdABfAFYAUwBMAF8ARABhAHQAYQAiACwAIgBTAG8AdQByAGMAZQBEAGEAdABhAF8ARgBlAGUAZABsAG8AdAAuAFMAbwB1AHIAYwBlAEQAYQB0AGEAXwBGAGUAZQBkAGwAbwB0AF8ATQBNAFMAbQAxAFQAMwBfAFQAaQB0AGwAZQAiACwAIgBTAG8AdQByAGMAZQBEAGEAdABhAF8ARgBlAGUAZABsAG8AdAAuAFMAbwB1AHIAYwBlAEQAYQB0AGEAXwBGAGUAZQBkAGwAbwB0AF8ATQBNAFMAbQAxAFQAMwBfAFYAYQByAGkAYQBiAGwAZQAiACwAIgBTAG8AdQByAGMAZQBEAGEAdABhAF8ARgBlAGUAZABsAG8AdAAuAFMAbwB1AHIAYwBlAEQAYQB0AGEAXwBGAGUAZQBkAGwAbwB0AF8ATQBNAFMAbQAxAFQAMwBfAFUAbgBpAHQAIgAsACIAUwBvAHUAcgBjAGUARABhAHQAYQBfAEYAZQBlAGQAbABvAHQALgBTAG8AdQByAGMAZQBEAGEAdABhAF8ARgBlAGUAZABsAG8AdABfAE0ATQBTAG0AMQBUADMAXwBTAG8AdQByAGMAZQAiACwAIgBTAG8AdQByAGMAZQBEAGEAdABhAF8ARgBlAGUAZABsAG8AdAAuAFMAbwB1AHIAYwBlAEQAYQB0AGEAXwBGAGUAZQBkAGwAbwB0AF8ATQBNAFMAbQAxAFQAMwBfAFYAYQByAGkAYQB0AGkAbwBuACIALAAiAFMAbwB1AHIAYwBlAEQAYQB0AGEAXwBGAGUAZQBkAGwAbwB0AC4AUwBvAHUAcgBjAGUARABhAHQAYQBfAEYAZQBlAGQAbABvAHQAXwBNAE0AUwBtADEAVAAzAF8ARABhAHQAYQAiACwAIgBTAG8AdQByAGMAZQBEAGEAdABhAF8ARgBlAGUAZABsAG8AdAAuAFMAbwB1AHIAYwBlAEQAYQB0AGEAXwBGAGUAZQBkAGwAbwB0AF8AQQBzAGgAQwBvAG4AdABlAG4AdABfAFQAaQB0AGwAZQAiACwAIgBTAG8AdQByAGMAZQBEAGEAdABhAF8ARgBlAGUAZABsAG8AdAAuAFMAbwB1AHIAYwBlAEQAYQB0AGEAXwBGAGUAZQBkAGwAbwB0AF8AQQBzAGgAQwBvAG4AdABlAG4AdABfAFYAYQByAGkAYQBiAGwAZQAiACwAIgBTAG8AdQByAGMAZQBEAGEAdABhAF8ARgBlAGUAZABsAG8AdAAuAFMAbwB1AHIAYwBlAEQAYQB0AGEAXwBGAGUAZQBkAGwAbwB0AF8AQQBzAGgAQwBvAG4AdABlAG4AdABfAFUAbgBpAHQAIgAsACIAUwBvAHUAcgBjAGUARABhAHQAYQBfAEYAZQBlAGQAbABvAHQALgBTAG8AdQByAGMAZQBEAGEAdABhAF8ARgBlAGUAZABsAG8AdABfAEEAcwBoAEMAbwBuAHQAZQBuAHQAXwBTAG8AdQByAGMAZQAiACwAIgBTAG8AdQByAGMAZQBEAGEAdABhAF8ARgBlAGUAZABsAG8AdAAuAFMAbwB1AHIAYwBlAEQAYQB0AGEAXwBGAGUAZQBkAGwAbwB0AF8AQQBzAGgAQwBvAG4AdABlAG4AdABfAFYAYQByAGkAYQB0AGkAbwBuACIALAAiAFMAbwB1AHIAYwBlAEQAYQB0AGEAXwBGAGUAZQBkAGwAbwB0AC4AUwBvAHUAcgBjAGUARABhAHQAYQBfAEYAZQBlAGQAbABvAHQAXwBBAHMAaABDAG8AbgB0AGUAbgB0AF8ARABhAHQAYQAiACwAIgBTAG8AdQByAGMAZQBEAGEAdABhAF8ARgBlAGUAZABsAG8AdAAuAFMAbwB1AHIAYwBlAEQAYQB0AGEAXwBGAGUAZQBkAGwAbwB0AF8ATQBlAHQAaABhAG4AZQBFAG0AaQBzAHMAaQBvAG4AcwBQAG8AdABlAG4AdABpAGEAbABfAFQAaQB0AGwAZQAiACwAIgBTAG8AdQByAGMAZQBEAGEAdABhAF8ARgBlAGUAZABsAG8AdAAuAFMAbwB1AHIAYwBlAEQAYQB0AGEAXwBGAGUAZQBkAGwAbwB0AF8ATQBlAHQAaABhAG4AZQBFAG0AaQBzAHMAaQBvAG4AcwBQAG8AdABlAG4AdABpAGEAbABfAFYAYQByAGkAYQBiAGwAZQAiACwAIgBTAG8AdQByAGMAZQBEAGEAdABhAF8ARgBlAGUAZABsAG8AdAAuAFMAbwB1AHIAYwBlAEQAYQB0AGEAXwBGAGUAZQBkAGwAbwB0AF8ATQBlAHQAaABhAG4AZQBFAG0AaQBzAHMAaQBvAG4AcwBQAG8AdABlAG4AdABpAGEAbABfAFUAbgBpAHQAIgAsACIAUwBvAHUAcgBjAGUARABhAHQAYQBfAEYAZQBlAGQAbABvAHQALgBTAG8AdQByAGMAZQBEAGEAdABhAF8ARgBlAGUAZABsAG8AdABfAE0AZQB0AGgAYQBuAGUARQBtAGkAcwBzAGkAbwBuAHMAUABvAHQAZQBuAHQAaQBhAGwAXwBTAG8AdQByAGMAZQAiACwAIgBTAG8AdQByAGMAZQBEAGEAdABhAF8ARgBlAGUAZABsAG8AdAAuAFMAbwB1AHIAYwBlAEQAYQB0AGEAXwBGAGUAZQBkAGwAbwB0AF8ATQBlAHQAaABhAG4AZQBFAG0AaQBzAHMAaQBvAG4AcwBQAG8AdABlAG4AdABpAGEAbABfAFYAYQByAGkAYQB0AGkAbwBuACIALAAiAFMAbwB1AHIAYwBlAEQAYQB0AGEAXwBGAGUAZQBkAGwAbwB0AC4AUwBvAHUAcgBjAGUARABhAHQAYQBfAEYAZQBlAGQAbABvAHQAXwBNAGUAdABoAGEAbgBlAEUAbQBpAHMAcwBpAG8AbgBzAFAAbwB0AGUAbgB0AGkAYQBsAF8ARABhAHQAYQAiACwAIgBTAG8AdQByAGMAZQBEAGEAdABhAF8ARgBlAGUAZABsAG8AdAAuAFMAbwB1AHIAYwBlAEQAYQB0AGEAXwBGAGUAZQBkAGwAbwB0AF8AUwB0AGEAZwBlADEATQBNAFMATwBwAHQAaQBvAG4AcwAiACwAIgBTAG8AdQByAGMAZQBEAGEAdABhAF8ARgBlAGUAZABsAG8AdAAuAFMAbwB1AHIAYwBlAEQAYQB0AGEAXwBGAGUAZQBkAGwAbwB0AF8AUwB0AGEAZwBlADIATQBNAFMATwBwAHQAaQBvAG4AcwAiACwAIgBTAG8AdQByAGMAZQBEAGEAdABhAF8ARgBlAGUAZABsAG8AdAAuAFMAbwB1AHIAYwBlAEQAYQB0AGEAXwBGAGUAZQBkAGwAbwB0AF8AUwB0AGEAZwBlADMATQBNAFMATwBwAHQAaQBvAG4AcwAiACwAIgBTAG8AdQByAGMAZQBEAGEAdABhAF8ARgBlAGUAZABsAG8AdAAuAFMAbwB1AHIAYwBlAEQAYQB0AGEAXwBGAGUAZQBkAGwAbwB0AF8ATABpAHYAZQBzAHQAbwBjAGsAQwBsAGEAcwBzAGUAcwAiACwAIgBTAG8AdQByAGMAZQBEAGEAdABhAF8ARgBlAGUAZABsAG8AdAAuAFMAbwB1AHIAYwBlAEQAYQB0AGEAXwBGAGUAZQBkAGwAbwB0AF8ARAB1AHIAYQB0AGkAbwBuAE8AZgBTAHQAYQB5AF8AVABpAHQAbABlACIALAAiAFMAbwB1AHIAYwBlAEQAYQB0AGEAXwBGAGUAZQBkAGwAbwB0AC4AUwBvAHUAcgBjAGUARABhAHQAYQBfAEYAZQBlAGQAbABvAHQAXwBEAHUAcgBhAHQAaQBvAG4ATwBmAFMAdABhAHkAXwBVAG4AaQB0ACIALAAiAFMAbwB1AHIAYwBlAEQAYQB0AGEAXwBGAGUAZQBkAGwAbwB0AC4AUwBvAHUAcgBjAGUARABhAHQAYQBfAEYAZQBlAGQAbABvAHQAXwBEAHUAcgBhAHQAaQBvAG4ATwBmAFMAdABhAHkAXwBTAG8AdQByAGMAZQAiACwAIgBTAG8AdQByAGMAZQBEAGEAdABhAF8ARgBlAGUAZABsAG8AdAAuAFMAbwB1AHIAYwBlAEQAYQB0AGEAXwBGAGUAZQBkAGwAbwB0AF8ARAB1AHIAYQB0AGkAbwBuAE8AZgBTAHQAYQB5AF8AVgBhAHIAaQBhAHQAaQBvAG4AIgAsACIAUwBvAHUAcgBjAGUARABhAHQAYQBfAEYAZQBlAGQAbABvAHQALgBTAG8AdQByAGMAZQBEAGEAdABhAF8ARgBlAGUAZABsAG8AdABfAEQAdQByAGEAdABpAG8AbgBPAGYAUwB0AGEAeQBfAEQAYQB0AGEAIgAsACIAUwBvAHUAcgBjAGUARABhAHQAYQBfAEYAZQBlAGQAbABvAHQALgBTAG8AdQByAGMAZQBEAGEAdABhAF8ARgBlAGUAZABsAG8AdABfAEEAbgBpAG0AYQBsAEMAaABhAHIAYQBjAHQAZQByAGkAcwB0AGkAYwBzAF8AVABpAHQAbABlACIALAAiAFMAbwB1AHIAYwBlAEQAYQB0AGEAXwBGAGUAZQBkAGwAbwB0AC4AUwBvAHUAcgBjAGUARABhAHQAYQBfAEYAZQBlAGQAbABvAHQAXwBBAG4AaQBtAGEAbABDAGgAYQByAGEAYwB0AGUAcgBpAHMAdABpAGMAcwBfAFUAbgBpAHQAIgAsACIAUwBvAHUAcgBjAGUARABhAHQAYQBfAEYAZQBlAGQAbABvAHQALgBTAG8AdQByAGMAZQBEAGEAdABhAF8ARgBlAGUAZABsAG8AdABfAEEAbgBpAG0AYQBsAEMAaABhAHIAYQBjAHQAZQByAGkAcwB0AGkAYwBzAF8AUwBvAHUAcgBjAGUAIgAsACIAUwBvAHUAcgBjAGUARABhAHQAYQBfAEYAZQBlAGQAbABvAHQALgBTAG8AdQByAGMAZQBEAGEAdABhAF8ARgBlAGUAZABsAG8AdABfAEEAbgBpAG0AYQBsAEMAaABhAHIAYQBjAHQAZQByAGkAcwB0AGkAYwBzAF8AVgBhAHIAaQBhAHQAaQBvAG4AIgAsACIAUwBvAHUAcgBjAGUARABhAHQAYQBfAEYAZQBlAGQAbABvAHQALgBTAG8AdQByAGMAZQBEAGEAdABhAF8ARgBlAGUAZABsAG8AdABfAEEAbgBpAG0AYQBsAEMAaABhAHIAYQBjAHQAZQByAGkAcwB0AGkAYwBzAF8ARABhAHQAYQAiACwAIgBTAG8AdQByAGMAZQBEAGEAdABhAF8ARgBlAGUAZABsAG8AdAAuAFMAbwB1AHIAYwBlAEQAYQB0AGEAXwBGAGUAZQBkAGwAbwB0AF8ARABpAGUAdABQAHIAbwBwAGUAcgB0AGkAZQBzAF8AVABpAHQAbABlACIALAAiAFMAbwB1AHIAYwBlAEQAYQB0AGEAXwBGAGUAZQBkAGwAbwB0AC4AUwBvAHUAcgBjAGUARABhAHQAYQBfAEYAZQBlAGQAbABvAHQAXwBEAGkAZQB0AFAAcgBvAHAAZQByAHQAaQBlAHMAXwBVAG4AaQB0ACIALAAiAFMAbwB1AHIAYwBlAEQAYQB0AGEAXwBGAGUAZQBkAGwAbwB0AC4AUwBvAHUAcgBjAGUARABhAHQAYQBfAEYAZQBlAGQAbABvAHQAXwBEAGkAZQB0AFAAcgBvAHAAZQByAHQAaQBlAHMAXwBTAG8AdQByAGMAZQAiACwAIgBTAG8AdQByAGMAZQBEAGEAdABhAF8ARgBlAGUAZABsAG8AdAAuAFMAbwB1AHIAYwBlAEQAYQB0AGEAXwBGAGUAZQBkAGwAbwB0AF8ARABpAGUAdABQAHIAbwBwAGUAcgB0AGkAZQBzAF8AVgBhAHIAaQBhAHQAaQBvAG4AIgAsACIAUwBvAHUAcgBjAGUARABhAHQAYQBfAEYAZQBlAGQAbABvAHQALgBTAG8AdQByAGMAZQBEAGEAdABhAF8ARgBlAGUAZABsAG8AdABfAEQAaQBlAHQAUAByAG8AcABlAHIAdABpAGUAcwBfAEQAYQB0AGEAIgAsACIAUwBvAHUAcgBjAGUARABhAHQAYQBfAEYAZQBlAGQAbABvAHQALgBTAG8AdQByAGMAZQBEAGEAdABhAF8ARgBlAGUAZABsAG8AdABfAE0AQwBGAF8AVABpAHQAbABlACIALAAiAFMAbwB1AHIAYwBlAEQAYQB0AGEAXwBGAGUAZQBkAGwAbwB0AC4AUwBvAHUAcgBjAGUARABhAHQAYQBfAEYAZQBlAGQAbABvAHQAXwBNAEMARgBfAFUAbgBpAHQAIgAsACIAUwBvAHUAcgBjAGUARABhAHQAYQBfAEYAZQBlAGQAbABvAHQALgBTAG8AdQByAGMAZQBEAGEAdABhAF8ARgBlAGUAZABsAG8AdABfAE0AQwBGAF8AUwBvAHUAcgBjAGUAIgAsACIAUwBvAHUAcgBjAGUARABhAHQAYQBfAEYAZQBlAGQAbABvAHQALgBTAG8AdQByAGMAZQBEAGEAdABhAF8ARgBlAGUAZABsAG8AdABfAE0AQwBGAF8AVgBhAHIAaQBhAHQAaQBvAG4AIgAsACIAUwBvAHUAcgBjAGUARABhAHQAYQBfAEYAZQBlAGQAbABvAHQALgBTAG8AdQByAGMAZQBEAGEAdABhAF8ARgBlAGUAZABsAG8AdABfAE0AQwBGAF8ARABhAHQAYQAiACwAIgBTAG8AdQByAGMAZQBEAGEAdABhAF8ARgBlAGUAZABsAG8AdAAuAFMAbwB1AHIAYwBlAEQAYQB0AGEAXwBGAGUAZQBkAGwAbwB0AF8ATgBpAHQAcgBvAHUAcwBPAHgAaQBkAGUARQBGAHMAXwBUAGkAdABsAGUAIgAsACIAUwBvAHUAcgBjAGUARABhAHQAYQBfAEYAZQBlAGQAbABvAHQALgBTAG8AdQByAGMAZQBEAGEAdABhAF8ARgBlAGUAZABsAG8AdABfAE4AaQB0AHIAbwB1AHMATwB4AGkAZABlAEUARgBzAF8AVQBuAGkAdAAiACwAIgBTAG8AdQByAGMAZQBEAGEAdABhAF8ARgBlAGUAZABsAG8AdAAuAFMAbwB1AHIAYwBlAEQAYQB0AGEAXwBGAGUAZQBkAGwAbwB0AF8ATgBpAHQAcgBvAHUAcwBPAHgAaQBkAGUARQBGAHMAXwBTAG8AdQByAGMAZQAiACwAIgBTAG8AdQByAGMAZQBEAGEAdABhAF8ARgBlAGUAZABsAG8AdAAuAFMAbwB1AHIAYwBlAEQAYQB0AGEAXwBGAGUAZQBkAGwAbwB0AF8ATgBpAHQAcgBvAHUAcwBPAHgAaQBkAGUARQBGAHMAXwBWAGEAcgBpAGEAdABpAG8AbgAiACwAIgBTAG8AdQByAGMAZQBEAGEAdABhAF8ARgBlAGUAZABsAG8AdAAuAFMAbwB1AHIAYwBlAEQAYQB0AGEAXwBGAGUAZQBkAGwAbwB0AF8ATgBpAHQAcgBvAHUAcwBPAHgAaQBkAGUARQBGAHMAXwBEAGEAdABhACIALAAiAFMAbwB1AHIAYwBlAEQAYQB0AGEAXwBGAGUAZQBkAGwAbwB0AC4AUwBvAHUAcgBjAGUARABhAHQAYQBfAEYAZQBlAGQAbABvAHQAXwBGAHIAYQBjAE4AVgBvAGwAYQB0AGkAbABpAHMAZQBkAF8AVABpAHQAbABlACIALAAiAFMAbwB1AHIAYwBlAEQAYQB0AGEAXwBGAGUAZQBkAGwAbwB0AC4AUwBvAHUAcgBjAGUARABhAHQAYQBfAEYAZQBlAGQAbABvAHQAXwBGAHIAYQBjAE4AVgBvAGwAYQB0AGkAbABpAHMAZQBkAF8AVQBuAGkAdAAiACwAIgBTAG8AdQByAGMAZQBEAGEAdABhAF8ARgBlAGUAZABsAG8AdAAuAFMAbwB1AHIAYwBlAEQAYQB0AGEAXwBGAGUAZQBkAGwAbwB0AF8ARgByAGEAYwBOAFYAbwBsAGEAdABpAGwAaQBzAGUAZABfAFMAbwB1AHIAYwBlACIALAAiAFMAbwB1AHIAYwBlAEQAYQB0AGEAXwBGAGUAZQBkAGwAbwB0AC4AUwBvAHUAcgBjAGUARABhAHQAYQBfAEYAZQBlAGQAbABvAHQAXwBGAHIAYQBjAE4AVgBvAGwAYQB0AGkAbABpAHMAZQBkAF8AVgBhAHIAaQBhAHQAaQBvAG4AIgAsACIAUwBvAHUAcgBjAGUARABhAHQAYQBfAEYAZQBlAGQAbABvAHQALgBTAG8AdQByAGMAZQBEAGEAdABhAF8ARgBlAGUAZABsAG8AdABfAEYAcgBhAGMATgBWAG8AbABhAHQAaQBsAGkAcwBlAGQAXwBEAGEAdABhACIALAAiAEUAbgB0AGUAcgBpAGMATQBlAHQAaABhAG4AZQBfAEYAZQBlAGQAbABvAHQAXwBFAHEAdQBhAHQAaQBvAG4AcwAuAFYARQBFAFIARwBfADMAXwAxAF8AMQBfADEAXwBfADEAXwBUAG8AdABhAGwAQQBuAG4AdQBhAGwATQBlAHQAaABhAG4AZQBGAHIAbwBtAEUAbgB0AGUAcgBpAGMARgBlAHIAbQBlAG4AdABhAHQAaQBvAG4AIgAsACIARQBuAHQAZQByAGkAYwBNAGUAdABoAGEAbgBlAF8ARgBlAGUAZABsAG8AdABfAEUAcQB1AGEAdABpAG8AbgBzAC4AVgBFAEUAUgBHAF8AMwBfADEAXwAxAF8AMQBfAF8AMQBfAFQAbwB0AGEAbABBAG4AbgB1AGEAbABNAGUAdABoAGEAbgBlAEYAcgBvAG0ARQBuAHQAZQByAGkAYwBGAGUAcgBtAGUAbgB0AGEAdABpAG8AbgBfAFQAaQB0AGwAZQAiACwAIgBFAG4AdABlAHIAaQBjAE0AZQB0AGgAYQBuAGUAXwBGAGUAZQBkAGwAbwB0AF8ARQBxAHUAYQB0AGkAbwBuAHMALgBWAEUARQBSAEcAXwAzAF8AMQBfADEAXwAxAF8AXwAxAF8AVABvAHQAYQBsAEEAbgBuAHUAYQBsAE0AZQB0AGgAYQBuAGUARgByAG8AbQBFAG4AdABlAHIAaQBjAEYAZQByAG0AZQBuAHQAYQB0AGkAbwBuAF8AVgBhAHIAaQBhAGIAbABlACIALAAiAEUAbgB0AGUAcgBpAGMATQBlAHQAaABhAG4AZQBfAEYAZQBlAGQAbABvAHQAXwBFAHEAdQBhAHQAaQBvAG4AcwAuAFYARQBFAFIARwBfADMAXwAxAF8AMQBfADEAXwBfADEAXwBUAG8AdABhAGwAQQBuAG4AdQBhAGwATQBlAHQAaABhAG4AZQBGAHIAbwBtAEUAbgB0AGUAcgBpAGMARgBlAHIAbQBlAG4AdABhAHQAaQBvAG4AXwBVAG4AaQB0ACIALAAiAEUAbgB0AGUAcgBpAGMATQBlAHQAaABhAG4AZQBfAEYAZQBlAGQAbABvAHQAXwBFAHEAdQBhAHQAaQBvAG4AcwAuAFYARQBFAFIARwBfADMAXwAxAF8AMQBfADEAXwBfADEAXwBUAG8AdABhAGwAQQBuAG4AdQBhAGwATQBlAHQAaABhAG4AZQBGAHIAbwBtAEUAbgB0AGUAcgBpAGMARgBlAHIAbQBlAG4AdABhAHQAaQBvAG4AXwBTAG8AdQByAGMAZQAiACwAIgBFAG4AdABlAHIAaQBjAE0AZQB0AGgAYQBuAGUAXwBGAGUAZQBkAGwAbwB0AF8ARQBxAHUAYQB0AGkAbwBuAHMALgBWAEUARQBSAEcAXwAzAF8AMQBfADEAXwAxAF8AXwAxAF8AVABvAHQAYQBsAEEAbgBuAHUAYQBsAE0AZQB0AGgAYQBuAGUARgByAG8AbQBFAG4AdABlAHIAaQBjAEYAZQByAG0AZQBuAHQAYQB0AGkAbwBuAF8ATgBJAFIAUgBlAGYAZQByAGUAbgBjAGUAIgAsACIARQBuAHQAZQByAGkAYwBNAGUAdABoAGEAbgBlAF8ARgBlAGUAZABsAG8AdABfAEUAcQB1AGEAdABpAG8AbgBzAC4AVgBFAEUAUgBHAF8AMwBfADEAXwAxAF8AMQBfAF8AMQBfAFQAbwB0AGEAbABBAG4AbgB1AGEAbABNAGUAdABoAGEAbgBlAEYAcgBvAG0ARQBuAHQAZQByAGkAYwBGAGUAcgBtAGUAbgB0AGEAdABpAG8AbgBfAEwAYQB0AGUAeABFAHEAdQBhAHQAaQBvAG4AIgAsACIARQBuAHQAZQByAGkAYwBNAGUAdABoAGEAbgBlAF8ARgBlAGUAZABsAG8AdABfAEUAcQB1AGEAdABpAG8AbgBzAC4AVgBFAEUAUgBHAF8AMwBfADEAXwAxAF8AMQBfAF8AMQBfAFQAbwB0AGEAbABBAG4AbgB1AGEAbABNAGUAdABoAGEAbgBlAEYAcgBvAG0ARQBuAHQAZQByAGkAYwBGAGUAcgBtAGUAbgB0AGEAdABpAG8AbgBfAEEAcgBnAHUAbQBlAG4AdABzACIALAAiAEUAbgB0AGUAcgBpAGMATQBlAHQAaABhAG4AZQBfAEYAZQBlAGQAbABvAHQAXwBFAHEAdQBhAHQAaQBvAG4AcwAuAFYARQBFAFIARwBfADMAXwAxAF8AMQBfADEAXwBfADIAXwBEAGEAaQBsAHkARQBuAHQAZQByAGkAYwBNAGUAdABoAGEAbgBlAFAAcgBvAGQAdQBjAHQAaQBvAG4AIgAsACIARQBuAHQAZQByAGkAYwBNAGUAdABoAGEAbgBlAF8ARgBlAGUAZABsAG8AdABfAEUAcQB1AGEAdABpAG8AbgBzAC4AVgBFAEUAUgBHAF8AMwBfADEAXwAxAF8AMQBfAF8AMgBfAEQAYQBpAGwAeQBFAG4AdABlAHIAaQBjAE0AZQB0AGgAYQBuAGUAUAByAG8AZAB1AGMAdABpAG8AbgBfAFQAaQB0AGwAZQAiACwAIgBFAG4AdABlAHIAaQBjAE0AZQB0AGgAYQBuAGUAXwBGAGUAZQBkAGwAbwB0AF8ARQBxAHUAYQB0AGkAbwBuAHMALgBWAEUARQBSAEcAXwAzAF8AMQBfADEAXwAxAF8AXwAyAF8ARABhAGkAbAB5AEUAbgB0AGUAcgBpAGMATQBlAHQAaABhAG4AZQBQAHIAbwBkAHUAYwB0AGkAbwBuAF8AVgBhAHIAaQBhAGIAbABlACIALAAiAEUAbgB0AGUAcgBpAGMATQBlAHQAaABhAG4AZQBfAEYAZQBlAGQAbABvAHQAXwBFAHEAdQBhAHQAaQBvAG4AcwAuAFYARQBFAFIARwBfADMAXwAxAF8AMQBfADEAXwBfADIAXwBEAGEAaQBsAHkARQBuAHQAZQByAGkAYwBNAGUAdABoAGEAbgBlAFAAcgBvAGQAdQBjAHQAaQBvAG4AXwBVAG4AaQB0ACIALAAiAEUAbgB0AGUAcgBpAGMATQBlAHQAaABhAG4AZQBfAEYAZQBlAGQAbABvAHQAXwBFAHEAdQBhAHQAaQBvAG4AcwAuAFYARQBFAFIARwBfADMAXwAxAF8AMQBfADEAXwBfADIAXwBEAGEAaQBsAHkARQBuAHQAZQByAGkAYwBNAGUAdABoAGEAbgBlAFAAcgBvAGQAdQBjAHQAaQBvAG4AXwBTAG8AdQByAGMAZQAiACwAIgBFAG4AdABlAHIAaQBjAE0AZQB0AGgAYQBuAGUAXwBGAGUAZQBkAGwAbwB0AF8ARQBxAHUAYQB0AGkAbwBuAHMALgBWAEUARQBSAEcAXwAzAF8AMQBfADEAXwAxAF8AXwAyAF8ARABhAGkAbAB5AEUAbgB0AGUAcgBpAGMATQBlAHQAaABhAG4AZQBQAHIAbwBkAHUAYwB0AGkAbwBuAF8ATgBJAFIAUgBlAGYAZQByAGUAbgBjAGUAIgAsACIARQBuAHQAZQByAGkAYwBNAGUAdABoAGEAbgBlAF8ARgBlAGUAZABsAG8AdABfAEUAcQB1AGEAdABpAG8AbgBzAC4AVgBFAEUAUgBHAF8AMwBfADEAXwAxAF8AMQBfAF8AMgBfAEQAYQBpAGwAeQBFAG4AdABlAHIAaQBjAE0AZQB0AGgAYQBuAGUAUAByAG8AZAB1AGMAdABpAG8AbgBfAEwAYQB0AGUAeABFAHEAdQBhAHQAaQBvAG4AIgAsACIARQBuAHQAZQByAGkAYwBNAGUAdABoAGEAbgBlAF8ARgBlAGUAZABsAG8AdABfAEUAcQB1AGEAdABpAG8AbgBzAC4AVgBFAEUAUgBHAF8AMwBfADEAXwAxAF8AMQBfAF8AMgBfAEQAYQBpAGwAeQBFAG4AdABlAHIAaQBjAE0AZQB0AGgAYQBuAGUAUAByAG8AZAB1AGMAdABpAG8Ab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31</vt:i4>
      </vt:variant>
    </vt:vector>
  </HeadingPairs>
  <TitlesOfParts>
    <vt:vector size="42" baseType="lpstr">
      <vt:lpstr>Home</vt:lpstr>
      <vt:lpstr>Overview</vt:lpstr>
      <vt:lpstr>Results</vt:lpstr>
      <vt:lpstr>Input - Site</vt:lpstr>
      <vt:lpstr>Input - Feedlot</vt:lpstr>
      <vt:lpstr>3.1.1.1-2 Enteric Methane</vt:lpstr>
      <vt:lpstr>Constants - Feedlot</vt:lpstr>
      <vt:lpstr>Constants - Common</vt:lpstr>
      <vt:lpstr>Constants - Livestock</vt:lpstr>
      <vt:lpstr>Acknowledgements</vt:lpstr>
      <vt:lpstr>Tab template</vt:lpstr>
      <vt:lpstr>Input_Feedlot_AverageHead_Domestic</vt:lpstr>
      <vt:lpstr>Input_Feedlot_AverageHead_LongFed</vt:lpstr>
      <vt:lpstr>Input_Feedlot_AverageHead_MidFed</vt:lpstr>
      <vt:lpstr>Input_Feedlot_DurationOfStay_Domestic</vt:lpstr>
      <vt:lpstr>Input_Feedlot_DurationOfStay_LongFed</vt:lpstr>
      <vt:lpstr>Input_Feedlot_DurationOfStay_MidFed</vt:lpstr>
      <vt:lpstr>Input_Feedlot_EtherExtract_Domestic</vt:lpstr>
      <vt:lpstr>Input_Feedlot_EtherExtract_LongFed</vt:lpstr>
      <vt:lpstr>Input_Feedlot_EtherExtract_MidFed</vt:lpstr>
      <vt:lpstr>Input_Feedlot_FeedIntake_Domestic</vt:lpstr>
      <vt:lpstr>Input_Feedlot_FeedIntake_LongFed</vt:lpstr>
      <vt:lpstr>Input_Feedlot_FeedIntake_MidFed</vt:lpstr>
      <vt:lpstr>Input_Feedlot_NDF_Domestic</vt:lpstr>
      <vt:lpstr>Input_Feedlot_NDF_LongFed</vt:lpstr>
      <vt:lpstr>Input_Feedlot_NDF_MidFed</vt:lpstr>
      <vt:lpstr>Input_Site_FarmName</vt:lpstr>
      <vt:lpstr>Input_Site_ReportingEntityName</vt:lpstr>
      <vt:lpstr>Input_Site_StartDate</vt:lpstr>
      <vt:lpstr>M1_Table_E_CH4</vt:lpstr>
      <vt:lpstr>M1_Table_EE_j</vt:lpstr>
      <vt:lpstr>M1_Table_I_j</vt:lpstr>
      <vt:lpstr>M1_Table_M_j</vt:lpstr>
      <vt:lpstr>M1_Table_NDF_j</vt:lpstr>
      <vt:lpstr>M2_Table_E_CH4</vt:lpstr>
      <vt:lpstr>M2_Table_EE_j</vt:lpstr>
      <vt:lpstr>M2_Table_I_j</vt:lpstr>
      <vt:lpstr>M2_Table_M_j</vt:lpstr>
      <vt:lpstr>M2_Table_NDF_j</vt:lpstr>
      <vt:lpstr>Table_D_j</vt:lpstr>
      <vt:lpstr>Table_N_j</vt:lpstr>
      <vt:lpstr>VEERG_3_1_1_1__1_TotalAnnualMethaneFromEntericFermentation_Result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2026-07-08T08:49:39Z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