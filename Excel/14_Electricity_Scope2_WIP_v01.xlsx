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BBF7867-101E-4E2A-9886-A809BDA4C48B}" xr6:coauthVersionLast="47" xr6:coauthVersionMax="47" xr10:uidLastSave="{00000000-0000-0000-0000-000000000000}"/>
  <bookViews>
    <workbookView xWindow="5370" yWindow="1995" windowWidth="27780" windowHeight="17280" firstSheet="2" activeTab="5"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Location_AmountPurchasedInkWh">'Input - Electricity'!$E$11</definedName>
    <definedName name="X_Cell_Electricity_Location_GridElectricityPurchasedFrom">'Input - Electricity'!$E$13</definedName>
    <definedName name="X_Cell_Electricity_Market_AmountPurchasedExcludingGreenPower">'Input - Electricity'!$E$19</definedName>
    <definedName name="X_Cell_Electricity_Market_AmountPurchasedGreenPower">'Input - Electricity'!$E$23</definedName>
    <definedName name="X_Cell_Electricity_Market_JurisdictionalRenewablePowerPercentage">'Input - Electricity'!$E$21</definedName>
    <definedName name="X_Cell_Electricity_Market_RenewablePowerPercentage">'Input - Electricity'!$E$20</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Electricity'!$E$46</definedName>
    <definedName name="X_Cell_TotalElegibleVoluntarilySurrenderedRECs">'Input - Electricity'!$E$37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69" l="1"/>
  <c r="J35" i="69"/>
  <c r="J34" i="69"/>
  <c r="J33" i="69"/>
  <c r="J32" i="69"/>
  <c r="J31" i="69"/>
  <c r="I16" i="69"/>
  <c r="I14" i="69"/>
  <c r="E259" i="125"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4" i="70"/>
  <c r="H44" i="70"/>
  <c r="H35" i="70"/>
  <c r="H34" i="70"/>
  <c r="E43" i="70"/>
  <c r="H43" i="70"/>
  <c r="H42" i="70"/>
  <c r="E42" i="70"/>
  <c r="H33" i="70"/>
  <c r="E25" i="70"/>
  <c r="I43" i="70" s="1"/>
  <c r="E26" i="70"/>
  <c r="I33" i="70" s="1"/>
  <c r="H25" i="110" a="1"/>
  <c r="H25" i="110" s="1"/>
  <c r="G25" i="110" a="1"/>
  <c r="G25" i="110" s="1"/>
  <c r="F25" i="110" a="1"/>
  <c r="F25" i="110" s="1"/>
  <c r="E25" i="110" a="1"/>
  <c r="E25" i="110" s="1"/>
  <c r="J36" i="69" s="1" a="1"/>
  <c r="J36" i="69" s="1"/>
  <c r="D25" i="110" a="1"/>
  <c r="D25" i="110" s="1"/>
  <c r="D22" i="110" a="1"/>
  <c r="D22" i="110" s="1"/>
  <c r="D21" i="110" a="1"/>
  <c r="D21" i="110" s="1"/>
  <c r="E25" i="69" a="1"/>
  <c r="E25" i="69" l="1"/>
  <c r="I44" i="70"/>
  <c r="I35" i="70"/>
  <c r="I34" i="70"/>
  <c r="I42"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2" i="70"/>
  <c r="E18" i="70" s="1"/>
  <c r="E13" i="121"/>
  <c r="E8" i="69" a="1"/>
  <c r="E37" i="70" l="1"/>
  <c r="E46" i="70"/>
  <c r="I15" i="69" a="1"/>
  <c r="I15" i="69" s="1"/>
  <c r="E18" i="69" s="1" a="1"/>
  <c r="E18" i="69" s="1"/>
  <c r="E9" i="13" s="1"/>
  <c r="E8" i="69"/>
  <c r="A15" i="69"/>
  <c r="A5" i="69"/>
  <c r="A4" i="69"/>
  <c r="A3" i="69"/>
  <c r="E39" i="69" l="1" a="1"/>
  <c r="E39" i="69" s="1"/>
  <c r="E10" i="13" s="1"/>
  <c r="F10"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<sst xmlns="http://schemas.openxmlformats.org/spreadsheetml/2006/main" count="198" uniqueCount="155">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</sst>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'14.1.1-2 Purchased electricity'!E18</f>
        <v>16.8</v>
      </c>
      <c r="F9" s="55">
        <f>E9</f>
        <v>16.8</v>
      </c>
      <c r="G9" s="31" t="s">
        <v>58</v>
      </c>
      <c r="H9" s="19"/>
    </row>
    <row r="10" spans="1:8" ht="20.100000000000001" customHeight="1" x14ac:dyDescent="0.25">
      <c r="A10" s="16" t="s">
        <v>45</v>
      </c>
      <c r="C10" s="19"/>
      <c r="D10" s="1" t="s">
        <v>149</v>
      </c>
      <c r="E10" s="55">
        <f>'14.1.1-2 Purchased electricity'!E39</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19" zoomScaleNormal="100" workbookViewId="0">
      <selection activeCell="E46" sqref="E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135</v>
      </c>
    </row>
    <row r="6" spans="1:10" ht="20.100000000000001" customHeight="1" x14ac:dyDescent="0.25">
      <c r="A6" s="13"/>
    </row>
    <row r="7" spans="1:10" ht="20.100000000000001" customHeight="1" x14ac:dyDescent="0.25">
      <c r="A7" s="17" t="s">
        <v>1</v>
      </c>
      <c r="D7" s="63" t="s">
        <v>87</v>
      </c>
    </row>
    <row r="8" spans="1:10" ht="20.100000000000001" customHeight="1" x14ac:dyDescent="0.25">
      <c r="A8" s="44" t="str">
        <f>HYPERLINK("#'Input - Electricity'!A1", "Electricity")</f>
        <v>Electricity</v>
      </c>
    </row>
    <row r="9" spans="1:10" ht="20.100000000000001" customHeight="1" x14ac:dyDescent="0.25">
      <c r="A9" s="14"/>
      <c r="D9" s="64" t="s">
        <v>88</v>
      </c>
      <c r="E9" s="65"/>
      <c r="F9" s="19"/>
    </row>
    <row r="10" spans="1:10" ht="20.100000000000001" customHeight="1" x14ac:dyDescent="0.25">
      <c r="A10" s="16" t="s">
        <v>45</v>
      </c>
      <c r="D10" s="19"/>
      <c r="E10" s="19"/>
      <c r="F10" s="19"/>
    </row>
    <row r="11" spans="1:10" ht="20.100000000000001" customHeight="1" x14ac:dyDescent="0.25">
      <c r="A11" s="14" t="str">
        <f>HYPERLINK("#'14.1.1-2 Purchased electricity'!A1", "14.1.1-2 Purchased electricity")</f>
        <v>14.1.1-2 Purchased electricity</v>
      </c>
      <c r="D11" s="1" t="s">
        <v>89</v>
      </c>
      <c r="E11" s="66">
        <v>30000</v>
      </c>
      <c r="F11" s="2" t="s">
        <v>90</v>
      </c>
    </row>
    <row r="12" spans="1:10" ht="20.100000000000001" customHeight="1" x14ac:dyDescent="0.25">
      <c r="A12" s="14"/>
      <c r="D12" s="1" t="s">
        <v>91</v>
      </c>
      <c r="E12" s="29" t="str">
        <f>IF('Input - Site'!E21="Western Australia", 'Input - Site'!E22, 'Input - Site'!E21)</f>
        <v>Western Australia - Outback (South)</v>
      </c>
      <c r="F12" s="19"/>
    </row>
    <row r="13" spans="1:10" ht="20.100000000000001" customHeight="1" x14ac:dyDescent="0.25">
      <c r="A13" s="15" t="s">
        <v>2</v>
      </c>
      <c r="D13" s="1" t="s">
        <v>92</v>
      </c>
      <c r="E13" s="28" t="s">
        <v>93</v>
      </c>
      <c r="F13" s="2" t="s">
        <v>94</v>
      </c>
    </row>
    <row r="14" spans="1:10" ht="20.100000000000001" customHeight="1" x14ac:dyDescent="0.25">
      <c r="A14" s="14" t="str">
        <f>HYPERLINK("#'Constants - Electricity'!A1", "Constants - Electricity")</f>
        <v>Constants - Electricity</v>
      </c>
    </row>
    <row r="15" spans="1:10" ht="20.100000000000001" customHeight="1" x14ac:dyDescent="0.25">
      <c r="A15" s="14" t="str">
        <f>HYPERLINK("#'Constants - Common'!A1", "Constants - Common")</f>
        <v>Constants - Common</v>
      </c>
    </row>
    <row r="16" spans="1:10" ht="20.100000000000001" customHeight="1" x14ac:dyDescent="0.25">
      <c r="C16" s="109"/>
      <c r="D16" s="109"/>
      <c r="E16" s="109"/>
      <c r="F16" s="109"/>
      <c r="G16" s="109"/>
      <c r="H16" s="109"/>
      <c r="I16" s="109"/>
      <c r="J16" s="109"/>
    </row>
    <row r="17" spans="1:11" ht="20.100000000000001" customHeight="1" x14ac:dyDescent="0.25">
      <c r="D17" s="6" t="s">
        <v>136</v>
      </c>
    </row>
    <row r="18" spans="1:11" ht="20.100000000000001" customHeight="1" x14ac:dyDescent="0.25">
      <c r="E18" s="40" t="str">
        <f>IF(E12="ACT", "", "ALERT: Your farm is not in the ACT, so the JRPP is not applicable")</f>
        <v>ALERT: Your farm is not in the ACT, so the JRPP is not applicable</v>
      </c>
    </row>
    <row r="19" spans="1:11" ht="20.100000000000001" customHeight="1" x14ac:dyDescent="0.25">
      <c r="D19" s="1" t="s">
        <v>129</v>
      </c>
      <c r="E19" s="66">
        <v>30000</v>
      </c>
      <c r="F19" s="2" t="s">
        <v>90</v>
      </c>
    </row>
    <row r="20" spans="1:11" ht="20.100000000000001" customHeight="1" x14ac:dyDescent="0.25">
      <c r="A20" s="14"/>
      <c r="D20" s="1" t="s">
        <v>119</v>
      </c>
      <c r="E20" s="112">
        <v>0.1</v>
      </c>
      <c r="F20" s="2" t="s">
        <v>120</v>
      </c>
    </row>
    <row r="21" spans="1:11" ht="20.100000000000001" customHeight="1" x14ac:dyDescent="0.25">
      <c r="A21" s="14"/>
      <c r="D21" s="1" t="s">
        <v>121</v>
      </c>
      <c r="E21" s="112">
        <v>0.1</v>
      </c>
      <c r="F21" s="2" t="s">
        <v>120</v>
      </c>
    </row>
    <row r="22" spans="1:11" ht="20.100000000000001" customHeight="1" x14ac:dyDescent="0.25"/>
    <row r="23" spans="1:11" ht="20.100000000000001" customHeight="1" x14ac:dyDescent="0.25">
      <c r="A23" s="14"/>
      <c r="D23" s="1" t="s">
        <v>128</v>
      </c>
      <c r="E23" s="66">
        <v>10000</v>
      </c>
      <c r="F23" s="2" t="s">
        <v>90</v>
      </c>
    </row>
    <row r="24" spans="1:11" ht="20.100000000000001" customHeight="1" x14ac:dyDescent="0.25"/>
    <row r="25" spans="1:11" ht="20.100000000000001" customHeight="1" x14ac:dyDescent="0.25">
      <c r="D25" s="1" t="s">
        <v>142</v>
      </c>
      <c r="E25" s="116" t="str">
        <f>TEXT('Input - Site'!$E$12, "dd mmm yyyy")</f>
        <v>01 Jan 2024</v>
      </c>
    </row>
    <row r="26" spans="1:11" ht="20.100000000000001" customHeight="1" x14ac:dyDescent="0.25">
      <c r="D26" s="1" t="s">
        <v>127</v>
      </c>
      <c r="E26" s="116" t="str">
        <f>TEXT('Input - Site'!$E$13, "dd mmm yyyy")</f>
        <v>31 Dec 2024</v>
      </c>
    </row>
    <row r="27" spans="1:11" ht="20.100000000000001" customHeight="1" x14ac:dyDescent="0.25"/>
    <row r="28" spans="1:11" ht="20.100000000000001" customHeight="1" x14ac:dyDescent="0.25">
      <c r="D28" s="63" t="s">
        <v>126</v>
      </c>
    </row>
    <row r="29" spans="1:11" ht="20.100000000000001" customHeight="1" x14ac:dyDescent="0.25">
      <c r="A29" s="14"/>
      <c r="K29" s="49"/>
    </row>
    <row r="30" spans="1:11" ht="20.100000000000001" customHeight="1" x14ac:dyDescent="0.25">
      <c r="A30" s="14"/>
      <c r="D30" s="64" t="s">
        <v>150</v>
      </c>
      <c r="E30" s="65"/>
      <c r="K30" s="49"/>
    </row>
    <row r="31" spans="1:11" ht="20.100000000000001" customHeight="1" x14ac:dyDescent="0.25">
      <c r="A31" s="33"/>
      <c r="K31" s="49"/>
    </row>
    <row r="32" spans="1:11" ht="20.100000000000001" customHeight="1" x14ac:dyDescent="0.25">
      <c r="A32" s="33"/>
      <c r="D32" s="114" t="s">
        <v>123</v>
      </c>
      <c r="E32" s="114" t="s">
        <v>132</v>
      </c>
      <c r="F32" s="114" t="s">
        <v>124</v>
      </c>
      <c r="G32" s="114" t="s">
        <v>125</v>
      </c>
      <c r="H32" s="114" t="s">
        <v>122</v>
      </c>
      <c r="I32" s="114" t="s">
        <v>143</v>
      </c>
      <c r="K32" s="49"/>
    </row>
    <row r="33" spans="1:12" ht="20.100000000000001" customHeight="1" x14ac:dyDescent="0.25">
      <c r="A33" s="14"/>
      <c r="D33" s="27" t="s">
        <v>154</v>
      </c>
      <c r="E33" s="28" t="s">
        <v>133</v>
      </c>
      <c r="F33" s="115">
        <v>44185</v>
      </c>
      <c r="G33" s="27">
        <v>12</v>
      </c>
      <c r="H33" s="29">
        <f>Table_Input_RECSurrendered[[#This Row],[Number of certificates]]</f>
        <v>12</v>
      </c>
      <c r="I33" s="29" t="str">
        <f>IF(DATEDIF(Table_Input_RECSurrendered[[#This Row],[Generation date]],DATEVALUE($E$26),"M")&gt;36,"Ineligible - older than 36 months","Elegible")</f>
        <v>Ineligible - older than 36 months</v>
      </c>
      <c r="K33" s="49"/>
    </row>
    <row r="34" spans="1:12" ht="20.100000000000001" customHeight="1" x14ac:dyDescent="0.25">
      <c r="D34" s="27" t="s">
        <v>151</v>
      </c>
      <c r="E34" s="28" t="s">
        <v>134</v>
      </c>
      <c r="F34" s="115">
        <v>44575</v>
      </c>
      <c r="G34" s="27">
        <v>5</v>
      </c>
      <c r="H34" s="29">
        <f>Table_Input_RECSurrendered[[#This Row],[Number of certificates]]</f>
        <v>5</v>
      </c>
      <c r="I34" s="29" t="str">
        <f>IF(DATEDIF(Table_Input_RECSurrendered[[#This Row],[Generation date]],DATEVALUE($E$26),"M")&gt;36,"Ineligible - older than 36 months","Elegible")</f>
        <v>Elegible</v>
      </c>
      <c r="K34" s="49"/>
    </row>
    <row r="35" spans="1:12" ht="20.100000000000001" customHeight="1" x14ac:dyDescent="0.25">
      <c r="D35" s="27" t="s">
        <v>152</v>
      </c>
      <c r="E35" s="28" t="s">
        <v>133</v>
      </c>
      <c r="F35" s="115">
        <v>45438</v>
      </c>
      <c r="G35" s="27">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49"/>
    </row>
    <row r="37" spans="1:12" ht="20.100000000000001" customHeight="1" x14ac:dyDescent="0.25">
      <c r="D37" s="1" t="s">
        <v>144</v>
      </c>
      <c r="E37" s="29">
        <f>SUMIF(Table_Input_RECSurrendered[Elegibility], "Elegible", Table_Input_RECSurrendered[MWh])</f>
        <v>10</v>
      </c>
      <c r="F37" s="2" t="s">
        <v>122</v>
      </c>
      <c r="L37" s="49"/>
    </row>
    <row r="38" spans="1:12" ht="20.100000000000001" customHeight="1" x14ac:dyDescent="0.25">
      <c r="C38" s="48"/>
    </row>
    <row r="39" spans="1:12" ht="20.100000000000001" customHeight="1" x14ac:dyDescent="0.25">
      <c r="A39" s="14"/>
      <c r="C39" s="48"/>
      <c r="D39" s="63" t="s">
        <v>130</v>
      </c>
      <c r="J39" s="48"/>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14" t="s">
        <v>123</v>
      </c>
      <c r="E41" s="114" t="s">
        <v>131</v>
      </c>
      <c r="F41" s="114" t="s">
        <v>124</v>
      </c>
      <c r="G41" s="114" t="s">
        <v>125</v>
      </c>
      <c r="H41" s="114" t="s">
        <v>122</v>
      </c>
      <c r="I41" s="114" t="s">
        <v>143</v>
      </c>
      <c r="J41" s="1"/>
      <c r="L41" s="49" t="s">
        <v>85</v>
      </c>
    </row>
    <row r="42" spans="1:12" ht="20.100000000000001" customHeight="1" x14ac:dyDescent="0.25">
      <c r="D42" s="27" t="s">
        <v>141</v>
      </c>
      <c r="E42" s="117" t="str">
        <f>"Issued for generated electricity"</f>
        <v>Issued for generated electricity</v>
      </c>
      <c r="F42" s="115">
        <v>44697</v>
      </c>
      <c r="G42" s="27">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27" t="s">
        <v>153</v>
      </c>
      <c r="E43" s="117" t="str">
        <f>"Issued for generated electricity"</f>
        <v>Issued for generated electricity</v>
      </c>
      <c r="F43" s="115">
        <v>45483</v>
      </c>
      <c r="G43" s="27">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4"/>
      <c r="D44" s="122">
        <v>45597</v>
      </c>
      <c r="E44" s="117" t="str">
        <f>"Issued for generated electricity"</f>
        <v>Issued for generated electricity</v>
      </c>
      <c r="F44" s="115">
        <v>45607</v>
      </c>
      <c r="G44" s="27">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145</v>
      </c>
      <c r="E46" s="29">
        <f>SUMIF(Table_Input_RECConsumedByEntity[Elegibility], "Elegible", Table_Input_RECConsumedByEntity[Number of certificates])</f>
        <v>11</v>
      </c>
      <c r="F46" s="2" t="s">
        <v>122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13"/>
    </row>
    <row r="54" spans="4:4" ht="20.100000000000001" customHeight="1" x14ac:dyDescent="0.25"/>
    <row r="55" spans="4:4" ht="20.100000000000001" customHeight="1" x14ac:dyDescent="0.25">
      <c r="D55" s="113"/>
    </row>
    <row r="56" spans="4:4" ht="20.100000000000001" customHeight="1" x14ac:dyDescent="0.25">
      <c r="D56" s="113"/>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79" operator="lessThan">
      <formula>0</formula>
    </cfRule>
  </conditionalFormatting>
  <conditionalFormatting sqref="J35 I36 J37 I39 F51">
    <cfRule type="cellIs" dxfId="0" priority="62" operator="lessThan">
      <formula>0</formula>
    </cfRule>
  </conditionalFormatting>
  <dataValidations count="6">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3" xr:uid="{48A1E533-1334-4AAC-A5F5-B295A34573CB}">
      <formula1>INDIRECT("Table_SourceData_ElectricityEFs[State, Territory or grid description]")</formula1>
    </dataValidation>
    <dataValidation type="list" allowBlank="1" showInputMessage="1" showErrorMessage="1" sqref="E33:E35" xr:uid="{BE2CA0F8-93F9-493C-B304-DCA372760E4E}">
      <formula1>"Purchased certificate, Issued for generated electricity"</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abSelected="1" topLeftCell="C1"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Home</vt:lpstr>
      <vt:lpstr>Overview</vt:lpstr>
      <vt:lpstr>Results</vt:lpstr>
      <vt:lpstr>Input - Site</vt:lpstr>
      <vt:lpstr>Input - Electricity</vt:lpstr>
      <vt:lpstr>14.1.1-2 Purchased electricity</vt:lpstr>
      <vt:lpstr>Constants - Electricity</vt:lpstr>
      <vt:lpstr>Constants - Common</vt:lpstr>
      <vt:lpstr>VEERG_14_1_1__1_LocationBasedScopeElectricityEmissions_Result_Method1</vt:lpstr>
      <vt:lpstr>VEERG_14_1_2__1_MarketBasedScopeElectricityEmissionsVariation_Result_Method1</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2026-06-26T06:52:41Z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