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C583E9D-9B35-458A-BA19-34CE3D0591B1}" xr6:coauthVersionLast="47" xr6:coauthVersionMax="47" xr10:uidLastSave="{00000000-0000-0000-0000-000000000000}"/>
  <bookViews>
    <workbookView xWindow="1020" yWindow="0" windowWidth="34605" windowHeight="18645" firstSheet="2" activeTab="3"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5"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Location_AmountPurchasedInkWh">'Input - Electricity'!$E$11</definedName>
    <definedName name="X_Cell_Electricity_Location_GridElectricityPurchasedFrom">'Input - Electricity'!$E$13</definedName>
    <definedName name="X_Cell_Electricity_Market_AmountPurchasedExcludingGreenPower">'Input - Electricity'!$E$19</definedName>
    <definedName name="X_Cell_Electricity_Market_AmountPurchasedGreenPower">'Input - Electricity'!$E$23</definedName>
    <definedName name="X_Cell_Electricity_Market_JurisdictionalRenewablePowerPercentage">'Input - Electricity'!$E$21</definedName>
    <definedName name="X_Cell_Electricity_Market_RenewablePowerPercentage">'Input - Electricity'!$E$20</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5" l="1" a="1"/>
  <c r="E259" i="125" s="1"/>
  <c r="D259" i="125" a="1"/>
  <c r="D259" i="125" s="1"/>
  <c r="E258" i="125" a="1"/>
  <c r="E258" i="125" s="1"/>
  <c r="D258" i="125" a="1"/>
  <c r="D258" i="125" s="1"/>
  <c r="D256" i="125" a="1"/>
  <c r="D256" i="125" s="1"/>
  <c r="D255" i="125" a="1"/>
  <c r="D255" i="125" s="1"/>
  <c r="D254" i="125" a="1"/>
  <c r="D254" i="125" s="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a="1"/>
  <c r="D168" i="125" s="1"/>
  <c r="D167" i="125" a="1"/>
  <c r="D167" i="125" s="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a="1"/>
  <c r="D151" i="125" s="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a="1"/>
  <c r="D139" i="125" s="1"/>
  <c r="E136" i="125" a="1"/>
  <c r="E136" i="125" s="1"/>
  <c r="D136" i="125" a="1"/>
  <c r="D136" i="125" s="1"/>
  <c r="E135" i="125" a="1"/>
  <c r="E135" i="125" s="1"/>
  <c r="D135" i="125" a="1"/>
  <c r="D135" i="125" s="1"/>
  <c r="D133" i="125" a="1"/>
  <c r="D133" i="125" s="1"/>
  <c r="D132" i="125" a="1"/>
  <c r="D132" i="125" s="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a="1"/>
  <c r="D81" i="125" s="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c r="D46" i="125" a="1"/>
  <c r="D45" i="125" a="1"/>
  <c r="D45" i="125" s="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c r="D35" i="125" a="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c r="D19" i="125" a="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D24" i="69" a="1"/>
  <c r="D24" i="69" s="1"/>
  <c r="H53" i="125" l="1"/>
  <c r="H48" i="125"/>
  <c r="H49" i="125"/>
  <c r="H50" i="125"/>
  <c r="H52" i="125"/>
  <c r="H51" i="125"/>
  <c r="H54" i="125"/>
  <c r="A15" i="110"/>
  <c r="A14" i="110"/>
  <c r="A11" i="110"/>
  <c r="A8" i="110"/>
  <c r="A5" i="110"/>
  <c r="A4" i="110"/>
  <c r="A3" i="110"/>
  <c r="A15" i="70"/>
  <c r="A14" i="70"/>
  <c r="A11" i="70"/>
  <c r="A8" i="70"/>
  <c r="A5" i="70"/>
  <c r="A4" i="70"/>
  <c r="A3" i="70"/>
  <c r="A15" i="121"/>
  <c r="A14" i="121"/>
  <c r="A11" i="121"/>
  <c r="A8" i="121"/>
  <c r="A5" i="121"/>
  <c r="A4" i="121"/>
  <c r="A3" i="121"/>
  <c r="A15" i="13"/>
  <c r="A14" i="13"/>
  <c r="A11" i="13"/>
  <c r="A8" i="13"/>
  <c r="A5" i="13"/>
  <c r="A4" i="13"/>
  <c r="A3" i="13"/>
  <c r="A15" i="118"/>
  <c r="A14" i="118"/>
  <c r="A11" i="118"/>
  <c r="A8" i="118"/>
  <c r="A5" i="118"/>
  <c r="A4" i="118"/>
  <c r="A3" i="118"/>
  <c r="A14" i="69"/>
  <c r="A8" i="69"/>
  <c r="E44" i="70"/>
  <c r="H44" i="70"/>
  <c r="H35" i="70"/>
  <c r="H34" i="70"/>
  <c r="E43" i="70"/>
  <c r="H43" i="70"/>
  <c r="H42" i="70"/>
  <c r="E42" i="70"/>
  <c r="H33" i="70"/>
  <c r="E25" i="70"/>
  <c r="I43" i="70" s="1"/>
  <c r="E26" i="70"/>
  <c r="I33" i="70" s="1"/>
  <c r="H25" i="110" a="1"/>
  <c r="H25" i="110" s="1"/>
  <c r="G25" i="110" a="1"/>
  <c r="G25" i="110" s="1"/>
  <c r="F25" i="110" a="1"/>
  <c r="F25" i="110" s="1"/>
  <c r="E25" i="110" a="1"/>
  <c r="E25" i="110" s="1"/>
  <c r="J36" i="69" s="1" a="1"/>
  <c r="J36" i="69" s="1"/>
  <c r="D25" i="110" a="1"/>
  <c r="D25" i="110" s="1"/>
  <c r="D22" i="110" a="1"/>
  <c r="D22" i="110" s="1"/>
  <c r="D21" i="110" a="1"/>
  <c r="D21" i="110" s="1"/>
  <c r="E25" i="69" a="1"/>
  <c r="E25" i="69" l="1"/>
  <c r="I44" i="70"/>
  <c r="I35" i="70"/>
  <c r="I34" i="70"/>
  <c r="I42" i="70"/>
  <c r="J37" i="69"/>
  <c r="J33" i="69" s="1"/>
  <c r="J32" i="69"/>
  <c r="J31" i="69"/>
  <c r="D7" i="69" a="1"/>
  <c r="D7" i="69" s="1"/>
  <c r="H31" i="69" a="1"/>
  <c r="H31" i="69" s="1"/>
  <c r="D31" i="69" a="1"/>
  <c r="D31" i="69" s="1"/>
  <c r="E29" i="69" a="1"/>
  <c r="E29" i="69" s="1"/>
  <c r="F39" i="69" s="1"/>
  <c r="E28" i="69" a="1"/>
  <c r="E28" i="69" s="1"/>
  <c r="D23" i="69" a="1"/>
  <c r="D23" i="69" s="1"/>
  <c r="D22" i="69" a="1"/>
  <c r="D22" i="69" s="1"/>
  <c r="A11" i="69"/>
  <c r="I16" i="69"/>
  <c r="I14" i="69"/>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12" i="70"/>
  <c r="E18" i="70" s="1"/>
  <c r="E13" i="121"/>
  <c r="E8" i="69" a="1"/>
  <c r="E37" i="70" l="1"/>
  <c r="J34" i="69" s="1"/>
  <c r="E46" i="70"/>
  <c r="J35" i="69" s="1"/>
  <c r="I15" i="69" a="1"/>
  <c r="I15" i="69" s="1"/>
  <c r="E18" i="69" s="1" a="1"/>
  <c r="E18" i="69" s="1"/>
  <c r="E9" i="13" s="1"/>
  <c r="E8" i="69"/>
  <c r="A15" i="69"/>
  <c r="A5" i="69"/>
  <c r="A4" i="69"/>
  <c r="A3" i="69"/>
  <c r="E39" i="69" l="1" a="1"/>
  <c r="E39" i="69" s="1"/>
  <c r="E10" i="13" s="1"/>
  <c r="F10"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<sst xmlns="http://schemas.openxmlformats.org/spreadsheetml/2006/main" count="198" uniqueCount="155">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</sst>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xf numFmtId="0" fontId="4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3">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48" fillId="0" borderId="0" xfId="0" applyFont="1" applyAlignment="1">
      <alignment vertical="center"/>
    </xf>
    <xf numFmtId="0" fontId="41" fillId="4" borderId="0" xfId="47">
      <alignment horizontal="left" vertical="center"/>
    </xf>
    <xf numFmtId="0" fontId="36" fillId="13" borderId="14" xfId="39" applyBorder="1">
      <alignment horizontal="left" vertical="center"/>
    </xf>
    <xf numFmtId="0" fontId="36"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17" xfId="39" applyBorder="1">
      <alignment horizontal="left" vertical="center"/>
    </xf>
    <xf numFmtId="0" fontId="36" fillId="13" borderId="18" xfId="39" applyBorder="1">
      <alignment horizontal="left" vertical="center"/>
    </xf>
    <xf numFmtId="0" fontId="50"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1" fillId="0" borderId="0" xfId="0" applyFont="1" applyAlignment="1" applyProtection="1">
      <alignment horizontal="center" vertical="center"/>
      <protection locked="0"/>
    </xf>
    <xf numFmtId="4" fontId="52" fillId="0" borderId="0" xfId="17" applyFont="1" applyBorder="1">
      <alignment horizontal="center" vertical="center"/>
    </xf>
    <xf numFmtId="164" fontId="8" fillId="4" borderId="0" xfId="26" applyBorder="1">
      <alignment horizontal="center" vertical="center"/>
    </xf>
    <xf numFmtId="4" fontId="52" fillId="4" borderId="0" xfId="17" applyFont="1" applyFill="1" applyBorder="1">
      <alignment horizontal="center" vertical="center"/>
    </xf>
    <xf numFmtId="0" fontId="52" fillId="4" borderId="0" xfId="12" applyFont="1" applyAlignment="1">
      <alignment horizontal="center" vertical="center"/>
    </xf>
    <xf numFmtId="0" fontId="52" fillId="4" borderId="0" xfId="8" applyFont="1" applyAlignment="1">
      <alignment horizontal="center" vertical="center"/>
    </xf>
    <xf numFmtId="166" fontId="52" fillId="4" borderId="0" xfId="8" applyNumberFormat="1" applyFont="1" applyAlignment="1">
      <alignment horizontal="center" vertical="center"/>
    </xf>
    <xf numFmtId="9" fontId="52" fillId="4" borderId="0" xfId="69"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xf numFmtId="0" fontId="52" fillId="4" borderId="0" xfId="0" applyFont="1" applyFill="1"/>
    <xf numFmtId="0" fontId="52" fillId="0" borderId="0" xfId="0" applyFont="1"/>
    <xf numFmtId="0" fontId="54" fillId="4" borderId="0" xfId="7" applyFont="1" applyAlignment="1">
      <alignment horizontal="center" vertical="center"/>
    </xf>
    <xf numFmtId="0" fontId="55" fillId="4" borderId="0" xfId="7" applyFont="1" applyAlignment="1">
      <alignment horizontal="center" vertical="center"/>
    </xf>
    <xf numFmtId="166" fontId="55" fillId="4" borderId="0" xfId="7" applyNumberFormat="1" applyFont="1" applyAlignment="1">
      <alignment horizontal="center" vertical="center"/>
    </xf>
    <xf numFmtId="0" fontId="55" fillId="4" borderId="0" xfId="0" applyFont="1" applyFill="1" applyAlignment="1">
      <alignment horizontal="center" vertical="center"/>
    </xf>
    <xf numFmtId="0" fontId="56" fillId="4" borderId="0" xfId="0" applyFont="1" applyFill="1" applyAlignment="1">
      <alignment horizontal="center" vertical="center"/>
    </xf>
    <xf numFmtId="0" fontId="56" fillId="4" borderId="0" xfId="0" applyFont="1" applyFill="1" applyAlignment="1">
      <alignment horizontal="left" vertical="center"/>
    </xf>
    <xf numFmtId="14" fontId="3" fillId="4" borderId="0" xfId="7" applyNumberFormat="1">
      <alignment horizontal="left" vertical="center"/>
    </xf>
    <xf numFmtId="0" fontId="49"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7" fillId="4" borderId="0" xfId="0" applyFont="1" applyFill="1"/>
    <xf numFmtId="0" fontId="59" fillId="4" borderId="1" xfId="8" applyFont="1" applyBorder="1">
      <alignment horizontal="left" vertical="center"/>
    </xf>
    <xf numFmtId="0" fontId="31" fillId="4" borderId="1" xfId="8" applyBorder="1">
      <alignment horizontal="left" vertical="center"/>
    </xf>
    <xf numFmtId="0" fontId="58"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1"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30"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61" fillId="4" borderId="1" xfId="53" applyFont="1" applyBorder="1">
      <alignment horizontal="left" vertical="center"/>
    </xf>
    <xf numFmtId="17" fontId="0" fillId="0" borderId="0" xfId="8" applyNumberFormat="1" applyFont="1" applyFill="1">
      <alignment horizontal="left"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55"/>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54"/>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53">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45D258-076A-4B5A-AA6B-C49DFA191D5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95177ED-1EBA-43C6-9498-92077FE04B20}" name="State/Territory">
      <calculatedColumnFormula array="1">Common_InputFunctions.Utility_DisplayArrayInTable(Common_SourceData.Common_SourceData_AustralianStatesTerritories_Data(),Table_AustralianStates[[#Headers],[State/Territory]],0)</calculatedColumnFormula>
    </tableColumn>
    <tableColumn id="2" xr3:uid="{E6772BFB-AA6A-41FC-BD6C-C9E793BB4773}" name="Common Name">
      <calculatedColumnFormula array="1">Common_InputFunctions.Utility_DisplayArrayInTable(Common_SourceData.Common_SourceData_AustralianStatesTerritories_Data(),Table_AustralianStates[[#Headers],[State/Territory]],0)</calculatedColumnFormula>
    </tableColumn>
    <tableColumn id="3" xr3:uid="{F56D49FB-4059-499C-A541-DB617EE84BC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F5C838-87E8-4D7B-A7BB-621E19D72D16}" name="Table_WASA4Areas" displayName="Table_WASA4Areas" ref="D20:D30" totalsRowShown="0">
  <autoFilter ref="D20:D30" xr:uid="{5FA81339-C6C8-4D36-BEEA-6C4AEDD9E676}">
    <filterColumn colId="0" hiddenButton="1"/>
  </autoFilter>
  <tableColumns count="1">
    <tableColumn id="1" xr3:uid="{D87A9820-7D5C-4E3B-9FDA-0760A54909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CEEA0DB-3426-4FC4-9C05-FC16BB4DB114}" name="Table_GWPData" displayName="Table_GWPData" ref="D36:E43" totalsRowShown="0">
  <autoFilter ref="D36:E43" xr:uid="{B8E87A66-3E41-4AD3-925D-01EE21B43D7A}">
    <filterColumn colId="0" hiddenButton="1"/>
    <filterColumn colId="1" hiddenButton="1"/>
  </autoFilter>
  <tableColumns count="2">
    <tableColumn id="1" xr3:uid="{449CE4B5-C92A-4D75-AD48-7B18A369707C}" name="Gas">
      <calculatedColumnFormula array="1">Common_InputFunctions.Utility_DisplayArrayInTable(Common_SourceData.Common_SourceData_GWP_Data(), Table_GWPData[[#Headers],[Gas]], 0)</calculatedColumnFormula>
    </tableColumn>
    <tableColumn id="2" xr3:uid="{6207AA7D-D9A5-4D47-B8E9-BAB69025D4F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15A35-8E09-4760-B0A3-618AB40690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2D27CF-AD7B-42B7-B36E-CFB70CF6CB19}" name="Gas">
      <calculatedColumnFormula array="1">Common_InputFunctions.Utility_DisplayArrayInTable(Common_SourceData.Common_SourceData_ConvertGasElementalToMolecular_Data(),Table_GasToMolecularConversionFactor[[#Headers],[Gas]], 0)</calculatedColumnFormula>
    </tableColumn>
    <tableColumn id="5" xr3:uid="{303926E1-9540-448E-BD4A-87D980C3A4AC}" name="Conversion factor">
      <calculatedColumnFormula array="1">Common_InputFunctions.Utility_DisplayArrayInTable(Common_SourceData.Common_SourceData_ConvertGasElementalToMolecular_Data(),Table_GasToMolecularConversionFactor[[#Headers],[Gas]], 0)</calculatedColumnFormula>
    </tableColumn>
    <tableColumn id="2" xr3:uid="{6B00D6B4-3A7A-40A7-8FDE-B4C76D5AE8B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2935796-0188-45BB-81D5-45675D22D8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29806A-705C-4D9D-807B-FDF830B070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DC25208-F11F-41FC-A971-293EC942CEA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0C65BBD-65EB-401C-841C-2F90C27F122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F52095-F2E8-4CFF-BC02-735327398AE7}"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293C01F0-58C5-4225-B1BF-0AF76DD11236}"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589D5993-98E6-4F10-8BEF-F4D3384D2A1A}"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406FCB98-F580-476B-8094-37A732C5209C}"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7AA1A242-2BD3-4A2A-9FF2-041A49F70FC5}"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FD90A26C-F6B4-4CA9-BFD9-37F32B561D34}"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F2BE60C6-21D0-4D92-962B-F8714AA7095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9483392B-977A-4443-87CA-3F71C94B91EE}"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66A31397-B101-451A-AFF2-657EEC54BB8A}"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76E99937-B5E0-46CF-8F37-854ABC92A2CE}"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79453B92-681F-4F2C-A55A-6A70BFA2A296}"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241623C7-2535-40B3-98B6-CB4E146DC870}"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01C0BA39-A5B7-4660-87AF-2141015EE601}"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3B44E29E-E339-424C-9EF8-8294D5D9D33A}"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76D0424-4DC1-4C50-81D5-DF1A20DAAAAB}"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EB1895C-9E8C-4AF2-9E00-D6B27B0AC47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1803246-E4E7-4C12-9CED-FFEFC9C0B6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C807759-03A6-4EA9-A3A8-2AE252F48040}"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11B8BA5-AF9B-4E90-8B77-F474961E535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F12359-4A77-42FA-90A4-CD462B7A32D5}" name="Temperature Zone">
      <calculatedColumnFormula array="1">Common_InputFunctions.Utility_DisplayArrayInTable(Common_SourceData.Common_SourceData_TemperatureZones_Data(),Table_SourceData_TemperatureZones[[#Headers],[Temperature Zone]],0)</calculatedColumnFormula>
    </tableColumn>
    <tableColumn id="2" xr3:uid="{05821D49-3078-4C26-8CEF-1FF0B81C6838}" name="MAT">
      <calculatedColumnFormula array="1">Common_InputFunctions.Utility_DisplayArrayInTable(Common_SourceData.Common_SourceData_TemperatureZones_Data(),Table_SourceData_TemperatureZones[[#Headers],[Temperature Zone]],0)</calculatedColumnFormula>
    </tableColumn>
    <tableColumn id="3" xr3:uid="{85F0EB47-3E26-4081-A01B-790F8F5CC68D}" name="Min MAT">
      <calculatedColumnFormula array="1">Common_InputFunctions.Utility_DisplayArrayInTable(Common_SourceData.Common_SourceData_TemperatureZones_Data(),Table_SourceData_TemperatureZones[[#Headers],[Temperature Zone]],0)</calculatedColumnFormula>
    </tableColumn>
    <tableColumn id="4" xr3:uid="{A23E9FF0-621A-46DB-AF37-618721632CE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F9DBA8C-B8CD-451B-B149-E05E843AADC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40E371A-E30C-4D44-9493-C4F0EC94E5A2}" name="Rainfall Zone">
      <calculatedColumnFormula array="1">Common_InputFunctions.Utility_DisplayArrayInTable(Common_SourceData.Common_SourceData_RainfallZones_Data(),Table_SourceData_RainfallZones[[#Headers],[Rainfall Zone]],0)</calculatedColumnFormula>
    </tableColumn>
    <tableColumn id="2" xr3:uid="{779E8154-16A3-4D17-86C3-715AC14DE8F0}" name="Annual rainfall">
      <calculatedColumnFormula array="1">Common_InputFunctions.Utility_DisplayArrayInTable(Common_SourceData.Common_SourceData_RainfallZones_Data(),Table_SourceData_RainfallZones[[#Headers],[Rainfall Zone]],0)</calculatedColumnFormula>
    </tableColumn>
    <tableColumn id="3" xr3:uid="{27F5D161-20D8-4A2C-B622-9C1ED7C8161C}" name="Min rainfall">
      <calculatedColumnFormula array="1">Common_InputFunctions.Utility_DisplayArrayInTable(Common_SourceData.Common_SourceData_RainfallZones_Data(),Table_SourceData_RainfallZones[[#Headers],[Rainfall Zone]],0)</calculatedColumnFormula>
    </tableColumn>
    <tableColumn id="4" xr3:uid="{B7EF2610-84CC-454C-ADE9-87A434852E6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B4BE869-BD2D-4CB6-8F94-4C6FDFB0181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6792D08-4CD9-4957-866D-CD24AC220047}" name="Leaching Zone">
      <calculatedColumnFormula array="1">Common_InputFunctions.Utility_DisplayArrayInTable(Common_SourceData.Common_SourceData_LeachingZones_Data(), Table_SourceData_LeachingZones[[#Headers],[Leaching Zone]], 0)</calculatedColumnFormula>
    </tableColumn>
    <tableColumn id="2" xr3:uid="{4D8A101F-2F9D-48F4-9D0A-52C7A788BFA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7B5BA89-C80A-47F2-A8B6-ED4B582A1C9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F4FC8BB-B5E7-4221-86E1-4FA411077C77}" name="Data source">
      <calculatedColumnFormula array="1">Common_InputFunctions.Utility_DisplayArrayInTable(Common_SourceData.Common_SourceData_DataScores_Scope3_Data(), Table_SourceData_DataScores_Scope3[[#Headers],[Data source]], 0)</calculatedColumnFormula>
    </tableColumn>
    <tableColumn id="2" xr3:uid="{1CB283B2-6604-49C4-AD0B-13E9602B042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EE2770-646A-43B3-B7B5-D9446C498E1F}" name="Table_SourceData_FracWET" displayName="Table_SourceData_FracWET" ref="D134:E136" totalsRowShown="0">
  <autoFilter ref="D134:E136" xr:uid="{308E99BE-FE1F-47A4-B2CA-97217277C4E9}">
    <filterColumn colId="0" hiddenButton="1"/>
    <filterColumn colId="1" hiddenButton="1"/>
  </autoFilter>
  <tableColumns count="2">
    <tableColumn id="1" xr3:uid="{F906496D-A444-4250-8922-433A11D3B881}" name="Is in leaching zone">
      <calculatedColumnFormula array="1">Common_InputFunctions.Utility_DisplayArrayInTable(Common_SourceData.Common_SourceData_FracWET_Data(),Table_SourceData_FracWET[[#Headers],[Is in leaching zone]],0)</calculatedColumnFormula>
    </tableColumn>
    <tableColumn id="2" xr3:uid="{878DA8B7-C630-4AB9-8C95-90F444A5D738}"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2CF032-D7F2-4844-ACBE-EFAB422E543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D0807DD-6AA3-4428-AB95-96AA52AB5C1D}" name="Production system j">
      <calculatedColumnFormula array="1">Common_InputFunctions.Utility_DisplayArrayInTable(Common_SourceData.Common_SourceData_EFN2O_Data(), Table_SourceData_Common_EFN2O[[#Headers],[Production system j]], 0)</calculatedColumnFormula>
    </tableColumn>
    <tableColumn id="2" xr3:uid="{8FCA39AD-469E-4CD3-80A6-3C5099BC6238}" name="EFN2O">
      <calculatedColumnFormula array="1">Common_InputFunctions.Utility_DisplayArrayInTable(Common_SourceData.Common_SourceData_EFN2O_Data(), Table_SourceData_Common_EFN2O[[#Headers],[Production system j]], 0)</calculatedColumnFormula>
    </tableColumn>
    <tableColumn id="3" xr3:uid="{7F5F1FED-030A-4162-A69C-E39984CC7BDC}" name="Production system only">
      <calculatedColumnFormula array="1">Common_InputFunctions.Utility_DisplayArrayInTable(Common_SourceData.Common_SourceData_EFN2O_Data(), Table_SourceData_Common_EFN2O[[#Headers],[Production system j]], 0)</calculatedColumnFormula>
    </tableColumn>
    <tableColumn id="4" xr3:uid="{AAB52485-33EF-46FC-9F4B-36BDA871301C}" name="Irrigation method">
      <calculatedColumnFormula array="1">Common_InputFunctions.Utility_DisplayArrayInTable(Common_SourceData.Common_SourceData_EFN2O_Data(), Table_SourceData_Common_EFN2O[[#Headers],[Production system j]], 0)</calculatedColumnFormula>
    </tableColumn>
    <tableColumn id="5" xr3:uid="{FF942727-9CF7-4E83-B62C-E3D00A8D558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2E5E6E-359C-40E3-A8D2-658EDE7A0FA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814AD1A-7016-44E0-9C99-03FF83468F83}" name="Irrigation type i">
      <calculatedColumnFormula array="1">Common_InputFunctions.Utility_DisplayArrayInTable(Common_SourceData.Common_SourceData_FracWETIrrigation_Data(), Table_SourceData_FracWETIrrigation[[#Headers],[Irrigation type i]], 0)</calculatedColumnFormula>
    </tableColumn>
    <tableColumn id="2" xr3:uid="{AFA1116F-C725-4B55-9B70-E01F18D7D64D}"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5B896D3-D18E-4B82-B16D-832D4CAA199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E8A000-CB3A-4589-A633-510CB794A02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1A37728-9D03-42EE-883F-34C68FDE0991}"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600146-C8D5-41EF-B31F-A7FCF6202E5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73729FE-B0B8-43E5-88AE-8D20F76416C4}" name="Month">
      <calculatedColumnFormula array="1">Common_InputFunctions.Utility_DisplayArrayInTable(Common_SourceData.Common_SourceData_MonthsToSeasons_Data(), Table_SourceData_Common_MonthToSeason[[#Headers],[Month]], 0)</calculatedColumnFormula>
    </tableColumn>
    <tableColumn id="2" xr3:uid="{C4C2B80B-A079-4091-9A9A-9B58521D39CA}"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D97BDBB-20B1-4018-B059-7F2FC8F608C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67277F-0CDC-427E-9644-E5596A7F449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5D33B11-136F-44DC-920F-653DE287B84F}"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78AD67B-4603-44F8-AA5D-4C3A9CDD0A62}"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583BDDD-1635-4862-BADC-97F1690AFE48}"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809273A-73C8-40D4-9C50-F2D5C93DEE56}"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449008-A3E7-4114-B413-65EB97C892A9}"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58521E-4AF2-4F97-9BD8-45186E981572}"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A95670-DDCD-45AC-9636-5330B17C3937}"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69F9D4-6A52-406A-879A-DB1CBD98D2A6}"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31A76B-25CC-4D1D-ACF4-DE2010E0B5D0}"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570B9BE-F6E9-4755-A835-3AEDA6FE5D89}"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90F1253-0E30-47CF-986A-587171B375E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4AB0FB4-EB82-415D-9571-BA6462BBB4A8}"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3CFDE98-4294-455E-B95C-7948165A6283}"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77C2B6B-A9ED-4CEF-A0D5-977191F456F7}"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B0D34FB-6534-4647-9CA2-FF689189ADC8}"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777A1D9-9AB6-4A99-9843-98D8910F386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353079-6C94-4374-B3F7-E6CEFC89A25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2DF64D2-D979-40F8-9AB6-D16FDA4EAAAD}"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6" t="s">
        <v>146</v>
      </c>
      <c r="D1" s="57"/>
      <c r="E1" s="57"/>
      <c r="F1" s="57"/>
      <c r="G1" s="57"/>
      <c r="H1" s="57"/>
      <c r="I1" s="57"/>
      <c r="J1" s="57"/>
      <c r="K1" s="57"/>
      <c r="L1" s="57"/>
      <c r="M1" s="57"/>
      <c r="N1" s="57"/>
      <c r="O1" s="57"/>
      <c r="P1" s="57"/>
    </row>
    <row r="2" spans="1:17" ht="20.100000000000001" customHeight="1" x14ac:dyDescent="0.25">
      <c r="A2" s="9"/>
      <c r="C2" s="57"/>
      <c r="D2" s="57"/>
      <c r="E2" s="57"/>
      <c r="F2" s="57"/>
      <c r="G2" s="57"/>
      <c r="H2" s="57"/>
      <c r="I2" s="57"/>
      <c r="J2" s="57"/>
      <c r="K2" s="57"/>
      <c r="L2" s="57"/>
      <c r="M2" s="57"/>
      <c r="N2" s="57"/>
      <c r="O2" s="57"/>
      <c r="P2" s="57"/>
      <c r="Q2" s="58"/>
    </row>
    <row r="3" spans="1:17" ht="20.100000000000001" customHeight="1" x14ac:dyDescent="0.25">
      <c r="A3" s="14" t="str">
        <f>HYPERLINK("#'Home'!A1", "Home")</f>
        <v>Home</v>
      </c>
      <c r="C3" s="59"/>
      <c r="D3" s="59"/>
      <c r="E3" s="59"/>
      <c r="F3" s="59"/>
      <c r="G3" s="59"/>
      <c r="H3" s="59"/>
      <c r="I3" s="59"/>
      <c r="J3" s="59"/>
      <c r="K3" s="59"/>
      <c r="L3" s="59"/>
      <c r="M3" s="59"/>
      <c r="N3" s="59"/>
      <c r="O3" s="59"/>
      <c r="P3" s="59"/>
    </row>
    <row r="4" spans="1:17" ht="20.100000000000001" customHeight="1" x14ac:dyDescent="0.25">
      <c r="A4" s="45" t="str">
        <f>HYPERLINK("#'Overview'!A1", "Overview")</f>
        <v>Overview</v>
      </c>
    </row>
    <row r="5" spans="1:17" ht="20.100000000000001" customHeight="1" x14ac:dyDescent="0.25">
      <c r="A5" s="14" t="str">
        <f>HYPERLINK("#'Results'!A1", "Results")</f>
        <v>Results</v>
      </c>
      <c r="D5" s="43" t="s">
        <v>83</v>
      </c>
      <c r="E5" s="38"/>
      <c r="F5" s="38"/>
      <c r="G5" s="38"/>
      <c r="H5" s="38"/>
      <c r="I5" s="38"/>
      <c r="J5" s="38"/>
      <c r="K5" s="38"/>
      <c r="L5" s="38"/>
      <c r="M5" s="38"/>
      <c r="N5" s="38"/>
      <c r="O5" s="35"/>
    </row>
    <row r="6" spans="1:17" ht="20.100000000000001" customHeight="1" x14ac:dyDescent="0.25">
      <c r="A6" s="13"/>
      <c r="D6" s="60" t="s">
        <v>84</v>
      </c>
      <c r="E6" s="37"/>
      <c r="F6" s="37"/>
      <c r="G6" s="37"/>
      <c r="H6" s="37"/>
      <c r="I6" s="37"/>
      <c r="J6" s="37"/>
      <c r="K6" s="37"/>
      <c r="L6" s="37"/>
      <c r="M6" s="37"/>
      <c r="N6" s="37"/>
      <c r="O6" s="36"/>
    </row>
    <row r="7" spans="1:17" ht="20.100000000000001" customHeight="1" x14ac:dyDescent="0.25">
      <c r="A7" s="17" t="s">
        <v>1</v>
      </c>
    </row>
    <row r="8" spans="1:17" ht="20.100000000000001" customHeight="1" x14ac:dyDescent="0.25">
      <c r="A8" s="14" t="str">
        <f>HYPERLINK("#'Input - Electricity'!A1", "Electricity")</f>
        <v>Electricity</v>
      </c>
    </row>
    <row r="9" spans="1:17" ht="20.100000000000001" customHeight="1" x14ac:dyDescent="0.25">
      <c r="A9" s="14"/>
    </row>
    <row r="10" spans="1:17" ht="20.100000000000001" customHeight="1" x14ac:dyDescent="0.25">
      <c r="A10" s="16" t="s">
        <v>45</v>
      </c>
    </row>
    <row r="11" spans="1:17" ht="20.100000000000001" customHeight="1" x14ac:dyDescent="0.25">
      <c r="A11" s="14" t="str">
        <f>HYPERLINK("#'14.1.1-2 Purchased electricity'!A1", "14.1.1-2 Purchased electricity")</f>
        <v>14.1.1-2 Purchased electricity</v>
      </c>
    </row>
    <row r="12" spans="1:17" ht="20.100000000000001" customHeight="1" x14ac:dyDescent="0.25">
      <c r="A12" s="14"/>
    </row>
    <row r="13" spans="1:17" ht="20.100000000000001" customHeight="1" x14ac:dyDescent="0.25">
      <c r="A13" s="15" t="s">
        <v>2</v>
      </c>
    </row>
    <row r="14" spans="1:17" ht="20.100000000000001" customHeight="1" x14ac:dyDescent="0.25">
      <c r="A14" s="14" t="str">
        <f>HYPERLINK("#'Constants - Electricity'!A1", "Constants - Electricity")</f>
        <v>Constants - Electricity</v>
      </c>
      <c r="O14" s="1" t="s">
        <v>85</v>
      </c>
    </row>
    <row r="15" spans="1:17" ht="20.100000000000001" customHeight="1" x14ac:dyDescent="0.25">
      <c r="A15" s="14"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6" t="s">
        <v>147</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45" t="str">
        <f>HYPERLINK("#'Results'!A1", "Results")</f>
        <v>Results</v>
      </c>
      <c r="C5" s="19"/>
      <c r="D5" s="22"/>
      <c r="E5" s="23"/>
      <c r="F5" s="23"/>
      <c r="G5" s="23"/>
      <c r="H5" s="19"/>
    </row>
    <row r="6" spans="1:8" ht="20.100000000000001" customHeight="1" x14ac:dyDescent="0.25">
      <c r="A6" s="13"/>
      <c r="C6" s="19"/>
      <c r="D6" s="18" t="s">
        <v>80</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Electricity'!A1", "Electricity")</f>
        <v>Electricity</v>
      </c>
      <c r="C8" s="19"/>
      <c r="D8" s="41" t="s">
        <v>50</v>
      </c>
      <c r="E8" s="41" t="s">
        <v>60</v>
      </c>
      <c r="F8" s="41" t="s">
        <v>61</v>
      </c>
      <c r="G8" s="41" t="s">
        <v>55</v>
      </c>
      <c r="H8" s="19"/>
    </row>
    <row r="9" spans="1:8" ht="20.100000000000001" customHeight="1" x14ac:dyDescent="0.25">
      <c r="A9" s="14"/>
      <c r="C9" s="19"/>
      <c r="D9" s="1" t="s">
        <v>148</v>
      </c>
      <c r="E9" s="55">
        <f>'14.1.1-2 Purchased electricity'!E18</f>
        <v>16.8</v>
      </c>
      <c r="F9" s="55">
        <f>E9</f>
        <v>16.8</v>
      </c>
      <c r="G9" s="31" t="s">
        <v>58</v>
      </c>
      <c r="H9" s="19"/>
    </row>
    <row r="10" spans="1:8" ht="20.100000000000001" customHeight="1" x14ac:dyDescent="0.25">
      <c r="A10" s="16" t="s">
        <v>45</v>
      </c>
      <c r="C10" s="19"/>
      <c r="D10" s="1" t="s">
        <v>149</v>
      </c>
      <c r="E10" s="55">
        <f>'14.1.1-2 Purchased electricity'!E39</f>
        <v>14.580000000000002</v>
      </c>
      <c r="F10" s="55">
        <f t="shared" ref="F10" si="0">E10</f>
        <v>14.580000000000002</v>
      </c>
      <c r="G10" s="31" t="s">
        <v>58</v>
      </c>
      <c r="H10" s="19"/>
    </row>
    <row r="11" spans="1:8" ht="20.100000000000001" customHeight="1" x14ac:dyDescent="0.25">
      <c r="A11" s="14" t="str">
        <f>HYPERLINK("#'14.1.1-2 Purchased electricity'!A1", "14.1.1-2 Purchased electricity")</f>
        <v>14.1.1-2 Purchased electricity</v>
      </c>
      <c r="C11" s="19"/>
      <c r="D11" s="1"/>
      <c r="E11" s="1"/>
      <c r="F11" s="1"/>
      <c r="G11" s="1"/>
      <c r="H11" s="19"/>
    </row>
    <row r="12" spans="1:8" ht="20.100000000000001" customHeight="1" x14ac:dyDescent="0.25">
      <c r="A12" s="14"/>
      <c r="C12" s="19"/>
      <c r="D12" s="1"/>
      <c r="E12" s="1"/>
      <c r="F12" s="1"/>
      <c r="G12" s="1"/>
      <c r="H12" s="19"/>
    </row>
    <row r="13" spans="1:8" ht="20.100000000000001" customHeight="1" x14ac:dyDescent="0.25">
      <c r="A13" s="15" t="s">
        <v>2</v>
      </c>
      <c r="C13" s="19"/>
      <c r="D13" s="1"/>
      <c r="E13" s="1"/>
      <c r="F13" s="1"/>
      <c r="G13" s="1"/>
      <c r="H13" s="19"/>
    </row>
    <row r="14" spans="1:8" ht="20.100000000000001" customHeight="1" x14ac:dyDescent="0.25">
      <c r="A14" s="14" t="str">
        <f>HYPERLINK("#'Constants - Electricity'!A1", "Constants - Electricity")</f>
        <v>Constants - Electricity</v>
      </c>
      <c r="C14" s="19"/>
      <c r="D14" s="1"/>
      <c r="E14" s="42"/>
      <c r="F14" s="31"/>
      <c r="G14" s="1"/>
      <c r="H14" s="19"/>
    </row>
    <row r="15" spans="1:8" ht="20.100000000000001" customHeight="1" x14ac:dyDescent="0.25">
      <c r="A15" s="14" t="str">
        <f>HYPERLINK("#'Constants - Common'!A1", "Constants - Common")</f>
        <v>Constants - Common</v>
      </c>
      <c r="C15" s="19"/>
      <c r="D15" s="1"/>
      <c r="E15" s="42"/>
      <c r="F15" s="31"/>
      <c r="G15" s="1"/>
      <c r="H15" s="19"/>
    </row>
    <row r="16" spans="1:8" ht="20.100000000000001" customHeight="1" x14ac:dyDescent="0.25">
      <c r="C16" s="19"/>
      <c r="D16" s="1"/>
      <c r="E16" s="1"/>
      <c r="F16" s="1"/>
      <c r="G16" s="1"/>
      <c r="H16" s="19"/>
    </row>
    <row r="17" spans="1:8" ht="20.100000000000001" customHeight="1" x14ac:dyDescent="0.25">
      <c r="C17" s="19"/>
      <c r="D17" s="1"/>
      <c r="E17" s="1"/>
      <c r="F17" s="1"/>
      <c r="G17" s="1"/>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1"/>
      <c r="F21" s="1"/>
      <c r="G21" s="1"/>
      <c r="H21" s="19"/>
    </row>
    <row r="22" spans="1:8" ht="20.100000000000001" customHeight="1" x14ac:dyDescent="0.25">
      <c r="C22" s="19"/>
      <c r="D22" s="1"/>
      <c r="E22" s="1"/>
      <c r="F22" s="1"/>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5"/>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15"/>
  <sheetViews>
    <sheetView showGridLines="0" tabSelected="1"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67" t="s">
        <v>95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8"/>
      <c r="D4" s="68"/>
      <c r="E4" s="68"/>
      <c r="F4" s="68"/>
      <c r="G4" s="68"/>
      <c r="H4" s="68"/>
      <c r="I4" s="68"/>
      <c r="J4" s="68"/>
      <c r="K4" s="68"/>
    </row>
    <row r="5" spans="1:24" ht="20.100000000000001" customHeight="1" x14ac:dyDescent="0.25">
      <c r="A5" s="14" t="str">
        <f>HYPERLINK("#'Results'!A1", "Results")</f>
        <v>Results</v>
      </c>
      <c r="D5" s="6" t="s">
        <v>96</v>
      </c>
      <c r="N5" s="69"/>
    </row>
    <row r="6" spans="1:24" ht="20.100000000000001" customHeight="1" x14ac:dyDescent="0.25">
      <c r="D6" s="70"/>
      <c r="N6" s="71"/>
    </row>
    <row r="7" spans="1:24" ht="20.100000000000001" customHeight="1" x14ac:dyDescent="0.25">
      <c r="A7" s="17" t="s">
        <v>1</v>
      </c>
      <c r="D7" s="1" t="s">
        <v>97</v>
      </c>
      <c r="E7" s="72" t="s">
        <v>98</v>
      </c>
      <c r="F7" s="2"/>
    </row>
    <row r="8" spans="1:24" ht="20.100000000000001" customHeight="1" x14ac:dyDescent="0.25">
      <c r="A8" s="14" t="str">
        <f>HYPERLINK("#'Input - Electricity'!A1", "Electricity")</f>
        <v>Electricity</v>
      </c>
      <c r="D8" s="73" t="s">
        <v>99</v>
      </c>
      <c r="E8" s="72" t="s">
        <v>100</v>
      </c>
    </row>
    <row r="9" spans="1:24" ht="20.100000000000001" customHeight="1" x14ac:dyDescent="0.25">
      <c r="A9" s="14"/>
      <c r="N9" s="74"/>
    </row>
    <row r="10" spans="1:24" ht="20.100000000000001" customHeight="1" x14ac:dyDescent="0.25">
      <c r="A10" s="16" t="s">
        <v>45</v>
      </c>
      <c r="D10" s="64" t="s">
        <v>101</v>
      </c>
      <c r="E10" s="75"/>
      <c r="F10" s="76"/>
      <c r="G10" s="65"/>
      <c r="N10" s="74"/>
    </row>
    <row r="11" spans="1:24" ht="20.100000000000001" customHeight="1" x14ac:dyDescent="0.25">
      <c r="A11" s="14" t="str">
        <f>HYPERLINK("#'14.1.1-2 Purchased electricity'!A1", "14.1.1-2 Purchased electricity")</f>
        <v>14.1.1-2 Purchased electricity</v>
      </c>
      <c r="N11" s="77"/>
    </row>
    <row r="12" spans="1:24" ht="20.100000000000001" customHeight="1" x14ac:dyDescent="0.25">
      <c r="A12" s="14"/>
      <c r="D12" s="73" t="s">
        <v>102</v>
      </c>
      <c r="E12" s="78">
        <v>45292</v>
      </c>
      <c r="F12" s="2" t="s">
        <v>103</v>
      </c>
    </row>
    <row r="13" spans="1:24" ht="20.100000000000001" customHeight="1" x14ac:dyDescent="0.25">
      <c r="A13" s="15" t="s">
        <v>2</v>
      </c>
      <c r="D13" s="73" t="s">
        <v>104</v>
      </c>
      <c r="E13" s="79">
        <f>DATE(YEAR(E12)+1,MONTH(E12),DAY(E12))-1</f>
        <v>45657</v>
      </c>
      <c r="F13" s="2" t="s">
        <v>105</v>
      </c>
      <c r="N13" s="80"/>
      <c r="O13" s="80"/>
    </row>
    <row r="14" spans="1:24" ht="20.100000000000001" customHeight="1" x14ac:dyDescent="0.25">
      <c r="A14" s="14" t="str">
        <f>HYPERLINK("#'Constants - Electricity'!A1", "Constants - Electricity")</f>
        <v>Constants - Electricity</v>
      </c>
      <c r="N14" s="80"/>
      <c r="O14" s="80"/>
    </row>
    <row r="15" spans="1:24" ht="20.100000000000001" customHeight="1" x14ac:dyDescent="0.25">
      <c r="A15" s="14" t="str">
        <f>HYPERLINK("#'Constants - Common'!A1", "Constants - Common")</f>
        <v>Constants - Common</v>
      </c>
      <c r="N15" s="80"/>
      <c r="O15" s="80"/>
    </row>
    <row r="16" spans="1:24" ht="20.100000000000001" customHeight="1" x14ac:dyDescent="0.25">
      <c r="A16"/>
      <c r="D16" s="6" t="s">
        <v>106</v>
      </c>
      <c r="N16" s="80"/>
      <c r="O16" s="80"/>
    </row>
    <row r="17" spans="1:25" ht="20.100000000000001" customHeight="1" x14ac:dyDescent="0.25">
      <c r="A17"/>
    </row>
    <row r="18" spans="1:25" ht="20.100000000000001" customHeight="1" x14ac:dyDescent="0.25">
      <c r="A18"/>
      <c r="D18" s="81" t="s">
        <v>107</v>
      </c>
      <c r="E18" s="38"/>
      <c r="F18" s="38"/>
      <c r="G18" s="35"/>
    </row>
    <row r="19" spans="1:25" ht="20.100000000000001" customHeight="1" x14ac:dyDescent="0.25">
      <c r="A19"/>
      <c r="D19" s="39" t="s">
        <v>108</v>
      </c>
      <c r="E19" s="37"/>
      <c r="F19" s="37"/>
      <c r="G19" s="36"/>
      <c r="N19" s="69"/>
    </row>
    <row r="20" spans="1:25" ht="20.100000000000001" customHeight="1" x14ac:dyDescent="0.25">
      <c r="A20"/>
      <c r="D20" s="1"/>
      <c r="E20" s="82"/>
      <c r="F20" s="2"/>
      <c r="N20" s="71"/>
    </row>
    <row r="21" spans="1:25" ht="20.100000000000001" customHeight="1" x14ac:dyDescent="0.25">
      <c r="A21"/>
      <c r="D21" s="1" t="s">
        <v>109</v>
      </c>
      <c r="E21" s="28" t="s">
        <v>110</v>
      </c>
      <c r="F21" s="2" t="s">
        <v>94</v>
      </c>
    </row>
    <row r="22" spans="1:25" ht="20.100000000000001" customHeight="1" x14ac:dyDescent="0.25">
      <c r="A22"/>
      <c r="D22" s="1" t="s">
        <v>111</v>
      </c>
      <c r="E22" s="28" t="s">
        <v>112</v>
      </c>
      <c r="F22" s="2" t="s">
        <v>94</v>
      </c>
      <c r="G22" s="1"/>
    </row>
    <row r="23" spans="1:25" ht="20.100000000000001" customHeight="1" x14ac:dyDescent="0.25">
      <c r="A23"/>
    </row>
    <row r="24" spans="1:25" ht="20.100000000000001" customHeight="1" x14ac:dyDescent="0.25">
      <c r="A24"/>
    </row>
    <row r="25" spans="1:25" ht="20.100000000000001" customHeight="1" x14ac:dyDescent="0.25">
      <c r="A25"/>
      <c r="N25" s="71"/>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83"/>
      <c r="L30" s="84"/>
      <c r="M30" s="84"/>
      <c r="N30" s="84"/>
      <c r="O30" s="84"/>
      <c r="P30" s="84"/>
      <c r="Q30" s="84"/>
      <c r="R30" s="84"/>
      <c r="S30" s="84"/>
      <c r="T30" s="84"/>
      <c r="U30" s="84"/>
      <c r="V30" s="84"/>
      <c r="W30" s="84"/>
      <c r="X30" s="84"/>
      <c r="Y30" s="84"/>
    </row>
    <row r="31" spans="1:25" ht="20.100000000000001" customHeight="1" x14ac:dyDescent="0.25">
      <c r="A31"/>
      <c r="G31" s="82"/>
      <c r="L31" s="85"/>
      <c r="M31" s="85"/>
      <c r="N31" s="85"/>
      <c r="O31" s="85"/>
      <c r="P31" s="85"/>
      <c r="Q31" s="85"/>
      <c r="R31" s="85"/>
      <c r="S31" s="85"/>
      <c r="T31" s="85"/>
      <c r="U31" s="85"/>
      <c r="V31" s="85"/>
      <c r="W31" s="85"/>
      <c r="X31" s="85"/>
      <c r="Y31" s="85"/>
    </row>
    <row r="32" spans="1:25" ht="20.100000000000001" customHeight="1" x14ac:dyDescent="0.25">
      <c r="A32"/>
      <c r="G32" s="82"/>
      <c r="L32" s="85"/>
      <c r="M32" s="85"/>
      <c r="N32" s="85"/>
      <c r="O32" s="85"/>
      <c r="P32" s="85"/>
      <c r="Q32" s="85"/>
      <c r="R32" s="85"/>
      <c r="S32" s="85"/>
      <c r="T32" s="85"/>
      <c r="U32" s="85"/>
      <c r="V32" s="85"/>
      <c r="W32" s="85"/>
      <c r="X32" s="85"/>
      <c r="Y32" s="85"/>
    </row>
    <row r="33" spans="1:25" ht="20.100000000000001" customHeight="1" x14ac:dyDescent="0.25">
      <c r="A33"/>
      <c r="G33" s="86"/>
      <c r="L33" s="85"/>
      <c r="M33" s="85"/>
      <c r="N33" s="85"/>
      <c r="O33" s="85"/>
      <c r="P33" s="85"/>
      <c r="Q33" s="85"/>
      <c r="R33" s="85"/>
      <c r="S33" s="85"/>
      <c r="T33" s="85"/>
      <c r="U33" s="85"/>
      <c r="V33" s="85"/>
      <c r="W33" s="85"/>
      <c r="X33" s="85"/>
      <c r="Y33" s="85"/>
    </row>
    <row r="34" spans="1:25" ht="20.100000000000001" customHeight="1" x14ac:dyDescent="0.25">
      <c r="A34"/>
      <c r="J34" s="87"/>
      <c r="K34" s="88"/>
      <c r="L34" s="85"/>
      <c r="M34" s="85"/>
      <c r="N34" s="85"/>
      <c r="O34" s="85"/>
      <c r="P34" s="85"/>
      <c r="Q34" s="85"/>
      <c r="R34" s="85"/>
      <c r="S34" s="85"/>
      <c r="T34" s="85"/>
      <c r="U34" s="85"/>
      <c r="V34" s="85"/>
      <c r="W34" s="85"/>
      <c r="X34" s="85"/>
      <c r="Y34" s="85"/>
    </row>
    <row r="35" spans="1:25" ht="20.100000000000001" customHeight="1" x14ac:dyDescent="0.25">
      <c r="A35"/>
      <c r="J35" s="87"/>
      <c r="K35" s="88"/>
      <c r="L35" s="85"/>
      <c r="M35" s="85"/>
      <c r="N35" s="85"/>
      <c r="O35" s="85"/>
      <c r="P35" s="85"/>
      <c r="Q35" s="85"/>
      <c r="R35" s="85"/>
      <c r="S35" s="85"/>
      <c r="T35" s="85"/>
      <c r="U35" s="85"/>
      <c r="V35" s="85"/>
      <c r="W35" s="85"/>
      <c r="X35" s="85"/>
      <c r="Y35" s="85"/>
    </row>
    <row r="36" spans="1:25" ht="20.100000000000001" customHeight="1" x14ac:dyDescent="0.25">
      <c r="A36"/>
      <c r="D36" s="89"/>
      <c r="E36" s="89"/>
      <c r="F36" s="90"/>
      <c r="G36" s="87"/>
      <c r="H36" s="87"/>
      <c r="I36" s="91"/>
      <c r="J36" s="87"/>
      <c r="K36" s="88"/>
      <c r="L36" s="85"/>
      <c r="M36" s="85"/>
      <c r="N36" s="85"/>
      <c r="O36" s="85"/>
      <c r="P36" s="85"/>
      <c r="Q36" s="85"/>
      <c r="R36" s="85"/>
      <c r="S36" s="85"/>
      <c r="T36" s="85"/>
      <c r="U36" s="85"/>
      <c r="V36" s="85"/>
      <c r="W36" s="85"/>
      <c r="X36" s="85"/>
      <c r="Y36" s="85"/>
    </row>
    <row r="37" spans="1:25" ht="20.100000000000001" customHeight="1" x14ac:dyDescent="0.25">
      <c r="A37"/>
      <c r="D37" s="89"/>
      <c r="E37" s="89"/>
      <c r="F37" s="90"/>
      <c r="G37" s="87"/>
      <c r="H37" s="87"/>
      <c r="I37" s="91"/>
      <c r="J37" s="87"/>
      <c r="K37" s="88"/>
      <c r="L37" s="85"/>
      <c r="M37" s="85"/>
      <c r="N37" s="85"/>
      <c r="O37" s="85"/>
      <c r="P37" s="85"/>
      <c r="Q37" s="85"/>
      <c r="R37" s="85"/>
      <c r="S37" s="85"/>
      <c r="T37" s="85"/>
      <c r="U37" s="85"/>
      <c r="V37" s="85"/>
      <c r="W37" s="85"/>
      <c r="X37" s="85"/>
      <c r="Y37" s="85"/>
    </row>
    <row r="38" spans="1:25" ht="20.100000000000001" customHeight="1" x14ac:dyDescent="0.25">
      <c r="A38"/>
      <c r="D38" s="89"/>
      <c r="E38" s="89"/>
      <c r="F38" s="90"/>
      <c r="G38" s="87"/>
      <c r="H38" s="87"/>
      <c r="I38" s="91"/>
      <c r="J38" s="87"/>
      <c r="K38" s="88"/>
      <c r="L38" s="85"/>
      <c r="M38" s="85"/>
      <c r="N38" s="85"/>
      <c r="O38" s="85"/>
      <c r="P38" s="85"/>
      <c r="Q38" s="85"/>
      <c r="R38" s="85"/>
      <c r="S38" s="85"/>
      <c r="T38" s="85"/>
      <c r="U38" s="85"/>
      <c r="V38" s="85"/>
      <c r="W38" s="85"/>
      <c r="X38" s="85"/>
      <c r="Y38" s="85"/>
    </row>
    <row r="39" spans="1:25" ht="20.100000000000001" customHeight="1" x14ac:dyDescent="0.25">
      <c r="A39"/>
      <c r="D39" s="89"/>
      <c r="E39" s="89"/>
      <c r="F39" s="90"/>
      <c r="G39" s="87"/>
      <c r="H39" s="87"/>
      <c r="I39" s="91"/>
      <c r="J39" s="87"/>
      <c r="K39" s="88"/>
      <c r="L39" s="85"/>
      <c r="M39" s="85"/>
      <c r="N39" s="85"/>
      <c r="O39" s="85"/>
      <c r="P39" s="85"/>
      <c r="Q39" s="85"/>
      <c r="R39" s="85"/>
      <c r="S39" s="85"/>
      <c r="T39" s="85"/>
      <c r="U39" s="85"/>
      <c r="V39" s="85"/>
      <c r="W39" s="85"/>
      <c r="X39" s="85"/>
      <c r="Y39" s="85"/>
    </row>
    <row r="40" spans="1:25" ht="20.100000000000001" customHeight="1" x14ac:dyDescent="0.25">
      <c r="A40"/>
      <c r="D40" s="92"/>
      <c r="E40" s="92"/>
      <c r="F40" s="92"/>
      <c r="G40" s="93"/>
      <c r="H40" s="94"/>
      <c r="I40" s="94"/>
      <c r="J40" s="94"/>
      <c r="K40" s="94"/>
      <c r="L40" s="95"/>
      <c r="M40" s="95"/>
      <c r="N40" s="95"/>
      <c r="O40" s="95"/>
      <c r="P40" s="95"/>
      <c r="Q40" s="95"/>
      <c r="R40" s="95"/>
      <c r="S40" s="95"/>
      <c r="T40" s="95"/>
      <c r="U40" s="95"/>
      <c r="V40" s="95"/>
      <c r="W40" s="95"/>
      <c r="X40" s="95"/>
      <c r="Y40" s="9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96"/>
      <c r="E47" s="96"/>
      <c r="F47" s="96"/>
      <c r="G47" s="96"/>
      <c r="H47" s="96"/>
    </row>
    <row r="48" spans="1:25" ht="20.100000000000001" customHeight="1" x14ac:dyDescent="0.25">
      <c r="D48" s="97"/>
      <c r="E48" s="97"/>
      <c r="F48" s="98"/>
      <c r="G48" s="98"/>
      <c r="H48" s="97"/>
    </row>
    <row r="49" spans="4:8" ht="20.100000000000001" customHeight="1" x14ac:dyDescent="0.25">
      <c r="D49" s="97"/>
      <c r="E49" s="97"/>
      <c r="F49" s="98"/>
      <c r="G49" s="98"/>
      <c r="H49" s="97"/>
    </row>
    <row r="50" spans="4:8" ht="20.100000000000001" customHeight="1" x14ac:dyDescent="0.25">
      <c r="D50" s="97"/>
      <c r="E50" s="97"/>
      <c r="F50" s="98"/>
      <c r="G50" s="98"/>
      <c r="H50" s="97"/>
    </row>
    <row r="51" spans="4:8" ht="20.100000000000001" customHeight="1" x14ac:dyDescent="0.25">
      <c r="D51" s="99"/>
      <c r="E51" s="100"/>
      <c r="F51" s="100"/>
      <c r="G51" s="100"/>
      <c r="H51" s="101"/>
    </row>
    <row r="52" spans="4:8" ht="20.100000000000001" customHeight="1" x14ac:dyDescent="0.25"/>
    <row r="53" spans="4:8" ht="20.100000000000001" customHeight="1" x14ac:dyDescent="0.25"/>
    <row r="54" spans="4:8" ht="20.100000000000001" customHeight="1" x14ac:dyDescent="0.25">
      <c r="G54" s="102"/>
    </row>
    <row r="55" spans="4:8" ht="20.100000000000001" customHeight="1" x14ac:dyDescent="0.25">
      <c r="D55" s="6"/>
    </row>
    <row r="56" spans="4:8" ht="20.100000000000001" customHeight="1" x14ac:dyDescent="0.25"/>
    <row r="57" spans="4:8" ht="20.100000000000001" customHeight="1" x14ac:dyDescent="0.25">
      <c r="D57" s="18"/>
      <c r="F57" s="103"/>
    </row>
    <row r="58" spans="4:8" ht="20.100000000000001" customHeight="1" x14ac:dyDescent="0.25">
      <c r="D58" s="1"/>
      <c r="E58" s="104"/>
    </row>
    <row r="59" spans="4:8" ht="20.100000000000001" customHeight="1" x14ac:dyDescent="0.25">
      <c r="D59" s="1"/>
      <c r="E59" s="104"/>
    </row>
    <row r="60" spans="4:8" ht="20.100000000000001" customHeight="1" x14ac:dyDescent="0.25">
      <c r="D60" s="1"/>
      <c r="E60" s="105"/>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04"/>
    </row>
    <row r="65" spans="4:9" ht="20.100000000000001" customHeight="1" x14ac:dyDescent="0.25">
      <c r="D65" s="1"/>
      <c r="E65" s="104"/>
    </row>
    <row r="66" spans="4:9" ht="20.100000000000001" customHeight="1" x14ac:dyDescent="0.25">
      <c r="D66" s="1"/>
      <c r="E66" s="105"/>
    </row>
    <row r="67" spans="4:9" ht="20.100000000000001" customHeight="1" x14ac:dyDescent="0.25"/>
    <row r="68" spans="4:9" ht="20.100000000000001" customHeight="1" x14ac:dyDescent="0.25"/>
    <row r="69" spans="4:9" ht="20.100000000000001" customHeight="1" x14ac:dyDescent="0.25">
      <c r="D69" s="106"/>
      <c r="E69" s="106"/>
      <c r="F69" s="106"/>
      <c r="G69" s="106"/>
      <c r="H69" s="106"/>
      <c r="I69" s="106"/>
    </row>
    <row r="70" spans="4:9" ht="20.100000000000001" customHeight="1" x14ac:dyDescent="0.25">
      <c r="D70" s="106"/>
      <c r="E70" s="106"/>
      <c r="F70" s="106"/>
      <c r="G70" s="106"/>
      <c r="H70" s="106"/>
      <c r="I70" s="106"/>
    </row>
    <row r="71" spans="4:9" ht="20.100000000000001" customHeight="1" x14ac:dyDescent="0.25">
      <c r="D71" s="106"/>
      <c r="E71" s="106"/>
      <c r="F71" s="106"/>
      <c r="G71" s="106"/>
      <c r="H71" s="106"/>
      <c r="I71" s="106"/>
    </row>
    <row r="72" spans="4:9" ht="20.100000000000001" customHeight="1" x14ac:dyDescent="0.25">
      <c r="D72" s="106"/>
      <c r="E72" s="106"/>
      <c r="F72" s="106"/>
      <c r="G72" s="106"/>
      <c r="H72" s="106"/>
      <c r="I72" s="10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07"/>
    </row>
    <row r="79" spans="4:9" ht="20.100000000000001" customHeight="1" x14ac:dyDescent="0.25">
      <c r="D79" s="107"/>
    </row>
    <row r="80" spans="4:9" ht="20.100000000000001" customHeight="1" x14ac:dyDescent="0.25">
      <c r="D80" s="107"/>
    </row>
    <row r="81" spans="4:4" ht="20.100000000000001" customHeight="1" x14ac:dyDescent="0.25">
      <c r="D81" s="107"/>
    </row>
    <row r="82" spans="4:4" ht="20.100000000000001" customHeight="1" x14ac:dyDescent="0.25">
      <c r="D82" s="10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topLeftCell="A15" zoomScaleNormal="100" workbookViewId="0">
      <selection activeCell="F44" sqref="F44"/>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4" customFormat="1" ht="30" customHeight="1" x14ac:dyDescent="0.35">
      <c r="A1" s="34" t="e" vm="1">
        <v>#VALUE!</v>
      </c>
      <c r="C1" s="34"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135</v>
      </c>
    </row>
    <row r="6" spans="1:10" ht="20.100000000000001" customHeight="1" x14ac:dyDescent="0.25">
      <c r="A6" s="13"/>
    </row>
    <row r="7" spans="1:10" ht="20.100000000000001" customHeight="1" x14ac:dyDescent="0.25">
      <c r="A7" s="17" t="s">
        <v>1</v>
      </c>
      <c r="D7" s="63" t="s">
        <v>87</v>
      </c>
    </row>
    <row r="8" spans="1:10" ht="20.100000000000001" customHeight="1" x14ac:dyDescent="0.25">
      <c r="A8" s="44" t="str">
        <f>HYPERLINK("#'Input - Electricity'!A1", "Electricity")</f>
        <v>Electricity</v>
      </c>
    </row>
    <row r="9" spans="1:10" ht="20.100000000000001" customHeight="1" x14ac:dyDescent="0.25">
      <c r="A9" s="14"/>
      <c r="D9" s="64" t="s">
        <v>88</v>
      </c>
      <c r="E9" s="65"/>
      <c r="F9" s="19"/>
    </row>
    <row r="10" spans="1:10" ht="20.100000000000001" customHeight="1" x14ac:dyDescent="0.25">
      <c r="A10" s="16" t="s">
        <v>45</v>
      </c>
      <c r="D10" s="19"/>
      <c r="E10" s="19"/>
      <c r="F10" s="19"/>
    </row>
    <row r="11" spans="1:10" ht="20.100000000000001" customHeight="1" x14ac:dyDescent="0.25">
      <c r="A11" s="14" t="str">
        <f>HYPERLINK("#'14.1.1-2 Purchased electricity'!A1", "14.1.1-2 Purchased electricity")</f>
        <v>14.1.1-2 Purchased electricity</v>
      </c>
      <c r="D11" s="1" t="s">
        <v>89</v>
      </c>
      <c r="E11" s="66">
        <v>30000</v>
      </c>
      <c r="F11" s="2" t="s">
        <v>90</v>
      </c>
    </row>
    <row r="12" spans="1:10" ht="20.100000000000001" customHeight="1" x14ac:dyDescent="0.25">
      <c r="A12" s="14"/>
      <c r="D12" s="1" t="s">
        <v>91</v>
      </c>
      <c r="E12" s="29" t="str">
        <f>IF('Input - Site'!E21="Western Australia", 'Input - Site'!E22, 'Input - Site'!E21)</f>
        <v>Western Australia - Outback (South)</v>
      </c>
      <c r="F12" s="19"/>
    </row>
    <row r="13" spans="1:10" ht="20.100000000000001" customHeight="1" x14ac:dyDescent="0.25">
      <c r="A13" s="15" t="s">
        <v>2</v>
      </c>
      <c r="D13" s="1" t="s">
        <v>92</v>
      </c>
      <c r="E13" s="28" t="s">
        <v>93</v>
      </c>
      <c r="F13" s="2" t="s">
        <v>94</v>
      </c>
    </row>
    <row r="14" spans="1:10" ht="20.100000000000001" customHeight="1" x14ac:dyDescent="0.25">
      <c r="A14" s="14" t="str">
        <f>HYPERLINK("#'Constants - Electricity'!A1", "Constants - Electricity")</f>
        <v>Constants - Electricity</v>
      </c>
    </row>
    <row r="15" spans="1:10" ht="20.100000000000001" customHeight="1" x14ac:dyDescent="0.25">
      <c r="A15" s="14" t="str">
        <f>HYPERLINK("#'Constants - Common'!A1", "Constants - Common")</f>
        <v>Constants - Common</v>
      </c>
    </row>
    <row r="16" spans="1:10" ht="20.100000000000001" customHeight="1" x14ac:dyDescent="0.25">
      <c r="C16" s="109"/>
      <c r="D16" s="109"/>
      <c r="E16" s="109"/>
      <c r="F16" s="109"/>
      <c r="G16" s="109"/>
      <c r="H16" s="109"/>
      <c r="I16" s="109"/>
      <c r="J16" s="109"/>
    </row>
    <row r="17" spans="1:11" ht="20.100000000000001" customHeight="1" x14ac:dyDescent="0.25">
      <c r="D17" s="6" t="s">
        <v>136</v>
      </c>
    </row>
    <row r="18" spans="1:11" ht="20.100000000000001" customHeight="1" x14ac:dyDescent="0.25">
      <c r="E18" s="40" t="str">
        <f>IF(E12="ACT", "", "ALERT: Your farm is not in the ACT, so the JRPP is not applicable")</f>
        <v>ALERT: Your farm is not in the ACT, so the JRPP is not applicable</v>
      </c>
    </row>
    <row r="19" spans="1:11" ht="20.100000000000001" customHeight="1" x14ac:dyDescent="0.25">
      <c r="D19" s="1" t="s">
        <v>129</v>
      </c>
      <c r="E19" s="66">
        <v>30000</v>
      </c>
      <c r="F19" s="2" t="s">
        <v>90</v>
      </c>
    </row>
    <row r="20" spans="1:11" ht="20.100000000000001" customHeight="1" x14ac:dyDescent="0.25">
      <c r="A20" s="14"/>
      <c r="D20" s="1" t="s">
        <v>119</v>
      </c>
      <c r="E20" s="112">
        <v>0.1</v>
      </c>
      <c r="F20" s="2" t="s">
        <v>120</v>
      </c>
    </row>
    <row r="21" spans="1:11" ht="20.100000000000001" customHeight="1" x14ac:dyDescent="0.25">
      <c r="A21" s="14"/>
      <c r="D21" s="1" t="s">
        <v>121</v>
      </c>
      <c r="E21" s="112">
        <v>0.1</v>
      </c>
      <c r="F21" s="2" t="s">
        <v>120</v>
      </c>
    </row>
    <row r="22" spans="1:11" ht="20.100000000000001" customHeight="1" x14ac:dyDescent="0.25"/>
    <row r="23" spans="1:11" ht="20.100000000000001" customHeight="1" x14ac:dyDescent="0.25">
      <c r="A23" s="14"/>
      <c r="D23" s="1" t="s">
        <v>128</v>
      </c>
      <c r="E23" s="66">
        <v>10000</v>
      </c>
      <c r="F23" s="2" t="s">
        <v>90</v>
      </c>
    </row>
    <row r="24" spans="1:11" ht="20.100000000000001" customHeight="1" x14ac:dyDescent="0.25"/>
    <row r="25" spans="1:11" ht="20.100000000000001" customHeight="1" x14ac:dyDescent="0.25">
      <c r="D25" s="1" t="s">
        <v>142</v>
      </c>
      <c r="E25" s="116" t="str">
        <f>TEXT('Input - Site'!$E$12, "dd mmm yyyy")</f>
        <v>01 Jan 2024</v>
      </c>
    </row>
    <row r="26" spans="1:11" ht="20.100000000000001" customHeight="1" x14ac:dyDescent="0.25">
      <c r="D26" s="1" t="s">
        <v>127</v>
      </c>
      <c r="E26" s="116" t="str">
        <f>TEXT('Input - Site'!$E$13, "dd mmm yyyy")</f>
        <v>31 Dec 2024</v>
      </c>
    </row>
    <row r="27" spans="1:11" ht="20.100000000000001" customHeight="1" x14ac:dyDescent="0.25"/>
    <row r="28" spans="1:11" ht="20.100000000000001" customHeight="1" x14ac:dyDescent="0.25">
      <c r="D28" s="63" t="s">
        <v>126</v>
      </c>
    </row>
    <row r="29" spans="1:11" ht="20.100000000000001" customHeight="1" x14ac:dyDescent="0.25">
      <c r="A29" s="14"/>
      <c r="K29" s="49"/>
    </row>
    <row r="30" spans="1:11" ht="20.100000000000001" customHeight="1" x14ac:dyDescent="0.25">
      <c r="A30" s="14"/>
      <c r="D30" s="64" t="s">
        <v>150</v>
      </c>
      <c r="E30" s="65"/>
      <c r="K30" s="49"/>
    </row>
    <row r="31" spans="1:11" ht="20.100000000000001" customHeight="1" x14ac:dyDescent="0.25">
      <c r="A31" s="33"/>
      <c r="K31" s="49"/>
    </row>
    <row r="32" spans="1:11" ht="20.100000000000001" customHeight="1" x14ac:dyDescent="0.25">
      <c r="A32" s="33"/>
      <c r="D32" s="114" t="s">
        <v>123</v>
      </c>
      <c r="E32" s="114" t="s">
        <v>132</v>
      </c>
      <c r="F32" s="114" t="s">
        <v>124</v>
      </c>
      <c r="G32" s="114" t="s">
        <v>125</v>
      </c>
      <c r="H32" s="114" t="s">
        <v>122</v>
      </c>
      <c r="I32" s="114" t="s">
        <v>143</v>
      </c>
      <c r="K32" s="49"/>
    </row>
    <row r="33" spans="1:12" ht="20.100000000000001" customHeight="1" x14ac:dyDescent="0.25">
      <c r="A33" s="14"/>
      <c r="D33" s="27" t="s">
        <v>154</v>
      </c>
      <c r="E33" s="28" t="s">
        <v>133</v>
      </c>
      <c r="F33" s="115">
        <v>44185</v>
      </c>
      <c r="G33" s="27">
        <v>12</v>
      </c>
      <c r="H33" s="29">
        <f>Table_Input_RECSurrendered[[#This Row],[Number of certificates]]</f>
        <v>12</v>
      </c>
      <c r="I33" s="29" t="str">
        <f>IF(DATEDIF(Table_Input_RECSurrendered[[#This Row],[Generation date]],DATEVALUE($E$26),"M")&gt;36,"Ineligible - older than 36 months","Elegible")</f>
        <v>Ineligible - older than 36 months</v>
      </c>
      <c r="K33" s="49"/>
    </row>
    <row r="34" spans="1:12" ht="20.100000000000001" customHeight="1" x14ac:dyDescent="0.25">
      <c r="D34" s="27" t="s">
        <v>151</v>
      </c>
      <c r="E34" s="28" t="s">
        <v>134</v>
      </c>
      <c r="F34" s="115">
        <v>44575</v>
      </c>
      <c r="G34" s="27">
        <v>5</v>
      </c>
      <c r="H34" s="29">
        <f>Table_Input_RECSurrendered[[#This Row],[Number of certificates]]</f>
        <v>5</v>
      </c>
      <c r="I34" s="29" t="str">
        <f>IF(DATEDIF(Table_Input_RECSurrendered[[#This Row],[Generation date]],DATEVALUE($E$26),"M")&gt;36,"Ineligible - older than 36 months","Elegible")</f>
        <v>Elegible</v>
      </c>
      <c r="K34" s="49"/>
    </row>
    <row r="35" spans="1:12" ht="20.100000000000001" customHeight="1" x14ac:dyDescent="0.25">
      <c r="D35" s="27" t="s">
        <v>152</v>
      </c>
      <c r="E35" s="28" t="s">
        <v>133</v>
      </c>
      <c r="F35" s="115">
        <v>45438</v>
      </c>
      <c r="G35" s="27">
        <v>5</v>
      </c>
      <c r="H35" s="29">
        <f>Table_Input_RECSurrendered[[#This Row],[Number of certificates]]</f>
        <v>5</v>
      </c>
      <c r="I35" s="29" t="str">
        <f>IF(DATEDIF(Table_Input_RECSurrendered[[#This Row],[Generation date]],DATEVALUE($E$26),"M")&gt;36,"Ineligible - older than 36 months","Elegible")</f>
        <v>Elegible</v>
      </c>
    </row>
    <row r="36" spans="1:12" ht="20.100000000000001" customHeight="1" x14ac:dyDescent="0.25">
      <c r="L36" s="49"/>
    </row>
    <row r="37" spans="1:12" ht="20.100000000000001" customHeight="1" x14ac:dyDescent="0.25">
      <c r="D37" s="1" t="s">
        <v>144</v>
      </c>
      <c r="E37" s="29">
        <f>SUMIF(Table_Input_RECSurrendered[Elegibility], "Elegible", Table_Input_RECSurrendered[MWh])</f>
        <v>10</v>
      </c>
      <c r="F37" s="2" t="s">
        <v>122</v>
      </c>
      <c r="L37" s="49"/>
    </row>
    <row r="38" spans="1:12" ht="20.100000000000001" customHeight="1" x14ac:dyDescent="0.25">
      <c r="C38" s="48"/>
    </row>
    <row r="39" spans="1:12" ht="20.100000000000001" customHeight="1" x14ac:dyDescent="0.25">
      <c r="A39" s="14"/>
      <c r="C39" s="48"/>
      <c r="D39" s="63" t="s">
        <v>130</v>
      </c>
      <c r="J39" s="48"/>
    </row>
    <row r="40" spans="1:12" s="49" customFormat="1" ht="20.100000000000001" customHeight="1" x14ac:dyDescent="0.25">
      <c r="C40" s="1"/>
      <c r="D40" s="1"/>
      <c r="E40" s="1"/>
      <c r="F40" s="1"/>
      <c r="G40" s="1"/>
      <c r="H40" s="1"/>
      <c r="I40" s="1"/>
      <c r="J40" s="1"/>
    </row>
    <row r="41" spans="1:12" s="49" customFormat="1" ht="20.100000000000001" customHeight="1" x14ac:dyDescent="0.25">
      <c r="A41" s="50"/>
      <c r="C41" s="1"/>
      <c r="D41" s="114" t="s">
        <v>123</v>
      </c>
      <c r="E41" s="114" t="s">
        <v>131</v>
      </c>
      <c r="F41" s="114" t="s">
        <v>124</v>
      </c>
      <c r="G41" s="114" t="s">
        <v>125</v>
      </c>
      <c r="H41" s="114" t="s">
        <v>122</v>
      </c>
      <c r="I41" s="114" t="s">
        <v>143</v>
      </c>
      <c r="J41" s="1"/>
      <c r="L41" s="49" t="s">
        <v>85</v>
      </c>
    </row>
    <row r="42" spans="1:12" ht="20.100000000000001" customHeight="1" x14ac:dyDescent="0.25">
      <c r="D42" s="27" t="s">
        <v>141</v>
      </c>
      <c r="E42" s="117" t="str">
        <f>"Issued for generated electricity"</f>
        <v>Issued for generated electricity</v>
      </c>
      <c r="F42" s="115">
        <v>44697</v>
      </c>
      <c r="G42" s="27">
        <v>10</v>
      </c>
      <c r="H42" s="29">
        <f>Table_Input_RECConsumedByEntity[[#This Row],[Number of certificates]]</f>
        <v>10</v>
      </c>
      <c r="I42" s="29"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27" t="s">
        <v>153</v>
      </c>
      <c r="E43" s="117" t="str">
        <f>"Issued for generated electricity"</f>
        <v>Issued for generated electricity</v>
      </c>
      <c r="F43" s="115">
        <v>45483</v>
      </c>
      <c r="G43" s="27">
        <v>4</v>
      </c>
      <c r="H43" s="29">
        <f>Table_Input_RECConsumedByEntity[[#This Row],[Number of certificates]]</f>
        <v>4</v>
      </c>
      <c r="I43" s="29"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4"/>
      <c r="D44" s="122">
        <v>45597</v>
      </c>
      <c r="E44" s="117" t="str">
        <f>"Issued for generated electricity"</f>
        <v>Issued for generated electricity</v>
      </c>
      <c r="F44" s="115">
        <v>45607</v>
      </c>
      <c r="G44" s="27">
        <v>7</v>
      </c>
      <c r="H44" s="29">
        <f>Table_Input_RECConsumedByEntity[[#This Row],[Number of certificates]]</f>
        <v>7</v>
      </c>
      <c r="I44" s="29"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1" t="s">
        <v>145</v>
      </c>
      <c r="E46" s="29">
        <f>SUMIF(Table_Input_RECConsumedByEntity[Elegibility], "Elegible", Table_Input_RECConsumedByEntity[Number of certificates])</f>
        <v>11</v>
      </c>
      <c r="F46" s="2" t="s">
        <v>122</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13"/>
    </row>
    <row r="54" spans="4:4" ht="20.100000000000001" customHeight="1" x14ac:dyDescent="0.25"/>
    <row r="55" spans="4:4" ht="20.100000000000001" customHeight="1" x14ac:dyDescent="0.25">
      <c r="D55" s="113"/>
    </row>
    <row r="56" spans="4:4" ht="20.100000000000001" customHeight="1" x14ac:dyDescent="0.25">
      <c r="D56" s="113"/>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0"/>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79" operator="lessThan">
      <formula>0</formula>
    </cfRule>
  </conditionalFormatting>
  <conditionalFormatting sqref="J35 I36 J37 I39 F51">
    <cfRule type="cellIs" dxfId="0" priority="62" operator="lessThan">
      <formula>0</formula>
    </cfRule>
  </conditionalFormatting>
  <dataValidations count="6">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3" xr:uid="{48A1E533-1334-4AAC-A5F5-B295A34573CB}">
      <formula1>INDIRECT("Table_SourceData_ElectricityEFs[State, Territory or grid description]")</formula1>
    </dataValidation>
    <dataValidation type="list" allowBlank="1" showInputMessage="1" showErrorMessage="1" sqref="E33:E35" xr:uid="{BE2CA0F8-93F9-493C-B304-DCA372760E4E}">
      <formula1>"Purchased certificate, Issued for generated electricity"</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A15"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4" t="e" vm="1">
        <v>#VALUE!</v>
      </c>
      <c r="C1" s="8" t="s">
        <v>118</v>
      </c>
    </row>
    <row r="2" spans="1:11" s="9" customFormat="1" ht="20.100000000000001" customHeight="1" x14ac:dyDescent="0.25"/>
    <row r="3" spans="1:11" ht="20.100000000000001" customHeight="1" x14ac:dyDescent="0.25">
      <c r="A3" s="14" t="str">
        <f>HYPERLINK("#'Home'!A1", "Home")</f>
        <v>Home</v>
      </c>
      <c r="C3" s="4"/>
      <c r="D3" s="4" t="s">
        <v>49</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A6" s="13"/>
      <c r="D6" s="5" t="str" cm="1">
        <f t="array" ref="D6">Electricity_Equations.VEERG_14_1_1__1_LocationBasedScopeElectricityEmissions_Source()</f>
        <v>VEERG 2026: 14.1.1, Equation (1)</v>
      </c>
    </row>
    <row r="7" spans="1:11" ht="20.100000000000001" customHeight="1" x14ac:dyDescent="0.25">
      <c r="A7" s="17" t="s">
        <v>1</v>
      </c>
      <c r="D7" s="32" t="str" cm="1">
        <f t="array" ref="D7">Electricity_Equations.VEERG_14_1_1__1_LocationBasedScopeElectricityEmissions_Variation()</f>
        <v>Added g variable to capture which grid electricity was purchased from</v>
      </c>
    </row>
    <row r="8" spans="1:11" ht="20.100000000000001" customHeight="1" x14ac:dyDescent="0.25">
      <c r="A8" s="14" t="str">
        <f>HYPERLINK("#'Input - Electricity'!A1", "Electricity")</f>
        <v>Electricity</v>
      </c>
      <c r="D8" s="11" t="s">
        <v>10</v>
      </c>
      <c r="E8" s="11" t="str" cm="1">
        <f t="array" aca="1" ref="E8" ca="1">Common_InputFunctions.Utility_DisplayFunctionName(E18)</f>
        <v>=Electricity_Equations.VEERG_14_1_1__1_LocationBasedScopeElectricityEmissions</v>
      </c>
    </row>
    <row r="9" spans="1:11" ht="20.100000000000001" customHeight="1" x14ac:dyDescent="0.25">
      <c r="A9" s="14"/>
    </row>
    <row r="10" spans="1:11" ht="20.100000000000001" customHeight="1" x14ac:dyDescent="0.25">
      <c r="A10" s="16" t="s">
        <v>45</v>
      </c>
    </row>
    <row r="11" spans="1:11" ht="20.100000000000001" customHeight="1" x14ac:dyDescent="0.25">
      <c r="A11" s="120" t="str">
        <f>HYPERLINK("#'14.1.1-2 Purchased electricity'!A1", "14.1.1-2 Purchased electricity")</f>
        <v>14.1.1-2 Purchased electricity</v>
      </c>
      <c r="D11" s="30" t="s">
        <v>13</v>
      </c>
      <c r="E11" s="1" t="str" cm="1">
        <f t="array" ref="E11">Electricity_Equations.VEERG_14_1_1__1_LocationBasedScopeElectricityEmissions_Variable()</f>
        <v>E_2elec</v>
      </c>
    </row>
    <row r="12" spans="1:11" ht="20.100000000000001" customHeight="1" x14ac:dyDescent="0.25">
      <c r="A12" s="14"/>
      <c r="D12" s="30" t="s">
        <v>5</v>
      </c>
      <c r="E12" s="31" t="str" cm="1">
        <f t="array" ref="E12">Electricity_Equations.VEERG_14_1_1__1_LocationBasedScopeElectricityEmissions_Unit()</f>
        <v>t CO2e</v>
      </c>
    </row>
    <row r="13" spans="1:11" ht="20.100000000000001" customHeight="1" x14ac:dyDescent="0.25">
      <c r="A13" s="15" t="s">
        <v>2</v>
      </c>
    </row>
    <row r="14" spans="1:11" ht="20.100000000000001" customHeight="1" x14ac:dyDescent="0.25">
      <c r="A14" s="14" t="str">
        <f>HYPERLINK("#'Constants - Electricity'!A1", "Constants - Electricity")</f>
        <v>Constants - Electricity</v>
      </c>
      <c r="D14" s="51" t="str" cm="1">
        <f t="array" ref="D14:E16">_xlfn.CHOOSECOLS(Electricity_Equations.VEERG_14_1_1__1_LocationBasedScopeElectricityEmissions_Arguments(),1,2)</f>
        <v>Q_elec</v>
      </c>
      <c r="E14" s="53" t="str">
        <v>amount of electricity purchased from the grid</v>
      </c>
      <c r="F14" s="52"/>
      <c r="G14" s="51" t="str" cm="1">
        <f t="array" ref="G14:H16">_xlfn.CHOOSECOLS(Electricity_Equations.VEERG_14_1_1__1_LocationBasedScopeElectricityEmissions_Arguments(),3,4)</f>
        <v>kWh</v>
      </c>
      <c r="H14" s="47" t="str">
        <v>Input</v>
      </c>
      <c r="I14" s="53">
        <f>'Input - Electricity'!$E$11</f>
        <v>30000</v>
      </c>
      <c r="J14" s="52"/>
    </row>
    <row r="15" spans="1:11" ht="20.100000000000001" customHeight="1" x14ac:dyDescent="0.25">
      <c r="A15" s="14" t="str">
        <f>HYPERLINK("#'Constants - Common'!A1", "Constants - Common")</f>
        <v>Constants - Common</v>
      </c>
      <c r="D15" s="51" t="str">
        <v>EF_2elec</v>
      </c>
      <c r="E15" s="53" t="str">
        <v>location-based Scope 2 emission factor for electricity</v>
      </c>
      <c r="F15" s="52"/>
      <c r="G15" s="51" t="str">
        <v>kg CO2e/kWh</v>
      </c>
      <c r="H15" s="46" t="str">
        <v>Constant</v>
      </c>
      <c r="I15" s="53" cm="1">
        <f t="array" ref="I15">Common_InputFunctions.Utility_LookupValueInTableNumber(I16,Table_SourceData_ElectricityEFs[State, Territory or grid description],Table_SourceData_ElectricityEFs[Scope 2 Emission Factors (kg CO2-e/kWh)])</f>
        <v>0.56000000000000005</v>
      </c>
      <c r="J15" s="52"/>
    </row>
    <row r="16" spans="1:11" ht="20.100000000000001" customHeight="1" x14ac:dyDescent="0.25">
      <c r="D16" s="51" t="str">
        <v>g</v>
      </c>
      <c r="E16" s="53" t="str">
        <v>Grid electricity was purchased from</v>
      </c>
      <c r="F16" s="52"/>
      <c r="G16" s="51" t="str">
        <v/>
      </c>
      <c r="H16" s="47" t="str">
        <v>Input</v>
      </c>
      <c r="I16" s="53" t="str">
        <f>'Input - Electricity'!$E$13</f>
        <v>Western Australia - North Western Interconnected System (NWIS)</v>
      </c>
      <c r="J16" s="52"/>
    </row>
    <row r="17" spans="1:11" ht="20.100000000000001" customHeight="1" x14ac:dyDescent="0.25"/>
    <row r="18" spans="1:11" ht="20.100000000000001" customHeight="1" x14ac:dyDescent="0.25">
      <c r="D18" s="108" t="s">
        <v>117</v>
      </c>
      <c r="E18" s="110" cm="1">
        <f t="array" ref="E18">Electricity_Equations.VEERG_14_1_1__1_LocationBasedScopeElectricityEmissions(I14,I15)</f>
        <v>16.8</v>
      </c>
      <c r="F18" s="121" t="str">
        <f>$E$12</f>
        <v>t CO2e</v>
      </c>
    </row>
    <row r="19" spans="1:11" ht="20.100000000000001" customHeight="1" x14ac:dyDescent="0.25"/>
    <row r="20" spans="1:11" ht="20.100000000000001" customHeight="1" x14ac:dyDescent="0.25">
      <c r="A20" s="14"/>
    </row>
    <row r="21" spans="1:11" ht="20.100000000000001" customHeight="1" x14ac:dyDescent="0.25">
      <c r="A21" s="14"/>
      <c r="C21" s="109"/>
      <c r="D21" s="109"/>
      <c r="E21" s="109"/>
      <c r="F21" s="109"/>
      <c r="G21" s="109"/>
      <c r="H21" s="109"/>
      <c r="I21" s="109"/>
      <c r="J21" s="109"/>
      <c r="K21" s="109"/>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A23" s="14"/>
      <c r="D23" s="5" t="str" cm="1">
        <f t="array" ref="D23">Electricity_Equations.VEERG_14_1_2__1_MarketBasedScopeElectricityEmissions_Source()</f>
        <v>VEERG 2026: 14.1.2, Equation (1)</v>
      </c>
    </row>
    <row r="24" spans="1:11" ht="20.100000000000001" customHeight="1" x14ac:dyDescent="0.25">
      <c r="D24" s="32"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10</v>
      </c>
      <c r="E25" s="11" t="str" cm="1">
        <f t="array" aca="1" ref="E25" ca="1">Common_InputFunctions.Utility_DisplayFunctionName(E39)</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30" t="s">
        <v>13</v>
      </c>
      <c r="E28" s="1" t="str" cm="1">
        <f t="array" ref="E28">Electricity_Equations.VEERG_14_1_2__1_MarketBasedScopeElectricityEmissions_Variable()</f>
        <v>E_2elec</v>
      </c>
    </row>
    <row r="29" spans="1:11" ht="20.100000000000001" customHeight="1" x14ac:dyDescent="0.25">
      <c r="D29" s="30" t="s">
        <v>5</v>
      </c>
      <c r="E29" s="31" t="str" cm="1">
        <f t="array" ref="E29">Electricity_Equations.VEERG_14_1_2__1_MarketBasedScopeElectricityEmissions_Unit()</f>
        <v>t CO2e</v>
      </c>
    </row>
    <row r="30" spans="1:11" ht="20.100000000000001" customHeight="1" x14ac:dyDescent="0.25"/>
    <row r="31" spans="1:11" ht="20.100000000000001" customHeight="1" x14ac:dyDescent="0.25">
      <c r="D31" s="51" t="str" cm="1">
        <f t="array" ref="D31:E37">_xlfn.CHOOSECOLS(Electricity_Equations.VEERG_14_1_2__1_MarketBasedScopeElectricityEmissions_Arguments(),1,2)</f>
        <v>Q_elec</v>
      </c>
      <c r="E31" s="53" t="str">
        <v>amount of electricity purchased from the grid</v>
      </c>
      <c r="F31" s="111"/>
      <c r="G31" s="111"/>
      <c r="H31" s="51" t="str" cm="1">
        <f t="array" ref="H31:I37">_xlfn.CHOOSECOLS(Electricity_Equations.VEERG_14_1_2__1_MarketBasedScopeElectricityEmissions_Arguments(),3,4)</f>
        <v>kWh</v>
      </c>
      <c r="I31" s="47" t="str">
        <v>Input</v>
      </c>
      <c r="J31" s="51">
        <f>'Input - Electricity'!E19</f>
        <v>30000</v>
      </c>
    </row>
    <row r="32" spans="1:11" ht="20.100000000000001" customHeight="1" x14ac:dyDescent="0.25">
      <c r="D32" s="51" t="str">
        <v>RPP</v>
      </c>
      <c r="E32" s="53" t="str">
        <v>Renewable Power Percentage under the Large-scale Renewable Energy Target (LRET)</v>
      </c>
      <c r="F32" s="111"/>
      <c r="G32" s="111"/>
      <c r="H32" s="51" t="str">
        <v>per cent</v>
      </c>
      <c r="I32" s="47" t="str">
        <v>Input</v>
      </c>
      <c r="J32" s="118">
        <f>'Input - Electricity'!E20</f>
        <v>0.1</v>
      </c>
    </row>
    <row r="33" spans="4:10" ht="20.100000000000001" customHeight="1" x14ac:dyDescent="0.25">
      <c r="D33" s="51" t="str">
        <v>JRPP</v>
      </c>
      <c r="E33" s="53" t="str">
        <v>jurisdictional renewable power percentage for the applicable period (ACT only)</v>
      </c>
      <c r="F33" s="111"/>
      <c r="G33" s="111"/>
      <c r="H33" s="51" t="str">
        <v>per cent</v>
      </c>
      <c r="I33" s="47" t="str">
        <v>Input</v>
      </c>
      <c r="J33" s="118" t="str">
        <f>IF(J37="ACT", 'Input - Electricity'!E21, "N/A")</f>
        <v>N/A</v>
      </c>
    </row>
    <row r="34" spans="4:10" ht="20.100000000000001" customHeight="1" x14ac:dyDescent="0.25">
      <c r="D34" s="51" t="str">
        <v>REC_surrendered</v>
      </c>
      <c r="E34" s="53" t="str">
        <v>Renewable Energy Certificates voluntarily surrendered in the reporting year</v>
      </c>
      <c r="F34" s="111"/>
      <c r="G34" s="111"/>
      <c r="H34" s="51" t="str">
        <v>MWh</v>
      </c>
      <c r="I34" s="47" t="str">
        <v>Input</v>
      </c>
      <c r="J34" s="51">
        <f>('Input - Electricity'!E23*10^-3)+'Input - Electricity'!$E$37</f>
        <v>20</v>
      </c>
    </row>
    <row r="35" spans="4:10" ht="20.100000000000001" customHeight="1" x14ac:dyDescent="0.25">
      <c r="D35" s="51" t="str">
        <v>REC_onsite</v>
      </c>
      <c r="E35" s="53" t="str">
        <v>Renewable Energy Certificates issued for electricity produced on-site during the year and consumed by the entity</v>
      </c>
      <c r="F35" s="111"/>
      <c r="G35" s="111"/>
      <c r="H35" s="51" t="str">
        <v>MWh</v>
      </c>
      <c r="I35" s="47" t="str">
        <v>Input</v>
      </c>
      <c r="J35" s="51">
        <f>'Input - Electricity'!$E$46</f>
        <v>11</v>
      </c>
    </row>
    <row r="36" spans="4:10" ht="20.100000000000001" customHeight="1" x14ac:dyDescent="0.25">
      <c r="D36" s="51" t="str">
        <v>EF_RMF2elec</v>
      </c>
      <c r="E36" s="53" t="str">
        <v>Scope 2 residual mix emission factor for electricity</v>
      </c>
      <c r="F36" s="111"/>
      <c r="G36" s="111"/>
      <c r="H36" s="51" t="str">
        <v>kg CO2e/kWh</v>
      </c>
      <c r="I36" s="46" t="str">
        <v>Constant</v>
      </c>
      <c r="J36" s="51" cm="1">
        <f t="array" ref="J36">Table_SourceData_ElectricityEFsMarketBased[Scope 2 EF (kg CO2-e/kWh)]</f>
        <v>0.81</v>
      </c>
    </row>
    <row r="37" spans="4:10" ht="20.100000000000001" customHeight="1" x14ac:dyDescent="0.25">
      <c r="D37" s="51" t="str">
        <v>i</v>
      </c>
      <c r="E37" s="53" t="str">
        <v>state</v>
      </c>
      <c r="F37" s="111"/>
      <c r="G37" s="52"/>
      <c r="H37" s="51" t="str">
        <v/>
      </c>
      <c r="I37" s="47" t="str">
        <v>Input</v>
      </c>
      <c r="J37" s="51" t="str">
        <f>'Input - Site'!E21</f>
        <v>Western Australia</v>
      </c>
    </row>
    <row r="38" spans="4:10" ht="20.100000000000001" customHeight="1" x14ac:dyDescent="0.25"/>
    <row r="39" spans="4:10" ht="20.100000000000001" customHeight="1" x14ac:dyDescent="0.25">
      <c r="D39" s="108" t="s">
        <v>117</v>
      </c>
      <c r="E39" s="110" cm="1">
        <f t="array" ref="E39">Electricity_Equations.VEERG_14_1_2__1_MarketBasedScopeElectricityEmissionsVariation(J31,J32,IF(ISNUMBER(J33), J33, 0),J34,J35,J36)</f>
        <v>14.580000000000002</v>
      </c>
      <c r="F39" s="121" t="str">
        <f>E29</f>
        <v>t CO2e</v>
      </c>
    </row>
    <row r="40" spans="4:10" ht="20.100000000000001" customHeight="1" x14ac:dyDescent="0.25">
      <c r="H40" s="1" t="s">
        <v>85</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8"/>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113</v>
      </c>
      <c r="AG1"/>
      <c r="AH1"/>
      <c r="AI1"/>
    </row>
    <row r="2" spans="1:35" s="9" customFormat="1" ht="20.100000000000001" customHeight="1" x14ac:dyDescent="0.25">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A6" s="13"/>
      <c r="D6" s="5" t="str" cm="1">
        <f t="array" ref="D6">Electricity_SourceData.Electricity_Scope2Scope3LocationBased_Source()</f>
        <v>Australian National Greenhouse Accounts Factors 2025 - Table 1</v>
      </c>
      <c r="E6" s="19"/>
      <c r="F6" s="19"/>
    </row>
    <row r="7" spans="1:35" ht="20.100000000000001" customHeight="1" x14ac:dyDescent="0.25">
      <c r="A7" s="17" t="s">
        <v>1</v>
      </c>
      <c r="D7" s="32" t="str" cm="1">
        <f t="array" ref="D7">"⚠️" &amp; Electricity_SourceData.Electricity_Scope2Scope3LocationBased_Variation()</f>
        <v>⚠️VARIATION OF SOURCE DATA: NSW and ACT split into separate rows.</v>
      </c>
      <c r="E7" s="19"/>
      <c r="F7" s="19"/>
    </row>
    <row r="8" spans="1:35" ht="20.100000000000001" customHeight="1" x14ac:dyDescent="0.25">
      <c r="A8" s="14" t="str">
        <f>HYPERLINK("#'Input - Electricity'!A1", "Electricity")</f>
        <v>Electricity</v>
      </c>
      <c r="D8" s="19"/>
      <c r="E8" s="19"/>
      <c r="F8" s="19"/>
    </row>
    <row r="9" spans="1:35" ht="20.100000000000001" customHeight="1" x14ac:dyDescent="0.25">
      <c r="A9" s="14"/>
      <c r="D9" s="62" t="s">
        <v>114</v>
      </c>
      <c r="E9" s="62" t="s">
        <v>115</v>
      </c>
      <c r="F9" s="62" t="s">
        <v>116</v>
      </c>
    </row>
    <row r="10" spans="1:35" ht="20.100000000000001" customHeight="1" x14ac:dyDescent="0.25">
      <c r="A10" s="16" t="s">
        <v>45</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4" t="str">
        <f>HYPERLINK("#'14.1.1-2 Purchased electricity'!A1", "14.1.1-2 Purchased electricity")</f>
        <v>14.1.1-2 Purchased electricity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4"/>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2</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61" t="str">
        <f>HYPERLINK("#'Constants - Electricity'!A1", "Constants - Electricity")</f>
        <v>Constants -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4" t="str">
        <f>HYPERLINK("#'Constants - Common'!A1", "Constants - Common")</f>
        <v>Constants - Common</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4"/>
    </row>
    <row r="21" spans="1:8" ht="20.100000000000001" customHeight="1" x14ac:dyDescent="0.25">
      <c r="A21" s="14"/>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c r="A23" s="14"/>
    </row>
    <row r="24" spans="1:8" ht="20.100000000000001" customHeight="1" x14ac:dyDescent="0.25">
      <c r="D24" s="119" t="s">
        <v>114</v>
      </c>
      <c r="E24" s="119" t="s">
        <v>137</v>
      </c>
      <c r="F24" s="119" t="s">
        <v>138</v>
      </c>
      <c r="G24" s="119" t="s">
        <v>139</v>
      </c>
      <c r="H24" s="119" t="s">
        <v>140</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91DA-4C9F-4E69-8908-19D0D65BC2E4}">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31" t="str" cm="1">
        <f t="array" ref="D99:D102">Common_SourceData.Common_SourceData_ClimateZones_Appendices()</f>
        <v>Note:</v>
      </c>
    </row>
    <row r="100" spans="4:20" ht="20.100000000000001" customHeight="1" x14ac:dyDescent="0.25">
      <c r="D100" s="31" t="str">
        <v>MAT = mean annual temperature</v>
      </c>
    </row>
    <row r="101" spans="4:20" ht="20.100000000000001" customHeight="1" x14ac:dyDescent="0.25">
      <c r="D101" s="31" t="str">
        <v>MAP = mean annual precipitation</v>
      </c>
    </row>
    <row r="102" spans="4:20" ht="20.100000000000001" customHeight="1" x14ac:dyDescent="0.25">
      <c r="D102" s="31" t="str">
        <v>PET = potential evapotranspiration</v>
      </c>
    </row>
    <row r="103" spans="4:20" ht="20.100000000000001" customHeight="1" x14ac:dyDescent="0.25">
      <c r="D103" s="31"/>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7" t="s">
        <v>39</v>
      </c>
      <c r="E119" s="27" t="s">
        <v>40</v>
      </c>
      <c r="F119" s="27" t="s">
        <v>26</v>
      </c>
      <c r="G119" s="27" t="s">
        <v>27</v>
      </c>
      <c r="BN119" s="7"/>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7" t="s">
        <v>57</v>
      </c>
      <c r="E142" s="27" t="s">
        <v>48</v>
      </c>
      <c r="BN142" s="7"/>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7" t="s">
        <v>43</v>
      </c>
      <c r="E153" s="27" t="s">
        <v>44</v>
      </c>
      <c r="BC153" s="3"/>
      <c r="BD153" s="3"/>
      <c r="BE153" s="3"/>
      <c r="BF153" s="3"/>
      <c r="BG153" s="3"/>
      <c r="BH153" s="3"/>
      <c r="BI153" s="3"/>
      <c r="BJ153" s="3"/>
      <c r="BK153" s="3"/>
      <c r="BL153" s="3"/>
      <c r="BM153" s="3"/>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1" t="str" cm="1">
        <f t="array" ref="D180">Common_SourceData.Common_SourceData_EFN2O_Unit()</f>
        <v>(kg N2O-N / kg N</v>
      </c>
    </row>
    <row r="181" spans="4:68" ht="20.100000000000001" customHeight="1" x14ac:dyDescent="0.25">
      <c r="D181" s="32" t="str" cm="1">
        <f t="array" ref="D181:D185">Common_SourceData.Common_SourceData_EFN2O_Variation()</f>
        <v>VARIATION OF SOURCE DATA:</v>
      </c>
    </row>
    <row r="182" spans="4:68" ht="20.100000000000001" customHeight="1" x14ac:dyDescent="0.25">
      <c r="D182" s="32" t="str">
        <v>Removed duplicate 'Aquaculture' row.</v>
      </c>
    </row>
    <row r="183" spans="4:68" ht="20.100000000000001" customHeight="1" x14ac:dyDescent="0.25">
      <c r="D183" s="32" t="str">
        <v>Removed asterisks to aid lookup.</v>
      </c>
    </row>
    <row r="184" spans="4:68" ht="20.100000000000001" customHeight="1" x14ac:dyDescent="0.25">
      <c r="D184" s="32" t="str">
        <v>Added 'production system only', 'rainfall zone' and 'irrigation method' columns to aid lookup.</v>
      </c>
    </row>
    <row r="185" spans="4:68" ht="20.100000000000001" customHeight="1" x14ac:dyDescent="0.25">
      <c r="D185" s="32"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2" t="str" cm="1">
        <f t="array" ref="D204">Common_SourceData.Common_SourceData_EFPastureRangeAndPaddock_Variation()</f>
        <v>VARIATION FROM SOURCE DATA: Changed 'Dry climate zones' to singular 'Dry climate zone' to aid lookup.</v>
      </c>
    </row>
    <row r="205" spans="4:8" x14ac:dyDescent="0.25">
      <c r="D205" s="31"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1"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FAGwAZQBjAHQAcgBpAGMAaQB0AHkAXwBFAHEAdQBhAHQAaQBvAG4AcwAuAFYARQBFAFIARwBfADEANABfADEAXwAxAF8AXwAxAF8ATABvAGMAYQB0AGkAbwBuAEIAYQBzAGUAZABTAGMAbwBwAGUARQBsAGUAYwB0AHIAaQBjAGkAdAB5AEUAbQBpAHMAcwBpAG8AbgBzACIALAAiAEUAbABlAGMAdAByAGkAYwBpAHQAeQBfAEUAcQB1AGEAdABpAG8AbgBzAC4AVgBFAEUAUgBHAF8AMQA0AF8AMQBfADEAXwBfADEAXwBMAG8AYwBhAHQAaQBvAG4AQgBhAHMAZQBkAFMAYwBvAHAAZQBFAGwAZQBjAHQAcgBpAGMAaQB0AHkARQBtAGkAcwBzAGkAbwBuAHMAXwBUAGkAdABsAGUAIgAsACIARQBsAGUAYwB0AHIAaQBjAGkAdAB5AF8ARQBxAHUAYQB0AGkAbwBuAHMALgBWAEUARQBSAEcAXwAxADQAXwAxAF8AMQBfAF8AMQBfAEwAbwBjAGEAdABpAG8AbgBCAGEAcwBlAGQAUwBjAG8AcABlAEUAbABlAGMAdAByAGkAYwBpAHQAeQBFAG0AaQBzAHMAaQBvAG4AcwBfAFYAYQByAGkAYQBiAGwAZQAiACwAIgBFAGwAZQBjAHQAcgBpAGMAaQB0AHkAXwBFAHEAdQBhAHQAaQBvAG4AcwAuAFYARQBFAFIARwBfADEANABfADEAXwAxAF8AXwAxAF8ATABvAGMAYQB0AGkAbwBuAEIAYQBzAGUAZABTAGMAbwBwAGUARQBsAGUAYwB0AHIAaQBjAGkAdAB5AEUAbQBpAHMAcwBpAG8AbgBzAF8AVQBuAGkAdAAiACwAIgBFAGwAZQBjAHQAcgBpAGMAaQB0AHkAXwBFAHEAdQBhAHQAaQBvAG4AcwAuAFYARQBFAFIARwBfADEANABfADEAXwAxAF8AXwAxAF8ATABvAGMAYQB0AGkAbwBuAEIAYQBzAGUAZABTAGMAbwBwAGUARQBsAGUAYwB0AHIAaQBjAGkAdAB5AEUAbQBpAHMAcwBpAG8AbgBzAF8AUwBvAHUAcgBjAGUAIgAsACIARQBsAGUAYwB0AHIAaQBjAGkAdAB5AF8ARQBxAHUAYQB0AGkAbwBuAHMALgBWAEUARQBSAEcAXwAxADQAXwAxAF8AMQBfAF8AMQBfAEwAbwBjAGEAdABpAG8AbgBCAGEAcwBlAGQAUwBjAG8AcABlAEUAbABlAGMAdAByAGkAYwBpAHQAeQBFAG0AaQBzAHMAaQBvAG4AcwBfAE4ASQBSAFIAZQBmAGUAcgBlAG4AYwBlACIALAAiAEUAbABlAGMAdAByAGkAYwBpAHQAeQBfAEUAcQB1AGEAdABpAG8AbgBzAC4AVgBFAEUAUgBHAF8AMQA0AF8AMQBfADEAXwBfADEAXwBMAG8AYwBhAHQAaQBvAG4AQgBhAHMAZQBkAFMAYwBvAHAAZQBFAGwAZQBjAHQAcgBpAGMAaQB0AHkARQBtAGkAcwBzAGkAbwBuAHMAXwBMAGEAdABlAHgARQBxAHUAYQB0AGkAbwBuACIALAAiAEUAbABlAGMAdAByAGkAYwBpAHQAeQBfAEUAcQB1AGEAdABpAG8AbgBzAC4AVgBFAEUAUgBHAF8AMQA0AF8AMQBfADEAXwBfADEAXwBMAG8AYwBhAHQAaQBvAG4AQgBhAHMAZQBkAFMAYwBvAHAAZQBFAGwAZQBjAHQAcgBpAGMAaQB0AHkARQBtAGkAcwBzAGkAbwBuAHMAXwBBAHIAZwB1AG0AZQBuAHQAcwAiACwAIgBFAGwAZQBjAHQAcgBpAGMAaQB0AHkAXwBFAHEAdQBhAHQAaQBvAG4AcwAuAFYARQBFAFIARwBfADEANABfADEAXwAxAF8AXwAxAF8ATABvAGMAYQB0AGkAbwBuAEIAYQBzAGUAZABTAGMAbwBwAGUARQBsAGUAYwB0AHIAaQBjAGkAdAB5AEUAbQBpAHMAcwBpAG8AbgBzAF8AVgBhAHIAaQBhAHQAaQBvAG4AIgAsACIARQBsAGUAYwB0AHIAaQBjAGkAdAB5AF8ARQBxAHUAYQB0AGkAbwBuAHMALgBWAEUARQBSAEcAXwAxADQAXwAxAF8AMgBfAF8AMQBfAE0AYQByAGsAZQB0AEIAYQBzAGUAZABTAGMAbwBwAGUARQBsAGUAYwB0AHIAaQBjAGkAdAB5AEUAbQBpAHMAcwBpAG8AbgBzACIALAAiAEUAbABlAGMAdAByAGkAYwBpAHQAeQBfAEUAcQB1AGEAdABpAG8AbgBzAC4AVgBFAEUAUgBHAF8AMQA0AF8AMQBfADIAXwBfADEAXwBNAGEAcgBrAGUAdABCAGEAcwBlAGQAUwBjAG8AcABlAEUAbABlAGMAdAByAGkAYwBpAHQAeQBFAG0AaQBzAHMAaQBvAG4AcwBWAGEAcgBpAGEAdABpAG8AbgAiACwAIgBFAGwAZQBjAHQAcgBpAGMAaQB0AHkAXwBFAHEAdQBhAHQAaQBvAG4AcwAuAFYARQBFAFIARwBfADEANABfADEAXwAyAF8AXwAxAF8ATQBhAHIAawBlAHQAQgBhAHMAZQBkAFMAYwBvAHAAZQBFAGwAZQBjAHQAcgBpAGMAaQB0AHkARQBtAGkAcwBzAGkAbwBuAHMAXwBUAGkAdABsAGUAIgAsACIARQBsAGUAYwB0AHIAaQBjAGkAdAB5AF8ARQBxAHUAYQB0AGkAbwBuAHMALgBWAEUARQBSAEcAXwAxADQAXwAxAF8AMgBfAF8AMQBfAE0AYQByAGsAZQB0AEIAYQBzAGUAZABTAGMAbwBwAGUARQBsAGUAYwB0AHIAaQBjAGkAdAB5AEUAbQBpAHMAcwBpAG8AbgBzAF8AVgBhAHIAaQBhAGIAbABlACIALAAiAEUAbABlAGMAdAByAGkAYwBpAHQAeQBfAEUAcQB1AGEAdABpAG8AbgBzAC4AVgBFAEUAUgBHAF8AMQA0AF8AMQBfADIAXwBfADEAXwBNAGEAcgBrAGUAdABCAGEAcwBlAGQAUwBjAG8AcABlAEUAbABlAGMAdAByAGkAYwBpAHQAeQBFAG0AaQBzAHMAaQBvAG4AcwBfAFUAbgBpAHQAIgAsACIARQBsAGUAYwB0AHIAaQBjAGkAdAB5AF8ARQBxAHUAYQB0AGkAbwBuAHMALgBWAEUARQBSAEcAXwAxADQAXwAxAF8AMgBfAF8AMQBfAE0AYQByAGsAZQB0AEIAYQBzAGUAZABTAGMAbwBwAGUARQBsAGUAYwB0AHIAaQBjAGkAdAB5AEUAbQBpAHMAcwBpAG8AbgBzAF8AUwBvAHUAcgBjAGUAIgAsACIARQBsAGUAYwB0AHIAaQBjAGkAdAB5AF8ARQBxAHUAYQB0AGkAbwBuAHMALgBWAEUARQBSAEcAXwAxADQAXwAxAF8AMgBfAF8AMQBfAE0AYQByAGsAZQB0AEIAYQBzAGUAZABTAGMAbwBwAGUARQBsAGUAYwB0AHIAaQBjAGkAdAB5AEUAbQBpAHMAcwBpAG8AbgBzAF8ATgBJAFIAUgBlAGYAZQByAGUAbgBjAGUAIgAsACIARQBsAGUAYwB0AHIAaQBjAGkAdAB5AF8ARQBxAHUAYQB0AGkAbwBuAHMALgBWAEUARQBSAEcAXwAxADQAXwAxAF8AMgBfAF8AMQBfAE0AYQByAGsAZQB0AEIAYQBzAGUAZABTAGMAbwBwAGUARQBsAGUAYwB0AHIAaQBjAGkAdAB5AEUAbQBpAHMAcwBpAG8AbgBzAF8ATABhAHQAZQB4AEUAcQB1AGEAdABpAG8AbgAiACwAIgBFAGwAZQBjAHQAcgBpAGMAaQB0AHkAXwBFAHEAdQBhAHQAaQBvAG4AcwAuAFYARQBFAFIARwBfADEANABfADEAXwAyAF8AXwAxAF8ATQBhAHIAawBlAHQAQgBhAHMAZQBkAFMAYwBvAHAAZQBFAGwAZQBjAHQAcgBpAGMAaQB0AHkARQBtAGkAcwBzAGkAbwBuAHMAVgBhAHIAaQBhAHQAaQBvAG4AXwBMAGEAdABlAHgARQBxAHUAYQB0AGkAbwBuACIALAAiAEUAbABlAGMAdAByAGkAYwBpAHQAeQBfAEUAcQB1AGEAdABpAG8AbgBzAC4AVgBFAEUAUgBHAF8AMQA0AF8AMQBfADIAXwBfADEAXwBNAGEAcgBrAGUAdABCAGEAcwBlAGQAUwBjAG8AcABlAEUAbABlAGMAdAByAGkAYwBpAHQAeQBFAG0AaQBzAHMAaQBvAG4AcwBfAEEAcgBnAHUAbQBlAG4AdABzACIALAAiAEUAbABlAGMAdAByAGkAYwBpAHQAeQBfAEUAcQB1AGEAdABpAG8AbgBzAC4AVgBFAEUAUgBHAF8AMQA0AF8AMQBfADIAXwBfADEAXwBNAGEAcgBrAGUAdABCAGEAcwBlAGQAUwBjAG8AcABlAEUAbABlAGMAdAByAGkAYwBpAHQAeQBFAG0AaQBzAHMAaQ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Home</vt:lpstr>
      <vt:lpstr>Overview</vt:lpstr>
      <vt:lpstr>Results</vt:lpstr>
      <vt:lpstr>Input - Site</vt:lpstr>
      <vt:lpstr>Input - Electricity</vt:lpstr>
      <vt:lpstr>14.1.1-2 Purchased electricity</vt:lpstr>
      <vt:lpstr>Constants - Electricity</vt:lpstr>
      <vt:lpstr>Constants - Common</vt:lpstr>
      <vt:lpstr>VEERG_14_1_1__1_LocationBasedScopeElectricityEmissions_Result_Method1</vt:lpstr>
      <vt:lpstr>VEERG_14_1_2__1_MarketBasedScopeElectricityEmissionsVariation_Result_Method1</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2026-06-22T05:27:12Z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