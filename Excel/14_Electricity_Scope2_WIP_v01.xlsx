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69B8BFE-7386-4B52-B58C-6B643923F71D}" xr6:coauthVersionLast="47" xr6:coauthVersionMax="47" xr10:uidLastSave="{00000000-0000-0000-0000-000000000000}"/>
  <bookViews>
    <workbookView xWindow="3510" yWindow="3510" windowWidth="28800" windowHeight="15345" firstSheet="7" activeTab="7" xr2:uid="{992023F3-CAB7-4E5B-A348-08D563A0EF40}"/>
  </bookViews>
  <sheets>
    <sheet name="Home" sheetId="71" r:id="rId1"/>
    <sheet name="Overview" sheetId="118" r:id="rId2"/>
    <sheet name="Results" sheetId="13" r:id="rId3"/>
    <sheet name="Input - Site" sheetId="121" r:id="rId4"/>
    <sheet name="Input - Electricity" sheetId="70" r:id="rId5"/>
    <sheet name="14.1.1-2 Purchased electricity" sheetId="69" r:id="rId6"/>
    <sheet name="Constants - Electricity" sheetId="110" r:id="rId7"/>
    <sheet name="Constants - Common" sheetId="124" r:id="rId8"/>
  </sheets>
  <externalReferences>
    <externalReference r:id="rId9"/>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4" l="1" a="1"/>
  <c r="E259" i="124" s="1"/>
  <c r="D259" i="124" a="1"/>
  <c r="D259" i="124" s="1"/>
  <c r="E258" i="124" a="1"/>
  <c r="E258" i="124" s="1"/>
  <c r="D258" i="124" a="1"/>
  <c r="D258" i="124" s="1"/>
  <c r="D256" i="124"/>
  <c r="D256" i="124" a="1"/>
  <c r="D255" i="124" a="1"/>
  <c r="D255" i="124" s="1"/>
  <c r="D254" i="124" a="1"/>
  <c r="D254" i="124" s="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a="1"/>
  <c r="D229" i="124" s="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c r="D211" i="124" a="1"/>
  <c r="E208" i="124" a="1"/>
  <c r="E208" i="124" s="1"/>
  <c r="D208" i="124" a="1"/>
  <c r="D208" i="124" s="1"/>
  <c r="E207" i="124" a="1"/>
  <c r="E207" i="124" s="1"/>
  <c r="D207" i="124" a="1"/>
  <c r="D207" i="124" s="1"/>
  <c r="D205" i="124" a="1"/>
  <c r="D205" i="124" s="1"/>
  <c r="D204" i="124" a="1"/>
  <c r="D204" i="124" s="1"/>
  <c r="D203" i="124" a="1"/>
  <c r="D203" i="124" s="1"/>
  <c r="D202" i="124" a="1"/>
  <c r="D202" i="124" s="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c r="D175" i="124" a="1"/>
  <c r="D174" i="124" a="1"/>
  <c r="D174" i="124" s="1"/>
  <c r="D173" i="124" a="1"/>
  <c r="D173" i="124" s="1"/>
  <c r="D170" i="124" a="1"/>
  <c r="D170" i="124" s="1"/>
  <c r="D169" i="124" a="1"/>
  <c r="D169" i="124" s="1"/>
  <c r="D168" i="124" a="1"/>
  <c r="D168" i="124" s="1"/>
  <c r="D167" i="124" a="1"/>
  <c r="D167" i="124" s="1"/>
  <c r="D164" i="124" a="1"/>
  <c r="D164" i="124" s="1"/>
  <c r="D163" i="124" a="1"/>
  <c r="D163" i="124" s="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a="1"/>
  <c r="D141" i="124" s="1"/>
  <c r="D140" i="124" a="1"/>
  <c r="D140" i="124" s="1"/>
  <c r="D139" i="124" a="1"/>
  <c r="D139" i="124" s="1"/>
  <c r="E136" i="124" a="1"/>
  <c r="E136" i="124" s="1"/>
  <c r="D136" i="124" a="1"/>
  <c r="D136" i="124" s="1"/>
  <c r="E135" i="124" a="1"/>
  <c r="E135" i="124" s="1"/>
  <c r="D135" i="124" a="1"/>
  <c r="D135" i="124" s="1"/>
  <c r="D133" i="124" a="1"/>
  <c r="D133" i="124" s="1"/>
  <c r="D132" i="124" a="1"/>
  <c r="D132" i="124" s="1"/>
  <c r="E129" i="124" a="1"/>
  <c r="E129" i="124" s="1"/>
  <c r="D129" i="124" a="1"/>
  <c r="D129" i="124" s="1"/>
  <c r="E128" i="124" a="1"/>
  <c r="E128" i="124" s="1"/>
  <c r="D128" i="124" a="1"/>
  <c r="D128" i="124" s="1"/>
  <c r="D125" i="124" a="1"/>
  <c r="D125" i="124" s="1"/>
  <c r="D124" i="124" a="1"/>
  <c r="D124" i="124" s="1"/>
  <c r="G121" i="124" a="1"/>
  <c r="G121" i="124" s="1"/>
  <c r="F121" i="124" a="1"/>
  <c r="F121" i="124" s="1"/>
  <c r="E121" i="124" a="1"/>
  <c r="E121" i="124" s="1"/>
  <c r="D121" i="124" a="1"/>
  <c r="D121" i="124" s="1"/>
  <c r="G120" i="124" a="1"/>
  <c r="G120" i="124" s="1"/>
  <c r="F120" i="124" a="1"/>
  <c r="F120" i="124" s="1"/>
  <c r="E120" i="124" a="1"/>
  <c r="E120" i="124" s="1"/>
  <c r="D120" i="124" a="1"/>
  <c r="D120" i="124" s="1"/>
  <c r="D117" i="124" a="1"/>
  <c r="D117" i="124" s="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c r="D107" i="124" a="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a="1"/>
  <c r="D81" i="124" s="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a="1"/>
  <c r="D57" i="124" s="1"/>
  <c r="G54" i="124" a="1"/>
  <c r="G54" i="124" s="1"/>
  <c r="F54" i="124" a="1"/>
  <c r="F54" i="124" s="1"/>
  <c r="E54" i="124" a="1"/>
  <c r="E54" i="124" s="1"/>
  <c r="D54" i="124" a="1"/>
  <c r="D54" i="124" s="1"/>
  <c r="G53" i="124" a="1"/>
  <c r="G53" i="124" s="1"/>
  <c r="F53" i="124" a="1"/>
  <c r="F53" i="124" s="1"/>
  <c r="E53" i="124" a="1"/>
  <c r="E53" i="124" s="1"/>
  <c r="D53" i="124" a="1"/>
  <c r="D53" i="124" s="1"/>
  <c r="G52" i="124" a="1"/>
  <c r="G52" i="124" s="1"/>
  <c r="F52" i="124" a="1"/>
  <c r="F52" i="124" s="1"/>
  <c r="E52" i="124" a="1"/>
  <c r="E52" i="124" s="1"/>
  <c r="D52" i="124" a="1"/>
  <c r="D52" i="124" s="1"/>
  <c r="G51" i="124" a="1"/>
  <c r="G51" i="124" s="1"/>
  <c r="F51" i="124" a="1"/>
  <c r="F51" i="124" s="1"/>
  <c r="E51" i="124" a="1"/>
  <c r="E51" i="124" s="1"/>
  <c r="D51" i="124" a="1"/>
  <c r="D51" i="124" s="1"/>
  <c r="G50" i="124" a="1"/>
  <c r="G50" i="124" s="1"/>
  <c r="F50" i="124" a="1"/>
  <c r="F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a="1"/>
  <c r="D46" i="124" s="1"/>
  <c r="D45" i="124" a="1"/>
  <c r="D45" i="124" s="1"/>
  <c r="E43" i="124" a="1"/>
  <c r="E43" i="124" s="1"/>
  <c r="D43" i="124" a="1"/>
  <c r="D43" i="124" s="1"/>
  <c r="E42" i="124" a="1"/>
  <c r="E42" i="124" s="1"/>
  <c r="D42" i="124" a="1"/>
  <c r="D42" i="124" s="1"/>
  <c r="E41" i="124" a="1"/>
  <c r="E41" i="124" s="1"/>
  <c r="D41" i="124" a="1"/>
  <c r="D41" i="124" s="1"/>
  <c r="E40" i="124" a="1"/>
  <c r="E40" i="124" s="1"/>
  <c r="D40" i="124" a="1"/>
  <c r="D40" i="124" s="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a="1"/>
  <c r="D19" i="124" s="1"/>
  <c r="D18" i="124" a="1"/>
  <c r="D18" i="124" s="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F7" i="124" a="1"/>
  <c r="F7" i="124" s="1"/>
  <c r="E7" i="124" a="1"/>
  <c r="E7" i="124" s="1"/>
  <c r="D7" i="124" a="1"/>
  <c r="D7" i="124" s="1"/>
  <c r="D5" i="124" a="1"/>
  <c r="D5" i="124" s="1"/>
  <c r="D24" i="69" a="1"/>
  <c r="D24" i="69" s="1"/>
  <c r="H52" i="124" l="1"/>
  <c r="H54" i="124"/>
  <c r="H48" i="124"/>
  <c r="H50" i="124"/>
  <c r="H53" i="124"/>
  <c r="H51" i="124"/>
  <c r="H49" i="124"/>
  <c r="A15" i="110"/>
  <c r="A14" i="110"/>
  <c r="A11" i="110"/>
  <c r="A8" i="110"/>
  <c r="A5" i="110"/>
  <c r="A4" i="110"/>
  <c r="A3" i="110"/>
  <c r="A15" i="70"/>
  <c r="A14" i="70"/>
  <c r="A11" i="70"/>
  <c r="A8" i="70"/>
  <c r="A5" i="70"/>
  <c r="A4" i="70"/>
  <c r="A3" i="70"/>
  <c r="A15" i="121"/>
  <c r="A14" i="121"/>
  <c r="A11" i="121"/>
  <c r="A8" i="121"/>
  <c r="A5" i="121"/>
  <c r="A4" i="121"/>
  <c r="A3" i="121"/>
  <c r="A15" i="13"/>
  <c r="A14" i="13"/>
  <c r="A11" i="13"/>
  <c r="A8" i="13"/>
  <c r="A5" i="13"/>
  <c r="A4" i="13"/>
  <c r="A3" i="13"/>
  <c r="A15" i="118"/>
  <c r="A14" i="118"/>
  <c r="A11" i="118"/>
  <c r="A8" i="118"/>
  <c r="A5" i="118"/>
  <c r="A4" i="118"/>
  <c r="A3" i="118"/>
  <c r="A14" i="69"/>
  <c r="A8" i="69"/>
  <c r="E44" i="70"/>
  <c r="H44" i="70"/>
  <c r="H35" i="70"/>
  <c r="H34" i="70"/>
  <c r="E43" i="70"/>
  <c r="H43" i="70"/>
  <c r="H42" i="70"/>
  <c r="E42" i="70"/>
  <c r="H33" i="70"/>
  <c r="E25" i="70"/>
  <c r="I43" i="70" s="1"/>
  <c r="E26" i="70"/>
  <c r="I33" i="70" s="1"/>
  <c r="H25" i="110" a="1"/>
  <c r="H25" i="110" s="1"/>
  <c r="G25" i="110" a="1"/>
  <c r="G25" i="110" s="1"/>
  <c r="F25" i="110" a="1"/>
  <c r="F25" i="110" s="1"/>
  <c r="E25" i="110" a="1"/>
  <c r="E25" i="110" s="1"/>
  <c r="J36" i="69" s="1" a="1"/>
  <c r="J36" i="69" s="1"/>
  <c r="D25" i="110" a="1"/>
  <c r="D25" i="110" s="1"/>
  <c r="D22" i="110" a="1"/>
  <c r="D22" i="110" s="1"/>
  <c r="D21" i="110" a="1"/>
  <c r="D21" i="110" s="1"/>
  <c r="E25" i="69" a="1"/>
  <c r="E25" i="69" l="1"/>
  <c r="I44" i="70"/>
  <c r="I35" i="70"/>
  <c r="I34" i="70"/>
  <c r="I42" i="70"/>
  <c r="J37" i="69"/>
  <c r="J33" i="69" s="1"/>
  <c r="J32" i="69"/>
  <c r="J31" i="69"/>
  <c r="D7" i="69" a="1"/>
  <c r="D7" i="69" s="1"/>
  <c r="H31" i="69" a="1"/>
  <c r="H31" i="69" s="1"/>
  <c r="D31" i="69" a="1"/>
  <c r="D31" i="69" s="1"/>
  <c r="E29" i="69" a="1"/>
  <c r="E29" i="69" s="1"/>
  <c r="F39" i="69" s="1"/>
  <c r="E28" i="69" a="1"/>
  <c r="E28" i="69" s="1"/>
  <c r="D23" i="69" a="1"/>
  <c r="D23" i="69" s="1"/>
  <c r="D22" i="69" a="1"/>
  <c r="D22" i="69" s="1"/>
  <c r="A11" i="69"/>
  <c r="I16" i="69"/>
  <c r="I14" i="69"/>
  <c r="G14" i="69" a="1"/>
  <c r="G14" i="69" s="1"/>
  <c r="D14" i="69" a="1"/>
  <c r="D14" i="69" s="1"/>
  <c r="E12" i="69" a="1"/>
  <c r="E12" i="69" s="1"/>
  <c r="F18" i="69" s="1"/>
  <c r="E11" i="69" a="1"/>
  <c r="E11" i="69" s="1"/>
  <c r="D6" i="69" a="1"/>
  <c r="D6" i="69" s="1"/>
  <c r="D5" i="69" a="1"/>
  <c r="D5" i="69" s="1"/>
  <c r="F19" i="110" a="1"/>
  <c r="F19" i="110" s="1"/>
  <c r="E19" i="110" a="1"/>
  <c r="E19" i="110" s="1"/>
  <c r="D19" i="110" a="1"/>
  <c r="D19" i="110" s="1"/>
  <c r="F18" i="110" a="1"/>
  <c r="F18" i="110" s="1"/>
  <c r="E18" i="110" a="1"/>
  <c r="E18" i="110" s="1"/>
  <c r="D18" i="110" a="1"/>
  <c r="D18" i="110" s="1"/>
  <c r="F17" i="110" a="1"/>
  <c r="F17" i="110" s="1"/>
  <c r="E17" i="110" a="1"/>
  <c r="E17" i="110" s="1"/>
  <c r="D17" i="110" a="1"/>
  <c r="D17" i="110" s="1"/>
  <c r="F16" i="110" a="1"/>
  <c r="F16" i="110" s="1"/>
  <c r="E16" i="110" a="1"/>
  <c r="E16" i="110" s="1"/>
  <c r="D16" i="110" a="1"/>
  <c r="D16" i="110" s="1"/>
  <c r="F15" i="110" a="1"/>
  <c r="F15" i="110" s="1"/>
  <c r="E15" i="110" a="1"/>
  <c r="E15" i="110" s="1"/>
  <c r="D15" i="110" a="1"/>
  <c r="D15"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D7" i="110" a="1"/>
  <c r="D7" i="110" s="1"/>
  <c r="D6" i="110" a="1"/>
  <c r="D6" i="110" s="1"/>
  <c r="D5" i="110" a="1"/>
  <c r="D5" i="110" s="1"/>
  <c r="E12" i="70"/>
  <c r="E18" i="70" s="1"/>
  <c r="E13" i="121"/>
  <c r="E8" i="69" a="1"/>
  <c r="E37" i="70" l="1"/>
  <c r="J34" i="69" s="1"/>
  <c r="E46" i="70"/>
  <c r="J35" i="69" s="1"/>
  <c r="I15" i="69" a="1"/>
  <c r="I15" i="69" s="1"/>
  <c r="E18" i="69" s="1" a="1"/>
  <c r="E18" i="69" s="1"/>
  <c r="E9" i="13" s="1"/>
  <c r="E8" i="69"/>
  <c r="A15" i="69"/>
  <c r="A5" i="69"/>
  <c r="A4" i="69"/>
  <c r="A3" i="69"/>
  <c r="E39" i="69" l="1" a="1"/>
  <c r="E39" i="69" s="1"/>
  <c r="E10" i="13" s="1"/>
  <c r="F10" i="13" s="1"/>
  <c r="F9" i="13" l="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<sst xmlns="http://schemas.openxmlformats.org/spreadsheetml/2006/main" count="195" uniqueCount="152">
  <si>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</si>
  <si>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</si>
  <si>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</si>
  <si>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</si>
  <si>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</si>
  <si>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</si>
  <si>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</si>
  <si>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</si>
  <si>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</si>
  <si>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</si>
  <si>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</si>
  <si>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</si>
  <si>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</si>
  <si>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</si>
  <si>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</si>
  <si>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</si>
  <si>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</si>
  <si>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</si>
  <si>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</si>
  <si>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</si>
  <si>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</si>
  <si>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</si>
  <si>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</si>
  <si>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</si>
  <si>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</si>
  <si>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</si>
  <si>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</si>
  <si>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</si>
  <si>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</si>
  <si>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</si>
  <si>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</si>
  <si>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</si>
  <si>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</si>
  <si>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</si>
  <si>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</si>
  <si>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</si>
  <si>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</si>
  <si>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</si>
  <si>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</si>
  <si>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</si>
  <si>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</si>
  <si>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</si>
  <si>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</si>
  <si>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</si>
  <si>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</si>
  <si>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</si>
  <si>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</si>
  <si>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</si>
  <si>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</si>
  <si>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</si>
  <si>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</si>
  <si>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</si>
  <si>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</si>
  <si>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</si>
  <si>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</si>
  <si>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</si>
  <si>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</si>
  <si>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</si>
  <si>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</si>
  <si>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</si>
  <si>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</si>
  <si>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</si>
  <si>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</si>
  <si>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</si>
  <si>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</si>
  <si>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</si>
  <si>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</si>
  <si>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</si>
  <si>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</si>
  <si>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</si>
  <si>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</si>
  <si>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</si>
  <si>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</si>
  <si>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</si>
  <si>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</si>
  <si>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</si>
  <si>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</si>
  <si>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</si>
  <si>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</si>
  <si>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</si>
  <si>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</si>
  <si>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</si>
  <si>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</si>
  <si>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</si>
  <si>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</si>
  <si>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</si>
  <si>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Input -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</si>
  <si>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</si>
  <si>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</si>
  <si>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</si>
  <si>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</si>
  <si>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</si>
  <si>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</si>
  <si>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</si>
  <si>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r>
      <rPr>
        <sz val="12"/>
        <color theme="1" tint="0.34998626667073579"/>
        <rFont val="Times New Roman"/>
        <family val="1"/>
      </rPr>
      <t xml:space="preserve">← </t>
    </r>
    <r>
      <rPr>
        <i/>
        <sz val="12"/>
        <color theme="1" tint="0.34998626667073579"/>
        <rFont val="Times New Roman"/>
        <family val="1"/>
      </rPr>
      <t>Please select</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</si>
  <si>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</si>
  <si>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</si>
  <si>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</si>
  <si>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</si>
  <si>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</si>
  <si>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</si>
  <si>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</si>
  <si>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</si>
  <si>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</si>
  <si>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</si>
  <si>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</si>
  <si>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</si>
  <si>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</si>
  <si>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</si>
  <si>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</si>
  <si>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</si>
  <si>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</si>
  <si>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</si>
  <si>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Constants - Electricity</t>
  </si>
  <si>
    <t>State, Territory or grid description</t>
  </si>
  <si>
    <t>Scope 2 Emission Factors (kg CO2-e/kWh)</t>
  </si>
  <si>
    <t>Scope 3 Emission Factors (kg CO2-e/kWh)</t>
  </si>
  <si>
    <r>
      <rPr>
        <b/>
        <sz val="16"/>
        <color theme="1" tint="0.24994659260841701"/>
        <rFont val="Times New Roman"/>
        <family val="1"/>
      </rPr>
      <t>E</t>
    </r>
    <r>
      <rPr>
        <b/>
        <vertAlign val="subscript"/>
        <sz val="16"/>
        <color theme="1" tint="0.24994659260841701"/>
        <rFont val="Times New Roman"/>
        <family val="1"/>
      </rPr>
      <t>2,elec</t>
    </r>
  </si>
  <si>
    <t>14.1.1-2 Purchased Electricity</t>
  </si>
  <si>
    <t xml:space="preserve">Renewable Power Percentage </t>
  </si>
  <si>
    <t>percent</t>
  </si>
  <si>
    <t>Jurisdictional renewable power percentage (ACT only)</t>
  </si>
  <si>
    <t>MWh</t>
  </si>
  <si>
    <t>Description</t>
  </si>
  <si>
    <t>Generation date</t>
  </si>
  <si>
    <t>Number of certificates</t>
  </si>
  <si>
    <t>Voluntarily surrendered Renewable Energy Certificates (RECs)</t>
  </si>
  <si>
    <t>End of reporting year</t>
  </si>
  <si>
    <t>Electricity purchased from an accredited GreenPower provider</t>
  </si>
  <si>
    <t>Electricity purchased in kWh (excluding GreenPower providers)</t>
  </si>
  <si>
    <t>Renewable Energy Certificates (RECs) for electricity produced on-site and consumed by the entity</t>
  </si>
  <si>
    <t>Source</t>
  </si>
  <si>
    <t>Source (select)</t>
  </si>
  <si>
    <t>Purchased certificate</t>
  </si>
  <si>
    <t>Issued for generated electricity</t>
  </si>
  <si>
    <t>Option 1: Location-based electricity</t>
  </si>
  <si>
    <t>Option 2: Market-based electricity</t>
  </si>
  <si>
    <t>Scope 2 EF (kg CO2-e/kWh)</t>
  </si>
  <si>
    <t>Scope 2 EF (kg CO2-e/GJ)</t>
  </si>
  <si>
    <t>Scope 3 EF (kg CO2-e/kWh)</t>
  </si>
  <si>
    <t>Scope 3 EF (kg CO2-e/GJ)</t>
  </si>
  <si>
    <t>Dec 2023 certs</t>
  </si>
  <si>
    <t>May 2022 generated</t>
  </si>
  <si>
    <t>Start of reporting year</t>
  </si>
  <si>
    <t>Elegibility</t>
  </si>
  <si>
    <t>Total elegible voluntarily surrendered RECs</t>
  </si>
  <si>
    <t>Total elegible RECs for electricity produced on-site and consumed by entity</t>
  </si>
  <si>
    <t>14: Electricity use scope 2: Overview</t>
  </si>
  <si>
    <t>14: Electricity use scope 2: Results</t>
  </si>
  <si>
    <t>14:1.1 Purchased electricity - Location-based</t>
  </si>
  <si>
    <t>14:1.2 Purchased electricity - Market-based</t>
  </si>
  <si>
    <t>💡 You can add more rows to the table by right-clicking on the table and selecting "Insert &gt; Table rows above/below"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</si>
</sst>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_-* #,##0_-;\-* #,##0_-;_-* &quot;-&quot;??_-;_-@_-"/>
    <numFmt numFmtId="171" formatCode="[$-C09]d\ mmmm\ yyyy;@"/>
  </numFmts>
  <fonts count="62"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xf numFmtId="0" fontId="4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22">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2" fillId="4" borderId="0" xfId="59">
      <alignment horizontal="left" vertic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10" borderId="0" xfId="35">
      <alignment horizontal="left" vertical="center" indent="1"/>
    </xf>
    <xf numFmtId="0" fontId="48" fillId="0" borderId="0" xfId="0" applyFont="1" applyAlignment="1">
      <alignment vertical="center"/>
    </xf>
    <xf numFmtId="0" fontId="41" fillId="4" borderId="0" xfId="47">
      <alignment horizontal="left" vertical="center"/>
    </xf>
    <xf numFmtId="0" fontId="36" fillId="13" borderId="14" xfId="39" applyBorder="1">
      <alignment horizontal="left" vertical="center"/>
    </xf>
    <xf numFmtId="0" fontId="36" fillId="13" borderId="15" xfId="39" applyBorder="1">
      <alignment horizontal="left" vertical="center"/>
    </xf>
    <xf numFmtId="4" fontId="2" fillId="0" borderId="2" xfId="17">
      <alignment horizontal="center" vertical="center"/>
    </xf>
    <xf numFmtId="0" fontId="10" fillId="0" borderId="0" xfId="2" applyFont="1"/>
    <xf numFmtId="0" fontId="3" fillId="4" borderId="16"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17" xfId="39" applyBorder="1">
      <alignment horizontal="left" vertical="center"/>
    </xf>
    <xf numFmtId="0" fontId="36" fillId="13" borderId="18" xfId="39" applyBorder="1">
      <alignment horizontal="left" vertical="center"/>
    </xf>
    <xf numFmtId="0" fontId="50"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1" fillId="0" borderId="0" xfId="0" applyFont="1" applyAlignment="1" applyProtection="1">
      <alignment horizontal="center" vertical="center"/>
      <protection locked="0"/>
    </xf>
    <xf numFmtId="4" fontId="52" fillId="0" borderId="0" xfId="17" applyFont="1" applyBorder="1">
      <alignment horizontal="center" vertical="center"/>
    </xf>
    <xf numFmtId="164" fontId="8" fillId="4" borderId="0" xfId="26" applyBorder="1">
      <alignment horizontal="center" vertical="center"/>
    </xf>
    <xf numFmtId="4" fontId="52" fillId="4" borderId="0" xfId="17" applyFont="1" applyFill="1" applyBorder="1">
      <alignment horizontal="center" vertical="center"/>
    </xf>
    <xf numFmtId="0" fontId="52" fillId="4" borderId="0" xfId="12" applyFont="1" applyAlignment="1">
      <alignment horizontal="center" vertical="center"/>
    </xf>
    <xf numFmtId="0" fontId="52" fillId="4" borderId="0" xfId="8" applyFont="1" applyAlignment="1">
      <alignment horizontal="center" vertical="center"/>
    </xf>
    <xf numFmtId="166" fontId="52" fillId="4" borderId="0" xfId="8" applyNumberFormat="1" applyFont="1" applyAlignment="1">
      <alignment horizontal="center" vertical="center"/>
    </xf>
    <xf numFmtId="9" fontId="52" fillId="4" borderId="0" xfId="69" applyFont="1" applyFill="1" applyBorder="1" applyAlignment="1">
      <alignment horizontal="center" vertical="center"/>
    </xf>
    <xf numFmtId="0" fontId="53" fillId="4" borderId="0" xfId="0" applyFont="1" applyFill="1" applyAlignment="1">
      <alignment horizontal="center" vertical="center"/>
    </xf>
    <xf numFmtId="0" fontId="53" fillId="4" borderId="0" xfId="0" applyFont="1" applyFill="1"/>
    <xf numFmtId="0" fontId="52" fillId="4" borderId="0" xfId="0" applyFont="1" applyFill="1"/>
    <xf numFmtId="0" fontId="52" fillId="0" borderId="0" xfId="0" applyFont="1"/>
    <xf numFmtId="0" fontId="54" fillId="4" borderId="0" xfId="7" applyFont="1" applyAlignment="1">
      <alignment horizontal="center" vertical="center"/>
    </xf>
    <xf numFmtId="0" fontId="55" fillId="4" borderId="0" xfId="7" applyFont="1" applyAlignment="1">
      <alignment horizontal="center" vertical="center"/>
    </xf>
    <xf numFmtId="166" fontId="55" fillId="4" borderId="0" xfId="7" applyNumberFormat="1" applyFont="1" applyAlignment="1">
      <alignment horizontal="center" vertical="center"/>
    </xf>
    <xf numFmtId="0" fontId="55" fillId="4" borderId="0" xfId="0" applyFont="1" applyFill="1" applyAlignment="1">
      <alignment horizontal="center" vertical="center"/>
    </xf>
    <xf numFmtId="0" fontId="56" fillId="4" borderId="0" xfId="0" applyFont="1" applyFill="1" applyAlignment="1">
      <alignment horizontal="center" vertical="center"/>
    </xf>
    <xf numFmtId="0" fontId="56" fillId="4" borderId="0" xfId="0" applyFont="1" applyFill="1" applyAlignment="1">
      <alignment horizontal="left" vertical="center"/>
    </xf>
    <xf numFmtId="14" fontId="3" fillId="4" borderId="0" xfId="7" applyNumberFormat="1">
      <alignment horizontal="left" vertical="center"/>
    </xf>
    <xf numFmtId="0" fontId="49" fillId="4" borderId="0" xfId="67" applyFill="1" applyBorder="1"/>
    <xf numFmtId="166" fontId="2" fillId="4" borderId="0" xfId="18" applyNumberFormat="1" applyFill="1" applyBorder="1">
      <alignment horizontal="center" vertical="center"/>
    </xf>
    <xf numFmtId="170" fontId="3" fillId="4" borderId="0" xfId="68" applyNumberFormat="1" applyFont="1" applyFill="1" applyBorder="1" applyAlignment="1">
      <alignment horizontal="center" vertical="center"/>
    </xf>
    <xf numFmtId="0" fontId="0" fillId="4" borderId="0" xfId="7" applyFont="1">
      <alignment horizontal="left" vertical="center"/>
    </xf>
    <xf numFmtId="0" fontId="57" fillId="4" borderId="0" xfId="0" applyFont="1" applyFill="1"/>
    <xf numFmtId="0" fontId="59" fillId="4" borderId="1" xfId="8" applyFont="1" applyBorder="1">
      <alignment horizontal="left" vertical="center"/>
    </xf>
    <xf numFmtId="0" fontId="31" fillId="4" borderId="1" xfId="8" applyBorder="1">
      <alignment horizontal="left" vertical="center"/>
    </xf>
    <xf numFmtId="0" fontId="58" fillId="4" borderId="1" xfId="8" applyFont="1" applyBorder="1">
      <alignment horizontal="left" vertical="center"/>
    </xf>
    <xf numFmtId="0" fontId="26" fillId="4" borderId="19" xfId="65" applyBorder="1">
      <alignment horizontal="left" vertical="center"/>
    </xf>
    <xf numFmtId="9" fontId="2" fillId="0" borderId="2" xfId="16">
      <alignment horizontal="center" vertical="center"/>
    </xf>
    <xf numFmtId="43" fontId="31" fillId="4" borderId="0" xfId="8" applyNumberFormat="1">
      <alignment horizontal="left" vertical="center"/>
    </xf>
    <xf numFmtId="0" fontId="12" fillId="6" borderId="0" xfId="29">
      <alignment horizontal="center" vertical="center"/>
      <protection locked="0"/>
    </xf>
    <xf numFmtId="171" fontId="0" fillId="0" borderId="0" xfId="8" applyNumberFormat="1" applyFont="1" applyFill="1">
      <alignment horizontal="left" vertical="center"/>
    </xf>
    <xf numFmtId="166" fontId="26" fillId="4" borderId="2" xfId="45">
      <alignment horizontal="center" vertical="center"/>
    </xf>
    <xf numFmtId="0" fontId="30" fillId="4" borderId="0" xfId="48">
      <alignment horizontal="center" vertical="center"/>
    </xf>
    <xf numFmtId="9" fontId="26" fillId="4" borderId="2" xfId="65" applyNumberFormat="1">
      <alignment horizontal="left" vertical="center"/>
    </xf>
    <xf numFmtId="0" fontId="0" fillId="0" borderId="0" xfId="0" applyAlignment="1">
      <alignment vertical="center"/>
    </xf>
    <xf numFmtId="0" fontId="20" fillId="8" borderId="0" xfId="37">
      <alignment horizontal="left" vertical="center" indent="1"/>
    </xf>
    <xf numFmtId="0" fontId="61" fillId="4" borderId="1" xfId="53" applyFont="1" applyBorder="1">
      <alignment horizontal="left" vertical="center"/>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8">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1" formatCode="[$-C09]d\ mmmm\ yyyy;@"/>
    </dxf>
    <dxf>
      <numFmt numFmtId="171" formatCode="[$-C09]d\ mmmm\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08000"/>
      <color rgb="FF0C769E"/>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14.1.1-2 Purchased electricity'!D22"/><Relationship Id="rId1" Type="http://schemas.openxmlformats.org/officeDocument/2006/relationships/hyperlink" Target="#'14.1.1-2 Purchased electricity'!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 Purchased electricity -</a:t>
          </a:r>
          <a:r>
            <a:rPr lang="en-AU" sz="1400" b="0" baseline="0">
              <a:solidFill>
                <a:srgbClr val="0C769E"/>
              </a:solidFill>
            </a:rPr>
            <a:t> location-based</a:t>
          </a:r>
          <a:endParaRPr lang="en-AU" sz="1400" b="0">
            <a:solidFill>
              <a:srgbClr val="0C769E"/>
            </a:solidFill>
          </a:endParaRPr>
        </a:p>
      </xdr:txBody>
    </xdr:sp>
    <xdr:clientData/>
  </xdr:oneCellAnchor>
  <xdr:twoCellAnchor>
    <xdr:from>
      <xdr:col>3</xdr:col>
      <xdr:colOff>282285</xdr:colOff>
      <xdr:row>9</xdr:row>
      <xdr:rowOff>132483</xdr:rowOff>
    </xdr:from>
    <xdr:to>
      <xdr:col>5</xdr:col>
      <xdr:colOff>575085</xdr:colOff>
      <xdr:row>12</xdr:row>
      <xdr:rowOff>109533</xdr:rowOff>
    </xdr:to>
    <xdr:sp macro="" textlink="'14.1.1-2 Purchased electricity'!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Location-based Scope 2 emissions from purchased electricity</a:t>
          </a:fld>
          <a:endParaRPr lang="en-AU" sz="1000">
            <a:solidFill>
              <a:srgbClr val="0C769E"/>
            </a:solidFill>
          </a:endParaRPr>
        </a:p>
      </xdr:txBody>
    </xdr:sp>
    <xdr:clientData/>
  </xdr:twoCellAnchor>
  <xdr:oneCellAnchor>
    <xdr:from>
      <xdr:col>7</xdr:col>
      <xdr:colOff>16012</xdr:colOff>
      <xdr:row>7</xdr:row>
      <xdr:rowOff>3136</xdr:rowOff>
    </xdr:from>
    <xdr:ext cx="211758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211758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14.1.2 Purchased electricity - market-based</a:t>
          </a:r>
        </a:p>
      </xdr:txBody>
    </xdr:sp>
    <xdr:clientData/>
  </xdr:oneCellAnchor>
  <xdr:twoCellAnchor>
    <xdr:from>
      <xdr:col>7</xdr:col>
      <xdr:colOff>356755</xdr:colOff>
      <xdr:row>9</xdr:row>
      <xdr:rowOff>122958</xdr:rowOff>
    </xdr:from>
    <xdr:to>
      <xdr:col>10</xdr:col>
      <xdr:colOff>39955</xdr:colOff>
      <xdr:row>12</xdr:row>
      <xdr:rowOff>100008</xdr:rowOff>
    </xdr:to>
    <xdr:sp macro="" textlink="'14.1.1-2 Purchased electricity'!D22">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471680"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E10899-E275-4A32-9FFF-C3F12CBDD2AA}" type="TxLink">
            <a:rPr lang="en-US" sz="1000" b="0" i="0" u="none" strike="noStrike">
              <a:solidFill>
                <a:schemeClr val="accent5">
                  <a:lumMod val="50000"/>
                </a:schemeClr>
              </a:solidFill>
              <a:latin typeface="Times New Roman"/>
              <a:cs typeface="Times New Roman"/>
            </a:rPr>
            <a:pPr algn="ctr"/>
            <a:t>Market-based Scope 2 emissions from purchased electricity</a:t>
          </a:fld>
          <a:endParaRPr lang="en-AU" sz="1000">
            <a:solidFill>
              <a:schemeClr val="accent5">
                <a:lumMod val="50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Source (select)" dataCellStyle="Input select"/>
    <tableColumn id="2" xr3:uid="{E939A00A-2AD7-4027-AA19-0891463C586E}" name="Generation date" dataDxfId="55"/>
    <tableColumn id="3" xr3:uid="{A780C41E-A9D0-483D-B649-703E68E6813A}" name="Number of certificates"/>
    <tableColumn id="4" xr3:uid="{968E99D1-9586-4756-958A-AC8369FD4A59}" name="MWh" dataCellStyle="Input number general calculated">
      <calculatedColumnFormula>Table_Input_RECSurrendered[[#This Row],[Number of certificates]]</calculatedColumnFormula>
    </tableColumn>
    <tableColumn id="7" xr3:uid="{6513162E-7AC6-46C4-9C43-97A9CB5546FD}"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D24162-9496-4032-8FB2-02E312F8AA25}"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37669E1-6F00-407B-8D2A-F5F8AC8FF6E7}" name="Description"/>
    <tableColumn id="5" xr3:uid="{6E612D94-AEFA-40CD-8FC1-55EF5BEF9790}" name="Source" dataCellStyle="Input text calculated">
      <calculatedColumnFormula>"Issued for generated electricity"</calculatedColumnFormula>
    </tableColumn>
    <tableColumn id="2" xr3:uid="{CFEEA4C0-BB73-4175-9911-21CE125FE4C0}" name="Generation date" dataDxfId="54"/>
    <tableColumn id="3" xr3:uid="{95AA8F11-B379-4380-B624-89420314A025}" name="Number of certificates"/>
    <tableColumn id="4" xr3:uid="{EAECE1AE-1173-49CA-9E8C-2F3DBC850D33}" name="MWh" dataCellStyle="Input number general calculated">
      <calculatedColumnFormula>Table_Input_RECConsumedByEntity[[#This Row],[Number of certificates]]</calculatedColumnFormula>
    </tableColumn>
    <tableColumn id="7" xr3:uid="{1987BD61-CD6B-4A85-A72C-975E4F50FB0E}"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44A982-7A4D-4CF2-8790-1A30DAE3E0A4}" name="Table_SourceData_ElectricityEFs" displayName="Table_SourceData_ElectricityEFs" ref="D9:F19" totalsRowShown="0" headerRowDxfId="53">
  <autoFilter ref="D9:F19" xr:uid="{3144A982-7A4D-4CF2-8790-1A30DAE3E0A4}">
    <filterColumn colId="0" hiddenButton="1"/>
    <filterColumn colId="1" hiddenButton="1"/>
    <filterColumn colId="2" hiddenButton="1"/>
  </autoFilter>
  <tableColumns count="3">
    <tableColumn id="1" xr3:uid="{C667C46C-8410-462E-9A76-30EEFB61AEA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2925E7C-5A00-40BF-8DE3-0533C8A0B6A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F2FDF5-A873-46FB-993C-C9F32B01709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EEFE36-44F1-40A4-8394-9054D486E20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3CF5FC7-DD2F-4E50-978F-86B63EF909B8}"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D9CD88E-5F28-46C0-A62F-13A4A4B817CE}"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70376992-EFE1-4193-81D4-E76082A4962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AA25244-199D-4066-A5EC-8C7DC5DD412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9376938-6692-43C7-A5AB-E21EF8C98DD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C895DF2-CA6E-4D0A-87E7-CCB379DADCA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D613318-2B70-4670-B258-221EA9035D24}" name="State/Territory">
      <calculatedColumnFormula array="1">Common_InputFunctions.Utility_DisplayArrayInTable(Common_SourceData.Common_SourceData_AustralianStatesTerritories_Data(),Table_AustralianStates[[#Headers],[State/Territory]],0)</calculatedColumnFormula>
    </tableColumn>
    <tableColumn id="2" xr3:uid="{116E9D89-204F-4F01-919B-43912E7ED4E1}" name="Common Name">
      <calculatedColumnFormula array="1">Common_InputFunctions.Utility_DisplayArrayInTable(Common_SourceData.Common_SourceData_AustralianStatesTerritories_Data(),Table_AustralianStates[[#Headers],[State/Territory]],0)</calculatedColumnFormula>
    </tableColumn>
    <tableColumn id="3" xr3:uid="{31D770C2-E869-4A79-A451-0662C6E1CBCD}"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746F6D8-5BBC-4885-921A-E95E96ADC256}" name="Table_WASA4Areas" displayName="Table_WASA4Areas" ref="D20:D30" totalsRowShown="0">
  <autoFilter ref="D20:D30" xr:uid="{5FA81339-C6C8-4D36-BEEA-6C4AEDD9E676}">
    <filterColumn colId="0" hiddenButton="1"/>
  </autoFilter>
  <tableColumns count="1">
    <tableColumn id="1" xr3:uid="{2DE85C96-DDB1-4045-9E68-7C60CDB31588}"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D857DC9-3D73-4790-86C2-F19A28F49DB7}" name="Table_GWPData" displayName="Table_GWPData" ref="D36:E43" totalsRowShown="0">
  <autoFilter ref="D36:E43" xr:uid="{B8E87A66-3E41-4AD3-925D-01EE21B43D7A}">
    <filterColumn colId="0" hiddenButton="1"/>
    <filterColumn colId="1" hiddenButton="1"/>
  </autoFilter>
  <tableColumns count="2">
    <tableColumn id="1" xr3:uid="{5806787F-6760-4C3E-8A5E-2CF4567CE52B}" name="Gas">
      <calculatedColumnFormula array="1">Common_InputFunctions.Utility_DisplayArrayInTable(Common_SourceData.Common_SourceData_GWP_Data(), Table_GWPData[[#Headers],[Gas]], 0)</calculatedColumnFormula>
    </tableColumn>
    <tableColumn id="2" xr3:uid="{068169CF-D1E7-4746-9274-630DF775F444}"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892552B-3207-434B-8574-F3A1732EC0CB}"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76CD55DC-1E4F-4605-8D79-E77E89E3D021}" name="Gas">
      <calculatedColumnFormula array="1">Common_InputFunctions.Utility_DisplayArrayInTable(Common_SourceData.Common_SourceData_ConvertGasElementalToMolecular_Data(),Table_GasToMolecularConversionFactor[[#Headers],[Gas]], 0)</calculatedColumnFormula>
    </tableColumn>
    <tableColumn id="5" xr3:uid="{020278C9-0336-41BF-BA74-DBB91AB3F9F4}" name="Conversion factor">
      <calculatedColumnFormula array="1">Common_InputFunctions.Utility_DisplayArrayInTable(Common_SourceData.Common_SourceData_ConvertGasElementalToMolecular_Data(),Table_GasToMolecularConversionFactor[[#Headers],[Gas]], 0)</calculatedColumnFormula>
    </tableColumn>
    <tableColumn id="2" xr3:uid="{57549EBF-D1CC-4F5C-9EA8-9537A829ADDA}" name="Conversion factor 1">
      <calculatedColumnFormula array="1">Common_InputFunctions.Utility_DisplayArrayInTable(Common_SourceData.Common_SourceData_ConvertGasElementalToMolecular_Data(),Table_GasToMolecularConversionFactor[[#Headers],[Gas]], 0)</calculatedColumnFormula>
    </tableColumn>
    <tableColumn id="3" xr3:uid="{12FA7817-C6A8-4D44-ADA8-E81EEEDFA9B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594A305-79A2-43FE-988F-8BBBB68DD81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0EE78FA-AA91-4D59-9636-639333E81ACC}"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8163958-A5D7-432F-8169-74980C5E627E}"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6EAA88C-E07E-49B6-93F7-AE21CCDFCF85}"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56C8A0E9-257F-4581-ADBA-06A58F8CBC65}"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E4D32458-34A7-40AA-A1FC-2A577CB2729D}"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985786B8-AFE1-496E-ADDB-128D77BEB255}"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99284B7D-9D02-4BBC-8258-39B7339A5AE8}"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2B1D0977-E9CB-465D-BDC5-3D8F7C67D669}"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2BF2EBCF-953A-45E3-BD68-3DCE245E2AD7}"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0751C6A7-8EB7-4076-8C23-A33E75039F66}"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0267D1FA-A900-4A6F-B28C-3F50EDFBB6EE}"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DD5F33D8-80FC-4F51-BD18-707285C96EF5}"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9CCB599B-58D4-4366-8A9B-C02110B0D6CB}"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67C98518-B842-4FCF-94D5-843FEAE5E0E7}"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952AACAA-D47D-4645-9869-B0900B82A660}"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8F001C74-AE11-4E37-BF8A-9A6762C22CAE}"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5691A2AB-CAA4-4666-BF1E-C36424D22BD7}"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81F84D6-5F02-4235-A746-BA8FE14805A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7BF5B5E-79E0-4375-9D6A-D9FA1CCC4BF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F620D25-82C4-4E3D-903B-00DF550A6EC1}"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9C2E716-989B-44D6-8205-F586D845F28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0E0FF0E2-4620-43C1-9652-6882DCC167B3}" name="Temperature Zone">
      <calculatedColumnFormula array="1">Common_InputFunctions.Utility_DisplayArrayInTable(Common_SourceData.Common_SourceData_TemperatureZones_Data(),Table_SourceData_TemperatureZones[[#Headers],[Temperature Zone]],0)</calculatedColumnFormula>
    </tableColumn>
    <tableColumn id="2" xr3:uid="{EBB63555-D964-49E1-A93F-50CDC1ED9AF9}" name="MAT">
      <calculatedColumnFormula array="1">Common_InputFunctions.Utility_DisplayArrayInTable(Common_SourceData.Common_SourceData_TemperatureZones_Data(),Table_SourceData_TemperatureZones[[#Headers],[Temperature Zone]],0)</calculatedColumnFormula>
    </tableColumn>
    <tableColumn id="3" xr3:uid="{A61AD894-ED82-4120-A8DE-AAECE008077D}" name="Min MAT">
      <calculatedColumnFormula array="1">Common_InputFunctions.Utility_DisplayArrayInTable(Common_SourceData.Common_SourceData_TemperatureZones_Data(),Table_SourceData_TemperatureZones[[#Headers],[Temperature Zone]],0)</calculatedColumnFormula>
    </tableColumn>
    <tableColumn id="4" xr3:uid="{D6CE810E-80EC-4EFF-9F12-7F3D8D1492D9}"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65D01D1-7D41-4613-B144-A2AD51DBCEAD}"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C1ABE652-56A5-4FCD-910D-71EAAFFE6272}" name="Rainfall Zone">
      <calculatedColumnFormula array="1">Common_InputFunctions.Utility_DisplayArrayInTable(Common_SourceData.Common_SourceData_RainfallZones_Data(),Table_SourceData_RainfallZones[[#Headers],[Rainfall Zone]],0)</calculatedColumnFormula>
    </tableColumn>
    <tableColumn id="2" xr3:uid="{01F34771-95FC-459D-90EE-E34410B3F51A}" name="Annual rainfall">
      <calculatedColumnFormula array="1">Common_InputFunctions.Utility_DisplayArrayInTable(Common_SourceData.Common_SourceData_RainfallZones_Data(),Table_SourceData_RainfallZones[[#Headers],[Rainfall Zone]],0)</calculatedColumnFormula>
    </tableColumn>
    <tableColumn id="3" xr3:uid="{2367FD5A-F217-4E81-8FA7-9CA50E5B32CA}" name="Min rainfall">
      <calculatedColumnFormula array="1">Common_InputFunctions.Utility_DisplayArrayInTable(Common_SourceData.Common_SourceData_RainfallZones_Data(),Table_SourceData_RainfallZones[[#Headers],[Rainfall Zone]],0)</calculatedColumnFormula>
    </tableColumn>
    <tableColumn id="4" xr3:uid="{6A975C09-C87C-4354-9534-7D8E89ED269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CBA1633D-76A7-4371-A04B-7BEABB0F08B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3069DED7-3874-48B1-B325-1C28269E9696}" name="Leaching Zone">
      <calculatedColumnFormula array="1">Common_InputFunctions.Utility_DisplayArrayInTable(Common_SourceData.Common_SourceData_LeachingZones_Data(), Table_SourceData_LeachingZones[[#Headers],[Leaching Zone]], 0)</calculatedColumnFormula>
    </tableColumn>
    <tableColumn id="2" xr3:uid="{A25F4192-4944-4120-9915-82EF7025531E}"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D5B05E3-19C6-4100-85DA-71098F8FF1CD}"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9FC2C99A-B4B4-40F3-935D-925C300B8FDF}" name="Data source">
      <calculatedColumnFormula array="1">Common_InputFunctions.Utility_DisplayArrayInTable(Common_SourceData.Common_SourceData_DataScores_Scope3_Data(), Table_SourceData_DataScores_Scope3[[#Headers],[Data source]], 0)</calculatedColumnFormula>
    </tableColumn>
    <tableColumn id="2" xr3:uid="{D46139ED-F463-4707-8A4E-C41443E55E66}"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2A6190E-69B6-46CB-9191-620CC064B70A}" name="Table_SourceData_FracWET" displayName="Table_SourceData_FracWET" ref="D134:E136" totalsRowShown="0">
  <autoFilter ref="D134:E136" xr:uid="{308E99BE-FE1F-47A4-B2CA-97217277C4E9}">
    <filterColumn colId="0" hiddenButton="1"/>
    <filterColumn colId="1" hiddenButton="1"/>
  </autoFilter>
  <tableColumns count="2">
    <tableColumn id="1" xr3:uid="{CEB4EA2B-5961-484D-8350-475743270E28}" name="Is in leaching zone">
      <calculatedColumnFormula array="1">Common_InputFunctions.Utility_DisplayArrayInTable(Common_SourceData.Common_SourceData_FracWET_Data(),Table_SourceData_FracWET[[#Headers],[Is in leaching zone]],0)</calculatedColumnFormula>
    </tableColumn>
    <tableColumn id="2" xr3:uid="{0CC4EA28-8CD5-41A6-B3AE-584D325AA33B}"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679BB2F-3579-43A8-A109-831B9D7B54D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BA3F7B5-656F-45F8-BF3E-0A484F916F2F}" name="Production system j">
      <calculatedColumnFormula array="1">Common_InputFunctions.Utility_DisplayArrayInTable(Common_SourceData.Common_SourceData_EFN2O_Data(), Table_SourceData_Common_EFN2O[[#Headers],[Production system j]], 0)</calculatedColumnFormula>
    </tableColumn>
    <tableColumn id="2" xr3:uid="{B90E68FC-CC79-4012-9A46-74590680DBD1}" name="EFN2O">
      <calculatedColumnFormula array="1">Common_InputFunctions.Utility_DisplayArrayInTable(Common_SourceData.Common_SourceData_EFN2O_Data(), Table_SourceData_Common_EFN2O[[#Headers],[Production system j]], 0)</calculatedColumnFormula>
    </tableColumn>
    <tableColumn id="3" xr3:uid="{3E21F76F-F5B2-4041-AAB1-F17D742FCD53}" name="Production system only">
      <calculatedColumnFormula array="1">Common_InputFunctions.Utility_DisplayArrayInTable(Common_SourceData.Common_SourceData_EFN2O_Data(), Table_SourceData_Common_EFN2O[[#Headers],[Production system j]], 0)</calculatedColumnFormula>
    </tableColumn>
    <tableColumn id="4" xr3:uid="{39D51D26-A968-47F0-9E51-DC6A0F6E496F}" name="Irrigation method">
      <calculatedColumnFormula array="1">Common_InputFunctions.Utility_DisplayArrayInTable(Common_SourceData.Common_SourceData_EFN2O_Data(), Table_SourceData_Common_EFN2O[[#Headers],[Production system j]], 0)</calculatedColumnFormula>
    </tableColumn>
    <tableColumn id="5" xr3:uid="{617965C5-0EFE-4A87-944D-F7E1E324C50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3666865-6CB6-4F03-BDD0-3B6F4D323A2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36499D2-CCF3-46C5-BB72-A3F37BE9B792}" name="Irrigation type i">
      <calculatedColumnFormula array="1">Common_InputFunctions.Utility_DisplayArrayInTable(Common_SourceData.Common_SourceData_FracWETIrrigation_Data(), Table_SourceData_FracWETIrrigation[[#Headers],[Irrigation type i]], 0)</calculatedColumnFormula>
    </tableColumn>
    <tableColumn id="2" xr3:uid="{E58B17F5-7400-4903-9AB4-DD555181EBCE}"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2BBB9E2-27EA-410F-94C6-6A9613891B1C}"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C9C04E5A-660E-414D-9DB6-01838B3492D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600E549-0C23-4C73-853F-38656552208F}"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5864E18A-85D3-4273-9E20-4532030E26B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90AB03FE-8F25-4902-83AB-AD574E2AE79F}" name="Month">
      <calculatedColumnFormula array="1">Common_InputFunctions.Utility_DisplayArrayInTable(Common_SourceData.Common_SourceData_MonthsToSeasons_Data(), Table_SourceData_Common_MonthToSeason[[#Headers],[Month]], 0)</calculatedColumnFormula>
    </tableColumn>
    <tableColumn id="2" xr3:uid="{B8AD1E96-22A5-41C3-A4A7-D7E6FE966E54}"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D84D5F9-E8B5-4E78-90DA-0C63DDED5B6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01B4BA3-FD22-4670-BA5A-4B00002FF4C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6A82FDF1-BD5A-407B-8304-815428D8B8D6}"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B16CD879-0333-4717-9686-07EB7DE1144B}"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520B4E21-B08A-4C84-896B-179A1486D9A5}"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4EE05FD7-FB2B-4416-85FB-12E77FE265D7}"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42B5FAD-3960-48D2-AA76-2A14ED3A6477}"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81C5D01F-CFD3-4A31-9B91-D9D056C43FFB}"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3D71210C-E282-491F-B729-EAE862599B9C}"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975C33C-D2BF-4942-A031-A4A2F7B4D7C9}"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BBB9A1AF-7EBC-4F25-8AB3-C74863606377}"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A20D397-931E-4699-BD22-1E411B451CC6}"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E558FB-0EB4-42FD-A611-9F95525E2DAE}"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DC8A560F-F38D-49F7-A98A-0ACDFDB241EB}"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270B3DB-0434-4938-AB52-EA893908A250}"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AF12068-A0F7-483F-BD80-338F22D0E820}"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F15217F-2865-4B95-8A72-D06E4833856B}"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CC6091B-B0E7-47DA-8A34-9E97385F83DA}"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BA53F75-A677-4CCA-AACA-FCBEAE0518D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8AC0609E-C2EF-49E1-BE29-0C6E25006CD5}"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18" Type="http://schemas.openxmlformats.org/officeDocument/2006/relationships/table" Target="../tables/table2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17" Type="http://schemas.openxmlformats.org/officeDocument/2006/relationships/table" Target="../tables/table20.xml"/><Relationship Id="rId2" Type="http://schemas.openxmlformats.org/officeDocument/2006/relationships/table" Target="../tables/table5.xml"/><Relationship Id="rId16"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5" Type="http://schemas.openxmlformats.org/officeDocument/2006/relationships/table" Target="../tables/table1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 Id="rId14"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4" t="e" vm="1">
        <v>#VALUE!</v>
      </c>
      <c r="C1" s="56" t="s">
        <v>147</v>
      </c>
      <c r="D1" s="57"/>
      <c r="E1" s="57"/>
      <c r="F1" s="57"/>
      <c r="G1" s="57"/>
      <c r="H1" s="57"/>
      <c r="I1" s="57"/>
      <c r="J1" s="57"/>
      <c r="K1" s="57"/>
      <c r="L1" s="57"/>
      <c r="M1" s="57"/>
      <c r="N1" s="57"/>
      <c r="O1" s="57"/>
      <c r="P1" s="57"/>
    </row>
    <row r="2" spans="1:17" ht="20.100000000000001" customHeight="1" x14ac:dyDescent="0.25">
      <c r="A2" s="9"/>
      <c r="C2" s="57"/>
      <c r="D2" s="57"/>
      <c r="E2" s="57"/>
      <c r="F2" s="57"/>
      <c r="G2" s="57"/>
      <c r="H2" s="57"/>
      <c r="I2" s="57"/>
      <c r="J2" s="57"/>
      <c r="K2" s="57"/>
      <c r="L2" s="57"/>
      <c r="M2" s="57"/>
      <c r="N2" s="57"/>
      <c r="O2" s="57"/>
      <c r="P2" s="57"/>
      <c r="Q2" s="58"/>
    </row>
    <row r="3" spans="1:17" ht="20.100000000000001" customHeight="1" x14ac:dyDescent="0.25">
      <c r="A3" s="14" t="str">
        <f>HYPERLINK("#'Home'!A1", "Home")</f>
        <v>Home</v>
      </c>
      <c r="C3" s="59"/>
      <c r="D3" s="59"/>
      <c r="E3" s="59"/>
      <c r="F3" s="59"/>
      <c r="G3" s="59"/>
      <c r="H3" s="59"/>
      <c r="I3" s="59"/>
      <c r="J3" s="59"/>
      <c r="K3" s="59"/>
      <c r="L3" s="59"/>
      <c r="M3" s="59"/>
      <c r="N3" s="59"/>
      <c r="O3" s="59"/>
      <c r="P3" s="59"/>
    </row>
    <row r="4" spans="1:17" ht="20.100000000000001" customHeight="1" x14ac:dyDescent="0.25">
      <c r="A4" s="45" t="str">
        <f>HYPERLINK("#'Overview'!A1", "Overview")</f>
        <v>Overview</v>
      </c>
    </row>
    <row r="5" spans="1:17" ht="20.100000000000001" customHeight="1" x14ac:dyDescent="0.25">
      <c r="A5" s="14" t="str">
        <f>HYPERLINK("#'Results'!A1", "Results")</f>
        <v>Results</v>
      </c>
      <c r="D5" s="43" t="s">
        <v>83</v>
      </c>
      <c r="E5" s="38"/>
      <c r="F5" s="38"/>
      <c r="G5" s="38"/>
      <c r="H5" s="38"/>
      <c r="I5" s="38"/>
      <c r="J5" s="38"/>
      <c r="K5" s="38"/>
      <c r="L5" s="38"/>
      <c r="M5" s="38"/>
      <c r="N5" s="38"/>
      <c r="O5" s="35"/>
    </row>
    <row r="6" spans="1:17" ht="20.100000000000001" customHeight="1" x14ac:dyDescent="0.25">
      <c r="A6" s="13"/>
      <c r="D6" s="60" t="s">
        <v>84</v>
      </c>
      <c r="E6" s="37"/>
      <c r="F6" s="37"/>
      <c r="G6" s="37"/>
      <c r="H6" s="37"/>
      <c r="I6" s="37"/>
      <c r="J6" s="37"/>
      <c r="K6" s="37"/>
      <c r="L6" s="37"/>
      <c r="M6" s="37"/>
      <c r="N6" s="37"/>
      <c r="O6" s="36"/>
    </row>
    <row r="7" spans="1:17" ht="20.100000000000001" customHeight="1" x14ac:dyDescent="0.25">
      <c r="A7" s="17" t="s">
        <v>1</v>
      </c>
    </row>
    <row r="8" spans="1:17" ht="20.100000000000001" customHeight="1" x14ac:dyDescent="0.25">
      <c r="A8" s="14" t="str">
        <f>HYPERLINK("#'Input - Electricity'!A1", "Electricity")</f>
        <v>Electricity</v>
      </c>
    </row>
    <row r="9" spans="1:17" ht="20.100000000000001" customHeight="1" x14ac:dyDescent="0.25">
      <c r="A9" s="14"/>
    </row>
    <row r="10" spans="1:17" ht="20.100000000000001" customHeight="1" x14ac:dyDescent="0.25">
      <c r="A10" s="16" t="s">
        <v>45</v>
      </c>
    </row>
    <row r="11" spans="1:17" ht="20.100000000000001" customHeight="1" x14ac:dyDescent="0.25">
      <c r="A11" s="14" t="str">
        <f>HYPERLINK("#'14.1.1-2 Purchased electricity'!A1", "14.1.1-2 Purchased electricity")</f>
        <v>14.1.1-2 Purchased electricity</v>
      </c>
    </row>
    <row r="12" spans="1:17" ht="20.100000000000001" customHeight="1" x14ac:dyDescent="0.25">
      <c r="A12" s="14"/>
    </row>
    <row r="13" spans="1:17" ht="20.100000000000001" customHeight="1" x14ac:dyDescent="0.25">
      <c r="A13" s="15" t="s">
        <v>2</v>
      </c>
    </row>
    <row r="14" spans="1:17" ht="20.100000000000001" customHeight="1" x14ac:dyDescent="0.25">
      <c r="A14" s="14" t="str">
        <f>HYPERLINK("#'Constants - Electricity'!A1", "Constants - Electricity")</f>
        <v>Constants - Electricity</v>
      </c>
      <c r="O14" s="1" t="s">
        <v>85</v>
      </c>
    </row>
    <row r="15" spans="1:17" ht="20.100000000000001" customHeight="1" x14ac:dyDescent="0.25">
      <c r="A15" s="14" t="str">
        <f>HYPERLINK("#'Constants - Common'!A1", "Constants - Common")</f>
        <v>Constants - Common</v>
      </c>
    </row>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8" sqref="A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4" t="e" vm="1">
        <v>#VALUE!</v>
      </c>
      <c r="C1" s="56" t="s">
        <v>148</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45" t="str">
        <f>HYPERLINK("#'Results'!A1", "Results")</f>
        <v>Results</v>
      </c>
      <c r="C5" s="19"/>
      <c r="D5" s="22"/>
      <c r="E5" s="23"/>
      <c r="F5" s="23"/>
      <c r="G5" s="23"/>
      <c r="H5" s="19"/>
    </row>
    <row r="6" spans="1:8" ht="20.100000000000001" customHeight="1" x14ac:dyDescent="0.25">
      <c r="A6" s="13"/>
      <c r="C6" s="19"/>
      <c r="D6" s="18" t="s">
        <v>80</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Electricity'!A1", "Electricity")</f>
        <v>Electricity</v>
      </c>
      <c r="C8" s="19"/>
      <c r="D8" s="41" t="s">
        <v>50</v>
      </c>
      <c r="E8" s="41" t="s">
        <v>60</v>
      </c>
      <c r="F8" s="41" t="s">
        <v>61</v>
      </c>
      <c r="G8" s="41" t="s">
        <v>55</v>
      </c>
      <c r="H8" s="19"/>
    </row>
    <row r="9" spans="1:8" ht="20.100000000000001" customHeight="1" x14ac:dyDescent="0.25">
      <c r="A9" s="14"/>
      <c r="C9" s="19"/>
      <c r="D9" s="1" t="s">
        <v>149</v>
      </c>
      <c r="E9" s="55">
        <f>'14.1.1-2 Purchased electricity'!E18</f>
        <v>0.28000000000000003</v>
      </c>
      <c r="F9" s="55">
        <f>E9</f>
        <v>0.28000000000000003</v>
      </c>
      <c r="G9" s="31" t="s">
        <v>58</v>
      </c>
      <c r="H9" s="19"/>
    </row>
    <row r="10" spans="1:8" ht="20.100000000000001" customHeight="1" x14ac:dyDescent="0.25">
      <c r="A10" s="16" t="s">
        <v>45</v>
      </c>
      <c r="C10" s="19"/>
      <c r="D10" s="1" t="s">
        <v>150</v>
      </c>
      <c r="E10" s="55">
        <f>'14.1.1-2 Purchased electricity'!E39</f>
        <v>14.580000000000002</v>
      </c>
      <c r="F10" s="55">
        <f t="shared" ref="F10" si="0">E10</f>
        <v>14.580000000000002</v>
      </c>
      <c r="G10" s="31" t="s">
        <v>58</v>
      </c>
      <c r="H10" s="19"/>
    </row>
    <row r="11" spans="1:8" ht="20.100000000000001" customHeight="1" x14ac:dyDescent="0.25">
      <c r="A11" s="14" t="str">
        <f>HYPERLINK("#'14.1.1-2 Purchased electricity'!A1", "14.1.1-2 Purchased electricity")</f>
        <v>14.1.1-2 Purchased electricity</v>
      </c>
      <c r="C11" s="19"/>
      <c r="D11" s="1"/>
      <c r="E11" s="1"/>
      <c r="F11" s="1"/>
      <c r="G11" s="1"/>
      <c r="H11" s="19"/>
    </row>
    <row r="12" spans="1:8" ht="20.100000000000001" customHeight="1" x14ac:dyDescent="0.25">
      <c r="A12" s="14"/>
      <c r="C12" s="19"/>
      <c r="D12" s="1"/>
      <c r="E12" s="1"/>
      <c r="F12" s="1"/>
      <c r="G12" s="1"/>
      <c r="H12" s="19"/>
    </row>
    <row r="13" spans="1:8" ht="20.100000000000001" customHeight="1" x14ac:dyDescent="0.25">
      <c r="A13" s="15" t="s">
        <v>2</v>
      </c>
      <c r="C13" s="19"/>
      <c r="D13" s="1"/>
      <c r="E13" s="1"/>
      <c r="F13" s="1"/>
      <c r="G13" s="1"/>
      <c r="H13" s="19"/>
    </row>
    <row r="14" spans="1:8" ht="20.100000000000001" customHeight="1" x14ac:dyDescent="0.25">
      <c r="A14" s="14" t="str">
        <f>HYPERLINK("#'Constants - Electricity'!A1", "Constants - Electricity")</f>
        <v>Constants - Electricity</v>
      </c>
      <c r="C14" s="19"/>
      <c r="D14" s="1"/>
      <c r="E14" s="42"/>
      <c r="F14" s="31"/>
      <c r="G14" s="1"/>
      <c r="H14" s="19"/>
    </row>
    <row r="15" spans="1:8" ht="20.100000000000001" customHeight="1" x14ac:dyDescent="0.25">
      <c r="A15" s="14" t="str">
        <f>HYPERLINK("#'Constants - Common'!A1", "Constants - Common")</f>
        <v>Constants - Common</v>
      </c>
      <c r="C15" s="19"/>
      <c r="D15" s="1"/>
      <c r="E15" s="42"/>
      <c r="F15" s="31"/>
      <c r="G15" s="1"/>
      <c r="H15" s="19"/>
    </row>
    <row r="16" spans="1:8" ht="20.100000000000001" customHeight="1" x14ac:dyDescent="0.25">
      <c r="C16" s="19"/>
      <c r="D16" s="1"/>
      <c r="E16" s="1"/>
      <c r="F16" s="1"/>
      <c r="G16" s="1"/>
      <c r="H16" s="19"/>
    </row>
    <row r="17" spans="1:8" ht="20.100000000000001" customHeight="1" x14ac:dyDescent="0.25">
      <c r="C17" s="19"/>
      <c r="D17" s="1"/>
      <c r="E17" s="1"/>
      <c r="F17" s="1"/>
      <c r="G17" s="1"/>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1"/>
      <c r="F21" s="1"/>
      <c r="G21" s="1"/>
      <c r="H21" s="19"/>
    </row>
    <row r="22" spans="1:8" ht="20.100000000000001" customHeight="1" x14ac:dyDescent="0.25">
      <c r="C22" s="19"/>
      <c r="D22" s="1"/>
      <c r="E22" s="1"/>
      <c r="F22" s="1"/>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5"/>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103A-78D3-4656-9053-88B68DE1AD85}">
  <dimension ref="A1:AA115"/>
  <sheetViews>
    <sheetView showGridLines="0" workbookViewId="0">
      <selection activeCell="A29" sqref="A29"/>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4" t="e" vm="1">
        <v>#VALUE!</v>
      </c>
      <c r="C1" s="67" t="s">
        <v>95</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68"/>
      <c r="D4" s="68"/>
      <c r="E4" s="68"/>
      <c r="F4" s="68"/>
      <c r="G4" s="68"/>
      <c r="H4" s="68"/>
      <c r="I4" s="68"/>
      <c r="J4" s="68"/>
      <c r="K4" s="68"/>
    </row>
    <row r="5" spans="1:24" ht="20.100000000000001" customHeight="1" x14ac:dyDescent="0.25">
      <c r="A5" s="14" t="str">
        <f>HYPERLINK("#'Results'!A1", "Results")</f>
        <v>Results</v>
      </c>
      <c r="D5" s="6" t="s">
        <v>96</v>
      </c>
      <c r="N5" s="69"/>
    </row>
    <row r="6" spans="1:24" ht="20.100000000000001" customHeight="1" x14ac:dyDescent="0.25">
      <c r="D6" s="70"/>
      <c r="N6" s="71"/>
    </row>
    <row r="7" spans="1:24" ht="20.100000000000001" customHeight="1" x14ac:dyDescent="0.25">
      <c r="A7" s="17" t="s">
        <v>1</v>
      </c>
      <c r="D7" s="1" t="s">
        <v>97</v>
      </c>
      <c r="E7" s="72" t="s">
        <v>98</v>
      </c>
      <c r="F7" s="2"/>
    </row>
    <row r="8" spans="1:24" ht="20.100000000000001" customHeight="1" x14ac:dyDescent="0.25">
      <c r="A8" s="14" t="str">
        <f>HYPERLINK("#'Input - Electricity'!A1", "Electricity")</f>
        <v>Electricity</v>
      </c>
      <c r="D8" s="73" t="s">
        <v>99</v>
      </c>
      <c r="E8" s="72" t="s">
        <v>100</v>
      </c>
    </row>
    <row r="9" spans="1:24" ht="20.100000000000001" customHeight="1" x14ac:dyDescent="0.25">
      <c r="A9" s="14"/>
      <c r="N9" s="74"/>
    </row>
    <row r="10" spans="1:24" ht="20.100000000000001" customHeight="1" x14ac:dyDescent="0.25">
      <c r="A10" s="16" t="s">
        <v>45</v>
      </c>
      <c r="D10" s="64" t="s">
        <v>101</v>
      </c>
      <c r="E10" s="75"/>
      <c r="F10" s="76"/>
      <c r="G10" s="65"/>
      <c r="N10" s="74"/>
    </row>
    <row r="11" spans="1:24" ht="20.100000000000001" customHeight="1" x14ac:dyDescent="0.25">
      <c r="A11" s="14" t="str">
        <f>HYPERLINK("#'14.1.1-2 Purchased electricity'!A1", "14.1.1-2 Purchased electricity")</f>
        <v>14.1.1-2 Purchased electricity</v>
      </c>
      <c r="N11" s="77"/>
    </row>
    <row r="12" spans="1:24" ht="20.100000000000001" customHeight="1" x14ac:dyDescent="0.25">
      <c r="A12" s="14"/>
      <c r="D12" s="73" t="s">
        <v>102</v>
      </c>
      <c r="E12" s="78">
        <v>45292</v>
      </c>
      <c r="F12" s="2" t="s">
        <v>103</v>
      </c>
    </row>
    <row r="13" spans="1:24" ht="20.100000000000001" customHeight="1" x14ac:dyDescent="0.25">
      <c r="A13" s="15" t="s">
        <v>2</v>
      </c>
      <c r="D13" s="73" t="s">
        <v>104</v>
      </c>
      <c r="E13" s="79">
        <f>DATE(YEAR(E12)+1,MONTH(E12),DAY(E12))-1</f>
        <v>45657</v>
      </c>
      <c r="F13" s="2" t="s">
        <v>105</v>
      </c>
      <c r="N13" s="80"/>
      <c r="O13" s="80"/>
    </row>
    <row r="14" spans="1:24" ht="20.100000000000001" customHeight="1" x14ac:dyDescent="0.25">
      <c r="A14" s="14" t="str">
        <f>HYPERLINK("#'Constants - Electricity'!A1", "Constants - Electricity")</f>
        <v>Constants - Electricity</v>
      </c>
      <c r="N14" s="80"/>
      <c r="O14" s="80"/>
    </row>
    <row r="15" spans="1:24" ht="20.100000000000001" customHeight="1" x14ac:dyDescent="0.25">
      <c r="A15" s="14" t="str">
        <f>HYPERLINK("#'Constants - Common'!A1", "Constants - Common")</f>
        <v>Constants - Common</v>
      </c>
      <c r="N15" s="80"/>
      <c r="O15" s="80"/>
    </row>
    <row r="16" spans="1:24" ht="20.100000000000001" customHeight="1" x14ac:dyDescent="0.25">
      <c r="A16"/>
      <c r="D16" s="6" t="s">
        <v>106</v>
      </c>
      <c r="N16" s="80"/>
      <c r="O16" s="80"/>
    </row>
    <row r="17" spans="1:25" ht="20.100000000000001" customHeight="1" x14ac:dyDescent="0.25">
      <c r="A17"/>
    </row>
    <row r="18" spans="1:25" ht="20.100000000000001" customHeight="1" x14ac:dyDescent="0.25">
      <c r="A18"/>
      <c r="D18" s="81" t="s">
        <v>107</v>
      </c>
      <c r="E18" s="38"/>
      <c r="F18" s="38"/>
      <c r="G18" s="35"/>
    </row>
    <row r="19" spans="1:25" ht="20.100000000000001" customHeight="1" x14ac:dyDescent="0.25">
      <c r="A19"/>
      <c r="D19" s="39" t="s">
        <v>108</v>
      </c>
      <c r="E19" s="37"/>
      <c r="F19" s="37"/>
      <c r="G19" s="36"/>
      <c r="N19" s="69"/>
    </row>
    <row r="20" spans="1:25" ht="20.100000000000001" customHeight="1" x14ac:dyDescent="0.25">
      <c r="A20"/>
      <c r="D20" s="1"/>
      <c r="E20" s="82"/>
      <c r="F20" s="2"/>
      <c r="N20" s="71"/>
    </row>
    <row r="21" spans="1:25" ht="20.100000000000001" customHeight="1" x14ac:dyDescent="0.25">
      <c r="A21"/>
      <c r="D21" s="1" t="s">
        <v>109</v>
      </c>
      <c r="E21" s="28" t="s">
        <v>110</v>
      </c>
      <c r="F21" s="2" t="s">
        <v>94</v>
      </c>
    </row>
    <row r="22" spans="1:25" ht="20.100000000000001" customHeight="1" x14ac:dyDescent="0.25">
      <c r="A22"/>
      <c r="D22" s="1" t="s">
        <v>111</v>
      </c>
      <c r="E22" s="28" t="s">
        <v>112</v>
      </c>
      <c r="F22" s="2" t="s">
        <v>94</v>
      </c>
      <c r="G22" s="1"/>
    </row>
    <row r="23" spans="1:25" ht="20.100000000000001" customHeight="1" x14ac:dyDescent="0.25">
      <c r="A23"/>
    </row>
    <row r="24" spans="1:25" ht="20.100000000000001" customHeight="1" x14ac:dyDescent="0.25">
      <c r="A24"/>
    </row>
    <row r="25" spans="1:25" ht="20.100000000000001" customHeight="1" x14ac:dyDescent="0.25">
      <c r="A25"/>
      <c r="N25" s="71"/>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83"/>
      <c r="L30" s="84"/>
      <c r="M30" s="84"/>
      <c r="N30" s="84"/>
      <c r="O30" s="84"/>
      <c r="P30" s="84"/>
      <c r="Q30" s="84"/>
      <c r="R30" s="84"/>
      <c r="S30" s="84"/>
      <c r="T30" s="84"/>
      <c r="U30" s="84"/>
      <c r="V30" s="84"/>
      <c r="W30" s="84"/>
      <c r="X30" s="84"/>
      <c r="Y30" s="84"/>
    </row>
    <row r="31" spans="1:25" ht="20.100000000000001" customHeight="1" x14ac:dyDescent="0.25">
      <c r="A31"/>
      <c r="G31" s="82"/>
      <c r="L31" s="85"/>
      <c r="M31" s="85"/>
      <c r="N31" s="85"/>
      <c r="O31" s="85"/>
      <c r="P31" s="85"/>
      <c r="Q31" s="85"/>
      <c r="R31" s="85"/>
      <c r="S31" s="85"/>
      <c r="T31" s="85"/>
      <c r="U31" s="85"/>
      <c r="V31" s="85"/>
      <c r="W31" s="85"/>
      <c r="X31" s="85"/>
      <c r="Y31" s="85"/>
    </row>
    <row r="32" spans="1:25" ht="20.100000000000001" customHeight="1" x14ac:dyDescent="0.25">
      <c r="A32"/>
      <c r="G32" s="82"/>
      <c r="L32" s="85"/>
      <c r="M32" s="85"/>
      <c r="N32" s="85"/>
      <c r="O32" s="85"/>
      <c r="P32" s="85"/>
      <c r="Q32" s="85"/>
      <c r="R32" s="85"/>
      <c r="S32" s="85"/>
      <c r="T32" s="85"/>
      <c r="U32" s="85"/>
      <c r="V32" s="85"/>
      <c r="W32" s="85"/>
      <c r="X32" s="85"/>
      <c r="Y32" s="85"/>
    </row>
    <row r="33" spans="1:25" ht="20.100000000000001" customHeight="1" x14ac:dyDescent="0.25">
      <c r="A33"/>
      <c r="G33" s="86"/>
      <c r="L33" s="85"/>
      <c r="M33" s="85"/>
      <c r="N33" s="85"/>
      <c r="O33" s="85"/>
      <c r="P33" s="85"/>
      <c r="Q33" s="85"/>
      <c r="R33" s="85"/>
      <c r="S33" s="85"/>
      <c r="T33" s="85"/>
      <c r="U33" s="85"/>
      <c r="V33" s="85"/>
      <c r="W33" s="85"/>
      <c r="X33" s="85"/>
      <c r="Y33" s="85"/>
    </row>
    <row r="34" spans="1:25" ht="20.100000000000001" customHeight="1" x14ac:dyDescent="0.25">
      <c r="A34"/>
      <c r="J34" s="87"/>
      <c r="K34" s="88"/>
      <c r="L34" s="85"/>
      <c r="M34" s="85"/>
      <c r="N34" s="85"/>
      <c r="O34" s="85"/>
      <c r="P34" s="85"/>
      <c r="Q34" s="85"/>
      <c r="R34" s="85"/>
      <c r="S34" s="85"/>
      <c r="T34" s="85"/>
      <c r="U34" s="85"/>
      <c r="V34" s="85"/>
      <c r="W34" s="85"/>
      <c r="X34" s="85"/>
      <c r="Y34" s="85"/>
    </row>
    <row r="35" spans="1:25" ht="20.100000000000001" customHeight="1" x14ac:dyDescent="0.25">
      <c r="A35"/>
      <c r="J35" s="87"/>
      <c r="K35" s="88"/>
      <c r="L35" s="85"/>
      <c r="M35" s="85"/>
      <c r="N35" s="85"/>
      <c r="O35" s="85"/>
      <c r="P35" s="85"/>
      <c r="Q35" s="85"/>
      <c r="R35" s="85"/>
      <c r="S35" s="85"/>
      <c r="T35" s="85"/>
      <c r="U35" s="85"/>
      <c r="V35" s="85"/>
      <c r="W35" s="85"/>
      <c r="X35" s="85"/>
      <c r="Y35" s="85"/>
    </row>
    <row r="36" spans="1:25" ht="20.100000000000001" customHeight="1" x14ac:dyDescent="0.25">
      <c r="A36"/>
      <c r="D36" s="89"/>
      <c r="E36" s="89"/>
      <c r="F36" s="90"/>
      <c r="G36" s="87"/>
      <c r="H36" s="87"/>
      <c r="I36" s="91"/>
      <c r="J36" s="87"/>
      <c r="K36" s="88"/>
      <c r="L36" s="85"/>
      <c r="M36" s="85"/>
      <c r="N36" s="85"/>
      <c r="O36" s="85"/>
      <c r="P36" s="85"/>
      <c r="Q36" s="85"/>
      <c r="R36" s="85"/>
      <c r="S36" s="85"/>
      <c r="T36" s="85"/>
      <c r="U36" s="85"/>
      <c r="V36" s="85"/>
      <c r="W36" s="85"/>
      <c r="X36" s="85"/>
      <c r="Y36" s="85"/>
    </row>
    <row r="37" spans="1:25" ht="20.100000000000001" customHeight="1" x14ac:dyDescent="0.25">
      <c r="A37"/>
      <c r="D37" s="89"/>
      <c r="E37" s="89"/>
      <c r="F37" s="90"/>
      <c r="G37" s="87"/>
      <c r="H37" s="87"/>
      <c r="I37" s="91"/>
      <c r="J37" s="87"/>
      <c r="K37" s="88"/>
      <c r="L37" s="85"/>
      <c r="M37" s="85"/>
      <c r="N37" s="85"/>
      <c r="O37" s="85"/>
      <c r="P37" s="85"/>
      <c r="Q37" s="85"/>
      <c r="R37" s="85"/>
      <c r="S37" s="85"/>
      <c r="T37" s="85"/>
      <c r="U37" s="85"/>
      <c r="V37" s="85"/>
      <c r="W37" s="85"/>
      <c r="X37" s="85"/>
      <c r="Y37" s="85"/>
    </row>
    <row r="38" spans="1:25" ht="20.100000000000001" customHeight="1" x14ac:dyDescent="0.25">
      <c r="A38"/>
      <c r="D38" s="89"/>
      <c r="E38" s="89"/>
      <c r="F38" s="90"/>
      <c r="G38" s="87"/>
      <c r="H38" s="87"/>
      <c r="I38" s="91"/>
      <c r="J38" s="87"/>
      <c r="K38" s="88"/>
      <c r="L38" s="85"/>
      <c r="M38" s="85"/>
      <c r="N38" s="85"/>
      <c r="O38" s="85"/>
      <c r="P38" s="85"/>
      <c r="Q38" s="85"/>
      <c r="R38" s="85"/>
      <c r="S38" s="85"/>
      <c r="T38" s="85"/>
      <c r="U38" s="85"/>
      <c r="V38" s="85"/>
      <c r="W38" s="85"/>
      <c r="X38" s="85"/>
      <c r="Y38" s="85"/>
    </row>
    <row r="39" spans="1:25" ht="20.100000000000001" customHeight="1" x14ac:dyDescent="0.25">
      <c r="A39"/>
      <c r="D39" s="89"/>
      <c r="E39" s="89"/>
      <c r="F39" s="90"/>
      <c r="G39" s="87"/>
      <c r="H39" s="87"/>
      <c r="I39" s="91"/>
      <c r="J39" s="87"/>
      <c r="K39" s="88"/>
      <c r="L39" s="85"/>
      <c r="M39" s="85"/>
      <c r="N39" s="85"/>
      <c r="O39" s="85"/>
      <c r="P39" s="85"/>
      <c r="Q39" s="85"/>
      <c r="R39" s="85"/>
      <c r="S39" s="85"/>
      <c r="T39" s="85"/>
      <c r="U39" s="85"/>
      <c r="V39" s="85"/>
      <c r="W39" s="85"/>
      <c r="X39" s="85"/>
      <c r="Y39" s="85"/>
    </row>
    <row r="40" spans="1:25" ht="20.100000000000001" customHeight="1" x14ac:dyDescent="0.25">
      <c r="A40"/>
      <c r="D40" s="92"/>
      <c r="E40" s="92"/>
      <c r="F40" s="92"/>
      <c r="G40" s="93"/>
      <c r="H40" s="94"/>
      <c r="I40" s="94"/>
      <c r="J40" s="94"/>
      <c r="K40" s="94"/>
      <c r="L40" s="95"/>
      <c r="M40" s="95"/>
      <c r="N40" s="95"/>
      <c r="O40" s="95"/>
      <c r="P40" s="95"/>
      <c r="Q40" s="95"/>
      <c r="R40" s="95"/>
      <c r="S40" s="95"/>
      <c r="T40" s="95"/>
      <c r="U40" s="95"/>
      <c r="V40" s="95"/>
      <c r="W40" s="95"/>
      <c r="X40" s="95"/>
      <c r="Y40" s="95"/>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96"/>
      <c r="E47" s="96"/>
      <c r="F47" s="96"/>
      <c r="G47" s="96"/>
      <c r="H47" s="96"/>
    </row>
    <row r="48" spans="1:25" ht="20.100000000000001" customHeight="1" x14ac:dyDescent="0.25">
      <c r="D48" s="97"/>
      <c r="E48" s="97"/>
      <c r="F48" s="98"/>
      <c r="G48" s="98"/>
      <c r="H48" s="97"/>
    </row>
    <row r="49" spans="4:8" ht="20.100000000000001" customHeight="1" x14ac:dyDescent="0.25">
      <c r="D49" s="97"/>
      <c r="E49" s="97"/>
      <c r="F49" s="98"/>
      <c r="G49" s="98"/>
      <c r="H49" s="97"/>
    </row>
    <row r="50" spans="4:8" ht="20.100000000000001" customHeight="1" x14ac:dyDescent="0.25">
      <c r="D50" s="97"/>
      <c r="E50" s="97"/>
      <c r="F50" s="98"/>
      <c r="G50" s="98"/>
      <c r="H50" s="97"/>
    </row>
    <row r="51" spans="4:8" ht="20.100000000000001" customHeight="1" x14ac:dyDescent="0.25">
      <c r="D51" s="99"/>
      <c r="E51" s="100"/>
      <c r="F51" s="100"/>
      <c r="G51" s="100"/>
      <c r="H51" s="101"/>
    </row>
    <row r="52" spans="4:8" ht="20.100000000000001" customHeight="1" x14ac:dyDescent="0.25"/>
    <row r="53" spans="4:8" ht="20.100000000000001" customHeight="1" x14ac:dyDescent="0.25"/>
    <row r="54" spans="4:8" ht="20.100000000000001" customHeight="1" x14ac:dyDescent="0.25">
      <c r="G54" s="102"/>
    </row>
    <row r="55" spans="4:8" ht="20.100000000000001" customHeight="1" x14ac:dyDescent="0.25">
      <c r="D55" s="6"/>
    </row>
    <row r="56" spans="4:8" ht="20.100000000000001" customHeight="1" x14ac:dyDescent="0.25"/>
    <row r="57" spans="4:8" ht="20.100000000000001" customHeight="1" x14ac:dyDescent="0.25">
      <c r="D57" s="18"/>
      <c r="F57" s="103"/>
    </row>
    <row r="58" spans="4:8" ht="20.100000000000001" customHeight="1" x14ac:dyDescent="0.25">
      <c r="D58" s="1"/>
      <c r="E58" s="104"/>
    </row>
    <row r="59" spans="4:8" ht="20.100000000000001" customHeight="1" x14ac:dyDescent="0.25">
      <c r="D59" s="1"/>
      <c r="E59" s="104"/>
    </row>
    <row r="60" spans="4:8" ht="20.100000000000001" customHeight="1" x14ac:dyDescent="0.25">
      <c r="D60" s="1"/>
      <c r="E60" s="105"/>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04"/>
    </row>
    <row r="65" spans="4:9" ht="20.100000000000001" customHeight="1" x14ac:dyDescent="0.25">
      <c r="D65" s="1"/>
      <c r="E65" s="104"/>
    </row>
    <row r="66" spans="4:9" ht="20.100000000000001" customHeight="1" x14ac:dyDescent="0.25">
      <c r="D66" s="1"/>
      <c r="E66" s="105"/>
    </row>
    <row r="67" spans="4:9" ht="20.100000000000001" customHeight="1" x14ac:dyDescent="0.25"/>
    <row r="68" spans="4:9" ht="20.100000000000001" customHeight="1" x14ac:dyDescent="0.25"/>
    <row r="69" spans="4:9" ht="20.100000000000001" customHeight="1" x14ac:dyDescent="0.25">
      <c r="D69" s="106"/>
      <c r="E69" s="106"/>
      <c r="F69" s="106"/>
      <c r="G69" s="106"/>
      <c r="H69" s="106"/>
      <c r="I69" s="106"/>
    </row>
    <row r="70" spans="4:9" ht="20.100000000000001" customHeight="1" x14ac:dyDescent="0.25">
      <c r="D70" s="106"/>
      <c r="E70" s="106"/>
      <c r="F70" s="106"/>
      <c r="G70" s="106"/>
      <c r="H70" s="106"/>
      <c r="I70" s="106"/>
    </row>
    <row r="71" spans="4:9" ht="20.100000000000001" customHeight="1" x14ac:dyDescent="0.25">
      <c r="D71" s="106"/>
      <c r="E71" s="106"/>
      <c r="F71" s="106"/>
      <c r="G71" s="106"/>
      <c r="H71" s="106"/>
      <c r="I71" s="106"/>
    </row>
    <row r="72" spans="4:9" ht="20.100000000000001" customHeight="1" x14ac:dyDescent="0.25">
      <c r="D72" s="106"/>
      <c r="E72" s="106"/>
      <c r="F72" s="106"/>
      <c r="G72" s="106"/>
      <c r="H72" s="106"/>
      <c r="I72" s="106"/>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07"/>
    </row>
    <row r="79" spans="4:9" ht="20.100000000000001" customHeight="1" x14ac:dyDescent="0.25">
      <c r="D79" s="107"/>
    </row>
    <row r="80" spans="4:9" ht="20.100000000000001" customHeight="1" x14ac:dyDescent="0.25">
      <c r="D80" s="107"/>
    </row>
    <row r="81" spans="4:4" ht="20.100000000000001" customHeight="1" x14ac:dyDescent="0.25">
      <c r="D81" s="107"/>
    </row>
    <row r="82" spans="4:4" ht="20.100000000000001" customHeight="1" x14ac:dyDescent="0.25">
      <c r="D82" s="107"/>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G36:G39" xr:uid="{92F83646-3518-44E0-B69D-E0461390DD13}">
      <formula1>$D$41:$D$43</formula1>
    </dataValidation>
    <dataValidation type="list" allowBlank="1" showInputMessage="1" showErrorMessage="1" sqref="E22" xr:uid="{8B677323-0766-4604-A0A2-097C1F77247C}">
      <formula1>INDIRECT("Table_WASA4Areas[SA 4 Name]")</formula1>
    </dataValidation>
    <dataValidation type="list" allowBlank="1" showInputMessage="1" showErrorMessage="1" sqref="E21" xr:uid="{C7D2CF73-36D5-4029-BDED-E084621F6406}">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65"/>
  <sheetViews>
    <sheetView showGridLines="0" zoomScaleNormal="100" workbookViewId="0">
      <selection activeCell="F48" sqref="F4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34" customFormat="1" ht="30" customHeight="1" x14ac:dyDescent="0.35">
      <c r="A1" s="34" t="e" vm="1">
        <v>#VALUE!</v>
      </c>
      <c r="C1" s="34" t="s">
        <v>86</v>
      </c>
    </row>
    <row r="2" spans="1:10" s="9" customFormat="1" ht="20.100000000000001" customHeight="1" x14ac:dyDescent="0.25"/>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6" t="s">
        <v>135</v>
      </c>
    </row>
    <row r="6" spans="1:10" ht="20.100000000000001" customHeight="1" x14ac:dyDescent="0.25">
      <c r="A6" s="13"/>
    </row>
    <row r="7" spans="1:10" ht="20.100000000000001" customHeight="1" x14ac:dyDescent="0.25">
      <c r="A7" s="17" t="s">
        <v>1</v>
      </c>
      <c r="D7" s="63" t="s">
        <v>87</v>
      </c>
    </row>
    <row r="8" spans="1:10" ht="20.100000000000001" customHeight="1" x14ac:dyDescent="0.25">
      <c r="A8" s="44" t="str">
        <f>HYPERLINK("#'Input - Electricity'!A1", "Electricity")</f>
        <v>Electricity</v>
      </c>
    </row>
    <row r="9" spans="1:10" ht="20.100000000000001" customHeight="1" x14ac:dyDescent="0.25">
      <c r="A9" s="14"/>
      <c r="D9" s="64" t="s">
        <v>88</v>
      </c>
      <c r="E9" s="65"/>
      <c r="F9" s="19"/>
    </row>
    <row r="10" spans="1:10" ht="20.100000000000001" customHeight="1" x14ac:dyDescent="0.25">
      <c r="A10" s="16" t="s">
        <v>45</v>
      </c>
      <c r="D10" s="19"/>
      <c r="E10" s="19"/>
      <c r="F10" s="19"/>
    </row>
    <row r="11" spans="1:10" ht="20.100000000000001" customHeight="1" x14ac:dyDescent="0.25">
      <c r="A11" s="14" t="str">
        <f>HYPERLINK("#'14.1.1-2 Purchased electricity'!A1", "14.1.1-2 Purchased electricity")</f>
        <v>14.1.1-2 Purchased electricity</v>
      </c>
      <c r="D11" s="1" t="s">
        <v>89</v>
      </c>
      <c r="E11" s="66">
        <v>500</v>
      </c>
      <c r="F11" s="2" t="s">
        <v>90</v>
      </c>
    </row>
    <row r="12" spans="1:10" ht="20.100000000000001" customHeight="1" x14ac:dyDescent="0.25">
      <c r="A12" s="14"/>
      <c r="D12" s="1" t="s">
        <v>91</v>
      </c>
      <c r="E12" s="29" t="str">
        <f>IF('Input - Site'!E21="Western Australia", 'Input - Site'!E22, 'Input - Site'!E21)</f>
        <v>Western Australia - Outback (South)</v>
      </c>
      <c r="F12" s="19"/>
    </row>
    <row r="13" spans="1:10" ht="20.100000000000001" customHeight="1" x14ac:dyDescent="0.25">
      <c r="A13" s="15" t="s">
        <v>2</v>
      </c>
      <c r="D13" s="1" t="s">
        <v>92</v>
      </c>
      <c r="E13" s="28" t="s">
        <v>93</v>
      </c>
      <c r="F13" s="2" t="s">
        <v>94</v>
      </c>
    </row>
    <row r="14" spans="1:10" ht="20.100000000000001" customHeight="1" x14ac:dyDescent="0.25">
      <c r="A14" s="14" t="str">
        <f>HYPERLINK("#'Constants - Electricity'!A1", "Constants - Electricity")</f>
        <v>Constants - Electricity</v>
      </c>
    </row>
    <row r="15" spans="1:10" ht="20.100000000000001" customHeight="1" x14ac:dyDescent="0.25">
      <c r="A15" s="14" t="str">
        <f>HYPERLINK("#'Constants - Common'!A1", "Constants - Common")</f>
        <v>Constants - Common</v>
      </c>
    </row>
    <row r="16" spans="1:10" ht="20.100000000000001" customHeight="1" x14ac:dyDescent="0.25">
      <c r="C16" s="109"/>
      <c r="D16" s="109"/>
      <c r="E16" s="109"/>
      <c r="F16" s="109"/>
      <c r="G16" s="109"/>
      <c r="H16" s="109"/>
      <c r="I16" s="109"/>
      <c r="J16" s="109"/>
    </row>
    <row r="17" spans="1:11" ht="20.100000000000001" customHeight="1" x14ac:dyDescent="0.25">
      <c r="D17" s="6" t="s">
        <v>136</v>
      </c>
    </row>
    <row r="18" spans="1:11" ht="20.100000000000001" customHeight="1" x14ac:dyDescent="0.25">
      <c r="E18" s="40" t="str">
        <f>IF(E12="ACT", "", "ALERT: Your farm is not in the ACT, so the JRPP is not applicable")</f>
        <v>ALERT: Your farm is not in the ACT, so the JRPP is not applicable</v>
      </c>
    </row>
    <row r="19" spans="1:11" ht="20.100000000000001" customHeight="1" x14ac:dyDescent="0.25">
      <c r="D19" s="1" t="s">
        <v>129</v>
      </c>
      <c r="E19" s="66">
        <v>30000</v>
      </c>
      <c r="F19" s="2" t="s">
        <v>90</v>
      </c>
    </row>
    <row r="20" spans="1:11" ht="20.100000000000001" customHeight="1" x14ac:dyDescent="0.25">
      <c r="A20" s="14"/>
      <c r="D20" s="1" t="s">
        <v>119</v>
      </c>
      <c r="E20" s="112">
        <v>0.1</v>
      </c>
      <c r="F20" s="2" t="s">
        <v>120</v>
      </c>
    </row>
    <row r="21" spans="1:11" ht="20.100000000000001" customHeight="1" x14ac:dyDescent="0.25">
      <c r="A21" s="14"/>
      <c r="D21" s="1" t="s">
        <v>121</v>
      </c>
      <c r="E21" s="112">
        <v>0.1</v>
      </c>
      <c r="F21" s="2" t="s">
        <v>120</v>
      </c>
    </row>
    <row r="22" spans="1:11" ht="20.100000000000001" customHeight="1" x14ac:dyDescent="0.25"/>
    <row r="23" spans="1:11" ht="20.100000000000001" customHeight="1" x14ac:dyDescent="0.25">
      <c r="A23" s="14"/>
      <c r="D23" s="1" t="s">
        <v>128</v>
      </c>
      <c r="E23" s="66">
        <v>10000</v>
      </c>
      <c r="F23" s="2" t="s">
        <v>90</v>
      </c>
    </row>
    <row r="24" spans="1:11" ht="20.100000000000001" customHeight="1" x14ac:dyDescent="0.25"/>
    <row r="25" spans="1:11" ht="20.100000000000001" customHeight="1" x14ac:dyDescent="0.25">
      <c r="D25" s="1" t="s">
        <v>143</v>
      </c>
      <c r="E25" s="116" t="str">
        <f>TEXT('Input - Site'!$E$12, "dd mmm yyyy")</f>
        <v>01 Jan 2024</v>
      </c>
    </row>
    <row r="26" spans="1:11" ht="20.100000000000001" customHeight="1" x14ac:dyDescent="0.25">
      <c r="D26" s="1" t="s">
        <v>127</v>
      </c>
      <c r="E26" s="116" t="str">
        <f>TEXT('Input - Site'!$E$13, "dd mmm yyyy")</f>
        <v>31 Dec 2024</v>
      </c>
    </row>
    <row r="27" spans="1:11" ht="20.100000000000001" customHeight="1" x14ac:dyDescent="0.25"/>
    <row r="28" spans="1:11" ht="20.100000000000001" customHeight="1" x14ac:dyDescent="0.25">
      <c r="D28" s="63" t="s">
        <v>126</v>
      </c>
    </row>
    <row r="29" spans="1:11" ht="20.100000000000001" customHeight="1" x14ac:dyDescent="0.25">
      <c r="A29" s="14"/>
      <c r="K29" s="49"/>
    </row>
    <row r="30" spans="1:11" ht="20.100000000000001" customHeight="1" x14ac:dyDescent="0.25">
      <c r="A30" s="14"/>
      <c r="D30" s="64" t="s">
        <v>151</v>
      </c>
      <c r="E30" s="65"/>
      <c r="K30" s="49"/>
    </row>
    <row r="31" spans="1:11" ht="20.100000000000001" customHeight="1" x14ac:dyDescent="0.25">
      <c r="A31" s="33"/>
      <c r="K31" s="49"/>
    </row>
    <row r="32" spans="1:11" ht="20.100000000000001" customHeight="1" x14ac:dyDescent="0.25">
      <c r="A32" s="33"/>
      <c r="D32" s="114" t="s">
        <v>123</v>
      </c>
      <c r="E32" s="114" t="s">
        <v>132</v>
      </c>
      <c r="F32" s="114" t="s">
        <v>124</v>
      </c>
      <c r="G32" s="114" t="s">
        <v>125</v>
      </c>
      <c r="H32" s="114" t="s">
        <v>122</v>
      </c>
      <c r="I32" s="114" t="s">
        <v>144</v>
      </c>
      <c r="K32" s="49"/>
    </row>
    <row r="33" spans="1:12" ht="20.100000000000001" customHeight="1" x14ac:dyDescent="0.25">
      <c r="A33" s="14"/>
      <c r="D33" s="27" t="s">
        <v>141</v>
      </c>
      <c r="E33" s="28" t="s">
        <v>133</v>
      </c>
      <c r="F33" s="115">
        <v>44185</v>
      </c>
      <c r="G33" s="27">
        <v>12</v>
      </c>
      <c r="H33" s="29">
        <f>Table_Input_RECSurrendered[[#This Row],[Number of certificates]]</f>
        <v>12</v>
      </c>
      <c r="I33" s="29" t="str">
        <f>IF(DATEDIF(Table_Input_RECSurrendered[[#This Row],[Generation date]],DATEVALUE($E$26),"M")&gt;36,"Ineligible - older than 36 months","Elegible")</f>
        <v>Ineligible - older than 36 months</v>
      </c>
      <c r="K33" s="49"/>
    </row>
    <row r="34" spans="1:12" ht="20.100000000000001" customHeight="1" x14ac:dyDescent="0.25">
      <c r="D34" s="27"/>
      <c r="E34" s="28" t="s">
        <v>134</v>
      </c>
      <c r="F34" s="115">
        <v>44575</v>
      </c>
      <c r="G34" s="27">
        <v>5</v>
      </c>
      <c r="H34" s="29">
        <f>Table_Input_RECSurrendered[[#This Row],[Number of certificates]]</f>
        <v>5</v>
      </c>
      <c r="I34" s="29" t="str">
        <f>IF(DATEDIF(Table_Input_RECSurrendered[[#This Row],[Generation date]],DATEVALUE($E$26),"M")&gt;36,"Ineligible - older than 36 months","Elegible")</f>
        <v>Elegible</v>
      </c>
      <c r="K34" s="49"/>
    </row>
    <row r="35" spans="1:12" ht="20.100000000000001" customHeight="1" x14ac:dyDescent="0.25">
      <c r="D35" s="27"/>
      <c r="E35" s="28" t="s">
        <v>133</v>
      </c>
      <c r="F35" s="115">
        <v>45438</v>
      </c>
      <c r="G35" s="27">
        <v>5</v>
      </c>
      <c r="H35" s="29">
        <f>Table_Input_RECSurrendered[[#This Row],[Number of certificates]]</f>
        <v>5</v>
      </c>
      <c r="I35" s="29" t="str">
        <f>IF(DATEDIF(Table_Input_RECSurrendered[[#This Row],[Generation date]],DATEVALUE($E$26),"M")&gt;36,"Ineligible - older than 36 months","Elegible")</f>
        <v>Elegible</v>
      </c>
    </row>
    <row r="36" spans="1:12" ht="20.100000000000001" customHeight="1" x14ac:dyDescent="0.25">
      <c r="L36" s="49"/>
    </row>
    <row r="37" spans="1:12" ht="20.100000000000001" customHeight="1" x14ac:dyDescent="0.25">
      <c r="D37" s="1" t="s">
        <v>145</v>
      </c>
      <c r="E37" s="29">
        <f>SUMIF(Table_Input_RECSurrendered[Elegibility], "Elegible", Table_Input_RECSurrendered[MWh])</f>
        <v>10</v>
      </c>
      <c r="F37" s="2" t="s">
        <v>122</v>
      </c>
      <c r="L37" s="49"/>
    </row>
    <row r="38" spans="1:12" ht="20.100000000000001" customHeight="1" x14ac:dyDescent="0.25">
      <c r="C38" s="48"/>
    </row>
    <row r="39" spans="1:12" ht="20.100000000000001" customHeight="1" x14ac:dyDescent="0.25">
      <c r="A39" s="14"/>
      <c r="C39" s="48"/>
      <c r="D39" s="63" t="s">
        <v>130</v>
      </c>
      <c r="J39" s="48"/>
    </row>
    <row r="40" spans="1:12" s="49" customFormat="1" ht="20.100000000000001" customHeight="1" x14ac:dyDescent="0.25">
      <c r="C40" s="1"/>
      <c r="D40" s="1"/>
      <c r="E40" s="1"/>
      <c r="F40" s="1"/>
      <c r="G40" s="1"/>
      <c r="H40" s="1"/>
      <c r="I40" s="1"/>
      <c r="J40" s="1"/>
    </row>
    <row r="41" spans="1:12" s="49" customFormat="1" ht="20.100000000000001" customHeight="1" x14ac:dyDescent="0.25">
      <c r="A41" s="50"/>
      <c r="C41" s="1"/>
      <c r="D41" s="114" t="s">
        <v>123</v>
      </c>
      <c r="E41" s="114" t="s">
        <v>131</v>
      </c>
      <c r="F41" s="114" t="s">
        <v>124</v>
      </c>
      <c r="G41" s="114" t="s">
        <v>125</v>
      </c>
      <c r="H41" s="114" t="s">
        <v>122</v>
      </c>
      <c r="I41" s="114" t="s">
        <v>144</v>
      </c>
      <c r="J41" s="1"/>
      <c r="L41" s="49" t="s">
        <v>85</v>
      </c>
    </row>
    <row r="42" spans="1:12" ht="20.100000000000001" customHeight="1" x14ac:dyDescent="0.25">
      <c r="D42" s="27" t="s">
        <v>142</v>
      </c>
      <c r="E42" s="117" t="str">
        <f>"Issued for generated electricity"</f>
        <v>Issued for generated electricity</v>
      </c>
      <c r="F42" s="115">
        <v>44697</v>
      </c>
      <c r="G42" s="27">
        <v>10</v>
      </c>
      <c r="H42" s="29">
        <f>Table_Input_RECConsumedByEntity[[#This Row],[Number of certificates]]</f>
        <v>10</v>
      </c>
      <c r="I42" s="29" t="str">
        <f>IF(AND(Table_Input_RECConsumedByEntity[[#This Row],[Generation date]]&gt;=DATEVALUE($E$25), Table_Input_RECConsumedByEntity[[#This Row],[Generation date]]&lt;= DATEVALUE($E$26)), "Elegible", "Ineligible - outside reporting year")</f>
        <v>Ineligible - outside reporting year</v>
      </c>
    </row>
    <row r="43" spans="1:12" ht="20.100000000000001" customHeight="1" x14ac:dyDescent="0.25">
      <c r="D43" s="27"/>
      <c r="E43" s="117" t="str">
        <f>"Issued for generated electricity"</f>
        <v>Issued for generated electricity</v>
      </c>
      <c r="F43" s="115">
        <v>45483</v>
      </c>
      <c r="G43" s="27">
        <v>4</v>
      </c>
      <c r="H43" s="29">
        <f>Table_Input_RECConsumedByEntity[[#This Row],[Number of certificates]]</f>
        <v>4</v>
      </c>
      <c r="I43" s="29" t="str">
        <f>IF(AND(Table_Input_RECConsumedByEntity[[#This Row],[Generation date]]&gt;=DATEVALUE($E$25), Table_Input_RECConsumedByEntity[[#This Row],[Generation date]]&lt;= DATEVALUE($E$26)), "Elegible", "Ineligible - outside reporting year")</f>
        <v>Elegible</v>
      </c>
    </row>
    <row r="44" spans="1:12" ht="20.100000000000001" customHeight="1" x14ac:dyDescent="0.25">
      <c r="A44" s="54"/>
      <c r="D44" s="27"/>
      <c r="E44" s="117" t="str">
        <f>"Issued for generated electricity"</f>
        <v>Issued for generated electricity</v>
      </c>
      <c r="F44" s="115">
        <v>45607</v>
      </c>
      <c r="G44" s="27">
        <v>7</v>
      </c>
      <c r="H44" s="29">
        <f>Table_Input_RECConsumedByEntity[[#This Row],[Number of certificates]]</f>
        <v>7</v>
      </c>
      <c r="I44" s="29" t="str">
        <f>IF(AND(Table_Input_RECConsumedByEntity[[#This Row],[Generation date]]&gt;=DATEVALUE($E$25), Table_Input_RECConsumedByEntity[[#This Row],[Generation date]]&lt;= DATEVALUE($E$26)), "Elegible", "Ineligible - outside reporting year")</f>
        <v>Elegible</v>
      </c>
    </row>
    <row r="45" spans="1:12" ht="20.100000000000001" customHeight="1" x14ac:dyDescent="0.25"/>
    <row r="46" spans="1:12" ht="20.100000000000001" customHeight="1" x14ac:dyDescent="0.25">
      <c r="D46" s="1" t="s">
        <v>146</v>
      </c>
      <c r="E46" s="29">
        <f>SUMIF(Table_Input_RECConsumedByEntity[Elegibility], "Elegible", Table_Input_RECConsumedByEntity[Number of certificates])</f>
        <v>11</v>
      </c>
      <c r="F46" s="2" t="s">
        <v>122</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13"/>
    </row>
    <row r="54" spans="4:4" ht="20.100000000000001" customHeight="1" x14ac:dyDescent="0.25"/>
    <row r="55" spans="4:4" ht="20.100000000000001" customHeight="1" x14ac:dyDescent="0.25">
      <c r="D55" s="113"/>
    </row>
    <row r="56" spans="4:4" ht="20.100000000000001" customHeight="1" x14ac:dyDescent="0.25">
      <c r="D56" s="113"/>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40"/>
    </row>
  </sheetData>
  <conditionalFormatting sqref="F130:F131">
    <cfRule type="cellIs" dxfId="52" priority="21" operator="lessThan">
      <formula>0</formula>
    </cfRule>
  </conditionalFormatting>
  <conditionalFormatting sqref="F142:F143">
    <cfRule type="cellIs" dxfId="51" priority="20" operator="lessThan">
      <formula>0</formula>
    </cfRule>
  </conditionalFormatting>
  <conditionalFormatting sqref="F154:F155">
    <cfRule type="cellIs" dxfId="50" priority="19" operator="lessThan">
      <formula>0</formula>
    </cfRule>
  </conditionalFormatting>
  <conditionalFormatting sqref="F166:F167">
    <cfRule type="cellIs" dxfId="49" priority="18" operator="lessThan">
      <formula>0</formula>
    </cfRule>
  </conditionalFormatting>
  <conditionalFormatting sqref="F254:F255">
    <cfRule type="cellIs" dxfId="48" priority="93" operator="lessThan">
      <formula>0</formula>
    </cfRule>
  </conditionalFormatting>
  <conditionalFormatting sqref="F259:F260">
    <cfRule type="cellIs" dxfId="47" priority="92" operator="lessThan">
      <formula>0</formula>
    </cfRule>
  </conditionalFormatting>
  <conditionalFormatting sqref="F264:F265">
    <cfRule type="cellIs" dxfId="46" priority="91" operator="lessThan">
      <formula>0</formula>
    </cfRule>
  </conditionalFormatting>
  <conditionalFormatting sqref="F288:F289">
    <cfRule type="cellIs" dxfId="45" priority="85" operator="lessThan">
      <formula>0</formula>
    </cfRule>
  </conditionalFormatting>
  <conditionalFormatting sqref="F293:F294">
    <cfRule type="cellIs" dxfId="44" priority="84" operator="lessThan">
      <formula>0</formula>
    </cfRule>
  </conditionalFormatting>
  <conditionalFormatting sqref="F298:F299">
    <cfRule type="cellIs" dxfId="43" priority="83" operator="lessThan">
      <formula>0</formula>
    </cfRule>
  </conditionalFormatting>
  <conditionalFormatting sqref="I59:I63">
    <cfRule type="cellIs" dxfId="42" priority="5" operator="lessThan">
      <formula>0</formula>
    </cfRule>
  </conditionalFormatting>
  <conditionalFormatting sqref="I67 I126">
    <cfRule type="cellIs" dxfId="41" priority="74" operator="lessThan">
      <formula>0</formula>
    </cfRule>
  </conditionalFormatting>
  <conditionalFormatting sqref="I78:I80">
    <cfRule type="cellIs" dxfId="40" priority="4" operator="lessThan">
      <formula>0</formula>
    </cfRule>
  </conditionalFormatting>
  <conditionalFormatting sqref="I84:I87">
    <cfRule type="cellIs" dxfId="39" priority="3" operator="lessThan">
      <formula>0</formula>
    </cfRule>
  </conditionalFormatting>
  <conditionalFormatting sqref="I91:I95">
    <cfRule type="cellIs" dxfId="38" priority="1" operator="lessThan">
      <formula>0</formula>
    </cfRule>
  </conditionalFormatting>
  <conditionalFormatting sqref="J31 I45:I46 H47:H49 I48 I50:I52 I54:I55 I206 I212 E214:G214">
    <cfRule type="cellIs" dxfId="37" priority="79" operator="lessThan">
      <formula>0</formula>
    </cfRule>
  </conditionalFormatting>
  <conditionalFormatting sqref="J35 I36 J37 I39 F51">
    <cfRule type="cellIs" dxfId="36" priority="62" operator="lessThan">
      <formula>0</formula>
    </cfRule>
  </conditionalFormatting>
  <dataValidations disablePrompts="1" count="6">
    <dataValidation type="list" allowBlank="1" showInputMessage="1" showErrorMessage="1" sqref="D281" xr:uid="{4E913AB3-F90B-4C35-BCE1-5DBB8FC05107}">
      <formula1>INDIRECT("Table_SourceData_PoultryMMSStage1[MMS]")</formula1>
    </dataValidation>
    <dataValidation type="list" allowBlank="1" showInputMessage="1" showErrorMessage="1" sqref="E229" xr:uid="{9FB53635-991F-44AA-A123-E8ABEF9EE0A6}">
      <formula1>INDIRECT("Table_SourceData_Dairy_ProductionSystemTemplates[Area]")</formula1>
    </dataValidation>
    <dataValidation type="list" allowBlank="1" showInputMessage="1" showErrorMessage="1" sqref="E253 E258 E263 E297 E292 E287 E165 E153 E129 E141" xr:uid="{00A4EA4C-90D3-4150-979D-4D71C7F37A31}">
      <formula1>"Yes, No"</formula1>
    </dataValidation>
    <dataValidation type="list" allowBlank="1" showInputMessage="1" showErrorMessage="1" sqref="E69" xr:uid="{DBA884B0-B52E-420E-8FD2-21B082EB75E2}">
      <formula1>INDIRECT("Table_SourceData_Swine_IrrigationMethods[Irrigation method]")</formula1>
    </dataValidation>
    <dataValidation type="list" allowBlank="1" showInputMessage="1" showErrorMessage="1" sqref="E13" xr:uid="{48A1E533-1334-4AAC-A5F5-B295A34573CB}">
      <formula1>INDIRECT("Table_SourceData_ElectricityEFs[State, Territory or grid description]")</formula1>
    </dataValidation>
    <dataValidation type="list" allowBlank="1" showInputMessage="1" showErrorMessage="1" sqref="E33:E35" xr:uid="{BE2CA0F8-93F9-493C-B304-DCA372760E4E}">
      <formula1>"Purchased certificate, Issued for generated electricity"</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K342"/>
  <sheetViews>
    <sheetView showGridLines="0" topLeftCell="A10" zoomScaleNormal="100" workbookViewId="0">
      <selection activeCell="F29" sqref="F29"/>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8" customFormat="1" ht="30" customHeight="1" x14ac:dyDescent="0.35">
      <c r="A1" s="34" t="e" vm="1">
        <v>#VALUE!</v>
      </c>
      <c r="C1" s="8" t="s">
        <v>118</v>
      </c>
    </row>
    <row r="2" spans="1:11" s="9" customFormat="1" ht="20.100000000000001" customHeight="1" x14ac:dyDescent="0.25"/>
    <row r="3" spans="1:11" ht="20.100000000000001" customHeight="1" x14ac:dyDescent="0.25">
      <c r="A3" s="14" t="str">
        <f>HYPERLINK("#'Home'!A1", "Home")</f>
        <v>Home</v>
      </c>
      <c r="C3" s="4"/>
      <c r="D3" s="4" t="s">
        <v>49</v>
      </c>
      <c r="E3" s="4"/>
      <c r="F3" s="4"/>
      <c r="G3" s="4"/>
      <c r="H3" s="4"/>
      <c r="I3" s="4"/>
      <c r="J3" s="4"/>
      <c r="K3" s="4"/>
    </row>
    <row r="4" spans="1:11" ht="20.100000000000001" customHeight="1" x14ac:dyDescent="0.25">
      <c r="A4" s="14" t="str">
        <f>HYPERLINK("#'Overview'!A1", "Overview")</f>
        <v>Overview</v>
      </c>
    </row>
    <row r="5" spans="1:11" ht="20.100000000000001" customHeight="1" x14ac:dyDescent="0.25">
      <c r="A5" s="14" t="str">
        <f>HYPERLINK("#'Results'!A1", "Results")</f>
        <v>Results</v>
      </c>
      <c r="D5" s="6" t="str" cm="1">
        <f t="array" ref="D5">Electricity_Equations.VEERG_14_1_1__1_LocationBasedScopeElectricityEmissions_Title()</f>
        <v>Location-based Scope 2 emissions from purchased electricity</v>
      </c>
    </row>
    <row r="6" spans="1:11" ht="20.100000000000001" customHeight="1" x14ac:dyDescent="0.25">
      <c r="A6" s="13"/>
      <c r="D6" s="5" t="str" cm="1">
        <f t="array" ref="D6">Electricity_Equations.VEERG_14_1_1__1_LocationBasedScopeElectricityEmissions_Source()</f>
        <v>VEERG 2026: 14.1.1, Equation (1)</v>
      </c>
    </row>
    <row r="7" spans="1:11" ht="20.100000000000001" customHeight="1" x14ac:dyDescent="0.25">
      <c r="A7" s="17" t="s">
        <v>1</v>
      </c>
      <c r="D7" s="32" t="str" cm="1">
        <f t="array" ref="D7">Electricity_Equations.VEERG_14_1_1__1_LocationBasedScopeElectricityEmissions_Variation()</f>
        <v>Added g variable to capture which grid electricity was purchased from</v>
      </c>
    </row>
    <row r="8" spans="1:11" ht="20.100000000000001" customHeight="1" x14ac:dyDescent="0.25">
      <c r="A8" s="14" t="str">
        <f>HYPERLINK("#'Input - Electricity'!A1", "Electricity")</f>
        <v>Electricity</v>
      </c>
      <c r="D8" s="11" t="s">
        <v>10</v>
      </c>
      <c r="E8" s="11" t="str" cm="1">
        <f t="array" aca="1" ref="E8" ca="1">Common_InputFunctions.Utility_DisplayFunctionName(E18)</f>
        <v>=Electricity_Equations.VEERG_14_1_1__1_LocationBasedScopeElectricityEmissions</v>
      </c>
    </row>
    <row r="9" spans="1:11" ht="20.100000000000001" customHeight="1" x14ac:dyDescent="0.25">
      <c r="A9" s="14"/>
    </row>
    <row r="10" spans="1:11" ht="20.100000000000001" customHeight="1" x14ac:dyDescent="0.25">
      <c r="A10" s="16" t="s">
        <v>45</v>
      </c>
    </row>
    <row r="11" spans="1:11" ht="20.100000000000001" customHeight="1" x14ac:dyDescent="0.25">
      <c r="A11" s="120" t="str">
        <f>HYPERLINK("#'14.1.1-2 Purchased electricity'!A1", "14.1.1-2 Purchased electricity")</f>
        <v>14.1.1-2 Purchased electricity</v>
      </c>
      <c r="D11" s="30" t="s">
        <v>13</v>
      </c>
      <c r="E11" s="1" t="str" cm="1">
        <f t="array" ref="E11">Electricity_Equations.VEERG_14_1_1__1_LocationBasedScopeElectricityEmissions_Variable()</f>
        <v>E_2elec</v>
      </c>
    </row>
    <row r="12" spans="1:11" ht="20.100000000000001" customHeight="1" x14ac:dyDescent="0.25">
      <c r="A12" s="14"/>
      <c r="D12" s="30" t="s">
        <v>5</v>
      </c>
      <c r="E12" s="31" t="str" cm="1">
        <f t="array" ref="E12">Electricity_Equations.VEERG_14_1_1__1_LocationBasedScopeElectricityEmissions_Unit()</f>
        <v>t CO2e</v>
      </c>
    </row>
    <row r="13" spans="1:11" ht="20.100000000000001" customHeight="1" x14ac:dyDescent="0.25">
      <c r="A13" s="15" t="s">
        <v>2</v>
      </c>
    </row>
    <row r="14" spans="1:11" ht="20.100000000000001" customHeight="1" x14ac:dyDescent="0.25">
      <c r="A14" s="14" t="str">
        <f>HYPERLINK("#'Constants - Electricity'!A1", "Constants - Electricity")</f>
        <v>Constants - Electricity</v>
      </c>
      <c r="D14" s="51" t="str" cm="1">
        <f t="array" ref="D14:E16">_xlfn.CHOOSECOLS(Electricity_Equations.VEERG_14_1_1__1_LocationBasedScopeElectricityEmissions_Arguments(),1,2)</f>
        <v>Q_elec</v>
      </c>
      <c r="E14" s="53" t="str">
        <v>amount of electricity purchased from the grid</v>
      </c>
      <c r="F14" s="52"/>
      <c r="G14" s="51" t="str" cm="1">
        <f t="array" ref="G14:H16">_xlfn.CHOOSECOLS(Electricity_Equations.VEERG_14_1_1__1_LocationBasedScopeElectricityEmissions_Arguments(),3,4)</f>
        <v>kWh</v>
      </c>
      <c r="H14" s="47" t="str">
        <v>Input</v>
      </c>
      <c r="I14" s="53">
        <f>'Input - Electricity'!$E$11</f>
        <v>500</v>
      </c>
      <c r="J14" s="52"/>
    </row>
    <row r="15" spans="1:11" ht="20.100000000000001" customHeight="1" x14ac:dyDescent="0.25">
      <c r="A15" s="14" t="str">
        <f>HYPERLINK("#'Constants - Common'!A1", "Constants - Common")</f>
        <v>Constants - Common</v>
      </c>
      <c r="D15" s="51" t="str">
        <v>EF_2elec</v>
      </c>
      <c r="E15" s="53" t="str">
        <v>location-based Scope 2 emission factor for electricity</v>
      </c>
      <c r="F15" s="52"/>
      <c r="G15" s="51" t="str">
        <v>kg CO2e/kWh</v>
      </c>
      <c r="H15" s="46" t="str">
        <v>Constant</v>
      </c>
      <c r="I15" s="53" cm="1">
        <f t="array" ref="I15">Common_InputFunctions.Utility_LookupValueInTableNumber(I16,Table_SourceData_ElectricityEFs[State, Territory or grid description],Table_SourceData_ElectricityEFs[Scope 2 Emission Factors (kg CO2-e/kWh)])</f>
        <v>0.56000000000000005</v>
      </c>
      <c r="J15" s="52"/>
    </row>
    <row r="16" spans="1:11" ht="20.100000000000001" customHeight="1" x14ac:dyDescent="0.25">
      <c r="D16" s="51" t="str">
        <v>g</v>
      </c>
      <c r="E16" s="53" t="str">
        <v>Grid electricity was purchased from</v>
      </c>
      <c r="F16" s="52"/>
      <c r="G16" s="51" t="str">
        <v/>
      </c>
      <c r="H16" s="47" t="str">
        <v>Input</v>
      </c>
      <c r="I16" s="53" t="str">
        <f>'Input - Electricity'!$E$13</f>
        <v>Western Australia - North Western Interconnected System (NWIS)</v>
      </c>
      <c r="J16" s="52"/>
    </row>
    <row r="17" spans="1:11" ht="20.100000000000001" customHeight="1" x14ac:dyDescent="0.25"/>
    <row r="18" spans="1:11" ht="20.100000000000001" customHeight="1" x14ac:dyDescent="0.25">
      <c r="D18" s="108" t="s">
        <v>117</v>
      </c>
      <c r="E18" s="110" cm="1">
        <f t="array" ref="E18">Electricity_Equations.VEERG_14_1_1__1_LocationBasedScopeElectricityEmissions(I14,I15)</f>
        <v>0.28000000000000003</v>
      </c>
      <c r="F18" s="121" t="str">
        <f>$E$12</f>
        <v>t CO2e</v>
      </c>
    </row>
    <row r="19" spans="1:11" ht="20.100000000000001" customHeight="1" x14ac:dyDescent="0.25"/>
    <row r="20" spans="1:11" ht="20.100000000000001" customHeight="1" x14ac:dyDescent="0.25">
      <c r="A20" s="14"/>
    </row>
    <row r="21" spans="1:11" ht="20.100000000000001" customHeight="1" x14ac:dyDescent="0.25">
      <c r="A21" s="14"/>
      <c r="C21" s="109"/>
      <c r="D21" s="109"/>
      <c r="E21" s="109"/>
      <c r="F21" s="109"/>
      <c r="G21" s="109"/>
      <c r="H21" s="109"/>
      <c r="I21" s="109"/>
      <c r="J21" s="109"/>
      <c r="K21" s="109"/>
    </row>
    <row r="22" spans="1:11" ht="20.100000000000001" customHeight="1" x14ac:dyDescent="0.25">
      <c r="D22" s="6" t="str" cm="1">
        <f t="array" ref="D22">Electricity_Equations.VEERG_14_1_2__1_MarketBasedScopeElectricityEmissions_Title()</f>
        <v>Market-based Scope 2 emissions from purchased electricity</v>
      </c>
    </row>
    <row r="23" spans="1:11" ht="20.100000000000001" customHeight="1" x14ac:dyDescent="0.25">
      <c r="A23" s="14"/>
      <c r="D23" s="5" t="str" cm="1">
        <f t="array" ref="D23">Electricity_Equations.VEERG_14_1_2__1_MarketBasedScopeElectricityEmissions_Source()</f>
        <v>VEERG 2026: 14.1.2, Equation (1)</v>
      </c>
    </row>
    <row r="24" spans="1:11" ht="20.100000000000001" customHeight="1" x14ac:dyDescent="0.25">
      <c r="D24" s="32"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 t="s">
        <v>10</v>
      </c>
      <c r="E25" s="11" t="str" cm="1">
        <f t="array" aca="1" ref="E25" ca="1">Common_InputFunctions.Utility_DisplayFunctionName(E39)</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30" t="s">
        <v>13</v>
      </c>
      <c r="E28" s="1" t="str" cm="1">
        <f t="array" ref="E28">Electricity_Equations.VEERG_14_1_2__1_MarketBasedScopeElectricityEmissions_Variable()</f>
        <v>E_2elec</v>
      </c>
    </row>
    <row r="29" spans="1:11" ht="20.100000000000001" customHeight="1" x14ac:dyDescent="0.25">
      <c r="D29" s="30" t="s">
        <v>5</v>
      </c>
      <c r="E29" s="31" t="str" cm="1">
        <f t="array" ref="E29">Electricity_Equations.VEERG_14_1_2__1_MarketBasedScopeElectricityEmissions_Unit()</f>
        <v>t CO2e</v>
      </c>
    </row>
    <row r="30" spans="1:11" ht="20.100000000000001" customHeight="1" x14ac:dyDescent="0.25"/>
    <row r="31" spans="1:11" ht="20.100000000000001" customHeight="1" x14ac:dyDescent="0.25">
      <c r="D31" s="51" t="str" cm="1">
        <f t="array" ref="D31:E37">_xlfn.CHOOSECOLS(Electricity_Equations.VEERG_14_1_2__1_MarketBasedScopeElectricityEmissions_Arguments(),1,2)</f>
        <v>Q_elec</v>
      </c>
      <c r="E31" s="53" t="str">
        <v>amount of electricity purchased from the grid</v>
      </c>
      <c r="F31" s="111"/>
      <c r="G31" s="111"/>
      <c r="H31" s="51" t="str" cm="1">
        <f t="array" ref="H31:I37">_xlfn.CHOOSECOLS(Electricity_Equations.VEERG_14_1_2__1_MarketBasedScopeElectricityEmissions_Arguments(),3,4)</f>
        <v>kWh</v>
      </c>
      <c r="I31" s="47" t="str">
        <v>Input</v>
      </c>
      <c r="J31" s="51">
        <f>'Input - Electricity'!E19</f>
        <v>30000</v>
      </c>
    </row>
    <row r="32" spans="1:11" ht="20.100000000000001" customHeight="1" x14ac:dyDescent="0.25">
      <c r="D32" s="51" t="str">
        <v>RPP</v>
      </c>
      <c r="E32" s="53" t="str">
        <v>Renewable Power Percentage under the Large-scale Renewable Energy Target (LRET)</v>
      </c>
      <c r="F32" s="111"/>
      <c r="G32" s="111"/>
      <c r="H32" s="51" t="str">
        <v>per cent</v>
      </c>
      <c r="I32" s="47" t="str">
        <v>Input</v>
      </c>
      <c r="J32" s="118">
        <f>'Input - Electricity'!E20</f>
        <v>0.1</v>
      </c>
    </row>
    <row r="33" spans="4:10" ht="20.100000000000001" customHeight="1" x14ac:dyDescent="0.25">
      <c r="D33" s="51" t="str">
        <v>JRPP</v>
      </c>
      <c r="E33" s="53" t="str">
        <v>jurisdictional renewable power percentage for the applicable period (ACT only)</v>
      </c>
      <c r="F33" s="111"/>
      <c r="G33" s="111"/>
      <c r="H33" s="51" t="str">
        <v>per cent</v>
      </c>
      <c r="I33" s="47" t="str">
        <v>Input</v>
      </c>
      <c r="J33" s="118" t="str">
        <f>IF(J37="ACT", 'Input - Electricity'!E21, "N/A")</f>
        <v>N/A</v>
      </c>
    </row>
    <row r="34" spans="4:10" ht="20.100000000000001" customHeight="1" x14ac:dyDescent="0.25">
      <c r="D34" s="51" t="str">
        <v>REC_surrendered</v>
      </c>
      <c r="E34" s="53" t="str">
        <v>Renewable Energy Certificates voluntarily surrendered in the reporting year</v>
      </c>
      <c r="F34" s="111"/>
      <c r="G34" s="111"/>
      <c r="H34" s="51" t="str">
        <v>MWh</v>
      </c>
      <c r="I34" s="47" t="str">
        <v>Input</v>
      </c>
      <c r="J34" s="51">
        <f>('Input - Electricity'!E23*10^-3)+'Input - Electricity'!$E$37</f>
        <v>20</v>
      </c>
    </row>
    <row r="35" spans="4:10" ht="20.100000000000001" customHeight="1" x14ac:dyDescent="0.25">
      <c r="D35" s="51" t="str">
        <v>REC_onsite</v>
      </c>
      <c r="E35" s="53" t="str">
        <v>Renewable Energy Certificates issued for electricity produced on-site during the year and consumed by the entity</v>
      </c>
      <c r="F35" s="111"/>
      <c r="G35" s="111"/>
      <c r="H35" s="51" t="str">
        <v>MWh</v>
      </c>
      <c r="I35" s="47" t="str">
        <v>Input</v>
      </c>
      <c r="J35" s="51">
        <f>'Input - Electricity'!$E$46</f>
        <v>11</v>
      </c>
    </row>
    <row r="36" spans="4:10" ht="20.100000000000001" customHeight="1" x14ac:dyDescent="0.25">
      <c r="D36" s="51" t="str">
        <v>EF_RMF2elec</v>
      </c>
      <c r="E36" s="53" t="str">
        <v>Scope 2 residual mix emission factor for electricity</v>
      </c>
      <c r="F36" s="111"/>
      <c r="G36" s="111"/>
      <c r="H36" s="51" t="str">
        <v>kg CO2e/kWh</v>
      </c>
      <c r="I36" s="46" t="str">
        <v>Constant</v>
      </c>
      <c r="J36" s="51" cm="1">
        <f t="array" ref="J36">Table_SourceData_ElectricityEFsMarketBased[Scope 2 EF (kg CO2-e/kWh)]</f>
        <v>0.81</v>
      </c>
    </row>
    <row r="37" spans="4:10" ht="20.100000000000001" customHeight="1" x14ac:dyDescent="0.25">
      <c r="D37" s="51" t="str">
        <v>i</v>
      </c>
      <c r="E37" s="53" t="str">
        <v>state</v>
      </c>
      <c r="F37" s="111"/>
      <c r="G37" s="52"/>
      <c r="H37" s="51" t="str">
        <v/>
      </c>
      <c r="I37" s="47" t="str">
        <v>Input</v>
      </c>
      <c r="J37" s="51" t="str">
        <f>'Input - Site'!E21</f>
        <v>Western Australia</v>
      </c>
    </row>
    <row r="38" spans="4:10" ht="20.100000000000001" customHeight="1" x14ac:dyDescent="0.25"/>
    <row r="39" spans="4:10" ht="20.100000000000001" customHeight="1" x14ac:dyDescent="0.25">
      <c r="D39" s="108" t="s">
        <v>117</v>
      </c>
      <c r="E39" s="110" cm="1">
        <f t="array" ref="E39">Electricity_Equations.VEERG_14_1_2__1_MarketBasedScopeElectricityEmissionsVariation(J31,J32,IF(ISNUMBER(J33), J33, 0),J34,J35,J36)</f>
        <v>14.580000000000002</v>
      </c>
      <c r="F39" s="121" t="str">
        <f>E29</f>
        <v>t CO2e</v>
      </c>
    </row>
    <row r="40" spans="4:10" ht="20.100000000000001" customHeight="1" x14ac:dyDescent="0.25">
      <c r="H40" s="1" t="s">
        <v>85</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48"/>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zoomScaleNormal="100" workbookViewId="0">
      <selection activeCell="A4" sqref="A4"/>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113</v>
      </c>
      <c r="AG1"/>
      <c r="AH1"/>
      <c r="AI1"/>
    </row>
    <row r="2" spans="1:35" s="9" customFormat="1" ht="20.100000000000001" customHeight="1" x14ac:dyDescent="0.25">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Electricity_SourceData.Electricity_Scope2Scope3LocationBased_Title()</f>
        <v>Electricity scope 2 and scope 3 location-based emission factors</v>
      </c>
    </row>
    <row r="6" spans="1:35" ht="20.100000000000001" customHeight="1" x14ac:dyDescent="0.25">
      <c r="A6" s="13"/>
      <c r="D6" s="5" t="str" cm="1">
        <f t="array" ref="D6">Electricity_SourceData.Electricity_Scope2Scope3LocationBased_Source()</f>
        <v>Australian National Greenhouse Accounts Factors 2025 - Table 1</v>
      </c>
      <c r="E6" s="19"/>
      <c r="F6" s="19"/>
    </row>
    <row r="7" spans="1:35" ht="20.100000000000001" customHeight="1" x14ac:dyDescent="0.25">
      <c r="A7" s="17" t="s">
        <v>1</v>
      </c>
      <c r="D7" s="32" t="str" cm="1">
        <f t="array" ref="D7">"⚠️" &amp; Electricity_SourceData.Electricity_Scope2Scope3LocationBased_Variation()</f>
        <v>⚠️VARIATION OF SOURCE DATA: NSW and ACT split into separate rows.</v>
      </c>
      <c r="E7" s="19"/>
      <c r="F7" s="19"/>
    </row>
    <row r="8" spans="1:35" ht="20.100000000000001" customHeight="1" x14ac:dyDescent="0.25">
      <c r="A8" s="14" t="str">
        <f>HYPERLINK("#'Input - Electricity'!A1", "Electricity")</f>
        <v>Electricity</v>
      </c>
      <c r="D8" s="19"/>
      <c r="E8" s="19"/>
      <c r="F8" s="19"/>
    </row>
    <row r="9" spans="1:35" ht="20.100000000000001" customHeight="1" x14ac:dyDescent="0.25">
      <c r="A9" s="14"/>
      <c r="D9" s="62" t="s">
        <v>114</v>
      </c>
      <c r="E9" s="62" t="s">
        <v>115</v>
      </c>
      <c r="F9" s="62" t="s">
        <v>116</v>
      </c>
    </row>
    <row r="10" spans="1:35" ht="20.100000000000001" customHeight="1" x14ac:dyDescent="0.25">
      <c r="A10" s="16" t="s">
        <v>45</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4" t="str">
        <f>HYPERLINK("#'14.1.1-2 Purchased electricity'!A1", "14.1.1-2 Purchased electricity")</f>
        <v>14.1.1-2 Purchased electricity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4"/>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5" t="s">
        <v>2</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61" t="str">
        <f>HYPERLINK("#'Constants - Electricity'!A1", "Constants - Electricity")</f>
        <v>Constants -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4" t="str">
        <f>HYPERLINK("#'Constants - Common'!A1", "Constants - Common")</f>
        <v>Constants - Common</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4"/>
    </row>
    <row r="21" spans="1:8" ht="20.100000000000001" customHeight="1" x14ac:dyDescent="0.25">
      <c r="A21" s="14"/>
      <c r="D21" s="6" t="str" cm="1">
        <f t="array" ref="D21">Electricity_SourceData.Electricity_Scope2Scope3MarketBased_Title()</f>
        <v>Electricity scope 2 and scope 3 market-based emission factors</v>
      </c>
    </row>
    <row r="22" spans="1:8" ht="20.100000000000001" customHeight="1" x14ac:dyDescent="0.25">
      <c r="D22" s="5" t="str" cm="1">
        <f t="array" ref="D22">Electricity_SourceData.Electricity_Scope2Scope3MarketBased_Source()</f>
        <v>Australian National Greenhouse Accounts Factors 2025 - Table 2a</v>
      </c>
    </row>
    <row r="23" spans="1:8" ht="20.100000000000001" customHeight="1" x14ac:dyDescent="0.25">
      <c r="A23" s="14"/>
    </row>
    <row r="24" spans="1:8" ht="20.100000000000001" customHeight="1" x14ac:dyDescent="0.25">
      <c r="D24" s="119" t="s">
        <v>114</v>
      </c>
      <c r="E24" s="119" t="s">
        <v>137</v>
      </c>
      <c r="F24" s="119" t="s">
        <v>138</v>
      </c>
      <c r="G24" s="119" t="s">
        <v>139</v>
      </c>
      <c r="H24" s="119" t="s">
        <v>140</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6AFB0-B4A9-4456-8FA3-C3E6CEB44C48}">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7" t="s">
        <v>6</v>
      </c>
      <c r="E6" s="27" t="s">
        <v>7</v>
      </c>
      <c r="F6" s="27" t="s">
        <v>8</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7" t="s">
        <v>9</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7" t="s">
        <v>11</v>
      </c>
      <c r="E36" s="27" t="s">
        <v>12</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7" t="s">
        <v>11</v>
      </c>
      <c r="E47" s="27" t="s">
        <v>14</v>
      </c>
      <c r="F47" s="27" t="s">
        <v>15</v>
      </c>
      <c r="G47" s="27" t="s">
        <v>16</v>
      </c>
      <c r="H47" s="27" t="s">
        <v>17</v>
      </c>
    </row>
    <row r="48" spans="1:8" ht="20.100000000000001" customHeight="1" x14ac:dyDescent="0.25">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4:8" ht="20.100000000000001" customHeight="1" x14ac:dyDescent="0.25">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4:8" ht="20.100000000000001" customHeight="1" x14ac:dyDescent="0.25">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4:8" ht="20.100000000000001" customHeight="1" x14ac:dyDescent="0.25">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4:8" ht="20.100000000000001" customHeight="1" x14ac:dyDescent="0.25">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4:8" ht="20.100000000000001" customHeight="1" x14ac:dyDescent="0.25">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4:8" ht="20.100000000000001" customHeight="1" x14ac:dyDescent="0.25">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2" t="str" cm="1">
        <f t="array" ref="D59:D61">"⚠️" &amp; Common_SourceData.Common_SourceData_WetAndDryZones_Variation()</f>
        <v>⚠️VARIATION OF SOURCE DATA:</v>
      </c>
    </row>
    <row r="60" spans="4:8" ht="20.100000000000001" customHeight="1" x14ac:dyDescent="0.25">
      <c r="D60" s="32" t="str">
        <v>⚠️Added warm / cool temperate moist / dry - low frost and high temp classes to accommodate climate scenarios excluded by VEERG criteria.</v>
      </c>
    </row>
    <row r="61" spans="4:8" ht="20.100000000000001" customHeight="1" x14ac:dyDescent="0.25">
      <c r="D61" s="32" t="str">
        <v>⚠️Fixed typo - Changed 'Fry' to 'Dry'.</v>
      </c>
    </row>
    <row r="62" spans="4:8" ht="20.100000000000001" customHeight="1" x14ac:dyDescent="0.25"/>
    <row r="63" spans="4:8" ht="20.100000000000001" customHeight="1" x14ac:dyDescent="0.25">
      <c r="D63" s="27" t="s">
        <v>4</v>
      </c>
      <c r="E63" s="27" t="s">
        <v>31</v>
      </c>
    </row>
    <row r="64" spans="4:8" ht="20.100000000000001" customHeight="1" x14ac:dyDescent="0.25">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2" t="str" cm="1">
        <f t="array" ref="D83:D87">"⚠️" &amp; Common_SourceData.Common_SourceData_ClimateZones_Variation()</f>
        <v>⚠️VARIATION OF SOURCE DATA:</v>
      </c>
    </row>
    <row r="84" spans="4:20" ht="20.100000000000001" customHeight="1" x14ac:dyDescent="0.25">
      <c r="D84" s="32" t="str">
        <v>⚠️Added warm / cool temperate moist / dry - low frost and high temp classes to accommodate climate scenarios excluded by VEERG criteria.</v>
      </c>
    </row>
    <row r="85" spans="4:20" ht="20.100000000000001" customHeight="1" x14ac:dyDescent="0.25">
      <c r="D85" s="32" t="str">
        <v>⚠️Fixed typo in MAT value for warm temperate dry - changed 10 to 11.</v>
      </c>
    </row>
    <row r="86" spans="4:20" ht="20.100000000000001" customHeight="1" x14ac:dyDescent="0.25">
      <c r="D86" s="32" t="str">
        <v>⚠️Added min and max columns for MAT, MAP, frost days per year, elevation, MAP:PET to calculate zones from real climate data.</v>
      </c>
    </row>
    <row r="87" spans="4:20" ht="20.100000000000001" customHeight="1" x14ac:dyDescent="0.25">
      <c r="D87" s="32" t="str">
        <v>⚠️GAF accepts rainfall as a proxy for precipitation.</v>
      </c>
    </row>
    <row r="88" spans="4:20" ht="20.100000000000001" customHeight="1" x14ac:dyDescent="0.25"/>
    <row r="89" spans="4:20" ht="20.100000000000001" customHeight="1" x14ac:dyDescent="0.25">
      <c r="D89" s="27" t="s">
        <v>4</v>
      </c>
      <c r="E89" s="27" t="s">
        <v>19</v>
      </c>
      <c r="F89" s="27" t="s">
        <v>20</v>
      </c>
      <c r="G89" s="27" t="s">
        <v>21</v>
      </c>
      <c r="H89" s="27" t="s">
        <v>22</v>
      </c>
      <c r="I89" s="27" t="s">
        <v>23</v>
      </c>
      <c r="J89" s="27" t="s">
        <v>24</v>
      </c>
      <c r="K89" s="27" t="s">
        <v>25</v>
      </c>
      <c r="L89" s="27" t="s">
        <v>26</v>
      </c>
      <c r="M89" s="27" t="s">
        <v>27</v>
      </c>
      <c r="N89" s="27" t="s">
        <v>28</v>
      </c>
      <c r="O89" s="27" t="s">
        <v>32</v>
      </c>
      <c r="P89" s="27" t="s">
        <v>29</v>
      </c>
      <c r="Q89" s="27" t="s">
        <v>33</v>
      </c>
      <c r="R89" s="27" t="s">
        <v>30</v>
      </c>
      <c r="S89" s="27" t="s">
        <v>34</v>
      </c>
      <c r="T89" s="27"/>
    </row>
    <row r="90" spans="4:20" ht="20.100000000000001" customHeight="1" x14ac:dyDescent="0.25">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4:20" ht="20.100000000000001" customHeight="1" x14ac:dyDescent="0.25">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4:20" ht="20.100000000000001" customHeight="1" x14ac:dyDescent="0.25">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4:20" ht="20.100000000000001" customHeight="1" x14ac:dyDescent="0.25">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4:20" ht="20.100000000000001" customHeight="1" x14ac:dyDescent="0.25">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4:20" ht="20.100000000000001" customHeight="1" x14ac:dyDescent="0.2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4:20" ht="20.100000000000001" customHeight="1" x14ac:dyDescent="0.25">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4:20" ht="20.100000000000001" customHeight="1" x14ac:dyDescent="0.25">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4:20" ht="20.100000000000001" customHeight="1" x14ac:dyDescent="0.25"/>
    <row r="99" spans="4:20" ht="20.100000000000001" customHeight="1" x14ac:dyDescent="0.25">
      <c r="D99" s="31" t="str" cm="1">
        <f t="array" ref="D99:D102">Common_SourceData.Common_SourceData_ClimateZones_Appendices()</f>
        <v>Note:</v>
      </c>
    </row>
    <row r="100" spans="4:20" ht="20.100000000000001" customHeight="1" x14ac:dyDescent="0.25">
      <c r="D100" s="31" t="str">
        <v>MAT = mean annual temperature</v>
      </c>
    </row>
    <row r="101" spans="4:20" ht="20.100000000000001" customHeight="1" x14ac:dyDescent="0.25">
      <c r="D101" s="31" t="str">
        <v>MAP = mean annual precipitation</v>
      </c>
    </row>
    <row r="102" spans="4:20" ht="20.100000000000001" customHeight="1" x14ac:dyDescent="0.25">
      <c r="D102" s="31" t="str">
        <v>PET = potential evapotranspiration</v>
      </c>
    </row>
    <row r="103" spans="4:20" ht="20.100000000000001" customHeight="1" x14ac:dyDescent="0.25">
      <c r="D103" s="31"/>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7" t="s">
        <v>36</v>
      </c>
      <c r="E109" s="27" t="s">
        <v>19</v>
      </c>
      <c r="F109" s="27" t="s">
        <v>37</v>
      </c>
      <c r="G109" s="27" t="s">
        <v>38</v>
      </c>
    </row>
    <row r="110" spans="4:20" ht="20.100000000000001" customHeight="1" x14ac:dyDescent="0.25">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4:20" ht="20.100000000000001" customHeight="1" x14ac:dyDescent="0.25">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2"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7" t="s">
        <v>39</v>
      </c>
      <c r="E119" s="27" t="s">
        <v>40</v>
      </c>
      <c r="F119" s="27" t="s">
        <v>26</v>
      </c>
      <c r="G119" s="27" t="s">
        <v>27</v>
      </c>
      <c r="BN119" s="7"/>
    </row>
    <row r="120" spans="4:66" ht="20.100000000000001" customHeight="1" x14ac:dyDescent="0.25">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7" t="s">
        <v>41</v>
      </c>
      <c r="E127" s="27" t="s">
        <v>42</v>
      </c>
    </row>
    <row r="128" spans="4:66" ht="20.100000000000001" customHeight="1" x14ac:dyDescent="0.25">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2"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7" t="s">
        <v>57</v>
      </c>
      <c r="E142" s="27" t="s">
        <v>48</v>
      </c>
      <c r="BN142" s="7"/>
    </row>
    <row r="143" spans="4:77" ht="20.100000000000001" customHeight="1" x14ac:dyDescent="0.25">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7" t="s">
        <v>43</v>
      </c>
      <c r="E153" s="27" t="s">
        <v>44</v>
      </c>
      <c r="BC153" s="3"/>
      <c r="BD153" s="3"/>
      <c r="BE153" s="3"/>
      <c r="BF153" s="3"/>
      <c r="BG153" s="3"/>
      <c r="BH153" s="3"/>
      <c r="BI153" s="3"/>
      <c r="BJ153" s="3"/>
      <c r="BK153" s="3"/>
      <c r="BL153" s="3"/>
      <c r="BM153" s="3"/>
    </row>
    <row r="154" spans="4:66" ht="20.100000000000001" customHeight="1" x14ac:dyDescent="0.25">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4:66" ht="20.100000000000001" customHeight="1" x14ac:dyDescent="0.25">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4:66" ht="20.100000000000001" customHeight="1" x14ac:dyDescent="0.25">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1"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1" t="str" cm="1">
        <f t="array" ref="D180">Common_SourceData.Common_SourceData_EFN2O_Unit()</f>
        <v>(kg N2O-N / kg N</v>
      </c>
    </row>
    <row r="181" spans="4:68" ht="20.100000000000001" customHeight="1" x14ac:dyDescent="0.25">
      <c r="D181" s="32" t="str" cm="1">
        <f t="array" ref="D181:D185">Common_SourceData.Common_SourceData_EFN2O_Variation()</f>
        <v>VARIATION OF SOURCE DATA:</v>
      </c>
    </row>
    <row r="182" spans="4:68" ht="20.100000000000001" customHeight="1" x14ac:dyDescent="0.25">
      <c r="D182" s="32" t="str">
        <v>Removed duplicate 'Aquaculture' row.</v>
      </c>
    </row>
    <row r="183" spans="4:68" ht="20.100000000000001" customHeight="1" x14ac:dyDescent="0.25">
      <c r="D183" s="32" t="str">
        <v>Removed asterisks to aid lookup.</v>
      </c>
    </row>
    <row r="184" spans="4:68" ht="20.100000000000001" customHeight="1" x14ac:dyDescent="0.25">
      <c r="D184" s="32" t="str">
        <v>Added 'production system only', 'rainfall zone' and 'irrigation method' columns to aid lookup.</v>
      </c>
    </row>
    <row r="185" spans="4:68" ht="20.100000000000001" customHeight="1" x14ac:dyDescent="0.25">
      <c r="D185" s="32" t="str">
        <v>Duplicated 'non-irrigated pasture' row with same EF for low and high rainfall zones to aid lookup.</v>
      </c>
    </row>
    <row r="186" spans="4:68" ht="20.100000000000001" customHeight="1" x14ac:dyDescent="0.25">
      <c r="D186" s="27" t="s">
        <v>51</v>
      </c>
      <c r="E186" s="27" t="s">
        <v>52</v>
      </c>
      <c r="F186" s="27" t="s">
        <v>53</v>
      </c>
      <c r="G186" s="27" t="s">
        <v>54</v>
      </c>
      <c r="H186" s="27" t="s">
        <v>18</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2" t="str" cm="1">
        <f t="array" ref="D204">Common_SourceData.Common_SourceData_EFPastureRangeAndPaddock_Variation()</f>
        <v>VARIATION FROM SOURCE DATA: Changed 'Dry climate zones' to singular 'Dry climate zone' to aid lookup.</v>
      </c>
    </row>
    <row r="205" spans="4:8" x14ac:dyDescent="0.25">
      <c r="D205" s="31" t="str" cm="1">
        <f t="array" ref="D205">Common_SourceData.Common_SourceData_EFPastureRangeAndPaddock_Unit()</f>
        <v>kg N2O - N / kg N</v>
      </c>
    </row>
    <row r="206" spans="4:8" x14ac:dyDescent="0.25">
      <c r="D206" s="27" t="s">
        <v>4</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56</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35</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1"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XABuAFwAbgBcAG4ALwAqAFwAbgA9AD0APQA9AD0APQA9AD0APQA9AD0APQA9AD0APQA9AD0APQA9AD0APQA9AD0APQA9AD0APQA9AD0APQA9AD0APQA9AD0APQA9AD0APQA9AD0APQA9AD0APQA9AD0APQA9AD0APQA9AD0APQA9AD0APQA9AD0APQA9AD0APQA9AD0APQA9AD0APQA9AD0APQA9AD0APQA9AFwAbgBSAGUAcwBpAGQAdQBhAGwAIABNAGkAeAAgAEYAYQBjAHQAbwByACAAZgBvAHIAIABtAGEAcgBrAGUAdAAtAGIAYQBzAGUAZAAgAGUAcQB1AGEAdABpAG8AbgBz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NAGEAcgBrAGUAdABCAGEAcwBlAGQAXwBUAGkAdABsAGUAXABuAD0ATABBAE0AQgBEAEEAKAAoAFwAIgBFAGwAZQBjAHQAcgBpAGMAaQB0AHkAIABzAGMAbwBwAGUAIAAyACAAYQBuAGQAIABzAGMAbwBwAGUAIAAzACAAbQBhAHIAawBlAHQALQBiAGEAcwBlAGQAIABlAG0AaQBzAHMAaQBvAG4AIABmAGEAYwB0AG8AcgBzAFwAIgApACkAOwBcAG4AXABuAEUAbABlAGMAdAByAGkAYwBpAHQAeQBfAFMAYwBvAHAAZQAyAE0AYQByAGsAZQB0AEIAYQBzAGUAZABfAEQAZQBzAGMAcgBpAHAAdABpAG8AbgBcAG4APQBMAEEATQBCAEQAQQAoACgAXAAiAFQAYQBiAGwAZQAgADIAYQAgAEkAbgBkAGkAcgBlAGMAdAAgACgAcwBjAG8AcABlACAAMgAgAGEAbgBkACAAcwBjAG8AcABlACAAMwApACAAZQBtAGkAcwBzAGkAbwBuACAAZgBhAGMAdABvAHIAcwAgAGYAcgBvAG0AIABjAG8AbgBzAHUAbQBwAHQAaQBvAG4AIABvAGYAIABwAHUAcgBjAGgAYQBzAGUAZAAgAG8AcgAgAGEAYwBxAHUAaQByAGUAZAAgAGUAbABlAGMAdAByAGkAYwBpAHQAeQA6ACAAbQBhAHIAawBlAHQALQBiAGEAcwBlAGQAIABmAGEAYwB0AG8AcgBzACAAXAAiACkAKQA7AFwAbgBcAG4ARQBsAGUAYwB0AHIAaQBjAGkAdAB5AF8AUwBjAG8AcABlADIAUwBjAG8AcABlADMATQBhAHIAawBlAHQAQgBhAHMAZQBkAF8AUwBvAHUAcgBjAGUAXABuAD0ATABBAE0AQgBEAEEAKAAoAFwAIgBBAHUAcwB0AHIAYQBsAGkAYQBuACAATgBhAHQAaQBvAG4AYQBsACAARwByAGUAZQBuAGgAbwB1AHMAZQAgAEEAYwBjAG8AdQBuAHQAcwAgAEYAYQBjAHQAbwByAHMAIAAyADAAMgA1ACAALQAgAFQAYQBiAGwAZQAgADIAYQBcACIAKQApADsAXABuAFwAbgBFAGwAZQBjAHQAcgBpAGMAaQB0AHkAXwBTAGMAbwBwAGUAMgBTAGMAbwBwAGUAMwBNAGEAcgBrAGUAdABCAGEAcwBlAGQAXwBEAGEAdABhAFwAbgA9AEwAQQBNAEIARABBACgAXABuACAAIABNAEEASwBFAEEAUgBSAEEAWQAoADIALAAgADU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gAgAEUAbQBpAHMAcwBpAG8AbgAgAEYAYQBjAHQAbwByAHMAIAAoAGsAZwAgAEMATwAyAC0AZQAvAEcASgApAFwAIgAsACAAXAAiAFMAYwBvAHAAZQAgADMAIABFAG0AaQBzAHMAaQBvAG4AIABGAGEAYwB0AG8AcgBzACAAKABrAGcAIABDAE8AMgAgAC0AIABlACAALwAgAGsAVwBoACkAXAAiACwAIABcACIAUwBjAG8AcABlACAAMwAgAEUAbQBpAHMAcwBpAG8AbgAgAEYAYQBjAHQAbwByAHMAIAAoAGsAZwAgAEMATwAyACAALQAgAGUAIAAvACAARwBKACkAXAAiADsAXABuACAAIAAgACAAIAAgACAAIABcACIATgBhAHQAaQBvAG4AYQBsAFwAIgAsACAAMAAuADgAMQAsACAAMgAyADYALAAgADAALgAxADAALAAgADIAOQBcAG4AIAAgACAAIAAgACAAfQAsACAAcgAsACAAYwApAFwAbgApACkAKQA7AFwAbgBcAG4ARQBsAGUAYwB0AHIAaQBjAGkAdAB5AF8AUwBjAG8AcABlADIAUwBjAG8AcABlADMATQBhAHIAawBlAHQAQgBhAHMAZQBkAF8AVgBhAHIAaQBhAHQAaQBvAG4AXABuAD0ATABBAE0AQgBEAEEAKAAoAFwAIgBcACIAKQApADs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RQBsAGUAYwB0AHIAaQBjAGkAdAB5AF8AUwBvAHUAcgBjAGUARABhAHQAYQAuAEUAbABlAGMAdAByAGkAYwBpAHQAeQBfAFMAYwBvAHAAZQAyAFMAYwBvAHAAZQAzAEwAbwBjAGEAdABpAG8AbgBCAGEAcwBlAGQAXwBUAGkAdABsAGUAIgAsACIARQBsAGUAYwB0AHIAaQBjAGkAdAB5AF8AUwBvAHUAcgBjAGUARABhAHQAYQAuAEUAbABlAGMAdAByAGkAYwBpAHQAeQBfAFMAYwBvAHAAZQAyAEwAbwBjAGEAdABpAG8AbgBCAGEAcwBlAGQAXwBEAGUAcwBjAHIAaQBwAHQAaQBvAG4AIgAsACIARQBsAGUAYwB0AHIAaQBjAGkAdAB5AF8AUwBvAHUAcgBjAGUARABhAHQAYQAuAEUAbABlAGMAdAByAGkAYwBpAHQAeQBfAFMAYwBvAHAAZQAyAFMAYwBvAHAAZQAzAEwAbwBjAGEAdABpAG8AbgBCAGEAcwBlAGQAXwBTAG8AdQByAGMAZQAiACwAIgBFAGwAZQBjAHQAcgBpAGMAaQB0AHkAXwBTAG8AdQByAGMAZQBEAGEAdABhAC4ARQBsAGUAYwB0AHIAaQBjAGkAdAB5AF8AUwBjAG8AcABlADIAUwBjAG8AcABlADMATABvAGMAYQB0AGkAbwBuAEIAYQBzAGUAZABfAEQAYQB0AGEAIgAsACIARQBsAGUAYwB0AHIAaQBjAGkAdAB5AF8AUwBvAHUAcgBjAGUARABhAHQAYQAuAEUAbABlAGMAdAByAGkAYwBpAHQAeQBfAFMAYwBvAHAAZQAyAFMAYwBvAHAAZQAzAEwAbwBjAGEAdABpAG8AbgBCAGEAcwBlAGQAXwBWAGEAcgBpAGEAdABpAG8AbgAiACwAIgBFAGwAZQBjAHQAcgBpAGMAaQB0AHkAXwBTAG8AdQByAGMAZQBEAGEAdABhAC4ARQBsAGUAYwB0AHIAaQBjAGkAdAB5AF8AUwBjAG8AcABlADIAUwBjAG8AcABlADMATQBhAHIAawBlAHQAQgBhAHMAZQBkAF8AVABpAHQAbABlACIALAAiAEUAbABlAGMAdAByAGkAYwBpAHQAeQBfAFMAbwB1AHIAYwBlAEQAYQB0AGEALgBFAGwAZQBjAHQAcgBpAGMAaQB0AHkAXwBTAGMAbwBwAGUAMgBNAGEAcgBrAGUAdABCAGEAcwBlAGQAXwBEAGUAcwBjAHIAaQBwAHQAaQBvAG4AIgAsACIARQBsAGUAYwB0AHIAaQBjAGkAdAB5AF8AUwBvAHUAcgBjAGUARABhAHQAYQAuAEUAbABlAGMAdAByAGkAYwBpAHQAeQBfAFMAYwBvAHAAZQAyAFMAYwBvAHAAZQAzAE0AYQByAGsAZQB0AEIAYQBzAGUAZABfAFMAbwB1AHIAYwBlACIALAAiAEUAbABlAGMAdAByAGkAYwBpAHQAeQBfAFMAbwB1AHIAYwBlAEQAYQB0AGEALgBFAGwAZQBjAHQAcgBpAGMAaQB0AHkAXwBTAGMAbwBwAGUAMgBTAGMAbwBwAGUAMwBNAGEAcgBrAGUAdABCAGEAcwBlAGQAXwBEAGEAdABhACIALAAiAEUAbABlAGMAdAByAGkAYwBpAHQAeQBfAFMAbwB1AHIAYwBlAEQAYQB0AGEALgBFAGwAZQBjAHQAcgBpAGMAaQB0AHkAXwBTAGMAbwBwAGUAMgBTAGMAbwBwAGUAMwBNAGEAcgBrAGUAdABCAGEAcwBlAGQAXwBWAGEAcgBpAGEAdABpAG8AbgAiACwAIgBFAGwAZQBjAHQAcgBpAGMAaQB0AHkAXwBFAHEAdQBhAHQAaQBvAG4AcwAuAFYARQBFAFIARwBfADEANABfADEAXwAxAF8AXwAxAF8ATABvAGMAYQB0AGkAbwBuAEIAYQBzAGUAZABTAGMAbwBwAGUARQBsAGUAYwB0AHIAaQBjAGkAdAB5AEUAbQBpAHMAcwBpAG8AbgBzACIALAAiAEUAbABlAGMAdAByAGkAYwBpAHQAeQBfAEUAcQB1AGEAdABpAG8AbgBzAC4AVgBFAEUAUgBHAF8AMQA0AF8AMQBfADEAXwBfADEAXwBMAG8AYwBhAHQAaQBvAG4AQgBhAHMAZQBkAFMAYwBvAHAAZQBFAGwAZQBjAHQAcgBpAGMAaQB0AHkARQBtAGkAcwBzAGkAbwBuAHMAXwBUAGkAdABsAGUAIgAsACIARQBsAGUAYwB0AHIAaQBjAGkAdAB5AF8ARQBxAHUAYQB0AGkAbwBuAHMALgBWAEUARQBSAEcAXwAxADQAXwAxAF8AMQBfAF8AMQBfAEwAbwBjAGEAdABpAG8AbgBCAGEAcwBlAGQAUwBjAG8AcABlAEUAbABlAGMAdAByAGkAYwBpAHQAeQBFAG0AaQBzAHMAaQBvAG4AcwBfAFYAYQByAGkAYQBiAGwAZQAiACwAIgBFAGwAZQBjAHQAcgBpAGMAaQB0AHkAXwBFAHEAdQBhAHQAaQBvAG4AcwAuAFYARQBFAFIARwBfADEANABfADEAXwAxAF8AXwAxAF8ATABvAGMAYQB0AGkAbwBuAEIAYQBzAGUAZABTAGMAbwBwAGUARQBsAGUAYwB0AHIAaQBjAGkAdAB5AEUAbQBpAHMAcwBpAG8AbgBzAF8AVQBuAGkAdAAiACwAIgBFAGwAZQBjAHQAcgBpAGMAaQB0AHkAXwBFAHEAdQBhAHQAaQBvAG4AcwAuAFYARQBFAFIARwBfADEANABfADEAXwAxAF8AXwAxAF8ATABvAGMAYQB0AGkAbwBuAEIAYQBzAGUAZABTAGMAbwBwAGUARQBsAGUAYwB0AHIAaQBjAGkAdAB5AEUAbQBpAHMAcwBpAG8AbgBzAF8AUwBvAHUAcgBjAGUAIgAsACIARQBsAGUAYwB0AHIAaQBjAGkAdAB5AF8ARQBxAHUAYQB0AGkAbwBuAHMALgBWAEUARQBSAEcAXwAxADQAXwAxAF8AMQBfAF8AMQBfAEwAbwBjAGEAdABpAG8AbgBCAGEAcwBlAGQAUwBjAG8AcABlAEUAbABlAGMAdAByAGkAYwBpAHQAeQBFAG0AaQBzAHMAaQBvAG4AcwBfAE4ASQBSAFIAZQBmAGUAcgBlAG4AYwBlACIALAAiAEUAbABlAGMAdAByAGkAYwBpAHQAeQBfAEUAcQB1AGEAdABpAG8AbgBzAC4AVgBFAEUAUgBHAF8AMQA0AF8AMQBfADEAXwBfADEAXwBMAG8AYwBhAHQAaQBvAG4AQgBhAHMAZQBkAFMAYwBvAHAAZQBFAGwAZQBjAHQAcgBpAGMAaQB0AHkARQBtAGkAcwBzAGkAbwBuAHMAXwBMAGEAdABlAHgARQBxAHUAYQB0AGkAbwBuACIALAAiAEUAbABlAGMAdAByAGkAYwBpAHQAeQBfAEUAcQB1AGEAdABpAG8AbgBzAC4AVgBFAEUAUgBHAF8AMQA0AF8AMQBfADEAXwBfADEAXwBMAG8AYwBhAHQAaQBvAG4AQgBhAHMAZQBkAFMAYwBvAHAAZQBFAGwAZQBjAHQAcgBpAGMAaQB0AHkARQBtAGkAcwBzAGkAbwBuAHMAXwBBAHIAZwB1AG0AZQBuAHQAcwAiACwAIgBFAGwAZQBjAHQAcgBpAGMAaQB0AHkAXwBFAHEAdQBhAHQAaQBvAG4AcwAuAFYARQBFAFIARwBfADEANABfADEAXwAxAF8AXwAxAF8ATABvAGMAYQB0AGkAbwBuAEIAYQBzAGUAZABTAGMAbwBwAGUARQBsAGUAYwB0AHIAaQBjAGkAdAB5AEUAbQBpAHMAcwBpAG8AbgBzAF8AVgBhAHIAaQBhAHQAaQBvAG4AIgAsACIARQBsAGUAYwB0AHIAaQBjAGkAdAB5AF8ARQBxAHUAYQB0AGkAbwBuAHMALgBWAEUARQBSAEcAXwAxADQAXwAxAF8AMgBfAF8AMQBfAE0AYQByAGsAZQB0AEIAYQBzAGUAZABTAGMAbwBwAGUARQBsAGUAYwB0AHIAaQBjAGkAdAB5AEUAbQBpAHMAcwBpAG8AbgBzACIALAAiAEUAbABlAGMAdAByAGkAYwBpAHQAeQBfAEUAcQB1AGEAdABpAG8AbgBzAC4AVgBFAEUAUgBHAF8AMQA0AF8AMQBfADIAXwBfADEAXwBNAGEAcgBrAGUAdABCAGEAcwBlAGQAUwBjAG8AcABlAEUAbABlAGMAdAByAGkAYwBpAHQAeQBFAG0AaQBzAHMAaQBvAG4AcwBWAGEAcgBpAGEAdABpAG8AbgAiACwAIgBFAGwAZQBjAHQAcgBpAGMAaQB0AHkAXwBFAHEAdQBhAHQAaQBvAG4AcwAuAFYARQBFAFIARwBfADEANABfADEAXwAyAF8AXwAxAF8ATQBhAHIAawBlAHQAQgBhAHMAZQBkAFMAYwBvAHAAZQBFAGwAZQBjAHQAcgBpAGMAaQB0AHkARQBtAGkAcwBzAGkAbwBuAHMAXwBUAGkAdABsAGUAIgAsACIARQBsAGUAYwB0AHIAaQBjAGkAdAB5AF8ARQBxAHUAYQB0AGkAbwBuAHMALgBWAEUARQBSAEcAXwAxADQAXwAxAF8AMgBfAF8AMQBfAE0AYQByAGsAZQB0AEIAYQBzAGUAZABTAGMAbwBwAGUARQBsAGUAYwB0AHIAaQBjAGkAdAB5AEUAbQBpAHMAcwBpAG8AbgBzAF8AVgBhAHIAaQBhAGIAbABlACIALAAiAEUAbABlAGMAdAByAGkAYwBpAHQAeQBfAEUAcQB1AGEAdABpAG8AbgBzAC4AVgBFAEUAUgBHAF8AMQA0AF8AMQBfADIAXwBfADEAXwBNAGEAcgBrAGUAdABCAGEAcwBlAGQAUwBjAG8AcABlAEUAbABlAGMAdAByAGkAYwBpAHQAeQBFAG0AaQBzAHMAaQBvAG4AcwBfAFUAbgBpAHQAIgAsACIARQBsAGUAYwB0AHIAaQBjAGkAdAB5AF8ARQBxAHUAYQB0AGkAbwBuAHMALgBWAEUARQBSAEcAXwAxADQAXwAxAF8AMgBfAF8AMQBfAE0AYQByAGsAZQB0AEIAYQBzAGUAZABTAGMAbwBwAGUARQBsAGUAYwB0AHIAaQBjAGkAdAB5AEUAbQBpAHMAcwBpAG8AbgBzAF8AUwBvAHUAcgBjAGUAIgAsACIARQBsAGUAYwB0AHIAaQBjAGkAdAB5AF8ARQBxAHUAYQB0AGkAbwBuAHMALgBWAEUARQBSAEcAXwAxADQAXwAxAF8AMgBfAF8AMQBfAE0AYQByAGsAZQB0AEIAYQBzAGUAZABTAGMAbwBwAGUARQBsAGUAYwB0AHIAaQBjAGkAdAB5AEUAbQBpAHMAcwBpAG8AbgBzAF8ATgBJAFIAUgBlAGYAZQByAGUAbgBjAGUAIgAsACIARQBsAGUAYwB0AHIAaQBjAGkAdAB5AF8ARQBxAHUAYQB0AGkAbwBuAHMALgBWAEUARQBSAEcAXwAxADQAXwAxAF8AMgBfAF8AMQBfAE0AYQByAGsAZQB0AEIAYQBzAGUAZABTAGMAbwBwAGUARQBsAGUAYwB0AHIAaQBjAGkAdAB5AEUAbQBpAHMAcwBpAG8AbgBzAF8ATABhAHQAZQB4AEUAcQB1AGEAdABpAG8AbgAiACwAIgBFAGwAZQBjAHQAcgBpAGMAaQB0AHkAXwBFAHEAdQBhAHQAaQBvAG4AcwAuAFYARQBFAFIARwBfADEANABfADEAXwAyAF8AXwAxAF8ATQBhAHIAawBlAHQAQgBhAHMAZQBkAFMAYwBvAHAAZQBFAGwAZQBjAHQAcgBpAGMAaQB0AHkARQBtAGkAcwBzAGkAbwBuAHMAVgBhAHIAaQBhAHQAaQBvAG4AXwBMAGEAdABlAHgARQBxAHUAYQB0AGkAbwBuACIALAAiAEUAbABlAGMAdAByAGkAYwBpAHQAeQBfAEUAcQB1AGEAdABpAG8AbgBzAC4AVgBFAEUAUgBHAF8AMQA0AF8AMQBfADIAXwBfADEAXwBNAGEAcgBrAGUAdABCAGEAcwBlAGQAUwBjAG8AcABlAEUAbABlAGMAdAByAGkAYwBpAHQAeQBFAG0AaQBzAHMAaQBvAG4AcwBfAEEAcgBnAHUAbQBlAG4AdABzACIALAAiAEUAbABlAGMAdAByAGkAYwBpAHQAeQBfAEUAcQB1AGEAdABpAG8AbgBzAC4AVgBFAEUAUgBHAF8AMQA0AF8AMQBfADIAXwBfADEAXwBNAGEAcgBrAGUAdABCAGEAcwBlAGQAUwBjAG8AcABlAEUAbABlAGMAdAByAGkAYwBpAHQAeQBFAG0AaQBzAHMAaQ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B9AA==</AFEJSONBlob>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Home</vt:lpstr>
      <vt:lpstr>Overview</vt:lpstr>
      <vt:lpstr>Results</vt:lpstr>
      <vt:lpstr>Input - Site</vt:lpstr>
      <vt:lpstr>Input - Electricity</vt:lpstr>
      <vt:lpstr>14.1.1-2 Purchased electricity</vt:lpstr>
      <vt:lpstr>Constants - Electricity</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2026-06-10T01:51:10Z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