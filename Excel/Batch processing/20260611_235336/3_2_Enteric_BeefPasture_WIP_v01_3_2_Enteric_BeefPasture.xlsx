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Batch processing\20260611_235336\"/>
    </mc:Choice>
  </mc:AlternateContent>
  <xr:revisionPtr revIDLastSave="0" documentId="13_ncr:1_{8730E542-58D7-45C9-B2E1-5E496FBD1F66}" xr6:coauthVersionLast="47" xr6:coauthVersionMax="47" xr10:uidLastSave="{00000000-0000-0000-0000-000000000000}"/>
  <bookViews>
    <workbookView xWindow="1020" yWindow="0" windowWidth="37140" windowHeight="20475" activeTab="3" xr2:uid="{992023F3-CAB7-4E5B-A348-08D563A0EF40}"/>
  </bookViews>
  <sheets>
    <sheet name="Home" sheetId="71" r:id="rId1"/>
    <sheet name="Results" sheetId="13" r:id="rId2"/>
    <sheet name="Input - Site" sheetId="15" r:id="rId3"/>
    <sheet name="Input - Pasture Beef" sheetId="70" r:id="rId4"/>
    <sheet name="3.2.1.1-2 Enteric Methane" sheetId="69" r:id="rId5"/>
    <sheet name="Constants - Pasture Beef" sheetId="79" r:id="rId6"/>
    <sheet name="Constants - Common" sheetId="107" r:id="rId7"/>
    <sheet name="Constants - Livestock" sheetId="43" r:id="rId8"/>
    <sheet name="Acknowledgements" sheetId="72" r:id="rId9"/>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_xlfn.LAMBDA("MA_{jk=4,5}=((LC_{jk=4,5}\times FA_{jk=4,5,calv})+(LC_{jk=4,5}\times FA_{jk=4,5,after}))+(1-(LC_{jk=4,5}+LC_{jk=4,5}))")</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_xlfn.LAMBDA(_xlpm.LC_jk45,_xlpm.FA_jk45calv,_xlpm.FA_jk45after, ((_xlpm.LC_jk45 * _xlpm.FA_jk45calv) + (_xlpm.LC_jk45 * _xlpm.FA_jk45after)) + (1 - (_xlpm.LC_jk45 + _xlpm.LC_jk45)))</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2, _xlfn.LAMBDA(_xlpm.r,_xlpm.c, INDEX({"M_vol","mass of nitrogen volatilised from urine and faeces deposited on pasture (kg N)";"EF_N2O","nitrous oxide emission factor for atmospheric deposition (kg N2O-N/kg N)";"C_N2O","factor to convert elemental mass of N2O to molecular mass";"j","production system";"i","irrigation method";"r","rainfall zone"},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2, _xlfn.LAMBDA(_xlpm.r,_xlpm.c, INDEX({"AE","total mass of nitrogen excreted on PRP for beef cattle (kg N)";"FracGASMsoil","fraction of nitrogen volatilised from urine and faeces deposited on pasture ((kg NH3-N + NOx-N)/kg N)"},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2, _xlfn.LAMBDA(_xlpm.r,_xlpm.c, INDEX({"M_leach","mass of nitrogen lost to leaching and runoff (kg N)";"EF_leach","emission factor for leaching and runoff (kg N2O-N/kg N)";"C_N2O","factor to convert elemental mass of N2O to molecular mass"},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2, _xlfn.LAMBDA(_xlpm.r,_xlpm.c, INDEX({"AE","total mass of nitrogen excreted on PRP for beef cattle (kg N)";"FracWet","fraction of N available for leaching and runoff";"FracLEACH","fraction of all N that is lost through leaching and runoff";"z","location in leaching zone";"j","production system";"ir","irrigation method"},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2, _xlfn.LAMBDA(_xlpm.r,_xlpm.c, INDEX({"AE","total mass of nitrogen excreted on PRP for beef cattle (kg N)";"EF_PRP","emission factor for nitrous oxide from urine and dung deposited to soil (kg N2O-N/kg N deposited)";"C_N2O","factor to convert elemental mass of nitrous oxide to molecular mass";"z","wet or dry climate zone"},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2, _xlfn.LAMBDA(_xlpm.r,_xlpm.c, INDEX({"N_jkl","number of beef cattle by time-period, class and subclass (head)";"NE_jkl","nitrogen excreted in each time-period, by each class and subclass (kg N/head/day)";"D_j","number of days in each time-period (days)"},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2, _xlfn.LAMBDA(_xlpm.r,_xlpm.c, INDEX({"I_jkl","dry matter intake as calculated in Chapter 3 Section 3.2.1 (kg DM/head/day)";"CP_j","crude protein content of dry matter intake";"MC_jk136","milk intake (kg/head/day)";"NR_jkl","the amount of nitrogen retained by the body (kg N/head/day)";"W_jkl","liveweight (kg/head)";"b","breed of cattle";"s","Calving season"},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definedName>
    <definedName name="MMS_PastureBeef_Soil_N2ODirect_Equations.VEERG_4_2_1_3__4_NitrogenRetainedByBody_Arguments">_xlfn.LAMBDA(_xlfn.MAKEARRAY(4, 2, _xlfn.LAMBDA(_xlpm.r,_xlpm.c, INDEX({"MP_jk5","milk production (kg/head/day)";"L_jkl","intake relative to that needed for maintenance";"Z_jkl","relative size";"LWG_jkl","liveweight gain (kg/head/day)"},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2, _xlfn.LAMBDA(_xlpm.r,_xlpm.c, INDEX({"LC_jk5","proportion of cows greater than 2 years lactating for the season of calving and season after calving expressed as a fraction";"DMP_jk5","daily milk production (kg/head/day)";"b","breed of cattle"}, _xlpm.r, _xlpm.c))))</definedName>
    <definedName name="MMS_PastureBeef_Soil_N2ODirect_Equations.VEERG_4_2_1_3__5_MilkProductionForCalvingSeason_ArgumentsVariation">_xlfn.LAMBDA(_xlfn.MAKEARRAY(5, 2, _xlfn.LAMBDA(_xlpm.r,_xlpm.c, INDEX({"LC_jk5curr","proportion of cows greater than 2 years lactating for the season of calving";"LC_jk5prev","proportion of cows greater than 2 years lactating for the season after calving";"DMP_jk5calv","daily milk production for the season of calving (kg/head/day)";"DMP_jk5after","daily milk production for the season after calving (kg/head/day)";"b","breed of cattle"},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2, _xlfn.LAMBDA(_xlpm.r,_xlpm.c, INDEX({"I_jkl","dry matter intake as calculated in Chapter 3 Section 3.2.1 (kg DM/head/day)";"W_jkl","liveweight (kg/head)"},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2, _xlfn.LAMBDA(_xlpm.r,_xlpm.c, INDEX({"W_jkl","liveweight (kg)";"SRW_k","standard reference weight (kg)";"i","state"},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Range_LivestockStartingValues">#REF!</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tep1">#REF!</definedName>
    <definedName name="Step2">#REF!</definedName>
    <definedName name="Step3">#REF!</definedName>
    <definedName name="VEERG_3_2_1_1__1_TotalAnnualMethaneFromEntericFermentation_Result">'3.2.1.1-2 Enteric Methane'!$E$128</definedName>
    <definedName name="X_Cell_PastureBeef_Breed">'Input - Pasture Beef'!$E$9</definedName>
    <definedName name="X_Cell_PastureBeef_FencedWater">'Input - Pasture Beef'!$E$169</definedName>
    <definedName name="X_Cell_PastureBeef_GrazingIrrigationMethod">'Input - Pasture Beef'!$E$177</definedName>
    <definedName name="X_Cell_PastureBeef_GrazingProductionSystem">'Input - Pasture Beef'!$E$176</definedName>
    <definedName name="X_Cell_PastureBeef_ProductionRegion">'Input - Pasture Beef'!$E$8</definedName>
    <definedName name="X_Cell_Site_FarmName">'Input - Site'!$E$7</definedName>
    <definedName name="X_Cell_Site_ReportingEntityName">'Input - Site'!$E$8</definedName>
    <definedName name="X_Cell_Site_StartDate">'Input - Site'!$E$12</definedName>
    <definedName name="X_Cell_Site_State">'Input - Site'!$E$21</definedName>
    <definedName name="X_Table_PastureBeef_CrudeProtein_Method1">'Input - Pasture Beef'!$D$146:$N$150</definedName>
    <definedName name="X_Table_PastureBeef_CrudeProtein_Method2">'Input - Pasture Beef'!$D$152:$N$164</definedName>
    <definedName name="X_Table_PastureBeef_DryMatterDigestibility_Method1">'Input - Pasture Beef'!$D$124:$N$128</definedName>
    <definedName name="X_Table_PastureBeef_DryMatterDigestibility_Method2">'Input - Pasture Beef'!$D$130:$N$142</definedName>
    <definedName name="X_Table_PastureBeef_Duration_Method1">'Input - Pasture Beef'!$D$15:$N$19</definedName>
    <definedName name="X_Table_PastureBeef_Duration_Method1_Col_01">'Input - Pasture Beef'!$E$15</definedName>
    <definedName name="X_Table_PastureBeef_Duration_Method1_Col_02">'Input - Pasture Beef'!$F$15</definedName>
    <definedName name="X_Table_PastureBeef_Duration_Method1_Col_03">'Input - Pasture Beef'!$G$15</definedName>
    <definedName name="X_Table_PastureBeef_Duration_Method1_Col_04">'Input - Pasture Beef'!$H$15</definedName>
    <definedName name="X_Table_PastureBeef_Duration_Method1_Col_05">'Input - Pasture Beef'!$I$15</definedName>
    <definedName name="X_Table_PastureBeef_Duration_Method1_Col_06">'Input - Pasture Beef'!$J$15</definedName>
    <definedName name="X_Table_PastureBeef_Duration_Method1_Col_07">'Input - Pasture Beef'!$K$15</definedName>
    <definedName name="X_Table_PastureBeef_Duration_Method1_Col_08">'Input - Pasture Beef'!$L$15</definedName>
    <definedName name="X_Table_PastureBeef_Duration_Method1_Col_09">'Input - Pasture Beef'!$M$15</definedName>
    <definedName name="X_Table_PastureBeef_Duration_Method1_Col_10">'Input - Pasture Beef'!$N$15</definedName>
    <definedName name="X_Table_PastureBeef_Duration_Method1_Row_01">'Input - Pasture Beef'!$D$16</definedName>
    <definedName name="X_Table_PastureBeef_Duration_Method1_Row_02">'Input - Pasture Beef'!$D$17</definedName>
    <definedName name="X_Table_PastureBeef_Duration_Method1_Row_03">'Input - Pasture Beef'!$D$18</definedName>
    <definedName name="X_Table_PastureBeef_Duration_Method1_Row_04">'Input - Pasture Beef'!$D$19</definedName>
    <definedName name="X_Table_PastureBeef_Duration_Method2">'Input - Pasture Beef'!$D$21:$N$33</definedName>
    <definedName name="X_Table_PastureBeef_Head_Method1">'Input - Pasture Beef'!$D$37:$N$41</definedName>
    <definedName name="X_Table_PastureBeef_Head_Method2">'Input - Pasture Beef'!$D$43:$N$55</definedName>
    <definedName name="X_Table_PastureBeef_Liveweight_Method1">'Input - Pasture Beef'!$D$59:$N$63</definedName>
    <definedName name="X_Table_PastureBeef_Liveweight_Method2">'Input - Pasture Beef'!$D$65:$N$77</definedName>
    <definedName name="X_Table_PastureBeef_LiveweightGain_Method1">'Input - Pasture Beef'!$D$81:$N$85</definedName>
    <definedName name="X_Table_PastureBeef_LiveweightGain_Method2">'Input - Pasture Beef'!$D$87:$N$99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9" i="107" l="1" a="1"/>
  <c r="E259" i="107" s="1"/>
  <c r="D259" i="107" a="1"/>
  <c r="D259" i="107" s="1"/>
  <c r="E258" i="107" a="1"/>
  <c r="E258" i="107" s="1"/>
  <c r="D258" i="107" a="1"/>
  <c r="D258" i="107" s="1"/>
  <c r="D256" i="107" a="1"/>
  <c r="D256" i="107" s="1"/>
  <c r="D255" i="107" a="1"/>
  <c r="D255" i="107" s="1"/>
  <c r="D254" i="107" a="1"/>
  <c r="D254" i="107" s="1"/>
  <c r="D253" i="107" a="1"/>
  <c r="D253" i="107" s="1"/>
  <c r="S250" i="107" a="1"/>
  <c r="S250" i="107" s="1"/>
  <c r="R250" i="107" a="1"/>
  <c r="R250" i="107" s="1"/>
  <c r="Q250" i="107" a="1"/>
  <c r="Q250" i="107" s="1"/>
  <c r="P250" i="107" a="1"/>
  <c r="P250" i="107" s="1"/>
  <c r="O250" i="107" a="1"/>
  <c r="O250" i="107" s="1"/>
  <c r="N250" i="107" a="1"/>
  <c r="N250" i="107" s="1"/>
  <c r="M250" i="107" a="1"/>
  <c r="M250" i="107" s="1"/>
  <c r="L250" i="107" a="1"/>
  <c r="L250" i="107" s="1"/>
  <c r="K250" i="107" a="1"/>
  <c r="K250" i="107" s="1"/>
  <c r="J250" i="107" a="1"/>
  <c r="J250" i="107" s="1"/>
  <c r="I250" i="107" a="1"/>
  <c r="I250" i="107" s="1"/>
  <c r="H250" i="107" a="1"/>
  <c r="H250" i="107" s="1"/>
  <c r="G250" i="107" a="1"/>
  <c r="G250" i="107" s="1"/>
  <c r="F250" i="107" a="1"/>
  <c r="F250" i="107" s="1"/>
  <c r="E250" i="107" a="1"/>
  <c r="E250" i="107" s="1"/>
  <c r="D250" i="107" a="1"/>
  <c r="D250" i="107" s="1"/>
  <c r="S249" i="107" a="1"/>
  <c r="S249" i="107" s="1"/>
  <c r="R249" i="107" a="1"/>
  <c r="R249" i="107" s="1"/>
  <c r="Q249" i="107" a="1"/>
  <c r="Q249" i="107" s="1"/>
  <c r="P249" i="107" a="1"/>
  <c r="P249" i="107" s="1"/>
  <c r="O249" i="107" a="1"/>
  <c r="O249" i="107" s="1"/>
  <c r="N249" i="107" a="1"/>
  <c r="N249" i="107" s="1"/>
  <c r="M249" i="107" a="1"/>
  <c r="M249" i="107" s="1"/>
  <c r="L249" i="107" a="1"/>
  <c r="L249" i="107" s="1"/>
  <c r="K249" i="107" a="1"/>
  <c r="K249" i="107" s="1"/>
  <c r="J249" i="107" a="1"/>
  <c r="J249" i="107" s="1"/>
  <c r="I249" i="107" a="1"/>
  <c r="I249" i="107" s="1"/>
  <c r="H249" i="107" a="1"/>
  <c r="H249" i="107" s="1"/>
  <c r="G249" i="107" a="1"/>
  <c r="G249" i="107" s="1"/>
  <c r="F249" i="107" a="1"/>
  <c r="F249" i="107" s="1"/>
  <c r="E249" i="107" a="1"/>
  <c r="E249" i="107" s="1"/>
  <c r="D249" i="107" a="1"/>
  <c r="D249" i="107" s="1"/>
  <c r="S248" i="107" a="1"/>
  <c r="S248" i="107" s="1"/>
  <c r="R248" i="107" a="1"/>
  <c r="R248" i="107" s="1"/>
  <c r="Q248" i="107" a="1"/>
  <c r="Q248" i="107" s="1"/>
  <c r="P248" i="107" a="1"/>
  <c r="P248" i="107" s="1"/>
  <c r="O248" i="107" a="1"/>
  <c r="O248" i="107" s="1"/>
  <c r="N248" i="107" a="1"/>
  <c r="N248" i="107" s="1"/>
  <c r="M248" i="107" a="1"/>
  <c r="M248" i="107" s="1"/>
  <c r="L248" i="107" a="1"/>
  <c r="L248" i="107" s="1"/>
  <c r="K248" i="107" a="1"/>
  <c r="K248" i="107" s="1"/>
  <c r="J248" i="107" a="1"/>
  <c r="J248" i="107" s="1"/>
  <c r="I248" i="107" a="1"/>
  <c r="I248" i="107" s="1"/>
  <c r="H248" i="107" a="1"/>
  <c r="H248" i="107" s="1"/>
  <c r="G248" i="107" a="1"/>
  <c r="G248" i="107" s="1"/>
  <c r="F248" i="107" a="1"/>
  <c r="F248" i="107" s="1"/>
  <c r="E248" i="107" a="1"/>
  <c r="E248" i="107" s="1"/>
  <c r="D248" i="107" a="1"/>
  <c r="D248" i="107" s="1"/>
  <c r="S247" i="107" a="1"/>
  <c r="S247" i="107" s="1"/>
  <c r="R247" i="107" a="1"/>
  <c r="R247" i="107" s="1"/>
  <c r="Q247" i="107" a="1"/>
  <c r="Q247" i="107" s="1"/>
  <c r="P247" i="107" a="1"/>
  <c r="P247" i="107" s="1"/>
  <c r="O247" i="107" a="1"/>
  <c r="O247" i="107" s="1"/>
  <c r="N247" i="107" a="1"/>
  <c r="N247" i="107" s="1"/>
  <c r="M247" i="107" a="1"/>
  <c r="M247" i="107" s="1"/>
  <c r="L247" i="107" a="1"/>
  <c r="L247" i="107" s="1"/>
  <c r="K247" i="107" a="1"/>
  <c r="K247" i="107" s="1"/>
  <c r="J247" i="107" a="1"/>
  <c r="J247" i="107" s="1"/>
  <c r="I247" i="107" a="1"/>
  <c r="I247" i="107" s="1"/>
  <c r="H247" i="107" a="1"/>
  <c r="H247" i="107" s="1"/>
  <c r="G247" i="107" a="1"/>
  <c r="G247" i="107" s="1"/>
  <c r="F247" i="107" a="1"/>
  <c r="F247" i="107" s="1"/>
  <c r="E247" i="107" a="1"/>
  <c r="E247" i="107" s="1"/>
  <c r="D247" i="107" a="1"/>
  <c r="D247" i="107" s="1"/>
  <c r="S246" i="107" a="1"/>
  <c r="S246" i="107" s="1"/>
  <c r="R246" i="107" a="1"/>
  <c r="R246" i="107" s="1"/>
  <c r="Q246" i="107" a="1"/>
  <c r="Q246" i="107" s="1"/>
  <c r="P246" i="107" a="1"/>
  <c r="P246" i="107" s="1"/>
  <c r="O246" i="107" a="1"/>
  <c r="O246" i="107" s="1"/>
  <c r="N246" i="107" a="1"/>
  <c r="N246" i="107" s="1"/>
  <c r="M246" i="107" a="1"/>
  <c r="M246" i="107" s="1"/>
  <c r="L246" i="107" a="1"/>
  <c r="L246" i="107" s="1"/>
  <c r="K246" i="107" a="1"/>
  <c r="K246" i="107" s="1"/>
  <c r="J246" i="107" a="1"/>
  <c r="J246" i="107" s="1"/>
  <c r="I246" i="107" a="1"/>
  <c r="I246" i="107" s="1"/>
  <c r="H246" i="107" a="1"/>
  <c r="H246" i="107" s="1"/>
  <c r="G246" i="107" a="1"/>
  <c r="G246" i="107" s="1"/>
  <c r="F246" i="107" a="1"/>
  <c r="F246" i="107" s="1"/>
  <c r="E246" i="107" a="1"/>
  <c r="E246" i="107" s="1"/>
  <c r="D246" i="107" a="1"/>
  <c r="D246" i="107" s="1"/>
  <c r="S245" i="107" a="1"/>
  <c r="S245" i="107" s="1"/>
  <c r="R245" i="107" a="1"/>
  <c r="R245" i="107" s="1"/>
  <c r="Q245" i="107" a="1"/>
  <c r="Q245" i="107" s="1"/>
  <c r="P245" i="107" a="1"/>
  <c r="P245" i="107" s="1"/>
  <c r="O245" i="107" a="1"/>
  <c r="O245" i="107" s="1"/>
  <c r="N245" i="107" a="1"/>
  <c r="N245" i="107" s="1"/>
  <c r="M245" i="107" a="1"/>
  <c r="M245" i="107" s="1"/>
  <c r="L245" i="107" a="1"/>
  <c r="L245" i="107" s="1"/>
  <c r="K245" i="107" a="1"/>
  <c r="K245" i="107" s="1"/>
  <c r="J245" i="107" a="1"/>
  <c r="J245" i="107" s="1"/>
  <c r="I245" i="107" a="1"/>
  <c r="I245" i="107" s="1"/>
  <c r="H245" i="107" a="1"/>
  <c r="H245" i="107" s="1"/>
  <c r="G245" i="107" a="1"/>
  <c r="G245" i="107" s="1"/>
  <c r="F245" i="107" a="1"/>
  <c r="F245" i="107" s="1"/>
  <c r="E245" i="107" a="1"/>
  <c r="E245" i="107" s="1"/>
  <c r="D245" i="107" a="1"/>
  <c r="D245" i="107" s="1"/>
  <c r="S244" i="107" a="1"/>
  <c r="S244" i="107" s="1"/>
  <c r="R244" i="107" a="1"/>
  <c r="R244" i="107" s="1"/>
  <c r="Q244" i="107" a="1"/>
  <c r="Q244" i="107" s="1"/>
  <c r="P244" i="107" a="1"/>
  <c r="P244" i="107" s="1"/>
  <c r="O244" i="107" a="1"/>
  <c r="O244" i="107" s="1"/>
  <c r="N244" i="107" a="1"/>
  <c r="N244" i="107" s="1"/>
  <c r="M244" i="107" a="1"/>
  <c r="M244" i="107" s="1"/>
  <c r="L244" i="107" a="1"/>
  <c r="L244" i="107" s="1"/>
  <c r="K244" i="107" a="1"/>
  <c r="K244" i="107" s="1"/>
  <c r="J244" i="107" a="1"/>
  <c r="J244" i="107" s="1"/>
  <c r="I244" i="107" a="1"/>
  <c r="I244" i="107" s="1"/>
  <c r="H244" i="107" a="1"/>
  <c r="H244" i="107" s="1"/>
  <c r="G244" i="107" a="1"/>
  <c r="G244" i="107" s="1"/>
  <c r="F244" i="107" a="1"/>
  <c r="F244" i="107" s="1"/>
  <c r="E244" i="107" a="1"/>
  <c r="E244" i="107" s="1"/>
  <c r="D244" i="107" a="1"/>
  <c r="D244" i="107" s="1"/>
  <c r="S243" i="107" a="1"/>
  <c r="S243" i="107" s="1"/>
  <c r="R243" i="107" a="1"/>
  <c r="R243" i="107" s="1"/>
  <c r="Q243" i="107" a="1"/>
  <c r="Q243" i="107" s="1"/>
  <c r="P243" i="107" a="1"/>
  <c r="P243" i="107" s="1"/>
  <c r="O243" i="107" a="1"/>
  <c r="O243" i="107" s="1"/>
  <c r="N243" i="107" a="1"/>
  <c r="N243" i="107" s="1"/>
  <c r="M243" i="107" a="1"/>
  <c r="M243" i="107" s="1"/>
  <c r="L243" i="107" a="1"/>
  <c r="L243" i="107" s="1"/>
  <c r="K243" i="107" a="1"/>
  <c r="K243" i="107" s="1"/>
  <c r="J243" i="107" a="1"/>
  <c r="J243" i="107" s="1"/>
  <c r="I243" i="107" a="1"/>
  <c r="I243" i="107" s="1"/>
  <c r="H243" i="107" a="1"/>
  <c r="H243" i="107" s="1"/>
  <c r="G243" i="107" a="1"/>
  <c r="G243" i="107" s="1"/>
  <c r="F243" i="107" a="1"/>
  <c r="F243" i="107" s="1"/>
  <c r="E243" i="107" a="1"/>
  <c r="E243" i="107" s="1"/>
  <c r="D243" i="107" a="1"/>
  <c r="D243" i="107" s="1"/>
  <c r="S242" i="107" a="1"/>
  <c r="S242" i="107" s="1"/>
  <c r="R242" i="107" a="1"/>
  <c r="R242" i="107" s="1"/>
  <c r="Q242" i="107" a="1"/>
  <c r="Q242" i="107" s="1"/>
  <c r="P242" i="107" a="1"/>
  <c r="P242" i="107" s="1"/>
  <c r="O242" i="107" a="1"/>
  <c r="O242" i="107" s="1"/>
  <c r="N242" i="107" a="1"/>
  <c r="N242" i="107" s="1"/>
  <c r="M242" i="107" a="1"/>
  <c r="M242" i="107" s="1"/>
  <c r="L242" i="107" a="1"/>
  <c r="L242" i="107" s="1"/>
  <c r="K242" i="107" a="1"/>
  <c r="K242" i="107" s="1"/>
  <c r="J242" i="107" a="1"/>
  <c r="J242" i="107" s="1"/>
  <c r="I242" i="107" a="1"/>
  <c r="I242" i="107" s="1"/>
  <c r="H242" i="107" a="1"/>
  <c r="H242" i="107" s="1"/>
  <c r="G242" i="107" a="1"/>
  <c r="G242" i="107" s="1"/>
  <c r="F242" i="107" a="1"/>
  <c r="F242" i="107" s="1"/>
  <c r="E242" i="107" a="1"/>
  <c r="E242" i="107" s="1"/>
  <c r="D242" i="107" a="1"/>
  <c r="D242" i="107" s="1"/>
  <c r="S241" i="107" a="1"/>
  <c r="S241" i="107" s="1"/>
  <c r="R241" i="107" a="1"/>
  <c r="R241" i="107" s="1"/>
  <c r="Q241" i="107" a="1"/>
  <c r="Q241" i="107" s="1"/>
  <c r="P241" i="107" a="1"/>
  <c r="P241" i="107" s="1"/>
  <c r="O241" i="107" a="1"/>
  <c r="O241" i="107" s="1"/>
  <c r="N241" i="107" a="1"/>
  <c r="N241" i="107" s="1"/>
  <c r="M241" i="107" a="1"/>
  <c r="M241" i="107" s="1"/>
  <c r="L241" i="107" a="1"/>
  <c r="L241" i="107" s="1"/>
  <c r="K241" i="107" a="1"/>
  <c r="K241" i="107" s="1"/>
  <c r="J241" i="107" a="1"/>
  <c r="J241" i="107" s="1"/>
  <c r="I241" i="107" a="1"/>
  <c r="I241" i="107" s="1"/>
  <c r="H241" i="107" a="1"/>
  <c r="H241" i="107" s="1"/>
  <c r="G241" i="107" a="1"/>
  <c r="G241" i="107" s="1"/>
  <c r="F241" i="107" a="1"/>
  <c r="F241" i="107" s="1"/>
  <c r="E241" i="107" a="1"/>
  <c r="E241" i="107" s="1"/>
  <c r="D241" i="107" a="1"/>
  <c r="D241" i="107" s="1"/>
  <c r="S240" i="107" a="1"/>
  <c r="S240" i="107" s="1"/>
  <c r="R240" i="107" a="1"/>
  <c r="R240" i="107" s="1"/>
  <c r="Q240" i="107" a="1"/>
  <c r="Q240" i="107" s="1"/>
  <c r="P240" i="107" a="1"/>
  <c r="P240" i="107" s="1"/>
  <c r="O240" i="107" a="1"/>
  <c r="O240" i="107" s="1"/>
  <c r="N240" i="107" a="1"/>
  <c r="N240" i="107" s="1"/>
  <c r="M240" i="107" a="1"/>
  <c r="M240" i="107" s="1"/>
  <c r="L240" i="107" a="1"/>
  <c r="L240" i="107" s="1"/>
  <c r="K240" i="107" a="1"/>
  <c r="K240" i="107" s="1"/>
  <c r="J240" i="107" a="1"/>
  <c r="J240" i="107" s="1"/>
  <c r="I240" i="107" a="1"/>
  <c r="I240" i="107" s="1"/>
  <c r="H240" i="107" a="1"/>
  <c r="H240" i="107" s="1"/>
  <c r="G240" i="107" a="1"/>
  <c r="G240" i="107" s="1"/>
  <c r="F240" i="107" a="1"/>
  <c r="F240" i="107" s="1"/>
  <c r="E240" i="107" a="1"/>
  <c r="E240" i="107" s="1"/>
  <c r="D240" i="107" a="1"/>
  <c r="D240" i="107" s="1"/>
  <c r="S239" i="107" a="1"/>
  <c r="S239" i="107" s="1"/>
  <c r="R239" i="107" a="1"/>
  <c r="R239" i="107" s="1"/>
  <c r="Q239" i="107" a="1"/>
  <c r="Q239" i="107" s="1"/>
  <c r="P239" i="107" a="1"/>
  <c r="P239" i="107" s="1"/>
  <c r="O239" i="107" a="1"/>
  <c r="O239" i="107" s="1"/>
  <c r="N239" i="107" a="1"/>
  <c r="N239" i="107" s="1"/>
  <c r="M239" i="107" a="1"/>
  <c r="M239" i="107" s="1"/>
  <c r="L239" i="107" a="1"/>
  <c r="L239" i="107" s="1"/>
  <c r="K239" i="107" a="1"/>
  <c r="K239" i="107" s="1"/>
  <c r="J239" i="107" a="1"/>
  <c r="J239" i="107" s="1"/>
  <c r="I239" i="107" a="1"/>
  <c r="I239" i="107" s="1"/>
  <c r="H239" i="107" a="1"/>
  <c r="H239" i="107" s="1"/>
  <c r="G239" i="107" a="1"/>
  <c r="G239" i="107" s="1"/>
  <c r="F239" i="107" a="1"/>
  <c r="F239" i="107" s="1"/>
  <c r="E239" i="107" a="1"/>
  <c r="E239" i="107" s="1"/>
  <c r="D239" i="107" a="1"/>
  <c r="D239" i="107" s="1"/>
  <c r="S238" i="107" a="1"/>
  <c r="S238" i="107" s="1"/>
  <c r="R238" i="107" a="1"/>
  <c r="R238" i="107" s="1"/>
  <c r="Q238" i="107" a="1"/>
  <c r="Q238" i="107" s="1"/>
  <c r="P238" i="107" a="1"/>
  <c r="P238" i="107" s="1"/>
  <c r="O238" i="107" a="1"/>
  <c r="O238" i="107" s="1"/>
  <c r="N238" i="107" a="1"/>
  <c r="N238" i="107" s="1"/>
  <c r="M238" i="107" a="1"/>
  <c r="M238" i="107" s="1"/>
  <c r="L238" i="107" a="1"/>
  <c r="L238" i="107" s="1"/>
  <c r="K238" i="107" a="1"/>
  <c r="K238" i="107" s="1"/>
  <c r="J238" i="107" a="1"/>
  <c r="J238" i="107" s="1"/>
  <c r="I238" i="107" a="1"/>
  <c r="I238" i="107" s="1"/>
  <c r="H238" i="107" a="1"/>
  <c r="H238" i="107" s="1"/>
  <c r="G238" i="107" a="1"/>
  <c r="G238" i="107" s="1"/>
  <c r="F238" i="107" a="1"/>
  <c r="F238" i="107" s="1"/>
  <c r="E238" i="107" a="1"/>
  <c r="E238" i="107" s="1"/>
  <c r="D238" i="107" a="1"/>
  <c r="D238" i="107" s="1"/>
  <c r="S237" i="107" a="1"/>
  <c r="S237" i="107" s="1"/>
  <c r="R237" i="107" a="1"/>
  <c r="R237" i="107" s="1"/>
  <c r="Q237" i="107" a="1"/>
  <c r="Q237" i="107" s="1"/>
  <c r="P237" i="107" a="1"/>
  <c r="P237" i="107" s="1"/>
  <c r="O237" i="107" a="1"/>
  <c r="O237" i="107" s="1"/>
  <c r="N237" i="107" a="1"/>
  <c r="N237" i="107" s="1"/>
  <c r="M237" i="107" a="1"/>
  <c r="M237" i="107" s="1"/>
  <c r="L237" i="107" a="1"/>
  <c r="L237" i="107" s="1"/>
  <c r="K237" i="107" a="1"/>
  <c r="K237" i="107" s="1"/>
  <c r="J237" i="107" a="1"/>
  <c r="J237" i="107" s="1"/>
  <c r="I237" i="107" a="1"/>
  <c r="I237" i="107" s="1"/>
  <c r="H237" i="107" a="1"/>
  <c r="H237" i="107" s="1"/>
  <c r="G237" i="107" a="1"/>
  <c r="G237" i="107" s="1"/>
  <c r="F237" i="107" a="1"/>
  <c r="F237" i="107" s="1"/>
  <c r="E237" i="107" a="1"/>
  <c r="E237" i="107" s="1"/>
  <c r="D237" i="107" a="1"/>
  <c r="D237" i="107" s="1"/>
  <c r="S236" i="107" a="1"/>
  <c r="S236" i="107" s="1"/>
  <c r="R236" i="107" a="1"/>
  <c r="R236" i="107" s="1"/>
  <c r="Q236" i="107" a="1"/>
  <c r="Q236" i="107" s="1"/>
  <c r="P236" i="107" a="1"/>
  <c r="P236" i="107" s="1"/>
  <c r="O236" i="107" a="1"/>
  <c r="O236" i="107" s="1"/>
  <c r="N236" i="107" a="1"/>
  <c r="N236" i="107" s="1"/>
  <c r="M236" i="107" a="1"/>
  <c r="M236" i="107" s="1"/>
  <c r="L236" i="107" a="1"/>
  <c r="L236" i="107" s="1"/>
  <c r="K236" i="107" a="1"/>
  <c r="K236" i="107" s="1"/>
  <c r="J236" i="107" a="1"/>
  <c r="J236" i="107" s="1"/>
  <c r="I236" i="107" a="1"/>
  <c r="I236" i="107" s="1"/>
  <c r="H236" i="107" a="1"/>
  <c r="H236" i="107" s="1"/>
  <c r="G236" i="107" a="1"/>
  <c r="G236" i="107" s="1"/>
  <c r="F236" i="107" a="1"/>
  <c r="F236" i="107" s="1"/>
  <c r="E236" i="107" a="1"/>
  <c r="E236" i="107" s="1"/>
  <c r="D236" i="107" a="1"/>
  <c r="D236" i="107" s="1"/>
  <c r="S235" i="107" a="1"/>
  <c r="S235" i="107" s="1"/>
  <c r="R235" i="107" a="1"/>
  <c r="R235" i="107" s="1"/>
  <c r="Q235" i="107" a="1"/>
  <c r="Q235" i="107" s="1"/>
  <c r="P235" i="107" a="1"/>
  <c r="P235" i="107" s="1"/>
  <c r="O235" i="107" a="1"/>
  <c r="O235" i="107" s="1"/>
  <c r="N235" i="107" a="1"/>
  <c r="N235" i="107" s="1"/>
  <c r="M235" i="107" a="1"/>
  <c r="M235" i="107" s="1"/>
  <c r="L235" i="107" a="1"/>
  <c r="L235" i="107" s="1"/>
  <c r="K235" i="107" a="1"/>
  <c r="K235" i="107" s="1"/>
  <c r="J235" i="107" a="1"/>
  <c r="J235" i="107" s="1"/>
  <c r="I235" i="107" a="1"/>
  <c r="I235" i="107" s="1"/>
  <c r="H235" i="107" a="1"/>
  <c r="H235" i="107" s="1"/>
  <c r="G235" i="107" a="1"/>
  <c r="G235" i="107" s="1"/>
  <c r="F235" i="107" a="1"/>
  <c r="F235" i="107" s="1"/>
  <c r="E235" i="107" a="1"/>
  <c r="E235" i="107" s="1"/>
  <c r="D235" i="107" a="1"/>
  <c r="D235" i="107" s="1"/>
  <c r="S234" i="107" a="1"/>
  <c r="S234" i="107" s="1"/>
  <c r="R234" i="107" a="1"/>
  <c r="R234" i="107" s="1"/>
  <c r="Q234" i="107" a="1"/>
  <c r="Q234" i="107" s="1"/>
  <c r="P234" i="107" a="1"/>
  <c r="P234" i="107" s="1"/>
  <c r="O234" i="107" a="1"/>
  <c r="O234" i="107" s="1"/>
  <c r="N234" i="107" a="1"/>
  <c r="N234" i="107" s="1"/>
  <c r="M234" i="107" a="1"/>
  <c r="M234" i="107" s="1"/>
  <c r="L234" i="107" a="1"/>
  <c r="L234" i="107" s="1"/>
  <c r="K234" i="107" a="1"/>
  <c r="K234" i="107" s="1"/>
  <c r="J234" i="107" a="1"/>
  <c r="J234" i="107" s="1"/>
  <c r="I234" i="107" a="1"/>
  <c r="I234" i="107" s="1"/>
  <c r="H234" i="107" a="1"/>
  <c r="H234" i="107" s="1"/>
  <c r="G234" i="107" a="1"/>
  <c r="G234" i="107" s="1"/>
  <c r="F234" i="107" a="1"/>
  <c r="F234" i="107" s="1"/>
  <c r="E234" i="107" a="1"/>
  <c r="E234" i="107" s="1"/>
  <c r="D234" i="107" a="1"/>
  <c r="D234" i="107" s="1"/>
  <c r="S233" i="107" a="1"/>
  <c r="S233" i="107" s="1"/>
  <c r="R233" i="107" a="1"/>
  <c r="R233" i="107" s="1"/>
  <c r="Q233" i="107" a="1"/>
  <c r="Q233" i="107" s="1"/>
  <c r="P233" i="107" a="1"/>
  <c r="P233" i="107" s="1"/>
  <c r="O233" i="107" a="1"/>
  <c r="O233" i="107" s="1"/>
  <c r="N233" i="107" a="1"/>
  <c r="N233" i="107" s="1"/>
  <c r="M233" i="107" a="1"/>
  <c r="M233" i="107" s="1"/>
  <c r="L233" i="107" a="1"/>
  <c r="L233" i="107" s="1"/>
  <c r="K233" i="107" a="1"/>
  <c r="K233" i="107" s="1"/>
  <c r="J233" i="107" a="1"/>
  <c r="J233" i="107" s="1"/>
  <c r="I233" i="107" a="1"/>
  <c r="I233" i="107" s="1"/>
  <c r="H233" i="107" a="1"/>
  <c r="H233" i="107" s="1"/>
  <c r="G233" i="107" a="1"/>
  <c r="G233" i="107" s="1"/>
  <c r="F233" i="107" a="1"/>
  <c r="F233" i="107" s="1"/>
  <c r="E233" i="107" a="1"/>
  <c r="E233" i="107" s="1"/>
  <c r="D233" i="107" a="1"/>
  <c r="D233" i="107" s="1"/>
  <c r="S232" i="107" a="1"/>
  <c r="S232" i="107" s="1"/>
  <c r="R232" i="107" a="1"/>
  <c r="R232" i="107" s="1"/>
  <c r="Q232" i="107" a="1"/>
  <c r="Q232" i="107" s="1"/>
  <c r="P232" i="107" a="1"/>
  <c r="P232" i="107" s="1"/>
  <c r="O232" i="107" a="1"/>
  <c r="O232" i="107" s="1"/>
  <c r="N232" i="107" a="1"/>
  <c r="N232" i="107" s="1"/>
  <c r="M232" i="107" a="1"/>
  <c r="M232" i="107" s="1"/>
  <c r="L232" i="107" a="1"/>
  <c r="L232" i="107" s="1"/>
  <c r="K232" i="107" a="1"/>
  <c r="K232" i="107" s="1"/>
  <c r="J232" i="107" a="1"/>
  <c r="J232" i="107" s="1"/>
  <c r="I232" i="107" a="1"/>
  <c r="I232" i="107" s="1"/>
  <c r="H232" i="107" a="1"/>
  <c r="H232" i="107" s="1"/>
  <c r="G232" i="107" a="1"/>
  <c r="G232" i="107" s="1"/>
  <c r="F232" i="107" a="1"/>
  <c r="F232" i="107" s="1"/>
  <c r="E232" i="107" a="1"/>
  <c r="E232" i="107" s="1"/>
  <c r="D232" i="107" a="1"/>
  <c r="D232" i="107" s="1"/>
  <c r="D229" i="107" a="1"/>
  <c r="D229" i="107" s="1"/>
  <c r="D228" i="107" a="1"/>
  <c r="D228" i="107" s="1"/>
  <c r="D227" i="107" a="1"/>
  <c r="D227" i="107" s="1"/>
  <c r="E224" i="107" a="1"/>
  <c r="E224" i="107" s="1"/>
  <c r="D224" i="107" a="1"/>
  <c r="D224" i="107" s="1"/>
  <c r="E223" i="107" a="1"/>
  <c r="E223" i="107" s="1"/>
  <c r="D223" i="107" a="1"/>
  <c r="D223" i="107" s="1"/>
  <c r="E222" i="107" a="1"/>
  <c r="E222" i="107" s="1"/>
  <c r="D222" i="107" a="1"/>
  <c r="D222" i="107" s="1"/>
  <c r="E221" i="107" a="1"/>
  <c r="E221" i="107" s="1"/>
  <c r="D221" i="107" a="1"/>
  <c r="D221" i="107" s="1"/>
  <c r="E220" i="107" a="1"/>
  <c r="E220" i="107" s="1"/>
  <c r="D220" i="107" a="1"/>
  <c r="D220" i="107" s="1"/>
  <c r="E219" i="107" a="1"/>
  <c r="E219" i="107" s="1"/>
  <c r="D219" i="107" a="1"/>
  <c r="D219" i="107" s="1"/>
  <c r="E218" i="107" a="1"/>
  <c r="E218" i="107" s="1"/>
  <c r="D218" i="107" a="1"/>
  <c r="D218" i="107" s="1"/>
  <c r="E217" i="107" a="1"/>
  <c r="E217" i="107" s="1"/>
  <c r="D217" i="107" a="1"/>
  <c r="D217" i="107" s="1"/>
  <c r="E216" i="107" a="1"/>
  <c r="E216" i="107" s="1"/>
  <c r="D216" i="107" a="1"/>
  <c r="D216" i="107" s="1"/>
  <c r="E215" i="107" a="1"/>
  <c r="E215" i="107" s="1"/>
  <c r="D215" i="107" a="1"/>
  <c r="D215" i="107" s="1"/>
  <c r="E214" i="107" a="1"/>
  <c r="E214" i="107" s="1"/>
  <c r="D214" i="107" a="1"/>
  <c r="D214" i="107" s="1"/>
  <c r="E213" i="107" a="1"/>
  <c r="E213" i="107" s="1"/>
  <c r="D213" i="107" a="1"/>
  <c r="D213" i="107" s="1"/>
  <c r="D211" i="107" a="1"/>
  <c r="D211" i="107" s="1"/>
  <c r="E208" i="107" a="1"/>
  <c r="E208" i="107" s="1"/>
  <c r="D208" i="107" a="1"/>
  <c r="D208" i="107" s="1"/>
  <c r="E207" i="107" a="1"/>
  <c r="E207" i="107" s="1"/>
  <c r="D207" i="107" a="1"/>
  <c r="D207" i="107" s="1"/>
  <c r="D205" i="107" a="1"/>
  <c r="D205" i="107" s="1"/>
  <c r="D204" i="107" a="1"/>
  <c r="D204" i="107" s="1"/>
  <c r="D203" i="107" a="1"/>
  <c r="D203" i="107" s="1"/>
  <c r="D202" i="107" a="1"/>
  <c r="D202" i="107" s="1"/>
  <c r="H199" i="107" a="1"/>
  <c r="H199" i="107" s="1"/>
  <c r="G199" i="107" a="1"/>
  <c r="G199" i="107" s="1"/>
  <c r="F199" i="107" a="1"/>
  <c r="F199" i="107" s="1"/>
  <c r="E199" i="107" a="1"/>
  <c r="E199" i="107" s="1"/>
  <c r="D199" i="107" a="1"/>
  <c r="D199" i="107" s="1"/>
  <c r="H198" i="107" a="1"/>
  <c r="H198" i="107" s="1"/>
  <c r="G198" i="107" a="1"/>
  <c r="G198" i="107" s="1"/>
  <c r="F198" i="107" a="1"/>
  <c r="F198" i="107" s="1"/>
  <c r="E198" i="107" a="1"/>
  <c r="E198" i="107" s="1"/>
  <c r="D198" i="107" a="1"/>
  <c r="D198" i="107" s="1"/>
  <c r="H197" i="107" a="1"/>
  <c r="H197" i="107" s="1"/>
  <c r="G197" i="107" a="1"/>
  <c r="G197" i="107" s="1"/>
  <c r="F197" i="107" a="1"/>
  <c r="F197" i="107" s="1"/>
  <c r="E197" i="107" a="1"/>
  <c r="E197" i="107" s="1"/>
  <c r="D197" i="107" a="1"/>
  <c r="D197" i="107" s="1"/>
  <c r="H196" i="107" a="1"/>
  <c r="H196" i="107" s="1"/>
  <c r="G196" i="107" a="1"/>
  <c r="G196" i="107" s="1"/>
  <c r="F196" i="107" a="1"/>
  <c r="F196" i="107" s="1"/>
  <c r="E196" i="107" a="1"/>
  <c r="E196" i="107" s="1"/>
  <c r="D196" i="107" a="1"/>
  <c r="D196" i="107" s="1"/>
  <c r="H195" i="107" a="1"/>
  <c r="H195" i="107" s="1"/>
  <c r="G195" i="107" a="1"/>
  <c r="G195" i="107" s="1"/>
  <c r="F195" i="107" a="1"/>
  <c r="F195" i="107" s="1"/>
  <c r="E195" i="107" a="1"/>
  <c r="E195" i="107" s="1"/>
  <c r="D195" i="107" a="1"/>
  <c r="D195" i="107" s="1"/>
  <c r="H194" i="107" a="1"/>
  <c r="H194" i="107" s="1"/>
  <c r="G194" i="107" a="1"/>
  <c r="G194" i="107" s="1"/>
  <c r="F194" i="107" a="1"/>
  <c r="F194" i="107" s="1"/>
  <c r="E194" i="107" a="1"/>
  <c r="E194" i="107" s="1"/>
  <c r="D194" i="107" a="1"/>
  <c r="D194" i="107" s="1"/>
  <c r="H193" i="107" a="1"/>
  <c r="H193" i="107" s="1"/>
  <c r="G193" i="107" a="1"/>
  <c r="G193" i="107" s="1"/>
  <c r="F193" i="107" a="1"/>
  <c r="F193" i="107" s="1"/>
  <c r="E193" i="107" a="1"/>
  <c r="E193" i="107" s="1"/>
  <c r="D193" i="107" a="1"/>
  <c r="D193" i="107" s="1"/>
  <c r="H192" i="107" a="1"/>
  <c r="H192" i="107" s="1"/>
  <c r="G192" i="107" a="1"/>
  <c r="G192" i="107" s="1"/>
  <c r="F192" i="107" a="1"/>
  <c r="F192" i="107" s="1"/>
  <c r="E192" i="107" a="1"/>
  <c r="E192" i="107" s="1"/>
  <c r="D192" i="107" a="1"/>
  <c r="D192" i="107" s="1"/>
  <c r="H191" i="107" a="1"/>
  <c r="H191" i="107" s="1"/>
  <c r="G191" i="107" a="1"/>
  <c r="G191" i="107" s="1"/>
  <c r="F191" i="107" a="1"/>
  <c r="F191" i="107" s="1"/>
  <c r="E191" i="107" a="1"/>
  <c r="E191" i="107" s="1"/>
  <c r="D191" i="107" a="1"/>
  <c r="D191" i="107" s="1"/>
  <c r="H190" i="107" a="1"/>
  <c r="H190" i="107" s="1"/>
  <c r="G190" i="107" a="1"/>
  <c r="G190" i="107" s="1"/>
  <c r="F190" i="107" a="1"/>
  <c r="F190" i="107" s="1"/>
  <c r="E190" i="107" a="1"/>
  <c r="E190" i="107" s="1"/>
  <c r="D190" i="107" a="1"/>
  <c r="D190" i="107" s="1"/>
  <c r="H189" i="107" a="1"/>
  <c r="H189" i="107" s="1"/>
  <c r="G189" i="107" a="1"/>
  <c r="G189" i="107" s="1"/>
  <c r="F189" i="107" a="1"/>
  <c r="F189" i="107" s="1"/>
  <c r="E189" i="107" a="1"/>
  <c r="E189" i="107" s="1"/>
  <c r="D189" i="107" a="1"/>
  <c r="D189" i="107" s="1"/>
  <c r="H188" i="107" a="1"/>
  <c r="H188" i="107" s="1"/>
  <c r="G188" i="107" a="1"/>
  <c r="G188" i="107" s="1"/>
  <c r="F188" i="107" a="1"/>
  <c r="F188" i="107" s="1"/>
  <c r="D9" i="79" s="1"/>
  <c r="E188" i="107" a="1"/>
  <c r="E188" i="107" s="1"/>
  <c r="D188" i="107" a="1"/>
  <c r="D188" i="107" s="1"/>
  <c r="H187" i="107" a="1"/>
  <c r="H187" i="107" s="1"/>
  <c r="G187" i="107" a="1"/>
  <c r="G187" i="107" s="1"/>
  <c r="F187" i="107" a="1"/>
  <c r="F187" i="107" s="1"/>
  <c r="D8" i="79" s="1"/>
  <c r="E187" i="107" a="1"/>
  <c r="E187" i="107" s="1"/>
  <c r="D187" i="107" a="1"/>
  <c r="D187" i="107" s="1"/>
  <c r="D181" i="107" a="1"/>
  <c r="D181" i="107" s="1"/>
  <c r="D180" i="107" a="1"/>
  <c r="D180" i="107" s="1"/>
  <c r="D179" i="107"/>
  <c r="D179" i="107" a="1"/>
  <c r="D178" i="107" a="1"/>
  <c r="D178" i="107" s="1"/>
  <c r="E175" i="107" a="1"/>
  <c r="E175" i="107" s="1"/>
  <c r="D175" i="107" a="1"/>
  <c r="D175" i="107" s="1"/>
  <c r="D174" i="107" a="1"/>
  <c r="D174" i="107" s="1"/>
  <c r="D173" i="107" a="1"/>
  <c r="D173" i="107" s="1"/>
  <c r="D170" i="107" a="1"/>
  <c r="D170" i="107" s="1"/>
  <c r="D169" i="107" a="1"/>
  <c r="D169" i="107" s="1"/>
  <c r="D168" i="107" a="1"/>
  <c r="D168" i="107" s="1"/>
  <c r="D167" i="107" a="1"/>
  <c r="D167" i="107" s="1"/>
  <c r="D164" i="107" a="1"/>
  <c r="D164" i="107" s="1"/>
  <c r="D163" i="107" a="1"/>
  <c r="D163" i="107" s="1"/>
  <c r="D162" i="107" a="1"/>
  <c r="D162" i="107" s="1"/>
  <c r="D161" i="107" a="1"/>
  <c r="D161" i="107" s="1"/>
  <c r="E158" i="107" a="1"/>
  <c r="E158" i="107" s="1"/>
  <c r="D158" i="107" a="1"/>
  <c r="D158" i="107" s="1"/>
  <c r="E157" i="107" a="1"/>
  <c r="E157" i="107" s="1"/>
  <c r="D157" i="107" a="1"/>
  <c r="D157" i="107" s="1"/>
  <c r="E156" i="107" a="1"/>
  <c r="E156" i="107" s="1"/>
  <c r="D156" i="107" a="1"/>
  <c r="D156" i="107" s="1"/>
  <c r="E155" i="107" a="1"/>
  <c r="E155" i="107" s="1"/>
  <c r="D155" i="107" a="1"/>
  <c r="D155" i="107" s="1"/>
  <c r="E154" i="107" a="1"/>
  <c r="E154" i="107" s="1"/>
  <c r="D154" i="107" a="1"/>
  <c r="D154" i="107" s="1"/>
  <c r="D151" i="107" a="1"/>
  <c r="D151" i="107" s="1"/>
  <c r="D150" i="107" a="1"/>
  <c r="D150" i="107" s="1"/>
  <c r="E147" i="107" a="1"/>
  <c r="E147" i="107" s="1"/>
  <c r="D147" i="107" a="1"/>
  <c r="D147" i="107" s="1"/>
  <c r="E146" i="107" a="1"/>
  <c r="E146" i="107" s="1"/>
  <c r="D146" i="107" a="1"/>
  <c r="D146" i="107" s="1"/>
  <c r="E145" i="107" a="1"/>
  <c r="E145" i="107" s="1"/>
  <c r="D145" i="107" a="1"/>
  <c r="D145" i="107" s="1"/>
  <c r="E144" i="107" a="1"/>
  <c r="E144" i="107" s="1"/>
  <c r="D144" i="107" a="1"/>
  <c r="D144" i="107" s="1"/>
  <c r="E143" i="107" a="1"/>
  <c r="E143" i="107" s="1"/>
  <c r="D143" i="107" a="1"/>
  <c r="D143" i="107" s="1"/>
  <c r="D141" i="107" a="1"/>
  <c r="D141" i="107" s="1"/>
  <c r="D140" i="107" a="1"/>
  <c r="D140" i="107" s="1"/>
  <c r="D139" i="107" a="1"/>
  <c r="D139" i="107" s="1"/>
  <c r="E136" i="107" a="1"/>
  <c r="E136" i="107" s="1"/>
  <c r="D136" i="107" a="1"/>
  <c r="D136" i="107" s="1"/>
  <c r="E135" i="107" a="1"/>
  <c r="E135" i="107" s="1"/>
  <c r="D135" i="107" a="1"/>
  <c r="D135" i="107" s="1"/>
  <c r="D133" i="107" a="1"/>
  <c r="D133" i="107" s="1"/>
  <c r="D132" i="107" a="1"/>
  <c r="D132" i="107" s="1"/>
  <c r="E129" i="107" a="1"/>
  <c r="E129" i="107" s="1"/>
  <c r="D129" i="107" a="1"/>
  <c r="D129" i="107" s="1"/>
  <c r="E128" i="107" a="1"/>
  <c r="E128" i="107" s="1"/>
  <c r="D128" i="107" a="1"/>
  <c r="D128" i="107" s="1"/>
  <c r="D125" i="107" a="1"/>
  <c r="D125" i="107" s="1"/>
  <c r="D124" i="107" a="1"/>
  <c r="D124" i="107" s="1"/>
  <c r="G121" i="107" a="1"/>
  <c r="G121" i="107" s="1"/>
  <c r="F121" i="107" a="1"/>
  <c r="F121" i="107" s="1"/>
  <c r="E121" i="107" a="1"/>
  <c r="E121" i="107" s="1"/>
  <c r="D121" i="107" a="1"/>
  <c r="D121" i="107" s="1"/>
  <c r="G120" i="107" a="1"/>
  <c r="G120" i="107" s="1"/>
  <c r="F120" i="107" a="1"/>
  <c r="F120" i="107" s="1"/>
  <c r="E120" i="107" a="1"/>
  <c r="E120" i="107" s="1"/>
  <c r="D120" i="107" a="1"/>
  <c r="D120" i="107" s="1"/>
  <c r="D117" i="107" a="1"/>
  <c r="D117" i="107" s="1"/>
  <c r="D116" i="107" a="1"/>
  <c r="D116" i="107" s="1"/>
  <c r="D115" i="107" a="1"/>
  <c r="D115" i="107" s="1"/>
  <c r="G112" i="107" a="1"/>
  <c r="G112" i="107" s="1"/>
  <c r="F112" i="107" a="1"/>
  <c r="F112" i="107" s="1"/>
  <c r="E112" i="107" a="1"/>
  <c r="E112" i="107" s="1"/>
  <c r="D112" i="107" a="1"/>
  <c r="D112" i="107" s="1"/>
  <c r="G111" i="107" a="1"/>
  <c r="G111" i="107" s="1"/>
  <c r="F111" i="107" a="1"/>
  <c r="F111" i="107" s="1"/>
  <c r="E111" i="107" a="1"/>
  <c r="E111" i="107" s="1"/>
  <c r="D111" i="107" a="1"/>
  <c r="D111" i="107" s="1"/>
  <c r="G110" i="107" a="1"/>
  <c r="G110" i="107" s="1"/>
  <c r="F110" i="107" a="1"/>
  <c r="F110" i="107" s="1"/>
  <c r="E110" i="107" a="1"/>
  <c r="E110" i="107" s="1"/>
  <c r="D110" i="107" a="1"/>
  <c r="D110" i="107" s="1"/>
  <c r="D107" i="107" a="1"/>
  <c r="D107" i="107" s="1"/>
  <c r="D106" i="107" a="1"/>
  <c r="D106" i="107" s="1"/>
  <c r="D105" i="107" a="1"/>
  <c r="D105" i="107" s="1"/>
  <c r="D99" i="107" a="1"/>
  <c r="D99" i="107" s="1"/>
  <c r="S97" i="107" a="1"/>
  <c r="S97" i="107" s="1"/>
  <c r="R97" i="107" a="1"/>
  <c r="R97" i="107" s="1"/>
  <c r="Q97" i="107" a="1"/>
  <c r="Q97" i="107" s="1"/>
  <c r="P97" i="107" a="1"/>
  <c r="P97" i="107" s="1"/>
  <c r="O97" i="107" a="1"/>
  <c r="O97" i="107" s="1"/>
  <c r="N97" i="107" a="1"/>
  <c r="N97" i="107" s="1"/>
  <c r="M97" i="107" a="1"/>
  <c r="M97" i="107" s="1"/>
  <c r="L97" i="107" a="1"/>
  <c r="L97" i="107" s="1"/>
  <c r="K97" i="107" a="1"/>
  <c r="K97" i="107" s="1"/>
  <c r="J97" i="107" a="1"/>
  <c r="J97" i="107" s="1"/>
  <c r="I97" i="107" a="1"/>
  <c r="I97" i="107" s="1"/>
  <c r="H97" i="107" a="1"/>
  <c r="H97" i="107" s="1"/>
  <c r="G97" i="107" a="1"/>
  <c r="G97" i="107" s="1"/>
  <c r="F97" i="107" a="1"/>
  <c r="F97" i="107" s="1"/>
  <c r="E97" i="107" a="1"/>
  <c r="E97" i="107" s="1"/>
  <c r="D97" i="107" a="1"/>
  <c r="D97" i="107" s="1"/>
  <c r="S96" i="107" a="1"/>
  <c r="S96" i="107" s="1"/>
  <c r="R96" i="107" a="1"/>
  <c r="R96" i="107" s="1"/>
  <c r="Q96" i="107" a="1"/>
  <c r="Q96" i="107" s="1"/>
  <c r="P96" i="107" a="1"/>
  <c r="P96" i="107" s="1"/>
  <c r="O96" i="107" a="1"/>
  <c r="O96" i="107" s="1"/>
  <c r="N96" i="107" a="1"/>
  <c r="N96" i="107" s="1"/>
  <c r="M96" i="107" a="1"/>
  <c r="M96" i="107" s="1"/>
  <c r="L96" i="107" a="1"/>
  <c r="L96" i="107" s="1"/>
  <c r="K96" i="107" a="1"/>
  <c r="K96" i="107" s="1"/>
  <c r="J96" i="107" a="1"/>
  <c r="J96" i="107" s="1"/>
  <c r="I96" i="107" a="1"/>
  <c r="I96" i="107" s="1"/>
  <c r="H96" i="107" a="1"/>
  <c r="H96" i="107" s="1"/>
  <c r="G96" i="107" a="1"/>
  <c r="G96" i="107" s="1"/>
  <c r="F96" i="107" a="1"/>
  <c r="F96" i="107" s="1"/>
  <c r="E96" i="107" a="1"/>
  <c r="E96" i="107" s="1"/>
  <c r="D96" i="107" a="1"/>
  <c r="D96" i="107" s="1"/>
  <c r="S95" i="107" a="1"/>
  <c r="S95" i="107" s="1"/>
  <c r="R95" i="107" a="1"/>
  <c r="R95" i="107" s="1"/>
  <c r="Q95" i="107" a="1"/>
  <c r="Q95" i="107" s="1"/>
  <c r="P95" i="107" a="1"/>
  <c r="P95" i="107" s="1"/>
  <c r="O95" i="107" a="1"/>
  <c r="O95" i="107" s="1"/>
  <c r="N95" i="107" a="1"/>
  <c r="N95" i="107" s="1"/>
  <c r="M95" i="107" a="1"/>
  <c r="M95" i="107" s="1"/>
  <c r="L95" i="107" a="1"/>
  <c r="L95" i="107" s="1"/>
  <c r="K95" i="107" a="1"/>
  <c r="K95" i="107" s="1"/>
  <c r="J95" i="107" a="1"/>
  <c r="J95" i="107" s="1"/>
  <c r="I95" i="107" a="1"/>
  <c r="I95" i="107" s="1"/>
  <c r="H95" i="107" a="1"/>
  <c r="H95" i="107" s="1"/>
  <c r="G95" i="107" a="1"/>
  <c r="G95" i="107" s="1"/>
  <c r="F95" i="107" a="1"/>
  <c r="F95" i="107" s="1"/>
  <c r="E95" i="107" a="1"/>
  <c r="E95" i="107" s="1"/>
  <c r="D95" i="107" a="1"/>
  <c r="D95" i="107" s="1"/>
  <c r="S94" i="107" a="1"/>
  <c r="S94" i="107" s="1"/>
  <c r="R94" i="107" a="1"/>
  <c r="R94" i="107" s="1"/>
  <c r="Q94" i="107" a="1"/>
  <c r="Q94" i="107" s="1"/>
  <c r="P94" i="107" a="1"/>
  <c r="P94" i="107" s="1"/>
  <c r="O94" i="107" a="1"/>
  <c r="O94" i="107" s="1"/>
  <c r="N94" i="107" a="1"/>
  <c r="N94" i="107" s="1"/>
  <c r="M94" i="107" a="1"/>
  <c r="M94" i="107" s="1"/>
  <c r="L94" i="107" a="1"/>
  <c r="L94" i="107" s="1"/>
  <c r="K94" i="107" a="1"/>
  <c r="K94" i="107" s="1"/>
  <c r="J94" i="107" a="1"/>
  <c r="J94" i="107" s="1"/>
  <c r="I94" i="107" a="1"/>
  <c r="I94" i="107" s="1"/>
  <c r="H94" i="107" a="1"/>
  <c r="H94" i="107" s="1"/>
  <c r="G94" i="107" a="1"/>
  <c r="G94" i="107" s="1"/>
  <c r="F94" i="107" a="1"/>
  <c r="F94" i="107" s="1"/>
  <c r="E94" i="107" a="1"/>
  <c r="E94" i="107" s="1"/>
  <c r="D94" i="107" a="1"/>
  <c r="D94" i="107" s="1"/>
  <c r="S93" i="107" a="1"/>
  <c r="S93" i="107" s="1"/>
  <c r="R93" i="107" a="1"/>
  <c r="R93" i="107" s="1"/>
  <c r="Q93" i="107" a="1"/>
  <c r="Q93" i="107" s="1"/>
  <c r="P93" i="107" a="1"/>
  <c r="P93" i="107" s="1"/>
  <c r="O93" i="107" a="1"/>
  <c r="O93" i="107" s="1"/>
  <c r="N93" i="107" a="1"/>
  <c r="N93" i="107" s="1"/>
  <c r="M93" i="107" a="1"/>
  <c r="M93" i="107" s="1"/>
  <c r="L93" i="107" a="1"/>
  <c r="L93" i="107" s="1"/>
  <c r="K93" i="107" a="1"/>
  <c r="K93" i="107" s="1"/>
  <c r="J93" i="107" a="1"/>
  <c r="J93" i="107" s="1"/>
  <c r="I93" i="107" a="1"/>
  <c r="I93" i="107" s="1"/>
  <c r="H93" i="107" a="1"/>
  <c r="H93" i="107" s="1"/>
  <c r="G93" i="107" a="1"/>
  <c r="G93" i="107" s="1"/>
  <c r="F93" i="107" a="1"/>
  <c r="F93" i="107" s="1"/>
  <c r="E93" i="107" a="1"/>
  <c r="E93" i="107" s="1"/>
  <c r="D93" i="107" a="1"/>
  <c r="D93" i="107" s="1"/>
  <c r="S92" i="107" a="1"/>
  <c r="S92" i="107" s="1"/>
  <c r="R92" i="107" a="1"/>
  <c r="R92" i="107" s="1"/>
  <c r="Q92" i="107" a="1"/>
  <c r="Q92" i="107" s="1"/>
  <c r="P92" i="107" a="1"/>
  <c r="P92" i="107" s="1"/>
  <c r="O92" i="107" a="1"/>
  <c r="O92" i="107" s="1"/>
  <c r="N92" i="107" a="1"/>
  <c r="N92" i="107" s="1"/>
  <c r="M92" i="107" a="1"/>
  <c r="M92" i="107" s="1"/>
  <c r="L92" i="107" a="1"/>
  <c r="L92" i="107" s="1"/>
  <c r="K92" i="107" a="1"/>
  <c r="K92" i="107" s="1"/>
  <c r="J92" i="107" a="1"/>
  <c r="J92" i="107" s="1"/>
  <c r="I92" i="107" a="1"/>
  <c r="I92" i="107" s="1"/>
  <c r="H92" i="107" a="1"/>
  <c r="H92" i="107" s="1"/>
  <c r="G92" i="107" a="1"/>
  <c r="G92" i="107" s="1"/>
  <c r="F92" i="107" a="1"/>
  <c r="F92" i="107" s="1"/>
  <c r="E92" i="107" a="1"/>
  <c r="E92" i="107" s="1"/>
  <c r="D92" i="107" a="1"/>
  <c r="D92" i="107" s="1"/>
  <c r="S91" i="107" a="1"/>
  <c r="S91" i="107" s="1"/>
  <c r="R91" i="107" a="1"/>
  <c r="R91" i="107" s="1"/>
  <c r="Q91" i="107" a="1"/>
  <c r="Q91" i="107" s="1"/>
  <c r="P91" i="107" a="1"/>
  <c r="P91" i="107" s="1"/>
  <c r="O91" i="107" a="1"/>
  <c r="O91" i="107" s="1"/>
  <c r="N91" i="107" a="1"/>
  <c r="N91" i="107" s="1"/>
  <c r="M91" i="107" a="1"/>
  <c r="M91" i="107" s="1"/>
  <c r="L91" i="107" a="1"/>
  <c r="L91" i="107" s="1"/>
  <c r="K91" i="107" a="1"/>
  <c r="K91" i="107" s="1"/>
  <c r="J91" i="107" a="1"/>
  <c r="J91" i="107" s="1"/>
  <c r="I91" i="107" a="1"/>
  <c r="I91" i="107" s="1"/>
  <c r="H91" i="107" a="1"/>
  <c r="H91" i="107" s="1"/>
  <c r="G91" i="107" a="1"/>
  <c r="G91" i="107" s="1"/>
  <c r="F91" i="107" a="1"/>
  <c r="F91" i="107" s="1"/>
  <c r="E91" i="107" a="1"/>
  <c r="E91" i="107" s="1"/>
  <c r="D91" i="107" a="1"/>
  <c r="D91" i="107" s="1"/>
  <c r="S90" i="107" a="1"/>
  <c r="S90" i="107" s="1"/>
  <c r="R90" i="107" a="1"/>
  <c r="R90" i="107" s="1"/>
  <c r="Q90" i="107" a="1"/>
  <c r="Q90" i="107" s="1"/>
  <c r="P90" i="107" a="1"/>
  <c r="P90" i="107" s="1"/>
  <c r="O90" i="107" a="1"/>
  <c r="O90" i="107" s="1"/>
  <c r="N90" i="107" a="1"/>
  <c r="N90" i="107" s="1"/>
  <c r="M90" i="107" a="1"/>
  <c r="M90" i="107" s="1"/>
  <c r="L90" i="107" a="1"/>
  <c r="L90" i="107" s="1"/>
  <c r="K90" i="107" a="1"/>
  <c r="K90" i="107" s="1"/>
  <c r="J90" i="107" a="1"/>
  <c r="J90" i="107" s="1"/>
  <c r="I90" i="107" a="1"/>
  <c r="I90" i="107" s="1"/>
  <c r="H90" i="107" a="1"/>
  <c r="H90" i="107" s="1"/>
  <c r="G90" i="107" a="1"/>
  <c r="G90" i="107" s="1"/>
  <c r="F90" i="107" a="1"/>
  <c r="F90" i="107" s="1"/>
  <c r="E90" i="107" a="1"/>
  <c r="E90" i="107" s="1"/>
  <c r="D90" i="107" a="1"/>
  <c r="D90" i="107" s="1"/>
  <c r="D83" i="107" a="1"/>
  <c r="D83" i="107" s="1"/>
  <c r="D82" i="107" a="1"/>
  <c r="D82" i="107" s="1"/>
  <c r="D81" i="107" a="1"/>
  <c r="D81" i="107" s="1"/>
  <c r="E77" i="107" a="1"/>
  <c r="E77" i="107" s="1"/>
  <c r="D77" i="107" a="1"/>
  <c r="D77" i="107" s="1"/>
  <c r="E76" i="107" a="1"/>
  <c r="E76" i="107" s="1"/>
  <c r="D76" i="107" a="1"/>
  <c r="D76" i="107" s="1"/>
  <c r="E75" i="107" a="1"/>
  <c r="E75" i="107" s="1"/>
  <c r="D75" i="107" a="1"/>
  <c r="D75" i="107" s="1"/>
  <c r="E74" i="107" a="1"/>
  <c r="E74" i="107" s="1"/>
  <c r="D74" i="107" a="1"/>
  <c r="D74" i="107" s="1"/>
  <c r="E73" i="107" a="1"/>
  <c r="E73" i="107" s="1"/>
  <c r="D73" i="107" a="1"/>
  <c r="D73" i="107" s="1"/>
  <c r="E72" i="107" a="1"/>
  <c r="E72" i="107" s="1"/>
  <c r="D72" i="107" a="1"/>
  <c r="D72" i="107" s="1"/>
  <c r="E71" i="107" a="1"/>
  <c r="E71" i="107" s="1"/>
  <c r="D71" i="107" a="1"/>
  <c r="D71" i="107" s="1"/>
  <c r="E70" i="107" a="1"/>
  <c r="E70" i="107" s="1"/>
  <c r="D70" i="107" a="1"/>
  <c r="D70" i="107" s="1"/>
  <c r="E69" i="107" a="1"/>
  <c r="E69" i="107" s="1"/>
  <c r="D69" i="107" a="1"/>
  <c r="D69" i="107" s="1"/>
  <c r="E68" i="107" a="1"/>
  <c r="E68" i="107" s="1"/>
  <c r="D68" i="107" a="1"/>
  <c r="D68" i="107" s="1"/>
  <c r="E67" i="107" a="1"/>
  <c r="E67" i="107" s="1"/>
  <c r="D67" i="107" a="1"/>
  <c r="D67" i="107" s="1"/>
  <c r="E66" i="107" a="1"/>
  <c r="E66" i="107" s="1"/>
  <c r="D66" i="107" a="1"/>
  <c r="D66" i="107" s="1"/>
  <c r="E65" i="107" a="1"/>
  <c r="E65" i="107" s="1"/>
  <c r="D65" i="107" a="1"/>
  <c r="D65" i="107" s="1"/>
  <c r="E64" i="107" a="1"/>
  <c r="E64" i="107" s="1"/>
  <c r="D64" i="107" a="1"/>
  <c r="D64" i="107" s="1"/>
  <c r="D59" i="107" a="1"/>
  <c r="D59" i="107" s="1"/>
  <c r="D58" i="107" a="1"/>
  <c r="D58" i="107" s="1"/>
  <c r="D57" i="107" a="1"/>
  <c r="D57" i="107" s="1"/>
  <c r="G54" i="107" a="1"/>
  <c r="G54" i="107" s="1"/>
  <c r="F54" i="107" a="1"/>
  <c r="F54" i="107" s="1"/>
  <c r="E54" i="107" a="1"/>
  <c r="E54" i="107" s="1"/>
  <c r="D54" i="107" a="1"/>
  <c r="D54" i="107" s="1"/>
  <c r="G53" i="107" a="1"/>
  <c r="G53" i="107" s="1"/>
  <c r="F53" i="107" a="1"/>
  <c r="F53" i="107" s="1"/>
  <c r="E53" i="107" a="1"/>
  <c r="E53" i="107" s="1"/>
  <c r="D53" i="107" a="1"/>
  <c r="D53" i="107" s="1"/>
  <c r="G52" i="107" a="1"/>
  <c r="G52" i="107" s="1"/>
  <c r="F52" i="107" a="1"/>
  <c r="F52" i="107" s="1"/>
  <c r="E52" i="107" a="1"/>
  <c r="E52" i="107" s="1"/>
  <c r="D52" i="107" a="1"/>
  <c r="D52" i="107" s="1"/>
  <c r="G51" i="107" a="1"/>
  <c r="G51" i="107" s="1"/>
  <c r="F51" i="107" a="1"/>
  <c r="F51" i="107" s="1"/>
  <c r="E51" i="107" a="1"/>
  <c r="E51" i="107" s="1"/>
  <c r="D51" i="107" a="1"/>
  <c r="D51" i="107" s="1"/>
  <c r="G50" i="107" a="1"/>
  <c r="G50" i="107" s="1"/>
  <c r="F50" i="107" a="1"/>
  <c r="F50" i="107" s="1"/>
  <c r="E50" i="107" a="1"/>
  <c r="E50" i="107" s="1"/>
  <c r="D50" i="107" a="1"/>
  <c r="D50" i="107" s="1"/>
  <c r="G49" i="107" a="1"/>
  <c r="G49" i="107" s="1"/>
  <c r="F49" i="107" a="1"/>
  <c r="F49" i="107" s="1"/>
  <c r="E49" i="107" a="1"/>
  <c r="E49" i="107" s="1"/>
  <c r="D49" i="107" a="1"/>
  <c r="D49" i="107" s="1"/>
  <c r="G48" i="107" a="1"/>
  <c r="G48" i="107" s="1"/>
  <c r="F48" i="107" a="1"/>
  <c r="F48" i="107" s="1"/>
  <c r="E48" i="107" a="1"/>
  <c r="E48" i="107" s="1"/>
  <c r="D48" i="107" a="1"/>
  <c r="D48" i="107" s="1"/>
  <c r="D46" i="107" a="1"/>
  <c r="D46" i="107" s="1"/>
  <c r="D45" i="107" a="1"/>
  <c r="D45" i="107" s="1"/>
  <c r="E43" i="107" a="1"/>
  <c r="E43" i="107" s="1"/>
  <c r="D43" i="107" a="1"/>
  <c r="D43" i="107" s="1"/>
  <c r="E42" i="107" a="1"/>
  <c r="E42" i="107" s="1"/>
  <c r="D42" i="107" a="1"/>
  <c r="D42" i="107" s="1"/>
  <c r="E41" i="107" a="1"/>
  <c r="E41" i="107" s="1"/>
  <c r="D41" i="107" a="1"/>
  <c r="D41" i="107" s="1"/>
  <c r="E40" i="107" a="1"/>
  <c r="E40" i="107" s="1"/>
  <c r="D40" i="107" a="1"/>
  <c r="D40" i="107" s="1"/>
  <c r="E39" i="107" a="1"/>
  <c r="E39" i="107" s="1"/>
  <c r="D39" i="107" a="1"/>
  <c r="D39" i="107" s="1"/>
  <c r="E38" i="107" a="1"/>
  <c r="E38" i="107" s="1"/>
  <c r="D38" i="107" a="1"/>
  <c r="D38" i="107" s="1"/>
  <c r="E37" i="107" a="1"/>
  <c r="E37" i="107" s="1"/>
  <c r="D37" i="107" a="1"/>
  <c r="D37" i="107" s="1"/>
  <c r="X164" i="69" s="1"/>
  <c r="D35" i="107" a="1"/>
  <c r="D35" i="107" s="1"/>
  <c r="D34" i="107" a="1"/>
  <c r="D34" i="107" s="1"/>
  <c r="D30" i="107" a="1"/>
  <c r="D30" i="107" s="1"/>
  <c r="D29" i="107" a="1"/>
  <c r="D29" i="107" s="1"/>
  <c r="D28" i="107" a="1"/>
  <c r="D28" i="107" s="1"/>
  <c r="D27" i="107" a="1"/>
  <c r="D27" i="107" s="1"/>
  <c r="D26" i="107" a="1"/>
  <c r="D26" i="107" s="1"/>
  <c r="D25" i="107" a="1"/>
  <c r="D25" i="107" s="1"/>
  <c r="D24" i="107" a="1"/>
  <c r="D24" i="107" s="1"/>
  <c r="D23" i="107" a="1"/>
  <c r="D23" i="107" s="1"/>
  <c r="D22" i="107" a="1"/>
  <c r="D22" i="107" s="1"/>
  <c r="D21" i="107" a="1"/>
  <c r="D21" i="107" s="1"/>
  <c r="D19" i="107" a="1"/>
  <c r="D19" i="107" s="1"/>
  <c r="D18" i="107" a="1"/>
  <c r="D18" i="107" s="1"/>
  <c r="F14" i="107" a="1"/>
  <c r="F14" i="107" s="1"/>
  <c r="E14" i="107" a="1"/>
  <c r="E14" i="107" s="1"/>
  <c r="D14" i="107" a="1"/>
  <c r="D14" i="107" s="1"/>
  <c r="F13" i="107" a="1"/>
  <c r="F13" i="107" s="1"/>
  <c r="E13" i="107" a="1"/>
  <c r="E13" i="107" s="1"/>
  <c r="D13" i="107" a="1"/>
  <c r="D13" i="107" s="1"/>
  <c r="F12" i="107" a="1"/>
  <c r="F12" i="107" s="1"/>
  <c r="E12" i="107" a="1"/>
  <c r="E12" i="107" s="1"/>
  <c r="D12" i="107" a="1"/>
  <c r="D12" i="107" s="1"/>
  <c r="F11" i="107" a="1"/>
  <c r="F11" i="107" s="1"/>
  <c r="E11" i="107" a="1"/>
  <c r="E11" i="107" s="1"/>
  <c r="D11" i="107" a="1"/>
  <c r="D11" i="107" s="1"/>
  <c r="F10" i="107" a="1"/>
  <c r="F10" i="107" s="1"/>
  <c r="E10" i="107" a="1"/>
  <c r="E10" i="107" s="1"/>
  <c r="D10" i="107" a="1"/>
  <c r="D10" i="107" s="1"/>
  <c r="F9" i="107" a="1"/>
  <c r="F9" i="107" s="1"/>
  <c r="E9" i="107" a="1"/>
  <c r="E9" i="107" s="1"/>
  <c r="D9" i="107" a="1"/>
  <c r="D9" i="107" s="1"/>
  <c r="F8" i="107" a="1"/>
  <c r="F8" i="107" s="1"/>
  <c r="E8" i="107" a="1"/>
  <c r="E8" i="107" s="1"/>
  <c r="D8" i="107" a="1"/>
  <c r="D8" i="107" s="1"/>
  <c r="F7" i="107" a="1"/>
  <c r="F7" i="107" s="1"/>
  <c r="E7" i="107" a="1"/>
  <c r="E7" i="107" s="1"/>
  <c r="D7" i="107" a="1"/>
  <c r="D7" i="107" s="1"/>
  <c r="D5" i="107" a="1"/>
  <c r="D5" i="107" s="1"/>
  <c r="A17" i="43"/>
  <c r="A16" i="43"/>
  <c r="A15" i="43"/>
  <c r="A14" i="43"/>
  <c r="A11" i="43"/>
  <c r="A8" i="43"/>
  <c r="A7" i="43"/>
  <c r="A4" i="43"/>
  <c r="A3" i="43"/>
  <c r="A17" i="79"/>
  <c r="A16" i="79"/>
  <c r="A15" i="79"/>
  <c r="A14" i="79"/>
  <c r="A11" i="79"/>
  <c r="A8" i="79"/>
  <c r="A7" i="79"/>
  <c r="A4" i="79"/>
  <c r="A3" i="79"/>
  <c r="A17" i="69"/>
  <c r="A16" i="69"/>
  <c r="A15" i="69"/>
  <c r="A14" i="69"/>
  <c r="A11" i="69"/>
  <c r="A8" i="69"/>
  <c r="A7" i="69"/>
  <c r="A4" i="69"/>
  <c r="A3" i="69"/>
  <c r="A17" i="70"/>
  <c r="A16" i="70"/>
  <c r="A15" i="70"/>
  <c r="A14" i="70"/>
  <c r="A11" i="70"/>
  <c r="A8" i="70"/>
  <c r="A7" i="70"/>
  <c r="A4" i="70"/>
  <c r="A3" i="70"/>
  <c r="A17" i="13"/>
  <c r="A16" i="13"/>
  <c r="A15" i="13"/>
  <c r="A14" i="13"/>
  <c r="A11" i="13"/>
  <c r="A8" i="13"/>
  <c r="A7" i="13"/>
  <c r="A4" i="13"/>
  <c r="A3" i="13"/>
  <c r="A11" i="15"/>
  <c r="U108" i="69"/>
  <c r="U107" i="69"/>
  <c r="U106" i="69"/>
  <c r="U105" i="69"/>
  <c r="U104" i="69"/>
  <c r="U103" i="69"/>
  <c r="U102" i="69"/>
  <c r="U101" i="69"/>
  <c r="U100" i="69"/>
  <c r="U99" i="69"/>
  <c r="U98" i="69"/>
  <c r="U97" i="69"/>
  <c r="U112" i="69" a="1"/>
  <c r="U112" i="69" s="1"/>
  <c r="U92" i="69" a="1"/>
  <c r="U92" i="69" s="1"/>
  <c r="I102" i="69" a="1"/>
  <c r="I102" i="69" s="1"/>
  <c r="I100" i="69" a="1"/>
  <c r="I100" i="69" s="1"/>
  <c r="I101" i="69" a="1"/>
  <c r="I101" i="69" s="1"/>
  <c r="G100" i="69" a="1"/>
  <c r="G100" i="69" s="1"/>
  <c r="AF133" i="69" s="1"/>
  <c r="D100" i="69" a="1"/>
  <c r="D100" i="69" s="1"/>
  <c r="E98" i="69" a="1"/>
  <c r="E98" i="69"/>
  <c r="O123" i="69" s="1"/>
  <c r="E97" i="69" a="1"/>
  <c r="E97" i="69" s="1"/>
  <c r="D93" i="69" a="1"/>
  <c r="D93" i="69" s="1"/>
  <c r="D92" i="69" a="1"/>
  <c r="D92" i="69" s="1"/>
  <c r="D71" i="69" a="1"/>
  <c r="D71" i="69" s="1"/>
  <c r="G80" i="69" a="1"/>
  <c r="G80" i="69" s="1"/>
  <c r="AF97" i="69" s="1"/>
  <c r="D80" i="69" a="1"/>
  <c r="D80" i="69" s="1"/>
  <c r="E78" i="69" a="1"/>
  <c r="E78" i="69" s="1"/>
  <c r="E77" i="69" a="1"/>
  <c r="E77" i="69" s="1"/>
  <c r="D72" i="69" a="1"/>
  <c r="D72" i="69" s="1"/>
  <c r="I43" i="69" a="1"/>
  <c r="I43" i="69" s="1"/>
  <c r="I42" i="69" a="1"/>
  <c r="I42" i="69" s="1"/>
  <c r="I41" i="69" a="1"/>
  <c r="I41" i="69" s="1"/>
  <c r="G41" i="69" a="1"/>
  <c r="G41" i="69" s="1"/>
  <c r="D41" i="69" a="1"/>
  <c r="D41" i="69" s="1"/>
  <c r="J13" i="69" a="1"/>
  <c r="J13" i="69" s="1"/>
  <c r="H13" i="69" a="1"/>
  <c r="H13" i="69" s="1"/>
  <c r="D13" i="69" a="1"/>
  <c r="D13" i="69" s="1"/>
  <c r="I80" i="69" a="1"/>
  <c r="I80" i="69" s="1"/>
  <c r="E94" i="69" a="1"/>
  <c r="E73" i="69" a="1"/>
  <c r="G131" i="69" l="1"/>
  <c r="H53" i="107"/>
  <c r="H54" i="107"/>
  <c r="H50" i="107"/>
  <c r="H48" i="107"/>
  <c r="H51" i="107"/>
  <c r="H49" i="107"/>
  <c r="H52" i="107"/>
  <c r="O115" i="69"/>
  <c r="O107" i="69"/>
  <c r="F128" i="69"/>
  <c r="AF117" i="69"/>
  <c r="AF149" i="69"/>
  <c r="O85" i="69"/>
  <c r="E94" i="69"/>
  <c r="E73" i="69"/>
  <c r="D21" i="69" l="1"/>
  <c r="E29" i="69" s="1" a="1"/>
  <c r="E29" i="69" s="1"/>
  <c r="J16" i="69"/>
  <c r="U39" i="69"/>
  <c r="U38" i="69"/>
  <c r="U37" i="69"/>
  <c r="U36" i="69"/>
  <c r="U35" i="69"/>
  <c r="U34" i="69"/>
  <c r="U33" i="69"/>
  <c r="U32" i="69"/>
  <c r="U31" i="69"/>
  <c r="U30" i="69"/>
  <c r="U29" i="69"/>
  <c r="U28" i="69"/>
  <c r="D107" i="70"/>
  <c r="F120" i="70"/>
  <c r="W22" i="69" s="1"/>
  <c r="E120" i="70"/>
  <c r="V22" i="69" s="1"/>
  <c r="G120" i="70"/>
  <c r="X22" i="69" s="1"/>
  <c r="D117" i="70"/>
  <c r="E113" i="70"/>
  <c r="D119" i="70" s="1"/>
  <c r="U23" i="69" s="1"/>
  <c r="E112" i="70"/>
  <c r="D118" i="70" s="1"/>
  <c r="D6" i="69" a="1"/>
  <c r="D6" i="69" s="1"/>
  <c r="G21" i="69"/>
  <c r="F21" i="69"/>
  <c r="E21" i="69"/>
  <c r="D120" i="70" l="1"/>
  <c r="U22" i="69"/>
  <c r="V29" i="69" s="1" a="1"/>
  <c r="V29" i="69" s="1"/>
  <c r="W29" i="69" s="1" a="1"/>
  <c r="W29" i="69" s="1"/>
  <c r="V36" i="69" a="1"/>
  <c r="V36" i="69" s="1"/>
  <c r="E26" i="69" a="1"/>
  <c r="E26" i="69" s="1"/>
  <c r="E27" i="69" a="1"/>
  <c r="E27" i="69" s="1"/>
  <c r="F27" i="69" s="1" a="1"/>
  <c r="F27" i="69" s="1"/>
  <c r="E28" i="69" a="1"/>
  <c r="E28" i="69" s="1"/>
  <c r="F28" i="69" s="1" a="1"/>
  <c r="F28" i="69" s="1"/>
  <c r="L28" i="69" s="1" a="1"/>
  <c r="L28" i="69" s="1"/>
  <c r="D440" i="79" a="1"/>
  <c r="D440" i="79" s="1"/>
  <c r="D439" i="79" a="1"/>
  <c r="D439" i="79" s="1"/>
  <c r="D438" i="79" a="1"/>
  <c r="D438" i="79" s="1"/>
  <c r="D437" i="79" a="1"/>
  <c r="D437" i="79" s="1"/>
  <c r="D436" i="79" a="1"/>
  <c r="D436" i="79" s="1"/>
  <c r="D434" i="79" a="1"/>
  <c r="D434" i="79" s="1"/>
  <c r="D433" i="79" a="1"/>
  <c r="D433" i="79" s="1"/>
  <c r="D432" i="79" a="1"/>
  <c r="D432" i="79" s="1"/>
  <c r="D431" i="79" a="1"/>
  <c r="D431" i="79" s="1"/>
  <c r="D430" i="79" a="1"/>
  <c r="D430" i="79" s="1"/>
  <c r="V35" i="69" l="1" a="1"/>
  <c r="V35" i="69" s="1"/>
  <c r="V28" i="69" a="1"/>
  <c r="V28" i="69" s="1"/>
  <c r="V39" i="69" a="1"/>
  <c r="V39" i="69" s="1"/>
  <c r="V33" i="69" a="1"/>
  <c r="V33" i="69" s="1"/>
  <c r="W33" i="69" s="1" a="1"/>
  <c r="W33" i="69" s="1"/>
  <c r="AB33" i="69" s="1" a="1"/>
  <c r="AB33" i="69" s="1"/>
  <c r="V30" i="69" a="1"/>
  <c r="V30" i="69" s="1"/>
  <c r="W30" i="69" s="1" a="1"/>
  <c r="W30" i="69" s="1"/>
  <c r="V38" i="69" a="1"/>
  <c r="V38" i="69" s="1"/>
  <c r="V34" i="69" a="1"/>
  <c r="V34" i="69" s="1"/>
  <c r="W34" i="69" s="1" a="1"/>
  <c r="W34" i="69" s="1"/>
  <c r="V32" i="69" a="1"/>
  <c r="V32" i="69" s="1"/>
  <c r="W32" i="69" s="1" a="1"/>
  <c r="W32" i="69" s="1"/>
  <c r="AC32" i="69" s="1" a="1"/>
  <c r="AC32" i="69" s="1"/>
  <c r="V31" i="69" a="1"/>
  <c r="V31" i="69" s="1"/>
  <c r="W31" i="69" s="1" a="1"/>
  <c r="W31" i="69" s="1"/>
  <c r="AB31" i="69" s="1" a="1"/>
  <c r="AB31" i="69" s="1"/>
  <c r="V37" i="69" a="1"/>
  <c r="V37" i="69" s="1"/>
  <c r="AB32" i="69" a="1"/>
  <c r="AB32" i="69" s="1"/>
  <c r="AA32" i="69" a="1"/>
  <c r="AA32" i="69" s="1"/>
  <c r="AB30" i="69" a="1"/>
  <c r="AB30" i="69" s="1"/>
  <c r="AC30" i="69" a="1"/>
  <c r="AC30" i="69" s="1"/>
  <c r="AA30" i="69" a="1"/>
  <c r="AA30" i="69" s="1"/>
  <c r="AB34" i="69" a="1"/>
  <c r="AB34" i="69" s="1"/>
  <c r="AA34" i="69" a="1"/>
  <c r="AA34" i="69" s="1"/>
  <c r="AC34" i="69" a="1"/>
  <c r="AC34" i="69" s="1"/>
  <c r="AC29" i="69" a="1"/>
  <c r="AC29" i="69" s="1"/>
  <c r="AB29" i="69" a="1"/>
  <c r="AB29" i="69" s="1"/>
  <c r="AA29" i="69" a="1"/>
  <c r="AA29" i="69" s="1"/>
  <c r="L27" i="69" a="1"/>
  <c r="L27" i="69" s="1"/>
  <c r="K27" i="69" a="1"/>
  <c r="K27" i="69" s="1"/>
  <c r="J27" i="69" a="1"/>
  <c r="J27" i="69" s="1"/>
  <c r="K28" i="69" a="1"/>
  <c r="K28" i="69" s="1"/>
  <c r="J28" i="69" a="1"/>
  <c r="J28" i="69" s="1"/>
  <c r="AA31" i="69" l="1" a="1"/>
  <c r="AA31" i="69" s="1"/>
  <c r="AC33" i="69" a="1"/>
  <c r="AC33" i="69" s="1"/>
  <c r="AA33" i="69" a="1"/>
  <c r="AA33" i="69" s="1"/>
  <c r="AC31" i="69" a="1"/>
  <c r="AC31" i="69" s="1"/>
  <c r="A17" i="15"/>
  <c r="A16" i="15"/>
  <c r="A15" i="15"/>
  <c r="A14" i="15"/>
  <c r="A8" i="15"/>
  <c r="A7" i="15"/>
  <c r="A4" i="15"/>
  <c r="A3" i="15"/>
  <c r="W166" i="69" a="1"/>
  <c r="W166" i="69" s="1"/>
  <c r="U163" i="69" a="1"/>
  <c r="U163" i="69" s="1"/>
  <c r="U144" i="69"/>
  <c r="U160" i="69" s="1"/>
  <c r="U143" i="69"/>
  <c r="U159" i="69" s="1"/>
  <c r="U142" i="69"/>
  <c r="U158" i="69" s="1"/>
  <c r="U141" i="69"/>
  <c r="U157" i="69" s="1"/>
  <c r="U140" i="69"/>
  <c r="U156" i="69" s="1"/>
  <c r="U139" i="69"/>
  <c r="U155" i="69" s="1"/>
  <c r="U138" i="69"/>
  <c r="U154" i="69" s="1"/>
  <c r="U137" i="69"/>
  <c r="U153" i="69" s="1"/>
  <c r="U136" i="69"/>
  <c r="U152" i="69" s="1"/>
  <c r="U135" i="69"/>
  <c r="U151" i="69" s="1"/>
  <c r="U134" i="69"/>
  <c r="U133" i="69"/>
  <c r="AE128" i="69"/>
  <c r="AD128" i="69"/>
  <c r="AC128" i="69"/>
  <c r="AB128" i="69"/>
  <c r="AA128" i="69"/>
  <c r="Z128" i="69"/>
  <c r="Y128" i="69"/>
  <c r="X128" i="69"/>
  <c r="W128" i="69"/>
  <c r="V128" i="69"/>
  <c r="AE127" i="69"/>
  <c r="AD127" i="69"/>
  <c r="AC127" i="69"/>
  <c r="AB127" i="69"/>
  <c r="AA127" i="69"/>
  <c r="Z127" i="69"/>
  <c r="Y127" i="69"/>
  <c r="X127" i="69"/>
  <c r="W127" i="69"/>
  <c r="V127" i="69"/>
  <c r="AE126" i="69"/>
  <c r="AD126" i="69"/>
  <c r="AC126" i="69"/>
  <c r="AB126" i="69"/>
  <c r="AA126" i="69"/>
  <c r="Z126" i="69"/>
  <c r="Y126" i="69"/>
  <c r="X126" i="69"/>
  <c r="W126" i="69"/>
  <c r="V126" i="69"/>
  <c r="AE125" i="69"/>
  <c r="AD125" i="69"/>
  <c r="AC125" i="69"/>
  <c r="AB125" i="69"/>
  <c r="AA125" i="69"/>
  <c r="Z125" i="69"/>
  <c r="Y125" i="69"/>
  <c r="X125" i="69"/>
  <c r="W125" i="69"/>
  <c r="V125" i="69"/>
  <c r="AE124" i="69"/>
  <c r="AD124" i="69"/>
  <c r="AC124" i="69"/>
  <c r="AB124" i="69"/>
  <c r="AA124" i="69"/>
  <c r="Z124" i="69"/>
  <c r="Y124" i="69"/>
  <c r="X124" i="69"/>
  <c r="W124" i="69"/>
  <c r="V124" i="69"/>
  <c r="AE123" i="69"/>
  <c r="AD123" i="69"/>
  <c r="AC123" i="69"/>
  <c r="AB123" i="69"/>
  <c r="AA123" i="69"/>
  <c r="Z123" i="69"/>
  <c r="Y123" i="69"/>
  <c r="X123" i="69"/>
  <c r="W123" i="69"/>
  <c r="V123" i="69"/>
  <c r="AE122" i="69"/>
  <c r="AD122" i="69"/>
  <c r="AC122" i="69"/>
  <c r="AB122" i="69"/>
  <c r="AA122" i="69"/>
  <c r="Z122" i="69"/>
  <c r="Y122" i="69"/>
  <c r="X122" i="69"/>
  <c r="W122" i="69"/>
  <c r="V122" i="69"/>
  <c r="AE121" i="69"/>
  <c r="AD121" i="69"/>
  <c r="AC121" i="69"/>
  <c r="AB121" i="69"/>
  <c r="AA121" i="69"/>
  <c r="Z121" i="69"/>
  <c r="Y121" i="69"/>
  <c r="X121" i="69"/>
  <c r="W121" i="69"/>
  <c r="V121" i="69"/>
  <c r="AE120" i="69"/>
  <c r="AD120" i="69"/>
  <c r="AC120" i="69"/>
  <c r="AB120" i="69"/>
  <c r="AA120" i="69"/>
  <c r="Z120" i="69"/>
  <c r="Y120" i="69"/>
  <c r="X120" i="69"/>
  <c r="W120" i="69"/>
  <c r="V120" i="69"/>
  <c r="AE119" i="69"/>
  <c r="AD119" i="69"/>
  <c r="AC119" i="69"/>
  <c r="AB119" i="69"/>
  <c r="AA119" i="69"/>
  <c r="Z119" i="69"/>
  <c r="Y119" i="69"/>
  <c r="X119" i="69"/>
  <c r="W119" i="69"/>
  <c r="V119" i="69"/>
  <c r="AE118" i="69"/>
  <c r="AD118" i="69"/>
  <c r="AC118" i="69"/>
  <c r="AB118" i="69"/>
  <c r="AA118" i="69"/>
  <c r="Z118" i="69"/>
  <c r="Y118" i="69"/>
  <c r="X118" i="69"/>
  <c r="W118" i="69"/>
  <c r="V118" i="69"/>
  <c r="AE117" i="69"/>
  <c r="AD117" i="69"/>
  <c r="AC117" i="69"/>
  <c r="AB117" i="69"/>
  <c r="AA117" i="69"/>
  <c r="Z117" i="69"/>
  <c r="Y117" i="69"/>
  <c r="X117" i="69"/>
  <c r="W117" i="69"/>
  <c r="V117" i="69"/>
  <c r="U128" i="69"/>
  <c r="U127" i="69"/>
  <c r="U126" i="69"/>
  <c r="U125" i="69"/>
  <c r="U124" i="69"/>
  <c r="U123" i="69"/>
  <c r="U122" i="69"/>
  <c r="U121" i="69"/>
  <c r="U120" i="69"/>
  <c r="U119" i="69"/>
  <c r="U118" i="69"/>
  <c r="U117" i="69"/>
  <c r="D130" i="69" a="1"/>
  <c r="D130" i="69" s="1"/>
  <c r="F133" i="69" a="1"/>
  <c r="F133" i="69" s="1"/>
  <c r="N118" i="69"/>
  <c r="M118" i="69"/>
  <c r="L118" i="69"/>
  <c r="K118" i="69"/>
  <c r="J118" i="69"/>
  <c r="I118" i="69"/>
  <c r="H118" i="69"/>
  <c r="G118" i="69"/>
  <c r="F118" i="69"/>
  <c r="E118" i="69"/>
  <c r="N117" i="69"/>
  <c r="M117" i="69"/>
  <c r="L117" i="69"/>
  <c r="K117" i="69"/>
  <c r="J117" i="69"/>
  <c r="I117" i="69"/>
  <c r="H117" i="69"/>
  <c r="G117" i="69"/>
  <c r="F117" i="69"/>
  <c r="E117" i="69"/>
  <c r="N116" i="69"/>
  <c r="M116" i="69"/>
  <c r="L116" i="69"/>
  <c r="K116" i="69"/>
  <c r="J116" i="69"/>
  <c r="I116" i="69"/>
  <c r="H116" i="69"/>
  <c r="G116" i="69"/>
  <c r="F116" i="69"/>
  <c r="E116" i="69"/>
  <c r="N115" i="69"/>
  <c r="M115" i="69"/>
  <c r="L115" i="69"/>
  <c r="K115" i="69"/>
  <c r="J115" i="69"/>
  <c r="I115" i="69"/>
  <c r="H115" i="69"/>
  <c r="G115" i="69"/>
  <c r="F115" i="69"/>
  <c r="E115" i="69"/>
  <c r="N110" i="69"/>
  <c r="M110" i="69"/>
  <c r="L110" i="69"/>
  <c r="K110" i="69"/>
  <c r="J110" i="69"/>
  <c r="I110" i="69"/>
  <c r="H110" i="69"/>
  <c r="G110" i="69"/>
  <c r="F110" i="69"/>
  <c r="E110" i="69"/>
  <c r="N109" i="69"/>
  <c r="M109" i="69"/>
  <c r="L109" i="69"/>
  <c r="K109" i="69"/>
  <c r="J109" i="69"/>
  <c r="I109" i="69"/>
  <c r="H109" i="69"/>
  <c r="G109" i="69"/>
  <c r="F109" i="69"/>
  <c r="E109" i="69"/>
  <c r="N108" i="69"/>
  <c r="M108" i="69"/>
  <c r="L108" i="69"/>
  <c r="K108" i="69"/>
  <c r="J108" i="69"/>
  <c r="I108" i="69"/>
  <c r="H108" i="69"/>
  <c r="G108" i="69"/>
  <c r="F108" i="69"/>
  <c r="E108" i="69"/>
  <c r="N107" i="69"/>
  <c r="M107" i="69"/>
  <c r="L107" i="69"/>
  <c r="K107" i="69"/>
  <c r="J107" i="69"/>
  <c r="I107" i="69"/>
  <c r="H107" i="69"/>
  <c r="G107" i="69"/>
  <c r="F107" i="69"/>
  <c r="E107" i="69"/>
  <c r="D428" i="79" a="1"/>
  <c r="D428" i="79" s="1"/>
  <c r="D427" i="79" a="1"/>
  <c r="D427" i="79" s="1"/>
  <c r="D426" i="79" a="1"/>
  <c r="D426" i="79" s="1"/>
  <c r="D425" i="79" a="1"/>
  <c r="D425" i="79" s="1"/>
  <c r="D424" i="79" a="1"/>
  <c r="D424" i="79" s="1"/>
  <c r="D164" i="70"/>
  <c r="D163" i="70"/>
  <c r="D162" i="70"/>
  <c r="D161" i="70"/>
  <c r="D160" i="70"/>
  <c r="D159" i="70"/>
  <c r="D158" i="70"/>
  <c r="D157" i="70"/>
  <c r="D156" i="70"/>
  <c r="D155" i="70"/>
  <c r="D154" i="70"/>
  <c r="D153" i="70"/>
  <c r="D142" i="70"/>
  <c r="D141" i="70"/>
  <c r="D140" i="70"/>
  <c r="D139" i="70"/>
  <c r="D138" i="70"/>
  <c r="D137" i="70"/>
  <c r="D136" i="70"/>
  <c r="D135" i="70"/>
  <c r="D134" i="70"/>
  <c r="D133" i="70"/>
  <c r="D132" i="70"/>
  <c r="D131" i="70"/>
  <c r="D422" i="79" a="1"/>
  <c r="D422" i="79" s="1"/>
  <c r="D421" i="79" a="1"/>
  <c r="D421" i="79" s="1"/>
  <c r="D420" i="79" a="1"/>
  <c r="D420" i="79" s="1"/>
  <c r="D419" i="79" a="1"/>
  <c r="D419" i="79" s="1"/>
  <c r="D418" i="79" a="1"/>
  <c r="D418" i="79" s="1"/>
  <c r="U87" i="69"/>
  <c r="U86" i="69"/>
  <c r="U85" i="69"/>
  <c r="U84" i="69"/>
  <c r="U83" i="69"/>
  <c r="U82" i="69"/>
  <c r="U81" i="69"/>
  <c r="U80" i="69"/>
  <c r="U79" i="69"/>
  <c r="U78" i="69"/>
  <c r="U77" i="69"/>
  <c r="U76" i="69"/>
  <c r="U71" i="69"/>
  <c r="U70" i="69"/>
  <c r="U69" i="69"/>
  <c r="U68" i="69"/>
  <c r="U67" i="69"/>
  <c r="U66" i="69"/>
  <c r="U65" i="69"/>
  <c r="U64" i="69"/>
  <c r="U63" i="69"/>
  <c r="U62" i="69"/>
  <c r="U61" i="69"/>
  <c r="U60" i="69"/>
  <c r="U55" i="69"/>
  <c r="U54" i="69"/>
  <c r="U53" i="69"/>
  <c r="U52" i="69"/>
  <c r="U51" i="69"/>
  <c r="U50" i="69"/>
  <c r="U49" i="69"/>
  <c r="U48" i="69"/>
  <c r="U47" i="69"/>
  <c r="U46" i="69"/>
  <c r="U45" i="69"/>
  <c r="U44" i="69"/>
  <c r="E35" i="69" a="1"/>
  <c r="U150" i="69" l="1"/>
  <c r="U149" i="69"/>
  <c r="E35" i="69"/>
  <c r="D59" i="69" l="1"/>
  <c r="D58" i="69"/>
  <c r="D57" i="69"/>
  <c r="D56" i="69"/>
  <c r="D51" i="69"/>
  <c r="D50" i="69"/>
  <c r="D49" i="69"/>
  <c r="D48" i="69"/>
  <c r="E39" i="69" a="1"/>
  <c r="E39" i="69" s="1"/>
  <c r="E38" i="69" a="1"/>
  <c r="E38" i="69" s="1"/>
  <c r="D34" i="69" a="1"/>
  <c r="D34" i="69" s="1"/>
  <c r="D33" i="69" a="1"/>
  <c r="D33"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99" i="70"/>
  <c r="D98" i="70"/>
  <c r="D97" i="70"/>
  <c r="D96" i="70"/>
  <c r="D95" i="70"/>
  <c r="D94" i="70"/>
  <c r="D93" i="70"/>
  <c r="D92" i="70"/>
  <c r="D91" i="70"/>
  <c r="D90" i="70"/>
  <c r="D89" i="70"/>
  <c r="D88" i="70"/>
  <c r="E7" i="70"/>
  <c r="D81" i="79" a="1"/>
  <c r="D81" i="79" s="1"/>
  <c r="E81" i="79" a="1"/>
  <c r="E81" i="79" s="1"/>
  <c r="E145" i="79" s="1"/>
  <c r="F81" i="79" a="1"/>
  <c r="F81" i="79" s="1"/>
  <c r="F145" i="79" s="1"/>
  <c r="F149"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F148"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F147"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F146"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D77" i="70"/>
  <c r="D76" i="70"/>
  <c r="D75" i="70"/>
  <c r="D74" i="70"/>
  <c r="D73" i="70"/>
  <c r="D72" i="70"/>
  <c r="D71" i="70"/>
  <c r="D70" i="70"/>
  <c r="D69" i="70"/>
  <c r="D68" i="70"/>
  <c r="D67" i="70"/>
  <c r="D66" i="70"/>
  <c r="D55" i="70"/>
  <c r="D54" i="70"/>
  <c r="D53" i="70"/>
  <c r="D52" i="70"/>
  <c r="D51" i="70"/>
  <c r="D50" i="70"/>
  <c r="D49" i="70"/>
  <c r="D48" i="70"/>
  <c r="D47" i="70"/>
  <c r="D46" i="70"/>
  <c r="D45" i="70"/>
  <c r="D44" i="70"/>
  <c r="D33" i="70"/>
  <c r="D32" i="70"/>
  <c r="D31" i="70"/>
  <c r="D30" i="70"/>
  <c r="D29" i="70"/>
  <c r="D28" i="70"/>
  <c r="D27" i="70"/>
  <c r="D26" i="70"/>
  <c r="D25" i="70"/>
  <c r="D24" i="70"/>
  <c r="D23" i="70"/>
  <c r="D22" i="70"/>
  <c r="E11" i="69" a="1"/>
  <c r="E11" i="69" s="1"/>
  <c r="E10" i="69" a="1"/>
  <c r="E10" i="69" s="1"/>
  <c r="D5" i="69" a="1"/>
  <c r="D5" i="69" s="1"/>
  <c r="E173" i="70" l="1"/>
  <c r="E172" i="70"/>
  <c r="AH39" i="69"/>
  <c r="AH38" i="69"/>
  <c r="AH37" i="69"/>
  <c r="AH36" i="69"/>
  <c r="AH35" i="69"/>
  <c r="AH34" i="69"/>
  <c r="AH33" i="69"/>
  <c r="AH32" i="69"/>
  <c r="AH31" i="69"/>
  <c r="AH30" i="69"/>
  <c r="J14" i="69" a="1"/>
  <c r="J14" i="69" s="1"/>
  <c r="J15" i="69" a="1"/>
  <c r="J15" i="69" s="1"/>
  <c r="AE140" i="69"/>
  <c r="AD141" i="69"/>
  <c r="AC142" i="69"/>
  <c r="AB143" i="69"/>
  <c r="V144" i="69"/>
  <c r="AE139" i="69"/>
  <c r="AB133" i="69"/>
  <c r="AD134" i="69"/>
  <c r="AE135" i="69"/>
  <c r="AE136" i="69"/>
  <c r="AA137" i="69"/>
  <c r="AD138" i="69"/>
  <c r="AF79" i="69"/>
  <c r="AF78" i="69"/>
  <c r="AF77" i="69"/>
  <c r="AF76" i="69"/>
  <c r="AF87" i="69"/>
  <c r="AF86" i="69"/>
  <c r="AF85" i="69"/>
  <c r="AF84" i="69"/>
  <c r="AF83" i="69"/>
  <c r="AF82" i="69"/>
  <c r="AF81" i="69"/>
  <c r="AF80" i="69"/>
  <c r="O67" i="69"/>
  <c r="O66" i="69"/>
  <c r="O65" i="69"/>
  <c r="O64" i="69"/>
  <c r="AH29" i="69"/>
  <c r="AH28" i="69"/>
  <c r="Q27" i="69"/>
  <c r="Q28" i="69"/>
  <c r="Q29" i="69"/>
  <c r="Q26"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K109" i="79"/>
  <c r="K111" i="79"/>
  <c r="K113" i="79"/>
  <c r="P108" i="79"/>
  <c r="P115" i="79"/>
  <c r="I86" i="79"/>
  <c r="I146" i="79" s="1"/>
  <c r="P88" i="79"/>
  <c r="L93" i="79"/>
  <c r="P91" i="79"/>
  <c r="P96" i="79"/>
  <c r="P101" i="79"/>
  <c r="N103" i="79"/>
  <c r="L106" i="79"/>
  <c r="O109" i="79"/>
  <c r="O116" i="79"/>
  <c r="N89" i="79"/>
  <c r="I92" i="79"/>
  <c r="I148" i="79" s="1"/>
  <c r="M90" i="79"/>
  <c r="M146" i="79" s="1"/>
  <c r="P92" i="79"/>
  <c r="P97" i="79"/>
  <c r="F102" i="79"/>
  <c r="P109" i="79"/>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P149" i="79" l="1"/>
  <c r="L146" i="79"/>
  <c r="K147" i="79"/>
  <c r="K146" i="79"/>
  <c r="L148" i="79"/>
  <c r="L149" i="79"/>
  <c r="L147" i="79"/>
  <c r="K148" i="79"/>
  <c r="N147" i="79"/>
  <c r="N149" i="79"/>
  <c r="N146" i="79"/>
  <c r="O149" i="79"/>
  <c r="O146" i="79"/>
  <c r="P146" i="79"/>
  <c r="O148" i="79"/>
  <c r="N148" i="79"/>
  <c r="P148" i="79"/>
  <c r="P147" i="79"/>
  <c r="K149" i="79"/>
  <c r="O147" i="79"/>
  <c r="W39" i="69" a="1"/>
  <c r="W39" i="69" s="1"/>
  <c r="W38" i="69" a="1"/>
  <c r="W38" i="69" s="1"/>
  <c r="W28" i="69" a="1"/>
  <c r="W28" i="69" s="1"/>
  <c r="W37" i="69" a="1"/>
  <c r="W37" i="69" s="1"/>
  <c r="W36" i="69" a="1"/>
  <c r="W36" i="69" s="1"/>
  <c r="W35" i="69" a="1"/>
  <c r="W35" i="69" s="1"/>
  <c r="F26" i="69" a="1"/>
  <c r="F26" i="69" s="1"/>
  <c r="L26" i="69" s="1" a="1"/>
  <c r="L26" i="69" s="1"/>
  <c r="F29" i="69" a="1"/>
  <c r="F29" i="69" s="1"/>
  <c r="L29" i="69" s="1" a="1"/>
  <c r="L29" i="69" s="1"/>
  <c r="X140" i="69"/>
  <c r="AB137" i="69"/>
  <c r="AB136" i="69"/>
  <c r="Z143" i="69"/>
  <c r="AC135" i="69"/>
  <c r="AE141" i="69"/>
  <c r="X144" i="69"/>
  <c r="W137" i="69"/>
  <c r="Y137" i="69"/>
  <c r="X133" i="69"/>
  <c r="AB141" i="69"/>
  <c r="W134" i="69"/>
  <c r="Y144" i="69"/>
  <c r="X141" i="69"/>
  <c r="V143" i="69"/>
  <c r="AD136" i="69"/>
  <c r="W143" i="69"/>
  <c r="Y139" i="69"/>
  <c r="AA142" i="69"/>
  <c r="AB140" i="69"/>
  <c r="W144" i="69"/>
  <c r="AD139" i="69"/>
  <c r="V142" i="69"/>
  <c r="AC139" i="69"/>
  <c r="AB135" i="69"/>
  <c r="AD143" i="69"/>
  <c r="W138" i="69"/>
  <c r="Z136" i="69"/>
  <c r="AD133" i="69"/>
  <c r="W139" i="69"/>
  <c r="AA140" i="69"/>
  <c r="Z140" i="69"/>
  <c r="AC138" i="69"/>
  <c r="AA143" i="69"/>
  <c r="AB134" i="69"/>
  <c r="V138" i="69"/>
  <c r="AC143" i="69"/>
  <c r="X143" i="69"/>
  <c r="Z137" i="69"/>
  <c r="W141" i="69"/>
  <c r="X139" i="69"/>
  <c r="AD142" i="69"/>
  <c r="AA134" i="69"/>
  <c r="Y142" i="69"/>
  <c r="V140" i="69"/>
  <c r="W161" i="69" s="1"/>
  <c r="X138" i="69"/>
  <c r="AC141" i="69"/>
  <c r="Z139" i="69"/>
  <c r="AB139" i="69"/>
  <c r="AC133" i="69"/>
  <c r="W142" i="69"/>
  <c r="Z135" i="69"/>
  <c r="Y134" i="69"/>
  <c r="W136" i="69"/>
  <c r="AE137" i="69"/>
  <c r="Z138" i="69"/>
  <c r="X142" i="69"/>
  <c r="AA141" i="69"/>
  <c r="AE144" i="69"/>
  <c r="AC140" i="69"/>
  <c r="Y136" i="69"/>
  <c r="AE133" i="69"/>
  <c r="X137" i="69"/>
  <c r="W140" i="69"/>
  <c r="Y140" i="69"/>
  <c r="Y138" i="69"/>
  <c r="Z134" i="69"/>
  <c r="AB138" i="69"/>
  <c r="AC144" i="69"/>
  <c r="V134" i="69"/>
  <c r="Z142" i="69"/>
  <c r="AD135" i="69"/>
  <c r="Y141" i="69"/>
  <c r="Z133" i="69"/>
  <c r="V137" i="69"/>
  <c r="AA133" i="69"/>
  <c r="AA135" i="69"/>
  <c r="AE138" i="69"/>
  <c r="AA138" i="69"/>
  <c r="AA136" i="69"/>
  <c r="AA139" i="69"/>
  <c r="AE142" i="69"/>
  <c r="Z141" i="69"/>
  <c r="Y143" i="69"/>
  <c r="X134" i="69"/>
  <c r="X135" i="69"/>
  <c r="AD140" i="69"/>
  <c r="AE134" i="69"/>
  <c r="X136" i="69"/>
  <c r="Y133" i="69"/>
  <c r="AE143" i="69"/>
  <c r="AC136" i="69"/>
  <c r="AC137" i="69"/>
  <c r="W135" i="69"/>
  <c r="AD144" i="69"/>
  <c r="V139" i="69"/>
  <c r="AC134" i="69"/>
  <c r="Z144" i="69"/>
  <c r="AD137" i="69"/>
  <c r="V133" i="69"/>
  <c r="W133" i="69"/>
  <c r="AA144" i="69"/>
  <c r="AB142" i="69"/>
  <c r="V141" i="69"/>
  <c r="Y135" i="69"/>
  <c r="V136" i="69"/>
  <c r="V135" i="69"/>
  <c r="AB144" i="69"/>
  <c r="J26" i="69" l="1" a="1"/>
  <c r="J26" i="69" s="1"/>
  <c r="AC35" i="69" a="1"/>
  <c r="AC35" i="69" s="1"/>
  <c r="AA35" i="69" a="1"/>
  <c r="AA35" i="69" s="1"/>
  <c r="AB35" i="69" a="1"/>
  <c r="AB35" i="69" s="1"/>
  <c r="AC36" i="69" a="1"/>
  <c r="AC36" i="69" s="1"/>
  <c r="AA36" i="69" a="1"/>
  <c r="AA36" i="69" s="1"/>
  <c r="AB36" i="69" a="1"/>
  <c r="AB36" i="69" s="1"/>
  <c r="AC37" i="69" a="1"/>
  <c r="AC37" i="69" s="1"/>
  <c r="AB37" i="69" a="1"/>
  <c r="AB37" i="69" s="1"/>
  <c r="AA37" i="69" a="1"/>
  <c r="AA37" i="69" s="1"/>
  <c r="AB28" i="69" a="1"/>
  <c r="AB28" i="69" s="1"/>
  <c r="AC28" i="69" a="1"/>
  <c r="AC28" i="69" s="1"/>
  <c r="AA28" i="69" a="1"/>
  <c r="AA28" i="69" s="1"/>
  <c r="AB38" i="69" a="1"/>
  <c r="AB38" i="69" s="1"/>
  <c r="AA38" i="69" a="1"/>
  <c r="AA38" i="69" s="1"/>
  <c r="AC38" i="69" a="1"/>
  <c r="AC38" i="69" s="1"/>
  <c r="AC39" i="69" a="1"/>
  <c r="AC39" i="69" s="1"/>
  <c r="AB39" i="69" a="1"/>
  <c r="AB39" i="69" s="1"/>
  <c r="AA39" i="69" a="1"/>
  <c r="AA39" i="69" s="1"/>
  <c r="K26" i="69" a="1"/>
  <c r="K26" i="69" s="1"/>
  <c r="J29" i="69" a="1"/>
  <c r="J29" i="69" s="1"/>
  <c r="K29" i="69" a="1"/>
  <c r="K29" i="69" s="1"/>
  <c r="F57" i="69" l="1"/>
  <c r="AD51" i="69"/>
  <c r="I56" i="69"/>
  <c r="Y66" i="69"/>
  <c r="AB51" i="69"/>
  <c r="M56" i="69"/>
  <c r="Z54" i="69"/>
  <c r="AE63" i="69"/>
  <c r="AA68" i="69"/>
  <c r="AA67" i="69"/>
  <c r="AC49" i="69"/>
  <c r="AD54" i="69"/>
  <c r="AB53" i="69"/>
  <c r="Z71" i="69"/>
  <c r="AC51" i="69"/>
  <c r="AB49" i="69"/>
  <c r="AA50" i="69"/>
  <c r="AD70" i="69"/>
  <c r="V49" i="69"/>
  <c r="AB62" i="69"/>
  <c r="AD69" i="69"/>
  <c r="V47" i="69"/>
  <c r="AA49" i="69"/>
  <c r="Z49" i="69"/>
  <c r="Y53" i="69"/>
  <c r="F58" i="69"/>
  <c r="W65" i="69"/>
  <c r="AA64" i="69"/>
  <c r="Y50" i="69"/>
  <c r="V67" i="69"/>
  <c r="AB52" i="69"/>
  <c r="AB70" i="69"/>
  <c r="Y52" i="69"/>
  <c r="H58" i="69"/>
  <c r="L58" i="69"/>
  <c r="X64" i="69"/>
  <c r="Z55" i="69"/>
  <c r="Y55" i="69"/>
  <c r="H56" i="69"/>
  <c r="X62" i="69"/>
  <c r="G59" i="69"/>
  <c r="AB48" i="69"/>
  <c r="AE49" i="69"/>
  <c r="AB71" i="69"/>
  <c r="Z52" i="69"/>
  <c r="W62" i="69"/>
  <c r="AB50" i="69"/>
  <c r="I59" i="69"/>
  <c r="AC68" i="69"/>
  <c r="AE60" i="69"/>
  <c r="AC53" i="69"/>
  <c r="X70" i="69"/>
  <c r="AA51" i="69"/>
  <c r="AD62" i="69"/>
  <c r="Z60" i="69"/>
  <c r="W63" i="69"/>
  <c r="M59" i="69"/>
  <c r="Z47" i="69"/>
  <c r="W47" i="69"/>
  <c r="V55" i="69"/>
  <c r="N57" i="69"/>
  <c r="AE51" i="69"/>
  <c r="AE83" i="69" s="1" a="1"/>
  <c r="AE83" i="69" s="1"/>
  <c r="AE104" i="69" s="1" a="1"/>
  <c r="AE104" i="69" s="1"/>
  <c r="AE156" i="69" s="1" a="1"/>
  <c r="AE156" i="69" s="1"/>
  <c r="AD50" i="69"/>
  <c r="Y67" i="69"/>
  <c r="W60" i="69"/>
  <c r="AA70" i="69"/>
  <c r="AD48" i="69"/>
  <c r="L57" i="69"/>
  <c r="AA48" i="69"/>
  <c r="AD67" i="69"/>
  <c r="AE62" i="69"/>
  <c r="AE54" i="69"/>
  <c r="Z63" i="69"/>
  <c r="AA55" i="69"/>
  <c r="AE67" i="69"/>
  <c r="X45" i="69"/>
  <c r="AA63" i="69"/>
  <c r="Z50" i="69"/>
  <c r="AC44" i="69"/>
  <c r="K57" i="69"/>
  <c r="W51" i="69"/>
  <c r="AC61" i="69"/>
  <c r="AA71" i="69"/>
  <c r="X52" i="69"/>
  <c r="AA69" i="69"/>
  <c r="AA45" i="69"/>
  <c r="V60" i="69"/>
  <c r="AE69" i="69"/>
  <c r="F56" i="69"/>
  <c r="Z48" i="69"/>
  <c r="X63" i="69"/>
  <c r="X54" i="69"/>
  <c r="Y63" i="69"/>
  <c r="Z65" i="69"/>
  <c r="AB47" i="69"/>
  <c r="H57" i="69"/>
  <c r="E59" i="69"/>
  <c r="I57" i="69"/>
  <c r="Y61" i="69"/>
  <c r="AB44" i="69"/>
  <c r="X49" i="69"/>
  <c r="H59" i="69"/>
  <c r="AE71" i="69"/>
  <c r="G56" i="69"/>
  <c r="AE55" i="69"/>
  <c r="L56" i="69"/>
  <c r="AB63" i="69"/>
  <c r="AA61" i="69"/>
  <c r="AE52" i="69"/>
  <c r="X51" i="69"/>
  <c r="AB60" i="69"/>
  <c r="AD65" i="69"/>
  <c r="X69" i="69"/>
  <c r="AD47" i="69"/>
  <c r="AC69" i="69"/>
  <c r="AE44" i="69"/>
  <c r="K59" i="69"/>
  <c r="M57" i="69"/>
  <c r="G57" i="69"/>
  <c r="Y64" i="69"/>
  <c r="Y69" i="69"/>
  <c r="X71" i="69"/>
  <c r="W55" i="69"/>
  <c r="W50" i="69"/>
  <c r="AB67" i="69"/>
  <c r="Z67" i="69"/>
  <c r="F59" i="69"/>
  <c r="Y70" i="69"/>
  <c r="AC50" i="69"/>
  <c r="Y45" i="69"/>
  <c r="E57" i="69"/>
  <c r="AE65" i="69"/>
  <c r="W45" i="69"/>
  <c r="Z64" i="69"/>
  <c r="Y68" i="69"/>
  <c r="W61" i="69"/>
  <c r="W52" i="69"/>
  <c r="AC45" i="69"/>
  <c r="AD71" i="69"/>
  <c r="AC65" i="69"/>
  <c r="AC64" i="69"/>
  <c r="Z53" i="69"/>
  <c r="Z61" i="69"/>
  <c r="AE70" i="69"/>
  <c r="X47" i="69"/>
  <c r="X67" i="69"/>
  <c r="Z62" i="69"/>
  <c r="AA62" i="69"/>
  <c r="AE46" i="69"/>
  <c r="Y71" i="69"/>
  <c r="AD53" i="69"/>
  <c r="W48" i="69"/>
  <c r="AC66" i="69"/>
  <c r="AA44" i="69"/>
  <c r="W54" i="69"/>
  <c r="AC70" i="69"/>
  <c r="J57" i="69"/>
  <c r="AD68" i="69"/>
  <c r="Y51" i="69"/>
  <c r="X68" i="69"/>
  <c r="Y44" i="69"/>
  <c r="AB64" i="69"/>
  <c r="AD60" i="69"/>
  <c r="AD49" i="69"/>
  <c r="AB61" i="69"/>
  <c r="AE48" i="69"/>
  <c r="AD64" i="69"/>
  <c r="AD55" i="69"/>
  <c r="V48" i="69"/>
  <c r="AB69" i="69"/>
  <c r="AC60" i="69"/>
  <c r="J59" i="69"/>
  <c r="W64" i="69"/>
  <c r="V70" i="69"/>
  <c r="I58" i="69"/>
  <c r="K56" i="69"/>
  <c r="J56" i="69"/>
  <c r="V53" i="69"/>
  <c r="AC71" i="69"/>
  <c r="AA53" i="69"/>
  <c r="G58" i="69"/>
  <c r="AB55" i="69"/>
  <c r="X61" i="69"/>
  <c r="AE53" i="69"/>
  <c r="X50" i="69"/>
  <c r="AA47" i="69"/>
  <c r="X65" i="69"/>
  <c r="AB65" i="69"/>
  <c r="W53" i="69"/>
  <c r="Z69" i="69"/>
  <c r="V64" i="69"/>
  <c r="AB68" i="69"/>
  <c r="AC55" i="69"/>
  <c r="AC87" i="69" s="1" a="1"/>
  <c r="AC87" i="69" s="1"/>
  <c r="AC108" i="69" s="1" a="1"/>
  <c r="AC108" i="69" s="1"/>
  <c r="AC160" i="69" s="1" a="1"/>
  <c r="AC160" i="69" s="1"/>
  <c r="AD61" i="69"/>
  <c r="X60" i="69"/>
  <c r="AC63" i="69"/>
  <c r="V61" i="69"/>
  <c r="W66" i="69"/>
  <c r="Y60" i="69"/>
  <c r="AC52" i="69"/>
  <c r="AE66" i="69"/>
  <c r="AE50" i="69"/>
  <c r="AC47" i="69"/>
  <c r="AC62" i="69"/>
  <c r="V54" i="69"/>
  <c r="V71" i="69"/>
  <c r="AD44" i="69"/>
  <c r="E56" i="69"/>
  <c r="Y54" i="69"/>
  <c r="AA66" i="69"/>
  <c r="W67" i="69"/>
  <c r="AD45" i="69"/>
  <c r="X44" i="69"/>
  <c r="AB54" i="69"/>
  <c r="AB86" i="69" s="1" a="1"/>
  <c r="AB86" i="69" s="1"/>
  <c r="AB107" i="69" s="1" a="1"/>
  <c r="AB107" i="69" s="1"/>
  <c r="AB159" i="69" s="1" a="1"/>
  <c r="AB159" i="69" s="1"/>
  <c r="AA60" i="69"/>
  <c r="Z51" i="69"/>
  <c r="Y65" i="69"/>
  <c r="V62" i="69"/>
  <c r="W68" i="69"/>
  <c r="Z70" i="69"/>
  <c r="AC48" i="69"/>
  <c r="W70" i="69"/>
  <c r="X55" i="69"/>
  <c r="V66" i="69"/>
  <c r="V45" i="69"/>
  <c r="V77" i="69" s="1" a="1"/>
  <c r="V77" i="69" s="1"/>
  <c r="V98" i="69" s="1" a="1"/>
  <c r="V98" i="69" s="1"/>
  <c r="V150" i="69" s="1" a="1"/>
  <c r="V150" i="69" s="1"/>
  <c r="AD63" i="69"/>
  <c r="AE68" i="69"/>
  <c r="W44" i="69"/>
  <c r="V63" i="69"/>
  <c r="W71" i="69"/>
  <c r="AE61" i="69"/>
  <c r="V44" i="69"/>
  <c r="V52" i="69"/>
  <c r="W49" i="69"/>
  <c r="Z45" i="69"/>
  <c r="AE45" i="69"/>
  <c r="J58" i="69"/>
  <c r="N59" i="69"/>
  <c r="Y47" i="69"/>
  <c r="V68" i="69"/>
  <c r="AC67" i="69"/>
  <c r="AE47" i="69"/>
  <c r="AD66" i="69"/>
  <c r="V69" i="69"/>
  <c r="Z68" i="69"/>
  <c r="W69" i="69"/>
  <c r="V50" i="69"/>
  <c r="N56" i="69"/>
  <c r="Z66" i="69"/>
  <c r="X53" i="69"/>
  <c r="E58" i="69"/>
  <c r="AE64" i="69"/>
  <c r="Y48" i="69"/>
  <c r="AC54" i="69"/>
  <c r="L59" i="69"/>
  <c r="V65" i="69"/>
  <c r="V51" i="69"/>
  <c r="Y49" i="69"/>
  <c r="Y62" i="69"/>
  <c r="AD52" i="69"/>
  <c r="AA52" i="69"/>
  <c r="Z44" i="69"/>
  <c r="AB66" i="69"/>
  <c r="AA65" i="69"/>
  <c r="AA54" i="69"/>
  <c r="AB45" i="69"/>
  <c r="K58" i="69"/>
  <c r="N58" i="69"/>
  <c r="X48" i="69"/>
  <c r="X66" i="69"/>
  <c r="M58" i="69"/>
  <c r="L48" i="69"/>
  <c r="J51" i="69"/>
  <c r="AA46" i="69"/>
  <c r="AA78" i="69" s="1" a="1"/>
  <c r="AA78" i="69" s="1"/>
  <c r="AA99" i="69" s="1" a="1"/>
  <c r="AA99" i="69" s="1"/>
  <c r="AA151" i="69" s="1" a="1"/>
  <c r="AA151" i="69" s="1"/>
  <c r="K50" i="69"/>
  <c r="E51" i="69"/>
  <c r="I50" i="69"/>
  <c r="N50" i="69"/>
  <c r="I48" i="69"/>
  <c r="N48" i="69"/>
  <c r="X46" i="69"/>
  <c r="K48" i="69"/>
  <c r="F51" i="69"/>
  <c r="I49" i="69"/>
  <c r="H48" i="69"/>
  <c r="N51" i="69"/>
  <c r="G51" i="69"/>
  <c r="K49" i="69"/>
  <c r="M51" i="69"/>
  <c r="AC46" i="69"/>
  <c r="E48" i="69"/>
  <c r="L51" i="69"/>
  <c r="F49" i="69"/>
  <c r="E50" i="69"/>
  <c r="J50" i="69"/>
  <c r="Y46" i="69"/>
  <c r="H50" i="69"/>
  <c r="I51" i="69"/>
  <c r="F48" i="69"/>
  <c r="L50" i="69"/>
  <c r="M48" i="69"/>
  <c r="G49" i="69"/>
  <c r="E49" i="69"/>
  <c r="J48" i="69"/>
  <c r="H51" i="69"/>
  <c r="V46" i="69"/>
  <c r="W46" i="69"/>
  <c r="M49" i="69"/>
  <c r="N49" i="69"/>
  <c r="G50" i="69"/>
  <c r="L49" i="69"/>
  <c r="Z46" i="69"/>
  <c r="AB46" i="69"/>
  <c r="M50" i="69"/>
  <c r="G48" i="69"/>
  <c r="F50" i="69"/>
  <c r="AD46" i="69"/>
  <c r="J49" i="69"/>
  <c r="K51" i="69"/>
  <c r="H49" i="69"/>
  <c r="Y77" i="69" l="1" a="1"/>
  <c r="Y77" i="69" s="1"/>
  <c r="Y98" i="69" s="1" a="1"/>
  <c r="Y98" i="69" s="1"/>
  <c r="Y150" i="69" s="1" a="1"/>
  <c r="Y150" i="69" s="1"/>
  <c r="V78" i="69" a="1"/>
  <c r="V78" i="69" s="1"/>
  <c r="V99" i="69" s="1" a="1"/>
  <c r="V99" i="69" s="1"/>
  <c r="V151" i="69" s="1" a="1"/>
  <c r="V151" i="69" s="1"/>
  <c r="AB87" i="69" a="1"/>
  <c r="AB87" i="69" s="1"/>
  <c r="AB108" i="69" s="1" a="1"/>
  <c r="AB108" i="69" s="1"/>
  <c r="AB160" i="69" s="1" a="1"/>
  <c r="AB160" i="69" s="1"/>
  <c r="W78" i="69" a="1"/>
  <c r="W78" i="69" s="1"/>
  <c r="W99" i="69" s="1" a="1"/>
  <c r="W99" i="69" s="1"/>
  <c r="W151" i="69" s="1" a="1"/>
  <c r="W151" i="69" s="1"/>
  <c r="X83" i="69" a="1"/>
  <c r="X83" i="69" s="1"/>
  <c r="X104" i="69" s="1" a="1"/>
  <c r="X104" i="69" s="1"/>
  <c r="X156" i="69" s="1" a="1"/>
  <c r="X156" i="69" s="1"/>
  <c r="AD86" i="69" a="1"/>
  <c r="AD86" i="69" s="1"/>
  <c r="AD107" i="69" s="1" a="1"/>
  <c r="AD107" i="69" s="1"/>
  <c r="AD159" i="69" s="1" a="1"/>
  <c r="AD159" i="69" s="1"/>
  <c r="Z77" i="69" a="1"/>
  <c r="Z77" i="69" s="1"/>
  <c r="Z98" i="69" s="1" a="1"/>
  <c r="Z98" i="69" s="1"/>
  <c r="Z150" i="69" s="1" a="1"/>
  <c r="Z150" i="69" s="1"/>
  <c r="AD84" i="69" a="1"/>
  <c r="AD84" i="69" s="1"/>
  <c r="AD105" i="69" s="1" a="1"/>
  <c r="AD105" i="69" s="1"/>
  <c r="AD157" i="69" s="1" a="1"/>
  <c r="AD157" i="69" s="1"/>
  <c r="Y76" i="69" a="1"/>
  <c r="Y76" i="69" s="1"/>
  <c r="Y97" i="69" s="1" a="1"/>
  <c r="Y97" i="69" s="1"/>
  <c r="Y149" i="69" s="1" a="1"/>
  <c r="Y149" i="69" s="1"/>
  <c r="V83" i="69" a="1"/>
  <c r="V83" i="69" s="1"/>
  <c r="V104" i="69" s="1" a="1"/>
  <c r="V104" i="69" s="1"/>
  <c r="V156" i="69" s="1" a="1"/>
  <c r="V156" i="69" s="1"/>
  <c r="AA83" i="69" a="1"/>
  <c r="AA83" i="69" s="1"/>
  <c r="AA104" i="69" s="1" a="1"/>
  <c r="AA104" i="69" s="1"/>
  <c r="AA156" i="69" s="1" a="1"/>
  <c r="AA156" i="69" s="1"/>
  <c r="AA86" i="69" a="1"/>
  <c r="AA86" i="69" s="1"/>
  <c r="AA107" i="69" s="1" a="1"/>
  <c r="AA107" i="69" s="1"/>
  <c r="AA159" i="69" s="1" a="1"/>
  <c r="AA159" i="69" s="1"/>
  <c r="X87" i="69" a="1"/>
  <c r="X87" i="69" s="1"/>
  <c r="X108" i="69" s="1" a="1"/>
  <c r="X108" i="69" s="1"/>
  <c r="X160" i="69" s="1" a="1"/>
  <c r="X160" i="69" s="1"/>
  <c r="W87" i="69" a="1"/>
  <c r="W87" i="69" s="1"/>
  <c r="W108" i="69" s="1" a="1"/>
  <c r="W108" i="69" s="1"/>
  <c r="W160" i="69" s="1" a="1"/>
  <c r="W160" i="69" s="1"/>
  <c r="AC78" i="69" a="1"/>
  <c r="AC78" i="69" s="1"/>
  <c r="AC99" i="69" s="1" a="1"/>
  <c r="AC99" i="69" s="1"/>
  <c r="AC151" i="69" s="1" a="1"/>
  <c r="AC151" i="69" s="1"/>
  <c r="AE80" i="69" a="1"/>
  <c r="AE80" i="69" s="1"/>
  <c r="AE101" i="69" s="1" a="1"/>
  <c r="AE101" i="69" s="1"/>
  <c r="AE153" i="69" s="1" a="1"/>
  <c r="AE153" i="69" s="1"/>
  <c r="AD78" i="69" a="1"/>
  <c r="AD78" i="69" s="1"/>
  <c r="AD99" i="69" s="1" a="1"/>
  <c r="AD99" i="69" s="1"/>
  <c r="AD151" i="69" s="1" a="1"/>
  <c r="AD151" i="69" s="1"/>
  <c r="Z83" i="69" a="1"/>
  <c r="Z83" i="69" s="1"/>
  <c r="Z104" i="69" s="1" a="1"/>
  <c r="Z104" i="69" s="1"/>
  <c r="Z156" i="69" s="1" a="1"/>
  <c r="Z156" i="69" s="1"/>
  <c r="AB78" i="69" a="1"/>
  <c r="AB78" i="69" s="1"/>
  <c r="AB99" i="69" s="1" a="1"/>
  <c r="AB99" i="69" s="1"/>
  <c r="AB151" i="69" s="1" a="1"/>
  <c r="AB151" i="69" s="1"/>
  <c r="Z78" i="69" a="1"/>
  <c r="Z78" i="69" s="1"/>
  <c r="Z99" i="69" s="1" a="1"/>
  <c r="Z99" i="69" s="1"/>
  <c r="Z151" i="69" s="1" a="1"/>
  <c r="Z151" i="69" s="1"/>
  <c r="W76" i="69" a="1"/>
  <c r="W76" i="69" s="1"/>
  <c r="W97" i="69" s="1" a="1"/>
  <c r="W97" i="69" s="1"/>
  <c r="W149" i="69" s="1" a="1"/>
  <c r="W149" i="69" s="1"/>
  <c r="W79" i="69" a="1"/>
  <c r="W79" i="69" s="1"/>
  <c r="W100" i="69" s="1" a="1"/>
  <c r="W100" i="69" s="1"/>
  <c r="W152" i="69" s="1" a="1"/>
  <c r="W152" i="69" s="1"/>
  <c r="Y78" i="69" a="1"/>
  <c r="Y78" i="69" s="1"/>
  <c r="Y99" i="69" s="1" a="1"/>
  <c r="Y99" i="69" s="1"/>
  <c r="Y151" i="69" s="1" a="1"/>
  <c r="Y151" i="69" s="1"/>
  <c r="AE85" i="69" a="1"/>
  <c r="AE85" i="69" s="1"/>
  <c r="AE106" i="69" s="1" a="1"/>
  <c r="AE106" i="69" s="1"/>
  <c r="AE158" i="69" s="1" a="1"/>
  <c r="AE158" i="69" s="1"/>
  <c r="Z85" i="69" a="1"/>
  <c r="Z85" i="69" s="1"/>
  <c r="Z106" i="69" s="1" a="1"/>
  <c r="Z106" i="69" s="1"/>
  <c r="Z158" i="69" s="1" a="1"/>
  <c r="Z158" i="69" s="1"/>
  <c r="AA80" i="69" a="1"/>
  <c r="AA80" i="69" s="1"/>
  <c r="AA101" i="69" s="1" a="1"/>
  <c r="AA101" i="69" s="1"/>
  <c r="AA153" i="69" s="1" a="1"/>
  <c r="AA153" i="69" s="1"/>
  <c r="AD80" i="69" a="1"/>
  <c r="AD80" i="69" s="1"/>
  <c r="AD101" i="69" s="1" a="1"/>
  <c r="AD101" i="69" s="1"/>
  <c r="AD153" i="69" s="1" a="1"/>
  <c r="AD153" i="69" s="1"/>
  <c r="X86" i="69" a="1"/>
  <c r="X86" i="69" s="1"/>
  <c r="X107" i="69" s="1" a="1"/>
  <c r="X107" i="69" s="1"/>
  <c r="X159" i="69" s="1" a="1"/>
  <c r="X159" i="69" s="1"/>
  <c r="AC79" i="69" a="1"/>
  <c r="AC79" i="69" s="1"/>
  <c r="AC100" i="69" s="1" a="1"/>
  <c r="AC100" i="69" s="1"/>
  <c r="AC152" i="69" s="1" a="1"/>
  <c r="AC152" i="69" s="1"/>
  <c r="Z86" i="69" a="1"/>
  <c r="Z86" i="69" s="1"/>
  <c r="Z107" i="69" s="1" a="1"/>
  <c r="Z107" i="69" s="1"/>
  <c r="Z159" i="69" s="1" a="1"/>
  <c r="Z159" i="69" s="1"/>
  <c r="AE79" i="69" a="1"/>
  <c r="AE79" i="69" s="1"/>
  <c r="AE100" i="69" s="1" a="1"/>
  <c r="AE100" i="69" s="1"/>
  <c r="AE152" i="69" s="1" a="1"/>
  <c r="AE152" i="69" s="1"/>
  <c r="AC84" i="69" a="1"/>
  <c r="AC84" i="69" s="1"/>
  <c r="AC105" i="69" s="1" a="1"/>
  <c r="AC105" i="69" s="1"/>
  <c r="AC157" i="69" s="1" a="1"/>
  <c r="AC157" i="69" s="1"/>
  <c r="Y80" i="69" a="1"/>
  <c r="Y80" i="69" s="1"/>
  <c r="Y101" i="69" s="1" a="1"/>
  <c r="Y101" i="69" s="1"/>
  <c r="Y153" i="69" s="1" a="1"/>
  <c r="Y153" i="69" s="1"/>
  <c r="Y79" i="69" a="1"/>
  <c r="Y79" i="69" s="1"/>
  <c r="Y100" i="69" s="1" a="1"/>
  <c r="Y100" i="69" s="1"/>
  <c r="Y152" i="69" s="1" a="1"/>
  <c r="Y152" i="69" s="1"/>
  <c r="Y82" i="69" a="1"/>
  <c r="Y82" i="69" s="1"/>
  <c r="Y103" i="69" s="1" a="1"/>
  <c r="Y103" i="69" s="1"/>
  <c r="Y155" i="69" s="1" a="1"/>
  <c r="Y155" i="69" s="1"/>
  <c r="Y81" i="69" a="1"/>
  <c r="Y81" i="69" s="1"/>
  <c r="Y102" i="69" s="1" a="1"/>
  <c r="Y102" i="69" s="1"/>
  <c r="Y154" i="69" s="1" a="1"/>
  <c r="Y154" i="69" s="1"/>
  <c r="AD77" i="69" a="1"/>
  <c r="AD77" i="69" s="1"/>
  <c r="AD98" i="69" s="1" a="1"/>
  <c r="AD98" i="69" s="1"/>
  <c r="AD150" i="69" s="1" a="1"/>
  <c r="AD150" i="69" s="1"/>
  <c r="X82" i="69" a="1"/>
  <c r="X82" i="69" s="1"/>
  <c r="X103" i="69" s="1" a="1"/>
  <c r="X103" i="69" s="1"/>
  <c r="X155" i="69" s="1" a="1"/>
  <c r="X155" i="69" s="1"/>
  <c r="AA76" i="69" a="1"/>
  <c r="AA76" i="69" s="1"/>
  <c r="AA97" i="69" s="1" a="1"/>
  <c r="AA97" i="69" s="1"/>
  <c r="AA149" i="69" s="1" a="1"/>
  <c r="AA149" i="69" s="1"/>
  <c r="Z82" i="69" a="1"/>
  <c r="Z82" i="69" s="1"/>
  <c r="Z103" i="69" s="1" a="1"/>
  <c r="Z103" i="69" s="1"/>
  <c r="Z155" i="69" s="1" a="1"/>
  <c r="Z155" i="69" s="1"/>
  <c r="Y87" i="69" a="1"/>
  <c r="Y87" i="69" s="1"/>
  <c r="Y108" i="69" s="1" a="1"/>
  <c r="Y108" i="69" s="1"/>
  <c r="Y160" i="69" s="1" a="1"/>
  <c r="Y160" i="69" s="1"/>
  <c r="AB84" i="69" a="1"/>
  <c r="AB84" i="69" s="1"/>
  <c r="AB105" i="69" s="1" a="1"/>
  <c r="AB105" i="69" s="1"/>
  <c r="AB157" i="69" s="1" a="1"/>
  <c r="AB157" i="69" s="1"/>
  <c r="W81" i="69" a="1"/>
  <c r="W81" i="69" s="1"/>
  <c r="W102" i="69" s="1" a="1"/>
  <c r="W102" i="69" s="1"/>
  <c r="W154" i="69" s="1" a="1"/>
  <c r="W154" i="69" s="1"/>
  <c r="V86" i="69" a="1"/>
  <c r="V86" i="69" s="1"/>
  <c r="V107" i="69" s="1" a="1"/>
  <c r="V107" i="69" s="1"/>
  <c r="V159" i="69" s="1" a="1"/>
  <c r="V159" i="69" s="1"/>
  <c r="Y84" i="69" a="1"/>
  <c r="Y84" i="69" s="1"/>
  <c r="Y105" i="69" s="1" a="1"/>
  <c r="Y105" i="69" s="1"/>
  <c r="Y157" i="69" s="1" a="1"/>
  <c r="Y157" i="69" s="1"/>
  <c r="AE78" i="69" a="1"/>
  <c r="AE78" i="69" s="1"/>
  <c r="AE99" i="69" s="1" a="1"/>
  <c r="AE99" i="69" s="1"/>
  <c r="AE151" i="69" s="1" a="1"/>
  <c r="AE151" i="69" s="1"/>
  <c r="X79" i="69" a="1"/>
  <c r="X79" i="69" s="1"/>
  <c r="X100" i="69" s="1" a="1"/>
  <c r="X100" i="69" s="1"/>
  <c r="X152" i="69" s="1" a="1"/>
  <c r="X152" i="69" s="1"/>
  <c r="AE87" i="69" a="1"/>
  <c r="AE87" i="69" s="1"/>
  <c r="AE108" i="69" s="1" a="1"/>
  <c r="AE108" i="69" s="1"/>
  <c r="AE160" i="69" s="1" a="1"/>
  <c r="AE160" i="69" s="1"/>
  <c r="AB82" i="69" a="1"/>
  <c r="AB82" i="69" s="1"/>
  <c r="AB103" i="69" s="1" a="1"/>
  <c r="AB103" i="69" s="1"/>
  <c r="AB155" i="69" s="1" a="1"/>
  <c r="AB155" i="69" s="1"/>
  <c r="AA81" i="69" a="1"/>
  <c r="AA81" i="69" s="1"/>
  <c r="AA102" i="69" s="1" a="1"/>
  <c r="AA102" i="69" s="1"/>
  <c r="AA154" i="69" s="1" a="1"/>
  <c r="AA154" i="69" s="1"/>
  <c r="AB81" i="69" a="1"/>
  <c r="AB81" i="69" s="1"/>
  <c r="AB102" i="69" s="1" a="1"/>
  <c r="AB102" i="69" s="1"/>
  <c r="AB154" i="69" s="1" a="1"/>
  <c r="AB154" i="69" s="1"/>
  <c r="AD83" i="69" a="1"/>
  <c r="AD83" i="69" s="1"/>
  <c r="AD104" i="69" s="1" a="1"/>
  <c r="AD104" i="69" s="1"/>
  <c r="AD156" i="69" s="1" a="1"/>
  <c r="AD156" i="69" s="1"/>
  <c r="AC80" i="69" a="1"/>
  <c r="AC80" i="69" s="1"/>
  <c r="AC101" i="69" s="1" a="1"/>
  <c r="AC101" i="69" s="1"/>
  <c r="AC153" i="69" s="1" a="1"/>
  <c r="AC153" i="69" s="1"/>
  <c r="AA85" i="69" a="1"/>
  <c r="AA85" i="69" s="1"/>
  <c r="AA106" i="69" s="1" a="1"/>
  <c r="AA106" i="69" s="1"/>
  <c r="AA158" i="69" s="1" a="1"/>
  <c r="AA158" i="69" s="1"/>
  <c r="AB77" i="69" a="1"/>
  <c r="AB77" i="69" s="1"/>
  <c r="AB98" i="69" s="1" a="1"/>
  <c r="AB98" i="69" s="1"/>
  <c r="AB150" i="69" s="1" a="1"/>
  <c r="AB150" i="69" s="1"/>
  <c r="AA79" i="69" a="1"/>
  <c r="AA79" i="69" s="1"/>
  <c r="AA100" i="69" s="1" a="1"/>
  <c r="AA100" i="69" s="1"/>
  <c r="AA152" i="69" s="1" a="1"/>
  <c r="AA152" i="69" s="1"/>
  <c r="Z84" i="69" a="1"/>
  <c r="Z84" i="69" s="1"/>
  <c r="Z105" i="69" s="1" a="1"/>
  <c r="Z105" i="69" s="1"/>
  <c r="Z157" i="69" s="1" a="1"/>
  <c r="Z157" i="69" s="1"/>
  <c r="X78" i="69" a="1"/>
  <c r="X78" i="69" s="1"/>
  <c r="X99" i="69" s="1" a="1"/>
  <c r="X99" i="69" s="1"/>
  <c r="X151" i="69" s="1" a="1"/>
  <c r="X151" i="69" s="1"/>
  <c r="X85" i="69" a="1"/>
  <c r="X85" i="69" s="1"/>
  <c r="X106" i="69" s="1" a="1"/>
  <c r="X106" i="69" s="1"/>
  <c r="X158" i="69" s="1" a="1"/>
  <c r="X158" i="69" s="1"/>
  <c r="Y86" i="69" a="1"/>
  <c r="Y86" i="69" s="1"/>
  <c r="Y107" i="69" s="1" a="1"/>
  <c r="Y107" i="69" s="1"/>
  <c r="Y159" i="69" s="1" a="1"/>
  <c r="Y159" i="69" s="1"/>
  <c r="AE82" i="69" a="1"/>
  <c r="AE82" i="69" s="1"/>
  <c r="AE103" i="69" s="1" a="1"/>
  <c r="AE103" i="69" s="1"/>
  <c r="AE155" i="69" s="1" a="1"/>
  <c r="AE155" i="69" s="1"/>
  <c r="AC77" i="69" a="1"/>
  <c r="AC77" i="69" s="1"/>
  <c r="AC98" i="69" s="1" a="1"/>
  <c r="AC98" i="69" s="1"/>
  <c r="AC150" i="69" s="1" a="1"/>
  <c r="AC150" i="69" s="1"/>
  <c r="W82" i="69" a="1"/>
  <c r="W82" i="69" s="1"/>
  <c r="W103" i="69" s="1" a="1"/>
  <c r="W103" i="69" s="1"/>
  <c r="W155" i="69" s="1" a="1"/>
  <c r="W155" i="69" s="1"/>
  <c r="AE76" i="69" a="1"/>
  <c r="AE76" i="69" s="1"/>
  <c r="AE97" i="69" s="1" a="1"/>
  <c r="AE97" i="69" s="1"/>
  <c r="AE149" i="69" s="1" a="1"/>
  <c r="AE149" i="69" s="1"/>
  <c r="AE84" i="69" a="1"/>
  <c r="AE84" i="69" s="1"/>
  <c r="AE105" i="69" s="1" a="1"/>
  <c r="AE105" i="69" s="1"/>
  <c r="AE157" i="69" s="1" a="1"/>
  <c r="AE157" i="69" s="1"/>
  <c r="AA77" i="69" a="1"/>
  <c r="AA77" i="69" s="1"/>
  <c r="AA98" i="69" s="1" a="1"/>
  <c r="AA98" i="69" s="1"/>
  <c r="AA150" i="69" s="1" a="1"/>
  <c r="AA150" i="69" s="1"/>
  <c r="Z87" i="69" a="1"/>
  <c r="Z87" i="69" s="1"/>
  <c r="Z108" i="69" s="1" a="1"/>
  <c r="Z108" i="69" s="1"/>
  <c r="Z160" i="69" s="1" a="1"/>
  <c r="Z160" i="69" s="1"/>
  <c r="AB85" i="69" a="1"/>
  <c r="AB85" i="69" s="1"/>
  <c r="AB106" i="69" s="1" a="1"/>
  <c r="AB106" i="69" s="1"/>
  <c r="AB158" i="69" s="1" a="1"/>
  <c r="AB158" i="69" s="1"/>
  <c r="V85" i="69" a="1"/>
  <c r="V85" i="69" s="1"/>
  <c r="V106" i="69" s="1" a="1"/>
  <c r="V106" i="69" s="1"/>
  <c r="V158" i="69" s="1" a="1"/>
  <c r="V158" i="69" s="1"/>
  <c r="AD87" i="69" a="1"/>
  <c r="AD87" i="69" s="1"/>
  <c r="AD108" i="69" s="1" a="1"/>
  <c r="AD108" i="69" s="1"/>
  <c r="AD160" i="69" s="1" a="1"/>
  <c r="AD160" i="69" s="1"/>
  <c r="Y83" i="69" a="1"/>
  <c r="Y83" i="69" s="1"/>
  <c r="Y104" i="69" s="1" a="1"/>
  <c r="Y104" i="69" s="1"/>
  <c r="Y156" i="69" s="1" a="1"/>
  <c r="Y156" i="69" s="1"/>
  <c r="X81" i="69" a="1"/>
  <c r="X81" i="69" s="1"/>
  <c r="X102" i="69" s="1" a="1"/>
  <c r="X102" i="69" s="1"/>
  <c r="X154" i="69" s="1" a="1"/>
  <c r="X154" i="69" s="1"/>
  <c r="X77" i="69" a="1"/>
  <c r="X77" i="69" s="1"/>
  <c r="X98" i="69" s="1" a="1"/>
  <c r="X98" i="69" s="1"/>
  <c r="X150" i="69" s="1" a="1"/>
  <c r="X150" i="69" s="1"/>
  <c r="V87" i="69" a="1"/>
  <c r="V87" i="69" s="1"/>
  <c r="V108" i="69" s="1" a="1"/>
  <c r="V108" i="69" s="1"/>
  <c r="V160" i="69" s="1" a="1"/>
  <c r="V160" i="69" s="1"/>
  <c r="AE81" i="69" a="1"/>
  <c r="AE81" i="69" s="1"/>
  <c r="AE102" i="69" s="1" a="1"/>
  <c r="AE102" i="69" s="1"/>
  <c r="AE154" i="69" s="1" a="1"/>
  <c r="AE154" i="69" s="1"/>
  <c r="AB83" i="69" a="1"/>
  <c r="AB83" i="69" s="1"/>
  <c r="AB104" i="69" s="1" a="1"/>
  <c r="AB104" i="69" s="1"/>
  <c r="AB156" i="69" s="1" a="1"/>
  <c r="AB156" i="69" s="1"/>
  <c r="V84" i="69" a="1"/>
  <c r="V84" i="69" s="1"/>
  <c r="V105" i="69" s="1" a="1"/>
  <c r="V105" i="69" s="1"/>
  <c r="V157" i="69" s="1" a="1"/>
  <c r="V157" i="69" s="1"/>
  <c r="W80" i="69" a="1"/>
  <c r="W80" i="69" s="1"/>
  <c r="W101" i="69" s="1" a="1"/>
  <c r="W101" i="69" s="1"/>
  <c r="W153" i="69" s="1" a="1"/>
  <c r="W153" i="69" s="1"/>
  <c r="W84" i="69" a="1"/>
  <c r="W84" i="69" s="1"/>
  <c r="W105" i="69" s="1" a="1"/>
  <c r="W105" i="69" s="1"/>
  <c r="W157" i="69" s="1" a="1"/>
  <c r="W157" i="69" s="1"/>
  <c r="V81" i="69" a="1"/>
  <c r="V81" i="69" s="1"/>
  <c r="V102" i="69" s="1" a="1"/>
  <c r="V102" i="69" s="1"/>
  <c r="V154" i="69" s="1" a="1"/>
  <c r="V154" i="69" s="1"/>
  <c r="X80" i="69" a="1"/>
  <c r="X80" i="69" s="1"/>
  <c r="X101" i="69" s="1" a="1"/>
  <c r="X101" i="69" s="1"/>
  <c r="X153" i="69" s="1" a="1"/>
  <c r="X153" i="69" s="1"/>
  <c r="Z76" i="69" a="1"/>
  <c r="Z76" i="69" s="1"/>
  <c r="Z97" i="69" s="1" a="1"/>
  <c r="Z97" i="69" s="1"/>
  <c r="Z149" i="69" s="1" a="1"/>
  <c r="Z149" i="69" s="1"/>
  <c r="V76" i="69" a="1"/>
  <c r="V76" i="69" s="1"/>
  <c r="V97" i="69" s="1" a="1"/>
  <c r="V97" i="69" s="1"/>
  <c r="V149" i="69" s="1" a="1"/>
  <c r="V149" i="69" s="1"/>
  <c r="AD76" i="69" a="1"/>
  <c r="AD76" i="69" s="1"/>
  <c r="AD97" i="69" s="1" a="1"/>
  <c r="AD97" i="69" s="1"/>
  <c r="AD149" i="69" s="1" a="1"/>
  <c r="AD149" i="69" s="1"/>
  <c r="AD85" i="69" a="1"/>
  <c r="AD85" i="69" s="1"/>
  <c r="AD106" i="69" s="1" a="1"/>
  <c r="AD106" i="69" s="1"/>
  <c r="AD158" i="69" s="1" a="1"/>
  <c r="AD158" i="69" s="1"/>
  <c r="AC82" i="69" a="1"/>
  <c r="AC82" i="69" s="1"/>
  <c r="AC103" i="69" s="1" a="1"/>
  <c r="AC103" i="69" s="1"/>
  <c r="AC155" i="69" s="1" a="1"/>
  <c r="AC155" i="69" s="1"/>
  <c r="AD79" i="69" a="1"/>
  <c r="AD79" i="69" s="1"/>
  <c r="AD100" i="69" s="1" a="1"/>
  <c r="AD100" i="69" s="1"/>
  <c r="AD152" i="69" s="1" a="1"/>
  <c r="AD152" i="69" s="1"/>
  <c r="AB76" i="69" a="1"/>
  <c r="AB76" i="69" s="1"/>
  <c r="AB97" i="69" s="1" a="1"/>
  <c r="AB97" i="69" s="1"/>
  <c r="AB149" i="69" s="1" a="1"/>
  <c r="AB149" i="69" s="1"/>
  <c r="X84" i="69" a="1"/>
  <c r="X84" i="69" s="1"/>
  <c r="X105" i="69" s="1" a="1"/>
  <c r="X105" i="69" s="1"/>
  <c r="X157" i="69" s="1" a="1"/>
  <c r="X157" i="69" s="1"/>
  <c r="AB80" i="69" a="1"/>
  <c r="AB80" i="69" s="1"/>
  <c r="AB101" i="69" s="1" a="1"/>
  <c r="AB101" i="69" s="1"/>
  <c r="AB153" i="69" s="1" a="1"/>
  <c r="AB153" i="69" s="1"/>
  <c r="Y85" i="69" a="1"/>
  <c r="Y85" i="69" s="1"/>
  <c r="Y106" i="69" s="1" a="1"/>
  <c r="Y106" i="69" s="1"/>
  <c r="Y158" i="69" s="1" a="1"/>
  <c r="Y158" i="69" s="1"/>
  <c r="AC81" i="69" a="1"/>
  <c r="AC81" i="69" s="1"/>
  <c r="AC102" i="69" s="1" a="1"/>
  <c r="AC102" i="69" s="1"/>
  <c r="AC154" i="69" s="1" a="1"/>
  <c r="AC154" i="69" s="1"/>
  <c r="W85" i="69" a="1"/>
  <c r="W85" i="69" s="1"/>
  <c r="W106" i="69" s="1" a="1"/>
  <c r="W106" i="69" s="1"/>
  <c r="W158" i="69" s="1" a="1"/>
  <c r="W158" i="69" s="1"/>
  <c r="AA84" i="69" a="1"/>
  <c r="AA84" i="69" s="1"/>
  <c r="AA105" i="69" s="1" a="1"/>
  <c r="AA105" i="69" s="1"/>
  <c r="AA157" i="69" s="1" a="1"/>
  <c r="AA157" i="69" s="1"/>
  <c r="AC86" i="69" a="1"/>
  <c r="AC86" i="69" s="1"/>
  <c r="AC107" i="69" s="1" a="1"/>
  <c r="AC107" i="69" s="1"/>
  <c r="AC159" i="69" s="1" a="1"/>
  <c r="AC159" i="69" s="1"/>
  <c r="V82" i="69" a="1"/>
  <c r="V82" i="69" s="1"/>
  <c r="V103" i="69" s="1" a="1"/>
  <c r="V103" i="69" s="1"/>
  <c r="V155" i="69" s="1" a="1"/>
  <c r="V155" i="69" s="1"/>
  <c r="AD81" i="69" a="1"/>
  <c r="AD81" i="69" s="1"/>
  <c r="AD102" i="69" s="1" a="1"/>
  <c r="AD102" i="69" s="1"/>
  <c r="AD154" i="69" s="1" a="1"/>
  <c r="AD154" i="69" s="1"/>
  <c r="Z80" i="69" a="1"/>
  <c r="Z80" i="69" s="1"/>
  <c r="Z101" i="69" s="1" a="1"/>
  <c r="Z101" i="69" s="1"/>
  <c r="Z153" i="69" s="1" a="1"/>
  <c r="Z153" i="69" s="1"/>
  <c r="AA87" i="69" a="1"/>
  <c r="AA87" i="69" s="1"/>
  <c r="AA108" i="69" s="1" a="1"/>
  <c r="AA108" i="69" s="1"/>
  <c r="AA160" i="69" s="1" a="1"/>
  <c r="AA160" i="69" s="1"/>
  <c r="Z79" i="69" a="1"/>
  <c r="Z79" i="69" s="1"/>
  <c r="Z100" i="69" s="1" a="1"/>
  <c r="Z100" i="69" s="1"/>
  <c r="Z152" i="69" s="1" a="1"/>
  <c r="Z152" i="69" s="1"/>
  <c r="AC85" i="69" a="1"/>
  <c r="AC85" i="69" s="1"/>
  <c r="AC106" i="69" s="1" a="1"/>
  <c r="AC106" i="69" s="1"/>
  <c r="AC158" i="69" s="1" a="1"/>
  <c r="AC158" i="69" s="1"/>
  <c r="Z81" i="69" a="1"/>
  <c r="Z81" i="69" s="1"/>
  <c r="Z102" i="69" s="1" a="1"/>
  <c r="Z102" i="69" s="1"/>
  <c r="Z154" i="69" s="1" a="1"/>
  <c r="Z154" i="69" s="1"/>
  <c r="AA82" i="69" a="1"/>
  <c r="AA82" i="69" s="1"/>
  <c r="AA103" i="69" s="1" a="1"/>
  <c r="AA103" i="69" s="1"/>
  <c r="AA155" i="69" s="1" a="1"/>
  <c r="AA155" i="69" s="1"/>
  <c r="AE77" i="69" a="1"/>
  <c r="AE77" i="69" s="1"/>
  <c r="AE98" i="69" s="1" a="1"/>
  <c r="AE98" i="69" s="1"/>
  <c r="AE150" i="69" s="1" a="1"/>
  <c r="AE150" i="69" s="1"/>
  <c r="X76" i="69" a="1"/>
  <c r="X76" i="69" s="1"/>
  <c r="X97" i="69" s="1" a="1"/>
  <c r="X97" i="69" s="1"/>
  <c r="X149" i="69" s="1" a="1"/>
  <c r="X149" i="69" s="1"/>
  <c r="V80" i="69" a="1"/>
  <c r="V80" i="69" s="1"/>
  <c r="V101" i="69" s="1" a="1"/>
  <c r="V101" i="69" s="1"/>
  <c r="V153" i="69" s="1" a="1"/>
  <c r="V153" i="69" s="1"/>
  <c r="W86" i="69" a="1"/>
  <c r="W86" i="69" s="1"/>
  <c r="W107" i="69" s="1" a="1"/>
  <c r="W107" i="69" s="1"/>
  <c r="W159" i="69" s="1" a="1"/>
  <c r="W159" i="69" s="1"/>
  <c r="W77" i="69" a="1"/>
  <c r="W77" i="69" s="1"/>
  <c r="W98" i="69" s="1" a="1"/>
  <c r="W98" i="69" s="1"/>
  <c r="W150" i="69" s="1" a="1"/>
  <c r="W150" i="69" s="1"/>
  <c r="AB79" i="69" a="1"/>
  <c r="AB79" i="69" s="1"/>
  <c r="AB100" i="69" s="1" a="1"/>
  <c r="AB100" i="69" s="1"/>
  <c r="AB152" i="69" s="1" a="1"/>
  <c r="AB152" i="69" s="1"/>
  <c r="W83" i="69" a="1"/>
  <c r="W83" i="69" s="1"/>
  <c r="W104" i="69" s="1" a="1"/>
  <c r="W104" i="69" s="1"/>
  <c r="W156" i="69" s="1" a="1"/>
  <c r="W156" i="69" s="1"/>
  <c r="AC76" i="69" a="1"/>
  <c r="AC76" i="69" s="1"/>
  <c r="AC97" i="69" s="1" a="1"/>
  <c r="AC97" i="69" s="1"/>
  <c r="AC149" i="69" s="1" a="1"/>
  <c r="AC149" i="69" s="1"/>
  <c r="AE86" i="69" a="1"/>
  <c r="AE86" i="69" s="1"/>
  <c r="AE107" i="69" s="1" a="1"/>
  <c r="AE107" i="69" s="1"/>
  <c r="AE159" i="69" s="1" a="1"/>
  <c r="AE159" i="69" s="1"/>
  <c r="AD82" i="69" a="1"/>
  <c r="AD82" i="69" s="1"/>
  <c r="AD103" i="69" s="1" a="1"/>
  <c r="AD103" i="69" s="1"/>
  <c r="AD155" i="69" s="1" a="1"/>
  <c r="AD155" i="69" s="1"/>
  <c r="V79" i="69" a="1"/>
  <c r="V79" i="69" s="1"/>
  <c r="V100" i="69" s="1" a="1"/>
  <c r="V100" i="69" s="1"/>
  <c r="V152" i="69" s="1" a="1"/>
  <c r="V152" i="69" s="1"/>
  <c r="AC83" i="69" a="1"/>
  <c r="AC83" i="69" s="1"/>
  <c r="AC104" i="69" s="1" a="1"/>
  <c r="AC104" i="69" s="1"/>
  <c r="AC156" i="69" s="1" a="1"/>
  <c r="AC156" i="69" s="1"/>
  <c r="H64" i="69" a="1"/>
  <c r="H64" i="69" s="1"/>
  <c r="H85" i="69" s="1" a="1"/>
  <c r="H85" i="69" s="1"/>
  <c r="H123" i="69" s="1" a="1"/>
  <c r="H123" i="69" s="1"/>
  <c r="G64" i="69" a="1"/>
  <c r="G64" i="69" s="1"/>
  <c r="G85" i="69" s="1" a="1"/>
  <c r="G85" i="69" s="1"/>
  <c r="G123" i="69" s="1" a="1"/>
  <c r="G123" i="69" s="1"/>
  <c r="J67" i="69" a="1"/>
  <c r="J67" i="69" s="1"/>
  <c r="J88" i="69" s="1" a="1"/>
  <c r="J88" i="69" s="1"/>
  <c r="J126" i="69" s="1" a="1"/>
  <c r="J126" i="69" s="1"/>
  <c r="N64" i="69" a="1"/>
  <c r="N64" i="69" s="1"/>
  <c r="N85" i="69" s="1" a="1"/>
  <c r="N85" i="69" s="1"/>
  <c r="N123" i="69" s="1" a="1"/>
  <c r="N123" i="69" s="1"/>
  <c r="I66" i="69" a="1"/>
  <c r="I66" i="69" s="1"/>
  <c r="I87" i="69" s="1" a="1"/>
  <c r="I87" i="69" s="1"/>
  <c r="I125" i="69" s="1" a="1"/>
  <c r="I125" i="69" s="1"/>
  <c r="I65" i="69" a="1"/>
  <c r="I65" i="69" s="1"/>
  <c r="I86" i="69" s="1" a="1"/>
  <c r="I86" i="69" s="1"/>
  <c r="I124" i="69" s="1" a="1"/>
  <c r="I124" i="69" s="1"/>
  <c r="L67" i="69" a="1"/>
  <c r="L67" i="69" s="1"/>
  <c r="L88" i="69" s="1" a="1"/>
  <c r="L88" i="69" s="1"/>
  <c r="L126" i="69" s="1" a="1"/>
  <c r="L126" i="69" s="1"/>
  <c r="E65" i="69" a="1"/>
  <c r="E65" i="69" s="1"/>
  <c r="E86" i="69" s="1" a="1"/>
  <c r="E86" i="69" s="1"/>
  <c r="E124" i="69" s="1" a="1"/>
  <c r="E124" i="69" s="1"/>
  <c r="G67" i="69" a="1"/>
  <c r="G67" i="69" s="1"/>
  <c r="G88" i="69" s="1" a="1"/>
  <c r="G88" i="69" s="1"/>
  <c r="G126" i="69" s="1" a="1"/>
  <c r="G126" i="69" s="1"/>
  <c r="E66" i="69" a="1"/>
  <c r="E66" i="69" s="1"/>
  <c r="E87" i="69" s="1" a="1"/>
  <c r="E87" i="69" s="1"/>
  <c r="E125" i="69" s="1" a="1"/>
  <c r="E125" i="69" s="1"/>
  <c r="E67" i="69" a="1"/>
  <c r="E67" i="69" s="1"/>
  <c r="E88" i="69" s="1" a="1"/>
  <c r="E88" i="69" s="1"/>
  <c r="E126" i="69" s="1" a="1"/>
  <c r="E126" i="69" s="1"/>
  <c r="K67" i="69" a="1"/>
  <c r="K67" i="69" s="1"/>
  <c r="K88" i="69" s="1" a="1"/>
  <c r="K88" i="69" s="1"/>
  <c r="K126" i="69" s="1" a="1"/>
  <c r="K126" i="69" s="1"/>
  <c r="M65" i="69" a="1"/>
  <c r="M65" i="69" s="1"/>
  <c r="M86" i="69" s="1" a="1"/>
  <c r="M86" i="69" s="1"/>
  <c r="M124" i="69" s="1" a="1"/>
  <c r="M124" i="69" s="1"/>
  <c r="F65" i="69" a="1"/>
  <c r="F65" i="69" s="1"/>
  <c r="F86" i="69" s="1" a="1"/>
  <c r="F86" i="69" s="1"/>
  <c r="F124" i="69" s="1" a="1"/>
  <c r="F124" i="69" s="1"/>
  <c r="H66" i="69" a="1"/>
  <c r="H66" i="69" s="1"/>
  <c r="H87" i="69" s="1" a="1"/>
  <c r="H87" i="69" s="1"/>
  <c r="H125" i="69" s="1" a="1"/>
  <c r="H125" i="69" s="1"/>
  <c r="M64" i="69" a="1"/>
  <c r="M64" i="69" s="1"/>
  <c r="M85" i="69" s="1" a="1"/>
  <c r="M85" i="69" s="1"/>
  <c r="M123" i="69" s="1" a="1"/>
  <c r="M123" i="69" s="1"/>
  <c r="N67" i="69" a="1"/>
  <c r="N67" i="69" s="1"/>
  <c r="N88" i="69" s="1" a="1"/>
  <c r="N88" i="69" s="1"/>
  <c r="N126" i="69" s="1" a="1"/>
  <c r="N126" i="69" s="1"/>
  <c r="N65" i="69" a="1"/>
  <c r="N65" i="69" s="1"/>
  <c r="N86" i="69" s="1" a="1"/>
  <c r="N86" i="69" s="1"/>
  <c r="N124" i="69" s="1" a="1"/>
  <c r="N124" i="69" s="1"/>
  <c r="L64" i="69" a="1"/>
  <c r="L64" i="69" s="1"/>
  <c r="L85" i="69" s="1" a="1"/>
  <c r="L85" i="69" s="1"/>
  <c r="L123" i="69" s="1" a="1"/>
  <c r="L123" i="69" s="1"/>
  <c r="I64" i="69" a="1"/>
  <c r="I64" i="69" s="1"/>
  <c r="I85" i="69" s="1" a="1"/>
  <c r="I85" i="69" s="1"/>
  <c r="I123" i="69" s="1" a="1"/>
  <c r="I123" i="69" s="1"/>
  <c r="M66" i="69" a="1"/>
  <c r="M66" i="69" s="1"/>
  <c r="M87" i="69" s="1" a="1"/>
  <c r="M87" i="69" s="1"/>
  <c r="M125" i="69" s="1" a="1"/>
  <c r="M125" i="69" s="1"/>
  <c r="H67" i="69" a="1"/>
  <c r="H67" i="69" s="1"/>
  <c r="H88" i="69" s="1" a="1"/>
  <c r="H88" i="69" s="1"/>
  <c r="H126" i="69" s="1" a="1"/>
  <c r="H126" i="69" s="1"/>
  <c r="F64" i="69" a="1"/>
  <c r="F64" i="69" s="1"/>
  <c r="F85" i="69" s="1" a="1"/>
  <c r="F85" i="69" s="1"/>
  <c r="F123" i="69" s="1" a="1"/>
  <c r="F123" i="69" s="1"/>
  <c r="L65" i="69" a="1"/>
  <c r="L65" i="69" s="1"/>
  <c r="L86" i="69" s="1" a="1"/>
  <c r="L86" i="69" s="1"/>
  <c r="L124" i="69" s="1" a="1"/>
  <c r="L124" i="69" s="1"/>
  <c r="J64" i="69" a="1"/>
  <c r="J64" i="69" s="1"/>
  <c r="J85" i="69" s="1" a="1"/>
  <c r="J85" i="69" s="1"/>
  <c r="J123" i="69" s="1" a="1"/>
  <c r="J123" i="69" s="1"/>
  <c r="K65" i="69" a="1"/>
  <c r="K65" i="69" s="1"/>
  <c r="K86" i="69" s="1" a="1"/>
  <c r="K86" i="69" s="1"/>
  <c r="K124" i="69" s="1" a="1"/>
  <c r="K124" i="69" s="1"/>
  <c r="J65" i="69" a="1"/>
  <c r="J65" i="69" s="1"/>
  <c r="J86" i="69" s="1" a="1"/>
  <c r="J86" i="69" s="1"/>
  <c r="J124" i="69" s="1" a="1"/>
  <c r="J124" i="69" s="1"/>
  <c r="G65" i="69" a="1"/>
  <c r="G65" i="69" s="1"/>
  <c r="G86" i="69" s="1" a="1"/>
  <c r="G86" i="69" s="1"/>
  <c r="G124" i="69" s="1" a="1"/>
  <c r="G124" i="69" s="1"/>
  <c r="L66" i="69" a="1"/>
  <c r="L66" i="69" s="1"/>
  <c r="L87" i="69" s="1" a="1"/>
  <c r="L87" i="69" s="1"/>
  <c r="L125" i="69" s="1" a="1"/>
  <c r="L125" i="69" s="1"/>
  <c r="N66" i="69" a="1"/>
  <c r="N66" i="69" s="1"/>
  <c r="N87" i="69" s="1" a="1"/>
  <c r="N87" i="69" s="1"/>
  <c r="N125" i="69" s="1" a="1"/>
  <c r="N125" i="69" s="1"/>
  <c r="I67" i="69" a="1"/>
  <c r="I67" i="69" s="1"/>
  <c r="I88" i="69" s="1" a="1"/>
  <c r="I88" i="69" s="1"/>
  <c r="I126" i="69" s="1" a="1"/>
  <c r="I126" i="69" s="1"/>
  <c r="F67" i="69" a="1"/>
  <c r="F67" i="69" s="1"/>
  <c r="F88" i="69" s="1" a="1"/>
  <c r="F88" i="69" s="1"/>
  <c r="F126" i="69" s="1" a="1"/>
  <c r="F126" i="69" s="1"/>
  <c r="H65" i="69" a="1"/>
  <c r="H65" i="69" s="1"/>
  <c r="H86" i="69" s="1" a="1"/>
  <c r="H86" i="69" s="1"/>
  <c r="H124" i="69" s="1" a="1"/>
  <c r="H124" i="69" s="1"/>
  <c r="M67" i="69" a="1"/>
  <c r="M67" i="69" s="1"/>
  <c r="M88" i="69" s="1" a="1"/>
  <c r="M88" i="69" s="1"/>
  <c r="M126" i="69" s="1" a="1"/>
  <c r="M126" i="69" s="1"/>
  <c r="K64" i="69" a="1"/>
  <c r="K64" i="69" s="1"/>
  <c r="K85" i="69" s="1" a="1"/>
  <c r="K85" i="69" s="1"/>
  <c r="K123" i="69" s="1" a="1"/>
  <c r="K123" i="69" s="1"/>
  <c r="K66" i="69" a="1"/>
  <c r="K66" i="69" s="1"/>
  <c r="K87" i="69" s="1" a="1"/>
  <c r="K87" i="69" s="1"/>
  <c r="K125" i="69" s="1" a="1"/>
  <c r="K125" i="69" s="1"/>
  <c r="F66" i="69" a="1"/>
  <c r="F66" i="69" s="1"/>
  <c r="F87" i="69" s="1" a="1"/>
  <c r="F87" i="69" s="1"/>
  <c r="F125" i="69" s="1" a="1"/>
  <c r="F125" i="69" s="1"/>
  <c r="G66" i="69" a="1"/>
  <c r="G66" i="69" s="1"/>
  <c r="G87" i="69" s="1" a="1"/>
  <c r="G87" i="69" s="1"/>
  <c r="G125" i="69" s="1" a="1"/>
  <c r="G125" i="69" s="1"/>
  <c r="E64" i="69" a="1"/>
  <c r="E64" i="69" s="1"/>
  <c r="E85" i="69" s="1" a="1"/>
  <c r="E85" i="69" s="1"/>
  <c r="E123" i="69" s="1" a="1"/>
  <c r="E123" i="69" s="1"/>
  <c r="J66" i="69" a="1"/>
  <c r="J66" i="69" s="1"/>
  <c r="J87" i="69" s="1" a="1"/>
  <c r="J87" i="69" s="1"/>
  <c r="J125" i="69" s="1" a="1"/>
  <c r="J125" i="69" s="1"/>
  <c r="E128" i="69" l="1"/>
  <c r="E7" i="13" s="1"/>
  <c r="F27" i="43" l="1"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V161" i="69" l="1"/>
  <c r="G130" i="69"/>
  <c r="E133" i="69" s="1" a="1"/>
  <c r="E133" i="69" s="1"/>
  <c r="H7" i="13" s="1"/>
  <c r="X163" i="69" l="1"/>
  <c r="V166" i="69" s="1" a="1"/>
  <c r="V166" i="69" s="1"/>
  <c r="I7" i="13" s="1"/>
  <c r="F7" i="13"/>
  <c r="E13" i="15"/>
  <c r="H8" i="13" l="1"/>
  <c r="I8"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<sst xmlns="http://schemas.openxmlformats.org/spreadsheetml/2006/main" count="1088" uniqueCount="271">
  <si>
    <t>Home</t>
  </si>
  <si>
    <t>INPUTS</t>
  </si>
  <si>
    <t>APPENDICES</t>
  </si>
  <si>
    <t>Emissions breakdown</t>
  </si>
  <si>
    <t>Farm name</t>
  </si>
  <si>
    <t>State</t>
  </si>
  <si>
    <t>Climate zone</t>
  </si>
  <si>
    <r>
      <rPr>
        <sz val="12"/>
        <color theme="1" tint="0.34998626667073579"/>
        <rFont val="Times New Roman"/>
        <family val="1"/>
      </rPr>
      <t xml:space="preserve">← </t>
    </r>
    <r>
      <rPr>
        <i/>
        <sz val="12"/>
        <color theme="1" tint="0.34998626667073579"/>
        <rFont val="Times New Roman"/>
        <family val="1"/>
      </rPr>
      <t>Please select</t>
    </r>
  </si>
  <si>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</si>
  <si>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</si>
  <si>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</si>
  <si>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</si>
  <si>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</si>
  <si>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</si>
  <si>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</si>
  <si>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</si>
  <si>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</si>
  <si>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</si>
  <si>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</si>
  <si>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</si>
  <si>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</si>
  <si>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</si>
  <si>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</si>
  <si>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</si>
  <si>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</si>
  <si>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</si>
  <si>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</si>
  <si>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</si>
  <si>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</si>
  <si>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</si>
  <si>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</si>
  <si>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</si>
  <si>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</si>
  <si>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</si>
  <si>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</si>
  <si>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</si>
  <si>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</si>
  <si>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</si>
  <si>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</si>
  <si>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</si>
  <si>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</si>
  <si>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</si>
  <si>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</si>
  <si>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</si>
  <si>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</si>
  <si>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</si>
  <si>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Days</t>
  </si>
  <si>
    <t>Temperature Zone</t>
  </si>
  <si>
    <t>Min MAT</t>
  </si>
  <si>
    <t>Max MAT</t>
  </si>
  <si>
    <t>Rainfall Zone</t>
  </si>
  <si>
    <t>Annual rainfall</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</si>
  <si>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</si>
  <si>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</si>
  <si>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</si>
  <si>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</si>
  <si>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</si>
  <si>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</si>
  <si>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</si>
  <si>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</si>
  <si>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</si>
  <si>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</si>
  <si>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</si>
  <si>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</si>
  <si>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</si>
  <si>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</si>
  <si>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</si>
  <si>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</si>
  <si>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</si>
  <si>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</si>
  <si>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</si>
  <si>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</si>
  <si>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</si>
  <si>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</si>
  <si>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</si>
  <si>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</si>
  <si>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</si>
  <si>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</si>
  <si>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Fraction</t>
  </si>
  <si>
    <t>Herd movement</t>
  </si>
  <si>
    <t>Head</t>
  </si>
  <si>
    <r>
      <t>E</t>
    </r>
    <r>
      <rPr>
        <vertAlign val="subscript"/>
        <sz val="12"/>
        <color theme="1" tint="0.24994659260841701"/>
        <rFont val="Times New Roman"/>
        <family val="1"/>
      </rPr>
      <t>CO2e</t>
    </r>
  </si>
  <si>
    <t>Crude protein</t>
  </si>
  <si>
    <t>Method 1</t>
  </si>
  <si>
    <t>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</si>
  <si>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</si>
  <si>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</si>
  <si>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</si>
  <si>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</si>
  <si>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</si>
  <si>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</si>
  <si>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</si>
  <si>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</si>
  <si>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</si>
  <si>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</si>
  <si>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</si>
  <si>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</si>
  <si>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</si>
  <si>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</si>
  <si>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</si>
  <si>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</si>
  <si>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</si>
  <si>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</si>
  <si>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</si>
  <si>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</si>
  <si>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</si>
  <si>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Method 1 values</t>
  </si>
  <si>
    <t>Method 2 values</t>
  </si>
  <si>
    <t>Pasture range and paddock</t>
  </si>
  <si>
    <t>No</t>
  </si>
  <si>
    <t>Liveweight</t>
  </si>
  <si>
    <t>fraction</t>
  </si>
  <si>
    <t>Feed intake (Method 2)</t>
  </si>
  <si>
    <t>Feed intake (Method 1)</t>
  </si>
  <si>
    <t>M1_Table_D_j</t>
  </si>
  <si>
    <t>t CH4</t>
  </si>
  <si>
    <t>M2_Table_D_j</t>
  </si>
  <si>
    <t>Irrigation type i</t>
  </si>
  <si>
    <t>t CO2e</t>
  </si>
  <si>
    <t>EFPRP</t>
  </si>
  <si>
    <t>GHG emissions method 1</t>
  </si>
  <si>
    <t>GHG emissions method 2</t>
  </si>
  <si>
    <t>CO2-e emissions method 1</t>
  </si>
  <si>
    <t>CO2-e emissions method 2</t>
  </si>
  <si>
    <t>Input -Pasture Beef</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</si>
  <si>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</si>
  <si>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</si>
  <si>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</si>
  <si>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</si>
  <si>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</si>
  <si>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</si>
  <si>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</si>
  <si>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</si>
  <si>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</si>
  <si>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</si>
  <si>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</si>
  <si>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</si>
  <si>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</si>
  <si>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</si>
  <si>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</si>
  <si>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</si>
  <si>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</si>
  <si>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</si>
  <si>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</si>
  <si>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</si>
  <si>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</si>
  <si>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</si>
  <si>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</si>
  <si>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</si>
  <si>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</si>
  <si>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</si>
  <si>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</si>
  <si>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</si>
  <si>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</si>
  <si>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</si>
  <si>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</si>
  <si>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</si>
  <si>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</si>
  <si>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</si>
  <si>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</si>
  <si>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</si>
  <si>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</si>
  <si>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</si>
  <si>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</si>
  <si>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</si>
  <si>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</si>
  <si>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</si>
  <si>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</si>
  <si>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</si>
  <si>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</si>
  <si>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</si>
  <si>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</si>
  <si>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</si>
  <si>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</si>
  <si>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</si>
  <si>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</si>
  <si>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</si>
  <si>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</si>
  <si>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</si>
  <si>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</si>
  <si>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</si>
  <si>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</si>
  <si>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</si>
  <si>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</si>
  <si>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</si>
  <si>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</si>
  <si>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</si>
  <si>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</si>
  <si>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</si>
  <si>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</si>
  <si>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</si>
  <si>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</si>
  <si>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</si>
  <si>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</si>
  <si>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</si>
  <si>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</si>
  <si>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</si>
  <si>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</si>
  <si>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</si>
  <si>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</si>
  <si>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</si>
  <si>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</si>
  <si>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</si>
  <si>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</si>
  <si>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</si>
  <si>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</si>
  <si>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</si>
  <si>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</si>
  <si>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</si>
  <si>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</si>
  <si>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</si>
  <si>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</si>
  <si>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</si>
  <si>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</si>
  <si>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Liveweight (Method 2)</t>
  </si>
  <si>
    <t>M2_Table_LWG_j_k_l</t>
  </si>
  <si>
    <t>Liveweight gain (Method 2)</t>
  </si>
  <si>
    <t>M2_Table_I_j_k_l</t>
  </si>
  <si>
    <t>Manure management</t>
  </si>
  <si>
    <t>Are all dams and natural water sources fenced off so cattle cannot access them?</t>
  </si>
  <si>
    <t>Percent in MMS</t>
  </si>
  <si>
    <t>Anaerobic lagoon</t>
  </si>
  <si>
    <t>Typo in VEERG declares unit as fraction when values are percent</t>
  </si>
  <si>
    <t>M1_Table_N_j_k_l</t>
  </si>
  <si>
    <t>Number of beef cattle (Method 1)</t>
  </si>
  <si>
    <t>Duration of stay in each time period (Method 1)</t>
  </si>
  <si>
    <t>M2_Table_N_j_k_l</t>
  </si>
  <si>
    <t>Number of beef cattle (Method 2)</t>
  </si>
  <si>
    <t>Duration of stay in each time period (Method 2)</t>
  </si>
  <si>
    <t>M1_Table_W_j_k_l</t>
  </si>
  <si>
    <r>
      <t>E</t>
    </r>
    <r>
      <rPr>
        <b/>
        <vertAlign val="subscript"/>
        <sz val="16"/>
        <color theme="1" tint="0.24994659260841701"/>
        <rFont val="Times New Roman"/>
        <family val="1"/>
      </rPr>
      <t>CH4</t>
    </r>
  </si>
  <si>
    <t>Where did the livestock spend most of their time grazing?</t>
  </si>
  <si>
    <t>Pasture beefcrop or pasture production systems</t>
  </si>
  <si>
    <t>Acknowledgements</t>
  </si>
  <si>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</si>
  <si>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</si>
  <si>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</si>
  <si>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</si>
  <si>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</si>
  <si>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</si>
  <si>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</si>
  <si>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</si>
  <si>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</si>
  <si>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</si>
  <si>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</si>
  <si>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</si>
  <si>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</si>
  <si>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</si>
  <si>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</si>
  <si>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</si>
  <si>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</si>
  <si>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</si>
  <si>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</si>
  <si>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t>First calving month</t>
  </si>
  <si>
    <t>M2_Table_W_j_k_l</t>
  </si>
  <si>
    <t>3.2.1.1-2 Enteric Beef Grazing</t>
  </si>
  <si>
    <t>M1_Table_M_j_k_l</t>
  </si>
  <si>
    <t>Daily production of enteric methane (Method 1)</t>
  </si>
  <si>
    <t>M1_Table_E_enteric</t>
  </si>
  <si>
    <t>Total enteric methane production (Method 1)</t>
  </si>
  <si>
    <t>M2_Table_E_enteric</t>
  </si>
  <si>
    <t>Total enteric methane production (Method 2)</t>
  </si>
  <si>
    <t>M2_Table_M_j_k_l</t>
  </si>
  <si>
    <t>Daily production of enteric methane (Method 2)</t>
  </si>
  <si>
    <t>4.3.1.1-2 Enteric Methane</t>
  </si>
  <si>
    <t>3.2 Enteric Methane: Pasture Beef: Results</t>
  </si>
  <si>
    <t>Australia</t>
  </si>
  <si>
    <t>Climate Zone</t>
  </si>
  <si>
    <t>EFNi &amp; EFN2Oi</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</si>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</sst>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59" fillId="4" borderId="2">
      <alignment horizontal="left" vertical="center"/>
    </xf>
    <xf numFmtId="0" fontId="35" fillId="4" borderId="2">
      <alignment horizontal="left" vertical="center"/>
    </xf>
    <xf numFmtId="0" fontId="60" fillId="15" borderId="2">
      <alignment horizontal="center" vertical="center"/>
    </xf>
    <xf numFmtId="0" fontId="61" fillId="16" borderId="2">
      <alignment horizontal="center" vertical="center"/>
    </xf>
  </cellStyleXfs>
  <cellXfs count="123">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8" fillId="11" borderId="0" xfId="63">
      <alignment horizontal="center" vertical="center"/>
    </xf>
    <xf numFmtId="0" fontId="58" fillId="0" borderId="0" xfId="2" applyFont="1"/>
    <xf numFmtId="0" fontId="0" fillId="0" borderId="0" xfId="29" applyFont="1" applyFill="1">
      <alignment horizontal="left" vertical="center" indent="1"/>
    </xf>
    <xf numFmtId="170" fontId="35" fillId="4" borderId="2" xfId="14" applyNumberFormat="1" applyFont="1" applyFill="1" applyBorder="1" applyAlignment="1">
      <alignment horizontal="center" vertical="center"/>
    </xf>
    <xf numFmtId="0" fontId="59" fillId="4" borderId="2" xfId="65">
      <alignment horizontal="left" vertical="center"/>
    </xf>
    <xf numFmtId="0" fontId="35" fillId="4" borderId="2" xfId="66">
      <alignment horizontal="left" vertical="center"/>
    </xf>
    <xf numFmtId="0" fontId="60" fillId="15" borderId="2" xfId="67">
      <alignment horizontal="center" vertical="center"/>
    </xf>
    <xf numFmtId="0" fontId="61" fillId="16" borderId="2" xfId="68">
      <alignment horizontal="center" vertical="center"/>
    </xf>
    <xf numFmtId="0" fontId="13" fillId="6" borderId="0" xfId="30">
      <alignment horizontal="center" vertical="center"/>
      <protection locked="0"/>
    </xf>
    <xf numFmtId="0" fontId="35" fillId="4" borderId="6" xfId="66" applyBorder="1">
      <alignment horizontal="left" vertical="center"/>
    </xf>
    <xf numFmtId="0" fontId="35" fillId="4" borderId="7" xfId="66" applyBorder="1">
      <alignment horizontal="left" vertical="center"/>
    </xf>
    <xf numFmtId="0" fontId="35" fillId="4" borderId="19" xfId="66" applyBorder="1">
      <alignment horizontal="left" vertical="center"/>
    </xf>
    <xf numFmtId="0" fontId="22" fillId="5" borderId="0" xfId="38">
      <alignment horizontal="left" vertical="center" indent="1"/>
    </xf>
    <xf numFmtId="0" fontId="22" fillId="11" borderId="0" xfId="64">
      <alignment horizontal="left" vertical="center" indent="1"/>
    </xf>
    <xf numFmtId="0" fontId="22" fillId="8" borderId="0" xfId="39">
      <alignment horizontal="left" vertical="center" indent="1"/>
    </xf>
    <xf numFmtId="0" fontId="22" fillId="10" borderId="0" xfId="37">
      <alignment horizontal="left" vertical="center" indent="1"/>
    </xf>
  </cellXfs>
  <cellStyles count="69">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4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47"/>
      <tableStyleElement type="headerRow" dxfId="146"/>
      <tableStyleElement type="totalRow" dxfId="145"/>
      <tableStyleElement type="firstColumn" dxfId="144"/>
      <tableStyleElement type="firstRowStripe" dxfId="143"/>
      <tableStyleElement type="secondRowStripe" dxfId="142"/>
    </tableStyle>
    <tableStyle name="Equation table" pivot="0" count="6" xr9:uid="{B247698E-E41D-4CCD-AA0A-C14817E9DE65}">
      <tableStyleElement type="wholeTable" dxfId="141"/>
      <tableStyleElement type="headerRow" dxfId="140"/>
      <tableStyleElement type="totalRow" dxfId="139"/>
      <tableStyleElement type="firstColumn" dxfId="138"/>
      <tableStyleElement type="firstRowStripe" dxfId="137"/>
      <tableStyleElement type="secondRowStripe" dxfId="136"/>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𝑀_𝑗𝑘𝑙=20.7×𝐼_𝑗𝑘𝑙×10^(−3)</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𝐸_𝑒𝑛𝑡𝑒𝑟𝑖𝑐=∑8_𝑗▒∑8_𝑘▒∑8_𝑙▒(𝐷_𝑗×𝑀_𝑗𝑘𝑙×𝑁_𝑗𝑘𝑙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35"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34"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33"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32"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31"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30"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29"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28"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27"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2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2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2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2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2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2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2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1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1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1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1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115"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O22</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114"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113"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112"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111"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110"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109"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108"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107"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106"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10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10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10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10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10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10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9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9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9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9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9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9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9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9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9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9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8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88"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8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8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8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8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8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8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8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8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7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7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7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7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7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7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7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7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7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70" dataCellStyle="Content normal">
      <calculatedColumnFormula>D351</calculatedColumnFormula>
    </tableColumn>
    <tableColumn id="2" xr3:uid="{B172192B-EDB5-47A5-A010-C82516ED13B5}" name="Bulls &lt; 1 year" dataDxfId="69" dataCellStyle="Content normal">
      <calculatedColumnFormula>E351</calculatedColumnFormula>
    </tableColumn>
    <tableColumn id="3" xr3:uid="{F83B528D-B6D7-4E92-967F-018ED1475D9B}" name="Bulls &gt; 1 year" dataDxfId="68" dataCellStyle="Content normal">
      <calculatedColumnFormula>F351</calculatedColumnFormula>
    </tableColumn>
    <tableColumn id="4" xr3:uid="{E83019D4-F113-4C9E-ADA7-433997A968A1}" name="Cows &lt; 1 year" dataDxfId="67" dataCellStyle="Content normal">
      <calculatedColumnFormula>G351</calculatedColumnFormula>
    </tableColumn>
    <tableColumn id="5" xr3:uid="{B51413B2-710F-409C-8C3C-6B72C8E99B49}" name="Cows 1-2 years" dataDxfId="66" dataCellStyle="Content normal">
      <calculatedColumnFormula>H351</calculatedColumnFormula>
    </tableColumn>
    <tableColumn id="6" xr3:uid="{F7B12596-1E7F-417C-83F5-67964BA7AAAE}" name="Cows 2-3 years" dataDxfId="65" dataCellStyle="Content normal">
      <calculatedColumnFormula>I351</calculatedColumnFormula>
    </tableColumn>
    <tableColumn id="7" xr3:uid="{C1B8EAD9-BCCE-49FF-9E3D-15E99DEC329C}" name="Cows &gt; 3 years" dataDxfId="64" dataCellStyle="Content normal">
      <calculatedColumnFormula>I351</calculatedColumnFormula>
    </tableColumn>
    <tableColumn id="8" xr3:uid="{6AB556D2-AF6C-4E98-9AA1-A8C6DC5F5CA9}" name="Steers &lt; 1 year" dataDxfId="63" dataCellStyle="Content normal">
      <calculatedColumnFormula>J351</calculatedColumnFormula>
    </tableColumn>
    <tableColumn id="9" xr3:uid="{46DC3CBA-6FB0-4A95-A39E-B2179DC8CFE6}" name="Steers 1-2 years" dataDxfId="62" dataCellStyle="Content normal">
      <calculatedColumnFormula>K351</calculatedColumnFormula>
    </tableColumn>
    <tableColumn id="10" xr3:uid="{105CEA90-EFAD-4757-B82A-B19E9A3F2664}" name="Steers 2-3 years" dataDxfId="61" dataCellStyle="Content normal"/>
    <tableColumn id="11" xr3:uid="{5E2A59D6-56CA-4967-885E-8602CA905B74}" name="Steers &gt;3 years" dataDxfId="60" dataCellStyle="Content normal"/>
    <tableColumn id="12" xr3:uid="{1C306FC1-FFBA-4C23-8EAD-1C07A5BAAA50}" name="State abbreviation" dataDxfId="59" dataCellStyle="Content normal"/>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5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5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5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55"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5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5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5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5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5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4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4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350093-500B-4E05-946E-4EA32C58228F}"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EFDC41B6-49F8-4F75-A177-D5C37E561782}" name="State/Territory">
      <calculatedColumnFormula array="1">Common_InputFunctions.Utility_DisplayArrayInTable(Common_SourceData.Common_SourceData_AustralianStatesTerritories_Data(),Table_AustralianStates[[#Headers],[State/Territory]],0)</calculatedColumnFormula>
    </tableColumn>
    <tableColumn id="2" xr3:uid="{2810EB65-AE52-4B3A-AB1C-3290766DC0B9}" name="Common Name">
      <calculatedColumnFormula array="1">Common_InputFunctions.Utility_DisplayArrayInTable(Common_SourceData.Common_SourceData_AustralianStatesTerritories_Data(),Table_AustralianStates[[#Headers],[State/Territory]],0)</calculatedColumnFormula>
    </tableColumn>
    <tableColumn id="3" xr3:uid="{A6EEB164-8D3B-4350-8814-069247834463}"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08F4B01-B16C-45CB-BAB2-010C2D4BC828}" name="Table_WASA4Areas" displayName="Table_WASA4Areas" ref="D20:D30" totalsRowShown="0">
  <autoFilter ref="D20:D30" xr:uid="{5FA81339-C6C8-4D36-BEEA-6C4AEDD9E676}">
    <filterColumn colId="0" hiddenButton="1"/>
  </autoFilter>
  <tableColumns count="1">
    <tableColumn id="1" xr3:uid="{097CA396-6966-47DA-A5D9-23AF2524B73D}"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2857BF1-2B14-46CA-B4A4-D0A38400B06D}" name="Table_GWPData" displayName="Table_GWPData" ref="D36:E43" totalsRowShown="0">
  <autoFilter ref="D36:E43" xr:uid="{B8E87A66-3E41-4AD3-925D-01EE21B43D7A}">
    <filterColumn colId="0" hiddenButton="1"/>
    <filterColumn colId="1" hiddenButton="1"/>
  </autoFilter>
  <tableColumns count="2">
    <tableColumn id="1" xr3:uid="{C1CD6876-CA0F-4C59-B6F5-5010D5EC6BE0}" name="Gas">
      <calculatedColumnFormula array="1">Common_InputFunctions.Utility_DisplayArrayInTable(Common_SourceData.Common_SourceData_GWP_Data(), Table_GWPData[[#Headers],[Gas]], 0)</calculatedColumnFormula>
    </tableColumn>
    <tableColumn id="2" xr3:uid="{0DF607A9-0E94-4402-87D9-D2FAC3380C0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C79D29A-688E-4303-931A-8D9E91A7EF3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E3E52F42-4611-4771-B455-3F87999920A7}" name="Gas">
      <calculatedColumnFormula array="1">Common_InputFunctions.Utility_DisplayArrayInTable(Common_SourceData.Common_SourceData_ConvertGasElementalToMolecular_Data(),Table_GasToMolecularConversionFactor[[#Headers],[Gas]], 0)</calculatedColumnFormula>
    </tableColumn>
    <tableColumn id="5" xr3:uid="{A5208572-B3FF-4C62-8D97-660C6F89E5E4}" name="Conversion factor">
      <calculatedColumnFormula array="1">Common_InputFunctions.Utility_DisplayArrayInTable(Common_SourceData.Common_SourceData_ConvertGasElementalToMolecular_Data(),Table_GasToMolecularConversionFactor[[#Headers],[Gas]], 0)</calculatedColumnFormula>
    </tableColumn>
    <tableColumn id="2" xr3:uid="{02C9A9ED-B77F-430A-8BE0-3A6A9846A8A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FA9BC306-78EE-40B2-B83D-46501C46431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0C329DC-BD0D-44FE-840B-1393B5BC04A0}"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1699CCB-6CB4-4B59-B04A-239224EF24B8}"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C0413C5-6B0D-4AEB-AB8F-ECEB74DC95C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27E289EB-8272-4514-9681-6AE7302BEC2A}" name="MAT"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3" xr3:uid="{66A0FEAE-3815-41BF-B4D0-4358C9FAB03B}" name="MAP"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4" xr3:uid="{6B537212-4652-443D-BB5E-9BA4C5935462}" name="Frost days per year"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5" xr3:uid="{7CFECF03-5F75-4DDD-B7FB-25488D436086}" name="Elevation"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6" xr3:uid="{72B7EAAB-7B5B-4769-A905-2D7D0FFB0AF3}" name="MAP:PET"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7" xr3:uid="{0122C5B5-5D85-43B5-A1E3-08D389E7953B}" name="Min tem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8" xr3:uid="{0B9728F9-9F77-4601-9C4C-765821FE70B4}" name="Max temp"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9" xr3:uid="{2E1BE377-4119-419F-A12C-775CC27C2FBF}" name="Min rainfall"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0" xr3:uid="{D310B6E6-08F1-48E6-8B62-E778D763D0C7}" name="Max rainfall"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1" xr3:uid="{95D869AC-34B7-4202-9399-233115C9AE20}" name="Min frost days"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5" xr3:uid="{5567A115-1EFA-4B81-9685-965A587269FD}" name="Max frost days"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2" xr3:uid="{A81B9D88-299F-4110-B2E6-EA382F621687}" name="Min elevation"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6" xr3:uid="{26E86769-AF13-4D33-AA16-23ED536D9399}" name="Max elevation"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3" xr3:uid="{992C7B46-A10B-4132-B095-1FBF05DD6BF3}" name="Min MAP:PET"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7" xr3:uid="{046A8E8A-33EE-4A18-828B-AD61A636151B}" name="Max MAP:PET" totalsRowDxfId="33"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9326050-96FD-4B47-98FB-48E002EC1D02}"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D4ED4AFC-6D50-4657-B384-F9C2B44ADD5B}"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F1F12D9-6AB6-4D8E-A384-0095D8F30B4A}" name="Wet or Dry Zone" totalsRowDxfId="32"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90478EB-69B9-4A4E-A455-6F6C30A8091F}"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6BE1C89B-306D-4121-AF82-B2E91B1AE40F}" name="Temperature Zone">
      <calculatedColumnFormula array="1">Common_InputFunctions.Utility_DisplayArrayInTable(Common_SourceData.Common_SourceData_TemperatureZones_Data(),Table_SourceData_TemperatureZones[[#Headers],[Temperature Zone]],0)</calculatedColumnFormula>
    </tableColumn>
    <tableColumn id="2" xr3:uid="{AE11295C-861A-4751-BCD4-6D2D27AFFE4E}" name="MAT">
      <calculatedColumnFormula array="1">Common_InputFunctions.Utility_DisplayArrayInTable(Common_SourceData.Common_SourceData_TemperatureZones_Data(),Table_SourceData_TemperatureZones[[#Headers],[Temperature Zone]],0)</calculatedColumnFormula>
    </tableColumn>
    <tableColumn id="3" xr3:uid="{08F32C78-7D1A-4394-8FF5-888FCF8E0E6D}" name="Min MAT">
      <calculatedColumnFormula array="1">Common_InputFunctions.Utility_DisplayArrayInTable(Common_SourceData.Common_SourceData_TemperatureZones_Data(),Table_SourceData_TemperatureZones[[#Headers],[Temperature Zone]],0)</calculatedColumnFormula>
    </tableColumn>
    <tableColumn id="4" xr3:uid="{F5A8405E-1C3A-4C3C-81DC-CEAA4E2ACE0B}"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1C1F75A-6FEF-4F8C-A07F-7F13F1C723BC}"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4382935C-CB97-49D9-A3BD-3A4A83DB5FA3}" name="Rainfall Zone">
      <calculatedColumnFormula array="1">Common_InputFunctions.Utility_DisplayArrayInTable(Common_SourceData.Common_SourceData_RainfallZones_Data(),Table_SourceData_RainfallZones[[#Headers],[Rainfall Zone]],0)</calculatedColumnFormula>
    </tableColumn>
    <tableColumn id="2" xr3:uid="{82307A5C-E0CA-4583-82C3-C968D6FFAE68}" name="Annual rainfall">
      <calculatedColumnFormula array="1">Common_InputFunctions.Utility_DisplayArrayInTable(Common_SourceData.Common_SourceData_RainfallZones_Data(),Table_SourceData_RainfallZones[[#Headers],[Rainfall Zone]],0)</calculatedColumnFormula>
    </tableColumn>
    <tableColumn id="3" xr3:uid="{A4AA165D-D696-47B8-A78F-80ADA691557A}" name="Min rainfall">
      <calculatedColumnFormula array="1">Common_InputFunctions.Utility_DisplayArrayInTable(Common_SourceData.Common_SourceData_RainfallZones_Data(),Table_SourceData_RainfallZones[[#Headers],[Rainfall Zone]],0)</calculatedColumnFormula>
    </tableColumn>
    <tableColumn id="4" xr3:uid="{7B58C867-2A3A-40F4-9655-631EBB2AF5EF}"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842382F-B527-4899-B60D-5A5624599C61}"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F3F03DFA-A78C-4C95-96AB-D6E53808EC76}" name="Leaching Zone">
      <calculatedColumnFormula array="1">Common_InputFunctions.Utility_DisplayArrayInTable(Common_SourceData.Common_SourceData_LeachingZones_Data(), Table_SourceData_LeachingZones[[#Headers],[Leaching Zone]], 0)</calculatedColumnFormula>
    </tableColumn>
    <tableColumn id="2" xr3:uid="{24F11993-143B-4308-9AA7-C41BDABDEE9C}"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B5D6B78-56DC-4515-823F-517A98454062}"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A9A19B1F-4A0C-492E-A11E-32F31B6917DE}" name="Data source">
      <calculatedColumnFormula array="1">Common_InputFunctions.Utility_DisplayArrayInTable(Common_SourceData.Common_SourceData_DataScores_Scope3_Data(), Table_SourceData_DataScores_Scope3[[#Headers],[Data source]], 0)</calculatedColumnFormula>
    </tableColumn>
    <tableColumn id="2" xr3:uid="{9356C277-E8F7-431A-8F91-E9535D3B4BC3}"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ACA2522-6857-4CF2-AE02-BDAA6F086FEE}" name="Table_SourceData_FracWET" displayName="Table_SourceData_FracWET" ref="D134:E136" totalsRowShown="0">
  <autoFilter ref="D134:E136" xr:uid="{308E99BE-FE1F-47A4-B2CA-97217277C4E9}">
    <filterColumn colId="0" hiddenButton="1"/>
    <filterColumn colId="1" hiddenButton="1"/>
  </autoFilter>
  <tableColumns count="2">
    <tableColumn id="1" xr3:uid="{65400E7D-26F6-4602-A464-833CB1966F7F}" name="Is in leaching zone">
      <calculatedColumnFormula array="1">Common_InputFunctions.Utility_DisplayArrayInTable(Common_SourceData.Common_SourceData_FracWET_Data(),Table_SourceData_FracWET[[#Headers],[Is in leaching zone]],0)</calculatedColumnFormula>
    </tableColumn>
    <tableColumn id="2" xr3:uid="{28E842C5-CF4C-402B-BC0F-F9F09307E912}" name="FracWET" dataDxfId="31">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B122B8-AD0C-4DAE-9973-A1D5F1220C2B}"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4627389F-6624-4306-8768-856D1AD49333}" name="Production system j">
      <calculatedColumnFormula array="1">Common_InputFunctions.Utility_DisplayArrayInTable(Common_SourceData.Common_SourceData_EFN2O_Data(), Table_SourceData_Common_EFN2O[[#Headers],[Production system j]], 0)</calculatedColumnFormula>
    </tableColumn>
    <tableColumn id="2" xr3:uid="{87F89EB0-B767-4B17-ABAF-59BC4F46D193}" name="EFN2O">
      <calculatedColumnFormula array="1">Common_InputFunctions.Utility_DisplayArrayInTable(Common_SourceData.Common_SourceData_EFN2O_Data(), Table_SourceData_Common_EFN2O[[#Headers],[Production system j]], 0)</calculatedColumnFormula>
    </tableColumn>
    <tableColumn id="3" xr3:uid="{B3CB46CE-1BB6-4460-A14E-2DEA0F69773C}" name="Production system only">
      <calculatedColumnFormula array="1">Common_InputFunctions.Utility_DisplayArrayInTable(Common_SourceData.Common_SourceData_EFN2O_Data(), Table_SourceData_Common_EFN2O[[#Headers],[Production system j]], 0)</calculatedColumnFormula>
    </tableColumn>
    <tableColumn id="4" xr3:uid="{754A43CF-2D2E-4F8B-9121-66F20DA450FD}" name="Irrigation method">
      <calculatedColumnFormula array="1">Common_InputFunctions.Utility_DisplayArrayInTable(Common_SourceData.Common_SourceData_EFN2O_Data(), Table_SourceData_Common_EFN2O[[#Headers],[Production system j]], 0)</calculatedColumnFormula>
    </tableColumn>
    <tableColumn id="5" xr3:uid="{45077562-3C70-448E-A555-2218913F5D50}"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A90F7E6-B468-446C-BD31-02D7170B629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66F939F-C7F1-45DC-8A1F-12A6E5F061BB}" name="Irrigation type i">
      <calculatedColumnFormula array="1">Common_InputFunctions.Utility_DisplayArrayInTable(Common_SourceData.Common_SourceData_FracWETIrrigation_Data(), Table_SourceData_FracWETIrrigation[[#Headers],[Irrigation type i]], 0)</calculatedColumnFormula>
    </tableColumn>
    <tableColumn id="2" xr3:uid="{940A658F-E6FD-4F57-9FF0-6CE95BDA01FF}" name="FracWET" dataDxfId="30"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7A5BB04-536F-4B34-AD89-1EB6D2A3695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3D5F320A-FF7F-463B-B0EA-BC33EA47E84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BF71F125-3249-4233-A8FC-437797A6E8E0}" name="EFPRP" dataDxfId="29"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EEF0B9D-54F8-4AE2-8387-CFF403E2891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796BF9A-3F5E-4380-B8B2-1E4A744122F7}" name="Month">
      <calculatedColumnFormula array="1">Common_InputFunctions.Utility_DisplayArrayInTable(Common_SourceData.Common_SourceData_MonthsToSeasons_Data(), Table_SourceData_Common_MonthToSeason[[#Headers],[Month]], 0)</calculatedColumnFormula>
    </tableColumn>
    <tableColumn id="2" xr3:uid="{CD951014-9077-4C27-A086-1215AFB0A220}" name="Season" dataDxfId="28"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B375F76-CD29-4D09-BB87-E5CD264F9F17}"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C28FA57-34C7-4C4C-9C70-5B9C52CCA5B7}"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69115886-44DF-4310-949B-A2440AB055E2}" name="MAT (ºC)"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11487969-8CB7-44D3-96E0-9815C5D6F19A}" name="Anaerobic lagoon"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353CF21-DF52-4B45-8A38-BDB71FFD4C0E}" name="Digester / covered lagoons"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B37EDFF-08D6-422B-B460-4346D5B5E0F2}" name="Liquid systems"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CBCFD66-F1F3-4C47-920B-1A030B33347D}" name="Daily spread"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83176F74-BE04-45E2-8B45-1FF7909F883D}" name="Composting (passive windrow)"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C212334-48E9-4B34-8C13-D5A56FF3D54E}" name="Solid storage"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7DE9738E-0018-4269-B168-D1E18C0BE461}" name="Pit storage"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F3D2855-719B-4265-A199-FDF6EC147742}" name="Deep litter"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62AE3F44-88DA-489E-9989-9539E97D9630}" name="Poultry manure with bedd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F2697D4-459C-42DF-B6DE-7745A268C272}" name="Poultry manure without bedd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F8A86794-CB69-4FF9-A7CD-142E24C5B53C}" name="Direct processing"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770B8FED-FE8C-40C1-877D-0C709CF6958E}" name="Direct application"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2AB8890-6711-4D91-8832-F47B3D6041A4}" name="Pasture range and paddock"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560337F-B0CA-4519-B7A9-892BC8F562C9}" name="MAT raw"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35DB0FF-75AB-409F-B16A-31AB73599D13}"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D29B8B43-D56B-4B35-9F4F-558E7DA55F23}"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2943DCF3-8C36-4CA6-A211-BF15352A1CD5}" name="EFNi &amp; EFN2Oi" dataDxfId="12"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9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24" Type="http://schemas.openxmlformats.org/officeDocument/2006/relationships/table" Target="../tables/table24.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s>
</file>

<file path=xl/worksheets/_rels/sheet7.xml.rels><?xml version="1.0" encoding="UTF-8" standalone="yes"?>
<Relationships xmlns="http://schemas.openxmlformats.org/package/2006/relationships"><Relationship Id="rId8" Type="http://schemas.openxmlformats.org/officeDocument/2006/relationships/table" Target="../tables/table31.xml"/><Relationship Id="rId13" Type="http://schemas.openxmlformats.org/officeDocument/2006/relationships/table" Target="../tables/table36.xml"/><Relationship Id="rId18" Type="http://schemas.openxmlformats.org/officeDocument/2006/relationships/table" Target="../tables/table41.xml"/><Relationship Id="rId3" Type="http://schemas.openxmlformats.org/officeDocument/2006/relationships/table" Target="../tables/table26.xml"/><Relationship Id="rId7" Type="http://schemas.openxmlformats.org/officeDocument/2006/relationships/table" Target="../tables/table30.xml"/><Relationship Id="rId12" Type="http://schemas.openxmlformats.org/officeDocument/2006/relationships/table" Target="../tables/table35.xml"/><Relationship Id="rId17" Type="http://schemas.openxmlformats.org/officeDocument/2006/relationships/table" Target="../tables/table40.xml"/><Relationship Id="rId2" Type="http://schemas.openxmlformats.org/officeDocument/2006/relationships/table" Target="../tables/table25.xml"/><Relationship Id="rId16" Type="http://schemas.openxmlformats.org/officeDocument/2006/relationships/table" Target="../tables/table39.xml"/><Relationship Id="rId1" Type="http://schemas.openxmlformats.org/officeDocument/2006/relationships/printerSettings" Target="../printerSettings/printerSettings3.bin"/><Relationship Id="rId6" Type="http://schemas.openxmlformats.org/officeDocument/2006/relationships/table" Target="../tables/table29.xml"/><Relationship Id="rId11" Type="http://schemas.openxmlformats.org/officeDocument/2006/relationships/table" Target="../tables/table34.xml"/><Relationship Id="rId5" Type="http://schemas.openxmlformats.org/officeDocument/2006/relationships/table" Target="../tables/table28.xml"/><Relationship Id="rId15" Type="http://schemas.openxmlformats.org/officeDocument/2006/relationships/table" Target="../tables/table38.xml"/><Relationship Id="rId10" Type="http://schemas.openxmlformats.org/officeDocument/2006/relationships/table" Target="../tables/table33.xml"/><Relationship Id="rId4" Type="http://schemas.openxmlformats.org/officeDocument/2006/relationships/table" Target="../tables/table27.xml"/><Relationship Id="rId9" Type="http://schemas.openxmlformats.org/officeDocument/2006/relationships/table" Target="../tables/table32.xml"/><Relationship Id="rId14" Type="http://schemas.openxmlformats.org/officeDocument/2006/relationships/table" Target="../tables/table3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I8" sqref="I8"/>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6" t="e" vm="1">
        <v>#VALUE!</v>
      </c>
      <c r="C1" s="108" t="s">
        <v>265</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20" t="str">
        <f>HYPERLINK("#'Results'!A1", "Results")</f>
        <v>Results</v>
      </c>
      <c r="C4" s="22"/>
      <c r="D4" s="6" t="s">
        <v>3</v>
      </c>
      <c r="E4" s="24"/>
      <c r="F4" s="24"/>
      <c r="G4" s="24"/>
      <c r="H4" s="6"/>
      <c r="I4" s="6"/>
      <c r="J4" s="6"/>
      <c r="K4" s="25"/>
    </row>
    <row r="5" spans="1:11" ht="20.100000000000001" customHeight="1" x14ac:dyDescent="0.3">
      <c r="A5" s="16"/>
      <c r="C5" s="22"/>
      <c r="D5" s="26"/>
      <c r="E5" s="27"/>
      <c r="F5" s="27"/>
      <c r="G5" s="27"/>
      <c r="H5" s="24"/>
      <c r="I5" s="22"/>
      <c r="J5" s="22"/>
      <c r="K5" s="22"/>
    </row>
    <row r="6" spans="1:11" ht="20.100000000000001" customHeight="1" x14ac:dyDescent="0.25">
      <c r="A6" s="20" t="s">
        <v>1</v>
      </c>
      <c r="C6" s="22"/>
      <c r="D6" s="107" t="s">
        <v>85</v>
      </c>
      <c r="E6" s="107" t="s">
        <v>120</v>
      </c>
      <c r="F6" s="107" t="s">
        <v>121</v>
      </c>
      <c r="G6" s="107" t="s">
        <v>98</v>
      </c>
      <c r="H6" s="107" t="s">
        <v>122</v>
      </c>
      <c r="I6" s="107" t="s">
        <v>123</v>
      </c>
      <c r="J6" s="107" t="s">
        <v>99</v>
      </c>
      <c r="K6" s="22"/>
    </row>
    <row r="7" spans="1:11" ht="20.100000000000001" customHeight="1" x14ac:dyDescent="0.25">
      <c r="A7" s="17" t="str">
        <f>HYPERLINK("#'Input - Site'!A1", "Site")</f>
        <v>Site</v>
      </c>
      <c r="C7" s="22"/>
      <c r="D7" s="1" t="s">
        <v>264</v>
      </c>
      <c r="E7" s="105">
        <f>'3.2.1.1-2 Enteric Methane'!E128</f>
        <v>55.678061774650885</v>
      </c>
      <c r="F7" s="105">
        <f>'3.2.1.1-2 Enteric Methane'!V161</f>
        <v>56.163952698425533</v>
      </c>
      <c r="G7" s="53" t="s">
        <v>115</v>
      </c>
      <c r="H7" s="105">
        <f>'3.2.1.1-2 Enteric Methane'!E133</f>
        <v>1558.9857296902248</v>
      </c>
      <c r="I7" s="105">
        <f>'3.2.1.1-2 Enteric Methane'!V166</f>
        <v>1572.5906755559149</v>
      </c>
      <c r="J7" s="53" t="s">
        <v>118</v>
      </c>
      <c r="K7" s="22"/>
    </row>
    <row r="8" spans="1:11" ht="20.100000000000001" customHeight="1" x14ac:dyDescent="0.3">
      <c r="A8" s="17" t="str">
        <f>HYPERLINK("#'Input - Pasture Beef'!A1", "Pasture Beef")</f>
        <v>Pasture Beef</v>
      </c>
      <c r="C8" s="22"/>
      <c r="D8" s="29" t="s">
        <v>97</v>
      </c>
      <c r="E8" s="23"/>
      <c r="F8" s="23"/>
      <c r="G8" s="29"/>
      <c r="H8" s="106">
        <f>SUM(H7:H7)</f>
        <v>1558.9857296902248</v>
      </c>
      <c r="I8" s="106">
        <f>SUM(I7:I7)</f>
        <v>1572.5906755559149</v>
      </c>
      <c r="J8" s="101" t="s">
        <v>118</v>
      </c>
      <c r="K8" s="22"/>
    </row>
    <row r="9" spans="1:11" ht="20.100000000000001" customHeight="1" x14ac:dyDescent="0.25">
      <c r="A9" s="17"/>
      <c r="C9" s="22"/>
      <c r="D9" s="1"/>
      <c r="E9" s="1"/>
      <c r="F9" s="1"/>
      <c r="G9" s="24"/>
      <c r="H9" s="22"/>
      <c r="I9" s="1"/>
      <c r="J9" s="1"/>
      <c r="K9" s="22"/>
    </row>
    <row r="10" spans="1:11" ht="20.100000000000001" customHeight="1" x14ac:dyDescent="0.25">
      <c r="A10" s="19" t="s">
        <v>59</v>
      </c>
      <c r="C10" s="22"/>
      <c r="D10" s="22"/>
      <c r="E10" s="22"/>
      <c r="F10" s="22"/>
      <c r="G10" s="22"/>
      <c r="H10" s="22"/>
      <c r="I10" s="22"/>
      <c r="J10" s="22"/>
      <c r="K10" s="22"/>
    </row>
    <row r="11" spans="1:11" ht="20.100000000000001" customHeight="1" x14ac:dyDescent="0.25">
      <c r="A11" s="17" t="str">
        <f>HYPERLINK("#'3.2.1.1-2 Enteric Methane'!A1", "3.2.1.1-2 Enteric Methane")</f>
        <v>3.2.1.1-2 Enteric Methane</v>
      </c>
      <c r="C11" s="22"/>
      <c r="D11" s="22"/>
      <c r="E11" s="22"/>
      <c r="F11" s="22"/>
      <c r="G11" s="22"/>
      <c r="H11" s="22"/>
      <c r="I11" s="22"/>
      <c r="J11" s="22"/>
      <c r="K11" s="22"/>
    </row>
    <row r="12" spans="1:11" ht="20.100000000000001" customHeight="1" x14ac:dyDescent="0.25">
      <c r="A12" s="17"/>
      <c r="C12" s="22"/>
      <c r="D12" s="22"/>
      <c r="E12" s="22"/>
      <c r="F12" s="22"/>
      <c r="G12" s="22"/>
      <c r="H12" s="22"/>
      <c r="I12" s="22"/>
      <c r="J12" s="22"/>
      <c r="K12" s="22"/>
    </row>
    <row r="13" spans="1:11" ht="20.100000000000001" customHeight="1" x14ac:dyDescent="0.25">
      <c r="A13" s="18" t="s">
        <v>2</v>
      </c>
      <c r="C13" s="22"/>
      <c r="D13" s="22"/>
      <c r="E13" s="22"/>
      <c r="F13" s="22"/>
      <c r="G13" s="22"/>
      <c r="H13" s="22"/>
      <c r="I13" s="22"/>
      <c r="J13" s="22"/>
      <c r="K13" s="22"/>
    </row>
    <row r="14" spans="1:11" ht="20.100000000000001" customHeight="1" x14ac:dyDescent="0.25">
      <c r="A14" s="17" t="str">
        <f>HYPERLINK("#'Constants - Pasture Beef'!A1", "Constants - Pasture Beef")</f>
        <v>Constants - Pasture Beef</v>
      </c>
      <c r="C14" s="22"/>
      <c r="D14" s="22"/>
      <c r="E14" s="22"/>
      <c r="F14" s="22"/>
      <c r="G14" s="22"/>
      <c r="H14" s="22"/>
      <c r="I14" s="22"/>
      <c r="J14" s="22"/>
      <c r="K14" s="22"/>
    </row>
    <row r="15" spans="1:11" ht="20.100000000000001" customHeight="1" x14ac:dyDescent="0.25">
      <c r="A15" s="17" t="str">
        <f>HYPERLINK("#'Constants - Livestock'!A1", "Constants - Livestock")</f>
        <v>Constants - Livestock</v>
      </c>
      <c r="C15" s="22"/>
      <c r="D15" s="22"/>
      <c r="E15" s="22"/>
      <c r="F15" s="22"/>
      <c r="G15" s="22"/>
      <c r="H15" s="22"/>
      <c r="I15" s="22"/>
      <c r="J15" s="22"/>
      <c r="K15" s="22"/>
    </row>
    <row r="16" spans="1:11" ht="20.100000000000001" customHeight="1" x14ac:dyDescent="0.3">
      <c r="A16" s="17" t="str">
        <f>HYPERLINK("#'Constants - Common'!A1", "Constants - Common")</f>
        <v>Constants - Common</v>
      </c>
      <c r="C16" s="22"/>
      <c r="D16" s="1"/>
      <c r="E16" s="1"/>
      <c r="F16" s="1"/>
      <c r="G16" s="1"/>
      <c r="H16" s="27"/>
      <c r="I16" s="22"/>
      <c r="J16" s="22"/>
      <c r="K16" s="22"/>
    </row>
    <row r="17" spans="1:11" ht="20.100000000000001" customHeight="1" x14ac:dyDescent="0.3">
      <c r="A17" s="17" t="str">
        <f>HYPERLINK("#'Acknowledgements'!A1", "Acknowledgements")</f>
        <v>Acknowledgements</v>
      </c>
      <c r="C17" s="22"/>
      <c r="D17" s="1"/>
      <c r="E17" s="1"/>
      <c r="F17" s="1"/>
      <c r="G17" s="1"/>
      <c r="H17" s="27"/>
      <c r="I17" s="22"/>
      <c r="J17" s="22"/>
      <c r="K17" s="22"/>
    </row>
    <row r="18" spans="1:11" ht="20.100000000000001" customHeight="1" x14ac:dyDescent="0.3">
      <c r="C18" s="22"/>
      <c r="D18" s="1"/>
      <c r="E18" s="1"/>
      <c r="F18" s="1"/>
      <c r="G18" s="1"/>
      <c r="H18" s="27"/>
      <c r="I18" s="22"/>
      <c r="J18" s="22"/>
      <c r="K18" s="22"/>
    </row>
    <row r="19" spans="1:11" ht="20.100000000000001" customHeight="1" x14ac:dyDescent="0.3">
      <c r="A19" s="17"/>
      <c r="C19" s="22"/>
      <c r="D19" s="1"/>
      <c r="E19" s="1"/>
      <c r="F19" s="1"/>
      <c r="G19" s="1"/>
      <c r="H19" s="27"/>
      <c r="I19" s="22"/>
      <c r="J19" s="22"/>
      <c r="K19" s="22"/>
    </row>
    <row r="20" spans="1:11" ht="20.100000000000001" customHeight="1" x14ac:dyDescent="0.3">
      <c r="A20" s="17"/>
      <c r="C20" s="22"/>
      <c r="D20" s="1"/>
      <c r="E20" s="1"/>
      <c r="F20" s="1"/>
      <c r="G20" s="1"/>
      <c r="H20" s="27"/>
      <c r="I20" s="22"/>
      <c r="J20" s="22"/>
      <c r="K20" s="22"/>
    </row>
    <row r="21" spans="1:11" ht="20.100000000000001" customHeight="1" x14ac:dyDescent="0.3">
      <c r="C21" s="22"/>
      <c r="D21" s="1"/>
      <c r="E21" s="1"/>
      <c r="F21" s="1"/>
      <c r="G21" s="1"/>
      <c r="H21" s="27"/>
      <c r="I21" s="22"/>
      <c r="J21" s="22"/>
      <c r="K21" s="22"/>
    </row>
    <row r="22" spans="1:11" ht="20.100000000000001" customHeight="1" x14ac:dyDescent="0.3">
      <c r="A22" s="17"/>
      <c r="C22" s="22"/>
      <c r="D22" s="1"/>
      <c r="E22" s="1"/>
      <c r="F22" s="1"/>
      <c r="G22" s="1"/>
      <c r="H22" s="27"/>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4"/>
      <c r="J38" s="104"/>
      <c r="K38" s="22"/>
    </row>
    <row r="39" spans="3:11" ht="20.100000000000001" customHeight="1" x14ac:dyDescent="0.25">
      <c r="C39" s="22"/>
      <c r="D39" s="1"/>
      <c r="E39" s="1"/>
      <c r="F39" s="1"/>
      <c r="G39" s="1"/>
      <c r="H39" s="1"/>
      <c r="I39" s="104"/>
      <c r="J39" s="104"/>
      <c r="K39" s="22"/>
    </row>
    <row r="40" spans="3:11" ht="20.100000000000001" customHeight="1" x14ac:dyDescent="0.25">
      <c r="C40" s="22"/>
      <c r="D40" s="1"/>
      <c r="E40" s="1"/>
      <c r="F40" s="1"/>
      <c r="G40" s="1"/>
      <c r="H40" s="1"/>
      <c r="I40" s="104"/>
      <c r="J40" s="104"/>
      <c r="K40" s="22"/>
    </row>
    <row r="41" spans="3:11" ht="20.100000000000001" customHeight="1" x14ac:dyDescent="0.25">
      <c r="C41" s="22"/>
      <c r="D41" s="1"/>
      <c r="E41" s="1"/>
      <c r="F41" s="1"/>
      <c r="G41" s="1"/>
      <c r="H41" s="1"/>
      <c r="I41" s="104"/>
      <c r="J41" s="104"/>
      <c r="K41" s="22"/>
    </row>
    <row r="42" spans="3:11" ht="20.100000000000001" customHeight="1" x14ac:dyDescent="0.25">
      <c r="C42" s="22"/>
      <c r="D42" s="1"/>
      <c r="E42" s="1"/>
      <c r="F42" s="1"/>
      <c r="G42" s="1"/>
      <c r="H42" s="1"/>
      <c r="I42" s="104"/>
      <c r="J42" s="104"/>
      <c r="K42" s="22"/>
    </row>
    <row r="43" spans="3:11" ht="20.100000000000001" customHeight="1" x14ac:dyDescent="0.25">
      <c r="C43" s="22"/>
      <c r="D43" s="1"/>
      <c r="E43" s="1"/>
      <c r="F43" s="1"/>
      <c r="G43" s="1"/>
      <c r="H43" s="1"/>
      <c r="I43" s="104"/>
      <c r="J43" s="104"/>
      <c r="K43" s="22"/>
    </row>
    <row r="44" spans="3:11" ht="20.100000000000001" customHeight="1" x14ac:dyDescent="0.25">
      <c r="C44" s="22"/>
      <c r="D44" s="1"/>
      <c r="E44" s="1"/>
      <c r="F44" s="1"/>
      <c r="G44" s="1"/>
      <c r="H44" s="1"/>
      <c r="I44" s="104"/>
      <c r="J44" s="104"/>
      <c r="K44" s="22"/>
    </row>
    <row r="45" spans="3:11" ht="20.100000000000001" customHeight="1" x14ac:dyDescent="0.25">
      <c r="C45" s="22"/>
      <c r="D45" s="1"/>
      <c r="E45" s="1"/>
      <c r="F45" s="1"/>
      <c r="G45" s="1"/>
      <c r="H45" s="1"/>
      <c r="I45" s="104"/>
      <c r="J45" s="104"/>
      <c r="K45" s="22"/>
    </row>
    <row r="46" spans="3:11" ht="20.100000000000001" customHeight="1" x14ac:dyDescent="0.25">
      <c r="C46" s="22"/>
      <c r="D46" s="1"/>
      <c r="E46" s="1"/>
      <c r="F46" s="1"/>
      <c r="G46" s="1"/>
      <c r="H46" s="1"/>
      <c r="I46" s="104"/>
      <c r="J46" s="104"/>
      <c r="K46" s="22"/>
    </row>
    <row r="47" spans="3:11" ht="20.100000000000001" customHeight="1" x14ac:dyDescent="0.25">
      <c r="C47" s="22"/>
      <c r="D47" s="1"/>
      <c r="E47" s="1"/>
      <c r="F47" s="1"/>
      <c r="G47" s="1"/>
      <c r="H47" s="1"/>
      <c r="I47" s="104"/>
      <c r="J47" s="104"/>
      <c r="K47" s="22"/>
    </row>
    <row r="48" spans="3:11" ht="20.100000000000001" customHeight="1" x14ac:dyDescent="0.25">
      <c r="C48" s="22"/>
      <c r="D48" s="1"/>
      <c r="E48" s="1"/>
      <c r="F48" s="1"/>
      <c r="G48" s="1"/>
      <c r="H48" s="1"/>
      <c r="I48" s="104"/>
      <c r="J48" s="104"/>
      <c r="K48" s="22"/>
    </row>
    <row r="49" spans="3:11" ht="20.100000000000001" customHeight="1" x14ac:dyDescent="0.25">
      <c r="C49" s="22"/>
      <c r="D49" s="1"/>
      <c r="E49" s="1"/>
      <c r="F49" s="1"/>
      <c r="G49" s="1"/>
      <c r="H49" s="104"/>
      <c r="I49" s="104"/>
      <c r="J49" s="104"/>
      <c r="K49" s="22"/>
    </row>
    <row r="50" spans="3:11" ht="20.100000000000001" customHeight="1" x14ac:dyDescent="0.25">
      <c r="C50" s="22"/>
      <c r="D50" s="1"/>
      <c r="E50" s="1"/>
      <c r="F50" s="1"/>
      <c r="G50" s="1"/>
      <c r="H50" s="104"/>
      <c r="I50" s="104"/>
      <c r="J50" s="104"/>
      <c r="K50" s="22"/>
    </row>
    <row r="51" spans="3:11" ht="20.100000000000001" customHeight="1" x14ac:dyDescent="0.25">
      <c r="C51" s="22"/>
      <c r="D51" s="1"/>
      <c r="E51" s="1"/>
      <c r="F51" s="1"/>
      <c r="G51" s="1"/>
      <c r="H51" s="104"/>
      <c r="I51" s="104"/>
      <c r="J51" s="104"/>
      <c r="K51" s="22"/>
    </row>
    <row r="52" spans="3:11" ht="20.100000000000001" customHeight="1" x14ac:dyDescent="0.25">
      <c r="C52" s="22"/>
      <c r="D52" s="1"/>
      <c r="E52" s="1"/>
      <c r="F52" s="1"/>
      <c r="G52" s="1"/>
      <c r="H52" s="104"/>
      <c r="I52" s="104"/>
      <c r="J52" s="104"/>
      <c r="K52" s="22"/>
    </row>
    <row r="53" spans="3:11" ht="20.100000000000001" customHeight="1" x14ac:dyDescent="0.25">
      <c r="C53" s="22"/>
      <c r="D53" s="1"/>
      <c r="E53" s="1"/>
      <c r="F53" s="1"/>
      <c r="G53" s="1"/>
      <c r="H53" s="104"/>
      <c r="I53" s="104"/>
      <c r="J53" s="104"/>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1" sqref="E21"/>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6" t="e" vm="1">
        <v>#VALUE!</v>
      </c>
      <c r="C1" s="12" t="s">
        <v>73</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7"/>
      <c r="D4" s="67"/>
      <c r="E4" s="67"/>
      <c r="F4" s="67"/>
      <c r="G4" s="67"/>
      <c r="H4" s="67"/>
      <c r="I4" s="67"/>
      <c r="J4" s="67"/>
      <c r="K4" s="67"/>
    </row>
    <row r="5" spans="1:24" ht="20.100000000000001" customHeight="1" x14ac:dyDescent="0.25">
      <c r="D5" s="6" t="s">
        <v>9</v>
      </c>
      <c r="N5" s="39"/>
    </row>
    <row r="6" spans="1:24" ht="20.100000000000001" customHeight="1" x14ac:dyDescent="0.25">
      <c r="A6" s="20" t="s">
        <v>1</v>
      </c>
      <c r="D6" s="14"/>
      <c r="N6" s="40"/>
    </row>
    <row r="7" spans="1:24" ht="20.100000000000001" customHeight="1" x14ac:dyDescent="0.25">
      <c r="A7" s="119" t="str">
        <f>HYPERLINK("#'Input - Site'!A1", "Site")</f>
        <v>Site</v>
      </c>
      <c r="D7" s="1" t="s">
        <v>4</v>
      </c>
      <c r="E7" s="32" t="s">
        <v>269</v>
      </c>
      <c r="F7" s="2"/>
    </row>
    <row r="8" spans="1:24" ht="20.100000000000001" customHeight="1" x14ac:dyDescent="0.25">
      <c r="A8" s="17" t="str">
        <f>HYPERLINK("#'Input - Pasture Beef'!A1", "Pasture Beef")</f>
        <v>Pasture Beef</v>
      </c>
      <c r="D8" s="10" t="s">
        <v>58</v>
      </c>
      <c r="E8" s="32" t="s">
        <v>270</v>
      </c>
    </row>
    <row r="9" spans="1:24" ht="20.100000000000001" customHeight="1" x14ac:dyDescent="0.25">
      <c r="A9" s="17"/>
      <c r="N9" s="41"/>
    </row>
    <row r="10" spans="1:24" ht="20.100000000000001" customHeight="1" x14ac:dyDescent="0.25">
      <c r="A10" s="19" t="s">
        <v>59</v>
      </c>
      <c r="D10" s="91" t="s">
        <v>72</v>
      </c>
      <c r="E10" s="89"/>
      <c r="F10" s="92"/>
      <c r="G10" s="86"/>
      <c r="N10" s="41"/>
    </row>
    <row r="11" spans="1:24" ht="20.100000000000001" customHeight="1" x14ac:dyDescent="0.25">
      <c r="A11" s="17" t="str">
        <f>HYPERLINK("#'3.2.1.1-2 Enteric Methane'!A1", "3.2.1.1-2 Enteric Methane")</f>
        <v>3.2.1.1-2 Enteric Methane</v>
      </c>
      <c r="N11" s="42"/>
    </row>
    <row r="12" spans="1:24" ht="20.100000000000001" customHeight="1" x14ac:dyDescent="0.25">
      <c r="A12" s="17"/>
      <c r="D12" s="10" t="s">
        <v>76</v>
      </c>
      <c r="E12" s="62">
        <v>45658</v>
      </c>
      <c r="F12" s="2" t="s">
        <v>56</v>
      </c>
    </row>
    <row r="13" spans="1:24" ht="20.100000000000001" customHeight="1" x14ac:dyDescent="0.25">
      <c r="A13" s="18" t="s">
        <v>2</v>
      </c>
      <c r="D13" s="10" t="s">
        <v>77</v>
      </c>
      <c r="E13" s="68">
        <f>DATE(YEAR(E12)+1,MONTH(E12),DAY(E12))-1</f>
        <v>46022</v>
      </c>
      <c r="F13" s="2" t="s">
        <v>11</v>
      </c>
      <c r="N13" s="37"/>
      <c r="O13" s="37"/>
    </row>
    <row r="14" spans="1:24" ht="20.100000000000001" customHeight="1" x14ac:dyDescent="0.25">
      <c r="A14" s="17" t="str">
        <f>HYPERLINK("#'Constants - Pasture Beef'!A1", "Constants - Pasture Beef")</f>
        <v>Constants - Pasture Beef</v>
      </c>
      <c r="N14" s="37"/>
      <c r="O14" s="37"/>
    </row>
    <row r="15" spans="1:24" ht="20.100000000000001" customHeight="1" x14ac:dyDescent="0.25">
      <c r="A15" s="17" t="str">
        <f>HYPERLINK("#'Constants - Livestock'!A1", "Constants - Livestock")</f>
        <v>Constants - Livestock</v>
      </c>
      <c r="N15" s="37"/>
      <c r="O15" s="37"/>
    </row>
    <row r="16" spans="1:24" ht="20.100000000000001" customHeight="1" x14ac:dyDescent="0.25">
      <c r="A16" s="17" t="str">
        <f>HYPERLINK("#'Constants - Common'!A1", "Constants - Common")</f>
        <v>Constants - Common</v>
      </c>
      <c r="D16" s="6" t="s">
        <v>8</v>
      </c>
      <c r="N16" s="37"/>
      <c r="O16" s="37"/>
    </row>
    <row r="17" spans="1:25" ht="20.100000000000001" customHeight="1" x14ac:dyDescent="0.25">
      <c r="A17" s="17" t="str">
        <f>HYPERLINK("#'Acknowledgements'!A1", "Acknowledgements")</f>
        <v>Acknowledgements</v>
      </c>
    </row>
    <row r="18" spans="1:25" ht="20.100000000000001" customHeight="1" x14ac:dyDescent="0.25">
      <c r="A18"/>
      <c r="D18" s="93" t="s">
        <v>10</v>
      </c>
      <c r="E18" s="88"/>
      <c r="F18" s="88"/>
      <c r="G18" s="84"/>
    </row>
    <row r="19" spans="1:25" ht="20.100000000000001" customHeight="1" x14ac:dyDescent="0.25">
      <c r="A19" s="17"/>
      <c r="D19" s="90" t="s">
        <v>57</v>
      </c>
      <c r="E19" s="87"/>
      <c r="F19" s="87"/>
      <c r="G19" s="85"/>
      <c r="N19" s="39"/>
    </row>
    <row r="20" spans="1:25" ht="20.100000000000001" customHeight="1" x14ac:dyDescent="0.25">
      <c r="D20" s="1"/>
      <c r="E20" s="31"/>
      <c r="F20" s="2"/>
      <c r="N20" s="40"/>
    </row>
    <row r="21" spans="1:25" ht="20.100000000000001" customHeight="1" x14ac:dyDescent="0.25">
      <c r="D21" s="1" t="s">
        <v>5</v>
      </c>
      <c r="E21" s="38" t="s">
        <v>178</v>
      </c>
      <c r="F21" s="2" t="s">
        <v>7</v>
      </c>
    </row>
    <row r="22" spans="1:25" ht="20.100000000000001" customHeight="1" x14ac:dyDescent="0.25"/>
    <row r="23" spans="1:25" ht="20.100000000000001" customHeight="1" x14ac:dyDescent="0.25">
      <c r="A23" s="17"/>
    </row>
    <row r="24" spans="1:25" ht="20.100000000000001" customHeight="1" x14ac:dyDescent="0.25">
      <c r="A24" s="17"/>
    </row>
    <row r="25" spans="1:25" ht="20.100000000000001" customHeight="1" x14ac:dyDescent="0.25">
      <c r="A25"/>
      <c r="N25" s="40"/>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L30" s="48"/>
      <c r="M30" s="48"/>
      <c r="N30" s="48"/>
      <c r="O30" s="48"/>
      <c r="P30" s="48"/>
      <c r="Q30" s="48"/>
      <c r="R30" s="48"/>
      <c r="S30" s="48"/>
      <c r="T30" s="48"/>
      <c r="U30" s="48"/>
      <c r="V30" s="48"/>
      <c r="W30" s="48"/>
      <c r="X30" s="48"/>
      <c r="Y30" s="48"/>
    </row>
    <row r="31" spans="1:25" ht="20.100000000000001" customHeight="1" x14ac:dyDescent="0.25">
      <c r="A31"/>
      <c r="L31" s="46"/>
      <c r="M31" s="46"/>
      <c r="N31" s="46"/>
      <c r="O31" s="46"/>
      <c r="P31" s="46"/>
      <c r="Q31" s="46"/>
      <c r="R31" s="46"/>
      <c r="S31" s="46"/>
      <c r="T31" s="46"/>
      <c r="U31" s="46"/>
      <c r="V31" s="46"/>
      <c r="W31" s="46"/>
      <c r="X31" s="46"/>
      <c r="Y31" s="46"/>
    </row>
    <row r="32" spans="1:25" ht="20.100000000000001" customHeight="1" x14ac:dyDescent="0.25">
      <c r="A32"/>
      <c r="L32" s="46"/>
      <c r="M32" s="46"/>
      <c r="N32" s="46"/>
      <c r="O32" s="46"/>
      <c r="P32" s="46"/>
      <c r="Q32" s="46"/>
      <c r="R32" s="46"/>
      <c r="S32" s="46"/>
      <c r="T32" s="46"/>
      <c r="U32" s="46"/>
      <c r="V32" s="46"/>
      <c r="W32" s="46"/>
      <c r="X32" s="46"/>
      <c r="Y32" s="46"/>
    </row>
    <row r="33" spans="1:25" ht="20.100000000000001" customHeight="1" x14ac:dyDescent="0.25">
      <c r="A33"/>
      <c r="L33" s="46"/>
      <c r="M33" s="46"/>
      <c r="N33" s="46"/>
      <c r="O33" s="46"/>
      <c r="P33" s="46"/>
      <c r="Q33" s="46"/>
      <c r="R33" s="46"/>
      <c r="S33" s="46"/>
      <c r="T33" s="46"/>
      <c r="U33" s="46"/>
      <c r="V33" s="46"/>
      <c r="W33" s="46"/>
      <c r="X33" s="46"/>
      <c r="Y33" s="46"/>
    </row>
    <row r="34" spans="1:25" ht="20.100000000000001" customHeight="1" x14ac:dyDescent="0.25">
      <c r="A34"/>
      <c r="J34" s="59"/>
      <c r="K34" s="71"/>
      <c r="L34" s="46"/>
      <c r="M34" s="46"/>
      <c r="N34" s="46"/>
      <c r="O34" s="46"/>
      <c r="P34" s="46"/>
      <c r="Q34" s="46"/>
      <c r="R34" s="46"/>
      <c r="S34" s="46"/>
      <c r="T34" s="46"/>
      <c r="U34" s="46"/>
      <c r="V34" s="46"/>
      <c r="W34" s="46"/>
      <c r="X34" s="46"/>
      <c r="Y34" s="46"/>
    </row>
    <row r="35" spans="1:25" ht="20.100000000000001" customHeight="1" x14ac:dyDescent="0.25">
      <c r="A35"/>
      <c r="J35" s="59"/>
      <c r="K35" s="71"/>
      <c r="L35" s="46"/>
      <c r="M35" s="46"/>
      <c r="N35" s="46"/>
      <c r="O35" s="46"/>
      <c r="P35" s="46"/>
      <c r="Q35" s="46"/>
      <c r="R35" s="46"/>
      <c r="S35" s="46"/>
      <c r="T35" s="46"/>
      <c r="U35" s="46"/>
      <c r="V35" s="46"/>
      <c r="W35" s="46"/>
      <c r="X35" s="46"/>
      <c r="Y35" s="46"/>
    </row>
    <row r="36" spans="1:25" ht="20.100000000000001" customHeight="1" x14ac:dyDescent="0.25">
      <c r="A36"/>
      <c r="D36" s="69"/>
      <c r="E36" s="69"/>
      <c r="F36" s="70"/>
      <c r="G36" s="59"/>
      <c r="H36" s="59"/>
      <c r="I36" s="60"/>
      <c r="J36" s="59"/>
      <c r="K36" s="71"/>
      <c r="L36" s="46"/>
      <c r="M36" s="46"/>
      <c r="N36" s="46"/>
      <c r="O36" s="46"/>
      <c r="P36" s="46"/>
      <c r="Q36" s="46"/>
      <c r="R36" s="46"/>
      <c r="S36" s="46"/>
      <c r="T36" s="46"/>
      <c r="U36" s="46"/>
      <c r="V36" s="46"/>
      <c r="W36" s="46"/>
      <c r="X36" s="46"/>
      <c r="Y36" s="46"/>
    </row>
    <row r="37" spans="1:25" ht="20.100000000000001" customHeight="1" x14ac:dyDescent="0.25">
      <c r="A37"/>
      <c r="D37" s="69"/>
      <c r="E37" s="69"/>
      <c r="F37" s="70"/>
      <c r="G37" s="59"/>
      <c r="H37" s="59"/>
      <c r="I37" s="60"/>
      <c r="J37" s="59"/>
      <c r="K37" s="71"/>
      <c r="L37" s="46"/>
      <c r="M37" s="46"/>
      <c r="N37" s="46"/>
      <c r="O37" s="46"/>
      <c r="P37" s="46"/>
      <c r="Q37" s="46"/>
      <c r="R37" s="46"/>
      <c r="S37" s="46"/>
      <c r="T37" s="46"/>
      <c r="U37" s="46"/>
      <c r="V37" s="46"/>
      <c r="W37" s="46"/>
      <c r="X37" s="46"/>
      <c r="Y37" s="46"/>
    </row>
    <row r="38" spans="1:25" ht="20.100000000000001" customHeight="1" x14ac:dyDescent="0.25">
      <c r="A38"/>
      <c r="D38" s="69"/>
      <c r="E38" s="69"/>
      <c r="F38" s="70"/>
      <c r="G38" s="59"/>
      <c r="H38" s="59"/>
      <c r="I38" s="60"/>
      <c r="J38" s="59"/>
      <c r="K38" s="71"/>
      <c r="L38" s="46"/>
      <c r="M38" s="46"/>
      <c r="N38" s="46"/>
      <c r="O38" s="46"/>
      <c r="P38" s="46"/>
      <c r="Q38" s="46"/>
      <c r="R38" s="46"/>
      <c r="S38" s="46"/>
      <c r="T38" s="46"/>
      <c r="U38" s="46"/>
      <c r="V38" s="46"/>
      <c r="W38" s="46"/>
      <c r="X38" s="46"/>
      <c r="Y38" s="46"/>
    </row>
    <row r="39" spans="1:25" ht="20.100000000000001" customHeight="1" x14ac:dyDescent="0.25">
      <c r="A39"/>
      <c r="D39" s="69"/>
      <c r="E39" s="69"/>
      <c r="F39" s="70"/>
      <c r="G39" s="59"/>
      <c r="H39" s="59"/>
      <c r="I39" s="60"/>
      <c r="J39" s="59"/>
      <c r="K39" s="71"/>
      <c r="L39" s="46"/>
      <c r="M39" s="46"/>
      <c r="N39" s="46"/>
      <c r="O39" s="46"/>
      <c r="P39" s="46"/>
      <c r="Q39" s="46"/>
      <c r="R39" s="46"/>
      <c r="S39" s="46"/>
      <c r="T39" s="46"/>
      <c r="U39" s="46"/>
      <c r="V39" s="46"/>
      <c r="W39" s="46"/>
      <c r="X39" s="46"/>
      <c r="Y39" s="46"/>
    </row>
    <row r="40" spans="1:25" ht="20.100000000000001" customHeight="1" x14ac:dyDescent="0.25">
      <c r="A40"/>
      <c r="D40" s="72"/>
      <c r="E40" s="72"/>
      <c r="F40" s="72"/>
      <c r="G40" s="73"/>
      <c r="H40" s="74"/>
      <c r="I40" s="74"/>
      <c r="J40" s="74"/>
      <c r="K40" s="74"/>
      <c r="L40" s="49"/>
      <c r="M40" s="49"/>
      <c r="N40" s="49"/>
      <c r="O40" s="49"/>
      <c r="P40" s="49"/>
      <c r="Q40" s="49"/>
      <c r="R40" s="49"/>
      <c r="S40" s="49"/>
      <c r="T40" s="49"/>
      <c r="U40" s="49"/>
      <c r="V40" s="49"/>
      <c r="W40" s="49"/>
      <c r="X40" s="49"/>
      <c r="Y40" s="49"/>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5"/>
      <c r="E47" s="75"/>
      <c r="F47" s="75"/>
      <c r="G47" s="75"/>
      <c r="H47" s="75"/>
    </row>
    <row r="48" spans="1:25" ht="20.100000000000001" customHeight="1" x14ac:dyDescent="0.25">
      <c r="D48" s="33"/>
      <c r="E48" s="33"/>
      <c r="F48" s="34"/>
      <c r="G48" s="34"/>
      <c r="H48" s="33"/>
    </row>
    <row r="49" spans="4:8" ht="20.100000000000001" customHeight="1" x14ac:dyDescent="0.25">
      <c r="D49" s="33"/>
      <c r="E49" s="33"/>
      <c r="F49" s="34"/>
      <c r="G49" s="34"/>
      <c r="H49" s="33"/>
    </row>
    <row r="50" spans="4:8" ht="20.100000000000001" customHeight="1" x14ac:dyDescent="0.25">
      <c r="D50" s="33"/>
      <c r="E50" s="33"/>
      <c r="F50" s="34"/>
      <c r="G50" s="34"/>
      <c r="H50" s="33"/>
    </row>
    <row r="51" spans="4:8" ht="20.100000000000001" customHeight="1" x14ac:dyDescent="0.25">
      <c r="D51" s="76"/>
      <c r="E51" s="77"/>
      <c r="F51" s="77"/>
      <c r="G51" s="77"/>
      <c r="H51" s="78"/>
    </row>
    <row r="52" spans="4:8" ht="20.100000000000001" customHeight="1" x14ac:dyDescent="0.25"/>
    <row r="53" spans="4:8" ht="20.100000000000001" customHeight="1" x14ac:dyDescent="0.25"/>
    <row r="54" spans="4:8" ht="20.100000000000001" customHeight="1" x14ac:dyDescent="0.25">
      <c r="G54" s="79"/>
    </row>
    <row r="55" spans="4:8" ht="20.100000000000001" customHeight="1" x14ac:dyDescent="0.25">
      <c r="D55" s="6"/>
    </row>
    <row r="56" spans="4:8" ht="20.100000000000001" customHeight="1" x14ac:dyDescent="0.25"/>
    <row r="57" spans="4:8" ht="20.100000000000001" customHeight="1" x14ac:dyDescent="0.25">
      <c r="D57" s="21"/>
      <c r="F57" s="80"/>
    </row>
    <row r="58" spans="4:8" ht="20.100000000000001" customHeight="1" x14ac:dyDescent="0.25">
      <c r="D58" s="1"/>
      <c r="E58" s="81"/>
    </row>
    <row r="59" spans="4:8" ht="20.100000000000001" customHeight="1" x14ac:dyDescent="0.25">
      <c r="D59" s="1"/>
      <c r="E59" s="81"/>
    </row>
    <row r="60" spans="4:8" ht="20.100000000000001" customHeight="1" x14ac:dyDescent="0.25">
      <c r="D60" s="1"/>
      <c r="E60" s="82"/>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1"/>
    </row>
    <row r="65" spans="4:9" ht="20.100000000000001" customHeight="1" x14ac:dyDescent="0.25">
      <c r="D65" s="1"/>
      <c r="E65" s="81"/>
    </row>
    <row r="66" spans="4:9" ht="20.100000000000001" customHeight="1" x14ac:dyDescent="0.25">
      <c r="D66" s="1"/>
      <c r="E66" s="82"/>
    </row>
    <row r="67" spans="4:9" ht="20.100000000000001" customHeight="1" x14ac:dyDescent="0.25"/>
    <row r="68" spans="4:9" ht="20.100000000000001" customHeight="1" x14ac:dyDescent="0.25"/>
    <row r="69" spans="4:9" ht="20.100000000000001" customHeight="1" x14ac:dyDescent="0.25">
      <c r="D69" s="58"/>
      <c r="E69" s="58"/>
      <c r="F69" s="58"/>
      <c r="G69" s="58"/>
      <c r="H69" s="58"/>
      <c r="I69" s="58"/>
    </row>
    <row r="70" spans="4:9" ht="20.100000000000001" customHeight="1" x14ac:dyDescent="0.25">
      <c r="D70" s="58"/>
      <c r="E70" s="58"/>
      <c r="F70" s="58"/>
      <c r="G70" s="58"/>
      <c r="H70" s="58"/>
      <c r="I70" s="58"/>
    </row>
    <row r="71" spans="4:9" ht="20.100000000000001" customHeight="1" x14ac:dyDescent="0.25">
      <c r="D71" s="58"/>
      <c r="E71" s="58"/>
      <c r="F71" s="58"/>
      <c r="G71" s="58"/>
      <c r="H71" s="58"/>
      <c r="I71" s="58"/>
    </row>
    <row r="72" spans="4:9" ht="20.100000000000001" customHeight="1" x14ac:dyDescent="0.25">
      <c r="D72" s="58"/>
      <c r="E72" s="58"/>
      <c r="F72" s="58"/>
      <c r="G72" s="58"/>
      <c r="H72" s="58"/>
      <c r="I72" s="58"/>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3"/>
    </row>
    <row r="79" spans="4:9" ht="20.100000000000001" customHeight="1" x14ac:dyDescent="0.25">
      <c r="D79" s="83"/>
    </row>
    <row r="80" spans="4:9" ht="20.100000000000001" customHeight="1" x14ac:dyDescent="0.25">
      <c r="D80" s="83"/>
    </row>
    <row r="81" spans="4:4" ht="20.100000000000001" customHeight="1" x14ac:dyDescent="0.25">
      <c r="D81" s="83"/>
    </row>
    <row r="82" spans="4:4" ht="20.100000000000001" customHeight="1" x14ac:dyDescent="0.25">
      <c r="D82" s="83"/>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2">
    <dataValidation type="list" allowBlank="1" showInputMessage="1" showErrorMessage="1" sqref="E21" xr:uid="{EEB98A76-93AC-411B-869F-680047BF5E1B}">
      <formula1>INDIRECT("Table_AustralianStates[Common Name]")</formula1>
    </dataValidation>
    <dataValidation type="list" allowBlank="1" showInputMessage="1" showErrorMessage="1" sqref="G36:G39" xr:uid="{1FAF98F1-BA66-4A46-872C-02D4419DFE3B}">
      <formula1>$D$41:$D$43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56"/>
  <sheetViews>
    <sheetView showGridLines="0" tabSelected="1" topLeftCell="B140" zoomScale="85" zoomScaleNormal="85" workbookViewId="0">
      <selection activeCell="E177" sqref="E177"/>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5" customWidth="1"/>
    <col min="19" max="24" width="30.7109375" style="55" customWidth="1"/>
    <col min="25" max="25" width="4.7109375" style="55" customWidth="1"/>
  </cols>
  <sheetData>
    <row r="1" spans="1:25" s="66" customFormat="1" ht="30" customHeight="1" x14ac:dyDescent="0.35">
      <c r="A1" s="66" t="e" vm="1">
        <v>#VALUE!</v>
      </c>
      <c r="C1" s="66" t="s">
        <v>124</v>
      </c>
      <c r="Q1" s="55"/>
      <c r="R1" s="55"/>
      <c r="S1" s="55"/>
      <c r="T1" s="55"/>
      <c r="U1" s="55"/>
      <c r="V1" s="55"/>
      <c r="W1" s="55"/>
      <c r="X1" s="55"/>
      <c r="Y1" s="55"/>
    </row>
    <row r="2" spans="1:25" s="9" customFormat="1" ht="20.100000000000001" customHeight="1" x14ac:dyDescent="0.25">
      <c r="Q2" s="55"/>
      <c r="R2" s="55"/>
      <c r="S2" s="55"/>
      <c r="T2" s="55"/>
      <c r="U2" s="55"/>
      <c r="V2" s="55"/>
      <c r="W2" s="55"/>
      <c r="X2" s="55"/>
      <c r="Y2" s="55"/>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A5" s="16"/>
      <c r="D5" s="6" t="s">
        <v>79</v>
      </c>
      <c r="P5" s="3"/>
      <c r="T5" s="7"/>
    </row>
    <row r="6" spans="1:25" ht="20.100000000000001" customHeight="1" x14ac:dyDescent="0.25">
      <c r="A6" s="20" t="s">
        <v>1</v>
      </c>
      <c r="P6" s="3"/>
      <c r="T6" s="7"/>
    </row>
    <row r="7" spans="1:25" ht="20.100000000000001" customHeight="1" x14ac:dyDescent="0.25">
      <c r="A7" s="17" t="str">
        <f>HYPERLINK("#'Input - Site'!A1", "Site")</f>
        <v>Site</v>
      </c>
      <c r="D7" s="1" t="s">
        <v>5</v>
      </c>
      <c r="E7" s="51" t="str">
        <f>'Input - Site'!$E$21</f>
        <v>Western Australia</v>
      </c>
      <c r="P7" s="3"/>
      <c r="T7" s="7"/>
    </row>
    <row r="8" spans="1:25" ht="20.100000000000001" customHeight="1" x14ac:dyDescent="0.25">
      <c r="A8" s="119" t="str">
        <f>HYPERLINK("#'Input - Pasture Beef'!A1", "Pasture Beef")</f>
        <v>Pasture Beef</v>
      </c>
      <c r="D8" s="1" t="s">
        <v>164</v>
      </c>
      <c r="E8" s="38" t="s">
        <v>169</v>
      </c>
      <c r="F8" s="2" t="s">
        <v>7</v>
      </c>
      <c r="P8" s="3"/>
      <c r="T8" s="7"/>
    </row>
    <row r="9" spans="1:25" ht="20.100000000000001" customHeight="1" x14ac:dyDescent="0.25">
      <c r="A9" s="17"/>
      <c r="D9" s="1" t="s">
        <v>191</v>
      </c>
      <c r="E9" s="38" t="s">
        <v>199</v>
      </c>
      <c r="F9" s="2" t="s">
        <v>7</v>
      </c>
      <c r="T9" s="7"/>
    </row>
    <row r="10" spans="1:25" ht="20.100000000000001" customHeight="1" x14ac:dyDescent="0.25">
      <c r="A10" s="19" t="s">
        <v>59</v>
      </c>
      <c r="T10" s="7"/>
    </row>
    <row r="11" spans="1:25" ht="20.100000000000001" customHeight="1" x14ac:dyDescent="0.25">
      <c r="A11" s="17" t="str">
        <f>HYPERLINK("#'3.2.1.1-2 Enteric Methane'!A1", "3.2.1.1-2 Enteric Methane")</f>
        <v>3.2.1.1-2 Enteric Methane</v>
      </c>
      <c r="T11" s="7"/>
    </row>
    <row r="12" spans="1:25" ht="20.100000000000001" customHeight="1" x14ac:dyDescent="0.25">
      <c r="A12" s="17"/>
      <c r="D12" s="91" t="s">
        <v>141</v>
      </c>
      <c r="E12" s="92"/>
      <c r="F12" s="92"/>
      <c r="G12" s="86"/>
      <c r="T12" s="7"/>
    </row>
    <row r="13" spans="1:25" ht="20.100000000000001" customHeight="1" x14ac:dyDescent="0.25">
      <c r="A13" s="18" t="s">
        <v>2</v>
      </c>
      <c r="T13" s="37"/>
    </row>
    <row r="14" spans="1:25" ht="20.100000000000001" customHeight="1" x14ac:dyDescent="0.25">
      <c r="A14" s="17" t="str">
        <f>HYPERLINK("#'Constants - Pasture Beef'!A1", "Constants - Pasture Beef")</f>
        <v>Constants - Pasture Beef</v>
      </c>
      <c r="D14" s="47" t="s">
        <v>138</v>
      </c>
      <c r="T14" s="37"/>
    </row>
    <row r="15" spans="1:25" ht="20.100000000000001" customHeight="1" x14ac:dyDescent="0.25">
      <c r="A15" s="17" t="str">
        <f>HYPERLINK("#'Constants - Livestock'!A1", "Constants - Livestock")</f>
        <v>Constants - Livestock</v>
      </c>
      <c r="D15" s="61" t="s">
        <v>139</v>
      </c>
      <c r="E15" s="61" t="s">
        <v>102</v>
      </c>
      <c r="F15" s="61" t="s">
        <v>101</v>
      </c>
      <c r="G15" s="61" t="s">
        <v>125</v>
      </c>
      <c r="H15" s="61" t="s">
        <v>126</v>
      </c>
      <c r="I15" s="61" t="s">
        <v>127</v>
      </c>
      <c r="J15" s="61" t="s">
        <v>128</v>
      </c>
      <c r="K15" s="61" t="s">
        <v>129</v>
      </c>
      <c r="L15" s="61" t="s">
        <v>130</v>
      </c>
      <c r="M15" s="61" t="s">
        <v>131</v>
      </c>
      <c r="N15" s="61" t="s">
        <v>132</v>
      </c>
      <c r="T15" s="37"/>
    </row>
    <row r="16" spans="1:25" ht="20.100000000000001" customHeight="1" x14ac:dyDescent="0.25">
      <c r="A16" s="17" t="str">
        <f>HYPERLINK("#'Constants - Common'!A1", "Constants - Common")</f>
        <v>Constants - Common</v>
      </c>
      <c r="D16" s="1" t="s">
        <v>133</v>
      </c>
      <c r="E16" s="51">
        <v>91.25</v>
      </c>
      <c r="F16" s="51">
        <v>91.25</v>
      </c>
      <c r="G16" s="51">
        <v>91.25</v>
      </c>
      <c r="H16" s="51">
        <v>91.25</v>
      </c>
      <c r="I16" s="51">
        <v>91.25</v>
      </c>
      <c r="J16" s="51">
        <v>91.25</v>
      </c>
      <c r="K16" s="51">
        <v>91.25</v>
      </c>
      <c r="L16" s="51">
        <v>91.25</v>
      </c>
      <c r="M16" s="51">
        <v>91.25</v>
      </c>
      <c r="N16" s="51">
        <v>91.25</v>
      </c>
      <c r="O16" s="2" t="s">
        <v>46</v>
      </c>
      <c r="T16" s="37"/>
    </row>
    <row r="17" spans="1:20" ht="20.100000000000001" customHeight="1" x14ac:dyDescent="0.25">
      <c r="A17" s="17" t="str">
        <f>HYPERLINK("#'Acknowledgements'!A1", "Acknowledgements")</f>
        <v>Acknowledgements</v>
      </c>
      <c r="D17" s="1" t="s">
        <v>134</v>
      </c>
      <c r="E17" s="51">
        <v>91.25</v>
      </c>
      <c r="F17" s="51">
        <v>91.25</v>
      </c>
      <c r="G17" s="51">
        <v>91.25</v>
      </c>
      <c r="H17" s="51">
        <v>91.25</v>
      </c>
      <c r="I17" s="51">
        <v>91.25</v>
      </c>
      <c r="J17" s="51">
        <v>91.25</v>
      </c>
      <c r="K17" s="51">
        <v>91.25</v>
      </c>
      <c r="L17" s="51">
        <v>91.25</v>
      </c>
      <c r="M17" s="51">
        <v>91.25</v>
      </c>
      <c r="N17" s="51">
        <v>91.25</v>
      </c>
      <c r="O17" s="2" t="s">
        <v>46</v>
      </c>
      <c r="T17" s="7"/>
    </row>
    <row r="18" spans="1:20" ht="20.100000000000001" customHeight="1" x14ac:dyDescent="0.25">
      <c r="D18" s="1" t="s">
        <v>135</v>
      </c>
      <c r="E18" s="51">
        <v>91.25</v>
      </c>
      <c r="F18" s="51">
        <v>91.25</v>
      </c>
      <c r="G18" s="51">
        <v>91.25</v>
      </c>
      <c r="H18" s="51">
        <v>91.25</v>
      </c>
      <c r="I18" s="51">
        <v>91.25</v>
      </c>
      <c r="J18" s="51">
        <v>91.25</v>
      </c>
      <c r="K18" s="51">
        <v>91.25</v>
      </c>
      <c r="L18" s="51">
        <v>91.25</v>
      </c>
      <c r="M18" s="51">
        <v>91.25</v>
      </c>
      <c r="N18" s="51">
        <v>91.25</v>
      </c>
      <c r="O18" s="2" t="s">
        <v>46</v>
      </c>
      <c r="T18" s="7"/>
    </row>
    <row r="19" spans="1:20" ht="20.100000000000001" customHeight="1" x14ac:dyDescent="0.25">
      <c r="A19" s="17"/>
      <c r="D19" s="1" t="s">
        <v>136</v>
      </c>
      <c r="E19" s="51">
        <v>91.25</v>
      </c>
      <c r="F19" s="51">
        <v>91.25</v>
      </c>
      <c r="G19" s="51">
        <v>91.25</v>
      </c>
      <c r="H19" s="51">
        <v>91.25</v>
      </c>
      <c r="I19" s="51">
        <v>91.25</v>
      </c>
      <c r="J19" s="51">
        <v>91.25</v>
      </c>
      <c r="K19" s="51">
        <v>91.25</v>
      </c>
      <c r="L19" s="51">
        <v>91.25</v>
      </c>
      <c r="M19" s="51">
        <v>91.25</v>
      </c>
      <c r="N19" s="51">
        <v>91.25</v>
      </c>
      <c r="O19" s="2" t="s">
        <v>46</v>
      </c>
      <c r="T19" s="7"/>
    </row>
    <row r="20" spans="1:20" ht="20.100000000000001" customHeight="1" x14ac:dyDescent="0.25">
      <c r="A20" s="17"/>
      <c r="T20" s="7"/>
    </row>
    <row r="21" spans="1:20" ht="20.100000000000001" customHeight="1" x14ac:dyDescent="0.25">
      <c r="D21" s="61" t="s">
        <v>140</v>
      </c>
      <c r="E21" s="61" t="s">
        <v>102</v>
      </c>
      <c r="F21" s="61" t="s">
        <v>101</v>
      </c>
      <c r="G21" s="61" t="s">
        <v>125</v>
      </c>
      <c r="H21" s="61" t="s">
        <v>126</v>
      </c>
      <c r="I21" s="61" t="s">
        <v>127</v>
      </c>
      <c r="J21" s="61" t="s">
        <v>128</v>
      </c>
      <c r="K21" s="61" t="s">
        <v>129</v>
      </c>
      <c r="L21" s="61" t="s">
        <v>130</v>
      </c>
      <c r="M21" s="61" t="s">
        <v>131</v>
      </c>
      <c r="N21" s="61" t="s">
        <v>132</v>
      </c>
      <c r="T21" s="7"/>
    </row>
    <row r="22" spans="1:20" ht="20.100000000000001" customHeight="1" x14ac:dyDescent="0.25">
      <c r="A22" s="17"/>
      <c r="D22" s="1" t="str">
        <f>TEXT('Input - Site'!$E$12, "mmmm yyyy")</f>
        <v>January 2025</v>
      </c>
      <c r="E22" s="64">
        <v>31</v>
      </c>
      <c r="F22" s="64">
        <v>31</v>
      </c>
      <c r="G22" s="64">
        <v>31</v>
      </c>
      <c r="H22" s="64">
        <v>31</v>
      </c>
      <c r="I22" s="64">
        <v>31</v>
      </c>
      <c r="J22" s="64">
        <v>31</v>
      </c>
      <c r="K22" s="64">
        <v>31</v>
      </c>
      <c r="L22" s="64">
        <v>31</v>
      </c>
      <c r="M22" s="64">
        <v>31</v>
      </c>
      <c r="N22" s="64">
        <v>31</v>
      </c>
      <c r="O22" s="2" t="s">
        <v>46</v>
      </c>
      <c r="T22" s="7"/>
    </row>
    <row r="23" spans="1:20" ht="20.100000000000001" customHeight="1" x14ac:dyDescent="0.25">
      <c r="A23" s="17"/>
      <c r="D23" s="1" t="str">
        <f>TEXT(EDATE('Input - Site'!$E$12,1), "mmmm yyyy")</f>
        <v>February 2025</v>
      </c>
      <c r="E23" s="64">
        <v>29</v>
      </c>
      <c r="F23" s="64">
        <v>29</v>
      </c>
      <c r="G23" s="64">
        <v>29</v>
      </c>
      <c r="H23" s="64">
        <v>29</v>
      </c>
      <c r="I23" s="64">
        <v>29</v>
      </c>
      <c r="J23" s="64">
        <v>29</v>
      </c>
      <c r="K23" s="64">
        <v>29</v>
      </c>
      <c r="L23" s="64">
        <v>29</v>
      </c>
      <c r="M23" s="64">
        <v>29</v>
      </c>
      <c r="N23" s="64">
        <v>29</v>
      </c>
      <c r="O23" s="2" t="s">
        <v>46</v>
      </c>
      <c r="T23" s="7"/>
    </row>
    <row r="24" spans="1:20" ht="20.100000000000001" customHeight="1" x14ac:dyDescent="0.25">
      <c r="A24" s="17"/>
      <c r="D24" s="1" t="str">
        <f>TEXT(EDATE('Input - Site'!$E$12,2), "mmmm yyyy")</f>
        <v>March 2025</v>
      </c>
      <c r="E24" s="64">
        <v>31</v>
      </c>
      <c r="F24" s="64">
        <v>31</v>
      </c>
      <c r="G24" s="64">
        <v>31</v>
      </c>
      <c r="H24" s="64">
        <v>31</v>
      </c>
      <c r="I24" s="64">
        <v>31</v>
      </c>
      <c r="J24" s="64">
        <v>31</v>
      </c>
      <c r="K24" s="64">
        <v>31</v>
      </c>
      <c r="L24" s="64">
        <v>31</v>
      </c>
      <c r="M24" s="64">
        <v>31</v>
      </c>
      <c r="N24" s="64">
        <v>31</v>
      </c>
      <c r="O24" s="2" t="s">
        <v>46</v>
      </c>
      <c r="T24" s="7"/>
    </row>
    <row r="25" spans="1:20" ht="20.100000000000001" customHeight="1" x14ac:dyDescent="0.25">
      <c r="D25" s="1" t="str">
        <f>TEXT(EDATE('Input - Site'!$E$12,3), "mmmm yyyy")</f>
        <v>April 2025</v>
      </c>
      <c r="E25" s="64">
        <v>30</v>
      </c>
      <c r="F25" s="64">
        <v>30</v>
      </c>
      <c r="G25" s="64">
        <v>30</v>
      </c>
      <c r="H25" s="64">
        <v>30</v>
      </c>
      <c r="I25" s="64">
        <v>30</v>
      </c>
      <c r="J25" s="64">
        <v>30</v>
      </c>
      <c r="K25" s="64">
        <v>30</v>
      </c>
      <c r="L25" s="64">
        <v>30</v>
      </c>
      <c r="M25" s="64">
        <v>30</v>
      </c>
      <c r="N25" s="64">
        <v>30</v>
      </c>
      <c r="O25" s="2" t="s">
        <v>46</v>
      </c>
      <c r="T25" s="7"/>
    </row>
    <row r="26" spans="1:20" ht="20.100000000000001" customHeight="1" x14ac:dyDescent="0.25">
      <c r="A26" s="17"/>
      <c r="D26" s="1" t="str">
        <f>TEXT(EDATE('Input - Site'!$E$12,4), "mmmm yyyy")</f>
        <v>May 2025</v>
      </c>
      <c r="E26" s="64">
        <v>31</v>
      </c>
      <c r="F26" s="64">
        <v>31</v>
      </c>
      <c r="G26" s="64">
        <v>31</v>
      </c>
      <c r="H26" s="64">
        <v>31</v>
      </c>
      <c r="I26" s="64">
        <v>31</v>
      </c>
      <c r="J26" s="64">
        <v>31</v>
      </c>
      <c r="K26" s="64">
        <v>31</v>
      </c>
      <c r="L26" s="64">
        <v>31</v>
      </c>
      <c r="M26" s="64">
        <v>31</v>
      </c>
      <c r="N26" s="64">
        <v>31</v>
      </c>
      <c r="O26" s="2" t="s">
        <v>46</v>
      </c>
      <c r="T26" s="7"/>
    </row>
    <row r="27" spans="1:20" ht="20.100000000000001" customHeight="1" x14ac:dyDescent="0.25">
      <c r="A27" s="17"/>
      <c r="D27" s="1" t="str">
        <f>TEXT(EDATE('Input - Site'!$E$12,5), "mmmm yyyy")</f>
        <v>June 2025</v>
      </c>
      <c r="E27" s="64">
        <v>30</v>
      </c>
      <c r="F27" s="64">
        <v>30</v>
      </c>
      <c r="G27" s="64">
        <v>30</v>
      </c>
      <c r="H27" s="64">
        <v>30</v>
      </c>
      <c r="I27" s="64">
        <v>30</v>
      </c>
      <c r="J27" s="64">
        <v>30</v>
      </c>
      <c r="K27" s="64">
        <v>30</v>
      </c>
      <c r="L27" s="64">
        <v>30</v>
      </c>
      <c r="M27" s="64">
        <v>30</v>
      </c>
      <c r="N27" s="64">
        <v>30</v>
      </c>
      <c r="O27" s="2" t="s">
        <v>46</v>
      </c>
      <c r="T27" s="7"/>
    </row>
    <row r="28" spans="1:20" ht="20.100000000000001" customHeight="1" x14ac:dyDescent="0.25">
      <c r="A28" s="17"/>
      <c r="D28" s="1" t="str">
        <f>TEXT(EDATE('Input - Site'!$E$12,6), "mmmm yyyy")</f>
        <v>July 2025</v>
      </c>
      <c r="E28" s="64">
        <v>31</v>
      </c>
      <c r="F28" s="64">
        <v>31</v>
      </c>
      <c r="G28" s="64">
        <v>31</v>
      </c>
      <c r="H28" s="64">
        <v>31</v>
      </c>
      <c r="I28" s="64">
        <v>31</v>
      </c>
      <c r="J28" s="64">
        <v>31</v>
      </c>
      <c r="K28" s="64">
        <v>31</v>
      </c>
      <c r="L28" s="64">
        <v>31</v>
      </c>
      <c r="M28" s="64">
        <v>31</v>
      </c>
      <c r="N28" s="64">
        <v>31</v>
      </c>
      <c r="O28" s="2" t="s">
        <v>46</v>
      </c>
      <c r="T28" s="7"/>
    </row>
    <row r="29" spans="1:20" ht="20.100000000000001" customHeight="1" x14ac:dyDescent="0.25">
      <c r="A29" s="17"/>
      <c r="D29" s="1" t="str">
        <f>TEXT(EDATE('Input - Site'!$E$12,7), "mmmm yyyy")</f>
        <v>August 2025</v>
      </c>
      <c r="E29" s="64">
        <v>31</v>
      </c>
      <c r="F29" s="64">
        <v>31</v>
      </c>
      <c r="G29" s="64">
        <v>31</v>
      </c>
      <c r="H29" s="64">
        <v>31</v>
      </c>
      <c r="I29" s="64">
        <v>31</v>
      </c>
      <c r="J29" s="64">
        <v>31</v>
      </c>
      <c r="K29" s="64">
        <v>31</v>
      </c>
      <c r="L29" s="64">
        <v>31</v>
      </c>
      <c r="M29" s="64">
        <v>31</v>
      </c>
      <c r="N29" s="64">
        <v>31</v>
      </c>
      <c r="O29" s="2" t="s">
        <v>46</v>
      </c>
      <c r="T29" s="7"/>
    </row>
    <row r="30" spans="1:20" ht="20.100000000000001" customHeight="1" x14ac:dyDescent="0.25">
      <c r="A30" s="17"/>
      <c r="D30" s="1" t="str">
        <f>TEXT(EDATE('Input - Site'!$E$12,8), "mmmm yyyy")</f>
        <v>September 2025</v>
      </c>
      <c r="E30" s="64">
        <v>30</v>
      </c>
      <c r="F30" s="64">
        <v>30</v>
      </c>
      <c r="G30" s="64">
        <v>30</v>
      </c>
      <c r="H30" s="64">
        <v>30</v>
      </c>
      <c r="I30" s="64">
        <v>30</v>
      </c>
      <c r="J30" s="64">
        <v>30</v>
      </c>
      <c r="K30" s="64">
        <v>30</v>
      </c>
      <c r="L30" s="64">
        <v>30</v>
      </c>
      <c r="M30" s="64">
        <v>30</v>
      </c>
      <c r="N30" s="64">
        <v>30</v>
      </c>
      <c r="O30" s="2" t="s">
        <v>46</v>
      </c>
      <c r="T30" s="7"/>
    </row>
    <row r="31" spans="1:20" ht="20.100000000000001" customHeight="1" x14ac:dyDescent="0.25">
      <c r="A31" s="65"/>
      <c r="D31" s="1" t="str">
        <f>TEXT(EDATE('Input - Site'!$E$12,9), "mmmm yyyy")</f>
        <v>October 2025</v>
      </c>
      <c r="E31" s="64">
        <v>31</v>
      </c>
      <c r="F31" s="64">
        <v>31</v>
      </c>
      <c r="G31" s="64">
        <v>31</v>
      </c>
      <c r="H31" s="64">
        <v>31</v>
      </c>
      <c r="I31" s="64">
        <v>31</v>
      </c>
      <c r="J31" s="64">
        <v>31</v>
      </c>
      <c r="K31" s="64">
        <v>31</v>
      </c>
      <c r="L31" s="64">
        <v>31</v>
      </c>
      <c r="M31" s="64">
        <v>31</v>
      </c>
      <c r="N31" s="64">
        <v>31</v>
      </c>
      <c r="O31" s="2" t="s">
        <v>46</v>
      </c>
      <c r="T31" s="7"/>
    </row>
    <row r="32" spans="1:20" ht="20.100000000000001" customHeight="1" x14ac:dyDescent="0.25">
      <c r="A32" s="65"/>
      <c r="D32" s="1" t="str">
        <f>TEXT(EDATE('Input - Site'!$E$12,10), "mmmm yyyy")</f>
        <v>November 2025</v>
      </c>
      <c r="E32" s="64">
        <v>30</v>
      </c>
      <c r="F32" s="64">
        <v>30</v>
      </c>
      <c r="G32" s="64">
        <v>30</v>
      </c>
      <c r="H32" s="64">
        <v>30</v>
      </c>
      <c r="I32" s="64">
        <v>30</v>
      </c>
      <c r="J32" s="64">
        <v>30</v>
      </c>
      <c r="K32" s="64">
        <v>30</v>
      </c>
      <c r="L32" s="64">
        <v>30</v>
      </c>
      <c r="M32" s="64">
        <v>30</v>
      </c>
      <c r="N32" s="64">
        <v>30</v>
      </c>
      <c r="O32" s="2" t="s">
        <v>46</v>
      </c>
      <c r="T32" s="7"/>
    </row>
    <row r="33" spans="1:20" ht="20.100000000000001" customHeight="1" x14ac:dyDescent="0.25">
      <c r="A33" s="17"/>
      <c r="D33" s="1" t="str">
        <f>TEXT(EDATE('Input - Site'!$E$12,11), "mmmm yyyy")</f>
        <v>December 2025</v>
      </c>
      <c r="E33" s="64">
        <v>31</v>
      </c>
      <c r="F33" s="64">
        <v>31</v>
      </c>
      <c r="G33" s="64">
        <v>31</v>
      </c>
      <c r="H33" s="64">
        <v>31</v>
      </c>
      <c r="I33" s="64">
        <v>31</v>
      </c>
      <c r="J33" s="64">
        <v>31</v>
      </c>
      <c r="K33" s="64">
        <v>31</v>
      </c>
      <c r="L33" s="64">
        <v>31</v>
      </c>
      <c r="M33" s="64">
        <v>31</v>
      </c>
      <c r="N33" s="64">
        <v>31</v>
      </c>
      <c r="O33" s="2" t="s">
        <v>46</v>
      </c>
      <c r="T33" s="7"/>
    </row>
    <row r="34" spans="1:20" ht="20.100000000000001" customHeight="1" x14ac:dyDescent="0.25">
      <c r="T34" s="7"/>
    </row>
    <row r="35" spans="1:20" ht="20.100000000000001" customHeight="1" x14ac:dyDescent="0.25">
      <c r="T35" s="7"/>
    </row>
    <row r="36" spans="1:20" ht="20.100000000000001" customHeight="1" x14ac:dyDescent="0.25">
      <c r="D36" s="47" t="s">
        <v>80</v>
      </c>
      <c r="T36" s="7"/>
    </row>
    <row r="37" spans="1:20" ht="20.100000000000001" customHeight="1" x14ac:dyDescent="0.25">
      <c r="D37" s="61" t="s">
        <v>106</v>
      </c>
      <c r="E37" s="61" t="s">
        <v>102</v>
      </c>
      <c r="F37" s="61" t="s">
        <v>101</v>
      </c>
      <c r="G37" s="61" t="s">
        <v>125</v>
      </c>
      <c r="H37" s="61" t="s">
        <v>126</v>
      </c>
      <c r="I37" s="61" t="s">
        <v>127</v>
      </c>
      <c r="J37" s="61" t="s">
        <v>128</v>
      </c>
      <c r="K37" s="61" t="s">
        <v>129</v>
      </c>
      <c r="L37" s="61" t="s">
        <v>130</v>
      </c>
      <c r="M37" s="61" t="s">
        <v>131</v>
      </c>
      <c r="N37" s="61" t="s">
        <v>132</v>
      </c>
      <c r="T37" s="7"/>
    </row>
    <row r="38" spans="1:20" ht="20.100000000000001" customHeight="1" x14ac:dyDescent="0.25">
      <c r="D38" s="1" t="s">
        <v>133</v>
      </c>
      <c r="E38" s="64">
        <v>100</v>
      </c>
      <c r="F38" s="64">
        <v>100</v>
      </c>
      <c r="G38" s="64">
        <v>100</v>
      </c>
      <c r="H38" s="64">
        <v>100</v>
      </c>
      <c r="I38" s="64">
        <v>100</v>
      </c>
      <c r="J38" s="64">
        <v>100</v>
      </c>
      <c r="K38" s="64">
        <v>100</v>
      </c>
      <c r="L38" s="64">
        <v>100</v>
      </c>
      <c r="M38" s="64">
        <v>100</v>
      </c>
      <c r="N38" s="64">
        <v>100</v>
      </c>
      <c r="O38" s="2" t="s">
        <v>80</v>
      </c>
      <c r="T38" s="7"/>
    </row>
    <row r="39" spans="1:20" ht="20.100000000000001" customHeight="1" x14ac:dyDescent="0.25">
      <c r="A39" s="17"/>
      <c r="D39" s="1" t="s">
        <v>134</v>
      </c>
      <c r="E39" s="64">
        <v>100</v>
      </c>
      <c r="F39" s="64">
        <v>100</v>
      </c>
      <c r="G39" s="64">
        <v>100</v>
      </c>
      <c r="H39" s="64">
        <v>100</v>
      </c>
      <c r="I39" s="64">
        <v>100</v>
      </c>
      <c r="J39" s="64">
        <v>100</v>
      </c>
      <c r="K39" s="64">
        <v>100</v>
      </c>
      <c r="L39" s="64">
        <v>100</v>
      </c>
      <c r="M39" s="64">
        <v>100</v>
      </c>
      <c r="N39" s="64">
        <v>100</v>
      </c>
      <c r="O39" s="2" t="s">
        <v>80</v>
      </c>
      <c r="T39" s="7"/>
    </row>
    <row r="40" spans="1:20" ht="20.100000000000001" customHeight="1" x14ac:dyDescent="0.25">
      <c r="D40" s="1" t="s">
        <v>135</v>
      </c>
      <c r="E40" s="64">
        <v>100</v>
      </c>
      <c r="F40" s="64">
        <v>100</v>
      </c>
      <c r="G40" s="64">
        <v>100</v>
      </c>
      <c r="H40" s="64">
        <v>100</v>
      </c>
      <c r="I40" s="64">
        <v>100</v>
      </c>
      <c r="J40" s="64">
        <v>100</v>
      </c>
      <c r="K40" s="64">
        <v>100</v>
      </c>
      <c r="L40" s="64">
        <v>100</v>
      </c>
      <c r="M40" s="64">
        <v>100</v>
      </c>
      <c r="N40" s="64">
        <v>100</v>
      </c>
      <c r="O40" s="2" t="s">
        <v>80</v>
      </c>
      <c r="T40" s="7"/>
    </row>
    <row r="41" spans="1:20" ht="20.100000000000001" customHeight="1" x14ac:dyDescent="0.25">
      <c r="A41" s="43"/>
      <c r="D41" s="1" t="s">
        <v>136</v>
      </c>
      <c r="E41" s="64">
        <v>100</v>
      </c>
      <c r="F41" s="64">
        <v>100</v>
      </c>
      <c r="G41" s="64">
        <v>100</v>
      </c>
      <c r="H41" s="64">
        <v>100</v>
      </c>
      <c r="I41" s="64">
        <v>100</v>
      </c>
      <c r="J41" s="64">
        <v>100</v>
      </c>
      <c r="K41" s="64">
        <v>100</v>
      </c>
      <c r="L41" s="64">
        <v>100</v>
      </c>
      <c r="M41" s="64">
        <v>100</v>
      </c>
      <c r="N41" s="64">
        <v>100</v>
      </c>
      <c r="O41" s="2" t="s">
        <v>80</v>
      </c>
      <c r="T41" s="7"/>
    </row>
    <row r="42" spans="1:20" ht="20.100000000000001" customHeight="1" x14ac:dyDescent="0.25">
      <c r="O42" s="2"/>
      <c r="T42" s="7"/>
    </row>
    <row r="43" spans="1:20" ht="20.100000000000001" customHeight="1" x14ac:dyDescent="0.25">
      <c r="D43" s="61" t="s">
        <v>107</v>
      </c>
      <c r="E43" s="61" t="s">
        <v>102</v>
      </c>
      <c r="F43" s="61" t="s">
        <v>101</v>
      </c>
      <c r="G43" s="61" t="s">
        <v>125</v>
      </c>
      <c r="H43" s="61" t="s">
        <v>126</v>
      </c>
      <c r="I43" s="61" t="s">
        <v>127</v>
      </c>
      <c r="J43" s="61" t="s">
        <v>128</v>
      </c>
      <c r="K43" s="61" t="s">
        <v>129</v>
      </c>
      <c r="L43" s="61" t="s">
        <v>130</v>
      </c>
      <c r="M43" s="61" t="s">
        <v>131</v>
      </c>
      <c r="N43" s="61" t="s">
        <v>132</v>
      </c>
      <c r="O43" s="2"/>
      <c r="T43" s="7"/>
    </row>
    <row r="44" spans="1:20" ht="20.100000000000001" customHeight="1" x14ac:dyDescent="0.25">
      <c r="D44" s="1" t="str">
        <f>TEXT('Input - Site'!$E$12, "mmmm yyyy")</f>
        <v>January 2025</v>
      </c>
      <c r="E44" s="64">
        <v>100</v>
      </c>
      <c r="F44" s="64">
        <v>100</v>
      </c>
      <c r="G44" s="64">
        <v>100</v>
      </c>
      <c r="H44" s="64">
        <v>100</v>
      </c>
      <c r="I44" s="64">
        <v>100</v>
      </c>
      <c r="J44" s="64">
        <v>100</v>
      </c>
      <c r="K44" s="64">
        <v>100</v>
      </c>
      <c r="L44" s="64">
        <v>100</v>
      </c>
      <c r="M44" s="64">
        <v>100</v>
      </c>
      <c r="N44" s="64">
        <v>100</v>
      </c>
      <c r="O44" s="2" t="s">
        <v>80</v>
      </c>
      <c r="T44" s="7"/>
    </row>
    <row r="45" spans="1:20" ht="20.100000000000001" customHeight="1" x14ac:dyDescent="0.25">
      <c r="D45" s="1" t="str">
        <f>TEXT(EDATE('Input - Site'!$E$12,1), "mmmm yyyy")</f>
        <v>February 2025</v>
      </c>
      <c r="E45" s="64">
        <v>100</v>
      </c>
      <c r="F45" s="64">
        <v>100</v>
      </c>
      <c r="G45" s="64">
        <v>100</v>
      </c>
      <c r="H45" s="64">
        <v>100</v>
      </c>
      <c r="I45" s="64">
        <v>100</v>
      </c>
      <c r="J45" s="64">
        <v>100</v>
      </c>
      <c r="K45" s="64">
        <v>100</v>
      </c>
      <c r="L45" s="64">
        <v>100</v>
      </c>
      <c r="M45" s="64">
        <v>100</v>
      </c>
      <c r="N45" s="64">
        <v>100</v>
      </c>
      <c r="O45" s="2" t="s">
        <v>80</v>
      </c>
      <c r="T45" s="7"/>
    </row>
    <row r="46" spans="1:20" ht="20.100000000000001" customHeight="1" x14ac:dyDescent="0.25">
      <c r="D46" s="1" t="str">
        <f>TEXT(EDATE('Input - Site'!$E$12,2), "mmmm yyyy")</f>
        <v>March 2025</v>
      </c>
      <c r="E46" s="64">
        <v>100</v>
      </c>
      <c r="F46" s="64">
        <v>100</v>
      </c>
      <c r="G46" s="64">
        <v>100</v>
      </c>
      <c r="H46" s="64">
        <v>100</v>
      </c>
      <c r="I46" s="64">
        <v>100</v>
      </c>
      <c r="J46" s="64">
        <v>100</v>
      </c>
      <c r="K46" s="64">
        <v>100</v>
      </c>
      <c r="L46" s="64">
        <v>100</v>
      </c>
      <c r="M46" s="64">
        <v>100</v>
      </c>
      <c r="N46" s="64">
        <v>100</v>
      </c>
      <c r="O46" s="2" t="s">
        <v>80</v>
      </c>
      <c r="T46" s="7"/>
    </row>
    <row r="47" spans="1:20" ht="20.100000000000001" customHeight="1" x14ac:dyDescent="0.25">
      <c r="D47" s="1" t="str">
        <f>TEXT(EDATE('Input - Site'!$E$12,3), "mmmm yyyy")</f>
        <v>April 2025</v>
      </c>
      <c r="E47" s="64">
        <v>100</v>
      </c>
      <c r="F47" s="64">
        <v>100</v>
      </c>
      <c r="G47" s="64">
        <v>100</v>
      </c>
      <c r="H47" s="64">
        <v>100</v>
      </c>
      <c r="I47" s="64">
        <v>100</v>
      </c>
      <c r="J47" s="64">
        <v>100</v>
      </c>
      <c r="K47" s="64">
        <v>100</v>
      </c>
      <c r="L47" s="64">
        <v>100</v>
      </c>
      <c r="M47" s="64">
        <v>100</v>
      </c>
      <c r="N47" s="64">
        <v>100</v>
      </c>
      <c r="O47" s="2" t="s">
        <v>80</v>
      </c>
      <c r="T47" s="7"/>
    </row>
    <row r="48" spans="1:20" ht="20.100000000000001" customHeight="1" x14ac:dyDescent="0.25">
      <c r="D48" s="1" t="str">
        <f>TEXT(EDATE('Input - Site'!$E$12,4), "mmmm yyyy")</f>
        <v>May 2025</v>
      </c>
      <c r="E48" s="64">
        <v>100</v>
      </c>
      <c r="F48" s="64">
        <v>100</v>
      </c>
      <c r="G48" s="64">
        <v>100</v>
      </c>
      <c r="H48" s="64">
        <v>100</v>
      </c>
      <c r="I48" s="64">
        <v>100</v>
      </c>
      <c r="J48" s="64">
        <v>100</v>
      </c>
      <c r="K48" s="64">
        <v>100</v>
      </c>
      <c r="L48" s="64">
        <v>100</v>
      </c>
      <c r="M48" s="64">
        <v>100</v>
      </c>
      <c r="N48" s="64">
        <v>100</v>
      </c>
      <c r="O48" s="2" t="s">
        <v>80</v>
      </c>
      <c r="T48" s="7"/>
    </row>
    <row r="49" spans="4:20" ht="20.100000000000001" customHeight="1" x14ac:dyDescent="0.25">
      <c r="D49" s="1" t="str">
        <f>TEXT(EDATE('Input - Site'!$E$12,5), "mmmm yyyy")</f>
        <v>June 2025</v>
      </c>
      <c r="E49" s="64">
        <v>100</v>
      </c>
      <c r="F49" s="64">
        <v>100</v>
      </c>
      <c r="G49" s="64">
        <v>100</v>
      </c>
      <c r="H49" s="64">
        <v>100</v>
      </c>
      <c r="I49" s="64">
        <v>100</v>
      </c>
      <c r="J49" s="64">
        <v>100</v>
      </c>
      <c r="K49" s="64">
        <v>100</v>
      </c>
      <c r="L49" s="64">
        <v>100</v>
      </c>
      <c r="M49" s="64">
        <v>100</v>
      </c>
      <c r="N49" s="64">
        <v>100</v>
      </c>
      <c r="O49" s="2" t="s">
        <v>80</v>
      </c>
      <c r="T49" s="7"/>
    </row>
    <row r="50" spans="4:20" ht="20.100000000000001" customHeight="1" x14ac:dyDescent="0.25">
      <c r="D50" s="1" t="str">
        <f>TEXT(EDATE('Input - Site'!$E$12,6), "mmmm yyyy")</f>
        <v>July 2025</v>
      </c>
      <c r="E50" s="64">
        <v>100</v>
      </c>
      <c r="F50" s="64">
        <v>100</v>
      </c>
      <c r="G50" s="64">
        <v>100</v>
      </c>
      <c r="H50" s="64">
        <v>100</v>
      </c>
      <c r="I50" s="64">
        <v>100</v>
      </c>
      <c r="J50" s="64">
        <v>100</v>
      </c>
      <c r="K50" s="64">
        <v>100</v>
      </c>
      <c r="L50" s="64">
        <v>100</v>
      </c>
      <c r="M50" s="64">
        <v>100</v>
      </c>
      <c r="N50" s="64">
        <v>100</v>
      </c>
      <c r="O50" s="2" t="s">
        <v>80</v>
      </c>
      <c r="P50" s="3"/>
      <c r="T50" s="7"/>
    </row>
    <row r="51" spans="4:20" ht="20.100000000000001" customHeight="1" x14ac:dyDescent="0.25">
      <c r="D51" s="1" t="str">
        <f>TEXT(EDATE('Input - Site'!$E$12,7), "mmmm yyyy")</f>
        <v>August 2025</v>
      </c>
      <c r="E51" s="64">
        <v>100</v>
      </c>
      <c r="F51" s="64">
        <v>100</v>
      </c>
      <c r="G51" s="64">
        <v>100</v>
      </c>
      <c r="H51" s="64">
        <v>100</v>
      </c>
      <c r="I51" s="64">
        <v>100</v>
      </c>
      <c r="J51" s="64">
        <v>100</v>
      </c>
      <c r="K51" s="64">
        <v>100</v>
      </c>
      <c r="L51" s="64">
        <v>100</v>
      </c>
      <c r="M51" s="64">
        <v>100</v>
      </c>
      <c r="N51" s="64">
        <v>100</v>
      </c>
      <c r="O51" s="2" t="s">
        <v>80</v>
      </c>
      <c r="P51" s="3"/>
      <c r="T51" s="7"/>
    </row>
    <row r="52" spans="4:20" ht="20.100000000000001" customHeight="1" x14ac:dyDescent="0.25">
      <c r="D52" s="1" t="str">
        <f>TEXT(EDATE('Input - Site'!$E$12,8), "mmmm yyyy")</f>
        <v>September 2025</v>
      </c>
      <c r="E52" s="64">
        <v>100</v>
      </c>
      <c r="F52" s="64">
        <v>100</v>
      </c>
      <c r="G52" s="64">
        <v>100</v>
      </c>
      <c r="H52" s="64">
        <v>100</v>
      </c>
      <c r="I52" s="64">
        <v>100</v>
      </c>
      <c r="J52" s="64">
        <v>100</v>
      </c>
      <c r="K52" s="64">
        <v>100</v>
      </c>
      <c r="L52" s="64">
        <v>100</v>
      </c>
      <c r="M52" s="64">
        <v>100</v>
      </c>
      <c r="N52" s="64">
        <v>100</v>
      </c>
      <c r="O52" s="2" t="s">
        <v>80</v>
      </c>
      <c r="P52" s="3"/>
      <c r="T52" s="7"/>
    </row>
    <row r="53" spans="4:20" ht="20.100000000000001" customHeight="1" x14ac:dyDescent="0.25">
      <c r="D53" s="1" t="str">
        <f>TEXT(EDATE('Input - Site'!$E$12,9), "mmmm yyyy")</f>
        <v>October 2025</v>
      </c>
      <c r="E53" s="64">
        <v>100</v>
      </c>
      <c r="F53" s="64">
        <v>100</v>
      </c>
      <c r="G53" s="64">
        <v>100</v>
      </c>
      <c r="H53" s="64">
        <v>100</v>
      </c>
      <c r="I53" s="64">
        <v>100</v>
      </c>
      <c r="J53" s="64">
        <v>100</v>
      </c>
      <c r="K53" s="64">
        <v>100</v>
      </c>
      <c r="L53" s="64">
        <v>100</v>
      </c>
      <c r="M53" s="64">
        <v>100</v>
      </c>
      <c r="N53" s="64">
        <v>100</v>
      </c>
      <c r="O53" s="2" t="s">
        <v>80</v>
      </c>
      <c r="P53" s="3"/>
      <c r="T53" s="7"/>
    </row>
    <row r="54" spans="4:20" ht="20.100000000000001" customHeight="1" x14ac:dyDescent="0.25">
      <c r="D54" s="1" t="str">
        <f>TEXT(EDATE('Input - Site'!$E$12,10), "mmmm yyyy")</f>
        <v>November 2025</v>
      </c>
      <c r="E54" s="64">
        <v>100</v>
      </c>
      <c r="F54" s="64">
        <v>100</v>
      </c>
      <c r="G54" s="64">
        <v>100</v>
      </c>
      <c r="H54" s="64">
        <v>100</v>
      </c>
      <c r="I54" s="64">
        <v>100</v>
      </c>
      <c r="J54" s="64">
        <v>100</v>
      </c>
      <c r="K54" s="64">
        <v>100</v>
      </c>
      <c r="L54" s="64">
        <v>100</v>
      </c>
      <c r="M54" s="64">
        <v>100</v>
      </c>
      <c r="N54" s="64">
        <v>100</v>
      </c>
      <c r="O54" s="2" t="s">
        <v>80</v>
      </c>
      <c r="P54" s="3"/>
      <c r="T54" s="7"/>
    </row>
    <row r="55" spans="4:20" ht="20.100000000000001" customHeight="1" x14ac:dyDescent="0.25">
      <c r="D55" s="1" t="str">
        <f>TEXT(EDATE('Input - Site'!$E$12,11), "mmmm yyyy")</f>
        <v>December 2025</v>
      </c>
      <c r="E55" s="64">
        <v>100</v>
      </c>
      <c r="F55" s="64">
        <v>100</v>
      </c>
      <c r="G55" s="64">
        <v>100</v>
      </c>
      <c r="H55" s="64">
        <v>100</v>
      </c>
      <c r="I55" s="64">
        <v>100</v>
      </c>
      <c r="J55" s="64">
        <v>100</v>
      </c>
      <c r="K55" s="64">
        <v>100</v>
      </c>
      <c r="L55" s="64">
        <v>100</v>
      </c>
      <c r="M55" s="64">
        <v>100</v>
      </c>
      <c r="N55" s="64">
        <v>100</v>
      </c>
      <c r="O55" s="2" t="s">
        <v>80</v>
      </c>
      <c r="P55" s="3"/>
      <c r="T55" s="7"/>
    </row>
    <row r="56" spans="4:20" ht="20.100000000000001" customHeight="1" x14ac:dyDescent="0.25">
      <c r="P56" s="3"/>
      <c r="T56" s="7"/>
    </row>
    <row r="57" spans="4:20" ht="20.100000000000001" customHeight="1" x14ac:dyDescent="0.25">
      <c r="P57" s="3"/>
      <c r="T57" s="7"/>
    </row>
    <row r="58" spans="4:20" ht="20.100000000000001" customHeight="1" x14ac:dyDescent="0.25">
      <c r="D58" s="47" t="s">
        <v>110</v>
      </c>
      <c r="P58" s="3"/>
      <c r="T58" s="7"/>
    </row>
    <row r="59" spans="4:20" ht="20.100000000000001" customHeight="1" x14ac:dyDescent="0.25">
      <c r="D59" s="61" t="s">
        <v>139</v>
      </c>
      <c r="E59" s="61" t="s">
        <v>102</v>
      </c>
      <c r="F59" s="61" t="s">
        <v>101</v>
      </c>
      <c r="G59" s="61" t="s">
        <v>125</v>
      </c>
      <c r="H59" s="61" t="s">
        <v>126</v>
      </c>
      <c r="I59" s="61" t="s">
        <v>127</v>
      </c>
      <c r="J59" s="61" t="s">
        <v>128</v>
      </c>
      <c r="K59" s="61" t="s">
        <v>129</v>
      </c>
      <c r="L59" s="61" t="s">
        <v>130</v>
      </c>
      <c r="M59" s="61" t="s">
        <v>131</v>
      </c>
      <c r="N59" s="61" t="s">
        <v>132</v>
      </c>
      <c r="P59" s="3"/>
      <c r="T59" s="7"/>
    </row>
    <row r="60" spans="4:20" ht="20.100000000000001" customHeight="1" x14ac:dyDescent="0.25">
      <c r="D60" s="1" t="s">
        <v>133</v>
      </c>
      <c r="E60" s="51">
        <v>340</v>
      </c>
      <c r="F60" s="51">
        <v>800</v>
      </c>
      <c r="G60" s="51">
        <v>260</v>
      </c>
      <c r="H60" s="51">
        <v>420</v>
      </c>
      <c r="I60" s="51">
        <v>550</v>
      </c>
      <c r="J60" s="51">
        <v>550</v>
      </c>
      <c r="K60" s="51">
        <v>300</v>
      </c>
      <c r="L60" s="51">
        <v>480</v>
      </c>
      <c r="M60" s="51">
        <v>480</v>
      </c>
      <c r="N60" s="51">
        <v>480</v>
      </c>
      <c r="O60" s="2" t="s">
        <v>104</v>
      </c>
      <c r="P60" s="3"/>
      <c r="T60" s="7"/>
    </row>
    <row r="61" spans="4:20" ht="20.100000000000001" customHeight="1" x14ac:dyDescent="0.25">
      <c r="D61" s="1" t="s">
        <v>134</v>
      </c>
      <c r="E61" s="51">
        <v>380</v>
      </c>
      <c r="F61" s="51">
        <v>780</v>
      </c>
      <c r="G61" s="51">
        <v>300</v>
      </c>
      <c r="H61" s="51">
        <v>450</v>
      </c>
      <c r="I61" s="51">
        <v>530</v>
      </c>
      <c r="J61" s="51">
        <v>530</v>
      </c>
      <c r="K61" s="51">
        <v>340</v>
      </c>
      <c r="L61" s="51">
        <v>470</v>
      </c>
      <c r="M61" s="51">
        <v>470</v>
      </c>
      <c r="N61" s="51">
        <v>470</v>
      </c>
      <c r="O61" s="2" t="s">
        <v>104</v>
      </c>
      <c r="P61" s="3"/>
      <c r="T61" s="7"/>
    </row>
    <row r="62" spans="4:20" ht="20.100000000000001" customHeight="1" x14ac:dyDescent="0.25">
      <c r="D62" s="1" t="s">
        <v>135</v>
      </c>
      <c r="E62" s="51">
        <v>100</v>
      </c>
      <c r="F62" s="51">
        <v>680</v>
      </c>
      <c r="G62" s="51">
        <v>80</v>
      </c>
      <c r="H62" s="51">
        <v>320</v>
      </c>
      <c r="I62" s="51">
        <v>480</v>
      </c>
      <c r="J62" s="51">
        <v>480</v>
      </c>
      <c r="K62" s="51">
        <v>100</v>
      </c>
      <c r="L62" s="51">
        <v>340</v>
      </c>
      <c r="M62" s="51">
        <v>340</v>
      </c>
      <c r="N62" s="51">
        <v>340</v>
      </c>
      <c r="O62" s="2" t="s">
        <v>104</v>
      </c>
      <c r="P62" s="3"/>
      <c r="T62" s="7"/>
    </row>
    <row r="63" spans="4:20" ht="20.100000000000001" customHeight="1" x14ac:dyDescent="0.25">
      <c r="D63" s="1" t="s">
        <v>136</v>
      </c>
      <c r="E63" s="51">
        <v>190</v>
      </c>
      <c r="F63" s="51">
        <v>700</v>
      </c>
      <c r="G63" s="51">
        <v>150</v>
      </c>
      <c r="H63" s="51">
        <v>330</v>
      </c>
      <c r="I63" s="51">
        <v>490</v>
      </c>
      <c r="J63" s="51">
        <v>490</v>
      </c>
      <c r="K63" s="51">
        <v>170</v>
      </c>
      <c r="L63" s="51">
        <v>360</v>
      </c>
      <c r="M63" s="51">
        <v>360</v>
      </c>
      <c r="N63" s="51">
        <v>360</v>
      </c>
      <c r="O63" s="2" t="s">
        <v>104</v>
      </c>
      <c r="P63" s="3"/>
      <c r="T63" s="7"/>
    </row>
    <row r="64" spans="4:20" ht="20.100000000000001" customHeight="1" x14ac:dyDescent="0.25">
      <c r="O64" s="2"/>
      <c r="P64" s="3"/>
      <c r="T64" s="7"/>
    </row>
    <row r="65" spans="4:20" ht="20.100000000000001" customHeight="1" x14ac:dyDescent="0.25">
      <c r="D65" s="61" t="s">
        <v>140</v>
      </c>
      <c r="E65" s="61" t="s">
        <v>102</v>
      </c>
      <c r="F65" s="61" t="s">
        <v>101</v>
      </c>
      <c r="G65" s="61" t="s">
        <v>125</v>
      </c>
      <c r="H65" s="61" t="s">
        <v>126</v>
      </c>
      <c r="I65" s="61" t="s">
        <v>127</v>
      </c>
      <c r="J65" s="61" t="s">
        <v>128</v>
      </c>
      <c r="K65" s="61" t="s">
        <v>129</v>
      </c>
      <c r="L65" s="61" t="s">
        <v>130</v>
      </c>
      <c r="M65" s="61" t="s">
        <v>131</v>
      </c>
      <c r="N65" s="61" t="s">
        <v>132</v>
      </c>
      <c r="O65" s="2"/>
      <c r="P65" s="3"/>
      <c r="T65" s="7"/>
    </row>
    <row r="66" spans="4:20" ht="20.100000000000001" customHeight="1" x14ac:dyDescent="0.25">
      <c r="D66" s="1" t="str">
        <f>TEXT('Input - Site'!$E$12, "mmmm yyyy")</f>
        <v>January 2025</v>
      </c>
      <c r="E66" s="64">
        <v>380</v>
      </c>
      <c r="F66" s="64">
        <v>780</v>
      </c>
      <c r="G66" s="64">
        <v>300</v>
      </c>
      <c r="H66" s="64">
        <v>450</v>
      </c>
      <c r="I66" s="64">
        <v>530</v>
      </c>
      <c r="J66" s="64">
        <v>530</v>
      </c>
      <c r="K66" s="64">
        <v>340</v>
      </c>
      <c r="L66" s="64">
        <v>470</v>
      </c>
      <c r="M66" s="64">
        <v>470</v>
      </c>
      <c r="N66" s="64">
        <v>470</v>
      </c>
      <c r="O66" s="2" t="s">
        <v>104</v>
      </c>
      <c r="P66" s="3"/>
      <c r="T66" s="7"/>
    </row>
    <row r="67" spans="4:20" ht="20.100000000000001" customHeight="1" x14ac:dyDescent="0.25">
      <c r="D67" s="1" t="str">
        <f>TEXT(EDATE('Input - Site'!$E$12,1), "mmmm yyyy")</f>
        <v>February 2025</v>
      </c>
      <c r="E67" s="64">
        <v>380</v>
      </c>
      <c r="F67" s="64">
        <v>780</v>
      </c>
      <c r="G67" s="64">
        <v>300</v>
      </c>
      <c r="H67" s="64">
        <v>450</v>
      </c>
      <c r="I67" s="64">
        <v>530</v>
      </c>
      <c r="J67" s="64">
        <v>530</v>
      </c>
      <c r="K67" s="64">
        <v>340</v>
      </c>
      <c r="L67" s="64">
        <v>470</v>
      </c>
      <c r="M67" s="64">
        <v>470</v>
      </c>
      <c r="N67" s="64">
        <v>470</v>
      </c>
      <c r="O67" s="2" t="s">
        <v>104</v>
      </c>
      <c r="P67" s="3"/>
      <c r="T67" s="7"/>
    </row>
    <row r="68" spans="4:20" ht="20.100000000000001" customHeight="1" x14ac:dyDescent="0.25">
      <c r="D68" s="1" t="str">
        <f>TEXT(EDATE('Input - Site'!$E$12,2), "mmmm yyyy")</f>
        <v>March 2025</v>
      </c>
      <c r="E68" s="64">
        <v>100</v>
      </c>
      <c r="F68" s="64">
        <v>680</v>
      </c>
      <c r="G68" s="64">
        <v>80</v>
      </c>
      <c r="H68" s="64">
        <v>320</v>
      </c>
      <c r="I68" s="64">
        <v>480</v>
      </c>
      <c r="J68" s="64">
        <v>480</v>
      </c>
      <c r="K68" s="64">
        <v>100</v>
      </c>
      <c r="L68" s="64">
        <v>340</v>
      </c>
      <c r="M68" s="64">
        <v>340</v>
      </c>
      <c r="N68" s="64">
        <v>340</v>
      </c>
      <c r="O68" s="2" t="s">
        <v>104</v>
      </c>
      <c r="P68" s="3"/>
      <c r="T68" s="7"/>
    </row>
    <row r="69" spans="4:20" ht="20.100000000000001" customHeight="1" x14ac:dyDescent="0.25">
      <c r="D69" s="1" t="str">
        <f>TEXT(EDATE('Input - Site'!$E$12,3), "mmmm yyyy")</f>
        <v>April 2025</v>
      </c>
      <c r="E69" s="64">
        <v>100</v>
      </c>
      <c r="F69" s="64">
        <v>680</v>
      </c>
      <c r="G69" s="64">
        <v>80</v>
      </c>
      <c r="H69" s="64">
        <v>320</v>
      </c>
      <c r="I69" s="64">
        <v>480</v>
      </c>
      <c r="J69" s="64">
        <v>480</v>
      </c>
      <c r="K69" s="64">
        <v>100</v>
      </c>
      <c r="L69" s="64">
        <v>340</v>
      </c>
      <c r="M69" s="64">
        <v>340</v>
      </c>
      <c r="N69" s="64">
        <v>340</v>
      </c>
      <c r="O69" s="2" t="s">
        <v>104</v>
      </c>
      <c r="P69" s="3"/>
      <c r="T69" s="7"/>
    </row>
    <row r="70" spans="4:20" ht="20.100000000000001" customHeight="1" x14ac:dyDescent="0.25">
      <c r="D70" s="1" t="str">
        <f>TEXT(EDATE('Input - Site'!$E$12,4), "mmmm yyyy")</f>
        <v>May 2025</v>
      </c>
      <c r="E70" s="64">
        <v>100</v>
      </c>
      <c r="F70" s="64">
        <v>680</v>
      </c>
      <c r="G70" s="64">
        <v>80</v>
      </c>
      <c r="H70" s="64">
        <v>320</v>
      </c>
      <c r="I70" s="64">
        <v>480</v>
      </c>
      <c r="J70" s="64">
        <v>480</v>
      </c>
      <c r="K70" s="64">
        <v>100</v>
      </c>
      <c r="L70" s="64">
        <v>340</v>
      </c>
      <c r="M70" s="64">
        <v>340</v>
      </c>
      <c r="N70" s="64">
        <v>340</v>
      </c>
      <c r="O70" s="2" t="s">
        <v>104</v>
      </c>
      <c r="P70" s="3"/>
      <c r="T70" s="7"/>
    </row>
    <row r="71" spans="4:20" ht="20.100000000000001" customHeight="1" x14ac:dyDescent="0.25">
      <c r="D71" s="1" t="str">
        <f>TEXT(EDATE('Input - Site'!$E$12,5), "mmmm yyyy")</f>
        <v>June 2025</v>
      </c>
      <c r="E71" s="64">
        <v>190</v>
      </c>
      <c r="F71" s="64">
        <v>700</v>
      </c>
      <c r="G71" s="64">
        <v>150</v>
      </c>
      <c r="H71" s="64">
        <v>330</v>
      </c>
      <c r="I71" s="64">
        <v>490</v>
      </c>
      <c r="J71" s="64">
        <v>490</v>
      </c>
      <c r="K71" s="64">
        <v>170</v>
      </c>
      <c r="L71" s="64">
        <v>360</v>
      </c>
      <c r="M71" s="64">
        <v>360</v>
      </c>
      <c r="N71" s="64">
        <v>360</v>
      </c>
      <c r="O71" s="2" t="s">
        <v>104</v>
      </c>
      <c r="P71" s="3"/>
      <c r="T71" s="7"/>
    </row>
    <row r="72" spans="4:20" ht="20.100000000000001" customHeight="1" x14ac:dyDescent="0.25">
      <c r="D72" s="1" t="str">
        <f>TEXT(EDATE('Input - Site'!$E$12,6), "mmmm yyyy")</f>
        <v>July 2025</v>
      </c>
      <c r="E72" s="64">
        <v>190</v>
      </c>
      <c r="F72" s="64">
        <v>700</v>
      </c>
      <c r="G72" s="64">
        <v>150</v>
      </c>
      <c r="H72" s="64">
        <v>330</v>
      </c>
      <c r="I72" s="64">
        <v>490</v>
      </c>
      <c r="J72" s="64">
        <v>490</v>
      </c>
      <c r="K72" s="64">
        <v>170</v>
      </c>
      <c r="L72" s="64">
        <v>360</v>
      </c>
      <c r="M72" s="64">
        <v>360</v>
      </c>
      <c r="N72" s="64">
        <v>360</v>
      </c>
      <c r="O72" s="2" t="s">
        <v>104</v>
      </c>
      <c r="T72" s="7"/>
    </row>
    <row r="73" spans="4:20" ht="20.100000000000001" customHeight="1" x14ac:dyDescent="0.25">
      <c r="D73" s="1" t="str">
        <f>TEXT(EDATE('Input - Site'!$E$12,7), "mmmm yyyy")</f>
        <v>August 2025</v>
      </c>
      <c r="E73" s="64">
        <v>190</v>
      </c>
      <c r="F73" s="64">
        <v>700</v>
      </c>
      <c r="G73" s="64">
        <v>150</v>
      </c>
      <c r="H73" s="64">
        <v>330</v>
      </c>
      <c r="I73" s="64">
        <v>490</v>
      </c>
      <c r="J73" s="64">
        <v>490</v>
      </c>
      <c r="K73" s="64">
        <v>170</v>
      </c>
      <c r="L73" s="64">
        <v>360</v>
      </c>
      <c r="M73" s="64">
        <v>360</v>
      </c>
      <c r="N73" s="64">
        <v>360</v>
      </c>
      <c r="O73" s="2" t="s">
        <v>104</v>
      </c>
      <c r="T73" s="7"/>
    </row>
    <row r="74" spans="4:20" ht="20.100000000000001" customHeight="1" x14ac:dyDescent="0.25">
      <c r="D74" s="1" t="str">
        <f>TEXT(EDATE('Input - Site'!$E$12,8), "mmmm yyyy")</f>
        <v>September 2025</v>
      </c>
      <c r="E74" s="64">
        <v>340</v>
      </c>
      <c r="F74" s="64">
        <v>800</v>
      </c>
      <c r="G74" s="64">
        <v>260</v>
      </c>
      <c r="H74" s="64">
        <v>420</v>
      </c>
      <c r="I74" s="64">
        <v>550</v>
      </c>
      <c r="J74" s="64">
        <v>550</v>
      </c>
      <c r="K74" s="64">
        <v>300</v>
      </c>
      <c r="L74" s="64">
        <v>480</v>
      </c>
      <c r="M74" s="64">
        <v>480</v>
      </c>
      <c r="N74" s="64">
        <v>480</v>
      </c>
      <c r="O74" s="2" t="s">
        <v>104</v>
      </c>
      <c r="T74" s="7"/>
    </row>
    <row r="75" spans="4:20" ht="20.100000000000001" customHeight="1" x14ac:dyDescent="0.25">
      <c r="D75" s="1" t="str">
        <f>TEXT(EDATE('Input - Site'!$E$12,9), "mmmm yyyy")</f>
        <v>October 2025</v>
      </c>
      <c r="E75" s="64">
        <v>340</v>
      </c>
      <c r="F75" s="64">
        <v>800</v>
      </c>
      <c r="G75" s="64">
        <v>260</v>
      </c>
      <c r="H75" s="64">
        <v>420</v>
      </c>
      <c r="I75" s="64">
        <v>550</v>
      </c>
      <c r="J75" s="64">
        <v>550</v>
      </c>
      <c r="K75" s="64">
        <v>300</v>
      </c>
      <c r="L75" s="64">
        <v>480</v>
      </c>
      <c r="M75" s="64">
        <v>480</v>
      </c>
      <c r="N75" s="64">
        <v>480</v>
      </c>
      <c r="O75" s="2" t="s">
        <v>104</v>
      </c>
      <c r="T75" s="7"/>
    </row>
    <row r="76" spans="4:20" ht="20.100000000000001" customHeight="1" x14ac:dyDescent="0.25">
      <c r="D76" s="1" t="str">
        <f>TEXT(EDATE('Input - Site'!$E$12,10), "mmmm yyyy")</f>
        <v>November 2025</v>
      </c>
      <c r="E76" s="64">
        <v>340</v>
      </c>
      <c r="F76" s="64">
        <v>800</v>
      </c>
      <c r="G76" s="64">
        <v>260</v>
      </c>
      <c r="H76" s="64">
        <v>420</v>
      </c>
      <c r="I76" s="64">
        <v>550</v>
      </c>
      <c r="J76" s="64">
        <v>550</v>
      </c>
      <c r="K76" s="64">
        <v>300</v>
      </c>
      <c r="L76" s="64">
        <v>480</v>
      </c>
      <c r="M76" s="64">
        <v>480</v>
      </c>
      <c r="N76" s="64">
        <v>480</v>
      </c>
      <c r="O76" s="2" t="s">
        <v>104</v>
      </c>
      <c r="T76" s="7"/>
    </row>
    <row r="77" spans="4:20" ht="20.100000000000001" customHeight="1" x14ac:dyDescent="0.25">
      <c r="D77" s="1" t="str">
        <f>TEXT(EDATE('Input - Site'!$E$12,11), "mmmm yyyy")</f>
        <v>December 2025</v>
      </c>
      <c r="E77" s="64">
        <v>380</v>
      </c>
      <c r="F77" s="64">
        <v>780</v>
      </c>
      <c r="G77" s="64">
        <v>300</v>
      </c>
      <c r="H77" s="64">
        <v>450</v>
      </c>
      <c r="I77" s="64">
        <v>530</v>
      </c>
      <c r="J77" s="64">
        <v>530</v>
      </c>
      <c r="K77" s="64">
        <v>340</v>
      </c>
      <c r="L77" s="64">
        <v>470</v>
      </c>
      <c r="M77" s="64">
        <v>470</v>
      </c>
      <c r="N77" s="64">
        <v>470</v>
      </c>
      <c r="O77" s="2" t="s">
        <v>104</v>
      </c>
      <c r="T77" s="7"/>
    </row>
    <row r="78" spans="4:20" ht="20.100000000000001" customHeight="1" x14ac:dyDescent="0.25">
      <c r="T78" s="7"/>
    </row>
    <row r="79" spans="4:20" ht="20.100000000000001" customHeight="1" x14ac:dyDescent="0.25">
      <c r="T79" s="7"/>
    </row>
    <row r="80" spans="4:20" ht="20.100000000000001" customHeight="1" x14ac:dyDescent="0.25">
      <c r="D80" s="47" t="s">
        <v>137</v>
      </c>
      <c r="T80" s="7"/>
    </row>
    <row r="81" spans="4:20" ht="20.100000000000001" customHeight="1" x14ac:dyDescent="0.25">
      <c r="D81" s="61" t="s">
        <v>139</v>
      </c>
      <c r="E81" s="61" t="s">
        <v>102</v>
      </c>
      <c r="F81" s="61" t="s">
        <v>101</v>
      </c>
      <c r="G81" s="61" t="s">
        <v>125</v>
      </c>
      <c r="H81" s="61" t="s">
        <v>126</v>
      </c>
      <c r="I81" s="61" t="s">
        <v>127</v>
      </c>
      <c r="J81" s="61" t="s">
        <v>128</v>
      </c>
      <c r="K81" s="61" t="s">
        <v>129</v>
      </c>
      <c r="L81" s="61" t="s">
        <v>130</v>
      </c>
      <c r="M81" s="61" t="s">
        <v>131</v>
      </c>
      <c r="N81" s="61" t="s">
        <v>132</v>
      </c>
      <c r="T81" s="7"/>
    </row>
    <row r="82" spans="4:20" ht="20.100000000000001" customHeight="1" x14ac:dyDescent="0.25">
      <c r="D82" s="1" t="s">
        <v>133</v>
      </c>
      <c r="E82" s="51">
        <v>1.64</v>
      </c>
      <c r="F82" s="51">
        <v>1.1000000000000001</v>
      </c>
      <c r="G82" s="51">
        <v>1.21</v>
      </c>
      <c r="H82" s="51">
        <v>0.99</v>
      </c>
      <c r="I82" s="51">
        <v>0.66</v>
      </c>
      <c r="J82" s="51">
        <v>0.66</v>
      </c>
      <c r="K82" s="51">
        <v>1.42</v>
      </c>
      <c r="L82" s="51">
        <v>1.1000000000000001</v>
      </c>
      <c r="M82" s="51">
        <v>1.1000000000000001</v>
      </c>
      <c r="N82" s="51">
        <v>1.1000000000000001</v>
      </c>
      <c r="O82" s="2" t="s">
        <v>105</v>
      </c>
      <c r="T82" s="7"/>
    </row>
    <row r="83" spans="4:20" ht="20.100000000000001" customHeight="1" x14ac:dyDescent="0.25">
      <c r="D83" s="1" t="s">
        <v>134</v>
      </c>
      <c r="E83" s="51">
        <v>0.44</v>
      </c>
      <c r="F83" s="51">
        <v>-0.22</v>
      </c>
      <c r="G83" s="51">
        <v>0.44</v>
      </c>
      <c r="H83" s="51">
        <v>0.33</v>
      </c>
      <c r="I83" s="51">
        <v>-0.22</v>
      </c>
      <c r="J83" s="51">
        <v>-0.22</v>
      </c>
      <c r="K83" s="51">
        <v>0.44</v>
      </c>
      <c r="L83" s="51">
        <v>-0.11</v>
      </c>
      <c r="M83" s="51">
        <v>-0.11</v>
      </c>
      <c r="N83" s="51">
        <v>-0.11</v>
      </c>
      <c r="O83" s="2" t="s">
        <v>105</v>
      </c>
      <c r="T83" s="7"/>
    </row>
    <row r="84" spans="4:20" ht="20.100000000000001" customHeight="1" x14ac:dyDescent="0.25">
      <c r="D84" s="1" t="s">
        <v>135</v>
      </c>
      <c r="E84" s="51">
        <v>0.6</v>
      </c>
      <c r="F84" s="51">
        <v>0</v>
      </c>
      <c r="G84" s="51">
        <v>0.6</v>
      </c>
      <c r="H84" s="51">
        <v>0.22</v>
      </c>
      <c r="I84" s="51">
        <v>-0.55000000000000004</v>
      </c>
      <c r="J84" s="51">
        <v>-0.55000000000000004</v>
      </c>
      <c r="K84" s="51">
        <v>0.6</v>
      </c>
      <c r="L84" s="51">
        <v>0</v>
      </c>
      <c r="M84" s="51">
        <v>0</v>
      </c>
      <c r="N84" s="51">
        <v>0</v>
      </c>
      <c r="O84" s="2" t="s">
        <v>105</v>
      </c>
      <c r="T84" s="7"/>
    </row>
    <row r="85" spans="4:20" ht="20.100000000000001" customHeight="1" x14ac:dyDescent="0.25">
      <c r="D85" s="1" t="s">
        <v>136</v>
      </c>
      <c r="E85" s="51">
        <v>0.99</v>
      </c>
      <c r="F85" s="51">
        <v>0.22</v>
      </c>
      <c r="G85" s="51">
        <v>0.77</v>
      </c>
      <c r="H85" s="51">
        <v>0.11</v>
      </c>
      <c r="I85" s="51">
        <v>0.11</v>
      </c>
      <c r="J85" s="51">
        <v>0.11</v>
      </c>
      <c r="K85" s="51">
        <v>0.77</v>
      </c>
      <c r="L85" s="51">
        <v>0.44</v>
      </c>
      <c r="M85" s="51">
        <v>0.44</v>
      </c>
      <c r="N85" s="51">
        <v>0.44</v>
      </c>
      <c r="O85" s="2" t="s">
        <v>105</v>
      </c>
      <c r="T85" s="7"/>
    </row>
    <row r="86" spans="4:20" ht="20.100000000000001" customHeight="1" x14ac:dyDescent="0.25">
      <c r="O86" s="2"/>
      <c r="T86" s="7"/>
    </row>
    <row r="87" spans="4:20" ht="20.100000000000001" customHeight="1" x14ac:dyDescent="0.25">
      <c r="D87" s="61" t="s">
        <v>140</v>
      </c>
      <c r="E87" s="61" t="s">
        <v>102</v>
      </c>
      <c r="F87" s="61" t="s">
        <v>101</v>
      </c>
      <c r="G87" s="61" t="s">
        <v>125</v>
      </c>
      <c r="H87" s="61" t="s">
        <v>126</v>
      </c>
      <c r="I87" s="61" t="s">
        <v>127</v>
      </c>
      <c r="J87" s="61" t="s">
        <v>128</v>
      </c>
      <c r="K87" s="61" t="s">
        <v>129</v>
      </c>
      <c r="L87" s="61" t="s">
        <v>130</v>
      </c>
      <c r="M87" s="61" t="s">
        <v>131</v>
      </c>
      <c r="N87" s="61" t="s">
        <v>132</v>
      </c>
      <c r="O87" s="2"/>
      <c r="T87" s="7"/>
    </row>
    <row r="88" spans="4:20" ht="20.100000000000001" customHeight="1" x14ac:dyDescent="0.25">
      <c r="D88" s="1" t="str">
        <f>TEXT('Input - Site'!$E$12, "mmmm yyyy")</f>
        <v>January 2025</v>
      </c>
      <c r="E88" s="64">
        <v>0.44</v>
      </c>
      <c r="F88" s="64">
        <v>-0.22</v>
      </c>
      <c r="G88" s="64">
        <v>0.44</v>
      </c>
      <c r="H88" s="64">
        <v>0.33</v>
      </c>
      <c r="I88" s="64">
        <v>-0.22</v>
      </c>
      <c r="J88" s="64">
        <v>-0.22</v>
      </c>
      <c r="K88" s="64">
        <v>0.44</v>
      </c>
      <c r="L88" s="64">
        <v>-0.11</v>
      </c>
      <c r="M88" s="64">
        <v>-0.11</v>
      </c>
      <c r="N88" s="64">
        <v>-0.11</v>
      </c>
      <c r="O88" s="2" t="s">
        <v>105</v>
      </c>
      <c r="T88" s="7"/>
    </row>
    <row r="89" spans="4:20" ht="20.100000000000001" customHeight="1" x14ac:dyDescent="0.25">
      <c r="D89" s="1" t="str">
        <f>TEXT(EDATE('Input - Site'!$E$12,1), "mmmm yyyy")</f>
        <v>February 2025</v>
      </c>
      <c r="E89" s="64">
        <v>0.44</v>
      </c>
      <c r="F89" s="64">
        <v>-0.22</v>
      </c>
      <c r="G89" s="64">
        <v>0.44</v>
      </c>
      <c r="H89" s="64">
        <v>0.33</v>
      </c>
      <c r="I89" s="64">
        <v>-0.22</v>
      </c>
      <c r="J89" s="64">
        <v>-0.22</v>
      </c>
      <c r="K89" s="64">
        <v>0.44</v>
      </c>
      <c r="L89" s="64">
        <v>-0.11</v>
      </c>
      <c r="M89" s="64">
        <v>-0.11</v>
      </c>
      <c r="N89" s="64">
        <v>-0.11</v>
      </c>
      <c r="O89" s="2" t="s">
        <v>105</v>
      </c>
      <c r="T89" s="7"/>
    </row>
    <row r="90" spans="4:20" ht="20.100000000000001" customHeight="1" x14ac:dyDescent="0.25">
      <c r="D90" s="1" t="str">
        <f>TEXT(EDATE('Input - Site'!$E$12,2), "mmmm yyyy")</f>
        <v>March 2025</v>
      </c>
      <c r="E90" s="64">
        <v>0.6</v>
      </c>
      <c r="F90" s="64">
        <v>0</v>
      </c>
      <c r="G90" s="64">
        <v>0.6</v>
      </c>
      <c r="H90" s="64">
        <v>0.22</v>
      </c>
      <c r="I90" s="64">
        <v>-0.55000000000000004</v>
      </c>
      <c r="J90" s="64">
        <v>-0.55000000000000004</v>
      </c>
      <c r="K90" s="64">
        <v>0.6</v>
      </c>
      <c r="L90" s="64">
        <v>0</v>
      </c>
      <c r="M90" s="64">
        <v>0</v>
      </c>
      <c r="N90" s="64">
        <v>0</v>
      </c>
      <c r="O90" s="2" t="s">
        <v>105</v>
      </c>
      <c r="T90" s="7"/>
    </row>
    <row r="91" spans="4:20" ht="20.100000000000001" customHeight="1" x14ac:dyDescent="0.25">
      <c r="D91" s="1" t="str">
        <f>TEXT(EDATE('Input - Site'!$E$12,3), "mmmm yyyy")</f>
        <v>April 2025</v>
      </c>
      <c r="E91" s="64">
        <v>0.6</v>
      </c>
      <c r="F91" s="64">
        <v>0</v>
      </c>
      <c r="G91" s="64">
        <v>0.6</v>
      </c>
      <c r="H91" s="64">
        <v>0.22</v>
      </c>
      <c r="I91" s="64">
        <v>-0.55000000000000004</v>
      </c>
      <c r="J91" s="64">
        <v>-0.55000000000000004</v>
      </c>
      <c r="K91" s="64">
        <v>0.6</v>
      </c>
      <c r="L91" s="64">
        <v>0</v>
      </c>
      <c r="M91" s="64">
        <v>0</v>
      </c>
      <c r="N91" s="64">
        <v>0</v>
      </c>
      <c r="O91" s="2" t="s">
        <v>105</v>
      </c>
      <c r="T91" s="7"/>
    </row>
    <row r="92" spans="4:20" ht="20.100000000000001" customHeight="1" x14ac:dyDescent="0.25">
      <c r="D92" s="1" t="str">
        <f>TEXT(EDATE('Input - Site'!$E$12,4), "mmmm yyyy")</f>
        <v>May 2025</v>
      </c>
      <c r="E92" s="64">
        <v>0.6</v>
      </c>
      <c r="F92" s="64">
        <v>0</v>
      </c>
      <c r="G92" s="64">
        <v>0.6</v>
      </c>
      <c r="H92" s="64">
        <v>0.22</v>
      </c>
      <c r="I92" s="64">
        <v>-0.55000000000000004</v>
      </c>
      <c r="J92" s="64">
        <v>-0.55000000000000004</v>
      </c>
      <c r="K92" s="64">
        <v>0.6</v>
      </c>
      <c r="L92" s="64">
        <v>0</v>
      </c>
      <c r="M92" s="64">
        <v>0</v>
      </c>
      <c r="N92" s="64">
        <v>0</v>
      </c>
      <c r="O92" s="2" t="s">
        <v>105</v>
      </c>
      <c r="T92" s="7"/>
    </row>
    <row r="93" spans="4:20" ht="20.100000000000001" customHeight="1" x14ac:dyDescent="0.25">
      <c r="D93" s="1" t="str">
        <f>TEXT(EDATE('Input - Site'!$E$12,5), "mmmm yyyy")</f>
        <v>June 2025</v>
      </c>
      <c r="E93" s="64">
        <v>0.99</v>
      </c>
      <c r="F93" s="64">
        <v>0.22</v>
      </c>
      <c r="G93" s="64">
        <v>0.77</v>
      </c>
      <c r="H93" s="64">
        <v>0.11</v>
      </c>
      <c r="I93" s="64">
        <v>0.11</v>
      </c>
      <c r="J93" s="64">
        <v>0.11</v>
      </c>
      <c r="K93" s="64">
        <v>0.77</v>
      </c>
      <c r="L93" s="64">
        <v>0.44</v>
      </c>
      <c r="M93" s="64">
        <v>0.44</v>
      </c>
      <c r="N93" s="64">
        <v>0.44</v>
      </c>
      <c r="O93" s="2" t="s">
        <v>105</v>
      </c>
      <c r="T93" s="7"/>
    </row>
    <row r="94" spans="4:20" ht="20.100000000000001" customHeight="1" x14ac:dyDescent="0.25">
      <c r="D94" s="1" t="str">
        <f>TEXT(EDATE('Input - Site'!$E$12,6), "mmmm yyyy")</f>
        <v>July 2025</v>
      </c>
      <c r="E94" s="64">
        <v>0.99</v>
      </c>
      <c r="F94" s="64">
        <v>0.22</v>
      </c>
      <c r="G94" s="64">
        <v>0.77</v>
      </c>
      <c r="H94" s="64">
        <v>0.11</v>
      </c>
      <c r="I94" s="64">
        <v>0.11</v>
      </c>
      <c r="J94" s="64">
        <v>0.11</v>
      </c>
      <c r="K94" s="64">
        <v>0.77</v>
      </c>
      <c r="L94" s="64">
        <v>0.44</v>
      </c>
      <c r="M94" s="64">
        <v>0.44</v>
      </c>
      <c r="N94" s="64">
        <v>0.44</v>
      </c>
      <c r="O94" s="2" t="s">
        <v>105</v>
      </c>
      <c r="T94" s="7"/>
    </row>
    <row r="95" spans="4:20" ht="20.100000000000001" customHeight="1" x14ac:dyDescent="0.25">
      <c r="D95" s="1" t="str">
        <f>TEXT(EDATE('Input - Site'!$E$12,7), "mmmm yyyy")</f>
        <v>August 2025</v>
      </c>
      <c r="E95" s="64">
        <v>0.99</v>
      </c>
      <c r="F95" s="64">
        <v>0.22</v>
      </c>
      <c r="G95" s="64">
        <v>0.77</v>
      </c>
      <c r="H95" s="64">
        <v>0.11</v>
      </c>
      <c r="I95" s="64">
        <v>0.11</v>
      </c>
      <c r="J95" s="64">
        <v>0.11</v>
      </c>
      <c r="K95" s="64">
        <v>0.77</v>
      </c>
      <c r="L95" s="64">
        <v>0.44</v>
      </c>
      <c r="M95" s="64">
        <v>0.44</v>
      </c>
      <c r="N95" s="64">
        <v>0.44</v>
      </c>
      <c r="O95" s="2" t="s">
        <v>105</v>
      </c>
      <c r="T95" s="7"/>
    </row>
    <row r="96" spans="4:20" ht="20.100000000000001" customHeight="1" x14ac:dyDescent="0.25">
      <c r="D96" s="1" t="str">
        <f>TEXT(EDATE('Input - Site'!$E$12,8), "mmmm yyyy")</f>
        <v>September 2025</v>
      </c>
      <c r="E96" s="64">
        <v>1.64</v>
      </c>
      <c r="F96" s="64">
        <v>1.1000000000000001</v>
      </c>
      <c r="G96" s="64">
        <v>1.21</v>
      </c>
      <c r="H96" s="64">
        <v>0.99</v>
      </c>
      <c r="I96" s="64">
        <v>0.66</v>
      </c>
      <c r="J96" s="64">
        <v>0.66</v>
      </c>
      <c r="K96" s="64">
        <v>1.42</v>
      </c>
      <c r="L96" s="64">
        <v>1.1000000000000001</v>
      </c>
      <c r="M96" s="64">
        <v>1.1000000000000001</v>
      </c>
      <c r="N96" s="64">
        <v>1.1000000000000001</v>
      </c>
      <c r="O96" s="2" t="s">
        <v>105</v>
      </c>
      <c r="T96" s="7"/>
    </row>
    <row r="97" spans="4:20" ht="20.100000000000001" customHeight="1" x14ac:dyDescent="0.25">
      <c r="D97" s="1" t="str">
        <f>TEXT(EDATE('Input - Site'!$E$12,9), "mmmm yyyy")</f>
        <v>October 2025</v>
      </c>
      <c r="E97" s="64">
        <v>1.64</v>
      </c>
      <c r="F97" s="64">
        <v>1.1000000000000001</v>
      </c>
      <c r="G97" s="64">
        <v>1.21</v>
      </c>
      <c r="H97" s="64">
        <v>0.99</v>
      </c>
      <c r="I97" s="64">
        <v>0.66</v>
      </c>
      <c r="J97" s="64">
        <v>0.66</v>
      </c>
      <c r="K97" s="64">
        <v>1.42</v>
      </c>
      <c r="L97" s="64">
        <v>1.1000000000000001</v>
      </c>
      <c r="M97" s="64">
        <v>1.1000000000000001</v>
      </c>
      <c r="N97" s="64">
        <v>1.1000000000000001</v>
      </c>
      <c r="O97" s="2" t="s">
        <v>105</v>
      </c>
      <c r="T97" s="7"/>
    </row>
    <row r="98" spans="4:20" ht="20.100000000000001" customHeight="1" x14ac:dyDescent="0.25">
      <c r="D98" s="1" t="str">
        <f>TEXT(EDATE('Input - Site'!$E$12,10), "mmmm yyyy")</f>
        <v>November 2025</v>
      </c>
      <c r="E98" s="64">
        <v>1.64</v>
      </c>
      <c r="F98" s="64">
        <v>1.1000000000000001</v>
      </c>
      <c r="G98" s="64">
        <v>1.21</v>
      </c>
      <c r="H98" s="64">
        <v>0.99</v>
      </c>
      <c r="I98" s="64">
        <v>0.66</v>
      </c>
      <c r="J98" s="64">
        <v>0.66</v>
      </c>
      <c r="K98" s="64">
        <v>1.42</v>
      </c>
      <c r="L98" s="64">
        <v>1.1000000000000001</v>
      </c>
      <c r="M98" s="64">
        <v>1.1000000000000001</v>
      </c>
      <c r="N98" s="64">
        <v>1.1000000000000001</v>
      </c>
      <c r="O98" s="2" t="s">
        <v>105</v>
      </c>
      <c r="T98" s="7"/>
    </row>
    <row r="99" spans="4:20" ht="20.100000000000001" customHeight="1" x14ac:dyDescent="0.25">
      <c r="D99" s="1" t="str">
        <f>TEXT(EDATE('Input - Site'!$E$12,11), "mmmm yyyy")</f>
        <v>December 2025</v>
      </c>
      <c r="E99" s="64">
        <v>0.44</v>
      </c>
      <c r="F99" s="64">
        <v>-0.22</v>
      </c>
      <c r="G99" s="64">
        <v>0.44</v>
      </c>
      <c r="H99" s="64">
        <v>0.33</v>
      </c>
      <c r="I99" s="64">
        <v>-0.22</v>
      </c>
      <c r="J99" s="64">
        <v>-0.22</v>
      </c>
      <c r="K99" s="64">
        <v>0.44</v>
      </c>
      <c r="L99" s="64">
        <v>-0.11</v>
      </c>
      <c r="M99" s="64">
        <v>-0.11</v>
      </c>
      <c r="N99" s="64">
        <v>-0.11</v>
      </c>
      <c r="O99" s="2" t="s">
        <v>105</v>
      </c>
      <c r="T99" s="7"/>
    </row>
    <row r="100" spans="4:20" ht="20.100000000000001" customHeight="1" x14ac:dyDescent="0.25">
      <c r="T100" s="7"/>
    </row>
    <row r="101" spans="4:20" ht="20.100000000000001" customHeight="1" x14ac:dyDescent="0.25">
      <c r="T101" s="7"/>
    </row>
    <row r="102" spans="4:20" ht="20.100000000000001" customHeight="1" x14ac:dyDescent="0.25">
      <c r="D102" s="47" t="s">
        <v>189</v>
      </c>
      <c r="K102" s="2"/>
      <c r="L102" s="2"/>
      <c r="M102" s="2"/>
      <c r="N102" s="2"/>
      <c r="O102" s="2"/>
      <c r="T102" s="7"/>
    </row>
    <row r="103" spans="4:20" ht="20.100000000000001" customHeight="1" x14ac:dyDescent="0.25">
      <c r="D103" s="61" t="s">
        <v>106</v>
      </c>
      <c r="E103" s="61"/>
      <c r="F103" s="61"/>
      <c r="G103" s="61"/>
      <c r="T103" s="7"/>
    </row>
    <row r="104" spans="4:20" ht="20.100000000000001" customHeight="1" x14ac:dyDescent="0.25">
      <c r="D104" s="1" t="s">
        <v>206</v>
      </c>
      <c r="E104" s="38" t="s">
        <v>136</v>
      </c>
      <c r="F104" s="2" t="s">
        <v>7</v>
      </c>
      <c r="T104" s="7"/>
    </row>
    <row r="105" spans="4:20" ht="20.100000000000001" customHeight="1" x14ac:dyDescent="0.25">
      <c r="T105" s="7"/>
    </row>
    <row r="106" spans="4:20" ht="20.100000000000001" customHeight="1" x14ac:dyDescent="0.25">
      <c r="E106" s="61" t="s">
        <v>126</v>
      </c>
      <c r="F106" s="61" t="s">
        <v>127</v>
      </c>
      <c r="G106" s="61" t="s">
        <v>128</v>
      </c>
      <c r="L106" s="2"/>
      <c r="M106" s="2"/>
      <c r="N106" s="2"/>
      <c r="O106" s="2"/>
      <c r="T106" s="7"/>
    </row>
    <row r="107" spans="4:20" ht="20.100000000000001" customHeight="1" x14ac:dyDescent="0.25">
      <c r="D107" s="1" t="str">
        <f>"Proportion of cows &gt; 1 years in calf in " &amp; E104</f>
        <v>Proportion of cows &gt; 1 years in calf in Winter</v>
      </c>
      <c r="E107" s="45">
        <v>0.9</v>
      </c>
      <c r="F107" s="45">
        <v>0.5</v>
      </c>
      <c r="G107" s="45">
        <v>0.5</v>
      </c>
      <c r="H107" s="2" t="s">
        <v>13</v>
      </c>
      <c r="L107" s="2"/>
      <c r="M107" s="2"/>
      <c r="N107" s="2"/>
      <c r="O107" s="2"/>
    </row>
    <row r="108" spans="4:20" ht="20.100000000000001" customHeight="1" x14ac:dyDescent="0.25"/>
    <row r="109" spans="4:20" ht="20.100000000000001" customHeight="1" x14ac:dyDescent="0.25"/>
    <row r="110" spans="4:20" ht="20.100000000000001" customHeight="1" x14ac:dyDescent="0.25">
      <c r="D110" s="61" t="s">
        <v>107</v>
      </c>
      <c r="E110" s="61"/>
      <c r="F110" s="61"/>
      <c r="G110" s="61"/>
    </row>
    <row r="111" spans="4:20" ht="20.100000000000001" customHeight="1" x14ac:dyDescent="0.25">
      <c r="D111" s="1" t="s">
        <v>253</v>
      </c>
      <c r="E111" s="38" t="s">
        <v>251</v>
      </c>
      <c r="F111" s="2" t="s">
        <v>7</v>
      </c>
    </row>
    <row r="112" spans="4:20" ht="20.100000000000001" customHeight="1" x14ac:dyDescent="0.25">
      <c r="D112" s="1" t="s">
        <v>249</v>
      </c>
      <c r="E112" s="51" t="str">
        <f>TEXT(EDATE(E111,1), "mmmm yyyy")</f>
        <v>September 2024</v>
      </c>
    </row>
    <row r="113" spans="4:15" ht="20.100000000000001" customHeight="1" x14ac:dyDescent="0.25">
      <c r="D113" s="1" t="s">
        <v>250</v>
      </c>
      <c r="E113" s="51" t="str">
        <f>TEXT(EDATE(E111,2), "mmmm yyyy")</f>
        <v>October 2024</v>
      </c>
    </row>
    <row r="114" spans="4:15" ht="20.100000000000001" customHeight="1" x14ac:dyDescent="0.25"/>
    <row r="115" spans="4:15" ht="20.100000000000001" customHeight="1" x14ac:dyDescent="0.25"/>
    <row r="116" spans="4:15" ht="20.100000000000001" customHeight="1" x14ac:dyDescent="0.25">
      <c r="E116" s="61" t="s">
        <v>126</v>
      </c>
      <c r="F116" s="61" t="s">
        <v>127</v>
      </c>
      <c r="G116" s="61" t="s">
        <v>128</v>
      </c>
      <c r="L116" s="2"/>
      <c r="M116" s="2"/>
      <c r="N116" s="2"/>
      <c r="O116" s="2"/>
    </row>
    <row r="117" spans="4:15" ht="20.100000000000001" customHeight="1" x14ac:dyDescent="0.25">
      <c r="D117" s="1" t="str">
        <f>E111</f>
        <v>August 2024</v>
      </c>
      <c r="E117" s="45">
        <v>0.25</v>
      </c>
      <c r="F117" s="45">
        <v>0.25</v>
      </c>
      <c r="G117" s="45">
        <v>0.25</v>
      </c>
      <c r="H117" s="2" t="s">
        <v>13</v>
      </c>
      <c r="L117" s="2"/>
      <c r="M117" s="2"/>
      <c r="N117" s="2"/>
      <c r="O117" s="2"/>
    </row>
    <row r="118" spans="4:15" ht="20.100000000000001" customHeight="1" x14ac:dyDescent="0.25">
      <c r="D118" s="1" t="str">
        <f>E112</f>
        <v>September 2024</v>
      </c>
      <c r="E118" s="45">
        <v>0.25</v>
      </c>
      <c r="F118" s="45">
        <v>0.25</v>
      </c>
      <c r="G118" s="45">
        <v>0.25</v>
      </c>
      <c r="H118" s="2" t="s">
        <v>13</v>
      </c>
    </row>
    <row r="119" spans="4:15" ht="20.100000000000001" customHeight="1" x14ac:dyDescent="0.25">
      <c r="D119" s="1" t="str">
        <f>E113</f>
        <v>October 2024</v>
      </c>
      <c r="E119" s="45">
        <v>0.25</v>
      </c>
      <c r="F119" s="45">
        <v>0.25</v>
      </c>
      <c r="G119" s="45">
        <v>0.25</v>
      </c>
      <c r="H119" s="2" t="s">
        <v>13</v>
      </c>
    </row>
    <row r="120" spans="4:15" ht="20.100000000000001" customHeight="1" x14ac:dyDescent="0.25">
      <c r="D120" s="1" t="str">
        <f>"Proportion of cows &gt; 1 years in calf in " &amp; D117 &amp; " to " &amp; D119</f>
        <v>Proportion of cows &gt; 1 years in calf in August 2024 to October 2024</v>
      </c>
      <c r="E120" s="94">
        <f>SUM(E117:E119)</f>
        <v>0.75</v>
      </c>
      <c r="F120" s="94">
        <f>SUM(F117:F119)</f>
        <v>0.75</v>
      </c>
      <c r="G120" s="94">
        <f>SUM(G117:G119)</f>
        <v>0.75</v>
      </c>
      <c r="H120" s="2" t="s">
        <v>13</v>
      </c>
    </row>
    <row r="121" spans="4:15" ht="20.100000000000001" customHeight="1" x14ac:dyDescent="0.25"/>
    <row r="122" spans="4:15" ht="20.100000000000001" customHeight="1" x14ac:dyDescent="0.25">
      <c r="K122" s="2"/>
      <c r="L122" s="2"/>
      <c r="M122" s="2"/>
      <c r="N122" s="2"/>
      <c r="O122" s="2"/>
    </row>
    <row r="123" spans="4:15" ht="20.100000000000001" customHeight="1" x14ac:dyDescent="0.25">
      <c r="D123" s="47" t="s">
        <v>12</v>
      </c>
      <c r="K123" s="2"/>
      <c r="L123" s="2"/>
      <c r="M123" s="2"/>
      <c r="N123" s="2"/>
      <c r="O123" s="2"/>
    </row>
    <row r="124" spans="4:15" ht="20.100000000000001" customHeight="1" x14ac:dyDescent="0.25">
      <c r="D124" s="61" t="s">
        <v>139</v>
      </c>
      <c r="E124" s="61" t="s">
        <v>102</v>
      </c>
      <c r="F124" s="61" t="s">
        <v>101</v>
      </c>
      <c r="G124" s="61" t="s">
        <v>125</v>
      </c>
      <c r="H124" s="61" t="s">
        <v>126</v>
      </c>
      <c r="I124" s="61" t="s">
        <v>127</v>
      </c>
      <c r="J124" s="61" t="s">
        <v>128</v>
      </c>
      <c r="K124" s="61" t="s">
        <v>129</v>
      </c>
      <c r="L124" s="61" t="s">
        <v>130</v>
      </c>
      <c r="M124" s="61" t="s">
        <v>131</v>
      </c>
      <c r="N124" s="61" t="s">
        <v>132</v>
      </c>
    </row>
    <row r="125" spans="4:15" ht="20.100000000000001" customHeight="1" x14ac:dyDescent="0.25">
      <c r="D125" s="1" t="s">
        <v>133</v>
      </c>
      <c r="E125" s="51">
        <v>0.8</v>
      </c>
      <c r="F125" s="51">
        <v>0.8</v>
      </c>
      <c r="G125" s="51">
        <v>0.8</v>
      </c>
      <c r="H125" s="51">
        <v>0.8</v>
      </c>
      <c r="I125" s="51">
        <v>0.8</v>
      </c>
      <c r="J125" s="51">
        <v>0.8</v>
      </c>
      <c r="K125" s="51">
        <v>0.8</v>
      </c>
      <c r="L125" s="51">
        <v>0.8</v>
      </c>
      <c r="M125" s="51">
        <v>0.8</v>
      </c>
      <c r="N125" s="51">
        <v>0.8</v>
      </c>
      <c r="O125" s="2" t="s">
        <v>111</v>
      </c>
    </row>
    <row r="126" spans="4:15" ht="20.100000000000001" customHeight="1" x14ac:dyDescent="0.25">
      <c r="D126" s="1" t="s">
        <v>134</v>
      </c>
      <c r="E126" s="51">
        <v>0.57999999999999996</v>
      </c>
      <c r="F126" s="51">
        <v>0.57999999999999996</v>
      </c>
      <c r="G126" s="51">
        <v>0.57999999999999996</v>
      </c>
      <c r="H126" s="51">
        <v>0.57999999999999996</v>
      </c>
      <c r="I126" s="51">
        <v>0.57999999999999996</v>
      </c>
      <c r="J126" s="51">
        <v>0.57999999999999996</v>
      </c>
      <c r="K126" s="51">
        <v>0.57999999999999996</v>
      </c>
      <c r="L126" s="51">
        <v>0.57999999999999996</v>
      </c>
      <c r="M126" s="51">
        <v>0.57999999999999996</v>
      </c>
      <c r="N126" s="51">
        <v>0.57999999999999996</v>
      </c>
      <c r="O126" s="2" t="s">
        <v>111</v>
      </c>
    </row>
    <row r="127" spans="4:15" ht="20.100000000000001" customHeight="1" x14ac:dyDescent="0.25">
      <c r="D127" s="1" t="s">
        <v>135</v>
      </c>
      <c r="E127" s="51">
        <v>0.5</v>
      </c>
      <c r="F127" s="51">
        <v>0.5</v>
      </c>
      <c r="G127" s="51">
        <v>0.5</v>
      </c>
      <c r="H127" s="51">
        <v>0.5</v>
      </c>
      <c r="I127" s="51">
        <v>0.5</v>
      </c>
      <c r="J127" s="51">
        <v>0.5</v>
      </c>
      <c r="K127" s="51">
        <v>0.5</v>
      </c>
      <c r="L127" s="51">
        <v>0.5</v>
      </c>
      <c r="M127" s="51">
        <v>0.5</v>
      </c>
      <c r="N127" s="51">
        <v>0.5</v>
      </c>
      <c r="O127" s="2" t="s">
        <v>111</v>
      </c>
    </row>
    <row r="128" spans="4:15" ht="20.100000000000001" customHeight="1" x14ac:dyDescent="0.25">
      <c r="D128" s="1" t="s">
        <v>136</v>
      </c>
      <c r="E128" s="51">
        <v>0.75</v>
      </c>
      <c r="F128" s="51">
        <v>0.75</v>
      </c>
      <c r="G128" s="51">
        <v>0.75</v>
      </c>
      <c r="H128" s="51">
        <v>0.75</v>
      </c>
      <c r="I128" s="51">
        <v>0.75</v>
      </c>
      <c r="J128" s="51">
        <v>0.75</v>
      </c>
      <c r="K128" s="51">
        <v>0.75</v>
      </c>
      <c r="L128" s="51">
        <v>0.75</v>
      </c>
      <c r="M128" s="51">
        <v>0.75</v>
      </c>
      <c r="N128" s="51">
        <v>0.75</v>
      </c>
      <c r="O128" s="2" t="s">
        <v>111</v>
      </c>
    </row>
    <row r="129" spans="4:15" ht="20.100000000000001" customHeight="1" x14ac:dyDescent="0.25"/>
    <row r="130" spans="4:15" ht="20.100000000000001" customHeight="1" x14ac:dyDescent="0.25">
      <c r="D130" s="61" t="s">
        <v>140</v>
      </c>
      <c r="E130" s="61" t="s">
        <v>102</v>
      </c>
      <c r="F130" s="61" t="s">
        <v>101</v>
      </c>
      <c r="G130" s="61" t="s">
        <v>125</v>
      </c>
      <c r="H130" s="61" t="s">
        <v>126</v>
      </c>
      <c r="I130" s="61" t="s">
        <v>127</v>
      </c>
      <c r="J130" s="61" t="s">
        <v>128</v>
      </c>
      <c r="K130" s="61" t="s">
        <v>129</v>
      </c>
      <c r="L130" s="61" t="s">
        <v>130</v>
      </c>
      <c r="M130" s="61" t="s">
        <v>131</v>
      </c>
      <c r="N130" s="61" t="s">
        <v>132</v>
      </c>
    </row>
    <row r="131" spans="4:15" ht="20.100000000000001" customHeight="1" x14ac:dyDescent="0.25">
      <c r="D131" s="1" t="str">
        <f>TEXT('Input - Site'!$E$12, "mmmm yyyy")</f>
        <v>January 2025</v>
      </c>
      <c r="E131" s="64">
        <v>0.57999999999999996</v>
      </c>
      <c r="F131" s="64">
        <v>0.57999999999999996</v>
      </c>
      <c r="G131" s="64">
        <v>0.57999999999999996</v>
      </c>
      <c r="H131" s="64">
        <v>0.57999999999999996</v>
      </c>
      <c r="I131" s="64">
        <v>0.57999999999999996</v>
      </c>
      <c r="J131" s="64">
        <v>0.57999999999999996</v>
      </c>
      <c r="K131" s="64">
        <v>0.57999999999999996</v>
      </c>
      <c r="L131" s="64">
        <v>0.57999999999999996</v>
      </c>
      <c r="M131" s="64">
        <v>0.57999999999999996</v>
      </c>
      <c r="N131" s="64">
        <v>0.57999999999999996</v>
      </c>
      <c r="O131" s="2" t="s">
        <v>111</v>
      </c>
    </row>
    <row r="132" spans="4:15" ht="20.100000000000001" customHeight="1" x14ac:dyDescent="0.25">
      <c r="D132" s="1" t="str">
        <f>TEXT(EDATE('Input - Site'!$E$12,1), "mmmm yyyy")</f>
        <v>February 2025</v>
      </c>
      <c r="E132" s="64">
        <v>0.57999999999999996</v>
      </c>
      <c r="F132" s="64">
        <v>0.57999999999999996</v>
      </c>
      <c r="G132" s="64">
        <v>0.57999999999999996</v>
      </c>
      <c r="H132" s="64">
        <v>0.57999999999999996</v>
      </c>
      <c r="I132" s="64">
        <v>0.57999999999999996</v>
      </c>
      <c r="J132" s="64">
        <v>0.57999999999999996</v>
      </c>
      <c r="K132" s="64">
        <v>0.57999999999999996</v>
      </c>
      <c r="L132" s="64">
        <v>0.57999999999999996</v>
      </c>
      <c r="M132" s="64">
        <v>0.57999999999999996</v>
      </c>
      <c r="N132" s="64">
        <v>0.57999999999999996</v>
      </c>
      <c r="O132" s="2" t="s">
        <v>111</v>
      </c>
    </row>
    <row r="133" spans="4:15" ht="20.100000000000001" customHeight="1" x14ac:dyDescent="0.25">
      <c r="D133" s="1" t="str">
        <f>TEXT(EDATE('Input - Site'!$E$12,2), "mmmm yyyy")</f>
        <v>March 2025</v>
      </c>
      <c r="E133" s="64">
        <v>0.5</v>
      </c>
      <c r="F133" s="64">
        <v>0.5</v>
      </c>
      <c r="G133" s="64">
        <v>0.5</v>
      </c>
      <c r="H133" s="64">
        <v>0.5</v>
      </c>
      <c r="I133" s="64">
        <v>0.5</v>
      </c>
      <c r="J133" s="64">
        <v>0.5</v>
      </c>
      <c r="K133" s="64">
        <v>0.5</v>
      </c>
      <c r="L133" s="64">
        <v>0.5</v>
      </c>
      <c r="M133" s="64">
        <v>0.5</v>
      </c>
      <c r="N133" s="64">
        <v>0.5</v>
      </c>
      <c r="O133" s="2" t="s">
        <v>111</v>
      </c>
    </row>
    <row r="134" spans="4:15" ht="20.100000000000001" customHeight="1" x14ac:dyDescent="0.25">
      <c r="D134" s="1" t="str">
        <f>TEXT(EDATE('Input - Site'!$E$12,3), "mmmm yyyy")</f>
        <v>April 2025</v>
      </c>
      <c r="E134" s="64">
        <v>0.5</v>
      </c>
      <c r="F134" s="64">
        <v>0.5</v>
      </c>
      <c r="G134" s="64">
        <v>0.5</v>
      </c>
      <c r="H134" s="64">
        <v>0.5</v>
      </c>
      <c r="I134" s="64">
        <v>0.5</v>
      </c>
      <c r="J134" s="64">
        <v>0.5</v>
      </c>
      <c r="K134" s="64">
        <v>0.5</v>
      </c>
      <c r="L134" s="64">
        <v>0.5</v>
      </c>
      <c r="M134" s="64">
        <v>0.5</v>
      </c>
      <c r="N134" s="64">
        <v>0.5</v>
      </c>
      <c r="O134" s="2" t="s">
        <v>111</v>
      </c>
    </row>
    <row r="135" spans="4:15" ht="20.100000000000001" customHeight="1" x14ac:dyDescent="0.25">
      <c r="D135" s="1" t="str">
        <f>TEXT(EDATE('Input - Site'!$E$12,4), "mmmm yyyy")</f>
        <v>May 2025</v>
      </c>
      <c r="E135" s="64">
        <v>0.5</v>
      </c>
      <c r="F135" s="64">
        <v>0.5</v>
      </c>
      <c r="G135" s="64">
        <v>0.5</v>
      </c>
      <c r="H135" s="64">
        <v>0.5</v>
      </c>
      <c r="I135" s="64">
        <v>0.5</v>
      </c>
      <c r="J135" s="64">
        <v>0.5</v>
      </c>
      <c r="K135" s="64">
        <v>0.5</v>
      </c>
      <c r="L135" s="64">
        <v>0.5</v>
      </c>
      <c r="M135" s="64">
        <v>0.5</v>
      </c>
      <c r="N135" s="64">
        <v>0.5</v>
      </c>
      <c r="O135" s="2" t="s">
        <v>111</v>
      </c>
    </row>
    <row r="136" spans="4:15" ht="20.100000000000001" customHeight="1" x14ac:dyDescent="0.25">
      <c r="D136" s="1" t="str">
        <f>TEXT(EDATE('Input - Site'!$E$12,5), "mmmm yyyy")</f>
        <v>June 2025</v>
      </c>
      <c r="E136" s="64">
        <v>0.75</v>
      </c>
      <c r="F136" s="64">
        <v>0.75</v>
      </c>
      <c r="G136" s="64">
        <v>0.75</v>
      </c>
      <c r="H136" s="64">
        <v>0.75</v>
      </c>
      <c r="I136" s="64">
        <v>0.75</v>
      </c>
      <c r="J136" s="64">
        <v>0.75</v>
      </c>
      <c r="K136" s="64">
        <v>0.75</v>
      </c>
      <c r="L136" s="64">
        <v>0.75</v>
      </c>
      <c r="M136" s="64">
        <v>0.75</v>
      </c>
      <c r="N136" s="64">
        <v>0.75</v>
      </c>
      <c r="O136" s="2" t="s">
        <v>111</v>
      </c>
    </row>
    <row r="137" spans="4:15" ht="20.100000000000001" customHeight="1" x14ac:dyDescent="0.25">
      <c r="D137" s="1" t="str">
        <f>TEXT(EDATE('Input - Site'!$E$12,6), "mmmm yyyy")</f>
        <v>July 2025</v>
      </c>
      <c r="E137" s="64">
        <v>0.75</v>
      </c>
      <c r="F137" s="64">
        <v>0.75</v>
      </c>
      <c r="G137" s="64">
        <v>0.75</v>
      </c>
      <c r="H137" s="64">
        <v>0.75</v>
      </c>
      <c r="I137" s="64">
        <v>0.75</v>
      </c>
      <c r="J137" s="64">
        <v>0.75</v>
      </c>
      <c r="K137" s="64">
        <v>0.75</v>
      </c>
      <c r="L137" s="64">
        <v>0.75</v>
      </c>
      <c r="M137" s="64">
        <v>0.75</v>
      </c>
      <c r="N137" s="64">
        <v>0.75</v>
      </c>
      <c r="O137" s="2" t="s">
        <v>111</v>
      </c>
    </row>
    <row r="138" spans="4:15" ht="20.100000000000001" customHeight="1" x14ac:dyDescent="0.25">
      <c r="D138" s="1" t="str">
        <f>TEXT(EDATE('Input - Site'!$E$12,7), "mmmm yyyy")</f>
        <v>August 2025</v>
      </c>
      <c r="E138" s="64">
        <v>0.75</v>
      </c>
      <c r="F138" s="64">
        <v>0.75</v>
      </c>
      <c r="G138" s="64">
        <v>0.75</v>
      </c>
      <c r="H138" s="64">
        <v>0.75</v>
      </c>
      <c r="I138" s="64">
        <v>0.75</v>
      </c>
      <c r="J138" s="64">
        <v>0.75</v>
      </c>
      <c r="K138" s="64">
        <v>0.75</v>
      </c>
      <c r="L138" s="64">
        <v>0.75</v>
      </c>
      <c r="M138" s="64">
        <v>0.75</v>
      </c>
      <c r="N138" s="64">
        <v>0.75</v>
      </c>
      <c r="O138" s="2" t="s">
        <v>111</v>
      </c>
    </row>
    <row r="139" spans="4:15" ht="20.100000000000001" customHeight="1" x14ac:dyDescent="0.25">
      <c r="D139" s="1" t="str">
        <f>TEXT(EDATE('Input - Site'!$E$12,8), "mmmm yyyy")</f>
        <v>September 2025</v>
      </c>
      <c r="E139" s="64">
        <v>0.8</v>
      </c>
      <c r="F139" s="64">
        <v>0.8</v>
      </c>
      <c r="G139" s="64">
        <v>0.8</v>
      </c>
      <c r="H139" s="64">
        <v>0.8</v>
      </c>
      <c r="I139" s="64">
        <v>0.8</v>
      </c>
      <c r="J139" s="64">
        <v>0.8</v>
      </c>
      <c r="K139" s="64">
        <v>0.8</v>
      </c>
      <c r="L139" s="64">
        <v>0.8</v>
      </c>
      <c r="M139" s="64">
        <v>0.8</v>
      </c>
      <c r="N139" s="64">
        <v>0.8</v>
      </c>
      <c r="O139" s="2" t="s">
        <v>111</v>
      </c>
    </row>
    <row r="140" spans="4:15" ht="20.100000000000001" customHeight="1" x14ac:dyDescent="0.25">
      <c r="D140" s="1" t="str">
        <f>TEXT(EDATE('Input - Site'!$E$12,9), "mmmm yyyy")</f>
        <v>October 2025</v>
      </c>
      <c r="E140" s="64">
        <v>0.8</v>
      </c>
      <c r="F140" s="64">
        <v>0.8</v>
      </c>
      <c r="G140" s="64">
        <v>0.8</v>
      </c>
      <c r="H140" s="64">
        <v>0.8</v>
      </c>
      <c r="I140" s="64">
        <v>0.8</v>
      </c>
      <c r="J140" s="64">
        <v>0.8</v>
      </c>
      <c r="K140" s="64">
        <v>0.8</v>
      </c>
      <c r="L140" s="64">
        <v>0.8</v>
      </c>
      <c r="M140" s="64">
        <v>0.8</v>
      </c>
      <c r="N140" s="64">
        <v>0.8</v>
      </c>
      <c r="O140" s="2" t="s">
        <v>111</v>
      </c>
    </row>
    <row r="141" spans="4:15" ht="20.100000000000001" customHeight="1" x14ac:dyDescent="0.25">
      <c r="D141" s="1" t="str">
        <f>TEXT(EDATE('Input - Site'!$E$12,10), "mmmm yyyy")</f>
        <v>November 2025</v>
      </c>
      <c r="E141" s="64">
        <v>0.8</v>
      </c>
      <c r="F141" s="64">
        <v>0.8</v>
      </c>
      <c r="G141" s="64">
        <v>0.8</v>
      </c>
      <c r="H141" s="64">
        <v>0.8</v>
      </c>
      <c r="I141" s="64">
        <v>0.8</v>
      </c>
      <c r="J141" s="64">
        <v>0.8</v>
      </c>
      <c r="K141" s="64">
        <v>0.8</v>
      </c>
      <c r="L141" s="64">
        <v>0.8</v>
      </c>
      <c r="M141" s="64">
        <v>0.8</v>
      </c>
      <c r="N141" s="64">
        <v>0.8</v>
      </c>
      <c r="O141" s="2" t="s">
        <v>111</v>
      </c>
    </row>
    <row r="142" spans="4:15" ht="20.100000000000001" customHeight="1" x14ac:dyDescent="0.25">
      <c r="D142" s="1" t="str">
        <f>TEXT(EDATE('Input - Site'!$E$12,11), "mmmm yyyy")</f>
        <v>December 2025</v>
      </c>
      <c r="E142" s="64">
        <v>0.57999999999999996</v>
      </c>
      <c r="F142" s="64">
        <v>0.57999999999999996</v>
      </c>
      <c r="G142" s="64">
        <v>0.57999999999999996</v>
      </c>
      <c r="H142" s="64">
        <v>0.57999999999999996</v>
      </c>
      <c r="I142" s="64">
        <v>0.57999999999999996</v>
      </c>
      <c r="J142" s="64">
        <v>0.57999999999999996</v>
      </c>
      <c r="K142" s="64">
        <v>0.57999999999999996</v>
      </c>
      <c r="L142" s="64">
        <v>0.57999999999999996</v>
      </c>
      <c r="M142" s="64">
        <v>0.57999999999999996</v>
      </c>
      <c r="N142" s="64">
        <v>0.57999999999999996</v>
      </c>
      <c r="O142" s="2" t="s">
        <v>111</v>
      </c>
    </row>
    <row r="143" spans="4:15" ht="20.100000000000001" customHeight="1" x14ac:dyDescent="0.25"/>
    <row r="144" spans="4:15" ht="20.100000000000001" customHeight="1" x14ac:dyDescent="0.25"/>
    <row r="145" spans="4:15" ht="20.100000000000001" customHeight="1" x14ac:dyDescent="0.25">
      <c r="D145" s="47" t="s">
        <v>82</v>
      </c>
      <c r="K145" s="2"/>
      <c r="L145" s="2"/>
      <c r="M145" s="2"/>
      <c r="N145" s="2"/>
      <c r="O145" s="2"/>
    </row>
    <row r="146" spans="4:15" ht="20.100000000000001" customHeight="1" x14ac:dyDescent="0.25">
      <c r="D146" s="61" t="s">
        <v>139</v>
      </c>
      <c r="E146" s="61" t="s">
        <v>102</v>
      </c>
      <c r="F146" s="61" t="s">
        <v>101</v>
      </c>
      <c r="G146" s="61" t="s">
        <v>125</v>
      </c>
      <c r="H146" s="61" t="s">
        <v>126</v>
      </c>
      <c r="I146" s="61" t="s">
        <v>127</v>
      </c>
      <c r="J146" s="61" t="s">
        <v>128</v>
      </c>
      <c r="K146" s="61" t="s">
        <v>129</v>
      </c>
      <c r="L146" s="61" t="s">
        <v>130</v>
      </c>
      <c r="M146" s="61" t="s">
        <v>131</v>
      </c>
      <c r="N146" s="61" t="s">
        <v>132</v>
      </c>
    </row>
    <row r="147" spans="4:15" ht="20.100000000000001" customHeight="1" x14ac:dyDescent="0.25">
      <c r="D147" s="1" t="s">
        <v>133</v>
      </c>
      <c r="E147" s="51">
        <v>0.2</v>
      </c>
      <c r="F147" s="51">
        <v>0.2</v>
      </c>
      <c r="G147" s="51">
        <v>0.2</v>
      </c>
      <c r="H147" s="51">
        <v>0.2</v>
      </c>
      <c r="I147" s="51">
        <v>0.2</v>
      </c>
      <c r="J147" s="51">
        <v>0.2</v>
      </c>
      <c r="K147" s="51">
        <v>0.2</v>
      </c>
      <c r="L147" s="51">
        <v>0.2</v>
      </c>
      <c r="M147" s="51">
        <v>0.2</v>
      </c>
      <c r="N147" s="51">
        <v>0.2</v>
      </c>
      <c r="O147" s="2" t="s">
        <v>111</v>
      </c>
    </row>
    <row r="148" spans="4:15" ht="20.100000000000001" customHeight="1" x14ac:dyDescent="0.25">
      <c r="D148" s="1" t="s">
        <v>134</v>
      </c>
      <c r="E148" s="51">
        <v>0.09</v>
      </c>
      <c r="F148" s="51">
        <v>0.09</v>
      </c>
      <c r="G148" s="51">
        <v>0.09</v>
      </c>
      <c r="H148" s="51">
        <v>0.09</v>
      </c>
      <c r="I148" s="51">
        <v>0.09</v>
      </c>
      <c r="J148" s="51">
        <v>0.09</v>
      </c>
      <c r="K148" s="51">
        <v>0.09</v>
      </c>
      <c r="L148" s="51">
        <v>0.09</v>
      </c>
      <c r="M148" s="51">
        <v>0.09</v>
      </c>
      <c r="N148" s="51">
        <v>0.09</v>
      </c>
      <c r="O148" s="2" t="s">
        <v>111</v>
      </c>
    </row>
    <row r="149" spans="4:15" ht="20.100000000000001" customHeight="1" x14ac:dyDescent="0.25">
      <c r="D149" s="1" t="s">
        <v>135</v>
      </c>
      <c r="E149" s="51">
        <v>0.06</v>
      </c>
      <c r="F149" s="51">
        <v>0.06</v>
      </c>
      <c r="G149" s="51">
        <v>0.06</v>
      </c>
      <c r="H149" s="51">
        <v>0.06</v>
      </c>
      <c r="I149" s="51">
        <v>0.06</v>
      </c>
      <c r="J149" s="51">
        <v>0.06</v>
      </c>
      <c r="K149" s="51">
        <v>0.06</v>
      </c>
      <c r="L149" s="51">
        <v>0.06</v>
      </c>
      <c r="M149" s="51">
        <v>0.06</v>
      </c>
      <c r="N149" s="51">
        <v>0.06</v>
      </c>
      <c r="O149" s="2" t="s">
        <v>111</v>
      </c>
    </row>
    <row r="150" spans="4:15" ht="20.100000000000001" customHeight="1" x14ac:dyDescent="0.25">
      <c r="D150" s="1" t="s">
        <v>136</v>
      </c>
      <c r="E150" s="51">
        <v>0.2</v>
      </c>
      <c r="F150" s="51">
        <v>0.2</v>
      </c>
      <c r="G150" s="51">
        <v>0.2</v>
      </c>
      <c r="H150" s="51">
        <v>0.2</v>
      </c>
      <c r="I150" s="51">
        <v>0.2</v>
      </c>
      <c r="J150" s="51">
        <v>0.2</v>
      </c>
      <c r="K150" s="51">
        <v>0.2</v>
      </c>
      <c r="L150" s="51">
        <v>0.2</v>
      </c>
      <c r="M150" s="51">
        <v>0.2</v>
      </c>
      <c r="N150" s="51">
        <v>0.2</v>
      </c>
      <c r="O150" s="2" t="s">
        <v>111</v>
      </c>
    </row>
    <row r="151" spans="4:15" ht="20.100000000000001" customHeight="1" x14ac:dyDescent="0.25"/>
    <row r="152" spans="4:15" ht="20.100000000000001" customHeight="1" x14ac:dyDescent="0.25">
      <c r="D152" s="61" t="s">
        <v>140</v>
      </c>
      <c r="E152" s="61" t="s">
        <v>102</v>
      </c>
      <c r="F152" s="61" t="s">
        <v>101</v>
      </c>
      <c r="G152" s="61" t="s">
        <v>125</v>
      </c>
      <c r="H152" s="61" t="s">
        <v>126</v>
      </c>
      <c r="I152" s="61" t="s">
        <v>127</v>
      </c>
      <c r="J152" s="61" t="s">
        <v>128</v>
      </c>
      <c r="K152" s="61" t="s">
        <v>129</v>
      </c>
      <c r="L152" s="61" t="s">
        <v>130</v>
      </c>
      <c r="M152" s="61" t="s">
        <v>131</v>
      </c>
      <c r="N152" s="61" t="s">
        <v>132</v>
      </c>
    </row>
    <row r="153" spans="4:15" ht="20.100000000000001" customHeight="1" x14ac:dyDescent="0.25">
      <c r="D153" s="1" t="str">
        <f>TEXT('Input - Site'!$E$12, "mmmm yyyy")</f>
        <v>January 2025</v>
      </c>
      <c r="E153" s="64">
        <v>0.09</v>
      </c>
      <c r="F153" s="64">
        <v>0.09</v>
      </c>
      <c r="G153" s="64">
        <v>0.09</v>
      </c>
      <c r="H153" s="64">
        <v>0.09</v>
      </c>
      <c r="I153" s="64">
        <v>0.09</v>
      </c>
      <c r="J153" s="64">
        <v>0.09</v>
      </c>
      <c r="K153" s="64">
        <v>0.09</v>
      </c>
      <c r="L153" s="64">
        <v>0.09</v>
      </c>
      <c r="M153" s="64">
        <v>0.09</v>
      </c>
      <c r="N153" s="64">
        <v>0.09</v>
      </c>
      <c r="O153" s="2" t="s">
        <v>111</v>
      </c>
    </row>
    <row r="154" spans="4:15" ht="20.100000000000001" customHeight="1" x14ac:dyDescent="0.25">
      <c r="D154" s="1" t="str">
        <f>TEXT(EDATE('Input - Site'!$E$12,1), "mmmm yyyy")</f>
        <v>February 2025</v>
      </c>
      <c r="E154" s="64">
        <v>0.09</v>
      </c>
      <c r="F154" s="64">
        <v>0.09</v>
      </c>
      <c r="G154" s="64">
        <v>0.09</v>
      </c>
      <c r="H154" s="64">
        <v>0.09</v>
      </c>
      <c r="I154" s="64">
        <v>0.09</v>
      </c>
      <c r="J154" s="64">
        <v>0.09</v>
      </c>
      <c r="K154" s="64">
        <v>0.09</v>
      </c>
      <c r="L154" s="64">
        <v>0.09</v>
      </c>
      <c r="M154" s="64">
        <v>0.09</v>
      </c>
      <c r="N154" s="64">
        <v>0.09</v>
      </c>
      <c r="O154" s="2" t="s">
        <v>111</v>
      </c>
    </row>
    <row r="155" spans="4:15" ht="20.100000000000001" customHeight="1" x14ac:dyDescent="0.25">
      <c r="D155" s="1" t="str">
        <f>TEXT(EDATE('Input - Site'!$E$12,2), "mmmm yyyy")</f>
        <v>March 2025</v>
      </c>
      <c r="E155" s="64">
        <v>0.06</v>
      </c>
      <c r="F155" s="64">
        <v>0.06</v>
      </c>
      <c r="G155" s="64">
        <v>0.06</v>
      </c>
      <c r="H155" s="64">
        <v>0.06</v>
      </c>
      <c r="I155" s="64">
        <v>0.06</v>
      </c>
      <c r="J155" s="64">
        <v>0.06</v>
      </c>
      <c r="K155" s="64">
        <v>0.06</v>
      </c>
      <c r="L155" s="64">
        <v>0.06</v>
      </c>
      <c r="M155" s="64">
        <v>0.06</v>
      </c>
      <c r="N155" s="64">
        <v>0.06</v>
      </c>
      <c r="O155" s="2" t="s">
        <v>111</v>
      </c>
    </row>
    <row r="156" spans="4:15" ht="20.100000000000001" customHeight="1" x14ac:dyDescent="0.25">
      <c r="D156" s="1" t="str">
        <f>TEXT(EDATE('Input - Site'!$E$12,3), "mmmm yyyy")</f>
        <v>April 2025</v>
      </c>
      <c r="E156" s="64">
        <v>0.06</v>
      </c>
      <c r="F156" s="64">
        <v>0.06</v>
      </c>
      <c r="G156" s="64">
        <v>0.06</v>
      </c>
      <c r="H156" s="64">
        <v>0.06</v>
      </c>
      <c r="I156" s="64">
        <v>0.06</v>
      </c>
      <c r="J156" s="64">
        <v>0.06</v>
      </c>
      <c r="K156" s="64">
        <v>0.06</v>
      </c>
      <c r="L156" s="64">
        <v>0.06</v>
      </c>
      <c r="M156" s="64">
        <v>0.06</v>
      </c>
      <c r="N156" s="64">
        <v>0.06</v>
      </c>
      <c r="O156" s="2" t="s">
        <v>111</v>
      </c>
    </row>
    <row r="157" spans="4:15" ht="20.100000000000001" customHeight="1" x14ac:dyDescent="0.25">
      <c r="D157" s="1" t="str">
        <f>TEXT(EDATE('Input - Site'!$E$12,4), "mmmm yyyy")</f>
        <v>May 2025</v>
      </c>
      <c r="E157" s="64">
        <v>0.06</v>
      </c>
      <c r="F157" s="64">
        <v>0.06</v>
      </c>
      <c r="G157" s="64">
        <v>0.06</v>
      </c>
      <c r="H157" s="64">
        <v>0.06</v>
      </c>
      <c r="I157" s="64">
        <v>0.06</v>
      </c>
      <c r="J157" s="64">
        <v>0.06</v>
      </c>
      <c r="K157" s="64">
        <v>0.06</v>
      </c>
      <c r="L157" s="64">
        <v>0.06</v>
      </c>
      <c r="M157" s="64">
        <v>0.06</v>
      </c>
      <c r="N157" s="64">
        <v>0.06</v>
      </c>
      <c r="O157" s="2" t="s">
        <v>111</v>
      </c>
    </row>
    <row r="158" spans="4:15" ht="20.100000000000001" customHeight="1" x14ac:dyDescent="0.25">
      <c r="D158" s="1" t="str">
        <f>TEXT(EDATE('Input - Site'!$E$12,5), "mmmm yyyy")</f>
        <v>June 2025</v>
      </c>
      <c r="E158" s="64">
        <v>0.2</v>
      </c>
      <c r="F158" s="64">
        <v>0.2</v>
      </c>
      <c r="G158" s="64">
        <v>0.2</v>
      </c>
      <c r="H158" s="64">
        <v>0.2</v>
      </c>
      <c r="I158" s="64">
        <v>0.2</v>
      </c>
      <c r="J158" s="64">
        <v>0.2</v>
      </c>
      <c r="K158" s="64">
        <v>0.2</v>
      </c>
      <c r="L158" s="64">
        <v>0.2</v>
      </c>
      <c r="M158" s="64">
        <v>0.2</v>
      </c>
      <c r="N158" s="64">
        <v>0.2</v>
      </c>
      <c r="O158" s="2" t="s">
        <v>111</v>
      </c>
    </row>
    <row r="159" spans="4:15" ht="20.100000000000001" customHeight="1" x14ac:dyDescent="0.25">
      <c r="D159" s="1" t="str">
        <f>TEXT(EDATE('Input - Site'!$E$12,6), "mmmm yyyy")</f>
        <v>July 2025</v>
      </c>
      <c r="E159" s="64">
        <v>0.2</v>
      </c>
      <c r="F159" s="64">
        <v>0.2</v>
      </c>
      <c r="G159" s="64">
        <v>0.2</v>
      </c>
      <c r="H159" s="64">
        <v>0.2</v>
      </c>
      <c r="I159" s="64">
        <v>0.2</v>
      </c>
      <c r="J159" s="64">
        <v>0.2</v>
      </c>
      <c r="K159" s="64">
        <v>0.2</v>
      </c>
      <c r="L159" s="64">
        <v>0.2</v>
      </c>
      <c r="M159" s="64">
        <v>0.2</v>
      </c>
      <c r="N159" s="64">
        <v>0.2</v>
      </c>
      <c r="O159" s="2" t="s">
        <v>111</v>
      </c>
    </row>
    <row r="160" spans="4:15" ht="20.100000000000001" customHeight="1" x14ac:dyDescent="0.25">
      <c r="D160" s="1" t="str">
        <f>TEXT(EDATE('Input - Site'!$E$12,7), "mmmm yyyy")</f>
        <v>August 2025</v>
      </c>
      <c r="E160" s="64">
        <v>0.2</v>
      </c>
      <c r="F160" s="64">
        <v>0.2</v>
      </c>
      <c r="G160" s="64">
        <v>0.2</v>
      </c>
      <c r="H160" s="64">
        <v>0.2</v>
      </c>
      <c r="I160" s="64">
        <v>0.2</v>
      </c>
      <c r="J160" s="64">
        <v>0.2</v>
      </c>
      <c r="K160" s="64">
        <v>0.2</v>
      </c>
      <c r="L160" s="64">
        <v>0.2</v>
      </c>
      <c r="M160" s="64">
        <v>0.2</v>
      </c>
      <c r="N160" s="64">
        <v>0.2</v>
      </c>
      <c r="O160" s="2" t="s">
        <v>111</v>
      </c>
    </row>
    <row r="161" spans="4:15" ht="20.100000000000001" customHeight="1" x14ac:dyDescent="0.25">
      <c r="D161" s="1" t="str">
        <f>TEXT(EDATE('Input - Site'!$E$12,8), "mmmm yyyy")</f>
        <v>September 2025</v>
      </c>
      <c r="E161" s="64">
        <v>0.2</v>
      </c>
      <c r="F161" s="64">
        <v>0.2</v>
      </c>
      <c r="G161" s="64">
        <v>0.2</v>
      </c>
      <c r="H161" s="64">
        <v>0.2</v>
      </c>
      <c r="I161" s="64">
        <v>0.2</v>
      </c>
      <c r="J161" s="64">
        <v>0.2</v>
      </c>
      <c r="K161" s="64">
        <v>0.2</v>
      </c>
      <c r="L161" s="64">
        <v>0.2</v>
      </c>
      <c r="M161" s="64">
        <v>0.2</v>
      </c>
      <c r="N161" s="64">
        <v>0.2</v>
      </c>
      <c r="O161" s="2" t="s">
        <v>111</v>
      </c>
    </row>
    <row r="162" spans="4:15" ht="20.100000000000001" customHeight="1" x14ac:dyDescent="0.25">
      <c r="D162" s="1" t="str">
        <f>TEXT(EDATE('Input - Site'!$E$12,9), "mmmm yyyy")</f>
        <v>October 2025</v>
      </c>
      <c r="E162" s="64">
        <v>0.2</v>
      </c>
      <c r="F162" s="64">
        <v>0.2</v>
      </c>
      <c r="G162" s="64">
        <v>0.2</v>
      </c>
      <c r="H162" s="64">
        <v>0.2</v>
      </c>
      <c r="I162" s="64">
        <v>0.2</v>
      </c>
      <c r="J162" s="64">
        <v>0.2</v>
      </c>
      <c r="K162" s="64">
        <v>0.2</v>
      </c>
      <c r="L162" s="64">
        <v>0.2</v>
      </c>
      <c r="M162" s="64">
        <v>0.2</v>
      </c>
      <c r="N162" s="64">
        <v>0.2</v>
      </c>
      <c r="O162" s="2" t="s">
        <v>111</v>
      </c>
    </row>
    <row r="163" spans="4:15" ht="20.100000000000001" customHeight="1" x14ac:dyDescent="0.25">
      <c r="D163" s="1" t="str">
        <f>TEXT(EDATE('Input - Site'!$E$12,10), "mmmm yyyy")</f>
        <v>November 2025</v>
      </c>
      <c r="E163" s="64">
        <v>0.2</v>
      </c>
      <c r="F163" s="64">
        <v>0.2</v>
      </c>
      <c r="G163" s="64">
        <v>0.2</v>
      </c>
      <c r="H163" s="64">
        <v>0.2</v>
      </c>
      <c r="I163" s="64">
        <v>0.2</v>
      </c>
      <c r="J163" s="64">
        <v>0.2</v>
      </c>
      <c r="K163" s="64">
        <v>0.2</v>
      </c>
      <c r="L163" s="64">
        <v>0.2</v>
      </c>
      <c r="M163" s="64">
        <v>0.2</v>
      </c>
      <c r="N163" s="64">
        <v>0.2</v>
      </c>
      <c r="O163" s="2" t="s">
        <v>111</v>
      </c>
    </row>
    <row r="164" spans="4:15" ht="20.100000000000001" customHeight="1" x14ac:dyDescent="0.25">
      <c r="D164" s="1" t="str">
        <f>TEXT(EDATE('Input - Site'!$E$12,11), "mmmm yyyy")</f>
        <v>December 2025</v>
      </c>
      <c r="E164" s="64">
        <v>0.09</v>
      </c>
      <c r="F164" s="64">
        <v>0.09</v>
      </c>
      <c r="G164" s="64">
        <v>0.09</v>
      </c>
      <c r="H164" s="64">
        <v>0.09</v>
      </c>
      <c r="I164" s="64">
        <v>0.09</v>
      </c>
      <c r="J164" s="64">
        <v>0.09</v>
      </c>
      <c r="K164" s="64">
        <v>0.09</v>
      </c>
      <c r="L164" s="64">
        <v>0.09</v>
      </c>
      <c r="M164" s="64">
        <v>0.09</v>
      </c>
      <c r="N164" s="64">
        <v>0.09</v>
      </c>
      <c r="O164" s="2" t="s">
        <v>111</v>
      </c>
    </row>
    <row r="165" spans="4:15" ht="20.100000000000001" customHeight="1" x14ac:dyDescent="0.25">
      <c r="L165" s="2"/>
      <c r="M165" s="2"/>
      <c r="N165" s="2"/>
      <c r="O165" s="2"/>
    </row>
    <row r="166" spans="4:15" x14ac:dyDescent="0.25">
      <c r="L166" s="2"/>
      <c r="M166" s="2"/>
      <c r="N166" s="2"/>
      <c r="O166" s="2"/>
    </row>
    <row r="167" spans="4:15" ht="18.75" x14ac:dyDescent="0.25">
      <c r="D167" s="47" t="s">
        <v>218</v>
      </c>
      <c r="L167" s="2"/>
      <c r="M167" s="2"/>
      <c r="N167" s="2"/>
      <c r="O167" s="2"/>
    </row>
    <row r="169" spans="4:15" x14ac:dyDescent="0.25">
      <c r="D169" s="1" t="s">
        <v>219</v>
      </c>
      <c r="E169" s="38" t="s">
        <v>109</v>
      </c>
      <c r="F169" s="2" t="s">
        <v>7</v>
      </c>
      <c r="L169" s="2"/>
      <c r="M169" s="2"/>
      <c r="N169" s="2"/>
      <c r="O169" s="2"/>
    </row>
    <row r="171" spans="4:15" x14ac:dyDescent="0.25">
      <c r="D171" s="61" t="s">
        <v>15</v>
      </c>
      <c r="E171" s="61" t="s">
        <v>220</v>
      </c>
      <c r="L171" s="2"/>
      <c r="M171" s="2"/>
      <c r="N171" s="2"/>
      <c r="O171" s="2"/>
    </row>
    <row r="172" spans="4:15" x14ac:dyDescent="0.25">
      <c r="D172" s="1" t="s">
        <v>108</v>
      </c>
      <c r="E172" s="110">
        <f>IF($E$169="Yes",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72" s="2" t="s">
        <v>13</v>
      </c>
      <c r="L172" s="2"/>
      <c r="M172" s="2"/>
      <c r="N172" s="2"/>
      <c r="O172" s="2"/>
    </row>
    <row r="173" spans="4:15" x14ac:dyDescent="0.25">
      <c r="D173" s="1" t="s">
        <v>221</v>
      </c>
      <c r="E173" s="110">
        <f>IF($E$169="Yes",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73" s="2" t="s">
        <v>13</v>
      </c>
      <c r="L173" s="2"/>
      <c r="M173" s="2"/>
      <c r="N173" s="2"/>
      <c r="O173" s="2"/>
    </row>
    <row r="174" spans="4:15" x14ac:dyDescent="0.25">
      <c r="L174" s="2"/>
      <c r="M174" s="2"/>
      <c r="N174" s="2"/>
      <c r="O174" s="2"/>
    </row>
    <row r="176" spans="4:15" x14ac:dyDescent="0.25">
      <c r="D176" s="1" t="s">
        <v>231</v>
      </c>
      <c r="E176" s="38" t="s">
        <v>234</v>
      </c>
      <c r="F176" s="2" t="s">
        <v>7</v>
      </c>
      <c r="L176" s="2"/>
      <c r="M176" s="2"/>
      <c r="N176" s="2"/>
      <c r="O176" s="2"/>
    </row>
    <row r="177" spans="5:6" x14ac:dyDescent="0.25">
      <c r="E177" s="38" t="s">
        <v>92</v>
      </c>
      <c r="F177" s="2" t="s">
        <v>7</v>
      </c>
    </row>
    <row r="199" spans="12:15" x14ac:dyDescent="0.25">
      <c r="L199" s="2"/>
      <c r="M199" s="2"/>
      <c r="N199" s="2"/>
      <c r="O199" s="2"/>
    </row>
    <row r="202" spans="12:15" x14ac:dyDescent="0.25">
      <c r="L202" s="2"/>
      <c r="M202" s="2"/>
      <c r="N202" s="2"/>
      <c r="O202" s="2"/>
    </row>
    <row r="207" spans="12:15" x14ac:dyDescent="0.25">
      <c r="L207" s="2"/>
      <c r="M207" s="2"/>
      <c r="N207" s="2"/>
      <c r="O207" s="2"/>
    </row>
    <row r="208" spans="12:15" x14ac:dyDescent="0.25">
      <c r="L208" s="2"/>
      <c r="M208" s="2"/>
      <c r="N208" s="2"/>
      <c r="O208" s="2"/>
    </row>
    <row r="209" spans="12:15" x14ac:dyDescent="0.25">
      <c r="L209" s="2"/>
      <c r="M209" s="2"/>
      <c r="N209" s="2"/>
      <c r="O209" s="2"/>
    </row>
    <row r="210" spans="12:15" x14ac:dyDescent="0.25">
      <c r="L210" s="2"/>
      <c r="M210" s="2"/>
      <c r="N210" s="2"/>
      <c r="O210" s="2"/>
    </row>
    <row r="212" spans="12:15" x14ac:dyDescent="0.25">
      <c r="L212" s="2"/>
      <c r="M212" s="2"/>
      <c r="N212" s="2"/>
      <c r="O212" s="2"/>
    </row>
    <row r="214" spans="12:15" x14ac:dyDescent="0.25">
      <c r="L214" s="2"/>
      <c r="M214" s="2"/>
      <c r="N214" s="2"/>
      <c r="O214" s="2"/>
    </row>
    <row r="215" spans="12:15" x14ac:dyDescent="0.25">
      <c r="L215" s="2"/>
      <c r="M215" s="2"/>
      <c r="N215" s="2"/>
      <c r="O215" s="2"/>
    </row>
    <row r="216" spans="12:15" x14ac:dyDescent="0.25">
      <c r="L216" s="2"/>
      <c r="M216" s="2"/>
      <c r="N216" s="2"/>
      <c r="O216" s="2"/>
    </row>
    <row r="217" spans="12:15" x14ac:dyDescent="0.25">
      <c r="L217" s="2"/>
      <c r="M217" s="2"/>
      <c r="N217" s="2"/>
      <c r="O217" s="2"/>
    </row>
    <row r="219" spans="12:15" x14ac:dyDescent="0.25">
      <c r="L219" s="2"/>
      <c r="M219" s="2"/>
      <c r="N219" s="2"/>
      <c r="O219" s="2"/>
    </row>
    <row r="227" spans="12:15" x14ac:dyDescent="0.25">
      <c r="L227" s="2"/>
      <c r="M227" s="2"/>
      <c r="N227" s="2"/>
      <c r="O227" s="2"/>
    </row>
    <row r="228" spans="12:15" x14ac:dyDescent="0.25">
      <c r="L228" s="2"/>
      <c r="M228" s="2"/>
      <c r="N228" s="2"/>
      <c r="O228" s="2"/>
    </row>
    <row r="229" spans="12:15" x14ac:dyDescent="0.25">
      <c r="L229" s="2"/>
      <c r="M229" s="2"/>
      <c r="N229" s="2"/>
      <c r="O229" s="2"/>
    </row>
    <row r="232" spans="12:15" x14ac:dyDescent="0.25">
      <c r="L232" s="2"/>
      <c r="M232" s="2"/>
      <c r="N232" s="2"/>
      <c r="O232" s="2"/>
    </row>
    <row r="233" spans="12:15" x14ac:dyDescent="0.25">
      <c r="L233" s="2"/>
      <c r="M233" s="2"/>
      <c r="N233" s="2"/>
      <c r="O233" s="2"/>
    </row>
    <row r="234" spans="12:15" x14ac:dyDescent="0.25">
      <c r="L234" s="2"/>
      <c r="M234" s="2"/>
      <c r="N234" s="2"/>
      <c r="O234" s="2"/>
    </row>
    <row r="237" spans="12:15" x14ac:dyDescent="0.25">
      <c r="L237" s="2"/>
      <c r="M237" s="2"/>
      <c r="N237" s="2"/>
      <c r="O237" s="2"/>
    </row>
    <row r="238" spans="12:15" x14ac:dyDescent="0.25">
      <c r="L238" s="2"/>
      <c r="M238" s="2"/>
      <c r="N238" s="2"/>
      <c r="O238" s="2"/>
    </row>
    <row r="239" spans="12:15" x14ac:dyDescent="0.25">
      <c r="L239" s="2"/>
      <c r="M239" s="2"/>
      <c r="N239" s="2"/>
      <c r="O239" s="2"/>
    </row>
    <row r="242" spans="11:15" x14ac:dyDescent="0.25">
      <c r="L242" s="2"/>
      <c r="M242" s="2"/>
      <c r="N242" s="2"/>
      <c r="O242" s="2"/>
    </row>
    <row r="243" spans="11:15" x14ac:dyDescent="0.25">
      <c r="K243" s="2"/>
      <c r="L243" s="2"/>
      <c r="M243" s="2"/>
      <c r="N243" s="2"/>
      <c r="O243" s="2"/>
    </row>
    <row r="244" spans="11:15" x14ac:dyDescent="0.25">
      <c r="L244" s="2"/>
      <c r="M244" s="2"/>
      <c r="N244" s="2"/>
      <c r="O244" s="2"/>
    </row>
    <row r="248" spans="11:15" x14ac:dyDescent="0.25">
      <c r="K248" s="2"/>
    </row>
    <row r="251" spans="11:15" x14ac:dyDescent="0.25">
      <c r="L251" s="2"/>
      <c r="M251" s="2"/>
      <c r="N251" s="2"/>
      <c r="O251" s="2"/>
    </row>
    <row r="252" spans="11:15" x14ac:dyDescent="0.25">
      <c r="L252" s="2"/>
      <c r="M252" s="2"/>
      <c r="N252" s="2"/>
      <c r="O252" s="2"/>
    </row>
    <row r="253" spans="11:15" x14ac:dyDescent="0.25">
      <c r="K253" s="2"/>
      <c r="L253" s="2"/>
      <c r="M253" s="2"/>
      <c r="N253" s="2"/>
      <c r="O253" s="2"/>
    </row>
    <row r="256" spans="11:15" x14ac:dyDescent="0.25">
      <c r="L256" s="2"/>
      <c r="M256" s="2"/>
      <c r="N256" s="2"/>
      <c r="O256" s="2"/>
    </row>
    <row r="257" spans="11:15" x14ac:dyDescent="0.25">
      <c r="L257" s="2"/>
      <c r="M257" s="2"/>
      <c r="N257" s="2"/>
      <c r="O257" s="2"/>
    </row>
    <row r="258" spans="11:15" x14ac:dyDescent="0.25">
      <c r="K258" s="2"/>
      <c r="L258" s="2"/>
      <c r="M258" s="2"/>
      <c r="N258" s="2"/>
      <c r="O258" s="2"/>
    </row>
    <row r="259" spans="11:15" x14ac:dyDescent="0.25">
      <c r="K259" s="2"/>
    </row>
    <row r="260" spans="11:15" x14ac:dyDescent="0.25">
      <c r="K260" s="2"/>
    </row>
    <row r="261" spans="11:15" x14ac:dyDescent="0.25">
      <c r="K261" s="2"/>
      <c r="L261" s="2"/>
      <c r="M261" s="2"/>
      <c r="N261" s="2"/>
      <c r="O261" s="2"/>
    </row>
    <row r="262" spans="11:15" x14ac:dyDescent="0.25">
      <c r="K262" s="2"/>
      <c r="L262" s="2"/>
      <c r="M262" s="2"/>
      <c r="N262" s="2"/>
      <c r="O262" s="2"/>
    </row>
    <row r="263" spans="11:15" x14ac:dyDescent="0.25">
      <c r="L263" s="2"/>
      <c r="M263" s="2"/>
      <c r="N263" s="2"/>
      <c r="O263" s="2"/>
    </row>
    <row r="264" spans="11:15" x14ac:dyDescent="0.25">
      <c r="K264" s="2"/>
    </row>
    <row r="266" spans="11:15" x14ac:dyDescent="0.25">
      <c r="K266" s="2"/>
      <c r="L266" s="2"/>
      <c r="M266" s="2"/>
      <c r="N266" s="2"/>
      <c r="O266" s="2"/>
    </row>
    <row r="267" spans="11:15" x14ac:dyDescent="0.25">
      <c r="K267" s="2"/>
      <c r="L267" s="2"/>
      <c r="M267" s="2"/>
      <c r="N267" s="2"/>
      <c r="O267" s="2"/>
    </row>
    <row r="268" spans="11:15" x14ac:dyDescent="0.25">
      <c r="K268" s="2"/>
      <c r="L268" s="2"/>
      <c r="M268" s="2"/>
      <c r="N268" s="2"/>
      <c r="O268" s="2"/>
    </row>
    <row r="269" spans="11:15" x14ac:dyDescent="0.25">
      <c r="K269" s="2"/>
    </row>
    <row r="271" spans="11:15" x14ac:dyDescent="0.25">
      <c r="K271" s="2"/>
    </row>
    <row r="277" spans="11:11" x14ac:dyDescent="0.25">
      <c r="K277" s="2"/>
    </row>
    <row r="282" spans="11:11" x14ac:dyDescent="0.25">
      <c r="K282" s="2"/>
    </row>
    <row r="287" spans="11:11" x14ac:dyDescent="0.25">
      <c r="K287" s="2"/>
    </row>
    <row r="292" spans="11:11" x14ac:dyDescent="0.25">
      <c r="K292" s="2"/>
    </row>
    <row r="293" spans="11:11" x14ac:dyDescent="0.25">
      <c r="K293" s="2"/>
    </row>
    <row r="294" spans="11:11" x14ac:dyDescent="0.25">
      <c r="K294" s="2"/>
    </row>
    <row r="295" spans="11:11" x14ac:dyDescent="0.25">
      <c r="K295" s="2"/>
    </row>
    <row r="296" spans="11:11" x14ac:dyDescent="0.25">
      <c r="K296" s="2"/>
    </row>
    <row r="298" spans="11:11" x14ac:dyDescent="0.25">
      <c r="K298" s="2"/>
    </row>
    <row r="300" spans="11:11" x14ac:dyDescent="0.25">
      <c r="K300" s="2"/>
    </row>
    <row r="301" spans="11:11" x14ac:dyDescent="0.25">
      <c r="K301" s="2"/>
    </row>
    <row r="302" spans="11:11" x14ac:dyDescent="0.25">
      <c r="K302" s="2"/>
    </row>
    <row r="303" spans="11:11" x14ac:dyDescent="0.25">
      <c r="K303" s="2"/>
    </row>
    <row r="305" spans="11:11" x14ac:dyDescent="0.25">
      <c r="K305" s="2"/>
    </row>
    <row r="313" spans="11:11" x14ac:dyDescent="0.25">
      <c r="K313" s="2"/>
    </row>
    <row r="314" spans="11:11" x14ac:dyDescent="0.25">
      <c r="K314" s="2"/>
    </row>
    <row r="315" spans="11:11" x14ac:dyDescent="0.25">
      <c r="K315" s="2"/>
    </row>
    <row r="318" spans="11:11" x14ac:dyDescent="0.25">
      <c r="K318" s="2"/>
    </row>
    <row r="319" spans="11:11" x14ac:dyDescent="0.25">
      <c r="K319" s="2"/>
    </row>
    <row r="320" spans="11:11" x14ac:dyDescent="0.25">
      <c r="K320" s="2"/>
    </row>
    <row r="323" spans="11:11" x14ac:dyDescent="0.25">
      <c r="K323" s="2"/>
    </row>
    <row r="324" spans="11:11" x14ac:dyDescent="0.25">
      <c r="K324" s="2"/>
    </row>
    <row r="325" spans="11:11" x14ac:dyDescent="0.25">
      <c r="K325" s="2"/>
    </row>
    <row r="328" spans="11:11" x14ac:dyDescent="0.25">
      <c r="K328" s="2"/>
    </row>
    <row r="329" spans="11:11" x14ac:dyDescent="0.25">
      <c r="K329" s="2"/>
    </row>
    <row r="330" spans="11:11" x14ac:dyDescent="0.25">
      <c r="K330" s="2"/>
    </row>
    <row r="337" spans="11:11" x14ac:dyDescent="0.25">
      <c r="K337" s="2"/>
    </row>
    <row r="338" spans="11:11" x14ac:dyDescent="0.25">
      <c r="K338" s="2"/>
    </row>
    <row r="339" spans="11:11" x14ac:dyDescent="0.25">
      <c r="K339" s="2"/>
    </row>
    <row r="342" spans="11:11" x14ac:dyDescent="0.25">
      <c r="K342" s="2"/>
    </row>
    <row r="343" spans="11:11" x14ac:dyDescent="0.25">
      <c r="K343" s="2"/>
    </row>
    <row r="344" spans="11:11" x14ac:dyDescent="0.25">
      <c r="K344" s="2"/>
    </row>
    <row r="347" spans="11:11" x14ac:dyDescent="0.25">
      <c r="K347" s="2"/>
    </row>
    <row r="348" spans="11:11" x14ac:dyDescent="0.25">
      <c r="K348" s="2"/>
    </row>
    <row r="349" spans="11:11" x14ac:dyDescent="0.25">
      <c r="K349" s="2"/>
    </row>
    <row r="352" spans="11:11" x14ac:dyDescent="0.25">
      <c r="K352" s="2"/>
    </row>
    <row r="353" spans="4:11" x14ac:dyDescent="0.25">
      <c r="K353" s="2"/>
    </row>
    <row r="354" spans="4:11" x14ac:dyDescent="0.25">
      <c r="K354" s="2"/>
    </row>
    <row r="356" spans="4:11" x14ac:dyDescent="0.25">
      <c r="D356" s="102"/>
    </row>
  </sheetData>
  <conditionalFormatting sqref="E102:O102 L165:O167 L169:O169 L171:O174 L176:O176 L199:O199 L202:O202 L207:O210 L212:O212 L214:O217 L219:O219 J223:J225 J228:J230 J243:K243 J248:K248 J253:K253 J258:K262 J264:K264 J266:K269 J271:K271 J277:K277 J282:K282 J287:K287 J292:K296 J298:K298 J300:K303 J305:K305">
    <cfRule type="cellIs" dxfId="11" priority="32" operator="lessThan">
      <formula>0</formula>
    </cfRule>
  </conditionalFormatting>
  <conditionalFormatting sqref="F245:F246">
    <cfRule type="cellIs" dxfId="10" priority="23" operator="lessThan">
      <formula>0</formula>
    </cfRule>
  </conditionalFormatting>
  <conditionalFormatting sqref="F250:F251">
    <cfRule type="cellIs" dxfId="9" priority="22" operator="lessThan">
      <formula>0</formula>
    </cfRule>
  </conditionalFormatting>
  <conditionalFormatting sqref="F255:F256">
    <cfRule type="cellIs" dxfId="8" priority="21" operator="lessThan">
      <formula>0</formula>
    </cfRule>
  </conditionalFormatting>
  <conditionalFormatting sqref="F279:F280">
    <cfRule type="cellIs" dxfId="7" priority="15" operator="lessThan">
      <formula>0</formula>
    </cfRule>
  </conditionalFormatting>
  <conditionalFormatting sqref="F284:F285">
    <cfRule type="cellIs" dxfId="6" priority="14" operator="lessThan">
      <formula>0</formula>
    </cfRule>
  </conditionalFormatting>
  <conditionalFormatting sqref="F289:F290">
    <cfRule type="cellIs" dxfId="5" priority="13" operator="lessThan">
      <formula>0</formula>
    </cfRule>
  </conditionalFormatting>
  <conditionalFormatting sqref="H116:O116 I117:O117">
    <cfRule type="cellIs" dxfId="4" priority="3" operator="lessThan">
      <formula>0</formula>
    </cfRule>
  </conditionalFormatting>
  <conditionalFormatting sqref="I106:O107">
    <cfRule type="cellIs" dxfId="3" priority="4" operator="lessThan">
      <formula>0</formula>
    </cfRule>
  </conditionalFormatting>
  <conditionalFormatting sqref="I122:O123">
    <cfRule type="cellIs" dxfId="2" priority="9" operator="lessThan">
      <formula>0</formula>
    </cfRule>
  </conditionalFormatting>
  <conditionalFormatting sqref="I145:O145">
    <cfRule type="cellIs" dxfId="1" priority="1" operator="lessThan">
      <formula>0</formula>
    </cfRule>
  </conditionalFormatting>
  <conditionalFormatting sqref="P43:R43">
    <cfRule type="cellIs" dxfId="0" priority="33" operator="lessThan">
      <formula>0</formula>
    </cfRule>
  </conditionalFormatting>
  <dataValidations count="10">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69" xr:uid="{00A4EA4C-90D3-4150-979D-4D71C7F37A31}">
      <formula1>"Yes, No"</formula1>
    </dataValidation>
    <dataValidation type="list" allowBlank="1" showInputMessage="1" showErrorMessage="1" sqref="E14 E36 E58 E80" xr:uid="{4AE50AD3-14AA-4BCF-9F4A-CDB83D5683F7}">
      <formula1>INDIRECT("Table_SourceData_Dairy_WjCowsHeifers[Breed]")</formula1>
    </dataValidation>
    <dataValidation type="list" allowBlank="1" showInputMessage="1" showErrorMessage="1" sqref="E8" xr:uid="{6FA0CD10-3A4D-4502-BF4B-69419E324406}">
      <formula1>INDIRECT("Table_SourceData_PastureBeef_Region_" &amp; SUBSTITUTE($E$7, " ", "") &amp; "[Region]")</formula1>
    </dataValidation>
    <dataValidation type="list" allowBlank="1" showInputMessage="1" showErrorMessage="1" sqref="E9" xr:uid="{8E842674-99B2-4794-90BA-390F1654D087}">
      <formula1>INDIRECT("Table_SourceData_PastureBeef_FeedIntakeAdjustment[Breed]")</formula1>
    </dataValidation>
    <dataValidation type="list" allowBlank="1" showInputMessage="1" showErrorMessage="1" sqref="E177" xr:uid="{964CB593-5D4D-4584-9033-0C54780AC43E}">
      <formula1>INDIRECT("Table_SourceData_PastureBeef_IrrigationMethods[Irrigation method]")</formula1>
    </dataValidation>
    <dataValidation type="list" allowBlank="1" showInputMessage="1" showErrorMessage="1" sqref="E176" xr:uid="{EB9B83E0-A891-43A7-9523-094EA6EFCDCF}">
      <formula1>INDIRECT("Table_SourceData_PastureBeef_CropProdSystems[Production system]")</formula1>
    </dataValidation>
    <dataValidation type="list" allowBlank="1" showInputMessage="1" showErrorMessage="1" sqref="E104" xr:uid="{F19D713C-D639-4E0B-97FE-4871A2D0DBE9}">
      <formula1>"Spring, Summer, Autumn, Winter"</formula1>
    </dataValidation>
    <dataValidation type="list" allowBlank="1" showInputMessage="1" showErrorMessage="1" sqref="E111" xr:uid="{201520A7-DD52-4880-9064-2B6F553814DB}">
      <formula1>$D$22:$D$33</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I274"/>
  <sheetViews>
    <sheetView showGridLines="0" topLeftCell="A109" zoomScale="85" zoomScaleNormal="85" workbookViewId="0">
      <selection activeCell="E128" sqref="E128"/>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6" t="e" vm="1">
        <v>#VALUE!</v>
      </c>
      <c r="C1" s="8" t="s">
        <v>255</v>
      </c>
    </row>
    <row r="2" spans="1:35" s="9" customFormat="1" ht="20.100000000000001" customHeight="1" x14ac:dyDescent="0.25"/>
    <row r="3" spans="1:35" ht="20.100000000000001" customHeight="1" x14ac:dyDescent="0.25">
      <c r="A3" s="17" t="str">
        <f>HYPERLINK("#'Home'!A1", "Home")</f>
        <v>Home</v>
      </c>
      <c r="C3" s="4"/>
      <c r="D3" s="4" t="s">
        <v>83</v>
      </c>
      <c r="E3" s="4"/>
      <c r="F3" s="4"/>
      <c r="G3" s="4"/>
      <c r="H3" s="4"/>
      <c r="I3" s="4"/>
      <c r="J3" s="4"/>
      <c r="K3" s="4"/>
      <c r="L3" s="4"/>
      <c r="M3" s="4"/>
      <c r="N3" s="4"/>
      <c r="O3" s="4"/>
      <c r="P3" s="4"/>
      <c r="Q3" s="4"/>
      <c r="R3" s="4"/>
      <c r="T3" s="4"/>
      <c r="U3" s="4" t="s">
        <v>84</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A5" s="16"/>
      <c r="D5" s="6" t="str" cm="1">
        <f t="array" ref="D5">EntericMethane_PastureBeef_Equations.VEERG_3_2_1_1__4_AdditionalIntakeForMilkProduction_Title()</f>
        <v>Additional intake for milk production in the season of calving and the season after calving</v>
      </c>
    </row>
    <row r="6" spans="1:35" ht="20.100000000000001" customHeight="1" x14ac:dyDescent="0.25">
      <c r="A6" s="20" t="s">
        <v>1</v>
      </c>
      <c r="D6" s="5" t="str" cm="1">
        <f t="array" ref="D6">EntericMethane_PastureBeef_Equations.VEERG_3_2_1_1__4_AdditionalIntakeForMilkProduction_Source()</f>
        <v>VEERG 2026: 3.2.1.1, Equation (4)</v>
      </c>
    </row>
    <row r="7" spans="1:35" ht="20.100000000000001" customHeight="1" x14ac:dyDescent="0.25">
      <c r="A7" s="17" t="str">
        <f>HYPERLINK("#'Input - Site'!A1", "Site")</f>
        <v>Site</v>
      </c>
      <c r="D7" s="13" t="s">
        <v>20</v>
      </c>
      <c r="E7" s="13" t="s">
        <v>252</v>
      </c>
    </row>
    <row r="8" spans="1:35" ht="20.100000000000001" customHeight="1" x14ac:dyDescent="0.25">
      <c r="A8" s="17" t="str">
        <f>HYPERLINK("#'Input - Pasture Beef'!A1", "Pasture Beef")</f>
        <v>Pasture Beef</v>
      </c>
    </row>
    <row r="9" spans="1:35" ht="20.100000000000001" customHeight="1" x14ac:dyDescent="0.25">
      <c r="A9" s="17"/>
    </row>
    <row r="10" spans="1:35" ht="20.100000000000001" customHeight="1" x14ac:dyDescent="0.25">
      <c r="A10" s="19" t="s">
        <v>59</v>
      </c>
      <c r="D10" s="52" t="s">
        <v>23</v>
      </c>
      <c r="E10" s="1" t="str" cm="1">
        <f t="array" ref="E10">EntericMethane_PastureBeef_Equations.VEERG_3_2_1_1__4_AdditionalIntakeForMilkProduction_Variable()</f>
        <v>MA_jk45</v>
      </c>
    </row>
    <row r="11" spans="1:35" ht="20.100000000000001" customHeight="1" x14ac:dyDescent="0.25">
      <c r="A11" s="121" t="str">
        <f>HYPERLINK("#'3.2.1.1-2 Enteric Methane'!A1", "3.2.1.1-2 Enteric Methane")</f>
        <v>3.2.1.1-2 Enteric Methane</v>
      </c>
      <c r="D11" s="52" t="s">
        <v>14</v>
      </c>
      <c r="E11" s="53" t="str" cm="1">
        <f t="array" ref="E11">EntericMethane_PastureBeef_Equations.VEERG_3_2_1_1__4_AdditionalIntakeForMilkProduction_Unit()</f>
        <v>fraction</v>
      </c>
    </row>
    <row r="12" spans="1:35" ht="20.100000000000001" customHeight="1" x14ac:dyDescent="0.25">
      <c r="A12" s="17"/>
    </row>
    <row r="13" spans="1:35" ht="20.100000000000001" customHeight="1" x14ac:dyDescent="0.25">
      <c r="A13" s="18" t="s">
        <v>2</v>
      </c>
      <c r="D13" s="112" t="str" cm="1">
        <f t="array" ref="D13:E16">_xlfn.CHOOSECOLS(EntericMethane_PastureBeef_Equations.VEERG_3_2_1_1__4_AdditionalIntakeForMilkProduction_ArgumentsVariation(), 1, 2)</f>
        <v>LC_jk45</v>
      </c>
      <c r="E13" s="117" t="str">
        <v>proportion of cows greater than 1 year in calf in the season of calving expressed as a fraction</v>
      </c>
      <c r="F13" s="118"/>
      <c r="G13" s="116"/>
      <c r="H13" s="112" t="str" cm="1">
        <f t="array" ref="H13:I16">_xlfn.CHOOSECOLS(EntericMethane_PastureBeef_Equations.VEERG_3_2_1_1__4_AdditionalIntakeForMilkProduction_ArgumentsVariation(), 3,4)</f>
        <v>fraction</v>
      </c>
      <c r="I13" s="114" t="str">
        <v>Input</v>
      </c>
      <c r="J13" s="111" t="str" cm="1">
        <f t="array" aca="1" ref="J13" ca="1">HYPERLINK(Common_InputFunctions.Utility_SourceHyperlink($D$18), $D$18)</f>
        <v>M1_Table_LC_j_k-4-5</v>
      </c>
    </row>
    <row r="14" spans="1:35" ht="20.100000000000001" customHeight="1" x14ac:dyDescent="0.25">
      <c r="A14" s="17" t="str">
        <f>HYPERLINK("#'Constants - Pasture Beef'!A1", "Constants - Pasture Beef")</f>
        <v>Constants - Pasture Beef</v>
      </c>
      <c r="D14" s="112" t="str">
        <v>FA_jk45calv</v>
      </c>
      <c r="E14" s="117" t="str">
        <v>feed adjustment value for lactating cows in the season of calving expressed as a fraction</v>
      </c>
      <c r="F14" s="118"/>
      <c r="G14" s="116"/>
      <c r="H14" s="112" t="str">
        <v>fraction</v>
      </c>
      <c r="I14" s="113" t="str">
        <v>Constant</v>
      </c>
      <c r="J14" s="112"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5" ht="20.100000000000001" customHeight="1" x14ac:dyDescent="0.25">
      <c r="A15" s="17" t="str">
        <f>HYPERLINK("#'Constants - Livestock'!A1", "Constants - Livestock")</f>
        <v>Constants - Livestock</v>
      </c>
      <c r="D15" s="112" t="str">
        <v>FA_jk45after</v>
      </c>
      <c r="E15" s="117" t="str">
        <v>feed adjustment value for lactating cows in the season immediately after calving expressed as a fraction</v>
      </c>
      <c r="F15" s="118"/>
      <c r="G15" s="116"/>
      <c r="H15" s="112" t="str">
        <v>fraction</v>
      </c>
      <c r="I15" s="113" t="str">
        <v>Constant</v>
      </c>
      <c r="J15" s="112"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5" ht="20.100000000000001" customHeight="1" x14ac:dyDescent="0.25">
      <c r="A16" s="17" t="str">
        <f>HYPERLINK("#'Constants - Common'!A1", "Constants - Common")</f>
        <v>Constants - Common</v>
      </c>
      <c r="D16" s="112" t="str">
        <v>b</v>
      </c>
      <c r="E16" s="117" t="str">
        <v>breed of cattle</v>
      </c>
      <c r="F16" s="118"/>
      <c r="G16" s="116"/>
      <c r="H16" s="112" t="str">
        <v/>
      </c>
      <c r="I16" s="114" t="str">
        <v>Input</v>
      </c>
      <c r="J16" s="112" t="str">
        <f>'Input - Pasture Beef'!$E$9</f>
        <v>Hereford or Shorthorn breeds</v>
      </c>
    </row>
    <row r="17" spans="1:34" ht="20.100000000000001" customHeight="1" x14ac:dyDescent="0.25">
      <c r="A17" s="17" t="str">
        <f>HYPERLINK("#'Acknowledgements'!A1", "Acknowledgements")</f>
        <v>Acknowledgements</v>
      </c>
    </row>
    <row r="18" spans="1:34" ht="20.100000000000001" customHeight="1" x14ac:dyDescent="0.25">
      <c r="D18" s="96" t="s">
        <v>190</v>
      </c>
    </row>
    <row r="19" spans="1:34" ht="20.100000000000001" customHeight="1" x14ac:dyDescent="0.25">
      <c r="A19" s="17"/>
      <c r="D19" s="95" t="s">
        <v>213</v>
      </c>
      <c r="U19" s="96" t="s">
        <v>209</v>
      </c>
    </row>
    <row r="20" spans="1:34" ht="20.100000000000001" customHeight="1" x14ac:dyDescent="0.25">
      <c r="A20" s="17"/>
      <c r="D20" s="50" t="s">
        <v>144</v>
      </c>
      <c r="E20" s="115" t="s">
        <v>126</v>
      </c>
      <c r="F20" s="115" t="s">
        <v>127</v>
      </c>
      <c r="G20" s="115" t="s">
        <v>128</v>
      </c>
      <c r="U20" s="95" t="s">
        <v>210</v>
      </c>
    </row>
    <row r="21" spans="1:34" ht="20.100000000000001" customHeight="1" x14ac:dyDescent="0.25">
      <c r="D21" s="51" t="str">
        <f>'Input - Pasture Beef'!$E$104</f>
        <v>Winter</v>
      </c>
      <c r="E21" s="51">
        <f>'Input - Pasture Beef'!$E$107</f>
        <v>0.9</v>
      </c>
      <c r="F21" s="51">
        <f>'Input - Pasture Beef'!$F$107</f>
        <v>0.5</v>
      </c>
      <c r="G21" s="51">
        <f>'Input - Pasture Beef'!$G$107</f>
        <v>0.5</v>
      </c>
      <c r="H21" s="2" t="s">
        <v>78</v>
      </c>
      <c r="U21" s="50" t="s">
        <v>103</v>
      </c>
      <c r="V21" s="115" t="s">
        <v>126</v>
      </c>
      <c r="W21" s="115" t="s">
        <v>127</v>
      </c>
      <c r="X21" s="115" t="s">
        <v>128</v>
      </c>
    </row>
    <row r="22" spans="1:34" ht="20.100000000000001" customHeight="1" x14ac:dyDescent="0.25">
      <c r="A22" s="17"/>
      <c r="U22" s="51" t="str">
        <f>TEXT(EDATE('Input - Pasture Beef'!$D$117,0), "mmmm") &amp; ", " &amp; TEXT(EDATE('Input - Pasture Beef'!$D$118,0), "mmmm") &amp; ", " &amp; TEXT(EDATE('Input - Pasture Beef'!$D$119,0), "mmmm")</f>
        <v>August, September, October</v>
      </c>
      <c r="V22" s="51">
        <f>'Input - Pasture Beef'!$E$120</f>
        <v>0.75</v>
      </c>
      <c r="W22" s="51">
        <f>'Input - Pasture Beef'!$F$120</f>
        <v>0.75</v>
      </c>
      <c r="X22" s="51">
        <f>'Input - Pasture Beef'!$G$120</f>
        <v>0.75</v>
      </c>
      <c r="Y22" s="2" t="s">
        <v>78</v>
      </c>
    </row>
    <row r="23" spans="1:34" ht="20.100000000000001" customHeight="1" x14ac:dyDescent="0.25">
      <c r="A23" s="17"/>
      <c r="D23" s="96" t="s">
        <v>200</v>
      </c>
      <c r="U23" s="51" t="str">
        <f>TEXT(EDATE('Input - Pasture Beef'!$D$119,1), "mmmm") &amp; ", " &amp; TEXT(EDATE('Input - Pasture Beef'!$D$119,2), "mmmm") &amp; ", " &amp; TEXT(EDATE('Input - Pasture Beef'!$D$119,3), "mmmm")</f>
        <v>November, December, January</v>
      </c>
      <c r="Y23" s="2"/>
    </row>
    <row r="24" spans="1:34" ht="20.100000000000001" customHeight="1" x14ac:dyDescent="0.25">
      <c r="D24" s="95" t="s">
        <v>201</v>
      </c>
      <c r="Y24" s="2"/>
    </row>
    <row r="25" spans="1:34" ht="20.100000000000001" customHeight="1" x14ac:dyDescent="0.25">
      <c r="D25" s="50" t="s">
        <v>144</v>
      </c>
      <c r="E25" s="50" t="s">
        <v>206</v>
      </c>
      <c r="F25" s="50" t="s">
        <v>248</v>
      </c>
      <c r="G25" s="50" t="s">
        <v>102</v>
      </c>
      <c r="H25" s="50" t="s">
        <v>101</v>
      </c>
      <c r="I25" s="50" t="s">
        <v>125</v>
      </c>
      <c r="J25" s="50" t="s">
        <v>126</v>
      </c>
      <c r="K25" s="50" t="s">
        <v>127</v>
      </c>
      <c r="L25" s="50" t="s">
        <v>128</v>
      </c>
      <c r="M25" s="50" t="s">
        <v>129</v>
      </c>
      <c r="N25" s="50" t="s">
        <v>130</v>
      </c>
      <c r="O25" s="50" t="s">
        <v>131</v>
      </c>
      <c r="P25" s="50" t="s">
        <v>132</v>
      </c>
      <c r="U25" s="96" t="s">
        <v>211</v>
      </c>
    </row>
    <row r="26" spans="1:34" ht="20.100000000000001" customHeight="1" x14ac:dyDescent="0.25">
      <c r="D26" s="51" t="s">
        <v>133</v>
      </c>
      <c r="E26" s="51" t="str" cm="1">
        <f t="array" ref="E26">_xlfn.IFS(D21=D26, "Calving season", D21=D29, "Season after calving", D21=D27, "", D21=D28, "")</f>
        <v>Season after calving</v>
      </c>
      <c r="F26" s="51" cm="1">
        <f t="array" ref="F26">_xlfn.IFS(E26="Calving season", $J$14, E26="Season after calving", $J$15, E26="", "")</f>
        <v>1.1000000000000001</v>
      </c>
      <c r="G26" s="51">
        <v>1</v>
      </c>
      <c r="H26" s="51">
        <v>1</v>
      </c>
      <c r="I26" s="51">
        <v>1</v>
      </c>
      <c r="J26" s="51" cm="1">
        <f t="array" ref="J26">IFERROR(EntericMethane_PastureBeef_Equations.VEERG_3_2_1_1__4_AdditionalIntakeForMilkProduction(E$21,$F26), 1)</f>
        <v>1.0900000000000001</v>
      </c>
      <c r="K26" s="51" cm="1">
        <f t="array" ref="K26">IFERROR(EntericMethane_PastureBeef_Equations.VEERG_3_2_1_1__4_AdditionalIntakeForMilkProduction(F$21,$F26), 1)</f>
        <v>1.05</v>
      </c>
      <c r="L26" s="51" cm="1">
        <f t="array" ref="L26">IFERROR(EntericMethane_PastureBeef_Equations.VEERG_3_2_1_1__4_AdditionalIntakeForMilkProduction(G$21,$F26), 1)</f>
        <v>1.05</v>
      </c>
      <c r="M26" s="51">
        <v>1</v>
      </c>
      <c r="N26" s="51">
        <v>1</v>
      </c>
      <c r="O26" s="51">
        <v>1</v>
      </c>
      <c r="P26" s="51">
        <v>1</v>
      </c>
      <c r="Q26" s="2" t="str">
        <f>$E$11</f>
        <v>fraction</v>
      </c>
      <c r="U26" s="95" t="s">
        <v>212</v>
      </c>
    </row>
    <row r="27" spans="1:34" ht="20.100000000000001" customHeight="1" x14ac:dyDescent="0.25">
      <c r="D27" s="51" t="s">
        <v>134</v>
      </c>
      <c r="E27" s="51" t="str" cm="1">
        <f t="array" ref="E27">_xlfn.IFS(D21=D27, "Calving season", D21=D26, "Season after calving", D21=D28, "", D21=D29, "")</f>
        <v/>
      </c>
      <c r="F27" s="51" t="str" cm="1">
        <f t="array" ref="F27">_xlfn.IFS(E27="Calving season", $J$14, E27="Season after calving", $J$15, E27="", "")</f>
        <v/>
      </c>
      <c r="G27" s="51">
        <v>1</v>
      </c>
      <c r="H27" s="51">
        <v>1</v>
      </c>
      <c r="I27" s="51">
        <v>1</v>
      </c>
      <c r="J27" s="51" cm="1">
        <f t="array" ref="J27">IFERROR(EntericMethane_PastureBeef_Equations.VEERG_3_2_1_1__4_AdditionalIntakeForMilkProduction(E$21,$F27), 1)</f>
        <v>1</v>
      </c>
      <c r="K27" s="51" cm="1">
        <f t="array" ref="K27">IFERROR(EntericMethane_PastureBeef_Equations.VEERG_3_2_1_1__4_AdditionalIntakeForMilkProduction(F$21,$F27), 1)</f>
        <v>1</v>
      </c>
      <c r="L27" s="51" cm="1">
        <f t="array" ref="L27">IFERROR(EntericMethane_PastureBeef_Equations.VEERG_3_2_1_1__4_AdditionalIntakeForMilkProduction(G$21,$F27), 1)</f>
        <v>1</v>
      </c>
      <c r="M27" s="51">
        <v>1</v>
      </c>
      <c r="N27" s="51">
        <v>1</v>
      </c>
      <c r="O27" s="51">
        <v>1</v>
      </c>
      <c r="P27" s="51">
        <v>1</v>
      </c>
      <c r="Q27" s="2" t="str">
        <f t="shared" ref="Q27:Q29" si="0">$E$11</f>
        <v>fraction</v>
      </c>
      <c r="U27" s="50" t="s">
        <v>103</v>
      </c>
      <c r="V27" s="50" t="s">
        <v>206</v>
      </c>
      <c r="W27" s="50" t="s">
        <v>248</v>
      </c>
      <c r="X27" s="50" t="s">
        <v>102</v>
      </c>
      <c r="Y27" s="50" t="s">
        <v>101</v>
      </c>
      <c r="Z27" s="50" t="s">
        <v>125</v>
      </c>
      <c r="AA27" s="50" t="s">
        <v>126</v>
      </c>
      <c r="AB27" s="50" t="s">
        <v>127</v>
      </c>
      <c r="AC27" s="50" t="s">
        <v>128</v>
      </c>
      <c r="AD27" s="50" t="s">
        <v>129</v>
      </c>
      <c r="AE27" s="50" t="s">
        <v>130</v>
      </c>
      <c r="AF27" s="50" t="s">
        <v>131</v>
      </c>
      <c r="AG27" s="50" t="s">
        <v>132</v>
      </c>
    </row>
    <row r="28" spans="1:34" ht="20.100000000000001" customHeight="1" x14ac:dyDescent="0.25">
      <c r="D28" s="51" t="s">
        <v>135</v>
      </c>
      <c r="E28" s="51" t="str" cm="1">
        <f t="array" ref="E28">_xlfn.IFS(D21=D28, "Calving season", D21=D27, "Season after calving", D21=D29, "", D21=D26, "")</f>
        <v/>
      </c>
      <c r="F28" s="51" t="str" cm="1">
        <f t="array" ref="F28">_xlfn.IFS(E28="Calving season", $J$14, E28="Season after calving", $J$15, E28="", "")</f>
        <v/>
      </c>
      <c r="G28" s="51">
        <v>1</v>
      </c>
      <c r="H28" s="51">
        <v>1</v>
      </c>
      <c r="I28" s="51">
        <v>1</v>
      </c>
      <c r="J28" s="51" cm="1">
        <f t="array" ref="J28">IFERROR(EntericMethane_PastureBeef_Equations.VEERG_3_2_1_1__4_AdditionalIntakeForMilkProduction(E$21,$F28), 1)</f>
        <v>1</v>
      </c>
      <c r="K28" s="51" cm="1">
        <f t="array" ref="K28">IFERROR(EntericMethane_PastureBeef_Equations.VEERG_3_2_1_1__4_AdditionalIntakeForMilkProduction(F$21,$F28), 1)</f>
        <v>1</v>
      </c>
      <c r="L28" s="51" cm="1">
        <f t="array" ref="L28">IFERROR(EntericMethane_PastureBeef_Equations.VEERG_3_2_1_1__4_AdditionalIntakeForMilkProduction(G$21,$F28), 1)</f>
        <v>1</v>
      </c>
      <c r="M28" s="51">
        <v>1</v>
      </c>
      <c r="N28" s="51">
        <v>1</v>
      </c>
      <c r="O28" s="51">
        <v>1</v>
      </c>
      <c r="P28" s="51">
        <v>1</v>
      </c>
      <c r="Q28" s="2" t="str">
        <f t="shared" si="0"/>
        <v>fraction</v>
      </c>
      <c r="U28" s="51" t="str">
        <f>TEXT('Input - Site'!$E$12,"mmmm")</f>
        <v>January</v>
      </c>
      <c r="V28" s="51" t="str" cm="1">
        <f t="array" ref="V28">IFERROR(_xlfn.IFS(SUMPRODUCT(ISNUMBER(SEARCH(TRIM(_xlfn.TEXTSPLIT($U$22,",")),U28))*1)&gt;0,"Calving season",SUMPRODUCT(ISNUMBER(SEARCH(TRIM(_xlfn.TEXTSPLIT($U$23,",")),U28))*1)&gt;0,"Season after calving"), "")</f>
        <v>Season after calving</v>
      </c>
      <c r="W28" s="51" cm="1">
        <f t="array" ref="W28">_xlfn.IFS(V28="Calving season", $J$14, V28="Season after calving", $J$15, V28="", "")</f>
        <v>1.1000000000000001</v>
      </c>
      <c r="X28" s="51">
        <v>1</v>
      </c>
      <c r="Y28" s="51">
        <v>1</v>
      </c>
      <c r="Z28" s="51">
        <v>1</v>
      </c>
      <c r="AA28" s="51" cm="1">
        <f t="array" ref="AA28">IFERROR(EntericMethane_PastureBeef_Equations.VEERG_3_2_1_1__4_AdditionalIntakeForMilkProduction(V$22,$W28), 1)</f>
        <v>1.0750000000000002</v>
      </c>
      <c r="AB28" s="51" cm="1">
        <f t="array" ref="AB28">IFERROR(EntericMethane_PastureBeef_Equations.VEERG_3_2_1_1__4_AdditionalIntakeForMilkProduction(W$22,$W28), 1)</f>
        <v>1.0750000000000002</v>
      </c>
      <c r="AC28" s="51" cm="1">
        <f t="array" ref="AC28">IFERROR(EntericMethane_PastureBeef_Equations.VEERG_3_2_1_1__4_AdditionalIntakeForMilkProduction(X$22,$W28), 1)</f>
        <v>1.0750000000000002</v>
      </c>
      <c r="AD28" s="51">
        <v>1</v>
      </c>
      <c r="AE28" s="51">
        <v>1</v>
      </c>
      <c r="AF28" s="51">
        <v>1</v>
      </c>
      <c r="AG28" s="51">
        <v>1</v>
      </c>
      <c r="AH28" s="2" t="str">
        <f>$E$11</f>
        <v>fraction</v>
      </c>
    </row>
    <row r="29" spans="1:34" ht="20.100000000000001" customHeight="1" x14ac:dyDescent="0.25">
      <c r="D29" s="51" t="s">
        <v>136</v>
      </c>
      <c r="E29" s="51" t="str" cm="1">
        <f t="array" ref="E29">_xlfn.IFS(D21=D29, "Calving season", D21=D28, "Season after calving", D21=D26, "", D21=D27, "")</f>
        <v>Calving season</v>
      </c>
      <c r="F29" s="51" cm="1">
        <f t="array" ref="F29">_xlfn.IFS(E29="Calving season", $J$14, E29="Season after calving", $J$15, E29="", "")</f>
        <v>1.3</v>
      </c>
      <c r="G29" s="51">
        <v>1</v>
      </c>
      <c r="H29" s="51">
        <v>1</v>
      </c>
      <c r="I29" s="51">
        <v>1</v>
      </c>
      <c r="J29" s="51" cm="1">
        <f t="array" ref="J29">IFERROR(EntericMethane_PastureBeef_Equations.VEERG_3_2_1_1__4_AdditionalIntakeForMilkProduction(E$21,$F29), 1)</f>
        <v>1.27</v>
      </c>
      <c r="K29" s="51" cm="1">
        <f t="array" ref="K29">IFERROR(EntericMethane_PastureBeef_Equations.VEERG_3_2_1_1__4_AdditionalIntakeForMilkProduction(F$21,$F29), 1)</f>
        <v>1.1499999999999999</v>
      </c>
      <c r="L29" s="51" cm="1">
        <f t="array" ref="L29">IFERROR(EntericMethane_PastureBeef_Equations.VEERG_3_2_1_1__4_AdditionalIntakeForMilkProduction(G$21,$F29), 1)</f>
        <v>1.1499999999999999</v>
      </c>
      <c r="M29" s="51">
        <v>1</v>
      </c>
      <c r="N29" s="51">
        <v>1</v>
      </c>
      <c r="O29" s="51">
        <v>1</v>
      </c>
      <c r="P29" s="51">
        <v>1</v>
      </c>
      <c r="Q29" s="2" t="str">
        <f t="shared" si="0"/>
        <v>fraction</v>
      </c>
      <c r="U29" s="51" t="str">
        <f>TEXT(EDATE('Input - Site'!$E$12,1), "mmmm")</f>
        <v>February</v>
      </c>
      <c r="V29" s="51" t="str" cm="1">
        <f t="array" ref="V29">IFERROR(_xlfn.IFS(SUMPRODUCT(ISNUMBER(SEARCH(TRIM(_xlfn.TEXTSPLIT($U$22,",")),U29))*1)&gt;0,"Calving season",SUMPRODUCT(ISNUMBER(SEARCH(TRIM(_xlfn.TEXTSPLIT($U$23,",")),U29))*1)&gt;0,"Season after calving"), "")</f>
        <v/>
      </c>
      <c r="W29" s="51" t="str" cm="1">
        <f t="array" ref="W29">_xlfn.IFS(V29="Calving season", $J$14, V29="Season after calving", $J$15, V29="", "")</f>
        <v/>
      </c>
      <c r="X29" s="51">
        <v>1</v>
      </c>
      <c r="Y29" s="51">
        <v>1</v>
      </c>
      <c r="Z29" s="51">
        <v>1</v>
      </c>
      <c r="AA29" s="51" cm="1">
        <f t="array" ref="AA29">IFERROR(EntericMethane_PastureBeef_Equations.VEERG_3_2_1_1__4_AdditionalIntakeForMilkProduction(V$22,$W29), 1)</f>
        <v>1</v>
      </c>
      <c r="AB29" s="51" cm="1">
        <f t="array" ref="AB29">IFERROR(EntericMethane_PastureBeef_Equations.VEERG_3_2_1_1__4_AdditionalIntakeForMilkProduction(W$22,$W29), 1)</f>
        <v>1</v>
      </c>
      <c r="AC29" s="51" cm="1">
        <f t="array" ref="AC29">IFERROR(EntericMethane_PastureBeef_Equations.VEERG_3_2_1_1__4_AdditionalIntakeForMilkProduction(X$22,$W29), 1)</f>
        <v>1</v>
      </c>
      <c r="AD29" s="51">
        <v>1</v>
      </c>
      <c r="AE29" s="51">
        <v>1</v>
      </c>
      <c r="AF29" s="51">
        <v>1</v>
      </c>
      <c r="AG29" s="51">
        <v>1</v>
      </c>
      <c r="AH29" s="2" t="str">
        <f t="shared" ref="AH29:AH39" si="1">$E$11</f>
        <v>fraction</v>
      </c>
    </row>
    <row r="30" spans="1:34" ht="20.100000000000001" customHeight="1" x14ac:dyDescent="0.25">
      <c r="U30" s="51" t="str">
        <f>TEXT(EDATE('Input - Site'!$E$12,2), "mmmm")</f>
        <v>March</v>
      </c>
      <c r="V30" s="51" t="str" cm="1">
        <f t="array" ref="V30">IFERROR(_xlfn.IFS(SUMPRODUCT(ISNUMBER(SEARCH(TRIM(_xlfn.TEXTSPLIT($U$22,",")),U30))*1)&gt;0,"Calving season",SUMPRODUCT(ISNUMBER(SEARCH(TRIM(_xlfn.TEXTSPLIT($U$23,",")),U30))*1)&gt;0,"Season after calving"), "")</f>
        <v/>
      </c>
      <c r="W30" s="51" t="str" cm="1">
        <f t="array" ref="W30">_xlfn.IFS(V30="Calving season", $J$14, V30="Season after calving", $J$15, V30="", "")</f>
        <v/>
      </c>
      <c r="X30" s="51">
        <v>1</v>
      </c>
      <c r="Y30" s="51">
        <v>1</v>
      </c>
      <c r="Z30" s="51">
        <v>1</v>
      </c>
      <c r="AA30" s="51" cm="1">
        <f t="array" ref="AA30">IFERROR(EntericMethane_PastureBeef_Equations.VEERG_3_2_1_1__4_AdditionalIntakeForMilkProduction(V$22,$W30), 1)</f>
        <v>1</v>
      </c>
      <c r="AB30" s="51" cm="1">
        <f t="array" ref="AB30">IFERROR(EntericMethane_PastureBeef_Equations.VEERG_3_2_1_1__4_AdditionalIntakeForMilkProduction(W$22,$W30), 1)</f>
        <v>1</v>
      </c>
      <c r="AC30" s="51" cm="1">
        <f t="array" ref="AC30">IFERROR(EntericMethane_PastureBeef_Equations.VEERG_3_2_1_1__4_AdditionalIntakeForMilkProduction(X$22,$W30), 1)</f>
        <v>1</v>
      </c>
      <c r="AD30" s="51">
        <v>1</v>
      </c>
      <c r="AE30" s="51">
        <v>1</v>
      </c>
      <c r="AF30" s="51">
        <v>1</v>
      </c>
      <c r="AG30" s="51">
        <v>1</v>
      </c>
      <c r="AH30" s="2" t="str">
        <f t="shared" si="1"/>
        <v>fraction</v>
      </c>
    </row>
    <row r="31" spans="1:34" ht="20.100000000000001" customHeight="1" x14ac:dyDescent="0.25">
      <c r="U31" s="51" t="str">
        <f>TEXT(EDATE('Input - Site'!$E$12,3), "mmmm")</f>
        <v>April</v>
      </c>
      <c r="V31" s="51" t="str" cm="1">
        <f t="array" ref="V31">IFERROR(_xlfn.IFS(SUMPRODUCT(ISNUMBER(SEARCH(TRIM(_xlfn.TEXTSPLIT($U$22,",")),U31))*1)&gt;0,"Calving season",SUMPRODUCT(ISNUMBER(SEARCH(TRIM(_xlfn.TEXTSPLIT($U$23,",")),U31))*1)&gt;0,"Season after calving"), "")</f>
        <v/>
      </c>
      <c r="W31" s="51" t="str" cm="1">
        <f t="array" ref="W31">_xlfn.IFS(V31="Calving season", $J$14, V31="Season after calving", $J$15, V31="", "")</f>
        <v/>
      </c>
      <c r="X31" s="51">
        <v>1</v>
      </c>
      <c r="Y31" s="51">
        <v>1</v>
      </c>
      <c r="Z31" s="51">
        <v>1</v>
      </c>
      <c r="AA31" s="51" cm="1">
        <f t="array" ref="AA31">IFERROR(EntericMethane_PastureBeef_Equations.VEERG_3_2_1_1__4_AdditionalIntakeForMilkProduction(V$22,$W31), 1)</f>
        <v>1</v>
      </c>
      <c r="AB31" s="51" cm="1">
        <f t="array" ref="AB31">IFERROR(EntericMethane_PastureBeef_Equations.VEERG_3_2_1_1__4_AdditionalIntakeForMilkProduction(W$22,$W31), 1)</f>
        <v>1</v>
      </c>
      <c r="AC31" s="51" cm="1">
        <f t="array" ref="AC31">IFERROR(EntericMethane_PastureBeef_Equations.VEERG_3_2_1_1__4_AdditionalIntakeForMilkProduction(X$22,$W31), 1)</f>
        <v>1</v>
      </c>
      <c r="AD31" s="51">
        <v>1</v>
      </c>
      <c r="AE31" s="51">
        <v>1</v>
      </c>
      <c r="AF31" s="51">
        <v>1</v>
      </c>
      <c r="AG31" s="51">
        <v>1</v>
      </c>
      <c r="AH31" s="2" t="str">
        <f t="shared" si="1"/>
        <v>fraction</v>
      </c>
    </row>
    <row r="32" spans="1:34" ht="20.100000000000001" customHeight="1" x14ac:dyDescent="0.25">
      <c r="C32" s="44"/>
      <c r="D32" s="44"/>
      <c r="E32" s="44"/>
      <c r="F32" s="44"/>
      <c r="G32" s="44"/>
      <c r="H32" s="44"/>
      <c r="I32" s="44"/>
      <c r="J32" s="44"/>
      <c r="K32" s="44"/>
      <c r="L32" s="44"/>
      <c r="M32" s="44"/>
      <c r="N32" s="44"/>
      <c r="O32" s="44"/>
      <c r="P32" s="44"/>
      <c r="Q32" s="44"/>
      <c r="R32" s="44"/>
      <c r="U32" s="51" t="str">
        <f>TEXT(EDATE('Input - Site'!$E$12,4), "mmmm")</f>
        <v>May</v>
      </c>
      <c r="V32" s="51" t="str" cm="1">
        <f t="array" ref="V32">IFERROR(_xlfn.IFS(SUMPRODUCT(ISNUMBER(SEARCH(TRIM(_xlfn.TEXTSPLIT($U$22,",")),U32))*1)&gt;0,"Calving season",SUMPRODUCT(ISNUMBER(SEARCH(TRIM(_xlfn.TEXTSPLIT($U$23,",")),U32))*1)&gt;0,"Season after calving"), "")</f>
        <v/>
      </c>
      <c r="W32" s="51" t="str" cm="1">
        <f t="array" ref="W32">_xlfn.IFS(V32="Calving season", $J$14, V32="Season after calving", $J$15, V32="", "")</f>
        <v/>
      </c>
      <c r="X32" s="51">
        <v>1</v>
      </c>
      <c r="Y32" s="51">
        <v>1</v>
      </c>
      <c r="Z32" s="51">
        <v>1</v>
      </c>
      <c r="AA32" s="51" cm="1">
        <f t="array" ref="AA32">IFERROR(EntericMethane_PastureBeef_Equations.VEERG_3_2_1_1__4_AdditionalIntakeForMilkProduction(V$22,$W32), 1)</f>
        <v>1</v>
      </c>
      <c r="AB32" s="51" cm="1">
        <f t="array" ref="AB32">IFERROR(EntericMethane_PastureBeef_Equations.VEERG_3_2_1_1__4_AdditionalIntakeForMilkProduction(W$22,$W32), 1)</f>
        <v>1</v>
      </c>
      <c r="AC32" s="51" cm="1">
        <f t="array" ref="AC32">IFERROR(EntericMethane_PastureBeef_Equations.VEERG_3_2_1_1__4_AdditionalIntakeForMilkProduction(X$22,$W32), 1)</f>
        <v>1</v>
      </c>
      <c r="AD32" s="51">
        <v>1</v>
      </c>
      <c r="AE32" s="51">
        <v>1</v>
      </c>
      <c r="AF32" s="51">
        <v>1</v>
      </c>
      <c r="AG32" s="51">
        <v>1</v>
      </c>
      <c r="AH32" s="2" t="str">
        <f t="shared" si="1"/>
        <v>fraction</v>
      </c>
    </row>
    <row r="33" spans="4:34" ht="20.100000000000001" customHeight="1" x14ac:dyDescent="0.25">
      <c r="D33" s="6" t="str" cm="1">
        <f t="array" ref="D33">EntericMethane_PastureBeef_Equations.VEERG_3_2_1_1__3_FeedIntakeForGrazingBeef_Title()</f>
        <v>Feed intake for grazing beef cattle</v>
      </c>
      <c r="U33" s="51" t="str">
        <f>TEXT(EDATE('Input - Site'!$E$12,5), "mmmm")</f>
        <v>June</v>
      </c>
      <c r="V33" s="51" t="str" cm="1">
        <f t="array" ref="V33">IFERROR(_xlfn.IFS(SUMPRODUCT(ISNUMBER(SEARCH(TRIM(_xlfn.TEXTSPLIT($U$22,",")),U33))*1)&gt;0,"Calving season",SUMPRODUCT(ISNUMBER(SEARCH(TRIM(_xlfn.TEXTSPLIT($U$23,",")),U33))*1)&gt;0,"Season after calving"), "")</f>
        <v/>
      </c>
      <c r="W33" s="51" t="str" cm="1">
        <f t="array" ref="W33">_xlfn.IFS(V33="Calving season", $J$14, V33="Season after calving", $J$15, V33="", "")</f>
        <v/>
      </c>
      <c r="X33" s="51">
        <v>1</v>
      </c>
      <c r="Y33" s="51">
        <v>1</v>
      </c>
      <c r="Z33" s="51">
        <v>1</v>
      </c>
      <c r="AA33" s="51" cm="1">
        <f t="array" ref="AA33">IFERROR(EntericMethane_PastureBeef_Equations.VEERG_3_2_1_1__4_AdditionalIntakeForMilkProduction(V$22,$W33), 1)</f>
        <v>1</v>
      </c>
      <c r="AB33" s="51" cm="1">
        <f t="array" ref="AB33">IFERROR(EntericMethane_PastureBeef_Equations.VEERG_3_2_1_1__4_AdditionalIntakeForMilkProduction(W$22,$W33), 1)</f>
        <v>1</v>
      </c>
      <c r="AC33" s="51" cm="1">
        <f t="array" ref="AC33">IFERROR(EntericMethane_PastureBeef_Equations.VEERG_3_2_1_1__4_AdditionalIntakeForMilkProduction(X$22,$W33), 1)</f>
        <v>1</v>
      </c>
      <c r="AD33" s="51">
        <v>1</v>
      </c>
      <c r="AE33" s="51">
        <v>1</v>
      </c>
      <c r="AF33" s="51">
        <v>1</v>
      </c>
      <c r="AG33" s="51">
        <v>1</v>
      </c>
      <c r="AH33" s="2" t="str">
        <f t="shared" si="1"/>
        <v>fraction</v>
      </c>
    </row>
    <row r="34" spans="4:34" ht="20.100000000000001" customHeight="1" x14ac:dyDescent="0.25">
      <c r="D34" s="5" t="str" cm="1">
        <f t="array" ref="D34">EntericMethane_PastureBeef_Equations.VEERG_3_2_1_1__3_FeedIntakeForGrazingBeef_Source()</f>
        <v>VEERG 2026: 3.2.1.1, Equation (3)</v>
      </c>
      <c r="U34" s="51" t="str">
        <f>TEXT(EDATE('Input - Site'!$E$12,6), "mmmm")</f>
        <v>July</v>
      </c>
      <c r="V34" s="51" t="str" cm="1">
        <f t="array" ref="V34">IFERROR(_xlfn.IFS(SUMPRODUCT(ISNUMBER(SEARCH(TRIM(_xlfn.TEXTSPLIT($U$22,",")),U34))*1)&gt;0,"Calving season",SUMPRODUCT(ISNUMBER(SEARCH(TRIM(_xlfn.TEXTSPLIT($U$23,",")),U34))*1)&gt;0,"Season after calving"), "")</f>
        <v/>
      </c>
      <c r="W34" s="51" t="str" cm="1">
        <f t="array" ref="W34">_xlfn.IFS(V34="Calving season", $J$14, V34="Season after calving", $J$15, V34="", "")</f>
        <v/>
      </c>
      <c r="X34" s="51">
        <v>1</v>
      </c>
      <c r="Y34" s="51">
        <v>1</v>
      </c>
      <c r="Z34" s="51">
        <v>1</v>
      </c>
      <c r="AA34" s="51" cm="1">
        <f t="array" ref="AA34">IFERROR(EntericMethane_PastureBeef_Equations.VEERG_3_2_1_1__4_AdditionalIntakeForMilkProduction(V$22,$W34), 1)</f>
        <v>1</v>
      </c>
      <c r="AB34" s="51" cm="1">
        <f t="array" ref="AB34">IFERROR(EntericMethane_PastureBeef_Equations.VEERG_3_2_1_1__4_AdditionalIntakeForMilkProduction(W$22,$W34), 1)</f>
        <v>1</v>
      </c>
      <c r="AC34" s="51" cm="1">
        <f t="array" ref="AC34">IFERROR(EntericMethane_PastureBeef_Equations.VEERG_3_2_1_1__4_AdditionalIntakeForMilkProduction(X$22,$W34), 1)</f>
        <v>1</v>
      </c>
      <c r="AD34" s="51">
        <v>1</v>
      </c>
      <c r="AE34" s="51">
        <v>1</v>
      </c>
      <c r="AF34" s="51">
        <v>1</v>
      </c>
      <c r="AG34" s="51">
        <v>1</v>
      </c>
      <c r="AH34" s="2" t="str">
        <f t="shared" si="1"/>
        <v>fraction</v>
      </c>
    </row>
    <row r="35" spans="4:34" ht="20.100000000000001" customHeight="1" x14ac:dyDescent="0.25">
      <c r="D35" s="13" t="s">
        <v>20</v>
      </c>
      <c r="E35" s="13" t="str" cm="1">
        <f t="array" aca="1" ref="E35" ca="1">Common_InputFunctions.Utility_DisplayFunctionName($E$64)</f>
        <v>=EntericMethane_PastureBeef_Equations.VEERG_3_2_1_1__3_FeedIntakeForGrazingBeef</v>
      </c>
      <c r="U35" s="51" t="str">
        <f>TEXT(EDATE('Input - Site'!$E$12,7), "mmmm")</f>
        <v>August</v>
      </c>
      <c r="V35" s="51" t="str" cm="1">
        <f t="array" ref="V35">IFERROR(_xlfn.IFS(SUMPRODUCT(ISNUMBER(SEARCH(TRIM(_xlfn.TEXTSPLIT($U$22,",")),U35))*1)&gt;0,"Calving season",SUMPRODUCT(ISNUMBER(SEARCH(TRIM(_xlfn.TEXTSPLIT($U$23,",")),U35))*1)&gt;0,"Season after calving"), "")</f>
        <v>Calving season</v>
      </c>
      <c r="W35" s="51" cm="1">
        <f t="array" ref="W35">_xlfn.IFS(V35="Calving season", $J$14, V35="Season after calving", $J$15, V35="", "")</f>
        <v>1.3</v>
      </c>
      <c r="X35" s="51">
        <v>1</v>
      </c>
      <c r="Y35" s="51">
        <v>1</v>
      </c>
      <c r="Z35" s="51">
        <v>1</v>
      </c>
      <c r="AA35" s="51" cm="1">
        <f t="array" ref="AA35">IFERROR(EntericMethane_PastureBeef_Equations.VEERG_3_2_1_1__4_AdditionalIntakeForMilkProduction(V$22,$W35), 1)</f>
        <v>1.2250000000000001</v>
      </c>
      <c r="AB35" s="51" cm="1">
        <f t="array" ref="AB35">IFERROR(EntericMethane_PastureBeef_Equations.VEERG_3_2_1_1__4_AdditionalIntakeForMilkProduction(W$22,$W35), 1)</f>
        <v>1.2250000000000001</v>
      </c>
      <c r="AC35" s="51" cm="1">
        <f t="array" ref="AC35">IFERROR(EntericMethane_PastureBeef_Equations.VEERG_3_2_1_1__4_AdditionalIntakeForMilkProduction(X$22,$W35), 1)</f>
        <v>1.2250000000000001</v>
      </c>
      <c r="AD35" s="51">
        <v>1</v>
      </c>
      <c r="AE35" s="51">
        <v>1</v>
      </c>
      <c r="AF35" s="51">
        <v>1</v>
      </c>
      <c r="AG35" s="51">
        <v>1</v>
      </c>
      <c r="AH35" s="2" t="str">
        <f t="shared" si="1"/>
        <v>fraction</v>
      </c>
    </row>
    <row r="36" spans="4:34" ht="20.100000000000001" customHeight="1" x14ac:dyDescent="0.25">
      <c r="U36" s="51" t="str">
        <f>TEXT(EDATE('Input - Site'!$E$12,8), "mmmm")</f>
        <v>September</v>
      </c>
      <c r="V36" s="51" t="str" cm="1">
        <f t="array" ref="V36">IFERROR(_xlfn.IFS(SUMPRODUCT(ISNUMBER(SEARCH(TRIM(_xlfn.TEXTSPLIT($U$22,",")),U36))*1)&gt;0,"Calving season",SUMPRODUCT(ISNUMBER(SEARCH(TRIM(_xlfn.TEXTSPLIT($U$23,",")),U36))*1)&gt;0,"Season after calving"), "")</f>
        <v>Calving season</v>
      </c>
      <c r="W36" s="51" cm="1">
        <f t="array" ref="W36">_xlfn.IFS(V36="Calving season", $J$14, V36="Season after calving", $J$15, V36="", "")</f>
        <v>1.3</v>
      </c>
      <c r="X36" s="51">
        <v>1</v>
      </c>
      <c r="Y36" s="51">
        <v>1</v>
      </c>
      <c r="Z36" s="51">
        <v>1</v>
      </c>
      <c r="AA36" s="51" cm="1">
        <f t="array" ref="AA36">IFERROR(EntericMethane_PastureBeef_Equations.VEERG_3_2_1_1__4_AdditionalIntakeForMilkProduction(V$22,$W36), 1)</f>
        <v>1.2250000000000001</v>
      </c>
      <c r="AB36" s="51" cm="1">
        <f t="array" ref="AB36">IFERROR(EntericMethane_PastureBeef_Equations.VEERG_3_2_1_1__4_AdditionalIntakeForMilkProduction(W$22,$W36), 1)</f>
        <v>1.2250000000000001</v>
      </c>
      <c r="AC36" s="51" cm="1">
        <f t="array" ref="AC36">IFERROR(EntericMethane_PastureBeef_Equations.VEERG_3_2_1_1__4_AdditionalIntakeForMilkProduction(X$22,$W36), 1)</f>
        <v>1.2250000000000001</v>
      </c>
      <c r="AD36" s="51">
        <v>1</v>
      </c>
      <c r="AE36" s="51">
        <v>1</v>
      </c>
      <c r="AF36" s="51">
        <v>1</v>
      </c>
      <c r="AG36" s="51">
        <v>1</v>
      </c>
      <c r="AH36" s="2" t="str">
        <f t="shared" si="1"/>
        <v>fraction</v>
      </c>
    </row>
    <row r="37" spans="4:34" ht="20.100000000000001" customHeight="1" x14ac:dyDescent="0.25">
      <c r="U37" s="51" t="str">
        <f>TEXT(EDATE('Input - Site'!$E$12,9), "mmmm")</f>
        <v>October</v>
      </c>
      <c r="V37" s="51" t="str" cm="1">
        <f t="array" ref="V37">IFERROR(_xlfn.IFS(SUMPRODUCT(ISNUMBER(SEARCH(TRIM(_xlfn.TEXTSPLIT($U$22,",")),U37))*1)&gt;0,"Calving season",SUMPRODUCT(ISNUMBER(SEARCH(TRIM(_xlfn.TEXTSPLIT($U$23,",")),U37))*1)&gt;0,"Season after calving"), "")</f>
        <v>Calving season</v>
      </c>
      <c r="W37" s="51" cm="1">
        <f t="array" ref="W37">_xlfn.IFS(V37="Calving season", $J$14, V37="Season after calving", $J$15, V37="", "")</f>
        <v>1.3</v>
      </c>
      <c r="X37" s="51">
        <v>1</v>
      </c>
      <c r="Y37" s="51">
        <v>1</v>
      </c>
      <c r="Z37" s="51">
        <v>1</v>
      </c>
      <c r="AA37" s="51" cm="1">
        <f t="array" ref="AA37">IFERROR(EntericMethane_PastureBeef_Equations.VEERG_3_2_1_1__4_AdditionalIntakeForMilkProduction(V$22,$W37), 1)</f>
        <v>1.2250000000000001</v>
      </c>
      <c r="AB37" s="51" cm="1">
        <f t="array" ref="AB37">IFERROR(EntericMethane_PastureBeef_Equations.VEERG_3_2_1_1__4_AdditionalIntakeForMilkProduction(W$22,$W37), 1)</f>
        <v>1.2250000000000001</v>
      </c>
      <c r="AC37" s="51" cm="1">
        <f t="array" ref="AC37">IFERROR(EntericMethane_PastureBeef_Equations.VEERG_3_2_1_1__4_AdditionalIntakeForMilkProduction(X$22,$W37), 1)</f>
        <v>1.2250000000000001</v>
      </c>
      <c r="AD37" s="51">
        <v>1</v>
      </c>
      <c r="AE37" s="51">
        <v>1</v>
      </c>
      <c r="AF37" s="51">
        <v>1</v>
      </c>
      <c r="AG37" s="51">
        <v>1</v>
      </c>
      <c r="AH37" s="2" t="str">
        <f t="shared" si="1"/>
        <v>fraction</v>
      </c>
    </row>
    <row r="38" spans="4:34" ht="20.100000000000001" customHeight="1" x14ac:dyDescent="0.25">
      <c r="D38" s="52" t="s">
        <v>23</v>
      </c>
      <c r="E38" s="1" t="str" cm="1">
        <f t="array" ref="E38">EntericMethane_PastureBeef_Equations.VEERG_3_2_1_1__3_FeedIntakeForGrazingBeef_Variable()</f>
        <v>I_jkl</v>
      </c>
      <c r="U38" s="51" t="str">
        <f>TEXT(EDATE('Input - Site'!$E$12,10), "mmmm")</f>
        <v>November</v>
      </c>
      <c r="V38" s="51" t="str" cm="1">
        <f t="array" ref="V38">IFERROR(_xlfn.IFS(SUMPRODUCT(ISNUMBER(SEARCH(TRIM(_xlfn.TEXTSPLIT($U$22,",")),U38))*1)&gt;0,"Calving season",SUMPRODUCT(ISNUMBER(SEARCH(TRIM(_xlfn.TEXTSPLIT($U$23,",")),U38))*1)&gt;0,"Season after calving"), "")</f>
        <v>Season after calving</v>
      </c>
      <c r="W38" s="51" cm="1">
        <f t="array" ref="W38">_xlfn.IFS(V38="Calving season", $J$14, V38="Season after calving", $J$15, V38="", "")</f>
        <v>1.1000000000000001</v>
      </c>
      <c r="X38" s="51">
        <v>1</v>
      </c>
      <c r="Y38" s="51">
        <v>1</v>
      </c>
      <c r="Z38" s="51">
        <v>1</v>
      </c>
      <c r="AA38" s="51" cm="1">
        <f t="array" ref="AA38">IFERROR(EntericMethane_PastureBeef_Equations.VEERG_3_2_1_1__4_AdditionalIntakeForMilkProduction(V$22,$W38), 1)</f>
        <v>1.0750000000000002</v>
      </c>
      <c r="AB38" s="51" cm="1">
        <f t="array" ref="AB38">IFERROR(EntericMethane_PastureBeef_Equations.VEERG_3_2_1_1__4_AdditionalIntakeForMilkProduction(W$22,$W38), 1)</f>
        <v>1.0750000000000002</v>
      </c>
      <c r="AC38" s="51" cm="1">
        <f t="array" ref="AC38">IFERROR(EntericMethane_PastureBeef_Equations.VEERG_3_2_1_1__4_AdditionalIntakeForMilkProduction(X$22,$W38), 1)</f>
        <v>1.0750000000000002</v>
      </c>
      <c r="AD38" s="51">
        <v>1</v>
      </c>
      <c r="AE38" s="51">
        <v>1</v>
      </c>
      <c r="AF38" s="51">
        <v>1</v>
      </c>
      <c r="AG38" s="51">
        <v>1</v>
      </c>
      <c r="AH38" s="2" t="str">
        <f t="shared" si="1"/>
        <v>fraction</v>
      </c>
    </row>
    <row r="39" spans="4:34" ht="20.100000000000001" customHeight="1" x14ac:dyDescent="0.25">
      <c r="D39" s="52" t="s">
        <v>14</v>
      </c>
      <c r="E39" s="53" t="str" cm="1">
        <f t="array" ref="E39">EntericMethane_PastureBeef_Equations.VEERG_3_2_1_1__3_FeedIntakeForGrazingBeef_Unit()</f>
        <v>kg DM/head/day</v>
      </c>
      <c r="U39" s="51" t="str">
        <f>TEXT(EDATE('Input - Site'!$E$12,11), "mmmm")</f>
        <v>December</v>
      </c>
      <c r="V39" s="51" t="str" cm="1">
        <f t="array" ref="V39">IFERROR(_xlfn.IFS(SUMPRODUCT(ISNUMBER(SEARCH(TRIM(_xlfn.TEXTSPLIT($U$22,",")),U39))*1)&gt;0,"Calving season",SUMPRODUCT(ISNUMBER(SEARCH(TRIM(_xlfn.TEXTSPLIT($U$23,",")),U39))*1)&gt;0,"Season after calving"), "")</f>
        <v>Season after calving</v>
      </c>
      <c r="W39" s="51" cm="1">
        <f t="array" ref="W39">_xlfn.IFS(V39="Calving season", $J$14, V39="Season after calving", $J$15, V39="", "")</f>
        <v>1.1000000000000001</v>
      </c>
      <c r="X39" s="51">
        <v>1</v>
      </c>
      <c r="Y39" s="51">
        <v>1</v>
      </c>
      <c r="Z39" s="51">
        <v>1</v>
      </c>
      <c r="AA39" s="51" cm="1">
        <f t="array" ref="AA39">IFERROR(EntericMethane_PastureBeef_Equations.VEERG_3_2_1_1__4_AdditionalIntakeForMilkProduction(V$22,$W39), 1)</f>
        <v>1.0750000000000002</v>
      </c>
      <c r="AB39" s="51" cm="1">
        <f t="array" ref="AB39">IFERROR(EntericMethane_PastureBeef_Equations.VEERG_3_2_1_1__4_AdditionalIntakeForMilkProduction(W$22,$W39), 1)</f>
        <v>1.0750000000000002</v>
      </c>
      <c r="AC39" s="51" cm="1">
        <f t="array" ref="AC39">IFERROR(EntericMethane_PastureBeef_Equations.VEERG_3_2_1_1__4_AdditionalIntakeForMilkProduction(X$22,$W39), 1)</f>
        <v>1.0750000000000002</v>
      </c>
      <c r="AD39" s="51">
        <v>1</v>
      </c>
      <c r="AE39" s="51">
        <v>1</v>
      </c>
      <c r="AF39" s="51">
        <v>1</v>
      </c>
      <c r="AG39" s="51">
        <v>1</v>
      </c>
      <c r="AH39" s="2" t="str">
        <f t="shared" si="1"/>
        <v>fraction</v>
      </c>
    </row>
    <row r="40" spans="4:34" ht="20.100000000000001" customHeight="1" x14ac:dyDescent="0.25"/>
    <row r="41" spans="4:34" ht="20.100000000000001" customHeight="1" x14ac:dyDescent="0.25">
      <c r="D41" s="112" t="str" cm="1">
        <f t="array" ref="D41:E43">_xlfn.CHOOSECOLS(EntericMethane_PastureBeef_Equations.VEERG_3_2_1_1__3_FeedIntakeForGrazingBeef_Arguments(), 1, 2)</f>
        <v>W_jkl</v>
      </c>
      <c r="E41" s="117" t="str">
        <v>liveweight (kg)</v>
      </c>
      <c r="F41" s="116"/>
      <c r="G41" s="112" t="str" cm="1">
        <f t="array" ref="G41:H43">_xlfn.CHOOSECOLS(EntericMethane_PastureBeef_Equations.VEERG_3_2_1_1__3_FeedIntakeForGrazingBeef_Arguments(), 3,4)</f>
        <v>kg</v>
      </c>
      <c r="H41" s="114" t="str">
        <v>Input</v>
      </c>
      <c r="I41" s="111" t="str" cm="1">
        <f t="array" aca="1" ref="I41" ca="1">HYPERLINK(Common_InputFunctions.Utility_SourceHyperlink($D$45), $D$45)</f>
        <v>M1_Table_W_j_k_l</v>
      </c>
      <c r="U41" s="96" t="s">
        <v>254</v>
      </c>
    </row>
    <row r="42" spans="4:34" ht="20.100000000000001" customHeight="1" x14ac:dyDescent="0.25">
      <c r="D42" s="112" t="str">
        <v>LWG_jkl</v>
      </c>
      <c r="E42" s="117" t="str">
        <v>live weight gain (kg/head/day)</v>
      </c>
      <c r="F42" s="116"/>
      <c r="G42" s="112" t="str">
        <v>kg/head/day</v>
      </c>
      <c r="H42" s="114" t="str">
        <v>Input</v>
      </c>
      <c r="I42" s="111" t="str" cm="1">
        <f t="array" aca="1" ref="I42" ca="1">HYPERLINK(Common_InputFunctions.Utility_SourceHyperlink($D$53), $D$53)</f>
        <v>M1_Table_LWG_j_k_l</v>
      </c>
      <c r="U42" s="95" t="s">
        <v>214</v>
      </c>
    </row>
    <row r="43" spans="4:34" ht="20.100000000000001" customHeight="1" x14ac:dyDescent="0.25">
      <c r="D43" s="112" t="str">
        <v>MA_jk45</v>
      </c>
      <c r="E43" s="117" t="str">
        <v>additional intake for milk production in cows greater than 2 years</v>
      </c>
      <c r="F43" s="116"/>
      <c r="G43" s="112" t="str">
        <v>kg/head/day</v>
      </c>
      <c r="H43" s="113" t="str">
        <v>Calculated from 3.2.1.1, (4)</v>
      </c>
      <c r="I43" s="111" t="str" cm="1">
        <f t="array" aca="1" ref="I43" ca="1">HYPERLINK(Common_InputFunctions.Utility_SourceHyperlink($D$23), $D$23)</f>
        <v>M1_Table_MA_j_k-4-5</v>
      </c>
      <c r="U43" s="50" t="s">
        <v>103</v>
      </c>
      <c r="V43" s="115" t="s">
        <v>102</v>
      </c>
      <c r="W43" s="115" t="s">
        <v>101</v>
      </c>
      <c r="X43" s="115" t="s">
        <v>125</v>
      </c>
      <c r="Y43" s="115" t="s">
        <v>126</v>
      </c>
      <c r="Z43" s="115" t="s">
        <v>127</v>
      </c>
      <c r="AA43" s="115" t="s">
        <v>128</v>
      </c>
      <c r="AB43" s="115" t="s">
        <v>129</v>
      </c>
      <c r="AC43" s="115" t="s">
        <v>130</v>
      </c>
      <c r="AD43" s="115" t="s">
        <v>131</v>
      </c>
      <c r="AE43" s="115" t="s">
        <v>132</v>
      </c>
      <c r="AF43" s="2"/>
    </row>
    <row r="44" spans="4:34" ht="20.100000000000001" customHeight="1" x14ac:dyDescent="0.25">
      <c r="U44" s="51" t="str">
        <f>TEXT('Input - Site'!$E$12, "mmmm yyyy")</f>
        <v>January 2025</v>
      </c>
      <c r="V44" s="51">
        <f>'Input - Pasture Beef'!E66</f>
        <v>380</v>
      </c>
      <c r="W44" s="51">
        <f>'Input - Pasture Beef'!F66</f>
        <v>780</v>
      </c>
      <c r="X44" s="51">
        <f>'Input - Pasture Beef'!G66</f>
        <v>300</v>
      </c>
      <c r="Y44" s="51">
        <f>'Input - Pasture Beef'!H66</f>
        <v>450</v>
      </c>
      <c r="Z44" s="51">
        <f>'Input - Pasture Beef'!I66</f>
        <v>530</v>
      </c>
      <c r="AA44" s="51">
        <f>'Input - Pasture Beef'!J66</f>
        <v>530</v>
      </c>
      <c r="AB44" s="51">
        <f>'Input - Pasture Beef'!K66</f>
        <v>340</v>
      </c>
      <c r="AC44" s="51">
        <f>'Input - Pasture Beef'!L66</f>
        <v>470</v>
      </c>
      <c r="AD44" s="51">
        <f>'Input - Pasture Beef'!M66</f>
        <v>470</v>
      </c>
      <c r="AE44" s="51">
        <f>'Input - Pasture Beef'!N66</f>
        <v>470</v>
      </c>
      <c r="AF44" s="2" t="s">
        <v>104</v>
      </c>
    </row>
    <row r="45" spans="4:34" ht="20.100000000000001" customHeight="1" x14ac:dyDescent="0.25">
      <c r="D45" s="96" t="s">
        <v>229</v>
      </c>
      <c r="U45" s="51" t="str">
        <f>TEXT(EDATE('Input - Site'!$E$12,1), "mmmm yyyy")</f>
        <v>February 2025</v>
      </c>
      <c r="V45" s="51">
        <f>'Input - Pasture Beef'!E67</f>
        <v>380</v>
      </c>
      <c r="W45" s="51">
        <f>'Input - Pasture Beef'!F67</f>
        <v>780</v>
      </c>
      <c r="X45" s="51">
        <f>'Input - Pasture Beef'!G67</f>
        <v>300</v>
      </c>
      <c r="Y45" s="51">
        <f>'Input - Pasture Beef'!H67</f>
        <v>450</v>
      </c>
      <c r="Z45" s="51">
        <f>'Input - Pasture Beef'!I67</f>
        <v>530</v>
      </c>
      <c r="AA45" s="51">
        <f>'Input - Pasture Beef'!J67</f>
        <v>530</v>
      </c>
      <c r="AB45" s="51">
        <f>'Input - Pasture Beef'!K67</f>
        <v>340</v>
      </c>
      <c r="AC45" s="51">
        <f>'Input - Pasture Beef'!L67</f>
        <v>470</v>
      </c>
      <c r="AD45" s="51">
        <f>'Input - Pasture Beef'!M67</f>
        <v>470</v>
      </c>
      <c r="AE45" s="51">
        <f>'Input - Pasture Beef'!N67</f>
        <v>470</v>
      </c>
      <c r="AF45" s="2" t="s">
        <v>104</v>
      </c>
    </row>
    <row r="46" spans="4:34" ht="20.100000000000001" customHeight="1" x14ac:dyDescent="0.25">
      <c r="D46" s="95" t="s">
        <v>204</v>
      </c>
      <c r="U46" s="51" t="str">
        <f>TEXT(EDATE('Input - Site'!$E$12,2), "mmmm yyyy")</f>
        <v>March 2025</v>
      </c>
      <c r="V46" s="51">
        <f>'Input - Pasture Beef'!E68</f>
        <v>100</v>
      </c>
      <c r="W46" s="51">
        <f>'Input - Pasture Beef'!F68</f>
        <v>680</v>
      </c>
      <c r="X46" s="51">
        <f>'Input - Pasture Beef'!G68</f>
        <v>80</v>
      </c>
      <c r="Y46" s="51">
        <f>'Input - Pasture Beef'!H68</f>
        <v>320</v>
      </c>
      <c r="Z46" s="51">
        <f>'Input - Pasture Beef'!I68</f>
        <v>480</v>
      </c>
      <c r="AA46" s="51">
        <f>'Input - Pasture Beef'!J68</f>
        <v>480</v>
      </c>
      <c r="AB46" s="51">
        <f>'Input - Pasture Beef'!K68</f>
        <v>100</v>
      </c>
      <c r="AC46" s="51">
        <f>'Input - Pasture Beef'!L68</f>
        <v>340</v>
      </c>
      <c r="AD46" s="51">
        <f>'Input - Pasture Beef'!M68</f>
        <v>340</v>
      </c>
      <c r="AE46" s="51">
        <f>'Input - Pasture Beef'!N68</f>
        <v>340</v>
      </c>
      <c r="AF46" s="2" t="s">
        <v>104</v>
      </c>
    </row>
    <row r="47" spans="4:34" ht="20.100000000000001" customHeight="1" x14ac:dyDescent="0.25">
      <c r="D47" s="50" t="s">
        <v>144</v>
      </c>
      <c r="E47" s="115" t="s">
        <v>102</v>
      </c>
      <c r="F47" s="115" t="s">
        <v>101</v>
      </c>
      <c r="G47" s="115" t="s">
        <v>125</v>
      </c>
      <c r="H47" s="115" t="s">
        <v>126</v>
      </c>
      <c r="I47" s="115" t="s">
        <v>127</v>
      </c>
      <c r="J47" s="115" t="s">
        <v>128</v>
      </c>
      <c r="K47" s="115" t="s">
        <v>129</v>
      </c>
      <c r="L47" s="115" t="s">
        <v>130</v>
      </c>
      <c r="M47" s="115" t="s">
        <v>131</v>
      </c>
      <c r="N47" s="115" t="s">
        <v>132</v>
      </c>
      <c r="U47" s="51" t="str">
        <f>TEXT(EDATE('Input - Site'!$E$12,3), "mmmm yyyy")</f>
        <v>April 2025</v>
      </c>
      <c r="V47" s="51">
        <f>'Input - Pasture Beef'!E69</f>
        <v>100</v>
      </c>
      <c r="W47" s="51">
        <f>'Input - Pasture Beef'!F69</f>
        <v>680</v>
      </c>
      <c r="X47" s="51">
        <f>'Input - Pasture Beef'!G69</f>
        <v>80</v>
      </c>
      <c r="Y47" s="51">
        <f>'Input - Pasture Beef'!H69</f>
        <v>320</v>
      </c>
      <c r="Z47" s="51">
        <f>'Input - Pasture Beef'!I69</f>
        <v>480</v>
      </c>
      <c r="AA47" s="51">
        <f>'Input - Pasture Beef'!J69</f>
        <v>480</v>
      </c>
      <c r="AB47" s="51">
        <f>'Input - Pasture Beef'!K69</f>
        <v>100</v>
      </c>
      <c r="AC47" s="51">
        <f>'Input - Pasture Beef'!L69</f>
        <v>340</v>
      </c>
      <c r="AD47" s="51">
        <f>'Input - Pasture Beef'!M69</f>
        <v>340</v>
      </c>
      <c r="AE47" s="51">
        <f>'Input - Pasture Beef'!N69</f>
        <v>340</v>
      </c>
      <c r="AF47" s="2" t="s">
        <v>104</v>
      </c>
    </row>
    <row r="48" spans="4:34" ht="20.100000000000001" customHeight="1" x14ac:dyDescent="0.25">
      <c r="D48" s="51" t="str">
        <f>'Input - Pasture Beef'!D60</f>
        <v>Spring</v>
      </c>
      <c r="E48" s="51">
        <f>'Input - Pasture Beef'!E60</f>
        <v>340</v>
      </c>
      <c r="F48" s="51">
        <f>'Input - Pasture Beef'!F60</f>
        <v>800</v>
      </c>
      <c r="G48" s="51">
        <f>'Input - Pasture Beef'!G60</f>
        <v>260</v>
      </c>
      <c r="H48" s="51">
        <f>'Input - Pasture Beef'!H60</f>
        <v>420</v>
      </c>
      <c r="I48" s="51">
        <f>'Input - Pasture Beef'!I60</f>
        <v>550</v>
      </c>
      <c r="J48" s="51">
        <f>'Input - Pasture Beef'!J60</f>
        <v>550</v>
      </c>
      <c r="K48" s="51">
        <f>'Input - Pasture Beef'!K60</f>
        <v>300</v>
      </c>
      <c r="L48" s="51">
        <f>'Input - Pasture Beef'!L60</f>
        <v>480</v>
      </c>
      <c r="M48" s="51">
        <f>'Input - Pasture Beef'!M60</f>
        <v>480</v>
      </c>
      <c r="N48" s="51">
        <f>'Input - Pasture Beef'!N60</f>
        <v>480</v>
      </c>
      <c r="O48" s="2" t="s">
        <v>104</v>
      </c>
      <c r="P48" s="2"/>
      <c r="Q48" s="2"/>
      <c r="U48" s="51" t="str">
        <f>TEXT(EDATE('Input - Site'!$E$12,4), "mmmm yyyy")</f>
        <v>May 2025</v>
      </c>
      <c r="V48" s="51">
        <f>'Input - Pasture Beef'!E70</f>
        <v>100</v>
      </c>
      <c r="W48" s="51">
        <f>'Input - Pasture Beef'!F70</f>
        <v>680</v>
      </c>
      <c r="X48" s="51">
        <f>'Input - Pasture Beef'!G70</f>
        <v>80</v>
      </c>
      <c r="Y48" s="51">
        <f>'Input - Pasture Beef'!H70</f>
        <v>320</v>
      </c>
      <c r="Z48" s="51">
        <f>'Input - Pasture Beef'!I70</f>
        <v>480</v>
      </c>
      <c r="AA48" s="51">
        <f>'Input - Pasture Beef'!J70</f>
        <v>480</v>
      </c>
      <c r="AB48" s="51">
        <f>'Input - Pasture Beef'!K70</f>
        <v>100</v>
      </c>
      <c r="AC48" s="51">
        <f>'Input - Pasture Beef'!L70</f>
        <v>340</v>
      </c>
      <c r="AD48" s="51">
        <f>'Input - Pasture Beef'!M70</f>
        <v>340</v>
      </c>
      <c r="AE48" s="51">
        <f>'Input - Pasture Beef'!N70</f>
        <v>340</v>
      </c>
      <c r="AF48" s="2" t="s">
        <v>104</v>
      </c>
    </row>
    <row r="49" spans="4:34" ht="20.100000000000001" customHeight="1" x14ac:dyDescent="0.25">
      <c r="D49" s="51" t="str">
        <f>'Input - Pasture Beef'!D61</f>
        <v>Summer</v>
      </c>
      <c r="E49" s="51">
        <f>'Input - Pasture Beef'!E61</f>
        <v>380</v>
      </c>
      <c r="F49" s="51">
        <f>'Input - Pasture Beef'!F61</f>
        <v>780</v>
      </c>
      <c r="G49" s="51">
        <f>'Input - Pasture Beef'!G61</f>
        <v>300</v>
      </c>
      <c r="H49" s="51">
        <f>'Input - Pasture Beef'!H61</f>
        <v>450</v>
      </c>
      <c r="I49" s="51">
        <f>'Input - Pasture Beef'!I61</f>
        <v>530</v>
      </c>
      <c r="J49" s="51">
        <f>'Input - Pasture Beef'!J61</f>
        <v>530</v>
      </c>
      <c r="K49" s="51">
        <f>'Input - Pasture Beef'!K61</f>
        <v>340</v>
      </c>
      <c r="L49" s="51">
        <f>'Input - Pasture Beef'!L61</f>
        <v>470</v>
      </c>
      <c r="M49" s="51">
        <f>'Input - Pasture Beef'!M61</f>
        <v>470</v>
      </c>
      <c r="N49" s="51">
        <f>'Input - Pasture Beef'!N61</f>
        <v>470</v>
      </c>
      <c r="O49" s="2" t="s">
        <v>104</v>
      </c>
      <c r="P49" s="2"/>
      <c r="Q49" s="2"/>
      <c r="U49" s="51" t="str">
        <f>TEXT(EDATE('Input - Site'!$E$12,5), "mmmm yyyy")</f>
        <v>June 2025</v>
      </c>
      <c r="V49" s="51">
        <f>'Input - Pasture Beef'!E71</f>
        <v>190</v>
      </c>
      <c r="W49" s="51">
        <f>'Input - Pasture Beef'!F71</f>
        <v>700</v>
      </c>
      <c r="X49" s="51">
        <f>'Input - Pasture Beef'!G71</f>
        <v>150</v>
      </c>
      <c r="Y49" s="51">
        <f>'Input - Pasture Beef'!H71</f>
        <v>330</v>
      </c>
      <c r="Z49" s="51">
        <f>'Input - Pasture Beef'!I71</f>
        <v>490</v>
      </c>
      <c r="AA49" s="51">
        <f>'Input - Pasture Beef'!J71</f>
        <v>490</v>
      </c>
      <c r="AB49" s="51">
        <f>'Input - Pasture Beef'!K71</f>
        <v>170</v>
      </c>
      <c r="AC49" s="51">
        <f>'Input - Pasture Beef'!L71</f>
        <v>360</v>
      </c>
      <c r="AD49" s="51">
        <f>'Input - Pasture Beef'!M71</f>
        <v>360</v>
      </c>
      <c r="AE49" s="51">
        <f>'Input - Pasture Beef'!N71</f>
        <v>360</v>
      </c>
      <c r="AF49" s="2" t="s">
        <v>104</v>
      </c>
    </row>
    <row r="50" spans="4:34" ht="20.100000000000001" customHeight="1" x14ac:dyDescent="0.25">
      <c r="D50" s="51" t="str">
        <f>'Input - Pasture Beef'!D62</f>
        <v>Autumn</v>
      </c>
      <c r="E50" s="51">
        <f>'Input - Pasture Beef'!E62</f>
        <v>100</v>
      </c>
      <c r="F50" s="51">
        <f>'Input - Pasture Beef'!F62</f>
        <v>680</v>
      </c>
      <c r="G50" s="51">
        <f>'Input - Pasture Beef'!G62</f>
        <v>80</v>
      </c>
      <c r="H50" s="51">
        <f>'Input - Pasture Beef'!H62</f>
        <v>320</v>
      </c>
      <c r="I50" s="51">
        <f>'Input - Pasture Beef'!I62</f>
        <v>480</v>
      </c>
      <c r="J50" s="51">
        <f>'Input - Pasture Beef'!J62</f>
        <v>480</v>
      </c>
      <c r="K50" s="51">
        <f>'Input - Pasture Beef'!K62</f>
        <v>100</v>
      </c>
      <c r="L50" s="51">
        <f>'Input - Pasture Beef'!L62</f>
        <v>340</v>
      </c>
      <c r="M50" s="51">
        <f>'Input - Pasture Beef'!M62</f>
        <v>340</v>
      </c>
      <c r="N50" s="51">
        <f>'Input - Pasture Beef'!N62</f>
        <v>340</v>
      </c>
      <c r="O50" s="2" t="s">
        <v>104</v>
      </c>
      <c r="P50" s="2"/>
      <c r="Q50" s="2"/>
      <c r="U50" s="51" t="str">
        <f>TEXT(EDATE('Input - Site'!$E$12,6), "mmmm yyyy")</f>
        <v>July 2025</v>
      </c>
      <c r="V50" s="51">
        <f>'Input - Pasture Beef'!E72</f>
        <v>190</v>
      </c>
      <c r="W50" s="51">
        <f>'Input - Pasture Beef'!F72</f>
        <v>700</v>
      </c>
      <c r="X50" s="51">
        <f>'Input - Pasture Beef'!G72</f>
        <v>150</v>
      </c>
      <c r="Y50" s="51">
        <f>'Input - Pasture Beef'!H72</f>
        <v>330</v>
      </c>
      <c r="Z50" s="51">
        <f>'Input - Pasture Beef'!I72</f>
        <v>490</v>
      </c>
      <c r="AA50" s="51">
        <f>'Input - Pasture Beef'!J72</f>
        <v>490</v>
      </c>
      <c r="AB50" s="51">
        <f>'Input - Pasture Beef'!K72</f>
        <v>170</v>
      </c>
      <c r="AC50" s="51">
        <f>'Input - Pasture Beef'!L72</f>
        <v>360</v>
      </c>
      <c r="AD50" s="51">
        <f>'Input - Pasture Beef'!M72</f>
        <v>360</v>
      </c>
      <c r="AE50" s="51">
        <f>'Input - Pasture Beef'!N72</f>
        <v>360</v>
      </c>
      <c r="AF50" s="2" t="s">
        <v>104</v>
      </c>
    </row>
    <row r="51" spans="4:34" ht="20.100000000000001" customHeight="1" x14ac:dyDescent="0.25">
      <c r="D51" s="51" t="str">
        <f>'Input - Pasture Beef'!D63</f>
        <v>Winter</v>
      </c>
      <c r="E51" s="51">
        <f>'Input - Pasture Beef'!E63</f>
        <v>190</v>
      </c>
      <c r="F51" s="51">
        <f>'Input - Pasture Beef'!F63</f>
        <v>700</v>
      </c>
      <c r="G51" s="51">
        <f>'Input - Pasture Beef'!G63</f>
        <v>150</v>
      </c>
      <c r="H51" s="51">
        <f>'Input - Pasture Beef'!H63</f>
        <v>330</v>
      </c>
      <c r="I51" s="51">
        <f>'Input - Pasture Beef'!I63</f>
        <v>490</v>
      </c>
      <c r="J51" s="51">
        <f>'Input - Pasture Beef'!J63</f>
        <v>490</v>
      </c>
      <c r="K51" s="51">
        <f>'Input - Pasture Beef'!K63</f>
        <v>170</v>
      </c>
      <c r="L51" s="51">
        <f>'Input - Pasture Beef'!L63</f>
        <v>360</v>
      </c>
      <c r="M51" s="51">
        <f>'Input - Pasture Beef'!M63</f>
        <v>360</v>
      </c>
      <c r="N51" s="51">
        <f>'Input - Pasture Beef'!N63</f>
        <v>360</v>
      </c>
      <c r="O51" s="2" t="s">
        <v>104</v>
      </c>
      <c r="P51" s="2"/>
      <c r="Q51" s="2"/>
      <c r="U51" s="51" t="str">
        <f>TEXT(EDATE('Input - Site'!$E$12,7), "mmmm yyyy")</f>
        <v>August 2025</v>
      </c>
      <c r="V51" s="51">
        <f>'Input - Pasture Beef'!E73</f>
        <v>190</v>
      </c>
      <c r="W51" s="51">
        <f>'Input - Pasture Beef'!F73</f>
        <v>700</v>
      </c>
      <c r="X51" s="51">
        <f>'Input - Pasture Beef'!G73</f>
        <v>150</v>
      </c>
      <c r="Y51" s="51">
        <f>'Input - Pasture Beef'!H73</f>
        <v>330</v>
      </c>
      <c r="Z51" s="51">
        <f>'Input - Pasture Beef'!I73</f>
        <v>490</v>
      </c>
      <c r="AA51" s="51">
        <f>'Input - Pasture Beef'!J73</f>
        <v>490</v>
      </c>
      <c r="AB51" s="51">
        <f>'Input - Pasture Beef'!K73</f>
        <v>170</v>
      </c>
      <c r="AC51" s="51">
        <f>'Input - Pasture Beef'!L73</f>
        <v>360</v>
      </c>
      <c r="AD51" s="51">
        <f>'Input - Pasture Beef'!M73</f>
        <v>360</v>
      </c>
      <c r="AE51" s="51">
        <f>'Input - Pasture Beef'!N73</f>
        <v>360</v>
      </c>
      <c r="AF51" s="2" t="s">
        <v>104</v>
      </c>
      <c r="AG51" s="2"/>
      <c r="AH51" s="2"/>
    </row>
    <row r="52" spans="4:34" ht="20.100000000000001" customHeight="1" x14ac:dyDescent="0.25">
      <c r="U52" s="51" t="str">
        <f>TEXT(EDATE('Input - Site'!$E$12,8), "mmmm yyyy")</f>
        <v>September 2025</v>
      </c>
      <c r="V52" s="51">
        <f>'Input - Pasture Beef'!E74</f>
        <v>340</v>
      </c>
      <c r="W52" s="51">
        <f>'Input - Pasture Beef'!F74</f>
        <v>800</v>
      </c>
      <c r="X52" s="51">
        <f>'Input - Pasture Beef'!G74</f>
        <v>260</v>
      </c>
      <c r="Y52" s="51">
        <f>'Input - Pasture Beef'!H74</f>
        <v>420</v>
      </c>
      <c r="Z52" s="51">
        <f>'Input - Pasture Beef'!I74</f>
        <v>550</v>
      </c>
      <c r="AA52" s="51">
        <f>'Input - Pasture Beef'!J74</f>
        <v>550</v>
      </c>
      <c r="AB52" s="51">
        <f>'Input - Pasture Beef'!K74</f>
        <v>300</v>
      </c>
      <c r="AC52" s="51">
        <f>'Input - Pasture Beef'!L74</f>
        <v>480</v>
      </c>
      <c r="AD52" s="51">
        <f>'Input - Pasture Beef'!M74</f>
        <v>480</v>
      </c>
      <c r="AE52" s="51">
        <f>'Input - Pasture Beef'!N74</f>
        <v>480</v>
      </c>
      <c r="AF52" s="2" t="s">
        <v>104</v>
      </c>
      <c r="AG52" s="2"/>
      <c r="AH52" s="2"/>
    </row>
    <row r="53" spans="4:34" ht="20.100000000000001" customHeight="1" x14ac:dyDescent="0.25">
      <c r="D53" s="96" t="s">
        <v>202</v>
      </c>
      <c r="U53" s="51" t="str">
        <f>TEXT(EDATE('Input - Site'!$E$12,9), "mmmm yyyy")</f>
        <v>October 2025</v>
      </c>
      <c r="V53" s="51">
        <f>'Input - Pasture Beef'!E75</f>
        <v>340</v>
      </c>
      <c r="W53" s="51">
        <f>'Input - Pasture Beef'!F75</f>
        <v>800</v>
      </c>
      <c r="X53" s="51">
        <f>'Input - Pasture Beef'!G75</f>
        <v>260</v>
      </c>
      <c r="Y53" s="51">
        <f>'Input - Pasture Beef'!H75</f>
        <v>420</v>
      </c>
      <c r="Z53" s="51">
        <f>'Input - Pasture Beef'!I75</f>
        <v>550</v>
      </c>
      <c r="AA53" s="51">
        <f>'Input - Pasture Beef'!J75</f>
        <v>550</v>
      </c>
      <c r="AB53" s="51">
        <f>'Input - Pasture Beef'!K75</f>
        <v>300</v>
      </c>
      <c r="AC53" s="51">
        <f>'Input - Pasture Beef'!L75</f>
        <v>480</v>
      </c>
      <c r="AD53" s="51">
        <f>'Input - Pasture Beef'!M75</f>
        <v>480</v>
      </c>
      <c r="AE53" s="51">
        <f>'Input - Pasture Beef'!N75</f>
        <v>480</v>
      </c>
      <c r="AF53" s="2" t="s">
        <v>104</v>
      </c>
      <c r="AG53" s="2"/>
      <c r="AH53" s="2"/>
    </row>
    <row r="54" spans="4:34" ht="20.100000000000001" customHeight="1" x14ac:dyDescent="0.25">
      <c r="D54" s="95" t="s">
        <v>203</v>
      </c>
      <c r="U54" s="51" t="str">
        <f>TEXT(EDATE('Input - Site'!$E$12,10), "mmmm yyyy")</f>
        <v>November 2025</v>
      </c>
      <c r="V54" s="51">
        <f>'Input - Pasture Beef'!E76</f>
        <v>340</v>
      </c>
      <c r="W54" s="51">
        <f>'Input - Pasture Beef'!F76</f>
        <v>800</v>
      </c>
      <c r="X54" s="51">
        <f>'Input - Pasture Beef'!G76</f>
        <v>260</v>
      </c>
      <c r="Y54" s="51">
        <f>'Input - Pasture Beef'!H76</f>
        <v>420</v>
      </c>
      <c r="Z54" s="51">
        <f>'Input - Pasture Beef'!I76</f>
        <v>550</v>
      </c>
      <c r="AA54" s="51">
        <f>'Input - Pasture Beef'!J76</f>
        <v>550</v>
      </c>
      <c r="AB54" s="51">
        <f>'Input - Pasture Beef'!K76</f>
        <v>300</v>
      </c>
      <c r="AC54" s="51">
        <f>'Input - Pasture Beef'!L76</f>
        <v>480</v>
      </c>
      <c r="AD54" s="51">
        <f>'Input - Pasture Beef'!M76</f>
        <v>480</v>
      </c>
      <c r="AE54" s="51">
        <f>'Input - Pasture Beef'!N76</f>
        <v>480</v>
      </c>
      <c r="AF54" s="2" t="s">
        <v>104</v>
      </c>
      <c r="AG54" s="2"/>
      <c r="AH54" s="2"/>
    </row>
    <row r="55" spans="4:34" ht="20.100000000000001" customHeight="1" x14ac:dyDescent="0.25">
      <c r="D55" s="50" t="s">
        <v>144</v>
      </c>
      <c r="E55" s="115" t="s">
        <v>102</v>
      </c>
      <c r="F55" s="115" t="s">
        <v>101</v>
      </c>
      <c r="G55" s="115" t="s">
        <v>125</v>
      </c>
      <c r="H55" s="115" t="s">
        <v>126</v>
      </c>
      <c r="I55" s="115" t="s">
        <v>127</v>
      </c>
      <c r="J55" s="115" t="s">
        <v>128</v>
      </c>
      <c r="K55" s="115" t="s">
        <v>129</v>
      </c>
      <c r="L55" s="115" t="s">
        <v>130</v>
      </c>
      <c r="M55" s="115" t="s">
        <v>131</v>
      </c>
      <c r="N55" s="115" t="s">
        <v>132</v>
      </c>
      <c r="U55" s="51" t="str">
        <f>TEXT(EDATE('Input - Site'!$E$12,11), "mmmm yyyy")</f>
        <v>December 2025</v>
      </c>
      <c r="V55" s="51">
        <f>'Input - Pasture Beef'!E77</f>
        <v>380</v>
      </c>
      <c r="W55" s="51">
        <f>'Input - Pasture Beef'!F77</f>
        <v>780</v>
      </c>
      <c r="X55" s="51">
        <f>'Input - Pasture Beef'!G77</f>
        <v>300</v>
      </c>
      <c r="Y55" s="51">
        <f>'Input - Pasture Beef'!H77</f>
        <v>450</v>
      </c>
      <c r="Z55" s="51">
        <f>'Input - Pasture Beef'!I77</f>
        <v>530</v>
      </c>
      <c r="AA55" s="51">
        <f>'Input - Pasture Beef'!J77</f>
        <v>530</v>
      </c>
      <c r="AB55" s="51">
        <f>'Input - Pasture Beef'!K77</f>
        <v>340</v>
      </c>
      <c r="AC55" s="51">
        <f>'Input - Pasture Beef'!L77</f>
        <v>470</v>
      </c>
      <c r="AD55" s="51">
        <f>'Input - Pasture Beef'!M77</f>
        <v>470</v>
      </c>
      <c r="AE55" s="51">
        <f>'Input - Pasture Beef'!N77</f>
        <v>470</v>
      </c>
      <c r="AF55" s="2" t="s">
        <v>104</v>
      </c>
      <c r="AG55" s="2"/>
      <c r="AH55" s="2"/>
    </row>
    <row r="56" spans="4:34" ht="20.100000000000001" customHeight="1" x14ac:dyDescent="0.25">
      <c r="D56" s="51" t="str">
        <f>'Input - Pasture Beef'!D82</f>
        <v>Spring</v>
      </c>
      <c r="E56" s="51">
        <f>'Input - Pasture Beef'!E82</f>
        <v>1.64</v>
      </c>
      <c r="F56" s="51">
        <f>'Input - Pasture Beef'!F82</f>
        <v>1.1000000000000001</v>
      </c>
      <c r="G56" s="51">
        <f>'Input - Pasture Beef'!G82</f>
        <v>1.21</v>
      </c>
      <c r="H56" s="51">
        <f>'Input - Pasture Beef'!H82</f>
        <v>0.99</v>
      </c>
      <c r="I56" s="51">
        <f>'Input - Pasture Beef'!I82</f>
        <v>0.66</v>
      </c>
      <c r="J56" s="51">
        <f>'Input - Pasture Beef'!J82</f>
        <v>0.66</v>
      </c>
      <c r="K56" s="51">
        <f>'Input - Pasture Beef'!K82</f>
        <v>1.42</v>
      </c>
      <c r="L56" s="51">
        <f>'Input - Pasture Beef'!L82</f>
        <v>1.1000000000000001</v>
      </c>
      <c r="M56" s="51">
        <f>'Input - Pasture Beef'!M82</f>
        <v>1.1000000000000001</v>
      </c>
      <c r="N56" s="51">
        <f>'Input - Pasture Beef'!N82</f>
        <v>1.1000000000000001</v>
      </c>
      <c r="O56" s="2" t="s">
        <v>104</v>
      </c>
      <c r="P56" s="2"/>
      <c r="Q56" s="2"/>
      <c r="AG56" s="2"/>
      <c r="AH56" s="2"/>
    </row>
    <row r="57" spans="4:34" ht="20.100000000000001" customHeight="1" x14ac:dyDescent="0.25">
      <c r="D57" s="51" t="str">
        <f>'Input - Pasture Beef'!D83</f>
        <v>Summer</v>
      </c>
      <c r="E57" s="51">
        <f>'Input - Pasture Beef'!E83</f>
        <v>0.44</v>
      </c>
      <c r="F57" s="51">
        <f>'Input - Pasture Beef'!F83</f>
        <v>-0.22</v>
      </c>
      <c r="G57" s="51">
        <f>'Input - Pasture Beef'!G83</f>
        <v>0.44</v>
      </c>
      <c r="H57" s="51">
        <f>'Input - Pasture Beef'!H83</f>
        <v>0.33</v>
      </c>
      <c r="I57" s="51">
        <f>'Input - Pasture Beef'!I83</f>
        <v>-0.22</v>
      </c>
      <c r="J57" s="51">
        <f>'Input - Pasture Beef'!J83</f>
        <v>-0.22</v>
      </c>
      <c r="K57" s="51">
        <f>'Input - Pasture Beef'!K83</f>
        <v>0.44</v>
      </c>
      <c r="L57" s="51">
        <f>'Input - Pasture Beef'!L83</f>
        <v>-0.11</v>
      </c>
      <c r="M57" s="51">
        <f>'Input - Pasture Beef'!M83</f>
        <v>-0.11</v>
      </c>
      <c r="N57" s="51">
        <f>'Input - Pasture Beef'!N83</f>
        <v>-0.11</v>
      </c>
      <c r="O57" s="2" t="s">
        <v>104</v>
      </c>
      <c r="P57" s="2"/>
      <c r="Q57" s="2"/>
      <c r="U57" s="96" t="s">
        <v>215</v>
      </c>
      <c r="AG57" s="2"/>
      <c r="AH57" s="2"/>
    </row>
    <row r="58" spans="4:34" ht="20.100000000000001" customHeight="1" x14ac:dyDescent="0.25">
      <c r="D58" s="51" t="str">
        <f>'Input - Pasture Beef'!D84</f>
        <v>Autumn</v>
      </c>
      <c r="E58" s="51">
        <f>'Input - Pasture Beef'!E84</f>
        <v>0.6</v>
      </c>
      <c r="F58" s="51">
        <f>'Input - Pasture Beef'!F84</f>
        <v>0</v>
      </c>
      <c r="G58" s="51">
        <f>'Input - Pasture Beef'!G84</f>
        <v>0.6</v>
      </c>
      <c r="H58" s="51">
        <f>'Input - Pasture Beef'!H84</f>
        <v>0.22</v>
      </c>
      <c r="I58" s="51">
        <f>'Input - Pasture Beef'!I84</f>
        <v>-0.55000000000000004</v>
      </c>
      <c r="J58" s="51">
        <f>'Input - Pasture Beef'!J84</f>
        <v>-0.55000000000000004</v>
      </c>
      <c r="K58" s="51">
        <f>'Input - Pasture Beef'!K84</f>
        <v>0.6</v>
      </c>
      <c r="L58" s="51">
        <f>'Input - Pasture Beef'!L84</f>
        <v>0</v>
      </c>
      <c r="M58" s="51">
        <f>'Input - Pasture Beef'!M84</f>
        <v>0</v>
      </c>
      <c r="N58" s="51">
        <f>'Input - Pasture Beef'!N84</f>
        <v>0</v>
      </c>
      <c r="O58" s="2" t="s">
        <v>104</v>
      </c>
      <c r="P58" s="2"/>
      <c r="Q58" s="2"/>
      <c r="U58" s="95" t="s">
        <v>216</v>
      </c>
      <c r="AG58" s="2"/>
      <c r="AH58" s="2"/>
    </row>
    <row r="59" spans="4:34" ht="20.100000000000001" customHeight="1" x14ac:dyDescent="0.25">
      <c r="D59" s="51" t="str">
        <f>'Input - Pasture Beef'!D85</f>
        <v>Winter</v>
      </c>
      <c r="E59" s="51">
        <f>'Input - Pasture Beef'!E85</f>
        <v>0.99</v>
      </c>
      <c r="F59" s="51">
        <f>'Input - Pasture Beef'!F85</f>
        <v>0.22</v>
      </c>
      <c r="G59" s="51">
        <f>'Input - Pasture Beef'!G85</f>
        <v>0.77</v>
      </c>
      <c r="H59" s="51">
        <f>'Input - Pasture Beef'!H85</f>
        <v>0.11</v>
      </c>
      <c r="I59" s="51">
        <f>'Input - Pasture Beef'!I85</f>
        <v>0.11</v>
      </c>
      <c r="J59" s="51">
        <f>'Input - Pasture Beef'!J85</f>
        <v>0.11</v>
      </c>
      <c r="K59" s="51">
        <f>'Input - Pasture Beef'!K85</f>
        <v>0.77</v>
      </c>
      <c r="L59" s="51">
        <f>'Input - Pasture Beef'!L85</f>
        <v>0.44</v>
      </c>
      <c r="M59" s="51">
        <f>'Input - Pasture Beef'!M85</f>
        <v>0.44</v>
      </c>
      <c r="N59" s="51">
        <f>'Input - Pasture Beef'!N85</f>
        <v>0.44</v>
      </c>
      <c r="O59" s="2" t="s">
        <v>104</v>
      </c>
      <c r="P59" s="2"/>
      <c r="Q59" s="2"/>
      <c r="U59" s="50" t="s">
        <v>103</v>
      </c>
      <c r="V59" s="115" t="s">
        <v>102</v>
      </c>
      <c r="W59" s="115" t="s">
        <v>101</v>
      </c>
      <c r="X59" s="115" t="s">
        <v>125</v>
      </c>
      <c r="Y59" s="115" t="s">
        <v>126</v>
      </c>
      <c r="Z59" s="115" t="s">
        <v>127</v>
      </c>
      <c r="AA59" s="115" t="s">
        <v>128</v>
      </c>
      <c r="AB59" s="115" t="s">
        <v>129</v>
      </c>
      <c r="AC59" s="115" t="s">
        <v>130</v>
      </c>
      <c r="AD59" s="115" t="s">
        <v>131</v>
      </c>
      <c r="AE59" s="115" t="s">
        <v>132</v>
      </c>
      <c r="AG59" s="2"/>
      <c r="AH59" s="2"/>
    </row>
    <row r="60" spans="4:34" ht="20.100000000000001" customHeight="1" x14ac:dyDescent="0.25">
      <c r="U60" s="51" t="str">
        <f>TEXT('Input - Site'!$E$12, "mmmm yyyy")</f>
        <v>January 2025</v>
      </c>
      <c r="V60" s="51">
        <f>'Input - Pasture Beef'!E88</f>
        <v>0.44</v>
      </c>
      <c r="W60" s="51">
        <f>'Input - Pasture Beef'!F88</f>
        <v>-0.22</v>
      </c>
      <c r="X60" s="51">
        <f>'Input - Pasture Beef'!G88</f>
        <v>0.44</v>
      </c>
      <c r="Y60" s="51">
        <f>'Input - Pasture Beef'!H88</f>
        <v>0.33</v>
      </c>
      <c r="Z60" s="51">
        <f>'Input - Pasture Beef'!I88</f>
        <v>-0.22</v>
      </c>
      <c r="AA60" s="51">
        <f>'Input - Pasture Beef'!J88</f>
        <v>-0.22</v>
      </c>
      <c r="AB60" s="51">
        <f>'Input - Pasture Beef'!K88</f>
        <v>0.44</v>
      </c>
      <c r="AC60" s="51">
        <f>'Input - Pasture Beef'!L88</f>
        <v>-0.11</v>
      </c>
      <c r="AD60" s="51">
        <f>'Input - Pasture Beef'!M88</f>
        <v>-0.11</v>
      </c>
      <c r="AE60" s="51">
        <f>'Input - Pasture Beef'!N88</f>
        <v>-0.11</v>
      </c>
      <c r="AF60" s="2" t="s">
        <v>105</v>
      </c>
      <c r="AG60" s="2"/>
      <c r="AH60" s="2"/>
    </row>
    <row r="61" spans="4:34" ht="20.100000000000001" customHeight="1" x14ac:dyDescent="0.25">
      <c r="D61" s="96" t="s">
        <v>205</v>
      </c>
      <c r="U61" s="51" t="str">
        <f>TEXT(EDATE('Input - Site'!$E$12,1), "mmmm yyyy")</f>
        <v>February 2025</v>
      </c>
      <c r="V61" s="51">
        <f>'Input - Pasture Beef'!E89</f>
        <v>0.44</v>
      </c>
      <c r="W61" s="51">
        <f>'Input - Pasture Beef'!F89</f>
        <v>-0.22</v>
      </c>
      <c r="X61" s="51">
        <f>'Input - Pasture Beef'!G89</f>
        <v>0.44</v>
      </c>
      <c r="Y61" s="51">
        <f>'Input - Pasture Beef'!H89</f>
        <v>0.33</v>
      </c>
      <c r="Z61" s="51">
        <f>'Input - Pasture Beef'!I89</f>
        <v>-0.22</v>
      </c>
      <c r="AA61" s="51">
        <f>'Input - Pasture Beef'!J89</f>
        <v>-0.22</v>
      </c>
      <c r="AB61" s="51">
        <f>'Input - Pasture Beef'!K89</f>
        <v>0.44</v>
      </c>
      <c r="AC61" s="51">
        <f>'Input - Pasture Beef'!L89</f>
        <v>-0.11</v>
      </c>
      <c r="AD61" s="51">
        <f>'Input - Pasture Beef'!M89</f>
        <v>-0.11</v>
      </c>
      <c r="AE61" s="51">
        <f>'Input - Pasture Beef'!N89</f>
        <v>-0.11</v>
      </c>
      <c r="AF61" s="2" t="s">
        <v>105</v>
      </c>
      <c r="AG61" s="2"/>
      <c r="AH61" s="2"/>
    </row>
    <row r="62" spans="4:34" ht="20.100000000000001" customHeight="1" x14ac:dyDescent="0.25">
      <c r="D62" s="95" t="s">
        <v>113</v>
      </c>
      <c r="U62" s="51" t="str">
        <f>TEXT(EDATE('Input - Site'!$E$12,2), "mmmm yyyy")</f>
        <v>March 2025</v>
      </c>
      <c r="V62" s="51">
        <f>'Input - Pasture Beef'!E90</f>
        <v>0.6</v>
      </c>
      <c r="W62" s="51">
        <f>'Input - Pasture Beef'!F90</f>
        <v>0</v>
      </c>
      <c r="X62" s="51">
        <f>'Input - Pasture Beef'!G90</f>
        <v>0.6</v>
      </c>
      <c r="Y62" s="51">
        <f>'Input - Pasture Beef'!H90</f>
        <v>0.22</v>
      </c>
      <c r="Z62" s="51">
        <f>'Input - Pasture Beef'!I90</f>
        <v>-0.55000000000000004</v>
      </c>
      <c r="AA62" s="51">
        <f>'Input - Pasture Beef'!J90</f>
        <v>-0.55000000000000004</v>
      </c>
      <c r="AB62" s="51">
        <f>'Input - Pasture Beef'!K90</f>
        <v>0.6</v>
      </c>
      <c r="AC62" s="51">
        <f>'Input - Pasture Beef'!L90</f>
        <v>0</v>
      </c>
      <c r="AD62" s="51">
        <f>'Input - Pasture Beef'!M90</f>
        <v>0</v>
      </c>
      <c r="AE62" s="51">
        <f>'Input - Pasture Beef'!N90</f>
        <v>0</v>
      </c>
      <c r="AF62" s="2" t="s">
        <v>105</v>
      </c>
      <c r="AG62" s="2"/>
      <c r="AH62" s="2"/>
    </row>
    <row r="63" spans="4:34" ht="20.100000000000001" customHeight="1" x14ac:dyDescent="0.25">
      <c r="D63" s="50" t="s">
        <v>144</v>
      </c>
      <c r="E63" s="50" t="s">
        <v>102</v>
      </c>
      <c r="F63" s="50" t="s">
        <v>101</v>
      </c>
      <c r="G63" s="50" t="s">
        <v>125</v>
      </c>
      <c r="H63" s="50" t="s">
        <v>126</v>
      </c>
      <c r="I63" s="50" t="s">
        <v>127</v>
      </c>
      <c r="J63" s="50" t="s">
        <v>128</v>
      </c>
      <c r="K63" s="50" t="s">
        <v>129</v>
      </c>
      <c r="L63" s="50" t="s">
        <v>130</v>
      </c>
      <c r="M63" s="50" t="s">
        <v>131</v>
      </c>
      <c r="N63" s="50" t="s">
        <v>132</v>
      </c>
      <c r="U63" s="51" t="str">
        <f>TEXT(EDATE('Input - Site'!$E$12,3), "mmmm yyyy")</f>
        <v>April 2025</v>
      </c>
      <c r="V63" s="51">
        <f>'Input - Pasture Beef'!E91</f>
        <v>0.6</v>
      </c>
      <c r="W63" s="51">
        <f>'Input - Pasture Beef'!F91</f>
        <v>0</v>
      </c>
      <c r="X63" s="51">
        <f>'Input - Pasture Beef'!G91</f>
        <v>0.6</v>
      </c>
      <c r="Y63" s="51">
        <f>'Input - Pasture Beef'!H91</f>
        <v>0.22</v>
      </c>
      <c r="Z63" s="51">
        <f>'Input - Pasture Beef'!I91</f>
        <v>-0.55000000000000004</v>
      </c>
      <c r="AA63" s="51">
        <f>'Input - Pasture Beef'!J91</f>
        <v>-0.55000000000000004</v>
      </c>
      <c r="AB63" s="51">
        <f>'Input - Pasture Beef'!K91</f>
        <v>0.6</v>
      </c>
      <c r="AC63" s="51">
        <f>'Input - Pasture Beef'!L91</f>
        <v>0</v>
      </c>
      <c r="AD63" s="51">
        <f>'Input - Pasture Beef'!M91</f>
        <v>0</v>
      </c>
      <c r="AE63" s="51">
        <f>'Input - Pasture Beef'!N91</f>
        <v>0</v>
      </c>
      <c r="AF63" s="2" t="s">
        <v>105</v>
      </c>
      <c r="AG63" s="2"/>
      <c r="AH63" s="2"/>
    </row>
    <row r="64" spans="4:34" ht="20.100000000000001" customHeight="1" x14ac:dyDescent="0.25">
      <c r="D64" s="51" t="s">
        <v>133</v>
      </c>
      <c r="E64" s="51" cm="1">
        <f t="array" ref="E64">EntericMethane_PastureBeef_Equations.VEERG_3_2_1_1__3_FeedIntakeForGrazingBeef(E48,E56,G26)</f>
        <v>8.6709047296000001</v>
      </c>
      <c r="F64" s="51" cm="1">
        <f t="array" ref="F64">EntericMethane_PastureBeef_Equations.VEERG_3_2_1_1__3_FeedIntakeForGrazingBeef(F48,F56,H26)</f>
        <v>12.246500250000002</v>
      </c>
      <c r="G64" s="51" cm="1">
        <f t="array" ref="G64">EntericMethane_PastureBeef_Equations.VEERG_3_2_1_1__3_FeedIntakeForGrazingBeef(G48,G56,I26)</f>
        <v>6.6089612241000006</v>
      </c>
      <c r="H64" s="51" cm="1">
        <f t="array" ref="H64">EntericMethane_PastureBeef_Equations.VEERG_3_2_1_1__3_FeedIntakeForGrazingBeef(H48,H56,J26)</f>
        <v>9.4536614511090029</v>
      </c>
      <c r="I64" s="51" cm="1">
        <f t="array" ref="I64">EntericMethane_PastureBeef_Equations.VEERG_3_2_1_1__3_FeedIntakeForGrazingBeef(I48,I56,K26)</f>
        <v>10.112646138000002</v>
      </c>
      <c r="J64" s="51" cm="1">
        <f t="array" ref="J64">EntericMethane_PastureBeef_Equations.VEERG_3_2_1_1__3_FeedIntakeForGrazingBeef(J48,J56,L26)</f>
        <v>10.112646138000002</v>
      </c>
      <c r="K64" s="51" cm="1">
        <f t="array" ref="K64">EntericMethane_PastureBeef_Equations.VEERG_3_2_1_1__3_FeedIntakeForGrazingBeef(K48,K56,M26)</f>
        <v>7.6192560899999977</v>
      </c>
      <c r="L64" s="51" cm="1">
        <f t="array" ref="L64">EntericMethane_PastureBeef_Equations.VEERG_3_2_1_1__3_FeedIntakeForGrazingBeef(L48,L56,N26)</f>
        <v>9.6824279555999979</v>
      </c>
      <c r="M64" s="51" cm="1">
        <f t="array" ref="M64">EntericMethane_PastureBeef_Equations.VEERG_3_2_1_1__3_FeedIntakeForGrazingBeef(M48,M56,O26)</f>
        <v>9.6824279555999979</v>
      </c>
      <c r="N64" s="51" cm="1">
        <f t="array" ref="N64">EntericMethane_PastureBeef_Equations.VEERG_3_2_1_1__3_FeedIntakeForGrazingBeef(N48,N56,P26)</f>
        <v>9.6824279555999979</v>
      </c>
      <c r="O64" s="2" t="str">
        <f>$E$39</f>
        <v>kg DM/head/day</v>
      </c>
      <c r="P64" s="2"/>
      <c r="Q64" s="2"/>
      <c r="U64" s="51" t="str">
        <f>TEXT(EDATE('Input - Site'!$E$12,4), "mmmm yyyy")</f>
        <v>May 2025</v>
      </c>
      <c r="V64" s="51">
        <f>'Input - Pasture Beef'!E92</f>
        <v>0.6</v>
      </c>
      <c r="W64" s="51">
        <f>'Input - Pasture Beef'!F92</f>
        <v>0</v>
      </c>
      <c r="X64" s="51">
        <f>'Input - Pasture Beef'!G92</f>
        <v>0.6</v>
      </c>
      <c r="Y64" s="51">
        <f>'Input - Pasture Beef'!H92</f>
        <v>0.22</v>
      </c>
      <c r="Z64" s="51">
        <f>'Input - Pasture Beef'!I92</f>
        <v>-0.55000000000000004</v>
      </c>
      <c r="AA64" s="51">
        <f>'Input - Pasture Beef'!J92</f>
        <v>-0.55000000000000004</v>
      </c>
      <c r="AB64" s="51">
        <f>'Input - Pasture Beef'!K92</f>
        <v>0.6</v>
      </c>
      <c r="AC64" s="51">
        <f>'Input - Pasture Beef'!L92</f>
        <v>0</v>
      </c>
      <c r="AD64" s="51">
        <f>'Input - Pasture Beef'!M92</f>
        <v>0</v>
      </c>
      <c r="AE64" s="51">
        <f>'Input - Pasture Beef'!N92</f>
        <v>0</v>
      </c>
      <c r="AF64" s="2" t="s">
        <v>105</v>
      </c>
    </row>
    <row r="65" spans="3:34" ht="20.100000000000001" customHeight="1" x14ac:dyDescent="0.25">
      <c r="D65" s="51" t="s">
        <v>134</v>
      </c>
      <c r="E65" s="51" cm="1">
        <f t="array" ref="E65">EntericMethane_PastureBeef_Equations.VEERG_3_2_1_1__3_FeedIntakeForGrazingBeef(E49,E57,G27)</f>
        <v>7.1468536895999959</v>
      </c>
      <c r="F65" s="51" cm="1">
        <f t="array" ref="F65">EntericMethane_PastureBeef_Equations.VEERG_3_2_1_1__3_FeedIntakeForGrazingBeef(F49,F57,H27)</f>
        <v>9.4559940036000008</v>
      </c>
      <c r="G65" s="51" cm="1">
        <f t="array" ref="G65">EntericMethane_PastureBeef_Equations.VEERG_3_2_1_1__3_FeedIntakeForGrazingBeef(G49,G57,I27)</f>
        <v>6.010342559999998</v>
      </c>
      <c r="H65" s="51" cm="1">
        <f t="array" ref="H65">EntericMethane_PastureBeef_Equations.VEERG_3_2_1_1__3_FeedIntakeForGrazingBeef(H49,H57,J27)</f>
        <v>7.8705497025</v>
      </c>
      <c r="I65" s="51" cm="1">
        <f t="array" ref="I65">EntericMethane_PastureBeef_Equations.VEERG_3_2_1_1__3_FeedIntakeForGrazingBeef(I49,I57,K27)</f>
        <v>7.7928072335999978</v>
      </c>
      <c r="J65" s="51" cm="1">
        <f t="array" ref="J65">EntericMethane_PastureBeef_Equations.VEERG_3_2_1_1__3_FeedIntakeForGrazingBeef(J49,J57,L27)</f>
        <v>7.7928072335999978</v>
      </c>
      <c r="K65" s="51" cm="1">
        <f t="array" ref="K65">EntericMethane_PastureBeef_Equations.VEERG_3_2_1_1__3_FeedIntakeForGrazingBeef(K49,K57,M27)</f>
        <v>6.5876408896000003</v>
      </c>
      <c r="L65" s="51" cm="1">
        <f t="array" ref="L65">EntericMethane_PastureBeef_Equations.VEERG_3_2_1_1__3_FeedIntakeForGrazingBeef(L49,L57,N27)</f>
        <v>7.3430702361</v>
      </c>
      <c r="M65" s="51" cm="1">
        <f t="array" ref="M65">EntericMethane_PastureBeef_Equations.VEERG_3_2_1_1__3_FeedIntakeForGrazingBeef(M49,M57,O27)</f>
        <v>7.3430702361</v>
      </c>
      <c r="N65" s="51" cm="1">
        <f t="array" ref="N65">EntericMethane_PastureBeef_Equations.VEERG_3_2_1_1__3_FeedIntakeForGrazingBeef(N49,N57,P27)</f>
        <v>7.3430702361</v>
      </c>
      <c r="O65" s="2" t="str">
        <f>$E$39</f>
        <v>kg DM/head/day</v>
      </c>
      <c r="P65" s="2"/>
      <c r="Q65" s="2"/>
      <c r="U65" s="51" t="str">
        <f>TEXT(EDATE('Input - Site'!$E$12,5), "mmmm yyyy")</f>
        <v>June 2025</v>
      </c>
      <c r="V65" s="51">
        <f>'Input - Pasture Beef'!E93</f>
        <v>0.99</v>
      </c>
      <c r="W65" s="51">
        <f>'Input - Pasture Beef'!F93</f>
        <v>0.22</v>
      </c>
      <c r="X65" s="51">
        <f>'Input - Pasture Beef'!G93</f>
        <v>0.77</v>
      </c>
      <c r="Y65" s="51">
        <f>'Input - Pasture Beef'!H93</f>
        <v>0.11</v>
      </c>
      <c r="Z65" s="51">
        <f>'Input - Pasture Beef'!I93</f>
        <v>0.11</v>
      </c>
      <c r="AA65" s="51">
        <f>'Input - Pasture Beef'!J93</f>
        <v>0.11</v>
      </c>
      <c r="AB65" s="51">
        <f>'Input - Pasture Beef'!K93</f>
        <v>0.77</v>
      </c>
      <c r="AC65" s="51">
        <f>'Input - Pasture Beef'!L93</f>
        <v>0.44</v>
      </c>
      <c r="AD65" s="51">
        <f>'Input - Pasture Beef'!M93</f>
        <v>0.44</v>
      </c>
      <c r="AE65" s="51">
        <f>'Input - Pasture Beef'!N93</f>
        <v>0.44</v>
      </c>
      <c r="AF65" s="2" t="s">
        <v>105</v>
      </c>
    </row>
    <row r="66" spans="3:34" ht="20.100000000000001" customHeight="1" x14ac:dyDescent="0.25">
      <c r="D66" s="51" t="s">
        <v>135</v>
      </c>
      <c r="E66" s="51" cm="1">
        <f t="array" ref="E66">EntericMethane_PastureBeef_Equations.VEERG_3_2_1_1__3_FeedIntakeForGrazingBeef(E50,E58,G28)</f>
        <v>3.247204</v>
      </c>
      <c r="F66" s="51" cm="1">
        <f t="array" ref="F66">EntericMethane_PastureBeef_Equations.VEERG_3_2_1_1__3_FeedIntakeForGrazingBeef(F50,F58,H28)</f>
        <v>9.4246544015999998</v>
      </c>
      <c r="G66" s="51" cm="1">
        <f t="array" ref="G66">EntericMethane_PastureBeef_Equations.VEERG_3_2_1_1__3_FeedIntakeForGrazingBeef(G50,G58,I28)</f>
        <v>2.9603267136000002</v>
      </c>
      <c r="H66" s="51" cm="1">
        <f t="array" ref="H66">EntericMethane_PastureBeef_Equations.VEERG_3_2_1_1__3_FeedIntakeForGrazingBeef(H50,H58,J28)</f>
        <v>5.9577975395999987</v>
      </c>
      <c r="I66" s="51" cm="1">
        <f t="array" ref="I66">EntericMethane_PastureBeef_Equations.VEERG_3_2_1_1__3_FeedIntakeForGrazingBeef(I50,I58,K28)</f>
        <v>6.7179974480999993</v>
      </c>
      <c r="J66" s="51" cm="1">
        <f t="array" ref="J66">EntericMethane_PastureBeef_Equations.VEERG_3_2_1_1__3_FeedIntakeForGrazingBeef(J50,J58,L28)</f>
        <v>6.7179974480999993</v>
      </c>
      <c r="K66" s="51" cm="1">
        <f t="array" ref="K66">EntericMethane_PastureBeef_Equations.VEERG_3_2_1_1__3_FeedIntakeForGrazingBeef(K50,K58,M28)</f>
        <v>3.247204</v>
      </c>
      <c r="L66" s="51" cm="1">
        <f t="array" ref="L66">EntericMethane_PastureBeef_Equations.VEERG_3_2_1_1__3_FeedIntakeForGrazingBeef(L50,L58,N28)</f>
        <v>5.8953782416000013</v>
      </c>
      <c r="M66" s="51" cm="1">
        <f t="array" ref="M66">EntericMethane_PastureBeef_Equations.VEERG_3_2_1_1__3_FeedIntakeForGrazingBeef(M50,M58,O28)</f>
        <v>5.8953782416000013</v>
      </c>
      <c r="N66" s="51" cm="1">
        <f t="array" ref="N66">EntericMethane_PastureBeef_Equations.VEERG_3_2_1_1__3_FeedIntakeForGrazingBeef(N50,N58,P28)</f>
        <v>5.8953782416000013</v>
      </c>
      <c r="O66" s="2" t="str">
        <f>$E$39</f>
        <v>kg DM/head/day</v>
      </c>
      <c r="P66" s="2"/>
      <c r="Q66" s="2"/>
      <c r="U66" s="51" t="str">
        <f>TEXT(EDATE('Input - Site'!$E$12,6), "mmmm yyyy")</f>
        <v>July 2025</v>
      </c>
      <c r="V66" s="51">
        <f>'Input - Pasture Beef'!E94</f>
        <v>0.99</v>
      </c>
      <c r="W66" s="51">
        <f>'Input - Pasture Beef'!F94</f>
        <v>0.22</v>
      </c>
      <c r="X66" s="51">
        <f>'Input - Pasture Beef'!G94</f>
        <v>0.77</v>
      </c>
      <c r="Y66" s="51">
        <f>'Input - Pasture Beef'!H94</f>
        <v>0.11</v>
      </c>
      <c r="Z66" s="51">
        <f>'Input - Pasture Beef'!I94</f>
        <v>0.11</v>
      </c>
      <c r="AA66" s="51">
        <f>'Input - Pasture Beef'!J94</f>
        <v>0.11</v>
      </c>
      <c r="AB66" s="51">
        <f>'Input - Pasture Beef'!K94</f>
        <v>0.77</v>
      </c>
      <c r="AC66" s="51">
        <f>'Input - Pasture Beef'!L94</f>
        <v>0.44</v>
      </c>
      <c r="AD66" s="51">
        <f>'Input - Pasture Beef'!M94</f>
        <v>0.44</v>
      </c>
      <c r="AE66" s="51">
        <f>'Input - Pasture Beef'!N94</f>
        <v>0.44</v>
      </c>
      <c r="AF66" s="2" t="s">
        <v>105</v>
      </c>
    </row>
    <row r="67" spans="3:34" ht="20.100000000000001" customHeight="1" x14ac:dyDescent="0.25">
      <c r="D67" s="51" t="s">
        <v>136</v>
      </c>
      <c r="E67" s="51" cm="1">
        <f t="array" ref="E67">EntericMethane_PastureBeef_Equations.VEERG_3_2_1_1__3_FeedIntakeForGrazingBeef(E51,E59,G29)</f>
        <v>5.1328980481000004</v>
      </c>
      <c r="F67" s="51" cm="1">
        <f t="array" ref="F67">EntericMethane_PastureBeef_Equations.VEERG_3_2_1_1__3_FeedIntakeForGrazingBeef(F51,F59,H29)</f>
        <v>9.9748588899999984</v>
      </c>
      <c r="G67" s="51" cm="1">
        <f t="array" ref="G67">EntericMethane_PastureBeef_Equations.VEERG_3_2_1_1__3_FeedIntakeForGrazingBeef(G51,G59,I29)</f>
        <v>4.202705002500001</v>
      </c>
      <c r="H67" s="51" cm="1">
        <f t="array" ref="H67">EntericMethane_PastureBeef_Equations.VEERG_3_2_1_1__3_FeedIntakeForGrazingBeef(H51,H59,J29)</f>
        <v>7.5283222358070025</v>
      </c>
      <c r="I67" s="51" cm="1">
        <f t="array" ref="I67">EntericMethane_PastureBeef_Equations.VEERG_3_2_1_1__3_FeedIntakeForGrazingBeef(I51,I59,K29)</f>
        <v>9.145195140114998</v>
      </c>
      <c r="J67" s="51" cm="1">
        <f t="array" ref="J67">EntericMethane_PastureBeef_Equations.VEERG_3_2_1_1__3_FeedIntakeForGrazingBeef(J51,J59,L29)</f>
        <v>9.145195140114998</v>
      </c>
      <c r="K67" s="51" cm="1">
        <f t="array" ref="K67">EntericMethane_PastureBeef_Equations.VEERG_3_2_1_1__3_FeedIntakeForGrazingBeef(K51,K59,M29)</f>
        <v>4.5122681240999984</v>
      </c>
      <c r="L67" s="51" cm="1">
        <f t="array" ref="L67">EntericMethane_PastureBeef_Equations.VEERG_3_2_1_1__3_FeedIntakeForGrazingBeef(L51,L59,N29)</f>
        <v>6.8698506815999991</v>
      </c>
      <c r="M67" s="51" cm="1">
        <f t="array" ref="M67">EntericMethane_PastureBeef_Equations.VEERG_3_2_1_1__3_FeedIntakeForGrazingBeef(M51,M59,O29)</f>
        <v>6.8698506815999991</v>
      </c>
      <c r="N67" s="51" cm="1">
        <f t="array" ref="N67">EntericMethane_PastureBeef_Equations.VEERG_3_2_1_1__3_FeedIntakeForGrazingBeef(N51,N59,P29)</f>
        <v>6.8698506815999991</v>
      </c>
      <c r="O67" s="2" t="str">
        <f>$E$39</f>
        <v>kg DM/head/day</v>
      </c>
      <c r="P67" s="2"/>
      <c r="Q67" s="2"/>
      <c r="U67" s="51" t="str">
        <f>TEXT(EDATE('Input - Site'!$E$12,7), "mmmm yyyy")</f>
        <v>August 2025</v>
      </c>
      <c r="V67" s="51">
        <f>'Input - Pasture Beef'!E95</f>
        <v>0.99</v>
      </c>
      <c r="W67" s="51">
        <f>'Input - Pasture Beef'!F95</f>
        <v>0.22</v>
      </c>
      <c r="X67" s="51">
        <f>'Input - Pasture Beef'!G95</f>
        <v>0.77</v>
      </c>
      <c r="Y67" s="51">
        <f>'Input - Pasture Beef'!H95</f>
        <v>0.11</v>
      </c>
      <c r="Z67" s="51">
        <f>'Input - Pasture Beef'!I95</f>
        <v>0.11</v>
      </c>
      <c r="AA67" s="51">
        <f>'Input - Pasture Beef'!J95</f>
        <v>0.11</v>
      </c>
      <c r="AB67" s="51">
        <f>'Input - Pasture Beef'!K95</f>
        <v>0.77</v>
      </c>
      <c r="AC67" s="51">
        <f>'Input - Pasture Beef'!L95</f>
        <v>0.44</v>
      </c>
      <c r="AD67" s="51">
        <f>'Input - Pasture Beef'!M95</f>
        <v>0.44</v>
      </c>
      <c r="AE67" s="51">
        <f>'Input - Pasture Beef'!N95</f>
        <v>0.44</v>
      </c>
      <c r="AF67" s="2" t="s">
        <v>105</v>
      </c>
    </row>
    <row r="68" spans="3:34" ht="20.100000000000001" customHeight="1" x14ac:dyDescent="0.25">
      <c r="U68" s="51" t="str">
        <f>TEXT(EDATE('Input - Site'!$E$12,8), "mmmm yyyy")</f>
        <v>September 2025</v>
      </c>
      <c r="V68" s="51">
        <f>'Input - Pasture Beef'!E96</f>
        <v>1.64</v>
      </c>
      <c r="W68" s="51">
        <f>'Input - Pasture Beef'!F96</f>
        <v>1.1000000000000001</v>
      </c>
      <c r="X68" s="51">
        <f>'Input - Pasture Beef'!G96</f>
        <v>1.21</v>
      </c>
      <c r="Y68" s="51">
        <f>'Input - Pasture Beef'!H96</f>
        <v>0.99</v>
      </c>
      <c r="Z68" s="51">
        <f>'Input - Pasture Beef'!I96</f>
        <v>0.66</v>
      </c>
      <c r="AA68" s="51">
        <f>'Input - Pasture Beef'!J96</f>
        <v>0.66</v>
      </c>
      <c r="AB68" s="51">
        <f>'Input - Pasture Beef'!K96</f>
        <v>1.42</v>
      </c>
      <c r="AC68" s="51">
        <f>'Input - Pasture Beef'!L96</f>
        <v>1.1000000000000001</v>
      </c>
      <c r="AD68" s="51">
        <f>'Input - Pasture Beef'!M96</f>
        <v>1.1000000000000001</v>
      </c>
      <c r="AE68" s="51">
        <f>'Input - Pasture Beef'!N96</f>
        <v>1.1000000000000001</v>
      </c>
      <c r="AF68" s="2" t="s">
        <v>105</v>
      </c>
      <c r="AG68" s="2"/>
      <c r="AH68" s="2"/>
    </row>
    <row r="69" spans="3:34" ht="20.100000000000001" customHeight="1" x14ac:dyDescent="0.25">
      <c r="U69" s="51" t="str">
        <f>TEXT(EDATE('Input - Site'!$E$12,9), "mmmm yyyy")</f>
        <v>October 2025</v>
      </c>
      <c r="V69" s="51">
        <f>'Input - Pasture Beef'!E97</f>
        <v>1.64</v>
      </c>
      <c r="W69" s="51">
        <f>'Input - Pasture Beef'!F97</f>
        <v>1.1000000000000001</v>
      </c>
      <c r="X69" s="51">
        <f>'Input - Pasture Beef'!G97</f>
        <v>1.21</v>
      </c>
      <c r="Y69" s="51">
        <f>'Input - Pasture Beef'!H97</f>
        <v>0.99</v>
      </c>
      <c r="Z69" s="51">
        <f>'Input - Pasture Beef'!I97</f>
        <v>0.66</v>
      </c>
      <c r="AA69" s="51">
        <f>'Input - Pasture Beef'!J97</f>
        <v>0.66</v>
      </c>
      <c r="AB69" s="51">
        <f>'Input - Pasture Beef'!K97</f>
        <v>1.42</v>
      </c>
      <c r="AC69" s="51">
        <f>'Input - Pasture Beef'!L97</f>
        <v>1.1000000000000001</v>
      </c>
      <c r="AD69" s="51">
        <f>'Input - Pasture Beef'!M97</f>
        <v>1.1000000000000001</v>
      </c>
      <c r="AE69" s="51">
        <f>'Input - Pasture Beef'!N97</f>
        <v>1.1000000000000001</v>
      </c>
      <c r="AF69" s="2" t="s">
        <v>105</v>
      </c>
      <c r="AG69" s="2"/>
      <c r="AH69" s="2"/>
    </row>
    <row r="70" spans="3:34" ht="20.100000000000001" customHeight="1" x14ac:dyDescent="0.25">
      <c r="C70" s="44"/>
      <c r="D70" s="44"/>
      <c r="E70" s="44"/>
      <c r="F70" s="44"/>
      <c r="G70" s="44"/>
      <c r="H70" s="44"/>
      <c r="I70" s="44"/>
      <c r="J70" s="44"/>
      <c r="K70" s="44"/>
      <c r="L70" s="44"/>
      <c r="M70" s="44"/>
      <c r="N70" s="44"/>
      <c r="O70" s="44"/>
      <c r="P70" s="44"/>
      <c r="Q70" s="44"/>
      <c r="R70" s="44"/>
      <c r="U70" s="51" t="str">
        <f>TEXT(EDATE('Input - Site'!$E$12,10), "mmmm yyyy")</f>
        <v>November 2025</v>
      </c>
      <c r="V70" s="51">
        <f>'Input - Pasture Beef'!E98</f>
        <v>1.64</v>
      </c>
      <c r="W70" s="51">
        <f>'Input - Pasture Beef'!F98</f>
        <v>1.1000000000000001</v>
      </c>
      <c r="X70" s="51">
        <f>'Input - Pasture Beef'!G98</f>
        <v>1.21</v>
      </c>
      <c r="Y70" s="51">
        <f>'Input - Pasture Beef'!H98</f>
        <v>0.99</v>
      </c>
      <c r="Z70" s="51">
        <f>'Input - Pasture Beef'!I98</f>
        <v>0.66</v>
      </c>
      <c r="AA70" s="51">
        <f>'Input - Pasture Beef'!J98</f>
        <v>0.66</v>
      </c>
      <c r="AB70" s="51">
        <f>'Input - Pasture Beef'!K98</f>
        <v>1.42</v>
      </c>
      <c r="AC70" s="51">
        <f>'Input - Pasture Beef'!L98</f>
        <v>1.1000000000000001</v>
      </c>
      <c r="AD70" s="51">
        <f>'Input - Pasture Beef'!M98</f>
        <v>1.1000000000000001</v>
      </c>
      <c r="AE70" s="51">
        <f>'Input - Pasture Beef'!N98</f>
        <v>1.1000000000000001</v>
      </c>
      <c r="AF70" s="2" t="s">
        <v>105</v>
      </c>
      <c r="AG70" s="2"/>
      <c r="AH70" s="2"/>
    </row>
    <row r="71" spans="3:34" ht="20.100000000000001" customHeight="1" x14ac:dyDescent="0.25">
      <c r="D71" s="6" t="str" cm="1">
        <f t="array" ref="D71">EntericMethane_PastureBeef_Equations.VEERG_3_2_1_1__2_DailyEntericMethaneProduction_Title()</f>
        <v>Daily production of enteric methane</v>
      </c>
      <c r="U71" s="51" t="str">
        <f>TEXT(EDATE('Input - Site'!$E$12,11), "mmmm yyyy")</f>
        <v>December 2025</v>
      </c>
      <c r="V71" s="51">
        <f>'Input - Pasture Beef'!E99</f>
        <v>0.44</v>
      </c>
      <c r="W71" s="51">
        <f>'Input - Pasture Beef'!F99</f>
        <v>-0.22</v>
      </c>
      <c r="X71" s="51">
        <f>'Input - Pasture Beef'!G99</f>
        <v>0.44</v>
      </c>
      <c r="Y71" s="51">
        <f>'Input - Pasture Beef'!H99</f>
        <v>0.33</v>
      </c>
      <c r="Z71" s="51">
        <f>'Input - Pasture Beef'!I99</f>
        <v>-0.22</v>
      </c>
      <c r="AA71" s="51">
        <f>'Input - Pasture Beef'!J99</f>
        <v>-0.22</v>
      </c>
      <c r="AB71" s="51">
        <f>'Input - Pasture Beef'!K99</f>
        <v>0.44</v>
      </c>
      <c r="AC71" s="51">
        <f>'Input - Pasture Beef'!L99</f>
        <v>-0.11</v>
      </c>
      <c r="AD71" s="51">
        <f>'Input - Pasture Beef'!M99</f>
        <v>-0.11</v>
      </c>
      <c r="AE71" s="51">
        <f>'Input - Pasture Beef'!N99</f>
        <v>-0.11</v>
      </c>
      <c r="AF71" s="2" t="s">
        <v>105</v>
      </c>
      <c r="AG71" s="2"/>
      <c r="AH71" s="2"/>
    </row>
    <row r="72" spans="3:34" ht="20.100000000000001" customHeight="1" x14ac:dyDescent="0.25">
      <c r="D72" s="5" t="str" cm="1">
        <f t="array" ref="D72">EntericMethane_PastureBeef_Equations.VEERG_3_2_1_1__2_DailyEntericMethaneProduction_Source()</f>
        <v>VEERG 2026: 3.2.1.1, Equation (2)</v>
      </c>
      <c r="AG72" s="2"/>
      <c r="AH72" s="2"/>
    </row>
    <row r="73" spans="3:34" ht="20.100000000000001" customHeight="1" x14ac:dyDescent="0.25">
      <c r="D73" s="13" t="s">
        <v>20</v>
      </c>
      <c r="E73" s="13" t="str" cm="1">
        <f t="array" aca="1" ref="E73" ca="1">Common_InputFunctions.Utility_DisplayFunctionName(E85)</f>
        <v>=EntericMethane_PastureBeef_Equations.VEERG_3_2_1_1__2_DailyEntericMethaneProduction</v>
      </c>
      <c r="U73" s="96" t="s">
        <v>217</v>
      </c>
      <c r="AG73" s="2"/>
      <c r="AH73" s="2"/>
    </row>
    <row r="74" spans="3:34" ht="20.100000000000001" customHeight="1" x14ac:dyDescent="0.25">
      <c r="U74" s="95" t="s">
        <v>112</v>
      </c>
      <c r="AG74" s="2"/>
      <c r="AH74" s="2"/>
    </row>
    <row r="75" spans="3:34" ht="20.100000000000001" customHeight="1" x14ac:dyDescent="0.25">
      <c r="U75" s="50" t="s">
        <v>103</v>
      </c>
      <c r="V75" s="50" t="s">
        <v>102</v>
      </c>
      <c r="W75" s="50" t="s">
        <v>101</v>
      </c>
      <c r="X75" s="50" t="s">
        <v>125</v>
      </c>
      <c r="Y75" s="50" t="s">
        <v>126</v>
      </c>
      <c r="Z75" s="50" t="s">
        <v>127</v>
      </c>
      <c r="AA75" s="50" t="s">
        <v>128</v>
      </c>
      <c r="AB75" s="50" t="s">
        <v>129</v>
      </c>
      <c r="AC75" s="50" t="s">
        <v>130</v>
      </c>
      <c r="AD75" s="50" t="s">
        <v>131</v>
      </c>
      <c r="AE75" s="50" t="s">
        <v>132</v>
      </c>
      <c r="AG75" s="2"/>
      <c r="AH75" s="2"/>
    </row>
    <row r="76" spans="3:34" ht="20.100000000000001" customHeight="1" x14ac:dyDescent="0.25">
      <c r="U76" s="51" t="str">
        <f>TEXT('Input - Site'!$E$12, "mmmm yyyy")</f>
        <v>January 2025</v>
      </c>
      <c r="V76" s="51" cm="1">
        <f t="array" ref="V76">EntericMethane_PastureBeef_Equations.VEERG_3_2_1_1__3_FeedIntakeForGrazingBeef(V44,V60,X28)</f>
        <v>7.1468536895999959</v>
      </c>
      <c r="W76" s="51" cm="1">
        <f t="array" ref="W76">EntericMethane_PastureBeef_Equations.VEERG_3_2_1_1__3_FeedIntakeForGrazingBeef(W44,W60,Y28)</f>
        <v>9.4559940036000008</v>
      </c>
      <c r="X76" s="51" cm="1">
        <f t="array" ref="X76">EntericMethane_PastureBeef_Equations.VEERG_3_2_1_1__3_FeedIntakeForGrazingBeef(X44,X60,Z28)</f>
        <v>6.010342559999998</v>
      </c>
      <c r="Y76" s="51" cm="1">
        <f t="array" ref="Y76">EntericMethane_PastureBeef_Equations.VEERG_3_2_1_1__3_FeedIntakeForGrazingBeef(Y44,Y60,AA28)</f>
        <v>8.4608409301875014</v>
      </c>
      <c r="Z76" s="51" cm="1">
        <f t="array" ref="Z76">EntericMethane_PastureBeef_Equations.VEERG_3_2_1_1__3_FeedIntakeForGrazingBeef(Z44,Z60,AB28)</f>
        <v>8.3772677761199983</v>
      </c>
      <c r="AA76" s="51" cm="1">
        <f t="array" ref="AA76">EntericMethane_PastureBeef_Equations.VEERG_3_2_1_1__3_FeedIntakeForGrazingBeef(AA44,AA60,AC28)</f>
        <v>8.3772677761199983</v>
      </c>
      <c r="AB76" s="51" cm="1">
        <f t="array" ref="AB76">EntericMethane_PastureBeef_Equations.VEERG_3_2_1_1__3_FeedIntakeForGrazingBeef(AB44,AB60,AD28)</f>
        <v>6.5876408896000003</v>
      </c>
      <c r="AC76" s="51" cm="1">
        <f t="array" ref="AC76">EntericMethane_PastureBeef_Equations.VEERG_3_2_1_1__3_FeedIntakeForGrazingBeef(AC44,AC60,AE28)</f>
        <v>7.3430702361</v>
      </c>
      <c r="AD76" s="51" cm="1">
        <f t="array" ref="AD76">EntericMethane_PastureBeef_Equations.VEERG_3_2_1_1__3_FeedIntakeForGrazingBeef(AD44,AD60,AF28)</f>
        <v>7.3430702361</v>
      </c>
      <c r="AE76" s="51" cm="1">
        <f t="array" ref="AE76">EntericMethane_PastureBeef_Equations.VEERG_3_2_1_1__3_FeedIntakeForGrazingBeef(AE44,AE60,AG28)</f>
        <v>7.3430702361</v>
      </c>
      <c r="AF76" s="2" t="str">
        <f t="shared" ref="AF76:AF87" si="2">$E$39</f>
        <v>kg DM/head/day</v>
      </c>
      <c r="AG76" s="2"/>
      <c r="AH76" s="2"/>
    </row>
    <row r="77" spans="3:34" ht="20.100000000000001" customHeight="1" x14ac:dyDescent="0.25">
      <c r="D77" s="52" t="s">
        <v>23</v>
      </c>
      <c r="E77" s="1" t="str" cm="1">
        <f t="array" ref="E77">EntericMethane_PastureBeef_Equations.VEERG_3_2_1_1__2_DailyEntericMethaneProduction_Variable()</f>
        <v>M_jkl</v>
      </c>
      <c r="U77" s="51" t="str">
        <f>TEXT(EDATE('Input - Site'!$E$12,1), "mmmm yyyy")</f>
        <v>February 2025</v>
      </c>
      <c r="V77" s="51" cm="1">
        <f t="array" ref="V77">EntericMethane_PastureBeef_Equations.VEERG_3_2_1_1__3_FeedIntakeForGrazingBeef(V45,V61,X29)</f>
        <v>7.1468536895999959</v>
      </c>
      <c r="W77" s="51" cm="1">
        <f t="array" ref="W77">EntericMethane_PastureBeef_Equations.VEERG_3_2_1_1__3_FeedIntakeForGrazingBeef(W45,W61,Y29)</f>
        <v>9.4559940036000008</v>
      </c>
      <c r="X77" s="51" cm="1">
        <f t="array" ref="X77">EntericMethane_PastureBeef_Equations.VEERG_3_2_1_1__3_FeedIntakeForGrazingBeef(X45,X61,Z29)</f>
        <v>6.010342559999998</v>
      </c>
      <c r="Y77" s="51" cm="1">
        <f t="array" ref="Y77">EntericMethane_PastureBeef_Equations.VEERG_3_2_1_1__3_FeedIntakeForGrazingBeef(Y45,Y61,AA29)</f>
        <v>7.8705497025</v>
      </c>
      <c r="Z77" s="51" cm="1">
        <f t="array" ref="Z77">EntericMethane_PastureBeef_Equations.VEERG_3_2_1_1__3_FeedIntakeForGrazingBeef(Z45,Z61,AB29)</f>
        <v>7.7928072335999978</v>
      </c>
      <c r="AA77" s="51" cm="1">
        <f t="array" ref="AA77">EntericMethane_PastureBeef_Equations.VEERG_3_2_1_1__3_FeedIntakeForGrazingBeef(AA45,AA61,AC29)</f>
        <v>7.7928072335999978</v>
      </c>
      <c r="AB77" s="51" cm="1">
        <f t="array" ref="AB77">EntericMethane_PastureBeef_Equations.VEERG_3_2_1_1__3_FeedIntakeForGrazingBeef(AB45,AB61,AD29)</f>
        <v>6.5876408896000003</v>
      </c>
      <c r="AC77" s="51" cm="1">
        <f t="array" ref="AC77">EntericMethane_PastureBeef_Equations.VEERG_3_2_1_1__3_FeedIntakeForGrazingBeef(AC45,AC61,AE29)</f>
        <v>7.3430702361</v>
      </c>
      <c r="AD77" s="51" cm="1">
        <f t="array" ref="AD77">EntericMethane_PastureBeef_Equations.VEERG_3_2_1_1__3_FeedIntakeForGrazingBeef(AD45,AD61,AF29)</f>
        <v>7.3430702361</v>
      </c>
      <c r="AE77" s="51" cm="1">
        <f t="array" ref="AE77">EntericMethane_PastureBeef_Equations.VEERG_3_2_1_1__3_FeedIntakeForGrazingBeef(AE45,AE61,AG29)</f>
        <v>7.3430702361</v>
      </c>
      <c r="AF77" s="2" t="str">
        <f t="shared" si="2"/>
        <v>kg DM/head/day</v>
      </c>
      <c r="AG77" s="2"/>
      <c r="AH77" s="2"/>
    </row>
    <row r="78" spans="3:34" ht="20.100000000000001" customHeight="1" x14ac:dyDescent="0.25">
      <c r="D78" s="52" t="s">
        <v>14</v>
      </c>
      <c r="E78" s="53" t="str" cm="1">
        <f t="array" ref="E78">EntericMethane_PastureBeef_Equations.VEERG_3_2_1_1__2_DailyEntericMethaneProduction_Unit()</f>
        <v>kg CH4/head/day</v>
      </c>
      <c r="U78" s="51" t="str">
        <f>TEXT(EDATE('Input - Site'!$E$12,2), "mmmm yyyy")</f>
        <v>March 2025</v>
      </c>
      <c r="V78" s="51" cm="1">
        <f t="array" ref="V78">EntericMethane_PastureBeef_Equations.VEERG_3_2_1_1__3_FeedIntakeForGrazingBeef(V46,V62,X30)</f>
        <v>3.247204</v>
      </c>
      <c r="W78" s="51" cm="1">
        <f t="array" ref="W78">EntericMethane_PastureBeef_Equations.VEERG_3_2_1_1__3_FeedIntakeForGrazingBeef(W46,W62,Y30)</f>
        <v>9.4246544015999998</v>
      </c>
      <c r="X78" s="51" cm="1">
        <f t="array" ref="X78">EntericMethane_PastureBeef_Equations.VEERG_3_2_1_1__3_FeedIntakeForGrazingBeef(X46,X62,Z30)</f>
        <v>2.9603267136000002</v>
      </c>
      <c r="Y78" s="51" cm="1">
        <f t="array" ref="Y78">EntericMethane_PastureBeef_Equations.VEERG_3_2_1_1__3_FeedIntakeForGrazingBeef(Y46,Y62,AA30)</f>
        <v>5.9577975395999987</v>
      </c>
      <c r="Z78" s="51" cm="1">
        <f t="array" ref="Z78">EntericMethane_PastureBeef_Equations.VEERG_3_2_1_1__3_FeedIntakeForGrazingBeef(Z46,Z62,AB30)</f>
        <v>6.7179974480999993</v>
      </c>
      <c r="AA78" s="51" cm="1">
        <f t="array" ref="AA78">EntericMethane_PastureBeef_Equations.VEERG_3_2_1_1__3_FeedIntakeForGrazingBeef(AA46,AA62,AC30)</f>
        <v>6.7179974480999993</v>
      </c>
      <c r="AB78" s="51" cm="1">
        <f t="array" ref="AB78">EntericMethane_PastureBeef_Equations.VEERG_3_2_1_1__3_FeedIntakeForGrazingBeef(AB46,AB62,AD30)</f>
        <v>3.247204</v>
      </c>
      <c r="AC78" s="51" cm="1">
        <f t="array" ref="AC78">EntericMethane_PastureBeef_Equations.VEERG_3_2_1_1__3_FeedIntakeForGrazingBeef(AC46,AC62,AE30)</f>
        <v>5.8953782416000013</v>
      </c>
      <c r="AD78" s="51" cm="1">
        <f t="array" ref="AD78">EntericMethane_PastureBeef_Equations.VEERG_3_2_1_1__3_FeedIntakeForGrazingBeef(AD46,AD62,AF30)</f>
        <v>5.8953782416000013</v>
      </c>
      <c r="AE78" s="51" cm="1">
        <f t="array" ref="AE78">EntericMethane_PastureBeef_Equations.VEERG_3_2_1_1__3_FeedIntakeForGrazingBeef(AE46,AE62,AG30)</f>
        <v>5.8953782416000013</v>
      </c>
      <c r="AF78" s="2" t="str">
        <f t="shared" si="2"/>
        <v>kg DM/head/day</v>
      </c>
      <c r="AG78" s="2"/>
      <c r="AH78" s="2"/>
    </row>
    <row r="79" spans="3:34" ht="20.100000000000001" customHeight="1" x14ac:dyDescent="0.25">
      <c r="U79" s="51" t="str">
        <f>TEXT(EDATE('Input - Site'!$E$12,3), "mmmm yyyy")</f>
        <v>April 2025</v>
      </c>
      <c r="V79" s="51" cm="1">
        <f t="array" ref="V79">EntericMethane_PastureBeef_Equations.VEERG_3_2_1_1__3_FeedIntakeForGrazingBeef(V47,V63,X31)</f>
        <v>3.247204</v>
      </c>
      <c r="W79" s="51" cm="1">
        <f t="array" ref="W79">EntericMethane_PastureBeef_Equations.VEERG_3_2_1_1__3_FeedIntakeForGrazingBeef(W47,W63,Y31)</f>
        <v>9.4246544015999998</v>
      </c>
      <c r="X79" s="51" cm="1">
        <f t="array" ref="X79">EntericMethane_PastureBeef_Equations.VEERG_3_2_1_1__3_FeedIntakeForGrazingBeef(X47,X63,Z31)</f>
        <v>2.9603267136000002</v>
      </c>
      <c r="Y79" s="51" cm="1">
        <f t="array" ref="Y79">EntericMethane_PastureBeef_Equations.VEERG_3_2_1_1__3_FeedIntakeForGrazingBeef(Y47,Y63,AA31)</f>
        <v>5.9577975395999987</v>
      </c>
      <c r="Z79" s="51" cm="1">
        <f t="array" ref="Z79">EntericMethane_PastureBeef_Equations.VEERG_3_2_1_1__3_FeedIntakeForGrazingBeef(Z47,Z63,AB31)</f>
        <v>6.7179974480999993</v>
      </c>
      <c r="AA79" s="51" cm="1">
        <f t="array" ref="AA79">EntericMethane_PastureBeef_Equations.VEERG_3_2_1_1__3_FeedIntakeForGrazingBeef(AA47,AA63,AC31)</f>
        <v>6.7179974480999993</v>
      </c>
      <c r="AB79" s="51" cm="1">
        <f t="array" ref="AB79">EntericMethane_PastureBeef_Equations.VEERG_3_2_1_1__3_FeedIntakeForGrazingBeef(AB47,AB63,AD31)</f>
        <v>3.247204</v>
      </c>
      <c r="AC79" s="51" cm="1">
        <f t="array" ref="AC79">EntericMethane_PastureBeef_Equations.VEERG_3_2_1_1__3_FeedIntakeForGrazingBeef(AC47,AC63,AE31)</f>
        <v>5.8953782416000013</v>
      </c>
      <c r="AD79" s="51" cm="1">
        <f t="array" ref="AD79">EntericMethane_PastureBeef_Equations.VEERG_3_2_1_1__3_FeedIntakeForGrazingBeef(AD47,AD63,AF31)</f>
        <v>5.8953782416000013</v>
      </c>
      <c r="AE79" s="51" cm="1">
        <f t="array" ref="AE79">EntericMethane_PastureBeef_Equations.VEERG_3_2_1_1__3_FeedIntakeForGrazingBeef(AE47,AE63,AG31)</f>
        <v>5.8953782416000013</v>
      </c>
      <c r="AF79" s="2" t="str">
        <f t="shared" si="2"/>
        <v>kg DM/head/day</v>
      </c>
      <c r="AG79" s="2"/>
      <c r="AH79" s="2"/>
    </row>
    <row r="80" spans="3:34" ht="20.100000000000001" customHeight="1" x14ac:dyDescent="0.25">
      <c r="D80" s="112" t="str" cm="1">
        <f t="array" ref="D80:E80">_xlfn.CHOOSECOLS(EntericMethane_PastureBeef_Equations.VEERG_3_2_1_1__2_DailyEntericMethaneProduction_Arguments(), 1, 2)</f>
        <v>I_jkl</v>
      </c>
      <c r="E80" s="117" t="str">
        <v>dry matter intake</v>
      </c>
      <c r="F80" s="116"/>
      <c r="G80" s="112" t="str" cm="1">
        <f t="array" ref="G80:H80">_xlfn.CHOOSECOLS(EntericMethane_PastureBeef_Equations.VEERG_3_2_1_1__2_DailyEntericMethaneProduction_Arguments(), 3,4)</f>
        <v>kg DM/head/day</v>
      </c>
      <c r="H80" s="113" t="str">
        <v>Calculated from 3.2.1.1, (3)</v>
      </c>
      <c r="I80" s="111" t="str" cm="1">
        <f t="array" aca="1" ref="I80" ca="1">HYPERLINK(Common_InputFunctions.Utility_SourceHyperlink($D$61), $D$61)</f>
        <v>M1_Table_I_j_k_l</v>
      </c>
      <c r="U80" s="51" t="str">
        <f>TEXT(EDATE('Input - Site'!$E$12,4), "mmmm yyyy")</f>
        <v>May 2025</v>
      </c>
      <c r="V80" s="51" cm="1">
        <f t="array" ref="V80">EntericMethane_PastureBeef_Equations.VEERG_3_2_1_1__3_FeedIntakeForGrazingBeef(V48,V64,X32)</f>
        <v>3.247204</v>
      </c>
      <c r="W80" s="51" cm="1">
        <f t="array" ref="W80">EntericMethane_PastureBeef_Equations.VEERG_3_2_1_1__3_FeedIntakeForGrazingBeef(W48,W64,Y32)</f>
        <v>9.4246544015999998</v>
      </c>
      <c r="X80" s="51" cm="1">
        <f t="array" ref="X80">EntericMethane_PastureBeef_Equations.VEERG_3_2_1_1__3_FeedIntakeForGrazingBeef(X48,X64,Z32)</f>
        <v>2.9603267136000002</v>
      </c>
      <c r="Y80" s="51" cm="1">
        <f t="array" ref="Y80">EntericMethane_PastureBeef_Equations.VEERG_3_2_1_1__3_FeedIntakeForGrazingBeef(Y48,Y64,AA32)</f>
        <v>5.9577975395999987</v>
      </c>
      <c r="Z80" s="51" cm="1">
        <f t="array" ref="Z80">EntericMethane_PastureBeef_Equations.VEERG_3_2_1_1__3_FeedIntakeForGrazingBeef(Z48,Z64,AB32)</f>
        <v>6.7179974480999993</v>
      </c>
      <c r="AA80" s="51" cm="1">
        <f t="array" ref="AA80">EntericMethane_PastureBeef_Equations.VEERG_3_2_1_1__3_FeedIntakeForGrazingBeef(AA48,AA64,AC32)</f>
        <v>6.7179974480999993</v>
      </c>
      <c r="AB80" s="51" cm="1">
        <f t="array" ref="AB80">EntericMethane_PastureBeef_Equations.VEERG_3_2_1_1__3_FeedIntakeForGrazingBeef(AB48,AB64,AD32)</f>
        <v>3.247204</v>
      </c>
      <c r="AC80" s="51" cm="1">
        <f t="array" ref="AC80">EntericMethane_PastureBeef_Equations.VEERG_3_2_1_1__3_FeedIntakeForGrazingBeef(AC48,AC64,AE32)</f>
        <v>5.8953782416000013</v>
      </c>
      <c r="AD80" s="51" cm="1">
        <f t="array" ref="AD80">EntericMethane_PastureBeef_Equations.VEERG_3_2_1_1__3_FeedIntakeForGrazingBeef(AD48,AD64,AF32)</f>
        <v>5.8953782416000013</v>
      </c>
      <c r="AE80" s="51" cm="1">
        <f t="array" ref="AE80">EntericMethane_PastureBeef_Equations.VEERG_3_2_1_1__3_FeedIntakeForGrazingBeef(AE48,AE64,AG32)</f>
        <v>5.8953782416000013</v>
      </c>
      <c r="AF80" s="2" t="str">
        <f t="shared" si="2"/>
        <v>kg DM/head/day</v>
      </c>
    </row>
    <row r="81" spans="3:35" ht="20.100000000000001" customHeight="1" x14ac:dyDescent="0.25">
      <c r="U81" s="51" t="str">
        <f>TEXT(EDATE('Input - Site'!$E$12,5), "mmmm yyyy")</f>
        <v>June 2025</v>
      </c>
      <c r="V81" s="51" cm="1">
        <f t="array" ref="V81">EntericMethane_PastureBeef_Equations.VEERG_3_2_1_1__3_FeedIntakeForGrazingBeef(V49,V65,X33)</f>
        <v>5.1328980481000004</v>
      </c>
      <c r="W81" s="51" cm="1">
        <f t="array" ref="W81">EntericMethane_PastureBeef_Equations.VEERG_3_2_1_1__3_FeedIntakeForGrazingBeef(W49,W65,Y33)</f>
        <v>9.9748588899999984</v>
      </c>
      <c r="X81" s="51" cm="1">
        <f t="array" ref="X81">EntericMethane_PastureBeef_Equations.VEERG_3_2_1_1__3_FeedIntakeForGrazingBeef(X49,X65,Z33)</f>
        <v>4.202705002500001</v>
      </c>
      <c r="Y81" s="51" cm="1">
        <f t="array" ref="Y81">EntericMethane_PastureBeef_Equations.VEERG_3_2_1_1__3_FeedIntakeForGrazingBeef(Y49,Y65,AA33)</f>
        <v>5.9278127841000021</v>
      </c>
      <c r="Z81" s="51" cm="1">
        <f t="array" ref="Z81">EntericMethane_PastureBeef_Equations.VEERG_3_2_1_1__3_FeedIntakeForGrazingBeef(Z49,Z65,AB33)</f>
        <v>7.952343600099999</v>
      </c>
      <c r="AA81" s="51" cm="1">
        <f t="array" ref="AA81">EntericMethane_PastureBeef_Equations.VEERG_3_2_1_1__3_FeedIntakeForGrazingBeef(AA49,AA65,AC33)</f>
        <v>7.952343600099999</v>
      </c>
      <c r="AB81" s="51" cm="1">
        <f t="array" ref="AB81">EntericMethane_PastureBeef_Equations.VEERG_3_2_1_1__3_FeedIntakeForGrazingBeef(AB49,AB65,AD33)</f>
        <v>4.5122681240999984</v>
      </c>
      <c r="AC81" s="51" cm="1">
        <f t="array" ref="AC81">EntericMethane_PastureBeef_Equations.VEERG_3_2_1_1__3_FeedIntakeForGrazingBeef(AC49,AC65,AE33)</f>
        <v>6.8698506815999991</v>
      </c>
      <c r="AD81" s="51" cm="1">
        <f t="array" ref="AD81">EntericMethane_PastureBeef_Equations.VEERG_3_2_1_1__3_FeedIntakeForGrazingBeef(AD49,AD65,AF33)</f>
        <v>6.8698506815999991</v>
      </c>
      <c r="AE81" s="51" cm="1">
        <f t="array" ref="AE81">EntericMethane_PastureBeef_Equations.VEERG_3_2_1_1__3_FeedIntakeForGrazingBeef(AE49,AE65,AG33)</f>
        <v>6.8698506815999991</v>
      </c>
      <c r="AF81" s="2" t="str">
        <f t="shared" si="2"/>
        <v>kg DM/head/day</v>
      </c>
    </row>
    <row r="82" spans="3:35" ht="20.100000000000001" customHeight="1" x14ac:dyDescent="0.25">
      <c r="D82" s="96" t="s">
        <v>256</v>
      </c>
      <c r="U82" s="51" t="str">
        <f>TEXT(EDATE('Input - Site'!$E$12,6), "mmmm yyyy")</f>
        <v>July 2025</v>
      </c>
      <c r="V82" s="51" cm="1">
        <f t="array" ref="V82">EntericMethane_PastureBeef_Equations.VEERG_3_2_1_1__3_FeedIntakeForGrazingBeef(V50,V66,X34)</f>
        <v>5.1328980481000004</v>
      </c>
      <c r="W82" s="51" cm="1">
        <f t="array" ref="W82">EntericMethane_PastureBeef_Equations.VEERG_3_2_1_1__3_FeedIntakeForGrazingBeef(W50,W66,Y34)</f>
        <v>9.9748588899999984</v>
      </c>
      <c r="X82" s="51" cm="1">
        <f t="array" ref="X82">EntericMethane_PastureBeef_Equations.VEERG_3_2_1_1__3_FeedIntakeForGrazingBeef(X50,X66,Z34)</f>
        <v>4.202705002500001</v>
      </c>
      <c r="Y82" s="51" cm="1">
        <f t="array" ref="Y82">EntericMethane_PastureBeef_Equations.VEERG_3_2_1_1__3_FeedIntakeForGrazingBeef(Y50,Y66,AA34)</f>
        <v>5.9278127841000021</v>
      </c>
      <c r="Z82" s="51" cm="1">
        <f t="array" ref="Z82">EntericMethane_PastureBeef_Equations.VEERG_3_2_1_1__3_FeedIntakeForGrazingBeef(Z50,Z66,AB34)</f>
        <v>7.952343600099999</v>
      </c>
      <c r="AA82" s="51" cm="1">
        <f t="array" ref="AA82">EntericMethane_PastureBeef_Equations.VEERG_3_2_1_1__3_FeedIntakeForGrazingBeef(AA50,AA66,AC34)</f>
        <v>7.952343600099999</v>
      </c>
      <c r="AB82" s="51" cm="1">
        <f t="array" ref="AB82">EntericMethane_PastureBeef_Equations.VEERG_3_2_1_1__3_FeedIntakeForGrazingBeef(AB50,AB66,AD34)</f>
        <v>4.5122681240999984</v>
      </c>
      <c r="AC82" s="51" cm="1">
        <f t="array" ref="AC82">EntericMethane_PastureBeef_Equations.VEERG_3_2_1_1__3_FeedIntakeForGrazingBeef(AC50,AC66,AE34)</f>
        <v>6.8698506815999991</v>
      </c>
      <c r="AD82" s="51" cm="1">
        <f t="array" ref="AD82">EntericMethane_PastureBeef_Equations.VEERG_3_2_1_1__3_FeedIntakeForGrazingBeef(AD50,AD66,AF34)</f>
        <v>6.8698506815999991</v>
      </c>
      <c r="AE82" s="51" cm="1">
        <f t="array" ref="AE82">EntericMethane_PastureBeef_Equations.VEERG_3_2_1_1__3_FeedIntakeForGrazingBeef(AE50,AE66,AG34)</f>
        <v>6.8698506815999991</v>
      </c>
      <c r="AF82" s="2" t="str">
        <f t="shared" si="2"/>
        <v>kg DM/head/day</v>
      </c>
    </row>
    <row r="83" spans="3:35" ht="20.100000000000001" customHeight="1" x14ac:dyDescent="0.25">
      <c r="D83" s="95" t="s">
        <v>257</v>
      </c>
      <c r="U83" s="51" t="str">
        <f>TEXT(EDATE('Input - Site'!$E$12,7), "mmmm yyyy")</f>
        <v>August 2025</v>
      </c>
      <c r="V83" s="51" cm="1">
        <f t="array" ref="V83">EntericMethane_PastureBeef_Equations.VEERG_3_2_1_1__3_FeedIntakeForGrazingBeef(V51,V67,X35)</f>
        <v>5.1328980481000004</v>
      </c>
      <c r="W83" s="51" cm="1">
        <f t="array" ref="W83">EntericMethane_PastureBeef_Equations.VEERG_3_2_1_1__3_FeedIntakeForGrazingBeef(W51,W67,Y35)</f>
        <v>9.9748588899999984</v>
      </c>
      <c r="X83" s="51" cm="1">
        <f t="array" ref="X83">EntericMethane_PastureBeef_Equations.VEERG_3_2_1_1__3_FeedIntakeForGrazingBeef(X51,X67,Z35)</f>
        <v>4.202705002500001</v>
      </c>
      <c r="Y83" s="51" cm="1">
        <f t="array" ref="Y83">EntericMethane_PastureBeef_Equations.VEERG_3_2_1_1__3_FeedIntakeForGrazingBeef(Y51,Y67,AA35)</f>
        <v>7.2615706605225032</v>
      </c>
      <c r="Z83" s="51" cm="1">
        <f t="array" ref="Z83">EntericMethane_PastureBeef_Equations.VEERG_3_2_1_1__3_FeedIntakeForGrazingBeef(Z51,Z67,AB35)</f>
        <v>9.7416209101224993</v>
      </c>
      <c r="AA83" s="51" cm="1">
        <f t="array" ref="AA83">EntericMethane_PastureBeef_Equations.VEERG_3_2_1_1__3_FeedIntakeForGrazingBeef(AA51,AA67,AC35)</f>
        <v>9.7416209101224993</v>
      </c>
      <c r="AB83" s="51" cm="1">
        <f t="array" ref="AB83">EntericMethane_PastureBeef_Equations.VEERG_3_2_1_1__3_FeedIntakeForGrazingBeef(AB51,AB67,AD35)</f>
        <v>4.5122681240999984</v>
      </c>
      <c r="AC83" s="51" cm="1">
        <f t="array" ref="AC83">EntericMethane_PastureBeef_Equations.VEERG_3_2_1_1__3_FeedIntakeForGrazingBeef(AC51,AC67,AE35)</f>
        <v>6.8698506815999991</v>
      </c>
      <c r="AD83" s="51" cm="1">
        <f t="array" ref="AD83">EntericMethane_PastureBeef_Equations.VEERG_3_2_1_1__3_FeedIntakeForGrazingBeef(AD51,AD67,AF35)</f>
        <v>6.8698506815999991</v>
      </c>
      <c r="AE83" s="51" cm="1">
        <f t="array" ref="AE83">EntericMethane_PastureBeef_Equations.VEERG_3_2_1_1__3_FeedIntakeForGrazingBeef(AE51,AE67,AG35)</f>
        <v>6.8698506815999991</v>
      </c>
      <c r="AF83" s="2" t="str">
        <f t="shared" si="2"/>
        <v>kg DM/head/day</v>
      </c>
    </row>
    <row r="84" spans="3:35" ht="20.100000000000001" customHeight="1" x14ac:dyDescent="0.25">
      <c r="D84" s="50" t="s">
        <v>144</v>
      </c>
      <c r="E84" s="50" t="s">
        <v>102</v>
      </c>
      <c r="F84" s="50" t="s">
        <v>101</v>
      </c>
      <c r="G84" s="50" t="s">
        <v>125</v>
      </c>
      <c r="H84" s="50" t="s">
        <v>126</v>
      </c>
      <c r="I84" s="50" t="s">
        <v>127</v>
      </c>
      <c r="J84" s="50" t="s">
        <v>128</v>
      </c>
      <c r="K84" s="50" t="s">
        <v>129</v>
      </c>
      <c r="L84" s="50" t="s">
        <v>130</v>
      </c>
      <c r="M84" s="50" t="s">
        <v>131</v>
      </c>
      <c r="N84" s="50" t="s">
        <v>132</v>
      </c>
      <c r="U84" s="51" t="str">
        <f>TEXT(EDATE('Input - Site'!$E$12,8), "mmmm yyyy")</f>
        <v>September 2025</v>
      </c>
      <c r="V84" s="51" cm="1">
        <f t="array" ref="V84">EntericMethane_PastureBeef_Equations.VEERG_3_2_1_1__3_FeedIntakeForGrazingBeef(V52,V68,X36)</f>
        <v>8.6709047296000001</v>
      </c>
      <c r="W84" s="51" cm="1">
        <f t="array" ref="W84">EntericMethane_PastureBeef_Equations.VEERG_3_2_1_1__3_FeedIntakeForGrazingBeef(W52,W68,Y36)</f>
        <v>12.246500250000002</v>
      </c>
      <c r="X84" s="51" cm="1">
        <f t="array" ref="X84">EntericMethane_PastureBeef_Equations.VEERG_3_2_1_1__3_FeedIntakeForGrazingBeef(X52,X68,Z36)</f>
        <v>6.6089612241000006</v>
      </c>
      <c r="Y84" s="51" cm="1">
        <f t="array" ref="Y84">EntericMethane_PastureBeef_Equations.VEERG_3_2_1_1__3_FeedIntakeForGrazingBeef(Y52,Y68,AA36)</f>
        <v>10.624527777622504</v>
      </c>
      <c r="Z84" s="51" cm="1">
        <f t="array" ref="Z84">EntericMethane_PastureBeef_Equations.VEERG_3_2_1_1__3_FeedIntakeForGrazingBeef(Z52,Z68,AB36)</f>
        <v>11.798087161000003</v>
      </c>
      <c r="AA84" s="51" cm="1">
        <f t="array" ref="AA84">EntericMethane_PastureBeef_Equations.VEERG_3_2_1_1__3_FeedIntakeForGrazingBeef(AA52,AA68,AC36)</f>
        <v>11.798087161000003</v>
      </c>
      <c r="AB84" s="51" cm="1">
        <f t="array" ref="AB84">EntericMethane_PastureBeef_Equations.VEERG_3_2_1_1__3_FeedIntakeForGrazingBeef(AB52,AB68,AD36)</f>
        <v>7.6192560899999977</v>
      </c>
      <c r="AC84" s="51" cm="1">
        <f t="array" ref="AC84">EntericMethane_PastureBeef_Equations.VEERG_3_2_1_1__3_FeedIntakeForGrazingBeef(AC52,AC68,AE36)</f>
        <v>9.6824279555999979</v>
      </c>
      <c r="AD84" s="51" cm="1">
        <f t="array" ref="AD84">EntericMethane_PastureBeef_Equations.VEERG_3_2_1_1__3_FeedIntakeForGrazingBeef(AD52,AD68,AF36)</f>
        <v>9.6824279555999979</v>
      </c>
      <c r="AE84" s="51" cm="1">
        <f t="array" ref="AE84">EntericMethane_PastureBeef_Equations.VEERG_3_2_1_1__3_FeedIntakeForGrazingBeef(AE52,AE68,AG36)</f>
        <v>9.6824279555999979</v>
      </c>
      <c r="AF84" s="2" t="str">
        <f t="shared" si="2"/>
        <v>kg DM/head/day</v>
      </c>
      <c r="AG84" s="2"/>
      <c r="AH84" s="2"/>
    </row>
    <row r="85" spans="3:35" ht="20.100000000000001" customHeight="1" x14ac:dyDescent="0.25">
      <c r="D85" s="51" t="s">
        <v>133</v>
      </c>
      <c r="E85" s="51" cm="1">
        <f t="array" ref="E85">EntericMethane_PastureBeef_Equations.VEERG_3_2_1_1__2_DailyEntericMethaneProduction(E64)</f>
        <v>0.17948772790272</v>
      </c>
      <c r="F85" s="51" cm="1">
        <f t="array" ref="F85">EntericMethane_PastureBeef_Equations.VEERG_3_2_1_1__2_DailyEntericMethaneProduction(F64)</f>
        <v>0.25350255517500003</v>
      </c>
      <c r="G85" s="51" cm="1">
        <f t="array" ref="G85">EntericMethane_PastureBeef_Equations.VEERG_3_2_1_1__2_DailyEntericMethaneProduction(G64)</f>
        <v>0.13680549733887001</v>
      </c>
      <c r="H85" s="51" cm="1">
        <f t="array" ref="H85">EntericMethane_PastureBeef_Equations.VEERG_3_2_1_1__2_DailyEntericMethaneProduction(H64)</f>
        <v>0.19569079203795636</v>
      </c>
      <c r="I85" s="51" cm="1">
        <f t="array" ref="I85">EntericMethane_PastureBeef_Equations.VEERG_3_2_1_1__2_DailyEntericMethaneProduction(I64)</f>
        <v>0.20933177505660003</v>
      </c>
      <c r="J85" s="51" cm="1">
        <f t="array" ref="J85">EntericMethane_PastureBeef_Equations.VEERG_3_2_1_1__2_DailyEntericMethaneProduction(J64)</f>
        <v>0.20933177505660003</v>
      </c>
      <c r="K85" s="51" cm="1">
        <f t="array" ref="K85">EntericMethane_PastureBeef_Equations.VEERG_3_2_1_1__2_DailyEntericMethaneProduction(K64)</f>
        <v>0.15771860106299995</v>
      </c>
      <c r="L85" s="51" cm="1">
        <f t="array" ref="L85">EntericMethane_PastureBeef_Equations.VEERG_3_2_1_1__2_DailyEntericMethaneProduction(L64)</f>
        <v>0.20042625868091996</v>
      </c>
      <c r="M85" s="51" cm="1">
        <f t="array" ref="M85">EntericMethane_PastureBeef_Equations.VEERG_3_2_1_1__2_DailyEntericMethaneProduction(M64)</f>
        <v>0.20042625868091996</v>
      </c>
      <c r="N85" s="51" cm="1">
        <f t="array" ref="N85">EntericMethane_PastureBeef_Equations.VEERG_3_2_1_1__2_DailyEntericMethaneProduction(N64)</f>
        <v>0.20042625868091996</v>
      </c>
      <c r="O85" s="2" t="str">
        <f>G80</f>
        <v>kg DM/head/day</v>
      </c>
      <c r="P85" s="2"/>
      <c r="Q85" s="2"/>
      <c r="U85" s="51" t="str">
        <f>TEXT(EDATE('Input - Site'!$E$12,9), "mmmm yyyy")</f>
        <v>October 2025</v>
      </c>
      <c r="V85" s="51" cm="1">
        <f t="array" ref="V85">EntericMethane_PastureBeef_Equations.VEERG_3_2_1_1__3_FeedIntakeForGrazingBeef(V53,V69,X37)</f>
        <v>8.6709047296000001</v>
      </c>
      <c r="W85" s="51" cm="1">
        <f t="array" ref="W85">EntericMethane_PastureBeef_Equations.VEERG_3_2_1_1__3_FeedIntakeForGrazingBeef(W53,W69,Y37)</f>
        <v>12.246500250000002</v>
      </c>
      <c r="X85" s="51" cm="1">
        <f t="array" ref="X85">EntericMethane_PastureBeef_Equations.VEERG_3_2_1_1__3_FeedIntakeForGrazingBeef(X53,X69,Z37)</f>
        <v>6.6089612241000006</v>
      </c>
      <c r="Y85" s="51" cm="1">
        <f t="array" ref="Y85">EntericMethane_PastureBeef_Equations.VEERG_3_2_1_1__3_FeedIntakeForGrazingBeef(Y53,Y69,AA37)</f>
        <v>10.624527777622504</v>
      </c>
      <c r="Z85" s="51" cm="1">
        <f t="array" ref="Z85">EntericMethane_PastureBeef_Equations.VEERG_3_2_1_1__3_FeedIntakeForGrazingBeef(Z53,Z69,AB37)</f>
        <v>11.798087161000003</v>
      </c>
      <c r="AA85" s="51" cm="1">
        <f t="array" ref="AA85">EntericMethane_PastureBeef_Equations.VEERG_3_2_1_1__3_FeedIntakeForGrazingBeef(AA53,AA69,AC37)</f>
        <v>11.798087161000003</v>
      </c>
      <c r="AB85" s="51" cm="1">
        <f t="array" ref="AB85">EntericMethane_PastureBeef_Equations.VEERG_3_2_1_1__3_FeedIntakeForGrazingBeef(AB53,AB69,AD37)</f>
        <v>7.6192560899999977</v>
      </c>
      <c r="AC85" s="51" cm="1">
        <f t="array" ref="AC85">EntericMethane_PastureBeef_Equations.VEERG_3_2_1_1__3_FeedIntakeForGrazingBeef(AC53,AC69,AE37)</f>
        <v>9.6824279555999979</v>
      </c>
      <c r="AD85" s="51" cm="1">
        <f t="array" ref="AD85">EntericMethane_PastureBeef_Equations.VEERG_3_2_1_1__3_FeedIntakeForGrazingBeef(AD53,AD69,AF37)</f>
        <v>9.6824279555999979</v>
      </c>
      <c r="AE85" s="51" cm="1">
        <f t="array" ref="AE85">EntericMethane_PastureBeef_Equations.VEERG_3_2_1_1__3_FeedIntakeForGrazingBeef(AE53,AE69,AG37)</f>
        <v>9.6824279555999979</v>
      </c>
      <c r="AF85" s="2" t="str">
        <f t="shared" si="2"/>
        <v>kg DM/head/day</v>
      </c>
      <c r="AG85" s="2"/>
      <c r="AH85" s="2"/>
    </row>
    <row r="86" spans="3:35" ht="20.100000000000001" customHeight="1" x14ac:dyDescent="0.25">
      <c r="D86" s="51" t="s">
        <v>134</v>
      </c>
      <c r="E86" s="51" cm="1">
        <f t="array" ref="E86">EntericMethane_PastureBeef_Equations.VEERG_3_2_1_1__2_DailyEntericMethaneProduction(E65)</f>
        <v>0.14793987137471989</v>
      </c>
      <c r="F86" s="51" cm="1">
        <f t="array" ref="F86">EntericMethane_PastureBeef_Equations.VEERG_3_2_1_1__2_DailyEntericMethaneProduction(F65)</f>
        <v>0.19573907587452002</v>
      </c>
      <c r="G86" s="51" cm="1">
        <f t="array" ref="G86">EntericMethane_PastureBeef_Equations.VEERG_3_2_1_1__2_DailyEntericMethaneProduction(G65)</f>
        <v>0.12441409099199996</v>
      </c>
      <c r="H86" s="51" cm="1">
        <f t="array" ref="H86">EntericMethane_PastureBeef_Equations.VEERG_3_2_1_1__2_DailyEntericMethaneProduction(H65)</f>
        <v>0.16292037884175001</v>
      </c>
      <c r="I86" s="51" cm="1">
        <f t="array" ref="I86">EntericMethane_PastureBeef_Equations.VEERG_3_2_1_1__2_DailyEntericMethaneProduction(I65)</f>
        <v>0.16131110973551996</v>
      </c>
      <c r="J86" s="51" cm="1">
        <f t="array" ref="J86">EntericMethane_PastureBeef_Equations.VEERG_3_2_1_1__2_DailyEntericMethaneProduction(J65)</f>
        <v>0.16131110973551996</v>
      </c>
      <c r="K86" s="51" cm="1">
        <f t="array" ref="K86">EntericMethane_PastureBeef_Equations.VEERG_3_2_1_1__2_DailyEntericMethaneProduction(K65)</f>
        <v>0.13636416641471999</v>
      </c>
      <c r="L86" s="51" cm="1">
        <f t="array" ref="L86">EntericMethane_PastureBeef_Equations.VEERG_3_2_1_1__2_DailyEntericMethaneProduction(L65)</f>
        <v>0.15200155388727002</v>
      </c>
      <c r="M86" s="51" cm="1">
        <f t="array" ref="M86">EntericMethane_PastureBeef_Equations.VEERG_3_2_1_1__2_DailyEntericMethaneProduction(M65)</f>
        <v>0.15200155388727002</v>
      </c>
      <c r="N86" s="51" cm="1">
        <f t="array" ref="N86">EntericMethane_PastureBeef_Equations.VEERG_3_2_1_1__2_DailyEntericMethaneProduction(N65)</f>
        <v>0.15200155388727002</v>
      </c>
      <c r="O86" s="2"/>
      <c r="P86" s="2"/>
      <c r="Q86" s="2"/>
      <c r="U86" s="51" t="str">
        <f>TEXT(EDATE('Input - Site'!$E$12,10), "mmmm yyyy")</f>
        <v>November 2025</v>
      </c>
      <c r="V86" s="51" cm="1">
        <f t="array" ref="V86">EntericMethane_PastureBeef_Equations.VEERG_3_2_1_1__3_FeedIntakeForGrazingBeef(V54,V70,X38)</f>
        <v>8.6709047296000001</v>
      </c>
      <c r="W86" s="51" cm="1">
        <f t="array" ref="W86">EntericMethane_PastureBeef_Equations.VEERG_3_2_1_1__3_FeedIntakeForGrazingBeef(W54,W70,Y38)</f>
        <v>12.246500250000002</v>
      </c>
      <c r="X86" s="51" cm="1">
        <f t="array" ref="X86">EntericMethane_PastureBeef_Equations.VEERG_3_2_1_1__3_FeedIntakeForGrazingBeef(X54,X70,Z38)</f>
        <v>6.6089612241000006</v>
      </c>
      <c r="Y86" s="51" cm="1">
        <f t="array" ref="Y86">EntericMethane_PastureBeef_Equations.VEERG_3_2_1_1__3_FeedIntakeForGrazingBeef(Y54,Y70,AA38)</f>
        <v>9.3235651926075036</v>
      </c>
      <c r="Z86" s="51" cm="1">
        <f t="array" ref="Z86">EntericMethane_PastureBeef_Equations.VEERG_3_2_1_1__3_FeedIntakeForGrazingBeef(Z54,Z70,AB38)</f>
        <v>10.353423427000003</v>
      </c>
      <c r="AA86" s="51" cm="1">
        <f t="array" ref="AA86">EntericMethane_PastureBeef_Equations.VEERG_3_2_1_1__3_FeedIntakeForGrazingBeef(AA54,AA70,AC38)</f>
        <v>10.353423427000003</v>
      </c>
      <c r="AB86" s="51" cm="1">
        <f t="array" ref="AB86">EntericMethane_PastureBeef_Equations.VEERG_3_2_1_1__3_FeedIntakeForGrazingBeef(AB54,AB70,AD38)</f>
        <v>7.6192560899999977</v>
      </c>
      <c r="AC86" s="51" cm="1">
        <f t="array" ref="AC86">EntericMethane_PastureBeef_Equations.VEERG_3_2_1_1__3_FeedIntakeForGrazingBeef(AC54,AC70,AE38)</f>
        <v>9.6824279555999979</v>
      </c>
      <c r="AD86" s="51" cm="1">
        <f t="array" ref="AD86">EntericMethane_PastureBeef_Equations.VEERG_3_2_1_1__3_FeedIntakeForGrazingBeef(AD54,AD70,AF38)</f>
        <v>9.6824279555999979</v>
      </c>
      <c r="AE86" s="51" cm="1">
        <f t="array" ref="AE86">EntericMethane_PastureBeef_Equations.VEERG_3_2_1_1__3_FeedIntakeForGrazingBeef(AE54,AE70,AG38)</f>
        <v>9.6824279555999979</v>
      </c>
      <c r="AF86" s="2" t="str">
        <f t="shared" si="2"/>
        <v>kg DM/head/day</v>
      </c>
      <c r="AG86" s="2"/>
      <c r="AH86" s="2"/>
    </row>
    <row r="87" spans="3:35" ht="20.100000000000001" customHeight="1" x14ac:dyDescent="0.25">
      <c r="D87" s="51" t="s">
        <v>135</v>
      </c>
      <c r="E87" s="51" cm="1">
        <f t="array" ref="E87">EntericMethane_PastureBeef_Equations.VEERG_3_2_1_1__2_DailyEntericMethaneProduction(E66)</f>
        <v>6.7217122800000001E-2</v>
      </c>
      <c r="F87" s="51" cm="1">
        <f t="array" ref="F87">EntericMethane_PastureBeef_Equations.VEERG_3_2_1_1__2_DailyEntericMethaneProduction(F66)</f>
        <v>0.19509034611311998</v>
      </c>
      <c r="G87" s="51" cm="1">
        <f t="array" ref="G87">EntericMethane_PastureBeef_Equations.VEERG_3_2_1_1__2_DailyEntericMethaneProduction(G66)</f>
        <v>6.1278762971520004E-2</v>
      </c>
      <c r="H87" s="51" cm="1">
        <f t="array" ref="H87">EntericMethane_PastureBeef_Equations.VEERG_3_2_1_1__2_DailyEntericMethaneProduction(H66)</f>
        <v>0.12332640906971998</v>
      </c>
      <c r="I87" s="51" cm="1">
        <f t="array" ref="I87">EntericMethane_PastureBeef_Equations.VEERG_3_2_1_1__2_DailyEntericMethaneProduction(I66)</f>
        <v>0.13906254717566999</v>
      </c>
      <c r="J87" s="51" cm="1">
        <f t="array" ref="J87">EntericMethane_PastureBeef_Equations.VEERG_3_2_1_1__2_DailyEntericMethaneProduction(J66)</f>
        <v>0.13906254717566999</v>
      </c>
      <c r="K87" s="51" cm="1">
        <f t="array" ref="K87">EntericMethane_PastureBeef_Equations.VEERG_3_2_1_1__2_DailyEntericMethaneProduction(K66)</f>
        <v>6.7217122800000001E-2</v>
      </c>
      <c r="L87" s="51" cm="1">
        <f t="array" ref="L87">EntericMethane_PastureBeef_Equations.VEERG_3_2_1_1__2_DailyEntericMethaneProduction(L66)</f>
        <v>0.12203432960112003</v>
      </c>
      <c r="M87" s="51" cm="1">
        <f t="array" ref="M87">EntericMethane_PastureBeef_Equations.VEERG_3_2_1_1__2_DailyEntericMethaneProduction(M66)</f>
        <v>0.12203432960112003</v>
      </c>
      <c r="N87" s="51" cm="1">
        <f t="array" ref="N87">EntericMethane_PastureBeef_Equations.VEERG_3_2_1_1__2_DailyEntericMethaneProduction(N66)</f>
        <v>0.12203432960112003</v>
      </c>
      <c r="O87" s="2"/>
      <c r="P87" s="2"/>
      <c r="Q87" s="2"/>
      <c r="U87" s="51" t="str">
        <f>TEXT(EDATE('Input - Site'!$E$12,11), "mmmm yyyy")</f>
        <v>December 2025</v>
      </c>
      <c r="V87" s="51" cm="1">
        <f t="array" ref="V87">EntericMethane_PastureBeef_Equations.VEERG_3_2_1_1__3_FeedIntakeForGrazingBeef(V55,V71,X39)</f>
        <v>7.1468536895999959</v>
      </c>
      <c r="W87" s="51" cm="1">
        <f t="array" ref="W87">EntericMethane_PastureBeef_Equations.VEERG_3_2_1_1__3_FeedIntakeForGrazingBeef(W55,W71,Y39)</f>
        <v>9.4559940036000008</v>
      </c>
      <c r="X87" s="51" cm="1">
        <f t="array" ref="X87">EntericMethane_PastureBeef_Equations.VEERG_3_2_1_1__3_FeedIntakeForGrazingBeef(X55,X71,Z39)</f>
        <v>6.010342559999998</v>
      </c>
      <c r="Y87" s="51" cm="1">
        <f t="array" ref="Y87">EntericMethane_PastureBeef_Equations.VEERG_3_2_1_1__3_FeedIntakeForGrazingBeef(Y55,Y71,AA39)</f>
        <v>8.4608409301875014</v>
      </c>
      <c r="Z87" s="51" cm="1">
        <f t="array" ref="Z87">EntericMethane_PastureBeef_Equations.VEERG_3_2_1_1__3_FeedIntakeForGrazingBeef(Z55,Z71,AB39)</f>
        <v>8.3772677761199983</v>
      </c>
      <c r="AA87" s="51" cm="1">
        <f t="array" ref="AA87">EntericMethane_PastureBeef_Equations.VEERG_3_2_1_1__3_FeedIntakeForGrazingBeef(AA55,AA71,AC39)</f>
        <v>8.3772677761199983</v>
      </c>
      <c r="AB87" s="51" cm="1">
        <f t="array" ref="AB87">EntericMethane_PastureBeef_Equations.VEERG_3_2_1_1__3_FeedIntakeForGrazingBeef(AB55,AB71,AD39)</f>
        <v>6.5876408896000003</v>
      </c>
      <c r="AC87" s="51" cm="1">
        <f t="array" ref="AC87">EntericMethane_PastureBeef_Equations.VEERG_3_2_1_1__3_FeedIntakeForGrazingBeef(AC55,AC71,AE39)</f>
        <v>7.3430702361</v>
      </c>
      <c r="AD87" s="51" cm="1">
        <f t="array" ref="AD87">EntericMethane_PastureBeef_Equations.VEERG_3_2_1_1__3_FeedIntakeForGrazingBeef(AD55,AD71,AF39)</f>
        <v>7.3430702361</v>
      </c>
      <c r="AE87" s="51" cm="1">
        <f t="array" ref="AE87">EntericMethane_PastureBeef_Equations.VEERG_3_2_1_1__3_FeedIntakeForGrazingBeef(AE55,AE71,AG39)</f>
        <v>7.3430702361</v>
      </c>
      <c r="AF87" s="2" t="str">
        <f t="shared" si="2"/>
        <v>kg DM/head/day</v>
      </c>
      <c r="AG87" s="2"/>
      <c r="AH87" s="2"/>
    </row>
    <row r="88" spans="3:35" ht="20.100000000000001" customHeight="1" x14ac:dyDescent="0.25">
      <c r="D88" s="51" t="s">
        <v>136</v>
      </c>
      <c r="E88" s="51" cm="1">
        <f t="array" ref="E88">EntericMethane_PastureBeef_Equations.VEERG_3_2_1_1__2_DailyEntericMethaneProduction(E67)</f>
        <v>0.10625098959567</v>
      </c>
      <c r="F88" s="51" cm="1">
        <f t="array" ref="F88">EntericMethane_PastureBeef_Equations.VEERG_3_2_1_1__2_DailyEntericMethaneProduction(F67)</f>
        <v>0.20647957902299996</v>
      </c>
      <c r="G88" s="51" cm="1">
        <f t="array" ref="G88">EntericMethane_PastureBeef_Equations.VEERG_3_2_1_1__2_DailyEntericMethaneProduction(G67)</f>
        <v>8.6995993551750014E-2</v>
      </c>
      <c r="H88" s="51" cm="1">
        <f t="array" ref="H88">EntericMethane_PastureBeef_Equations.VEERG_3_2_1_1__2_DailyEntericMethaneProduction(H67)</f>
        <v>0.15583627028120495</v>
      </c>
      <c r="I88" s="51" cm="1">
        <f t="array" ref="I88">EntericMethane_PastureBeef_Equations.VEERG_3_2_1_1__2_DailyEntericMethaneProduction(I67)</f>
        <v>0.18930553940038045</v>
      </c>
      <c r="J88" s="51" cm="1">
        <f t="array" ref="J88">EntericMethane_PastureBeef_Equations.VEERG_3_2_1_1__2_DailyEntericMethaneProduction(J67)</f>
        <v>0.18930553940038045</v>
      </c>
      <c r="K88" s="51" cm="1">
        <f t="array" ref="K88">EntericMethane_PastureBeef_Equations.VEERG_3_2_1_1__2_DailyEntericMethaneProduction(K67)</f>
        <v>9.3403950168869973E-2</v>
      </c>
      <c r="L88" s="51" cm="1">
        <f t="array" ref="L88">EntericMethane_PastureBeef_Equations.VEERG_3_2_1_1__2_DailyEntericMethaneProduction(L67)</f>
        <v>0.14220590910911998</v>
      </c>
      <c r="M88" s="51" cm="1">
        <f t="array" ref="M88">EntericMethane_PastureBeef_Equations.VEERG_3_2_1_1__2_DailyEntericMethaneProduction(M67)</f>
        <v>0.14220590910911998</v>
      </c>
      <c r="N88" s="51" cm="1">
        <f t="array" ref="N88">EntericMethane_PastureBeef_Equations.VEERG_3_2_1_1__2_DailyEntericMethaneProduction(N67)</f>
        <v>0.14220590910911998</v>
      </c>
      <c r="O88" s="2"/>
      <c r="P88" s="2"/>
      <c r="Q88" s="2"/>
      <c r="AG88" s="2"/>
      <c r="AH88" s="2"/>
    </row>
    <row r="89" spans="3:35" ht="20.100000000000001" customHeight="1" x14ac:dyDescent="0.25">
      <c r="AG89" s="2"/>
      <c r="AH89" s="2"/>
    </row>
    <row r="90" spans="3:35" ht="20.100000000000001" customHeight="1" x14ac:dyDescent="0.25">
      <c r="AG90" s="2"/>
      <c r="AH90" s="2"/>
    </row>
    <row r="91" spans="3:35" ht="20.100000000000001" customHeight="1" x14ac:dyDescent="0.25">
      <c r="C91" s="44"/>
      <c r="D91" s="44"/>
      <c r="E91" s="44"/>
      <c r="F91" s="44"/>
      <c r="G91" s="44"/>
      <c r="H91" s="44"/>
      <c r="I91" s="44"/>
      <c r="J91" s="44"/>
      <c r="K91" s="44"/>
      <c r="L91" s="44"/>
      <c r="M91" s="44"/>
      <c r="N91" s="44"/>
      <c r="O91" s="44"/>
      <c r="P91" s="44"/>
      <c r="Q91" s="44"/>
      <c r="R91" s="44"/>
      <c r="T91" s="44"/>
      <c r="U91" s="44"/>
      <c r="V91" s="44"/>
      <c r="W91" s="44"/>
      <c r="X91" s="44"/>
      <c r="Y91" s="44"/>
      <c r="Z91" s="44"/>
      <c r="AA91" s="44"/>
      <c r="AB91" s="44"/>
      <c r="AC91" s="44"/>
      <c r="AD91" s="44"/>
      <c r="AE91" s="44"/>
      <c r="AF91" s="44"/>
      <c r="AG91" s="44"/>
      <c r="AH91" s="44"/>
      <c r="AI91" s="44"/>
    </row>
    <row r="92" spans="3:35" ht="20.100000000000001" customHeight="1" x14ac:dyDescent="0.25">
      <c r="D92" s="6" t="str" cm="1">
        <f t="array" ref="D92">EntericMethane_PastureBeef_Equations.VEERG_3_2_1_1__1_TotalAnnualMethaneFromEntericFermentation_Title()</f>
        <v>Total annual methane production from enteric fermentation in grazing beef cattle</v>
      </c>
      <c r="U92" s="6" t="str" cm="1">
        <f t="array" ref="U92">EntericMethane_PastureBeef_Equations.VEERG_3_2_1_1__2_DailyEntericMethaneProduction_Title()</f>
        <v>Daily production of enteric methane</v>
      </c>
    </row>
    <row r="93" spans="3:35" ht="20.100000000000001" customHeight="1" x14ac:dyDescent="0.25">
      <c r="D93" s="5" t="str" cm="1">
        <f t="array" ref="D93">EntericMethane_PastureBeef_Equations.VEERG_3_2_1_1__1_TotalAnnualMethaneFromEntericFermentation_Source()</f>
        <v>VEERG 2026: 3.2.1.1, Equation (1)</v>
      </c>
    </row>
    <row r="94" spans="3:35" ht="20.100000000000001" customHeight="1" x14ac:dyDescent="0.25">
      <c r="D94" s="13" t="s">
        <v>20</v>
      </c>
      <c r="E94" s="13" t="str" cm="1">
        <f t="array" aca="1" ref="E94" ca="1">Common_InputFunctions.Utility_DisplayFunctionName(E123)</f>
        <v>=EntericMethane_PastureBeef_Equations.VEERG_3_2_1_1__1_TotalAnnualMethaneFromEntericFermentation</v>
      </c>
      <c r="U94" s="96" t="s">
        <v>262</v>
      </c>
    </row>
    <row r="95" spans="3:35" ht="20.100000000000001" customHeight="1" x14ac:dyDescent="0.25">
      <c r="U95" s="95" t="s">
        <v>263</v>
      </c>
    </row>
    <row r="96" spans="3:35" ht="20.100000000000001" customHeight="1" x14ac:dyDescent="0.25">
      <c r="U96" s="50" t="s">
        <v>103</v>
      </c>
      <c r="V96" s="50" t="s">
        <v>102</v>
      </c>
      <c r="W96" s="50" t="s">
        <v>101</v>
      </c>
      <c r="X96" s="50" t="s">
        <v>125</v>
      </c>
      <c r="Y96" s="50" t="s">
        <v>126</v>
      </c>
      <c r="Z96" s="50" t="s">
        <v>127</v>
      </c>
      <c r="AA96" s="50" t="s">
        <v>128</v>
      </c>
      <c r="AB96" s="50" t="s">
        <v>129</v>
      </c>
      <c r="AC96" s="50" t="s">
        <v>130</v>
      </c>
      <c r="AD96" s="50" t="s">
        <v>131</v>
      </c>
      <c r="AE96" s="50" t="s">
        <v>132</v>
      </c>
    </row>
    <row r="97" spans="4:35" ht="20.100000000000001" customHeight="1" x14ac:dyDescent="0.25">
      <c r="D97" s="52" t="s">
        <v>23</v>
      </c>
      <c r="E97" s="1" t="str" cm="1">
        <f t="array" ref="E97">EntericMethane_PastureBeef_Equations.VEERG_3_2_1_1__1_TotalAnnualMethaneFromEntericFermentation_Variable()</f>
        <v>E_enteric</v>
      </c>
      <c r="U97" s="51" t="str">
        <f>TEXT('Input - Site'!$E$12, "mmmm yyyy")</f>
        <v>January 2025</v>
      </c>
      <c r="V97" s="51" cm="1">
        <f t="array" ref="V97">EntericMethane_PastureBeef_Equations.VEERG_3_2_1_1__2_DailyEntericMethaneProduction(V76)</f>
        <v>0.14793987137471989</v>
      </c>
      <c r="W97" s="51" cm="1">
        <f t="array" ref="W97">EntericMethane_PastureBeef_Equations.VEERG_3_2_1_1__2_DailyEntericMethaneProduction(W76)</f>
        <v>0.19573907587452002</v>
      </c>
      <c r="X97" s="51" cm="1">
        <f t="array" ref="X97">EntericMethane_PastureBeef_Equations.VEERG_3_2_1_1__2_DailyEntericMethaneProduction(X76)</f>
        <v>0.12441409099199996</v>
      </c>
      <c r="Y97" s="51" cm="1">
        <f t="array" ref="Y97">EntericMethane_PastureBeef_Equations.VEERG_3_2_1_1__2_DailyEntericMethaneProduction(Y76)</f>
        <v>0.17513940725488128</v>
      </c>
      <c r="Z97" s="51" cm="1">
        <f t="array" ref="Z97">EntericMethane_PastureBeef_Equations.VEERG_3_2_1_1__2_DailyEntericMethaneProduction(Z76)</f>
        <v>0.17340944296568395</v>
      </c>
      <c r="AA97" s="51" cm="1">
        <f t="array" ref="AA97">EntericMethane_PastureBeef_Equations.VEERG_3_2_1_1__2_DailyEntericMethaneProduction(AA76)</f>
        <v>0.17340944296568395</v>
      </c>
      <c r="AB97" s="51" cm="1">
        <f t="array" ref="AB97">EntericMethane_PastureBeef_Equations.VEERG_3_2_1_1__2_DailyEntericMethaneProduction(AB76)</f>
        <v>0.13636416641471999</v>
      </c>
      <c r="AC97" s="51" cm="1">
        <f t="array" ref="AC97">EntericMethane_PastureBeef_Equations.VEERG_3_2_1_1__2_DailyEntericMethaneProduction(AC76)</f>
        <v>0.15200155388727002</v>
      </c>
      <c r="AD97" s="51" cm="1">
        <f t="array" ref="AD97">EntericMethane_PastureBeef_Equations.VEERG_3_2_1_1__2_DailyEntericMethaneProduction(AD76)</f>
        <v>0.15200155388727002</v>
      </c>
      <c r="AE97" s="51" cm="1">
        <f t="array" ref="AE97">EntericMethane_PastureBeef_Equations.VEERG_3_2_1_1__2_DailyEntericMethaneProduction(AE76)</f>
        <v>0.15200155388727002</v>
      </c>
      <c r="AF97" s="2" t="str">
        <f>$G$80</f>
        <v>kg DM/head/day</v>
      </c>
    </row>
    <row r="98" spans="4:35" ht="20.100000000000001" customHeight="1" x14ac:dyDescent="0.25">
      <c r="D98" s="52" t="s">
        <v>14</v>
      </c>
      <c r="E98" s="53" t="str" cm="1">
        <f t="array" ref="E98">EntericMethane_PastureBeef_Equations.VEERG_3_2_1_1__1_TotalAnnualMethaneFromEntericFermentation_Unit()</f>
        <v>t CH4</v>
      </c>
      <c r="U98" s="51" t="str">
        <f>TEXT('Input - Site'!$E$12, "mmmm yyyy")</f>
        <v>January 2025</v>
      </c>
      <c r="V98" s="51" cm="1">
        <f t="array" ref="V98">EntericMethane_PastureBeef_Equations.VEERG_3_2_1_1__2_DailyEntericMethaneProduction(V77)</f>
        <v>0.14793987137471989</v>
      </c>
      <c r="W98" s="51" cm="1">
        <f t="array" ref="W98">EntericMethane_PastureBeef_Equations.VEERG_3_2_1_1__2_DailyEntericMethaneProduction(W77)</f>
        <v>0.19573907587452002</v>
      </c>
      <c r="X98" s="51" cm="1">
        <f t="array" ref="X98">EntericMethane_PastureBeef_Equations.VEERG_3_2_1_1__2_DailyEntericMethaneProduction(X77)</f>
        <v>0.12441409099199996</v>
      </c>
      <c r="Y98" s="51" cm="1">
        <f t="array" ref="Y98">EntericMethane_PastureBeef_Equations.VEERG_3_2_1_1__2_DailyEntericMethaneProduction(Y77)</f>
        <v>0.16292037884175001</v>
      </c>
      <c r="Z98" s="51" cm="1">
        <f t="array" ref="Z98">EntericMethane_PastureBeef_Equations.VEERG_3_2_1_1__2_DailyEntericMethaneProduction(Z77)</f>
        <v>0.16131110973551996</v>
      </c>
      <c r="AA98" s="51" cm="1">
        <f t="array" ref="AA98">EntericMethane_PastureBeef_Equations.VEERG_3_2_1_1__2_DailyEntericMethaneProduction(AA77)</f>
        <v>0.16131110973551996</v>
      </c>
      <c r="AB98" s="51" cm="1">
        <f t="array" ref="AB98">EntericMethane_PastureBeef_Equations.VEERG_3_2_1_1__2_DailyEntericMethaneProduction(AB77)</f>
        <v>0.13636416641471999</v>
      </c>
      <c r="AC98" s="51" cm="1">
        <f t="array" ref="AC98">EntericMethane_PastureBeef_Equations.VEERG_3_2_1_1__2_DailyEntericMethaneProduction(AC77)</f>
        <v>0.15200155388727002</v>
      </c>
      <c r="AD98" s="51" cm="1">
        <f t="array" ref="AD98">EntericMethane_PastureBeef_Equations.VEERG_3_2_1_1__2_DailyEntericMethaneProduction(AD77)</f>
        <v>0.15200155388727002</v>
      </c>
      <c r="AE98" s="51" cm="1">
        <f t="array" ref="AE98">EntericMethane_PastureBeef_Equations.VEERG_3_2_1_1__2_DailyEntericMethaneProduction(AE77)</f>
        <v>0.15200155388727002</v>
      </c>
      <c r="AF98" s="2"/>
    </row>
    <row r="99" spans="4:35" ht="20.100000000000001" customHeight="1" x14ac:dyDescent="0.25">
      <c r="U99" s="51" t="str">
        <f>TEXT('Input - Site'!$E$12, "mmmm yyyy")</f>
        <v>January 2025</v>
      </c>
      <c r="V99" s="51" cm="1">
        <f t="array" ref="V99">EntericMethane_PastureBeef_Equations.VEERG_3_2_1_1__2_DailyEntericMethaneProduction(V78)</f>
        <v>6.7217122800000001E-2</v>
      </c>
      <c r="W99" s="51" cm="1">
        <f t="array" ref="W99">EntericMethane_PastureBeef_Equations.VEERG_3_2_1_1__2_DailyEntericMethaneProduction(W78)</f>
        <v>0.19509034611311998</v>
      </c>
      <c r="X99" s="51" cm="1">
        <f t="array" ref="X99">EntericMethane_PastureBeef_Equations.VEERG_3_2_1_1__2_DailyEntericMethaneProduction(X78)</f>
        <v>6.1278762971520004E-2</v>
      </c>
      <c r="Y99" s="51" cm="1">
        <f t="array" ref="Y99">EntericMethane_PastureBeef_Equations.VEERG_3_2_1_1__2_DailyEntericMethaneProduction(Y78)</f>
        <v>0.12332640906971998</v>
      </c>
      <c r="Z99" s="51" cm="1">
        <f t="array" ref="Z99">EntericMethane_PastureBeef_Equations.VEERG_3_2_1_1__2_DailyEntericMethaneProduction(Z78)</f>
        <v>0.13906254717566999</v>
      </c>
      <c r="AA99" s="51" cm="1">
        <f t="array" ref="AA99">EntericMethane_PastureBeef_Equations.VEERG_3_2_1_1__2_DailyEntericMethaneProduction(AA78)</f>
        <v>0.13906254717566999</v>
      </c>
      <c r="AB99" s="51" cm="1">
        <f t="array" ref="AB99">EntericMethane_PastureBeef_Equations.VEERG_3_2_1_1__2_DailyEntericMethaneProduction(AB78)</f>
        <v>6.7217122800000001E-2</v>
      </c>
      <c r="AC99" s="51" cm="1">
        <f t="array" ref="AC99">EntericMethane_PastureBeef_Equations.VEERG_3_2_1_1__2_DailyEntericMethaneProduction(AC78)</f>
        <v>0.12203432960112003</v>
      </c>
      <c r="AD99" s="51" cm="1">
        <f t="array" ref="AD99">EntericMethane_PastureBeef_Equations.VEERG_3_2_1_1__2_DailyEntericMethaneProduction(AD78)</f>
        <v>0.12203432960112003</v>
      </c>
      <c r="AE99" s="51" cm="1">
        <f t="array" ref="AE99">EntericMethane_PastureBeef_Equations.VEERG_3_2_1_1__2_DailyEntericMethaneProduction(AE78)</f>
        <v>0.12203432960112003</v>
      </c>
      <c r="AF99" s="2"/>
    </row>
    <row r="100" spans="4:35" ht="20.100000000000001" customHeight="1" x14ac:dyDescent="0.25">
      <c r="D100" s="112" t="str" cm="1">
        <f t="array" ref="D100:E102">_xlfn.CHOOSECOLS(EntericMethane_PastureBeef_Equations.VEERG_3_2_1_1__1_TotalAnnualMethaneFromEntericFermentation_Arguments(), 1, 2)</f>
        <v>D_j</v>
      </c>
      <c r="E100" s="117" t="str">
        <v>number of days the animal is on the farm in each time-period</v>
      </c>
      <c r="F100" s="116"/>
      <c r="G100" s="112" t="str" cm="1">
        <f t="array" ref="G100:H102">_xlfn.CHOOSECOLS(EntericMethane_PastureBeef_Equations.VEERG_3_2_1_1__1_TotalAnnualMethaneFromEntericFermentation_Arguments(), 3,4)</f>
        <v>days</v>
      </c>
      <c r="H100" s="114" t="str">
        <v>Input</v>
      </c>
      <c r="I100" s="111" t="str" cm="1">
        <f t="array" aca="1" ref="I100" ca="1">HYPERLINK(Common_InputFunctions.Utility_SourceHyperlink($D$112), $D$112)</f>
        <v>M1_Table_D_j</v>
      </c>
      <c r="U100" s="51" t="str">
        <f>TEXT('Input - Site'!$E$12, "mmmm yyyy")</f>
        <v>January 2025</v>
      </c>
      <c r="V100" s="51" cm="1">
        <f t="array" ref="V100">EntericMethane_PastureBeef_Equations.VEERG_3_2_1_1__2_DailyEntericMethaneProduction(V79)</f>
        <v>6.7217122800000001E-2</v>
      </c>
      <c r="W100" s="51" cm="1">
        <f t="array" ref="W100">EntericMethane_PastureBeef_Equations.VEERG_3_2_1_1__2_DailyEntericMethaneProduction(W79)</f>
        <v>0.19509034611311998</v>
      </c>
      <c r="X100" s="51" cm="1">
        <f t="array" ref="X100">EntericMethane_PastureBeef_Equations.VEERG_3_2_1_1__2_DailyEntericMethaneProduction(X79)</f>
        <v>6.1278762971520004E-2</v>
      </c>
      <c r="Y100" s="51" cm="1">
        <f t="array" ref="Y100">EntericMethane_PastureBeef_Equations.VEERG_3_2_1_1__2_DailyEntericMethaneProduction(Y79)</f>
        <v>0.12332640906971998</v>
      </c>
      <c r="Z100" s="51" cm="1">
        <f t="array" ref="Z100">EntericMethane_PastureBeef_Equations.VEERG_3_2_1_1__2_DailyEntericMethaneProduction(Z79)</f>
        <v>0.13906254717566999</v>
      </c>
      <c r="AA100" s="51" cm="1">
        <f t="array" ref="AA100">EntericMethane_PastureBeef_Equations.VEERG_3_2_1_1__2_DailyEntericMethaneProduction(AA79)</f>
        <v>0.13906254717566999</v>
      </c>
      <c r="AB100" s="51" cm="1">
        <f t="array" ref="AB100">EntericMethane_PastureBeef_Equations.VEERG_3_2_1_1__2_DailyEntericMethaneProduction(AB79)</f>
        <v>6.7217122800000001E-2</v>
      </c>
      <c r="AC100" s="51" cm="1">
        <f t="array" ref="AC100">EntericMethane_PastureBeef_Equations.VEERG_3_2_1_1__2_DailyEntericMethaneProduction(AC79)</f>
        <v>0.12203432960112003</v>
      </c>
      <c r="AD100" s="51" cm="1">
        <f t="array" ref="AD100">EntericMethane_PastureBeef_Equations.VEERG_3_2_1_1__2_DailyEntericMethaneProduction(AD79)</f>
        <v>0.12203432960112003</v>
      </c>
      <c r="AE100" s="51" cm="1">
        <f t="array" ref="AE100">EntericMethane_PastureBeef_Equations.VEERG_3_2_1_1__2_DailyEntericMethaneProduction(AE79)</f>
        <v>0.12203432960112003</v>
      </c>
      <c r="AF100" s="2"/>
    </row>
    <row r="101" spans="4:35" ht="20.100000000000001" customHeight="1" x14ac:dyDescent="0.25">
      <c r="D101" s="112" t="str">
        <v>M_jkl</v>
      </c>
      <c r="E101" s="117" t="str">
        <v>daily production of enteric methane in each time-period, class and subclass</v>
      </c>
      <c r="F101" s="116"/>
      <c r="G101" s="112" t="str">
        <v>kg CH4/head/day</v>
      </c>
      <c r="H101" s="113" t="str">
        <v>Calculated from 3.2.1.1, (2)</v>
      </c>
      <c r="I101" s="111" t="str" cm="1">
        <f t="array" aca="1" ref="I101" ca="1">HYPERLINK(Common_InputFunctions.Utility_SourceHyperlink($D$82), $D$82)</f>
        <v>M1_Table_M_j_k_l</v>
      </c>
      <c r="U101" s="51" t="str">
        <f>TEXT('Input - Site'!$E$12, "mmmm yyyy")</f>
        <v>January 2025</v>
      </c>
      <c r="V101" s="51" cm="1">
        <f t="array" ref="V101">EntericMethane_PastureBeef_Equations.VEERG_3_2_1_1__2_DailyEntericMethaneProduction(V80)</f>
        <v>6.7217122800000001E-2</v>
      </c>
      <c r="W101" s="51" cm="1">
        <f t="array" ref="W101">EntericMethane_PastureBeef_Equations.VEERG_3_2_1_1__2_DailyEntericMethaneProduction(W80)</f>
        <v>0.19509034611311998</v>
      </c>
      <c r="X101" s="51" cm="1">
        <f t="array" ref="X101">EntericMethane_PastureBeef_Equations.VEERG_3_2_1_1__2_DailyEntericMethaneProduction(X80)</f>
        <v>6.1278762971520004E-2</v>
      </c>
      <c r="Y101" s="51" cm="1">
        <f t="array" ref="Y101">EntericMethane_PastureBeef_Equations.VEERG_3_2_1_1__2_DailyEntericMethaneProduction(Y80)</f>
        <v>0.12332640906971998</v>
      </c>
      <c r="Z101" s="51" cm="1">
        <f t="array" ref="Z101">EntericMethane_PastureBeef_Equations.VEERG_3_2_1_1__2_DailyEntericMethaneProduction(Z80)</f>
        <v>0.13906254717566999</v>
      </c>
      <c r="AA101" s="51" cm="1">
        <f t="array" ref="AA101">EntericMethane_PastureBeef_Equations.VEERG_3_2_1_1__2_DailyEntericMethaneProduction(AA80)</f>
        <v>0.13906254717566999</v>
      </c>
      <c r="AB101" s="51" cm="1">
        <f t="array" ref="AB101">EntericMethane_PastureBeef_Equations.VEERG_3_2_1_1__2_DailyEntericMethaneProduction(AB80)</f>
        <v>6.7217122800000001E-2</v>
      </c>
      <c r="AC101" s="51" cm="1">
        <f t="array" ref="AC101">EntericMethane_PastureBeef_Equations.VEERG_3_2_1_1__2_DailyEntericMethaneProduction(AC80)</f>
        <v>0.12203432960112003</v>
      </c>
      <c r="AD101" s="51" cm="1">
        <f t="array" ref="AD101">EntericMethane_PastureBeef_Equations.VEERG_3_2_1_1__2_DailyEntericMethaneProduction(AD80)</f>
        <v>0.12203432960112003</v>
      </c>
      <c r="AE101" s="51" cm="1">
        <f t="array" ref="AE101">EntericMethane_PastureBeef_Equations.VEERG_3_2_1_1__2_DailyEntericMethaneProduction(AE80)</f>
        <v>0.12203432960112003</v>
      </c>
      <c r="AF101" s="2"/>
    </row>
    <row r="102" spans="4:35" ht="20.100000000000001" customHeight="1" x14ac:dyDescent="0.25">
      <c r="D102" s="112" t="str">
        <v>N_jkl</v>
      </c>
      <c r="E102" s="117" t="str">
        <v>number of beef cattle in each time-period, class and subclass</v>
      </c>
      <c r="F102" s="116"/>
      <c r="G102" s="112" t="str">
        <v>head</v>
      </c>
      <c r="H102" s="114" t="str">
        <v>Input</v>
      </c>
      <c r="I102" s="111" t="str" cm="1">
        <f t="array" aca="1" ref="I102" ca="1">HYPERLINK(Common_InputFunctions.Utility_SourceHyperlink($D$104), $D$104)</f>
        <v>M1_Table_N_j_k_l</v>
      </c>
      <c r="U102" s="51" t="str">
        <f>TEXT('Input - Site'!$E$12, "mmmm yyyy")</f>
        <v>January 2025</v>
      </c>
      <c r="V102" s="51" cm="1">
        <f t="array" ref="V102">EntericMethane_PastureBeef_Equations.VEERG_3_2_1_1__2_DailyEntericMethaneProduction(V81)</f>
        <v>0.10625098959567</v>
      </c>
      <c r="W102" s="51" cm="1">
        <f t="array" ref="W102">EntericMethane_PastureBeef_Equations.VEERG_3_2_1_1__2_DailyEntericMethaneProduction(W81)</f>
        <v>0.20647957902299996</v>
      </c>
      <c r="X102" s="51" cm="1">
        <f t="array" ref="X102">EntericMethane_PastureBeef_Equations.VEERG_3_2_1_1__2_DailyEntericMethaneProduction(X81)</f>
        <v>8.6995993551750014E-2</v>
      </c>
      <c r="Y102" s="51" cm="1">
        <f t="array" ref="Y102">EntericMethane_PastureBeef_Equations.VEERG_3_2_1_1__2_DailyEntericMethaneProduction(Y81)</f>
        <v>0.12270572463087004</v>
      </c>
      <c r="Z102" s="51" cm="1">
        <f t="array" ref="Z102">EntericMethane_PastureBeef_Equations.VEERG_3_2_1_1__2_DailyEntericMethaneProduction(Z81)</f>
        <v>0.16461351252206999</v>
      </c>
      <c r="AA102" s="51" cm="1">
        <f t="array" ref="AA102">EntericMethane_PastureBeef_Equations.VEERG_3_2_1_1__2_DailyEntericMethaneProduction(AA81)</f>
        <v>0.16461351252206999</v>
      </c>
      <c r="AB102" s="51" cm="1">
        <f t="array" ref="AB102">EntericMethane_PastureBeef_Equations.VEERG_3_2_1_1__2_DailyEntericMethaneProduction(AB81)</f>
        <v>9.3403950168869973E-2</v>
      </c>
      <c r="AC102" s="51" cm="1">
        <f t="array" ref="AC102">EntericMethane_PastureBeef_Equations.VEERG_3_2_1_1__2_DailyEntericMethaneProduction(AC81)</f>
        <v>0.14220590910911998</v>
      </c>
      <c r="AD102" s="51" cm="1">
        <f t="array" ref="AD102">EntericMethane_PastureBeef_Equations.VEERG_3_2_1_1__2_DailyEntericMethaneProduction(AD81)</f>
        <v>0.14220590910911998</v>
      </c>
      <c r="AE102" s="51" cm="1">
        <f t="array" ref="AE102">EntericMethane_PastureBeef_Equations.VEERG_3_2_1_1__2_DailyEntericMethaneProduction(AE81)</f>
        <v>0.14220590910911998</v>
      </c>
      <c r="AF102" s="2"/>
    </row>
    <row r="103" spans="4:35" ht="20.100000000000001" customHeight="1" x14ac:dyDescent="0.25">
      <c r="U103" s="51" t="str">
        <f>TEXT('Input - Site'!$E$12, "mmmm yyyy")</f>
        <v>January 2025</v>
      </c>
      <c r="V103" s="51" cm="1">
        <f t="array" ref="V103">EntericMethane_PastureBeef_Equations.VEERG_3_2_1_1__2_DailyEntericMethaneProduction(V82)</f>
        <v>0.10625098959567</v>
      </c>
      <c r="W103" s="51" cm="1">
        <f t="array" ref="W103">EntericMethane_PastureBeef_Equations.VEERG_3_2_1_1__2_DailyEntericMethaneProduction(W82)</f>
        <v>0.20647957902299996</v>
      </c>
      <c r="X103" s="51" cm="1">
        <f t="array" ref="X103">EntericMethane_PastureBeef_Equations.VEERG_3_2_1_1__2_DailyEntericMethaneProduction(X82)</f>
        <v>8.6995993551750014E-2</v>
      </c>
      <c r="Y103" s="51" cm="1">
        <f t="array" ref="Y103">EntericMethane_PastureBeef_Equations.VEERG_3_2_1_1__2_DailyEntericMethaneProduction(Y82)</f>
        <v>0.12270572463087004</v>
      </c>
      <c r="Z103" s="51" cm="1">
        <f t="array" ref="Z103">EntericMethane_PastureBeef_Equations.VEERG_3_2_1_1__2_DailyEntericMethaneProduction(Z82)</f>
        <v>0.16461351252206999</v>
      </c>
      <c r="AA103" s="51" cm="1">
        <f t="array" ref="AA103">EntericMethane_PastureBeef_Equations.VEERG_3_2_1_1__2_DailyEntericMethaneProduction(AA82)</f>
        <v>0.16461351252206999</v>
      </c>
      <c r="AB103" s="51" cm="1">
        <f t="array" ref="AB103">EntericMethane_PastureBeef_Equations.VEERG_3_2_1_1__2_DailyEntericMethaneProduction(AB82)</f>
        <v>9.3403950168869973E-2</v>
      </c>
      <c r="AC103" s="51" cm="1">
        <f t="array" ref="AC103">EntericMethane_PastureBeef_Equations.VEERG_3_2_1_1__2_DailyEntericMethaneProduction(AC82)</f>
        <v>0.14220590910911998</v>
      </c>
      <c r="AD103" s="51" cm="1">
        <f t="array" ref="AD103">EntericMethane_PastureBeef_Equations.VEERG_3_2_1_1__2_DailyEntericMethaneProduction(AD82)</f>
        <v>0.14220590910911998</v>
      </c>
      <c r="AE103" s="51" cm="1">
        <f t="array" ref="AE103">EntericMethane_PastureBeef_Equations.VEERG_3_2_1_1__2_DailyEntericMethaneProduction(AE82)</f>
        <v>0.14220590910911998</v>
      </c>
      <c r="AF103" s="2"/>
    </row>
    <row r="104" spans="4:35" ht="20.100000000000001" customHeight="1" x14ac:dyDescent="0.25">
      <c r="D104" s="96" t="s">
        <v>223</v>
      </c>
      <c r="U104" s="51" t="str">
        <f>TEXT('Input - Site'!$E$12, "mmmm yyyy")</f>
        <v>January 2025</v>
      </c>
      <c r="V104" s="51" cm="1">
        <f t="array" ref="V104">EntericMethane_PastureBeef_Equations.VEERG_3_2_1_1__2_DailyEntericMethaneProduction(V83)</f>
        <v>0.10625098959567</v>
      </c>
      <c r="W104" s="51" cm="1">
        <f t="array" ref="W104">EntericMethane_PastureBeef_Equations.VEERG_3_2_1_1__2_DailyEntericMethaneProduction(W83)</f>
        <v>0.20647957902299996</v>
      </c>
      <c r="X104" s="51" cm="1">
        <f t="array" ref="X104">EntericMethane_PastureBeef_Equations.VEERG_3_2_1_1__2_DailyEntericMethaneProduction(X83)</f>
        <v>8.6995993551750014E-2</v>
      </c>
      <c r="Y104" s="51" cm="1">
        <f t="array" ref="Y104">EntericMethane_PastureBeef_Equations.VEERG_3_2_1_1__2_DailyEntericMethaneProduction(Y83)</f>
        <v>0.15031451267281581</v>
      </c>
      <c r="Z104" s="51" cm="1">
        <f t="array" ref="Z104">EntericMethane_PastureBeef_Equations.VEERG_3_2_1_1__2_DailyEntericMethaneProduction(Z83)</f>
        <v>0.20165155283953573</v>
      </c>
      <c r="AA104" s="51" cm="1">
        <f t="array" ref="AA104">EntericMethane_PastureBeef_Equations.VEERG_3_2_1_1__2_DailyEntericMethaneProduction(AA83)</f>
        <v>0.20165155283953573</v>
      </c>
      <c r="AB104" s="51" cm="1">
        <f t="array" ref="AB104">EntericMethane_PastureBeef_Equations.VEERG_3_2_1_1__2_DailyEntericMethaneProduction(AB83)</f>
        <v>9.3403950168869973E-2</v>
      </c>
      <c r="AC104" s="51" cm="1">
        <f t="array" ref="AC104">EntericMethane_PastureBeef_Equations.VEERG_3_2_1_1__2_DailyEntericMethaneProduction(AC83)</f>
        <v>0.14220590910911998</v>
      </c>
      <c r="AD104" s="51" cm="1">
        <f t="array" ref="AD104">EntericMethane_PastureBeef_Equations.VEERG_3_2_1_1__2_DailyEntericMethaneProduction(AD83)</f>
        <v>0.14220590910911998</v>
      </c>
      <c r="AE104" s="51" cm="1">
        <f t="array" ref="AE104">EntericMethane_PastureBeef_Equations.VEERG_3_2_1_1__2_DailyEntericMethaneProduction(AE83)</f>
        <v>0.14220590910911998</v>
      </c>
      <c r="AF104" s="2"/>
    </row>
    <row r="105" spans="4:35" ht="20.100000000000001" customHeight="1" x14ac:dyDescent="0.25">
      <c r="D105" s="95" t="s">
        <v>224</v>
      </c>
      <c r="U105" s="51" t="str">
        <f>TEXT('Input - Site'!$E$12, "mmmm yyyy")</f>
        <v>January 2025</v>
      </c>
      <c r="V105" s="51" cm="1">
        <f t="array" ref="V105">EntericMethane_PastureBeef_Equations.VEERG_3_2_1_1__2_DailyEntericMethaneProduction(V84)</f>
        <v>0.17948772790272</v>
      </c>
      <c r="W105" s="51" cm="1">
        <f t="array" ref="W105">EntericMethane_PastureBeef_Equations.VEERG_3_2_1_1__2_DailyEntericMethaneProduction(W84)</f>
        <v>0.25350255517500003</v>
      </c>
      <c r="X105" s="51" cm="1">
        <f t="array" ref="X105">EntericMethane_PastureBeef_Equations.VEERG_3_2_1_1__2_DailyEntericMethaneProduction(X84)</f>
        <v>0.13680549733887001</v>
      </c>
      <c r="Y105" s="51" cm="1">
        <f t="array" ref="Y105">EntericMethane_PastureBeef_Equations.VEERG_3_2_1_1__2_DailyEntericMethaneProduction(Y84)</f>
        <v>0.21992772499678584</v>
      </c>
      <c r="Z105" s="51" cm="1">
        <f t="array" ref="Z105">EntericMethane_PastureBeef_Equations.VEERG_3_2_1_1__2_DailyEntericMethaneProduction(Z84)</f>
        <v>0.24422040423270006</v>
      </c>
      <c r="AA105" s="51" cm="1">
        <f t="array" ref="AA105">EntericMethane_PastureBeef_Equations.VEERG_3_2_1_1__2_DailyEntericMethaneProduction(AA84)</f>
        <v>0.24422040423270006</v>
      </c>
      <c r="AB105" s="51" cm="1">
        <f t="array" ref="AB105">EntericMethane_PastureBeef_Equations.VEERG_3_2_1_1__2_DailyEntericMethaneProduction(AB84)</f>
        <v>0.15771860106299995</v>
      </c>
      <c r="AC105" s="51" cm="1">
        <f t="array" ref="AC105">EntericMethane_PastureBeef_Equations.VEERG_3_2_1_1__2_DailyEntericMethaneProduction(AC84)</f>
        <v>0.20042625868091996</v>
      </c>
      <c r="AD105" s="51" cm="1">
        <f t="array" ref="AD105">EntericMethane_PastureBeef_Equations.VEERG_3_2_1_1__2_DailyEntericMethaneProduction(AD84)</f>
        <v>0.20042625868091996</v>
      </c>
      <c r="AE105" s="51" cm="1">
        <f t="array" ref="AE105">EntericMethane_PastureBeef_Equations.VEERG_3_2_1_1__2_DailyEntericMethaneProduction(AE84)</f>
        <v>0.20042625868091996</v>
      </c>
      <c r="AF105" s="2"/>
    </row>
    <row r="106" spans="4:35" ht="20.100000000000001" customHeight="1" x14ac:dyDescent="0.25">
      <c r="D106" s="50" t="s">
        <v>144</v>
      </c>
      <c r="E106" s="115" t="s">
        <v>102</v>
      </c>
      <c r="F106" s="115" t="s">
        <v>101</v>
      </c>
      <c r="G106" s="115" t="s">
        <v>125</v>
      </c>
      <c r="H106" s="115" t="s">
        <v>126</v>
      </c>
      <c r="I106" s="115" t="s">
        <v>127</v>
      </c>
      <c r="J106" s="115" t="s">
        <v>128</v>
      </c>
      <c r="K106" s="115" t="s">
        <v>129</v>
      </c>
      <c r="L106" s="115" t="s">
        <v>130</v>
      </c>
      <c r="M106" s="115" t="s">
        <v>131</v>
      </c>
      <c r="N106" s="115" t="s">
        <v>132</v>
      </c>
      <c r="U106" s="51" t="str">
        <f>TEXT('Input - Site'!$E$12, "mmmm yyyy")</f>
        <v>January 2025</v>
      </c>
      <c r="V106" s="51" cm="1">
        <f t="array" ref="V106">EntericMethane_PastureBeef_Equations.VEERG_3_2_1_1__2_DailyEntericMethaneProduction(V85)</f>
        <v>0.17948772790272</v>
      </c>
      <c r="W106" s="51" cm="1">
        <f t="array" ref="W106">EntericMethane_PastureBeef_Equations.VEERG_3_2_1_1__2_DailyEntericMethaneProduction(W85)</f>
        <v>0.25350255517500003</v>
      </c>
      <c r="X106" s="51" cm="1">
        <f t="array" ref="X106">EntericMethane_PastureBeef_Equations.VEERG_3_2_1_1__2_DailyEntericMethaneProduction(X85)</f>
        <v>0.13680549733887001</v>
      </c>
      <c r="Y106" s="51" cm="1">
        <f t="array" ref="Y106">EntericMethane_PastureBeef_Equations.VEERG_3_2_1_1__2_DailyEntericMethaneProduction(Y85)</f>
        <v>0.21992772499678584</v>
      </c>
      <c r="Z106" s="51" cm="1">
        <f t="array" ref="Z106">EntericMethane_PastureBeef_Equations.VEERG_3_2_1_1__2_DailyEntericMethaneProduction(Z85)</f>
        <v>0.24422040423270006</v>
      </c>
      <c r="AA106" s="51" cm="1">
        <f t="array" ref="AA106">EntericMethane_PastureBeef_Equations.VEERG_3_2_1_1__2_DailyEntericMethaneProduction(AA85)</f>
        <v>0.24422040423270006</v>
      </c>
      <c r="AB106" s="51" cm="1">
        <f t="array" ref="AB106">EntericMethane_PastureBeef_Equations.VEERG_3_2_1_1__2_DailyEntericMethaneProduction(AB85)</f>
        <v>0.15771860106299995</v>
      </c>
      <c r="AC106" s="51" cm="1">
        <f t="array" ref="AC106">EntericMethane_PastureBeef_Equations.VEERG_3_2_1_1__2_DailyEntericMethaneProduction(AC85)</f>
        <v>0.20042625868091996</v>
      </c>
      <c r="AD106" s="51" cm="1">
        <f t="array" ref="AD106">EntericMethane_PastureBeef_Equations.VEERG_3_2_1_1__2_DailyEntericMethaneProduction(AD85)</f>
        <v>0.20042625868091996</v>
      </c>
      <c r="AE106" s="51" cm="1">
        <f t="array" ref="AE106">EntericMethane_PastureBeef_Equations.VEERG_3_2_1_1__2_DailyEntericMethaneProduction(AE85)</f>
        <v>0.20042625868091996</v>
      </c>
      <c r="AF106" s="2"/>
    </row>
    <row r="107" spans="4:35" ht="20.100000000000001" customHeight="1" x14ac:dyDescent="0.25">
      <c r="D107" s="51" t="s">
        <v>133</v>
      </c>
      <c r="E107" s="51">
        <f>'Input - Pasture Beef'!E38</f>
        <v>100</v>
      </c>
      <c r="F107" s="51">
        <f>'Input - Pasture Beef'!F38</f>
        <v>100</v>
      </c>
      <c r="G107" s="51">
        <f>'Input - Pasture Beef'!G38</f>
        <v>100</v>
      </c>
      <c r="H107" s="51">
        <f>'Input - Pasture Beef'!H38</f>
        <v>100</v>
      </c>
      <c r="I107" s="51">
        <f>'Input - Pasture Beef'!I38</f>
        <v>100</v>
      </c>
      <c r="J107" s="51">
        <f>'Input - Pasture Beef'!J38</f>
        <v>100</v>
      </c>
      <c r="K107" s="51">
        <f>'Input - Pasture Beef'!K38</f>
        <v>100</v>
      </c>
      <c r="L107" s="51">
        <f>'Input - Pasture Beef'!L38</f>
        <v>100</v>
      </c>
      <c r="M107" s="51">
        <f>'Input - Pasture Beef'!M38</f>
        <v>100</v>
      </c>
      <c r="N107" s="51">
        <f>'Input - Pasture Beef'!N38</f>
        <v>100</v>
      </c>
      <c r="O107" s="2" t="str">
        <f>G102</f>
        <v>head</v>
      </c>
      <c r="U107" s="51" t="str">
        <f>TEXT('Input - Site'!$E$12, "mmmm yyyy")</f>
        <v>January 2025</v>
      </c>
      <c r="V107" s="51" cm="1">
        <f t="array" ref="V107">EntericMethane_PastureBeef_Equations.VEERG_3_2_1_1__2_DailyEntericMethaneProduction(V86)</f>
        <v>0.17948772790272</v>
      </c>
      <c r="W107" s="51" cm="1">
        <f t="array" ref="W107">EntericMethane_PastureBeef_Equations.VEERG_3_2_1_1__2_DailyEntericMethaneProduction(W86)</f>
        <v>0.25350255517500003</v>
      </c>
      <c r="X107" s="51" cm="1">
        <f t="array" ref="X107">EntericMethane_PastureBeef_Equations.VEERG_3_2_1_1__2_DailyEntericMethaneProduction(X86)</f>
        <v>0.13680549733887001</v>
      </c>
      <c r="Y107" s="51" cm="1">
        <f t="array" ref="Y107">EntericMethane_PastureBeef_Equations.VEERG_3_2_1_1__2_DailyEntericMethaneProduction(Y86)</f>
        <v>0.19299779948697532</v>
      </c>
      <c r="Z107" s="51" cm="1">
        <f t="array" ref="Z107">EntericMethane_PastureBeef_Equations.VEERG_3_2_1_1__2_DailyEntericMethaneProduction(Z86)</f>
        <v>0.21431586493890006</v>
      </c>
      <c r="AA107" s="51" cm="1">
        <f t="array" ref="AA107">EntericMethane_PastureBeef_Equations.VEERG_3_2_1_1__2_DailyEntericMethaneProduction(AA86)</f>
        <v>0.21431586493890006</v>
      </c>
      <c r="AB107" s="51" cm="1">
        <f t="array" ref="AB107">EntericMethane_PastureBeef_Equations.VEERG_3_2_1_1__2_DailyEntericMethaneProduction(AB86)</f>
        <v>0.15771860106299995</v>
      </c>
      <c r="AC107" s="51" cm="1">
        <f t="array" ref="AC107">EntericMethane_PastureBeef_Equations.VEERG_3_2_1_1__2_DailyEntericMethaneProduction(AC86)</f>
        <v>0.20042625868091996</v>
      </c>
      <c r="AD107" s="51" cm="1">
        <f t="array" ref="AD107">EntericMethane_PastureBeef_Equations.VEERG_3_2_1_1__2_DailyEntericMethaneProduction(AD86)</f>
        <v>0.20042625868091996</v>
      </c>
      <c r="AE107" s="51" cm="1">
        <f t="array" ref="AE107">EntericMethane_PastureBeef_Equations.VEERG_3_2_1_1__2_DailyEntericMethaneProduction(AE86)</f>
        <v>0.20042625868091996</v>
      </c>
      <c r="AF107" s="2"/>
    </row>
    <row r="108" spans="4:35" ht="20.100000000000001" customHeight="1" x14ac:dyDescent="0.25">
      <c r="D108" s="51" t="s">
        <v>134</v>
      </c>
      <c r="E108" s="51">
        <f>'Input - Pasture Beef'!E39</f>
        <v>100</v>
      </c>
      <c r="F108" s="51">
        <f>'Input - Pasture Beef'!F39</f>
        <v>100</v>
      </c>
      <c r="G108" s="51">
        <f>'Input - Pasture Beef'!G39</f>
        <v>100</v>
      </c>
      <c r="H108" s="51">
        <f>'Input - Pasture Beef'!H39</f>
        <v>100</v>
      </c>
      <c r="I108" s="51">
        <f>'Input - Pasture Beef'!I39</f>
        <v>100</v>
      </c>
      <c r="J108" s="51">
        <f>'Input - Pasture Beef'!J39</f>
        <v>100</v>
      </c>
      <c r="K108" s="51">
        <f>'Input - Pasture Beef'!K39</f>
        <v>100</v>
      </c>
      <c r="L108" s="51">
        <f>'Input - Pasture Beef'!L39</f>
        <v>100</v>
      </c>
      <c r="M108" s="51">
        <f>'Input - Pasture Beef'!M39</f>
        <v>100</v>
      </c>
      <c r="N108" s="51">
        <f>'Input - Pasture Beef'!N39</f>
        <v>100</v>
      </c>
      <c r="O108" s="2"/>
      <c r="U108" s="51" t="str">
        <f>TEXT('Input - Site'!$E$12, "mmmm yyyy")</f>
        <v>January 2025</v>
      </c>
      <c r="V108" s="51" cm="1">
        <f t="array" ref="V108">EntericMethane_PastureBeef_Equations.VEERG_3_2_1_1__2_DailyEntericMethaneProduction(V87)</f>
        <v>0.14793987137471989</v>
      </c>
      <c r="W108" s="51" cm="1">
        <f t="array" ref="W108">EntericMethane_PastureBeef_Equations.VEERG_3_2_1_1__2_DailyEntericMethaneProduction(W87)</f>
        <v>0.19573907587452002</v>
      </c>
      <c r="X108" s="51" cm="1">
        <f t="array" ref="X108">EntericMethane_PastureBeef_Equations.VEERG_3_2_1_1__2_DailyEntericMethaneProduction(X87)</f>
        <v>0.12441409099199996</v>
      </c>
      <c r="Y108" s="51" cm="1">
        <f t="array" ref="Y108">EntericMethane_PastureBeef_Equations.VEERG_3_2_1_1__2_DailyEntericMethaneProduction(Y87)</f>
        <v>0.17513940725488128</v>
      </c>
      <c r="Z108" s="51" cm="1">
        <f t="array" ref="Z108">EntericMethane_PastureBeef_Equations.VEERG_3_2_1_1__2_DailyEntericMethaneProduction(Z87)</f>
        <v>0.17340944296568395</v>
      </c>
      <c r="AA108" s="51" cm="1">
        <f t="array" ref="AA108">EntericMethane_PastureBeef_Equations.VEERG_3_2_1_1__2_DailyEntericMethaneProduction(AA87)</f>
        <v>0.17340944296568395</v>
      </c>
      <c r="AB108" s="51" cm="1">
        <f t="array" ref="AB108">EntericMethane_PastureBeef_Equations.VEERG_3_2_1_1__2_DailyEntericMethaneProduction(AB87)</f>
        <v>0.13636416641471999</v>
      </c>
      <c r="AC108" s="51" cm="1">
        <f t="array" ref="AC108">EntericMethane_PastureBeef_Equations.VEERG_3_2_1_1__2_DailyEntericMethaneProduction(AC87)</f>
        <v>0.15200155388727002</v>
      </c>
      <c r="AD108" s="51" cm="1">
        <f t="array" ref="AD108">EntericMethane_PastureBeef_Equations.VEERG_3_2_1_1__2_DailyEntericMethaneProduction(AD87)</f>
        <v>0.15200155388727002</v>
      </c>
      <c r="AE108" s="51" cm="1">
        <f t="array" ref="AE108">EntericMethane_PastureBeef_Equations.VEERG_3_2_1_1__2_DailyEntericMethaneProduction(AE87)</f>
        <v>0.15200155388727002</v>
      </c>
      <c r="AF108" s="2"/>
    </row>
    <row r="109" spans="4:35" ht="20.100000000000001" customHeight="1" x14ac:dyDescent="0.25">
      <c r="D109" s="51" t="s">
        <v>135</v>
      </c>
      <c r="E109" s="51">
        <f>'Input - Pasture Beef'!E40</f>
        <v>100</v>
      </c>
      <c r="F109" s="51">
        <f>'Input - Pasture Beef'!F40</f>
        <v>100</v>
      </c>
      <c r="G109" s="51">
        <f>'Input - Pasture Beef'!G40</f>
        <v>100</v>
      </c>
      <c r="H109" s="51">
        <f>'Input - Pasture Beef'!H40</f>
        <v>100</v>
      </c>
      <c r="I109" s="51">
        <f>'Input - Pasture Beef'!I40</f>
        <v>100</v>
      </c>
      <c r="J109" s="51">
        <f>'Input - Pasture Beef'!J40</f>
        <v>100</v>
      </c>
      <c r="K109" s="51">
        <f>'Input - Pasture Beef'!K40</f>
        <v>100</v>
      </c>
      <c r="L109" s="51">
        <f>'Input - Pasture Beef'!L40</f>
        <v>100</v>
      </c>
      <c r="M109" s="51">
        <f>'Input - Pasture Beef'!M40</f>
        <v>100</v>
      </c>
      <c r="N109" s="51">
        <f>'Input - Pasture Beef'!N40</f>
        <v>100</v>
      </c>
      <c r="O109" s="2"/>
    </row>
    <row r="110" spans="4:35" ht="20.100000000000001" customHeight="1" x14ac:dyDescent="0.25">
      <c r="D110" s="51" t="s">
        <v>136</v>
      </c>
      <c r="E110" s="51">
        <f>'Input - Pasture Beef'!E41</f>
        <v>100</v>
      </c>
      <c r="F110" s="51">
        <f>'Input - Pasture Beef'!F41</f>
        <v>100</v>
      </c>
      <c r="G110" s="51">
        <f>'Input - Pasture Beef'!G41</f>
        <v>100</v>
      </c>
      <c r="H110" s="51">
        <f>'Input - Pasture Beef'!H41</f>
        <v>100</v>
      </c>
      <c r="I110" s="51">
        <f>'Input - Pasture Beef'!I41</f>
        <v>100</v>
      </c>
      <c r="J110" s="51">
        <f>'Input - Pasture Beef'!J41</f>
        <v>100</v>
      </c>
      <c r="K110" s="51">
        <f>'Input - Pasture Beef'!K41</f>
        <v>100</v>
      </c>
      <c r="L110" s="51">
        <f>'Input - Pasture Beef'!L41</f>
        <v>100</v>
      </c>
      <c r="M110" s="51">
        <f>'Input - Pasture Beef'!M41</f>
        <v>100</v>
      </c>
      <c r="N110" s="51">
        <f>'Input - Pasture Beef'!N41</f>
        <v>100</v>
      </c>
      <c r="O110" s="2"/>
    </row>
    <row r="111" spans="4:35" ht="20.100000000000001" customHeight="1" x14ac:dyDescent="0.25">
      <c r="T111" s="44"/>
      <c r="U111" s="44"/>
      <c r="V111" s="44"/>
      <c r="W111" s="44"/>
      <c r="X111" s="44"/>
      <c r="Y111" s="44"/>
      <c r="Z111" s="44"/>
      <c r="AA111" s="44"/>
      <c r="AB111" s="44"/>
      <c r="AC111" s="44"/>
      <c r="AD111" s="44"/>
      <c r="AE111" s="44"/>
      <c r="AF111" s="44"/>
      <c r="AG111" s="44"/>
      <c r="AH111" s="44"/>
      <c r="AI111" s="44"/>
    </row>
    <row r="112" spans="4:35" ht="20.100000000000001" customHeight="1" x14ac:dyDescent="0.25">
      <c r="D112" s="96" t="s">
        <v>114</v>
      </c>
      <c r="U112" s="6" t="str" cm="1">
        <f t="array" ref="U112">EntericMethane_PastureBeef_Equations.VEERG_3_2_1_1__1_TotalAnnualMethaneFromEntericFermentation_Title()</f>
        <v>Total annual methane production from enteric fermentation in grazing beef cattle</v>
      </c>
    </row>
    <row r="113" spans="4:34" ht="20.100000000000001" customHeight="1" x14ac:dyDescent="0.25">
      <c r="D113" s="95" t="s">
        <v>225</v>
      </c>
    </row>
    <row r="114" spans="4:34" ht="20.100000000000001" customHeight="1" x14ac:dyDescent="0.25">
      <c r="D114" s="50" t="s">
        <v>144</v>
      </c>
      <c r="E114" s="115" t="s">
        <v>102</v>
      </c>
      <c r="F114" s="115" t="s">
        <v>101</v>
      </c>
      <c r="G114" s="115" t="s">
        <v>125</v>
      </c>
      <c r="H114" s="115" t="s">
        <v>126</v>
      </c>
      <c r="I114" s="115" t="s">
        <v>127</v>
      </c>
      <c r="J114" s="115" t="s">
        <v>128</v>
      </c>
      <c r="K114" s="115" t="s">
        <v>129</v>
      </c>
      <c r="L114" s="115" t="s">
        <v>130</v>
      </c>
      <c r="M114" s="115" t="s">
        <v>131</v>
      </c>
      <c r="N114" s="115" t="s">
        <v>132</v>
      </c>
      <c r="U114" s="96" t="s">
        <v>226</v>
      </c>
    </row>
    <row r="115" spans="4:34" ht="20.100000000000001" customHeight="1" x14ac:dyDescent="0.25">
      <c r="D115" s="51" t="s">
        <v>133</v>
      </c>
      <c r="E115" s="51">
        <f>'Input - Pasture Beef'!E16</f>
        <v>91.25</v>
      </c>
      <c r="F115" s="51">
        <f>'Input - Pasture Beef'!F16</f>
        <v>91.25</v>
      </c>
      <c r="G115" s="51">
        <f>'Input - Pasture Beef'!G16</f>
        <v>91.25</v>
      </c>
      <c r="H115" s="51">
        <f>'Input - Pasture Beef'!H16</f>
        <v>91.25</v>
      </c>
      <c r="I115" s="51">
        <f>'Input - Pasture Beef'!I16</f>
        <v>91.25</v>
      </c>
      <c r="J115" s="51">
        <f>'Input - Pasture Beef'!J16</f>
        <v>91.25</v>
      </c>
      <c r="K115" s="51">
        <f>'Input - Pasture Beef'!K16</f>
        <v>91.25</v>
      </c>
      <c r="L115" s="51">
        <f>'Input - Pasture Beef'!L16</f>
        <v>91.25</v>
      </c>
      <c r="M115" s="51">
        <f>'Input - Pasture Beef'!M16</f>
        <v>91.25</v>
      </c>
      <c r="N115" s="51">
        <f>'Input - Pasture Beef'!N16</f>
        <v>91.25</v>
      </c>
      <c r="O115" s="2" t="str">
        <f>G100</f>
        <v>days</v>
      </c>
      <c r="U115" s="95" t="s">
        <v>227</v>
      </c>
      <c r="AH115" s="2"/>
    </row>
    <row r="116" spans="4:34" ht="20.100000000000001" customHeight="1" x14ac:dyDescent="0.25">
      <c r="D116" s="51" t="s">
        <v>134</v>
      </c>
      <c r="E116" s="51">
        <f>'Input - Pasture Beef'!E17</f>
        <v>91.25</v>
      </c>
      <c r="F116" s="51">
        <f>'Input - Pasture Beef'!F17</f>
        <v>91.25</v>
      </c>
      <c r="G116" s="51">
        <f>'Input - Pasture Beef'!G17</f>
        <v>91.25</v>
      </c>
      <c r="H116" s="51">
        <f>'Input - Pasture Beef'!H17</f>
        <v>91.25</v>
      </c>
      <c r="I116" s="51">
        <f>'Input - Pasture Beef'!I17</f>
        <v>91.25</v>
      </c>
      <c r="J116" s="51">
        <f>'Input - Pasture Beef'!J17</f>
        <v>91.25</v>
      </c>
      <c r="K116" s="51">
        <f>'Input - Pasture Beef'!K17</f>
        <v>91.25</v>
      </c>
      <c r="L116" s="51">
        <f>'Input - Pasture Beef'!L17</f>
        <v>91.25</v>
      </c>
      <c r="M116" s="51">
        <f>'Input - Pasture Beef'!M17</f>
        <v>91.25</v>
      </c>
      <c r="N116" s="51">
        <f>'Input - Pasture Beef'!N17</f>
        <v>91.25</v>
      </c>
      <c r="O116" s="2"/>
      <c r="U116" s="50" t="s">
        <v>103</v>
      </c>
      <c r="V116" s="115" t="s">
        <v>102</v>
      </c>
      <c r="W116" s="115" t="s">
        <v>101</v>
      </c>
      <c r="X116" s="115" t="s">
        <v>125</v>
      </c>
      <c r="Y116" s="115" t="s">
        <v>126</v>
      </c>
      <c r="Z116" s="115" t="s">
        <v>127</v>
      </c>
      <c r="AA116" s="115" t="s">
        <v>128</v>
      </c>
      <c r="AB116" s="115" t="s">
        <v>129</v>
      </c>
      <c r="AC116" s="115" t="s">
        <v>130</v>
      </c>
      <c r="AD116" s="115" t="s">
        <v>131</v>
      </c>
      <c r="AE116" s="115" t="s">
        <v>132</v>
      </c>
      <c r="AF116" s="2"/>
      <c r="AH116" s="2"/>
    </row>
    <row r="117" spans="4:34" ht="20.100000000000001" customHeight="1" x14ac:dyDescent="0.25">
      <c r="D117" s="51" t="s">
        <v>135</v>
      </c>
      <c r="E117" s="51">
        <f>'Input - Pasture Beef'!E18</f>
        <v>91.25</v>
      </c>
      <c r="F117" s="51">
        <f>'Input - Pasture Beef'!F18</f>
        <v>91.25</v>
      </c>
      <c r="G117" s="51">
        <f>'Input - Pasture Beef'!G18</f>
        <v>91.25</v>
      </c>
      <c r="H117" s="51">
        <f>'Input - Pasture Beef'!H18</f>
        <v>91.25</v>
      </c>
      <c r="I117" s="51">
        <f>'Input - Pasture Beef'!I18</f>
        <v>91.25</v>
      </c>
      <c r="J117" s="51">
        <f>'Input - Pasture Beef'!J18</f>
        <v>91.25</v>
      </c>
      <c r="K117" s="51">
        <f>'Input - Pasture Beef'!K18</f>
        <v>91.25</v>
      </c>
      <c r="L117" s="51">
        <f>'Input - Pasture Beef'!L18</f>
        <v>91.25</v>
      </c>
      <c r="M117" s="51">
        <f>'Input - Pasture Beef'!M18</f>
        <v>91.25</v>
      </c>
      <c r="N117" s="51">
        <f>'Input - Pasture Beef'!N18</f>
        <v>91.25</v>
      </c>
      <c r="O117" s="2"/>
      <c r="U117" s="51" t="str">
        <f>TEXT('Input - Site'!$E$12, "mmmm yyyy")</f>
        <v>January 2025</v>
      </c>
      <c r="V117" s="51">
        <f>'Input - Pasture Beef'!E44</f>
        <v>100</v>
      </c>
      <c r="W117" s="51">
        <f>'Input - Pasture Beef'!F44</f>
        <v>100</v>
      </c>
      <c r="X117" s="51">
        <f>'Input - Pasture Beef'!G44</f>
        <v>100</v>
      </c>
      <c r="Y117" s="51">
        <f>'Input - Pasture Beef'!H44</f>
        <v>100</v>
      </c>
      <c r="Z117" s="51">
        <f>'Input - Pasture Beef'!I44</f>
        <v>100</v>
      </c>
      <c r="AA117" s="51">
        <f>'Input - Pasture Beef'!J44</f>
        <v>100</v>
      </c>
      <c r="AB117" s="51">
        <f>'Input - Pasture Beef'!K44</f>
        <v>100</v>
      </c>
      <c r="AC117" s="51">
        <f>'Input - Pasture Beef'!L44</f>
        <v>100</v>
      </c>
      <c r="AD117" s="51">
        <f>'Input - Pasture Beef'!M44</f>
        <v>100</v>
      </c>
      <c r="AE117" s="51">
        <f>'Input - Pasture Beef'!N44</f>
        <v>100</v>
      </c>
      <c r="AF117" s="2" t="str">
        <f>$G$102</f>
        <v>head</v>
      </c>
      <c r="AH117" s="2"/>
    </row>
    <row r="118" spans="4:34" ht="20.100000000000001" customHeight="1" x14ac:dyDescent="0.25">
      <c r="D118" s="51" t="s">
        <v>136</v>
      </c>
      <c r="E118" s="51">
        <f>'Input - Pasture Beef'!E19</f>
        <v>91.25</v>
      </c>
      <c r="F118" s="51">
        <f>'Input - Pasture Beef'!F19</f>
        <v>91.25</v>
      </c>
      <c r="G118" s="51">
        <f>'Input - Pasture Beef'!G19</f>
        <v>91.25</v>
      </c>
      <c r="H118" s="51">
        <f>'Input - Pasture Beef'!H19</f>
        <v>91.25</v>
      </c>
      <c r="I118" s="51">
        <f>'Input - Pasture Beef'!I19</f>
        <v>91.25</v>
      </c>
      <c r="J118" s="51">
        <f>'Input - Pasture Beef'!J19</f>
        <v>91.25</v>
      </c>
      <c r="K118" s="51">
        <f>'Input - Pasture Beef'!K19</f>
        <v>91.25</v>
      </c>
      <c r="L118" s="51">
        <f>'Input - Pasture Beef'!L19</f>
        <v>91.25</v>
      </c>
      <c r="M118" s="51">
        <f>'Input - Pasture Beef'!M19</f>
        <v>91.25</v>
      </c>
      <c r="N118" s="51">
        <f>'Input - Pasture Beef'!N19</f>
        <v>91.25</v>
      </c>
      <c r="O118" s="2"/>
      <c r="U118" s="51" t="str">
        <f>TEXT(EDATE('Input - Site'!$E$12,1), "mmmm yyyy")</f>
        <v>February 2025</v>
      </c>
      <c r="V118" s="51">
        <f>'Input - Pasture Beef'!E45</f>
        <v>100</v>
      </c>
      <c r="W118" s="51">
        <f>'Input - Pasture Beef'!F45</f>
        <v>100</v>
      </c>
      <c r="X118" s="51">
        <f>'Input - Pasture Beef'!G45</f>
        <v>100</v>
      </c>
      <c r="Y118" s="51">
        <f>'Input - Pasture Beef'!H45</f>
        <v>100</v>
      </c>
      <c r="Z118" s="51">
        <f>'Input - Pasture Beef'!I45</f>
        <v>100</v>
      </c>
      <c r="AA118" s="51">
        <f>'Input - Pasture Beef'!J45</f>
        <v>100</v>
      </c>
      <c r="AB118" s="51">
        <f>'Input - Pasture Beef'!K45</f>
        <v>100</v>
      </c>
      <c r="AC118" s="51">
        <f>'Input - Pasture Beef'!L45</f>
        <v>100</v>
      </c>
      <c r="AD118" s="51">
        <f>'Input - Pasture Beef'!M45</f>
        <v>100</v>
      </c>
      <c r="AE118" s="51">
        <f>'Input - Pasture Beef'!N45</f>
        <v>100</v>
      </c>
      <c r="AF118" s="2"/>
      <c r="AH118" s="2"/>
    </row>
    <row r="119" spans="4:34" ht="20.100000000000001" customHeight="1" x14ac:dyDescent="0.25">
      <c r="U119" s="51" t="str">
        <f>TEXT(EDATE('Input - Site'!$E$12,2), "mmmm yyyy")</f>
        <v>March 2025</v>
      </c>
      <c r="V119" s="51">
        <f>'Input - Pasture Beef'!E46</f>
        <v>100</v>
      </c>
      <c r="W119" s="51">
        <f>'Input - Pasture Beef'!F46</f>
        <v>100</v>
      </c>
      <c r="X119" s="51">
        <f>'Input - Pasture Beef'!G46</f>
        <v>100</v>
      </c>
      <c r="Y119" s="51">
        <f>'Input - Pasture Beef'!H46</f>
        <v>100</v>
      </c>
      <c r="Z119" s="51">
        <f>'Input - Pasture Beef'!I46</f>
        <v>100</v>
      </c>
      <c r="AA119" s="51">
        <f>'Input - Pasture Beef'!J46</f>
        <v>100</v>
      </c>
      <c r="AB119" s="51">
        <f>'Input - Pasture Beef'!K46</f>
        <v>100</v>
      </c>
      <c r="AC119" s="51">
        <f>'Input - Pasture Beef'!L46</f>
        <v>100</v>
      </c>
      <c r="AD119" s="51">
        <f>'Input - Pasture Beef'!M46</f>
        <v>100</v>
      </c>
      <c r="AE119" s="51">
        <f>'Input - Pasture Beef'!N46</f>
        <v>100</v>
      </c>
      <c r="AF119" s="2"/>
      <c r="AH119" s="2"/>
    </row>
    <row r="120" spans="4:34" ht="20.100000000000001" customHeight="1" x14ac:dyDescent="0.25">
      <c r="D120" s="96" t="s">
        <v>258</v>
      </c>
      <c r="U120" s="51" t="str">
        <f>TEXT(EDATE('Input - Site'!$E$12,3), "mmmm yyyy")</f>
        <v>April 2025</v>
      </c>
      <c r="V120" s="51">
        <f>'Input - Pasture Beef'!E47</f>
        <v>100</v>
      </c>
      <c r="W120" s="51">
        <f>'Input - Pasture Beef'!F47</f>
        <v>100</v>
      </c>
      <c r="X120" s="51">
        <f>'Input - Pasture Beef'!G47</f>
        <v>100</v>
      </c>
      <c r="Y120" s="51">
        <f>'Input - Pasture Beef'!H47</f>
        <v>100</v>
      </c>
      <c r="Z120" s="51">
        <f>'Input - Pasture Beef'!I47</f>
        <v>100</v>
      </c>
      <c r="AA120" s="51">
        <f>'Input - Pasture Beef'!J47</f>
        <v>100</v>
      </c>
      <c r="AB120" s="51">
        <f>'Input - Pasture Beef'!K47</f>
        <v>100</v>
      </c>
      <c r="AC120" s="51">
        <f>'Input - Pasture Beef'!L47</f>
        <v>100</v>
      </c>
      <c r="AD120" s="51">
        <f>'Input - Pasture Beef'!M47</f>
        <v>100</v>
      </c>
      <c r="AE120" s="51">
        <f>'Input - Pasture Beef'!N47</f>
        <v>100</v>
      </c>
      <c r="AF120" s="2"/>
      <c r="AH120" s="2"/>
    </row>
    <row r="121" spans="4:34" ht="20.100000000000001" customHeight="1" x14ac:dyDescent="0.25">
      <c r="D121" s="95" t="s">
        <v>259</v>
      </c>
      <c r="U121" s="51" t="str">
        <f>TEXT(EDATE('Input - Site'!$E$12,4), "mmmm yyyy")</f>
        <v>May 2025</v>
      </c>
      <c r="V121" s="51">
        <f>'Input - Pasture Beef'!E48</f>
        <v>100</v>
      </c>
      <c r="W121" s="51">
        <f>'Input - Pasture Beef'!F48</f>
        <v>100</v>
      </c>
      <c r="X121" s="51">
        <f>'Input - Pasture Beef'!G48</f>
        <v>100</v>
      </c>
      <c r="Y121" s="51">
        <f>'Input - Pasture Beef'!H48</f>
        <v>100</v>
      </c>
      <c r="Z121" s="51">
        <f>'Input - Pasture Beef'!I48</f>
        <v>100</v>
      </c>
      <c r="AA121" s="51">
        <f>'Input - Pasture Beef'!J48</f>
        <v>100</v>
      </c>
      <c r="AB121" s="51">
        <f>'Input - Pasture Beef'!K48</f>
        <v>100</v>
      </c>
      <c r="AC121" s="51">
        <f>'Input - Pasture Beef'!L48</f>
        <v>100</v>
      </c>
      <c r="AD121" s="51">
        <f>'Input - Pasture Beef'!M48</f>
        <v>100</v>
      </c>
      <c r="AE121" s="51">
        <f>'Input - Pasture Beef'!N48</f>
        <v>100</v>
      </c>
      <c r="AF121" s="2"/>
      <c r="AH121" s="2"/>
    </row>
    <row r="122" spans="4:34" ht="20.100000000000001" customHeight="1" x14ac:dyDescent="0.25">
      <c r="D122" s="50" t="s">
        <v>144</v>
      </c>
      <c r="E122" s="50" t="s">
        <v>102</v>
      </c>
      <c r="F122" s="50" t="s">
        <v>101</v>
      </c>
      <c r="G122" s="50" t="s">
        <v>125</v>
      </c>
      <c r="H122" s="50" t="s">
        <v>126</v>
      </c>
      <c r="I122" s="50" t="s">
        <v>127</v>
      </c>
      <c r="J122" s="50" t="s">
        <v>128</v>
      </c>
      <c r="K122" s="50" t="s">
        <v>129</v>
      </c>
      <c r="L122" s="50" t="s">
        <v>130</v>
      </c>
      <c r="M122" s="50" t="s">
        <v>131</v>
      </c>
      <c r="N122" s="50" t="s">
        <v>132</v>
      </c>
      <c r="U122" s="51" t="str">
        <f>TEXT(EDATE('Input - Site'!$E$12,5), "mmmm yyyy")</f>
        <v>June 2025</v>
      </c>
      <c r="V122" s="51">
        <f>'Input - Pasture Beef'!E49</f>
        <v>100</v>
      </c>
      <c r="W122" s="51">
        <f>'Input - Pasture Beef'!F49</f>
        <v>100</v>
      </c>
      <c r="X122" s="51">
        <f>'Input - Pasture Beef'!G49</f>
        <v>100</v>
      </c>
      <c r="Y122" s="51">
        <f>'Input - Pasture Beef'!H49</f>
        <v>100</v>
      </c>
      <c r="Z122" s="51">
        <f>'Input - Pasture Beef'!I49</f>
        <v>100</v>
      </c>
      <c r="AA122" s="51">
        <f>'Input - Pasture Beef'!J49</f>
        <v>100</v>
      </c>
      <c r="AB122" s="51">
        <f>'Input - Pasture Beef'!K49</f>
        <v>100</v>
      </c>
      <c r="AC122" s="51">
        <f>'Input - Pasture Beef'!L49</f>
        <v>100</v>
      </c>
      <c r="AD122" s="51">
        <f>'Input - Pasture Beef'!M49</f>
        <v>100</v>
      </c>
      <c r="AE122" s="51">
        <f>'Input - Pasture Beef'!N49</f>
        <v>100</v>
      </c>
      <c r="AF122" s="2"/>
      <c r="AH122" s="2"/>
    </row>
    <row r="123" spans="4:34" ht="20.100000000000001" customHeight="1" x14ac:dyDescent="0.25">
      <c r="D123" s="51" t="s">
        <v>133</v>
      </c>
      <c r="E123" s="51" cm="1">
        <f t="array" ref="E123">EntericMethane_PastureBeef_Equations.VEERG_3_2_1_1__1_TotalAnnualMethaneFromEntericFermentation(E115,E85,E107)</f>
        <v>1.6378255171123202</v>
      </c>
      <c r="F123" s="51" cm="1">
        <f t="array" ref="F123">EntericMethane_PastureBeef_Equations.VEERG_3_2_1_1__1_TotalAnnualMethaneFromEntericFermentation(F115,F85,F107)</f>
        <v>2.3132108159718756</v>
      </c>
      <c r="G123" s="51" cm="1">
        <f t="array" ref="G123">EntericMethane_PastureBeef_Equations.VEERG_3_2_1_1__1_TotalAnnualMethaneFromEntericFermentation(G115,G85,G107)</f>
        <v>1.2483501632171887</v>
      </c>
      <c r="H123" s="51" cm="1">
        <f t="array" ref="H123">EntericMethane_PastureBeef_Equations.VEERG_3_2_1_1__1_TotalAnnualMethaneFromEntericFermentation(H115,H85,H107)</f>
        <v>1.7856784773463517</v>
      </c>
      <c r="I123" s="51" cm="1">
        <f t="array" ref="I123">EntericMethane_PastureBeef_Equations.VEERG_3_2_1_1__1_TotalAnnualMethaneFromEntericFermentation(I115,I85,I107)</f>
        <v>1.9101524473914753</v>
      </c>
      <c r="J123" s="51" cm="1">
        <f t="array" ref="J123">EntericMethane_PastureBeef_Equations.VEERG_3_2_1_1__1_TotalAnnualMethaneFromEntericFermentation(J115,J85,J107)</f>
        <v>1.9101524473914753</v>
      </c>
      <c r="K123" s="51" cm="1">
        <f t="array" ref="K123">EntericMethane_PastureBeef_Equations.VEERG_3_2_1_1__1_TotalAnnualMethaneFromEntericFermentation(K115,K85,K107)</f>
        <v>1.4391822346998746</v>
      </c>
      <c r="L123" s="51" cm="1">
        <f t="array" ref="L123">EntericMethane_PastureBeef_Equations.VEERG_3_2_1_1__1_TotalAnnualMethaneFromEntericFermentation(L115,L85,L107)</f>
        <v>1.8288896104633945</v>
      </c>
      <c r="M123" s="51" cm="1">
        <f t="array" ref="M123">EntericMethane_PastureBeef_Equations.VEERG_3_2_1_1__1_TotalAnnualMethaneFromEntericFermentation(M115,M85,M107)</f>
        <v>1.8288896104633945</v>
      </c>
      <c r="N123" s="51" cm="1">
        <f t="array" ref="N123">EntericMethane_PastureBeef_Equations.VEERG_3_2_1_1__1_TotalAnnualMethaneFromEntericFermentation(N115,N85,N107)</f>
        <v>1.8288896104633945</v>
      </c>
      <c r="O123" s="2" t="str">
        <f>E98</f>
        <v>t CH4</v>
      </c>
      <c r="Q123" s="2"/>
      <c r="U123" s="51" t="str">
        <f>TEXT(EDATE('Input - Site'!$E$12,6), "mmmm yyyy")</f>
        <v>July 2025</v>
      </c>
      <c r="V123" s="51">
        <f>'Input - Pasture Beef'!E50</f>
        <v>100</v>
      </c>
      <c r="W123" s="51">
        <f>'Input - Pasture Beef'!F50</f>
        <v>100</v>
      </c>
      <c r="X123" s="51">
        <f>'Input - Pasture Beef'!G50</f>
        <v>100</v>
      </c>
      <c r="Y123" s="51">
        <f>'Input - Pasture Beef'!H50</f>
        <v>100</v>
      </c>
      <c r="Z123" s="51">
        <f>'Input - Pasture Beef'!I50</f>
        <v>100</v>
      </c>
      <c r="AA123" s="51">
        <f>'Input - Pasture Beef'!J50</f>
        <v>100</v>
      </c>
      <c r="AB123" s="51">
        <f>'Input - Pasture Beef'!K50</f>
        <v>100</v>
      </c>
      <c r="AC123" s="51">
        <f>'Input - Pasture Beef'!L50</f>
        <v>100</v>
      </c>
      <c r="AD123" s="51">
        <f>'Input - Pasture Beef'!M50</f>
        <v>100</v>
      </c>
      <c r="AE123" s="51">
        <f>'Input - Pasture Beef'!N50</f>
        <v>100</v>
      </c>
      <c r="AF123" s="2"/>
      <c r="AH123" s="2"/>
    </row>
    <row r="124" spans="4:34" ht="20.100000000000001" customHeight="1" x14ac:dyDescent="0.25">
      <c r="D124" s="51" t="s">
        <v>134</v>
      </c>
      <c r="E124" s="51" cm="1">
        <f t="array" ref="E124">EntericMethane_PastureBeef_Equations.VEERG_3_2_1_1__1_TotalAnnualMethaneFromEntericFermentation(E116,E86,E108)</f>
        <v>1.3499513262943192</v>
      </c>
      <c r="F124" s="51" cm="1">
        <f t="array" ref="F124">EntericMethane_PastureBeef_Equations.VEERG_3_2_1_1__1_TotalAnnualMethaneFromEntericFermentation(F116,F86,F108)</f>
        <v>1.7861190673549951</v>
      </c>
      <c r="G124" s="51" cm="1">
        <f t="array" ref="G124">EntericMethane_PastureBeef_Equations.VEERG_3_2_1_1__1_TotalAnnualMethaneFromEntericFermentation(G116,G86,G108)</f>
        <v>1.1352785803019998</v>
      </c>
      <c r="H124" s="51" cm="1">
        <f t="array" ref="H124">EntericMethane_PastureBeef_Equations.VEERG_3_2_1_1__1_TotalAnnualMethaneFromEntericFermentation(H116,H86,H108)</f>
        <v>1.486648456930969</v>
      </c>
      <c r="I124" s="51" cm="1">
        <f t="array" ref="I124">EntericMethane_PastureBeef_Equations.VEERG_3_2_1_1__1_TotalAnnualMethaneFromEntericFermentation(I116,I86,I108)</f>
        <v>1.4719638763366196</v>
      </c>
      <c r="J124" s="51" cm="1">
        <f t="array" ref="J124">EntericMethane_PastureBeef_Equations.VEERG_3_2_1_1__1_TotalAnnualMethaneFromEntericFermentation(J116,J86,J108)</f>
        <v>1.4719638763366196</v>
      </c>
      <c r="K124" s="51" cm="1">
        <f t="array" ref="K124">EntericMethane_PastureBeef_Equations.VEERG_3_2_1_1__1_TotalAnnualMethaneFromEntericFermentation(K116,K86,K108)</f>
        <v>1.2443230185343197</v>
      </c>
      <c r="L124" s="51" cm="1">
        <f t="array" ref="L124">EntericMethane_PastureBeef_Equations.VEERG_3_2_1_1__1_TotalAnnualMethaneFromEntericFermentation(L116,L86,L108)</f>
        <v>1.3870141792213391</v>
      </c>
      <c r="M124" s="51" cm="1">
        <f t="array" ref="M124">EntericMethane_PastureBeef_Equations.VEERG_3_2_1_1__1_TotalAnnualMethaneFromEntericFermentation(M116,M86,M108)</f>
        <v>1.3870141792213391</v>
      </c>
      <c r="N124" s="51" cm="1">
        <f t="array" ref="N124">EntericMethane_PastureBeef_Equations.VEERG_3_2_1_1__1_TotalAnnualMethaneFromEntericFermentation(N116,N86,N108)</f>
        <v>1.3870141792213391</v>
      </c>
      <c r="O124" s="2"/>
      <c r="Q124" s="2"/>
      <c r="U124" s="51" t="str">
        <f>TEXT(EDATE('Input - Site'!$E$12,7), "mmmm yyyy")</f>
        <v>August 2025</v>
      </c>
      <c r="V124" s="51">
        <f>'Input - Pasture Beef'!E51</f>
        <v>100</v>
      </c>
      <c r="W124" s="51">
        <f>'Input - Pasture Beef'!F51</f>
        <v>100</v>
      </c>
      <c r="X124" s="51">
        <f>'Input - Pasture Beef'!G51</f>
        <v>100</v>
      </c>
      <c r="Y124" s="51">
        <f>'Input - Pasture Beef'!H51</f>
        <v>100</v>
      </c>
      <c r="Z124" s="51">
        <f>'Input - Pasture Beef'!I51</f>
        <v>100</v>
      </c>
      <c r="AA124" s="51">
        <f>'Input - Pasture Beef'!J51</f>
        <v>100</v>
      </c>
      <c r="AB124" s="51">
        <f>'Input - Pasture Beef'!K51</f>
        <v>100</v>
      </c>
      <c r="AC124" s="51">
        <f>'Input - Pasture Beef'!L51</f>
        <v>100</v>
      </c>
      <c r="AD124" s="51">
        <f>'Input - Pasture Beef'!M51</f>
        <v>100</v>
      </c>
      <c r="AE124" s="51">
        <f>'Input - Pasture Beef'!N51</f>
        <v>100</v>
      </c>
      <c r="AF124" s="2"/>
      <c r="AH124" s="2"/>
    </row>
    <row r="125" spans="4:34" ht="20.100000000000001" customHeight="1" x14ac:dyDescent="0.25">
      <c r="D125" s="51" t="s">
        <v>135</v>
      </c>
      <c r="E125" s="51" cm="1">
        <f t="array" ref="E125">EntericMethane_PastureBeef_Equations.VEERG_3_2_1_1__1_TotalAnnualMethaneFromEntericFermentation(E117,E87,E109)</f>
        <v>0.61335624555000001</v>
      </c>
      <c r="F125" s="51" cm="1">
        <f t="array" ref="F125">EntericMethane_PastureBeef_Equations.VEERG_3_2_1_1__1_TotalAnnualMethaneFromEntericFermentation(F117,F87,F109)</f>
        <v>1.7801994082822199</v>
      </c>
      <c r="G125" s="51" cm="1">
        <f t="array" ref="G125">EntericMethane_PastureBeef_Equations.VEERG_3_2_1_1__1_TotalAnnualMethaneFromEntericFermentation(G117,G87,G109)</f>
        <v>0.55916871211511998</v>
      </c>
      <c r="H125" s="51" cm="1">
        <f t="array" ref="H125">EntericMethane_PastureBeef_Equations.VEERG_3_2_1_1__1_TotalAnnualMethaneFromEntericFermentation(H117,H87,H109)</f>
        <v>1.1253534827611948</v>
      </c>
      <c r="I125" s="51" cm="1">
        <f t="array" ref="I125">EntericMethane_PastureBeef_Equations.VEERG_3_2_1_1__1_TotalAnnualMethaneFromEntericFermentation(I117,I87,I109)</f>
        <v>1.2689457429779887</v>
      </c>
      <c r="J125" s="51" cm="1">
        <f t="array" ref="J125">EntericMethane_PastureBeef_Equations.VEERG_3_2_1_1__1_TotalAnnualMethaneFromEntericFermentation(J117,J87,J109)</f>
        <v>1.2689457429779887</v>
      </c>
      <c r="K125" s="51" cm="1">
        <f t="array" ref="K125">EntericMethane_PastureBeef_Equations.VEERG_3_2_1_1__1_TotalAnnualMethaneFromEntericFermentation(K117,K87,K109)</f>
        <v>0.61335624555000001</v>
      </c>
      <c r="L125" s="51" cm="1">
        <f t="array" ref="L125">EntericMethane_PastureBeef_Equations.VEERG_3_2_1_1__1_TotalAnnualMethaneFromEntericFermentation(L117,L87,L109)</f>
        <v>1.1135632576102203</v>
      </c>
      <c r="M125" s="51" cm="1">
        <f t="array" ref="M125">EntericMethane_PastureBeef_Equations.VEERG_3_2_1_1__1_TotalAnnualMethaneFromEntericFermentation(M117,M87,M109)</f>
        <v>1.1135632576102203</v>
      </c>
      <c r="N125" s="51" cm="1">
        <f t="array" ref="N125">EntericMethane_PastureBeef_Equations.VEERG_3_2_1_1__1_TotalAnnualMethaneFromEntericFermentation(N117,N87,N109)</f>
        <v>1.1135632576102203</v>
      </c>
      <c r="O125" s="2"/>
      <c r="Q125" s="2"/>
      <c r="U125" s="51" t="str">
        <f>TEXT(EDATE('Input - Site'!$E$12,8), "mmmm yyyy")</f>
        <v>September 2025</v>
      </c>
      <c r="V125" s="51">
        <f>'Input - Pasture Beef'!E52</f>
        <v>100</v>
      </c>
      <c r="W125" s="51">
        <f>'Input - Pasture Beef'!F52</f>
        <v>100</v>
      </c>
      <c r="X125" s="51">
        <f>'Input - Pasture Beef'!G52</f>
        <v>100</v>
      </c>
      <c r="Y125" s="51">
        <f>'Input - Pasture Beef'!H52</f>
        <v>100</v>
      </c>
      <c r="Z125" s="51">
        <f>'Input - Pasture Beef'!I52</f>
        <v>100</v>
      </c>
      <c r="AA125" s="51">
        <f>'Input - Pasture Beef'!J52</f>
        <v>100</v>
      </c>
      <c r="AB125" s="51">
        <f>'Input - Pasture Beef'!K52</f>
        <v>100</v>
      </c>
      <c r="AC125" s="51">
        <f>'Input - Pasture Beef'!L52</f>
        <v>100</v>
      </c>
      <c r="AD125" s="51">
        <f>'Input - Pasture Beef'!M52</f>
        <v>100</v>
      </c>
      <c r="AE125" s="51">
        <f>'Input - Pasture Beef'!N52</f>
        <v>100</v>
      </c>
      <c r="AF125" s="2"/>
      <c r="AH125" s="2"/>
    </row>
    <row r="126" spans="4:34" ht="20.100000000000001" customHeight="1" x14ac:dyDescent="0.25">
      <c r="D126" s="51" t="s">
        <v>136</v>
      </c>
      <c r="E126" s="51" cm="1">
        <f t="array" ref="E126">EntericMethane_PastureBeef_Equations.VEERG_3_2_1_1__1_TotalAnnualMethaneFromEntericFermentation(E118,E88,E110)</f>
        <v>0.96954028006048887</v>
      </c>
      <c r="F126" s="51" cm="1">
        <f t="array" ref="F126">EntericMethane_PastureBeef_Equations.VEERG_3_2_1_1__1_TotalAnnualMethaneFromEntericFermentation(F118,F88,F110)</f>
        <v>1.8841261585848745</v>
      </c>
      <c r="G126" s="51" cm="1">
        <f t="array" ref="G126">EntericMethane_PastureBeef_Equations.VEERG_3_2_1_1__1_TotalAnnualMethaneFromEntericFermentation(G118,G88,G110)</f>
        <v>0.79383844115971891</v>
      </c>
      <c r="H126" s="51" cm="1">
        <f t="array" ref="H126">EntericMethane_PastureBeef_Equations.VEERG_3_2_1_1__1_TotalAnnualMethaneFromEntericFermentation(H118,H88,H110)</f>
        <v>1.422005966315995</v>
      </c>
      <c r="I126" s="51" cm="1">
        <f t="array" ref="I126">EntericMethane_PastureBeef_Equations.VEERG_3_2_1_1__1_TotalAnnualMethaneFromEntericFermentation(I118,I88,I110)</f>
        <v>1.7274130470284719</v>
      </c>
      <c r="J126" s="51" cm="1">
        <f t="array" ref="J126">EntericMethane_PastureBeef_Equations.VEERG_3_2_1_1__1_TotalAnnualMethaneFromEntericFermentation(J118,J88,J110)</f>
        <v>1.7274130470284719</v>
      </c>
      <c r="K126" s="51" cm="1">
        <f t="array" ref="K126">EntericMethane_PastureBeef_Equations.VEERG_3_2_1_1__1_TotalAnnualMethaneFromEntericFermentation(K118,K88,K110)</f>
        <v>0.8523110452909386</v>
      </c>
      <c r="L126" s="51" cm="1">
        <f t="array" ref="L126">EntericMethane_PastureBeef_Equations.VEERG_3_2_1_1__1_TotalAnnualMethaneFromEntericFermentation(L118,L88,L110)</f>
        <v>1.2976289206207199</v>
      </c>
      <c r="M126" s="51" cm="1">
        <f t="array" ref="M126">EntericMethane_PastureBeef_Equations.VEERG_3_2_1_1__1_TotalAnnualMethaneFromEntericFermentation(M118,M88,M110)</f>
        <v>1.2976289206207199</v>
      </c>
      <c r="N126" s="51" cm="1">
        <f t="array" ref="N126">EntericMethane_PastureBeef_Equations.VEERG_3_2_1_1__1_TotalAnnualMethaneFromEntericFermentation(N118,N88,N110)</f>
        <v>1.2976289206207199</v>
      </c>
      <c r="O126" s="2"/>
      <c r="Q126" s="2"/>
      <c r="U126" s="51" t="str">
        <f>TEXT(EDATE('Input - Site'!$E$12,9), "mmmm yyyy")</f>
        <v>October 2025</v>
      </c>
      <c r="V126" s="51">
        <f>'Input - Pasture Beef'!E53</f>
        <v>100</v>
      </c>
      <c r="W126" s="51">
        <f>'Input - Pasture Beef'!F53</f>
        <v>100</v>
      </c>
      <c r="X126" s="51">
        <f>'Input - Pasture Beef'!G53</f>
        <v>100</v>
      </c>
      <c r="Y126" s="51">
        <f>'Input - Pasture Beef'!H53</f>
        <v>100</v>
      </c>
      <c r="Z126" s="51">
        <f>'Input - Pasture Beef'!I53</f>
        <v>100</v>
      </c>
      <c r="AA126" s="51">
        <f>'Input - Pasture Beef'!J53</f>
        <v>100</v>
      </c>
      <c r="AB126" s="51">
        <f>'Input - Pasture Beef'!K53</f>
        <v>100</v>
      </c>
      <c r="AC126" s="51">
        <f>'Input - Pasture Beef'!L53</f>
        <v>100</v>
      </c>
      <c r="AD126" s="51">
        <f>'Input - Pasture Beef'!M53</f>
        <v>100</v>
      </c>
      <c r="AE126" s="51">
        <f>'Input - Pasture Beef'!N53</f>
        <v>100</v>
      </c>
      <c r="AF126" s="2"/>
      <c r="AH126" s="2"/>
    </row>
    <row r="127" spans="4:34" ht="20.100000000000001" customHeight="1" x14ac:dyDescent="0.25">
      <c r="Q127" s="2"/>
      <c r="U127" s="51" t="str">
        <f>TEXT(EDATE('Input - Site'!$E$12,10), "mmmm yyyy")</f>
        <v>November 2025</v>
      </c>
      <c r="V127" s="51">
        <f>'Input - Pasture Beef'!E54</f>
        <v>100</v>
      </c>
      <c r="W127" s="51">
        <f>'Input - Pasture Beef'!F54</f>
        <v>100</v>
      </c>
      <c r="X127" s="51">
        <f>'Input - Pasture Beef'!G54</f>
        <v>100</v>
      </c>
      <c r="Y127" s="51">
        <f>'Input - Pasture Beef'!H54</f>
        <v>100</v>
      </c>
      <c r="Z127" s="51">
        <f>'Input - Pasture Beef'!I54</f>
        <v>100</v>
      </c>
      <c r="AA127" s="51">
        <f>'Input - Pasture Beef'!J54</f>
        <v>100</v>
      </c>
      <c r="AB127" s="51">
        <f>'Input - Pasture Beef'!K54</f>
        <v>100</v>
      </c>
      <c r="AC127" s="51">
        <f>'Input - Pasture Beef'!L54</f>
        <v>100</v>
      </c>
      <c r="AD127" s="51">
        <f>'Input - Pasture Beef'!M54</f>
        <v>100</v>
      </c>
      <c r="AE127" s="51">
        <f>'Input - Pasture Beef'!N54</f>
        <v>100</v>
      </c>
      <c r="AF127" s="2"/>
    </row>
    <row r="128" spans="4:34" ht="20.100000000000001" customHeight="1" x14ac:dyDescent="0.25">
      <c r="D128" s="97" t="s">
        <v>230</v>
      </c>
      <c r="E128" s="98">
        <f>SUM(E123:N126)</f>
        <v>55.678061774650885</v>
      </c>
      <c r="F128" s="99" t="str">
        <f>$E$98</f>
        <v>t CH4</v>
      </c>
      <c r="Q128" s="2"/>
      <c r="U128" s="51" t="str">
        <f>TEXT(EDATE('Input - Site'!$E$12,11), "mmmm yyyy")</f>
        <v>December 2025</v>
      </c>
      <c r="V128" s="51">
        <f>'Input - Pasture Beef'!E55</f>
        <v>100</v>
      </c>
      <c r="W128" s="51">
        <f>'Input - Pasture Beef'!F55</f>
        <v>100</v>
      </c>
      <c r="X128" s="51">
        <f>'Input - Pasture Beef'!G55</f>
        <v>100</v>
      </c>
      <c r="Y128" s="51">
        <f>'Input - Pasture Beef'!H55</f>
        <v>100</v>
      </c>
      <c r="Z128" s="51">
        <f>'Input - Pasture Beef'!I55</f>
        <v>100</v>
      </c>
      <c r="AA128" s="51">
        <f>'Input - Pasture Beef'!J55</f>
        <v>100</v>
      </c>
      <c r="AB128" s="51">
        <f>'Input - Pasture Beef'!K55</f>
        <v>100</v>
      </c>
      <c r="AC128" s="51">
        <f>'Input - Pasture Beef'!L55</f>
        <v>100</v>
      </c>
      <c r="AD128" s="51">
        <f>'Input - Pasture Beef'!M55</f>
        <v>100</v>
      </c>
      <c r="AE128" s="51">
        <f>'Input - Pasture Beef'!N55</f>
        <v>100</v>
      </c>
      <c r="AF128" s="2"/>
    </row>
    <row r="129" spans="4:34" ht="20.100000000000001" customHeight="1" x14ac:dyDescent="0.25">
      <c r="Q129" s="2"/>
    </row>
    <row r="130" spans="4:34" ht="20.100000000000001" customHeight="1" x14ac:dyDescent="0.25">
      <c r="D130" s="56" t="str" cm="1">
        <f t="array" ref="D130:E131">Common_Equations.Common_ConvertCH4ToCO2e_Arguments()</f>
        <v>ECH4</v>
      </c>
      <c r="E130" s="57" t="str">
        <v>Methane emissions (t CH4)</v>
      </c>
      <c r="F130" s="100"/>
      <c r="G130" s="51">
        <f>E128</f>
        <v>55.678061774650885</v>
      </c>
      <c r="Q130" s="2"/>
      <c r="U130" s="96" t="s">
        <v>116</v>
      </c>
    </row>
    <row r="131" spans="4:34" ht="20.100000000000001" customHeight="1" x14ac:dyDescent="0.25">
      <c r="D131" s="56" t="str">
        <v>GWPCH4</v>
      </c>
      <c r="E131" s="57" t="str">
        <v>Global warming potential for methane (t CO2-e / t CH4)</v>
      </c>
      <c r="F131" s="100"/>
      <c r="G131" s="51">
        <f>Common_InputFunctions.Utility_LookupValueInTableNumber("CH4",Table_GWPData[Gas],Table_GWPData[CO2-e factor])</f>
        <v>28</v>
      </c>
      <c r="U131" s="95" t="s">
        <v>228</v>
      </c>
      <c r="AH131" s="2"/>
    </row>
    <row r="132" spans="4:34" ht="20.100000000000001" customHeight="1" x14ac:dyDescent="0.25">
      <c r="U132" s="50" t="s">
        <v>103</v>
      </c>
      <c r="V132" s="115" t="s">
        <v>102</v>
      </c>
      <c r="W132" s="115" t="s">
        <v>101</v>
      </c>
      <c r="X132" s="115" t="s">
        <v>125</v>
      </c>
      <c r="Y132" s="115" t="s">
        <v>126</v>
      </c>
      <c r="Z132" s="115" t="s">
        <v>127</v>
      </c>
      <c r="AA132" s="115" t="s">
        <v>128</v>
      </c>
      <c r="AB132" s="115" t="s">
        <v>129</v>
      </c>
      <c r="AC132" s="115" t="s">
        <v>130</v>
      </c>
      <c r="AD132" s="115" t="s">
        <v>131</v>
      </c>
      <c r="AE132" s="115" t="s">
        <v>132</v>
      </c>
      <c r="AF132" s="2"/>
      <c r="AH132" s="2"/>
    </row>
    <row r="133" spans="4:34" ht="20.100000000000001" customHeight="1" x14ac:dyDescent="0.25">
      <c r="D133" s="44" t="s">
        <v>81</v>
      </c>
      <c r="E133" s="44" cm="1">
        <f t="array" ref="E133">Common_Equations.Common_ConvertN2OToCO2e(G130,G131)</f>
        <v>1558.9857296902248</v>
      </c>
      <c r="F133" s="101" t="str" cm="1">
        <f t="array" ref="F133">Common_Equations.Common_ConvertN2OToCO2e_Unit()</f>
        <v>t CO2e</v>
      </c>
      <c r="U133" s="51" t="str">
        <f>TEXT('Input - Site'!$E$12, "mmmm yyyy")</f>
        <v>January 2025</v>
      </c>
      <c r="V133" s="51">
        <f>'Input - Pasture Beef'!E22</f>
        <v>31</v>
      </c>
      <c r="W133" s="51">
        <f>'Input - Pasture Beef'!F22</f>
        <v>31</v>
      </c>
      <c r="X133" s="51">
        <f>'Input - Pasture Beef'!G22</f>
        <v>31</v>
      </c>
      <c r="Y133" s="51">
        <f>'Input - Pasture Beef'!H22</f>
        <v>31</v>
      </c>
      <c r="Z133" s="51">
        <f>'Input - Pasture Beef'!I22</f>
        <v>31</v>
      </c>
      <c r="AA133" s="51">
        <f>'Input - Pasture Beef'!J22</f>
        <v>31</v>
      </c>
      <c r="AB133" s="51">
        <f>'Input - Pasture Beef'!K22</f>
        <v>31</v>
      </c>
      <c r="AC133" s="51">
        <f>'Input - Pasture Beef'!L22</f>
        <v>31</v>
      </c>
      <c r="AD133" s="51">
        <f>'Input - Pasture Beef'!M22</f>
        <v>31</v>
      </c>
      <c r="AE133" s="51">
        <f>'Input - Pasture Beef'!N22</f>
        <v>31</v>
      </c>
      <c r="AF133" s="2" t="str">
        <f>$G$100</f>
        <v>days</v>
      </c>
      <c r="AH133" s="2"/>
    </row>
    <row r="134" spans="4:34" ht="20.100000000000001" customHeight="1" x14ac:dyDescent="0.25">
      <c r="U134" s="51" t="str">
        <f>TEXT(EDATE('Input - Site'!$E$12,1), "mmmm yyyy")</f>
        <v>February 2025</v>
      </c>
      <c r="V134" s="51">
        <f>'Input - Pasture Beef'!E23</f>
        <v>29</v>
      </c>
      <c r="W134" s="51">
        <f>'Input - Pasture Beef'!F23</f>
        <v>29</v>
      </c>
      <c r="X134" s="51">
        <f>'Input - Pasture Beef'!G23</f>
        <v>29</v>
      </c>
      <c r="Y134" s="51">
        <f>'Input - Pasture Beef'!H23</f>
        <v>29</v>
      </c>
      <c r="Z134" s="51">
        <f>'Input - Pasture Beef'!I23</f>
        <v>29</v>
      </c>
      <c r="AA134" s="51">
        <f>'Input - Pasture Beef'!J23</f>
        <v>29</v>
      </c>
      <c r="AB134" s="51">
        <f>'Input - Pasture Beef'!K23</f>
        <v>29</v>
      </c>
      <c r="AC134" s="51">
        <f>'Input - Pasture Beef'!L23</f>
        <v>29</v>
      </c>
      <c r="AD134" s="51">
        <f>'Input - Pasture Beef'!M23</f>
        <v>29</v>
      </c>
      <c r="AE134" s="51">
        <f>'Input - Pasture Beef'!N23</f>
        <v>29</v>
      </c>
      <c r="AF134" s="2"/>
      <c r="AH134" s="2"/>
    </row>
    <row r="135" spans="4:34" ht="20.100000000000001" customHeight="1" x14ac:dyDescent="0.25">
      <c r="U135" s="51" t="str">
        <f>TEXT(EDATE('Input - Site'!$E$12,2), "mmmm yyyy")</f>
        <v>March 2025</v>
      </c>
      <c r="V135" s="51">
        <f>'Input - Pasture Beef'!E24</f>
        <v>31</v>
      </c>
      <c r="W135" s="51">
        <f>'Input - Pasture Beef'!F24</f>
        <v>31</v>
      </c>
      <c r="X135" s="51">
        <f>'Input - Pasture Beef'!G24</f>
        <v>31</v>
      </c>
      <c r="Y135" s="51">
        <f>'Input - Pasture Beef'!H24</f>
        <v>31</v>
      </c>
      <c r="Z135" s="51">
        <f>'Input - Pasture Beef'!I24</f>
        <v>31</v>
      </c>
      <c r="AA135" s="51">
        <f>'Input - Pasture Beef'!J24</f>
        <v>31</v>
      </c>
      <c r="AB135" s="51">
        <f>'Input - Pasture Beef'!K24</f>
        <v>31</v>
      </c>
      <c r="AC135" s="51">
        <f>'Input - Pasture Beef'!L24</f>
        <v>31</v>
      </c>
      <c r="AD135" s="51">
        <f>'Input - Pasture Beef'!M24</f>
        <v>31</v>
      </c>
      <c r="AE135" s="51">
        <f>'Input - Pasture Beef'!N24</f>
        <v>31</v>
      </c>
      <c r="AF135" s="2"/>
      <c r="AH135" s="2"/>
    </row>
    <row r="136" spans="4:34" ht="20.100000000000001" customHeight="1" x14ac:dyDescent="0.25">
      <c r="U136" s="51" t="str">
        <f>TEXT(EDATE('Input - Site'!$E$12,3), "mmmm yyyy")</f>
        <v>April 2025</v>
      </c>
      <c r="V136" s="51">
        <f>'Input - Pasture Beef'!E25</f>
        <v>30</v>
      </c>
      <c r="W136" s="51">
        <f>'Input - Pasture Beef'!F25</f>
        <v>30</v>
      </c>
      <c r="X136" s="51">
        <f>'Input - Pasture Beef'!G25</f>
        <v>30</v>
      </c>
      <c r="Y136" s="51">
        <f>'Input - Pasture Beef'!H25</f>
        <v>30</v>
      </c>
      <c r="Z136" s="51">
        <f>'Input - Pasture Beef'!I25</f>
        <v>30</v>
      </c>
      <c r="AA136" s="51">
        <f>'Input - Pasture Beef'!J25</f>
        <v>30</v>
      </c>
      <c r="AB136" s="51">
        <f>'Input - Pasture Beef'!K25</f>
        <v>30</v>
      </c>
      <c r="AC136" s="51">
        <f>'Input - Pasture Beef'!L25</f>
        <v>30</v>
      </c>
      <c r="AD136" s="51">
        <f>'Input - Pasture Beef'!M25</f>
        <v>30</v>
      </c>
      <c r="AE136" s="51">
        <f>'Input - Pasture Beef'!N25</f>
        <v>30</v>
      </c>
      <c r="AF136" s="2"/>
      <c r="AH136" s="2"/>
    </row>
    <row r="137" spans="4:34" ht="20.100000000000001" customHeight="1" x14ac:dyDescent="0.25">
      <c r="U137" s="51" t="str">
        <f>TEXT(EDATE('Input - Site'!$E$12,4), "mmmm yyyy")</f>
        <v>May 2025</v>
      </c>
      <c r="V137" s="51">
        <f>'Input - Pasture Beef'!E26</f>
        <v>31</v>
      </c>
      <c r="W137" s="51">
        <f>'Input - Pasture Beef'!F26</f>
        <v>31</v>
      </c>
      <c r="X137" s="51">
        <f>'Input - Pasture Beef'!G26</f>
        <v>31</v>
      </c>
      <c r="Y137" s="51">
        <f>'Input - Pasture Beef'!H26</f>
        <v>31</v>
      </c>
      <c r="Z137" s="51">
        <f>'Input - Pasture Beef'!I26</f>
        <v>31</v>
      </c>
      <c r="AA137" s="51">
        <f>'Input - Pasture Beef'!J26</f>
        <v>31</v>
      </c>
      <c r="AB137" s="51">
        <f>'Input - Pasture Beef'!K26</f>
        <v>31</v>
      </c>
      <c r="AC137" s="51">
        <f>'Input - Pasture Beef'!L26</f>
        <v>31</v>
      </c>
      <c r="AD137" s="51">
        <f>'Input - Pasture Beef'!M26</f>
        <v>31</v>
      </c>
      <c r="AE137" s="51">
        <f>'Input - Pasture Beef'!N26</f>
        <v>31</v>
      </c>
      <c r="AF137" s="2"/>
      <c r="AH137" s="2"/>
    </row>
    <row r="138" spans="4:34" ht="20.100000000000001" customHeight="1" x14ac:dyDescent="0.25">
      <c r="U138" s="51" t="str">
        <f>TEXT(EDATE('Input - Site'!$E$12,5), "mmmm yyyy")</f>
        <v>June 2025</v>
      </c>
      <c r="V138" s="51">
        <f>'Input - Pasture Beef'!E27</f>
        <v>30</v>
      </c>
      <c r="W138" s="51">
        <f>'Input - Pasture Beef'!F27</f>
        <v>30</v>
      </c>
      <c r="X138" s="51">
        <f>'Input - Pasture Beef'!G27</f>
        <v>30</v>
      </c>
      <c r="Y138" s="51">
        <f>'Input - Pasture Beef'!H27</f>
        <v>30</v>
      </c>
      <c r="Z138" s="51">
        <f>'Input - Pasture Beef'!I27</f>
        <v>30</v>
      </c>
      <c r="AA138" s="51">
        <f>'Input - Pasture Beef'!J27</f>
        <v>30</v>
      </c>
      <c r="AB138" s="51">
        <f>'Input - Pasture Beef'!K27</f>
        <v>30</v>
      </c>
      <c r="AC138" s="51">
        <f>'Input - Pasture Beef'!L27</f>
        <v>30</v>
      </c>
      <c r="AD138" s="51">
        <f>'Input - Pasture Beef'!M27</f>
        <v>30</v>
      </c>
      <c r="AE138" s="51">
        <f>'Input - Pasture Beef'!N27</f>
        <v>30</v>
      </c>
      <c r="AF138" s="2"/>
      <c r="AH138" s="2"/>
    </row>
    <row r="139" spans="4:34" ht="20.100000000000001" customHeight="1" x14ac:dyDescent="0.25">
      <c r="U139" s="51" t="str">
        <f>TEXT(EDATE('Input - Site'!$E$12,6), "mmmm yyyy")</f>
        <v>July 2025</v>
      </c>
      <c r="V139" s="51">
        <f>'Input - Pasture Beef'!E28</f>
        <v>31</v>
      </c>
      <c r="W139" s="51">
        <f>'Input - Pasture Beef'!F28</f>
        <v>31</v>
      </c>
      <c r="X139" s="51">
        <f>'Input - Pasture Beef'!G28</f>
        <v>31</v>
      </c>
      <c r="Y139" s="51">
        <f>'Input - Pasture Beef'!H28</f>
        <v>31</v>
      </c>
      <c r="Z139" s="51">
        <f>'Input - Pasture Beef'!I28</f>
        <v>31</v>
      </c>
      <c r="AA139" s="51">
        <f>'Input - Pasture Beef'!J28</f>
        <v>31</v>
      </c>
      <c r="AB139" s="51">
        <f>'Input - Pasture Beef'!K28</f>
        <v>31</v>
      </c>
      <c r="AC139" s="51">
        <f>'Input - Pasture Beef'!L28</f>
        <v>31</v>
      </c>
      <c r="AD139" s="51">
        <f>'Input - Pasture Beef'!M28</f>
        <v>31</v>
      </c>
      <c r="AE139" s="51">
        <f>'Input - Pasture Beef'!N28</f>
        <v>31</v>
      </c>
      <c r="AF139" s="2"/>
      <c r="AH139" s="2"/>
    </row>
    <row r="140" spans="4:34" ht="20.100000000000001" customHeight="1" x14ac:dyDescent="0.25">
      <c r="U140" s="51" t="str">
        <f>TEXT(EDATE('Input - Site'!$E$12,7), "mmmm yyyy")</f>
        <v>August 2025</v>
      </c>
      <c r="V140" s="51">
        <f>'Input - Pasture Beef'!E29</f>
        <v>31</v>
      </c>
      <c r="W140" s="51">
        <f>'Input - Pasture Beef'!F29</f>
        <v>31</v>
      </c>
      <c r="X140" s="51">
        <f>'Input - Pasture Beef'!G29</f>
        <v>31</v>
      </c>
      <c r="Y140" s="51">
        <f>'Input - Pasture Beef'!H29</f>
        <v>31</v>
      </c>
      <c r="Z140" s="51">
        <f>'Input - Pasture Beef'!I29</f>
        <v>31</v>
      </c>
      <c r="AA140" s="51">
        <f>'Input - Pasture Beef'!J29</f>
        <v>31</v>
      </c>
      <c r="AB140" s="51">
        <f>'Input - Pasture Beef'!K29</f>
        <v>31</v>
      </c>
      <c r="AC140" s="51">
        <f>'Input - Pasture Beef'!L29</f>
        <v>31</v>
      </c>
      <c r="AD140" s="51">
        <f>'Input - Pasture Beef'!M29</f>
        <v>31</v>
      </c>
      <c r="AE140" s="51">
        <f>'Input - Pasture Beef'!N29</f>
        <v>31</v>
      </c>
      <c r="AF140" s="2"/>
      <c r="AH140" s="2"/>
    </row>
    <row r="141" spans="4:34" ht="20.100000000000001" customHeight="1" x14ac:dyDescent="0.25">
      <c r="U141" s="51" t="str">
        <f>TEXT(EDATE('Input - Site'!$E$12,8), "mmmm yyyy")</f>
        <v>September 2025</v>
      </c>
      <c r="V141" s="51">
        <f>'Input - Pasture Beef'!E30</f>
        <v>30</v>
      </c>
      <c r="W141" s="51">
        <f>'Input - Pasture Beef'!F30</f>
        <v>30</v>
      </c>
      <c r="X141" s="51">
        <f>'Input - Pasture Beef'!G30</f>
        <v>30</v>
      </c>
      <c r="Y141" s="51">
        <f>'Input - Pasture Beef'!H30</f>
        <v>30</v>
      </c>
      <c r="Z141" s="51">
        <f>'Input - Pasture Beef'!I30</f>
        <v>30</v>
      </c>
      <c r="AA141" s="51">
        <f>'Input - Pasture Beef'!J30</f>
        <v>30</v>
      </c>
      <c r="AB141" s="51">
        <f>'Input - Pasture Beef'!K30</f>
        <v>30</v>
      </c>
      <c r="AC141" s="51">
        <f>'Input - Pasture Beef'!L30</f>
        <v>30</v>
      </c>
      <c r="AD141" s="51">
        <f>'Input - Pasture Beef'!M30</f>
        <v>30</v>
      </c>
      <c r="AE141" s="51">
        <f>'Input - Pasture Beef'!N30</f>
        <v>30</v>
      </c>
      <c r="AF141" s="2"/>
      <c r="AH141" s="2"/>
    </row>
    <row r="142" spans="4:34" ht="20.100000000000001" customHeight="1" x14ac:dyDescent="0.25">
      <c r="U142" s="51" t="str">
        <f>TEXT(EDATE('Input - Site'!$E$12,9), "mmmm yyyy")</f>
        <v>October 2025</v>
      </c>
      <c r="V142" s="51">
        <f>'Input - Pasture Beef'!E31</f>
        <v>31</v>
      </c>
      <c r="W142" s="51">
        <f>'Input - Pasture Beef'!F31</f>
        <v>31</v>
      </c>
      <c r="X142" s="51">
        <f>'Input - Pasture Beef'!G31</f>
        <v>31</v>
      </c>
      <c r="Y142" s="51">
        <f>'Input - Pasture Beef'!H31</f>
        <v>31</v>
      </c>
      <c r="Z142" s="51">
        <f>'Input - Pasture Beef'!I31</f>
        <v>31</v>
      </c>
      <c r="AA142" s="51">
        <f>'Input - Pasture Beef'!J31</f>
        <v>31</v>
      </c>
      <c r="AB142" s="51">
        <f>'Input - Pasture Beef'!K31</f>
        <v>31</v>
      </c>
      <c r="AC142" s="51">
        <f>'Input - Pasture Beef'!L31</f>
        <v>31</v>
      </c>
      <c r="AD142" s="51">
        <f>'Input - Pasture Beef'!M31</f>
        <v>31</v>
      </c>
      <c r="AE142" s="51">
        <f>'Input - Pasture Beef'!N31</f>
        <v>31</v>
      </c>
      <c r="AF142" s="2"/>
      <c r="AH142" s="2"/>
    </row>
    <row r="143" spans="4:34" ht="20.100000000000001" customHeight="1" x14ac:dyDescent="0.25">
      <c r="U143" s="51" t="str">
        <f>TEXT(EDATE('Input - Site'!$E$12,10), "mmmm yyyy")</f>
        <v>November 2025</v>
      </c>
      <c r="V143" s="51">
        <f>'Input - Pasture Beef'!E32</f>
        <v>30</v>
      </c>
      <c r="W143" s="51">
        <f>'Input - Pasture Beef'!F32</f>
        <v>30</v>
      </c>
      <c r="X143" s="51">
        <f>'Input - Pasture Beef'!G32</f>
        <v>30</v>
      </c>
      <c r="Y143" s="51">
        <f>'Input - Pasture Beef'!H32</f>
        <v>30</v>
      </c>
      <c r="Z143" s="51">
        <f>'Input - Pasture Beef'!I32</f>
        <v>30</v>
      </c>
      <c r="AA143" s="51">
        <f>'Input - Pasture Beef'!J32</f>
        <v>30</v>
      </c>
      <c r="AB143" s="51">
        <f>'Input - Pasture Beef'!K32</f>
        <v>30</v>
      </c>
      <c r="AC143" s="51">
        <f>'Input - Pasture Beef'!L32</f>
        <v>30</v>
      </c>
      <c r="AD143" s="51">
        <f>'Input - Pasture Beef'!M32</f>
        <v>30</v>
      </c>
      <c r="AE143" s="51">
        <f>'Input - Pasture Beef'!N32</f>
        <v>30</v>
      </c>
      <c r="AF143" s="2"/>
    </row>
    <row r="144" spans="4:34" ht="20.100000000000001" customHeight="1" x14ac:dyDescent="0.25">
      <c r="U144" s="51" t="str">
        <f>TEXT(EDATE('Input - Site'!$E$12,11), "mmmm yyyy")</f>
        <v>December 2025</v>
      </c>
      <c r="V144" s="51">
        <f>'Input - Pasture Beef'!E33</f>
        <v>31</v>
      </c>
      <c r="W144" s="51">
        <f>'Input - Pasture Beef'!F33</f>
        <v>31</v>
      </c>
      <c r="X144" s="51">
        <f>'Input - Pasture Beef'!G33</f>
        <v>31</v>
      </c>
      <c r="Y144" s="51">
        <f>'Input - Pasture Beef'!H33</f>
        <v>31</v>
      </c>
      <c r="Z144" s="51">
        <f>'Input - Pasture Beef'!I33</f>
        <v>31</v>
      </c>
      <c r="AA144" s="51">
        <f>'Input - Pasture Beef'!J33</f>
        <v>31</v>
      </c>
      <c r="AB144" s="51">
        <f>'Input - Pasture Beef'!K33</f>
        <v>31</v>
      </c>
      <c r="AC144" s="51">
        <f>'Input - Pasture Beef'!L33</f>
        <v>31</v>
      </c>
      <c r="AD144" s="51">
        <f>'Input - Pasture Beef'!M33</f>
        <v>31</v>
      </c>
      <c r="AE144" s="51">
        <f>'Input - Pasture Beef'!N33</f>
        <v>31</v>
      </c>
      <c r="AF144" s="2"/>
    </row>
    <row r="145" spans="21:32" ht="20.100000000000001" customHeight="1" x14ac:dyDescent="0.25"/>
    <row r="146" spans="21:32" ht="20.100000000000001" customHeight="1" x14ac:dyDescent="0.25">
      <c r="U146" s="96" t="s">
        <v>260</v>
      </c>
    </row>
    <row r="147" spans="21:32" ht="20.100000000000001" customHeight="1" x14ac:dyDescent="0.25">
      <c r="U147" s="95" t="s">
        <v>261</v>
      </c>
    </row>
    <row r="148" spans="21:32" ht="20.100000000000001" customHeight="1" x14ac:dyDescent="0.25">
      <c r="U148" s="50" t="s">
        <v>103</v>
      </c>
      <c r="V148" s="50" t="s">
        <v>102</v>
      </c>
      <c r="W148" s="50" t="s">
        <v>101</v>
      </c>
      <c r="X148" s="50" t="s">
        <v>125</v>
      </c>
      <c r="Y148" s="50" t="s">
        <v>126</v>
      </c>
      <c r="Z148" s="50" t="s">
        <v>127</v>
      </c>
      <c r="AA148" s="50" t="s">
        <v>128</v>
      </c>
      <c r="AB148" s="50" t="s">
        <v>129</v>
      </c>
      <c r="AC148" s="50" t="s">
        <v>130</v>
      </c>
      <c r="AD148" s="50" t="s">
        <v>131</v>
      </c>
      <c r="AE148" s="50" t="s">
        <v>132</v>
      </c>
    </row>
    <row r="149" spans="21:32" ht="20.100000000000001" customHeight="1" x14ac:dyDescent="0.25">
      <c r="U149" s="51" t="str">
        <f t="shared" ref="U149:U160" si="3">U133</f>
        <v>January 2025</v>
      </c>
      <c r="V149" s="51" cm="1">
        <f t="array" ref="V149">EntericMethane_PastureBeef_Equations.VEERG_3_2_1_1__1_TotalAnnualMethaneFromEntericFermentation(V133,V97,V117)</f>
        <v>0.4586136012616317</v>
      </c>
      <c r="W149" s="51" cm="1">
        <f t="array" ref="W149">EntericMethane_PastureBeef_Equations.VEERG_3_2_1_1__1_TotalAnnualMethaneFromEntericFermentation(W133,W97,W117)</f>
        <v>0.60679113521101213</v>
      </c>
      <c r="X149" s="51" cm="1">
        <f t="array" ref="X149">EntericMethane_PastureBeef_Equations.VEERG_3_2_1_1__1_TotalAnnualMethaneFromEntericFermentation(X133,X97,X117)</f>
        <v>0.38568368207519993</v>
      </c>
      <c r="Y149" s="51" cm="1">
        <f t="array" ref="Y149">EntericMethane_PastureBeef_Equations.VEERG_3_2_1_1__1_TotalAnnualMethaneFromEntericFermentation(Y133,Y97,Y117)</f>
        <v>0.54293216249013199</v>
      </c>
      <c r="Z149" s="51" cm="1">
        <f t="array" ref="Z149">EntericMethane_PastureBeef_Equations.VEERG_3_2_1_1__1_TotalAnnualMethaneFromEntericFermentation(Z133,Z97,Z117)</f>
        <v>0.53756927319362025</v>
      </c>
      <c r="AA149" s="51" cm="1">
        <f t="array" ref="AA149">EntericMethane_PastureBeef_Equations.VEERG_3_2_1_1__1_TotalAnnualMethaneFromEntericFermentation(AA133,AA97,AA117)</f>
        <v>0.53756927319362025</v>
      </c>
      <c r="AB149" s="51" cm="1">
        <f t="array" ref="AB149">EntericMethane_PastureBeef_Equations.VEERG_3_2_1_1__1_TotalAnnualMethaneFromEntericFermentation(AB133,AB97,AB117)</f>
        <v>0.422728915885632</v>
      </c>
      <c r="AC149" s="51" cm="1">
        <f t="array" ref="AC149">EntericMethane_PastureBeef_Equations.VEERG_3_2_1_1__1_TotalAnnualMethaneFromEntericFermentation(AC133,AC97,AC117)</f>
        <v>0.47120481705053707</v>
      </c>
      <c r="AD149" s="51" cm="1">
        <f t="array" ref="AD149">EntericMethane_PastureBeef_Equations.VEERG_3_2_1_1__1_TotalAnnualMethaneFromEntericFermentation(AD133,AD97,AD117)</f>
        <v>0.47120481705053707</v>
      </c>
      <c r="AE149" s="51" cm="1">
        <f t="array" ref="AE149">EntericMethane_PastureBeef_Equations.VEERG_3_2_1_1__1_TotalAnnualMethaneFromEntericFermentation(AE133,AE97,AE117)</f>
        <v>0.47120481705053707</v>
      </c>
      <c r="AF149" s="2" t="str">
        <f>$E$98</f>
        <v>t CH4</v>
      </c>
    </row>
    <row r="150" spans="21:32" ht="20.100000000000001" customHeight="1" x14ac:dyDescent="0.25">
      <c r="U150" s="51" t="str">
        <f t="shared" si="3"/>
        <v>February 2025</v>
      </c>
      <c r="V150" s="51" cm="1">
        <f t="array" ref="V150">EntericMethane_PastureBeef_Equations.VEERG_3_2_1_1__1_TotalAnnualMethaneFromEntericFermentation(V134,V98,V118)</f>
        <v>0.42902562698668767</v>
      </c>
      <c r="W150" s="51" cm="1">
        <f t="array" ref="W150">EntericMethane_PastureBeef_Equations.VEERG_3_2_1_1__1_TotalAnnualMethaneFromEntericFermentation(W134,W98,W118)</f>
        <v>0.56764332003610807</v>
      </c>
      <c r="X150" s="51" cm="1">
        <f t="array" ref="X150">EntericMethane_PastureBeef_Equations.VEERG_3_2_1_1__1_TotalAnnualMethaneFromEntericFermentation(X134,X98,X118)</f>
        <v>0.36080086387679988</v>
      </c>
      <c r="Y150" s="51" cm="1">
        <f t="array" ref="Y150">EntericMethane_PastureBeef_Equations.VEERG_3_2_1_1__1_TotalAnnualMethaneFromEntericFermentation(Y134,Y98,Y118)</f>
        <v>0.47246909864107506</v>
      </c>
      <c r="Z150" s="51" cm="1">
        <f t="array" ref="Z150">EntericMethane_PastureBeef_Equations.VEERG_3_2_1_1__1_TotalAnnualMethaneFromEntericFermentation(Z134,Z98,Z118)</f>
        <v>0.46780221823300788</v>
      </c>
      <c r="AA150" s="51" cm="1">
        <f t="array" ref="AA150">EntericMethane_PastureBeef_Equations.VEERG_3_2_1_1__1_TotalAnnualMethaneFromEntericFermentation(AA134,AA98,AA118)</f>
        <v>0.46780221823300788</v>
      </c>
      <c r="AB150" s="51" cm="1">
        <f t="array" ref="AB150">EntericMethane_PastureBeef_Equations.VEERG_3_2_1_1__1_TotalAnnualMethaneFromEntericFermentation(AB134,AB98,AB118)</f>
        <v>0.39545608260268794</v>
      </c>
      <c r="AC150" s="51" cm="1">
        <f t="array" ref="AC150">EntericMethane_PastureBeef_Equations.VEERG_3_2_1_1__1_TotalAnnualMethaneFromEntericFermentation(AC134,AC98,AC118)</f>
        <v>0.4408045062730831</v>
      </c>
      <c r="AD150" s="51" cm="1">
        <f t="array" ref="AD150">EntericMethane_PastureBeef_Equations.VEERG_3_2_1_1__1_TotalAnnualMethaneFromEntericFermentation(AD134,AD98,AD118)</f>
        <v>0.4408045062730831</v>
      </c>
      <c r="AE150" s="51" cm="1">
        <f t="array" ref="AE150">EntericMethane_PastureBeef_Equations.VEERG_3_2_1_1__1_TotalAnnualMethaneFromEntericFermentation(AE134,AE98,AE118)</f>
        <v>0.4408045062730831</v>
      </c>
      <c r="AF150" s="2"/>
    </row>
    <row r="151" spans="21:32" ht="20.100000000000001" customHeight="1" x14ac:dyDescent="0.25">
      <c r="U151" s="51" t="str">
        <f t="shared" si="3"/>
        <v>March 2025</v>
      </c>
      <c r="V151" s="51" cm="1">
        <f t="array" ref="V151">EntericMethane_PastureBeef_Equations.VEERG_3_2_1_1__1_TotalAnnualMethaneFromEntericFermentation(V135,V99,V119)</f>
        <v>0.20837308068000002</v>
      </c>
      <c r="W151" s="51" cm="1">
        <f t="array" ref="W151">EntericMethane_PastureBeef_Equations.VEERG_3_2_1_1__1_TotalAnnualMethaneFromEntericFermentation(W135,W99,W119)</f>
        <v>0.60478007295067204</v>
      </c>
      <c r="X151" s="51" cm="1">
        <f t="array" ref="X151">EntericMethane_PastureBeef_Equations.VEERG_3_2_1_1__1_TotalAnnualMethaneFromEntericFermentation(X135,X99,X119)</f>
        <v>0.18996416521171203</v>
      </c>
      <c r="Y151" s="51" cm="1">
        <f t="array" ref="Y151">EntericMethane_PastureBeef_Equations.VEERG_3_2_1_1__1_TotalAnnualMethaneFromEntericFermentation(Y135,Y99,Y119)</f>
        <v>0.38231186811613199</v>
      </c>
      <c r="Z151" s="51" cm="1">
        <f t="array" ref="Z151">EntericMethane_PastureBeef_Equations.VEERG_3_2_1_1__1_TotalAnnualMethaneFromEntericFermentation(Z135,Z99,Z119)</f>
        <v>0.431093896244577</v>
      </c>
      <c r="AA151" s="51" cm="1">
        <f t="array" ref="AA151">EntericMethane_PastureBeef_Equations.VEERG_3_2_1_1__1_TotalAnnualMethaneFromEntericFermentation(AA135,AA99,AA119)</f>
        <v>0.431093896244577</v>
      </c>
      <c r="AB151" s="51" cm="1">
        <f t="array" ref="AB151">EntericMethane_PastureBeef_Equations.VEERG_3_2_1_1__1_TotalAnnualMethaneFromEntericFermentation(AB135,AB99,AB119)</f>
        <v>0.20837308068000002</v>
      </c>
      <c r="AC151" s="51" cm="1">
        <f t="array" ref="AC151">EntericMethane_PastureBeef_Equations.VEERG_3_2_1_1__1_TotalAnnualMethaneFromEntericFermentation(AC135,AC99,AC119)</f>
        <v>0.37830642176347212</v>
      </c>
      <c r="AD151" s="51" cm="1">
        <f t="array" ref="AD151">EntericMethane_PastureBeef_Equations.VEERG_3_2_1_1__1_TotalAnnualMethaneFromEntericFermentation(AD135,AD99,AD119)</f>
        <v>0.37830642176347212</v>
      </c>
      <c r="AE151" s="51" cm="1">
        <f t="array" ref="AE151">EntericMethane_PastureBeef_Equations.VEERG_3_2_1_1__1_TotalAnnualMethaneFromEntericFermentation(AE135,AE99,AE119)</f>
        <v>0.37830642176347212</v>
      </c>
      <c r="AF151" s="2"/>
    </row>
    <row r="152" spans="21:32" ht="20.100000000000001" customHeight="1" x14ac:dyDescent="0.25">
      <c r="U152" s="51" t="str">
        <f t="shared" si="3"/>
        <v>April 2025</v>
      </c>
      <c r="V152" s="51" cm="1">
        <f t="array" ref="V152">EntericMethane_PastureBeef_Equations.VEERG_3_2_1_1__1_TotalAnnualMethaneFromEntericFermentation(V136,V100,V120)</f>
        <v>0.2016513684</v>
      </c>
      <c r="W152" s="51" cm="1">
        <f t="array" ref="W152">EntericMethane_PastureBeef_Equations.VEERG_3_2_1_1__1_TotalAnnualMethaneFromEntericFermentation(W136,W100,W120)</f>
        <v>0.58527103833936001</v>
      </c>
      <c r="X152" s="51" cm="1">
        <f t="array" ref="X152">EntericMethane_PastureBeef_Equations.VEERG_3_2_1_1__1_TotalAnnualMethaneFromEntericFermentation(X136,X100,X120)</f>
        <v>0.18383628891456003</v>
      </c>
      <c r="Y152" s="51" cm="1">
        <f t="array" ref="Y152">EntericMethane_PastureBeef_Equations.VEERG_3_2_1_1__1_TotalAnnualMethaneFromEntericFermentation(Y136,Y100,Y120)</f>
        <v>0.36997922720915993</v>
      </c>
      <c r="Z152" s="51" cm="1">
        <f t="array" ref="Z152">EntericMethane_PastureBeef_Equations.VEERG_3_2_1_1__1_TotalAnnualMethaneFromEntericFermentation(Z136,Z100,Z120)</f>
        <v>0.41718764152700993</v>
      </c>
      <c r="AA152" s="51" cm="1">
        <f t="array" ref="AA152">EntericMethane_PastureBeef_Equations.VEERG_3_2_1_1__1_TotalAnnualMethaneFromEntericFermentation(AA136,AA100,AA120)</f>
        <v>0.41718764152700993</v>
      </c>
      <c r="AB152" s="51" cm="1">
        <f t="array" ref="AB152">EntericMethane_PastureBeef_Equations.VEERG_3_2_1_1__1_TotalAnnualMethaneFromEntericFermentation(AB136,AB100,AB120)</f>
        <v>0.2016513684</v>
      </c>
      <c r="AC152" s="51" cm="1">
        <f t="array" ref="AC152">EntericMethane_PastureBeef_Equations.VEERG_3_2_1_1__1_TotalAnnualMethaneFromEntericFermentation(AC136,AC100,AC120)</f>
        <v>0.36610298880336012</v>
      </c>
      <c r="AD152" s="51" cm="1">
        <f t="array" ref="AD152">EntericMethane_PastureBeef_Equations.VEERG_3_2_1_1__1_TotalAnnualMethaneFromEntericFermentation(AD136,AD100,AD120)</f>
        <v>0.36610298880336012</v>
      </c>
      <c r="AE152" s="51" cm="1">
        <f t="array" ref="AE152">EntericMethane_PastureBeef_Equations.VEERG_3_2_1_1__1_TotalAnnualMethaneFromEntericFermentation(AE136,AE100,AE120)</f>
        <v>0.36610298880336012</v>
      </c>
      <c r="AF152" s="2"/>
    </row>
    <row r="153" spans="21:32" ht="20.100000000000001" customHeight="1" x14ac:dyDescent="0.25">
      <c r="U153" s="51" t="str">
        <f t="shared" si="3"/>
        <v>May 2025</v>
      </c>
      <c r="V153" s="51" cm="1">
        <f t="array" ref="V153">EntericMethane_PastureBeef_Equations.VEERG_3_2_1_1__1_TotalAnnualMethaneFromEntericFermentation(V137,V101,V121)</f>
        <v>0.20837308068000002</v>
      </c>
      <c r="W153" s="51" cm="1">
        <f t="array" ref="W153">EntericMethane_PastureBeef_Equations.VEERG_3_2_1_1__1_TotalAnnualMethaneFromEntericFermentation(W137,W101,W121)</f>
        <v>0.60478007295067204</v>
      </c>
      <c r="X153" s="51" cm="1">
        <f t="array" ref="X153">EntericMethane_PastureBeef_Equations.VEERG_3_2_1_1__1_TotalAnnualMethaneFromEntericFermentation(X137,X101,X121)</f>
        <v>0.18996416521171203</v>
      </c>
      <c r="Y153" s="51" cm="1">
        <f t="array" ref="Y153">EntericMethane_PastureBeef_Equations.VEERG_3_2_1_1__1_TotalAnnualMethaneFromEntericFermentation(Y137,Y101,Y121)</f>
        <v>0.38231186811613199</v>
      </c>
      <c r="Z153" s="51" cm="1">
        <f t="array" ref="Z153">EntericMethane_PastureBeef_Equations.VEERG_3_2_1_1__1_TotalAnnualMethaneFromEntericFermentation(Z137,Z101,Z121)</f>
        <v>0.431093896244577</v>
      </c>
      <c r="AA153" s="51" cm="1">
        <f t="array" ref="AA153">EntericMethane_PastureBeef_Equations.VEERG_3_2_1_1__1_TotalAnnualMethaneFromEntericFermentation(AA137,AA101,AA121)</f>
        <v>0.431093896244577</v>
      </c>
      <c r="AB153" s="51" cm="1">
        <f t="array" ref="AB153">EntericMethane_PastureBeef_Equations.VEERG_3_2_1_1__1_TotalAnnualMethaneFromEntericFermentation(AB137,AB101,AB121)</f>
        <v>0.20837308068000002</v>
      </c>
      <c r="AC153" s="51" cm="1">
        <f t="array" ref="AC153">EntericMethane_PastureBeef_Equations.VEERG_3_2_1_1__1_TotalAnnualMethaneFromEntericFermentation(AC137,AC101,AC121)</f>
        <v>0.37830642176347212</v>
      </c>
      <c r="AD153" s="51" cm="1">
        <f t="array" ref="AD153">EntericMethane_PastureBeef_Equations.VEERG_3_2_1_1__1_TotalAnnualMethaneFromEntericFermentation(AD137,AD101,AD121)</f>
        <v>0.37830642176347212</v>
      </c>
      <c r="AE153" s="51" cm="1">
        <f t="array" ref="AE153">EntericMethane_PastureBeef_Equations.VEERG_3_2_1_1__1_TotalAnnualMethaneFromEntericFermentation(AE137,AE101,AE121)</f>
        <v>0.37830642176347212</v>
      </c>
      <c r="AF153" s="2"/>
    </row>
    <row r="154" spans="21:32" ht="20.100000000000001" customHeight="1" x14ac:dyDescent="0.25">
      <c r="U154" s="51" t="str">
        <f t="shared" si="3"/>
        <v>June 2025</v>
      </c>
      <c r="V154" s="51" cm="1">
        <f t="array" ref="V154">EntericMethane_PastureBeef_Equations.VEERG_3_2_1_1__1_TotalAnnualMethaneFromEntericFermentation(V138,V102,V122)</f>
        <v>0.31875296878700998</v>
      </c>
      <c r="W154" s="51" cm="1">
        <f t="array" ref="W154">EntericMethane_PastureBeef_Equations.VEERG_3_2_1_1__1_TotalAnnualMethaneFromEntericFermentation(W138,W102,W122)</f>
        <v>0.61943873706899988</v>
      </c>
      <c r="X154" s="51" cm="1">
        <f t="array" ref="X154">EntericMethane_PastureBeef_Equations.VEERG_3_2_1_1__1_TotalAnnualMethaneFromEntericFermentation(X138,X102,X122)</f>
        <v>0.26098798065525008</v>
      </c>
      <c r="Y154" s="51" cm="1">
        <f t="array" ref="Y154">EntericMethane_PastureBeef_Equations.VEERG_3_2_1_1__1_TotalAnnualMethaneFromEntericFermentation(Y138,Y102,Y122)</f>
        <v>0.36811717389261017</v>
      </c>
      <c r="Z154" s="51" cm="1">
        <f t="array" ref="Z154">EntericMethane_PastureBeef_Equations.VEERG_3_2_1_1__1_TotalAnnualMethaneFromEntericFermentation(Z138,Z102,Z122)</f>
        <v>0.49384053756620999</v>
      </c>
      <c r="AA154" s="51" cm="1">
        <f t="array" ref="AA154">EntericMethane_PastureBeef_Equations.VEERG_3_2_1_1__1_TotalAnnualMethaneFromEntericFermentation(AA138,AA102,AA122)</f>
        <v>0.49384053756620999</v>
      </c>
      <c r="AB154" s="51" cm="1">
        <f t="array" ref="AB154">EntericMethane_PastureBeef_Equations.VEERG_3_2_1_1__1_TotalAnnualMethaneFromEntericFermentation(AB138,AB102,AB122)</f>
        <v>0.28021185050660996</v>
      </c>
      <c r="AC154" s="51" cm="1">
        <f t="array" ref="AC154">EntericMethane_PastureBeef_Equations.VEERG_3_2_1_1__1_TotalAnnualMethaneFromEntericFermentation(AC138,AC102,AC122)</f>
        <v>0.42661772732735997</v>
      </c>
      <c r="AD154" s="51" cm="1">
        <f t="array" ref="AD154">EntericMethane_PastureBeef_Equations.VEERG_3_2_1_1__1_TotalAnnualMethaneFromEntericFermentation(AD138,AD102,AD122)</f>
        <v>0.42661772732735997</v>
      </c>
      <c r="AE154" s="51" cm="1">
        <f t="array" ref="AE154">EntericMethane_PastureBeef_Equations.VEERG_3_2_1_1__1_TotalAnnualMethaneFromEntericFermentation(AE138,AE102,AE122)</f>
        <v>0.42661772732735997</v>
      </c>
      <c r="AF154" s="2"/>
    </row>
    <row r="155" spans="21:32" ht="20.100000000000001" customHeight="1" x14ac:dyDescent="0.25">
      <c r="U155" s="51" t="str">
        <f t="shared" si="3"/>
        <v>July 2025</v>
      </c>
      <c r="V155" s="51" cm="1">
        <f t="array" ref="V155">EntericMethane_PastureBeef_Equations.VEERG_3_2_1_1__1_TotalAnnualMethaneFromEntericFermentation(V139,V103,V123)</f>
        <v>0.32937806774657702</v>
      </c>
      <c r="W155" s="51" cm="1">
        <f t="array" ref="W155">EntericMethane_PastureBeef_Equations.VEERG_3_2_1_1__1_TotalAnnualMethaneFromEntericFermentation(W139,W103,W123)</f>
        <v>0.64008669497129989</v>
      </c>
      <c r="X155" s="51" cm="1">
        <f t="array" ref="X155">EntericMethane_PastureBeef_Equations.VEERG_3_2_1_1__1_TotalAnnualMethaneFromEntericFermentation(X139,X103,X123)</f>
        <v>0.26968758001042503</v>
      </c>
      <c r="Y155" s="51" cm="1">
        <f t="array" ref="Y155">EntericMethane_PastureBeef_Equations.VEERG_3_2_1_1__1_TotalAnnualMethaneFromEntericFermentation(Y139,Y103,Y123)</f>
        <v>0.38038774635569711</v>
      </c>
      <c r="Z155" s="51" cm="1">
        <f t="array" ref="Z155">EntericMethane_PastureBeef_Equations.VEERG_3_2_1_1__1_TotalAnnualMethaneFromEntericFermentation(Z139,Z103,Z123)</f>
        <v>0.51030188881841698</v>
      </c>
      <c r="AA155" s="51" cm="1">
        <f t="array" ref="AA155">EntericMethane_PastureBeef_Equations.VEERG_3_2_1_1__1_TotalAnnualMethaneFromEntericFermentation(AA139,AA103,AA123)</f>
        <v>0.51030188881841698</v>
      </c>
      <c r="AB155" s="51" cm="1">
        <f t="array" ref="AB155">EntericMethane_PastureBeef_Equations.VEERG_3_2_1_1__1_TotalAnnualMethaneFromEntericFermentation(AB139,AB103,AB123)</f>
        <v>0.2895522455234969</v>
      </c>
      <c r="AC155" s="51" cm="1">
        <f t="array" ref="AC155">EntericMethane_PastureBeef_Equations.VEERG_3_2_1_1__1_TotalAnnualMethaneFromEntericFermentation(AC139,AC103,AC123)</f>
        <v>0.44083831823827196</v>
      </c>
      <c r="AD155" s="51" cm="1">
        <f t="array" ref="AD155">EntericMethane_PastureBeef_Equations.VEERG_3_2_1_1__1_TotalAnnualMethaneFromEntericFermentation(AD139,AD103,AD123)</f>
        <v>0.44083831823827196</v>
      </c>
      <c r="AE155" s="51" cm="1">
        <f t="array" ref="AE155">EntericMethane_PastureBeef_Equations.VEERG_3_2_1_1__1_TotalAnnualMethaneFromEntericFermentation(AE139,AE103,AE123)</f>
        <v>0.44083831823827196</v>
      </c>
      <c r="AF155" s="2"/>
    </row>
    <row r="156" spans="21:32" ht="20.100000000000001" customHeight="1" x14ac:dyDescent="0.25">
      <c r="U156" s="51" t="str">
        <f t="shared" si="3"/>
        <v>August 2025</v>
      </c>
      <c r="V156" s="51" cm="1">
        <f t="array" ref="V156">EntericMethane_PastureBeef_Equations.VEERG_3_2_1_1__1_TotalAnnualMethaneFromEntericFermentation(V140,V104,V124)</f>
        <v>0.32937806774657702</v>
      </c>
      <c r="W156" s="51" cm="1">
        <f t="array" ref="W156">EntericMethane_PastureBeef_Equations.VEERG_3_2_1_1__1_TotalAnnualMethaneFromEntericFermentation(W140,W104,W124)</f>
        <v>0.64008669497129989</v>
      </c>
      <c r="X156" s="51" cm="1">
        <f t="array" ref="X156">EntericMethane_PastureBeef_Equations.VEERG_3_2_1_1__1_TotalAnnualMethaneFromEntericFermentation(X140,X104,X124)</f>
        <v>0.26968758001042503</v>
      </c>
      <c r="Y156" s="51" cm="1">
        <f t="array" ref="Y156">EntericMethane_PastureBeef_Equations.VEERG_3_2_1_1__1_TotalAnnualMethaneFromEntericFermentation(Y140,Y104,Y124)</f>
        <v>0.465974989285729</v>
      </c>
      <c r="Z156" s="51" cm="1">
        <f t="array" ref="Z156">EntericMethane_PastureBeef_Equations.VEERG_3_2_1_1__1_TotalAnnualMethaneFromEntericFermentation(Z140,Z104,Z124)</f>
        <v>0.62511981380256076</v>
      </c>
      <c r="AA156" s="51" cm="1">
        <f t="array" ref="AA156">EntericMethane_PastureBeef_Equations.VEERG_3_2_1_1__1_TotalAnnualMethaneFromEntericFermentation(AA140,AA104,AA124)</f>
        <v>0.62511981380256076</v>
      </c>
      <c r="AB156" s="51" cm="1">
        <f t="array" ref="AB156">EntericMethane_PastureBeef_Equations.VEERG_3_2_1_1__1_TotalAnnualMethaneFromEntericFermentation(AB140,AB104,AB124)</f>
        <v>0.2895522455234969</v>
      </c>
      <c r="AC156" s="51" cm="1">
        <f t="array" ref="AC156">EntericMethane_PastureBeef_Equations.VEERG_3_2_1_1__1_TotalAnnualMethaneFromEntericFermentation(AC140,AC104,AC124)</f>
        <v>0.44083831823827196</v>
      </c>
      <c r="AD156" s="51" cm="1">
        <f t="array" ref="AD156">EntericMethane_PastureBeef_Equations.VEERG_3_2_1_1__1_TotalAnnualMethaneFromEntericFermentation(AD140,AD104,AD124)</f>
        <v>0.44083831823827196</v>
      </c>
      <c r="AE156" s="51" cm="1">
        <f t="array" ref="AE156">EntericMethane_PastureBeef_Equations.VEERG_3_2_1_1__1_TotalAnnualMethaneFromEntericFermentation(AE140,AE104,AE124)</f>
        <v>0.44083831823827196</v>
      </c>
      <c r="AF156" s="2"/>
    </row>
    <row r="157" spans="21:32" ht="20.100000000000001" customHeight="1" x14ac:dyDescent="0.25">
      <c r="U157" s="51" t="str">
        <f t="shared" si="3"/>
        <v>September 2025</v>
      </c>
      <c r="V157" s="51" cm="1">
        <f t="array" ref="V157">EntericMethane_PastureBeef_Equations.VEERG_3_2_1_1__1_TotalAnnualMethaneFromEntericFermentation(V141,V105,V125)</f>
        <v>0.53846318370816004</v>
      </c>
      <c r="W157" s="51" cm="1">
        <f t="array" ref="W157">EntericMethane_PastureBeef_Equations.VEERG_3_2_1_1__1_TotalAnnualMethaneFromEntericFermentation(W141,W105,W125)</f>
        <v>0.76050766552500015</v>
      </c>
      <c r="X157" s="51" cm="1">
        <f t="array" ref="X157">EntericMethane_PastureBeef_Equations.VEERG_3_2_1_1__1_TotalAnnualMethaneFromEntericFermentation(X141,X105,X125)</f>
        <v>0.41041649201661007</v>
      </c>
      <c r="Y157" s="51" cm="1">
        <f t="array" ref="Y157">EntericMethane_PastureBeef_Equations.VEERG_3_2_1_1__1_TotalAnnualMethaneFromEntericFermentation(Y141,Y105,Y125)</f>
        <v>0.65978317499035743</v>
      </c>
      <c r="Z157" s="51" cm="1">
        <f t="array" ref="Z157">EntericMethane_PastureBeef_Equations.VEERG_3_2_1_1__1_TotalAnnualMethaneFromEntericFermentation(Z141,Z105,Z125)</f>
        <v>0.73266121269810014</v>
      </c>
      <c r="AA157" s="51" cm="1">
        <f t="array" ref="AA157">EntericMethane_PastureBeef_Equations.VEERG_3_2_1_1__1_TotalAnnualMethaneFromEntericFermentation(AA141,AA105,AA125)</f>
        <v>0.73266121269810014</v>
      </c>
      <c r="AB157" s="51" cm="1">
        <f t="array" ref="AB157">EntericMethane_PastureBeef_Equations.VEERG_3_2_1_1__1_TotalAnnualMethaneFromEntericFermentation(AB141,AB105,AB125)</f>
        <v>0.47315580318899986</v>
      </c>
      <c r="AC157" s="51" cm="1">
        <f t="array" ref="AC157">EntericMethane_PastureBeef_Equations.VEERG_3_2_1_1__1_TotalAnnualMethaneFromEntericFermentation(AC141,AC105,AC125)</f>
        <v>0.60127877604275992</v>
      </c>
      <c r="AD157" s="51" cm="1">
        <f t="array" ref="AD157">EntericMethane_PastureBeef_Equations.VEERG_3_2_1_1__1_TotalAnnualMethaneFromEntericFermentation(AD141,AD105,AD125)</f>
        <v>0.60127877604275992</v>
      </c>
      <c r="AE157" s="51" cm="1">
        <f t="array" ref="AE157">EntericMethane_PastureBeef_Equations.VEERG_3_2_1_1__1_TotalAnnualMethaneFromEntericFermentation(AE141,AE105,AE125)</f>
        <v>0.60127877604275992</v>
      </c>
      <c r="AF157" s="2"/>
    </row>
    <row r="158" spans="21:32" ht="20.100000000000001" customHeight="1" x14ac:dyDescent="0.25">
      <c r="U158" s="51" t="str">
        <f t="shared" si="3"/>
        <v>October 2025</v>
      </c>
      <c r="V158" s="51" cm="1">
        <f t="array" ref="V158">EntericMethane_PastureBeef_Equations.VEERG_3_2_1_1__1_TotalAnnualMethaneFromEntericFermentation(V142,V106,V126)</f>
        <v>0.556411956498432</v>
      </c>
      <c r="W158" s="51" cm="1">
        <f t="array" ref="W158">EntericMethane_PastureBeef_Equations.VEERG_3_2_1_1__1_TotalAnnualMethaneFromEntericFermentation(W142,W106,W126)</f>
        <v>0.78585792104250007</v>
      </c>
      <c r="X158" s="51" cm="1">
        <f t="array" ref="X158">EntericMethane_PastureBeef_Equations.VEERG_3_2_1_1__1_TotalAnnualMethaneFromEntericFermentation(X142,X106,X126)</f>
        <v>0.42409704175049701</v>
      </c>
      <c r="Y158" s="51" cm="1">
        <f t="array" ref="Y158">EntericMethane_PastureBeef_Equations.VEERG_3_2_1_1__1_TotalAnnualMethaneFromEntericFermentation(Y142,Y106,Y126)</f>
        <v>0.68177594749003623</v>
      </c>
      <c r="Z158" s="51" cm="1">
        <f t="array" ref="Z158">EntericMethane_PastureBeef_Equations.VEERG_3_2_1_1__1_TotalAnnualMethaneFromEntericFermentation(Z142,Z106,Z126)</f>
        <v>0.75708325312137015</v>
      </c>
      <c r="AA158" s="51" cm="1">
        <f t="array" ref="AA158">EntericMethane_PastureBeef_Equations.VEERG_3_2_1_1__1_TotalAnnualMethaneFromEntericFermentation(AA142,AA106,AA126)</f>
        <v>0.75708325312137015</v>
      </c>
      <c r="AB158" s="51" cm="1">
        <f t="array" ref="AB158">EntericMethane_PastureBeef_Equations.VEERG_3_2_1_1__1_TotalAnnualMethaneFromEntericFermentation(AB142,AB106,AB126)</f>
        <v>0.4889276632952998</v>
      </c>
      <c r="AC158" s="51" cm="1">
        <f t="array" ref="AC158">EntericMethane_PastureBeef_Equations.VEERG_3_2_1_1__1_TotalAnnualMethaneFromEntericFermentation(AC142,AC106,AC126)</f>
        <v>0.62132140191085194</v>
      </c>
      <c r="AD158" s="51" cm="1">
        <f t="array" ref="AD158">EntericMethane_PastureBeef_Equations.VEERG_3_2_1_1__1_TotalAnnualMethaneFromEntericFermentation(AD142,AD106,AD126)</f>
        <v>0.62132140191085194</v>
      </c>
      <c r="AE158" s="51" cm="1">
        <f t="array" ref="AE158">EntericMethane_PastureBeef_Equations.VEERG_3_2_1_1__1_TotalAnnualMethaneFromEntericFermentation(AE142,AE106,AE126)</f>
        <v>0.62132140191085194</v>
      </c>
      <c r="AF158" s="2"/>
    </row>
    <row r="159" spans="21:32" ht="20.100000000000001" customHeight="1" x14ac:dyDescent="0.25">
      <c r="U159" s="51" t="str">
        <f t="shared" si="3"/>
        <v>November 2025</v>
      </c>
      <c r="V159" s="51" cm="1">
        <f t="array" ref="V159">EntericMethane_PastureBeef_Equations.VEERG_3_2_1_1__1_TotalAnnualMethaneFromEntericFermentation(V143,V107,V127)</f>
        <v>0.53846318370816004</v>
      </c>
      <c r="W159" s="51" cm="1">
        <f t="array" ref="W159">EntericMethane_PastureBeef_Equations.VEERG_3_2_1_1__1_TotalAnnualMethaneFromEntericFermentation(W143,W107,W127)</f>
        <v>0.76050766552500015</v>
      </c>
      <c r="X159" s="51" cm="1">
        <f t="array" ref="X159">EntericMethane_PastureBeef_Equations.VEERG_3_2_1_1__1_TotalAnnualMethaneFromEntericFermentation(X143,X107,X127)</f>
        <v>0.41041649201661007</v>
      </c>
      <c r="Y159" s="51" cm="1">
        <f t="array" ref="Y159">EntericMethane_PastureBeef_Equations.VEERG_3_2_1_1__1_TotalAnnualMethaneFromEntericFermentation(Y143,Y107,Y127)</f>
        <v>0.57899339846092601</v>
      </c>
      <c r="Z159" s="51" cm="1">
        <f t="array" ref="Z159">EntericMethane_PastureBeef_Equations.VEERG_3_2_1_1__1_TotalAnnualMethaneFromEntericFermentation(Z143,Z107,Z127)</f>
        <v>0.64294759481670016</v>
      </c>
      <c r="AA159" s="51" cm="1">
        <f t="array" ref="AA159">EntericMethane_PastureBeef_Equations.VEERG_3_2_1_1__1_TotalAnnualMethaneFromEntericFermentation(AA143,AA107,AA127)</f>
        <v>0.64294759481670016</v>
      </c>
      <c r="AB159" s="51" cm="1">
        <f t="array" ref="AB159">EntericMethane_PastureBeef_Equations.VEERG_3_2_1_1__1_TotalAnnualMethaneFromEntericFermentation(AB143,AB107,AB127)</f>
        <v>0.47315580318899986</v>
      </c>
      <c r="AC159" s="51" cm="1">
        <f t="array" ref="AC159">EntericMethane_PastureBeef_Equations.VEERG_3_2_1_1__1_TotalAnnualMethaneFromEntericFermentation(AC143,AC107,AC127)</f>
        <v>0.60127877604275992</v>
      </c>
      <c r="AD159" s="51" cm="1">
        <f t="array" ref="AD159">EntericMethane_PastureBeef_Equations.VEERG_3_2_1_1__1_TotalAnnualMethaneFromEntericFermentation(AD143,AD107,AD127)</f>
        <v>0.60127877604275992</v>
      </c>
      <c r="AE159" s="51" cm="1">
        <f t="array" ref="AE159">EntericMethane_PastureBeef_Equations.VEERG_3_2_1_1__1_TotalAnnualMethaneFromEntericFermentation(AE143,AE107,AE127)</f>
        <v>0.60127877604275992</v>
      </c>
      <c r="AF159" s="2"/>
    </row>
    <row r="160" spans="21:32" ht="20.100000000000001" customHeight="1" x14ac:dyDescent="0.25">
      <c r="U160" s="51" t="str">
        <f t="shared" si="3"/>
        <v>December 2025</v>
      </c>
      <c r="V160" s="51" cm="1">
        <f t="array" ref="V160">EntericMethane_PastureBeef_Equations.VEERG_3_2_1_1__1_TotalAnnualMethaneFromEntericFermentation(V144,V108,V128)</f>
        <v>0.4586136012616317</v>
      </c>
      <c r="W160" s="51" cm="1">
        <f t="array" ref="W160">EntericMethane_PastureBeef_Equations.VEERG_3_2_1_1__1_TotalAnnualMethaneFromEntericFermentation(W144,W108,W128)</f>
        <v>0.60679113521101213</v>
      </c>
      <c r="X160" s="51" cm="1">
        <f t="array" ref="X160">EntericMethane_PastureBeef_Equations.VEERG_3_2_1_1__1_TotalAnnualMethaneFromEntericFermentation(X144,X108,X128)</f>
        <v>0.38568368207519993</v>
      </c>
      <c r="Y160" s="51" cm="1">
        <f t="array" ref="Y160">EntericMethane_PastureBeef_Equations.VEERG_3_2_1_1__1_TotalAnnualMethaneFromEntericFermentation(Y144,Y108,Y128)</f>
        <v>0.54293216249013199</v>
      </c>
      <c r="Z160" s="51" cm="1">
        <f t="array" ref="Z160">EntericMethane_PastureBeef_Equations.VEERG_3_2_1_1__1_TotalAnnualMethaneFromEntericFermentation(Z144,Z108,Z128)</f>
        <v>0.53756927319362025</v>
      </c>
      <c r="AA160" s="51" cm="1">
        <f t="array" ref="AA160">EntericMethane_PastureBeef_Equations.VEERG_3_2_1_1__1_TotalAnnualMethaneFromEntericFermentation(AA144,AA108,AA128)</f>
        <v>0.53756927319362025</v>
      </c>
      <c r="AB160" s="51" cm="1">
        <f t="array" ref="AB160">EntericMethane_PastureBeef_Equations.VEERG_3_2_1_1__1_TotalAnnualMethaneFromEntericFermentation(AB144,AB108,AB128)</f>
        <v>0.422728915885632</v>
      </c>
      <c r="AC160" s="51" cm="1">
        <f t="array" ref="AC160">EntericMethane_PastureBeef_Equations.VEERG_3_2_1_1__1_TotalAnnualMethaneFromEntericFermentation(AC144,AC108,AC128)</f>
        <v>0.47120481705053707</v>
      </c>
      <c r="AD160" s="51" cm="1">
        <f t="array" ref="AD160">EntericMethane_PastureBeef_Equations.VEERG_3_2_1_1__1_TotalAnnualMethaneFromEntericFermentation(AD144,AD108,AD128)</f>
        <v>0.47120481705053707</v>
      </c>
      <c r="AE160" s="51" cm="1">
        <f t="array" ref="AE160">EntericMethane_PastureBeef_Equations.VEERG_3_2_1_1__1_TotalAnnualMethaneFromEntericFermentation(AE144,AE108,AE128)</f>
        <v>0.47120481705053707</v>
      </c>
      <c r="AF160" s="2"/>
    </row>
    <row r="161" spans="21:24" ht="20.100000000000001" customHeight="1" x14ac:dyDescent="0.25">
      <c r="U161" s="97" t="s">
        <v>230</v>
      </c>
      <c r="V161" s="98">
        <f>SUM(V149:AE160)</f>
        <v>56.163952698425533</v>
      </c>
      <c r="W161" s="99">
        <f>V140</f>
        <v>31</v>
      </c>
    </row>
    <row r="162" spans="21:24" ht="20.100000000000001" customHeight="1" x14ac:dyDescent="0.25"/>
    <row r="163" spans="21:24" ht="20.100000000000001" customHeight="1" x14ac:dyDescent="0.25">
      <c r="U163" s="56" t="str" cm="1">
        <f t="array" ref="U163:V164">Common_Equations.Common_ConvertCH4ToCO2e_Arguments()</f>
        <v>ECH4</v>
      </c>
      <c r="V163" s="57" t="str">
        <v>Methane emissions (t CH4)</v>
      </c>
      <c r="W163" s="100"/>
      <c r="X163" s="51">
        <f>V161</f>
        <v>56.163952698425533</v>
      </c>
    </row>
    <row r="164" spans="21:24" ht="20.100000000000001" customHeight="1" x14ac:dyDescent="0.25">
      <c r="U164" s="56" t="str">
        <v>GWPCH4</v>
      </c>
      <c r="V164" s="57" t="str">
        <v>Global warming potential for methane (t CO2-e / t CH4)</v>
      </c>
      <c r="W164" s="100"/>
      <c r="X164" s="51">
        <f>Common_InputFunctions.Utility_LookupValueInTableNumber("CH4",Table_GWPData[Gas],Table_GWPData[CO2-e factor])</f>
        <v>28</v>
      </c>
    </row>
    <row r="165" spans="21:24" ht="20.100000000000001" customHeight="1" x14ac:dyDescent="0.25"/>
    <row r="166" spans="21:24" ht="20.100000000000001" customHeight="1" x14ac:dyDescent="0.25">
      <c r="U166" s="44" t="s">
        <v>81</v>
      </c>
      <c r="V166" s="44" cm="1">
        <f t="array" ref="V166">Common_Equations.Common_ConvertN2OToCO2e(X163,X164)</f>
        <v>1572.5906755559149</v>
      </c>
      <c r="W166" s="101" t="str" cm="1">
        <f t="array" ref="W166">Common_Equations.Common_ConvertN2OToCO2e_Unit()</f>
        <v>t CO2e</v>
      </c>
    </row>
    <row r="167" spans="21:24" ht="20.100000000000001" customHeight="1" x14ac:dyDescent="0.25"/>
    <row r="168" spans="21:24" ht="20.100000000000001" customHeight="1" x14ac:dyDescent="0.25"/>
    <row r="169" spans="21:24" ht="20.100000000000001" customHeight="1" x14ac:dyDescent="0.25"/>
    <row r="170" spans="21:24" ht="20.100000000000001" customHeight="1" x14ac:dyDescent="0.25"/>
    <row r="171" spans="21:24" ht="20.100000000000001" customHeight="1" x14ac:dyDescent="0.25"/>
    <row r="172" spans="21:24" ht="20.100000000000001" customHeight="1" x14ac:dyDescent="0.25"/>
    <row r="173" spans="21:24" ht="20.100000000000001" customHeight="1" x14ac:dyDescent="0.25"/>
    <row r="174" spans="21:24" ht="20.100000000000001" customHeight="1" x14ac:dyDescent="0.25"/>
    <row r="175" spans="21:24" ht="20.100000000000001" customHeight="1" x14ac:dyDescent="0.25"/>
    <row r="176" spans="21:24" ht="20.100000000000001" customHeight="1" x14ac:dyDescent="0.25"/>
    <row r="177" spans="34:34" ht="20.100000000000001" customHeight="1" x14ac:dyDescent="0.25">
      <c r="AH177" s="2"/>
    </row>
    <row r="178" spans="34:34" ht="20.100000000000001" customHeight="1" x14ac:dyDescent="0.25"/>
    <row r="179" spans="34:34" ht="20.100000000000001" customHeight="1" x14ac:dyDescent="0.25"/>
    <row r="180" spans="34:34" ht="20.100000000000001" customHeight="1" x14ac:dyDescent="0.25"/>
    <row r="181" spans="34:34" ht="20.100000000000001" customHeight="1" x14ac:dyDescent="0.25"/>
    <row r="182" spans="34:34" ht="20.100000000000001" customHeight="1" x14ac:dyDescent="0.25"/>
    <row r="183" spans="34:34" ht="20.100000000000001" customHeight="1" x14ac:dyDescent="0.25"/>
    <row r="184" spans="34:34" ht="20.100000000000001" customHeight="1" x14ac:dyDescent="0.25"/>
    <row r="185" spans="34:34" ht="20.100000000000001" customHeight="1" x14ac:dyDescent="0.25"/>
    <row r="186" spans="34:34" ht="20.100000000000001" customHeight="1" x14ac:dyDescent="0.25"/>
    <row r="187" spans="34:34" ht="20.100000000000001" customHeight="1" x14ac:dyDescent="0.25"/>
    <row r="188" spans="34:34" ht="20.100000000000001" customHeight="1" x14ac:dyDescent="0.25"/>
    <row r="189" spans="34:34" ht="20.100000000000001" customHeight="1" x14ac:dyDescent="0.25"/>
    <row r="190" spans="34:34" ht="20.100000000000001" customHeight="1" x14ac:dyDescent="0.25"/>
    <row r="191" spans="34:34" ht="20.100000000000001" customHeight="1" x14ac:dyDescent="0.25"/>
    <row r="192" spans="34:34"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spans="17:17" ht="20.100000000000001" customHeight="1" x14ac:dyDescent="0.25"/>
    <row r="226" spans="17:17" ht="20.100000000000001" customHeight="1" x14ac:dyDescent="0.25"/>
    <row r="227" spans="17:17" ht="20.100000000000001" customHeight="1" x14ac:dyDescent="0.25"/>
    <row r="228" spans="17:17" ht="20.100000000000001" customHeight="1" x14ac:dyDescent="0.25"/>
    <row r="229" spans="17:17" ht="20.100000000000001" customHeight="1" x14ac:dyDescent="0.25"/>
    <row r="230" spans="17:17" ht="20.100000000000001" customHeight="1" x14ac:dyDescent="0.25"/>
    <row r="231" spans="17:17" ht="20.100000000000001" customHeight="1" x14ac:dyDescent="0.25"/>
    <row r="232" spans="17:17" ht="20.100000000000001" customHeight="1" x14ac:dyDescent="0.25"/>
    <row r="233" spans="17:17" ht="20.100000000000001" customHeight="1" x14ac:dyDescent="0.25"/>
    <row r="234" spans="17:17" ht="20.100000000000001" customHeight="1" x14ac:dyDescent="0.25"/>
    <row r="235" spans="17:17" ht="20.100000000000001" customHeight="1" x14ac:dyDescent="0.25">
      <c r="Q235" s="2"/>
    </row>
    <row r="236" spans="17:17" ht="20.100000000000001" customHeight="1" x14ac:dyDescent="0.25">
      <c r="Q236" s="2"/>
    </row>
    <row r="237" spans="17:17" ht="20.100000000000001" customHeight="1" x14ac:dyDescent="0.25">
      <c r="Q237" s="2"/>
    </row>
    <row r="238" spans="17:17" ht="20.100000000000001" customHeight="1" x14ac:dyDescent="0.25">
      <c r="Q238" s="2"/>
    </row>
    <row r="239" spans="17:17" ht="20.100000000000001" customHeight="1" x14ac:dyDescent="0.25">
      <c r="Q239" s="2"/>
    </row>
    <row r="240" spans="17:17" ht="20.100000000000001" customHeight="1" x14ac:dyDescent="0.25">
      <c r="Q240" s="2"/>
    </row>
    <row r="241" spans="17:34" ht="20.100000000000001" customHeight="1" x14ac:dyDescent="0.25">
      <c r="Q241" s="2"/>
    </row>
    <row r="242" spans="17:34" ht="20.100000000000001" customHeight="1" x14ac:dyDescent="0.25">
      <c r="Q242" s="2"/>
    </row>
    <row r="243" spans="17:34" ht="20.100000000000001" customHeight="1" x14ac:dyDescent="0.25"/>
    <row r="244" spans="17:34" ht="20.100000000000001" customHeight="1" x14ac:dyDescent="0.25"/>
    <row r="245" spans="17:34" ht="20.100000000000001" customHeight="1" x14ac:dyDescent="0.25"/>
    <row r="246" spans="17:34" ht="20.100000000000001" customHeight="1" x14ac:dyDescent="0.25"/>
    <row r="247" spans="17:34" ht="20.100000000000001" customHeight="1" x14ac:dyDescent="0.25"/>
    <row r="248" spans="17:34" ht="20.100000000000001" customHeight="1" x14ac:dyDescent="0.25"/>
    <row r="249" spans="17:34" ht="20.100000000000001" customHeight="1" x14ac:dyDescent="0.25"/>
    <row r="250" spans="17:34" ht="20.100000000000001" customHeight="1" x14ac:dyDescent="0.25"/>
    <row r="251" spans="17:34" ht="20.100000000000001" customHeight="1" x14ac:dyDescent="0.25">
      <c r="AH251" s="2"/>
    </row>
    <row r="252" spans="17:34" ht="20.100000000000001" customHeight="1" x14ac:dyDescent="0.25">
      <c r="AH252" s="2"/>
    </row>
    <row r="253" spans="17:34" ht="20.100000000000001" customHeight="1" x14ac:dyDescent="0.25">
      <c r="AH253" s="2"/>
    </row>
    <row r="254" spans="17:34" ht="20.100000000000001" customHeight="1" x14ac:dyDescent="0.25">
      <c r="AH254" s="2"/>
    </row>
    <row r="255" spans="17:34" ht="20.100000000000001" customHeight="1" x14ac:dyDescent="0.25">
      <c r="AH255" s="2"/>
    </row>
    <row r="256" spans="17:34" ht="20.100000000000001" customHeight="1" x14ac:dyDescent="0.25">
      <c r="AH256" s="2"/>
    </row>
    <row r="257" spans="34:34" ht="20.100000000000001" customHeight="1" x14ac:dyDescent="0.25">
      <c r="AH257" s="2"/>
    </row>
    <row r="258" spans="34:34" ht="20.100000000000001" customHeight="1" x14ac:dyDescent="0.25">
      <c r="AH258" s="2"/>
    </row>
    <row r="259" spans="34:34" ht="20.100000000000001" customHeight="1" x14ac:dyDescent="0.25">
      <c r="AH259" s="2"/>
    </row>
    <row r="260" spans="34:34" ht="20.100000000000001" customHeight="1" x14ac:dyDescent="0.25">
      <c r="AH260" s="2"/>
    </row>
    <row r="261" spans="34:34" ht="20.100000000000001" customHeight="1" x14ac:dyDescent="0.25">
      <c r="AH261" s="2"/>
    </row>
    <row r="262" spans="34:34" ht="20.100000000000001" customHeight="1" x14ac:dyDescent="0.25">
      <c r="AH262" s="2"/>
    </row>
    <row r="263" spans="34:34" ht="20.100000000000001" customHeight="1" x14ac:dyDescent="0.25">
      <c r="AH263" s="2"/>
    </row>
    <row r="264" spans="34:34" ht="20.100000000000001" customHeight="1" x14ac:dyDescent="0.25">
      <c r="AH264" s="2"/>
    </row>
    <row r="265" spans="34:34" ht="20.100000000000001" customHeight="1" x14ac:dyDescent="0.25">
      <c r="AH265" s="2"/>
    </row>
    <row r="266" spans="34:34" ht="20.100000000000001" customHeight="1" x14ac:dyDescent="0.25">
      <c r="AH266" s="2"/>
    </row>
    <row r="267" spans="34:34" ht="20.100000000000001" customHeight="1" x14ac:dyDescent="0.25">
      <c r="AH267" s="2"/>
    </row>
    <row r="268" spans="34:34" ht="20.100000000000001" customHeight="1" x14ac:dyDescent="0.25">
      <c r="AH268" s="2"/>
    </row>
    <row r="269" spans="34:34" ht="20.100000000000001" customHeight="1" x14ac:dyDescent="0.25">
      <c r="AH269" s="2"/>
    </row>
    <row r="270" spans="34:34" ht="20.100000000000001" customHeight="1" x14ac:dyDescent="0.25">
      <c r="AH270" s="2"/>
    </row>
    <row r="271" spans="34:34" ht="20.100000000000001" customHeight="1" x14ac:dyDescent="0.25">
      <c r="AH271" s="2"/>
    </row>
    <row r="272" spans="34:34" x14ac:dyDescent="0.25">
      <c r="AH272" s="2"/>
    </row>
    <row r="273" spans="34:34" x14ac:dyDescent="0.25">
      <c r="AH273" s="2"/>
    </row>
    <row r="274" spans="34:34" x14ac:dyDescent="0.25">
      <c r="AH274" s="2"/>
    </row>
  </sheetData>
  <dataValidations disablePrompts="1" count="1">
    <dataValidation operator="equal" allowBlank="1" showInputMessage="1" showErrorMessage="1" sqref="E255 D100:G100 E258 V111 D103:I103 F119:J11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54"/>
  <sheetViews>
    <sheetView showGridLines="0" topLeftCell="A125" zoomScale="85" zoomScaleNormal="85" workbookViewId="0">
      <selection activeCell="N158" sqref="N158"/>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142</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2"/>
    </row>
    <row r="5" spans="1:21" ht="20.100000000000001" customHeight="1" x14ac:dyDescent="0.25">
      <c r="A5" s="16"/>
      <c r="D5" s="6" t="s">
        <v>232</v>
      </c>
      <c r="G5" s="6" t="s">
        <v>91</v>
      </c>
      <c r="M5" s="1" t="s">
        <v>166</v>
      </c>
      <c r="O5" s="1" t="s">
        <v>167</v>
      </c>
      <c r="Q5" s="1" t="s">
        <v>168</v>
      </c>
      <c r="S5" s="1" t="s">
        <v>179</v>
      </c>
    </row>
    <row r="6" spans="1:21" ht="20.100000000000001" customHeight="1" x14ac:dyDescent="0.25">
      <c r="A6" s="20" t="s">
        <v>1</v>
      </c>
      <c r="M6" s="1"/>
    </row>
    <row r="7" spans="1:21" ht="20.100000000000001" customHeight="1" x14ac:dyDescent="0.25">
      <c r="A7" s="17" t="str">
        <f>HYPERLINK("#'Input - Site'!A1", "Site")</f>
        <v>Site</v>
      </c>
      <c r="D7" s="36" t="s">
        <v>90</v>
      </c>
      <c r="G7" s="36" t="s">
        <v>89</v>
      </c>
      <c r="M7" t="s">
        <v>143</v>
      </c>
      <c r="O7" s="36" t="s">
        <v>143</v>
      </c>
      <c r="Q7" s="36" t="s">
        <v>143</v>
      </c>
      <c r="S7" s="36" t="s">
        <v>143</v>
      </c>
    </row>
    <row r="8" spans="1:21" ht="20.100000000000001" customHeight="1" x14ac:dyDescent="0.25">
      <c r="A8" s="17" t="str">
        <f>HYPERLINK("#'Input - Pasture Beef'!A1", "Pasture Beef")</f>
        <v>Pasture Beef</v>
      </c>
      <c r="D8" s="36" t="str">
        <f>'Constants - Common'!$F$187</f>
        <v>Pasture</v>
      </c>
      <c r="G8" s="36" t="s">
        <v>92</v>
      </c>
      <c r="M8" s="36" t="s">
        <v>169</v>
      </c>
      <c r="O8" s="36" t="s">
        <v>171</v>
      </c>
      <c r="Q8" s="36" t="s">
        <v>174</v>
      </c>
      <c r="S8" s="36" t="s">
        <v>162</v>
      </c>
    </row>
    <row r="9" spans="1:21" ht="20.100000000000001" customHeight="1" x14ac:dyDescent="0.25">
      <c r="A9" s="17"/>
      <c r="D9" s="1" t="str">
        <f>'Constants - Common'!$F$188</f>
        <v>Crop</v>
      </c>
      <c r="G9" s="36" t="s">
        <v>93</v>
      </c>
      <c r="M9" s="36" t="s">
        <v>170</v>
      </c>
      <c r="O9" s="36" t="s">
        <v>172</v>
      </c>
      <c r="Q9" s="36" t="s">
        <v>175</v>
      </c>
    </row>
    <row r="10" spans="1:21" ht="20.100000000000001" customHeight="1" x14ac:dyDescent="0.25">
      <c r="A10" s="19" t="s">
        <v>59</v>
      </c>
      <c r="G10" s="1" t="s">
        <v>94</v>
      </c>
      <c r="M10" s="36" t="s">
        <v>165</v>
      </c>
      <c r="O10" s="36" t="s">
        <v>173</v>
      </c>
      <c r="Q10" s="36" t="s">
        <v>176</v>
      </c>
      <c r="S10" s="1" t="s">
        <v>180</v>
      </c>
    </row>
    <row r="11" spans="1:21" ht="20.100000000000001" customHeight="1" x14ac:dyDescent="0.25">
      <c r="A11" s="17" t="str">
        <f>HYPERLINK("#'3.2.1.1-2 Enteric Methane'!A1", "3.2.1.1-2 Enteric Methane")</f>
        <v>3.2.1.1-2 Enteric Methane</v>
      </c>
      <c r="G11" s="1" t="s">
        <v>95</v>
      </c>
      <c r="M11" s="1"/>
      <c r="Q11" s="36" t="s">
        <v>177</v>
      </c>
    </row>
    <row r="12" spans="1:21" ht="20.100000000000001" customHeight="1" x14ac:dyDescent="0.25">
      <c r="A12" s="17"/>
      <c r="G12" s="1" t="s">
        <v>96</v>
      </c>
      <c r="M12" s="1"/>
      <c r="S12" s="36" t="s">
        <v>143</v>
      </c>
    </row>
    <row r="13" spans="1:21" ht="20.100000000000001" customHeight="1" x14ac:dyDescent="0.25">
      <c r="A13" s="18" t="s">
        <v>2</v>
      </c>
      <c r="M13" s="1"/>
      <c r="S13" s="36" t="s">
        <v>162</v>
      </c>
    </row>
    <row r="14" spans="1:21" ht="20.100000000000001" customHeight="1" x14ac:dyDescent="0.25">
      <c r="A14" s="122" t="str">
        <f>HYPERLINK("#'Constants - Pasture Beef'!A1", "Constants - Pasture Beef")</f>
        <v>Constants - Pasture Beef</v>
      </c>
      <c r="D14" s="6" t="str" cm="1">
        <f t="array" ref="D14">SourceData_PastureBeef.SourceData_PastureBeef_Liveweight_Title()</f>
        <v>Beef pasture cattle - Liveweight (kg) (Wjkl)</v>
      </c>
      <c r="M14" s="1"/>
    </row>
    <row r="15" spans="1:21" ht="20.100000000000001" customHeight="1" x14ac:dyDescent="0.25">
      <c r="A15" s="17" t="str">
        <f>HYPERLINK("#'Constants - Livestock'!A1", "Constants - Livestock")</f>
        <v>Constants - Livestock</v>
      </c>
      <c r="D15" s="5" t="str" cm="1">
        <f t="array" ref="D15">SourceData_PastureBeef.SourceData_PastureBeef_Liveweight_Source()</f>
        <v>VEERG 2026: Table A.1.2.1</v>
      </c>
      <c r="M15" s="1"/>
      <c r="S15" s="1" t="s">
        <v>181</v>
      </c>
    </row>
    <row r="16" spans="1:21" ht="20.100000000000001" customHeight="1" x14ac:dyDescent="0.25">
      <c r="A16" s="17" t="str">
        <f>HYPERLINK("#'Constants - Common'!A1", "Constants - Common")</f>
        <v>Constants - Common</v>
      </c>
      <c r="D16" s="1" t="str" cm="1">
        <f t="array" ref="D16">SourceData_PastureBeef.SourceData_PastureBeef_Liveweight_Variable()</f>
        <v>Wjkl</v>
      </c>
      <c r="M16" s="1"/>
    </row>
    <row r="17" spans="1:19" ht="20.100000000000001" customHeight="1" x14ac:dyDescent="0.25">
      <c r="A17" s="17" t="str">
        <f>HYPERLINK("#'Acknowledgements'!A1", "Acknowledgements")</f>
        <v>Acknowledgements</v>
      </c>
      <c r="D17" s="53" t="str" cm="1">
        <f t="array" ref="D17">SourceData_PastureBeef.SourceData_PastureBeef_Liveweight_Unit()</f>
        <v>kg</v>
      </c>
      <c r="M17" s="1"/>
      <c r="S17" s="36" t="s">
        <v>143</v>
      </c>
    </row>
    <row r="18" spans="1:19" ht="20.100000000000001" customHeight="1" x14ac:dyDescent="0.25">
      <c r="D18" s="36" t="s">
        <v>5</v>
      </c>
      <c r="E18" s="36" t="s">
        <v>143</v>
      </c>
      <c r="F18" s="36" t="s">
        <v>144</v>
      </c>
      <c r="G18" s="36" t="s">
        <v>145</v>
      </c>
      <c r="H18" s="36" t="s">
        <v>146</v>
      </c>
      <c r="I18" s="36" t="s">
        <v>147</v>
      </c>
      <c r="J18" s="36" t="s">
        <v>148</v>
      </c>
      <c r="K18" s="36" t="s">
        <v>149</v>
      </c>
      <c r="L18" s="36" t="s">
        <v>150</v>
      </c>
      <c r="M18" s="36" t="s">
        <v>151</v>
      </c>
      <c r="S18" s="36" t="s">
        <v>162</v>
      </c>
    </row>
    <row r="19" spans="1:19" ht="20.100000000000001" customHeight="1" x14ac:dyDescent="0.25">
      <c r="A19" s="17"/>
      <c r="D19" s="36" t="str" cm="1">
        <f t="array" ref="D19">Common_InputFunctions.Utility_DisplayArrayInTable(SourceData_PastureBeef.SourceData_PastureBeef_Liveweight_Data(), Table_SourceData_PastureBeef_Liveweight[[#Headers],[State]], 0)</f>
        <v>ACT/NSW</v>
      </c>
      <c r="E19" s="36" t="str" cm="1">
        <f t="array" ref="E19">Common_InputFunctions.Utility_DisplayArrayInTable(SourceData_PastureBeef.SourceData_PastureBeef_Liveweight_Data(), Table_SourceData_PastureBeef_Liveweight[[#Headers],[State]], 0)</f>
        <v>n/a</v>
      </c>
      <c r="F19" s="36" t="str" cm="1">
        <f t="array" ref="F19">Common_InputFunctions.Utility_DisplayArrayInTable(SourceData_PastureBeef.SourceData_PastureBeef_Liveweight_Data(), Table_SourceData_PastureBeef_Liveweight[[#Headers],[State]], 0)</f>
        <v>Spring</v>
      </c>
      <c r="G19" s="36" cm="1">
        <f t="array" ref="G19">Common_InputFunctions.Utility_DisplayArrayInTable(SourceData_PastureBeef.SourceData_PastureBeef_Liveweight_Data(), Table_SourceData_PastureBeef_Liveweight[[#Headers],[State]], 0)</f>
        <v>80</v>
      </c>
      <c r="H19" s="36" cm="1">
        <f t="array" ref="H19">Common_InputFunctions.Utility_DisplayArrayInTable(SourceData_PastureBeef.SourceData_PastureBeef_Liveweight_Data(), Table_SourceData_PastureBeef_Liveweight[[#Headers],[State]], 0)</f>
        <v>480</v>
      </c>
      <c r="I19" s="36" cm="1">
        <f t="array" ref="I19">Common_InputFunctions.Utility_DisplayArrayInTable(SourceData_PastureBeef.SourceData_PastureBeef_Liveweight_Data(), Table_SourceData_PastureBeef_Liveweight[[#Headers],[State]], 0)</f>
        <v>75</v>
      </c>
      <c r="J19" s="36" cm="1">
        <f t="array" ref="J19">Common_InputFunctions.Utility_DisplayArrayInTable(SourceData_PastureBeef.SourceData_PastureBeef_Liveweight_Data(), Table_SourceData_PastureBeef_Liveweight[[#Headers],[State]], 0)</f>
        <v>300</v>
      </c>
      <c r="K19" s="36" cm="1">
        <f t="array" ref="K19">Common_InputFunctions.Utility_DisplayArrayInTable(SourceData_PastureBeef.SourceData_PastureBeef_Liveweight_Data(), Table_SourceData_PastureBeef_Liveweight[[#Headers],[State]], 0)</f>
        <v>440</v>
      </c>
      <c r="L19" s="36" cm="1">
        <f t="array" ref="L19">Common_InputFunctions.Utility_DisplayArrayInTable(SourceData_PastureBeef.SourceData_PastureBeef_Liveweight_Data(), Table_SourceData_PastureBeef_Liveweight[[#Headers],[State]], 0)</f>
        <v>75</v>
      </c>
      <c r="M19" s="36" cm="1">
        <f t="array" ref="M19">Common_InputFunctions.Utility_DisplayArrayInTable(SourceData_PastureBeef.SourceData_PastureBeef_Liveweight_Data(), Table_SourceData_PastureBeef_Liveweight[[#Headers],[State]], 0)</f>
        <v>380</v>
      </c>
    </row>
    <row r="20" spans="1:19" ht="20.100000000000001" customHeight="1" x14ac:dyDescent="0.25">
      <c r="A20" s="17"/>
      <c r="D20" s="1" t="str" cm="1">
        <f t="array" ref="D20">Common_InputFunctions.Utility_DisplayArrayInTable(SourceData_PastureBeef.SourceData_PastureBeef_Liveweight_Data(), Table_SourceData_PastureBeef_Liveweight[[#Headers],[State]], 0)</f>
        <v>ACT/NSW</v>
      </c>
      <c r="E20" s="36" t="str" cm="1">
        <f t="array" ref="E20">Common_InputFunctions.Utility_DisplayArrayInTable(SourceData_PastureBeef.SourceData_PastureBeef_Liveweight_Data(), Table_SourceData_PastureBeef_Liveweight[[#Headers],[State]], 0)</f>
        <v>n/a</v>
      </c>
      <c r="F20" s="36" t="str" cm="1">
        <f t="array" ref="F20">Common_InputFunctions.Utility_DisplayArrayInTable(SourceData_PastureBeef.SourceData_PastureBeef_Liveweight_Data(), Table_SourceData_PastureBeef_Liveweight[[#Headers],[State]], 0)</f>
        <v>Summer</v>
      </c>
      <c r="G20" s="36" cm="1">
        <f t="array" ref="G20">Common_InputFunctions.Utility_DisplayArrayInTable(SourceData_PastureBeef.SourceData_PastureBeef_Liveweight_Data(), Table_SourceData_PastureBeef_Liveweight[[#Headers],[State]], 0)</f>
        <v>170</v>
      </c>
      <c r="H20" s="36" cm="1">
        <f t="array" ref="H20">Common_InputFunctions.Utility_DisplayArrayInTable(SourceData_PastureBeef.SourceData_PastureBeef_Liveweight_Data(), Table_SourceData_PastureBeef_Liveweight[[#Headers],[State]], 0)</f>
        <v>520</v>
      </c>
      <c r="I20" s="36" cm="1">
        <f t="array" ref="I20">Common_InputFunctions.Utility_DisplayArrayInTable(SourceData_PastureBeef.SourceData_PastureBeef_Liveweight_Data(), Table_SourceData_PastureBeef_Liveweight[[#Headers],[State]], 0)</f>
        <v>160</v>
      </c>
      <c r="J20" s="36" cm="1">
        <f t="array" ref="J20">Common_InputFunctions.Utility_DisplayArrayInTable(SourceData_PastureBeef.SourceData_PastureBeef_Liveweight_Data(), Table_SourceData_PastureBeef_Liveweight[[#Headers],[State]], 0)</f>
        <v>360</v>
      </c>
      <c r="K20" s="36" cm="1">
        <f t="array" ref="K20">Common_InputFunctions.Utility_DisplayArrayInTable(SourceData_PastureBeef.SourceData_PastureBeef_Liveweight_Data(), Table_SourceData_PastureBeef_Liveweight[[#Headers],[State]], 0)</f>
        <v>470</v>
      </c>
      <c r="L20" s="36" cm="1">
        <f t="array" ref="L20">Common_InputFunctions.Utility_DisplayArrayInTable(SourceData_PastureBeef.SourceData_PastureBeef_Liveweight_Data(), Table_SourceData_PastureBeef_Liveweight[[#Headers],[State]], 0)</f>
        <v>160</v>
      </c>
      <c r="M20" s="36" cm="1">
        <f t="array" ref="M20">Common_InputFunctions.Utility_DisplayArrayInTable(SourceData_PastureBeef.SourceData_PastureBeef_Liveweight_Data(), Table_SourceData_PastureBeef_Liveweight[[#Headers],[State]], 0)</f>
        <v>420</v>
      </c>
      <c r="S20" s="1" t="s">
        <v>182</v>
      </c>
    </row>
    <row r="21" spans="1:19" ht="20.100000000000001" customHeight="1" x14ac:dyDescent="0.25">
      <c r="D21" s="1" t="str" cm="1">
        <f t="array" ref="D21">Common_InputFunctions.Utility_DisplayArrayInTable(SourceData_PastureBeef.SourceData_PastureBeef_Liveweight_Data(), Table_SourceData_PastureBeef_Liveweight[[#Headers],[State]], 0)</f>
        <v>ACT/NSW</v>
      </c>
      <c r="E21" s="36" t="str" cm="1">
        <f t="array" ref="E21">Common_InputFunctions.Utility_DisplayArrayInTable(SourceData_PastureBeef.SourceData_PastureBeef_Liveweight_Data(), Table_SourceData_PastureBeef_Liveweight[[#Headers],[State]], 0)</f>
        <v>n/a</v>
      </c>
      <c r="F21" s="36" t="str" cm="1">
        <f t="array" ref="F21">Common_InputFunctions.Utility_DisplayArrayInTable(SourceData_PastureBeef.SourceData_PastureBeef_Liveweight_Data(), Table_SourceData_PastureBeef_Liveweight[[#Headers],[State]], 0)</f>
        <v>Autumn</v>
      </c>
      <c r="G21" s="36" cm="1">
        <f t="array" ref="G21">Common_InputFunctions.Utility_DisplayArrayInTable(SourceData_PastureBeef.SourceData_PastureBeef_Liveweight_Data(), Table_SourceData_PastureBeef_Liveweight[[#Headers],[State]], 0)</f>
        <v>240</v>
      </c>
      <c r="H21" s="36" cm="1">
        <f t="array" ref="H21">Common_InputFunctions.Utility_DisplayArrayInTable(SourceData_PastureBeef.SourceData_PastureBeef_Liveweight_Data(), Table_SourceData_PastureBeef_Liveweight[[#Headers],[State]], 0)</f>
        <v>550</v>
      </c>
      <c r="I21" s="36" cm="1">
        <f t="array" ref="I21">Common_InputFunctions.Utility_DisplayArrayInTable(SourceData_PastureBeef.SourceData_PastureBeef_Liveweight_Data(), Table_SourceData_PastureBeef_Liveweight[[#Headers],[State]], 0)</f>
        <v>220</v>
      </c>
      <c r="J21" s="36" cm="1">
        <f t="array" ref="J21">Common_InputFunctions.Utility_DisplayArrayInTable(SourceData_PastureBeef.SourceData_PastureBeef_Liveweight_Data(), Table_SourceData_PastureBeef_Liveweight[[#Headers],[State]], 0)</f>
        <v>390</v>
      </c>
      <c r="K21" s="36" cm="1">
        <f t="array" ref="K21">Common_InputFunctions.Utility_DisplayArrayInTable(SourceData_PastureBeef.SourceData_PastureBeef_Liveweight_Data(), Table_SourceData_PastureBeef_Liveweight[[#Headers],[State]], 0)</f>
        <v>490</v>
      </c>
      <c r="L21" s="36" cm="1">
        <f t="array" ref="L21">Common_InputFunctions.Utility_DisplayArrayInTable(SourceData_PastureBeef.SourceData_PastureBeef_Liveweight_Data(), Table_SourceData_PastureBeef_Liveweight[[#Headers],[State]], 0)</f>
        <v>220</v>
      </c>
      <c r="M21" s="36" cm="1">
        <f t="array" ref="M21">Common_InputFunctions.Utility_DisplayArrayInTable(SourceData_PastureBeef.SourceData_PastureBeef_Liveweight_Data(), Table_SourceData_PastureBeef_Liveweight[[#Headers],[State]], 0)</f>
        <v>450</v>
      </c>
    </row>
    <row r="22" spans="1:19" ht="20.100000000000001" customHeight="1" x14ac:dyDescent="0.25">
      <c r="A22" s="17"/>
      <c r="D22" s="1" t="str" cm="1">
        <f t="array" ref="D22">Common_InputFunctions.Utility_DisplayArrayInTable(SourceData_PastureBeef.SourceData_PastureBeef_Liveweight_Data(), Table_SourceData_PastureBeef_Liveweight[[#Headers],[State]], 0)</f>
        <v>ACT/NSW</v>
      </c>
      <c r="E22" s="36" t="str" cm="1">
        <f t="array" ref="E22">Common_InputFunctions.Utility_DisplayArrayInTable(SourceData_PastureBeef.SourceData_PastureBeef_Liveweight_Data(), Table_SourceData_PastureBeef_Liveweight[[#Headers],[State]], 0)</f>
        <v>n/a</v>
      </c>
      <c r="F22" s="36" t="str" cm="1">
        <f t="array" ref="F22">Common_InputFunctions.Utility_DisplayArrayInTable(SourceData_PastureBeef.SourceData_PastureBeef_Liveweight_Data(), Table_SourceData_PastureBeef_Liveweight[[#Headers],[State]], 0)</f>
        <v>Winter</v>
      </c>
      <c r="G22" s="36" cm="1">
        <f t="array" ref="G22">Common_InputFunctions.Utility_DisplayArrayInTable(SourceData_PastureBeef.SourceData_PastureBeef_Liveweight_Data(), Table_SourceData_PastureBeef_Liveweight[[#Headers],[State]], 0)</f>
        <v>280</v>
      </c>
      <c r="H22" s="36" cm="1">
        <f t="array" ref="H22">Common_InputFunctions.Utility_DisplayArrayInTable(SourceData_PastureBeef.SourceData_PastureBeef_Liveweight_Data(), Table_SourceData_PastureBeef_Liveweight[[#Headers],[State]], 0)</f>
        <v>560</v>
      </c>
      <c r="I22" s="36" cm="1">
        <f t="array" ref="I22">Common_InputFunctions.Utility_DisplayArrayInTable(SourceData_PastureBeef.SourceData_PastureBeef_Liveweight_Data(), Table_SourceData_PastureBeef_Liveweight[[#Headers],[State]], 0)</f>
        <v>260</v>
      </c>
      <c r="J22" s="36" cm="1">
        <f t="array" ref="J22">Common_InputFunctions.Utility_DisplayArrayInTable(SourceData_PastureBeef.SourceData_PastureBeef_Liveweight_Data(), Table_SourceData_PastureBeef_Liveweight[[#Headers],[State]], 0)</f>
        <v>410</v>
      </c>
      <c r="K22" s="36" cm="1">
        <f t="array" ref="K22">Common_InputFunctions.Utility_DisplayArrayInTable(SourceData_PastureBeef.SourceData_PastureBeef_Liveweight_Data(), Table_SourceData_PastureBeef_Liveweight[[#Headers],[State]], 0)</f>
        <v>500</v>
      </c>
      <c r="L22" s="36" cm="1">
        <f t="array" ref="L22">Common_InputFunctions.Utility_DisplayArrayInTable(SourceData_PastureBeef.SourceData_PastureBeef_Liveweight_Data(), Table_SourceData_PastureBeef_Liveweight[[#Headers],[State]], 0)</f>
        <v>260</v>
      </c>
      <c r="M22" s="36" cm="1">
        <f t="array" ref="M22">Common_InputFunctions.Utility_DisplayArrayInTable(SourceData_PastureBeef.SourceData_PastureBeef_Liveweight_Data(), Table_SourceData_PastureBeef_Liveweight[[#Headers],[State]], 0)</f>
        <v>460</v>
      </c>
      <c r="S22" s="36" t="s">
        <v>143</v>
      </c>
    </row>
    <row r="23" spans="1:19" ht="20.100000000000001" customHeight="1" x14ac:dyDescent="0.25">
      <c r="A23" s="17"/>
      <c r="D23" s="1" t="str" cm="1">
        <f t="array" ref="D23">Common_InputFunctions.Utility_DisplayArrayInTable(SourceData_PastureBeef.SourceData_PastureBeef_Liveweight_Data(), Table_SourceData_PastureBeef_Liveweight[[#Headers],[State]], 0)</f>
        <v>South Australia</v>
      </c>
      <c r="E23" s="36" t="str" cm="1">
        <f t="array" ref="E23">Common_InputFunctions.Utility_DisplayArrayInTable(SourceData_PastureBeef.SourceData_PastureBeef_Liveweight_Data(), Table_SourceData_PastureBeef_Liveweight[[#Headers],[State]], 0)</f>
        <v>n/a</v>
      </c>
      <c r="F23" s="36" t="str" cm="1">
        <f t="array" ref="F23">Common_InputFunctions.Utility_DisplayArrayInTable(SourceData_PastureBeef.SourceData_PastureBeef_Liveweight_Data(), Table_SourceData_PastureBeef_Liveweight[[#Headers],[State]], 0)</f>
        <v>Spring</v>
      </c>
      <c r="G23" s="36" cm="1">
        <f t="array" ref="G23">Common_InputFunctions.Utility_DisplayArrayInTable(SourceData_PastureBeef.SourceData_PastureBeef_Liveweight_Data(), Table_SourceData_PastureBeef_Liveweight[[#Headers],[State]], 0)</f>
        <v>250</v>
      </c>
      <c r="H23" s="36" cm="1">
        <f t="array" ref="H23">Common_InputFunctions.Utility_DisplayArrayInTable(SourceData_PastureBeef.SourceData_PastureBeef_Liveweight_Data(), Table_SourceData_PastureBeef_Liveweight[[#Headers],[State]], 0)</f>
        <v>800</v>
      </c>
      <c r="I23" s="36" cm="1">
        <f t="array" ref="I23">Common_InputFunctions.Utility_DisplayArrayInTable(SourceData_PastureBeef.SourceData_PastureBeef_Liveweight_Data(), Table_SourceData_PastureBeef_Liveweight[[#Headers],[State]], 0)</f>
        <v>220</v>
      </c>
      <c r="J23" s="36" cm="1">
        <f t="array" ref="J23">Common_InputFunctions.Utility_DisplayArrayInTable(SourceData_PastureBeef.SourceData_PastureBeef_Liveweight_Data(), Table_SourceData_PastureBeef_Liveweight[[#Headers],[State]], 0)</f>
        <v>400</v>
      </c>
      <c r="K23" s="36" cm="1">
        <f t="array" ref="K23">Common_InputFunctions.Utility_DisplayArrayInTable(SourceData_PastureBeef.SourceData_PastureBeef_Liveweight_Data(), Table_SourceData_PastureBeef_Liveweight[[#Headers],[State]], 0)</f>
        <v>500</v>
      </c>
      <c r="L23" s="36" cm="1">
        <f t="array" ref="L23">Common_InputFunctions.Utility_DisplayArrayInTable(SourceData_PastureBeef.SourceData_PastureBeef_Liveweight_Data(), Table_SourceData_PastureBeef_Liveweight[[#Headers],[State]], 0)</f>
        <v>230</v>
      </c>
      <c r="M23" s="36" cm="1">
        <f t="array" ref="M23">Common_InputFunctions.Utility_DisplayArrayInTable(SourceData_PastureBeef.SourceData_PastureBeef_Liveweight_Data(), Table_SourceData_PastureBeef_Liveweight[[#Headers],[State]], 0)</f>
        <v>420</v>
      </c>
      <c r="S23" s="36" t="s">
        <v>162</v>
      </c>
    </row>
    <row r="24" spans="1:19" ht="20.100000000000001" customHeight="1" x14ac:dyDescent="0.25">
      <c r="A24" s="17"/>
      <c r="D24" s="1" t="str" cm="1">
        <f t="array" ref="D24">Common_InputFunctions.Utility_DisplayArrayInTable(SourceData_PastureBeef.SourceData_PastureBeef_Liveweight_Data(), Table_SourceData_PastureBeef_Liveweight[[#Headers],[State]], 0)</f>
        <v>South Australia</v>
      </c>
      <c r="E24" s="36" t="str" cm="1">
        <f t="array" ref="E24">Common_InputFunctions.Utility_DisplayArrayInTable(SourceData_PastureBeef.SourceData_PastureBeef_Liveweight_Data(), Table_SourceData_PastureBeef_Liveweight[[#Headers],[State]], 0)</f>
        <v>n/a</v>
      </c>
      <c r="F24" s="36" t="str" cm="1">
        <f t="array" ref="F24">Common_InputFunctions.Utility_DisplayArrayInTable(SourceData_PastureBeef.SourceData_PastureBeef_Liveweight_Data(), Table_SourceData_PastureBeef_Liveweight[[#Headers],[State]], 0)</f>
        <v>Summer</v>
      </c>
      <c r="G24" s="36" cm="1">
        <f t="array" ref="G24">Common_InputFunctions.Utility_DisplayArrayInTable(SourceData_PastureBeef.SourceData_PastureBeef_Liveweight_Data(), Table_SourceData_PastureBeef_Liveweight[[#Headers],[State]], 0)</f>
        <v>320</v>
      </c>
      <c r="H24" s="36" cm="1">
        <f t="array" ref="H24">Common_InputFunctions.Utility_DisplayArrayInTable(SourceData_PastureBeef.SourceData_PastureBeef_Liveweight_Data(), Table_SourceData_PastureBeef_Liveweight[[#Headers],[State]], 0)</f>
        <v>800</v>
      </c>
      <c r="I24" s="36" cm="1">
        <f t="array" ref="I24">Common_InputFunctions.Utility_DisplayArrayInTable(SourceData_PastureBeef.SourceData_PastureBeef_Liveweight_Data(), Table_SourceData_PastureBeef_Liveweight[[#Headers],[State]], 0)</f>
        <v>280</v>
      </c>
      <c r="J24" s="36" cm="1">
        <f t="array" ref="J24">Common_InputFunctions.Utility_DisplayArrayInTable(SourceData_PastureBeef.SourceData_PastureBeef_Liveweight_Data(), Table_SourceData_PastureBeef_Liveweight[[#Headers],[State]], 0)</f>
        <v>420</v>
      </c>
      <c r="K24" s="36" cm="1">
        <f t="array" ref="K24">Common_InputFunctions.Utility_DisplayArrayInTable(SourceData_PastureBeef.SourceData_PastureBeef_Liveweight_Data(), Table_SourceData_PastureBeef_Liveweight[[#Headers],[State]], 0)</f>
        <v>500</v>
      </c>
      <c r="L24" s="36" cm="1">
        <f t="array" ref="L24">Common_InputFunctions.Utility_DisplayArrayInTable(SourceData_PastureBeef.SourceData_PastureBeef_Liveweight_Data(), Table_SourceData_PastureBeef_Liveweight[[#Headers],[State]], 0)</f>
        <v>290</v>
      </c>
      <c r="M24" s="36" cm="1">
        <f t="array" ref="M24">Common_InputFunctions.Utility_DisplayArrayInTable(SourceData_PastureBeef.SourceData_PastureBeef_Liveweight_Data(), Table_SourceData_PastureBeef_Liveweight[[#Headers],[State]], 0)</f>
        <v>420</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6" t="str" cm="1">
        <f t="array" ref="E25">Common_InputFunctions.Utility_DisplayArrayInTable(SourceData_PastureBeef.SourceData_PastureBeef_Liveweight_Data(), Table_SourceData_PastureBeef_Liveweight[[#Headers],[State]], 0)</f>
        <v>n/a</v>
      </c>
      <c r="F25" s="36" t="str" cm="1">
        <f t="array" ref="F25">Common_InputFunctions.Utility_DisplayArrayInTable(SourceData_PastureBeef.SourceData_PastureBeef_Liveweight_Data(), Table_SourceData_PastureBeef_Liveweight[[#Headers],[State]], 0)</f>
        <v>Autumn</v>
      </c>
      <c r="G25" s="36" cm="1">
        <f t="array" ref="G25">Common_InputFunctions.Utility_DisplayArrayInTable(SourceData_PastureBeef.SourceData_PastureBeef_Liveweight_Data(), Table_SourceData_PastureBeef_Liveweight[[#Headers],[State]], 0)</f>
        <v>80</v>
      </c>
      <c r="H25" s="36" cm="1">
        <f t="array" ref="H25">Common_InputFunctions.Utility_DisplayArrayInTable(SourceData_PastureBeef.SourceData_PastureBeef_Liveweight_Data(), Table_SourceData_PastureBeef_Liveweight[[#Headers],[State]], 0)</f>
        <v>700</v>
      </c>
      <c r="I25" s="36" cm="1">
        <f t="array" ref="I25">Common_InputFunctions.Utility_DisplayArrayInTable(SourceData_PastureBeef.SourceData_PastureBeef_Liveweight_Data(), Table_SourceData_PastureBeef_Liveweight[[#Headers],[State]], 0)</f>
        <v>70</v>
      </c>
      <c r="J25" s="36" cm="1">
        <f t="array" ref="J25">Common_InputFunctions.Utility_DisplayArrayInTable(SourceData_PastureBeef.SourceData_PastureBeef_Liveweight_Data(), Table_SourceData_PastureBeef_Liveweight[[#Headers],[State]], 0)</f>
        <v>300</v>
      </c>
      <c r="K25" s="36" cm="1">
        <f t="array" ref="K25">Common_InputFunctions.Utility_DisplayArrayInTable(SourceData_PastureBeef.SourceData_PastureBeef_Liveweight_Data(), Table_SourceData_PastureBeef_Liveweight[[#Headers],[State]], 0)</f>
        <v>450</v>
      </c>
      <c r="L25" s="36" cm="1">
        <f t="array" ref="L25">Common_InputFunctions.Utility_DisplayArrayInTable(SourceData_PastureBeef.SourceData_PastureBeef_Liveweight_Data(), Table_SourceData_PastureBeef_Liveweight[[#Headers],[State]], 0)</f>
        <v>75</v>
      </c>
      <c r="M25" s="36" cm="1">
        <f t="array" ref="M25">Common_InputFunctions.Utility_DisplayArrayInTable(SourceData_PastureBeef.SourceData_PastureBeef_Liveweight_Data(), Table_SourceData_PastureBeef_Liveweight[[#Headers],[State]], 0)</f>
        <v>400</v>
      </c>
      <c r="S25" s="1" t="s">
        <v>183</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6" t="str" cm="1">
        <f t="array" ref="E26">Common_InputFunctions.Utility_DisplayArrayInTable(SourceData_PastureBeef.SourceData_PastureBeef_Liveweight_Data(), Table_SourceData_PastureBeef_Liveweight[[#Headers],[State]], 0)</f>
        <v>n/a</v>
      </c>
      <c r="F26" s="36" t="str" cm="1">
        <f t="array" ref="F26">Common_InputFunctions.Utility_DisplayArrayInTable(SourceData_PastureBeef.SourceData_PastureBeef_Liveweight_Data(), Table_SourceData_PastureBeef_Liveweight[[#Headers],[State]], 0)</f>
        <v>Winter</v>
      </c>
      <c r="G26" s="36" cm="1">
        <f t="array" ref="G26">Common_InputFunctions.Utility_DisplayArrayInTable(SourceData_PastureBeef.SourceData_PastureBeef_Liveweight_Data(), Table_SourceData_PastureBeef_Liveweight[[#Headers],[State]], 0)</f>
        <v>160</v>
      </c>
      <c r="H26" s="36" cm="1">
        <f t="array" ref="H26">Common_InputFunctions.Utility_DisplayArrayInTable(SourceData_PastureBeef.SourceData_PastureBeef_Liveweight_Data(), Table_SourceData_PastureBeef_Liveweight[[#Headers],[State]], 0)</f>
        <v>700</v>
      </c>
      <c r="I26" s="36" cm="1">
        <f t="array" ref="I26">Common_InputFunctions.Utility_DisplayArrayInTable(SourceData_PastureBeef.SourceData_PastureBeef_Liveweight_Data(), Table_SourceData_PastureBeef_Liveweight[[#Headers],[State]], 0)</f>
        <v>140</v>
      </c>
      <c r="J26" s="36" cm="1">
        <f t="array" ref="J26">Common_InputFunctions.Utility_DisplayArrayInTable(SourceData_PastureBeef.SourceData_PastureBeef_Liveweight_Data(), Table_SourceData_PastureBeef_Liveweight[[#Headers],[State]], 0)</f>
        <v>350</v>
      </c>
      <c r="K26" s="36" cm="1">
        <f t="array" ref="K26">Common_InputFunctions.Utility_DisplayArrayInTable(SourceData_PastureBeef.SourceData_PastureBeef_Liveweight_Data(), Table_SourceData_PastureBeef_Liveweight[[#Headers],[State]], 0)</f>
        <v>450</v>
      </c>
      <c r="L26" s="36" cm="1">
        <f t="array" ref="L26">Common_InputFunctions.Utility_DisplayArrayInTable(SourceData_PastureBeef.SourceData_PastureBeef_Liveweight_Data(), Table_SourceData_PastureBeef_Liveweight[[#Headers],[State]], 0)</f>
        <v>150</v>
      </c>
      <c r="M26" s="36" cm="1">
        <f t="array" ref="M26">Common_InputFunctions.Utility_DisplayArrayInTable(SourceData_PastureBeef.SourceData_PastureBeef_Liveweight_Data(), Table_SourceData_PastureBeef_Liveweight[[#Headers],[State]], 0)</f>
        <v>400</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6" t="str" cm="1">
        <f t="array" ref="E27">Common_InputFunctions.Utility_DisplayArrayInTable(SourceData_PastureBeef.SourceData_PastureBeef_Liveweight_Data(), Table_SourceData_PastureBeef_Liveweight[[#Headers],[State]], 0)</f>
        <v>n/a</v>
      </c>
      <c r="F27" s="36" t="str" cm="1">
        <f t="array" ref="F27">Common_InputFunctions.Utility_DisplayArrayInTable(SourceData_PastureBeef.SourceData_PastureBeef_Liveweight_Data(), Table_SourceData_PastureBeef_Liveweight[[#Headers],[State]], 0)</f>
        <v>Spring</v>
      </c>
      <c r="G27" s="36" cm="1">
        <f t="array" ref="G27">Common_InputFunctions.Utility_DisplayArrayInTable(SourceData_PastureBeef.SourceData_PastureBeef_Liveweight_Data(), Table_SourceData_PastureBeef_Liveweight[[#Headers],[State]], 0)</f>
        <v>105</v>
      </c>
      <c r="H27" s="36" cm="1">
        <f t="array" ref="H27">Common_InputFunctions.Utility_DisplayArrayInTable(SourceData_PastureBeef.SourceData_PastureBeef_Liveweight_Data(), Table_SourceData_PastureBeef_Liveweight[[#Headers],[State]], 0)</f>
        <v>700</v>
      </c>
      <c r="I27" s="36" cm="1">
        <f t="array" ref="I27">Common_InputFunctions.Utility_DisplayArrayInTable(SourceData_PastureBeef.SourceData_PastureBeef_Liveweight_Data(), Table_SourceData_PastureBeef_Liveweight[[#Headers],[State]], 0)</f>
        <v>85</v>
      </c>
      <c r="J27" s="36" cm="1">
        <f t="array" ref="J27">Common_InputFunctions.Utility_DisplayArrayInTable(SourceData_PastureBeef.SourceData_PastureBeef_Liveweight_Data(), Table_SourceData_PastureBeef_Liveweight[[#Headers],[State]], 0)</f>
        <v>300</v>
      </c>
      <c r="K27" s="36" cm="1">
        <f t="array" ref="K27">Common_InputFunctions.Utility_DisplayArrayInTable(SourceData_PastureBeef.SourceData_PastureBeef_Liveweight_Data(), Table_SourceData_PastureBeef_Liveweight[[#Headers],[State]], 0)</f>
        <v>490</v>
      </c>
      <c r="L27" s="36" cm="1">
        <f t="array" ref="L27">Common_InputFunctions.Utility_DisplayArrayInTable(SourceData_PastureBeef.SourceData_PastureBeef_Liveweight_Data(), Table_SourceData_PastureBeef_Liveweight[[#Headers],[State]], 0)</f>
        <v>90</v>
      </c>
      <c r="M27" s="36" cm="1">
        <f t="array" ref="M27">Common_InputFunctions.Utility_DisplayArrayInTable(SourceData_PastureBeef.SourceData_PastureBeef_Liveweight_Data(), Table_SourceData_PastureBeef_Liveweight[[#Headers],[State]], 0)</f>
        <v>480</v>
      </c>
      <c r="S27" s="36" t="s">
        <v>143</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6" t="str" cm="1">
        <f t="array" ref="E28">Common_InputFunctions.Utility_DisplayArrayInTable(SourceData_PastureBeef.SourceData_PastureBeef_Liveweight_Data(), Table_SourceData_PastureBeef_Liveweight[[#Headers],[State]], 0)</f>
        <v>n/a</v>
      </c>
      <c r="F28" s="36" t="str" cm="1">
        <f t="array" ref="F28">Common_InputFunctions.Utility_DisplayArrayInTable(SourceData_PastureBeef.SourceData_PastureBeef_Liveweight_Data(), Table_SourceData_PastureBeef_Liveweight[[#Headers],[State]], 0)</f>
        <v>Summer</v>
      </c>
      <c r="G28" s="36" cm="1">
        <f t="array" ref="G28">Common_InputFunctions.Utility_DisplayArrayInTable(SourceData_PastureBeef.SourceData_PastureBeef_Liveweight_Data(), Table_SourceData_PastureBeef_Liveweight[[#Headers],[State]], 0)</f>
        <v>480</v>
      </c>
      <c r="H28" s="36" cm="1">
        <f t="array" ref="H28">Common_InputFunctions.Utility_DisplayArrayInTable(SourceData_PastureBeef.SourceData_PastureBeef_Liveweight_Data(), Table_SourceData_PastureBeef_Liveweight[[#Headers],[State]], 0)</f>
        <v>750</v>
      </c>
      <c r="I28" s="36" cm="1">
        <f t="array" ref="I28">Common_InputFunctions.Utility_DisplayArrayInTable(SourceData_PastureBeef.SourceData_PastureBeef_Liveweight_Data(), Table_SourceData_PastureBeef_Liveweight[[#Headers],[State]], 0)</f>
        <v>150</v>
      </c>
      <c r="J28" s="36" cm="1">
        <f t="array" ref="J28">Common_InputFunctions.Utility_DisplayArrayInTable(SourceData_PastureBeef.SourceData_PastureBeef_Liveweight_Data(), Table_SourceData_PastureBeef_Liveweight[[#Headers],[State]], 0)</f>
        <v>350</v>
      </c>
      <c r="K28" s="36" cm="1">
        <f t="array" ref="K28">Common_InputFunctions.Utility_DisplayArrayInTable(SourceData_PastureBeef.SourceData_PastureBeef_Liveweight_Data(), Table_SourceData_PastureBeef_Liveweight[[#Headers],[State]], 0)</f>
        <v>530</v>
      </c>
      <c r="L28" s="36" cm="1">
        <f t="array" ref="L28">Common_InputFunctions.Utility_DisplayArrayInTable(SourceData_PastureBeef.SourceData_PastureBeef_Liveweight_Data(), Table_SourceData_PastureBeef_Liveweight[[#Headers],[State]], 0)</f>
        <v>160</v>
      </c>
      <c r="M28" s="36" cm="1">
        <f t="array" ref="M28">Common_InputFunctions.Utility_DisplayArrayInTable(SourceData_PastureBeef.SourceData_PastureBeef_Liveweight_Data(), Table_SourceData_PastureBeef_Liveweight[[#Headers],[State]], 0)</f>
        <v>460</v>
      </c>
      <c r="S28" s="36" t="s">
        <v>162</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6" t="str" cm="1">
        <f t="array" ref="E29">Common_InputFunctions.Utility_DisplayArrayInTable(SourceData_PastureBeef.SourceData_PastureBeef_Liveweight_Data(), Table_SourceData_PastureBeef_Liveweight[[#Headers],[State]], 0)</f>
        <v>n/a</v>
      </c>
      <c r="F29" s="36" t="str" cm="1">
        <f t="array" ref="F29">Common_InputFunctions.Utility_DisplayArrayInTable(SourceData_PastureBeef.SourceData_PastureBeef_Liveweight_Data(), Table_SourceData_PastureBeef_Liveweight[[#Headers],[State]], 0)</f>
        <v>Autumn</v>
      </c>
      <c r="G29" s="36" cm="1">
        <f t="array" ref="G29">Common_InputFunctions.Utility_DisplayArrayInTable(SourceData_PastureBeef.SourceData_PastureBeef_Liveweight_Data(), Table_SourceData_PastureBeef_Liveweight[[#Headers],[State]], 0)</f>
        <v>250</v>
      </c>
      <c r="H29" s="36" cm="1">
        <f t="array" ref="H29">Common_InputFunctions.Utility_DisplayArrayInTable(SourceData_PastureBeef.SourceData_PastureBeef_Liveweight_Data(), Table_SourceData_PastureBeef_Liveweight[[#Headers],[State]], 0)</f>
        <v>725</v>
      </c>
      <c r="I29" s="36" cm="1">
        <f t="array" ref="I29">Common_InputFunctions.Utility_DisplayArrayInTable(SourceData_PastureBeef.SourceData_PastureBeef_Liveweight_Data(), Table_SourceData_PastureBeef_Liveweight[[#Headers],[State]], 0)</f>
        <v>200</v>
      </c>
      <c r="J29" s="36" cm="1">
        <f t="array" ref="J29">Common_InputFunctions.Utility_DisplayArrayInTable(SourceData_PastureBeef.SourceData_PastureBeef_Liveweight_Data(), Table_SourceData_PastureBeef_Liveweight[[#Headers],[State]], 0)</f>
        <v>360</v>
      </c>
      <c r="K29" s="36" cm="1">
        <f t="array" ref="K29">Common_InputFunctions.Utility_DisplayArrayInTable(SourceData_PastureBeef.SourceData_PastureBeef_Liveweight_Data(), Table_SourceData_PastureBeef_Liveweight[[#Headers],[State]], 0)</f>
        <v>500</v>
      </c>
      <c r="L29" s="36" cm="1">
        <f t="array" ref="L29">Common_InputFunctions.Utility_DisplayArrayInTable(SourceData_PastureBeef.SourceData_PastureBeef_Liveweight_Data(), Table_SourceData_PastureBeef_Liveweight[[#Headers],[State]], 0)</f>
        <v>215</v>
      </c>
      <c r="M29" s="36"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6" t="str" cm="1">
        <f t="array" ref="E30">Common_InputFunctions.Utility_DisplayArrayInTable(SourceData_PastureBeef.SourceData_PastureBeef_Liveweight_Data(), Table_SourceData_PastureBeef_Liveweight[[#Headers],[State]], 0)</f>
        <v>n/a</v>
      </c>
      <c r="F30" s="36" t="str" cm="1">
        <f t="array" ref="F30">Common_InputFunctions.Utility_DisplayArrayInTable(SourceData_PastureBeef.SourceData_PastureBeef_Liveweight_Data(), Table_SourceData_PastureBeef_Liveweight[[#Headers],[State]], 0)</f>
        <v>Winter</v>
      </c>
      <c r="G30" s="36" cm="1">
        <f t="array" ref="G30">Common_InputFunctions.Utility_DisplayArrayInTable(SourceData_PastureBeef.SourceData_PastureBeef_Liveweight_Data(), Table_SourceData_PastureBeef_Liveweight[[#Headers],[State]], 0)</f>
        <v>260</v>
      </c>
      <c r="H30" s="36" cm="1">
        <f t="array" ref="H30">Common_InputFunctions.Utility_DisplayArrayInTable(SourceData_PastureBeef.SourceData_PastureBeef_Liveweight_Data(), Table_SourceData_PastureBeef_Liveweight[[#Headers],[State]], 0)</f>
        <v>700</v>
      </c>
      <c r="I30" s="36" cm="1">
        <f t="array" ref="I30">Common_InputFunctions.Utility_DisplayArrayInTable(SourceData_PastureBeef.SourceData_PastureBeef_Liveweight_Data(), Table_SourceData_PastureBeef_Liveweight[[#Headers],[State]], 0)</f>
        <v>210</v>
      </c>
      <c r="J30" s="36" cm="1">
        <f t="array" ref="J30">Common_InputFunctions.Utility_DisplayArrayInTable(SourceData_PastureBeef.SourceData_PastureBeef_Liveweight_Data(), Table_SourceData_PastureBeef_Liveweight[[#Headers],[State]], 0)</f>
        <v>380</v>
      </c>
      <c r="K30" s="36" cm="1">
        <f t="array" ref="K30">Common_InputFunctions.Utility_DisplayArrayInTable(SourceData_PastureBeef.SourceData_PastureBeef_Liveweight_Data(), Table_SourceData_PastureBeef_Liveweight[[#Headers],[State]], 0)</f>
        <v>460</v>
      </c>
      <c r="L30" s="36" cm="1">
        <f t="array" ref="L30">Common_InputFunctions.Utility_DisplayArrayInTable(SourceData_PastureBeef.SourceData_PastureBeef_Liveweight_Data(), Table_SourceData_PastureBeef_Liveweight[[#Headers],[State]], 0)</f>
        <v>230</v>
      </c>
      <c r="M30" s="36"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6" t="str" cm="1">
        <f t="array" ref="E31">Common_InputFunctions.Utility_DisplayArrayInTable(SourceData_PastureBeef.SourceData_PastureBeef_Liveweight_Data(), Table_SourceData_PastureBeef_Liveweight[[#Headers],[State]], 0)</f>
        <v>n/a</v>
      </c>
      <c r="F31" s="36" t="str" cm="1">
        <f t="array" ref="F31">Common_InputFunctions.Utility_DisplayArrayInTable(SourceData_PastureBeef.SourceData_PastureBeef_Liveweight_Data(), Table_SourceData_PastureBeef_Liveweight[[#Headers],[State]], 0)</f>
        <v>Spring</v>
      </c>
      <c r="G31" s="36" cm="1">
        <f t="array" ref="G31">Common_InputFunctions.Utility_DisplayArrayInTable(SourceData_PastureBeef.SourceData_PastureBeef_Liveweight_Data(), Table_SourceData_PastureBeef_Liveweight[[#Headers],[State]], 0)</f>
        <v>250</v>
      </c>
      <c r="H31" s="36" cm="1">
        <f t="array" ref="H31">Common_InputFunctions.Utility_DisplayArrayInTable(SourceData_PastureBeef.SourceData_PastureBeef_Liveweight_Data(), Table_SourceData_PastureBeef_Liveweight[[#Headers],[State]], 0)</f>
        <v>820</v>
      </c>
      <c r="I31" s="36" cm="1">
        <f t="array" ref="I31">Common_InputFunctions.Utility_DisplayArrayInTable(SourceData_PastureBeef.SourceData_PastureBeef_Liveweight_Data(), Table_SourceData_PastureBeef_Liveweight[[#Headers],[State]], 0)</f>
        <v>240</v>
      </c>
      <c r="J31" s="36" cm="1">
        <f t="array" ref="J31">Common_InputFunctions.Utility_DisplayArrayInTable(SourceData_PastureBeef.SourceData_PastureBeef_Liveweight_Data(), Table_SourceData_PastureBeef_Liveweight[[#Headers],[State]], 0)</f>
        <v>410</v>
      </c>
      <c r="K31" s="36" cm="1">
        <f t="array" ref="K31">Common_InputFunctions.Utility_DisplayArrayInTable(SourceData_PastureBeef.SourceData_PastureBeef_Liveweight_Data(), Table_SourceData_PastureBeef_Liveweight[[#Headers],[State]], 0)</f>
        <v>560</v>
      </c>
      <c r="L31" s="36" cm="1">
        <f t="array" ref="L31">Common_InputFunctions.Utility_DisplayArrayInTable(SourceData_PastureBeef.SourceData_PastureBeef_Liveweight_Data(), Table_SourceData_PastureBeef_Liveweight[[#Headers],[State]], 0)</f>
        <v>240</v>
      </c>
      <c r="M31" s="36" cm="1">
        <f t="array" ref="M31">Common_InputFunctions.Utility_DisplayArrayInTable(SourceData_PastureBeef.SourceData_PastureBeef_Liveweight_Data(), Table_SourceData_PastureBeef_Liveweight[[#Headers],[State]], 0)</f>
        <v>510</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6" t="str" cm="1">
        <f t="array" ref="E32">Common_InputFunctions.Utility_DisplayArrayInTable(SourceData_PastureBeef.SourceData_PastureBeef_Liveweight_Data(), Table_SourceData_PastureBeef_Liveweight[[#Headers],[State]], 0)</f>
        <v>n/a</v>
      </c>
      <c r="F32" s="36" t="str" cm="1">
        <f t="array" ref="F32">Common_InputFunctions.Utility_DisplayArrayInTable(SourceData_PastureBeef.SourceData_PastureBeef_Liveweight_Data(), Table_SourceData_PastureBeef_Liveweight[[#Headers],[State]], 0)</f>
        <v>Summer</v>
      </c>
      <c r="G32" s="36" cm="1">
        <f t="array" ref="G32">Common_InputFunctions.Utility_DisplayArrayInTable(SourceData_PastureBeef.SourceData_PastureBeef_Liveweight_Data(), Table_SourceData_PastureBeef_Liveweight[[#Headers],[State]], 0)</f>
        <v>280</v>
      </c>
      <c r="H32" s="36" cm="1">
        <f t="array" ref="H32">Common_InputFunctions.Utility_DisplayArrayInTable(SourceData_PastureBeef.SourceData_PastureBeef_Liveweight_Data(), Table_SourceData_PastureBeef_Liveweight[[#Headers],[State]], 0)</f>
        <v>850</v>
      </c>
      <c r="I32" s="36" cm="1">
        <f t="array" ref="I32">Common_InputFunctions.Utility_DisplayArrayInTable(SourceData_PastureBeef.SourceData_PastureBeef_Liveweight_Data(), Table_SourceData_PastureBeef_Liveweight[[#Headers],[State]], 0)</f>
        <v>260</v>
      </c>
      <c r="J32" s="36" cm="1">
        <f t="array" ref="J32">Common_InputFunctions.Utility_DisplayArrayInTable(SourceData_PastureBeef.SourceData_PastureBeef_Liveweight_Data(), Table_SourceData_PastureBeef_Liveweight[[#Headers],[State]], 0)</f>
        <v>440</v>
      </c>
      <c r="K32" s="36" cm="1">
        <f t="array" ref="K32">Common_InputFunctions.Utility_DisplayArrayInTable(SourceData_PastureBeef.SourceData_PastureBeef_Liveweight_Data(), Table_SourceData_PastureBeef_Liveweight[[#Headers],[State]], 0)</f>
        <v>550</v>
      </c>
      <c r="L32" s="36" cm="1">
        <f t="array" ref="L32">Common_InputFunctions.Utility_DisplayArrayInTable(SourceData_PastureBeef.SourceData_PastureBeef_Liveweight_Data(), Table_SourceData_PastureBeef_Liveweight[[#Headers],[State]], 0)</f>
        <v>270</v>
      </c>
      <c r="M32" s="36" cm="1">
        <f t="array" ref="M32">Common_InputFunctions.Utility_DisplayArrayInTable(SourceData_PastureBeef.SourceData_PastureBeef_Liveweight_Data(), Table_SourceData_PastureBeef_Liveweight[[#Headers],[State]], 0)</f>
        <v>520</v>
      </c>
    </row>
    <row r="33" spans="4:13" ht="20.100000000000001" customHeight="1" x14ac:dyDescent="0.25">
      <c r="D33" s="1" t="str" cm="1">
        <f t="array" ref="D33">Common_InputFunctions.Utility_DisplayArrayInTable(SourceData_PastureBeef.SourceData_PastureBeef_Liveweight_Data(), Table_SourceData_PastureBeef_Liveweight[[#Headers],[State]], 0)</f>
        <v>Victoria</v>
      </c>
      <c r="E33" s="36" t="str" cm="1">
        <f t="array" ref="E33">Common_InputFunctions.Utility_DisplayArrayInTable(SourceData_PastureBeef.SourceData_PastureBeef_Liveweight_Data(), Table_SourceData_PastureBeef_Liveweight[[#Headers],[State]], 0)</f>
        <v>n/a</v>
      </c>
      <c r="F33" s="36" t="str" cm="1">
        <f t="array" ref="F33">Common_InputFunctions.Utility_DisplayArrayInTable(SourceData_PastureBeef.SourceData_PastureBeef_Liveweight_Data(), Table_SourceData_PastureBeef_Liveweight[[#Headers],[State]], 0)</f>
        <v>Autumn</v>
      </c>
      <c r="G33" s="36" cm="1">
        <f t="array" ref="G33">Common_InputFunctions.Utility_DisplayArrayInTable(SourceData_PastureBeef.SourceData_PastureBeef_Liveweight_Data(), Table_SourceData_PastureBeef_Liveweight[[#Headers],[State]], 0)</f>
        <v>100</v>
      </c>
      <c r="H33" s="36" cm="1">
        <f t="array" ref="H33">Common_InputFunctions.Utility_DisplayArrayInTable(SourceData_PastureBeef.SourceData_PastureBeef_Liveweight_Data(), Table_SourceData_PastureBeef_Liveweight[[#Headers],[State]], 0)</f>
        <v>700</v>
      </c>
      <c r="I33" s="36" cm="1">
        <f t="array" ref="I33">Common_InputFunctions.Utility_DisplayArrayInTable(SourceData_PastureBeef.SourceData_PastureBeef_Liveweight_Data(), Table_SourceData_PastureBeef_Liveweight[[#Headers],[State]], 0)</f>
        <v>95</v>
      </c>
      <c r="J33" s="36" cm="1">
        <f t="array" ref="J33">Common_InputFunctions.Utility_DisplayArrayInTable(SourceData_PastureBeef.SourceData_PastureBeef_Liveweight_Data(), Table_SourceData_PastureBeef_Liveweight[[#Headers],[State]], 0)</f>
        <v>300</v>
      </c>
      <c r="K33" s="36" cm="1">
        <f t="array" ref="K33">Common_InputFunctions.Utility_DisplayArrayInTable(SourceData_PastureBeef.SourceData_PastureBeef_Liveweight_Data(), Table_SourceData_PastureBeef_Liveweight[[#Headers],[State]], 0)</f>
        <v>450</v>
      </c>
      <c r="L33" s="36" cm="1">
        <f t="array" ref="L33">Common_InputFunctions.Utility_DisplayArrayInTable(SourceData_PastureBeef.SourceData_PastureBeef_Liveweight_Data(), Table_SourceData_PastureBeef_Liveweight[[#Headers],[State]], 0)</f>
        <v>95</v>
      </c>
      <c r="M33" s="36" cm="1">
        <f t="array" ref="M33">Common_InputFunctions.Utility_DisplayArrayInTable(SourceData_PastureBeef.SourceData_PastureBeef_Liveweight_Data(), Table_SourceData_PastureBeef_Liveweight[[#Headers],[State]], 0)</f>
        <v>410</v>
      </c>
    </row>
    <row r="34" spans="4:13" ht="20.100000000000001" customHeight="1" x14ac:dyDescent="0.25">
      <c r="D34" s="1" t="str" cm="1">
        <f t="array" ref="D34">Common_InputFunctions.Utility_DisplayArrayInTable(SourceData_PastureBeef.SourceData_PastureBeef_Liveweight_Data(), Table_SourceData_PastureBeef_Liveweight[[#Headers],[State]], 0)</f>
        <v>Victoria</v>
      </c>
      <c r="E34" s="36" t="str" cm="1">
        <f t="array" ref="E34">Common_InputFunctions.Utility_DisplayArrayInTable(SourceData_PastureBeef.SourceData_PastureBeef_Liveweight_Data(), Table_SourceData_PastureBeef_Liveweight[[#Headers],[State]], 0)</f>
        <v>n/a</v>
      </c>
      <c r="F34" s="36" t="str" cm="1">
        <f t="array" ref="F34">Common_InputFunctions.Utility_DisplayArrayInTable(SourceData_PastureBeef.SourceData_PastureBeef_Liveweight_Data(), Table_SourceData_PastureBeef_Liveweight[[#Headers],[State]], 0)</f>
        <v>Winter</v>
      </c>
      <c r="G34" s="36" cm="1">
        <f t="array" ref="G34">Common_InputFunctions.Utility_DisplayArrayInTable(SourceData_PastureBeef.SourceData_PastureBeef_Liveweight_Data(), Table_SourceData_PastureBeef_Liveweight[[#Headers],[State]], 0)</f>
        <v>150</v>
      </c>
      <c r="H34" s="36" cm="1">
        <f t="array" ref="H34">Common_InputFunctions.Utility_DisplayArrayInTable(SourceData_PastureBeef.SourceData_PastureBeef_Liveweight_Data(), Table_SourceData_PastureBeef_Liveweight[[#Headers],[State]], 0)</f>
        <v>720</v>
      </c>
      <c r="I34" s="36" cm="1">
        <f t="array" ref="I34">Common_InputFunctions.Utility_DisplayArrayInTable(SourceData_PastureBeef.SourceData_PastureBeef_Liveweight_Data(), Table_SourceData_PastureBeef_Liveweight[[#Headers],[State]], 0)</f>
        <v>140</v>
      </c>
      <c r="J34" s="36" cm="1">
        <f t="array" ref="J34">Common_InputFunctions.Utility_DisplayArrayInTable(SourceData_PastureBeef.SourceData_PastureBeef_Liveweight_Data(), Table_SourceData_PastureBeef_Liveweight[[#Headers],[State]], 0)</f>
        <v>320</v>
      </c>
      <c r="K34" s="36" cm="1">
        <f t="array" ref="K34">Common_InputFunctions.Utility_DisplayArrayInTable(SourceData_PastureBeef.SourceData_PastureBeef_Liveweight_Data(), Table_SourceData_PastureBeef_Liveweight[[#Headers],[State]], 0)</f>
        <v>470</v>
      </c>
      <c r="L34" s="36" cm="1">
        <f t="array" ref="L34">Common_InputFunctions.Utility_DisplayArrayInTable(SourceData_PastureBeef.SourceData_PastureBeef_Liveweight_Data(), Table_SourceData_PastureBeef_Liveweight[[#Headers],[State]], 0)</f>
        <v>140</v>
      </c>
      <c r="M34" s="36" cm="1">
        <f t="array" ref="M34">Common_InputFunctions.Utility_DisplayArrayInTable(SourceData_PastureBeef.SourceData_PastureBeef_Liveweight_Data(), Table_SourceData_PastureBeef_Liveweight[[#Headers],[State]], 0)</f>
        <v>440</v>
      </c>
    </row>
    <row r="35" spans="4:13"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6" t="str" cm="1">
        <f t="array" ref="E35">Common_InputFunctions.Utility_DisplayArrayInTable(SourceData_PastureBeef.SourceData_PastureBeef_Liveweight_Data(), Table_SourceData_PastureBeef_Liveweight[[#Headers],[State]], 0)</f>
        <v>South West</v>
      </c>
      <c r="F35" s="36" t="str" cm="1">
        <f t="array" ref="F35">Common_InputFunctions.Utility_DisplayArrayInTable(SourceData_PastureBeef.SourceData_PastureBeef_Liveweight_Data(), Table_SourceData_PastureBeef_Liveweight[[#Headers],[State]], 0)</f>
        <v>Spring</v>
      </c>
      <c r="G35" s="36" cm="1">
        <f t="array" ref="G35">Common_InputFunctions.Utility_DisplayArrayInTable(SourceData_PastureBeef.SourceData_PastureBeef_Liveweight_Data(), Table_SourceData_PastureBeef_Liveweight[[#Headers],[State]], 0)</f>
        <v>340</v>
      </c>
      <c r="H35" s="36" cm="1">
        <f t="array" ref="H35">Common_InputFunctions.Utility_DisplayArrayInTable(SourceData_PastureBeef.SourceData_PastureBeef_Liveweight_Data(), Table_SourceData_PastureBeef_Liveweight[[#Headers],[State]], 0)</f>
        <v>800</v>
      </c>
      <c r="I35" s="36" cm="1">
        <f t="array" ref="I35">Common_InputFunctions.Utility_DisplayArrayInTable(SourceData_PastureBeef.SourceData_PastureBeef_Liveweight_Data(), Table_SourceData_PastureBeef_Liveweight[[#Headers],[State]], 0)</f>
        <v>260</v>
      </c>
      <c r="J35" s="36" cm="1">
        <f t="array" ref="J35">Common_InputFunctions.Utility_DisplayArrayInTable(SourceData_PastureBeef.SourceData_PastureBeef_Liveweight_Data(), Table_SourceData_PastureBeef_Liveweight[[#Headers],[State]], 0)</f>
        <v>420</v>
      </c>
      <c r="K35" s="36" cm="1">
        <f t="array" ref="K35">Common_InputFunctions.Utility_DisplayArrayInTable(SourceData_PastureBeef.SourceData_PastureBeef_Liveweight_Data(), Table_SourceData_PastureBeef_Liveweight[[#Headers],[State]], 0)</f>
        <v>550</v>
      </c>
      <c r="L35" s="36" cm="1">
        <f t="array" ref="L35">Common_InputFunctions.Utility_DisplayArrayInTable(SourceData_PastureBeef.SourceData_PastureBeef_Liveweight_Data(), Table_SourceData_PastureBeef_Liveweight[[#Headers],[State]], 0)</f>
        <v>300</v>
      </c>
      <c r="M35" s="36" cm="1">
        <f t="array" ref="M35">Common_InputFunctions.Utility_DisplayArrayInTable(SourceData_PastureBeef.SourceData_PastureBeef_Liveweight_Data(), Table_SourceData_PastureBeef_Liveweight[[#Headers],[State]], 0)</f>
        <v>480</v>
      </c>
    </row>
    <row r="36" spans="4:13"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6" t="str" cm="1">
        <f t="array" ref="E36">Common_InputFunctions.Utility_DisplayArrayInTable(SourceData_PastureBeef.SourceData_PastureBeef_Liveweight_Data(), Table_SourceData_PastureBeef_Liveweight[[#Headers],[State]], 0)</f>
        <v>South West</v>
      </c>
      <c r="F36" s="36" t="str" cm="1">
        <f t="array" ref="F36">Common_InputFunctions.Utility_DisplayArrayInTable(SourceData_PastureBeef.SourceData_PastureBeef_Liveweight_Data(), Table_SourceData_PastureBeef_Liveweight[[#Headers],[State]], 0)</f>
        <v>Summer</v>
      </c>
      <c r="G36" s="36" cm="1">
        <f t="array" ref="G36">Common_InputFunctions.Utility_DisplayArrayInTable(SourceData_PastureBeef.SourceData_PastureBeef_Liveweight_Data(), Table_SourceData_PastureBeef_Liveweight[[#Headers],[State]], 0)</f>
        <v>380</v>
      </c>
      <c r="H36" s="36" cm="1">
        <f t="array" ref="H36">Common_InputFunctions.Utility_DisplayArrayInTable(SourceData_PastureBeef.SourceData_PastureBeef_Liveweight_Data(), Table_SourceData_PastureBeef_Liveweight[[#Headers],[State]], 0)</f>
        <v>780</v>
      </c>
      <c r="I36" s="36" cm="1">
        <f t="array" ref="I36">Common_InputFunctions.Utility_DisplayArrayInTable(SourceData_PastureBeef.SourceData_PastureBeef_Liveweight_Data(), Table_SourceData_PastureBeef_Liveweight[[#Headers],[State]], 0)</f>
        <v>300</v>
      </c>
      <c r="J36" s="36" cm="1">
        <f t="array" ref="J36">Common_InputFunctions.Utility_DisplayArrayInTable(SourceData_PastureBeef.SourceData_PastureBeef_Liveweight_Data(), Table_SourceData_PastureBeef_Liveweight[[#Headers],[State]], 0)</f>
        <v>450</v>
      </c>
      <c r="K36" s="36" cm="1">
        <f t="array" ref="K36">Common_InputFunctions.Utility_DisplayArrayInTable(SourceData_PastureBeef.SourceData_PastureBeef_Liveweight_Data(), Table_SourceData_PastureBeef_Liveweight[[#Headers],[State]], 0)</f>
        <v>530</v>
      </c>
      <c r="L36" s="36" cm="1">
        <f t="array" ref="L36">Common_InputFunctions.Utility_DisplayArrayInTable(SourceData_PastureBeef.SourceData_PastureBeef_Liveweight_Data(), Table_SourceData_PastureBeef_Liveweight[[#Headers],[State]], 0)</f>
        <v>340</v>
      </c>
      <c r="M36" s="36" cm="1">
        <f t="array" ref="M36">Common_InputFunctions.Utility_DisplayArrayInTable(SourceData_PastureBeef.SourceData_PastureBeef_Liveweight_Data(), Table_SourceData_PastureBeef_Liveweight[[#Headers],[State]], 0)</f>
        <v>470</v>
      </c>
    </row>
    <row r="37" spans="4:13"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6" t="str" cm="1">
        <f t="array" ref="E37">Common_InputFunctions.Utility_DisplayArrayInTable(SourceData_PastureBeef.SourceData_PastureBeef_Liveweight_Data(), Table_SourceData_PastureBeef_Liveweight[[#Headers],[State]], 0)</f>
        <v>South West</v>
      </c>
      <c r="F37" s="36" t="str" cm="1">
        <f t="array" ref="F37">Common_InputFunctions.Utility_DisplayArrayInTable(SourceData_PastureBeef.SourceData_PastureBeef_Liveweight_Data(), Table_SourceData_PastureBeef_Liveweight[[#Headers],[State]], 0)</f>
        <v>Autumn</v>
      </c>
      <c r="G37" s="36" cm="1">
        <f t="array" ref="G37">Common_InputFunctions.Utility_DisplayArrayInTable(SourceData_PastureBeef.SourceData_PastureBeef_Liveweight_Data(), Table_SourceData_PastureBeef_Liveweight[[#Headers],[State]], 0)</f>
        <v>100</v>
      </c>
      <c r="H37" s="36" cm="1">
        <f t="array" ref="H37">Common_InputFunctions.Utility_DisplayArrayInTable(SourceData_PastureBeef.SourceData_PastureBeef_Liveweight_Data(), Table_SourceData_PastureBeef_Liveweight[[#Headers],[State]], 0)</f>
        <v>680</v>
      </c>
      <c r="I37" s="36" cm="1">
        <f t="array" ref="I37">Common_InputFunctions.Utility_DisplayArrayInTable(SourceData_PastureBeef.SourceData_PastureBeef_Liveweight_Data(), Table_SourceData_PastureBeef_Liveweight[[#Headers],[State]], 0)</f>
        <v>80</v>
      </c>
      <c r="J37" s="36" cm="1">
        <f t="array" ref="J37">Common_InputFunctions.Utility_DisplayArrayInTable(SourceData_PastureBeef.SourceData_PastureBeef_Liveweight_Data(), Table_SourceData_PastureBeef_Liveweight[[#Headers],[State]], 0)</f>
        <v>320</v>
      </c>
      <c r="K37" s="36" cm="1">
        <f t="array" ref="K37">Common_InputFunctions.Utility_DisplayArrayInTable(SourceData_PastureBeef.SourceData_PastureBeef_Liveweight_Data(), Table_SourceData_PastureBeef_Liveweight[[#Headers],[State]], 0)</f>
        <v>480</v>
      </c>
      <c r="L37" s="36" cm="1">
        <f t="array" ref="L37">Common_InputFunctions.Utility_DisplayArrayInTable(SourceData_PastureBeef.SourceData_PastureBeef_Liveweight_Data(), Table_SourceData_PastureBeef_Liveweight[[#Headers],[State]], 0)</f>
        <v>100</v>
      </c>
      <c r="M37" s="36" cm="1">
        <f t="array" ref="M37">Common_InputFunctions.Utility_DisplayArrayInTable(SourceData_PastureBeef.SourceData_PastureBeef_Liveweight_Data(), Table_SourceData_PastureBeef_Liveweight[[#Headers],[State]], 0)</f>
        <v>340</v>
      </c>
    </row>
    <row r="38" spans="4:13"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6" t="str" cm="1">
        <f t="array" ref="E38">Common_InputFunctions.Utility_DisplayArrayInTable(SourceData_PastureBeef.SourceData_PastureBeef_Liveweight_Data(), Table_SourceData_PastureBeef_Liveweight[[#Headers],[State]], 0)</f>
        <v>South West</v>
      </c>
      <c r="F38" s="36" t="str" cm="1">
        <f t="array" ref="F38">Common_InputFunctions.Utility_DisplayArrayInTable(SourceData_PastureBeef.SourceData_PastureBeef_Liveweight_Data(), Table_SourceData_PastureBeef_Liveweight[[#Headers],[State]], 0)</f>
        <v>Winter</v>
      </c>
      <c r="G38" s="36" cm="1">
        <f t="array" ref="G38">Common_InputFunctions.Utility_DisplayArrayInTable(SourceData_PastureBeef.SourceData_PastureBeef_Liveweight_Data(), Table_SourceData_PastureBeef_Liveweight[[#Headers],[State]], 0)</f>
        <v>190</v>
      </c>
      <c r="H38" s="36" cm="1">
        <f t="array" ref="H38">Common_InputFunctions.Utility_DisplayArrayInTable(SourceData_PastureBeef.SourceData_PastureBeef_Liveweight_Data(), Table_SourceData_PastureBeef_Liveweight[[#Headers],[State]], 0)</f>
        <v>700</v>
      </c>
      <c r="I38" s="36" cm="1">
        <f t="array" ref="I38">Common_InputFunctions.Utility_DisplayArrayInTable(SourceData_PastureBeef.SourceData_PastureBeef_Liveweight_Data(), Table_SourceData_PastureBeef_Liveweight[[#Headers],[State]], 0)</f>
        <v>150</v>
      </c>
      <c r="J38" s="36" cm="1">
        <f t="array" ref="J38">Common_InputFunctions.Utility_DisplayArrayInTable(SourceData_PastureBeef.SourceData_PastureBeef_Liveweight_Data(), Table_SourceData_PastureBeef_Liveweight[[#Headers],[State]], 0)</f>
        <v>330</v>
      </c>
      <c r="K38" s="36" cm="1">
        <f t="array" ref="K38">Common_InputFunctions.Utility_DisplayArrayInTable(SourceData_PastureBeef.SourceData_PastureBeef_Liveweight_Data(), Table_SourceData_PastureBeef_Liveweight[[#Headers],[State]], 0)</f>
        <v>490</v>
      </c>
      <c r="L38" s="36" cm="1">
        <f t="array" ref="L38">Common_InputFunctions.Utility_DisplayArrayInTable(SourceData_PastureBeef.SourceData_PastureBeef_Liveweight_Data(), Table_SourceData_PastureBeef_Liveweight[[#Headers],[State]], 0)</f>
        <v>170</v>
      </c>
      <c r="M38" s="36" cm="1">
        <f t="array" ref="M38">Common_InputFunctions.Utility_DisplayArrayInTable(SourceData_PastureBeef.SourceData_PastureBeef_Liveweight_Data(), Table_SourceData_PastureBeef_Liveweight[[#Headers],[State]], 0)</f>
        <v>360</v>
      </c>
    </row>
    <row r="39" spans="4:13"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6" t="str" cm="1">
        <f t="array" ref="E39">Common_InputFunctions.Utility_DisplayArrayInTable(SourceData_PastureBeef.SourceData_PastureBeef_Liveweight_Data(), Table_SourceData_PastureBeef_Liveweight[[#Headers],[State]], 0)</f>
        <v>Pilbara</v>
      </c>
      <c r="F39" s="36" t="str" cm="1">
        <f t="array" ref="F39">Common_InputFunctions.Utility_DisplayArrayInTable(SourceData_PastureBeef.SourceData_PastureBeef_Liveweight_Data(), Table_SourceData_PastureBeef_Liveweight[[#Headers],[State]], 0)</f>
        <v>Spring</v>
      </c>
      <c r="G39" s="36" cm="1">
        <f t="array" ref="G39">Common_InputFunctions.Utility_DisplayArrayInTable(SourceData_PastureBeef.SourceData_PastureBeef_Liveweight_Data(), Table_SourceData_PastureBeef_Liveweight[[#Headers],[State]], 0)</f>
        <v>80</v>
      </c>
      <c r="H39" s="36" cm="1">
        <f t="array" ref="H39">Common_InputFunctions.Utility_DisplayArrayInTable(SourceData_PastureBeef.SourceData_PastureBeef_Liveweight_Data(), Table_SourceData_PastureBeef_Liveweight[[#Headers],[State]], 0)</f>
        <v>450</v>
      </c>
      <c r="I39" s="36" cm="1">
        <f t="array" ref="I39">Common_InputFunctions.Utility_DisplayArrayInTable(SourceData_PastureBeef.SourceData_PastureBeef_Liveweight_Data(), Table_SourceData_PastureBeef_Liveweight[[#Headers],[State]], 0)</f>
        <v>70</v>
      </c>
      <c r="J39" s="36" cm="1">
        <f t="array" ref="J39">Common_InputFunctions.Utility_DisplayArrayInTable(SourceData_PastureBeef.SourceData_PastureBeef_Liveweight_Data(), Table_SourceData_PastureBeef_Liveweight[[#Headers],[State]], 0)</f>
        <v>260</v>
      </c>
      <c r="K39" s="36" cm="1">
        <f t="array" ref="K39">Common_InputFunctions.Utility_DisplayArrayInTable(SourceData_PastureBeef.SourceData_PastureBeef_Liveweight_Data(), Table_SourceData_PastureBeef_Liveweight[[#Headers],[State]], 0)</f>
        <v>340</v>
      </c>
      <c r="L39" s="36" cm="1">
        <f t="array" ref="L39">Common_InputFunctions.Utility_DisplayArrayInTable(SourceData_PastureBeef.SourceData_PastureBeef_Liveweight_Data(), Table_SourceData_PastureBeef_Liveweight[[#Headers],[State]], 0)</f>
        <v>80</v>
      </c>
      <c r="M39" s="36" cm="1">
        <f t="array" ref="M39">Common_InputFunctions.Utility_DisplayArrayInTable(SourceData_PastureBeef.SourceData_PastureBeef_Liveweight_Data(), Table_SourceData_PastureBeef_Liveweight[[#Headers],[State]], 0)</f>
        <v>370</v>
      </c>
    </row>
    <row r="40" spans="4:13"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6" t="str" cm="1">
        <f t="array" ref="E40">Common_InputFunctions.Utility_DisplayArrayInTable(SourceData_PastureBeef.SourceData_PastureBeef_Liveweight_Data(), Table_SourceData_PastureBeef_Liveweight[[#Headers],[State]], 0)</f>
        <v>Pilbara</v>
      </c>
      <c r="F40" s="36" t="str" cm="1">
        <f t="array" ref="F40">Common_InputFunctions.Utility_DisplayArrayInTable(SourceData_PastureBeef.SourceData_PastureBeef_Liveweight_Data(), Table_SourceData_PastureBeef_Liveweight[[#Headers],[State]], 0)</f>
        <v>Summer</v>
      </c>
      <c r="G40" s="36" cm="1">
        <f t="array" ref="G40">Common_InputFunctions.Utility_DisplayArrayInTable(SourceData_PastureBeef.SourceData_PastureBeef_Liveweight_Data(), Table_SourceData_PastureBeef_Liveweight[[#Headers],[State]], 0)</f>
        <v>150</v>
      </c>
      <c r="H40" s="36" cm="1">
        <f t="array" ref="H40">Common_InputFunctions.Utility_DisplayArrayInTable(SourceData_PastureBeef.SourceData_PastureBeef_Liveweight_Data(), Table_SourceData_PastureBeef_Liveweight[[#Headers],[State]], 0)</f>
        <v>500</v>
      </c>
      <c r="I40" s="36" cm="1">
        <f t="array" ref="I40">Common_InputFunctions.Utility_DisplayArrayInTable(SourceData_PastureBeef.SourceData_PastureBeef_Liveweight_Data(), Table_SourceData_PastureBeef_Liveweight[[#Headers],[State]], 0)</f>
        <v>140</v>
      </c>
      <c r="J40" s="36" cm="1">
        <f t="array" ref="J40">Common_InputFunctions.Utility_DisplayArrayInTable(SourceData_PastureBeef.SourceData_PastureBeef_Liveweight_Data(), Table_SourceData_PastureBeef_Liveweight[[#Headers],[State]], 0)</f>
        <v>310</v>
      </c>
      <c r="K40" s="36" cm="1">
        <f t="array" ref="K40">Common_InputFunctions.Utility_DisplayArrayInTable(SourceData_PastureBeef.SourceData_PastureBeef_Liveweight_Data(), Table_SourceData_PastureBeef_Liveweight[[#Headers],[State]], 0)</f>
        <v>360</v>
      </c>
      <c r="L40" s="36" cm="1">
        <f t="array" ref="L40">Common_InputFunctions.Utility_DisplayArrayInTable(SourceData_PastureBeef.SourceData_PastureBeef_Liveweight_Data(), Table_SourceData_PastureBeef_Liveweight[[#Headers],[State]], 0)</f>
        <v>150</v>
      </c>
      <c r="M40" s="36" cm="1">
        <f t="array" ref="M40">Common_InputFunctions.Utility_DisplayArrayInTable(SourceData_PastureBeef.SourceData_PastureBeef_Liveweight_Data(), Table_SourceData_PastureBeef_Liveweight[[#Headers],[State]], 0)</f>
        <v>400</v>
      </c>
    </row>
    <row r="41" spans="4:13"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6" t="str" cm="1">
        <f t="array" ref="E41">Common_InputFunctions.Utility_DisplayArrayInTable(SourceData_PastureBeef.SourceData_PastureBeef_Liveweight_Data(), Table_SourceData_PastureBeef_Liveweight[[#Headers],[State]], 0)</f>
        <v>Pilbara</v>
      </c>
      <c r="F41" s="36" t="str" cm="1">
        <f t="array" ref="F41">Common_InputFunctions.Utility_DisplayArrayInTable(SourceData_PastureBeef.SourceData_PastureBeef_Liveweight_Data(), Table_SourceData_PastureBeef_Liveweight[[#Headers],[State]], 0)</f>
        <v>Autumn</v>
      </c>
      <c r="G41" s="36" cm="1">
        <f t="array" ref="G41">Common_InputFunctions.Utility_DisplayArrayInTable(SourceData_PastureBeef.SourceData_PastureBeef_Liveweight_Data(), Table_SourceData_PastureBeef_Liveweight[[#Headers],[State]], 0)</f>
        <v>230</v>
      </c>
      <c r="H41" s="36" cm="1">
        <f t="array" ref="H41">Common_InputFunctions.Utility_DisplayArrayInTable(SourceData_PastureBeef.SourceData_PastureBeef_Liveweight_Data(), Table_SourceData_PastureBeef_Liveweight[[#Headers],[State]], 0)</f>
        <v>550</v>
      </c>
      <c r="I41" s="36" cm="1">
        <f t="array" ref="I41">Common_InputFunctions.Utility_DisplayArrayInTable(SourceData_PastureBeef.SourceData_PastureBeef_Liveweight_Data(), Table_SourceData_PastureBeef_Liveweight[[#Headers],[State]], 0)</f>
        <v>220</v>
      </c>
      <c r="J41" s="36" cm="1">
        <f t="array" ref="J41">Common_InputFunctions.Utility_DisplayArrayInTable(SourceData_PastureBeef.SourceData_PastureBeef_Liveweight_Data(), Table_SourceData_PastureBeef_Liveweight[[#Headers],[State]], 0)</f>
        <v>330</v>
      </c>
      <c r="K41" s="36" cm="1">
        <f t="array" ref="K41">Common_InputFunctions.Utility_DisplayArrayInTable(SourceData_PastureBeef.SourceData_PastureBeef_Liveweight_Data(), Table_SourceData_PastureBeef_Liveweight[[#Headers],[State]], 0)</f>
        <v>380</v>
      </c>
      <c r="L41" s="36" cm="1">
        <f t="array" ref="L41">Common_InputFunctions.Utility_DisplayArrayInTable(SourceData_PastureBeef.SourceData_PastureBeef_Liveweight_Data(), Table_SourceData_PastureBeef_Liveweight[[#Headers],[State]], 0)</f>
        <v>230</v>
      </c>
      <c r="M41" s="36" cm="1">
        <f t="array" ref="M41">Common_InputFunctions.Utility_DisplayArrayInTable(SourceData_PastureBeef.SourceData_PastureBeef_Liveweight_Data(), Table_SourceData_PastureBeef_Liveweight[[#Headers],[State]], 0)</f>
        <v>420</v>
      </c>
    </row>
    <row r="42" spans="4:13"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6" t="str" cm="1">
        <f t="array" ref="E42">Common_InputFunctions.Utility_DisplayArrayInTable(SourceData_PastureBeef.SourceData_PastureBeef_Liveweight_Data(), Table_SourceData_PastureBeef_Liveweight[[#Headers],[State]], 0)</f>
        <v>Pilbara</v>
      </c>
      <c r="F42" s="36" t="str" cm="1">
        <f t="array" ref="F42">Common_InputFunctions.Utility_DisplayArrayInTable(SourceData_PastureBeef.SourceData_PastureBeef_Liveweight_Data(), Table_SourceData_PastureBeef_Liveweight[[#Headers],[State]], 0)</f>
        <v>Winter</v>
      </c>
      <c r="G42" s="36" cm="1">
        <f t="array" ref="G42">Common_InputFunctions.Utility_DisplayArrayInTable(SourceData_PastureBeef.SourceData_PastureBeef_Liveweight_Data(), Table_SourceData_PastureBeef_Liveweight[[#Headers],[State]], 0)</f>
        <v>250</v>
      </c>
      <c r="H42" s="36" cm="1">
        <f t="array" ref="H42">Common_InputFunctions.Utility_DisplayArrayInTable(SourceData_PastureBeef.SourceData_PastureBeef_Liveweight_Data(), Table_SourceData_PastureBeef_Liveweight[[#Headers],[State]], 0)</f>
        <v>500</v>
      </c>
      <c r="I42" s="36" cm="1">
        <f t="array" ref="I42">Common_InputFunctions.Utility_DisplayArrayInTable(SourceData_PastureBeef.SourceData_PastureBeef_Liveweight_Data(), Table_SourceData_PastureBeef_Liveweight[[#Headers],[State]], 0)</f>
        <v>240</v>
      </c>
      <c r="J42" s="36" cm="1">
        <f t="array" ref="J42">Common_InputFunctions.Utility_DisplayArrayInTable(SourceData_PastureBeef.SourceData_PastureBeef_Liveweight_Data(), Table_SourceData_PastureBeef_Liveweight[[#Headers],[State]], 0)</f>
        <v>340</v>
      </c>
      <c r="K42" s="36" cm="1">
        <f t="array" ref="K42">Common_InputFunctions.Utility_DisplayArrayInTable(SourceData_PastureBeef.SourceData_PastureBeef_Liveweight_Data(), Table_SourceData_PastureBeef_Liveweight[[#Headers],[State]], 0)</f>
        <v>360</v>
      </c>
      <c r="L42" s="36" cm="1">
        <f t="array" ref="L42">Common_InputFunctions.Utility_DisplayArrayInTable(SourceData_PastureBeef.SourceData_PastureBeef_Liveweight_Data(), Table_SourceData_PastureBeef_Liveweight[[#Headers],[State]], 0)</f>
        <v>250</v>
      </c>
      <c r="M42" s="36" cm="1">
        <f t="array" ref="M42">Common_InputFunctions.Utility_DisplayArrayInTable(SourceData_PastureBeef.SourceData_PastureBeef_Liveweight_Data(), Table_SourceData_PastureBeef_Liveweight[[#Headers],[State]], 0)</f>
        <v>390</v>
      </c>
    </row>
    <row r="43" spans="4:13"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6" t="str" cm="1">
        <f t="array" ref="E43">Common_InputFunctions.Utility_DisplayArrayInTable(SourceData_PastureBeef.SourceData_PastureBeef_Liveweight_Data(), Table_SourceData_PastureBeef_Liveweight[[#Headers],[State]], 0)</f>
        <v>Kimberley</v>
      </c>
      <c r="F43" s="36" t="str" cm="1">
        <f t="array" ref="F43">Common_InputFunctions.Utility_DisplayArrayInTable(SourceData_PastureBeef.SourceData_PastureBeef_Liveweight_Data(), Table_SourceData_PastureBeef_Liveweight[[#Headers],[State]], 0)</f>
        <v>Spring</v>
      </c>
      <c r="G43" s="36" cm="1">
        <f t="array" ref="G43">Common_InputFunctions.Utility_DisplayArrayInTable(SourceData_PastureBeef.SourceData_PastureBeef_Liveweight_Data(), Table_SourceData_PastureBeef_Liveweight[[#Headers],[State]], 0)</f>
        <v>220</v>
      </c>
      <c r="H43" s="36" cm="1">
        <f t="array" ref="H43">Common_InputFunctions.Utility_DisplayArrayInTable(SourceData_PastureBeef.SourceData_PastureBeef_Liveweight_Data(), Table_SourceData_PastureBeef_Liveweight[[#Headers],[State]], 0)</f>
        <v>500</v>
      </c>
      <c r="I43" s="36" cm="1">
        <f t="array" ref="I43">Common_InputFunctions.Utility_DisplayArrayInTable(SourceData_PastureBeef.SourceData_PastureBeef_Liveweight_Data(), Table_SourceData_PastureBeef_Liveweight[[#Headers],[State]], 0)</f>
        <v>180</v>
      </c>
      <c r="J43" s="36" cm="1">
        <f t="array" ref="J43">Common_InputFunctions.Utility_DisplayArrayInTable(SourceData_PastureBeef.SourceData_PastureBeef_Liveweight_Data(), Table_SourceData_PastureBeef_Liveweight[[#Headers],[State]], 0)</f>
        <v>300</v>
      </c>
      <c r="K43" s="36" cm="1">
        <f t="array" ref="K43">Common_InputFunctions.Utility_DisplayArrayInTable(SourceData_PastureBeef.SourceData_PastureBeef_Liveweight_Data(), Table_SourceData_PastureBeef_Liveweight[[#Headers],[State]], 0)</f>
        <v>320</v>
      </c>
      <c r="L43" s="36" cm="1">
        <f t="array" ref="L43">Common_InputFunctions.Utility_DisplayArrayInTable(SourceData_PastureBeef.SourceData_PastureBeef_Liveweight_Data(), Table_SourceData_PastureBeef_Liveweight[[#Headers],[State]], 0)</f>
        <v>210</v>
      </c>
      <c r="M43" s="36" cm="1">
        <f t="array" ref="M43">Common_InputFunctions.Utility_DisplayArrayInTable(SourceData_PastureBeef.SourceData_PastureBeef_Liveweight_Data(), Table_SourceData_PastureBeef_Liveweight[[#Headers],[State]], 0)</f>
        <v>340</v>
      </c>
    </row>
    <row r="44" spans="4:13"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6" t="str" cm="1">
        <f t="array" ref="E44">Common_InputFunctions.Utility_DisplayArrayInTable(SourceData_PastureBeef.SourceData_PastureBeef_Liveweight_Data(), Table_SourceData_PastureBeef_Liveweight[[#Headers],[State]], 0)</f>
        <v>Kimberley</v>
      </c>
      <c r="F44" s="36" t="str" cm="1">
        <f t="array" ref="F44">Common_InputFunctions.Utility_DisplayArrayInTable(SourceData_PastureBeef.SourceData_PastureBeef_Liveweight_Data(), Table_SourceData_PastureBeef_Liveweight[[#Headers],[State]], 0)</f>
        <v>Summer</v>
      </c>
      <c r="G44" s="36" cm="1">
        <f t="array" ref="G44">Common_InputFunctions.Utility_DisplayArrayInTable(SourceData_PastureBeef.SourceData_PastureBeef_Liveweight_Data(), Table_SourceData_PastureBeef_Liveweight[[#Headers],[State]], 0)</f>
        <v>110</v>
      </c>
      <c r="H44" s="36" cm="1">
        <f t="array" ref="H44">Common_InputFunctions.Utility_DisplayArrayInTable(SourceData_PastureBeef.SourceData_PastureBeef_Liveweight_Data(), Table_SourceData_PastureBeef_Liveweight[[#Headers],[State]], 0)</f>
        <v>550</v>
      </c>
      <c r="I44" s="36" cm="1">
        <f t="array" ref="I44">Common_InputFunctions.Utility_DisplayArrayInTable(SourceData_PastureBeef.SourceData_PastureBeef_Liveweight_Data(), Table_SourceData_PastureBeef_Liveweight[[#Headers],[State]], 0)</f>
        <v>90</v>
      </c>
      <c r="J44" s="36" cm="1">
        <f t="array" ref="J44">Common_InputFunctions.Utility_DisplayArrayInTable(SourceData_PastureBeef.SourceData_PastureBeef_Liveweight_Data(), Table_SourceData_PastureBeef_Liveweight[[#Headers],[State]], 0)</f>
        <v>220</v>
      </c>
      <c r="K44" s="36" cm="1">
        <f t="array" ref="K44">Common_InputFunctions.Utility_DisplayArrayInTable(SourceData_PastureBeef.SourceData_PastureBeef_Liveweight_Data(), Table_SourceData_PastureBeef_Liveweight[[#Headers],[State]], 0)</f>
        <v>380</v>
      </c>
      <c r="L44" s="36" cm="1">
        <f t="array" ref="L44">Common_InputFunctions.Utility_DisplayArrayInTable(SourceData_PastureBeef.SourceData_PastureBeef_Liveweight_Data(), Table_SourceData_PastureBeef_Liveweight[[#Headers],[State]], 0)</f>
        <v>100</v>
      </c>
      <c r="M44" s="36" cm="1">
        <f t="array" ref="M44">Common_InputFunctions.Utility_DisplayArrayInTable(SourceData_PastureBeef.SourceData_PastureBeef_Liveweight_Data(), Table_SourceData_PastureBeef_Liveweight[[#Headers],[State]], 0)</f>
        <v>390</v>
      </c>
    </row>
    <row r="45" spans="4:13"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6" t="str" cm="1">
        <f t="array" ref="E45">Common_InputFunctions.Utility_DisplayArrayInTable(SourceData_PastureBeef.SourceData_PastureBeef_Liveweight_Data(), Table_SourceData_PastureBeef_Liveweight[[#Headers],[State]], 0)</f>
        <v>Kimberley</v>
      </c>
      <c r="F45" s="36" t="str" cm="1">
        <f t="array" ref="F45">Common_InputFunctions.Utility_DisplayArrayInTable(SourceData_PastureBeef.SourceData_PastureBeef_Liveweight_Data(), Table_SourceData_PastureBeef_Liveweight[[#Headers],[State]], 0)</f>
        <v>Autumn</v>
      </c>
      <c r="G45" s="36" cm="1">
        <f t="array" ref="G45">Common_InputFunctions.Utility_DisplayArrayInTable(SourceData_PastureBeef.SourceData_PastureBeef_Liveweight_Data(), Table_SourceData_PastureBeef_Liveweight[[#Headers],[State]], 0)</f>
        <v>170</v>
      </c>
      <c r="H45" s="36" cm="1">
        <f t="array" ref="H45">Common_InputFunctions.Utility_DisplayArrayInTable(SourceData_PastureBeef.SourceData_PastureBeef_Liveweight_Data(), Table_SourceData_PastureBeef_Liveweight[[#Headers],[State]], 0)</f>
        <v>600</v>
      </c>
      <c r="I45" s="36" cm="1">
        <f t="array" ref="I45">Common_InputFunctions.Utility_DisplayArrayInTable(SourceData_PastureBeef.SourceData_PastureBeef_Liveweight_Data(), Table_SourceData_PastureBeef_Liveweight[[#Headers],[State]], 0)</f>
        <v>140</v>
      </c>
      <c r="J45" s="36" cm="1">
        <f t="array" ref="J45">Common_InputFunctions.Utility_DisplayArrayInTable(SourceData_PastureBeef.SourceData_PastureBeef_Liveweight_Data(), Table_SourceData_PastureBeef_Liveweight[[#Headers],[State]], 0)</f>
        <v>270</v>
      </c>
      <c r="K45" s="36" cm="1">
        <f t="array" ref="K45">Common_InputFunctions.Utility_DisplayArrayInTable(SourceData_PastureBeef.SourceData_PastureBeef_Liveweight_Data(), Table_SourceData_PastureBeef_Liveweight[[#Headers],[State]], 0)</f>
        <v>390</v>
      </c>
      <c r="L45" s="36" cm="1">
        <f t="array" ref="L45">Common_InputFunctions.Utility_DisplayArrayInTable(SourceData_PastureBeef.SourceData_PastureBeef_Liveweight_Data(), Table_SourceData_PastureBeef_Liveweight[[#Headers],[State]], 0)</f>
        <v>160</v>
      </c>
      <c r="M45" s="36" cm="1">
        <f t="array" ref="M45">Common_InputFunctions.Utility_DisplayArrayInTable(SourceData_PastureBeef.SourceData_PastureBeef_Liveweight_Data(), Table_SourceData_PastureBeef_Liveweight[[#Headers],[State]], 0)</f>
        <v>430</v>
      </c>
    </row>
    <row r="46" spans="4:13"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6" t="str" cm="1">
        <f t="array" ref="E46">Common_InputFunctions.Utility_DisplayArrayInTable(SourceData_PastureBeef.SourceData_PastureBeef_Liveweight_Data(), Table_SourceData_PastureBeef_Liveweight[[#Headers],[State]], 0)</f>
        <v>Kimberley</v>
      </c>
      <c r="F46" s="36" t="str" cm="1">
        <f t="array" ref="F46">Common_InputFunctions.Utility_DisplayArrayInTable(SourceData_PastureBeef.SourceData_PastureBeef_Liveweight_Data(), Table_SourceData_PastureBeef_Liveweight[[#Headers],[State]], 0)</f>
        <v>Winter</v>
      </c>
      <c r="G46" s="36" cm="1">
        <f t="array" ref="G46">Common_InputFunctions.Utility_DisplayArrayInTable(SourceData_PastureBeef.SourceData_PastureBeef_Liveweight_Data(), Table_SourceData_PastureBeef_Liveweight[[#Headers],[State]], 0)</f>
        <v>200</v>
      </c>
      <c r="H46" s="36" cm="1">
        <f t="array" ref="H46">Common_InputFunctions.Utility_DisplayArrayInTable(SourceData_PastureBeef.SourceData_PastureBeef_Liveweight_Data(), Table_SourceData_PastureBeef_Liveweight[[#Headers],[State]], 0)</f>
        <v>550</v>
      </c>
      <c r="I46" s="36" cm="1">
        <f t="array" ref="I46">Common_InputFunctions.Utility_DisplayArrayInTable(SourceData_PastureBeef.SourceData_PastureBeef_Liveweight_Data(), Table_SourceData_PastureBeef_Liveweight[[#Headers],[State]], 0)</f>
        <v>150</v>
      </c>
      <c r="J46" s="36" cm="1">
        <f t="array" ref="J46">Common_InputFunctions.Utility_DisplayArrayInTable(SourceData_PastureBeef.SourceData_PastureBeef_Liveweight_Data(), Table_SourceData_PastureBeef_Liveweight[[#Headers],[State]], 0)</f>
        <v>280</v>
      </c>
      <c r="K46" s="36" cm="1">
        <f t="array" ref="K46">Common_InputFunctions.Utility_DisplayArrayInTable(SourceData_PastureBeef.SourceData_PastureBeef_Liveweight_Data(), Table_SourceData_PastureBeef_Liveweight[[#Headers],[State]], 0)</f>
        <v>350</v>
      </c>
      <c r="L46" s="36" cm="1">
        <f t="array" ref="L46">Common_InputFunctions.Utility_DisplayArrayInTable(SourceData_PastureBeef.SourceData_PastureBeef_Liveweight_Data(), Table_SourceData_PastureBeef_Liveweight[[#Headers],[State]], 0)</f>
        <v>190</v>
      </c>
      <c r="M46" s="36" cm="1">
        <f t="array" ref="M46">Common_InputFunctions.Utility_DisplayArrayInTable(SourceData_PastureBeef.SourceData_PastureBeef_Liveweight_Data(), Table_SourceData_PastureBeef_Liveweight[[#Headers],[State]], 0)</f>
        <v>400</v>
      </c>
    </row>
    <row r="47" spans="4:13" ht="20.100000000000001" customHeight="1" x14ac:dyDescent="0.25">
      <c r="M47" s="1"/>
    </row>
    <row r="48" spans="4:13" ht="20.100000000000001" customHeight="1" x14ac:dyDescent="0.25">
      <c r="M48" s="1"/>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3" t="str" cm="1">
        <f t="array" ref="D52">SourceData_PastureBeef.SourceData_PastureBeef_LiveweightNTQLD_Unit()</f>
        <v>kg</v>
      </c>
      <c r="M52" s="1"/>
    </row>
    <row r="53" spans="4:16" ht="20.100000000000001" customHeight="1" x14ac:dyDescent="0.25">
      <c r="D53" s="36" t="s">
        <v>5</v>
      </c>
      <c r="E53" s="36" t="s">
        <v>143</v>
      </c>
      <c r="F53" s="36" t="s">
        <v>144</v>
      </c>
      <c r="G53" s="36" t="s">
        <v>163</v>
      </c>
      <c r="H53" s="36" t="s">
        <v>152</v>
      </c>
      <c r="I53" s="36" t="s">
        <v>153</v>
      </c>
      <c r="J53" s="36" t="s">
        <v>154</v>
      </c>
      <c r="K53" s="36" t="s">
        <v>155</v>
      </c>
      <c r="L53" s="36" t="s">
        <v>156</v>
      </c>
      <c r="M53" s="36" t="s">
        <v>157</v>
      </c>
      <c r="N53" s="36" t="s">
        <v>158</v>
      </c>
      <c r="O53" s="36" t="s">
        <v>159</v>
      </c>
      <c r="P53" s="36" t="s">
        <v>160</v>
      </c>
    </row>
    <row r="54" spans="4:16" ht="20.100000000000001" customHeight="1" x14ac:dyDescent="0.25">
      <c r="D54" s="36" t="str" cm="1">
        <f t="array" ref="D54">Common_InputFunctions.Utility_DisplayArrayInTable(SourceData_PastureBeef.SourceData_PastureBeef_LiveweightNTQLD_Data(),Table_SourceData_PastureBeef_LiveweightNTQD[[#Headers],[State]], 0)</f>
        <v>Northern Territory</v>
      </c>
      <c r="E54" s="36" t="str" cm="1">
        <f t="array" ref="E54">Common_InputFunctions.Utility_DisplayArrayInTable(SourceData_PastureBeef.SourceData_PastureBeef_LiveweightNTQLD_Data(),Table_SourceData_PastureBeef_LiveweightNTQD[[#Headers],[State]], 0)</f>
        <v>Alice Springs</v>
      </c>
      <c r="F54" s="36" t="str" cm="1">
        <f t="array" ref="F54">Common_InputFunctions.Utility_DisplayArrayInTable(SourceData_PastureBeef.SourceData_PastureBeef_LiveweightNTQLD_Data(),Table_SourceData_PastureBeef_LiveweightNTQD[[#Headers],[State]], 0)</f>
        <v>Spring</v>
      </c>
      <c r="G54" s="36" cm="1">
        <f t="array" ref="G54">Common_InputFunctions.Utility_DisplayArrayInTable(SourceData_PastureBeef.SourceData_PastureBeef_LiveweightNTQLD_Data(),Table_SourceData_PastureBeef_LiveweightNTQD[[#Headers],[State]], 0)</f>
        <v>220</v>
      </c>
      <c r="H54" s="36" cm="1">
        <f t="array" ref="H54">Common_InputFunctions.Utility_DisplayArrayInTable(SourceData_PastureBeef.SourceData_PastureBeef_LiveweightNTQLD_Data(),Table_SourceData_PastureBeef_LiveweightNTQD[[#Headers],[State]], 0)</f>
        <v>706</v>
      </c>
      <c r="I54" s="36" cm="1">
        <f t="array" ref="I54">Common_InputFunctions.Utility_DisplayArrayInTable(SourceData_PastureBeef.SourceData_PastureBeef_LiveweightNTQLD_Data(),Table_SourceData_PastureBeef_LiveweightNTQD[[#Headers],[State]], 0)</f>
        <v>208</v>
      </c>
      <c r="J54" s="36" cm="1">
        <f t="array" ref="J54">Common_InputFunctions.Utility_DisplayArrayInTable(SourceData_PastureBeef.SourceData_PastureBeef_LiveweightNTQLD_Data(),Table_SourceData_PastureBeef_LiveweightNTQD[[#Headers],[State]], 0)</f>
        <v>323</v>
      </c>
      <c r="K54" s="36" cm="1">
        <f t="array" ref="K54">Common_InputFunctions.Utility_DisplayArrayInTable(SourceData_PastureBeef.SourceData_PastureBeef_LiveweightNTQLD_Data(),Table_SourceData_PastureBeef_LiveweightNTQD[[#Headers],[State]], 0)</f>
        <v>415</v>
      </c>
      <c r="L54" s="36" cm="1">
        <f t="array" ref="L54">Common_InputFunctions.Utility_DisplayArrayInTable(SourceData_PastureBeef.SourceData_PastureBeef_LiveweightNTQLD_Data(),Table_SourceData_PastureBeef_LiveweightNTQD[[#Headers],[State]], 0)</f>
        <v>467</v>
      </c>
      <c r="M54" s="36" cm="1">
        <f t="array" ref="M54">Common_InputFunctions.Utility_DisplayArrayInTable(SourceData_PastureBeef.SourceData_PastureBeef_LiveweightNTQLD_Data(),Table_SourceData_PastureBeef_LiveweightNTQD[[#Headers],[State]], 0)</f>
        <v>223</v>
      </c>
      <c r="N54" s="36" cm="1">
        <f t="array" ref="N54">Common_InputFunctions.Utility_DisplayArrayInTable(SourceData_PastureBeef.SourceData_PastureBeef_LiveweightNTQLD_Data(),Table_SourceData_PastureBeef_LiveweightNTQD[[#Headers],[State]], 0)</f>
        <v>371</v>
      </c>
      <c r="O54" s="36" cm="1">
        <f t="array" ref="O54">Common_InputFunctions.Utility_DisplayArrayInTable(SourceData_PastureBeef.SourceData_PastureBeef_LiveweightNTQLD_Data(),Table_SourceData_PastureBeef_LiveweightNTQD[[#Headers],[State]], 0)</f>
        <v>493</v>
      </c>
      <c r="P54" s="36"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6" t="str" cm="1">
        <f t="array" ref="E55">Common_InputFunctions.Utility_DisplayArrayInTable(SourceData_PastureBeef.SourceData_PastureBeef_LiveweightNTQLD_Data(),Table_SourceData_PastureBeef_LiveweightNTQD[[#Headers],[State]], 0)</f>
        <v>Alice Springs</v>
      </c>
      <c r="F55" s="36" t="str" cm="1">
        <f t="array" ref="F55">Common_InputFunctions.Utility_DisplayArrayInTable(SourceData_PastureBeef.SourceData_PastureBeef_LiveweightNTQLD_Data(),Table_SourceData_PastureBeef_LiveweightNTQD[[#Headers],[State]], 0)</f>
        <v>Summer</v>
      </c>
      <c r="G55" s="36" cm="1">
        <f t="array" ref="G55">Common_InputFunctions.Utility_DisplayArrayInTable(SourceData_PastureBeef.SourceData_PastureBeef_LiveweightNTQLD_Data(),Table_SourceData_PastureBeef_LiveweightNTQD[[#Headers],[State]], 0)</f>
        <v>110</v>
      </c>
      <c r="H55" s="36" cm="1">
        <f t="array" ref="H55">Common_InputFunctions.Utility_DisplayArrayInTable(SourceData_PastureBeef.SourceData_PastureBeef_LiveweightNTQLD_Data(),Table_SourceData_PastureBeef_LiveweightNTQD[[#Headers],[State]], 0)</f>
        <v>703</v>
      </c>
      <c r="I55" s="36" cm="1">
        <f t="array" ref="I55">Common_InputFunctions.Utility_DisplayArrayInTable(SourceData_PastureBeef.SourceData_PastureBeef_LiveweightNTQLD_Data(),Table_SourceData_PastureBeef_LiveweightNTQD[[#Headers],[State]], 0)</f>
        <v>112</v>
      </c>
      <c r="J55" s="36" cm="1">
        <f t="array" ref="J55">Common_InputFunctions.Utility_DisplayArrayInTable(SourceData_PastureBeef.SourceData_PastureBeef_LiveweightNTQLD_Data(),Table_SourceData_PastureBeef_LiveweightNTQD[[#Headers],[State]], 0)</f>
        <v>256</v>
      </c>
      <c r="K55" s="36" cm="1">
        <f t="array" ref="K55">Common_InputFunctions.Utility_DisplayArrayInTable(SourceData_PastureBeef.SourceData_PastureBeef_LiveweightNTQLD_Data(),Table_SourceData_PastureBeef_LiveweightNTQD[[#Headers],[State]], 0)</f>
        <v>368</v>
      </c>
      <c r="L55" s="36" cm="1">
        <f t="array" ref="L55">Common_InputFunctions.Utility_DisplayArrayInTable(SourceData_PastureBeef.SourceData_PastureBeef_LiveweightNTQLD_Data(),Table_SourceData_PastureBeef_LiveweightNTQD[[#Headers],[State]], 0)</f>
        <v>465</v>
      </c>
      <c r="M55" s="36" cm="1">
        <f t="array" ref="M55">Common_InputFunctions.Utility_DisplayArrayInTable(SourceData_PastureBeef.SourceData_PastureBeef_LiveweightNTQLD_Data(),Table_SourceData_PastureBeef_LiveweightNTQD[[#Headers],[State]], 0)</f>
        <v>108</v>
      </c>
      <c r="N55" s="36" cm="1">
        <f t="array" ref="N55">Common_InputFunctions.Utility_DisplayArrayInTable(SourceData_PastureBeef.SourceData_PastureBeef_LiveweightNTQLD_Data(),Table_SourceData_PastureBeef_LiveweightNTQD[[#Headers],[State]], 0)</f>
        <v>280</v>
      </c>
      <c r="O55" s="36" cm="1">
        <f t="array" ref="O55">Common_InputFunctions.Utility_DisplayArrayInTable(SourceData_PastureBeef.SourceData_PastureBeef_LiveweightNTQLD_Data(),Table_SourceData_PastureBeef_LiveweightNTQD[[#Headers],[State]], 0)</f>
        <v>421</v>
      </c>
      <c r="P55" s="36"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6" t="str" cm="1">
        <f t="array" ref="E56">Common_InputFunctions.Utility_DisplayArrayInTable(SourceData_PastureBeef.SourceData_PastureBeef_LiveweightNTQLD_Data(),Table_SourceData_PastureBeef_LiveweightNTQD[[#Headers],[State]], 0)</f>
        <v>Alice Springs</v>
      </c>
      <c r="F56" s="36" t="str" cm="1">
        <f t="array" ref="F56">Common_InputFunctions.Utility_DisplayArrayInTable(SourceData_PastureBeef.SourceData_PastureBeef_LiveweightNTQLD_Data(),Table_SourceData_PastureBeef_LiveweightNTQD[[#Headers],[State]], 0)</f>
        <v>Autumn</v>
      </c>
      <c r="G56" s="36" cm="1">
        <f t="array" ref="G56">Common_InputFunctions.Utility_DisplayArrayInTable(SourceData_PastureBeef.SourceData_PastureBeef_LiveweightNTQLD_Data(),Table_SourceData_PastureBeef_LiveweightNTQD[[#Headers],[State]], 0)</f>
        <v>170</v>
      </c>
      <c r="H56" s="36" cm="1">
        <f t="array" ref="H56">Common_InputFunctions.Utility_DisplayArrayInTable(SourceData_PastureBeef.SourceData_PastureBeef_LiveweightNTQLD_Data(),Table_SourceData_PastureBeef_LiveweightNTQD[[#Headers],[State]], 0)</f>
        <v>721</v>
      </c>
      <c r="I56" s="36" cm="1">
        <f t="array" ref="I56">Common_InputFunctions.Utility_DisplayArrayInTable(SourceData_PastureBeef.SourceData_PastureBeef_LiveweightNTQLD_Data(),Table_SourceData_PastureBeef_LiveweightNTQD[[#Headers],[State]], 0)</f>
        <v>169</v>
      </c>
      <c r="J56" s="36" cm="1">
        <f t="array" ref="J56">Common_InputFunctions.Utility_DisplayArrayInTable(SourceData_PastureBeef.SourceData_PastureBeef_LiveweightNTQLD_Data(),Table_SourceData_PastureBeef_LiveweightNTQD[[#Headers],[State]], 0)</f>
        <v>306</v>
      </c>
      <c r="K56" s="36" cm="1">
        <f t="array" ref="K56">Common_InputFunctions.Utility_DisplayArrayInTable(SourceData_PastureBeef.SourceData_PastureBeef_LiveweightNTQLD_Data(),Table_SourceData_PastureBeef_LiveweightNTQD[[#Headers],[State]], 0)</f>
        <v>392</v>
      </c>
      <c r="L56" s="36" cm="1">
        <f t="array" ref="L56">Common_InputFunctions.Utility_DisplayArrayInTable(SourceData_PastureBeef.SourceData_PastureBeef_LiveweightNTQLD_Data(),Table_SourceData_PastureBeef_LiveweightNTQD[[#Headers],[State]], 0)</f>
        <v>464</v>
      </c>
      <c r="M56" s="36" cm="1">
        <f t="array" ref="M56">Common_InputFunctions.Utility_DisplayArrayInTable(SourceData_PastureBeef.SourceData_PastureBeef_LiveweightNTQLD_Data(),Table_SourceData_PastureBeef_LiveweightNTQD[[#Headers],[State]], 0)</f>
        <v>176</v>
      </c>
      <c r="N56" s="36" cm="1">
        <f t="array" ref="N56">Common_InputFunctions.Utility_DisplayArrayInTable(SourceData_PastureBeef.SourceData_PastureBeef_LiveweightNTQLD_Data(),Table_SourceData_PastureBeef_LiveweightNTQD[[#Headers],[State]], 0)</f>
        <v>339</v>
      </c>
      <c r="O56" s="36" cm="1">
        <f t="array" ref="O56">Common_InputFunctions.Utility_DisplayArrayInTable(SourceData_PastureBeef.SourceData_PastureBeef_LiveweightNTQLD_Data(),Table_SourceData_PastureBeef_LiveweightNTQD[[#Headers],[State]], 0)</f>
        <v>470</v>
      </c>
      <c r="P56" s="36"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6" t="str" cm="1">
        <f t="array" ref="E57">Common_InputFunctions.Utility_DisplayArrayInTable(SourceData_PastureBeef.SourceData_PastureBeef_LiveweightNTQLD_Data(),Table_SourceData_PastureBeef_LiveweightNTQD[[#Headers],[State]], 0)</f>
        <v>Alice Springs</v>
      </c>
      <c r="F57" s="36" t="str" cm="1">
        <f t="array" ref="F57">Common_InputFunctions.Utility_DisplayArrayInTable(SourceData_PastureBeef.SourceData_PastureBeef_LiveweightNTQLD_Data(),Table_SourceData_PastureBeef_LiveweightNTQD[[#Headers],[State]], 0)</f>
        <v>Winter</v>
      </c>
      <c r="G57" s="36" cm="1">
        <f t="array" ref="G57">Common_InputFunctions.Utility_DisplayArrayInTable(SourceData_PastureBeef.SourceData_PastureBeef_LiveweightNTQLD_Data(),Table_SourceData_PastureBeef_LiveweightNTQD[[#Headers],[State]], 0)</f>
        <v>200</v>
      </c>
      <c r="H57" s="36" cm="1">
        <f t="array" ref="H57">Common_InputFunctions.Utility_DisplayArrayInTable(SourceData_PastureBeef.SourceData_PastureBeef_LiveweightNTQLD_Data(),Table_SourceData_PastureBeef_LiveweightNTQD[[#Headers],[State]], 0)</f>
        <v>727</v>
      </c>
      <c r="I57" s="36" cm="1">
        <f t="array" ref="I57">Common_InputFunctions.Utility_DisplayArrayInTable(SourceData_PastureBeef.SourceData_PastureBeef_LiveweightNTQLD_Data(),Table_SourceData_PastureBeef_LiveweightNTQD[[#Headers],[State]], 0)</f>
        <v>211</v>
      </c>
      <c r="J57" s="36" cm="1">
        <f t="array" ref="J57">Common_InputFunctions.Utility_DisplayArrayInTable(SourceData_PastureBeef.SourceData_PastureBeef_LiveweightNTQLD_Data(),Table_SourceData_PastureBeef_LiveweightNTQD[[#Headers],[State]], 0)</f>
        <v>338</v>
      </c>
      <c r="K57" s="36" cm="1">
        <f t="array" ref="K57">Common_InputFunctions.Utility_DisplayArrayInTable(SourceData_PastureBeef.SourceData_PastureBeef_LiveweightNTQLD_Data(),Table_SourceData_PastureBeef_LiveweightNTQD[[#Headers],[State]], 0)</f>
        <v>432</v>
      </c>
      <c r="L57" s="36" cm="1">
        <f t="array" ref="L57">Common_InputFunctions.Utility_DisplayArrayInTable(SourceData_PastureBeef.SourceData_PastureBeef_LiveweightNTQLD_Data(),Table_SourceData_PastureBeef_LiveweightNTQD[[#Headers],[State]], 0)</f>
        <v>492</v>
      </c>
      <c r="M57" s="36" cm="1">
        <f t="array" ref="M57">Common_InputFunctions.Utility_DisplayArrayInTable(SourceData_PastureBeef.SourceData_PastureBeef_LiveweightNTQLD_Data(),Table_SourceData_PastureBeef_LiveweightNTQD[[#Headers],[State]], 0)</f>
        <v>222</v>
      </c>
      <c r="N57" s="36" cm="1">
        <f t="array" ref="N57">Common_InputFunctions.Utility_DisplayArrayInTable(SourceData_PastureBeef.SourceData_PastureBeef_LiveweightNTQLD_Data(),Table_SourceData_PastureBeef_LiveweightNTQD[[#Headers],[State]], 0)</f>
        <v>377</v>
      </c>
      <c r="O57" s="36" cm="1">
        <f t="array" ref="O57">Common_InputFunctions.Utility_DisplayArrayInTable(SourceData_PastureBeef.SourceData_PastureBeef_LiveweightNTQLD_Data(),Table_SourceData_PastureBeef_LiveweightNTQD[[#Headers],[State]], 0)</f>
        <v>498</v>
      </c>
      <c r="P57" s="36"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6" t="str" cm="1">
        <f t="array" ref="E58">Common_InputFunctions.Utility_DisplayArrayInTable(SourceData_PastureBeef.SourceData_PastureBeef_LiveweightNTQLD_Data(),Table_SourceData_PastureBeef_LiveweightNTQD[[#Headers],[State]], 0)</f>
        <v>Barkly</v>
      </c>
      <c r="F58" s="36" t="str" cm="1">
        <f t="array" ref="F58">Common_InputFunctions.Utility_DisplayArrayInTable(SourceData_PastureBeef.SourceData_PastureBeef_LiveweightNTQLD_Data(),Table_SourceData_PastureBeef_LiveweightNTQD[[#Headers],[State]], 0)</f>
        <v>Spring</v>
      </c>
      <c r="G58" s="36" cm="1">
        <f t="array" ref="G58">Common_InputFunctions.Utility_DisplayArrayInTable(SourceData_PastureBeef.SourceData_PastureBeef_LiveweightNTQLD_Data(),Table_SourceData_PastureBeef_LiveweightNTQD[[#Headers],[State]], 0)</f>
        <v>220</v>
      </c>
      <c r="H58" s="36" cm="1">
        <f t="array" ref="H58">Common_InputFunctions.Utility_DisplayArrayInTable(SourceData_PastureBeef.SourceData_PastureBeef_LiveweightNTQLD_Data(),Table_SourceData_PastureBeef_LiveweightNTQD[[#Headers],[State]], 0)</f>
        <v>620</v>
      </c>
      <c r="I58" s="36" cm="1">
        <f t="array" ref="I58">Common_InputFunctions.Utility_DisplayArrayInTable(SourceData_PastureBeef.SourceData_PastureBeef_LiveweightNTQLD_Data(),Table_SourceData_PastureBeef_LiveweightNTQD[[#Headers],[State]], 0)</f>
        <v>227</v>
      </c>
      <c r="J58" s="36" cm="1">
        <f t="array" ref="J58">Common_InputFunctions.Utility_DisplayArrayInTable(SourceData_PastureBeef.SourceData_PastureBeef_LiveweightNTQLD_Data(),Table_SourceData_PastureBeef_LiveweightNTQD[[#Headers],[State]], 0)</f>
        <v>319</v>
      </c>
      <c r="K58" s="36" cm="1">
        <f t="array" ref="K58">Common_InputFunctions.Utility_DisplayArrayInTable(SourceData_PastureBeef.SourceData_PastureBeef_LiveweightNTQLD_Data(),Table_SourceData_PastureBeef_LiveweightNTQD[[#Headers],[State]], 0)</f>
        <v>398</v>
      </c>
      <c r="L58" s="36" cm="1">
        <f t="array" ref="L58">Common_InputFunctions.Utility_DisplayArrayInTable(SourceData_PastureBeef.SourceData_PastureBeef_LiveweightNTQLD_Data(),Table_SourceData_PastureBeef_LiveweightNTQD[[#Headers],[State]], 0)</f>
        <v>452</v>
      </c>
      <c r="M58" s="36" cm="1">
        <f t="array" ref="M58">Common_InputFunctions.Utility_DisplayArrayInTable(SourceData_PastureBeef.SourceData_PastureBeef_LiveweightNTQLD_Data(),Table_SourceData_PastureBeef_LiveweightNTQD[[#Headers],[State]], 0)</f>
        <v>216</v>
      </c>
      <c r="N58" s="36" cm="1">
        <f t="array" ref="N58">Common_InputFunctions.Utility_DisplayArrayInTable(SourceData_PastureBeef.SourceData_PastureBeef_LiveweightNTQLD_Data(),Table_SourceData_PastureBeef_LiveweightNTQD[[#Headers],[State]], 0)</f>
        <v>334</v>
      </c>
      <c r="O58" s="36" t="str" cm="1">
        <f t="array" ref="O58">Common_InputFunctions.Utility_DisplayArrayInTable(SourceData_PastureBeef.SourceData_PastureBeef_LiveweightNTQLD_Data(),Table_SourceData_PastureBeef_LiveweightNTQD[[#Headers],[State]], 0)</f>
        <v>NO</v>
      </c>
      <c r="P58" s="36"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6" t="str" cm="1">
        <f t="array" ref="E59">Common_InputFunctions.Utility_DisplayArrayInTable(SourceData_PastureBeef.SourceData_PastureBeef_LiveweightNTQLD_Data(),Table_SourceData_PastureBeef_LiveweightNTQD[[#Headers],[State]], 0)</f>
        <v>Barkly</v>
      </c>
      <c r="F59" s="36" t="str" cm="1">
        <f t="array" ref="F59">Common_InputFunctions.Utility_DisplayArrayInTable(SourceData_PastureBeef.SourceData_PastureBeef_LiveweightNTQLD_Data(),Table_SourceData_PastureBeef_LiveweightNTQD[[#Headers],[State]], 0)</f>
        <v>Summer</v>
      </c>
      <c r="G59" s="36" cm="1">
        <f t="array" ref="G59">Common_InputFunctions.Utility_DisplayArrayInTable(SourceData_PastureBeef.SourceData_PastureBeef_LiveweightNTQLD_Data(),Table_SourceData_PastureBeef_LiveweightNTQD[[#Headers],[State]], 0)</f>
        <v>110</v>
      </c>
      <c r="H59" s="36" cm="1">
        <f t="array" ref="H59">Common_InputFunctions.Utility_DisplayArrayInTable(SourceData_PastureBeef.SourceData_PastureBeef_LiveweightNTQLD_Data(),Table_SourceData_PastureBeef_LiveweightNTQD[[#Headers],[State]], 0)</f>
        <v>650</v>
      </c>
      <c r="I59" s="36" cm="1">
        <f t="array" ref="I59">Common_InputFunctions.Utility_DisplayArrayInTable(SourceData_PastureBeef.SourceData_PastureBeef_LiveweightNTQLD_Data(),Table_SourceData_PastureBeef_LiveweightNTQD[[#Headers],[State]], 0)</f>
        <v>108</v>
      </c>
      <c r="J59" s="36" cm="1">
        <f t="array" ref="J59">Common_InputFunctions.Utility_DisplayArrayInTable(SourceData_PastureBeef.SourceData_PastureBeef_LiveweightNTQLD_Data(),Table_SourceData_PastureBeef_LiveweightNTQD[[#Headers],[State]], 0)</f>
        <v>262</v>
      </c>
      <c r="K59" s="36" cm="1">
        <f t="array" ref="K59">Common_InputFunctions.Utility_DisplayArrayInTable(SourceData_PastureBeef.SourceData_PastureBeef_LiveweightNTQLD_Data(),Table_SourceData_PastureBeef_LiveweightNTQD[[#Headers],[State]], 0)</f>
        <v>346</v>
      </c>
      <c r="L59" s="36" cm="1">
        <f t="array" ref="L59">Common_InputFunctions.Utility_DisplayArrayInTable(SourceData_PastureBeef.SourceData_PastureBeef_LiveweightNTQLD_Data(),Table_SourceData_PastureBeef_LiveweightNTQD[[#Headers],[State]], 0)</f>
        <v>430</v>
      </c>
      <c r="M59" s="36" cm="1">
        <f t="array" ref="M59">Common_InputFunctions.Utility_DisplayArrayInTable(SourceData_PastureBeef.SourceData_PastureBeef_LiveweightNTQLD_Data(),Table_SourceData_PastureBeef_LiveweightNTQD[[#Headers],[State]], 0)</f>
        <v>111</v>
      </c>
      <c r="N59" s="36" cm="1">
        <f t="array" ref="N59">Common_InputFunctions.Utility_DisplayArrayInTable(SourceData_PastureBeef.SourceData_PastureBeef_LiveweightNTQLD_Data(),Table_SourceData_PastureBeef_LiveweightNTQD[[#Headers],[State]], 0)</f>
        <v>236</v>
      </c>
      <c r="O59" s="36" t="str" cm="1">
        <f t="array" ref="O59">Common_InputFunctions.Utility_DisplayArrayInTable(SourceData_PastureBeef.SourceData_PastureBeef_LiveweightNTQLD_Data(),Table_SourceData_PastureBeef_LiveweightNTQD[[#Headers],[State]], 0)</f>
        <v>NO</v>
      </c>
      <c r="P59" s="36"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6" t="str" cm="1">
        <f t="array" ref="E60">Common_InputFunctions.Utility_DisplayArrayInTable(SourceData_PastureBeef.SourceData_PastureBeef_LiveweightNTQLD_Data(),Table_SourceData_PastureBeef_LiveweightNTQD[[#Headers],[State]], 0)</f>
        <v>Barkly</v>
      </c>
      <c r="F60" s="36" t="str" cm="1">
        <f t="array" ref="F60">Common_InputFunctions.Utility_DisplayArrayInTable(SourceData_PastureBeef.SourceData_PastureBeef_LiveweightNTQLD_Data(),Table_SourceData_PastureBeef_LiveweightNTQD[[#Headers],[State]], 0)</f>
        <v>Autumn</v>
      </c>
      <c r="G60" s="36" cm="1">
        <f t="array" ref="G60">Common_InputFunctions.Utility_DisplayArrayInTable(SourceData_PastureBeef.SourceData_PastureBeef_LiveweightNTQLD_Data(),Table_SourceData_PastureBeef_LiveweightNTQD[[#Headers],[State]], 0)</f>
        <v>170</v>
      </c>
      <c r="H60" s="36" cm="1">
        <f t="array" ref="H60">Common_InputFunctions.Utility_DisplayArrayInTable(SourceData_PastureBeef.SourceData_PastureBeef_LiveweightNTQLD_Data(),Table_SourceData_PastureBeef_LiveweightNTQD[[#Headers],[State]], 0)</f>
        <v>670</v>
      </c>
      <c r="I60" s="36" cm="1">
        <f t="array" ref="I60">Common_InputFunctions.Utility_DisplayArrayInTable(SourceData_PastureBeef.SourceData_PastureBeef_LiveweightNTQLD_Data(),Table_SourceData_PastureBeef_LiveweightNTQD[[#Headers],[State]], 0)</f>
        <v>170</v>
      </c>
      <c r="J60" s="36" cm="1">
        <f t="array" ref="J60">Common_InputFunctions.Utility_DisplayArrayInTable(SourceData_PastureBeef.SourceData_PastureBeef_LiveweightNTQLD_Data(),Table_SourceData_PastureBeef_LiveweightNTQD[[#Headers],[State]], 0)</f>
        <v>266</v>
      </c>
      <c r="K60" s="36" cm="1">
        <f t="array" ref="K60">Common_InputFunctions.Utility_DisplayArrayInTable(SourceData_PastureBeef.SourceData_PastureBeef_LiveweightNTQLD_Data(),Table_SourceData_PastureBeef_LiveweightNTQD[[#Headers],[State]], 0)</f>
        <v>363</v>
      </c>
      <c r="L60" s="36" cm="1">
        <f t="array" ref="L60">Common_InputFunctions.Utility_DisplayArrayInTable(SourceData_PastureBeef.SourceData_PastureBeef_LiveweightNTQLD_Data(),Table_SourceData_PastureBeef_LiveweightNTQD[[#Headers],[State]], 0)</f>
        <v>444</v>
      </c>
      <c r="M60" s="36" cm="1">
        <f t="array" ref="M60">Common_InputFunctions.Utility_DisplayArrayInTable(SourceData_PastureBeef.SourceData_PastureBeef_LiveweightNTQLD_Data(),Table_SourceData_PastureBeef_LiveweightNTQD[[#Headers],[State]], 0)</f>
        <v>169</v>
      </c>
      <c r="N60" s="36" cm="1">
        <f t="array" ref="N60">Common_InputFunctions.Utility_DisplayArrayInTable(SourceData_PastureBeef.SourceData_PastureBeef_LiveweightNTQLD_Data(),Table_SourceData_PastureBeef_LiveweightNTQD[[#Headers],[State]], 0)</f>
        <v>282</v>
      </c>
      <c r="O60" s="36" t="str" cm="1">
        <f t="array" ref="O60">Common_InputFunctions.Utility_DisplayArrayInTable(SourceData_PastureBeef.SourceData_PastureBeef_LiveweightNTQLD_Data(),Table_SourceData_PastureBeef_LiveweightNTQD[[#Headers],[State]], 0)</f>
        <v>NO</v>
      </c>
      <c r="P60" s="36"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6" t="str" cm="1">
        <f t="array" ref="E61">Common_InputFunctions.Utility_DisplayArrayInTable(SourceData_PastureBeef.SourceData_PastureBeef_LiveweightNTQLD_Data(),Table_SourceData_PastureBeef_LiveweightNTQD[[#Headers],[State]], 0)</f>
        <v>Barkly</v>
      </c>
      <c r="F61" s="36" t="str" cm="1">
        <f t="array" ref="F61">Common_InputFunctions.Utility_DisplayArrayInTable(SourceData_PastureBeef.SourceData_PastureBeef_LiveweightNTQLD_Data(),Table_SourceData_PastureBeef_LiveweightNTQD[[#Headers],[State]], 0)</f>
        <v>Winter</v>
      </c>
      <c r="G61" s="36" cm="1">
        <f t="array" ref="G61">Common_InputFunctions.Utility_DisplayArrayInTable(SourceData_PastureBeef.SourceData_PastureBeef_LiveweightNTQLD_Data(),Table_SourceData_PastureBeef_LiveweightNTQD[[#Headers],[State]], 0)</f>
        <v>200</v>
      </c>
      <c r="H61" s="36" cm="1">
        <f t="array" ref="H61">Common_InputFunctions.Utility_DisplayArrayInTable(SourceData_PastureBeef.SourceData_PastureBeef_LiveweightNTQLD_Data(),Table_SourceData_PastureBeef_LiveweightNTQD[[#Headers],[State]], 0)</f>
        <v>660</v>
      </c>
      <c r="I61" s="36" cm="1">
        <f t="array" ref="I61">Common_InputFunctions.Utility_DisplayArrayInTable(SourceData_PastureBeef.SourceData_PastureBeef_LiveweightNTQLD_Data(),Table_SourceData_PastureBeef_LiveweightNTQD[[#Headers],[State]], 0)</f>
        <v>225</v>
      </c>
      <c r="J61" s="36" cm="1">
        <f t="array" ref="J61">Common_InputFunctions.Utility_DisplayArrayInTable(SourceData_PastureBeef.SourceData_PastureBeef_LiveweightNTQLD_Data(),Table_SourceData_PastureBeef_LiveweightNTQD[[#Headers],[State]], 0)</f>
        <v>307</v>
      </c>
      <c r="K61" s="36" cm="1">
        <f t="array" ref="K61">Common_InputFunctions.Utility_DisplayArrayInTable(SourceData_PastureBeef.SourceData_PastureBeef_LiveweightNTQLD_Data(),Table_SourceData_PastureBeef_LiveweightNTQD[[#Headers],[State]], 0)</f>
        <v>398</v>
      </c>
      <c r="L61" s="36" cm="1">
        <f t="array" ref="L61">Common_InputFunctions.Utility_DisplayArrayInTable(SourceData_PastureBeef.SourceData_PastureBeef_LiveweightNTQLD_Data(),Table_SourceData_PastureBeef_LiveweightNTQD[[#Headers],[State]], 0)</f>
        <v>452</v>
      </c>
      <c r="M61" s="36" cm="1">
        <f t="array" ref="M61">Common_InputFunctions.Utility_DisplayArrayInTable(SourceData_PastureBeef.SourceData_PastureBeef_LiveweightNTQLD_Data(),Table_SourceData_PastureBeef_LiveweightNTQD[[#Headers],[State]], 0)</f>
        <v>214</v>
      </c>
      <c r="N61" s="36" cm="1">
        <f t="array" ref="N61">Common_InputFunctions.Utility_DisplayArrayInTable(SourceData_PastureBeef.SourceData_PastureBeef_LiveweightNTQLD_Data(),Table_SourceData_PastureBeef_LiveweightNTQD[[#Headers],[State]], 0)</f>
        <v>326</v>
      </c>
      <c r="O61" s="36" t="str" cm="1">
        <f t="array" ref="O61">Common_InputFunctions.Utility_DisplayArrayInTable(SourceData_PastureBeef.SourceData_PastureBeef_LiveweightNTQLD_Data(),Table_SourceData_PastureBeef_LiveweightNTQD[[#Headers],[State]], 0)</f>
        <v>NO</v>
      </c>
      <c r="P61" s="36"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6" t="str" cm="1">
        <f t="array" ref="E62">Common_InputFunctions.Utility_DisplayArrayInTable(SourceData_PastureBeef.SourceData_PastureBeef_LiveweightNTQLD_Data(),Table_SourceData_PastureBeef_LiveweightNTQD[[#Headers],[State]], 0)</f>
        <v>Northern</v>
      </c>
      <c r="F62" s="36" t="str" cm="1">
        <f t="array" ref="F62">Common_InputFunctions.Utility_DisplayArrayInTable(SourceData_PastureBeef.SourceData_PastureBeef_LiveweightNTQLD_Data(),Table_SourceData_PastureBeef_LiveweightNTQD[[#Headers],[State]], 0)</f>
        <v>Spring</v>
      </c>
      <c r="G62" s="36" cm="1">
        <f t="array" ref="G62">Common_InputFunctions.Utility_DisplayArrayInTable(SourceData_PastureBeef.SourceData_PastureBeef_LiveweightNTQLD_Data(),Table_SourceData_PastureBeef_LiveweightNTQD[[#Headers],[State]], 0)</f>
        <v>220</v>
      </c>
      <c r="H62" s="36" cm="1">
        <f t="array" ref="H62">Common_InputFunctions.Utility_DisplayArrayInTable(SourceData_PastureBeef.SourceData_PastureBeef_LiveweightNTQLD_Data(),Table_SourceData_PastureBeef_LiveweightNTQD[[#Headers],[State]], 0)</f>
        <v>620</v>
      </c>
      <c r="I62" s="36" cm="1">
        <f t="array" ref="I62">Common_InputFunctions.Utility_DisplayArrayInTable(SourceData_PastureBeef.SourceData_PastureBeef_LiveweightNTQLD_Data(),Table_SourceData_PastureBeef_LiveweightNTQD[[#Headers],[State]], 0)</f>
        <v>177</v>
      </c>
      <c r="J62" s="36" cm="1">
        <f t="array" ref="J62">Common_InputFunctions.Utility_DisplayArrayInTable(SourceData_PastureBeef.SourceData_PastureBeef_LiveweightNTQLD_Data(),Table_SourceData_PastureBeef_LiveweightNTQD[[#Headers],[State]], 0)</f>
        <v>267</v>
      </c>
      <c r="K62" s="36" cm="1">
        <f t="array" ref="K62">Common_InputFunctions.Utility_DisplayArrayInTable(SourceData_PastureBeef.SourceData_PastureBeef_LiveweightNTQLD_Data(),Table_SourceData_PastureBeef_LiveweightNTQD[[#Headers],[State]], 0)</f>
        <v>365</v>
      </c>
      <c r="L62" s="36" cm="1">
        <f t="array" ref="L62">Common_InputFunctions.Utility_DisplayArrayInTable(SourceData_PastureBeef.SourceData_PastureBeef_LiveweightNTQLD_Data(),Table_SourceData_PastureBeef_LiveweightNTQD[[#Headers],[State]], 0)</f>
        <v>406</v>
      </c>
      <c r="M62" s="36" cm="1">
        <f t="array" ref="M62">Common_InputFunctions.Utility_DisplayArrayInTable(SourceData_PastureBeef.SourceData_PastureBeef_LiveweightNTQLD_Data(),Table_SourceData_PastureBeef_LiveweightNTQD[[#Headers],[State]], 0)</f>
        <v>231</v>
      </c>
      <c r="N62" s="36" cm="1">
        <f t="array" ref="N62">Common_InputFunctions.Utility_DisplayArrayInTable(SourceData_PastureBeef.SourceData_PastureBeef_LiveweightNTQLD_Data(),Table_SourceData_PastureBeef_LiveweightNTQD[[#Headers],[State]], 0)</f>
        <v>249</v>
      </c>
      <c r="O62" s="36" cm="1">
        <f t="array" ref="O62">Common_InputFunctions.Utility_DisplayArrayInTable(SourceData_PastureBeef.SourceData_PastureBeef_LiveweightNTQLD_Data(),Table_SourceData_PastureBeef_LiveweightNTQD[[#Headers],[State]], 0)</f>
        <v>324</v>
      </c>
      <c r="P62" s="36"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6" t="str" cm="1">
        <f t="array" ref="E63">Common_InputFunctions.Utility_DisplayArrayInTable(SourceData_PastureBeef.SourceData_PastureBeef_LiveweightNTQLD_Data(),Table_SourceData_PastureBeef_LiveweightNTQD[[#Headers],[State]], 0)</f>
        <v>Northern</v>
      </c>
      <c r="F63" s="36" t="str" cm="1">
        <f t="array" ref="F63">Common_InputFunctions.Utility_DisplayArrayInTable(SourceData_PastureBeef.SourceData_PastureBeef_LiveweightNTQLD_Data(),Table_SourceData_PastureBeef_LiveweightNTQD[[#Headers],[State]], 0)</f>
        <v>Summer</v>
      </c>
      <c r="G63" s="36" cm="1">
        <f t="array" ref="G63">Common_InputFunctions.Utility_DisplayArrayInTable(SourceData_PastureBeef.SourceData_PastureBeef_LiveweightNTQLD_Data(),Table_SourceData_PastureBeef_LiveweightNTQD[[#Headers],[State]], 0)</f>
        <v>110</v>
      </c>
      <c r="H63" s="36" cm="1">
        <f t="array" ref="H63">Common_InputFunctions.Utility_DisplayArrayInTable(SourceData_PastureBeef.SourceData_PastureBeef_LiveweightNTQLD_Data(),Table_SourceData_PastureBeef_LiveweightNTQD[[#Headers],[State]], 0)</f>
        <v>650</v>
      </c>
      <c r="I63" s="36" cm="1">
        <f t="array" ref="I63">Common_InputFunctions.Utility_DisplayArrayInTable(SourceData_PastureBeef.SourceData_PastureBeef_LiveweightNTQLD_Data(),Table_SourceData_PastureBeef_LiveweightNTQD[[#Headers],[State]], 0)</f>
        <v>102</v>
      </c>
      <c r="J63" s="36" cm="1">
        <f t="array" ref="J63">Common_InputFunctions.Utility_DisplayArrayInTable(SourceData_PastureBeef.SourceData_PastureBeef_LiveweightNTQLD_Data(),Table_SourceData_PastureBeef_LiveweightNTQD[[#Headers],[State]], 0)</f>
        <v>203</v>
      </c>
      <c r="K63" s="36" cm="1">
        <f t="array" ref="K63">Common_InputFunctions.Utility_DisplayArrayInTable(SourceData_PastureBeef.SourceData_PastureBeef_LiveweightNTQLD_Data(),Table_SourceData_PastureBeef_LiveweightNTQD[[#Headers],[State]], 0)</f>
        <v>299</v>
      </c>
      <c r="L63" s="36" cm="1">
        <f t="array" ref="L63">Common_InputFunctions.Utility_DisplayArrayInTable(SourceData_PastureBeef.SourceData_PastureBeef_LiveweightNTQLD_Data(),Table_SourceData_PastureBeef_LiveweightNTQD[[#Headers],[State]], 0)</f>
        <v>380</v>
      </c>
      <c r="M63" s="36" cm="1">
        <f t="array" ref="M63">Common_InputFunctions.Utility_DisplayArrayInTable(SourceData_PastureBeef.SourceData_PastureBeef_LiveweightNTQLD_Data(),Table_SourceData_PastureBeef_LiveweightNTQD[[#Headers],[State]], 0)</f>
        <v>102</v>
      </c>
      <c r="N63" s="36" cm="1">
        <f t="array" ref="N63">Common_InputFunctions.Utility_DisplayArrayInTable(SourceData_PastureBeef.SourceData_PastureBeef_LiveweightNTQLD_Data(),Table_SourceData_PastureBeef_LiveweightNTQD[[#Headers],[State]], 0)</f>
        <v>218</v>
      </c>
      <c r="O63" s="36" cm="1">
        <f t="array" ref="O63">Common_InputFunctions.Utility_DisplayArrayInTable(SourceData_PastureBeef.SourceData_PastureBeef_LiveweightNTQLD_Data(),Table_SourceData_PastureBeef_LiveweightNTQD[[#Headers],[State]], 0)</f>
        <v>263</v>
      </c>
      <c r="P63" s="36"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6" t="str" cm="1">
        <f t="array" ref="E64">Common_InputFunctions.Utility_DisplayArrayInTable(SourceData_PastureBeef.SourceData_PastureBeef_LiveweightNTQLD_Data(),Table_SourceData_PastureBeef_LiveweightNTQD[[#Headers],[State]], 0)</f>
        <v>Northern</v>
      </c>
      <c r="F64" s="36" t="str" cm="1">
        <f t="array" ref="F64">Common_InputFunctions.Utility_DisplayArrayInTable(SourceData_PastureBeef.SourceData_PastureBeef_LiveweightNTQLD_Data(),Table_SourceData_PastureBeef_LiveweightNTQD[[#Headers],[State]], 0)</f>
        <v>Autumn</v>
      </c>
      <c r="G64" s="36" cm="1">
        <f t="array" ref="G64">Common_InputFunctions.Utility_DisplayArrayInTable(SourceData_PastureBeef.SourceData_PastureBeef_LiveweightNTQLD_Data(),Table_SourceData_PastureBeef_LiveweightNTQD[[#Headers],[State]], 0)</f>
        <v>170</v>
      </c>
      <c r="H64" s="36" cm="1">
        <f t="array" ref="H64">Common_InputFunctions.Utility_DisplayArrayInTable(SourceData_PastureBeef.SourceData_PastureBeef_LiveweightNTQLD_Data(),Table_SourceData_PastureBeef_LiveweightNTQD[[#Headers],[State]], 0)</f>
        <v>670</v>
      </c>
      <c r="I64" s="36" cm="1">
        <f t="array" ref="I64">Common_InputFunctions.Utility_DisplayArrayInTable(SourceData_PastureBeef.SourceData_PastureBeef_LiveweightNTQLD_Data(),Table_SourceData_PastureBeef_LiveweightNTQD[[#Headers],[State]], 0)</f>
        <v>173</v>
      </c>
      <c r="J64" s="36" cm="1">
        <f t="array" ref="J64">Common_InputFunctions.Utility_DisplayArrayInTable(SourceData_PastureBeef.SourceData_PastureBeef_LiveweightNTQLD_Data(),Table_SourceData_PastureBeef_LiveweightNTQD[[#Headers],[State]], 0)</f>
        <v>250</v>
      </c>
      <c r="K64" s="36" cm="1">
        <f t="array" ref="K64">Common_InputFunctions.Utility_DisplayArrayInTable(SourceData_PastureBeef.SourceData_PastureBeef_LiveweightNTQLD_Data(),Table_SourceData_PastureBeef_LiveweightNTQD[[#Headers],[State]], 0)</f>
        <v>336</v>
      </c>
      <c r="L64" s="36" cm="1">
        <f t="array" ref="L64">Common_InputFunctions.Utility_DisplayArrayInTable(SourceData_PastureBeef.SourceData_PastureBeef_LiveweightNTQLD_Data(),Table_SourceData_PastureBeef_LiveweightNTQD[[#Headers],[State]], 0)</f>
        <v>414</v>
      </c>
      <c r="M64" s="36" cm="1">
        <f t="array" ref="M64">Common_InputFunctions.Utility_DisplayArrayInTable(SourceData_PastureBeef.SourceData_PastureBeef_LiveweightNTQLD_Data(),Table_SourceData_PastureBeef_LiveweightNTQD[[#Headers],[State]], 0)</f>
        <v>175</v>
      </c>
      <c r="N64" s="36" cm="1">
        <f t="array" ref="N64">Common_InputFunctions.Utility_DisplayArrayInTable(SourceData_PastureBeef.SourceData_PastureBeef_LiveweightNTQLD_Data(),Table_SourceData_PastureBeef_LiveweightNTQD[[#Headers],[State]], 0)</f>
        <v>243</v>
      </c>
      <c r="O64" s="36" cm="1">
        <f t="array" ref="O64">Common_InputFunctions.Utility_DisplayArrayInTable(SourceData_PastureBeef.SourceData_PastureBeef_LiveweightNTQLD_Data(),Table_SourceData_PastureBeef_LiveweightNTQD[[#Headers],[State]], 0)</f>
        <v>304</v>
      </c>
      <c r="P64" s="36"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6" t="str" cm="1">
        <f t="array" ref="E65">Common_InputFunctions.Utility_DisplayArrayInTable(SourceData_PastureBeef.SourceData_PastureBeef_LiveweightNTQLD_Data(),Table_SourceData_PastureBeef_LiveweightNTQD[[#Headers],[State]], 0)</f>
        <v>Northern</v>
      </c>
      <c r="F65" s="36" t="str" cm="1">
        <f t="array" ref="F65">Common_InputFunctions.Utility_DisplayArrayInTable(SourceData_PastureBeef.SourceData_PastureBeef_LiveweightNTQLD_Data(),Table_SourceData_PastureBeef_LiveweightNTQD[[#Headers],[State]], 0)</f>
        <v>Winter</v>
      </c>
      <c r="G65" s="36" cm="1">
        <f t="array" ref="G65">Common_InputFunctions.Utility_DisplayArrayInTable(SourceData_PastureBeef.SourceData_PastureBeef_LiveweightNTQLD_Data(),Table_SourceData_PastureBeef_LiveweightNTQD[[#Headers],[State]], 0)</f>
        <v>200</v>
      </c>
      <c r="H65" s="36" cm="1">
        <f t="array" ref="H65">Common_InputFunctions.Utility_DisplayArrayInTable(SourceData_PastureBeef.SourceData_PastureBeef_LiveweightNTQLD_Data(),Table_SourceData_PastureBeef_LiveweightNTQD[[#Headers],[State]], 0)</f>
        <v>660</v>
      </c>
      <c r="I65" s="36" cm="1">
        <f t="array" ref="I65">Common_InputFunctions.Utility_DisplayArrayInTable(SourceData_PastureBeef.SourceData_PastureBeef_LiveweightNTQLD_Data(),Table_SourceData_PastureBeef_LiveweightNTQD[[#Headers],[State]], 0)</f>
        <v>202</v>
      </c>
      <c r="J65" s="36" cm="1">
        <f t="array" ref="J65">Common_InputFunctions.Utility_DisplayArrayInTable(SourceData_PastureBeef.SourceData_PastureBeef_LiveweightNTQLD_Data(),Table_SourceData_PastureBeef_LiveweightNTQD[[#Headers],[State]], 0)</f>
        <v>272</v>
      </c>
      <c r="K65" s="36" cm="1">
        <f t="array" ref="K65">Common_InputFunctions.Utility_DisplayArrayInTable(SourceData_PastureBeef.SourceData_PastureBeef_LiveweightNTQLD_Data(),Table_SourceData_PastureBeef_LiveweightNTQD[[#Headers],[State]], 0)</f>
        <v>365</v>
      </c>
      <c r="L65" s="36" cm="1">
        <f t="array" ref="L65">Common_InputFunctions.Utility_DisplayArrayInTable(SourceData_PastureBeef.SourceData_PastureBeef_LiveweightNTQLD_Data(),Table_SourceData_PastureBeef_LiveweightNTQD[[#Headers],[State]], 0)</f>
        <v>390</v>
      </c>
      <c r="M65" s="36" cm="1">
        <f t="array" ref="M65">Common_InputFunctions.Utility_DisplayArrayInTable(SourceData_PastureBeef.SourceData_PastureBeef_LiveweightNTQLD_Data(),Table_SourceData_PastureBeef_LiveweightNTQD[[#Headers],[State]], 0)</f>
        <v>208</v>
      </c>
      <c r="N65" s="36" cm="1">
        <f t="array" ref="N65">Common_InputFunctions.Utility_DisplayArrayInTable(SourceData_PastureBeef.SourceData_PastureBeef_LiveweightNTQLD_Data(),Table_SourceData_PastureBeef_LiveweightNTQD[[#Headers],[State]], 0)</f>
        <v>260</v>
      </c>
      <c r="O65" s="36" cm="1">
        <f t="array" ref="O65">Common_InputFunctions.Utility_DisplayArrayInTable(SourceData_PastureBeef.SourceData_PastureBeef_LiveweightNTQLD_Data(),Table_SourceData_PastureBeef_LiveweightNTQD[[#Headers],[State]], 0)</f>
        <v>337</v>
      </c>
      <c r="P65" s="36"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6" t="str" cm="1">
        <f t="array" ref="E66">Common_InputFunctions.Utility_DisplayArrayInTable(SourceData_PastureBeef.SourceData_PastureBeef_LiveweightNTQLD_Data(),Table_SourceData_PastureBeef_LiveweightNTQD[[#Headers],[State]], 0)</f>
        <v>High</v>
      </c>
      <c r="F66" s="36" t="str" cm="1">
        <f t="array" ref="F66">Common_InputFunctions.Utility_DisplayArrayInTable(SourceData_PastureBeef.SourceData_PastureBeef_LiveweightNTQLD_Data(),Table_SourceData_PastureBeef_LiveweightNTQD[[#Headers],[State]], 0)</f>
        <v>Spring</v>
      </c>
      <c r="G66" s="36" cm="1">
        <f t="array" ref="G66">Common_InputFunctions.Utility_DisplayArrayInTable(SourceData_PastureBeef.SourceData_PastureBeef_LiveweightNTQLD_Data(),Table_SourceData_PastureBeef_LiveweightNTQD[[#Headers],[State]], 0)</f>
        <v>260</v>
      </c>
      <c r="H66" s="36" cm="1">
        <f t="array" ref="H66">Common_InputFunctions.Utility_DisplayArrayInTable(SourceData_PastureBeef.SourceData_PastureBeef_LiveweightNTQLD_Data(),Table_SourceData_PastureBeef_LiveweightNTQD[[#Headers],[State]], 0)</f>
        <v>705</v>
      </c>
      <c r="I66" s="36" cm="1">
        <f t="array" ref="I66">Common_InputFunctions.Utility_DisplayArrayInTable(SourceData_PastureBeef.SourceData_PastureBeef_LiveweightNTQLD_Data(),Table_SourceData_PastureBeef_LiveweightNTQD[[#Headers],[State]], 0)</f>
        <v>215</v>
      </c>
      <c r="J66" s="36" cm="1">
        <f t="array" ref="J66">Common_InputFunctions.Utility_DisplayArrayInTable(SourceData_PastureBeef.SourceData_PastureBeef_LiveweightNTQLD_Data(),Table_SourceData_PastureBeef_LiveweightNTQD[[#Headers],[State]], 0)</f>
        <v>302</v>
      </c>
      <c r="K66" s="36" cm="1">
        <f t="array" ref="K66">Common_InputFunctions.Utility_DisplayArrayInTable(SourceData_PastureBeef.SourceData_PastureBeef_LiveweightNTQLD_Data(),Table_SourceData_PastureBeef_LiveweightNTQD[[#Headers],[State]], 0)</f>
        <v>416</v>
      </c>
      <c r="L66" s="36" cm="1">
        <f t="array" ref="L66">Common_InputFunctions.Utility_DisplayArrayInTable(SourceData_PastureBeef.SourceData_PastureBeef_LiveweightNTQLD_Data(),Table_SourceData_PastureBeef_LiveweightNTQD[[#Headers],[State]], 0)</f>
        <v>519</v>
      </c>
      <c r="M66" s="36" cm="1">
        <f t="array" ref="M66">Common_InputFunctions.Utility_DisplayArrayInTable(SourceData_PastureBeef.SourceData_PastureBeef_LiveweightNTQLD_Data(),Table_SourceData_PastureBeef_LiveweightNTQD[[#Headers],[State]], 0)</f>
        <v>234</v>
      </c>
      <c r="N66" s="36" cm="1">
        <f t="array" ref="N66">Common_InputFunctions.Utility_DisplayArrayInTable(SourceData_PastureBeef.SourceData_PastureBeef_LiveweightNTQLD_Data(),Table_SourceData_PastureBeef_LiveweightNTQD[[#Headers],[State]], 0)</f>
        <v>455</v>
      </c>
      <c r="O66" s="36" cm="1">
        <f t="array" ref="O66">Common_InputFunctions.Utility_DisplayArrayInTable(SourceData_PastureBeef.SourceData_PastureBeef_LiveweightNTQLD_Data(),Table_SourceData_PastureBeef_LiveweightNTQD[[#Headers],[State]], 0)</f>
        <v>551</v>
      </c>
      <c r="P66" s="36"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6" t="str" cm="1">
        <f t="array" ref="E67">Common_InputFunctions.Utility_DisplayArrayInTable(SourceData_PastureBeef.SourceData_PastureBeef_LiveweightNTQLD_Data(),Table_SourceData_PastureBeef_LiveweightNTQD[[#Headers],[State]], 0)</f>
        <v>High</v>
      </c>
      <c r="F67" s="36" t="str" cm="1">
        <f t="array" ref="F67">Common_InputFunctions.Utility_DisplayArrayInTable(SourceData_PastureBeef.SourceData_PastureBeef_LiveweightNTQLD_Data(),Table_SourceData_PastureBeef_LiveweightNTQD[[#Headers],[State]], 0)</f>
        <v>Summer</v>
      </c>
      <c r="G67" s="36" cm="1">
        <f t="array" ref="G67">Common_InputFunctions.Utility_DisplayArrayInTable(SourceData_PastureBeef.SourceData_PastureBeef_LiveweightNTQLD_Data(),Table_SourceData_PastureBeef_LiveweightNTQD[[#Headers],[State]], 0)</f>
        <v>153</v>
      </c>
      <c r="H67" s="36" cm="1">
        <f t="array" ref="H67">Common_InputFunctions.Utility_DisplayArrayInTable(SourceData_PastureBeef.SourceData_PastureBeef_LiveweightNTQLD_Data(),Table_SourceData_PastureBeef_LiveweightNTQD[[#Headers],[State]], 0)</f>
        <v>703</v>
      </c>
      <c r="I67" s="36" cm="1">
        <f t="array" ref="I67">Common_InputFunctions.Utility_DisplayArrayInTable(SourceData_PastureBeef.SourceData_PastureBeef_LiveweightNTQLD_Data(),Table_SourceData_PastureBeef_LiveweightNTQD[[#Headers],[State]], 0)</f>
        <v>118</v>
      </c>
      <c r="J67" s="36" cm="1">
        <f t="array" ref="J67">Common_InputFunctions.Utility_DisplayArrayInTable(SourceData_PastureBeef.SourceData_PastureBeef_LiveweightNTQLD_Data(),Table_SourceData_PastureBeef_LiveweightNTQD[[#Headers],[State]], 0)</f>
        <v>277</v>
      </c>
      <c r="K67" s="36" cm="1">
        <f t="array" ref="K67">Common_InputFunctions.Utility_DisplayArrayInTable(SourceData_PastureBeef.SourceData_PastureBeef_LiveweightNTQLD_Data(),Table_SourceData_PastureBeef_LiveweightNTQD[[#Headers],[State]], 0)</f>
        <v>397</v>
      </c>
      <c r="L67" s="36" cm="1">
        <f t="array" ref="L67">Common_InputFunctions.Utility_DisplayArrayInTable(SourceData_PastureBeef.SourceData_PastureBeef_LiveweightNTQLD_Data(),Table_SourceData_PastureBeef_LiveweightNTQD[[#Headers],[State]], 0)</f>
        <v>483</v>
      </c>
      <c r="M67" s="36" cm="1">
        <f t="array" ref="M67">Common_InputFunctions.Utility_DisplayArrayInTable(SourceData_PastureBeef.SourceData_PastureBeef_LiveweightNTQLD_Data(),Table_SourceData_PastureBeef_LiveweightNTQD[[#Headers],[State]], 0)</f>
        <v>111</v>
      </c>
      <c r="N67" s="36" cm="1">
        <f t="array" ref="N67">Common_InputFunctions.Utility_DisplayArrayInTable(SourceData_PastureBeef.SourceData_PastureBeef_LiveweightNTQLD_Data(),Table_SourceData_PastureBeef_LiveweightNTQD[[#Headers],[State]], 0)</f>
        <v>304</v>
      </c>
      <c r="O67" s="36" cm="1">
        <f t="array" ref="O67">Common_InputFunctions.Utility_DisplayArrayInTable(SourceData_PastureBeef.SourceData_PastureBeef_LiveweightNTQLD_Data(),Table_SourceData_PastureBeef_LiveweightNTQD[[#Headers],[State]], 0)</f>
        <v>521</v>
      </c>
      <c r="P67" s="36"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6" t="str" cm="1">
        <f t="array" ref="E68">Common_InputFunctions.Utility_DisplayArrayInTable(SourceData_PastureBeef.SourceData_PastureBeef_LiveweightNTQLD_Data(),Table_SourceData_PastureBeef_LiveweightNTQD[[#Headers],[State]], 0)</f>
        <v>High</v>
      </c>
      <c r="F68" s="36" t="str" cm="1">
        <f t="array" ref="F68">Common_InputFunctions.Utility_DisplayArrayInTable(SourceData_PastureBeef.SourceData_PastureBeef_LiveweightNTQLD_Data(),Table_SourceData_PastureBeef_LiveweightNTQD[[#Headers],[State]], 0)</f>
        <v>Autumn</v>
      </c>
      <c r="G68" s="36" cm="1">
        <f t="array" ref="G68">Common_InputFunctions.Utility_DisplayArrayInTable(SourceData_PastureBeef.SourceData_PastureBeef_LiveweightNTQLD_Data(),Table_SourceData_PastureBeef_LiveweightNTQD[[#Headers],[State]], 0)</f>
        <v>168</v>
      </c>
      <c r="H68" s="36" cm="1">
        <f t="array" ref="H68">Common_InputFunctions.Utility_DisplayArrayInTable(SourceData_PastureBeef.SourceData_PastureBeef_LiveweightNTQLD_Data(),Table_SourceData_PastureBeef_LiveweightNTQD[[#Headers],[State]], 0)</f>
        <v>718</v>
      </c>
      <c r="I68" s="36" cm="1">
        <f t="array" ref="I68">Common_InputFunctions.Utility_DisplayArrayInTable(SourceData_PastureBeef.SourceData_PastureBeef_LiveweightNTQLD_Data(),Table_SourceData_PastureBeef_LiveweightNTQD[[#Headers],[State]], 0)</f>
        <v>191</v>
      </c>
      <c r="J68" s="36" cm="1">
        <f t="array" ref="J68">Common_InputFunctions.Utility_DisplayArrayInTable(SourceData_PastureBeef.SourceData_PastureBeef_LiveweightNTQLD_Data(),Table_SourceData_PastureBeef_LiveweightNTQD[[#Headers],[State]], 0)</f>
        <v>319</v>
      </c>
      <c r="K68" s="36" cm="1">
        <f t="array" ref="K68">Common_InputFunctions.Utility_DisplayArrayInTable(SourceData_PastureBeef.SourceData_PastureBeef_LiveweightNTQLD_Data(),Table_SourceData_PastureBeef_LiveweightNTQD[[#Headers],[State]], 0)</f>
        <v>440</v>
      </c>
      <c r="L68" s="36" cm="1">
        <f t="array" ref="L68">Common_InputFunctions.Utility_DisplayArrayInTable(SourceData_PastureBeef.SourceData_PastureBeef_LiveweightNTQLD_Data(),Table_SourceData_PastureBeef_LiveweightNTQD[[#Headers],[State]], 0)</f>
        <v>506</v>
      </c>
      <c r="M68" s="36" cm="1">
        <f t="array" ref="M68">Common_InputFunctions.Utility_DisplayArrayInTable(SourceData_PastureBeef.SourceData_PastureBeef_LiveweightNTQLD_Data(),Table_SourceData_PastureBeef_LiveweightNTQD[[#Headers],[State]], 0)</f>
        <v>188</v>
      </c>
      <c r="N68" s="36" cm="1">
        <f t="array" ref="N68">Common_InputFunctions.Utility_DisplayArrayInTable(SourceData_PastureBeef.SourceData_PastureBeef_LiveweightNTQLD_Data(),Table_SourceData_PastureBeef_LiveweightNTQD[[#Headers],[State]], 0)</f>
        <v>326</v>
      </c>
      <c r="O68" s="36" cm="1">
        <f t="array" ref="O68">Common_InputFunctions.Utility_DisplayArrayInTable(SourceData_PastureBeef.SourceData_PastureBeef_LiveweightNTQLD_Data(),Table_SourceData_PastureBeef_LiveweightNTQD[[#Headers],[State]], 0)</f>
        <v>520</v>
      </c>
      <c r="P68" s="36"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6" t="str" cm="1">
        <f t="array" ref="E69">Common_InputFunctions.Utility_DisplayArrayInTable(SourceData_PastureBeef.SourceData_PastureBeef_LiveweightNTQLD_Data(),Table_SourceData_PastureBeef_LiveweightNTQD[[#Headers],[State]], 0)</f>
        <v>High</v>
      </c>
      <c r="F69" s="36" t="str" cm="1">
        <f t="array" ref="F69">Common_InputFunctions.Utility_DisplayArrayInTable(SourceData_PastureBeef.SourceData_PastureBeef_LiveweightNTQLD_Data(),Table_SourceData_PastureBeef_LiveweightNTQD[[#Headers],[State]], 0)</f>
        <v>Winter</v>
      </c>
      <c r="G69" s="36" cm="1">
        <f t="array" ref="G69">Common_InputFunctions.Utility_DisplayArrayInTable(SourceData_PastureBeef.SourceData_PastureBeef_LiveweightNTQLD_Data(),Table_SourceData_PastureBeef_LiveweightNTQD[[#Headers],[State]], 0)</f>
        <v>235</v>
      </c>
      <c r="H69" s="36" cm="1">
        <f t="array" ref="H69">Common_InputFunctions.Utility_DisplayArrayInTable(SourceData_PastureBeef.SourceData_PastureBeef_LiveweightNTQLD_Data(),Table_SourceData_PastureBeef_LiveweightNTQD[[#Headers],[State]], 0)</f>
        <v>722</v>
      </c>
      <c r="I69" s="36" cm="1">
        <f t="array" ref="I69">Common_InputFunctions.Utility_DisplayArrayInTable(SourceData_PastureBeef.SourceData_PastureBeef_LiveweightNTQLD_Data(),Table_SourceData_PastureBeef_LiveweightNTQD[[#Headers],[State]], 0)</f>
        <v>207</v>
      </c>
      <c r="J69" s="36" cm="1">
        <f t="array" ref="J69">Common_InputFunctions.Utility_DisplayArrayInTable(SourceData_PastureBeef.SourceData_PastureBeef_LiveweightNTQLD_Data(),Table_SourceData_PastureBeef_LiveweightNTQD[[#Headers],[State]], 0)</f>
        <v>352</v>
      </c>
      <c r="K69" s="36" cm="1">
        <f t="array" ref="K69">Common_InputFunctions.Utility_DisplayArrayInTable(SourceData_PastureBeef.SourceData_PastureBeef_LiveweightNTQLD_Data(),Table_SourceData_PastureBeef_LiveweightNTQD[[#Headers],[State]], 0)</f>
        <v>470</v>
      </c>
      <c r="L69" s="36" cm="1">
        <f t="array" ref="L69">Common_InputFunctions.Utility_DisplayArrayInTable(SourceData_PastureBeef.SourceData_PastureBeef_LiveweightNTQLD_Data(),Table_SourceData_PastureBeef_LiveweightNTQD[[#Headers],[State]], 0)</f>
        <v>514</v>
      </c>
      <c r="M69" s="36" cm="1">
        <f t="array" ref="M69">Common_InputFunctions.Utility_DisplayArrayInTable(SourceData_PastureBeef.SourceData_PastureBeef_LiveweightNTQLD_Data(),Table_SourceData_PastureBeef_LiveweightNTQD[[#Headers],[State]], 0)</f>
        <v>209</v>
      </c>
      <c r="N69" s="36" cm="1">
        <f t="array" ref="N69">Common_InputFunctions.Utility_DisplayArrayInTable(SourceData_PastureBeef.SourceData_PastureBeef_LiveweightNTQLD_Data(),Table_SourceData_PastureBeef_LiveweightNTQD[[#Headers],[State]], 0)</f>
        <v>421</v>
      </c>
      <c r="O69" s="36" cm="1">
        <f t="array" ref="O69">Common_InputFunctions.Utility_DisplayArrayInTable(SourceData_PastureBeef.SourceData_PastureBeef_LiveweightNTQLD_Data(),Table_SourceData_PastureBeef_LiveweightNTQD[[#Headers],[State]], 0)</f>
        <v>512</v>
      </c>
      <c r="P69" s="36"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6" t="str" cm="1">
        <f t="array" ref="E70">Common_InputFunctions.Utility_DisplayArrayInTable(SourceData_PastureBeef.SourceData_PastureBeef_LiveweightNTQLD_Data(),Table_SourceData_PastureBeef_LiveweightNTQD[[#Headers],[State]], 0)</f>
        <v>Moderate/High</v>
      </c>
      <c r="F70" s="36" t="str" cm="1">
        <f t="array" ref="F70">Common_InputFunctions.Utility_DisplayArrayInTable(SourceData_PastureBeef.SourceData_PastureBeef_LiveweightNTQLD_Data(),Table_SourceData_PastureBeef_LiveweightNTQD[[#Headers],[State]], 0)</f>
        <v>Spring</v>
      </c>
      <c r="G70" s="36" cm="1">
        <f t="array" ref="G70">Common_InputFunctions.Utility_DisplayArrayInTable(SourceData_PastureBeef.SourceData_PastureBeef_LiveweightNTQLD_Data(),Table_SourceData_PastureBeef_LiveweightNTQD[[#Headers],[State]], 0)</f>
        <v>230</v>
      </c>
      <c r="H70" s="36" cm="1">
        <f t="array" ref="H70">Common_InputFunctions.Utility_DisplayArrayInTable(SourceData_PastureBeef.SourceData_PastureBeef_LiveweightNTQLD_Data(),Table_SourceData_PastureBeef_LiveweightNTQD[[#Headers],[State]], 0)</f>
        <v>674</v>
      </c>
      <c r="I70" s="36" cm="1">
        <f t="array" ref="I70">Common_InputFunctions.Utility_DisplayArrayInTable(SourceData_PastureBeef.SourceData_PastureBeef_LiveweightNTQLD_Data(),Table_SourceData_PastureBeef_LiveweightNTQD[[#Headers],[State]], 0)</f>
        <v>217</v>
      </c>
      <c r="J70" s="36" cm="1">
        <f t="array" ref="J70">Common_InputFunctions.Utility_DisplayArrayInTable(SourceData_PastureBeef.SourceData_PastureBeef_LiveweightNTQLD_Data(),Table_SourceData_PastureBeef_LiveweightNTQD[[#Headers],[State]], 0)</f>
        <v>344</v>
      </c>
      <c r="K70" s="36" cm="1">
        <f t="array" ref="K70">Common_InputFunctions.Utility_DisplayArrayInTable(SourceData_PastureBeef.SourceData_PastureBeef_LiveweightNTQLD_Data(),Table_SourceData_PastureBeef_LiveweightNTQD[[#Headers],[State]], 0)</f>
        <v>357</v>
      </c>
      <c r="L70" s="36" cm="1">
        <f t="array" ref="L70">Common_InputFunctions.Utility_DisplayArrayInTable(SourceData_PastureBeef.SourceData_PastureBeef_LiveweightNTQLD_Data(),Table_SourceData_PastureBeef_LiveweightNTQD[[#Headers],[State]], 0)</f>
        <v>467</v>
      </c>
      <c r="M70" s="36" cm="1">
        <f t="array" ref="M70">Common_InputFunctions.Utility_DisplayArrayInTable(SourceData_PastureBeef.SourceData_PastureBeef_LiveweightNTQLD_Data(),Table_SourceData_PastureBeef_LiveweightNTQD[[#Headers],[State]], 0)</f>
        <v>242</v>
      </c>
      <c r="N70" s="36" cm="1">
        <f t="array" ref="N70">Common_InputFunctions.Utility_DisplayArrayInTable(SourceData_PastureBeef.SourceData_PastureBeef_LiveweightNTQLD_Data(),Table_SourceData_PastureBeef_LiveweightNTQD[[#Headers],[State]], 0)</f>
        <v>370</v>
      </c>
      <c r="O70" s="36" cm="1">
        <f t="array" ref="O70">Common_InputFunctions.Utility_DisplayArrayInTable(SourceData_PastureBeef.SourceData_PastureBeef_LiveweightNTQLD_Data(),Table_SourceData_PastureBeef_LiveweightNTQD[[#Headers],[State]], 0)</f>
        <v>550</v>
      </c>
      <c r="P70" s="36"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6" t="str" cm="1">
        <f t="array" ref="E71">Common_InputFunctions.Utility_DisplayArrayInTable(SourceData_PastureBeef.SourceData_PastureBeef_LiveweightNTQLD_Data(),Table_SourceData_PastureBeef_LiveweightNTQD[[#Headers],[State]], 0)</f>
        <v>Moderate/High</v>
      </c>
      <c r="F71" s="36" t="str" cm="1">
        <f t="array" ref="F71">Common_InputFunctions.Utility_DisplayArrayInTable(SourceData_PastureBeef.SourceData_PastureBeef_LiveweightNTQLD_Data(),Table_SourceData_PastureBeef_LiveweightNTQD[[#Headers],[State]], 0)</f>
        <v>Summer</v>
      </c>
      <c r="G71" s="36" cm="1">
        <f t="array" ref="G71">Common_InputFunctions.Utility_DisplayArrayInTable(SourceData_PastureBeef.SourceData_PastureBeef_LiveweightNTQLD_Data(),Table_SourceData_PastureBeef_LiveweightNTQD[[#Headers],[State]], 0)</f>
        <v>113</v>
      </c>
      <c r="H71" s="36" cm="1">
        <f t="array" ref="H71">Common_InputFunctions.Utility_DisplayArrayInTable(SourceData_PastureBeef.SourceData_PastureBeef_LiveweightNTQLD_Data(),Table_SourceData_PastureBeef_LiveweightNTQD[[#Headers],[State]], 0)</f>
        <v>669</v>
      </c>
      <c r="I71" s="36" cm="1">
        <f t="array" ref="I71">Common_InputFunctions.Utility_DisplayArrayInTable(SourceData_PastureBeef.SourceData_PastureBeef_LiveweightNTQLD_Data(),Table_SourceData_PastureBeef_LiveweightNTQD[[#Headers],[State]], 0)</f>
        <v>113</v>
      </c>
      <c r="J71" s="36" cm="1">
        <f t="array" ref="J71">Common_InputFunctions.Utility_DisplayArrayInTable(SourceData_PastureBeef.SourceData_PastureBeef_LiveweightNTQLD_Data(),Table_SourceData_PastureBeef_LiveweightNTQD[[#Headers],[State]], 0)</f>
        <v>283</v>
      </c>
      <c r="K71" s="36" cm="1">
        <f t="array" ref="K71">Common_InputFunctions.Utility_DisplayArrayInTable(SourceData_PastureBeef.SourceData_PastureBeef_LiveweightNTQLD_Data(),Table_SourceData_PastureBeef_LiveweightNTQD[[#Headers],[State]], 0)</f>
        <v>361</v>
      </c>
      <c r="L71" s="36" cm="1">
        <f t="array" ref="L71">Common_InputFunctions.Utility_DisplayArrayInTable(SourceData_PastureBeef.SourceData_PastureBeef_LiveweightNTQLD_Data(),Table_SourceData_PastureBeef_LiveweightNTQD[[#Headers],[State]], 0)</f>
        <v>477</v>
      </c>
      <c r="M71" s="36" cm="1">
        <f t="array" ref="M71">Common_InputFunctions.Utility_DisplayArrayInTable(SourceData_PastureBeef.SourceData_PastureBeef_LiveweightNTQLD_Data(),Table_SourceData_PastureBeef_LiveweightNTQD[[#Headers],[State]], 0)</f>
        <v>120</v>
      </c>
      <c r="N71" s="36" cm="1">
        <f t="array" ref="N71">Common_InputFunctions.Utility_DisplayArrayInTable(SourceData_PastureBeef.SourceData_PastureBeef_LiveweightNTQLD_Data(),Table_SourceData_PastureBeef_LiveweightNTQD[[#Headers],[State]], 0)</f>
        <v>273</v>
      </c>
      <c r="O71" s="36" cm="1">
        <f t="array" ref="O71">Common_InputFunctions.Utility_DisplayArrayInTable(SourceData_PastureBeef.SourceData_PastureBeef_LiveweightNTQLD_Data(),Table_SourceData_PastureBeef_LiveweightNTQD[[#Headers],[State]], 0)</f>
        <v>545</v>
      </c>
      <c r="P71" s="36"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6" t="str" cm="1">
        <f t="array" ref="E72">Common_InputFunctions.Utility_DisplayArrayInTable(SourceData_PastureBeef.SourceData_PastureBeef_LiveweightNTQLD_Data(),Table_SourceData_PastureBeef_LiveweightNTQD[[#Headers],[State]], 0)</f>
        <v>Moderate/High</v>
      </c>
      <c r="F72" s="36" t="str" cm="1">
        <f t="array" ref="F72">Common_InputFunctions.Utility_DisplayArrayInTable(SourceData_PastureBeef.SourceData_PastureBeef_LiveweightNTQLD_Data(),Table_SourceData_PastureBeef_LiveweightNTQD[[#Headers],[State]], 0)</f>
        <v>Autumn</v>
      </c>
      <c r="G72" s="36" cm="1">
        <f t="array" ref="G72">Common_InputFunctions.Utility_DisplayArrayInTable(SourceData_PastureBeef.SourceData_PastureBeef_LiveweightNTQLD_Data(),Table_SourceData_PastureBeef_LiveweightNTQD[[#Headers],[State]], 0)</f>
        <v>172</v>
      </c>
      <c r="H72" s="36" cm="1">
        <f t="array" ref="H72">Common_InputFunctions.Utility_DisplayArrayInTable(SourceData_PastureBeef.SourceData_PastureBeef_LiveweightNTQLD_Data(),Table_SourceData_PastureBeef_LiveweightNTQD[[#Headers],[State]], 0)</f>
        <v>685</v>
      </c>
      <c r="I72" s="36" cm="1">
        <f t="array" ref="I72">Common_InputFunctions.Utility_DisplayArrayInTable(SourceData_PastureBeef.SourceData_PastureBeef_LiveweightNTQLD_Data(),Table_SourceData_PastureBeef_LiveweightNTQD[[#Headers],[State]], 0)</f>
        <v>172</v>
      </c>
      <c r="J72" s="36" cm="1">
        <f t="array" ref="J72">Common_InputFunctions.Utility_DisplayArrayInTable(SourceData_PastureBeef.SourceData_PastureBeef_LiveweightNTQLD_Data(),Table_SourceData_PastureBeef_LiveweightNTQD[[#Headers],[State]], 0)</f>
        <v>309</v>
      </c>
      <c r="K72" s="36" cm="1">
        <f t="array" ref="K72">Common_InputFunctions.Utility_DisplayArrayInTable(SourceData_PastureBeef.SourceData_PastureBeef_LiveweightNTQLD_Data(),Table_SourceData_PastureBeef_LiveweightNTQD[[#Headers],[State]], 0)</f>
        <v>376</v>
      </c>
      <c r="L72" s="36" cm="1">
        <f t="array" ref="L72">Common_InputFunctions.Utility_DisplayArrayInTable(SourceData_PastureBeef.SourceData_PastureBeef_LiveweightNTQLD_Data(),Table_SourceData_PastureBeef_LiveweightNTQD[[#Headers],[State]], 0)</f>
        <v>471</v>
      </c>
      <c r="M72" s="36" cm="1">
        <f t="array" ref="M72">Common_InputFunctions.Utility_DisplayArrayInTable(SourceData_PastureBeef.SourceData_PastureBeef_LiveweightNTQLD_Data(),Table_SourceData_PastureBeef_LiveweightNTQD[[#Headers],[State]], 0)</f>
        <v>238</v>
      </c>
      <c r="N72" s="36" cm="1">
        <f t="array" ref="N72">Common_InputFunctions.Utility_DisplayArrayInTable(SourceData_PastureBeef.SourceData_PastureBeef_LiveweightNTQLD_Data(),Table_SourceData_PastureBeef_LiveweightNTQD[[#Headers],[State]], 0)</f>
        <v>329</v>
      </c>
      <c r="O72" s="36" cm="1">
        <f t="array" ref="O72">Common_InputFunctions.Utility_DisplayArrayInTable(SourceData_PastureBeef.SourceData_PastureBeef_LiveweightNTQLD_Data(),Table_SourceData_PastureBeef_LiveweightNTQD[[#Headers],[State]], 0)</f>
        <v>573</v>
      </c>
      <c r="P72" s="36"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6" t="str" cm="1">
        <f t="array" ref="E73">Common_InputFunctions.Utility_DisplayArrayInTable(SourceData_PastureBeef.SourceData_PastureBeef_LiveweightNTQLD_Data(),Table_SourceData_PastureBeef_LiveweightNTQD[[#Headers],[State]], 0)</f>
        <v>Moderate/High</v>
      </c>
      <c r="F73" s="36" t="str" cm="1">
        <f t="array" ref="F73">Common_InputFunctions.Utility_DisplayArrayInTable(SourceData_PastureBeef.SourceData_PastureBeef_LiveweightNTQLD_Data(),Table_SourceData_PastureBeef_LiveweightNTQD[[#Headers],[State]], 0)</f>
        <v>Winter</v>
      </c>
      <c r="G73" s="36" cm="1">
        <f t="array" ref="G73">Common_InputFunctions.Utility_DisplayArrayInTable(SourceData_PastureBeef.SourceData_PastureBeef_LiveweightNTQLD_Data(),Table_SourceData_PastureBeef_LiveweightNTQD[[#Headers],[State]], 0)</f>
        <v>241</v>
      </c>
      <c r="H73" s="36" cm="1">
        <f t="array" ref="H73">Common_InputFunctions.Utility_DisplayArrayInTable(SourceData_PastureBeef.SourceData_PastureBeef_LiveweightNTQLD_Data(),Table_SourceData_PastureBeef_LiveweightNTQD[[#Headers],[State]], 0)</f>
        <v>692</v>
      </c>
      <c r="I73" s="36" cm="1">
        <f t="array" ref="I73">Common_InputFunctions.Utility_DisplayArrayInTable(SourceData_PastureBeef.SourceData_PastureBeef_LiveweightNTQLD_Data(),Table_SourceData_PastureBeef_LiveweightNTQD[[#Headers],[State]], 0)</f>
        <v>208</v>
      </c>
      <c r="J73" s="36" cm="1">
        <f t="array" ref="J73">Common_InputFunctions.Utility_DisplayArrayInTable(SourceData_PastureBeef.SourceData_PastureBeef_LiveweightNTQLD_Data(),Table_SourceData_PastureBeef_LiveweightNTQD[[#Headers],[State]], 0)</f>
        <v>344</v>
      </c>
      <c r="K73" s="36" cm="1">
        <f t="array" ref="K73">Common_InputFunctions.Utility_DisplayArrayInTable(SourceData_PastureBeef.SourceData_PastureBeef_LiveweightNTQLD_Data(),Table_SourceData_PastureBeef_LiveweightNTQD[[#Headers],[State]], 0)</f>
        <v>364</v>
      </c>
      <c r="L73" s="36" cm="1">
        <f t="array" ref="L73">Common_InputFunctions.Utility_DisplayArrayInTable(SourceData_PastureBeef.SourceData_PastureBeef_LiveweightNTQLD_Data(),Table_SourceData_PastureBeef_LiveweightNTQD[[#Headers],[State]], 0)</f>
        <v>484</v>
      </c>
      <c r="M73" s="36" cm="1">
        <f t="array" ref="M73">Common_InputFunctions.Utility_DisplayArrayInTable(SourceData_PastureBeef.SourceData_PastureBeef_LiveweightNTQLD_Data(),Table_SourceData_PastureBeef_LiveweightNTQD[[#Headers],[State]], 0)</f>
        <v>260</v>
      </c>
      <c r="N73" s="36" cm="1">
        <f t="array" ref="N73">Common_InputFunctions.Utility_DisplayArrayInTable(SourceData_PastureBeef.SourceData_PastureBeef_LiveweightNTQLD_Data(),Table_SourceData_PastureBeef_LiveweightNTQD[[#Headers],[State]], 0)</f>
        <v>350</v>
      </c>
      <c r="O73" s="36" cm="1">
        <f t="array" ref="O73">Common_InputFunctions.Utility_DisplayArrayInTable(SourceData_PastureBeef.SourceData_PastureBeef_LiveweightNTQLD_Data(),Table_SourceData_PastureBeef_LiveweightNTQD[[#Headers],[State]], 0)</f>
        <v>567</v>
      </c>
      <c r="P73" s="36"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6" t="str" cm="1">
        <f t="array" ref="E74">Common_InputFunctions.Utility_DisplayArrayInTable(SourceData_PastureBeef.SourceData_PastureBeef_LiveweightNTQLD_Data(),Table_SourceData_PastureBeef_LiveweightNTQD[[#Headers],[State]], 0)</f>
        <v>Moderate/Low</v>
      </c>
      <c r="F74" s="36" t="str" cm="1">
        <f t="array" ref="F74">Common_InputFunctions.Utility_DisplayArrayInTable(SourceData_PastureBeef.SourceData_PastureBeef_LiveweightNTQLD_Data(),Table_SourceData_PastureBeef_LiveweightNTQD[[#Headers],[State]], 0)</f>
        <v>Spring</v>
      </c>
      <c r="G74" s="36" cm="1">
        <f t="array" ref="G74">Common_InputFunctions.Utility_DisplayArrayInTable(SourceData_PastureBeef.SourceData_PastureBeef_LiveweightNTQLD_Data(),Table_SourceData_PastureBeef_LiveweightNTQD[[#Headers],[State]], 0)</f>
        <v>236</v>
      </c>
      <c r="H74" s="36" cm="1">
        <f t="array" ref="H74">Common_InputFunctions.Utility_DisplayArrayInTable(SourceData_PastureBeef.SourceData_PastureBeef_LiveweightNTQLD_Data(),Table_SourceData_PastureBeef_LiveweightNTQD[[#Headers],[State]], 0)</f>
        <v>674</v>
      </c>
      <c r="I74" s="36" cm="1">
        <f t="array" ref="I74">Common_InputFunctions.Utility_DisplayArrayInTable(SourceData_PastureBeef.SourceData_PastureBeef_LiveweightNTQLD_Data(),Table_SourceData_PastureBeef_LiveweightNTQD[[#Headers],[State]], 0)</f>
        <v>178</v>
      </c>
      <c r="J74" s="36" cm="1">
        <f t="array" ref="J74">Common_InputFunctions.Utility_DisplayArrayInTable(SourceData_PastureBeef.SourceData_PastureBeef_LiveweightNTQLD_Data(),Table_SourceData_PastureBeef_LiveweightNTQD[[#Headers],[State]], 0)</f>
        <v>310</v>
      </c>
      <c r="K74" s="36" cm="1">
        <f t="array" ref="K74">Common_InputFunctions.Utility_DisplayArrayInTable(SourceData_PastureBeef.SourceData_PastureBeef_LiveweightNTQLD_Data(),Table_SourceData_PastureBeef_LiveweightNTQD[[#Headers],[State]], 0)</f>
        <v>428</v>
      </c>
      <c r="L74" s="36" cm="1">
        <f t="array" ref="L74">Common_InputFunctions.Utility_DisplayArrayInTable(SourceData_PastureBeef.SourceData_PastureBeef_LiveweightNTQLD_Data(),Table_SourceData_PastureBeef_LiveweightNTQD[[#Headers],[State]], 0)</f>
        <v>466</v>
      </c>
      <c r="M74" s="36" cm="1">
        <f t="array" ref="M74">Common_InputFunctions.Utility_DisplayArrayInTable(SourceData_PastureBeef.SourceData_PastureBeef_LiveweightNTQLD_Data(),Table_SourceData_PastureBeef_LiveweightNTQD[[#Headers],[State]], 0)</f>
        <v>193</v>
      </c>
      <c r="N74" s="36" cm="1">
        <f t="array" ref="N74">Common_InputFunctions.Utility_DisplayArrayInTable(SourceData_PastureBeef.SourceData_PastureBeef_LiveweightNTQLD_Data(),Table_SourceData_PastureBeef_LiveweightNTQD[[#Headers],[State]], 0)</f>
        <v>370</v>
      </c>
      <c r="O74" s="36" cm="1">
        <f t="array" ref="O74">Common_InputFunctions.Utility_DisplayArrayInTable(SourceData_PastureBeef.SourceData_PastureBeef_LiveweightNTQLD_Data(),Table_SourceData_PastureBeef_LiveweightNTQD[[#Headers],[State]], 0)</f>
        <v>519</v>
      </c>
      <c r="P74" s="36"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6" t="str" cm="1">
        <f t="array" ref="E75">Common_InputFunctions.Utility_DisplayArrayInTable(SourceData_PastureBeef.SourceData_PastureBeef_LiveweightNTQLD_Data(),Table_SourceData_PastureBeef_LiveweightNTQD[[#Headers],[State]], 0)</f>
        <v>Moderate/Low</v>
      </c>
      <c r="F75" s="36" t="str" cm="1">
        <f t="array" ref="F75">Common_InputFunctions.Utility_DisplayArrayInTable(SourceData_PastureBeef.SourceData_PastureBeef_LiveweightNTQLD_Data(),Table_SourceData_PastureBeef_LiveweightNTQD[[#Headers],[State]], 0)</f>
        <v>Summer</v>
      </c>
      <c r="G75" s="36" cm="1">
        <f t="array" ref="G75">Common_InputFunctions.Utility_DisplayArrayInTable(SourceData_PastureBeef.SourceData_PastureBeef_LiveweightNTQLD_Data(),Table_SourceData_PastureBeef_LiveweightNTQD[[#Headers],[State]], 0)</f>
        <v>120</v>
      </c>
      <c r="H75" s="36" cm="1">
        <f t="array" ref="H75">Common_InputFunctions.Utility_DisplayArrayInTable(SourceData_PastureBeef.SourceData_PastureBeef_LiveweightNTQLD_Data(),Table_SourceData_PastureBeef_LiveweightNTQD[[#Headers],[State]], 0)</f>
        <v>669</v>
      </c>
      <c r="I75" s="36" cm="1">
        <f t="array" ref="I75">Common_InputFunctions.Utility_DisplayArrayInTable(SourceData_PastureBeef.SourceData_PastureBeef_LiveweightNTQLD_Data(),Table_SourceData_PastureBeef_LiveweightNTQD[[#Headers],[State]], 0)</f>
        <v>112</v>
      </c>
      <c r="J75" s="36" cm="1">
        <f t="array" ref="J75">Common_InputFunctions.Utility_DisplayArrayInTable(SourceData_PastureBeef.SourceData_PastureBeef_LiveweightNTQLD_Data(),Table_SourceData_PastureBeef_LiveweightNTQD[[#Headers],[State]], 0)</f>
        <v>250</v>
      </c>
      <c r="K75" s="36" cm="1">
        <f t="array" ref="K75">Common_InputFunctions.Utility_DisplayArrayInTable(SourceData_PastureBeef.SourceData_PastureBeef_LiveweightNTQLD_Data(),Table_SourceData_PastureBeef_LiveweightNTQD[[#Headers],[State]], 0)</f>
        <v>390</v>
      </c>
      <c r="L75" s="36" cm="1">
        <f t="array" ref="L75">Common_InputFunctions.Utility_DisplayArrayInTable(SourceData_PastureBeef.SourceData_PastureBeef_LiveweightNTQLD_Data(),Table_SourceData_PastureBeef_LiveweightNTQD[[#Headers],[State]], 0)</f>
        <v>448</v>
      </c>
      <c r="M75" s="36" cm="1">
        <f t="array" ref="M75">Common_InputFunctions.Utility_DisplayArrayInTable(SourceData_PastureBeef.SourceData_PastureBeef_LiveweightNTQLD_Data(),Table_SourceData_PastureBeef_LiveweightNTQD[[#Headers],[State]], 0)</f>
        <v>115</v>
      </c>
      <c r="N75" s="36" cm="1">
        <f t="array" ref="N75">Common_InputFunctions.Utility_DisplayArrayInTable(SourceData_PastureBeef.SourceData_PastureBeef_LiveweightNTQLD_Data(),Table_SourceData_PastureBeef_LiveweightNTQD[[#Headers],[State]], 0)</f>
        <v>273</v>
      </c>
      <c r="O75" s="36" cm="1">
        <f t="array" ref="O75">Common_InputFunctions.Utility_DisplayArrayInTable(SourceData_PastureBeef.SourceData_PastureBeef_LiveweightNTQLD_Data(),Table_SourceData_PastureBeef_LiveweightNTQD[[#Headers],[State]], 0)</f>
        <v>433</v>
      </c>
      <c r="P75" s="36"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6" t="str" cm="1">
        <f t="array" ref="E76">Common_InputFunctions.Utility_DisplayArrayInTable(SourceData_PastureBeef.SourceData_PastureBeef_LiveweightNTQLD_Data(),Table_SourceData_PastureBeef_LiveweightNTQD[[#Headers],[State]], 0)</f>
        <v>Moderate/Low</v>
      </c>
      <c r="F76" s="36" t="str" cm="1">
        <f t="array" ref="F76">Common_InputFunctions.Utility_DisplayArrayInTable(SourceData_PastureBeef.SourceData_PastureBeef_LiveweightNTQLD_Data(),Table_SourceData_PastureBeef_LiveweightNTQD[[#Headers],[State]], 0)</f>
        <v>Autumn</v>
      </c>
      <c r="G76" s="36" cm="1">
        <f t="array" ref="G76">Common_InputFunctions.Utility_DisplayArrayInTable(SourceData_PastureBeef.SourceData_PastureBeef_LiveweightNTQLD_Data(),Table_SourceData_PastureBeef_LiveweightNTQD[[#Headers],[State]], 0)</f>
        <v>125</v>
      </c>
      <c r="H76" s="36" cm="1">
        <f t="array" ref="H76">Common_InputFunctions.Utility_DisplayArrayInTable(SourceData_PastureBeef.SourceData_PastureBeef_LiveweightNTQLD_Data(),Table_SourceData_PastureBeef_LiveweightNTQD[[#Headers],[State]], 0)</f>
        <v>685</v>
      </c>
      <c r="I76" s="36" cm="1">
        <f t="array" ref="I76">Common_InputFunctions.Utility_DisplayArrayInTable(SourceData_PastureBeef.SourceData_PastureBeef_LiveweightNTQLD_Data(),Table_SourceData_PastureBeef_LiveweightNTQD[[#Headers],[State]], 0)</f>
        <v>140</v>
      </c>
      <c r="J76" s="36" cm="1">
        <f t="array" ref="J76">Common_InputFunctions.Utility_DisplayArrayInTable(SourceData_PastureBeef.SourceData_PastureBeef_LiveweightNTQLD_Data(),Table_SourceData_PastureBeef_LiveweightNTQD[[#Headers],[State]], 0)</f>
        <v>277</v>
      </c>
      <c r="K76" s="36" cm="1">
        <f t="array" ref="K76">Common_InputFunctions.Utility_DisplayArrayInTable(SourceData_PastureBeef.SourceData_PastureBeef_LiveweightNTQLD_Data(),Table_SourceData_PastureBeef_LiveweightNTQD[[#Headers],[State]], 0)</f>
        <v>407</v>
      </c>
      <c r="L76" s="36" cm="1">
        <f t="array" ref="L76">Common_InputFunctions.Utility_DisplayArrayInTable(SourceData_PastureBeef.SourceData_PastureBeef_LiveweightNTQLD_Data(),Table_SourceData_PastureBeef_LiveweightNTQD[[#Headers],[State]], 0)</f>
        <v>455</v>
      </c>
      <c r="M76" s="36" cm="1">
        <f t="array" ref="M76">Common_InputFunctions.Utility_DisplayArrayInTable(SourceData_PastureBeef.SourceData_PastureBeef_LiveweightNTQLD_Data(),Table_SourceData_PastureBeef_LiveweightNTQD[[#Headers],[State]], 0)</f>
        <v>141</v>
      </c>
      <c r="N76" s="36" cm="1">
        <f t="array" ref="N76">Common_InputFunctions.Utility_DisplayArrayInTable(SourceData_PastureBeef.SourceData_PastureBeef_LiveweightNTQLD_Data(),Table_SourceData_PastureBeef_LiveweightNTQD[[#Headers],[State]], 0)</f>
        <v>296</v>
      </c>
      <c r="O76" s="36" cm="1">
        <f t="array" ref="O76">Common_InputFunctions.Utility_DisplayArrayInTable(SourceData_PastureBeef.SourceData_PastureBeef_LiveweightNTQLD_Data(),Table_SourceData_PastureBeef_LiveweightNTQD[[#Headers],[State]], 0)</f>
        <v>445</v>
      </c>
      <c r="P76" s="36"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6" t="str" cm="1">
        <f t="array" ref="E77">Common_InputFunctions.Utility_DisplayArrayInTable(SourceData_PastureBeef.SourceData_PastureBeef_LiveweightNTQLD_Data(),Table_SourceData_PastureBeef_LiveweightNTQD[[#Headers],[State]], 0)</f>
        <v>Moderate/Low</v>
      </c>
      <c r="F77" s="36" t="str" cm="1">
        <f t="array" ref="F77">Common_InputFunctions.Utility_DisplayArrayInTable(SourceData_PastureBeef.SourceData_PastureBeef_LiveweightNTQLD_Data(),Table_SourceData_PastureBeef_LiveweightNTQD[[#Headers],[State]], 0)</f>
        <v>Winter</v>
      </c>
      <c r="G77" s="36" cm="1">
        <f t="array" ref="G77">Common_InputFunctions.Utility_DisplayArrayInTable(SourceData_PastureBeef.SourceData_PastureBeef_LiveweightNTQLD_Data(),Table_SourceData_PastureBeef_LiveweightNTQD[[#Headers],[State]], 0)</f>
        <v>180</v>
      </c>
      <c r="H77" s="36" cm="1">
        <f t="array" ref="H77">Common_InputFunctions.Utility_DisplayArrayInTable(SourceData_PastureBeef.SourceData_PastureBeef_LiveweightNTQLD_Data(),Table_SourceData_PastureBeef_LiveweightNTQD[[#Headers],[State]], 0)</f>
        <v>692</v>
      </c>
      <c r="I77" s="36" cm="1">
        <f t="array" ref="I77">Common_InputFunctions.Utility_DisplayArrayInTable(SourceData_PastureBeef.SourceData_PastureBeef_LiveweightNTQLD_Data(),Table_SourceData_PastureBeef_LiveweightNTQD[[#Headers],[State]], 0)</f>
        <v>183</v>
      </c>
      <c r="J77" s="36" cm="1">
        <f t="array" ref="J77">Common_InputFunctions.Utility_DisplayArrayInTable(SourceData_PastureBeef.SourceData_PastureBeef_LiveweightNTQLD_Data(),Table_SourceData_PastureBeef_LiveweightNTQD[[#Headers],[State]], 0)</f>
        <v>316</v>
      </c>
      <c r="K77" s="36" cm="1">
        <f t="array" ref="K77">Common_InputFunctions.Utility_DisplayArrayInTable(SourceData_PastureBeef.SourceData_PastureBeef_LiveweightNTQLD_Data(),Table_SourceData_PastureBeef_LiveweightNTQD[[#Headers],[State]], 0)</f>
        <v>438</v>
      </c>
      <c r="L77" s="36" cm="1">
        <f t="array" ref="L77">Common_InputFunctions.Utility_DisplayArrayInTable(SourceData_PastureBeef.SourceData_PastureBeef_LiveweightNTQLD_Data(),Table_SourceData_PastureBeef_LiveweightNTQD[[#Headers],[State]], 0)</f>
        <v>468</v>
      </c>
      <c r="M77" s="36" cm="1">
        <f t="array" ref="M77">Common_InputFunctions.Utility_DisplayArrayInTable(SourceData_PastureBeef.SourceData_PastureBeef_LiveweightNTQLD_Data(),Table_SourceData_PastureBeef_LiveweightNTQD[[#Headers],[State]], 0)</f>
        <v>189</v>
      </c>
      <c r="N77" s="36" cm="1">
        <f t="array" ref="N77">Common_InputFunctions.Utility_DisplayArrayInTable(SourceData_PastureBeef.SourceData_PastureBeef_LiveweightNTQLD_Data(),Table_SourceData_PastureBeef_LiveweightNTQD[[#Headers],[State]], 0)</f>
        <v>354</v>
      </c>
      <c r="O77" s="36" cm="1">
        <f t="array" ref="O77">Common_InputFunctions.Utility_DisplayArrayInTable(SourceData_PastureBeef.SourceData_PastureBeef_LiveweightNTQLD_Data(),Table_SourceData_PastureBeef_LiveweightNTQD[[#Headers],[State]], 0)</f>
        <v>500</v>
      </c>
      <c r="P77" s="36"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6" t="str" cm="1">
        <f t="array" ref="E78">Common_InputFunctions.Utility_DisplayArrayInTable(SourceData_PastureBeef.SourceData_PastureBeef_LiveweightNTQLD_Data(),Table_SourceData_PastureBeef_LiveweightNTQD[[#Headers],[State]], 0)</f>
        <v>Low</v>
      </c>
      <c r="F78" s="36" t="str" cm="1">
        <f t="array" ref="F78">Common_InputFunctions.Utility_DisplayArrayInTable(SourceData_PastureBeef.SourceData_PastureBeef_LiveweightNTQLD_Data(),Table_SourceData_PastureBeef_LiveweightNTQD[[#Headers],[State]], 0)</f>
        <v>Spring</v>
      </c>
      <c r="G78" s="36" cm="1">
        <f t="array" ref="G78">Common_InputFunctions.Utility_DisplayArrayInTable(SourceData_PastureBeef.SourceData_PastureBeef_LiveweightNTQLD_Data(),Table_SourceData_PastureBeef_LiveweightNTQD[[#Headers],[State]], 0)</f>
        <v>190</v>
      </c>
      <c r="H78" s="36" cm="1">
        <f t="array" ref="H78">Common_InputFunctions.Utility_DisplayArrayInTable(SourceData_PastureBeef.SourceData_PastureBeef_LiveweightNTQLD_Data(),Table_SourceData_PastureBeef_LiveweightNTQD[[#Headers],[State]], 0)</f>
        <v>617</v>
      </c>
      <c r="I78" s="36" cm="1">
        <f t="array" ref="I78">Common_InputFunctions.Utility_DisplayArrayInTable(SourceData_PastureBeef.SourceData_PastureBeef_LiveweightNTQLD_Data(),Table_SourceData_PastureBeef_LiveweightNTQD[[#Headers],[State]], 0)</f>
        <v>174</v>
      </c>
      <c r="J78" s="36" cm="1">
        <f t="array" ref="J78">Common_InputFunctions.Utility_DisplayArrayInTable(SourceData_PastureBeef.SourceData_PastureBeef_LiveweightNTQLD_Data(),Table_SourceData_PastureBeef_LiveweightNTQD[[#Headers],[State]], 0)</f>
        <v>265</v>
      </c>
      <c r="K78" s="36" cm="1">
        <f t="array" ref="K78">Common_InputFunctions.Utility_DisplayArrayInTable(SourceData_PastureBeef.SourceData_PastureBeef_LiveweightNTQLD_Data(),Table_SourceData_PastureBeef_LiveweightNTQD[[#Headers],[State]], 0)</f>
        <v>371</v>
      </c>
      <c r="L78" s="36" cm="1">
        <f t="array" ref="L78">Common_InputFunctions.Utility_DisplayArrayInTable(SourceData_PastureBeef.SourceData_PastureBeef_LiveweightNTQLD_Data(),Table_SourceData_PastureBeef_LiveweightNTQD[[#Headers],[State]], 0)</f>
        <v>415</v>
      </c>
      <c r="M78" s="36" cm="1">
        <f t="array" ref="M78">Common_InputFunctions.Utility_DisplayArrayInTable(SourceData_PastureBeef.SourceData_PastureBeef_LiveweightNTQLD_Data(),Table_SourceData_PastureBeef_LiveweightNTQD[[#Headers],[State]], 0)</f>
        <v>170</v>
      </c>
      <c r="N78" s="36" cm="1">
        <f t="array" ref="N78">Common_InputFunctions.Utility_DisplayArrayInTable(SourceData_PastureBeef.SourceData_PastureBeef_LiveweightNTQLD_Data(),Table_SourceData_PastureBeef_LiveweightNTQD[[#Headers],[State]], 0)</f>
        <v>272</v>
      </c>
      <c r="O78" s="36" cm="1">
        <f t="array" ref="O78">Common_InputFunctions.Utility_DisplayArrayInTable(SourceData_PastureBeef.SourceData_PastureBeef_LiveweightNTQLD_Data(),Table_SourceData_PastureBeef_LiveweightNTQD[[#Headers],[State]], 0)</f>
        <v>392</v>
      </c>
      <c r="P78" s="36"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6" t="str" cm="1">
        <f t="array" ref="E79">Common_InputFunctions.Utility_DisplayArrayInTable(SourceData_PastureBeef.SourceData_PastureBeef_LiveweightNTQLD_Data(),Table_SourceData_PastureBeef_LiveweightNTQD[[#Headers],[State]], 0)</f>
        <v>Low</v>
      </c>
      <c r="F79" s="36" t="str" cm="1">
        <f t="array" ref="F79">Common_InputFunctions.Utility_DisplayArrayInTable(SourceData_PastureBeef.SourceData_PastureBeef_LiveweightNTQLD_Data(),Table_SourceData_PastureBeef_LiveweightNTQD[[#Headers],[State]], 0)</f>
        <v>Summer</v>
      </c>
      <c r="G79" s="36" cm="1">
        <f t="array" ref="G79">Common_InputFunctions.Utility_DisplayArrayInTable(SourceData_PastureBeef.SourceData_PastureBeef_LiveweightNTQLD_Data(),Table_SourceData_PastureBeef_LiveweightNTQD[[#Headers],[State]], 0)</f>
        <v>119</v>
      </c>
      <c r="H79" s="36" cm="1">
        <f t="array" ref="H79">Common_InputFunctions.Utility_DisplayArrayInTable(SourceData_PastureBeef.SourceData_PastureBeef_LiveweightNTQLD_Data(),Table_SourceData_PastureBeef_LiveweightNTQD[[#Headers],[State]], 0)</f>
        <v>591</v>
      </c>
      <c r="I79" s="36" cm="1">
        <f t="array" ref="I79">Common_InputFunctions.Utility_DisplayArrayInTable(SourceData_PastureBeef.SourceData_PastureBeef_LiveweightNTQLD_Data(),Table_SourceData_PastureBeef_LiveweightNTQD[[#Headers],[State]], 0)</f>
        <v>140</v>
      </c>
      <c r="J79" s="36" cm="1">
        <f t="array" ref="J79">Common_InputFunctions.Utility_DisplayArrayInTable(SourceData_PastureBeef.SourceData_PastureBeef_LiveweightNTQLD_Data(),Table_SourceData_PastureBeef_LiveweightNTQD[[#Headers],[State]], 0)</f>
        <v>205</v>
      </c>
      <c r="K79" s="36" cm="1">
        <f t="array" ref="K79">Common_InputFunctions.Utility_DisplayArrayInTable(SourceData_PastureBeef.SourceData_PastureBeef_LiveweightNTQLD_Data(),Table_SourceData_PastureBeef_LiveweightNTQD[[#Headers],[State]], 0)</f>
        <v>310</v>
      </c>
      <c r="L79" s="36" cm="1">
        <f t="array" ref="L79">Common_InputFunctions.Utility_DisplayArrayInTable(SourceData_PastureBeef.SourceData_PastureBeef_LiveweightNTQLD_Data(),Table_SourceData_PastureBeef_LiveweightNTQD[[#Headers],[State]], 0)</f>
        <v>405</v>
      </c>
      <c r="M79" s="36" cm="1">
        <f t="array" ref="M79">Common_InputFunctions.Utility_DisplayArrayInTable(SourceData_PastureBeef.SourceData_PastureBeef_LiveweightNTQLD_Data(),Table_SourceData_PastureBeef_LiveweightNTQD[[#Headers],[State]], 0)</f>
        <v>133</v>
      </c>
      <c r="N79" s="36" cm="1">
        <f t="array" ref="N79">Common_InputFunctions.Utility_DisplayArrayInTable(SourceData_PastureBeef.SourceData_PastureBeef_LiveweightNTQLD_Data(),Table_SourceData_PastureBeef_LiveweightNTQD[[#Headers],[State]], 0)</f>
        <v>218</v>
      </c>
      <c r="O79" s="36" cm="1">
        <f t="array" ref="O79">Common_InputFunctions.Utility_DisplayArrayInTable(SourceData_PastureBeef.SourceData_PastureBeef_LiveweightNTQLD_Data(),Table_SourceData_PastureBeef_LiveweightNTQD[[#Headers],[State]], 0)</f>
        <v>315</v>
      </c>
      <c r="P79" s="36"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6" t="str" cm="1">
        <f t="array" ref="E80">Common_InputFunctions.Utility_DisplayArrayInTable(SourceData_PastureBeef.SourceData_PastureBeef_LiveweightNTQLD_Data(),Table_SourceData_PastureBeef_LiveweightNTQD[[#Headers],[State]], 0)</f>
        <v>Low</v>
      </c>
      <c r="F80" s="36" t="str" cm="1">
        <f t="array" ref="F80">Common_InputFunctions.Utility_DisplayArrayInTable(SourceData_PastureBeef.SourceData_PastureBeef_LiveweightNTQLD_Data(),Table_SourceData_PastureBeef_LiveweightNTQD[[#Headers],[State]], 0)</f>
        <v>Autumn</v>
      </c>
      <c r="G80" s="36" cm="1">
        <f t="array" ref="G80">Common_InputFunctions.Utility_DisplayArrayInTable(SourceData_PastureBeef.SourceData_PastureBeef_LiveweightNTQLD_Data(),Table_SourceData_PastureBeef_LiveweightNTQD[[#Headers],[State]], 0)</f>
        <v>175</v>
      </c>
      <c r="H80" s="36" cm="1">
        <f t="array" ref="H80">Common_InputFunctions.Utility_DisplayArrayInTable(SourceData_PastureBeef.SourceData_PastureBeef_LiveweightNTQLD_Data(),Table_SourceData_PastureBeef_LiveweightNTQD[[#Headers],[State]], 0)</f>
        <v>610</v>
      </c>
      <c r="I80" s="36" cm="1">
        <f t="array" ref="I80">Common_InputFunctions.Utility_DisplayArrayInTable(SourceData_PastureBeef.SourceData_PastureBeef_LiveweightNTQLD_Data(),Table_SourceData_PastureBeef_LiveweightNTQD[[#Headers],[State]], 0)</f>
        <v>163</v>
      </c>
      <c r="J80" s="36" cm="1">
        <f t="array" ref="J80">Common_InputFunctions.Utility_DisplayArrayInTable(SourceData_PastureBeef.SourceData_PastureBeef_LiveweightNTQLD_Data(),Table_SourceData_PastureBeef_LiveweightNTQD[[#Headers],[State]], 0)</f>
        <v>232</v>
      </c>
      <c r="K80" s="36" cm="1">
        <f t="array" ref="K80">Common_InputFunctions.Utility_DisplayArrayInTable(SourceData_PastureBeef.SourceData_PastureBeef_LiveweightNTQLD_Data(),Table_SourceData_PastureBeef_LiveweightNTQD[[#Headers],[State]], 0)</f>
        <v>351</v>
      </c>
      <c r="L80" s="36" cm="1">
        <f t="array" ref="L80">Common_InputFunctions.Utility_DisplayArrayInTable(SourceData_PastureBeef.SourceData_PastureBeef_LiveweightNTQLD_Data(),Table_SourceData_PastureBeef_LiveweightNTQD[[#Headers],[State]], 0)</f>
        <v>427</v>
      </c>
      <c r="M80" s="36" cm="1">
        <f t="array" ref="M80">Common_InputFunctions.Utility_DisplayArrayInTable(SourceData_PastureBeef.SourceData_PastureBeef_LiveweightNTQLD_Data(),Table_SourceData_PastureBeef_LiveweightNTQD[[#Headers],[State]], 0)</f>
        <v>146</v>
      </c>
      <c r="N80" s="36" cm="1">
        <f t="array" ref="N80">Common_InputFunctions.Utility_DisplayArrayInTable(SourceData_PastureBeef.SourceData_PastureBeef_LiveweightNTQLD_Data(),Table_SourceData_PastureBeef_LiveweightNTQD[[#Headers],[State]], 0)</f>
        <v>242</v>
      </c>
      <c r="O80" s="36" cm="1">
        <f t="array" ref="O80">Common_InputFunctions.Utility_DisplayArrayInTable(SourceData_PastureBeef.SourceData_PastureBeef_LiveweightNTQLD_Data(),Table_SourceData_PastureBeef_LiveweightNTQD[[#Headers],[State]], 0)</f>
        <v>320</v>
      </c>
      <c r="P80" s="36"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6" t="str" cm="1">
        <f t="array" ref="E81">Common_InputFunctions.Utility_DisplayArrayInTable(SourceData_PastureBeef.SourceData_PastureBeef_LiveweightNTQLD_Data(),Table_SourceData_PastureBeef_LiveweightNTQD[[#Headers],[State]], 0)</f>
        <v>Low</v>
      </c>
      <c r="F81" s="36" t="str" cm="1">
        <f t="array" ref="F81">Common_InputFunctions.Utility_DisplayArrayInTable(SourceData_PastureBeef.SourceData_PastureBeef_LiveweightNTQLD_Data(),Table_SourceData_PastureBeef_LiveweightNTQD[[#Headers],[State]], 0)</f>
        <v>Winter</v>
      </c>
      <c r="G81" s="36" cm="1">
        <f t="array" ref="G81">Common_InputFunctions.Utility_DisplayArrayInTable(SourceData_PastureBeef.SourceData_PastureBeef_LiveweightNTQLD_Data(),Table_SourceData_PastureBeef_LiveweightNTQD[[#Headers],[State]], 0)</f>
        <v>192</v>
      </c>
      <c r="H81" s="36" cm="1">
        <f t="array" ref="H81">Common_InputFunctions.Utility_DisplayArrayInTable(SourceData_PastureBeef.SourceData_PastureBeef_LiveweightNTQLD_Data(),Table_SourceData_PastureBeef_LiveweightNTQD[[#Headers],[State]], 0)</f>
        <v>615</v>
      </c>
      <c r="I81" s="36" cm="1">
        <f t="array" ref="I81">Common_InputFunctions.Utility_DisplayArrayInTable(SourceData_PastureBeef.SourceData_PastureBeef_LiveweightNTQLD_Data(),Table_SourceData_PastureBeef_LiveweightNTQD[[#Headers],[State]], 0)</f>
        <v>162</v>
      </c>
      <c r="J81" s="36" cm="1">
        <f t="array" ref="J81">Common_InputFunctions.Utility_DisplayArrayInTable(SourceData_PastureBeef.SourceData_PastureBeef_LiveweightNTQLD_Data(),Table_SourceData_PastureBeef_LiveweightNTQD[[#Headers],[State]], 0)</f>
        <v>255</v>
      </c>
      <c r="K81" s="36" cm="1">
        <f t="array" ref="K81">Common_InputFunctions.Utility_DisplayArrayInTable(SourceData_PastureBeef.SourceData_PastureBeef_LiveweightNTQLD_Data(),Table_SourceData_PastureBeef_LiveweightNTQD[[#Headers],[State]], 0)</f>
        <v>364</v>
      </c>
      <c r="L81" s="36" cm="1">
        <f t="array" ref="L81">Common_InputFunctions.Utility_DisplayArrayInTable(SourceData_PastureBeef.SourceData_PastureBeef_LiveweightNTQLD_Data(),Table_SourceData_PastureBeef_LiveweightNTQD[[#Headers],[State]], 0)</f>
        <v>420</v>
      </c>
      <c r="M81" s="36" cm="1">
        <f t="array" ref="M81">Common_InputFunctions.Utility_DisplayArrayInTable(SourceData_PastureBeef.SourceData_PastureBeef_LiveweightNTQLD_Data(),Table_SourceData_PastureBeef_LiveweightNTQD[[#Headers],[State]], 0)</f>
        <v>157</v>
      </c>
      <c r="N81" s="36" cm="1">
        <f t="array" ref="N81">Common_InputFunctions.Utility_DisplayArrayInTable(SourceData_PastureBeef.SourceData_PastureBeef_LiveweightNTQLD_Data(),Table_SourceData_PastureBeef_LiveweightNTQD[[#Headers],[State]], 0)</f>
        <v>261</v>
      </c>
      <c r="O81" s="36" cm="1">
        <f t="array" ref="O81">Common_InputFunctions.Utility_DisplayArrayInTable(SourceData_PastureBeef.SourceData_PastureBeef_LiveweightNTQLD_Data(),Table_SourceData_PastureBeef_LiveweightNTQD[[#Headers],[State]], 0)</f>
        <v>342</v>
      </c>
      <c r="P81" s="36"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161</v>
      </c>
      <c r="M84" s="1"/>
    </row>
    <row r="85" spans="4:22" ht="20.100000000000001" customHeight="1" x14ac:dyDescent="0.25">
      <c r="D85" s="36" t="s">
        <v>5</v>
      </c>
      <c r="E85" s="36" t="s">
        <v>143</v>
      </c>
      <c r="F85" s="36" t="s">
        <v>144</v>
      </c>
      <c r="G85" s="109" t="s">
        <v>102</v>
      </c>
      <c r="H85" s="109" t="s">
        <v>101</v>
      </c>
      <c r="I85" s="109" t="s">
        <v>125</v>
      </c>
      <c r="J85" s="109" t="s">
        <v>126</v>
      </c>
      <c r="K85" s="109" t="s">
        <v>127</v>
      </c>
      <c r="L85" s="109" t="s">
        <v>128</v>
      </c>
      <c r="M85" s="109" t="s">
        <v>129</v>
      </c>
      <c r="N85" s="109" t="s">
        <v>130</v>
      </c>
      <c r="O85" s="109" t="s">
        <v>131</v>
      </c>
      <c r="P85" s="109" t="s">
        <v>132</v>
      </c>
      <c r="V85" s="1"/>
    </row>
    <row r="86" spans="4:22" ht="20.100000000000001" customHeight="1" x14ac:dyDescent="0.25">
      <c r="D86" s="36" t="s">
        <v>64</v>
      </c>
      <c r="E86" s="36" t="s">
        <v>162</v>
      </c>
      <c r="F86" s="36" t="str">
        <f>F19</f>
        <v>Spring</v>
      </c>
      <c r="G86" s="36">
        <f>G19</f>
        <v>80</v>
      </c>
      <c r="H86" s="36">
        <f t="shared" ref="H86:K89" si="0">H19</f>
        <v>480</v>
      </c>
      <c r="I86" s="36">
        <f>I19</f>
        <v>75</v>
      </c>
      <c r="J86" s="36">
        <f>J19</f>
        <v>300</v>
      </c>
      <c r="K86" s="36">
        <f>K19</f>
        <v>440</v>
      </c>
      <c r="L86" s="36">
        <f>K19</f>
        <v>440</v>
      </c>
      <c r="M86" s="36">
        <f>L19</f>
        <v>75</v>
      </c>
      <c r="N86" s="36">
        <f>M19</f>
        <v>380</v>
      </c>
      <c r="O86" s="36">
        <f>M19</f>
        <v>380</v>
      </c>
      <c r="P86" s="36">
        <f>M19</f>
        <v>380</v>
      </c>
      <c r="V86" s="1"/>
    </row>
    <row r="87" spans="4:22" ht="20.100000000000001" customHeight="1" x14ac:dyDescent="0.25">
      <c r="D87" s="36" t="s">
        <v>64</v>
      </c>
      <c r="E87" s="36" t="s">
        <v>162</v>
      </c>
      <c r="F87" s="36" t="s">
        <v>134</v>
      </c>
      <c r="G87" s="36">
        <f t="shared" ref="G87" si="1">G20</f>
        <v>170</v>
      </c>
      <c r="H87" s="36">
        <f t="shared" si="0"/>
        <v>520</v>
      </c>
      <c r="I87" s="36">
        <f t="shared" si="0"/>
        <v>160</v>
      </c>
      <c r="J87" s="36">
        <f t="shared" si="0"/>
        <v>360</v>
      </c>
      <c r="K87" s="36">
        <f t="shared" si="0"/>
        <v>470</v>
      </c>
      <c r="L87" s="36">
        <f t="shared" ref="L87:N89" si="2">K20</f>
        <v>470</v>
      </c>
      <c r="M87" s="36">
        <f t="shared" si="2"/>
        <v>160</v>
      </c>
      <c r="N87" s="36">
        <f t="shared" si="2"/>
        <v>420</v>
      </c>
      <c r="O87" s="36">
        <f t="shared" ref="O87:O89" si="3">M20</f>
        <v>420</v>
      </c>
      <c r="P87" s="36">
        <f t="shared" ref="P87:P89" si="4">M20</f>
        <v>420</v>
      </c>
      <c r="V87" s="1"/>
    </row>
    <row r="88" spans="4:22" ht="20.100000000000001" customHeight="1" x14ac:dyDescent="0.25">
      <c r="D88" s="36" t="s">
        <v>64</v>
      </c>
      <c r="E88" s="36" t="s">
        <v>162</v>
      </c>
      <c r="F88" s="36" t="s">
        <v>135</v>
      </c>
      <c r="G88" s="36">
        <f t="shared" ref="G88" si="5">G21</f>
        <v>240</v>
      </c>
      <c r="H88" s="36">
        <f t="shared" si="0"/>
        <v>550</v>
      </c>
      <c r="I88" s="36">
        <f t="shared" si="0"/>
        <v>220</v>
      </c>
      <c r="J88" s="36">
        <f t="shared" si="0"/>
        <v>390</v>
      </c>
      <c r="K88" s="36">
        <f t="shared" si="0"/>
        <v>490</v>
      </c>
      <c r="L88" s="36">
        <f t="shared" si="2"/>
        <v>490</v>
      </c>
      <c r="M88" s="36">
        <f t="shared" si="2"/>
        <v>220</v>
      </c>
      <c r="N88" s="36">
        <f t="shared" si="2"/>
        <v>450</v>
      </c>
      <c r="O88" s="36">
        <f t="shared" si="3"/>
        <v>450</v>
      </c>
      <c r="P88" s="36">
        <f t="shared" si="4"/>
        <v>450</v>
      </c>
      <c r="V88" s="1"/>
    </row>
    <row r="89" spans="4:22" ht="20.100000000000001" customHeight="1" x14ac:dyDescent="0.25">
      <c r="D89" s="36" t="s">
        <v>64</v>
      </c>
      <c r="E89" s="36" t="s">
        <v>162</v>
      </c>
      <c r="F89" s="36" t="s">
        <v>136</v>
      </c>
      <c r="G89" s="36">
        <f t="shared" ref="G89" si="6">G22</f>
        <v>280</v>
      </c>
      <c r="H89" s="36">
        <f t="shared" si="0"/>
        <v>560</v>
      </c>
      <c r="I89" s="36">
        <f t="shared" si="0"/>
        <v>260</v>
      </c>
      <c r="J89" s="36">
        <f t="shared" si="0"/>
        <v>410</v>
      </c>
      <c r="K89" s="36">
        <f t="shared" si="0"/>
        <v>500</v>
      </c>
      <c r="L89" s="36">
        <f t="shared" si="2"/>
        <v>500</v>
      </c>
      <c r="M89" s="36">
        <f t="shared" si="2"/>
        <v>260</v>
      </c>
      <c r="N89" s="36">
        <f t="shared" si="2"/>
        <v>460</v>
      </c>
      <c r="O89" s="36">
        <f t="shared" si="3"/>
        <v>460</v>
      </c>
      <c r="P89" s="36">
        <f t="shared" si="4"/>
        <v>460</v>
      </c>
      <c r="V89" s="1"/>
    </row>
    <row r="90" spans="4:22" ht="20.100000000000001" customHeight="1" x14ac:dyDescent="0.25">
      <c r="D90" s="36" t="s">
        <v>65</v>
      </c>
      <c r="E90" s="36" t="s">
        <v>162</v>
      </c>
      <c r="F90" s="36" t="str">
        <f>F23</f>
        <v>Spring</v>
      </c>
      <c r="G90" s="36">
        <f>G19</f>
        <v>80</v>
      </c>
      <c r="H90" s="36">
        <f t="shared" ref="H90:J90" si="7">H19</f>
        <v>480</v>
      </c>
      <c r="I90" s="36">
        <f t="shared" si="7"/>
        <v>75</v>
      </c>
      <c r="J90" s="36">
        <f t="shared" si="7"/>
        <v>300</v>
      </c>
      <c r="K90" s="36">
        <f>K19</f>
        <v>440</v>
      </c>
      <c r="L90" s="36">
        <f>K19</f>
        <v>440</v>
      </c>
      <c r="M90" s="36">
        <f>L19</f>
        <v>75</v>
      </c>
      <c r="N90" s="36">
        <f>M19</f>
        <v>380</v>
      </c>
      <c r="O90" s="36">
        <f>M19</f>
        <v>380</v>
      </c>
      <c r="P90" s="36">
        <f>M19</f>
        <v>380</v>
      </c>
      <c r="V90" s="1"/>
    </row>
    <row r="91" spans="4:22" ht="20.100000000000001" customHeight="1" x14ac:dyDescent="0.25">
      <c r="D91" s="36" t="s">
        <v>65</v>
      </c>
      <c r="E91" s="36" t="s">
        <v>162</v>
      </c>
      <c r="F91" s="36" t="s">
        <v>134</v>
      </c>
      <c r="G91" s="36">
        <f t="shared" ref="G91:K91" si="8">G20</f>
        <v>170</v>
      </c>
      <c r="H91" s="36">
        <f t="shared" si="8"/>
        <v>520</v>
      </c>
      <c r="I91" s="36">
        <f t="shared" si="8"/>
        <v>160</v>
      </c>
      <c r="J91" s="36">
        <f t="shared" si="8"/>
        <v>360</v>
      </c>
      <c r="K91" s="36">
        <f t="shared" si="8"/>
        <v>470</v>
      </c>
      <c r="L91" s="36">
        <f t="shared" ref="L91:M93" si="9">K20</f>
        <v>470</v>
      </c>
      <c r="M91" s="36">
        <f t="shared" si="9"/>
        <v>160</v>
      </c>
      <c r="N91" s="36">
        <f t="shared" ref="N91:N117" si="10">M20</f>
        <v>420</v>
      </c>
      <c r="O91" s="36">
        <f t="shared" ref="O91:O93" si="11">M20</f>
        <v>420</v>
      </c>
      <c r="P91" s="36">
        <f t="shared" ref="P91:P93" si="12">M20</f>
        <v>420</v>
      </c>
    </row>
    <row r="92" spans="4:22" ht="20.100000000000001" customHeight="1" x14ac:dyDescent="0.25">
      <c r="D92" s="36" t="s">
        <v>65</v>
      </c>
      <c r="E92" s="36" t="s">
        <v>162</v>
      </c>
      <c r="F92" s="36" t="s">
        <v>135</v>
      </c>
      <c r="G92" s="36">
        <f t="shared" ref="G92:K92" si="13">G21</f>
        <v>240</v>
      </c>
      <c r="H92" s="36">
        <f t="shared" si="13"/>
        <v>550</v>
      </c>
      <c r="I92" s="36">
        <f t="shared" si="13"/>
        <v>220</v>
      </c>
      <c r="J92" s="36">
        <f t="shared" si="13"/>
        <v>390</v>
      </c>
      <c r="K92" s="36">
        <f t="shared" si="13"/>
        <v>490</v>
      </c>
      <c r="L92" s="36">
        <f t="shared" si="9"/>
        <v>490</v>
      </c>
      <c r="M92" s="36">
        <f t="shared" si="9"/>
        <v>220</v>
      </c>
      <c r="N92" s="36">
        <f t="shared" si="10"/>
        <v>450</v>
      </c>
      <c r="O92" s="36">
        <f t="shared" si="11"/>
        <v>450</v>
      </c>
      <c r="P92" s="36">
        <f t="shared" si="12"/>
        <v>450</v>
      </c>
    </row>
    <row r="93" spans="4:22" ht="20.100000000000001" customHeight="1" x14ac:dyDescent="0.25">
      <c r="D93" s="36" t="s">
        <v>65</v>
      </c>
      <c r="E93" s="36" t="s">
        <v>162</v>
      </c>
      <c r="F93" s="36" t="s">
        <v>136</v>
      </c>
      <c r="G93" s="36">
        <f t="shared" ref="G93:K93" si="14">G22</f>
        <v>280</v>
      </c>
      <c r="H93" s="36">
        <f t="shared" si="14"/>
        <v>560</v>
      </c>
      <c r="I93" s="36">
        <f t="shared" si="14"/>
        <v>260</v>
      </c>
      <c r="J93" s="36">
        <f t="shared" si="14"/>
        <v>410</v>
      </c>
      <c r="K93" s="36">
        <f t="shared" si="14"/>
        <v>500</v>
      </c>
      <c r="L93" s="36">
        <f t="shared" si="9"/>
        <v>500</v>
      </c>
      <c r="M93" s="36">
        <f t="shared" si="9"/>
        <v>260</v>
      </c>
      <c r="N93" s="36">
        <f t="shared" si="10"/>
        <v>460</v>
      </c>
      <c r="O93" s="36">
        <f t="shared" si="11"/>
        <v>460</v>
      </c>
      <c r="P93" s="36">
        <f t="shared" si="12"/>
        <v>460</v>
      </c>
    </row>
    <row r="94" spans="4:22" ht="20.100000000000001" customHeight="1" x14ac:dyDescent="0.25">
      <c r="D94" s="36" t="s">
        <v>68</v>
      </c>
      <c r="E94" s="36" t="s">
        <v>162</v>
      </c>
      <c r="F94" s="36" t="str">
        <f>F27</f>
        <v>Spring</v>
      </c>
      <c r="G94" s="36">
        <f>G23</f>
        <v>250</v>
      </c>
      <c r="H94" s="36">
        <f t="shared" ref="H94:I94" si="15">H23</f>
        <v>800</v>
      </c>
      <c r="I94" s="36">
        <f t="shared" si="15"/>
        <v>220</v>
      </c>
      <c r="J94" s="36">
        <f>J23</f>
        <v>400</v>
      </c>
      <c r="K94" s="36">
        <f>K23</f>
        <v>500</v>
      </c>
      <c r="L94" s="36">
        <f>K23</f>
        <v>500</v>
      </c>
      <c r="M94" s="36">
        <f>L23</f>
        <v>230</v>
      </c>
      <c r="N94" s="36">
        <f>M23</f>
        <v>420</v>
      </c>
      <c r="O94" s="36">
        <f>M23</f>
        <v>420</v>
      </c>
      <c r="P94" s="36">
        <f>M23</f>
        <v>420</v>
      </c>
    </row>
    <row r="95" spans="4:22" ht="20.100000000000001" customHeight="1" x14ac:dyDescent="0.25">
      <c r="D95" s="36" t="s">
        <v>68</v>
      </c>
      <c r="E95" s="36" t="s">
        <v>162</v>
      </c>
      <c r="F95" s="36" t="s">
        <v>134</v>
      </c>
      <c r="G95" s="36">
        <f t="shared" ref="G95:K95" si="16">G24</f>
        <v>320</v>
      </c>
      <c r="H95" s="36">
        <f t="shared" si="16"/>
        <v>800</v>
      </c>
      <c r="I95" s="36">
        <f t="shared" si="16"/>
        <v>280</v>
      </c>
      <c r="J95" s="36">
        <f t="shared" si="16"/>
        <v>420</v>
      </c>
      <c r="K95" s="36">
        <f t="shared" si="16"/>
        <v>500</v>
      </c>
      <c r="L95" s="36">
        <f t="shared" ref="L95:M97" si="17">K24</f>
        <v>500</v>
      </c>
      <c r="M95" s="36">
        <f t="shared" si="17"/>
        <v>290</v>
      </c>
      <c r="N95" s="36">
        <f t="shared" si="10"/>
        <v>420</v>
      </c>
      <c r="O95" s="36">
        <f t="shared" ref="O95:O97" si="18">M24</f>
        <v>420</v>
      </c>
      <c r="P95" s="36">
        <f t="shared" ref="P95:P97" si="19">M24</f>
        <v>420</v>
      </c>
    </row>
    <row r="96" spans="4:22" ht="20.100000000000001" customHeight="1" x14ac:dyDescent="0.25">
      <c r="D96" s="36" t="s">
        <v>68</v>
      </c>
      <c r="E96" s="36" t="s">
        <v>162</v>
      </c>
      <c r="F96" s="36" t="s">
        <v>135</v>
      </c>
      <c r="G96" s="36">
        <f t="shared" ref="G96:K96" si="20">G25</f>
        <v>80</v>
      </c>
      <c r="H96" s="36">
        <f t="shared" si="20"/>
        <v>700</v>
      </c>
      <c r="I96" s="36">
        <f t="shared" si="20"/>
        <v>70</v>
      </c>
      <c r="J96" s="36">
        <f t="shared" si="20"/>
        <v>300</v>
      </c>
      <c r="K96" s="36">
        <f t="shared" si="20"/>
        <v>450</v>
      </c>
      <c r="L96" s="36">
        <f t="shared" si="17"/>
        <v>450</v>
      </c>
      <c r="M96" s="36">
        <f t="shared" si="17"/>
        <v>75</v>
      </c>
      <c r="N96" s="36">
        <f t="shared" si="10"/>
        <v>400</v>
      </c>
      <c r="O96" s="36">
        <f t="shared" si="18"/>
        <v>400</v>
      </c>
      <c r="P96" s="36">
        <f t="shared" si="19"/>
        <v>400</v>
      </c>
    </row>
    <row r="97" spans="4:16" ht="20.100000000000001" customHeight="1" x14ac:dyDescent="0.25">
      <c r="D97" s="36" t="s">
        <v>68</v>
      </c>
      <c r="E97" s="36" t="s">
        <v>162</v>
      </c>
      <c r="F97" s="36" t="s">
        <v>136</v>
      </c>
      <c r="G97" s="36">
        <f t="shared" ref="G97:K97" si="21">G26</f>
        <v>160</v>
      </c>
      <c r="H97" s="36">
        <f t="shared" si="21"/>
        <v>700</v>
      </c>
      <c r="I97" s="36">
        <f t="shared" si="21"/>
        <v>140</v>
      </c>
      <c r="J97" s="36">
        <f t="shared" si="21"/>
        <v>350</v>
      </c>
      <c r="K97" s="36">
        <f t="shared" si="21"/>
        <v>450</v>
      </c>
      <c r="L97" s="36">
        <f t="shared" si="17"/>
        <v>450</v>
      </c>
      <c r="M97" s="36">
        <f t="shared" si="17"/>
        <v>150</v>
      </c>
      <c r="N97" s="36">
        <f t="shared" si="10"/>
        <v>400</v>
      </c>
      <c r="O97" s="36">
        <f t="shared" si="18"/>
        <v>400</v>
      </c>
      <c r="P97" s="36">
        <f t="shared" si="19"/>
        <v>400</v>
      </c>
    </row>
    <row r="98" spans="4:16" ht="20.100000000000001" customHeight="1" x14ac:dyDescent="0.25">
      <c r="D98" s="36" t="s">
        <v>69</v>
      </c>
      <c r="E98" s="36" t="s">
        <v>162</v>
      </c>
      <c r="F98" s="36" t="str">
        <f>F31</f>
        <v>Spring</v>
      </c>
      <c r="G98" s="36">
        <f>G27</f>
        <v>105</v>
      </c>
      <c r="H98" s="36">
        <f t="shared" ref="H98:K98" si="22">H27</f>
        <v>700</v>
      </c>
      <c r="I98" s="36">
        <f t="shared" si="22"/>
        <v>85</v>
      </c>
      <c r="J98" s="36">
        <f t="shared" si="22"/>
        <v>300</v>
      </c>
      <c r="K98" s="36">
        <f t="shared" si="22"/>
        <v>490</v>
      </c>
      <c r="L98" s="36">
        <f>K27</f>
        <v>490</v>
      </c>
      <c r="M98" s="36">
        <f>L27</f>
        <v>90</v>
      </c>
      <c r="N98" s="36">
        <f>M27</f>
        <v>480</v>
      </c>
      <c r="O98" s="36">
        <f>M27</f>
        <v>480</v>
      </c>
      <c r="P98" s="36">
        <f>M27</f>
        <v>480</v>
      </c>
    </row>
    <row r="99" spans="4:16" ht="20.100000000000001" customHeight="1" x14ac:dyDescent="0.25">
      <c r="D99" s="36" t="s">
        <v>69</v>
      </c>
      <c r="E99" s="36" t="s">
        <v>162</v>
      </c>
      <c r="F99" s="36" t="s">
        <v>134</v>
      </c>
      <c r="G99" s="36">
        <f t="shared" ref="G99:K99" si="23">G28</f>
        <v>480</v>
      </c>
      <c r="H99" s="36">
        <f t="shared" si="23"/>
        <v>750</v>
      </c>
      <c r="I99" s="36">
        <f t="shared" si="23"/>
        <v>150</v>
      </c>
      <c r="J99" s="36">
        <f t="shared" si="23"/>
        <v>350</v>
      </c>
      <c r="K99" s="36">
        <f t="shared" si="23"/>
        <v>530</v>
      </c>
      <c r="L99" s="36">
        <f t="shared" ref="L99:M101" si="24">K28</f>
        <v>530</v>
      </c>
      <c r="M99" s="36">
        <f t="shared" si="24"/>
        <v>160</v>
      </c>
      <c r="N99" s="36">
        <f t="shared" si="10"/>
        <v>460</v>
      </c>
      <c r="O99" s="36">
        <f t="shared" ref="O99:O101" si="25">M28</f>
        <v>460</v>
      </c>
      <c r="P99" s="36">
        <f t="shared" ref="P99:P101" si="26">M28</f>
        <v>460</v>
      </c>
    </row>
    <row r="100" spans="4:16" ht="20.100000000000001" customHeight="1" x14ac:dyDescent="0.25">
      <c r="D100" s="36" t="s">
        <v>69</v>
      </c>
      <c r="E100" s="36" t="s">
        <v>162</v>
      </c>
      <c r="F100" s="36" t="s">
        <v>135</v>
      </c>
      <c r="G100" s="36">
        <f t="shared" ref="G100:K100" si="27">G29</f>
        <v>250</v>
      </c>
      <c r="H100" s="36">
        <f t="shared" si="27"/>
        <v>725</v>
      </c>
      <c r="I100" s="36">
        <f t="shared" si="27"/>
        <v>200</v>
      </c>
      <c r="J100" s="36">
        <f t="shared" si="27"/>
        <v>360</v>
      </c>
      <c r="K100" s="36">
        <f t="shared" si="27"/>
        <v>500</v>
      </c>
      <c r="L100" s="36">
        <f t="shared" si="24"/>
        <v>500</v>
      </c>
      <c r="M100" s="36">
        <f t="shared" si="24"/>
        <v>215</v>
      </c>
      <c r="N100" s="36">
        <f t="shared" si="10"/>
        <v>490</v>
      </c>
      <c r="O100" s="36">
        <f t="shared" si="25"/>
        <v>490</v>
      </c>
      <c r="P100" s="36">
        <f t="shared" si="26"/>
        <v>490</v>
      </c>
    </row>
    <row r="101" spans="4:16" ht="20.100000000000001" customHeight="1" x14ac:dyDescent="0.25">
      <c r="D101" s="36" t="s">
        <v>69</v>
      </c>
      <c r="E101" s="36" t="s">
        <v>162</v>
      </c>
      <c r="F101" s="36" t="s">
        <v>136</v>
      </c>
      <c r="G101" s="36">
        <f t="shared" ref="G101:K101" si="28">G30</f>
        <v>260</v>
      </c>
      <c r="H101" s="36">
        <f t="shared" si="28"/>
        <v>700</v>
      </c>
      <c r="I101" s="36">
        <f t="shared" si="28"/>
        <v>210</v>
      </c>
      <c r="J101" s="36">
        <f t="shared" si="28"/>
        <v>380</v>
      </c>
      <c r="K101" s="36">
        <f t="shared" si="28"/>
        <v>460</v>
      </c>
      <c r="L101" s="36">
        <f t="shared" si="24"/>
        <v>460</v>
      </c>
      <c r="M101" s="36">
        <f t="shared" si="24"/>
        <v>230</v>
      </c>
      <c r="N101" s="36">
        <f t="shared" si="10"/>
        <v>470</v>
      </c>
      <c r="O101" s="36">
        <f t="shared" si="25"/>
        <v>470</v>
      </c>
      <c r="P101" s="36">
        <f t="shared" si="26"/>
        <v>470</v>
      </c>
    </row>
    <row r="102" spans="4:16" ht="20.100000000000001" customHeight="1" x14ac:dyDescent="0.25">
      <c r="D102" s="36" t="s">
        <v>70</v>
      </c>
      <c r="E102" s="36" t="s">
        <v>162</v>
      </c>
      <c r="F102" s="36" t="str">
        <f>F35</f>
        <v>Spring</v>
      </c>
      <c r="G102" s="36">
        <f>G31</f>
        <v>250</v>
      </c>
      <c r="H102" s="36">
        <f t="shared" ref="H102:J102" si="29">H31</f>
        <v>820</v>
      </c>
      <c r="I102" s="36">
        <f t="shared" si="29"/>
        <v>240</v>
      </c>
      <c r="J102" s="36">
        <f t="shared" si="29"/>
        <v>410</v>
      </c>
      <c r="K102" s="36">
        <f>K31</f>
        <v>560</v>
      </c>
      <c r="L102" s="36">
        <f>K31</f>
        <v>560</v>
      </c>
      <c r="M102" s="36">
        <f>L31</f>
        <v>240</v>
      </c>
      <c r="N102" s="36">
        <f>M31</f>
        <v>510</v>
      </c>
      <c r="O102" s="36">
        <f>M31</f>
        <v>510</v>
      </c>
      <c r="P102" s="36">
        <f>M31</f>
        <v>510</v>
      </c>
    </row>
    <row r="103" spans="4:16" ht="20.100000000000001" customHeight="1" x14ac:dyDescent="0.25">
      <c r="D103" s="36" t="s">
        <v>70</v>
      </c>
      <c r="E103" s="36" t="s">
        <v>162</v>
      </c>
      <c r="F103" s="36" t="s">
        <v>134</v>
      </c>
      <c r="G103" s="36">
        <f t="shared" ref="G103:K103" si="30">G32</f>
        <v>280</v>
      </c>
      <c r="H103" s="36">
        <f t="shared" si="30"/>
        <v>850</v>
      </c>
      <c r="I103" s="36">
        <f t="shared" si="30"/>
        <v>260</v>
      </c>
      <c r="J103" s="36">
        <f t="shared" si="30"/>
        <v>440</v>
      </c>
      <c r="K103" s="36">
        <f t="shared" si="30"/>
        <v>550</v>
      </c>
      <c r="L103" s="36">
        <f t="shared" ref="L103:M105" si="31">K32</f>
        <v>550</v>
      </c>
      <c r="M103" s="36">
        <f t="shared" si="31"/>
        <v>270</v>
      </c>
      <c r="N103" s="36">
        <f t="shared" si="10"/>
        <v>520</v>
      </c>
      <c r="O103" s="36">
        <f t="shared" ref="O103:O105" si="32">M32</f>
        <v>520</v>
      </c>
      <c r="P103" s="36">
        <f t="shared" ref="P103:P105" si="33">M32</f>
        <v>520</v>
      </c>
    </row>
    <row r="104" spans="4:16" ht="20.100000000000001" customHeight="1" x14ac:dyDescent="0.25">
      <c r="D104" s="36" t="s">
        <v>70</v>
      </c>
      <c r="E104" s="36" t="s">
        <v>162</v>
      </c>
      <c r="F104" s="36" t="s">
        <v>135</v>
      </c>
      <c r="G104" s="36">
        <f t="shared" ref="G104:K104" si="34">G33</f>
        <v>100</v>
      </c>
      <c r="H104" s="36">
        <f t="shared" si="34"/>
        <v>700</v>
      </c>
      <c r="I104" s="36">
        <f t="shared" si="34"/>
        <v>95</v>
      </c>
      <c r="J104" s="36">
        <f t="shared" si="34"/>
        <v>300</v>
      </c>
      <c r="K104" s="36">
        <f t="shared" si="34"/>
        <v>450</v>
      </c>
      <c r="L104" s="36">
        <f t="shared" si="31"/>
        <v>450</v>
      </c>
      <c r="M104" s="36">
        <f t="shared" si="31"/>
        <v>95</v>
      </c>
      <c r="N104" s="36">
        <f t="shared" si="10"/>
        <v>410</v>
      </c>
      <c r="O104" s="36">
        <f t="shared" si="32"/>
        <v>410</v>
      </c>
      <c r="P104" s="36">
        <f t="shared" si="33"/>
        <v>410</v>
      </c>
    </row>
    <row r="105" spans="4:16" ht="20.100000000000001" customHeight="1" x14ac:dyDescent="0.25">
      <c r="D105" s="36" t="s">
        <v>70</v>
      </c>
      <c r="E105" s="36" t="s">
        <v>162</v>
      </c>
      <c r="F105" s="36" t="s">
        <v>136</v>
      </c>
      <c r="G105" s="36">
        <f t="shared" ref="G105:K105" si="35">G34</f>
        <v>150</v>
      </c>
      <c r="H105" s="36">
        <f t="shared" si="35"/>
        <v>720</v>
      </c>
      <c r="I105" s="36">
        <f t="shared" si="35"/>
        <v>140</v>
      </c>
      <c r="J105" s="36">
        <f t="shared" si="35"/>
        <v>320</v>
      </c>
      <c r="K105" s="36">
        <f t="shared" si="35"/>
        <v>470</v>
      </c>
      <c r="L105" s="36">
        <f t="shared" si="31"/>
        <v>470</v>
      </c>
      <c r="M105" s="36">
        <f t="shared" si="31"/>
        <v>140</v>
      </c>
      <c r="N105" s="36">
        <f t="shared" si="10"/>
        <v>440</v>
      </c>
      <c r="O105" s="36">
        <f t="shared" si="32"/>
        <v>440</v>
      </c>
      <c r="P105" s="36">
        <f t="shared" si="33"/>
        <v>440</v>
      </c>
    </row>
    <row r="106" spans="4:16" ht="20.100000000000001" customHeight="1" x14ac:dyDescent="0.25">
      <c r="D106" s="36" t="s">
        <v>71</v>
      </c>
      <c r="E106" s="36" t="str">
        <f>E35</f>
        <v>South West</v>
      </c>
      <c r="F106" s="36" t="str">
        <f t="shared" ref="F106:K106" si="36">F35</f>
        <v>Spring</v>
      </c>
      <c r="G106" s="36">
        <f t="shared" si="36"/>
        <v>340</v>
      </c>
      <c r="H106" s="36">
        <f t="shared" si="36"/>
        <v>800</v>
      </c>
      <c r="I106" s="36">
        <f t="shared" si="36"/>
        <v>260</v>
      </c>
      <c r="J106" s="36">
        <f t="shared" si="36"/>
        <v>420</v>
      </c>
      <c r="K106" s="36">
        <f t="shared" si="36"/>
        <v>550</v>
      </c>
      <c r="L106" s="36">
        <f>K35</f>
        <v>550</v>
      </c>
      <c r="M106" s="36">
        <f>L35</f>
        <v>300</v>
      </c>
      <c r="N106" s="36">
        <f>M35</f>
        <v>480</v>
      </c>
      <c r="O106" s="36">
        <f>M35</f>
        <v>480</v>
      </c>
      <c r="P106" s="36">
        <f>M35</f>
        <v>480</v>
      </c>
    </row>
    <row r="107" spans="4:16" ht="20.100000000000001" customHeight="1" x14ac:dyDescent="0.25">
      <c r="D107" s="36" t="s">
        <v>71</v>
      </c>
      <c r="E107" s="36" t="str">
        <f t="shared" ref="E107:K107" si="37">E36</f>
        <v>South West</v>
      </c>
      <c r="F107" s="36" t="str">
        <f t="shared" si="37"/>
        <v>Summer</v>
      </c>
      <c r="G107" s="36">
        <f t="shared" si="37"/>
        <v>380</v>
      </c>
      <c r="H107" s="36">
        <f t="shared" si="37"/>
        <v>780</v>
      </c>
      <c r="I107" s="36">
        <f t="shared" si="37"/>
        <v>300</v>
      </c>
      <c r="J107" s="36">
        <f t="shared" si="37"/>
        <v>450</v>
      </c>
      <c r="K107" s="36">
        <f t="shared" si="37"/>
        <v>530</v>
      </c>
      <c r="L107" s="36">
        <f t="shared" ref="L107:M117" si="38">K36</f>
        <v>530</v>
      </c>
      <c r="M107" s="36">
        <f t="shared" si="38"/>
        <v>340</v>
      </c>
      <c r="N107" s="36">
        <f t="shared" si="10"/>
        <v>470</v>
      </c>
      <c r="O107" s="36">
        <f t="shared" ref="O107:O117" si="39">M36</f>
        <v>470</v>
      </c>
      <c r="P107" s="36">
        <f t="shared" ref="P107:P117" si="40">M36</f>
        <v>470</v>
      </c>
    </row>
    <row r="108" spans="4:16" ht="20.100000000000001" customHeight="1" x14ac:dyDescent="0.25">
      <c r="D108" s="36" t="s">
        <v>71</v>
      </c>
      <c r="E108" s="36" t="str">
        <f t="shared" ref="E108:K108" si="41">E37</f>
        <v>South West</v>
      </c>
      <c r="F108" s="36" t="str">
        <f t="shared" si="41"/>
        <v>Autumn</v>
      </c>
      <c r="G108" s="36">
        <f t="shared" si="41"/>
        <v>100</v>
      </c>
      <c r="H108" s="36">
        <f t="shared" si="41"/>
        <v>680</v>
      </c>
      <c r="I108" s="36">
        <f t="shared" si="41"/>
        <v>80</v>
      </c>
      <c r="J108" s="36">
        <f t="shared" si="41"/>
        <v>320</v>
      </c>
      <c r="K108" s="36">
        <f t="shared" si="41"/>
        <v>480</v>
      </c>
      <c r="L108" s="36">
        <f t="shared" si="38"/>
        <v>480</v>
      </c>
      <c r="M108" s="36">
        <f t="shared" si="38"/>
        <v>100</v>
      </c>
      <c r="N108" s="36">
        <f t="shared" si="10"/>
        <v>340</v>
      </c>
      <c r="O108" s="36">
        <f t="shared" si="39"/>
        <v>340</v>
      </c>
      <c r="P108" s="36">
        <f t="shared" si="40"/>
        <v>340</v>
      </c>
    </row>
    <row r="109" spans="4:16" ht="20.100000000000001" customHeight="1" x14ac:dyDescent="0.25">
      <c r="D109" s="36" t="s">
        <v>71</v>
      </c>
      <c r="E109" s="36" t="str">
        <f t="shared" ref="E109:K109" si="42">E38</f>
        <v>South West</v>
      </c>
      <c r="F109" s="36" t="str">
        <f t="shared" si="42"/>
        <v>Winter</v>
      </c>
      <c r="G109" s="36">
        <f t="shared" si="42"/>
        <v>190</v>
      </c>
      <c r="H109" s="36">
        <f t="shared" si="42"/>
        <v>700</v>
      </c>
      <c r="I109" s="36">
        <f t="shared" si="42"/>
        <v>150</v>
      </c>
      <c r="J109" s="36">
        <f t="shared" si="42"/>
        <v>330</v>
      </c>
      <c r="K109" s="36">
        <f t="shared" si="42"/>
        <v>490</v>
      </c>
      <c r="L109" s="36">
        <f t="shared" si="38"/>
        <v>490</v>
      </c>
      <c r="M109" s="36">
        <f t="shared" si="38"/>
        <v>170</v>
      </c>
      <c r="N109" s="36">
        <f t="shared" si="10"/>
        <v>360</v>
      </c>
      <c r="O109" s="36">
        <f t="shared" si="39"/>
        <v>360</v>
      </c>
      <c r="P109" s="36">
        <f t="shared" si="40"/>
        <v>360</v>
      </c>
    </row>
    <row r="110" spans="4:16" ht="20.100000000000001" customHeight="1" x14ac:dyDescent="0.25">
      <c r="D110" s="36" t="s">
        <v>71</v>
      </c>
      <c r="E110" s="36" t="str">
        <f t="shared" ref="E110:K110" si="43">E39</f>
        <v>Pilbara</v>
      </c>
      <c r="F110" s="36" t="str">
        <f t="shared" si="43"/>
        <v>Spring</v>
      </c>
      <c r="G110" s="36">
        <f t="shared" si="43"/>
        <v>80</v>
      </c>
      <c r="H110" s="36">
        <f t="shared" si="43"/>
        <v>450</v>
      </c>
      <c r="I110" s="36">
        <f t="shared" si="43"/>
        <v>70</v>
      </c>
      <c r="J110" s="36">
        <f t="shared" si="43"/>
        <v>260</v>
      </c>
      <c r="K110" s="36">
        <f t="shared" si="43"/>
        <v>340</v>
      </c>
      <c r="L110" s="36">
        <f t="shared" si="38"/>
        <v>340</v>
      </c>
      <c r="M110" s="36">
        <f t="shared" si="38"/>
        <v>80</v>
      </c>
      <c r="N110" s="36">
        <f t="shared" si="10"/>
        <v>370</v>
      </c>
      <c r="O110" s="36">
        <f t="shared" si="39"/>
        <v>370</v>
      </c>
      <c r="P110" s="36">
        <f t="shared" si="40"/>
        <v>370</v>
      </c>
    </row>
    <row r="111" spans="4:16" ht="20.100000000000001" customHeight="1" x14ac:dyDescent="0.25">
      <c r="D111" s="36" t="s">
        <v>71</v>
      </c>
      <c r="E111" s="36" t="str">
        <f t="shared" ref="E111:K111" si="44">E40</f>
        <v>Pilbara</v>
      </c>
      <c r="F111" s="36" t="str">
        <f t="shared" si="44"/>
        <v>Summer</v>
      </c>
      <c r="G111" s="36">
        <f t="shared" si="44"/>
        <v>150</v>
      </c>
      <c r="H111" s="36">
        <f t="shared" si="44"/>
        <v>500</v>
      </c>
      <c r="I111" s="36">
        <f t="shared" si="44"/>
        <v>140</v>
      </c>
      <c r="J111" s="36">
        <f t="shared" si="44"/>
        <v>310</v>
      </c>
      <c r="K111" s="36">
        <f t="shared" si="44"/>
        <v>360</v>
      </c>
      <c r="L111" s="36">
        <f t="shared" si="38"/>
        <v>360</v>
      </c>
      <c r="M111" s="36">
        <f t="shared" si="38"/>
        <v>150</v>
      </c>
      <c r="N111" s="36">
        <f t="shared" si="10"/>
        <v>400</v>
      </c>
      <c r="O111" s="36">
        <f t="shared" si="39"/>
        <v>400</v>
      </c>
      <c r="P111" s="36">
        <f t="shared" si="40"/>
        <v>400</v>
      </c>
    </row>
    <row r="112" spans="4:16" ht="20.100000000000001" customHeight="1" x14ac:dyDescent="0.25">
      <c r="D112" s="36" t="s">
        <v>71</v>
      </c>
      <c r="E112" s="36" t="str">
        <f t="shared" ref="E112:K112" si="45">E41</f>
        <v>Pilbara</v>
      </c>
      <c r="F112" s="36" t="str">
        <f t="shared" si="45"/>
        <v>Autumn</v>
      </c>
      <c r="G112" s="36">
        <f t="shared" si="45"/>
        <v>230</v>
      </c>
      <c r="H112" s="36">
        <f t="shared" si="45"/>
        <v>550</v>
      </c>
      <c r="I112" s="36">
        <f t="shared" si="45"/>
        <v>220</v>
      </c>
      <c r="J112" s="36">
        <f t="shared" si="45"/>
        <v>330</v>
      </c>
      <c r="K112" s="36">
        <f t="shared" si="45"/>
        <v>380</v>
      </c>
      <c r="L112" s="36">
        <f t="shared" si="38"/>
        <v>380</v>
      </c>
      <c r="M112" s="36">
        <f t="shared" si="38"/>
        <v>230</v>
      </c>
      <c r="N112" s="36">
        <f t="shared" si="10"/>
        <v>420</v>
      </c>
      <c r="O112" s="36">
        <f t="shared" si="39"/>
        <v>420</v>
      </c>
      <c r="P112" s="36">
        <f t="shared" si="40"/>
        <v>420</v>
      </c>
    </row>
    <row r="113" spans="4:22" ht="20.100000000000001" customHeight="1" x14ac:dyDescent="0.25">
      <c r="D113" s="36" t="s">
        <v>71</v>
      </c>
      <c r="E113" s="36" t="str">
        <f t="shared" ref="E113:K113" si="46">E42</f>
        <v>Pilbara</v>
      </c>
      <c r="F113" s="36" t="str">
        <f t="shared" si="46"/>
        <v>Winter</v>
      </c>
      <c r="G113" s="36">
        <f t="shared" si="46"/>
        <v>250</v>
      </c>
      <c r="H113" s="36">
        <f t="shared" si="46"/>
        <v>500</v>
      </c>
      <c r="I113" s="36">
        <f t="shared" si="46"/>
        <v>240</v>
      </c>
      <c r="J113" s="36">
        <f t="shared" si="46"/>
        <v>340</v>
      </c>
      <c r="K113" s="36">
        <f t="shared" si="46"/>
        <v>360</v>
      </c>
      <c r="L113" s="36">
        <f t="shared" si="38"/>
        <v>360</v>
      </c>
      <c r="M113" s="36">
        <f t="shared" si="38"/>
        <v>250</v>
      </c>
      <c r="N113" s="36">
        <f t="shared" si="10"/>
        <v>390</v>
      </c>
      <c r="O113" s="36">
        <f t="shared" si="39"/>
        <v>390</v>
      </c>
      <c r="P113" s="36">
        <f t="shared" si="40"/>
        <v>390</v>
      </c>
    </row>
    <row r="114" spans="4:22" ht="20.100000000000001" customHeight="1" x14ac:dyDescent="0.25">
      <c r="D114" s="36" t="s">
        <v>71</v>
      </c>
      <c r="E114" s="36" t="str">
        <f t="shared" ref="E114:K114" si="47">E43</f>
        <v>Kimberley</v>
      </c>
      <c r="F114" s="36" t="str">
        <f t="shared" si="47"/>
        <v>Spring</v>
      </c>
      <c r="G114" s="36">
        <f t="shared" si="47"/>
        <v>220</v>
      </c>
      <c r="H114" s="36">
        <f t="shared" si="47"/>
        <v>500</v>
      </c>
      <c r="I114" s="36">
        <f t="shared" si="47"/>
        <v>180</v>
      </c>
      <c r="J114" s="36">
        <f t="shared" si="47"/>
        <v>300</v>
      </c>
      <c r="K114" s="36">
        <f t="shared" si="47"/>
        <v>320</v>
      </c>
      <c r="L114" s="36">
        <f t="shared" si="38"/>
        <v>320</v>
      </c>
      <c r="M114" s="36">
        <f t="shared" si="38"/>
        <v>210</v>
      </c>
      <c r="N114" s="36">
        <f t="shared" si="10"/>
        <v>340</v>
      </c>
      <c r="O114" s="36">
        <f t="shared" si="39"/>
        <v>340</v>
      </c>
      <c r="P114" s="36">
        <f t="shared" si="40"/>
        <v>340</v>
      </c>
    </row>
    <row r="115" spans="4:22" ht="20.100000000000001" customHeight="1" x14ac:dyDescent="0.25">
      <c r="D115" s="36" t="s">
        <v>71</v>
      </c>
      <c r="E115" s="36" t="str">
        <f t="shared" ref="E115:K115" si="48">E44</f>
        <v>Kimberley</v>
      </c>
      <c r="F115" s="36" t="str">
        <f t="shared" si="48"/>
        <v>Summer</v>
      </c>
      <c r="G115" s="36">
        <f t="shared" si="48"/>
        <v>110</v>
      </c>
      <c r="H115" s="36">
        <f t="shared" si="48"/>
        <v>550</v>
      </c>
      <c r="I115" s="36">
        <f t="shared" si="48"/>
        <v>90</v>
      </c>
      <c r="J115" s="36">
        <f t="shared" si="48"/>
        <v>220</v>
      </c>
      <c r="K115" s="36">
        <f t="shared" si="48"/>
        <v>380</v>
      </c>
      <c r="L115" s="36">
        <f t="shared" si="38"/>
        <v>380</v>
      </c>
      <c r="M115" s="36">
        <f t="shared" si="38"/>
        <v>100</v>
      </c>
      <c r="N115" s="36">
        <f t="shared" si="10"/>
        <v>390</v>
      </c>
      <c r="O115" s="36">
        <f t="shared" si="39"/>
        <v>390</v>
      </c>
      <c r="P115" s="36">
        <f t="shared" si="40"/>
        <v>390</v>
      </c>
      <c r="V115" s="1"/>
    </row>
    <row r="116" spans="4:22" ht="20.100000000000001" customHeight="1" x14ac:dyDescent="0.25">
      <c r="D116" s="36" t="s">
        <v>71</v>
      </c>
      <c r="E116" s="36" t="str">
        <f t="shared" ref="E116:K116" si="49">E45</f>
        <v>Kimberley</v>
      </c>
      <c r="F116" s="36" t="str">
        <f t="shared" si="49"/>
        <v>Autumn</v>
      </c>
      <c r="G116" s="36">
        <f t="shared" si="49"/>
        <v>170</v>
      </c>
      <c r="H116" s="36">
        <f t="shared" si="49"/>
        <v>600</v>
      </c>
      <c r="I116" s="36">
        <f t="shared" si="49"/>
        <v>140</v>
      </c>
      <c r="J116" s="36">
        <f t="shared" si="49"/>
        <v>270</v>
      </c>
      <c r="K116" s="36">
        <f t="shared" si="49"/>
        <v>390</v>
      </c>
      <c r="L116" s="36">
        <f t="shared" si="38"/>
        <v>390</v>
      </c>
      <c r="M116" s="36">
        <f t="shared" si="38"/>
        <v>160</v>
      </c>
      <c r="N116" s="36">
        <f t="shared" si="10"/>
        <v>430</v>
      </c>
      <c r="O116" s="36">
        <f t="shared" si="39"/>
        <v>430</v>
      </c>
      <c r="P116" s="36">
        <f t="shared" si="40"/>
        <v>430</v>
      </c>
      <c r="V116" s="1"/>
    </row>
    <row r="117" spans="4:22" ht="20.100000000000001" customHeight="1" x14ac:dyDescent="0.25">
      <c r="D117" s="36" t="s">
        <v>71</v>
      </c>
      <c r="E117" s="36" t="str">
        <f t="shared" ref="E117:K117" si="50">E46</f>
        <v>Kimberley</v>
      </c>
      <c r="F117" s="36" t="str">
        <f t="shared" si="50"/>
        <v>Winter</v>
      </c>
      <c r="G117" s="36">
        <f t="shared" si="50"/>
        <v>200</v>
      </c>
      <c r="H117" s="36">
        <f t="shared" si="50"/>
        <v>550</v>
      </c>
      <c r="I117" s="36">
        <f t="shared" si="50"/>
        <v>150</v>
      </c>
      <c r="J117" s="36">
        <f t="shared" si="50"/>
        <v>280</v>
      </c>
      <c r="K117" s="36">
        <f t="shared" si="50"/>
        <v>350</v>
      </c>
      <c r="L117" s="36">
        <f t="shared" si="38"/>
        <v>350</v>
      </c>
      <c r="M117" s="36">
        <f t="shared" si="38"/>
        <v>190</v>
      </c>
      <c r="N117" s="36">
        <f t="shared" si="10"/>
        <v>400</v>
      </c>
      <c r="O117" s="36">
        <f t="shared" si="39"/>
        <v>400</v>
      </c>
      <c r="P117" s="36">
        <f t="shared" si="40"/>
        <v>400</v>
      </c>
      <c r="V117" s="1"/>
    </row>
    <row r="118" spans="4:22" ht="20.100000000000001" customHeight="1" x14ac:dyDescent="0.25">
      <c r="D118" s="36" t="s">
        <v>66</v>
      </c>
      <c r="E118" s="36" t="str">
        <f>E54</f>
        <v>Alice Springs</v>
      </c>
      <c r="F118" s="36" t="str">
        <f t="shared" ref="F118:P118" si="51">F54</f>
        <v>Spring</v>
      </c>
      <c r="G118" s="36">
        <f t="shared" si="51"/>
        <v>220</v>
      </c>
      <c r="H118" s="36">
        <f t="shared" si="51"/>
        <v>706</v>
      </c>
      <c r="I118" s="36">
        <f t="shared" si="51"/>
        <v>208</v>
      </c>
      <c r="J118" s="36">
        <f t="shared" si="51"/>
        <v>323</v>
      </c>
      <c r="K118" s="36">
        <f t="shared" si="51"/>
        <v>415</v>
      </c>
      <c r="L118" s="36">
        <f t="shared" si="51"/>
        <v>467</v>
      </c>
      <c r="M118" s="36">
        <f t="shared" si="51"/>
        <v>223</v>
      </c>
      <c r="N118" s="36">
        <f t="shared" si="51"/>
        <v>371</v>
      </c>
      <c r="O118" s="36">
        <f t="shared" si="51"/>
        <v>493</v>
      </c>
      <c r="P118" s="36">
        <f t="shared" si="51"/>
        <v>585</v>
      </c>
    </row>
    <row r="119" spans="4:22" ht="20.100000000000001" customHeight="1" x14ac:dyDescent="0.25">
      <c r="D119" s="36" t="s">
        <v>66</v>
      </c>
      <c r="E119" s="36" t="str">
        <f t="shared" ref="E119:P119" si="52">E55</f>
        <v>Alice Springs</v>
      </c>
      <c r="F119" s="36" t="str">
        <f t="shared" si="52"/>
        <v>Summer</v>
      </c>
      <c r="G119" s="36">
        <f t="shared" si="52"/>
        <v>110</v>
      </c>
      <c r="H119" s="36">
        <f t="shared" si="52"/>
        <v>703</v>
      </c>
      <c r="I119" s="36">
        <f t="shared" si="52"/>
        <v>112</v>
      </c>
      <c r="J119" s="36">
        <f t="shared" si="52"/>
        <v>256</v>
      </c>
      <c r="K119" s="36">
        <f t="shared" si="52"/>
        <v>368</v>
      </c>
      <c r="L119" s="36">
        <f t="shared" si="52"/>
        <v>465</v>
      </c>
      <c r="M119" s="36">
        <f t="shared" si="52"/>
        <v>108</v>
      </c>
      <c r="N119" s="36">
        <f t="shared" si="52"/>
        <v>280</v>
      </c>
      <c r="O119" s="36">
        <f t="shared" si="52"/>
        <v>421</v>
      </c>
      <c r="P119" s="36">
        <f t="shared" si="52"/>
        <v>543</v>
      </c>
    </row>
    <row r="120" spans="4:22" ht="20.100000000000001" customHeight="1" x14ac:dyDescent="0.25">
      <c r="D120" s="36" t="s">
        <v>66</v>
      </c>
      <c r="E120" s="36" t="str">
        <f t="shared" ref="E120:P120" si="53">E56</f>
        <v>Alice Springs</v>
      </c>
      <c r="F120" s="36" t="str">
        <f t="shared" si="53"/>
        <v>Autumn</v>
      </c>
      <c r="G120" s="36">
        <f t="shared" si="53"/>
        <v>170</v>
      </c>
      <c r="H120" s="36">
        <f t="shared" si="53"/>
        <v>721</v>
      </c>
      <c r="I120" s="36">
        <f t="shared" si="53"/>
        <v>169</v>
      </c>
      <c r="J120" s="36">
        <f t="shared" si="53"/>
        <v>306</v>
      </c>
      <c r="K120" s="36">
        <f t="shared" si="53"/>
        <v>392</v>
      </c>
      <c r="L120" s="36">
        <f t="shared" si="53"/>
        <v>464</v>
      </c>
      <c r="M120" s="36">
        <f t="shared" si="53"/>
        <v>176</v>
      </c>
      <c r="N120" s="36">
        <f t="shared" si="53"/>
        <v>339</v>
      </c>
      <c r="O120" s="36">
        <f t="shared" si="53"/>
        <v>470</v>
      </c>
      <c r="P120" s="36">
        <f t="shared" si="53"/>
        <v>580</v>
      </c>
    </row>
    <row r="121" spans="4:22" ht="20.100000000000001" customHeight="1" x14ac:dyDescent="0.25">
      <c r="D121" s="36" t="s">
        <v>66</v>
      </c>
      <c r="E121" s="36" t="str">
        <f t="shared" ref="E121:P121" si="54">E57</f>
        <v>Alice Springs</v>
      </c>
      <c r="F121" s="36" t="str">
        <f t="shared" si="54"/>
        <v>Winter</v>
      </c>
      <c r="G121" s="36">
        <f t="shared" si="54"/>
        <v>200</v>
      </c>
      <c r="H121" s="36">
        <f t="shared" si="54"/>
        <v>727</v>
      </c>
      <c r="I121" s="36">
        <f t="shared" si="54"/>
        <v>211</v>
      </c>
      <c r="J121" s="36">
        <f t="shared" si="54"/>
        <v>338</v>
      </c>
      <c r="K121" s="36">
        <f t="shared" si="54"/>
        <v>432</v>
      </c>
      <c r="L121" s="36">
        <f t="shared" si="54"/>
        <v>492</v>
      </c>
      <c r="M121" s="36">
        <f t="shared" si="54"/>
        <v>222</v>
      </c>
      <c r="N121" s="36">
        <f t="shared" si="54"/>
        <v>377</v>
      </c>
      <c r="O121" s="36">
        <f t="shared" si="54"/>
        <v>498</v>
      </c>
      <c r="P121" s="36">
        <f t="shared" si="54"/>
        <v>590</v>
      </c>
    </row>
    <row r="122" spans="4:22" ht="20.100000000000001" customHeight="1" x14ac:dyDescent="0.25">
      <c r="D122" s="36" t="s">
        <v>66</v>
      </c>
      <c r="E122" s="36" t="str">
        <f t="shared" ref="E122:P122" si="55">E58</f>
        <v>Barkly</v>
      </c>
      <c r="F122" s="36" t="str">
        <f t="shared" si="55"/>
        <v>Spring</v>
      </c>
      <c r="G122" s="36">
        <f t="shared" si="55"/>
        <v>220</v>
      </c>
      <c r="H122" s="36">
        <f t="shared" si="55"/>
        <v>620</v>
      </c>
      <c r="I122" s="36">
        <f t="shared" si="55"/>
        <v>227</v>
      </c>
      <c r="J122" s="36">
        <f t="shared" si="55"/>
        <v>319</v>
      </c>
      <c r="K122" s="36">
        <f t="shared" si="55"/>
        <v>398</v>
      </c>
      <c r="L122" s="36">
        <f t="shared" si="55"/>
        <v>452</v>
      </c>
      <c r="M122" s="36">
        <f t="shared" si="55"/>
        <v>216</v>
      </c>
      <c r="N122" s="36">
        <f t="shared" si="55"/>
        <v>334</v>
      </c>
      <c r="O122" s="36" t="str">
        <f t="shared" si="55"/>
        <v>NO</v>
      </c>
      <c r="P122" s="36" t="str">
        <f t="shared" si="55"/>
        <v>NO</v>
      </c>
    </row>
    <row r="123" spans="4:22" ht="20.100000000000001" customHeight="1" x14ac:dyDescent="0.25">
      <c r="D123" s="36" t="s">
        <v>66</v>
      </c>
      <c r="E123" s="36" t="str">
        <f t="shared" ref="E123:P123" si="56">E59</f>
        <v>Barkly</v>
      </c>
      <c r="F123" s="36" t="str">
        <f t="shared" si="56"/>
        <v>Summer</v>
      </c>
      <c r="G123" s="36">
        <f t="shared" si="56"/>
        <v>110</v>
      </c>
      <c r="H123" s="36">
        <f t="shared" si="56"/>
        <v>650</v>
      </c>
      <c r="I123" s="36">
        <f t="shared" si="56"/>
        <v>108</v>
      </c>
      <c r="J123" s="36">
        <f t="shared" si="56"/>
        <v>262</v>
      </c>
      <c r="K123" s="36">
        <f t="shared" si="56"/>
        <v>346</v>
      </c>
      <c r="L123" s="36">
        <f t="shared" si="56"/>
        <v>430</v>
      </c>
      <c r="M123" s="36">
        <f t="shared" si="56"/>
        <v>111</v>
      </c>
      <c r="N123" s="36">
        <f t="shared" si="56"/>
        <v>236</v>
      </c>
      <c r="O123" s="36" t="str">
        <f t="shared" si="56"/>
        <v>NO</v>
      </c>
      <c r="P123" s="36" t="str">
        <f t="shared" si="56"/>
        <v>NO</v>
      </c>
    </row>
    <row r="124" spans="4:22" ht="20.100000000000001" customHeight="1" x14ac:dyDescent="0.25">
      <c r="D124" s="36" t="s">
        <v>66</v>
      </c>
      <c r="E124" s="36" t="str">
        <f t="shared" ref="E124:P124" si="57">E60</f>
        <v>Barkly</v>
      </c>
      <c r="F124" s="36" t="str">
        <f t="shared" si="57"/>
        <v>Autumn</v>
      </c>
      <c r="G124" s="36">
        <f t="shared" si="57"/>
        <v>170</v>
      </c>
      <c r="H124" s="36">
        <f t="shared" si="57"/>
        <v>670</v>
      </c>
      <c r="I124" s="36">
        <f t="shared" si="57"/>
        <v>170</v>
      </c>
      <c r="J124" s="36">
        <f t="shared" si="57"/>
        <v>266</v>
      </c>
      <c r="K124" s="36">
        <f t="shared" si="57"/>
        <v>363</v>
      </c>
      <c r="L124" s="36">
        <f t="shared" si="57"/>
        <v>444</v>
      </c>
      <c r="M124" s="36">
        <f t="shared" si="57"/>
        <v>169</v>
      </c>
      <c r="N124" s="36">
        <f t="shared" si="57"/>
        <v>282</v>
      </c>
      <c r="O124" s="36" t="str">
        <f t="shared" si="57"/>
        <v>NO</v>
      </c>
      <c r="P124" s="36" t="str">
        <f t="shared" si="57"/>
        <v>NO</v>
      </c>
    </row>
    <row r="125" spans="4:22" ht="20.100000000000001" customHeight="1" x14ac:dyDescent="0.25">
      <c r="D125" s="36" t="s">
        <v>66</v>
      </c>
      <c r="E125" s="36" t="str">
        <f t="shared" ref="E125:P125" si="58">E61</f>
        <v>Barkly</v>
      </c>
      <c r="F125" s="36" t="str">
        <f t="shared" si="58"/>
        <v>Winter</v>
      </c>
      <c r="G125" s="36">
        <f t="shared" si="58"/>
        <v>200</v>
      </c>
      <c r="H125" s="36">
        <f t="shared" si="58"/>
        <v>660</v>
      </c>
      <c r="I125" s="36">
        <f t="shared" si="58"/>
        <v>225</v>
      </c>
      <c r="J125" s="36">
        <f t="shared" si="58"/>
        <v>307</v>
      </c>
      <c r="K125" s="36">
        <f t="shared" si="58"/>
        <v>398</v>
      </c>
      <c r="L125" s="36">
        <f t="shared" si="58"/>
        <v>452</v>
      </c>
      <c r="M125" s="36">
        <f t="shared" si="58"/>
        <v>214</v>
      </c>
      <c r="N125" s="36">
        <f t="shared" si="58"/>
        <v>326</v>
      </c>
      <c r="O125" s="36" t="str">
        <f t="shared" si="58"/>
        <v>NO</v>
      </c>
      <c r="P125" s="36" t="str">
        <f t="shared" si="58"/>
        <v>NO</v>
      </c>
      <c r="V125" s="1"/>
    </row>
    <row r="126" spans="4:22" ht="20.100000000000001" customHeight="1" x14ac:dyDescent="0.25">
      <c r="D126" s="36" t="s">
        <v>66</v>
      </c>
      <c r="E126" s="36" t="str">
        <f t="shared" ref="E126:P126" si="59">E62</f>
        <v>Northern</v>
      </c>
      <c r="F126" s="36" t="str">
        <f t="shared" si="59"/>
        <v>Spring</v>
      </c>
      <c r="G126" s="36">
        <f t="shared" si="59"/>
        <v>220</v>
      </c>
      <c r="H126" s="36">
        <f t="shared" si="59"/>
        <v>620</v>
      </c>
      <c r="I126" s="36">
        <f t="shared" si="59"/>
        <v>177</v>
      </c>
      <c r="J126" s="36">
        <f t="shared" si="59"/>
        <v>267</v>
      </c>
      <c r="K126" s="36">
        <f t="shared" si="59"/>
        <v>365</v>
      </c>
      <c r="L126" s="36">
        <f t="shared" si="59"/>
        <v>406</v>
      </c>
      <c r="M126" s="36">
        <f t="shared" si="59"/>
        <v>231</v>
      </c>
      <c r="N126" s="36">
        <f t="shared" si="59"/>
        <v>249</v>
      </c>
      <c r="O126" s="36">
        <f t="shared" si="59"/>
        <v>324</v>
      </c>
      <c r="P126" s="36" t="str">
        <f t="shared" si="59"/>
        <v>NO</v>
      </c>
      <c r="V126" s="1"/>
    </row>
    <row r="127" spans="4:22" ht="20.100000000000001" customHeight="1" x14ac:dyDescent="0.25">
      <c r="D127" s="36" t="s">
        <v>66</v>
      </c>
      <c r="E127" s="36" t="str">
        <f t="shared" ref="E127:P127" si="60">E63</f>
        <v>Northern</v>
      </c>
      <c r="F127" s="36" t="str">
        <f t="shared" si="60"/>
        <v>Summer</v>
      </c>
      <c r="G127" s="36">
        <f t="shared" si="60"/>
        <v>110</v>
      </c>
      <c r="H127" s="36">
        <f t="shared" si="60"/>
        <v>650</v>
      </c>
      <c r="I127" s="36">
        <f t="shared" si="60"/>
        <v>102</v>
      </c>
      <c r="J127" s="36">
        <f t="shared" si="60"/>
        <v>203</v>
      </c>
      <c r="K127" s="36">
        <f t="shared" si="60"/>
        <v>299</v>
      </c>
      <c r="L127" s="36">
        <f t="shared" si="60"/>
        <v>380</v>
      </c>
      <c r="M127" s="36">
        <f t="shared" si="60"/>
        <v>102</v>
      </c>
      <c r="N127" s="36">
        <f t="shared" si="60"/>
        <v>218</v>
      </c>
      <c r="O127" s="36">
        <f t="shared" si="60"/>
        <v>263</v>
      </c>
      <c r="P127" s="36" t="str">
        <f t="shared" si="60"/>
        <v>NO</v>
      </c>
      <c r="V127" s="1"/>
    </row>
    <row r="128" spans="4:22" ht="20.100000000000001" customHeight="1" x14ac:dyDescent="0.25">
      <c r="D128" s="36" t="s">
        <v>66</v>
      </c>
      <c r="E128" s="36" t="str">
        <f t="shared" ref="E128:P128" si="61">E64</f>
        <v>Northern</v>
      </c>
      <c r="F128" s="36" t="str">
        <f t="shared" si="61"/>
        <v>Autumn</v>
      </c>
      <c r="G128" s="36">
        <f t="shared" si="61"/>
        <v>170</v>
      </c>
      <c r="H128" s="36">
        <f t="shared" si="61"/>
        <v>670</v>
      </c>
      <c r="I128" s="36">
        <f t="shared" si="61"/>
        <v>173</v>
      </c>
      <c r="J128" s="36">
        <f t="shared" si="61"/>
        <v>250</v>
      </c>
      <c r="K128" s="36">
        <f t="shared" si="61"/>
        <v>336</v>
      </c>
      <c r="L128" s="36">
        <f t="shared" si="61"/>
        <v>414</v>
      </c>
      <c r="M128" s="36">
        <f t="shared" si="61"/>
        <v>175</v>
      </c>
      <c r="N128" s="36">
        <f t="shared" si="61"/>
        <v>243</v>
      </c>
      <c r="O128" s="36">
        <f t="shared" si="61"/>
        <v>304</v>
      </c>
      <c r="P128" s="36" t="str">
        <f t="shared" si="61"/>
        <v>NO</v>
      </c>
      <c r="V128" s="1"/>
    </row>
    <row r="129" spans="4:22" ht="20.100000000000001" customHeight="1" x14ac:dyDescent="0.25">
      <c r="D129" s="36" t="s">
        <v>66</v>
      </c>
      <c r="E129" s="36" t="str">
        <f t="shared" ref="E129:P129" si="62">E65</f>
        <v>Northern</v>
      </c>
      <c r="F129" s="36" t="str">
        <f t="shared" si="62"/>
        <v>Winter</v>
      </c>
      <c r="G129" s="36">
        <f t="shared" si="62"/>
        <v>200</v>
      </c>
      <c r="H129" s="36">
        <f t="shared" si="62"/>
        <v>660</v>
      </c>
      <c r="I129" s="36">
        <f t="shared" si="62"/>
        <v>202</v>
      </c>
      <c r="J129" s="36">
        <f t="shared" si="62"/>
        <v>272</v>
      </c>
      <c r="K129" s="36">
        <f t="shared" si="62"/>
        <v>365</v>
      </c>
      <c r="L129" s="36">
        <f t="shared" si="62"/>
        <v>390</v>
      </c>
      <c r="M129" s="36">
        <f t="shared" si="62"/>
        <v>208</v>
      </c>
      <c r="N129" s="36">
        <f t="shared" si="62"/>
        <v>260</v>
      </c>
      <c r="O129" s="36">
        <f t="shared" si="62"/>
        <v>337</v>
      </c>
      <c r="P129" s="36" t="str">
        <f t="shared" si="62"/>
        <v>NO</v>
      </c>
      <c r="V129" s="1"/>
    </row>
    <row r="130" spans="4:22" ht="20.100000000000001" customHeight="1" x14ac:dyDescent="0.25">
      <c r="D130" s="36" t="s">
        <v>67</v>
      </c>
      <c r="E130" s="36" t="str">
        <f t="shared" ref="E130:P130" si="63">E66</f>
        <v>High</v>
      </c>
      <c r="F130" s="36" t="str">
        <f t="shared" si="63"/>
        <v>Spring</v>
      </c>
      <c r="G130" s="36">
        <f t="shared" si="63"/>
        <v>260</v>
      </c>
      <c r="H130" s="36">
        <f t="shared" si="63"/>
        <v>705</v>
      </c>
      <c r="I130" s="36">
        <f t="shared" si="63"/>
        <v>215</v>
      </c>
      <c r="J130" s="36">
        <f t="shared" si="63"/>
        <v>302</v>
      </c>
      <c r="K130" s="36">
        <f t="shared" si="63"/>
        <v>416</v>
      </c>
      <c r="L130" s="36">
        <f t="shared" si="63"/>
        <v>519</v>
      </c>
      <c r="M130" s="36">
        <f t="shared" si="63"/>
        <v>234</v>
      </c>
      <c r="N130" s="36">
        <f t="shared" si="63"/>
        <v>455</v>
      </c>
      <c r="O130" s="36">
        <f t="shared" si="63"/>
        <v>551</v>
      </c>
      <c r="P130" s="36">
        <f t="shared" si="63"/>
        <v>660</v>
      </c>
      <c r="V130" s="1"/>
    </row>
    <row r="131" spans="4:22" ht="20.100000000000001" customHeight="1" x14ac:dyDescent="0.25">
      <c r="D131" s="36" t="s">
        <v>67</v>
      </c>
      <c r="E131" s="36" t="str">
        <f t="shared" ref="E131:P131" si="64">E67</f>
        <v>High</v>
      </c>
      <c r="F131" s="36" t="str">
        <f t="shared" si="64"/>
        <v>Summer</v>
      </c>
      <c r="G131" s="36">
        <f t="shared" si="64"/>
        <v>153</v>
      </c>
      <c r="H131" s="36">
        <f t="shared" si="64"/>
        <v>703</v>
      </c>
      <c r="I131" s="36">
        <f t="shared" si="64"/>
        <v>118</v>
      </c>
      <c r="J131" s="36">
        <f t="shared" si="64"/>
        <v>277</v>
      </c>
      <c r="K131" s="36">
        <f t="shared" si="64"/>
        <v>397</v>
      </c>
      <c r="L131" s="36">
        <f t="shared" si="64"/>
        <v>483</v>
      </c>
      <c r="M131" s="36">
        <f t="shared" si="64"/>
        <v>111</v>
      </c>
      <c r="N131" s="36">
        <f t="shared" si="64"/>
        <v>304</v>
      </c>
      <c r="O131" s="36">
        <f t="shared" si="64"/>
        <v>521</v>
      </c>
      <c r="P131" s="36">
        <f t="shared" si="64"/>
        <v>547</v>
      </c>
    </row>
    <row r="132" spans="4:22" ht="20.100000000000001" customHeight="1" x14ac:dyDescent="0.25">
      <c r="D132" s="36" t="s">
        <v>67</v>
      </c>
      <c r="E132" s="36" t="str">
        <f t="shared" ref="E132:P132" si="65">E68</f>
        <v>High</v>
      </c>
      <c r="F132" s="36" t="str">
        <f t="shared" si="65"/>
        <v>Autumn</v>
      </c>
      <c r="G132" s="36">
        <f t="shared" si="65"/>
        <v>168</v>
      </c>
      <c r="H132" s="36">
        <f t="shared" si="65"/>
        <v>718</v>
      </c>
      <c r="I132" s="36">
        <f t="shared" si="65"/>
        <v>191</v>
      </c>
      <c r="J132" s="36">
        <f t="shared" si="65"/>
        <v>319</v>
      </c>
      <c r="K132" s="36">
        <f t="shared" si="65"/>
        <v>440</v>
      </c>
      <c r="L132" s="36">
        <f t="shared" si="65"/>
        <v>506</v>
      </c>
      <c r="M132" s="36">
        <f t="shared" si="65"/>
        <v>188</v>
      </c>
      <c r="N132" s="36">
        <f t="shared" si="65"/>
        <v>326</v>
      </c>
      <c r="O132" s="36">
        <f t="shared" si="65"/>
        <v>520</v>
      </c>
      <c r="P132" s="36">
        <f t="shared" si="65"/>
        <v>582</v>
      </c>
    </row>
    <row r="133" spans="4:22" ht="20.100000000000001" customHeight="1" x14ac:dyDescent="0.25">
      <c r="D133" s="36" t="s">
        <v>67</v>
      </c>
      <c r="E133" s="36" t="str">
        <f t="shared" ref="E133:P133" si="66">E69</f>
        <v>High</v>
      </c>
      <c r="F133" s="36" t="str">
        <f t="shared" si="66"/>
        <v>Winter</v>
      </c>
      <c r="G133" s="36">
        <f t="shared" si="66"/>
        <v>235</v>
      </c>
      <c r="H133" s="36">
        <f t="shared" si="66"/>
        <v>722</v>
      </c>
      <c r="I133" s="36">
        <f t="shared" si="66"/>
        <v>207</v>
      </c>
      <c r="J133" s="36">
        <f t="shared" si="66"/>
        <v>352</v>
      </c>
      <c r="K133" s="36">
        <f t="shared" si="66"/>
        <v>470</v>
      </c>
      <c r="L133" s="36">
        <f t="shared" si="66"/>
        <v>514</v>
      </c>
      <c r="M133" s="36">
        <f t="shared" si="66"/>
        <v>209</v>
      </c>
      <c r="N133" s="36">
        <f t="shared" si="66"/>
        <v>421</v>
      </c>
      <c r="O133" s="36">
        <f t="shared" si="66"/>
        <v>512</v>
      </c>
      <c r="P133" s="36">
        <f t="shared" si="66"/>
        <v>605</v>
      </c>
    </row>
    <row r="134" spans="4:22" ht="20.100000000000001" customHeight="1" x14ac:dyDescent="0.25">
      <c r="D134" s="36" t="s">
        <v>67</v>
      </c>
      <c r="E134" s="36" t="str">
        <f t="shared" ref="E134:P134" si="67">E70</f>
        <v>Moderate/High</v>
      </c>
      <c r="F134" s="36" t="str">
        <f t="shared" si="67"/>
        <v>Spring</v>
      </c>
      <c r="G134" s="36">
        <f t="shared" si="67"/>
        <v>230</v>
      </c>
      <c r="H134" s="36">
        <f t="shared" si="67"/>
        <v>674</v>
      </c>
      <c r="I134" s="36">
        <f t="shared" si="67"/>
        <v>217</v>
      </c>
      <c r="J134" s="36">
        <f t="shared" si="67"/>
        <v>344</v>
      </c>
      <c r="K134" s="36">
        <f t="shared" si="67"/>
        <v>357</v>
      </c>
      <c r="L134" s="36">
        <f t="shared" si="67"/>
        <v>467</v>
      </c>
      <c r="M134" s="36">
        <f t="shared" si="67"/>
        <v>242</v>
      </c>
      <c r="N134" s="36">
        <f t="shared" si="67"/>
        <v>370</v>
      </c>
      <c r="O134" s="36">
        <f t="shared" si="67"/>
        <v>550</v>
      </c>
      <c r="P134" s="36">
        <f t="shared" si="67"/>
        <v>620</v>
      </c>
    </row>
    <row r="135" spans="4:22" ht="20.100000000000001" customHeight="1" x14ac:dyDescent="0.25">
      <c r="D135" s="36" t="s">
        <v>67</v>
      </c>
      <c r="E135" s="36" t="str">
        <f t="shared" ref="E135:P135" si="68">E71</f>
        <v>Moderate/High</v>
      </c>
      <c r="F135" s="36" t="str">
        <f t="shared" si="68"/>
        <v>Summer</v>
      </c>
      <c r="G135" s="36">
        <f t="shared" si="68"/>
        <v>113</v>
      </c>
      <c r="H135" s="36">
        <f t="shared" si="68"/>
        <v>669</v>
      </c>
      <c r="I135" s="36">
        <f t="shared" si="68"/>
        <v>113</v>
      </c>
      <c r="J135" s="36">
        <f t="shared" si="68"/>
        <v>283</v>
      </c>
      <c r="K135" s="36">
        <f t="shared" si="68"/>
        <v>361</v>
      </c>
      <c r="L135" s="36">
        <f t="shared" si="68"/>
        <v>477</v>
      </c>
      <c r="M135" s="36">
        <f t="shared" si="68"/>
        <v>120</v>
      </c>
      <c r="N135" s="36">
        <f t="shared" si="68"/>
        <v>273</v>
      </c>
      <c r="O135" s="36">
        <f t="shared" si="68"/>
        <v>545</v>
      </c>
      <c r="P135" s="36">
        <f t="shared" si="68"/>
        <v>553</v>
      </c>
    </row>
    <row r="136" spans="4:22" ht="20.100000000000001" customHeight="1" x14ac:dyDescent="0.25">
      <c r="D136" s="36" t="s">
        <v>67</v>
      </c>
      <c r="E136" s="36" t="str">
        <f t="shared" ref="E136:P136" si="69">E72</f>
        <v>Moderate/High</v>
      </c>
      <c r="F136" s="36" t="str">
        <f t="shared" si="69"/>
        <v>Autumn</v>
      </c>
      <c r="G136" s="36">
        <f t="shared" si="69"/>
        <v>172</v>
      </c>
      <c r="H136" s="36">
        <f t="shared" si="69"/>
        <v>685</v>
      </c>
      <c r="I136" s="36">
        <f t="shared" si="69"/>
        <v>172</v>
      </c>
      <c r="J136" s="36">
        <f t="shared" si="69"/>
        <v>309</v>
      </c>
      <c r="K136" s="36">
        <f t="shared" si="69"/>
        <v>376</v>
      </c>
      <c r="L136" s="36">
        <f t="shared" si="69"/>
        <v>471</v>
      </c>
      <c r="M136" s="36">
        <f t="shared" si="69"/>
        <v>238</v>
      </c>
      <c r="N136" s="36">
        <f t="shared" si="69"/>
        <v>329</v>
      </c>
      <c r="O136" s="36">
        <f t="shared" si="69"/>
        <v>573</v>
      </c>
      <c r="P136" s="36">
        <f t="shared" si="69"/>
        <v>620</v>
      </c>
    </row>
    <row r="137" spans="4:22" ht="20.100000000000001" customHeight="1" x14ac:dyDescent="0.25">
      <c r="D137" s="36" t="s">
        <v>67</v>
      </c>
      <c r="E137" s="36" t="str">
        <f t="shared" ref="E137:P137" si="70">E73</f>
        <v>Moderate/High</v>
      </c>
      <c r="F137" s="36" t="str">
        <f t="shared" si="70"/>
        <v>Winter</v>
      </c>
      <c r="G137" s="36">
        <f t="shared" si="70"/>
        <v>241</v>
      </c>
      <c r="H137" s="36">
        <f t="shared" si="70"/>
        <v>692</v>
      </c>
      <c r="I137" s="36">
        <f t="shared" si="70"/>
        <v>208</v>
      </c>
      <c r="J137" s="36">
        <f t="shared" si="70"/>
        <v>344</v>
      </c>
      <c r="K137" s="36">
        <f t="shared" si="70"/>
        <v>364</v>
      </c>
      <c r="L137" s="36">
        <f t="shared" si="70"/>
        <v>484</v>
      </c>
      <c r="M137" s="36">
        <f t="shared" si="70"/>
        <v>260</v>
      </c>
      <c r="N137" s="36">
        <f t="shared" si="70"/>
        <v>350</v>
      </c>
      <c r="O137" s="36">
        <f t="shared" si="70"/>
        <v>567</v>
      </c>
      <c r="P137" s="36">
        <f t="shared" si="70"/>
        <v>620</v>
      </c>
    </row>
    <row r="138" spans="4:22" ht="20.100000000000001" customHeight="1" x14ac:dyDescent="0.25">
      <c r="D138" s="36" t="s">
        <v>67</v>
      </c>
      <c r="E138" s="36" t="str">
        <f t="shared" ref="E138:P138" si="71">E74</f>
        <v>Moderate/Low</v>
      </c>
      <c r="F138" s="36" t="str">
        <f t="shared" si="71"/>
        <v>Spring</v>
      </c>
      <c r="G138" s="36">
        <f t="shared" si="71"/>
        <v>236</v>
      </c>
      <c r="H138" s="36">
        <f t="shared" si="71"/>
        <v>674</v>
      </c>
      <c r="I138" s="36">
        <f t="shared" si="71"/>
        <v>178</v>
      </c>
      <c r="J138" s="36">
        <f t="shared" si="71"/>
        <v>310</v>
      </c>
      <c r="K138" s="36">
        <f t="shared" si="71"/>
        <v>428</v>
      </c>
      <c r="L138" s="36">
        <f t="shared" si="71"/>
        <v>466</v>
      </c>
      <c r="M138" s="36">
        <f t="shared" si="71"/>
        <v>193</v>
      </c>
      <c r="N138" s="36">
        <f t="shared" si="71"/>
        <v>370</v>
      </c>
      <c r="O138" s="36">
        <f t="shared" si="71"/>
        <v>519</v>
      </c>
      <c r="P138" s="36">
        <f t="shared" si="71"/>
        <v>565</v>
      </c>
    </row>
    <row r="139" spans="4:22" ht="20.100000000000001" customHeight="1" x14ac:dyDescent="0.25">
      <c r="D139" s="36" t="s">
        <v>67</v>
      </c>
      <c r="E139" s="36" t="str">
        <f t="shared" ref="E139:P139" si="72">E75</f>
        <v>Moderate/Low</v>
      </c>
      <c r="F139" s="36" t="str">
        <f t="shared" si="72"/>
        <v>Summer</v>
      </c>
      <c r="G139" s="36">
        <f t="shared" si="72"/>
        <v>120</v>
      </c>
      <c r="H139" s="36">
        <f t="shared" si="72"/>
        <v>669</v>
      </c>
      <c r="I139" s="36">
        <f t="shared" si="72"/>
        <v>112</v>
      </c>
      <c r="J139" s="36">
        <f t="shared" si="72"/>
        <v>250</v>
      </c>
      <c r="K139" s="36">
        <f t="shared" si="72"/>
        <v>390</v>
      </c>
      <c r="L139" s="36">
        <f t="shared" si="72"/>
        <v>448</v>
      </c>
      <c r="M139" s="36">
        <f t="shared" si="72"/>
        <v>115</v>
      </c>
      <c r="N139" s="36">
        <f t="shared" si="72"/>
        <v>273</v>
      </c>
      <c r="O139" s="36">
        <f t="shared" si="72"/>
        <v>433</v>
      </c>
      <c r="P139" s="36">
        <f t="shared" si="72"/>
        <v>556</v>
      </c>
    </row>
    <row r="140" spans="4:22" ht="20.100000000000001" customHeight="1" x14ac:dyDescent="0.25">
      <c r="D140" s="36" t="s">
        <v>67</v>
      </c>
      <c r="E140" s="36" t="str">
        <f t="shared" ref="E140:P140" si="73">E76</f>
        <v>Moderate/Low</v>
      </c>
      <c r="F140" s="36" t="str">
        <f t="shared" si="73"/>
        <v>Autumn</v>
      </c>
      <c r="G140" s="36">
        <f t="shared" si="73"/>
        <v>125</v>
      </c>
      <c r="H140" s="36">
        <f t="shared" si="73"/>
        <v>685</v>
      </c>
      <c r="I140" s="36">
        <f t="shared" si="73"/>
        <v>140</v>
      </c>
      <c r="J140" s="36">
        <f t="shared" si="73"/>
        <v>277</v>
      </c>
      <c r="K140" s="36">
        <f t="shared" si="73"/>
        <v>407</v>
      </c>
      <c r="L140" s="36">
        <f t="shared" si="73"/>
        <v>455</v>
      </c>
      <c r="M140" s="36">
        <f t="shared" si="73"/>
        <v>141</v>
      </c>
      <c r="N140" s="36">
        <f t="shared" si="73"/>
        <v>296</v>
      </c>
      <c r="O140" s="36">
        <f t="shared" si="73"/>
        <v>445</v>
      </c>
      <c r="P140" s="36">
        <f t="shared" si="73"/>
        <v>593</v>
      </c>
    </row>
    <row r="141" spans="4:22" ht="20.100000000000001" customHeight="1" x14ac:dyDescent="0.25">
      <c r="D141" s="36" t="s">
        <v>67</v>
      </c>
      <c r="E141" s="36" t="str">
        <f t="shared" ref="E141:P141" si="74">E77</f>
        <v>Moderate/Low</v>
      </c>
      <c r="F141" s="36" t="str">
        <f t="shared" si="74"/>
        <v>Winter</v>
      </c>
      <c r="G141" s="36">
        <f t="shared" si="74"/>
        <v>180</v>
      </c>
      <c r="H141" s="36">
        <f t="shared" si="74"/>
        <v>692</v>
      </c>
      <c r="I141" s="36">
        <f t="shared" si="74"/>
        <v>183</v>
      </c>
      <c r="J141" s="36">
        <f t="shared" si="74"/>
        <v>316</v>
      </c>
      <c r="K141" s="36">
        <f t="shared" si="74"/>
        <v>438</v>
      </c>
      <c r="L141" s="36">
        <f t="shared" si="74"/>
        <v>468</v>
      </c>
      <c r="M141" s="36">
        <f t="shared" si="74"/>
        <v>189</v>
      </c>
      <c r="N141" s="36">
        <f t="shared" si="74"/>
        <v>354</v>
      </c>
      <c r="O141" s="36">
        <f t="shared" si="74"/>
        <v>500</v>
      </c>
      <c r="P141" s="36">
        <f t="shared" si="74"/>
        <v>553</v>
      </c>
    </row>
    <row r="142" spans="4:22" ht="20.100000000000001" customHeight="1" x14ac:dyDescent="0.25">
      <c r="D142" s="36" t="s">
        <v>67</v>
      </c>
      <c r="E142" s="36" t="str">
        <f t="shared" ref="E142:P142" si="75">E78</f>
        <v>Low</v>
      </c>
      <c r="F142" s="36" t="str">
        <f t="shared" si="75"/>
        <v>Spring</v>
      </c>
      <c r="G142" s="36">
        <f t="shared" si="75"/>
        <v>190</v>
      </c>
      <c r="H142" s="36">
        <f t="shared" si="75"/>
        <v>617</v>
      </c>
      <c r="I142" s="36">
        <f t="shared" si="75"/>
        <v>174</v>
      </c>
      <c r="J142" s="36">
        <f t="shared" si="75"/>
        <v>265</v>
      </c>
      <c r="K142" s="36">
        <f t="shared" si="75"/>
        <v>371</v>
      </c>
      <c r="L142" s="36">
        <f t="shared" si="75"/>
        <v>415</v>
      </c>
      <c r="M142" s="36">
        <f t="shared" si="75"/>
        <v>170</v>
      </c>
      <c r="N142" s="36">
        <f t="shared" si="75"/>
        <v>272</v>
      </c>
      <c r="O142" s="36">
        <f t="shared" si="75"/>
        <v>392</v>
      </c>
      <c r="P142" s="36">
        <f t="shared" si="75"/>
        <v>531</v>
      </c>
    </row>
    <row r="143" spans="4:22" ht="20.100000000000001" customHeight="1" x14ac:dyDescent="0.25">
      <c r="D143" s="36" t="s">
        <v>67</v>
      </c>
      <c r="E143" s="36" t="str">
        <f t="shared" ref="E143:P143" si="76">E79</f>
        <v>Low</v>
      </c>
      <c r="F143" s="36" t="str">
        <f t="shared" si="76"/>
        <v>Summer</v>
      </c>
      <c r="G143" s="36">
        <f t="shared" si="76"/>
        <v>119</v>
      </c>
      <c r="H143" s="36">
        <f t="shared" si="76"/>
        <v>591</v>
      </c>
      <c r="I143" s="36">
        <f t="shared" si="76"/>
        <v>140</v>
      </c>
      <c r="J143" s="36">
        <f t="shared" si="76"/>
        <v>205</v>
      </c>
      <c r="K143" s="36">
        <f t="shared" si="76"/>
        <v>310</v>
      </c>
      <c r="L143" s="36">
        <f t="shared" si="76"/>
        <v>405</v>
      </c>
      <c r="M143" s="36">
        <f t="shared" si="76"/>
        <v>133</v>
      </c>
      <c r="N143" s="36">
        <f t="shared" si="76"/>
        <v>218</v>
      </c>
      <c r="O143" s="36">
        <f t="shared" si="76"/>
        <v>315</v>
      </c>
      <c r="P143" s="36">
        <f t="shared" si="76"/>
        <v>445</v>
      </c>
    </row>
    <row r="144" spans="4:22" ht="20.100000000000001" customHeight="1" x14ac:dyDescent="0.25">
      <c r="D144" s="36" t="s">
        <v>67</v>
      </c>
      <c r="E144" s="36" t="str">
        <f t="shared" ref="E144:P144" si="77">E80</f>
        <v>Low</v>
      </c>
      <c r="F144" s="36" t="str">
        <f t="shared" si="77"/>
        <v>Autumn</v>
      </c>
      <c r="G144" s="36">
        <f t="shared" si="77"/>
        <v>175</v>
      </c>
      <c r="H144" s="36">
        <f t="shared" si="77"/>
        <v>610</v>
      </c>
      <c r="I144" s="36">
        <f t="shared" si="77"/>
        <v>163</v>
      </c>
      <c r="J144" s="36">
        <f t="shared" si="77"/>
        <v>232</v>
      </c>
      <c r="K144" s="36">
        <f t="shared" si="77"/>
        <v>351</v>
      </c>
      <c r="L144" s="36">
        <f t="shared" si="77"/>
        <v>427</v>
      </c>
      <c r="M144" s="36">
        <f t="shared" si="77"/>
        <v>146</v>
      </c>
      <c r="N144" s="36">
        <f t="shared" si="77"/>
        <v>242</v>
      </c>
      <c r="O144" s="36">
        <f t="shared" si="77"/>
        <v>320</v>
      </c>
      <c r="P144" s="36">
        <f t="shared" si="77"/>
        <v>471</v>
      </c>
    </row>
    <row r="145" spans="4:16" ht="20.100000000000001" customHeight="1" x14ac:dyDescent="0.25">
      <c r="D145" s="36" t="s">
        <v>67</v>
      </c>
      <c r="E145" s="36" t="str">
        <f t="shared" ref="E145:P145" si="78">E81</f>
        <v>Low</v>
      </c>
      <c r="F145" s="36" t="str">
        <f t="shared" si="78"/>
        <v>Winter</v>
      </c>
      <c r="G145" s="36">
        <f t="shared" si="78"/>
        <v>192</v>
      </c>
      <c r="H145" s="36">
        <f t="shared" si="78"/>
        <v>615</v>
      </c>
      <c r="I145" s="36">
        <f t="shared" si="78"/>
        <v>162</v>
      </c>
      <c r="J145" s="36">
        <f t="shared" si="78"/>
        <v>255</v>
      </c>
      <c r="K145" s="36">
        <f t="shared" si="78"/>
        <v>364</v>
      </c>
      <c r="L145" s="36">
        <f t="shared" si="78"/>
        <v>420</v>
      </c>
      <c r="M145" s="36">
        <f t="shared" si="78"/>
        <v>157</v>
      </c>
      <c r="N145" s="36">
        <f t="shared" si="78"/>
        <v>261</v>
      </c>
      <c r="O145" s="36">
        <f t="shared" si="78"/>
        <v>342</v>
      </c>
      <c r="P145" s="36">
        <f t="shared" si="78"/>
        <v>484</v>
      </c>
    </row>
    <row r="146" spans="4:16" ht="20.100000000000001" customHeight="1" x14ac:dyDescent="0.25">
      <c r="D146" s="1" t="s">
        <v>266</v>
      </c>
      <c r="E146" s="1" t="s">
        <v>162</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100000000000001" customHeight="1" x14ac:dyDescent="0.25">
      <c r="D147" s="1" t="s">
        <v>266</v>
      </c>
      <c r="E147" s="1" t="s">
        <v>162</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100000000000001" customHeight="1" x14ac:dyDescent="0.25">
      <c r="D148" s="1" t="s">
        <v>266</v>
      </c>
      <c r="E148" s="1" t="s">
        <v>162</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100000000000001" customHeight="1" x14ac:dyDescent="0.25">
      <c r="D149" s="1" t="s">
        <v>266</v>
      </c>
      <c r="E149" s="1" t="s">
        <v>162</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100000000000001" customHeight="1" x14ac:dyDescent="0.25">
      <c r="D150" s="6" t="str" cm="1">
        <f t="array" ref="D150">SourceData_PastureBeef.SourceData_PastureBeef_LiveweightGain_Title()</f>
        <v>Beef pasture cattle - Liveweight gain (kg) (LWGjkl)</v>
      </c>
      <c r="M150" s="1"/>
    </row>
    <row r="151" spans="4:16" ht="20.100000000000001" customHeight="1" x14ac:dyDescent="0.25">
      <c r="D151" s="5"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53" t="str" cm="1">
        <f t="array" ref="D153">SourceData_PastureBeef.SourceData_PastureBeef_LiveweightGain_Unit()</f>
        <v>kg</v>
      </c>
      <c r="M153" s="1"/>
    </row>
    <row r="154" spans="4:16" ht="20.100000000000001" customHeight="1" x14ac:dyDescent="0.25">
      <c r="D154" s="36" t="s">
        <v>5</v>
      </c>
      <c r="E154" s="36" t="s">
        <v>143</v>
      </c>
      <c r="F154" s="36" t="s">
        <v>144</v>
      </c>
      <c r="G154" s="36" t="s">
        <v>163</v>
      </c>
      <c r="H154" s="36" t="s">
        <v>152</v>
      </c>
      <c r="I154" s="36" t="s">
        <v>184</v>
      </c>
      <c r="J154" s="36" t="s">
        <v>148</v>
      </c>
      <c r="K154" s="36" t="s">
        <v>185</v>
      </c>
      <c r="L154" s="36" t="s">
        <v>157</v>
      </c>
      <c r="M154" s="36" t="s">
        <v>186</v>
      </c>
    </row>
    <row r="155" spans="4:16" ht="20.100000000000001" customHeight="1" x14ac:dyDescent="0.25">
      <c r="D155" s="36" t="str" cm="1">
        <f t="array" ref="D155">Common_InputFunctions.Utility_DisplayArrayInTable(SourceData_PastureBeef.SourceData_PastureBeef_LiveweightGain_Data(), Table_SourceData_PastureBeef_LiveweightGain[[#Headers],[State]],0)</f>
        <v>ACT/NSW</v>
      </c>
      <c r="E155" s="36" t="str" cm="1">
        <f t="array" ref="E155">Common_InputFunctions.Utility_DisplayArrayInTable(SourceData_PastureBeef.SourceData_PastureBeef_LiveweightGain_Data(), Table_SourceData_PastureBeef_LiveweightGain[[#Headers],[State]],0)</f>
        <v>n/a</v>
      </c>
      <c r="F155" s="36" t="str" cm="1">
        <f t="array" ref="F155">Common_InputFunctions.Utility_DisplayArrayInTable(SourceData_PastureBeef.SourceData_PastureBeef_LiveweightGain_Data(), Table_SourceData_PastureBeef_LiveweightGain[[#Headers],[State]],0)</f>
        <v>Spring</v>
      </c>
      <c r="G155" s="36" cm="1">
        <f t="array" ref="G155">Common_InputFunctions.Utility_DisplayArrayInTable(SourceData_PastureBeef.SourceData_PastureBeef_LiveweightGain_Data(), Table_SourceData_PastureBeef_LiveweightGain[[#Headers],[State]],0)</f>
        <v>0.5</v>
      </c>
      <c r="H155" s="36" cm="1">
        <f t="array" ref="H155">Common_InputFunctions.Utility_DisplayArrayInTable(SourceData_PastureBeef.SourceData_PastureBeef_LiveweightGain_Data(), Table_SourceData_PastureBeef_LiveweightGain[[#Headers],[State]],0)</f>
        <v>0.2</v>
      </c>
      <c r="I155" s="36" cm="1">
        <f t="array" ref="I155">Common_InputFunctions.Utility_DisplayArrayInTable(SourceData_PastureBeef.SourceData_PastureBeef_LiveweightGain_Data(), Table_SourceData_PastureBeef_LiveweightGain[[#Headers],[State]],0)</f>
        <v>0.5</v>
      </c>
      <c r="J155" s="36" cm="1">
        <f t="array" ref="J155">Common_InputFunctions.Utility_DisplayArrayInTable(SourceData_PastureBeef.SourceData_PastureBeef_LiveweightGain_Data(), Table_SourceData_PastureBeef_LiveweightGain[[#Headers],[State]],0)</f>
        <v>0.4</v>
      </c>
      <c r="K155" s="36" cm="1">
        <f t="array" ref="K155">Common_InputFunctions.Utility_DisplayArrayInTable(SourceData_PastureBeef.SourceData_PastureBeef_LiveweightGain_Data(), Table_SourceData_PastureBeef_LiveweightGain[[#Headers],[State]],0)</f>
        <v>0.3</v>
      </c>
      <c r="L155" s="36" cm="1">
        <f t="array" ref="L155">Common_InputFunctions.Utility_DisplayArrayInTable(SourceData_PastureBeef.SourceData_PastureBeef_LiveweightGain_Data(), Table_SourceData_PastureBeef_LiveweightGain[[#Headers],[State]],0)</f>
        <v>0.5</v>
      </c>
      <c r="M155" s="36"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6" t="str" cm="1">
        <f t="array" ref="E156">Common_InputFunctions.Utility_DisplayArrayInTable(SourceData_PastureBeef.SourceData_PastureBeef_LiveweightGain_Data(), Table_SourceData_PastureBeef_LiveweightGain[[#Headers],[State]],0)</f>
        <v>n/a</v>
      </c>
      <c r="F156" s="36" t="str" cm="1">
        <f t="array" ref="F156">Common_InputFunctions.Utility_DisplayArrayInTable(SourceData_PastureBeef.SourceData_PastureBeef_LiveweightGain_Data(), Table_SourceData_PastureBeef_LiveweightGain[[#Headers],[State]],0)</f>
        <v>Summer</v>
      </c>
      <c r="G156" s="36" cm="1">
        <f t="array" ref="G156">Common_InputFunctions.Utility_DisplayArrayInTable(SourceData_PastureBeef.SourceData_PastureBeef_LiveweightGain_Data(), Table_SourceData_PastureBeef_LiveweightGain[[#Headers],[State]],0)</f>
        <v>1</v>
      </c>
      <c r="H156" s="36" cm="1">
        <f t="array" ref="H156">Common_InputFunctions.Utility_DisplayArrayInTable(SourceData_PastureBeef.SourceData_PastureBeef_LiveweightGain_Data(), Table_SourceData_PastureBeef_LiveweightGain[[#Headers],[State]],0)</f>
        <v>0.4</v>
      </c>
      <c r="I156" s="36" cm="1">
        <f t="array" ref="I156">Common_InputFunctions.Utility_DisplayArrayInTable(SourceData_PastureBeef.SourceData_PastureBeef_LiveweightGain_Data(), Table_SourceData_PastureBeef_LiveweightGain[[#Headers],[State]],0)</f>
        <v>0.9</v>
      </c>
      <c r="J156" s="36" cm="1">
        <f t="array" ref="J156">Common_InputFunctions.Utility_DisplayArrayInTable(SourceData_PastureBeef.SourceData_PastureBeef_LiveweightGain_Data(), Table_SourceData_PastureBeef_LiveweightGain[[#Headers],[State]],0)</f>
        <v>0.7</v>
      </c>
      <c r="K156" s="36" cm="1">
        <f t="array" ref="K156">Common_InputFunctions.Utility_DisplayArrayInTable(SourceData_PastureBeef.SourceData_PastureBeef_LiveweightGain_Data(), Table_SourceData_PastureBeef_LiveweightGain[[#Headers],[State]],0)</f>
        <v>0.3</v>
      </c>
      <c r="L156" s="36" cm="1">
        <f t="array" ref="L156">Common_InputFunctions.Utility_DisplayArrayInTable(SourceData_PastureBeef.SourceData_PastureBeef_LiveweightGain_Data(), Table_SourceData_PastureBeef_LiveweightGain[[#Headers],[State]],0)</f>
        <v>0.9</v>
      </c>
      <c r="M156" s="36"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6" t="str" cm="1">
        <f t="array" ref="E157">Common_InputFunctions.Utility_DisplayArrayInTable(SourceData_PastureBeef.SourceData_PastureBeef_LiveweightGain_Data(), Table_SourceData_PastureBeef_LiveweightGain[[#Headers],[State]],0)</f>
        <v>n/a</v>
      </c>
      <c r="F157" s="36" t="str" cm="1">
        <f t="array" ref="F157">Common_InputFunctions.Utility_DisplayArrayInTable(SourceData_PastureBeef.SourceData_PastureBeef_LiveweightGain_Data(), Table_SourceData_PastureBeef_LiveweightGain[[#Headers],[State]],0)</f>
        <v>Autumn</v>
      </c>
      <c r="G157" s="36" cm="1">
        <f t="array" ref="G157">Common_InputFunctions.Utility_DisplayArrayInTable(SourceData_PastureBeef.SourceData_PastureBeef_LiveweightGain_Data(), Table_SourceData_PastureBeef_LiveweightGain[[#Headers],[State]],0)</f>
        <v>0.8</v>
      </c>
      <c r="H157" s="36" cm="1">
        <f t="array" ref="H157">Common_InputFunctions.Utility_DisplayArrayInTable(SourceData_PastureBeef.SourceData_PastureBeef_LiveweightGain_Data(), Table_SourceData_PastureBeef_LiveweightGain[[#Headers],[State]],0)</f>
        <v>0.3</v>
      </c>
      <c r="I157" s="36" cm="1">
        <f t="array" ref="I157">Common_InputFunctions.Utility_DisplayArrayInTable(SourceData_PastureBeef.SourceData_PastureBeef_LiveweightGain_Data(), Table_SourceData_PastureBeef_LiveweightGain[[#Headers],[State]],0)</f>
        <v>0.7</v>
      </c>
      <c r="J157" s="36" cm="1">
        <f t="array" ref="J157">Common_InputFunctions.Utility_DisplayArrayInTable(SourceData_PastureBeef.SourceData_PastureBeef_LiveweightGain_Data(), Table_SourceData_PastureBeef_LiveweightGain[[#Headers],[State]],0)</f>
        <v>0.3</v>
      </c>
      <c r="K157" s="36" cm="1">
        <f t="array" ref="K157">Common_InputFunctions.Utility_DisplayArrayInTable(SourceData_PastureBeef.SourceData_PastureBeef_LiveweightGain_Data(), Table_SourceData_PastureBeef_LiveweightGain[[#Headers],[State]],0)</f>
        <v>0.2</v>
      </c>
      <c r="L157" s="36" cm="1">
        <f t="array" ref="L157">Common_InputFunctions.Utility_DisplayArrayInTable(SourceData_PastureBeef.SourceData_PastureBeef_LiveweightGain_Data(), Table_SourceData_PastureBeef_LiveweightGain[[#Headers],[State]],0)</f>
        <v>0.7</v>
      </c>
      <c r="M157" s="36"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6" t="str" cm="1">
        <f t="array" ref="E158">Common_InputFunctions.Utility_DisplayArrayInTable(SourceData_PastureBeef.SourceData_PastureBeef_LiveweightGain_Data(), Table_SourceData_PastureBeef_LiveweightGain[[#Headers],[State]],0)</f>
        <v>n/a</v>
      </c>
      <c r="F158" s="36" t="str" cm="1">
        <f t="array" ref="F158">Common_InputFunctions.Utility_DisplayArrayInTable(SourceData_PastureBeef.SourceData_PastureBeef_LiveweightGain_Data(), Table_SourceData_PastureBeef_LiveweightGain[[#Headers],[State]],0)</f>
        <v>Winter</v>
      </c>
      <c r="G158" s="36" cm="1">
        <f t="array" ref="G158">Common_InputFunctions.Utility_DisplayArrayInTable(SourceData_PastureBeef.SourceData_PastureBeef_LiveweightGain_Data(), Table_SourceData_PastureBeef_LiveweightGain[[#Headers],[State]],0)</f>
        <v>0.4</v>
      </c>
      <c r="H158" s="36" cm="1">
        <f t="array" ref="H158">Common_InputFunctions.Utility_DisplayArrayInTable(SourceData_PastureBeef.SourceData_PastureBeef_LiveweightGain_Data(), Table_SourceData_PastureBeef_LiveweightGain[[#Headers],[State]],0)</f>
        <v>0.1</v>
      </c>
      <c r="I158" s="36" cm="1">
        <f t="array" ref="I158">Common_InputFunctions.Utility_DisplayArrayInTable(SourceData_PastureBeef.SourceData_PastureBeef_LiveweightGain_Data(), Table_SourceData_PastureBeef_LiveweightGain[[#Headers],[State]],0)</f>
        <v>0.4</v>
      </c>
      <c r="J158" s="36" cm="1">
        <f t="array" ref="J158">Common_InputFunctions.Utility_DisplayArrayInTable(SourceData_PastureBeef.SourceData_PastureBeef_LiveweightGain_Data(), Table_SourceData_PastureBeef_LiveweightGain[[#Headers],[State]],0)</f>
        <v>0.2</v>
      </c>
      <c r="K158" s="36" cm="1">
        <f t="array" ref="K158">Common_InputFunctions.Utility_DisplayArrayInTable(SourceData_PastureBeef.SourceData_PastureBeef_LiveweightGain_Data(), Table_SourceData_PastureBeef_LiveweightGain[[#Headers],[State]],0)</f>
        <v>0.1</v>
      </c>
      <c r="L158" s="36" cm="1">
        <f t="array" ref="L158">Common_InputFunctions.Utility_DisplayArrayInTable(SourceData_PastureBeef.SourceData_PastureBeef_LiveweightGain_Data(), Table_SourceData_PastureBeef_LiveweightGain[[#Headers],[State]],0)</f>
        <v>0.4</v>
      </c>
      <c r="M158" s="36"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6" t="str" cm="1">
        <f t="array" ref="E159">Common_InputFunctions.Utility_DisplayArrayInTable(SourceData_PastureBeef.SourceData_PastureBeef_LiveweightGain_Data(), Table_SourceData_PastureBeef_LiveweightGain[[#Headers],[State]],0)</f>
        <v>n/a</v>
      </c>
      <c r="F159" s="36" t="str" cm="1">
        <f t="array" ref="F159">Common_InputFunctions.Utility_DisplayArrayInTable(SourceData_PastureBeef.SourceData_PastureBeef_LiveweightGain_Data(), Table_SourceData_PastureBeef_LiveweightGain[[#Headers],[State]],0)</f>
        <v>Spring</v>
      </c>
      <c r="G159" s="36" cm="1">
        <f t="array" ref="G159">Common_InputFunctions.Utility_DisplayArrayInTable(SourceData_PastureBeef.SourceData_PastureBeef_LiveweightGain_Data(), Table_SourceData_PastureBeef_LiveweightGain[[#Headers],[State]],0)</f>
        <v>0.99</v>
      </c>
      <c r="H159" s="36" cm="1">
        <f t="array" ref="H159">Common_InputFunctions.Utility_DisplayArrayInTable(SourceData_PastureBeef.SourceData_PastureBeef_LiveweightGain_Data(), Table_SourceData_PastureBeef_LiveweightGain[[#Headers],[State]],0)</f>
        <v>1.1000000000000001</v>
      </c>
      <c r="I159" s="36" cm="1">
        <f t="array" ref="I159">Common_InputFunctions.Utility_DisplayArrayInTable(SourceData_PastureBeef.SourceData_PastureBeef_LiveweightGain_Data(), Table_SourceData_PastureBeef_LiveweightGain[[#Headers],[State]],0)</f>
        <v>0.88</v>
      </c>
      <c r="J159" s="36" cm="1">
        <f t="array" ref="J159">Common_InputFunctions.Utility_DisplayArrayInTable(SourceData_PastureBeef.SourceData_PastureBeef_LiveweightGain_Data(), Table_SourceData_PastureBeef_LiveweightGain[[#Headers],[State]],0)</f>
        <v>0.55000000000000004</v>
      </c>
      <c r="K159" s="36" cm="1">
        <f t="array" ref="K159">Common_InputFunctions.Utility_DisplayArrayInTable(SourceData_PastureBeef.SourceData_PastureBeef_LiveweightGain_Data(), Table_SourceData_PastureBeef_LiveweightGain[[#Headers],[State]],0)</f>
        <v>0.55000000000000004</v>
      </c>
      <c r="L159" s="36" cm="1">
        <f t="array" ref="L159">Common_InputFunctions.Utility_DisplayArrayInTable(SourceData_PastureBeef.SourceData_PastureBeef_LiveweightGain_Data(), Table_SourceData_PastureBeef_LiveweightGain[[#Headers],[State]],0)</f>
        <v>0.88</v>
      </c>
      <c r="M159" s="36"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6" t="str" cm="1">
        <f t="array" ref="E160">Common_InputFunctions.Utility_DisplayArrayInTable(SourceData_PastureBeef.SourceData_PastureBeef_LiveweightGain_Data(), Table_SourceData_PastureBeef_LiveweightGain[[#Headers],[State]],0)</f>
        <v>n/a</v>
      </c>
      <c r="F160" s="36" t="str" cm="1">
        <f t="array" ref="F160">Common_InputFunctions.Utility_DisplayArrayInTable(SourceData_PastureBeef.SourceData_PastureBeef_LiveweightGain_Data(), Table_SourceData_PastureBeef_LiveweightGain[[#Headers],[State]],0)</f>
        <v>Summer</v>
      </c>
      <c r="G160" s="36" cm="1">
        <f t="array" ref="G160">Common_InputFunctions.Utility_DisplayArrayInTable(SourceData_PastureBeef.SourceData_PastureBeef_LiveweightGain_Data(), Table_SourceData_PastureBeef_LiveweightGain[[#Headers],[State]],0)</f>
        <v>0.77</v>
      </c>
      <c r="H160" s="36" cm="1">
        <f t="array" ref="H160">Common_InputFunctions.Utility_DisplayArrayInTable(SourceData_PastureBeef.SourceData_PastureBeef_LiveweightGain_Data(), Table_SourceData_PastureBeef_LiveweightGain[[#Headers],[State]],0)</f>
        <v>0</v>
      </c>
      <c r="I160" s="36" cm="1">
        <f t="array" ref="I160">Common_InputFunctions.Utility_DisplayArrayInTable(SourceData_PastureBeef.SourceData_PastureBeef_LiveweightGain_Data(), Table_SourceData_PastureBeef_LiveweightGain[[#Headers],[State]],0)</f>
        <v>0.66</v>
      </c>
      <c r="J160" s="36" cm="1">
        <f t="array" ref="J160">Common_InputFunctions.Utility_DisplayArrayInTable(SourceData_PastureBeef.SourceData_PastureBeef_LiveweightGain_Data(), Table_SourceData_PastureBeef_LiveweightGain[[#Headers],[State]],0)</f>
        <v>0.22</v>
      </c>
      <c r="K160" s="36" cm="1">
        <f t="array" ref="K160">Common_InputFunctions.Utility_DisplayArrayInTable(SourceData_PastureBeef.SourceData_PastureBeef_LiveweightGain_Data(), Table_SourceData_PastureBeef_LiveweightGain[[#Headers],[State]],0)</f>
        <v>0</v>
      </c>
      <c r="L160" s="36" cm="1">
        <f t="array" ref="L160">Common_InputFunctions.Utility_DisplayArrayInTable(SourceData_PastureBeef.SourceData_PastureBeef_LiveweightGain_Data(), Table_SourceData_PastureBeef_LiveweightGain[[#Headers],[State]],0)</f>
        <v>0.66</v>
      </c>
      <c r="M160" s="36"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6" t="str" cm="1">
        <f t="array" ref="E161">Common_InputFunctions.Utility_DisplayArrayInTable(SourceData_PastureBeef.SourceData_PastureBeef_LiveweightGain_Data(), Table_SourceData_PastureBeef_LiveweightGain[[#Headers],[State]],0)</f>
        <v>n/a</v>
      </c>
      <c r="F161" s="36" t="str" cm="1">
        <f t="array" ref="F161">Common_InputFunctions.Utility_DisplayArrayInTable(SourceData_PastureBeef.SourceData_PastureBeef_LiveweightGain_Data(), Table_SourceData_PastureBeef_LiveweightGain[[#Headers],[State]],0)</f>
        <v>Autumn</v>
      </c>
      <c r="G161" s="36" cm="1">
        <f t="array" ref="G161">Common_InputFunctions.Utility_DisplayArrayInTable(SourceData_PastureBeef.SourceData_PastureBeef_LiveweightGain_Data(), Table_SourceData_PastureBeef_LiveweightGain[[#Headers],[State]],0)</f>
        <v>0.9</v>
      </c>
      <c r="H161" s="36" cm="1">
        <f t="array" ref="H161">Common_InputFunctions.Utility_DisplayArrayInTable(SourceData_PastureBeef.SourceData_PastureBeef_LiveweightGain_Data(), Table_SourceData_PastureBeef_LiveweightGain[[#Headers],[State]],0)</f>
        <v>-1.1000000000000001</v>
      </c>
      <c r="I161" s="36" cm="1">
        <f t="array" ref="I161">Common_InputFunctions.Utility_DisplayArrayInTable(SourceData_PastureBeef.SourceData_PastureBeef_LiveweightGain_Data(), Table_SourceData_PastureBeef_LiveweightGain[[#Headers],[State]],0)</f>
        <v>0.7</v>
      </c>
      <c r="J161" s="36" cm="1">
        <f t="array" ref="J161">Common_InputFunctions.Utility_DisplayArrayInTable(SourceData_PastureBeef.SourceData_PastureBeef_LiveweightGain_Data(), Table_SourceData_PastureBeef_LiveweightGain[[#Headers],[State]],0)</f>
        <v>0.22</v>
      </c>
      <c r="K161" s="36" cm="1">
        <f t="array" ref="K161">Common_InputFunctions.Utility_DisplayArrayInTable(SourceData_PastureBeef.SourceData_PastureBeef_LiveweightGain_Data(), Table_SourceData_PastureBeef_LiveweightGain[[#Headers],[State]],0)</f>
        <v>-0.55000000000000004</v>
      </c>
      <c r="L161" s="36" cm="1">
        <f t="array" ref="L161">Common_InputFunctions.Utility_DisplayArrayInTable(SourceData_PastureBeef.SourceData_PastureBeef_LiveweightGain_Data(), Table_SourceData_PastureBeef_LiveweightGain[[#Headers],[State]],0)</f>
        <v>0.8</v>
      </c>
      <c r="M161" s="36"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6" t="str" cm="1">
        <f t="array" ref="E162">Common_InputFunctions.Utility_DisplayArrayInTable(SourceData_PastureBeef.SourceData_PastureBeef_LiveweightGain_Data(), Table_SourceData_PastureBeef_LiveweightGain[[#Headers],[State]],0)</f>
        <v>n/a</v>
      </c>
      <c r="F162" s="36" t="str" cm="1">
        <f t="array" ref="F162">Common_InputFunctions.Utility_DisplayArrayInTable(SourceData_PastureBeef.SourceData_PastureBeef_LiveweightGain_Data(), Table_SourceData_PastureBeef_LiveweightGain[[#Headers],[State]],0)</f>
        <v>Winter</v>
      </c>
      <c r="G162" s="36" cm="1">
        <f t="array" ref="G162">Common_InputFunctions.Utility_DisplayArrayInTable(SourceData_PastureBeef.SourceData_PastureBeef_LiveweightGain_Data(), Table_SourceData_PastureBeef_LiveweightGain[[#Headers],[State]],0)</f>
        <v>0.88</v>
      </c>
      <c r="H162" s="36" cm="1">
        <f t="array" ref="H162">Common_InputFunctions.Utility_DisplayArrayInTable(SourceData_PastureBeef.SourceData_PastureBeef_LiveweightGain_Data(), Table_SourceData_PastureBeef_LiveweightGain[[#Headers],[State]],0)</f>
        <v>0</v>
      </c>
      <c r="I162" s="36" cm="1">
        <f t="array" ref="I162">Common_InputFunctions.Utility_DisplayArrayInTable(SourceData_PastureBeef.SourceData_PastureBeef_LiveweightGain_Data(), Table_SourceData_PastureBeef_LiveweightGain[[#Headers],[State]],0)</f>
        <v>0.77</v>
      </c>
      <c r="J162" s="36" cm="1">
        <f t="array" ref="J162">Common_InputFunctions.Utility_DisplayArrayInTable(SourceData_PastureBeef.SourceData_PastureBeef_LiveweightGain_Data(), Table_SourceData_PastureBeef_LiveweightGain[[#Headers],[State]],0)</f>
        <v>0.55000000000000004</v>
      </c>
      <c r="K162" s="36" cm="1">
        <f t="array" ref="K162">Common_InputFunctions.Utility_DisplayArrayInTable(SourceData_PastureBeef.SourceData_PastureBeef_LiveweightGain_Data(), Table_SourceData_PastureBeef_LiveweightGain[[#Headers],[State]],0)</f>
        <v>0</v>
      </c>
      <c r="L162" s="36" cm="1">
        <f t="array" ref="L162">Common_InputFunctions.Utility_DisplayArrayInTable(SourceData_PastureBeef.SourceData_PastureBeef_LiveweightGain_Data(), Table_SourceData_PastureBeef_LiveweightGain[[#Headers],[State]],0)</f>
        <v>0.82</v>
      </c>
      <c r="M162" s="36"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6" t="str" cm="1">
        <f t="array" ref="E163">Common_InputFunctions.Utility_DisplayArrayInTable(SourceData_PastureBeef.SourceData_PastureBeef_LiveweightGain_Data(), Table_SourceData_PastureBeef_LiveweightGain[[#Headers],[State]],0)</f>
        <v>n/a</v>
      </c>
      <c r="F163" s="36" t="str" cm="1">
        <f t="array" ref="F163">Common_InputFunctions.Utility_DisplayArrayInTable(SourceData_PastureBeef.SourceData_PastureBeef_LiveweightGain_Data(), Table_SourceData_PastureBeef_LiveweightGain[[#Headers],[State]],0)</f>
        <v>Spring</v>
      </c>
      <c r="G163" s="36" cm="1">
        <f t="array" ref="G163">Common_InputFunctions.Utility_DisplayArrayInTable(SourceData_PastureBeef.SourceData_PastureBeef_LiveweightGain_Data(), Table_SourceData_PastureBeef_LiveweightGain[[#Headers],[State]],0)</f>
        <v>1</v>
      </c>
      <c r="H163" s="36" cm="1">
        <f t="array" ref="H163">Common_InputFunctions.Utility_DisplayArrayInTable(SourceData_PastureBeef.SourceData_PastureBeef_LiveweightGain_Data(), Table_SourceData_PastureBeef_LiveweightGain[[#Headers],[State]],0)</f>
        <v>0.5</v>
      </c>
      <c r="I163" s="36" cm="1">
        <f t="array" ref="I163">Common_InputFunctions.Utility_DisplayArrayInTable(SourceData_PastureBeef.SourceData_PastureBeef_LiveweightGain_Data(), Table_SourceData_PastureBeef_LiveweightGain[[#Headers],[State]],0)</f>
        <v>1</v>
      </c>
      <c r="J163" s="36" cm="1">
        <f t="array" ref="J163">Common_InputFunctions.Utility_DisplayArrayInTable(SourceData_PastureBeef.SourceData_PastureBeef_LiveweightGain_Data(), Table_SourceData_PastureBeef_LiveweightGain[[#Headers],[State]],0)</f>
        <v>1</v>
      </c>
      <c r="K163" s="36" cm="1">
        <f t="array" ref="K163">Common_InputFunctions.Utility_DisplayArrayInTable(SourceData_PastureBeef.SourceData_PastureBeef_LiveweightGain_Data(), Table_SourceData_PastureBeef_LiveweightGain[[#Headers],[State]],0)</f>
        <v>-0.44</v>
      </c>
      <c r="L163" s="36" cm="1">
        <f t="array" ref="L163">Common_InputFunctions.Utility_DisplayArrayInTable(SourceData_PastureBeef.SourceData_PastureBeef_LiveweightGain_Data(), Table_SourceData_PastureBeef_LiveweightGain[[#Headers],[State]],0)</f>
        <v>1</v>
      </c>
      <c r="M163" s="36"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6" t="str" cm="1">
        <f t="array" ref="E164">Common_InputFunctions.Utility_DisplayArrayInTable(SourceData_PastureBeef.SourceData_PastureBeef_LiveweightGain_Data(), Table_SourceData_PastureBeef_LiveweightGain[[#Headers],[State]],0)</f>
        <v>n/a</v>
      </c>
      <c r="F164" s="36" t="str" cm="1">
        <f t="array" ref="F164">Common_InputFunctions.Utility_DisplayArrayInTable(SourceData_PastureBeef.SourceData_PastureBeef_LiveweightGain_Data(), Table_SourceData_PastureBeef_LiveweightGain[[#Headers],[State]],0)</f>
        <v>Summer</v>
      </c>
      <c r="G164" s="36" cm="1">
        <f t="array" ref="G164">Common_InputFunctions.Utility_DisplayArrayInTable(SourceData_PastureBeef.SourceData_PastureBeef_LiveweightGain_Data(), Table_SourceData_PastureBeef_LiveweightGain[[#Headers],[State]],0)</f>
        <v>0.82</v>
      </c>
      <c r="H164" s="36" cm="1">
        <f t="array" ref="H164">Common_InputFunctions.Utility_DisplayArrayInTable(SourceData_PastureBeef.SourceData_PastureBeef_LiveweightGain_Data(), Table_SourceData_PastureBeef_LiveweightGain[[#Headers],[State]],0)</f>
        <v>0.55000000000000004</v>
      </c>
      <c r="I164" s="36" cm="1">
        <f t="array" ref="I164">Common_InputFunctions.Utility_DisplayArrayInTable(SourceData_PastureBeef.SourceData_PastureBeef_LiveweightGain_Data(), Table_SourceData_PastureBeef_LiveweightGain[[#Headers],[State]],0)</f>
        <v>0.71</v>
      </c>
      <c r="J164" s="36" cm="1">
        <f t="array" ref="J164">Common_InputFunctions.Utility_DisplayArrayInTable(SourceData_PastureBeef.SourceData_PastureBeef_LiveweightGain_Data(), Table_SourceData_PastureBeef_LiveweightGain[[#Headers],[State]],0)</f>
        <v>0.55000000000000004</v>
      </c>
      <c r="K164" s="36" cm="1">
        <f t="array" ref="K164">Common_InputFunctions.Utility_DisplayArrayInTable(SourceData_PastureBeef.SourceData_PastureBeef_LiveweightGain_Data(), Table_SourceData_PastureBeef_LiveweightGain[[#Headers],[State]],0)</f>
        <v>0.99</v>
      </c>
      <c r="L164" s="36" cm="1">
        <f t="array" ref="L164">Common_InputFunctions.Utility_DisplayArrayInTable(SourceData_PastureBeef.SourceData_PastureBeef_LiveweightGain_Data(), Table_SourceData_PastureBeef_LiveweightGain[[#Headers],[State]],0)</f>
        <v>0.77</v>
      </c>
      <c r="M164" s="36"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6" t="str" cm="1">
        <f t="array" ref="E165">Common_InputFunctions.Utility_DisplayArrayInTable(SourceData_PastureBeef.SourceData_PastureBeef_LiveweightGain_Data(), Table_SourceData_PastureBeef_LiveweightGain[[#Headers],[State]],0)</f>
        <v>n/a</v>
      </c>
      <c r="F165" s="36" t="str" cm="1">
        <f t="array" ref="F165">Common_InputFunctions.Utility_DisplayArrayInTable(SourceData_PastureBeef.SourceData_PastureBeef_LiveweightGain_Data(), Table_SourceData_PastureBeef_LiveweightGain[[#Headers],[State]],0)</f>
        <v>Autumn</v>
      </c>
      <c r="G165" s="36" cm="1">
        <f t="array" ref="G165">Common_InputFunctions.Utility_DisplayArrayInTable(SourceData_PastureBeef.SourceData_PastureBeef_LiveweightGain_Data(), Table_SourceData_PastureBeef_LiveweightGain[[#Headers],[State]],0)</f>
        <v>0.77</v>
      </c>
      <c r="H165" s="36" cm="1">
        <f t="array" ref="H165">Common_InputFunctions.Utility_DisplayArrayInTable(SourceData_PastureBeef.SourceData_PastureBeef_LiveweightGain_Data(), Table_SourceData_PastureBeef_LiveweightGain[[#Headers],[State]],0)</f>
        <v>0.5</v>
      </c>
      <c r="I165" s="36" cm="1">
        <f t="array" ref="I165">Common_InputFunctions.Utility_DisplayArrayInTable(SourceData_PastureBeef.SourceData_PastureBeef_LiveweightGain_Data(), Table_SourceData_PastureBeef_LiveweightGain[[#Headers],[State]],0)</f>
        <v>0.55000000000000004</v>
      </c>
      <c r="J165" s="36" cm="1">
        <f t="array" ref="J165">Common_InputFunctions.Utility_DisplayArrayInTable(SourceData_PastureBeef.SourceData_PastureBeef_LiveweightGain_Data(), Table_SourceData_PastureBeef_LiveweightGain[[#Headers],[State]],0)</f>
        <v>0.11</v>
      </c>
      <c r="K165" s="36" cm="1">
        <f t="array" ref="K165">Common_InputFunctions.Utility_DisplayArrayInTable(SourceData_PastureBeef.SourceData_PastureBeef_LiveweightGain_Data(), Table_SourceData_PastureBeef_LiveweightGain[[#Headers],[State]],0)</f>
        <v>-0.33</v>
      </c>
      <c r="L165" s="36" cm="1">
        <f t="array" ref="L165">Common_InputFunctions.Utility_DisplayArrayInTable(SourceData_PastureBeef.SourceData_PastureBeef_LiveweightGain_Data(), Table_SourceData_PastureBeef_LiveweightGain[[#Headers],[State]],0)</f>
        <v>0.6</v>
      </c>
      <c r="M165" s="36"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6" t="str" cm="1">
        <f t="array" ref="E166">Common_InputFunctions.Utility_DisplayArrayInTable(SourceData_PastureBeef.SourceData_PastureBeef_LiveweightGain_Data(), Table_SourceData_PastureBeef_LiveweightGain[[#Headers],[State]],0)</f>
        <v>n/a</v>
      </c>
      <c r="F166" s="36" t="str" cm="1">
        <f t="array" ref="F166">Common_InputFunctions.Utility_DisplayArrayInTable(SourceData_PastureBeef.SourceData_PastureBeef_LiveweightGain_Data(), Table_SourceData_PastureBeef_LiveweightGain[[#Headers],[State]],0)</f>
        <v>Winter</v>
      </c>
      <c r="G166" s="36" cm="1">
        <f t="array" ref="G166">Common_InputFunctions.Utility_DisplayArrayInTable(SourceData_PastureBeef.SourceData_PastureBeef_LiveweightGain_Data(), Table_SourceData_PastureBeef_LiveweightGain[[#Headers],[State]],0)</f>
        <v>0.11</v>
      </c>
      <c r="H166" s="36" cm="1">
        <f t="array" ref="H166">Common_InputFunctions.Utility_DisplayArrayInTable(SourceData_PastureBeef.SourceData_PastureBeef_LiveweightGain_Data(), Table_SourceData_PastureBeef_LiveweightGain[[#Headers],[State]],0)</f>
        <v>-0.27</v>
      </c>
      <c r="I166" s="36" cm="1">
        <f t="array" ref="I166">Common_InputFunctions.Utility_DisplayArrayInTable(SourceData_PastureBeef.SourceData_PastureBeef_LiveweightGain_Data(), Table_SourceData_PastureBeef_LiveweightGain[[#Headers],[State]],0)</f>
        <v>0.11</v>
      </c>
      <c r="J166" s="36" cm="1">
        <f t="array" ref="J166">Common_InputFunctions.Utility_DisplayArrayInTable(SourceData_PastureBeef.SourceData_PastureBeef_LiveweightGain_Data(), Table_SourceData_PastureBeef_LiveweightGain[[#Headers],[State]],0)</f>
        <v>0.22</v>
      </c>
      <c r="K166" s="36" cm="1">
        <f t="array" ref="K166">Common_InputFunctions.Utility_DisplayArrayInTable(SourceData_PastureBeef.SourceData_PastureBeef_LiveweightGain_Data(), Table_SourceData_PastureBeef_LiveweightGain[[#Headers],[State]],0)</f>
        <v>-0.44</v>
      </c>
      <c r="L166" s="36" cm="1">
        <f t="array" ref="L166">Common_InputFunctions.Utility_DisplayArrayInTable(SourceData_PastureBeef.SourceData_PastureBeef_LiveweightGain_Data(), Table_SourceData_PastureBeef_LiveweightGain[[#Headers],[State]],0)</f>
        <v>0.16</v>
      </c>
      <c r="M166" s="36"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6" t="str" cm="1">
        <f t="array" ref="E167">Common_InputFunctions.Utility_DisplayArrayInTable(SourceData_PastureBeef.SourceData_PastureBeef_LiveweightGain_Data(), Table_SourceData_PastureBeef_LiveweightGain[[#Headers],[State]],0)</f>
        <v>n/a</v>
      </c>
      <c r="F167" s="36" t="str" cm="1">
        <f t="array" ref="F167">Common_InputFunctions.Utility_DisplayArrayInTable(SourceData_PastureBeef.SourceData_PastureBeef_LiveweightGain_Data(), Table_SourceData_PastureBeef_LiveweightGain[[#Headers],[State]],0)</f>
        <v>Spring</v>
      </c>
      <c r="G167" s="36" cm="1">
        <f t="array" ref="G167">Common_InputFunctions.Utility_DisplayArrayInTable(SourceData_PastureBeef.SourceData_PastureBeef_LiveweightGain_Data(), Table_SourceData_PastureBeef_LiveweightGain[[#Headers],[State]],0)</f>
        <v>1.1000000000000001</v>
      </c>
      <c r="H167" s="36" cm="1">
        <f t="array" ref="H167">Common_InputFunctions.Utility_DisplayArrayInTable(SourceData_PastureBeef.SourceData_PastureBeef_LiveweightGain_Data(), Table_SourceData_PastureBeef_LiveweightGain[[#Headers],[State]],0)</f>
        <v>1.1000000000000001</v>
      </c>
      <c r="I167" s="36" cm="1">
        <f t="array" ref="I167">Common_InputFunctions.Utility_DisplayArrayInTable(SourceData_PastureBeef.SourceData_PastureBeef_LiveweightGain_Data(), Table_SourceData_PastureBeef_LiveweightGain[[#Headers],[State]],0)</f>
        <v>1.1000000000000001</v>
      </c>
      <c r="J167" s="36" cm="1">
        <f t="array" ref="J167">Common_InputFunctions.Utility_DisplayArrayInTable(SourceData_PastureBeef.SourceData_PastureBeef_LiveweightGain_Data(), Table_SourceData_PastureBeef_LiveweightGain[[#Headers],[State]],0)</f>
        <v>0.99</v>
      </c>
      <c r="K167" s="36" cm="1">
        <f t="array" ref="K167">Common_InputFunctions.Utility_DisplayArrayInTable(SourceData_PastureBeef.SourceData_PastureBeef_LiveweightGain_Data(), Table_SourceData_PastureBeef_LiveweightGain[[#Headers],[State]],0)</f>
        <v>0.99</v>
      </c>
      <c r="L167" s="36" cm="1">
        <f t="array" ref="L167">Common_InputFunctions.Utility_DisplayArrayInTable(SourceData_PastureBeef.SourceData_PastureBeef_LiveweightGain_Data(), Table_SourceData_PastureBeef_LiveweightGain[[#Headers],[State]],0)</f>
        <v>1.1000000000000001</v>
      </c>
      <c r="M167" s="36"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6" t="str" cm="1">
        <f t="array" ref="E168">Common_InputFunctions.Utility_DisplayArrayInTable(SourceData_PastureBeef.SourceData_PastureBeef_LiveweightGain_Data(), Table_SourceData_PastureBeef_LiveweightGain[[#Headers],[State]],0)</f>
        <v>n/a</v>
      </c>
      <c r="F168" s="36" t="str" cm="1">
        <f t="array" ref="F168">Common_InputFunctions.Utility_DisplayArrayInTable(SourceData_PastureBeef.SourceData_PastureBeef_LiveweightGain_Data(), Table_SourceData_PastureBeef_LiveweightGain[[#Headers],[State]],0)</f>
        <v>Summer</v>
      </c>
      <c r="G168" s="36" cm="1">
        <f t="array" ref="G168">Common_InputFunctions.Utility_DisplayArrayInTable(SourceData_PastureBeef.SourceData_PastureBeef_LiveweightGain_Data(), Table_SourceData_PastureBeef_LiveweightGain[[#Headers],[State]],0)</f>
        <v>0.33</v>
      </c>
      <c r="H168" s="36" cm="1">
        <f t="array" ref="H168">Common_InputFunctions.Utility_DisplayArrayInTable(SourceData_PastureBeef.SourceData_PastureBeef_LiveweightGain_Data(), Table_SourceData_PastureBeef_LiveweightGain[[#Headers],[State]],0)</f>
        <v>0.33</v>
      </c>
      <c r="I168" s="36" cm="1">
        <f t="array" ref="I168">Common_InputFunctions.Utility_DisplayArrayInTable(SourceData_PastureBeef.SourceData_PastureBeef_LiveweightGain_Data(), Table_SourceData_PastureBeef_LiveweightGain[[#Headers],[State]],0)</f>
        <v>0.22</v>
      </c>
      <c r="J168" s="36" cm="1">
        <f t="array" ref="J168">Common_InputFunctions.Utility_DisplayArrayInTable(SourceData_PastureBeef.SourceData_PastureBeef_LiveweightGain_Data(), Table_SourceData_PastureBeef_LiveweightGain[[#Headers],[State]],0)</f>
        <v>0.33</v>
      </c>
      <c r="K168" s="36" cm="1">
        <f t="array" ref="K168">Common_InputFunctions.Utility_DisplayArrayInTable(SourceData_PastureBeef.SourceData_PastureBeef_LiveweightGain_Data(), Table_SourceData_PastureBeef_LiveweightGain[[#Headers],[State]],0)</f>
        <v>-0.1</v>
      </c>
      <c r="L168" s="36" cm="1">
        <f t="array" ref="L168">Common_InputFunctions.Utility_DisplayArrayInTable(SourceData_PastureBeef.SourceData_PastureBeef_LiveweightGain_Data(), Table_SourceData_PastureBeef_LiveweightGain[[#Headers],[State]],0)</f>
        <v>0.33</v>
      </c>
      <c r="M168" s="36"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6" t="str" cm="1">
        <f t="array" ref="E169">Common_InputFunctions.Utility_DisplayArrayInTable(SourceData_PastureBeef.SourceData_PastureBeef_LiveweightGain_Data(), Table_SourceData_PastureBeef_LiveweightGain[[#Headers],[State]],0)</f>
        <v>n/a</v>
      </c>
      <c r="F169" s="36" t="str" cm="1">
        <f t="array" ref="F169">Common_InputFunctions.Utility_DisplayArrayInTable(SourceData_PastureBeef.SourceData_PastureBeef_LiveweightGain_Data(), Table_SourceData_PastureBeef_LiveweightGain[[#Headers],[State]],0)</f>
        <v>Autumn</v>
      </c>
      <c r="G169" s="36" cm="1">
        <f t="array" ref="G169">Common_InputFunctions.Utility_DisplayArrayInTable(SourceData_PastureBeef.SourceData_PastureBeef_LiveweightGain_Data(), Table_SourceData_PastureBeef_LiveweightGain[[#Headers],[State]],0)</f>
        <v>0.5</v>
      </c>
      <c r="H169" s="36" cm="1">
        <f t="array" ref="H169">Common_InputFunctions.Utility_DisplayArrayInTable(SourceData_PastureBeef.SourceData_PastureBeef_LiveweightGain_Data(), Table_SourceData_PastureBeef_LiveweightGain[[#Headers],[State]],0)</f>
        <v>0.2</v>
      </c>
      <c r="I169" s="36" cm="1">
        <f t="array" ref="I169">Common_InputFunctions.Utility_DisplayArrayInTable(SourceData_PastureBeef.SourceData_PastureBeef_LiveweightGain_Data(), Table_SourceData_PastureBeef_LiveweightGain[[#Headers],[State]],0)</f>
        <v>0.55000000000000004</v>
      </c>
      <c r="J169" s="36" cm="1">
        <f t="array" ref="J169">Common_InputFunctions.Utility_DisplayArrayInTable(SourceData_PastureBeef.SourceData_PastureBeef_LiveweightGain_Data(), Table_SourceData_PastureBeef_LiveweightGain[[#Headers],[State]],0)</f>
        <v>0.44</v>
      </c>
      <c r="K169" s="36" cm="1">
        <f t="array" ref="K169">Common_InputFunctions.Utility_DisplayArrayInTable(SourceData_PastureBeef.SourceData_PastureBeef_LiveweightGain_Data(), Table_SourceData_PastureBeef_LiveweightGain[[#Headers],[State]],0)</f>
        <v>0.2</v>
      </c>
      <c r="L169" s="36" cm="1">
        <f t="array" ref="L169">Common_InputFunctions.Utility_DisplayArrayInTable(SourceData_PastureBeef.SourceData_PastureBeef_LiveweightGain_Data(), Table_SourceData_PastureBeef_LiveweightGain[[#Headers],[State]],0)</f>
        <v>0.55000000000000004</v>
      </c>
      <c r="M169" s="36"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6" t="str" cm="1">
        <f t="array" ref="E170">Common_InputFunctions.Utility_DisplayArrayInTable(SourceData_PastureBeef.SourceData_PastureBeef_LiveweightGain_Data(), Table_SourceData_PastureBeef_LiveweightGain[[#Headers],[State]],0)</f>
        <v>n/a</v>
      </c>
      <c r="F170" s="36" t="str" cm="1">
        <f t="array" ref="F170">Common_InputFunctions.Utility_DisplayArrayInTable(SourceData_PastureBeef.SourceData_PastureBeef_LiveweightGain_Data(), Table_SourceData_PastureBeef_LiveweightGain[[#Headers],[State]],0)</f>
        <v>Winter</v>
      </c>
      <c r="G170" s="36" cm="1">
        <f t="array" ref="G170">Common_InputFunctions.Utility_DisplayArrayInTable(SourceData_PastureBeef.SourceData_PastureBeef_LiveweightGain_Data(), Table_SourceData_PastureBeef_LiveweightGain[[#Headers],[State]],0)</f>
        <v>0.55000000000000004</v>
      </c>
      <c r="H170" s="36" cm="1">
        <f t="array" ref="H170">Common_InputFunctions.Utility_DisplayArrayInTable(SourceData_PastureBeef.SourceData_PastureBeef_LiveweightGain_Data(), Table_SourceData_PastureBeef_LiveweightGain[[#Headers],[State]],0)</f>
        <v>0.22</v>
      </c>
      <c r="I170" s="36" cm="1">
        <f t="array" ref="I170">Common_InputFunctions.Utility_DisplayArrayInTable(SourceData_PastureBeef.SourceData_PastureBeef_LiveweightGain_Data(), Table_SourceData_PastureBeef_LiveweightGain[[#Headers],[State]],0)</f>
        <v>0.49</v>
      </c>
      <c r="J170" s="36" cm="1">
        <f t="array" ref="J170">Common_InputFunctions.Utility_DisplayArrayInTable(SourceData_PastureBeef.SourceData_PastureBeef_LiveweightGain_Data(), Table_SourceData_PastureBeef_LiveweightGain[[#Headers],[State]],0)</f>
        <v>0.22</v>
      </c>
      <c r="K170" s="36" cm="1">
        <f t="array" ref="K170">Common_InputFunctions.Utility_DisplayArrayInTable(SourceData_PastureBeef.SourceData_PastureBeef_LiveweightGain_Data(), Table_SourceData_PastureBeef_LiveweightGain[[#Headers],[State]],0)</f>
        <v>0.22</v>
      </c>
      <c r="L170" s="36" cm="1">
        <f t="array" ref="L170">Common_InputFunctions.Utility_DisplayArrayInTable(SourceData_PastureBeef.SourceData_PastureBeef_LiveweightGain_Data(), Table_SourceData_PastureBeef_LiveweightGain[[#Headers],[State]],0)</f>
        <v>0.49</v>
      </c>
      <c r="M170" s="36"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6" t="str" cm="1">
        <f t="array" ref="E171">Common_InputFunctions.Utility_DisplayArrayInTable(SourceData_PastureBeef.SourceData_PastureBeef_LiveweightGain_Data(), Table_SourceData_PastureBeef_LiveweightGain[[#Headers],[State]],0)</f>
        <v>South West</v>
      </c>
      <c r="F171" s="36" t="str" cm="1">
        <f t="array" ref="F171">Common_InputFunctions.Utility_DisplayArrayInTable(SourceData_PastureBeef.SourceData_PastureBeef_LiveweightGain_Data(), Table_SourceData_PastureBeef_LiveweightGain[[#Headers],[State]],0)</f>
        <v>Spring</v>
      </c>
      <c r="G171" s="36" cm="1">
        <f t="array" ref="G171">Common_InputFunctions.Utility_DisplayArrayInTable(SourceData_PastureBeef.SourceData_PastureBeef_LiveweightGain_Data(), Table_SourceData_PastureBeef_LiveweightGain[[#Headers],[State]],0)</f>
        <v>1.64</v>
      </c>
      <c r="H171" s="36" cm="1">
        <f t="array" ref="H171">Common_InputFunctions.Utility_DisplayArrayInTable(SourceData_PastureBeef.SourceData_PastureBeef_LiveweightGain_Data(), Table_SourceData_PastureBeef_LiveweightGain[[#Headers],[State]],0)</f>
        <v>1.1000000000000001</v>
      </c>
      <c r="I171" s="36" cm="1">
        <f t="array" ref="I171">Common_InputFunctions.Utility_DisplayArrayInTable(SourceData_PastureBeef.SourceData_PastureBeef_LiveweightGain_Data(), Table_SourceData_PastureBeef_LiveweightGain[[#Headers],[State]],0)</f>
        <v>1.21</v>
      </c>
      <c r="J171" s="36" cm="1">
        <f t="array" ref="J171">Common_InputFunctions.Utility_DisplayArrayInTable(SourceData_PastureBeef.SourceData_PastureBeef_LiveweightGain_Data(), Table_SourceData_PastureBeef_LiveweightGain[[#Headers],[State]],0)</f>
        <v>0.99</v>
      </c>
      <c r="K171" s="36" cm="1">
        <f t="array" ref="K171">Common_InputFunctions.Utility_DisplayArrayInTable(SourceData_PastureBeef.SourceData_PastureBeef_LiveweightGain_Data(), Table_SourceData_PastureBeef_LiveweightGain[[#Headers],[State]],0)</f>
        <v>0.66</v>
      </c>
      <c r="L171" s="36" cm="1">
        <f t="array" ref="L171">Common_InputFunctions.Utility_DisplayArrayInTable(SourceData_PastureBeef.SourceData_PastureBeef_LiveweightGain_Data(), Table_SourceData_PastureBeef_LiveweightGain[[#Headers],[State]],0)</f>
        <v>1.42</v>
      </c>
      <c r="M171" s="36"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6" t="str" cm="1">
        <f t="array" ref="E172">Common_InputFunctions.Utility_DisplayArrayInTable(SourceData_PastureBeef.SourceData_PastureBeef_LiveweightGain_Data(), Table_SourceData_PastureBeef_LiveweightGain[[#Headers],[State]],0)</f>
        <v>South West</v>
      </c>
      <c r="F172" s="36" t="str" cm="1">
        <f t="array" ref="F172">Common_InputFunctions.Utility_DisplayArrayInTable(SourceData_PastureBeef.SourceData_PastureBeef_LiveweightGain_Data(), Table_SourceData_PastureBeef_LiveweightGain[[#Headers],[State]],0)</f>
        <v>Summer</v>
      </c>
      <c r="G172" s="36" cm="1">
        <f t="array" ref="G172">Common_InputFunctions.Utility_DisplayArrayInTable(SourceData_PastureBeef.SourceData_PastureBeef_LiveweightGain_Data(), Table_SourceData_PastureBeef_LiveweightGain[[#Headers],[State]],0)</f>
        <v>0.44</v>
      </c>
      <c r="H172" s="36" cm="1">
        <f t="array" ref="H172">Common_InputFunctions.Utility_DisplayArrayInTable(SourceData_PastureBeef.SourceData_PastureBeef_LiveweightGain_Data(), Table_SourceData_PastureBeef_LiveweightGain[[#Headers],[State]],0)</f>
        <v>-0.22</v>
      </c>
      <c r="I172" s="36" cm="1">
        <f t="array" ref="I172">Common_InputFunctions.Utility_DisplayArrayInTable(SourceData_PastureBeef.SourceData_PastureBeef_LiveweightGain_Data(), Table_SourceData_PastureBeef_LiveweightGain[[#Headers],[State]],0)</f>
        <v>0.44</v>
      </c>
      <c r="J172" s="36" cm="1">
        <f t="array" ref="J172">Common_InputFunctions.Utility_DisplayArrayInTable(SourceData_PastureBeef.SourceData_PastureBeef_LiveweightGain_Data(), Table_SourceData_PastureBeef_LiveweightGain[[#Headers],[State]],0)</f>
        <v>0.33</v>
      </c>
      <c r="K172" s="36" cm="1">
        <f t="array" ref="K172">Common_InputFunctions.Utility_DisplayArrayInTable(SourceData_PastureBeef.SourceData_PastureBeef_LiveweightGain_Data(), Table_SourceData_PastureBeef_LiveweightGain[[#Headers],[State]],0)</f>
        <v>-0.22</v>
      </c>
      <c r="L172" s="36" cm="1">
        <f t="array" ref="L172">Common_InputFunctions.Utility_DisplayArrayInTable(SourceData_PastureBeef.SourceData_PastureBeef_LiveweightGain_Data(), Table_SourceData_PastureBeef_LiveweightGain[[#Headers],[State]],0)</f>
        <v>0.44</v>
      </c>
      <c r="M172" s="36"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6" t="str" cm="1">
        <f t="array" ref="E173">Common_InputFunctions.Utility_DisplayArrayInTable(SourceData_PastureBeef.SourceData_PastureBeef_LiveweightGain_Data(), Table_SourceData_PastureBeef_LiveweightGain[[#Headers],[State]],0)</f>
        <v>South West</v>
      </c>
      <c r="F173" s="36" t="str" cm="1">
        <f t="array" ref="F173">Common_InputFunctions.Utility_DisplayArrayInTable(SourceData_PastureBeef.SourceData_PastureBeef_LiveweightGain_Data(), Table_SourceData_PastureBeef_LiveweightGain[[#Headers],[State]],0)</f>
        <v>Autumn</v>
      </c>
      <c r="G173" s="36" cm="1">
        <f t="array" ref="G173">Common_InputFunctions.Utility_DisplayArrayInTable(SourceData_PastureBeef.SourceData_PastureBeef_LiveweightGain_Data(), Table_SourceData_PastureBeef_LiveweightGain[[#Headers],[State]],0)</f>
        <v>0.6</v>
      </c>
      <c r="H173" s="36" cm="1">
        <f t="array" ref="H173">Common_InputFunctions.Utility_DisplayArrayInTable(SourceData_PastureBeef.SourceData_PastureBeef_LiveweightGain_Data(), Table_SourceData_PastureBeef_LiveweightGain[[#Headers],[State]],0)</f>
        <v>0</v>
      </c>
      <c r="I173" s="36" cm="1">
        <f t="array" ref="I173">Common_InputFunctions.Utility_DisplayArrayInTable(SourceData_PastureBeef.SourceData_PastureBeef_LiveweightGain_Data(), Table_SourceData_PastureBeef_LiveweightGain[[#Headers],[State]],0)</f>
        <v>0.6</v>
      </c>
      <c r="J173" s="36" cm="1">
        <f t="array" ref="J173">Common_InputFunctions.Utility_DisplayArrayInTable(SourceData_PastureBeef.SourceData_PastureBeef_LiveweightGain_Data(), Table_SourceData_PastureBeef_LiveweightGain[[#Headers],[State]],0)</f>
        <v>0.22</v>
      </c>
      <c r="K173" s="36" cm="1">
        <f t="array" ref="K173">Common_InputFunctions.Utility_DisplayArrayInTable(SourceData_PastureBeef.SourceData_PastureBeef_LiveweightGain_Data(), Table_SourceData_PastureBeef_LiveweightGain[[#Headers],[State]],0)</f>
        <v>-0.55000000000000004</v>
      </c>
      <c r="L173" s="36" cm="1">
        <f t="array" ref="L173">Common_InputFunctions.Utility_DisplayArrayInTable(SourceData_PastureBeef.SourceData_PastureBeef_LiveweightGain_Data(), Table_SourceData_PastureBeef_LiveweightGain[[#Headers],[State]],0)</f>
        <v>0.6</v>
      </c>
      <c r="M173" s="36"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6" t="str" cm="1">
        <f t="array" ref="E174">Common_InputFunctions.Utility_DisplayArrayInTable(SourceData_PastureBeef.SourceData_PastureBeef_LiveweightGain_Data(), Table_SourceData_PastureBeef_LiveweightGain[[#Headers],[State]],0)</f>
        <v>South West</v>
      </c>
      <c r="F174" s="36" t="str" cm="1">
        <f t="array" ref="F174">Common_InputFunctions.Utility_DisplayArrayInTable(SourceData_PastureBeef.SourceData_PastureBeef_LiveweightGain_Data(), Table_SourceData_PastureBeef_LiveweightGain[[#Headers],[State]],0)</f>
        <v>Winter</v>
      </c>
      <c r="G174" s="36" cm="1">
        <f t="array" ref="G174">Common_InputFunctions.Utility_DisplayArrayInTable(SourceData_PastureBeef.SourceData_PastureBeef_LiveweightGain_Data(), Table_SourceData_PastureBeef_LiveweightGain[[#Headers],[State]],0)</f>
        <v>0.99</v>
      </c>
      <c r="H174" s="36" cm="1">
        <f t="array" ref="H174">Common_InputFunctions.Utility_DisplayArrayInTable(SourceData_PastureBeef.SourceData_PastureBeef_LiveweightGain_Data(), Table_SourceData_PastureBeef_LiveweightGain[[#Headers],[State]],0)</f>
        <v>0.22</v>
      </c>
      <c r="I174" s="36" cm="1">
        <f t="array" ref="I174">Common_InputFunctions.Utility_DisplayArrayInTable(SourceData_PastureBeef.SourceData_PastureBeef_LiveweightGain_Data(), Table_SourceData_PastureBeef_LiveweightGain[[#Headers],[State]],0)</f>
        <v>0.77</v>
      </c>
      <c r="J174" s="36" cm="1">
        <f t="array" ref="J174">Common_InputFunctions.Utility_DisplayArrayInTable(SourceData_PastureBeef.SourceData_PastureBeef_LiveweightGain_Data(), Table_SourceData_PastureBeef_LiveweightGain[[#Headers],[State]],0)</f>
        <v>0.11</v>
      </c>
      <c r="K174" s="36" cm="1">
        <f t="array" ref="K174">Common_InputFunctions.Utility_DisplayArrayInTable(SourceData_PastureBeef.SourceData_PastureBeef_LiveweightGain_Data(), Table_SourceData_PastureBeef_LiveweightGain[[#Headers],[State]],0)</f>
        <v>0.11</v>
      </c>
      <c r="L174" s="36" cm="1">
        <f t="array" ref="L174">Common_InputFunctions.Utility_DisplayArrayInTable(SourceData_PastureBeef.SourceData_PastureBeef_LiveweightGain_Data(), Table_SourceData_PastureBeef_LiveweightGain[[#Headers],[State]],0)</f>
        <v>0.77</v>
      </c>
      <c r="M174" s="36"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6" t="str" cm="1">
        <f t="array" ref="E175">Common_InputFunctions.Utility_DisplayArrayInTable(SourceData_PastureBeef.SourceData_PastureBeef_LiveweightGain_Data(), Table_SourceData_PastureBeef_LiveweightGain[[#Headers],[State]],0)</f>
        <v>Pilbara</v>
      </c>
      <c r="F175" s="36" t="str" cm="1">
        <f t="array" ref="F175">Common_InputFunctions.Utility_DisplayArrayInTable(SourceData_PastureBeef.SourceData_PastureBeef_LiveweightGain_Data(), Table_SourceData_PastureBeef_LiveweightGain[[#Headers],[State]],0)</f>
        <v>Spring</v>
      </c>
      <c r="G175" s="36" cm="1">
        <f t="array" ref="G175">Common_InputFunctions.Utility_DisplayArrayInTable(SourceData_PastureBeef.SourceData_PastureBeef_LiveweightGain_Data(), Table_SourceData_PastureBeef_LiveweightGain[[#Headers],[State]],0)</f>
        <v>0.7</v>
      </c>
      <c r="H175" s="36" cm="1">
        <f t="array" ref="H175">Common_InputFunctions.Utility_DisplayArrayInTable(SourceData_PastureBeef.SourceData_PastureBeef_LiveweightGain_Data(), Table_SourceData_PastureBeef_LiveweightGain[[#Headers],[State]],0)</f>
        <v>-0.55000000000000004</v>
      </c>
      <c r="I175" s="36" cm="1">
        <f t="array" ref="I175">Common_InputFunctions.Utility_DisplayArrayInTable(SourceData_PastureBeef.SourceData_PastureBeef_LiveweightGain_Data(), Table_SourceData_PastureBeef_LiveweightGain[[#Headers],[State]],0)</f>
        <v>0.7</v>
      </c>
      <c r="J175" s="36" cm="1">
        <f t="array" ref="J175">Common_InputFunctions.Utility_DisplayArrayInTable(SourceData_PastureBeef.SourceData_PastureBeef_LiveweightGain_Data(), Table_SourceData_PastureBeef_LiveweightGain[[#Headers],[State]],0)</f>
        <v>0.22</v>
      </c>
      <c r="K175" s="36" cm="1">
        <f t="array" ref="K175">Common_InputFunctions.Utility_DisplayArrayInTable(SourceData_PastureBeef.SourceData_PastureBeef_LiveweightGain_Data(), Table_SourceData_PastureBeef_LiveweightGain[[#Headers],[State]],0)</f>
        <v>-0.22</v>
      </c>
      <c r="L175" s="36" cm="1">
        <f t="array" ref="L175">Common_InputFunctions.Utility_DisplayArrayInTable(SourceData_PastureBeef.SourceData_PastureBeef_LiveweightGain_Data(), Table_SourceData_PastureBeef_LiveweightGain[[#Headers],[State]],0)</f>
        <v>0.7</v>
      </c>
      <c r="M175" s="36"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6" t="str" cm="1">
        <f t="array" ref="E176">Common_InputFunctions.Utility_DisplayArrayInTable(SourceData_PastureBeef.SourceData_PastureBeef_LiveweightGain_Data(), Table_SourceData_PastureBeef_LiveweightGain[[#Headers],[State]],0)</f>
        <v>Pilbara</v>
      </c>
      <c r="F176" s="36" t="str" cm="1">
        <f t="array" ref="F176">Common_InputFunctions.Utility_DisplayArrayInTable(SourceData_PastureBeef.SourceData_PastureBeef_LiveweightGain_Data(), Table_SourceData_PastureBeef_LiveweightGain[[#Headers],[State]],0)</f>
        <v>Summer</v>
      </c>
      <c r="G176" s="36" cm="1">
        <f t="array" ref="G176">Common_InputFunctions.Utility_DisplayArrayInTable(SourceData_PastureBeef.SourceData_PastureBeef_LiveweightGain_Data(), Table_SourceData_PastureBeef_LiveweightGain[[#Headers],[State]],0)</f>
        <v>0.77</v>
      </c>
      <c r="H176" s="36" cm="1">
        <f t="array" ref="H176">Common_InputFunctions.Utility_DisplayArrayInTable(SourceData_PastureBeef.SourceData_PastureBeef_LiveweightGain_Data(), Table_SourceData_PastureBeef_LiveweightGain[[#Headers],[State]],0)</f>
        <v>0.55000000000000004</v>
      </c>
      <c r="I176" s="36" cm="1">
        <f t="array" ref="I176">Common_InputFunctions.Utility_DisplayArrayInTable(SourceData_PastureBeef.SourceData_PastureBeef_LiveweightGain_Data(), Table_SourceData_PastureBeef_LiveweightGain[[#Headers],[State]],0)</f>
        <v>0.77</v>
      </c>
      <c r="J176" s="36" cm="1">
        <f t="array" ref="J176">Common_InputFunctions.Utility_DisplayArrayInTable(SourceData_PastureBeef.SourceData_PastureBeef_LiveweightGain_Data(), Table_SourceData_PastureBeef_LiveweightGain[[#Headers],[State]],0)</f>
        <v>0.66</v>
      </c>
      <c r="K176" s="36" cm="1">
        <f t="array" ref="K176">Common_InputFunctions.Utility_DisplayArrayInTable(SourceData_PastureBeef.SourceData_PastureBeef_LiveweightGain_Data(), Table_SourceData_PastureBeef_LiveweightGain[[#Headers],[State]],0)</f>
        <v>0.55000000000000004</v>
      </c>
      <c r="L176" s="36" cm="1">
        <f t="array" ref="L176">Common_InputFunctions.Utility_DisplayArrayInTable(SourceData_PastureBeef.SourceData_PastureBeef_LiveweightGain_Data(), Table_SourceData_PastureBeef_LiveweightGain[[#Headers],[State]],0)</f>
        <v>0.77</v>
      </c>
      <c r="M176" s="36"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6" t="str" cm="1">
        <f t="array" ref="E177">Common_InputFunctions.Utility_DisplayArrayInTable(SourceData_PastureBeef.SourceData_PastureBeef_LiveweightGain_Data(), Table_SourceData_PastureBeef_LiveweightGain[[#Headers],[State]],0)</f>
        <v>Pilbara</v>
      </c>
      <c r="F177" s="36" t="str" cm="1">
        <f t="array" ref="F177">Common_InputFunctions.Utility_DisplayArrayInTable(SourceData_PastureBeef.SourceData_PastureBeef_LiveweightGain_Data(), Table_SourceData_PastureBeef_LiveweightGain[[#Headers],[State]],0)</f>
        <v>Autumn</v>
      </c>
      <c r="G177" s="36" cm="1">
        <f t="array" ref="G177">Common_InputFunctions.Utility_DisplayArrayInTable(SourceData_PastureBeef.SourceData_PastureBeef_LiveweightGain_Data(), Table_SourceData_PastureBeef_LiveweightGain[[#Headers],[State]],0)</f>
        <v>0.88</v>
      </c>
      <c r="H177" s="36" cm="1">
        <f t="array" ref="H177">Common_InputFunctions.Utility_DisplayArrayInTable(SourceData_PastureBeef.SourceData_PastureBeef_LiveweightGain_Data(), Table_SourceData_PastureBeef_LiveweightGain[[#Headers],[State]],0)</f>
        <v>0.55000000000000004</v>
      </c>
      <c r="I177" s="36" cm="1">
        <f t="array" ref="I177">Common_InputFunctions.Utility_DisplayArrayInTable(SourceData_PastureBeef.SourceData_PastureBeef_LiveweightGain_Data(), Table_SourceData_PastureBeef_LiveweightGain[[#Headers],[State]],0)</f>
        <v>0.88</v>
      </c>
      <c r="J177" s="36" cm="1">
        <f t="array" ref="J177">Common_InputFunctions.Utility_DisplayArrayInTable(SourceData_PastureBeef.SourceData_PastureBeef_LiveweightGain_Data(), Table_SourceData_PastureBeef_LiveweightGain[[#Headers],[State]],0)</f>
        <v>0.22</v>
      </c>
      <c r="K177" s="36" cm="1">
        <f t="array" ref="K177">Common_InputFunctions.Utility_DisplayArrayInTable(SourceData_PastureBeef.SourceData_PastureBeef_LiveweightGain_Data(), Table_SourceData_PastureBeef_LiveweightGain[[#Headers],[State]],0)</f>
        <v>0.22</v>
      </c>
      <c r="L177" s="36" cm="1">
        <f t="array" ref="L177">Common_InputFunctions.Utility_DisplayArrayInTable(SourceData_PastureBeef.SourceData_PastureBeef_LiveweightGain_Data(), Table_SourceData_PastureBeef_LiveweightGain[[#Headers],[State]],0)</f>
        <v>0.88</v>
      </c>
      <c r="M177" s="36"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6" t="str" cm="1">
        <f t="array" ref="E178">Common_InputFunctions.Utility_DisplayArrayInTable(SourceData_PastureBeef.SourceData_PastureBeef_LiveweightGain_Data(), Table_SourceData_PastureBeef_LiveweightGain[[#Headers],[State]],0)</f>
        <v>Pilbara</v>
      </c>
      <c r="F178" s="36" t="str" cm="1">
        <f t="array" ref="F178">Common_InputFunctions.Utility_DisplayArrayInTable(SourceData_PastureBeef.SourceData_PastureBeef_LiveweightGain_Data(), Table_SourceData_PastureBeef_LiveweightGain[[#Headers],[State]],0)</f>
        <v>Winter</v>
      </c>
      <c r="G178" s="36" cm="1">
        <f t="array" ref="G178">Common_InputFunctions.Utility_DisplayArrayInTable(SourceData_PastureBeef.SourceData_PastureBeef_LiveweightGain_Data(), Table_SourceData_PastureBeef_LiveweightGain[[#Headers],[State]],0)</f>
        <v>0.22</v>
      </c>
      <c r="H178" s="36" cm="1">
        <f t="array" ref="H178">Common_InputFunctions.Utility_DisplayArrayInTable(SourceData_PastureBeef.SourceData_PastureBeef_LiveweightGain_Data(), Table_SourceData_PastureBeef_LiveweightGain[[#Headers],[State]],0)</f>
        <v>-0.55000000000000004</v>
      </c>
      <c r="I178" s="36" cm="1">
        <f t="array" ref="I178">Common_InputFunctions.Utility_DisplayArrayInTable(SourceData_PastureBeef.SourceData_PastureBeef_LiveweightGain_Data(), Table_SourceData_PastureBeef_LiveweightGain[[#Headers],[State]],0)</f>
        <v>0.22</v>
      </c>
      <c r="J178" s="36" cm="1">
        <f t="array" ref="J178">Common_InputFunctions.Utility_DisplayArrayInTable(SourceData_PastureBeef.SourceData_PastureBeef_LiveweightGain_Data(), Table_SourceData_PastureBeef_LiveweightGain[[#Headers],[State]],0)</f>
        <v>0.11</v>
      </c>
      <c r="K178" s="36" cm="1">
        <f t="array" ref="K178">Common_InputFunctions.Utility_DisplayArrayInTable(SourceData_PastureBeef.SourceData_PastureBeef_LiveweightGain_Data(), Table_SourceData_PastureBeef_LiveweightGain[[#Headers],[State]],0)</f>
        <v>-0.22</v>
      </c>
      <c r="L178" s="36" cm="1">
        <f t="array" ref="L178">Common_InputFunctions.Utility_DisplayArrayInTable(SourceData_PastureBeef.SourceData_PastureBeef_LiveweightGain_Data(), Table_SourceData_PastureBeef_LiveweightGain[[#Headers],[State]],0)</f>
        <v>0.22</v>
      </c>
      <c r="M178" s="36"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6" t="str" cm="1">
        <f t="array" ref="E179">Common_InputFunctions.Utility_DisplayArrayInTable(SourceData_PastureBeef.SourceData_PastureBeef_LiveweightGain_Data(), Table_SourceData_PastureBeef_LiveweightGain[[#Headers],[State]],0)</f>
        <v>Kimberley</v>
      </c>
      <c r="F179" s="36" t="str" cm="1">
        <f t="array" ref="F179">Common_InputFunctions.Utility_DisplayArrayInTable(SourceData_PastureBeef.SourceData_PastureBeef_LiveweightGain_Data(), Table_SourceData_PastureBeef_LiveweightGain[[#Headers],[State]],0)</f>
        <v>Spring</v>
      </c>
      <c r="G179" s="36" cm="1">
        <f t="array" ref="G179">Common_InputFunctions.Utility_DisplayArrayInTable(SourceData_PastureBeef.SourceData_PastureBeef_LiveweightGain_Data(), Table_SourceData_PastureBeef_LiveweightGain[[#Headers],[State]],0)</f>
        <v>0.22</v>
      </c>
      <c r="H179" s="36" cm="1">
        <f t="array" ref="H179">Common_InputFunctions.Utility_DisplayArrayInTable(SourceData_PastureBeef.SourceData_PastureBeef_LiveweightGain_Data(), Table_SourceData_PastureBeef_LiveweightGain[[#Headers],[State]],0)</f>
        <v>-0.55000000000000004</v>
      </c>
      <c r="I179" s="36" cm="1">
        <f t="array" ref="I179">Common_InputFunctions.Utility_DisplayArrayInTable(SourceData_PastureBeef.SourceData_PastureBeef_LiveweightGain_Data(), Table_SourceData_PastureBeef_LiveweightGain[[#Headers],[State]],0)</f>
        <v>0.33</v>
      </c>
      <c r="J179" s="36" cm="1">
        <f t="array" ref="J179">Common_InputFunctions.Utility_DisplayArrayInTable(SourceData_PastureBeef.SourceData_PastureBeef_LiveweightGain_Data(), Table_SourceData_PastureBeef_LiveweightGain[[#Headers],[State]],0)</f>
        <v>0.22</v>
      </c>
      <c r="K179" s="36" cm="1">
        <f t="array" ref="K179">Common_InputFunctions.Utility_DisplayArrayInTable(SourceData_PastureBeef.SourceData_PastureBeef_LiveweightGain_Data(), Table_SourceData_PastureBeef_LiveweightGain[[#Headers],[State]],0)</f>
        <v>-0.33</v>
      </c>
      <c r="L179" s="36" cm="1">
        <f t="array" ref="L179">Common_InputFunctions.Utility_DisplayArrayInTable(SourceData_PastureBeef.SourceData_PastureBeef_LiveweightGain_Data(), Table_SourceData_PastureBeef_LiveweightGain[[#Headers],[State]],0)</f>
        <v>0.22</v>
      </c>
      <c r="M179" s="36"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6" t="str" cm="1">
        <f t="array" ref="E180">Common_InputFunctions.Utility_DisplayArrayInTable(SourceData_PastureBeef.SourceData_PastureBeef_LiveweightGain_Data(), Table_SourceData_PastureBeef_LiveweightGain[[#Headers],[State]],0)</f>
        <v>Kimberley</v>
      </c>
      <c r="F180" s="36" t="str" cm="1">
        <f t="array" ref="F180">Common_InputFunctions.Utility_DisplayArrayInTable(SourceData_PastureBeef.SourceData_PastureBeef_LiveweightGain_Data(), Table_SourceData_PastureBeef_LiveweightGain[[#Headers],[State]],0)</f>
        <v>Summer</v>
      </c>
      <c r="G180" s="36" cm="1">
        <f t="array" ref="G180">Common_InputFunctions.Utility_DisplayArrayInTable(SourceData_PastureBeef.SourceData_PastureBeef_LiveweightGain_Data(), Table_SourceData_PastureBeef_LiveweightGain[[#Headers],[State]],0)</f>
        <v>0.8</v>
      </c>
      <c r="H180" s="36" cm="1">
        <f t="array" ref="H180">Common_InputFunctions.Utility_DisplayArrayInTable(SourceData_PastureBeef.SourceData_PastureBeef_LiveweightGain_Data(), Table_SourceData_PastureBeef_LiveweightGain[[#Headers],[State]],0)</f>
        <v>0.55000000000000004</v>
      </c>
      <c r="I180" s="36" cm="1">
        <f t="array" ref="I180">Common_InputFunctions.Utility_DisplayArrayInTable(SourceData_PastureBeef.SourceData_PastureBeef_LiveweightGain_Data(), Table_SourceData_PastureBeef_LiveweightGain[[#Headers],[State]],0)</f>
        <v>0.7</v>
      </c>
      <c r="J180" s="36" cm="1">
        <f t="array" ref="J180">Common_InputFunctions.Utility_DisplayArrayInTable(SourceData_PastureBeef.SourceData_PastureBeef_LiveweightGain_Data(), Table_SourceData_PastureBeef_LiveweightGain[[#Headers],[State]],0)</f>
        <v>0.44</v>
      </c>
      <c r="K180" s="36" cm="1">
        <f t="array" ref="K180">Common_InputFunctions.Utility_DisplayArrayInTable(SourceData_PastureBeef.SourceData_PastureBeef_LiveweightGain_Data(), Table_SourceData_PastureBeef_LiveweightGain[[#Headers],[State]],0)</f>
        <v>0.66</v>
      </c>
      <c r="L180" s="36" cm="1">
        <f t="array" ref="L180">Common_InputFunctions.Utility_DisplayArrayInTable(SourceData_PastureBeef.SourceData_PastureBeef_LiveweightGain_Data(), Table_SourceData_PastureBeef_LiveweightGain[[#Headers],[State]],0)</f>
        <v>0.8</v>
      </c>
      <c r="M180" s="36"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6" t="str" cm="1">
        <f t="array" ref="E181">Common_InputFunctions.Utility_DisplayArrayInTable(SourceData_PastureBeef.SourceData_PastureBeef_LiveweightGain_Data(), Table_SourceData_PastureBeef_LiveweightGain[[#Headers],[State]],0)</f>
        <v>Kimberley</v>
      </c>
      <c r="F181" s="36" t="str" cm="1">
        <f t="array" ref="F181">Common_InputFunctions.Utility_DisplayArrayInTable(SourceData_PastureBeef.SourceData_PastureBeef_LiveweightGain_Data(), Table_SourceData_PastureBeef_LiveweightGain[[#Headers],[State]],0)</f>
        <v>Autumn</v>
      </c>
      <c r="G181" s="36" cm="1">
        <f t="array" ref="G181">Common_InputFunctions.Utility_DisplayArrayInTable(SourceData_PastureBeef.SourceData_PastureBeef_LiveweightGain_Data(), Table_SourceData_PastureBeef_LiveweightGain[[#Headers],[State]],0)</f>
        <v>0.66</v>
      </c>
      <c r="H181" s="36" cm="1">
        <f t="array" ref="H181">Common_InputFunctions.Utility_DisplayArrayInTable(SourceData_PastureBeef.SourceData_PastureBeef_LiveweightGain_Data(), Table_SourceData_PastureBeef_LiveweightGain[[#Headers],[State]],0)</f>
        <v>0.55000000000000004</v>
      </c>
      <c r="I181" s="36" cm="1">
        <f t="array" ref="I181">Common_InputFunctions.Utility_DisplayArrayInTable(SourceData_PastureBeef.SourceData_PastureBeef_LiveweightGain_Data(), Table_SourceData_PastureBeef_LiveweightGain[[#Headers],[State]],0)</f>
        <v>0.55000000000000004</v>
      </c>
      <c r="J181" s="36" cm="1">
        <f t="array" ref="J181">Common_InputFunctions.Utility_DisplayArrayInTable(SourceData_PastureBeef.SourceData_PastureBeef_LiveweightGain_Data(), Table_SourceData_PastureBeef_LiveweightGain[[#Headers],[State]],0)</f>
        <v>0.55000000000000004</v>
      </c>
      <c r="K181" s="36" cm="1">
        <f t="array" ref="K181">Common_InputFunctions.Utility_DisplayArrayInTable(SourceData_PastureBeef.SourceData_PastureBeef_LiveweightGain_Data(), Table_SourceData_PastureBeef_LiveweightGain[[#Headers],[State]],0)</f>
        <v>0.11</v>
      </c>
      <c r="L181" s="36" cm="1">
        <f t="array" ref="L181">Common_InputFunctions.Utility_DisplayArrayInTable(SourceData_PastureBeef.SourceData_PastureBeef_LiveweightGain_Data(), Table_SourceData_PastureBeef_LiveweightGain[[#Headers],[State]],0)</f>
        <v>0.66</v>
      </c>
      <c r="M181" s="36"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6" t="str" cm="1">
        <f t="array" ref="E182">Common_InputFunctions.Utility_DisplayArrayInTable(SourceData_PastureBeef.SourceData_PastureBeef_LiveweightGain_Data(), Table_SourceData_PastureBeef_LiveweightGain[[#Headers],[State]],0)</f>
        <v>Kimberley</v>
      </c>
      <c r="F182" s="36" t="str" cm="1">
        <f t="array" ref="F182">Common_InputFunctions.Utility_DisplayArrayInTable(SourceData_PastureBeef.SourceData_PastureBeef_LiveweightGain_Data(), Table_SourceData_PastureBeef_LiveweightGain[[#Headers],[State]],0)</f>
        <v>Winter</v>
      </c>
      <c r="G182" s="36" cm="1">
        <f t="array" ref="G182">Common_InputFunctions.Utility_DisplayArrayInTable(SourceData_PastureBeef.SourceData_PastureBeef_LiveweightGain_Data(), Table_SourceData_PastureBeef_LiveweightGain[[#Headers],[State]],0)</f>
        <v>0.33</v>
      </c>
      <c r="H182" s="36" cm="1">
        <f t="array" ref="H182">Common_InputFunctions.Utility_DisplayArrayInTable(SourceData_PastureBeef.SourceData_PastureBeef_LiveweightGain_Data(), Table_SourceData_PastureBeef_LiveweightGain[[#Headers],[State]],0)</f>
        <v>-0.55000000000000004</v>
      </c>
      <c r="I182" s="36" cm="1">
        <f t="array" ref="I182">Common_InputFunctions.Utility_DisplayArrayInTable(SourceData_PastureBeef.SourceData_PastureBeef_LiveweightGain_Data(), Table_SourceData_PastureBeef_LiveweightGain[[#Headers],[State]],0)</f>
        <v>0.11</v>
      </c>
      <c r="J182" s="36" cm="1">
        <f t="array" ref="J182">Common_InputFunctions.Utility_DisplayArrayInTable(SourceData_PastureBeef.SourceData_PastureBeef_LiveweightGain_Data(), Table_SourceData_PastureBeef_LiveweightGain[[#Headers],[State]],0)</f>
        <v>0.11</v>
      </c>
      <c r="K182" s="36" cm="1">
        <f t="array" ref="K182">Common_InputFunctions.Utility_DisplayArrayInTable(SourceData_PastureBeef.SourceData_PastureBeef_LiveweightGain_Data(), Table_SourceData_PastureBeef_LiveweightGain[[#Headers],[State]],0)</f>
        <v>-0.44</v>
      </c>
      <c r="L182" s="36" cm="1">
        <f t="array" ref="L182">Common_InputFunctions.Utility_DisplayArrayInTable(SourceData_PastureBeef.SourceData_PastureBeef_LiveweightGain_Data(), Table_SourceData_PastureBeef_LiveweightGain[[#Headers],[State]],0)</f>
        <v>0.33</v>
      </c>
      <c r="M182" s="36"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6" t="str" cm="1">
        <f t="array" ref="D185">SourceData_PastureBeef.SourceData_PastureBeef_LiveweightGainNTQLD_Title()</f>
        <v>Beef pasture cattle - Liveweight gain (kg) (LWGjkl) for NT and QLD</v>
      </c>
      <c r="M185" s="1"/>
    </row>
    <row r="186" spans="4:16" x14ac:dyDescent="0.25">
      <c r="D186" s="5"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53" t="str" cm="1">
        <f t="array" ref="D188">SourceData_PastureBeef.SourceData_PastureBeef_LiveweightGainNTQLD_Unit()</f>
        <v>kg</v>
      </c>
      <c r="M188" s="1"/>
    </row>
    <row r="189" spans="4:16" x14ac:dyDescent="0.25">
      <c r="D189" s="36" t="s">
        <v>5</v>
      </c>
      <c r="E189" s="36" t="s">
        <v>143</v>
      </c>
      <c r="F189" s="36" t="s">
        <v>144</v>
      </c>
      <c r="G189" s="36" t="s">
        <v>163</v>
      </c>
      <c r="H189" s="36" t="s">
        <v>152</v>
      </c>
      <c r="I189" s="36" t="s">
        <v>184</v>
      </c>
      <c r="J189" s="36" t="s">
        <v>148</v>
      </c>
      <c r="K189" s="36" t="s">
        <v>187</v>
      </c>
      <c r="L189" s="36" t="s">
        <v>188</v>
      </c>
      <c r="M189" s="36" t="s">
        <v>157</v>
      </c>
      <c r="N189" s="36" t="s">
        <v>158</v>
      </c>
      <c r="O189" s="36" t="s">
        <v>159</v>
      </c>
      <c r="P189" s="36" t="s">
        <v>160</v>
      </c>
    </row>
    <row r="190" spans="4:16" x14ac:dyDescent="0.25">
      <c r="D190" s="36" t="str" cm="1">
        <f t="array" ref="D190">Common_InputFunctions.Utility_DisplayArrayInTable(SourceData_PastureBeef.SourceData_PastureBeef_LiveweightGainNTQLD_Data(),Table_SourceData_PastureBeef_LiveweightGainNTQLD[[#Headers],[State]],0)</f>
        <v>Northern Territory</v>
      </c>
      <c r="E190" s="36" t="str" cm="1">
        <f t="array" ref="E190">Common_InputFunctions.Utility_DisplayArrayInTable(SourceData_PastureBeef.SourceData_PastureBeef_LiveweightGainNTQLD_Data(),Table_SourceData_PastureBeef_LiveweightGainNTQLD[[#Headers],[State]],0)</f>
        <v>Alice Springs</v>
      </c>
      <c r="F190" s="36" t="str" cm="1">
        <f t="array" ref="F190">Common_InputFunctions.Utility_DisplayArrayInTable(SourceData_PastureBeef.SourceData_PastureBeef_LiveweightGainNTQLD_Data(),Table_SourceData_PastureBeef_LiveweightGainNTQLD[[#Headers],[State]],0)</f>
        <v>Spring</v>
      </c>
      <c r="G190" s="36" cm="1">
        <f t="array" ref="G190">Common_InputFunctions.Utility_DisplayArrayInTable(SourceData_PastureBeef.SourceData_PastureBeef_LiveweightGainNTQLD_Data(),Table_SourceData_PastureBeef_LiveweightGainNTQLD[[#Headers],[State]],0)</f>
        <v>0.22</v>
      </c>
      <c r="H190" s="36" cm="1">
        <f t="array" ref="H190">Common_InputFunctions.Utility_DisplayArrayInTable(SourceData_PastureBeef.SourceData_PastureBeef_LiveweightGainNTQLD_Data(),Table_SourceData_PastureBeef_LiveweightGainNTQLD[[#Headers],[State]],0)</f>
        <v>-0.23</v>
      </c>
      <c r="I190" s="36" cm="1">
        <f t="array" ref="I190">Common_InputFunctions.Utility_DisplayArrayInTable(SourceData_PastureBeef.SourceData_PastureBeef_LiveweightGainNTQLD_Data(),Table_SourceData_PastureBeef_LiveweightGainNTQLD[[#Headers],[State]],0)</f>
        <v>0.25</v>
      </c>
      <c r="J190" s="36" cm="1">
        <f t="array" ref="J190">Common_InputFunctions.Utility_DisplayArrayInTable(SourceData_PastureBeef.SourceData_PastureBeef_LiveweightGainNTQLD_Data(),Table_SourceData_PastureBeef_LiveweightGainNTQLD[[#Headers],[State]],0)</f>
        <v>0.17</v>
      </c>
      <c r="K190" s="36" cm="1">
        <f t="array" ref="K190">Common_InputFunctions.Utility_DisplayArrayInTable(SourceData_PastureBeef.SourceData_PastureBeef_LiveweightGainNTQLD_Data(),Table_SourceData_PastureBeef_LiveweightGainNTQLD[[#Headers],[State]],0)</f>
        <v>0.18</v>
      </c>
      <c r="L190" s="36" cm="1">
        <f t="array" ref="L190">Common_InputFunctions.Utility_DisplayArrayInTable(SourceData_PastureBeef.SourceData_PastureBeef_LiveweightGainNTQLD_Data(),Table_SourceData_PastureBeef_LiveweightGainNTQLD[[#Headers],[State]],0)</f>
        <v>-0.28000000000000003</v>
      </c>
      <c r="M190" s="36" cm="1">
        <f t="array" ref="M190">Common_InputFunctions.Utility_DisplayArrayInTable(SourceData_PastureBeef.SourceData_PastureBeef_LiveweightGainNTQLD_Data(),Table_SourceData_PastureBeef_LiveweightGainNTQLD[[#Headers],[State]],0)</f>
        <v>0.32</v>
      </c>
      <c r="N190" s="36" cm="1">
        <f t="array" ref="N190">Common_InputFunctions.Utility_DisplayArrayInTable(SourceData_PastureBeef.SourceData_PastureBeef_LiveweightGainNTQLD_Data(),Table_SourceData_PastureBeef_LiveweightGainNTQLD[[#Headers],[State]],0)</f>
        <v>0.24</v>
      </c>
      <c r="O190" s="36" cm="1">
        <f t="array" ref="O190">Common_InputFunctions.Utility_DisplayArrayInTable(SourceData_PastureBeef.SourceData_PastureBeef_LiveweightGainNTQLD_Data(),Table_SourceData_PastureBeef_LiveweightGainNTQLD[[#Headers],[State]],0)</f>
        <v>0.25</v>
      </c>
      <c r="P190" s="36"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6" t="str" cm="1">
        <f t="array" ref="E191">Common_InputFunctions.Utility_DisplayArrayInTable(SourceData_PastureBeef.SourceData_PastureBeef_LiveweightGainNTQLD_Data(),Table_SourceData_PastureBeef_LiveweightGainNTQLD[[#Headers],[State]],0)</f>
        <v>Alice Springs</v>
      </c>
      <c r="F191" s="36" t="str" cm="1">
        <f t="array" ref="F191">Common_InputFunctions.Utility_DisplayArrayInTable(SourceData_PastureBeef.SourceData_PastureBeef_LiveweightGainNTQLD_Data(),Table_SourceData_PastureBeef_LiveweightGainNTQLD[[#Headers],[State]],0)</f>
        <v>Summer</v>
      </c>
      <c r="G191" s="36" cm="1">
        <f t="array" ref="G191">Common_InputFunctions.Utility_DisplayArrayInTable(SourceData_PastureBeef.SourceData_PastureBeef_LiveweightGainNTQLD_Data(),Table_SourceData_PastureBeef_LiveweightGainNTQLD[[#Headers],[State]],0)</f>
        <v>0.66</v>
      </c>
      <c r="H191" s="36" cm="1">
        <f t="array" ref="H191">Common_InputFunctions.Utility_DisplayArrayInTable(SourceData_PastureBeef.SourceData_PastureBeef_LiveweightGainNTQLD_Data(),Table_SourceData_PastureBeef_LiveweightGainNTQLD[[#Headers],[State]],0)</f>
        <v>0.2</v>
      </c>
      <c r="I191" s="36" cm="1">
        <f t="array" ref="I191">Common_InputFunctions.Utility_DisplayArrayInTable(SourceData_PastureBeef.SourceData_PastureBeef_LiveweightGainNTQLD_Data(),Table_SourceData_PastureBeef_LiveweightGainNTQLD[[#Headers],[State]],0)</f>
        <v>0.62</v>
      </c>
      <c r="J191" s="36" cm="1">
        <f t="array" ref="J191">Common_InputFunctions.Utility_DisplayArrayInTable(SourceData_PastureBeef.SourceData_PastureBeef_LiveweightGainNTQLD_Data(),Table_SourceData_PastureBeef_LiveweightGainNTQLD[[#Headers],[State]],0)</f>
        <v>0.54</v>
      </c>
      <c r="K191" s="36" cm="1">
        <f t="array" ref="K191">Common_InputFunctions.Utility_DisplayArrayInTable(SourceData_PastureBeef.SourceData_PastureBeef_LiveweightGainNTQLD_Data(),Table_SourceData_PastureBeef_LiveweightGainNTQLD[[#Headers],[State]],0)</f>
        <v>0.38</v>
      </c>
      <c r="L191" s="36" cm="1">
        <f t="array" ref="L191">Common_InputFunctions.Utility_DisplayArrayInTable(SourceData_PastureBeef.SourceData_PastureBeef_LiveweightGainNTQLD_Data(),Table_SourceData_PastureBeef_LiveweightGainNTQLD[[#Headers],[State]],0)</f>
        <v>0.27</v>
      </c>
      <c r="M191" s="36" cm="1">
        <f t="array" ref="M191">Common_InputFunctions.Utility_DisplayArrayInTable(SourceData_PastureBeef.SourceData_PastureBeef_LiveweightGainNTQLD_Data(),Table_SourceData_PastureBeef_LiveweightGainNTQLD[[#Headers],[State]],0)</f>
        <v>0.75</v>
      </c>
      <c r="N191" s="36" cm="1">
        <f t="array" ref="N191">Common_InputFunctions.Utility_DisplayArrayInTable(SourceData_PastureBeef.SourceData_PastureBeef_LiveweightGainNTQLD_Data(),Table_SourceData_PastureBeef_LiveweightGainNTQLD[[#Headers],[State]],0)</f>
        <v>0.64</v>
      </c>
      <c r="O191" s="36" cm="1">
        <f t="array" ref="O191">Common_InputFunctions.Utility_DisplayArrayInTable(SourceData_PastureBeef.SourceData_PastureBeef_LiveweightGainNTQLD_Data(),Table_SourceData_PastureBeef_LiveweightGainNTQLD[[#Headers],[State]],0)</f>
        <v>0.55000000000000004</v>
      </c>
      <c r="P191" s="36"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6" t="str" cm="1">
        <f t="array" ref="E192">Common_InputFunctions.Utility_DisplayArrayInTable(SourceData_PastureBeef.SourceData_PastureBeef_LiveweightGainNTQLD_Data(),Table_SourceData_PastureBeef_LiveweightGainNTQLD[[#Headers],[State]],0)</f>
        <v>Alice Springs</v>
      </c>
      <c r="F192" s="36" t="str" cm="1">
        <f t="array" ref="F192">Common_InputFunctions.Utility_DisplayArrayInTable(SourceData_PastureBeef.SourceData_PastureBeef_LiveweightGainNTQLD_Data(),Table_SourceData_PastureBeef_LiveweightGainNTQLD[[#Headers],[State]],0)</f>
        <v>Autumn</v>
      </c>
      <c r="G192" s="36" cm="1">
        <f t="array" ref="G192">Common_InputFunctions.Utility_DisplayArrayInTable(SourceData_PastureBeef.SourceData_PastureBeef_LiveweightGainNTQLD_Data(),Table_SourceData_PastureBeef_LiveweightGainNTQLD[[#Headers],[State]],0)</f>
        <v>0.49</v>
      </c>
      <c r="H192" s="36" cm="1">
        <f t="array" ref="H192">Common_InputFunctions.Utility_DisplayArrayInTable(SourceData_PastureBeef.SourceData_PastureBeef_LiveweightGainNTQLD_Data(),Table_SourceData_PastureBeef_LiveweightGainNTQLD[[#Headers],[State]],0)</f>
        <v>0.13</v>
      </c>
      <c r="I192" s="36" cm="1">
        <f t="array" ref="I192">Common_InputFunctions.Utility_DisplayArrayInTable(SourceData_PastureBeef.SourceData_PastureBeef_LiveweightGainNTQLD_Data(),Table_SourceData_PastureBeef_LiveweightGainNTQLD[[#Headers],[State]],0)</f>
        <v>0.54</v>
      </c>
      <c r="J192" s="36" cm="1">
        <f t="array" ref="J192">Common_InputFunctions.Utility_DisplayArrayInTable(SourceData_PastureBeef.SourceData_PastureBeef_LiveweightGainNTQLD_Data(),Table_SourceData_PastureBeef_LiveweightGainNTQLD[[#Headers],[State]],0)</f>
        <v>0.45</v>
      </c>
      <c r="K192" s="36" cm="1">
        <f t="array" ref="K192">Common_InputFunctions.Utility_DisplayArrayInTable(SourceData_PastureBeef.SourceData_PastureBeef_LiveweightGainNTQLD_Data(),Table_SourceData_PastureBeef_LiveweightGainNTQLD[[#Headers],[State]],0)</f>
        <v>0.35</v>
      </c>
      <c r="L192" s="36" cm="1">
        <f t="array" ref="L192">Common_InputFunctions.Utility_DisplayArrayInTable(SourceData_PastureBeef.SourceData_PastureBeef_LiveweightGainNTQLD_Data(),Table_SourceData_PastureBeef_LiveweightGainNTQLD[[#Headers],[State]],0)</f>
        <v>0.15</v>
      </c>
      <c r="M192" s="36" cm="1">
        <f t="array" ref="M192">Common_InputFunctions.Utility_DisplayArrayInTable(SourceData_PastureBeef.SourceData_PastureBeef_LiveweightGainNTQLD_Data(),Table_SourceData_PastureBeef_LiveweightGainNTQLD[[#Headers],[State]],0)</f>
        <v>0.63</v>
      </c>
      <c r="N192" s="36" cm="1">
        <f t="array" ref="N192">Common_InputFunctions.Utility_DisplayArrayInTable(SourceData_PastureBeef.SourceData_PastureBeef_LiveweightGainNTQLD_Data(),Table_SourceData_PastureBeef_LiveweightGainNTQLD[[#Headers],[State]],0)</f>
        <v>0.54</v>
      </c>
      <c r="O192" s="36" cm="1">
        <f t="array" ref="O192">Common_InputFunctions.Utility_DisplayArrayInTable(SourceData_PastureBeef.SourceData_PastureBeef_LiveweightGainNTQLD_Data(),Table_SourceData_PastureBeef_LiveweightGainNTQLD[[#Headers],[State]],0)</f>
        <v>0.42</v>
      </c>
      <c r="P192" s="36"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6" t="str" cm="1">
        <f t="array" ref="E193">Common_InputFunctions.Utility_DisplayArrayInTable(SourceData_PastureBeef.SourceData_PastureBeef_LiveweightGainNTQLD_Data(),Table_SourceData_PastureBeef_LiveweightGainNTQLD[[#Headers],[State]],0)</f>
        <v>Alice Springs</v>
      </c>
      <c r="F193" s="36" t="str" cm="1">
        <f t="array" ref="F193">Common_InputFunctions.Utility_DisplayArrayInTable(SourceData_PastureBeef.SourceData_PastureBeef_LiveweightGainNTQLD_Data(),Table_SourceData_PastureBeef_LiveweightGainNTQLD[[#Headers],[State]],0)</f>
        <v>Winter</v>
      </c>
      <c r="G193" s="36" cm="1">
        <f t="array" ref="G193">Common_InputFunctions.Utility_DisplayArrayInTable(SourceData_PastureBeef.SourceData_PastureBeef_LiveweightGainNTQLD_Data(),Table_SourceData_PastureBeef_LiveweightGainNTQLD[[#Headers],[State]],0)</f>
        <v>0.27</v>
      </c>
      <c r="H193" s="36" cm="1">
        <f t="array" ref="H193">Common_InputFunctions.Utility_DisplayArrayInTable(SourceData_PastureBeef.SourceData_PastureBeef_LiveweightGainNTQLD_Data(),Table_SourceData_PastureBeef_LiveweightGainNTQLD[[#Headers],[State]],0)</f>
        <v>-0.8</v>
      </c>
      <c r="I193" s="36" cm="1">
        <f t="array" ref="I193">Common_InputFunctions.Utility_DisplayArrayInTable(SourceData_PastureBeef.SourceData_PastureBeef_LiveweightGainNTQLD_Data(),Table_SourceData_PastureBeef_LiveweightGainNTQLD[[#Headers],[State]],0)</f>
        <v>0.22</v>
      </c>
      <c r="J193" s="36" cm="1">
        <f t="array" ref="J193">Common_InputFunctions.Utility_DisplayArrayInTable(SourceData_PastureBeef.SourceData_PastureBeef_LiveweightGainNTQLD_Data(),Table_SourceData_PastureBeef_LiveweightGainNTQLD[[#Headers],[State]],0)</f>
        <v>0.09</v>
      </c>
      <c r="K193" s="36" cm="1">
        <f t="array" ref="K193">Common_InputFunctions.Utility_DisplayArrayInTable(SourceData_PastureBeef.SourceData_PastureBeef_LiveweightGainNTQLD_Data(),Table_SourceData_PastureBeef_LiveweightGainNTQLD[[#Headers],[State]],0)</f>
        <v>0.12</v>
      </c>
      <c r="L193" s="36" cm="1">
        <f t="array" ref="L193">Common_InputFunctions.Utility_DisplayArrayInTable(SourceData_PastureBeef.SourceData_PastureBeef_LiveweightGainNTQLD_Data(),Table_SourceData_PastureBeef_LiveweightGainNTQLD[[#Headers],[State]],0)</f>
        <v>0.02</v>
      </c>
      <c r="M193" s="36" cm="1">
        <f t="array" ref="M193">Common_InputFunctions.Utility_DisplayArrayInTable(SourceData_PastureBeef.SourceData_PastureBeef_LiveweightGainNTQLD_Data(),Table_SourceData_PastureBeef_LiveweightGainNTQLD[[#Headers],[State]],0)</f>
        <v>0.25</v>
      </c>
      <c r="N193" s="36" cm="1">
        <f t="array" ref="N193">Common_InputFunctions.Utility_DisplayArrayInTable(SourceData_PastureBeef.SourceData_PastureBeef_LiveweightGainNTQLD_Data(),Table_SourceData_PastureBeef_LiveweightGainNTQLD[[#Headers],[State]],0)</f>
        <v>0.18</v>
      </c>
      <c r="O193" s="36" cm="1">
        <f t="array" ref="O193">Common_InputFunctions.Utility_DisplayArrayInTable(SourceData_PastureBeef.SourceData_PastureBeef_LiveweightGainNTQLD_Data(),Table_SourceData_PastureBeef_LiveweightGainNTQLD[[#Headers],[State]],0)</f>
        <v>0.12</v>
      </c>
      <c r="P193" s="36"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6" t="str" cm="1">
        <f t="array" ref="E194">Common_InputFunctions.Utility_DisplayArrayInTable(SourceData_PastureBeef.SourceData_PastureBeef_LiveweightGainNTQLD_Data(),Table_SourceData_PastureBeef_LiveweightGainNTQLD[[#Headers],[State]],0)</f>
        <v>Barkly</v>
      </c>
      <c r="F194" s="36" t="str" cm="1">
        <f t="array" ref="F194">Common_InputFunctions.Utility_DisplayArrayInTable(SourceData_PastureBeef.SourceData_PastureBeef_LiveweightGainNTQLD_Data(),Table_SourceData_PastureBeef_LiveweightGainNTQLD[[#Headers],[State]],0)</f>
        <v>Spring</v>
      </c>
      <c r="G194" s="36" cm="1">
        <f t="array" ref="G194">Common_InputFunctions.Utility_DisplayArrayInTable(SourceData_PastureBeef.SourceData_PastureBeef_LiveweightGainNTQLD_Data(),Table_SourceData_PastureBeef_LiveweightGainNTQLD[[#Headers],[State]],0)</f>
        <v>0.22</v>
      </c>
      <c r="H194" s="36" cm="1">
        <f t="array" ref="H194">Common_InputFunctions.Utility_DisplayArrayInTable(SourceData_PastureBeef.SourceData_PastureBeef_LiveweightGainNTQLD_Data(),Table_SourceData_PastureBeef_LiveweightGainNTQLD[[#Headers],[State]],0)</f>
        <v>-0.44</v>
      </c>
      <c r="I194" s="36" cm="1">
        <f t="array" ref="I194">Common_InputFunctions.Utility_DisplayArrayInTable(SourceData_PastureBeef.SourceData_PastureBeef_LiveweightGainNTQLD_Data(),Table_SourceData_PastureBeef_LiveweightGainNTQLD[[#Headers],[State]],0)</f>
        <v>0.2</v>
      </c>
      <c r="J194" s="36" cm="1">
        <f t="array" ref="J194">Common_InputFunctions.Utility_DisplayArrayInTable(SourceData_PastureBeef.SourceData_PastureBeef_LiveweightGainNTQLD_Data(),Table_SourceData_PastureBeef_LiveweightGainNTQLD[[#Headers],[State]],0)</f>
        <v>0.21</v>
      </c>
      <c r="K194" s="36" cm="1">
        <f t="array" ref="K194">Common_InputFunctions.Utility_DisplayArrayInTable(SourceData_PastureBeef.SourceData_PastureBeef_LiveweightGainNTQLD_Data(),Table_SourceData_PastureBeef_LiveweightGainNTQLD[[#Headers],[State]],0)</f>
        <v>0.18</v>
      </c>
      <c r="L194" s="36" cm="1">
        <f t="array" ref="L194">Common_InputFunctions.Utility_DisplayArrayInTable(SourceData_PastureBeef.SourceData_PastureBeef_LiveweightGainNTQLD_Data(),Table_SourceData_PastureBeef_LiveweightGainNTQLD[[#Headers],[State]],0)</f>
        <v>0.01</v>
      </c>
      <c r="M194" s="36" cm="1">
        <f t="array" ref="M194">Common_InputFunctions.Utility_DisplayArrayInTable(SourceData_PastureBeef.SourceData_PastureBeef_LiveweightGainNTQLD_Data(),Table_SourceData_PastureBeef_LiveweightGainNTQLD[[#Headers],[State]],0)</f>
        <v>0.12</v>
      </c>
      <c r="N194" s="36" cm="1">
        <f t="array" ref="N194">Common_InputFunctions.Utility_DisplayArrayInTable(SourceData_PastureBeef.SourceData_PastureBeef_LiveweightGainNTQLD_Data(),Table_SourceData_PastureBeef_LiveweightGainNTQLD[[#Headers],[State]],0)</f>
        <v>0.09</v>
      </c>
      <c r="O194" s="36" t="str" cm="1">
        <f t="array" ref="O194">Common_InputFunctions.Utility_DisplayArrayInTable(SourceData_PastureBeef.SourceData_PastureBeef_LiveweightGainNTQLD_Data(),Table_SourceData_PastureBeef_LiveweightGainNTQLD[[#Headers],[State]],0)</f>
        <v>NO</v>
      </c>
      <c r="P194" s="36"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6" t="str" cm="1">
        <f t="array" ref="E195">Common_InputFunctions.Utility_DisplayArrayInTable(SourceData_PastureBeef.SourceData_PastureBeef_LiveweightGainNTQLD_Data(),Table_SourceData_PastureBeef_LiveweightGainNTQLD[[#Headers],[State]],0)</f>
        <v>Barkly</v>
      </c>
      <c r="F195" s="36" t="str" cm="1">
        <f t="array" ref="F195">Common_InputFunctions.Utility_DisplayArrayInTable(SourceData_PastureBeef.SourceData_PastureBeef_LiveweightGainNTQLD_Data(),Table_SourceData_PastureBeef_LiveweightGainNTQLD[[#Headers],[State]],0)</f>
        <v>Summer</v>
      </c>
      <c r="G195" s="36" cm="1">
        <f t="array" ref="G195">Common_InputFunctions.Utility_DisplayArrayInTable(SourceData_PastureBeef.SourceData_PastureBeef_LiveweightGainNTQLD_Data(),Table_SourceData_PastureBeef_LiveweightGainNTQLD[[#Headers],[State]],0)</f>
        <v>0.66</v>
      </c>
      <c r="H195" s="36" cm="1">
        <f t="array" ref="H195">Common_InputFunctions.Utility_DisplayArrayInTable(SourceData_PastureBeef.SourceData_PastureBeef_LiveweightGainNTQLD_Data(),Table_SourceData_PastureBeef_LiveweightGainNTQLD[[#Headers],[State]],0)</f>
        <v>0.22</v>
      </c>
      <c r="I195" s="36" cm="1">
        <f t="array" ref="I195">Common_InputFunctions.Utility_DisplayArrayInTable(SourceData_PastureBeef.SourceData_PastureBeef_LiveweightGainNTQLD_Data(),Table_SourceData_PastureBeef_LiveweightGainNTQLD[[#Headers],[State]],0)</f>
        <v>0.68</v>
      </c>
      <c r="J195" s="36" cm="1">
        <f t="array" ref="J195">Common_InputFunctions.Utility_DisplayArrayInTable(SourceData_PastureBeef.SourceData_PastureBeef_LiveweightGainNTQLD_Data(),Table_SourceData_PastureBeef_LiveweightGainNTQLD[[#Headers],[State]],0)</f>
        <v>0.22</v>
      </c>
      <c r="K195" s="36" cm="1">
        <f t="array" ref="K195">Common_InputFunctions.Utility_DisplayArrayInTable(SourceData_PastureBeef.SourceData_PastureBeef_LiveweightGainNTQLD_Data(),Table_SourceData_PastureBeef_LiveweightGainNTQLD[[#Headers],[State]],0)</f>
        <v>0.24</v>
      </c>
      <c r="L195" s="36" cm="1">
        <f t="array" ref="L195">Common_InputFunctions.Utility_DisplayArrayInTable(SourceData_PastureBeef.SourceData_PastureBeef_LiveweightGainNTQLD_Data(),Table_SourceData_PastureBeef_LiveweightGainNTQLD[[#Headers],[State]],0)</f>
        <v>0.25</v>
      </c>
      <c r="M195" s="36" cm="1">
        <f t="array" ref="M195">Common_InputFunctions.Utility_DisplayArrayInTable(SourceData_PastureBeef.SourceData_PastureBeef_LiveweightGainNTQLD_Data(),Table_SourceData_PastureBeef_LiveweightGainNTQLD[[#Headers],[State]],0)</f>
        <v>0.64</v>
      </c>
      <c r="N195" s="36" cm="1">
        <f t="array" ref="N195">Common_InputFunctions.Utility_DisplayArrayInTable(SourceData_PastureBeef.SourceData_PastureBeef_LiveweightGainNTQLD_Data(),Table_SourceData_PastureBeef_LiveweightGainNTQLD[[#Headers],[State]],0)</f>
        <v>0.37</v>
      </c>
      <c r="O195" s="36" t="str" cm="1">
        <f t="array" ref="O195">Common_InputFunctions.Utility_DisplayArrayInTable(SourceData_PastureBeef.SourceData_PastureBeef_LiveweightGainNTQLD_Data(),Table_SourceData_PastureBeef_LiveweightGainNTQLD[[#Headers],[State]],0)</f>
        <v>NO</v>
      </c>
      <c r="P195" s="36"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6" t="str" cm="1">
        <f t="array" ref="E196">Common_InputFunctions.Utility_DisplayArrayInTable(SourceData_PastureBeef.SourceData_PastureBeef_LiveweightGainNTQLD_Data(),Table_SourceData_PastureBeef_LiveweightGainNTQLD[[#Headers],[State]],0)</f>
        <v>Barkly</v>
      </c>
      <c r="F196" s="36" t="str" cm="1">
        <f t="array" ref="F196">Common_InputFunctions.Utility_DisplayArrayInTable(SourceData_PastureBeef.SourceData_PastureBeef_LiveweightGainNTQLD_Data(),Table_SourceData_PastureBeef_LiveweightGainNTQLD[[#Headers],[State]],0)</f>
        <v>Autumn</v>
      </c>
      <c r="G196" s="36" cm="1">
        <f t="array" ref="G196">Common_InputFunctions.Utility_DisplayArrayInTable(SourceData_PastureBeef.SourceData_PastureBeef_LiveweightGainNTQLD_Data(),Table_SourceData_PastureBeef_LiveweightGainNTQLD[[#Headers],[State]],0)</f>
        <v>0.49</v>
      </c>
      <c r="H196" s="36" cm="1">
        <f t="array" ref="H196">Common_InputFunctions.Utility_DisplayArrayInTable(SourceData_PastureBeef.SourceData_PastureBeef_LiveweightGainNTQLD_Data(),Table_SourceData_PastureBeef_LiveweightGainNTQLD[[#Headers],[State]],0)</f>
        <v>0.05</v>
      </c>
      <c r="I196" s="36" cm="1">
        <f t="array" ref="I196">Common_InputFunctions.Utility_DisplayArrayInTable(SourceData_PastureBeef.SourceData_PastureBeef_LiveweightGainNTQLD_Data(),Table_SourceData_PastureBeef_LiveweightGainNTQLD[[#Headers],[State]],0)</f>
        <v>0.64</v>
      </c>
      <c r="J196" s="36" cm="1">
        <f t="array" ref="J196">Common_InputFunctions.Utility_DisplayArrayInTable(SourceData_PastureBeef.SourceData_PastureBeef_LiveweightGainNTQLD_Data(),Table_SourceData_PastureBeef_LiveweightGainNTQLD[[#Headers],[State]],0)</f>
        <v>0.25</v>
      </c>
      <c r="K196" s="36" cm="1">
        <f t="array" ref="K196">Common_InputFunctions.Utility_DisplayArrayInTable(SourceData_PastureBeef.SourceData_PastureBeef_LiveweightGainNTQLD_Data(),Table_SourceData_PastureBeef_LiveweightGainNTQLD[[#Headers],[State]],0)</f>
        <v>0.28999999999999998</v>
      </c>
      <c r="L196" s="36" cm="1">
        <f t="array" ref="L196">Common_InputFunctions.Utility_DisplayArrayInTable(SourceData_PastureBeef.SourceData_PastureBeef_LiveweightGainNTQLD_Data(),Table_SourceData_PastureBeef_LiveweightGainNTQLD[[#Headers],[State]],0)</f>
        <v>0.12</v>
      </c>
      <c r="M196" s="36" cm="1">
        <f t="array" ref="M196">Common_InputFunctions.Utility_DisplayArrayInTable(SourceData_PastureBeef.SourceData_PastureBeef_LiveweightGainNTQLD_Data(),Table_SourceData_PastureBeef_LiveweightGainNTQLD[[#Headers],[State]],0)</f>
        <v>0.56999999999999995</v>
      </c>
      <c r="N196" s="36" cm="1">
        <f t="array" ref="N196">Common_InputFunctions.Utility_DisplayArrayInTable(SourceData_PastureBeef.SourceData_PastureBeef_LiveweightGainNTQLD_Data(),Table_SourceData_PastureBeef_LiveweightGainNTQLD[[#Headers],[State]],0)</f>
        <v>0.49</v>
      </c>
      <c r="O196" s="36" t="str" cm="1">
        <f t="array" ref="O196">Common_InputFunctions.Utility_DisplayArrayInTable(SourceData_PastureBeef.SourceData_PastureBeef_LiveweightGainNTQLD_Data(),Table_SourceData_PastureBeef_LiveweightGainNTQLD[[#Headers],[State]],0)</f>
        <v>NO</v>
      </c>
      <c r="P196" s="36"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6" t="str" cm="1">
        <f t="array" ref="E197">Common_InputFunctions.Utility_DisplayArrayInTable(SourceData_PastureBeef.SourceData_PastureBeef_LiveweightGainNTQLD_Data(),Table_SourceData_PastureBeef_LiveweightGainNTQLD[[#Headers],[State]],0)</f>
        <v>Barkly</v>
      </c>
      <c r="F197" s="36" t="str" cm="1">
        <f t="array" ref="F197">Common_InputFunctions.Utility_DisplayArrayInTable(SourceData_PastureBeef.SourceData_PastureBeef_LiveweightGainNTQLD_Data(),Table_SourceData_PastureBeef_LiveweightGainNTQLD[[#Headers],[State]],0)</f>
        <v>Winter</v>
      </c>
      <c r="G197" s="36" cm="1">
        <f t="array" ref="G197">Common_InputFunctions.Utility_DisplayArrayInTable(SourceData_PastureBeef.SourceData_PastureBeef_LiveweightGainNTQLD_Data(),Table_SourceData_PastureBeef_LiveweightGainNTQLD[[#Headers],[State]],0)</f>
        <v>0.27</v>
      </c>
      <c r="H197" s="36" cm="1">
        <f t="array" ref="H197">Common_InputFunctions.Utility_DisplayArrayInTable(SourceData_PastureBeef.SourceData_PastureBeef_LiveweightGainNTQLD_Data(),Table_SourceData_PastureBeef_LiveweightGainNTQLD[[#Headers],[State]],0)</f>
        <v>-0.27</v>
      </c>
      <c r="I197" s="36" cm="1">
        <f t="array" ref="I197">Common_InputFunctions.Utility_DisplayArrayInTable(SourceData_PastureBeef.SourceData_PastureBeef_LiveweightGainNTQLD_Data(),Table_SourceData_PastureBeef_LiveweightGainNTQLD[[#Headers],[State]],0)</f>
        <v>0.31</v>
      </c>
      <c r="J197" s="36" cm="1">
        <f t="array" ref="J197">Common_InputFunctions.Utility_DisplayArrayInTable(SourceData_PastureBeef.SourceData_PastureBeef_LiveweightGainNTQLD_Data(),Table_SourceData_PastureBeef_LiveweightGainNTQLD[[#Headers],[State]],0)</f>
        <v>0.28999999999999998</v>
      </c>
      <c r="K197" s="36" cm="1">
        <f t="array" ref="K197">Common_InputFunctions.Utility_DisplayArrayInTable(SourceData_PastureBeef.SourceData_PastureBeef_LiveweightGainNTQLD_Data(),Table_SourceData_PastureBeef_LiveweightGainNTQLD[[#Headers],[State]],0)</f>
        <v>0.19</v>
      </c>
      <c r="L197" s="36" cm="1">
        <f t="array" ref="L197">Common_InputFunctions.Utility_DisplayArrayInTable(SourceData_PastureBeef.SourceData_PastureBeef_LiveweightGainNTQLD_Data(),Table_SourceData_PastureBeef_LiveweightGainNTQLD[[#Headers],[State]],0)</f>
        <v>0.04</v>
      </c>
      <c r="M197" s="36" cm="1">
        <f t="array" ref="M197">Common_InputFunctions.Utility_DisplayArrayInTable(SourceData_PastureBeef.SourceData_PastureBeef_LiveweightGainNTQLD_Data(),Table_SourceData_PastureBeef_LiveweightGainNTQLD[[#Headers],[State]],0)</f>
        <v>0.26</v>
      </c>
      <c r="N197" s="36" cm="1">
        <f t="array" ref="N197">Common_InputFunctions.Utility_DisplayArrayInTable(SourceData_PastureBeef.SourceData_PastureBeef_LiveweightGainNTQLD_Data(),Table_SourceData_PastureBeef_LiveweightGainNTQLD[[#Headers],[State]],0)</f>
        <v>0.28000000000000003</v>
      </c>
      <c r="O197" s="36" t="str" cm="1">
        <f t="array" ref="O197">Common_InputFunctions.Utility_DisplayArrayInTable(SourceData_PastureBeef.SourceData_PastureBeef_LiveweightGainNTQLD_Data(),Table_SourceData_PastureBeef_LiveweightGainNTQLD[[#Headers],[State]],0)</f>
        <v>NO</v>
      </c>
      <c r="P197" s="36"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6" t="str" cm="1">
        <f t="array" ref="E198">Common_InputFunctions.Utility_DisplayArrayInTable(SourceData_PastureBeef.SourceData_PastureBeef_LiveweightGainNTQLD_Data(),Table_SourceData_PastureBeef_LiveweightGainNTQLD[[#Headers],[State]],0)</f>
        <v>Northern</v>
      </c>
      <c r="F198" s="36" t="str" cm="1">
        <f t="array" ref="F198">Common_InputFunctions.Utility_DisplayArrayInTable(SourceData_PastureBeef.SourceData_PastureBeef_LiveweightGainNTQLD_Data(),Table_SourceData_PastureBeef_LiveweightGainNTQLD[[#Headers],[State]],0)</f>
        <v>Spring</v>
      </c>
      <c r="G198" s="36" cm="1">
        <f t="array" ref="G198">Common_InputFunctions.Utility_DisplayArrayInTable(SourceData_PastureBeef.SourceData_PastureBeef_LiveweightGainNTQLD_Data(),Table_SourceData_PastureBeef_LiveweightGainNTQLD[[#Headers],[State]],0)</f>
        <v>0.22</v>
      </c>
      <c r="H198" s="36" cm="1">
        <f t="array" ref="H198">Common_InputFunctions.Utility_DisplayArrayInTable(SourceData_PastureBeef.SourceData_PastureBeef_LiveweightGainNTQLD_Data(),Table_SourceData_PastureBeef_LiveweightGainNTQLD[[#Headers],[State]],0)</f>
        <v>-0.44</v>
      </c>
      <c r="I198" s="36" cm="1">
        <f t="array" ref="I198">Common_InputFunctions.Utility_DisplayArrayInTable(SourceData_PastureBeef.SourceData_PastureBeef_LiveweightGainNTQLD_Data(),Table_SourceData_PastureBeef_LiveweightGainNTQLD[[#Headers],[State]],0)</f>
        <v>0</v>
      </c>
      <c r="J198" s="36" cm="1">
        <f t="array" ref="J198">Common_InputFunctions.Utility_DisplayArrayInTable(SourceData_PastureBeef.SourceData_PastureBeef_LiveweightGainNTQLD_Data(),Table_SourceData_PastureBeef_LiveweightGainNTQLD[[#Headers],[State]],0)</f>
        <v>0.15</v>
      </c>
      <c r="K198" s="36" cm="1">
        <f t="array" ref="K198">Common_InputFunctions.Utility_DisplayArrayInTable(SourceData_PastureBeef.SourceData_PastureBeef_LiveweightGainNTQLD_Data(),Table_SourceData_PastureBeef_LiveweightGainNTQLD[[#Headers],[State]],0)</f>
        <v>0.08</v>
      </c>
      <c r="L198" s="36" cm="1">
        <f t="array" ref="L198">Common_InputFunctions.Utility_DisplayArrayInTable(SourceData_PastureBeef.SourceData_PastureBeef_LiveweightGainNTQLD_Data(),Table_SourceData_PastureBeef_LiveweightGainNTQLD[[#Headers],[State]],0)</f>
        <v>0.17</v>
      </c>
      <c r="M198" s="36" cm="1">
        <f t="array" ref="M198">Common_InputFunctions.Utility_DisplayArrayInTable(SourceData_PastureBeef.SourceData_PastureBeef_LiveweightGainNTQLD_Data(),Table_SourceData_PastureBeef_LiveweightGainNTQLD[[#Headers],[State]],0)</f>
        <v>0.06</v>
      </c>
      <c r="N198" s="36" cm="1">
        <f t="array" ref="N198">Common_InputFunctions.Utility_DisplayArrayInTable(SourceData_PastureBeef.SourceData_PastureBeef_LiveweightGainNTQLD_Data(),Table_SourceData_PastureBeef_LiveweightGainNTQLD[[#Headers],[State]],0)</f>
        <v>0.02</v>
      </c>
      <c r="O198" s="36" cm="1">
        <f t="array" ref="O198">Common_InputFunctions.Utility_DisplayArrayInTable(SourceData_PastureBeef.SourceData_PastureBeef_LiveweightGainNTQLD_Data(),Table_SourceData_PastureBeef_LiveweightGainNTQLD[[#Headers],[State]],0)</f>
        <v>-0.14000000000000001</v>
      </c>
      <c r="P198" s="36"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6" t="str" cm="1">
        <f t="array" ref="E199">Common_InputFunctions.Utility_DisplayArrayInTable(SourceData_PastureBeef.SourceData_PastureBeef_LiveweightGainNTQLD_Data(),Table_SourceData_PastureBeef_LiveweightGainNTQLD[[#Headers],[State]],0)</f>
        <v>Northern</v>
      </c>
      <c r="F199" s="36" t="str" cm="1">
        <f t="array" ref="F199">Common_InputFunctions.Utility_DisplayArrayInTable(SourceData_PastureBeef.SourceData_PastureBeef_LiveweightGainNTQLD_Data(),Table_SourceData_PastureBeef_LiveweightGainNTQLD[[#Headers],[State]],0)</f>
        <v>Summer</v>
      </c>
      <c r="G199" s="36" cm="1">
        <f t="array" ref="G199">Common_InputFunctions.Utility_DisplayArrayInTable(SourceData_PastureBeef.SourceData_PastureBeef_LiveweightGainNTQLD_Data(),Table_SourceData_PastureBeef_LiveweightGainNTQLD[[#Headers],[State]],0)</f>
        <v>0.66</v>
      </c>
      <c r="H199" s="36" cm="1">
        <f t="array" ref="H199">Common_InputFunctions.Utility_DisplayArrayInTable(SourceData_PastureBeef.SourceData_PastureBeef_LiveweightGainNTQLD_Data(),Table_SourceData_PastureBeef_LiveweightGainNTQLD[[#Headers],[State]],0)</f>
        <v>0.22</v>
      </c>
      <c r="I199" s="36" cm="1">
        <f t="array" ref="I199">Common_InputFunctions.Utility_DisplayArrayInTable(SourceData_PastureBeef.SourceData_PastureBeef_LiveweightGainNTQLD_Data(),Table_SourceData_PastureBeef_LiveweightGainNTQLD[[#Headers],[State]],0)</f>
        <v>0.79</v>
      </c>
      <c r="J199" s="36" cm="1">
        <f t="array" ref="J199">Common_InputFunctions.Utility_DisplayArrayInTable(SourceData_PastureBeef.SourceData_PastureBeef_LiveweightGainNTQLD_Data(),Table_SourceData_PastureBeef_LiveweightGainNTQLD[[#Headers],[State]],0)</f>
        <v>0.4</v>
      </c>
      <c r="K199" s="36" cm="1">
        <f t="array" ref="K199">Common_InputFunctions.Utility_DisplayArrayInTable(SourceData_PastureBeef.SourceData_PastureBeef_LiveweightGainNTQLD_Data(),Table_SourceData_PastureBeef_LiveweightGainNTQLD[[#Headers],[State]],0)</f>
        <v>0.38</v>
      </c>
      <c r="L199" s="36" cm="1">
        <f t="array" ref="L199">Common_InputFunctions.Utility_DisplayArrayInTable(SourceData_PastureBeef.SourceData_PastureBeef_LiveweightGainNTQLD_Data(),Table_SourceData_PastureBeef_LiveweightGainNTQLD[[#Headers],[State]],0)</f>
        <v>0.27</v>
      </c>
      <c r="M199" s="36" cm="1">
        <f t="array" ref="M199">Common_InputFunctions.Utility_DisplayArrayInTable(SourceData_PastureBeef.SourceData_PastureBeef_LiveweightGainNTQLD_Data(),Table_SourceData_PastureBeef_LiveweightGainNTQLD[[#Headers],[State]],0)</f>
        <v>0.8</v>
      </c>
      <c r="N199" s="36" cm="1">
        <f t="array" ref="N199">Common_InputFunctions.Utility_DisplayArrayInTable(SourceData_PastureBeef.SourceData_PastureBeef_LiveweightGainNTQLD_Data(),Table_SourceData_PastureBeef_LiveweightGainNTQLD[[#Headers],[State]],0)</f>
        <v>0.16</v>
      </c>
      <c r="O199" s="36" cm="1">
        <f t="array" ref="O199">Common_InputFunctions.Utility_DisplayArrayInTable(SourceData_PastureBeef.SourceData_PastureBeef_LiveweightGainNTQLD_Data(),Table_SourceData_PastureBeef_LiveweightGainNTQLD[[#Headers],[State]],0)</f>
        <v>0.3</v>
      </c>
      <c r="P199" s="36"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6" t="str" cm="1">
        <f t="array" ref="E200">Common_InputFunctions.Utility_DisplayArrayInTable(SourceData_PastureBeef.SourceData_PastureBeef_LiveweightGainNTQLD_Data(),Table_SourceData_PastureBeef_LiveweightGainNTQLD[[#Headers],[State]],0)</f>
        <v>Northern</v>
      </c>
      <c r="F200" s="36" t="str" cm="1">
        <f t="array" ref="F200">Common_InputFunctions.Utility_DisplayArrayInTable(SourceData_PastureBeef.SourceData_PastureBeef_LiveweightGainNTQLD_Data(),Table_SourceData_PastureBeef_LiveweightGainNTQLD[[#Headers],[State]],0)</f>
        <v>Autumn</v>
      </c>
      <c r="G200" s="36" cm="1">
        <f t="array" ref="G200">Common_InputFunctions.Utility_DisplayArrayInTable(SourceData_PastureBeef.SourceData_PastureBeef_LiveweightGainNTQLD_Data(),Table_SourceData_PastureBeef_LiveweightGainNTQLD[[#Headers],[State]],0)</f>
        <v>0.49</v>
      </c>
      <c r="H200" s="36" cm="1">
        <f t="array" ref="H200">Common_InputFunctions.Utility_DisplayArrayInTable(SourceData_PastureBeef.SourceData_PastureBeef_LiveweightGainNTQLD_Data(),Table_SourceData_PastureBeef_LiveweightGainNTQLD[[#Headers],[State]],0)</f>
        <v>0.05</v>
      </c>
      <c r="I200" s="36" cm="1">
        <f t="array" ref="I200">Common_InputFunctions.Utility_DisplayArrayInTable(SourceData_PastureBeef.SourceData_PastureBeef_LiveweightGainNTQLD_Data(),Table_SourceData_PastureBeef_LiveweightGainNTQLD[[#Headers],[State]],0)</f>
        <v>0.55000000000000004</v>
      </c>
      <c r="J200" s="36" cm="1">
        <f t="array" ref="J200">Common_InputFunctions.Utility_DisplayArrayInTable(SourceData_PastureBeef.SourceData_PastureBeef_LiveweightGainNTQLD_Data(),Table_SourceData_PastureBeef_LiveweightGainNTQLD[[#Headers],[State]],0)</f>
        <v>0.38</v>
      </c>
      <c r="K200" s="36" cm="1">
        <f t="array" ref="K200">Common_InputFunctions.Utility_DisplayArrayInTable(SourceData_PastureBeef.SourceData_PastureBeef_LiveweightGainNTQLD_Data(),Table_SourceData_PastureBeef_LiveweightGainNTQLD[[#Headers],[State]],0)</f>
        <v>0.36</v>
      </c>
      <c r="L200" s="36" cm="1">
        <f t="array" ref="L200">Common_InputFunctions.Utility_DisplayArrayInTable(SourceData_PastureBeef.SourceData_PastureBeef_LiveweightGainNTQLD_Data(),Table_SourceData_PastureBeef_LiveweightGainNTQLD[[#Headers],[State]],0)</f>
        <v>0.06</v>
      </c>
      <c r="M200" s="36" cm="1">
        <f t="array" ref="M200">Common_InputFunctions.Utility_DisplayArrayInTable(SourceData_PastureBeef.SourceData_PastureBeef_LiveweightGainNTQLD_Data(),Table_SourceData_PastureBeef_LiveweightGainNTQLD[[#Headers],[State]],0)</f>
        <v>0.57999999999999996</v>
      </c>
      <c r="N200" s="36" cm="1">
        <f t="array" ref="N200">Common_InputFunctions.Utility_DisplayArrayInTable(SourceData_PastureBeef.SourceData_PastureBeef_LiveweightGainNTQLD_Data(),Table_SourceData_PastureBeef_LiveweightGainNTQLD[[#Headers],[State]],0)</f>
        <v>0.23</v>
      </c>
      <c r="O200" s="36" cm="1">
        <f t="array" ref="O200">Common_InputFunctions.Utility_DisplayArrayInTable(SourceData_PastureBeef.SourceData_PastureBeef_LiveweightGainNTQLD_Data(),Table_SourceData_PastureBeef_LiveweightGainNTQLD[[#Headers],[State]],0)</f>
        <v>0.4</v>
      </c>
      <c r="P200" s="36"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6" t="str" cm="1">
        <f t="array" ref="E201">Common_InputFunctions.Utility_DisplayArrayInTable(SourceData_PastureBeef.SourceData_PastureBeef_LiveweightGainNTQLD_Data(),Table_SourceData_PastureBeef_LiveweightGainNTQLD[[#Headers],[State]],0)</f>
        <v>Northern</v>
      </c>
      <c r="F201" s="36" t="str" cm="1">
        <f t="array" ref="F201">Common_InputFunctions.Utility_DisplayArrayInTable(SourceData_PastureBeef.SourceData_PastureBeef_LiveweightGainNTQLD_Data(),Table_SourceData_PastureBeef_LiveweightGainNTQLD[[#Headers],[State]],0)</f>
        <v>Winter</v>
      </c>
      <c r="G201" s="36" cm="1">
        <f t="array" ref="G201">Common_InputFunctions.Utility_DisplayArrayInTable(SourceData_PastureBeef.SourceData_PastureBeef_LiveweightGainNTQLD_Data(),Table_SourceData_PastureBeef_LiveweightGainNTQLD[[#Headers],[State]],0)</f>
        <v>0.27</v>
      </c>
      <c r="H201" s="36" cm="1">
        <f t="array" ref="H201">Common_InputFunctions.Utility_DisplayArrayInTable(SourceData_PastureBeef.SourceData_PastureBeef_LiveweightGainNTQLD_Data(),Table_SourceData_PastureBeef_LiveweightGainNTQLD[[#Headers],[State]],0)</f>
        <v>-0.27</v>
      </c>
      <c r="I201" s="36" cm="1">
        <f t="array" ref="I201">Common_InputFunctions.Utility_DisplayArrayInTable(SourceData_PastureBeef.SourceData_PastureBeef_LiveweightGainNTQLD_Data(),Table_SourceData_PastureBeef_LiveweightGainNTQLD[[#Headers],[State]],0)</f>
        <v>0.02</v>
      </c>
      <c r="J201" s="36" cm="1">
        <f t="array" ref="J201">Common_InputFunctions.Utility_DisplayArrayInTable(SourceData_PastureBeef.SourceData_PastureBeef_LiveweightGainNTQLD_Data(),Table_SourceData_PastureBeef_LiveweightGainNTQLD[[#Headers],[State]],0)</f>
        <v>0.09</v>
      </c>
      <c r="K201" s="36" cm="1">
        <f t="array" ref="K201">Common_InputFunctions.Utility_DisplayArrayInTable(SourceData_PastureBeef.SourceData_PastureBeef_LiveweightGainNTQLD_Data(),Table_SourceData_PastureBeef_LiveweightGainNTQLD[[#Headers],[State]],0)</f>
        <v>0.16</v>
      </c>
      <c r="L201" s="36" cm="1">
        <f t="array" ref="L201">Common_InputFunctions.Utility_DisplayArrayInTable(SourceData_PastureBeef.SourceData_PastureBeef_LiveweightGainNTQLD_Data(),Table_SourceData_PastureBeef_LiveweightGainNTQLD[[#Headers],[State]],0)</f>
        <v>-0.04</v>
      </c>
      <c r="M201" s="36" cm="1">
        <f t="array" ref="M201">Common_InputFunctions.Utility_DisplayArrayInTable(SourceData_PastureBeef.SourceData_PastureBeef_LiveweightGainNTQLD_Data(),Table_SourceData_PastureBeef_LiveweightGainNTQLD[[#Headers],[State]],0)</f>
        <v>0.21</v>
      </c>
      <c r="N201" s="36" cm="1">
        <f t="array" ref="N201">Common_InputFunctions.Utility_DisplayArrayInTable(SourceData_PastureBeef.SourceData_PastureBeef_LiveweightGainNTQLD_Data(),Table_SourceData_PastureBeef_LiveweightGainNTQLD[[#Headers],[State]],0)</f>
        <v>0.03</v>
      </c>
      <c r="O201" s="36" cm="1">
        <f t="array" ref="O201">Common_InputFunctions.Utility_DisplayArrayInTable(SourceData_PastureBeef.SourceData_PastureBeef_LiveweightGainNTQLD_Data(),Table_SourceData_PastureBeef_LiveweightGainNTQLD[[#Headers],[State]],0)</f>
        <v>0.11</v>
      </c>
      <c r="P201" s="36"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6" t="str" cm="1">
        <f t="array" ref="E202">Common_InputFunctions.Utility_DisplayArrayInTable(SourceData_PastureBeef.SourceData_PastureBeef_LiveweightGainNTQLD_Data(),Table_SourceData_PastureBeef_LiveweightGainNTQLD[[#Headers],[State]],0)</f>
        <v>High</v>
      </c>
      <c r="F202" s="36" t="str" cm="1">
        <f t="array" ref="F202">Common_InputFunctions.Utility_DisplayArrayInTable(SourceData_PastureBeef.SourceData_PastureBeef_LiveweightGainNTQLD_Data(),Table_SourceData_PastureBeef_LiveweightGainNTQLD[[#Headers],[State]],0)</f>
        <v>Spring</v>
      </c>
      <c r="G202" s="36" cm="1">
        <f t="array" ref="G202">Common_InputFunctions.Utility_DisplayArrayInTable(SourceData_PastureBeef.SourceData_PastureBeef_LiveweightGainNTQLD_Data(),Table_SourceData_PastureBeef_LiveweightGainNTQLD[[#Headers],[State]],0)</f>
        <v>0.27</v>
      </c>
      <c r="H202" s="36" cm="1">
        <f t="array" ref="H202">Common_InputFunctions.Utility_DisplayArrayInTable(SourceData_PastureBeef.SourceData_PastureBeef_LiveweightGainNTQLD_Data(),Table_SourceData_PastureBeef_LiveweightGainNTQLD[[#Headers],[State]],0)</f>
        <v>-0.19</v>
      </c>
      <c r="I202" s="36" cm="1">
        <f t="array" ref="I202">Common_InputFunctions.Utility_DisplayArrayInTable(SourceData_PastureBeef.SourceData_PastureBeef_LiveweightGainNTQLD_Data(),Table_SourceData_PastureBeef_LiveweightGainNTQLD[[#Headers],[State]],0)</f>
        <v>0.38</v>
      </c>
      <c r="J202" s="36" cm="1">
        <f t="array" ref="J202">Common_InputFunctions.Utility_DisplayArrayInTable(SourceData_PastureBeef.SourceData_PastureBeef_LiveweightGainNTQLD_Data(),Table_SourceData_PastureBeef_LiveweightGainNTQLD[[#Headers],[State]],0)</f>
        <v>0.25</v>
      </c>
      <c r="K202" s="36" cm="1">
        <f t="array" ref="K202">Common_InputFunctions.Utility_DisplayArrayInTable(SourceData_PastureBeef.SourceData_PastureBeef_LiveweightGainNTQLD_Data(),Table_SourceData_PastureBeef_LiveweightGainNTQLD[[#Headers],[State]],0)</f>
        <v>7.0000000000000007E-2</v>
      </c>
      <c r="L202" s="36" cm="1">
        <f t="array" ref="L202">Common_InputFunctions.Utility_DisplayArrayInTable(SourceData_PastureBeef.SourceData_PastureBeef_LiveweightGainNTQLD_Data(),Table_SourceData_PastureBeef_LiveweightGainNTQLD[[#Headers],[State]],0)</f>
        <v>0.05</v>
      </c>
      <c r="M202" s="36" cm="1">
        <f t="array" ref="M202">Common_InputFunctions.Utility_DisplayArrayInTable(SourceData_PastureBeef.SourceData_PastureBeef_LiveweightGainNTQLD_Data(),Table_SourceData_PastureBeef_LiveweightGainNTQLD[[#Headers],[State]],0)</f>
        <v>0.52</v>
      </c>
      <c r="N202" s="36" cm="1">
        <f t="array" ref="N202">Common_InputFunctions.Utility_DisplayArrayInTable(SourceData_PastureBeef.SourceData_PastureBeef_LiveweightGainNTQLD_Data(),Table_SourceData_PastureBeef_LiveweightGainNTQLD[[#Headers],[State]],0)</f>
        <v>0.55000000000000004</v>
      </c>
      <c r="O202" s="36" cm="1">
        <f t="array" ref="O202">Common_InputFunctions.Utility_DisplayArrayInTable(SourceData_PastureBeef.SourceData_PastureBeef_LiveweightGainNTQLD_Data(),Table_SourceData_PastureBeef_LiveweightGainNTQLD[[#Headers],[State]],0)</f>
        <v>0.19</v>
      </c>
      <c r="P202" s="36"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6" t="str" cm="1">
        <f t="array" ref="E203">Common_InputFunctions.Utility_DisplayArrayInTable(SourceData_PastureBeef.SourceData_PastureBeef_LiveweightGainNTQLD_Data(),Table_SourceData_PastureBeef_LiveweightGainNTQLD[[#Headers],[State]],0)</f>
        <v>High</v>
      </c>
      <c r="F203" s="36" t="str" cm="1">
        <f t="array" ref="F203">Common_InputFunctions.Utility_DisplayArrayInTable(SourceData_PastureBeef.SourceData_PastureBeef_LiveweightGainNTQLD_Data(),Table_SourceData_PastureBeef_LiveweightGainNTQLD[[#Headers],[State]],0)</f>
        <v>Summer</v>
      </c>
      <c r="G203" s="36" cm="1">
        <f t="array" ref="G203">Common_InputFunctions.Utility_DisplayArrayInTable(SourceData_PastureBeef.SourceData_PastureBeef_LiveweightGainNTQLD_Data(),Table_SourceData_PastureBeef_LiveweightGainNTQLD[[#Headers],[State]],0)</f>
        <v>0.16</v>
      </c>
      <c r="H203" s="36" cm="1">
        <f t="array" ref="H203">Common_InputFunctions.Utility_DisplayArrayInTable(SourceData_PastureBeef.SourceData_PastureBeef_LiveweightGainNTQLD_Data(),Table_SourceData_PastureBeef_LiveweightGainNTQLD[[#Headers],[State]],0)</f>
        <v>0.16</v>
      </c>
      <c r="I203" s="36" cm="1">
        <f t="array" ref="I203">Common_InputFunctions.Utility_DisplayArrayInTable(SourceData_PastureBeef.SourceData_PastureBeef_LiveweightGainNTQLD_Data(),Table_SourceData_PastureBeef_LiveweightGainNTQLD[[#Headers],[State]],0)</f>
        <v>0.8</v>
      </c>
      <c r="J203" s="36" cm="1">
        <f t="array" ref="J203">Common_InputFunctions.Utility_DisplayArrayInTable(SourceData_PastureBeef.SourceData_PastureBeef_LiveweightGainNTQLD_Data(),Table_SourceData_PastureBeef_LiveweightGainNTQLD[[#Headers],[State]],0)</f>
        <v>0.56999999999999995</v>
      </c>
      <c r="K203" s="36" cm="1">
        <f t="array" ref="K203">Common_InputFunctions.Utility_DisplayArrayInTable(SourceData_PastureBeef.SourceData_PastureBeef_LiveweightGainNTQLD_Data(),Table_SourceData_PastureBeef_LiveweightGainNTQLD[[#Headers],[State]],0)</f>
        <v>0.76</v>
      </c>
      <c r="L203" s="36" cm="1">
        <f t="array" ref="L203">Common_InputFunctions.Utility_DisplayArrayInTable(SourceData_PastureBeef.SourceData_PastureBeef_LiveweightGainNTQLD_Data(),Table_SourceData_PastureBeef_LiveweightGainNTQLD[[#Headers],[State]],0)</f>
        <v>0.49</v>
      </c>
      <c r="M203" s="36" cm="1">
        <f t="array" ref="M203">Common_InputFunctions.Utility_DisplayArrayInTable(SourceData_PastureBeef.SourceData_PastureBeef_LiveweightGainNTQLD_Data(),Table_SourceData_PastureBeef_LiveweightGainNTQLD[[#Headers],[State]],0)</f>
        <v>0.84</v>
      </c>
      <c r="N203" s="36" cm="1">
        <f t="array" ref="N203">Common_InputFunctions.Utility_DisplayArrayInTable(SourceData_PastureBeef.SourceData_PastureBeef_LiveweightGainNTQLD_Data(),Table_SourceData_PastureBeef_LiveweightGainNTQLD[[#Headers],[State]],0)</f>
        <v>0.51</v>
      </c>
      <c r="O203" s="36" cm="1">
        <f t="array" ref="O203">Common_InputFunctions.Utility_DisplayArrayInTable(SourceData_PastureBeef.SourceData_PastureBeef_LiveweightGainNTQLD_Data(),Table_SourceData_PastureBeef_LiveweightGainNTQLD[[#Headers],[State]],0)</f>
        <v>0.36</v>
      </c>
      <c r="P203" s="36"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6" t="str" cm="1">
        <f t="array" ref="E204">Common_InputFunctions.Utility_DisplayArrayInTable(SourceData_PastureBeef.SourceData_PastureBeef_LiveweightGainNTQLD_Data(),Table_SourceData_PastureBeef_LiveweightGainNTQLD[[#Headers],[State]],0)</f>
        <v>High</v>
      </c>
      <c r="F204" s="36" t="str" cm="1">
        <f t="array" ref="F204">Common_InputFunctions.Utility_DisplayArrayInTable(SourceData_PastureBeef.SourceData_PastureBeef_LiveweightGainNTQLD_Data(),Table_SourceData_PastureBeef_LiveweightGainNTQLD[[#Headers],[State]],0)</f>
        <v>Autumn</v>
      </c>
      <c r="G204" s="36" cm="1">
        <f t="array" ref="G204">Common_InputFunctions.Utility_DisplayArrayInTable(SourceData_PastureBeef.SourceData_PastureBeef_LiveweightGainNTQLD_Data(),Table_SourceData_PastureBeef_LiveweightGainNTQLD[[#Headers],[State]],0)</f>
        <v>0.45</v>
      </c>
      <c r="H204" s="36" cm="1">
        <f t="array" ref="H204">Common_InputFunctions.Utility_DisplayArrayInTable(SourceData_PastureBeef.SourceData_PastureBeef_LiveweightGainNTQLD_Data(),Table_SourceData_PastureBeef_LiveweightGainNTQLD[[#Headers],[State]],0)</f>
        <v>0.1</v>
      </c>
      <c r="I204" s="36" cm="1">
        <f t="array" ref="I204">Common_InputFunctions.Utility_DisplayArrayInTable(SourceData_PastureBeef.SourceData_PastureBeef_LiveweightGainNTQLD_Data(),Table_SourceData_PastureBeef_LiveweightGainNTQLD[[#Headers],[State]],0)</f>
        <v>0.49</v>
      </c>
      <c r="J204" s="36" cm="1">
        <f t="array" ref="J204">Common_InputFunctions.Utility_DisplayArrayInTable(SourceData_PastureBeef.SourceData_PastureBeef_LiveweightGainNTQLD_Data(),Table_SourceData_PastureBeef_LiveweightGainNTQLD[[#Headers],[State]],0)</f>
        <v>0.41</v>
      </c>
      <c r="K204" s="36" cm="1">
        <f t="array" ref="K204">Common_InputFunctions.Utility_DisplayArrayInTable(SourceData_PastureBeef.SourceData_PastureBeef_LiveweightGainNTQLD_Data(),Table_SourceData_PastureBeef_LiveweightGainNTQLD[[#Headers],[State]],0)</f>
        <v>0.4</v>
      </c>
      <c r="L204" s="36" cm="1">
        <f t="array" ref="L204">Common_InputFunctions.Utility_DisplayArrayInTable(SourceData_PastureBeef.SourceData_PastureBeef_LiveweightGainNTQLD_Data(),Table_SourceData_PastureBeef_LiveweightGainNTQLD[[#Headers],[State]],0)</f>
        <v>0.17</v>
      </c>
      <c r="M204" s="36" cm="1">
        <f t="array" ref="M204">Common_InputFunctions.Utility_DisplayArrayInTable(SourceData_PastureBeef.SourceData_PastureBeef_LiveweightGainNTQLD_Data(),Table_SourceData_PastureBeef_LiveweightGainNTQLD[[#Headers],[State]],0)</f>
        <v>0.54</v>
      </c>
      <c r="N204" s="36" cm="1">
        <f t="array" ref="N204">Common_InputFunctions.Utility_DisplayArrayInTable(SourceData_PastureBeef.SourceData_PastureBeef_LiveweightGainNTQLD_Data(),Table_SourceData_PastureBeef_LiveweightGainNTQLD[[#Headers],[State]],0)</f>
        <v>0.64</v>
      </c>
      <c r="O204" s="36" cm="1">
        <f t="array" ref="O204">Common_InputFunctions.Utility_DisplayArrayInTable(SourceData_PastureBeef.SourceData_PastureBeef_LiveweightGainNTQLD_Data(),Table_SourceData_PastureBeef_LiveweightGainNTQLD[[#Headers],[State]],0)</f>
        <v>-0.05</v>
      </c>
      <c r="P204" s="36"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6" t="str" cm="1">
        <f t="array" ref="E205">Common_InputFunctions.Utility_DisplayArrayInTable(SourceData_PastureBeef.SourceData_PastureBeef_LiveweightGainNTQLD_Data(),Table_SourceData_PastureBeef_LiveweightGainNTQLD[[#Headers],[State]],0)</f>
        <v>High</v>
      </c>
      <c r="F205" s="36" t="str" cm="1">
        <f t="array" ref="F205">Common_InputFunctions.Utility_DisplayArrayInTable(SourceData_PastureBeef.SourceData_PastureBeef_LiveweightGainNTQLD_Data(),Table_SourceData_PastureBeef_LiveweightGainNTQLD[[#Headers],[State]],0)</f>
        <v>Winter</v>
      </c>
      <c r="G205" s="36" cm="1">
        <f t="array" ref="G205">Common_InputFunctions.Utility_DisplayArrayInTable(SourceData_PastureBeef.SourceData_PastureBeef_LiveweightGainNTQLD_Data(),Table_SourceData_PastureBeef_LiveweightGainNTQLD[[#Headers],[State]],0)</f>
        <v>0.51</v>
      </c>
      <c r="H205" s="36" cm="1">
        <f t="array" ref="H205">Common_InputFunctions.Utility_DisplayArrayInTable(SourceData_PastureBeef.SourceData_PastureBeef_LiveweightGainNTQLD_Data(),Table_SourceData_PastureBeef_LiveweightGainNTQLD[[#Headers],[State]],0)</f>
        <v>-7.0000000000000007E-2</v>
      </c>
      <c r="I205" s="36" cm="1">
        <f t="array" ref="I205">Common_InputFunctions.Utility_DisplayArrayInTable(SourceData_PastureBeef.SourceData_PastureBeef_LiveweightGainNTQLD_Data(),Table_SourceData_PastureBeef_LiveweightGainNTQLD[[#Headers],[State]],0)</f>
        <v>0.13</v>
      </c>
      <c r="J205" s="36" cm="1">
        <f t="array" ref="J205">Common_InputFunctions.Utility_DisplayArrayInTable(SourceData_PastureBeef.SourceData_PastureBeef_LiveweightGainNTQLD_Data(),Table_SourceData_PastureBeef_LiveweightGainNTQLD[[#Headers],[State]],0)</f>
        <v>-0.09</v>
      </c>
      <c r="K205" s="36" cm="1">
        <f t="array" ref="K205">Common_InputFunctions.Utility_DisplayArrayInTable(SourceData_PastureBeef.SourceData_PastureBeef_LiveweightGainNTQLD_Data(),Table_SourceData_PastureBeef_LiveweightGainNTQLD[[#Headers],[State]],0)</f>
        <v>-0.13</v>
      </c>
      <c r="L205" s="36" cm="1">
        <f t="array" ref="L205">Common_InputFunctions.Utility_DisplayArrayInTable(SourceData_PastureBeef.SourceData_PastureBeef_LiveweightGainNTQLD_Data(),Table_SourceData_PastureBeef_LiveweightGainNTQLD[[#Headers],[State]],0)</f>
        <v>7.0000000000000007E-2</v>
      </c>
      <c r="M205" s="36" cm="1">
        <f t="array" ref="M205">Common_InputFunctions.Utility_DisplayArrayInTable(SourceData_PastureBeef.SourceData_PastureBeef_LiveweightGainNTQLD_Data(),Table_SourceData_PastureBeef_LiveweightGainNTQLD[[#Headers],[State]],0)</f>
        <v>0.25</v>
      </c>
      <c r="N205" s="36" cm="1">
        <f t="array" ref="N205">Common_InputFunctions.Utility_DisplayArrayInTable(SourceData_PastureBeef.SourceData_PastureBeef_LiveweightGainNTQLD_Data(),Table_SourceData_PastureBeef_LiveweightGainNTQLD[[#Headers],[State]],0)</f>
        <v>0.71</v>
      </c>
      <c r="O205" s="36" cm="1">
        <f t="array" ref="O205">Common_InputFunctions.Utility_DisplayArrayInTable(SourceData_PastureBeef.SourceData_PastureBeef_LiveweightGainNTQLD_Data(),Table_SourceData_PastureBeef_LiveweightGainNTQLD[[#Headers],[State]],0)</f>
        <v>0.17</v>
      </c>
      <c r="P205" s="36"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6" t="str" cm="1">
        <f t="array" ref="E206">Common_InputFunctions.Utility_DisplayArrayInTable(SourceData_PastureBeef.SourceData_PastureBeef_LiveweightGainNTQLD_Data(),Table_SourceData_PastureBeef_LiveweightGainNTQLD[[#Headers],[State]],0)</f>
        <v>Moderate/High</v>
      </c>
      <c r="F206" s="36" t="str" cm="1">
        <f t="array" ref="F206">Common_InputFunctions.Utility_DisplayArrayInTable(SourceData_PastureBeef.SourceData_PastureBeef_LiveweightGainNTQLD_Data(),Table_SourceData_PastureBeef_LiveweightGainNTQLD[[#Headers],[State]],0)</f>
        <v>Spring</v>
      </c>
      <c r="G206" s="36" cm="1">
        <f t="array" ref="G206">Common_InputFunctions.Utility_DisplayArrayInTable(SourceData_PastureBeef.SourceData_PastureBeef_LiveweightGainNTQLD_Data(),Table_SourceData_PastureBeef_LiveweightGainNTQLD[[#Headers],[State]],0)</f>
        <v>-0.12</v>
      </c>
      <c r="H206" s="36" cm="1">
        <f t="array" ref="H206">Common_InputFunctions.Utility_DisplayArrayInTable(SourceData_PastureBeef.SourceData_PastureBeef_LiveweightGainNTQLD_Data(),Table_SourceData_PastureBeef_LiveweightGainNTQLD[[#Headers],[State]],0)</f>
        <v>-0.19</v>
      </c>
      <c r="I206" s="36" cm="1">
        <f t="array" ref="I206">Common_InputFunctions.Utility_DisplayArrayInTable(SourceData_PastureBeef.SourceData_PastureBeef_LiveweightGainNTQLD_Data(),Table_SourceData_PastureBeef_LiveweightGainNTQLD[[#Headers],[State]],0)</f>
        <v>0.41</v>
      </c>
      <c r="J206" s="36" cm="1">
        <f t="array" ref="J206">Common_InputFunctions.Utility_DisplayArrayInTable(SourceData_PastureBeef.SourceData_PastureBeef_LiveweightGainNTQLD_Data(),Table_SourceData_PastureBeef_LiveweightGainNTQLD[[#Headers],[State]],0)</f>
        <v>0.09</v>
      </c>
      <c r="K206" s="36" cm="1">
        <f t="array" ref="K206">Common_InputFunctions.Utility_DisplayArrayInTable(SourceData_PastureBeef.SourceData_PastureBeef_LiveweightGainNTQLD_Data(),Table_SourceData_PastureBeef_LiveweightGainNTQLD[[#Headers],[State]],0)</f>
        <v>0.41</v>
      </c>
      <c r="L206" s="36" cm="1">
        <f t="array" ref="L206">Common_InputFunctions.Utility_DisplayArrayInTable(SourceData_PastureBeef.SourceData_PastureBeef_LiveweightGainNTQLD_Data(),Table_SourceData_PastureBeef_LiveweightGainNTQLD[[#Headers],[State]],0)</f>
        <v>-0.19</v>
      </c>
      <c r="M206" s="36" cm="1">
        <f t="array" ref="M206">Common_InputFunctions.Utility_DisplayArrayInTable(SourceData_PastureBeef.SourceData_PastureBeef_LiveweightGainNTQLD_Data(),Table_SourceData_PastureBeef_LiveweightGainNTQLD[[#Headers],[State]],0)</f>
        <v>7.0000000000000007E-2</v>
      </c>
      <c r="N206" s="36" cm="1">
        <f t="array" ref="N206">Common_InputFunctions.Utility_DisplayArrayInTable(SourceData_PastureBeef.SourceData_PastureBeef_LiveweightGainNTQLD_Data(),Table_SourceData_PastureBeef_LiveweightGainNTQLD[[#Headers],[State]],0)</f>
        <v>1.07</v>
      </c>
      <c r="O206" s="36" cm="1">
        <f t="array" ref="O206">Common_InputFunctions.Utility_DisplayArrayInTable(SourceData_PastureBeef.SourceData_PastureBeef_LiveweightGainNTQLD_Data(),Table_SourceData_PastureBeef_LiveweightGainNTQLD[[#Headers],[State]],0)</f>
        <v>-0.08</v>
      </c>
      <c r="P206" s="36"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6" t="str" cm="1">
        <f t="array" ref="E207">Common_InputFunctions.Utility_DisplayArrayInTable(SourceData_PastureBeef.SourceData_PastureBeef_LiveweightGainNTQLD_Data(),Table_SourceData_PastureBeef_LiveweightGainNTQLD[[#Headers],[State]],0)</f>
        <v>Moderate/High</v>
      </c>
      <c r="F207" s="36" t="str" cm="1">
        <f t="array" ref="F207">Common_InputFunctions.Utility_DisplayArrayInTable(SourceData_PastureBeef.SourceData_PastureBeef_LiveweightGainNTQLD_Data(),Table_SourceData_PastureBeef_LiveweightGainNTQLD[[#Headers],[State]],0)</f>
        <v>Summer</v>
      </c>
      <c r="G207" s="36" cm="1">
        <f t="array" ref="G207">Common_InputFunctions.Utility_DisplayArrayInTable(SourceData_PastureBeef.SourceData_PastureBeef_LiveweightGainNTQLD_Data(),Table_SourceData_PastureBeef_LiveweightGainNTQLD[[#Headers],[State]],0)</f>
        <v>0.65</v>
      </c>
      <c r="H207" s="36" cm="1">
        <f t="array" ref="H207">Common_InputFunctions.Utility_DisplayArrayInTable(SourceData_PastureBeef.SourceData_PastureBeef_LiveweightGainNTQLD_Data(),Table_SourceData_PastureBeef_LiveweightGainNTQLD[[#Headers],[State]],0)</f>
        <v>0.19</v>
      </c>
      <c r="I207" s="36" cm="1">
        <f t="array" ref="I207">Common_InputFunctions.Utility_DisplayArrayInTable(SourceData_PastureBeef.SourceData_PastureBeef_LiveweightGainNTQLD_Data(),Table_SourceData_PastureBeef_LiveweightGainNTQLD[[#Headers],[State]],0)</f>
        <v>0.65</v>
      </c>
      <c r="J207" s="36" cm="1">
        <f t="array" ref="J207">Common_InputFunctions.Utility_DisplayArrayInTable(SourceData_PastureBeef.SourceData_PastureBeef_LiveweightGainNTQLD_Data(),Table_SourceData_PastureBeef_LiveweightGainNTQLD[[#Headers],[State]],0)</f>
        <v>0.51</v>
      </c>
      <c r="K207" s="36" cm="1">
        <f t="array" ref="K207">Common_InputFunctions.Utility_DisplayArrayInTable(SourceData_PastureBeef.SourceData_PastureBeef_LiveweightGainNTQLD_Data(),Table_SourceData_PastureBeef_LiveweightGainNTQLD[[#Headers],[State]],0)</f>
        <v>0.18</v>
      </c>
      <c r="L207" s="36" cm="1">
        <f t="array" ref="L207">Common_InputFunctions.Utility_DisplayArrayInTable(SourceData_PastureBeef.SourceData_PastureBeef_LiveweightGainNTQLD_Data(),Table_SourceData_PastureBeef_LiveweightGainNTQLD[[#Headers],[State]],0)</f>
        <v>0.63</v>
      </c>
      <c r="M207" s="36" cm="1">
        <f t="array" ref="M207">Common_InputFunctions.Utility_DisplayArrayInTable(SourceData_PastureBeef.SourceData_PastureBeef_LiveweightGainNTQLD_Data(),Table_SourceData_PastureBeef_LiveweightGainNTQLD[[#Headers],[State]],0)</f>
        <v>1.3</v>
      </c>
      <c r="N207" s="36" cm="1">
        <f t="array" ref="N207">Common_InputFunctions.Utility_DisplayArrayInTable(SourceData_PastureBeef.SourceData_PastureBeef_LiveweightGainNTQLD_Data(),Table_SourceData_PastureBeef_LiveweightGainNTQLD[[#Headers],[State]],0)</f>
        <v>0.48</v>
      </c>
      <c r="O207" s="36" cm="1">
        <f t="array" ref="O207">Common_InputFunctions.Utility_DisplayArrayInTable(SourceData_PastureBeef.SourceData_PastureBeef_LiveweightGainNTQLD_Data(),Table_SourceData_PastureBeef_LiveweightGainNTQLD[[#Headers],[State]],0)</f>
        <v>1.1200000000000001</v>
      </c>
      <c r="P207" s="36"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6" t="str" cm="1">
        <f t="array" ref="E208">Common_InputFunctions.Utility_DisplayArrayInTable(SourceData_PastureBeef.SourceData_PastureBeef_LiveweightGainNTQLD_Data(),Table_SourceData_PastureBeef_LiveweightGainNTQLD[[#Headers],[State]],0)</f>
        <v>Moderate/High</v>
      </c>
      <c r="F208" s="36" t="str" cm="1">
        <f t="array" ref="F208">Common_InputFunctions.Utility_DisplayArrayInTable(SourceData_PastureBeef.SourceData_PastureBeef_LiveweightGainNTQLD_Data(),Table_SourceData_PastureBeef_LiveweightGainNTQLD[[#Headers],[State]],0)</f>
        <v>Autumn</v>
      </c>
      <c r="G208" s="36" cm="1">
        <f t="array" ref="G208">Common_InputFunctions.Utility_DisplayArrayInTable(SourceData_PastureBeef.SourceData_PastureBeef_LiveweightGainNTQLD_Data(),Table_SourceData_PastureBeef_LiveweightGainNTQLD[[#Headers],[State]],0)</f>
        <v>0.7</v>
      </c>
      <c r="H208" s="36" cm="1">
        <f t="array" ref="H208">Common_InputFunctions.Utility_DisplayArrayInTable(SourceData_PastureBeef.SourceData_PastureBeef_LiveweightGainNTQLD_Data(),Table_SourceData_PastureBeef_LiveweightGainNTQLD[[#Headers],[State]],0)</f>
        <v>0.13</v>
      </c>
      <c r="I208" s="36" cm="1">
        <f t="array" ref="I208">Common_InputFunctions.Utility_DisplayArrayInTable(SourceData_PastureBeef.SourceData_PastureBeef_LiveweightGainNTQLD_Data(),Table_SourceData_PastureBeef_LiveweightGainNTQLD[[#Headers],[State]],0)</f>
        <v>0.52</v>
      </c>
      <c r="J208" s="36" cm="1">
        <f t="array" ref="J208">Common_InputFunctions.Utility_DisplayArrayInTable(SourceData_PastureBeef.SourceData_PastureBeef_LiveweightGainNTQLD_Data(),Table_SourceData_PastureBeef_LiveweightGainNTQLD[[#Headers],[State]],0)</f>
        <v>0.34</v>
      </c>
      <c r="K208" s="36" cm="1">
        <f t="array" ref="K208">Common_InputFunctions.Utility_DisplayArrayInTable(SourceData_PastureBeef.SourceData_PastureBeef_LiveweightGainNTQLD_Data(),Table_SourceData_PastureBeef_LiveweightGainNTQLD[[#Headers],[State]],0)</f>
        <v>0.02</v>
      </c>
      <c r="L208" s="36" cm="1">
        <f t="array" ref="L208">Common_InputFunctions.Utility_DisplayArrayInTable(SourceData_PastureBeef.SourceData_PastureBeef_LiveweightGainNTQLD_Data(),Table_SourceData_PastureBeef_LiveweightGainNTQLD[[#Headers],[State]],0)</f>
        <v>0.04</v>
      </c>
      <c r="M208" s="36" cm="1">
        <f t="array" ref="M208">Common_InputFunctions.Utility_DisplayArrayInTable(SourceData_PastureBeef.SourceData_PastureBeef_LiveweightGainNTQLD_Data(),Table_SourceData_PastureBeef_LiveweightGainNTQLD[[#Headers],[State]],0)</f>
        <v>0.77</v>
      </c>
      <c r="N208" s="36" cm="1">
        <f t="array" ref="N208">Common_InputFunctions.Utility_DisplayArrayInTable(SourceData_PastureBeef.SourceData_PastureBeef_LiveweightGainNTQLD_Data(),Table_SourceData_PastureBeef_LiveweightGainNTQLD[[#Headers],[State]],0)</f>
        <v>0.42</v>
      </c>
      <c r="O208" s="36" cm="1">
        <f t="array" ref="O208">Common_InputFunctions.Utility_DisplayArrayInTable(SourceData_PastureBeef.SourceData_PastureBeef_LiveweightGainNTQLD_Data(),Table_SourceData_PastureBeef_LiveweightGainNTQLD[[#Headers],[State]],0)</f>
        <v>0.12</v>
      </c>
      <c r="P208" s="36"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6" t="str" cm="1">
        <f t="array" ref="E209">Common_InputFunctions.Utility_DisplayArrayInTable(SourceData_PastureBeef.SourceData_PastureBeef_LiveweightGainNTQLD_Data(),Table_SourceData_PastureBeef_LiveweightGainNTQLD[[#Headers],[State]],0)</f>
        <v>Moderate/High</v>
      </c>
      <c r="F209" s="36" t="str" cm="1">
        <f t="array" ref="F209">Common_InputFunctions.Utility_DisplayArrayInTable(SourceData_PastureBeef.SourceData_PastureBeef_LiveweightGainNTQLD_Data(),Table_SourceData_PastureBeef_LiveweightGainNTQLD[[#Headers],[State]],0)</f>
        <v>Winter</v>
      </c>
      <c r="G209" s="36" cm="1">
        <f t="array" ref="G209">Common_InputFunctions.Utility_DisplayArrayInTable(SourceData_PastureBeef.SourceData_PastureBeef_LiveweightGainNTQLD_Data(),Table_SourceData_PastureBeef_LiveweightGainNTQLD[[#Headers],[State]],0)</f>
        <v>0.32</v>
      </c>
      <c r="H209" s="36" cm="1">
        <f t="array" ref="H209">Common_InputFunctions.Utility_DisplayArrayInTable(SourceData_PastureBeef.SourceData_PastureBeef_LiveweightGainNTQLD_Data(),Table_SourceData_PastureBeef_LiveweightGainNTQLD[[#Headers],[State]],0)</f>
        <v>-0.06</v>
      </c>
      <c r="I209" s="36" cm="1">
        <f t="array" ref="I209">Common_InputFunctions.Utility_DisplayArrayInTable(SourceData_PastureBeef.SourceData_PastureBeef_LiveweightGainNTQLD_Data(),Table_SourceData_PastureBeef_LiveweightGainNTQLD[[#Headers],[State]],0)</f>
        <v>0.25</v>
      </c>
      <c r="J209" s="36" cm="1">
        <f t="array" ref="J209">Common_InputFunctions.Utility_DisplayArrayInTable(SourceData_PastureBeef.SourceData_PastureBeef_LiveweightGainNTQLD_Data(),Table_SourceData_PastureBeef_LiveweightGainNTQLD[[#Headers],[State]],0)</f>
        <v>0.19</v>
      </c>
      <c r="K209" s="36" cm="1">
        <f t="array" ref="K209">Common_InputFunctions.Utility_DisplayArrayInTable(SourceData_PastureBeef.SourceData_PastureBeef_LiveweightGainNTQLD_Data(),Table_SourceData_PastureBeef_LiveweightGainNTQLD[[#Headers],[State]],0)</f>
        <v>-0.1</v>
      </c>
      <c r="L209" s="36" cm="1">
        <f t="array" ref="L209">Common_InputFunctions.Utility_DisplayArrayInTable(SourceData_PastureBeef.SourceData_PastureBeef_LiveweightGainNTQLD_Data(),Table_SourceData_PastureBeef_LiveweightGainNTQLD[[#Headers],[State]],0)</f>
        <v>-0.02</v>
      </c>
      <c r="M209" s="36" cm="1">
        <f t="array" ref="M209">Common_InputFunctions.Utility_DisplayArrayInTable(SourceData_PastureBeef.SourceData_PastureBeef_LiveweightGainNTQLD_Data(),Table_SourceData_PastureBeef_LiveweightGainNTQLD[[#Headers],[State]],0)</f>
        <v>0.02</v>
      </c>
      <c r="N209" s="36" cm="1">
        <f t="array" ref="N209">Common_InputFunctions.Utility_DisplayArrayInTable(SourceData_PastureBeef.SourceData_PastureBeef_LiveweightGainNTQLD_Data(),Table_SourceData_PastureBeef_LiveweightGainNTQLD[[#Headers],[State]],0)</f>
        <v>0.23</v>
      </c>
      <c r="O209" s="36" cm="1">
        <f t="array" ref="O209">Common_InputFunctions.Utility_DisplayArrayInTable(SourceData_PastureBeef.SourceData_PastureBeef_LiveweightGainNTQLD_Data(),Table_SourceData_PastureBeef_LiveweightGainNTQLD[[#Headers],[State]],0)</f>
        <v>-0.13</v>
      </c>
      <c r="P209" s="36"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6" t="str" cm="1">
        <f t="array" ref="E210">Common_InputFunctions.Utility_DisplayArrayInTable(SourceData_PastureBeef.SourceData_PastureBeef_LiveweightGainNTQLD_Data(),Table_SourceData_PastureBeef_LiveweightGainNTQLD[[#Headers],[State]],0)</f>
        <v>Moderate/Low</v>
      </c>
      <c r="F210" s="36" t="str" cm="1">
        <f t="array" ref="F210">Common_InputFunctions.Utility_DisplayArrayInTable(SourceData_PastureBeef.SourceData_PastureBeef_LiveweightGainNTQLD_Data(),Table_SourceData_PastureBeef_LiveweightGainNTQLD[[#Headers],[State]],0)</f>
        <v>Spring</v>
      </c>
      <c r="G210" s="36" cm="1">
        <f t="array" ref="G210">Common_InputFunctions.Utility_DisplayArrayInTable(SourceData_PastureBeef.SourceData_PastureBeef_LiveweightGainNTQLD_Data(),Table_SourceData_PastureBeef_LiveweightGainNTQLD[[#Headers],[State]],0)</f>
        <v>0.62</v>
      </c>
      <c r="H210" s="36" cm="1">
        <f t="array" ref="H210">Common_InputFunctions.Utility_DisplayArrayInTable(SourceData_PastureBeef.SourceData_PastureBeef_LiveweightGainNTQLD_Data(),Table_SourceData_PastureBeef_LiveweightGainNTQLD[[#Headers],[State]],0)</f>
        <v>-0.19</v>
      </c>
      <c r="I210" s="36" cm="1">
        <f t="array" ref="I210">Common_InputFunctions.Utility_DisplayArrayInTable(SourceData_PastureBeef.SourceData_PastureBeef_LiveweightGainNTQLD_Data(),Table_SourceData_PastureBeef_LiveweightGainNTQLD[[#Headers],[State]],0)</f>
        <v>0.37</v>
      </c>
      <c r="J210" s="36" cm="1">
        <f t="array" ref="J210">Common_InputFunctions.Utility_DisplayArrayInTable(SourceData_PastureBeef.SourceData_PastureBeef_LiveweightGainNTQLD_Data(),Table_SourceData_PastureBeef_LiveweightGainNTQLD[[#Headers],[State]],0)</f>
        <v>0.41</v>
      </c>
      <c r="K210" s="36" cm="1">
        <f t="array" ref="K210">Common_InputFunctions.Utility_DisplayArrayInTable(SourceData_PastureBeef.SourceData_PastureBeef_LiveweightGainNTQLD_Data(),Table_SourceData_PastureBeef_LiveweightGainNTQLD[[#Headers],[State]],0)</f>
        <v>0.06</v>
      </c>
      <c r="L210" s="36" cm="1">
        <f t="array" ref="L210">Common_InputFunctions.Utility_DisplayArrayInTable(SourceData_PastureBeef.SourceData_PastureBeef_LiveweightGainNTQLD_Data(),Table_SourceData_PastureBeef_LiveweightGainNTQLD[[#Headers],[State]],0)</f>
        <v>-0.02</v>
      </c>
      <c r="M210" s="36" cm="1">
        <f t="array" ref="M210">Common_InputFunctions.Utility_DisplayArrayInTable(SourceData_PastureBeef.SourceData_PastureBeef_LiveweightGainNTQLD_Data(),Table_SourceData_PastureBeef_LiveweightGainNTQLD[[#Headers],[State]],0)</f>
        <v>0.47</v>
      </c>
      <c r="N210" s="36" cm="1">
        <f t="array" ref="N210">Common_InputFunctions.Utility_DisplayArrayInTable(SourceData_PastureBeef.SourceData_PastureBeef_LiveweightGainNTQLD_Data(),Table_SourceData_PastureBeef_LiveweightGainNTQLD[[#Headers],[State]],0)</f>
        <v>0.44</v>
      </c>
      <c r="O210" s="36" cm="1">
        <f t="array" ref="O210">Common_InputFunctions.Utility_DisplayArrayInTable(SourceData_PastureBeef.SourceData_PastureBeef_LiveweightGainNTQLD_Data(),Table_SourceData_PastureBeef_LiveweightGainNTQLD[[#Headers],[State]],0)</f>
        <v>0.3</v>
      </c>
      <c r="P210" s="36"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6" t="str" cm="1">
        <f t="array" ref="E211">Common_InputFunctions.Utility_DisplayArrayInTable(SourceData_PastureBeef.SourceData_PastureBeef_LiveweightGainNTQLD_Data(),Table_SourceData_PastureBeef_LiveweightGainNTQLD[[#Headers],[State]],0)</f>
        <v>Moderate/Low</v>
      </c>
      <c r="F211" s="36" t="str" cm="1">
        <f t="array" ref="F211">Common_InputFunctions.Utility_DisplayArrayInTable(SourceData_PastureBeef.SourceData_PastureBeef_LiveweightGainNTQLD_Data(),Table_SourceData_PastureBeef_LiveweightGainNTQLD[[#Headers],[State]],0)</f>
        <v>Summer</v>
      </c>
      <c r="G211" s="36" cm="1">
        <f t="array" ref="G211">Common_InputFunctions.Utility_DisplayArrayInTable(SourceData_PastureBeef.SourceData_PastureBeef_LiveweightGainNTQLD_Data(),Table_SourceData_PastureBeef_LiveweightGainNTQLD[[#Headers],[State]],0)</f>
        <v>0.05</v>
      </c>
      <c r="H211" s="36" cm="1">
        <f t="array" ref="H211">Common_InputFunctions.Utility_DisplayArrayInTable(SourceData_PastureBeef.SourceData_PastureBeef_LiveweightGainNTQLD_Data(),Table_SourceData_PastureBeef_LiveweightGainNTQLD[[#Headers],[State]],0)</f>
        <v>0.19</v>
      </c>
      <c r="I211" s="36" cm="1">
        <f t="array" ref="I211">Common_InputFunctions.Utility_DisplayArrayInTable(SourceData_PastureBeef.SourceData_PastureBeef_LiveweightGainNTQLD_Data(),Table_SourceData_PastureBeef_LiveweightGainNTQLD[[#Headers],[State]],0)</f>
        <v>0.31</v>
      </c>
      <c r="J211" s="36" cm="1">
        <f t="array" ref="J211">Common_InputFunctions.Utility_DisplayArrayInTable(SourceData_PastureBeef.SourceData_PastureBeef_LiveweightGainNTQLD_Data(),Table_SourceData_PastureBeef_LiveweightGainNTQLD[[#Headers],[State]],0)</f>
        <v>0.54</v>
      </c>
      <c r="K211" s="36" cm="1">
        <f t="array" ref="K211">Common_InputFunctions.Utility_DisplayArrayInTable(SourceData_PastureBeef.SourceData_PastureBeef_LiveweightGainNTQLD_Data(),Table_SourceData_PastureBeef_LiveweightGainNTQLD[[#Headers],[State]],0)</f>
        <v>0.53</v>
      </c>
      <c r="L211" s="36" cm="1">
        <f t="array" ref="L211">Common_InputFunctions.Utility_DisplayArrayInTable(SourceData_PastureBeef.SourceData_PastureBeef_LiveweightGainNTQLD_Data(),Table_SourceData_PastureBeef_LiveweightGainNTQLD[[#Headers],[State]],0)</f>
        <v>0.15</v>
      </c>
      <c r="M211" s="36" cm="1">
        <f t="array" ref="M211">Common_InputFunctions.Utility_DisplayArrayInTable(SourceData_PastureBeef.SourceData_PastureBeef_LiveweightGainNTQLD_Data(),Table_SourceData_PastureBeef_LiveweightGainNTQLD[[#Headers],[State]],0)</f>
        <v>0.28000000000000003</v>
      </c>
      <c r="N211" s="36" cm="1">
        <f t="array" ref="N211">Common_InputFunctions.Utility_DisplayArrayInTable(SourceData_PastureBeef.SourceData_PastureBeef_LiveweightGainNTQLD_Data(),Table_SourceData_PastureBeef_LiveweightGainNTQLD[[#Headers],[State]],0)</f>
        <v>0.56999999999999995</v>
      </c>
      <c r="O211" s="36" cm="1">
        <f t="array" ref="O211">Common_InputFunctions.Utility_DisplayArrayInTable(SourceData_PastureBeef.SourceData_PastureBeef_LiveweightGainNTQLD_Data(),Table_SourceData_PastureBeef_LiveweightGainNTQLD[[#Headers],[State]],0)</f>
        <v>0.42</v>
      </c>
      <c r="P211" s="36"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6" t="str" cm="1">
        <f t="array" ref="E212">Common_InputFunctions.Utility_DisplayArrayInTable(SourceData_PastureBeef.SourceData_PastureBeef_LiveweightGainNTQLD_Data(),Table_SourceData_PastureBeef_LiveweightGainNTQLD[[#Headers],[State]],0)</f>
        <v>Moderate/Low</v>
      </c>
      <c r="F212" s="36" t="str" cm="1">
        <f t="array" ref="F212">Common_InputFunctions.Utility_DisplayArrayInTable(SourceData_PastureBeef.SourceData_PastureBeef_LiveweightGainNTQLD_Data(),Table_SourceData_PastureBeef_LiveweightGainNTQLD[[#Headers],[State]],0)</f>
        <v>Autumn</v>
      </c>
      <c r="G212" s="36" cm="1">
        <f t="array" ref="G212">Common_InputFunctions.Utility_DisplayArrayInTable(SourceData_PastureBeef.SourceData_PastureBeef_LiveweightGainNTQLD_Data(),Table_SourceData_PastureBeef_LiveweightGainNTQLD[[#Headers],[State]],0)</f>
        <v>0.33</v>
      </c>
      <c r="H212" s="36" cm="1">
        <f t="array" ref="H212">Common_InputFunctions.Utility_DisplayArrayInTable(SourceData_PastureBeef.SourceData_PastureBeef_LiveweightGainNTQLD_Data(),Table_SourceData_PastureBeef_LiveweightGainNTQLD[[#Headers],[State]],0)</f>
        <v>0.13</v>
      </c>
      <c r="I212" s="36" cm="1">
        <f t="array" ref="I212">Common_InputFunctions.Utility_DisplayArrayInTable(SourceData_PastureBeef.SourceData_PastureBeef_LiveweightGainNTQLD_Data(),Table_SourceData_PastureBeef_LiveweightGainNTQLD[[#Headers],[State]],0)</f>
        <v>0.39</v>
      </c>
      <c r="J212" s="36" cm="1">
        <f t="array" ref="J212">Common_InputFunctions.Utility_DisplayArrayInTable(SourceData_PastureBeef.SourceData_PastureBeef_LiveweightGainNTQLD_Data(),Table_SourceData_PastureBeef_LiveweightGainNTQLD[[#Headers],[State]],0)</f>
        <v>0.36</v>
      </c>
      <c r="K212" s="36" cm="1">
        <f t="array" ref="K212">Common_InputFunctions.Utility_DisplayArrayInTable(SourceData_PastureBeef.SourceData_PastureBeef_LiveweightGainNTQLD_Data(),Table_SourceData_PastureBeef_LiveweightGainNTQLD[[#Headers],[State]],0)</f>
        <v>0.26</v>
      </c>
      <c r="L212" s="36" cm="1">
        <f t="array" ref="L212">Common_InputFunctions.Utility_DisplayArrayInTable(SourceData_PastureBeef.SourceData_PastureBeef_LiveweightGainNTQLD_Data(),Table_SourceData_PastureBeef_LiveweightGainNTQLD[[#Headers],[State]],0)</f>
        <v>0.11</v>
      </c>
      <c r="M212" s="36" cm="1">
        <f t="array" ref="M212">Common_InputFunctions.Utility_DisplayArrayInTable(SourceData_PastureBeef.SourceData_PastureBeef_LiveweightGainNTQLD_Data(),Table_SourceData_PastureBeef_LiveweightGainNTQLD[[#Headers],[State]],0)</f>
        <v>0.4</v>
      </c>
      <c r="N212" s="36" cm="1">
        <f t="array" ref="N212">Common_InputFunctions.Utility_DisplayArrayInTable(SourceData_PastureBeef.SourceData_PastureBeef_LiveweightGainNTQLD_Data(),Table_SourceData_PastureBeef_LiveweightGainNTQLD[[#Headers],[State]],0)</f>
        <v>0.44</v>
      </c>
      <c r="O212" s="36" cm="1">
        <f t="array" ref="O212">Common_InputFunctions.Utility_DisplayArrayInTable(SourceData_PastureBeef.SourceData_PastureBeef_LiveweightGainNTQLD_Data(),Table_SourceData_PastureBeef_LiveweightGainNTQLD[[#Headers],[State]],0)</f>
        <v>0.37</v>
      </c>
      <c r="P212" s="36"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6" t="str" cm="1">
        <f t="array" ref="E213">Common_InputFunctions.Utility_DisplayArrayInTable(SourceData_PastureBeef.SourceData_PastureBeef_LiveweightGainNTQLD_Data(),Table_SourceData_PastureBeef_LiveweightGainNTQLD[[#Headers],[State]],0)</f>
        <v>Moderate/Low</v>
      </c>
      <c r="F213" s="36" t="str" cm="1">
        <f t="array" ref="F213">Common_InputFunctions.Utility_DisplayArrayInTable(SourceData_PastureBeef.SourceData_PastureBeef_LiveweightGainNTQLD_Data(),Table_SourceData_PastureBeef_LiveweightGainNTQLD[[#Headers],[State]],0)</f>
        <v>Winter</v>
      </c>
      <c r="G213" s="36" cm="1">
        <f t="array" ref="G213">Common_InputFunctions.Utility_DisplayArrayInTable(SourceData_PastureBeef.SourceData_PastureBeef_LiveweightGainNTQLD_Data(),Table_SourceData_PastureBeef_LiveweightGainNTQLD[[#Headers],[State]],0)</f>
        <v>0.61</v>
      </c>
      <c r="H213" s="36" cm="1">
        <f t="array" ref="H213">Common_InputFunctions.Utility_DisplayArrayInTable(SourceData_PastureBeef.SourceData_PastureBeef_LiveweightGainNTQLD_Data(),Table_SourceData_PastureBeef_LiveweightGainNTQLD[[#Headers],[State]],0)</f>
        <v>-0.06</v>
      </c>
      <c r="I213" s="36" cm="1">
        <f t="array" ref="I213">Common_InputFunctions.Utility_DisplayArrayInTable(SourceData_PastureBeef.SourceData_PastureBeef_LiveweightGainNTQLD_Data(),Table_SourceData_PastureBeef_LiveweightGainNTQLD[[#Headers],[State]],0)</f>
        <v>0.21</v>
      </c>
      <c r="J213" s="36" cm="1">
        <f t="array" ref="J213">Common_InputFunctions.Utility_DisplayArrayInTable(SourceData_PastureBeef.SourceData_PastureBeef_LiveweightGainNTQLD_Data(),Table_SourceData_PastureBeef_LiveweightGainNTQLD[[#Headers],[State]],0)</f>
        <v>0.18</v>
      </c>
      <c r="K213" s="36" cm="1">
        <f t="array" ref="K213">Common_InputFunctions.Utility_DisplayArrayInTable(SourceData_PastureBeef.SourceData_PastureBeef_LiveweightGainNTQLD_Data(),Table_SourceData_PastureBeef_LiveweightGainNTQLD[[#Headers],[State]],0)</f>
        <v>0.12</v>
      </c>
      <c r="L213" s="36" cm="1">
        <f t="array" ref="L213">Common_InputFunctions.Utility_DisplayArrayInTable(SourceData_PastureBeef.SourceData_PastureBeef_LiveweightGainNTQLD_Data(),Table_SourceData_PastureBeef_LiveweightGainNTQLD[[#Headers],[State]],0)</f>
        <v>0.06</v>
      </c>
      <c r="M213" s="36" cm="1">
        <f t="array" ref="M213">Common_InputFunctions.Utility_DisplayArrayInTable(SourceData_PastureBeef.SourceData_PastureBeef_LiveweightGainNTQLD_Data(),Table_SourceData_PastureBeef_LiveweightGainNTQLD[[#Headers],[State]],0)</f>
        <v>0.28999999999999998</v>
      </c>
      <c r="N213" s="36" cm="1">
        <f t="array" ref="N213">Common_InputFunctions.Utility_DisplayArrayInTable(SourceData_PastureBeef.SourceData_PastureBeef_LiveweightGainNTQLD_Data(),Table_SourceData_PastureBeef_LiveweightGainNTQLD[[#Headers],[State]],0)</f>
        <v>0.41</v>
      </c>
      <c r="O213" s="36" cm="1">
        <f t="array" ref="O213">Common_InputFunctions.Utility_DisplayArrayInTable(SourceData_PastureBeef.SourceData_PastureBeef_LiveweightGainNTQLD_Data(),Table_SourceData_PastureBeef_LiveweightGainNTQLD[[#Headers],[State]],0)</f>
        <v>0.41</v>
      </c>
      <c r="P213" s="36"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6" t="str" cm="1">
        <f t="array" ref="E214">Common_InputFunctions.Utility_DisplayArrayInTable(SourceData_PastureBeef.SourceData_PastureBeef_LiveweightGainNTQLD_Data(),Table_SourceData_PastureBeef_LiveweightGainNTQLD[[#Headers],[State]],0)</f>
        <v>Low</v>
      </c>
      <c r="F214" s="36" t="str" cm="1">
        <f t="array" ref="F214">Common_InputFunctions.Utility_DisplayArrayInTable(SourceData_PastureBeef.SourceData_PastureBeef_LiveweightGainNTQLD_Data(),Table_SourceData_PastureBeef_LiveweightGainNTQLD[[#Headers],[State]],0)</f>
        <v>Spring</v>
      </c>
      <c r="G214" s="36" cm="1">
        <f t="array" ref="G214">Common_InputFunctions.Utility_DisplayArrayInTable(SourceData_PastureBeef.SourceData_PastureBeef_LiveweightGainNTQLD_Data(),Table_SourceData_PastureBeef_LiveweightGainNTQLD[[#Headers],[State]],0)</f>
        <v>-0.2</v>
      </c>
      <c r="H214" s="36" cm="1">
        <f t="array" ref="H214">Common_InputFunctions.Utility_DisplayArrayInTable(SourceData_PastureBeef.SourceData_PastureBeef_LiveweightGainNTQLD_Data(),Table_SourceData_PastureBeef_LiveweightGainNTQLD[[#Headers],[State]],0)</f>
        <v>0.02</v>
      </c>
      <c r="I214" s="36" cm="1">
        <f t="array" ref="I214">Common_InputFunctions.Utility_DisplayArrayInTable(SourceData_PastureBeef.SourceData_PastureBeef_LiveweightGainNTQLD_Data(),Table_SourceData_PastureBeef_LiveweightGainNTQLD[[#Headers],[State]],0)</f>
        <v>0.24</v>
      </c>
      <c r="J214" s="36" cm="1">
        <f t="array" ref="J214">Common_InputFunctions.Utility_DisplayArrayInTable(SourceData_PastureBeef.SourceData_PastureBeef_LiveweightGainNTQLD_Data(),Table_SourceData_PastureBeef_LiveweightGainNTQLD[[#Headers],[State]],0)</f>
        <v>0.3</v>
      </c>
      <c r="K214" s="36" cm="1">
        <f t="array" ref="K214">Common_InputFunctions.Utility_DisplayArrayInTable(SourceData_PastureBeef.SourceData_PastureBeef_LiveweightGainNTQLD_Data(),Table_SourceData_PastureBeef_LiveweightGainNTQLD[[#Headers],[State]],0)</f>
        <v>0.23</v>
      </c>
      <c r="L214" s="36" cm="1">
        <f t="array" ref="L214">Common_InputFunctions.Utility_DisplayArrayInTable(SourceData_PastureBeef.SourceData_PastureBeef_LiveweightGainNTQLD_Data(),Table_SourceData_PastureBeef_LiveweightGainNTQLD[[#Headers],[State]],0)</f>
        <v>-0.05</v>
      </c>
      <c r="M214" s="36" cm="1">
        <f t="array" ref="M214">Common_InputFunctions.Utility_DisplayArrayInTable(SourceData_PastureBeef.SourceData_PastureBeef_LiveweightGainNTQLD_Data(),Table_SourceData_PastureBeef_LiveweightGainNTQLD[[#Headers],[State]],0)</f>
        <v>0.34</v>
      </c>
      <c r="N214" s="36" cm="1">
        <f t="array" ref="N214">Common_InputFunctions.Utility_DisplayArrayInTable(SourceData_PastureBeef.SourceData_PastureBeef_LiveweightGainNTQLD_Data(),Table_SourceData_PastureBeef_LiveweightGainNTQLD[[#Headers],[State]],0)</f>
        <v>0.3</v>
      </c>
      <c r="O214" s="36" cm="1">
        <f t="array" ref="O214">Common_InputFunctions.Utility_DisplayArrayInTable(SourceData_PastureBeef.SourceData_PastureBeef_LiveweightGainNTQLD_Data(),Table_SourceData_PastureBeef_LiveweightGainNTQLD[[#Headers],[State]],0)</f>
        <v>0.56999999999999995</v>
      </c>
      <c r="P214" s="36"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6" t="str" cm="1">
        <f t="array" ref="E215">Common_InputFunctions.Utility_DisplayArrayInTable(SourceData_PastureBeef.SourceData_PastureBeef_LiveweightGainNTQLD_Data(),Table_SourceData_PastureBeef_LiveweightGainNTQLD[[#Headers],[State]],0)</f>
        <v>Low</v>
      </c>
      <c r="F215" s="36" t="str" cm="1">
        <f t="array" ref="F215">Common_InputFunctions.Utility_DisplayArrayInTable(SourceData_PastureBeef.SourceData_PastureBeef_LiveweightGainNTQLD_Data(),Table_SourceData_PastureBeef_LiveweightGainNTQLD[[#Headers],[State]],0)</f>
        <v>Summer</v>
      </c>
      <c r="G215" s="36" cm="1">
        <f t="array" ref="G215">Common_InputFunctions.Utility_DisplayArrayInTable(SourceData_PastureBeef.SourceData_PastureBeef_LiveweightGainNTQLD_Data(),Table_SourceData_PastureBeef_LiveweightGainNTQLD[[#Headers],[State]],0)</f>
        <v>0.62</v>
      </c>
      <c r="H215" s="36" cm="1">
        <f t="array" ref="H215">Common_InputFunctions.Utility_DisplayArrayInTable(SourceData_PastureBeef.SourceData_PastureBeef_LiveweightGainNTQLD_Data(),Table_SourceData_PastureBeef_LiveweightGainNTQLD[[#Headers],[State]],0)</f>
        <v>0.21</v>
      </c>
      <c r="I215" s="36" cm="1">
        <f t="array" ref="I215">Common_InputFunctions.Utility_DisplayArrayInTable(SourceData_PastureBeef.SourceData_PastureBeef_LiveweightGainNTQLD_Data(),Table_SourceData_PastureBeef_LiveweightGainNTQLD[[#Headers],[State]],0)</f>
        <v>0.25</v>
      </c>
      <c r="J215" s="36" cm="1">
        <f t="array" ref="J215">Common_InputFunctions.Utility_DisplayArrayInTable(SourceData_PastureBeef.SourceData_PastureBeef_LiveweightGainNTQLD_Data(),Table_SourceData_PastureBeef_LiveweightGainNTQLD[[#Headers],[State]],0)</f>
        <v>0.32</v>
      </c>
      <c r="K215" s="36" cm="1">
        <f t="array" ref="K215">Common_InputFunctions.Utility_DisplayArrayInTable(SourceData_PastureBeef.SourceData_PastureBeef_LiveweightGainNTQLD_Data(),Table_SourceData_PastureBeef_LiveweightGainNTQLD[[#Headers],[State]],0)</f>
        <v>0.47</v>
      </c>
      <c r="L215" s="36" cm="1">
        <f t="array" ref="L215">Common_InputFunctions.Utility_DisplayArrayInTable(SourceData_PastureBeef.SourceData_PastureBeef_LiveweightGainNTQLD_Data(),Table_SourceData_PastureBeef_LiveweightGainNTQLD[[#Headers],[State]],0)</f>
        <v>0.31</v>
      </c>
      <c r="M215" s="36" cm="1">
        <f t="array" ref="M215">Common_InputFunctions.Utility_DisplayArrayInTable(SourceData_PastureBeef.SourceData_PastureBeef_LiveweightGainNTQLD_Data(),Table_SourceData_PastureBeef_LiveweightGainNTQLD[[#Headers],[State]],0)</f>
        <v>0.14000000000000001</v>
      </c>
      <c r="N215" s="36" cm="1">
        <f t="array" ref="N215">Common_InputFunctions.Utility_DisplayArrayInTable(SourceData_PastureBeef.SourceData_PastureBeef_LiveweightGainNTQLD_Data(),Table_SourceData_PastureBeef_LiveweightGainNTQLD[[#Headers],[State]],0)</f>
        <v>0.4</v>
      </c>
      <c r="O215" s="36" cm="1">
        <f t="array" ref="O215">Common_InputFunctions.Utility_DisplayArrayInTable(SourceData_PastureBeef.SourceData_PastureBeef_LiveweightGainNTQLD_Data(),Table_SourceData_PastureBeef_LiveweightGainNTQLD[[#Headers],[State]],0)</f>
        <v>0.26</v>
      </c>
      <c r="P215" s="36"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6" t="str" cm="1">
        <f t="array" ref="E216">Common_InputFunctions.Utility_DisplayArrayInTable(SourceData_PastureBeef.SourceData_PastureBeef_LiveweightGainNTQLD_Data(),Table_SourceData_PastureBeef_LiveweightGainNTQLD[[#Headers],[State]],0)</f>
        <v>Low</v>
      </c>
      <c r="F216" s="36" t="str" cm="1">
        <f t="array" ref="F216">Common_InputFunctions.Utility_DisplayArrayInTable(SourceData_PastureBeef.SourceData_PastureBeef_LiveweightGainNTQLD_Data(),Table_SourceData_PastureBeef_LiveweightGainNTQLD[[#Headers],[State]],0)</f>
        <v>Autumn</v>
      </c>
      <c r="G216" s="36" cm="1">
        <f t="array" ref="G216">Common_InputFunctions.Utility_DisplayArrayInTable(SourceData_PastureBeef.SourceData_PastureBeef_LiveweightGainNTQLD_Data(),Table_SourceData_PastureBeef_LiveweightGainNTQLD[[#Headers],[State]],0)</f>
        <v>0.4</v>
      </c>
      <c r="H216" s="36" cm="1">
        <f t="array" ref="H216">Common_InputFunctions.Utility_DisplayArrayInTable(SourceData_PastureBeef.SourceData_PastureBeef_LiveweightGainNTQLD_Data(),Table_SourceData_PastureBeef_LiveweightGainNTQLD[[#Headers],[State]],0)</f>
        <v>0.13</v>
      </c>
      <c r="I216" s="36" cm="1">
        <f t="array" ref="I216">Common_InputFunctions.Utility_DisplayArrayInTable(SourceData_PastureBeef.SourceData_PastureBeef_LiveweightGainNTQLD_Data(),Table_SourceData_PastureBeef_LiveweightGainNTQLD[[#Headers],[State]],0)</f>
        <v>0.12</v>
      </c>
      <c r="J216" s="36" cm="1">
        <f t="array" ref="J216">Common_InputFunctions.Utility_DisplayArrayInTable(SourceData_PastureBeef.SourceData_PastureBeef_LiveweightGainNTQLD_Data(),Table_SourceData_PastureBeef_LiveweightGainNTQLD[[#Headers],[State]],0)</f>
        <v>0.27</v>
      </c>
      <c r="K216" s="36" cm="1">
        <f t="array" ref="K216">Common_InputFunctions.Utility_DisplayArrayInTable(SourceData_PastureBeef.SourceData_PastureBeef_LiveweightGainNTQLD_Data(),Table_SourceData_PastureBeef_LiveweightGainNTQLD[[#Headers],[State]],0)</f>
        <v>0.3</v>
      </c>
      <c r="L216" s="36" cm="1">
        <f t="array" ref="L216">Common_InputFunctions.Utility_DisplayArrayInTable(SourceData_PastureBeef.SourceData_PastureBeef_LiveweightGainNTQLD_Data(),Table_SourceData_PastureBeef_LiveweightGainNTQLD[[#Headers],[State]],0)</f>
        <v>0.08</v>
      </c>
      <c r="M216" s="36" cm="1">
        <f t="array" ref="M216">Common_InputFunctions.Utility_DisplayArrayInTable(SourceData_PastureBeef.SourceData_PastureBeef_LiveweightGainNTQLD_Data(),Table_SourceData_PastureBeef_LiveweightGainNTQLD[[#Headers],[State]],0)</f>
        <v>0.13</v>
      </c>
      <c r="N216" s="36" cm="1">
        <f t="array" ref="N216">Common_InputFunctions.Utility_DisplayArrayInTable(SourceData_PastureBeef.SourceData_PastureBeef_LiveweightGainNTQLD_Data(),Table_SourceData_PastureBeef_LiveweightGainNTQLD[[#Headers],[State]],0)</f>
        <v>0.24</v>
      </c>
      <c r="O216" s="36" cm="1">
        <f t="array" ref="O216">Common_InputFunctions.Utility_DisplayArrayInTable(SourceData_PastureBeef.SourceData_PastureBeef_LiveweightGainNTQLD_Data(),Table_SourceData_PastureBeef_LiveweightGainNTQLD[[#Headers],[State]],0)</f>
        <v>0.15</v>
      </c>
      <c r="P216" s="36"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6" t="str" cm="1">
        <f t="array" ref="E217">Common_InputFunctions.Utility_DisplayArrayInTable(SourceData_PastureBeef.SourceData_PastureBeef_LiveweightGainNTQLD_Data(),Table_SourceData_PastureBeef_LiveweightGainNTQLD[[#Headers],[State]],0)</f>
        <v>Low</v>
      </c>
      <c r="F217" s="36" t="str" cm="1">
        <f t="array" ref="F217">Common_InputFunctions.Utility_DisplayArrayInTable(SourceData_PastureBeef.SourceData_PastureBeef_LiveweightGainNTQLD_Data(),Table_SourceData_PastureBeef_LiveweightGainNTQLD[[#Headers],[State]],0)</f>
        <v>Winter</v>
      </c>
      <c r="G217" s="36" cm="1">
        <f t="array" ref="G217">Common_InputFunctions.Utility_DisplayArrayInTable(SourceData_PastureBeef.SourceData_PastureBeef_LiveweightGainNTQLD_Data(),Table_SourceData_PastureBeef_LiveweightGainNTQLD[[#Headers],[State]],0)</f>
        <v>0.08</v>
      </c>
      <c r="H217" s="36" cm="1">
        <f t="array" ref="H217">Common_InputFunctions.Utility_DisplayArrayInTable(SourceData_PastureBeef.SourceData_PastureBeef_LiveweightGainNTQLD_Data(),Table_SourceData_PastureBeef_LiveweightGainNTQLD[[#Headers],[State]],0)</f>
        <v>0.04</v>
      </c>
      <c r="I217" s="36" cm="1">
        <f t="array" ref="I217">Common_InputFunctions.Utility_DisplayArrayInTable(SourceData_PastureBeef.SourceData_PastureBeef_LiveweightGainNTQLD_Data(),Table_SourceData_PastureBeef_LiveweightGainNTQLD[[#Headers],[State]],0)</f>
        <v>0.06</v>
      </c>
      <c r="J217" s="36" cm="1">
        <f t="array" ref="J217">Common_InputFunctions.Utility_DisplayArrayInTable(SourceData_PastureBeef.SourceData_PastureBeef_LiveweightGainNTQLD_Data(),Table_SourceData_PastureBeef_LiveweightGainNTQLD[[#Headers],[State]],0)</f>
        <v>0.18</v>
      </c>
      <c r="K217" s="36" cm="1">
        <f t="array" ref="K217">Common_InputFunctions.Utility_DisplayArrayInTable(SourceData_PastureBeef.SourceData_PastureBeef_LiveweightGainNTQLD_Data(),Table_SourceData_PastureBeef_LiveweightGainNTQLD[[#Headers],[State]],0)</f>
        <v>0.11</v>
      </c>
      <c r="L217" s="36" cm="1">
        <f t="array" ref="L217">Common_InputFunctions.Utility_DisplayArrayInTable(SourceData_PastureBeef.SourceData_PastureBeef_LiveweightGainNTQLD_Data(),Table_SourceData_PastureBeef_LiveweightGainNTQLD[[#Headers],[State]],0)</f>
        <v>-7.0000000000000007E-2</v>
      </c>
      <c r="M217" s="36" cm="1">
        <f t="array" ref="M217">Common_InputFunctions.Utility_DisplayArrayInTable(SourceData_PastureBeef.SourceData_PastureBeef_LiveweightGainNTQLD_Data(),Table_SourceData_PastureBeef_LiveweightGainNTQLD[[#Headers],[State]],0)</f>
        <v>0.13</v>
      </c>
      <c r="N217" s="36" cm="1">
        <f t="array" ref="N217">Common_InputFunctions.Utility_DisplayArrayInTable(SourceData_PastureBeef.SourceData_PastureBeef_LiveweightGainNTQLD_Data(),Table_SourceData_PastureBeef_LiveweightGainNTQLD[[#Headers],[State]],0)</f>
        <v>0.16</v>
      </c>
      <c r="O217" s="36" cm="1">
        <f t="array" ref="O217">Common_InputFunctions.Utility_DisplayArrayInTable(SourceData_PastureBeef.SourceData_PastureBeef_LiveweightGainNTQLD_Data(),Table_SourceData_PastureBeef_LiveweightGainNTQLD[[#Headers],[State]],0)</f>
        <v>0.4</v>
      </c>
      <c r="P217" s="36"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6" t="s">
        <v>161</v>
      </c>
      <c r="M220" s="1"/>
    </row>
    <row r="221" spans="4:16" x14ac:dyDescent="0.25">
      <c r="M221" s="1"/>
    </row>
    <row r="222" spans="4:16" x14ac:dyDescent="0.25">
      <c r="D222" s="36" t="s">
        <v>5</v>
      </c>
      <c r="E222" s="36" t="s">
        <v>143</v>
      </c>
      <c r="F222" s="36" t="s">
        <v>144</v>
      </c>
      <c r="G222" s="109" t="s">
        <v>102</v>
      </c>
      <c r="H222" s="109" t="s">
        <v>101</v>
      </c>
      <c r="I222" s="109" t="s">
        <v>125</v>
      </c>
      <c r="J222" s="109" t="s">
        <v>126</v>
      </c>
      <c r="K222" s="109" t="s">
        <v>127</v>
      </c>
      <c r="L222" s="109" t="s">
        <v>128</v>
      </c>
      <c r="M222" s="109" t="s">
        <v>129</v>
      </c>
      <c r="N222" s="109" t="s">
        <v>130</v>
      </c>
      <c r="O222" s="109" t="s">
        <v>131</v>
      </c>
      <c r="P222" s="109" t="s">
        <v>132</v>
      </c>
    </row>
    <row r="223" spans="4:16" x14ac:dyDescent="0.25">
      <c r="D223" s="36" t="s">
        <v>64</v>
      </c>
      <c r="E223" s="36" t="s">
        <v>162</v>
      </c>
      <c r="F223" s="36" t="str">
        <f>F155</f>
        <v>Spring</v>
      </c>
      <c r="G223" s="36">
        <f>G155</f>
        <v>0.5</v>
      </c>
      <c r="H223" s="36">
        <f t="shared" ref="H223:J223" si="83">H155</f>
        <v>0.2</v>
      </c>
      <c r="I223" s="36">
        <f t="shared" si="83"/>
        <v>0.5</v>
      </c>
      <c r="J223" s="36">
        <f t="shared" si="83"/>
        <v>0.4</v>
      </c>
      <c r="K223" s="36">
        <f>K155</f>
        <v>0.3</v>
      </c>
      <c r="L223" s="36">
        <f>K155</f>
        <v>0.3</v>
      </c>
      <c r="M223" s="36">
        <f>L155</f>
        <v>0.5</v>
      </c>
      <c r="N223" s="36">
        <f>M155</f>
        <v>0.4</v>
      </c>
      <c r="O223" s="36">
        <f>M155</f>
        <v>0.4</v>
      </c>
      <c r="P223" s="36">
        <f>M155</f>
        <v>0.4</v>
      </c>
    </row>
    <row r="224" spans="4:16" x14ac:dyDescent="0.25">
      <c r="D224" s="36" t="s">
        <v>64</v>
      </c>
      <c r="E224" s="36" t="s">
        <v>162</v>
      </c>
      <c r="F224" s="36" t="str">
        <f t="shared" ref="F224:K226" si="84">F156</f>
        <v>Summer</v>
      </c>
      <c r="G224" s="36">
        <f t="shared" si="84"/>
        <v>1</v>
      </c>
      <c r="H224" s="36">
        <f t="shared" si="84"/>
        <v>0.4</v>
      </c>
      <c r="I224" s="36">
        <f t="shared" si="84"/>
        <v>0.9</v>
      </c>
      <c r="J224" s="36">
        <f t="shared" si="84"/>
        <v>0.7</v>
      </c>
      <c r="K224" s="36">
        <f t="shared" si="84"/>
        <v>0.3</v>
      </c>
      <c r="L224" s="36">
        <f t="shared" ref="L224:M226" si="85">K156</f>
        <v>0.3</v>
      </c>
      <c r="M224" s="36">
        <f t="shared" si="85"/>
        <v>0.9</v>
      </c>
      <c r="N224" s="36">
        <f t="shared" ref="N224:N226" si="86">M156</f>
        <v>0.4</v>
      </c>
      <c r="O224" s="36">
        <f t="shared" ref="O224:O226" si="87">M156</f>
        <v>0.4</v>
      </c>
      <c r="P224" s="36">
        <f t="shared" ref="P224:P226" si="88">M156</f>
        <v>0.4</v>
      </c>
    </row>
    <row r="225" spans="4:16" x14ac:dyDescent="0.25">
      <c r="D225" s="36" t="s">
        <v>64</v>
      </c>
      <c r="E225" s="36" t="s">
        <v>162</v>
      </c>
      <c r="F225" s="36" t="str">
        <f t="shared" si="84"/>
        <v>Autumn</v>
      </c>
      <c r="G225" s="36">
        <f t="shared" si="84"/>
        <v>0.8</v>
      </c>
      <c r="H225" s="36">
        <f t="shared" si="84"/>
        <v>0.3</v>
      </c>
      <c r="I225" s="36">
        <f t="shared" si="84"/>
        <v>0.7</v>
      </c>
      <c r="J225" s="36">
        <f t="shared" si="84"/>
        <v>0.3</v>
      </c>
      <c r="K225" s="36">
        <f t="shared" si="84"/>
        <v>0.2</v>
      </c>
      <c r="L225" s="36">
        <f t="shared" si="85"/>
        <v>0.2</v>
      </c>
      <c r="M225" s="36">
        <f t="shared" si="85"/>
        <v>0.7</v>
      </c>
      <c r="N225" s="36">
        <f t="shared" si="86"/>
        <v>0.3</v>
      </c>
      <c r="O225" s="36">
        <f t="shared" si="87"/>
        <v>0.3</v>
      </c>
      <c r="P225" s="36">
        <f t="shared" si="88"/>
        <v>0.3</v>
      </c>
    </row>
    <row r="226" spans="4:16" x14ac:dyDescent="0.25">
      <c r="D226" s="36" t="s">
        <v>64</v>
      </c>
      <c r="E226" s="36" t="s">
        <v>162</v>
      </c>
      <c r="F226" s="36" t="str">
        <f t="shared" si="84"/>
        <v>Winter</v>
      </c>
      <c r="G226" s="36">
        <f t="shared" si="84"/>
        <v>0.4</v>
      </c>
      <c r="H226" s="36">
        <f t="shared" si="84"/>
        <v>0.1</v>
      </c>
      <c r="I226" s="36">
        <f t="shared" si="84"/>
        <v>0.4</v>
      </c>
      <c r="J226" s="36">
        <f t="shared" si="84"/>
        <v>0.2</v>
      </c>
      <c r="K226" s="36">
        <f t="shared" si="84"/>
        <v>0.1</v>
      </c>
      <c r="L226" s="36">
        <f t="shared" si="85"/>
        <v>0.1</v>
      </c>
      <c r="M226" s="36">
        <f t="shared" si="85"/>
        <v>0.4</v>
      </c>
      <c r="N226" s="36">
        <f t="shared" si="86"/>
        <v>0.1</v>
      </c>
      <c r="O226" s="36">
        <f t="shared" si="87"/>
        <v>0.1</v>
      </c>
      <c r="P226" s="36">
        <f t="shared" si="88"/>
        <v>0.1</v>
      </c>
    </row>
    <row r="227" spans="4:16" x14ac:dyDescent="0.25">
      <c r="D227" s="36" t="s">
        <v>65</v>
      </c>
      <c r="E227" s="36" t="s">
        <v>162</v>
      </c>
      <c r="F227" s="36" t="str">
        <f>F155</f>
        <v>Spring</v>
      </c>
      <c r="G227" s="36">
        <f>G155</f>
        <v>0.5</v>
      </c>
      <c r="H227" s="36">
        <f t="shared" ref="H227:J227" si="89">H155</f>
        <v>0.2</v>
      </c>
      <c r="I227" s="36">
        <f t="shared" si="89"/>
        <v>0.5</v>
      </c>
      <c r="J227" s="36">
        <f t="shared" si="89"/>
        <v>0.4</v>
      </c>
      <c r="K227" s="36">
        <f>K155</f>
        <v>0.3</v>
      </c>
      <c r="L227" s="36">
        <f>K155</f>
        <v>0.3</v>
      </c>
      <c r="M227" s="36">
        <f t="shared" ref="M227" si="90">L155</f>
        <v>0.5</v>
      </c>
      <c r="N227" s="36">
        <f>M155</f>
        <v>0.4</v>
      </c>
      <c r="O227" s="36">
        <f>M155</f>
        <v>0.4</v>
      </c>
      <c r="P227" s="36">
        <f>M155</f>
        <v>0.4</v>
      </c>
    </row>
    <row r="228" spans="4:16" x14ac:dyDescent="0.25">
      <c r="D228" s="36" t="s">
        <v>65</v>
      </c>
      <c r="E228" s="36" t="s">
        <v>162</v>
      </c>
      <c r="F228" s="36" t="str">
        <f t="shared" ref="F228:K230" si="91">F156</f>
        <v>Summer</v>
      </c>
      <c r="G228" s="36">
        <f t="shared" si="91"/>
        <v>1</v>
      </c>
      <c r="H228" s="36">
        <f t="shared" si="91"/>
        <v>0.4</v>
      </c>
      <c r="I228" s="36">
        <f t="shared" si="91"/>
        <v>0.9</v>
      </c>
      <c r="J228" s="36">
        <f t="shared" si="91"/>
        <v>0.7</v>
      </c>
      <c r="K228" s="36">
        <f t="shared" si="91"/>
        <v>0.3</v>
      </c>
      <c r="L228" s="36">
        <f t="shared" ref="L228:N228" si="92">K156</f>
        <v>0.3</v>
      </c>
      <c r="M228" s="36">
        <f t="shared" si="92"/>
        <v>0.9</v>
      </c>
      <c r="N228" s="36">
        <f t="shared" si="92"/>
        <v>0.4</v>
      </c>
      <c r="O228" s="36">
        <f t="shared" ref="O228:O230" si="93">M156</f>
        <v>0.4</v>
      </c>
      <c r="P228" s="36">
        <f t="shared" ref="P228:P230" si="94">M156</f>
        <v>0.4</v>
      </c>
    </row>
    <row r="229" spans="4:16" x14ac:dyDescent="0.25">
      <c r="D229" s="36" t="s">
        <v>65</v>
      </c>
      <c r="E229" s="36" t="s">
        <v>162</v>
      </c>
      <c r="F229" s="36" t="str">
        <f t="shared" si="91"/>
        <v>Autumn</v>
      </c>
      <c r="G229" s="36">
        <f t="shared" si="91"/>
        <v>0.8</v>
      </c>
      <c r="H229" s="36">
        <f t="shared" si="91"/>
        <v>0.3</v>
      </c>
      <c r="I229" s="36">
        <f t="shared" si="91"/>
        <v>0.7</v>
      </c>
      <c r="J229" s="36">
        <f t="shared" si="91"/>
        <v>0.3</v>
      </c>
      <c r="K229" s="36">
        <f t="shared" si="91"/>
        <v>0.2</v>
      </c>
      <c r="L229" s="36">
        <f t="shared" ref="L229:N229" si="95">K157</f>
        <v>0.2</v>
      </c>
      <c r="M229" s="36">
        <f t="shared" si="95"/>
        <v>0.7</v>
      </c>
      <c r="N229" s="36">
        <f t="shared" si="95"/>
        <v>0.3</v>
      </c>
      <c r="O229" s="36">
        <f t="shared" si="93"/>
        <v>0.3</v>
      </c>
      <c r="P229" s="36">
        <f t="shared" si="94"/>
        <v>0.3</v>
      </c>
    </row>
    <row r="230" spans="4:16" x14ac:dyDescent="0.25">
      <c r="D230" s="36" t="s">
        <v>65</v>
      </c>
      <c r="E230" s="36" t="s">
        <v>162</v>
      </c>
      <c r="F230" s="36" t="str">
        <f t="shared" si="91"/>
        <v>Winter</v>
      </c>
      <c r="G230" s="36">
        <f t="shared" si="91"/>
        <v>0.4</v>
      </c>
      <c r="H230" s="36">
        <f t="shared" si="91"/>
        <v>0.1</v>
      </c>
      <c r="I230" s="36">
        <f t="shared" si="91"/>
        <v>0.4</v>
      </c>
      <c r="J230" s="36">
        <f t="shared" si="91"/>
        <v>0.2</v>
      </c>
      <c r="K230" s="36">
        <f t="shared" si="91"/>
        <v>0.1</v>
      </c>
      <c r="L230" s="36">
        <f t="shared" ref="L230:N230" si="96">K158</f>
        <v>0.1</v>
      </c>
      <c r="M230" s="36">
        <f t="shared" si="96"/>
        <v>0.4</v>
      </c>
      <c r="N230" s="36">
        <f t="shared" si="96"/>
        <v>0.1</v>
      </c>
      <c r="O230" s="36">
        <f t="shared" si="93"/>
        <v>0.1</v>
      </c>
      <c r="P230" s="36">
        <f t="shared" si="94"/>
        <v>0.1</v>
      </c>
    </row>
    <row r="231" spans="4:16" x14ac:dyDescent="0.25">
      <c r="D231" s="36" t="s">
        <v>68</v>
      </c>
      <c r="E231" s="36" t="s">
        <v>162</v>
      </c>
      <c r="F231" s="36" t="str">
        <f>F159</f>
        <v>Spring</v>
      </c>
      <c r="G231" s="36">
        <f>G159</f>
        <v>0.99</v>
      </c>
      <c r="H231" s="36">
        <f t="shared" ref="H231:J231" si="97">H159</f>
        <v>1.1000000000000001</v>
      </c>
      <c r="I231" s="36">
        <f t="shared" si="97"/>
        <v>0.88</v>
      </c>
      <c r="J231" s="36">
        <f t="shared" si="97"/>
        <v>0.55000000000000004</v>
      </c>
      <c r="K231" s="36">
        <f>K159</f>
        <v>0.55000000000000004</v>
      </c>
      <c r="L231" s="36">
        <f>K159</f>
        <v>0.55000000000000004</v>
      </c>
      <c r="M231" s="36">
        <f t="shared" ref="M231" si="98">L159</f>
        <v>0.88</v>
      </c>
      <c r="N231" s="36">
        <f>M159</f>
        <v>0.22</v>
      </c>
      <c r="O231" s="36">
        <f>M159</f>
        <v>0.22</v>
      </c>
      <c r="P231" s="36">
        <f>M159</f>
        <v>0.22</v>
      </c>
    </row>
    <row r="232" spans="4:16" x14ac:dyDescent="0.25">
      <c r="D232" s="36" t="s">
        <v>68</v>
      </c>
      <c r="E232" s="36" t="s">
        <v>162</v>
      </c>
      <c r="F232" s="36" t="str">
        <f t="shared" ref="F232:K254" si="99">F160</f>
        <v>Summer</v>
      </c>
      <c r="G232" s="36">
        <f t="shared" si="99"/>
        <v>0.77</v>
      </c>
      <c r="H232" s="36">
        <f t="shared" si="99"/>
        <v>0</v>
      </c>
      <c r="I232" s="36">
        <f t="shared" si="99"/>
        <v>0.66</v>
      </c>
      <c r="J232" s="36">
        <f t="shared" si="99"/>
        <v>0.22</v>
      </c>
      <c r="K232" s="36">
        <f t="shared" si="99"/>
        <v>0</v>
      </c>
      <c r="L232" s="36">
        <f t="shared" ref="L232:N232" si="100">K160</f>
        <v>0</v>
      </c>
      <c r="M232" s="36">
        <f t="shared" si="100"/>
        <v>0.66</v>
      </c>
      <c r="N232" s="36">
        <f t="shared" si="100"/>
        <v>0</v>
      </c>
      <c r="O232" s="36">
        <f t="shared" ref="O232:O254" si="101">M160</f>
        <v>0</v>
      </c>
      <c r="P232" s="36">
        <f t="shared" ref="P232:P254" si="102">M160</f>
        <v>0</v>
      </c>
    </row>
    <row r="233" spans="4:16" x14ac:dyDescent="0.25">
      <c r="D233" s="36" t="s">
        <v>68</v>
      </c>
      <c r="E233" s="36" t="s">
        <v>162</v>
      </c>
      <c r="F233" s="36" t="str">
        <f t="shared" si="99"/>
        <v>Autumn</v>
      </c>
      <c r="G233" s="36">
        <f t="shared" si="99"/>
        <v>0.9</v>
      </c>
      <c r="H233" s="36">
        <f t="shared" si="99"/>
        <v>-1.1000000000000001</v>
      </c>
      <c r="I233" s="36">
        <f t="shared" si="99"/>
        <v>0.7</v>
      </c>
      <c r="J233" s="36">
        <f t="shared" si="99"/>
        <v>0.22</v>
      </c>
      <c r="K233" s="36">
        <f t="shared" si="99"/>
        <v>-0.55000000000000004</v>
      </c>
      <c r="L233" s="36">
        <f t="shared" ref="L233:N233" si="103">K161</f>
        <v>-0.55000000000000004</v>
      </c>
      <c r="M233" s="36">
        <f t="shared" si="103"/>
        <v>0.8</v>
      </c>
      <c r="N233" s="36">
        <f t="shared" si="103"/>
        <v>-0.22</v>
      </c>
      <c r="O233" s="36">
        <f t="shared" si="101"/>
        <v>-0.22</v>
      </c>
      <c r="P233" s="36">
        <f t="shared" si="102"/>
        <v>-0.22</v>
      </c>
    </row>
    <row r="234" spans="4:16" x14ac:dyDescent="0.25">
      <c r="D234" s="36" t="s">
        <v>68</v>
      </c>
      <c r="E234" s="36" t="s">
        <v>162</v>
      </c>
      <c r="F234" s="36" t="str">
        <f t="shared" si="99"/>
        <v>Winter</v>
      </c>
      <c r="G234" s="36">
        <f t="shared" si="99"/>
        <v>0.88</v>
      </c>
      <c r="H234" s="36">
        <f t="shared" si="99"/>
        <v>0</v>
      </c>
      <c r="I234" s="36">
        <f t="shared" si="99"/>
        <v>0.77</v>
      </c>
      <c r="J234" s="36">
        <f t="shared" si="99"/>
        <v>0.55000000000000004</v>
      </c>
      <c r="K234" s="36">
        <f t="shared" si="99"/>
        <v>0</v>
      </c>
      <c r="L234" s="36">
        <f t="shared" ref="L234:N234" si="104">K162</f>
        <v>0</v>
      </c>
      <c r="M234" s="36">
        <f t="shared" si="104"/>
        <v>0.82</v>
      </c>
      <c r="N234" s="36">
        <f t="shared" si="104"/>
        <v>0</v>
      </c>
      <c r="O234" s="36">
        <f t="shared" si="101"/>
        <v>0</v>
      </c>
      <c r="P234" s="36">
        <f t="shared" si="102"/>
        <v>0</v>
      </c>
    </row>
    <row r="235" spans="4:16" x14ac:dyDescent="0.25">
      <c r="D235" s="36" t="s">
        <v>69</v>
      </c>
      <c r="E235" s="36" t="s">
        <v>162</v>
      </c>
      <c r="F235" s="36" t="str">
        <f t="shared" si="99"/>
        <v>Spring</v>
      </c>
      <c r="G235" s="36">
        <f t="shared" si="99"/>
        <v>1</v>
      </c>
      <c r="H235" s="36">
        <f t="shared" si="99"/>
        <v>0.5</v>
      </c>
      <c r="I235" s="36">
        <f t="shared" si="99"/>
        <v>1</v>
      </c>
      <c r="J235" s="36">
        <f t="shared" si="99"/>
        <v>1</v>
      </c>
      <c r="K235" s="36">
        <f t="shared" si="99"/>
        <v>-0.44</v>
      </c>
      <c r="L235" s="36">
        <f t="shared" ref="L235:N235" si="105">K163</f>
        <v>-0.44</v>
      </c>
      <c r="M235" s="36">
        <f t="shared" si="105"/>
        <v>1</v>
      </c>
      <c r="N235" s="36">
        <f t="shared" si="105"/>
        <v>0.5</v>
      </c>
      <c r="O235" s="36">
        <f t="shared" si="101"/>
        <v>0.5</v>
      </c>
      <c r="P235" s="36">
        <f t="shared" si="102"/>
        <v>0.5</v>
      </c>
    </row>
    <row r="236" spans="4:16" x14ac:dyDescent="0.25">
      <c r="D236" s="36" t="s">
        <v>69</v>
      </c>
      <c r="E236" s="36" t="s">
        <v>162</v>
      </c>
      <c r="F236" s="36" t="str">
        <f t="shared" si="99"/>
        <v>Summer</v>
      </c>
      <c r="G236" s="36">
        <f t="shared" si="99"/>
        <v>0.82</v>
      </c>
      <c r="H236" s="36">
        <f t="shared" si="99"/>
        <v>0.55000000000000004</v>
      </c>
      <c r="I236" s="36">
        <f t="shared" si="99"/>
        <v>0.71</v>
      </c>
      <c r="J236" s="36">
        <f t="shared" si="99"/>
        <v>0.55000000000000004</v>
      </c>
      <c r="K236" s="36">
        <f t="shared" si="99"/>
        <v>0.99</v>
      </c>
      <c r="L236" s="36">
        <f t="shared" ref="L236:N236" si="106">K164</f>
        <v>0.99</v>
      </c>
      <c r="M236" s="36">
        <f t="shared" si="106"/>
        <v>0.77</v>
      </c>
      <c r="N236" s="36">
        <f t="shared" si="106"/>
        <v>0.5</v>
      </c>
      <c r="O236" s="36">
        <f t="shared" si="101"/>
        <v>0.5</v>
      </c>
      <c r="P236" s="36">
        <f t="shared" si="102"/>
        <v>0.5</v>
      </c>
    </row>
    <row r="237" spans="4:16" x14ac:dyDescent="0.25">
      <c r="D237" s="36" t="s">
        <v>69</v>
      </c>
      <c r="E237" s="36" t="s">
        <v>162</v>
      </c>
      <c r="F237" s="36" t="str">
        <f t="shared" si="99"/>
        <v>Autumn</v>
      </c>
      <c r="G237" s="36">
        <f t="shared" si="99"/>
        <v>0.77</v>
      </c>
      <c r="H237" s="36">
        <f t="shared" si="99"/>
        <v>0.5</v>
      </c>
      <c r="I237" s="36">
        <f t="shared" si="99"/>
        <v>0.55000000000000004</v>
      </c>
      <c r="J237" s="36">
        <f t="shared" si="99"/>
        <v>0.11</v>
      </c>
      <c r="K237" s="36">
        <f t="shared" si="99"/>
        <v>-0.33</v>
      </c>
      <c r="L237" s="36">
        <f t="shared" ref="L237:N237" si="107">K165</f>
        <v>-0.33</v>
      </c>
      <c r="M237" s="36">
        <f t="shared" si="107"/>
        <v>0.6</v>
      </c>
      <c r="N237" s="36">
        <f t="shared" si="107"/>
        <v>0.33</v>
      </c>
      <c r="O237" s="36">
        <f t="shared" si="101"/>
        <v>0.33</v>
      </c>
      <c r="P237" s="36">
        <f t="shared" si="102"/>
        <v>0.33</v>
      </c>
    </row>
    <row r="238" spans="4:16" x14ac:dyDescent="0.25">
      <c r="D238" s="36" t="s">
        <v>69</v>
      </c>
      <c r="E238" s="36" t="s">
        <v>162</v>
      </c>
      <c r="F238" s="36" t="str">
        <f t="shared" si="99"/>
        <v>Winter</v>
      </c>
      <c r="G238" s="36">
        <f t="shared" si="99"/>
        <v>0.11</v>
      </c>
      <c r="H238" s="36">
        <f t="shared" si="99"/>
        <v>-0.27</v>
      </c>
      <c r="I238" s="36">
        <f t="shared" si="99"/>
        <v>0.11</v>
      </c>
      <c r="J238" s="36">
        <f t="shared" si="99"/>
        <v>0.22</v>
      </c>
      <c r="K238" s="36">
        <f t="shared" si="99"/>
        <v>-0.44</v>
      </c>
      <c r="L238" s="36">
        <f t="shared" ref="L238:N238" si="108">K166</f>
        <v>-0.44</v>
      </c>
      <c r="M238" s="36">
        <f t="shared" si="108"/>
        <v>0.16</v>
      </c>
      <c r="N238" s="36">
        <f t="shared" si="108"/>
        <v>-0.22</v>
      </c>
      <c r="O238" s="36">
        <f t="shared" si="101"/>
        <v>-0.22</v>
      </c>
      <c r="P238" s="36">
        <f t="shared" si="102"/>
        <v>-0.22</v>
      </c>
    </row>
    <row r="239" spans="4:16" x14ac:dyDescent="0.25">
      <c r="D239" s="36" t="s">
        <v>70</v>
      </c>
      <c r="E239" s="36" t="s">
        <v>162</v>
      </c>
      <c r="F239" s="36" t="str">
        <f t="shared" si="99"/>
        <v>Spring</v>
      </c>
      <c r="G239" s="36">
        <f t="shared" si="99"/>
        <v>1.1000000000000001</v>
      </c>
      <c r="H239" s="36">
        <f t="shared" si="99"/>
        <v>1.1000000000000001</v>
      </c>
      <c r="I239" s="36">
        <f t="shared" si="99"/>
        <v>1.1000000000000001</v>
      </c>
      <c r="J239" s="36">
        <f t="shared" si="99"/>
        <v>0.99</v>
      </c>
      <c r="K239" s="36">
        <f t="shared" si="99"/>
        <v>0.99</v>
      </c>
      <c r="L239" s="36">
        <f t="shared" ref="L239:N239" si="109">K167</f>
        <v>0.99</v>
      </c>
      <c r="M239" s="36">
        <f t="shared" si="109"/>
        <v>1.1000000000000001</v>
      </c>
      <c r="N239" s="36">
        <f t="shared" si="109"/>
        <v>0.77</v>
      </c>
      <c r="O239" s="36">
        <f t="shared" si="101"/>
        <v>0.77</v>
      </c>
      <c r="P239" s="36">
        <f t="shared" si="102"/>
        <v>0.77</v>
      </c>
    </row>
    <row r="240" spans="4:16" x14ac:dyDescent="0.25">
      <c r="D240" s="36" t="s">
        <v>70</v>
      </c>
      <c r="E240" s="36" t="s">
        <v>162</v>
      </c>
      <c r="F240" s="36" t="str">
        <f t="shared" si="99"/>
        <v>Summer</v>
      </c>
      <c r="G240" s="36">
        <f t="shared" si="99"/>
        <v>0.33</v>
      </c>
      <c r="H240" s="36">
        <f t="shared" si="99"/>
        <v>0.33</v>
      </c>
      <c r="I240" s="36">
        <f t="shared" si="99"/>
        <v>0.22</v>
      </c>
      <c r="J240" s="36">
        <f t="shared" si="99"/>
        <v>0.33</v>
      </c>
      <c r="K240" s="36">
        <f t="shared" si="99"/>
        <v>-0.1</v>
      </c>
      <c r="L240" s="36">
        <f t="shared" ref="L240:N240" si="110">K168</f>
        <v>-0.1</v>
      </c>
      <c r="M240" s="36">
        <f t="shared" si="110"/>
        <v>0.33</v>
      </c>
      <c r="N240" s="36">
        <f t="shared" si="110"/>
        <v>0.11</v>
      </c>
      <c r="O240" s="36">
        <f t="shared" si="101"/>
        <v>0.11</v>
      </c>
      <c r="P240" s="36">
        <f t="shared" si="102"/>
        <v>0.11</v>
      </c>
    </row>
    <row r="241" spans="4:16" x14ac:dyDescent="0.25">
      <c r="D241" s="36" t="s">
        <v>70</v>
      </c>
      <c r="E241" s="36" t="s">
        <v>162</v>
      </c>
      <c r="F241" s="36" t="str">
        <f t="shared" si="99"/>
        <v>Autumn</v>
      </c>
      <c r="G241" s="36">
        <f t="shared" si="99"/>
        <v>0.5</v>
      </c>
      <c r="H241" s="36">
        <f t="shared" si="99"/>
        <v>0.2</v>
      </c>
      <c r="I241" s="36">
        <f t="shared" si="99"/>
        <v>0.55000000000000004</v>
      </c>
      <c r="J241" s="36">
        <f t="shared" si="99"/>
        <v>0.44</v>
      </c>
      <c r="K241" s="36">
        <f t="shared" si="99"/>
        <v>0.2</v>
      </c>
      <c r="L241" s="36">
        <f t="shared" ref="L241:N241" si="111">K169</f>
        <v>0.2</v>
      </c>
      <c r="M241" s="36">
        <f t="shared" si="111"/>
        <v>0.55000000000000004</v>
      </c>
      <c r="N241" s="36">
        <f t="shared" si="111"/>
        <v>0.2</v>
      </c>
      <c r="O241" s="36">
        <f t="shared" si="101"/>
        <v>0.2</v>
      </c>
      <c r="P241" s="36">
        <f t="shared" si="102"/>
        <v>0.2</v>
      </c>
    </row>
    <row r="242" spans="4:16" x14ac:dyDescent="0.25">
      <c r="D242" s="36" t="s">
        <v>70</v>
      </c>
      <c r="E242" s="36" t="s">
        <v>162</v>
      </c>
      <c r="F242" s="36" t="str">
        <f t="shared" si="99"/>
        <v>Winter</v>
      </c>
      <c r="G242" s="36">
        <f t="shared" si="99"/>
        <v>0.55000000000000004</v>
      </c>
      <c r="H242" s="36">
        <f t="shared" si="99"/>
        <v>0.22</v>
      </c>
      <c r="I242" s="36">
        <f t="shared" si="99"/>
        <v>0.49</v>
      </c>
      <c r="J242" s="36">
        <f t="shared" si="99"/>
        <v>0.22</v>
      </c>
      <c r="K242" s="36">
        <f t="shared" si="99"/>
        <v>0.22</v>
      </c>
      <c r="L242" s="36">
        <f t="shared" ref="L242:N242" si="112">K170</f>
        <v>0.22</v>
      </c>
      <c r="M242" s="36">
        <f t="shared" si="112"/>
        <v>0.49</v>
      </c>
      <c r="N242" s="36">
        <f t="shared" si="112"/>
        <v>0.33</v>
      </c>
      <c r="O242" s="36">
        <f t="shared" si="101"/>
        <v>0.33</v>
      </c>
      <c r="P242" s="36">
        <f t="shared" si="102"/>
        <v>0.33</v>
      </c>
    </row>
    <row r="243" spans="4:16" x14ac:dyDescent="0.25">
      <c r="D243" s="36" t="s">
        <v>71</v>
      </c>
      <c r="E243" s="36" t="str">
        <f>E171</f>
        <v>South West</v>
      </c>
      <c r="F243" s="36" t="str">
        <f t="shared" si="99"/>
        <v>Spring</v>
      </c>
      <c r="G243" s="36">
        <f t="shared" si="99"/>
        <v>1.64</v>
      </c>
      <c r="H243" s="36">
        <f t="shared" si="99"/>
        <v>1.1000000000000001</v>
      </c>
      <c r="I243" s="36">
        <f t="shared" si="99"/>
        <v>1.21</v>
      </c>
      <c r="J243" s="36">
        <f t="shared" si="99"/>
        <v>0.99</v>
      </c>
      <c r="K243" s="36">
        <f t="shared" si="99"/>
        <v>0.66</v>
      </c>
      <c r="L243" s="36">
        <f t="shared" ref="L243:N243" si="113">K171</f>
        <v>0.66</v>
      </c>
      <c r="M243" s="36">
        <f t="shared" si="113"/>
        <v>1.42</v>
      </c>
      <c r="N243" s="36">
        <f t="shared" si="113"/>
        <v>1.1000000000000001</v>
      </c>
      <c r="O243" s="36">
        <f t="shared" si="101"/>
        <v>1.1000000000000001</v>
      </c>
      <c r="P243" s="36">
        <f t="shared" si="102"/>
        <v>1.1000000000000001</v>
      </c>
    </row>
    <row r="244" spans="4:16" x14ac:dyDescent="0.25">
      <c r="D244" s="36" t="s">
        <v>71</v>
      </c>
      <c r="E244" s="36" t="str">
        <f t="shared" ref="E244:E254" si="114">E172</f>
        <v>South West</v>
      </c>
      <c r="F244" s="36" t="str">
        <f t="shared" si="99"/>
        <v>Summer</v>
      </c>
      <c r="G244" s="36">
        <f t="shared" si="99"/>
        <v>0.44</v>
      </c>
      <c r="H244" s="36">
        <f t="shared" si="99"/>
        <v>-0.22</v>
      </c>
      <c r="I244" s="36">
        <f t="shared" si="99"/>
        <v>0.44</v>
      </c>
      <c r="J244" s="36">
        <f t="shared" si="99"/>
        <v>0.33</v>
      </c>
      <c r="K244" s="36">
        <f t="shared" si="99"/>
        <v>-0.22</v>
      </c>
      <c r="L244" s="36">
        <f t="shared" ref="L244:N244" si="115">K172</f>
        <v>-0.22</v>
      </c>
      <c r="M244" s="36">
        <f t="shared" si="115"/>
        <v>0.44</v>
      </c>
      <c r="N244" s="36">
        <f t="shared" si="115"/>
        <v>-0.11</v>
      </c>
      <c r="O244" s="36">
        <f t="shared" si="101"/>
        <v>-0.11</v>
      </c>
      <c r="P244" s="36">
        <f t="shared" si="102"/>
        <v>-0.11</v>
      </c>
    </row>
    <row r="245" spans="4:16" x14ac:dyDescent="0.25">
      <c r="D245" s="36" t="s">
        <v>71</v>
      </c>
      <c r="E245" s="36" t="str">
        <f t="shared" si="114"/>
        <v>South West</v>
      </c>
      <c r="F245" s="36" t="str">
        <f t="shared" si="99"/>
        <v>Autumn</v>
      </c>
      <c r="G245" s="36">
        <f t="shared" si="99"/>
        <v>0.6</v>
      </c>
      <c r="H245" s="36">
        <f t="shared" si="99"/>
        <v>0</v>
      </c>
      <c r="I245" s="36">
        <f t="shared" si="99"/>
        <v>0.6</v>
      </c>
      <c r="J245" s="36">
        <f t="shared" si="99"/>
        <v>0.22</v>
      </c>
      <c r="K245" s="36">
        <f t="shared" si="99"/>
        <v>-0.55000000000000004</v>
      </c>
      <c r="L245" s="36">
        <f t="shared" ref="L245:N245" si="116">K173</f>
        <v>-0.55000000000000004</v>
      </c>
      <c r="M245" s="36">
        <f t="shared" si="116"/>
        <v>0.6</v>
      </c>
      <c r="N245" s="36">
        <f t="shared" si="116"/>
        <v>0</v>
      </c>
      <c r="O245" s="36">
        <f t="shared" si="101"/>
        <v>0</v>
      </c>
      <c r="P245" s="36">
        <f t="shared" si="102"/>
        <v>0</v>
      </c>
    </row>
    <row r="246" spans="4:16" x14ac:dyDescent="0.25">
      <c r="D246" s="36" t="s">
        <v>71</v>
      </c>
      <c r="E246" s="36" t="str">
        <f t="shared" si="114"/>
        <v>South West</v>
      </c>
      <c r="F246" s="36" t="str">
        <f t="shared" si="99"/>
        <v>Winter</v>
      </c>
      <c r="G246" s="36">
        <f t="shared" si="99"/>
        <v>0.99</v>
      </c>
      <c r="H246" s="36">
        <f t="shared" si="99"/>
        <v>0.22</v>
      </c>
      <c r="I246" s="36">
        <f t="shared" si="99"/>
        <v>0.77</v>
      </c>
      <c r="J246" s="36">
        <f t="shared" si="99"/>
        <v>0.11</v>
      </c>
      <c r="K246" s="36">
        <f t="shared" si="99"/>
        <v>0.11</v>
      </c>
      <c r="L246" s="36">
        <f t="shared" ref="L246:N246" si="117">K174</f>
        <v>0.11</v>
      </c>
      <c r="M246" s="36">
        <f t="shared" si="117"/>
        <v>0.77</v>
      </c>
      <c r="N246" s="36">
        <f t="shared" si="117"/>
        <v>0.44</v>
      </c>
      <c r="O246" s="36">
        <f t="shared" si="101"/>
        <v>0.44</v>
      </c>
      <c r="P246" s="36">
        <f t="shared" si="102"/>
        <v>0.44</v>
      </c>
    </row>
    <row r="247" spans="4:16" x14ac:dyDescent="0.25">
      <c r="D247" s="36" t="s">
        <v>71</v>
      </c>
      <c r="E247" s="36" t="str">
        <f t="shared" si="114"/>
        <v>Pilbara</v>
      </c>
      <c r="F247" s="36" t="str">
        <f t="shared" si="99"/>
        <v>Spring</v>
      </c>
      <c r="G247" s="36">
        <f t="shared" si="99"/>
        <v>0.7</v>
      </c>
      <c r="H247" s="36">
        <f t="shared" si="99"/>
        <v>-0.55000000000000004</v>
      </c>
      <c r="I247" s="36">
        <f t="shared" si="99"/>
        <v>0.7</v>
      </c>
      <c r="J247" s="36">
        <f t="shared" si="99"/>
        <v>0.22</v>
      </c>
      <c r="K247" s="36">
        <f t="shared" si="99"/>
        <v>-0.22</v>
      </c>
      <c r="L247" s="36">
        <f t="shared" ref="L247:N247" si="118">K175</f>
        <v>-0.22</v>
      </c>
      <c r="M247" s="36">
        <f t="shared" si="118"/>
        <v>0.7</v>
      </c>
      <c r="N247" s="36">
        <f t="shared" si="118"/>
        <v>-0.22</v>
      </c>
      <c r="O247" s="36">
        <f t="shared" si="101"/>
        <v>-0.22</v>
      </c>
      <c r="P247" s="36">
        <f t="shared" si="102"/>
        <v>-0.22</v>
      </c>
    </row>
    <row r="248" spans="4:16" x14ac:dyDescent="0.25">
      <c r="D248" s="36" t="s">
        <v>71</v>
      </c>
      <c r="E248" s="36" t="str">
        <f t="shared" si="114"/>
        <v>Pilbara</v>
      </c>
      <c r="F248" s="36" t="str">
        <f t="shared" si="99"/>
        <v>Summer</v>
      </c>
      <c r="G248" s="36">
        <f t="shared" si="99"/>
        <v>0.77</v>
      </c>
      <c r="H248" s="36">
        <f t="shared" si="99"/>
        <v>0.55000000000000004</v>
      </c>
      <c r="I248" s="36">
        <f t="shared" si="99"/>
        <v>0.77</v>
      </c>
      <c r="J248" s="36">
        <f t="shared" si="99"/>
        <v>0.66</v>
      </c>
      <c r="K248" s="36">
        <f t="shared" si="99"/>
        <v>0.55000000000000004</v>
      </c>
      <c r="L248" s="36">
        <f t="shared" ref="L248:N248" si="119">K176</f>
        <v>0.55000000000000004</v>
      </c>
      <c r="M248" s="36">
        <f t="shared" si="119"/>
        <v>0.77</v>
      </c>
      <c r="N248" s="36">
        <f t="shared" si="119"/>
        <v>0.33</v>
      </c>
      <c r="O248" s="36">
        <f t="shared" si="101"/>
        <v>0.33</v>
      </c>
      <c r="P248" s="36">
        <f t="shared" si="102"/>
        <v>0.33</v>
      </c>
    </row>
    <row r="249" spans="4:16" x14ac:dyDescent="0.25">
      <c r="D249" s="36" t="s">
        <v>71</v>
      </c>
      <c r="E249" s="36" t="str">
        <f t="shared" si="114"/>
        <v>Pilbara</v>
      </c>
      <c r="F249" s="36" t="str">
        <f t="shared" si="99"/>
        <v>Autumn</v>
      </c>
      <c r="G249" s="36">
        <f t="shared" si="99"/>
        <v>0.88</v>
      </c>
      <c r="H249" s="36">
        <f t="shared" si="99"/>
        <v>0.55000000000000004</v>
      </c>
      <c r="I249" s="36">
        <f t="shared" si="99"/>
        <v>0.88</v>
      </c>
      <c r="J249" s="36">
        <f t="shared" si="99"/>
        <v>0.22</v>
      </c>
      <c r="K249" s="36">
        <f t="shared" si="99"/>
        <v>0.22</v>
      </c>
      <c r="L249" s="36">
        <f t="shared" ref="L249:N249" si="120">K177</f>
        <v>0.22</v>
      </c>
      <c r="M249" s="36">
        <f t="shared" si="120"/>
        <v>0.88</v>
      </c>
      <c r="N249" s="36">
        <f t="shared" si="120"/>
        <v>0.22</v>
      </c>
      <c r="O249" s="36">
        <f t="shared" si="101"/>
        <v>0.22</v>
      </c>
      <c r="P249" s="36">
        <f t="shared" si="102"/>
        <v>0.22</v>
      </c>
    </row>
    <row r="250" spans="4:16" x14ac:dyDescent="0.25">
      <c r="D250" s="36" t="s">
        <v>71</v>
      </c>
      <c r="E250" s="36" t="str">
        <f t="shared" si="114"/>
        <v>Pilbara</v>
      </c>
      <c r="F250" s="36" t="str">
        <f t="shared" si="99"/>
        <v>Winter</v>
      </c>
      <c r="G250" s="36">
        <f t="shared" si="99"/>
        <v>0.22</v>
      </c>
      <c r="H250" s="36">
        <f t="shared" si="99"/>
        <v>-0.55000000000000004</v>
      </c>
      <c r="I250" s="36">
        <f t="shared" si="99"/>
        <v>0.22</v>
      </c>
      <c r="J250" s="36">
        <f t="shared" si="99"/>
        <v>0.11</v>
      </c>
      <c r="K250" s="36">
        <f t="shared" si="99"/>
        <v>-0.22</v>
      </c>
      <c r="L250" s="36">
        <f t="shared" ref="L250:N250" si="121">K178</f>
        <v>-0.22</v>
      </c>
      <c r="M250" s="36">
        <f t="shared" si="121"/>
        <v>0.22</v>
      </c>
      <c r="N250" s="36">
        <f t="shared" si="121"/>
        <v>-0.33</v>
      </c>
      <c r="O250" s="36">
        <f t="shared" si="101"/>
        <v>-0.33</v>
      </c>
      <c r="P250" s="36">
        <f t="shared" si="102"/>
        <v>-0.33</v>
      </c>
    </row>
    <row r="251" spans="4:16" x14ac:dyDescent="0.25">
      <c r="D251" s="36" t="s">
        <v>71</v>
      </c>
      <c r="E251" s="36" t="str">
        <f t="shared" si="114"/>
        <v>Kimberley</v>
      </c>
      <c r="F251" s="36" t="str">
        <f t="shared" si="99"/>
        <v>Spring</v>
      </c>
      <c r="G251" s="36">
        <f t="shared" si="99"/>
        <v>0.22</v>
      </c>
      <c r="H251" s="36">
        <f t="shared" si="99"/>
        <v>-0.55000000000000004</v>
      </c>
      <c r="I251" s="36">
        <f t="shared" si="99"/>
        <v>0.33</v>
      </c>
      <c r="J251" s="36">
        <f t="shared" si="99"/>
        <v>0.22</v>
      </c>
      <c r="K251" s="36">
        <f t="shared" si="99"/>
        <v>-0.33</v>
      </c>
      <c r="L251" s="36">
        <f t="shared" ref="L251:N251" si="122">K179</f>
        <v>-0.33</v>
      </c>
      <c r="M251" s="36">
        <f t="shared" si="122"/>
        <v>0.22</v>
      </c>
      <c r="N251" s="36">
        <f t="shared" si="122"/>
        <v>-0.55000000000000004</v>
      </c>
      <c r="O251" s="36">
        <f t="shared" si="101"/>
        <v>-0.55000000000000004</v>
      </c>
      <c r="P251" s="36">
        <f t="shared" si="102"/>
        <v>-0.55000000000000004</v>
      </c>
    </row>
    <row r="252" spans="4:16" x14ac:dyDescent="0.25">
      <c r="D252" s="36" t="s">
        <v>71</v>
      </c>
      <c r="E252" s="36" t="str">
        <f t="shared" si="114"/>
        <v>Kimberley</v>
      </c>
      <c r="F252" s="36" t="str">
        <f t="shared" si="99"/>
        <v>Summer</v>
      </c>
      <c r="G252" s="36">
        <f t="shared" si="99"/>
        <v>0.8</v>
      </c>
      <c r="H252" s="36">
        <f t="shared" si="99"/>
        <v>0.55000000000000004</v>
      </c>
      <c r="I252" s="36">
        <f t="shared" si="99"/>
        <v>0.7</v>
      </c>
      <c r="J252" s="36">
        <f t="shared" si="99"/>
        <v>0.44</v>
      </c>
      <c r="K252" s="36">
        <f t="shared" si="99"/>
        <v>0.66</v>
      </c>
      <c r="L252" s="36">
        <f t="shared" ref="L252:N252" si="123">K180</f>
        <v>0.66</v>
      </c>
      <c r="M252" s="36">
        <f t="shared" si="123"/>
        <v>0.8</v>
      </c>
      <c r="N252" s="36">
        <f t="shared" si="123"/>
        <v>0.55000000000000004</v>
      </c>
      <c r="O252" s="36">
        <f t="shared" si="101"/>
        <v>0.55000000000000004</v>
      </c>
      <c r="P252" s="36">
        <f t="shared" si="102"/>
        <v>0.55000000000000004</v>
      </c>
    </row>
    <row r="253" spans="4:16" x14ac:dyDescent="0.25">
      <c r="D253" s="36" t="s">
        <v>71</v>
      </c>
      <c r="E253" s="36" t="str">
        <f t="shared" si="114"/>
        <v>Kimberley</v>
      </c>
      <c r="F253" s="36" t="str">
        <f t="shared" si="99"/>
        <v>Autumn</v>
      </c>
      <c r="G253" s="36">
        <f t="shared" si="99"/>
        <v>0.66</v>
      </c>
      <c r="H253" s="36">
        <f t="shared" si="99"/>
        <v>0.55000000000000004</v>
      </c>
      <c r="I253" s="36">
        <f t="shared" si="99"/>
        <v>0.55000000000000004</v>
      </c>
      <c r="J253" s="36">
        <f t="shared" si="99"/>
        <v>0.55000000000000004</v>
      </c>
      <c r="K253" s="36">
        <f t="shared" si="99"/>
        <v>0.11</v>
      </c>
      <c r="L253" s="36">
        <f t="shared" ref="L253:N253" si="124">K181</f>
        <v>0.11</v>
      </c>
      <c r="M253" s="36">
        <f t="shared" si="124"/>
        <v>0.66</v>
      </c>
      <c r="N253" s="36">
        <f t="shared" si="124"/>
        <v>0.55000000000000004</v>
      </c>
      <c r="O253" s="36">
        <f t="shared" si="101"/>
        <v>0.55000000000000004</v>
      </c>
      <c r="P253" s="36">
        <f t="shared" si="102"/>
        <v>0.55000000000000004</v>
      </c>
    </row>
    <row r="254" spans="4:16" x14ac:dyDescent="0.25">
      <c r="D254" s="36" t="s">
        <v>71</v>
      </c>
      <c r="E254" s="36" t="str">
        <f t="shared" si="114"/>
        <v>Kimberley</v>
      </c>
      <c r="F254" s="36" t="str">
        <f t="shared" si="99"/>
        <v>Winter</v>
      </c>
      <c r="G254" s="36">
        <f t="shared" si="99"/>
        <v>0.33</v>
      </c>
      <c r="H254" s="36">
        <f t="shared" si="99"/>
        <v>-0.55000000000000004</v>
      </c>
      <c r="I254" s="36">
        <f t="shared" si="99"/>
        <v>0.11</v>
      </c>
      <c r="J254" s="36">
        <f t="shared" si="99"/>
        <v>0.11</v>
      </c>
      <c r="K254" s="36">
        <f t="shared" si="99"/>
        <v>-0.44</v>
      </c>
      <c r="L254" s="36">
        <f t="shared" ref="L254:N254" si="125">K182</f>
        <v>-0.44</v>
      </c>
      <c r="M254" s="36">
        <f t="shared" si="125"/>
        <v>0.33</v>
      </c>
      <c r="N254" s="36">
        <f t="shared" si="125"/>
        <v>-0.55000000000000004</v>
      </c>
      <c r="O254" s="36">
        <f t="shared" si="101"/>
        <v>-0.55000000000000004</v>
      </c>
      <c r="P254" s="36">
        <f t="shared" si="102"/>
        <v>-0.55000000000000004</v>
      </c>
    </row>
    <row r="255" spans="4:16" x14ac:dyDescent="0.25">
      <c r="D255" s="36" t="s">
        <v>66</v>
      </c>
      <c r="E255" s="36" t="str">
        <f>E190</f>
        <v>Alice Springs</v>
      </c>
      <c r="F255" s="36" t="str">
        <f>F190</f>
        <v>Spring</v>
      </c>
      <c r="G255" s="36">
        <f>G190</f>
        <v>0.22</v>
      </c>
      <c r="H255" s="36">
        <f t="shared" ref="H255:P255" si="126">H190</f>
        <v>-0.23</v>
      </c>
      <c r="I255" s="36">
        <f t="shared" si="126"/>
        <v>0.25</v>
      </c>
      <c r="J255" s="36">
        <f t="shared" si="126"/>
        <v>0.17</v>
      </c>
      <c r="K255" s="36">
        <f t="shared" si="126"/>
        <v>0.18</v>
      </c>
      <c r="L255" s="36">
        <f t="shared" si="126"/>
        <v>-0.28000000000000003</v>
      </c>
      <c r="M255" s="36">
        <f t="shared" si="126"/>
        <v>0.32</v>
      </c>
      <c r="N255" s="36">
        <f t="shared" si="126"/>
        <v>0.24</v>
      </c>
      <c r="O255" s="36">
        <f t="shared" si="126"/>
        <v>0.25</v>
      </c>
      <c r="P255" s="36">
        <f t="shared" si="126"/>
        <v>-0.05</v>
      </c>
    </row>
    <row r="256" spans="4:16" x14ac:dyDescent="0.25">
      <c r="D256" s="36" t="s">
        <v>66</v>
      </c>
      <c r="E256" s="36" t="str">
        <f t="shared" ref="E256:P282" si="127">E191</f>
        <v>Alice Springs</v>
      </c>
      <c r="F256" s="36" t="str">
        <f t="shared" si="127"/>
        <v>Summer</v>
      </c>
      <c r="G256" s="36">
        <f t="shared" si="127"/>
        <v>0.66</v>
      </c>
      <c r="H256" s="36">
        <f t="shared" si="127"/>
        <v>0.2</v>
      </c>
      <c r="I256" s="36">
        <f t="shared" si="127"/>
        <v>0.62</v>
      </c>
      <c r="J256" s="36">
        <f t="shared" si="127"/>
        <v>0.54</v>
      </c>
      <c r="K256" s="36">
        <f t="shared" si="127"/>
        <v>0.38</v>
      </c>
      <c r="L256" s="36">
        <f t="shared" si="127"/>
        <v>0.27</v>
      </c>
      <c r="M256" s="36">
        <f t="shared" si="127"/>
        <v>0.75</v>
      </c>
      <c r="N256" s="36">
        <f t="shared" si="127"/>
        <v>0.64</v>
      </c>
      <c r="O256" s="36">
        <f t="shared" si="127"/>
        <v>0.55000000000000004</v>
      </c>
      <c r="P256" s="36">
        <f t="shared" si="127"/>
        <v>0.48</v>
      </c>
    </row>
    <row r="257" spans="4:16" x14ac:dyDescent="0.25">
      <c r="D257" s="36" t="s">
        <v>66</v>
      </c>
      <c r="E257" s="36" t="str">
        <f t="shared" si="127"/>
        <v>Alice Springs</v>
      </c>
      <c r="F257" s="36" t="str">
        <f t="shared" si="127"/>
        <v>Autumn</v>
      </c>
      <c r="G257" s="36">
        <f t="shared" si="127"/>
        <v>0.49</v>
      </c>
      <c r="H257" s="36">
        <f t="shared" si="127"/>
        <v>0.13</v>
      </c>
      <c r="I257" s="36">
        <f t="shared" si="127"/>
        <v>0.54</v>
      </c>
      <c r="J257" s="36">
        <f t="shared" si="127"/>
        <v>0.45</v>
      </c>
      <c r="K257" s="36">
        <f t="shared" si="127"/>
        <v>0.35</v>
      </c>
      <c r="L257" s="36">
        <f t="shared" si="127"/>
        <v>0.15</v>
      </c>
      <c r="M257" s="36">
        <f t="shared" si="127"/>
        <v>0.63</v>
      </c>
      <c r="N257" s="36">
        <f t="shared" si="127"/>
        <v>0.54</v>
      </c>
      <c r="O257" s="36">
        <f t="shared" si="127"/>
        <v>0.42</v>
      </c>
      <c r="P257" s="36">
        <f t="shared" si="127"/>
        <v>0.26</v>
      </c>
    </row>
    <row r="258" spans="4:16" x14ac:dyDescent="0.25">
      <c r="D258" s="36" t="s">
        <v>66</v>
      </c>
      <c r="E258" s="36" t="str">
        <f t="shared" si="127"/>
        <v>Alice Springs</v>
      </c>
      <c r="F258" s="36" t="str">
        <f t="shared" si="127"/>
        <v>Winter</v>
      </c>
      <c r="G258" s="36">
        <f t="shared" si="127"/>
        <v>0.27</v>
      </c>
      <c r="H258" s="36">
        <f t="shared" si="127"/>
        <v>-0.8</v>
      </c>
      <c r="I258" s="36">
        <f t="shared" si="127"/>
        <v>0.22</v>
      </c>
      <c r="J258" s="36">
        <f t="shared" si="127"/>
        <v>0.09</v>
      </c>
      <c r="K258" s="36">
        <f t="shared" si="127"/>
        <v>0.12</v>
      </c>
      <c r="L258" s="36">
        <f t="shared" si="127"/>
        <v>0.02</v>
      </c>
      <c r="M258" s="36">
        <f t="shared" si="127"/>
        <v>0.25</v>
      </c>
      <c r="N258" s="36">
        <f t="shared" si="127"/>
        <v>0.18</v>
      </c>
      <c r="O258" s="36">
        <f t="shared" si="127"/>
        <v>0.12</v>
      </c>
      <c r="P258" s="36">
        <f t="shared" si="127"/>
        <v>0.03</v>
      </c>
    </row>
    <row r="259" spans="4:16" x14ac:dyDescent="0.25">
      <c r="D259" s="36" t="s">
        <v>66</v>
      </c>
      <c r="E259" s="36" t="str">
        <f t="shared" si="127"/>
        <v>Barkly</v>
      </c>
      <c r="F259" s="36" t="str">
        <f t="shared" si="127"/>
        <v>Spring</v>
      </c>
      <c r="G259" s="36">
        <f t="shared" si="127"/>
        <v>0.22</v>
      </c>
      <c r="H259" s="36">
        <f t="shared" si="127"/>
        <v>-0.44</v>
      </c>
      <c r="I259" s="36">
        <f t="shared" si="127"/>
        <v>0.2</v>
      </c>
      <c r="J259" s="36">
        <f t="shared" si="127"/>
        <v>0.21</v>
      </c>
      <c r="K259" s="36">
        <f t="shared" si="127"/>
        <v>0.18</v>
      </c>
      <c r="L259" s="36">
        <f t="shared" si="127"/>
        <v>0.01</v>
      </c>
      <c r="M259" s="36">
        <f t="shared" si="127"/>
        <v>0.12</v>
      </c>
      <c r="N259" s="36">
        <f t="shared" si="127"/>
        <v>0.09</v>
      </c>
      <c r="O259" s="36" t="str">
        <f t="shared" si="127"/>
        <v>NO</v>
      </c>
      <c r="P259" s="36" t="str">
        <f t="shared" si="127"/>
        <v>NO</v>
      </c>
    </row>
    <row r="260" spans="4:16" x14ac:dyDescent="0.25">
      <c r="D260" s="36" t="s">
        <v>66</v>
      </c>
      <c r="E260" s="36" t="str">
        <f t="shared" si="127"/>
        <v>Barkly</v>
      </c>
      <c r="F260" s="36" t="str">
        <f t="shared" si="127"/>
        <v>Summer</v>
      </c>
      <c r="G260" s="36">
        <f t="shared" si="127"/>
        <v>0.66</v>
      </c>
      <c r="H260" s="36">
        <f t="shared" si="127"/>
        <v>0.22</v>
      </c>
      <c r="I260" s="36">
        <f t="shared" si="127"/>
        <v>0.68</v>
      </c>
      <c r="J260" s="36">
        <f t="shared" si="127"/>
        <v>0.22</v>
      </c>
      <c r="K260" s="36">
        <f t="shared" si="127"/>
        <v>0.24</v>
      </c>
      <c r="L260" s="36">
        <f t="shared" si="127"/>
        <v>0.25</v>
      </c>
      <c r="M260" s="36">
        <f t="shared" si="127"/>
        <v>0.64</v>
      </c>
      <c r="N260" s="36">
        <f t="shared" si="127"/>
        <v>0.37</v>
      </c>
      <c r="O260" s="36" t="str">
        <f t="shared" si="127"/>
        <v>NO</v>
      </c>
      <c r="P260" s="36" t="str">
        <f t="shared" si="127"/>
        <v>NO</v>
      </c>
    </row>
    <row r="261" spans="4:16" x14ac:dyDescent="0.25">
      <c r="D261" s="36" t="s">
        <v>66</v>
      </c>
      <c r="E261" s="36" t="str">
        <f t="shared" si="127"/>
        <v>Barkly</v>
      </c>
      <c r="F261" s="36" t="str">
        <f t="shared" si="127"/>
        <v>Autumn</v>
      </c>
      <c r="G261" s="36">
        <f t="shared" si="127"/>
        <v>0.49</v>
      </c>
      <c r="H261" s="36">
        <f t="shared" si="127"/>
        <v>0.05</v>
      </c>
      <c r="I261" s="36">
        <f t="shared" si="127"/>
        <v>0.64</v>
      </c>
      <c r="J261" s="36">
        <f t="shared" si="127"/>
        <v>0.25</v>
      </c>
      <c r="K261" s="36">
        <f t="shared" si="127"/>
        <v>0.28999999999999998</v>
      </c>
      <c r="L261" s="36">
        <f t="shared" si="127"/>
        <v>0.12</v>
      </c>
      <c r="M261" s="36">
        <f t="shared" si="127"/>
        <v>0.56999999999999995</v>
      </c>
      <c r="N261" s="36">
        <f t="shared" si="127"/>
        <v>0.49</v>
      </c>
      <c r="O261" s="36" t="str">
        <f t="shared" si="127"/>
        <v>NO</v>
      </c>
      <c r="P261" s="36" t="str">
        <f t="shared" si="127"/>
        <v>NO</v>
      </c>
    </row>
    <row r="262" spans="4:16" x14ac:dyDescent="0.25">
      <c r="D262" s="36" t="s">
        <v>66</v>
      </c>
      <c r="E262" s="36" t="str">
        <f t="shared" si="127"/>
        <v>Barkly</v>
      </c>
      <c r="F262" s="36" t="str">
        <f t="shared" si="127"/>
        <v>Winter</v>
      </c>
      <c r="G262" s="36">
        <f t="shared" si="127"/>
        <v>0.27</v>
      </c>
      <c r="H262" s="36">
        <f t="shared" si="127"/>
        <v>-0.27</v>
      </c>
      <c r="I262" s="36">
        <f t="shared" si="127"/>
        <v>0.31</v>
      </c>
      <c r="J262" s="36">
        <f t="shared" si="127"/>
        <v>0.28999999999999998</v>
      </c>
      <c r="K262" s="36">
        <f t="shared" si="127"/>
        <v>0.19</v>
      </c>
      <c r="L262" s="36">
        <f t="shared" si="127"/>
        <v>0.04</v>
      </c>
      <c r="M262" s="36">
        <f t="shared" si="127"/>
        <v>0.26</v>
      </c>
      <c r="N262" s="36">
        <f t="shared" si="127"/>
        <v>0.28000000000000003</v>
      </c>
      <c r="O262" s="36" t="str">
        <f t="shared" si="127"/>
        <v>NO</v>
      </c>
      <c r="P262" s="36" t="str">
        <f t="shared" si="127"/>
        <v>NO</v>
      </c>
    </row>
    <row r="263" spans="4:16" x14ac:dyDescent="0.25">
      <c r="D263" s="36" t="s">
        <v>66</v>
      </c>
      <c r="E263" s="36" t="str">
        <f t="shared" si="127"/>
        <v>Northern</v>
      </c>
      <c r="F263" s="36" t="str">
        <f t="shared" si="127"/>
        <v>Spring</v>
      </c>
      <c r="G263" s="36">
        <f t="shared" si="127"/>
        <v>0.22</v>
      </c>
      <c r="H263" s="36">
        <f t="shared" si="127"/>
        <v>-0.44</v>
      </c>
      <c r="I263" s="36">
        <f t="shared" si="127"/>
        <v>0</v>
      </c>
      <c r="J263" s="36">
        <f t="shared" si="127"/>
        <v>0.15</v>
      </c>
      <c r="K263" s="36">
        <f t="shared" si="127"/>
        <v>0.08</v>
      </c>
      <c r="L263" s="36">
        <f t="shared" si="127"/>
        <v>0.17</v>
      </c>
      <c r="M263" s="36">
        <f t="shared" si="127"/>
        <v>0.06</v>
      </c>
      <c r="N263" s="36">
        <f t="shared" si="127"/>
        <v>0.02</v>
      </c>
      <c r="O263" s="36">
        <f t="shared" si="127"/>
        <v>-0.14000000000000001</v>
      </c>
      <c r="P263" s="36" t="str">
        <f t="shared" si="127"/>
        <v>NO</v>
      </c>
    </row>
    <row r="264" spans="4:16" x14ac:dyDescent="0.25">
      <c r="D264" s="36" t="s">
        <v>66</v>
      </c>
      <c r="E264" s="36" t="str">
        <f t="shared" si="127"/>
        <v>Northern</v>
      </c>
      <c r="F264" s="36" t="str">
        <f t="shared" si="127"/>
        <v>Summer</v>
      </c>
      <c r="G264" s="36">
        <f t="shared" si="127"/>
        <v>0.66</v>
      </c>
      <c r="H264" s="36">
        <f t="shared" si="127"/>
        <v>0.22</v>
      </c>
      <c r="I264" s="36">
        <f t="shared" si="127"/>
        <v>0.79</v>
      </c>
      <c r="J264" s="36">
        <f t="shared" si="127"/>
        <v>0.4</v>
      </c>
      <c r="K264" s="36">
        <f t="shared" si="127"/>
        <v>0.38</v>
      </c>
      <c r="L264" s="36">
        <f t="shared" si="127"/>
        <v>0.27</v>
      </c>
      <c r="M264" s="36">
        <f t="shared" si="127"/>
        <v>0.8</v>
      </c>
      <c r="N264" s="36">
        <f t="shared" si="127"/>
        <v>0.16</v>
      </c>
      <c r="O264" s="36">
        <f t="shared" si="127"/>
        <v>0.3</v>
      </c>
      <c r="P264" s="36" t="str">
        <f t="shared" si="127"/>
        <v>NO</v>
      </c>
    </row>
    <row r="265" spans="4:16" x14ac:dyDescent="0.25">
      <c r="D265" s="36" t="s">
        <v>66</v>
      </c>
      <c r="E265" s="36" t="str">
        <f t="shared" si="127"/>
        <v>Northern</v>
      </c>
      <c r="F265" s="36" t="str">
        <f t="shared" si="127"/>
        <v>Autumn</v>
      </c>
      <c r="G265" s="36">
        <f t="shared" si="127"/>
        <v>0.49</v>
      </c>
      <c r="H265" s="36">
        <f t="shared" si="127"/>
        <v>0.05</v>
      </c>
      <c r="I265" s="36">
        <f t="shared" si="127"/>
        <v>0.55000000000000004</v>
      </c>
      <c r="J265" s="36">
        <f t="shared" si="127"/>
        <v>0.38</v>
      </c>
      <c r="K265" s="36">
        <f t="shared" si="127"/>
        <v>0.36</v>
      </c>
      <c r="L265" s="36">
        <f t="shared" si="127"/>
        <v>0.06</v>
      </c>
      <c r="M265" s="36">
        <f t="shared" si="127"/>
        <v>0.57999999999999996</v>
      </c>
      <c r="N265" s="36">
        <f t="shared" si="127"/>
        <v>0.23</v>
      </c>
      <c r="O265" s="36">
        <f t="shared" si="127"/>
        <v>0.4</v>
      </c>
      <c r="P265" s="36" t="str">
        <f t="shared" si="127"/>
        <v>NO</v>
      </c>
    </row>
    <row r="266" spans="4:16" x14ac:dyDescent="0.25">
      <c r="D266" s="36" t="s">
        <v>66</v>
      </c>
      <c r="E266" s="36" t="str">
        <f t="shared" si="127"/>
        <v>Northern</v>
      </c>
      <c r="F266" s="36" t="str">
        <f t="shared" si="127"/>
        <v>Winter</v>
      </c>
      <c r="G266" s="36">
        <f t="shared" si="127"/>
        <v>0.27</v>
      </c>
      <c r="H266" s="36">
        <f t="shared" si="127"/>
        <v>-0.27</v>
      </c>
      <c r="I266" s="36">
        <f t="shared" si="127"/>
        <v>0.02</v>
      </c>
      <c r="J266" s="36">
        <f t="shared" si="127"/>
        <v>0.09</v>
      </c>
      <c r="K266" s="36">
        <f t="shared" si="127"/>
        <v>0.16</v>
      </c>
      <c r="L266" s="36">
        <f t="shared" si="127"/>
        <v>-0.04</v>
      </c>
      <c r="M266" s="36">
        <f t="shared" si="127"/>
        <v>0.21</v>
      </c>
      <c r="N266" s="36">
        <f t="shared" si="127"/>
        <v>0.03</v>
      </c>
      <c r="O266" s="36">
        <f t="shared" si="127"/>
        <v>0.11</v>
      </c>
      <c r="P266" s="36" t="str">
        <f t="shared" si="127"/>
        <v>NO</v>
      </c>
    </row>
    <row r="267" spans="4:16" x14ac:dyDescent="0.25">
      <c r="D267" s="36" t="s">
        <v>67</v>
      </c>
      <c r="E267" s="36" t="str">
        <f t="shared" si="127"/>
        <v>High</v>
      </c>
      <c r="F267" s="36" t="str">
        <f t="shared" si="127"/>
        <v>Spring</v>
      </c>
      <c r="G267" s="36">
        <f t="shared" si="127"/>
        <v>0.27</v>
      </c>
      <c r="H267" s="36">
        <f t="shared" si="127"/>
        <v>-0.19</v>
      </c>
      <c r="I267" s="36">
        <f t="shared" si="127"/>
        <v>0.38</v>
      </c>
      <c r="J267" s="36">
        <f t="shared" si="127"/>
        <v>0.25</v>
      </c>
      <c r="K267" s="36">
        <f t="shared" si="127"/>
        <v>7.0000000000000007E-2</v>
      </c>
      <c r="L267" s="36">
        <f t="shared" si="127"/>
        <v>0.05</v>
      </c>
      <c r="M267" s="36">
        <f t="shared" si="127"/>
        <v>0.52</v>
      </c>
      <c r="N267" s="36">
        <f t="shared" si="127"/>
        <v>0.55000000000000004</v>
      </c>
      <c r="O267" s="36">
        <f t="shared" si="127"/>
        <v>0.19</v>
      </c>
      <c r="P267" s="36">
        <f t="shared" si="127"/>
        <v>0.6</v>
      </c>
    </row>
    <row r="268" spans="4:16" x14ac:dyDescent="0.25">
      <c r="D268" s="36" t="s">
        <v>67</v>
      </c>
      <c r="E268" s="36" t="str">
        <f t="shared" si="127"/>
        <v>High</v>
      </c>
      <c r="F268" s="36" t="str">
        <f t="shared" si="127"/>
        <v>Summer</v>
      </c>
      <c r="G268" s="36">
        <f t="shared" si="127"/>
        <v>0.16</v>
      </c>
      <c r="H268" s="36">
        <f t="shared" si="127"/>
        <v>0.16</v>
      </c>
      <c r="I268" s="36">
        <f t="shared" si="127"/>
        <v>0.8</v>
      </c>
      <c r="J268" s="36">
        <f t="shared" si="127"/>
        <v>0.56999999999999995</v>
      </c>
      <c r="K268" s="36">
        <f t="shared" si="127"/>
        <v>0.76</v>
      </c>
      <c r="L268" s="36">
        <f t="shared" si="127"/>
        <v>0.49</v>
      </c>
      <c r="M268" s="36">
        <f t="shared" si="127"/>
        <v>0.84</v>
      </c>
      <c r="N268" s="36">
        <f t="shared" si="127"/>
        <v>0.51</v>
      </c>
      <c r="O268" s="36">
        <f t="shared" si="127"/>
        <v>0.36</v>
      </c>
      <c r="P268" s="36">
        <f t="shared" si="127"/>
        <v>0.17</v>
      </c>
    </row>
    <row r="269" spans="4:16" x14ac:dyDescent="0.25">
      <c r="D269" s="36" t="s">
        <v>67</v>
      </c>
      <c r="E269" s="36" t="str">
        <f t="shared" si="127"/>
        <v>High</v>
      </c>
      <c r="F269" s="36" t="str">
        <f t="shared" si="127"/>
        <v>Autumn</v>
      </c>
      <c r="G269" s="36">
        <f t="shared" si="127"/>
        <v>0.45</v>
      </c>
      <c r="H269" s="36">
        <f t="shared" si="127"/>
        <v>0.1</v>
      </c>
      <c r="I269" s="36">
        <f t="shared" si="127"/>
        <v>0.49</v>
      </c>
      <c r="J269" s="36">
        <f t="shared" si="127"/>
        <v>0.41</v>
      </c>
      <c r="K269" s="36">
        <f t="shared" si="127"/>
        <v>0.4</v>
      </c>
      <c r="L269" s="36">
        <f t="shared" si="127"/>
        <v>0.17</v>
      </c>
      <c r="M269" s="36">
        <f t="shared" si="127"/>
        <v>0.54</v>
      </c>
      <c r="N269" s="36">
        <f t="shared" si="127"/>
        <v>0.64</v>
      </c>
      <c r="O269" s="36">
        <f t="shared" si="127"/>
        <v>-0.05</v>
      </c>
      <c r="P269" s="36">
        <f t="shared" si="127"/>
        <v>0.32</v>
      </c>
    </row>
    <row r="270" spans="4:16" x14ac:dyDescent="0.25">
      <c r="D270" s="36" t="s">
        <v>67</v>
      </c>
      <c r="E270" s="36" t="str">
        <f t="shared" si="127"/>
        <v>High</v>
      </c>
      <c r="F270" s="36" t="str">
        <f t="shared" si="127"/>
        <v>Winter</v>
      </c>
      <c r="G270" s="36">
        <f t="shared" si="127"/>
        <v>0.51</v>
      </c>
      <c r="H270" s="36">
        <f t="shared" si="127"/>
        <v>-7.0000000000000007E-2</v>
      </c>
      <c r="I270" s="36">
        <f t="shared" si="127"/>
        <v>0.13</v>
      </c>
      <c r="J270" s="36">
        <f t="shared" si="127"/>
        <v>-0.09</v>
      </c>
      <c r="K270" s="36">
        <f t="shared" si="127"/>
        <v>-0.13</v>
      </c>
      <c r="L270" s="36">
        <f t="shared" si="127"/>
        <v>7.0000000000000007E-2</v>
      </c>
      <c r="M270" s="36">
        <f t="shared" si="127"/>
        <v>0.25</v>
      </c>
      <c r="N270" s="36">
        <f t="shared" si="127"/>
        <v>0.71</v>
      </c>
      <c r="O270" s="36">
        <f t="shared" si="127"/>
        <v>0.17</v>
      </c>
      <c r="P270" s="36">
        <f t="shared" si="127"/>
        <v>0.43</v>
      </c>
    </row>
    <row r="271" spans="4:16" x14ac:dyDescent="0.25">
      <c r="D271" s="36" t="s">
        <v>67</v>
      </c>
      <c r="E271" s="36" t="str">
        <f t="shared" si="127"/>
        <v>Moderate/High</v>
      </c>
      <c r="F271" s="36" t="str">
        <f t="shared" si="127"/>
        <v>Spring</v>
      </c>
      <c r="G271" s="36">
        <f t="shared" si="127"/>
        <v>-0.12</v>
      </c>
      <c r="H271" s="36">
        <f t="shared" si="127"/>
        <v>-0.19</v>
      </c>
      <c r="I271" s="36">
        <f t="shared" si="127"/>
        <v>0.41</v>
      </c>
      <c r="J271" s="36">
        <f t="shared" si="127"/>
        <v>0.09</v>
      </c>
      <c r="K271" s="36">
        <f t="shared" si="127"/>
        <v>0.41</v>
      </c>
      <c r="L271" s="36">
        <f t="shared" si="127"/>
        <v>-0.19</v>
      </c>
      <c r="M271" s="36">
        <f t="shared" si="127"/>
        <v>7.0000000000000007E-2</v>
      </c>
      <c r="N271" s="36">
        <f t="shared" si="127"/>
        <v>1.07</v>
      </c>
      <c r="O271" s="36">
        <f t="shared" si="127"/>
        <v>-0.08</v>
      </c>
      <c r="P271" s="36">
        <f t="shared" si="127"/>
        <v>0</v>
      </c>
    </row>
    <row r="272" spans="4:16" x14ac:dyDescent="0.25">
      <c r="D272" s="36" t="s">
        <v>67</v>
      </c>
      <c r="E272" s="36" t="str">
        <f t="shared" si="127"/>
        <v>Moderate/High</v>
      </c>
      <c r="F272" s="36" t="str">
        <f t="shared" si="127"/>
        <v>Summer</v>
      </c>
      <c r="G272" s="36">
        <f t="shared" si="127"/>
        <v>0.65</v>
      </c>
      <c r="H272" s="36">
        <f t="shared" si="127"/>
        <v>0.19</v>
      </c>
      <c r="I272" s="36">
        <f t="shared" si="127"/>
        <v>0.65</v>
      </c>
      <c r="J272" s="36">
        <f t="shared" si="127"/>
        <v>0.51</v>
      </c>
      <c r="K272" s="36">
        <f t="shared" si="127"/>
        <v>0.18</v>
      </c>
      <c r="L272" s="36">
        <f t="shared" si="127"/>
        <v>0.63</v>
      </c>
      <c r="M272" s="36">
        <f t="shared" si="127"/>
        <v>1.3</v>
      </c>
      <c r="N272" s="36">
        <f t="shared" si="127"/>
        <v>0.48</v>
      </c>
      <c r="O272" s="36">
        <f t="shared" si="127"/>
        <v>1.1200000000000001</v>
      </c>
      <c r="P272" s="36">
        <f t="shared" si="127"/>
        <v>0.38</v>
      </c>
    </row>
    <row r="273" spans="4:16" x14ac:dyDescent="0.25">
      <c r="D273" s="36" t="s">
        <v>67</v>
      </c>
      <c r="E273" s="36" t="str">
        <f t="shared" si="127"/>
        <v>Moderate/High</v>
      </c>
      <c r="F273" s="36" t="str">
        <f t="shared" si="127"/>
        <v>Autumn</v>
      </c>
      <c r="G273" s="36">
        <f t="shared" si="127"/>
        <v>0.7</v>
      </c>
      <c r="H273" s="36">
        <f t="shared" si="127"/>
        <v>0.13</v>
      </c>
      <c r="I273" s="36">
        <f t="shared" si="127"/>
        <v>0.52</v>
      </c>
      <c r="J273" s="36">
        <f t="shared" si="127"/>
        <v>0.34</v>
      </c>
      <c r="K273" s="36">
        <f t="shared" si="127"/>
        <v>0.02</v>
      </c>
      <c r="L273" s="36">
        <f t="shared" si="127"/>
        <v>0.04</v>
      </c>
      <c r="M273" s="36">
        <f t="shared" si="127"/>
        <v>0.77</v>
      </c>
      <c r="N273" s="36">
        <f t="shared" si="127"/>
        <v>0.42</v>
      </c>
      <c r="O273" s="36">
        <f t="shared" si="127"/>
        <v>0.12</v>
      </c>
      <c r="P273" s="36">
        <f t="shared" si="127"/>
        <v>0.74</v>
      </c>
    </row>
    <row r="274" spans="4:16" x14ac:dyDescent="0.25">
      <c r="D274" s="36" t="s">
        <v>67</v>
      </c>
      <c r="E274" s="36" t="str">
        <f t="shared" si="127"/>
        <v>Moderate/High</v>
      </c>
      <c r="F274" s="36" t="str">
        <f t="shared" si="127"/>
        <v>Winter</v>
      </c>
      <c r="G274" s="36">
        <f t="shared" si="127"/>
        <v>0.32</v>
      </c>
      <c r="H274" s="36">
        <f t="shared" si="127"/>
        <v>-0.06</v>
      </c>
      <c r="I274" s="36">
        <f t="shared" si="127"/>
        <v>0.25</v>
      </c>
      <c r="J274" s="36">
        <f t="shared" si="127"/>
        <v>0.19</v>
      </c>
      <c r="K274" s="36">
        <f t="shared" si="127"/>
        <v>-0.1</v>
      </c>
      <c r="L274" s="36">
        <f t="shared" si="127"/>
        <v>-0.02</v>
      </c>
      <c r="M274" s="36">
        <f t="shared" si="127"/>
        <v>0.02</v>
      </c>
      <c r="N274" s="36">
        <f t="shared" si="127"/>
        <v>0.23</v>
      </c>
      <c r="O274" s="36">
        <f t="shared" si="127"/>
        <v>-0.13</v>
      </c>
      <c r="P274" s="36">
        <f t="shared" si="127"/>
        <v>0</v>
      </c>
    </row>
    <row r="275" spans="4:16" x14ac:dyDescent="0.25">
      <c r="D275" s="36" t="s">
        <v>67</v>
      </c>
      <c r="E275" s="36" t="str">
        <f t="shared" si="127"/>
        <v>Moderate/Low</v>
      </c>
      <c r="F275" s="36" t="str">
        <f t="shared" si="127"/>
        <v>Spring</v>
      </c>
      <c r="G275" s="36">
        <f t="shared" si="127"/>
        <v>0.62</v>
      </c>
      <c r="H275" s="36">
        <f t="shared" si="127"/>
        <v>-0.19</v>
      </c>
      <c r="I275" s="36">
        <f t="shared" si="127"/>
        <v>0.37</v>
      </c>
      <c r="J275" s="36">
        <f t="shared" si="127"/>
        <v>0.41</v>
      </c>
      <c r="K275" s="36">
        <f t="shared" si="127"/>
        <v>0.06</v>
      </c>
      <c r="L275" s="36">
        <f t="shared" si="127"/>
        <v>-0.02</v>
      </c>
      <c r="M275" s="36">
        <f t="shared" si="127"/>
        <v>0.47</v>
      </c>
      <c r="N275" s="36">
        <f t="shared" si="127"/>
        <v>0.44</v>
      </c>
      <c r="O275" s="36">
        <f t="shared" si="127"/>
        <v>0.3</v>
      </c>
      <c r="P275" s="36">
        <f t="shared" si="127"/>
        <v>0.13</v>
      </c>
    </row>
    <row r="276" spans="4:16" x14ac:dyDescent="0.25">
      <c r="D276" s="36" t="s">
        <v>67</v>
      </c>
      <c r="E276" s="36" t="str">
        <f t="shared" si="127"/>
        <v>Moderate/Low</v>
      </c>
      <c r="F276" s="36" t="str">
        <f t="shared" si="127"/>
        <v>Summer</v>
      </c>
      <c r="G276" s="36">
        <f t="shared" si="127"/>
        <v>0.05</v>
      </c>
      <c r="H276" s="36">
        <f t="shared" ref="H276:P276" si="128">H211</f>
        <v>0.19</v>
      </c>
      <c r="I276" s="36">
        <f t="shared" si="128"/>
        <v>0.31</v>
      </c>
      <c r="J276" s="36">
        <f t="shared" si="128"/>
        <v>0.54</v>
      </c>
      <c r="K276" s="36">
        <f t="shared" si="128"/>
        <v>0.53</v>
      </c>
      <c r="L276" s="36">
        <f t="shared" si="128"/>
        <v>0.15</v>
      </c>
      <c r="M276" s="36">
        <f t="shared" si="128"/>
        <v>0.28000000000000003</v>
      </c>
      <c r="N276" s="36">
        <f t="shared" si="128"/>
        <v>0.56999999999999995</v>
      </c>
      <c r="O276" s="36">
        <f t="shared" si="128"/>
        <v>0.42</v>
      </c>
      <c r="P276" s="36">
        <f t="shared" si="128"/>
        <v>0.4</v>
      </c>
    </row>
    <row r="277" spans="4:16" x14ac:dyDescent="0.25">
      <c r="D277" s="36" t="s">
        <v>67</v>
      </c>
      <c r="E277" s="36" t="str">
        <f t="shared" si="127"/>
        <v>Moderate/Low</v>
      </c>
      <c r="F277" s="36" t="str">
        <f t="shared" si="127"/>
        <v>Autumn</v>
      </c>
      <c r="G277" s="36">
        <f t="shared" ref="G277:P277" si="129">G212</f>
        <v>0.33</v>
      </c>
      <c r="H277" s="36">
        <f t="shared" si="129"/>
        <v>0.13</v>
      </c>
      <c r="I277" s="36">
        <f t="shared" si="129"/>
        <v>0.39</v>
      </c>
      <c r="J277" s="36">
        <f t="shared" si="129"/>
        <v>0.36</v>
      </c>
      <c r="K277" s="36">
        <f t="shared" si="129"/>
        <v>0.26</v>
      </c>
      <c r="L277" s="36">
        <f t="shared" si="129"/>
        <v>0.11</v>
      </c>
      <c r="M277" s="36">
        <f t="shared" si="129"/>
        <v>0.4</v>
      </c>
      <c r="N277" s="36">
        <f t="shared" si="129"/>
        <v>0.44</v>
      </c>
      <c r="O277" s="36">
        <f t="shared" si="129"/>
        <v>0.37</v>
      </c>
      <c r="P277" s="36">
        <f t="shared" si="129"/>
        <v>-0.01</v>
      </c>
    </row>
    <row r="278" spans="4:16" x14ac:dyDescent="0.25">
      <c r="D278" s="36" t="s">
        <v>67</v>
      </c>
      <c r="E278" s="36" t="str">
        <f t="shared" si="127"/>
        <v>Moderate/Low</v>
      </c>
      <c r="F278" s="36" t="str">
        <f t="shared" si="127"/>
        <v>Winter</v>
      </c>
      <c r="G278" s="36">
        <f t="shared" ref="G278:P278" si="130">G213</f>
        <v>0.61</v>
      </c>
      <c r="H278" s="36">
        <f t="shared" si="130"/>
        <v>-0.06</v>
      </c>
      <c r="I278" s="36">
        <f t="shared" si="130"/>
        <v>0.21</v>
      </c>
      <c r="J278" s="36">
        <f t="shared" si="130"/>
        <v>0.18</v>
      </c>
      <c r="K278" s="36">
        <f t="shared" si="130"/>
        <v>0.12</v>
      </c>
      <c r="L278" s="36">
        <f t="shared" si="130"/>
        <v>0.06</v>
      </c>
      <c r="M278" s="36">
        <f t="shared" si="130"/>
        <v>0.28999999999999998</v>
      </c>
      <c r="N278" s="36">
        <f t="shared" si="130"/>
        <v>0.41</v>
      </c>
      <c r="O278" s="36">
        <f t="shared" si="130"/>
        <v>0.41</v>
      </c>
      <c r="P278" s="36">
        <f t="shared" si="130"/>
        <v>-0.15</v>
      </c>
    </row>
    <row r="279" spans="4:16" x14ac:dyDescent="0.25">
      <c r="D279" s="36" t="s">
        <v>67</v>
      </c>
      <c r="E279" s="36" t="str">
        <f t="shared" si="127"/>
        <v>Low</v>
      </c>
      <c r="F279" s="36" t="str">
        <f t="shared" si="127"/>
        <v>Spring</v>
      </c>
      <c r="G279" s="36">
        <f t="shared" ref="G279:P279" si="131">G214</f>
        <v>-0.2</v>
      </c>
      <c r="H279" s="36">
        <f t="shared" si="131"/>
        <v>0.02</v>
      </c>
      <c r="I279" s="36">
        <f t="shared" si="131"/>
        <v>0.24</v>
      </c>
      <c r="J279" s="36">
        <f t="shared" si="131"/>
        <v>0.3</v>
      </c>
      <c r="K279" s="36">
        <f t="shared" si="131"/>
        <v>0.23</v>
      </c>
      <c r="L279" s="36">
        <f t="shared" si="131"/>
        <v>-0.05</v>
      </c>
      <c r="M279" s="36">
        <f t="shared" si="131"/>
        <v>0.34</v>
      </c>
      <c r="N279" s="36">
        <f t="shared" si="131"/>
        <v>0.3</v>
      </c>
      <c r="O279" s="36">
        <f t="shared" si="131"/>
        <v>0.56999999999999995</v>
      </c>
      <c r="P279" s="36">
        <f t="shared" si="131"/>
        <v>0.52</v>
      </c>
    </row>
    <row r="280" spans="4:16" x14ac:dyDescent="0.25">
      <c r="D280" s="36" t="s">
        <v>67</v>
      </c>
      <c r="E280" s="36" t="str">
        <f t="shared" si="127"/>
        <v>Low</v>
      </c>
      <c r="F280" s="36" t="str">
        <f t="shared" si="127"/>
        <v>Summer</v>
      </c>
      <c r="G280" s="36">
        <f t="shared" ref="G280:P280" si="132">G215</f>
        <v>0.62</v>
      </c>
      <c r="H280" s="36">
        <f t="shared" si="132"/>
        <v>0.21</v>
      </c>
      <c r="I280" s="36">
        <f t="shared" si="132"/>
        <v>0.25</v>
      </c>
      <c r="J280" s="36">
        <f t="shared" si="132"/>
        <v>0.32</v>
      </c>
      <c r="K280" s="36">
        <f t="shared" si="132"/>
        <v>0.47</v>
      </c>
      <c r="L280" s="36">
        <f t="shared" si="132"/>
        <v>0.31</v>
      </c>
      <c r="M280" s="36">
        <f t="shared" si="132"/>
        <v>0.14000000000000001</v>
      </c>
      <c r="N280" s="36">
        <f t="shared" si="132"/>
        <v>0.4</v>
      </c>
      <c r="O280" s="36">
        <f t="shared" si="132"/>
        <v>0.26</v>
      </c>
      <c r="P280" s="36">
        <f t="shared" si="132"/>
        <v>0.43</v>
      </c>
    </row>
    <row r="281" spans="4:16" x14ac:dyDescent="0.25">
      <c r="D281" s="36" t="s">
        <v>67</v>
      </c>
      <c r="E281" s="36" t="str">
        <f t="shared" si="127"/>
        <v>Low</v>
      </c>
      <c r="F281" s="36" t="str">
        <f t="shared" si="127"/>
        <v>Autumn</v>
      </c>
      <c r="G281" s="36">
        <f t="shared" ref="G281:P281" si="133">G216</f>
        <v>0.4</v>
      </c>
      <c r="H281" s="36">
        <f t="shared" si="133"/>
        <v>0.13</v>
      </c>
      <c r="I281" s="36">
        <f t="shared" si="133"/>
        <v>0.12</v>
      </c>
      <c r="J281" s="36">
        <f t="shared" si="133"/>
        <v>0.27</v>
      </c>
      <c r="K281" s="36">
        <f t="shared" si="133"/>
        <v>0.3</v>
      </c>
      <c r="L281" s="36">
        <f t="shared" si="133"/>
        <v>0.08</v>
      </c>
      <c r="M281" s="36">
        <f t="shared" si="133"/>
        <v>0.13</v>
      </c>
      <c r="N281" s="36">
        <f t="shared" si="133"/>
        <v>0.24</v>
      </c>
      <c r="O281" s="36">
        <f t="shared" si="133"/>
        <v>0.15</v>
      </c>
      <c r="P281" s="36">
        <f t="shared" si="133"/>
        <v>0.21</v>
      </c>
    </row>
    <row r="282" spans="4:16" x14ac:dyDescent="0.25">
      <c r="D282" s="36" t="s">
        <v>67</v>
      </c>
      <c r="E282" s="36" t="str">
        <f t="shared" si="127"/>
        <v>Low</v>
      </c>
      <c r="F282" s="36" t="str">
        <f t="shared" si="127"/>
        <v>Winter</v>
      </c>
      <c r="G282" s="36">
        <f t="shared" ref="G282:P282" si="134">G217</f>
        <v>0.08</v>
      </c>
      <c r="H282" s="36">
        <f t="shared" si="134"/>
        <v>0.04</v>
      </c>
      <c r="I282" s="36">
        <f t="shared" si="134"/>
        <v>0.06</v>
      </c>
      <c r="J282" s="36">
        <f t="shared" si="134"/>
        <v>0.18</v>
      </c>
      <c r="K282" s="36">
        <f t="shared" si="134"/>
        <v>0.11</v>
      </c>
      <c r="L282" s="36">
        <f t="shared" si="134"/>
        <v>-7.0000000000000007E-2</v>
      </c>
      <c r="M282" s="36">
        <f t="shared" si="134"/>
        <v>0.13</v>
      </c>
      <c r="N282" s="36">
        <f t="shared" si="134"/>
        <v>0.16</v>
      </c>
      <c r="O282" s="36">
        <f t="shared" si="134"/>
        <v>0.4</v>
      </c>
      <c r="P282" s="36">
        <f t="shared" si="134"/>
        <v>0.33</v>
      </c>
    </row>
    <row r="283" spans="4:16" x14ac:dyDescent="0.25">
      <c r="M283" s="22"/>
    </row>
    <row r="284" spans="4:16" x14ac:dyDescent="0.25">
      <c r="M284" s="22"/>
    </row>
    <row r="285" spans="4:16" ht="23.25" x14ac:dyDescent="0.25">
      <c r="D285" s="6" t="str" cm="1">
        <f t="array" ref="D285">SourceData_PastureBeef.SourceData_PastureBeef_DryMatterDigestibility_Title()</f>
        <v>Beef pasture cattle - Dry matter digestibility of feed intake (fraction) (DMDj)</v>
      </c>
      <c r="M285" s="22"/>
    </row>
    <row r="286" spans="4:16" x14ac:dyDescent="0.25">
      <c r="D286" s="5" t="str" cm="1">
        <f t="array" ref="D286">SourceData_PastureBeef.SourceData_PastureBeef_DryMatterDigestibility_Source()</f>
        <v>VEERG 2026: Table A.1.2.5</v>
      </c>
      <c r="M286" s="22"/>
    </row>
    <row r="287" spans="4:16" x14ac:dyDescent="0.25">
      <c r="D287" s="1" t="str" cm="1">
        <f t="array" ref="D287">SourceData_PastureBeef.SourceData_PastureBeef_DryMatterDigestibility_Variable()</f>
        <v>DMDj</v>
      </c>
      <c r="M287" s="22"/>
    </row>
    <row r="288" spans="4:16" x14ac:dyDescent="0.25">
      <c r="D288" s="53" t="str" cm="1">
        <f t="array" ref="D288">SourceData_PastureBeef.SourceData_PastureBeef_DryMatterDigestibility_Unit()</f>
        <v>fraction</v>
      </c>
      <c r="M288" s="22"/>
    </row>
    <row r="289" spans="4:13" x14ac:dyDescent="0.25">
      <c r="D289" s="54" t="str" cm="1">
        <f t="array" ref="D289">SourceData_PastureBeef.SourceData_PastureBeef_DryMatterDigestibility_Variation()</f>
        <v>VARIATION ON SOURCE: Split ACT and NSW into separate rows. Duplicated QLD and NT rows with regions from table A.1.2.2 to aid lookup</v>
      </c>
      <c r="M289" s="22"/>
    </row>
    <row r="290" spans="4:13" x14ac:dyDescent="0.25">
      <c r="D290" s="36" t="s">
        <v>5</v>
      </c>
      <c r="E290" s="36" t="s">
        <v>143</v>
      </c>
      <c r="F290" s="36" t="s">
        <v>133</v>
      </c>
      <c r="G290" s="36" t="s">
        <v>134</v>
      </c>
      <c r="H290" s="36" t="s">
        <v>135</v>
      </c>
      <c r="I290" s="36" t="s">
        <v>136</v>
      </c>
      <c r="M290" s="22"/>
    </row>
    <row r="291" spans="4:13" x14ac:dyDescent="0.25">
      <c r="D291" s="36" t="str" cm="1">
        <f t="array" ref="D291">Common_InputFunctions.Utility_DisplayArrayInTable(SourceData_PastureBeef.SourceData_PastureBeef_DryMatterDigestibility_Data(), Table_SourceData_PastureBeef_DryMatterDigestibility[[#Headers],[State]], 0)</f>
        <v>ACT</v>
      </c>
      <c r="E291" s="36" t="str" cm="1">
        <f t="array" ref="E291">Common_InputFunctions.Utility_DisplayArrayInTable(SourceData_PastureBeef.SourceData_PastureBeef_DryMatterDigestibility_Data(), Table_SourceData_PastureBeef_DryMatterDigestibility[[#Headers],[State]], 0)</f>
        <v>n/a</v>
      </c>
      <c r="F291" s="36" cm="1">
        <f t="array" ref="F291">Common_InputFunctions.Utility_DisplayArrayInTable(SourceData_PastureBeef.SourceData_PastureBeef_DryMatterDigestibility_Data(), Table_SourceData_PastureBeef_DryMatterDigestibility[[#Headers],[State]], 0)</f>
        <v>0.55000000000000004</v>
      </c>
      <c r="G291" s="36" cm="1">
        <f t="array" ref="G291">Common_InputFunctions.Utility_DisplayArrayInTable(SourceData_PastureBeef.SourceData_PastureBeef_DryMatterDigestibility_Data(), Table_SourceData_PastureBeef_DryMatterDigestibility[[#Headers],[State]], 0)</f>
        <v>0.65</v>
      </c>
      <c r="H291" s="36" cm="1">
        <f t="array" ref="H291">Common_InputFunctions.Utility_DisplayArrayInTable(SourceData_PastureBeef.SourceData_PastureBeef_DryMatterDigestibility_Data(), Table_SourceData_PastureBeef_DryMatterDigestibility[[#Headers],[State]], 0)</f>
        <v>0.6</v>
      </c>
      <c r="I291" s="36" cm="1">
        <f t="array" ref="I291">Common_InputFunctions.Utility_DisplayArrayInTable(SourceData_PastureBeef.SourceData_PastureBeef_DryMatterDigestibility_Data(), Table_SourceData_PastureBeef_DryMatterDigestibility[[#Headers],[State]], 0)</f>
        <v>0.5</v>
      </c>
      <c r="M291" s="22"/>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6" t="str" cm="1">
        <f t="array" ref="E292">Common_InputFunctions.Utility_DisplayArrayInTable(SourceData_PastureBeef.SourceData_PastureBeef_DryMatterDigestibility_Data(), Table_SourceData_PastureBeef_DryMatterDigestibility[[#Headers],[State]], 0)</f>
        <v>n/a</v>
      </c>
      <c r="F292" s="36" cm="1">
        <f t="array" ref="F292">Common_InputFunctions.Utility_DisplayArrayInTable(SourceData_PastureBeef.SourceData_PastureBeef_DryMatterDigestibility_Data(), Table_SourceData_PastureBeef_DryMatterDigestibility[[#Headers],[State]], 0)</f>
        <v>0.55000000000000004</v>
      </c>
      <c r="G292" s="36" cm="1">
        <f t="array" ref="G292">Common_InputFunctions.Utility_DisplayArrayInTable(SourceData_PastureBeef.SourceData_PastureBeef_DryMatterDigestibility_Data(), Table_SourceData_PastureBeef_DryMatterDigestibility[[#Headers],[State]], 0)</f>
        <v>0.65</v>
      </c>
      <c r="H292" s="36" cm="1">
        <f t="array" ref="H292">Common_InputFunctions.Utility_DisplayArrayInTable(SourceData_PastureBeef.SourceData_PastureBeef_DryMatterDigestibility_Data(), Table_SourceData_PastureBeef_DryMatterDigestibility[[#Headers],[State]], 0)</f>
        <v>0.6</v>
      </c>
      <c r="I292" s="36" cm="1">
        <f t="array" ref="I292">Common_InputFunctions.Utility_DisplayArrayInTable(SourceData_PastureBeef.SourceData_PastureBeef_DryMatterDigestibility_Data(), Table_SourceData_PastureBeef_DryMatterDigestibility[[#Headers],[State]], 0)</f>
        <v>0.5</v>
      </c>
      <c r="M292" s="22"/>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6" t="str" cm="1">
        <f t="array" ref="E293">Common_InputFunctions.Utility_DisplayArrayInTable(SourceData_PastureBeef.SourceData_PastureBeef_DryMatterDigestibility_Data(), Table_SourceData_PastureBeef_DryMatterDigestibility[[#Headers],[State]], 0)</f>
        <v>Alice Springs</v>
      </c>
      <c r="F293" s="36" cm="1">
        <f t="array" ref="F293">Common_InputFunctions.Utility_DisplayArrayInTable(SourceData_PastureBeef.SourceData_PastureBeef_DryMatterDigestibility_Data(), Table_SourceData_PastureBeef_DryMatterDigestibility[[#Headers],[State]], 0)</f>
        <v>0.55000000000000004</v>
      </c>
      <c r="G293" s="36" cm="1">
        <f t="array" ref="G293">Common_InputFunctions.Utility_DisplayArrayInTable(SourceData_PastureBeef.SourceData_PastureBeef_DryMatterDigestibility_Data(), Table_SourceData_PastureBeef_DryMatterDigestibility[[#Headers],[State]], 0)</f>
        <v>0.61</v>
      </c>
      <c r="H293" s="36" cm="1">
        <f t="array" ref="H293">Common_InputFunctions.Utility_DisplayArrayInTable(SourceData_PastureBeef.SourceData_PastureBeef_DryMatterDigestibility_Data(), Table_SourceData_PastureBeef_DryMatterDigestibility[[#Headers],[State]], 0)</f>
        <v>0.56999999999999995</v>
      </c>
      <c r="I293" s="36" cm="1">
        <f t="array" ref="I293">Common_InputFunctions.Utility_DisplayArrayInTable(SourceData_PastureBeef.SourceData_PastureBeef_DryMatterDigestibility_Data(), Table_SourceData_PastureBeef_DryMatterDigestibility[[#Headers],[State]], 0)</f>
        <v>0.54</v>
      </c>
      <c r="M293" s="22"/>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6" t="str" cm="1">
        <f t="array" ref="E294">Common_InputFunctions.Utility_DisplayArrayInTable(SourceData_PastureBeef.SourceData_PastureBeef_DryMatterDigestibility_Data(), Table_SourceData_PastureBeef_DryMatterDigestibility[[#Headers],[State]], 0)</f>
        <v>Barkly</v>
      </c>
      <c r="F294" s="36" cm="1">
        <f t="array" ref="F294">Common_InputFunctions.Utility_DisplayArrayInTable(SourceData_PastureBeef.SourceData_PastureBeef_DryMatterDigestibility_Data(), Table_SourceData_PastureBeef_DryMatterDigestibility[[#Headers],[State]], 0)</f>
        <v>0.55000000000000004</v>
      </c>
      <c r="G294" s="36" cm="1">
        <f t="array" ref="G294">Common_InputFunctions.Utility_DisplayArrayInTable(SourceData_PastureBeef.SourceData_PastureBeef_DryMatterDigestibility_Data(), Table_SourceData_PastureBeef_DryMatterDigestibility[[#Headers],[State]], 0)</f>
        <v>0.61</v>
      </c>
      <c r="H294" s="36" cm="1">
        <f t="array" ref="H294">Common_InputFunctions.Utility_DisplayArrayInTable(SourceData_PastureBeef.SourceData_PastureBeef_DryMatterDigestibility_Data(), Table_SourceData_PastureBeef_DryMatterDigestibility[[#Headers],[State]], 0)</f>
        <v>0.56999999999999995</v>
      </c>
      <c r="I294" s="36" cm="1">
        <f t="array" ref="I294">Common_InputFunctions.Utility_DisplayArrayInTable(SourceData_PastureBeef.SourceData_PastureBeef_DryMatterDigestibility_Data(), Table_SourceData_PastureBeef_DryMatterDigestibility[[#Headers],[State]], 0)</f>
        <v>0.54</v>
      </c>
      <c r="M294" s="22"/>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6" t="str" cm="1">
        <f t="array" ref="E295">Common_InputFunctions.Utility_DisplayArrayInTable(SourceData_PastureBeef.SourceData_PastureBeef_DryMatterDigestibility_Data(), Table_SourceData_PastureBeef_DryMatterDigestibility[[#Headers],[State]], 0)</f>
        <v>Northern</v>
      </c>
      <c r="F295" s="36" cm="1">
        <f t="array" ref="F295">Common_InputFunctions.Utility_DisplayArrayInTable(SourceData_PastureBeef.SourceData_PastureBeef_DryMatterDigestibility_Data(), Table_SourceData_PastureBeef_DryMatterDigestibility[[#Headers],[State]], 0)</f>
        <v>0.55000000000000004</v>
      </c>
      <c r="G295" s="36" cm="1">
        <f t="array" ref="G295">Common_InputFunctions.Utility_DisplayArrayInTable(SourceData_PastureBeef.SourceData_PastureBeef_DryMatterDigestibility_Data(), Table_SourceData_PastureBeef_DryMatterDigestibility[[#Headers],[State]], 0)</f>
        <v>0.61</v>
      </c>
      <c r="H295" s="36" cm="1">
        <f t="array" ref="H295">Common_InputFunctions.Utility_DisplayArrayInTable(SourceData_PastureBeef.SourceData_PastureBeef_DryMatterDigestibility_Data(), Table_SourceData_PastureBeef_DryMatterDigestibility[[#Headers],[State]], 0)</f>
        <v>0.56999999999999995</v>
      </c>
      <c r="I295" s="36" cm="1">
        <f t="array" ref="I295">Common_InputFunctions.Utility_DisplayArrayInTable(SourceData_PastureBeef.SourceData_PastureBeef_DryMatterDigestibility_Data(), Table_SourceData_PastureBeef_DryMatterDigestibility[[#Headers],[State]], 0)</f>
        <v>0.54</v>
      </c>
      <c r="M295" s="22"/>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6" t="str" cm="1">
        <f t="array" ref="E296">Common_InputFunctions.Utility_DisplayArrayInTable(SourceData_PastureBeef.SourceData_PastureBeef_DryMatterDigestibility_Data(), Table_SourceData_PastureBeef_DryMatterDigestibility[[#Headers],[State]], 0)</f>
        <v>High</v>
      </c>
      <c r="F296" s="36" cm="1">
        <f t="array" ref="F296">Common_InputFunctions.Utility_DisplayArrayInTable(SourceData_PastureBeef.SourceData_PastureBeef_DryMatterDigestibility_Data(), Table_SourceData_PastureBeef_DryMatterDigestibility[[#Headers],[State]], 0)</f>
        <v>0.53</v>
      </c>
      <c r="G296" s="36" cm="1">
        <f t="array" ref="G296">Common_InputFunctions.Utility_DisplayArrayInTable(SourceData_PastureBeef.SourceData_PastureBeef_DryMatterDigestibility_Data(), Table_SourceData_PastureBeef_DryMatterDigestibility[[#Headers],[State]], 0)</f>
        <v>0.56999999999999995</v>
      </c>
      <c r="H296" s="36" cm="1">
        <f t="array" ref="H296">Common_InputFunctions.Utility_DisplayArrayInTable(SourceData_PastureBeef.SourceData_PastureBeef_DryMatterDigestibility_Data(), Table_SourceData_PastureBeef_DryMatterDigestibility[[#Headers],[State]], 0)</f>
        <v>0.55000000000000004</v>
      </c>
      <c r="I296" s="36" cm="1">
        <f t="array" ref="I296">Common_InputFunctions.Utility_DisplayArrayInTable(SourceData_PastureBeef.SourceData_PastureBeef_DryMatterDigestibility_Data(), Table_SourceData_PastureBeef_DryMatterDigestibility[[#Headers],[State]], 0)</f>
        <v>0.51</v>
      </c>
      <c r="M296" s="22"/>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6" t="str" cm="1">
        <f t="array" ref="E297">Common_InputFunctions.Utility_DisplayArrayInTable(SourceData_PastureBeef.SourceData_PastureBeef_DryMatterDigestibility_Data(), Table_SourceData_PastureBeef_DryMatterDigestibility[[#Headers],[State]], 0)</f>
        <v>Moderate/High</v>
      </c>
      <c r="F297" s="36" cm="1">
        <f t="array" ref="F297">Common_InputFunctions.Utility_DisplayArrayInTable(SourceData_PastureBeef.SourceData_PastureBeef_DryMatterDigestibility_Data(), Table_SourceData_PastureBeef_DryMatterDigestibility[[#Headers],[State]], 0)</f>
        <v>0.53</v>
      </c>
      <c r="G297" s="36" cm="1">
        <f t="array" ref="G297">Common_InputFunctions.Utility_DisplayArrayInTable(SourceData_PastureBeef.SourceData_PastureBeef_DryMatterDigestibility_Data(), Table_SourceData_PastureBeef_DryMatterDigestibility[[#Headers],[State]], 0)</f>
        <v>0.56999999999999995</v>
      </c>
      <c r="H297" s="36" cm="1">
        <f t="array" ref="H297">Common_InputFunctions.Utility_DisplayArrayInTable(SourceData_PastureBeef.SourceData_PastureBeef_DryMatterDigestibility_Data(), Table_SourceData_PastureBeef_DryMatterDigestibility[[#Headers],[State]], 0)</f>
        <v>0.55000000000000004</v>
      </c>
      <c r="I297" s="36" cm="1">
        <f t="array" ref="I297">Common_InputFunctions.Utility_DisplayArrayInTable(SourceData_PastureBeef.SourceData_PastureBeef_DryMatterDigestibility_Data(), Table_SourceData_PastureBeef_DryMatterDigestibility[[#Headers],[State]], 0)</f>
        <v>0.51</v>
      </c>
      <c r="M297" s="22"/>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6" t="str" cm="1">
        <f t="array" ref="E298">Common_InputFunctions.Utility_DisplayArrayInTable(SourceData_PastureBeef.SourceData_PastureBeef_DryMatterDigestibility_Data(), Table_SourceData_PastureBeef_DryMatterDigestibility[[#Headers],[State]], 0)</f>
        <v>Moderate/Low</v>
      </c>
      <c r="F298" s="36" cm="1">
        <f t="array" ref="F298">Common_InputFunctions.Utility_DisplayArrayInTable(SourceData_PastureBeef.SourceData_PastureBeef_DryMatterDigestibility_Data(), Table_SourceData_PastureBeef_DryMatterDigestibility[[#Headers],[State]], 0)</f>
        <v>0.53</v>
      </c>
      <c r="G298" s="36" cm="1">
        <f t="array" ref="G298">Common_InputFunctions.Utility_DisplayArrayInTable(SourceData_PastureBeef.SourceData_PastureBeef_DryMatterDigestibility_Data(), Table_SourceData_PastureBeef_DryMatterDigestibility[[#Headers],[State]], 0)</f>
        <v>0.56999999999999995</v>
      </c>
      <c r="H298" s="36" cm="1">
        <f t="array" ref="H298">Common_InputFunctions.Utility_DisplayArrayInTable(SourceData_PastureBeef.SourceData_PastureBeef_DryMatterDigestibility_Data(), Table_SourceData_PastureBeef_DryMatterDigestibility[[#Headers],[State]], 0)</f>
        <v>0.55000000000000004</v>
      </c>
      <c r="I298" s="36" cm="1">
        <f t="array" ref="I298">Common_InputFunctions.Utility_DisplayArrayInTable(SourceData_PastureBeef.SourceData_PastureBeef_DryMatterDigestibility_Data(), Table_SourceData_PastureBeef_DryMatterDigestibility[[#Headers],[State]], 0)</f>
        <v>0.51</v>
      </c>
      <c r="M298" s="22"/>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6" t="str" cm="1">
        <f t="array" ref="E299">Common_InputFunctions.Utility_DisplayArrayInTable(SourceData_PastureBeef.SourceData_PastureBeef_DryMatterDigestibility_Data(), Table_SourceData_PastureBeef_DryMatterDigestibility[[#Headers],[State]], 0)</f>
        <v>Low</v>
      </c>
      <c r="F299" s="36" cm="1">
        <f t="array" ref="F299">Common_InputFunctions.Utility_DisplayArrayInTable(SourceData_PastureBeef.SourceData_PastureBeef_DryMatterDigestibility_Data(), Table_SourceData_PastureBeef_DryMatterDigestibility[[#Headers],[State]], 0)</f>
        <v>0.53</v>
      </c>
      <c r="G299" s="36" cm="1">
        <f t="array" ref="G299">Common_InputFunctions.Utility_DisplayArrayInTable(SourceData_PastureBeef.SourceData_PastureBeef_DryMatterDigestibility_Data(), Table_SourceData_PastureBeef_DryMatterDigestibility[[#Headers],[State]], 0)</f>
        <v>0.56999999999999995</v>
      </c>
      <c r="H299" s="36" cm="1">
        <f t="array" ref="H299">Common_InputFunctions.Utility_DisplayArrayInTable(SourceData_PastureBeef.SourceData_PastureBeef_DryMatterDigestibility_Data(), Table_SourceData_PastureBeef_DryMatterDigestibility[[#Headers],[State]], 0)</f>
        <v>0.55000000000000004</v>
      </c>
      <c r="I299" s="36" cm="1">
        <f t="array" ref="I299">Common_InputFunctions.Utility_DisplayArrayInTable(SourceData_PastureBeef.SourceData_PastureBeef_DryMatterDigestibility_Data(), Table_SourceData_PastureBeef_DryMatterDigestibility[[#Headers],[State]], 0)</f>
        <v>0.51</v>
      </c>
      <c r="M299" s="22"/>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6" t="str" cm="1">
        <f t="array" ref="E300">Common_InputFunctions.Utility_DisplayArrayInTable(SourceData_PastureBeef.SourceData_PastureBeef_DryMatterDigestibility_Data(), Table_SourceData_PastureBeef_DryMatterDigestibility[[#Headers],[State]], 0)</f>
        <v>n/a</v>
      </c>
      <c r="F300" s="36" cm="1">
        <f t="array" ref="F300">Common_InputFunctions.Utility_DisplayArrayInTable(SourceData_PastureBeef.SourceData_PastureBeef_DryMatterDigestibility_Data(), Table_SourceData_PastureBeef_DryMatterDigestibility[[#Headers],[State]], 0)</f>
        <v>0.7</v>
      </c>
      <c r="G300" s="36" cm="1">
        <f t="array" ref="G300">Common_InputFunctions.Utility_DisplayArrayInTable(SourceData_PastureBeef.SourceData_PastureBeef_DryMatterDigestibility_Data(), Table_SourceData_PastureBeef_DryMatterDigestibility[[#Headers],[State]], 0)</f>
        <v>0.55000000000000004</v>
      </c>
      <c r="H300" s="36" cm="1">
        <f t="array" ref="H300">Common_InputFunctions.Utility_DisplayArrayInTable(SourceData_PastureBeef.SourceData_PastureBeef_DryMatterDigestibility_Data(), Table_SourceData_PastureBeef_DryMatterDigestibility[[#Headers],[State]], 0)</f>
        <v>0.55000000000000004</v>
      </c>
      <c r="I300" s="36" cm="1">
        <f t="array" ref="I300">Common_InputFunctions.Utility_DisplayArrayInTable(SourceData_PastureBeef.SourceData_PastureBeef_DryMatterDigestibility_Data(), Table_SourceData_PastureBeef_DryMatterDigestibility[[#Headers],[State]], 0)</f>
        <v>0.75</v>
      </c>
      <c r="M300" s="22"/>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6" t="str" cm="1">
        <f t="array" ref="E301">Common_InputFunctions.Utility_DisplayArrayInTable(SourceData_PastureBeef.SourceData_PastureBeef_DryMatterDigestibility_Data(), Table_SourceData_PastureBeef_DryMatterDigestibility[[#Headers],[State]], 0)</f>
        <v>n/a</v>
      </c>
      <c r="F301" s="36" cm="1">
        <f t="array" ref="F301">Common_InputFunctions.Utility_DisplayArrayInTable(SourceData_PastureBeef.SourceData_PastureBeef_DryMatterDigestibility_Data(), Table_SourceData_PastureBeef_DryMatterDigestibility[[#Headers],[State]], 0)</f>
        <v>0.75</v>
      </c>
      <c r="G301" s="36" cm="1">
        <f t="array" ref="G301">Common_InputFunctions.Utility_DisplayArrayInTable(SourceData_PastureBeef.SourceData_PastureBeef_DryMatterDigestibility_Data(), Table_SourceData_PastureBeef_DryMatterDigestibility[[#Headers],[State]], 0)</f>
        <v>0.6</v>
      </c>
      <c r="H301" s="36" cm="1">
        <f t="array" ref="H301">Common_InputFunctions.Utility_DisplayArrayInTable(SourceData_PastureBeef.SourceData_PastureBeef_DryMatterDigestibility_Data(), Table_SourceData_PastureBeef_DryMatterDigestibility[[#Headers],[State]], 0)</f>
        <v>0.7</v>
      </c>
      <c r="I301" s="36" cm="1">
        <f t="array" ref="I301">Common_InputFunctions.Utility_DisplayArrayInTable(SourceData_PastureBeef.SourceData_PastureBeef_DryMatterDigestibility_Data(), Table_SourceData_PastureBeef_DryMatterDigestibility[[#Headers],[State]], 0)</f>
        <v>0.75</v>
      </c>
      <c r="M301" s="22"/>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6" t="str" cm="1">
        <f t="array" ref="E302">Common_InputFunctions.Utility_DisplayArrayInTable(SourceData_PastureBeef.SourceData_PastureBeef_DryMatterDigestibility_Data(), Table_SourceData_PastureBeef_DryMatterDigestibility[[#Headers],[State]], 0)</f>
        <v>n/a</v>
      </c>
      <c r="F302" s="36" cm="1">
        <f t="array" ref="F302">Common_InputFunctions.Utility_DisplayArrayInTable(SourceData_PastureBeef.SourceData_PastureBeef_DryMatterDigestibility_Data(), Table_SourceData_PastureBeef_DryMatterDigestibility[[#Headers],[State]], 0)</f>
        <v>0.8</v>
      </c>
      <c r="G302" s="36" cm="1">
        <f t="array" ref="G302">Common_InputFunctions.Utility_DisplayArrayInTable(SourceData_PastureBeef.SourceData_PastureBeef_DryMatterDigestibility_Data(), Table_SourceData_PastureBeef_DryMatterDigestibility[[#Headers],[State]], 0)</f>
        <v>0.55000000000000004</v>
      </c>
      <c r="H302" s="36" cm="1">
        <f t="array" ref="H302">Common_InputFunctions.Utility_DisplayArrayInTable(SourceData_PastureBeef.SourceData_PastureBeef_DryMatterDigestibility_Data(), Table_SourceData_PastureBeef_DryMatterDigestibility[[#Headers],[State]], 0)</f>
        <v>0.6</v>
      </c>
      <c r="I302" s="36" cm="1">
        <f t="array" ref="I302">Common_InputFunctions.Utility_DisplayArrayInTable(SourceData_PastureBeef.SourceData_PastureBeef_DryMatterDigestibility_Data(), Table_SourceData_PastureBeef_DryMatterDigestibility[[#Headers],[State]], 0)</f>
        <v>0.76</v>
      </c>
      <c r="M302" s="22"/>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6" t="str" cm="1">
        <f t="array" ref="E303">Common_InputFunctions.Utility_DisplayArrayInTable(SourceData_PastureBeef.SourceData_PastureBeef_DryMatterDigestibility_Data(), Table_SourceData_PastureBeef_DryMatterDigestibility[[#Headers],[State]], 0)</f>
        <v>South West</v>
      </c>
      <c r="F303" s="36" cm="1">
        <f t="array" ref="F303">Common_InputFunctions.Utility_DisplayArrayInTable(SourceData_PastureBeef.SourceData_PastureBeef_DryMatterDigestibility_Data(), Table_SourceData_PastureBeef_DryMatterDigestibility[[#Headers],[State]], 0)</f>
        <v>0.8</v>
      </c>
      <c r="G303" s="36" cm="1">
        <f t="array" ref="G303">Common_InputFunctions.Utility_DisplayArrayInTable(SourceData_PastureBeef.SourceData_PastureBeef_DryMatterDigestibility_Data(), Table_SourceData_PastureBeef_DryMatterDigestibility[[#Headers],[State]], 0)</f>
        <v>0.57999999999999996</v>
      </c>
      <c r="H303" s="36" cm="1">
        <f t="array" ref="H303">Common_InputFunctions.Utility_DisplayArrayInTable(SourceData_PastureBeef.SourceData_PastureBeef_DryMatterDigestibility_Data(), Table_SourceData_PastureBeef_DryMatterDigestibility[[#Headers],[State]], 0)</f>
        <v>0.5</v>
      </c>
      <c r="I303" s="36" cm="1">
        <f t="array" ref="I303">Common_InputFunctions.Utility_DisplayArrayInTable(SourceData_PastureBeef.SourceData_PastureBeef_DryMatterDigestibility_Data(), Table_SourceData_PastureBeef_DryMatterDigestibility[[#Headers],[State]], 0)</f>
        <v>0.75</v>
      </c>
      <c r="M303" s="22"/>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6" t="str" cm="1">
        <f t="array" ref="E304">Common_InputFunctions.Utility_DisplayArrayInTable(SourceData_PastureBeef.SourceData_PastureBeef_DryMatterDigestibility_Data(), Table_SourceData_PastureBeef_DryMatterDigestibility[[#Headers],[State]], 0)</f>
        <v>Pilbara</v>
      </c>
      <c r="F304" s="36" cm="1">
        <f t="array" ref="F304">Common_InputFunctions.Utility_DisplayArrayInTable(SourceData_PastureBeef.SourceData_PastureBeef_DryMatterDigestibility_Data(), Table_SourceData_PastureBeef_DryMatterDigestibility[[#Headers],[State]], 0)</f>
        <v>0.4</v>
      </c>
      <c r="G304" s="36" cm="1">
        <f t="array" ref="G304">Common_InputFunctions.Utility_DisplayArrayInTable(SourceData_PastureBeef.SourceData_PastureBeef_DryMatterDigestibility_Data(), Table_SourceData_PastureBeef_DryMatterDigestibility[[#Headers],[State]], 0)</f>
        <v>0.65</v>
      </c>
      <c r="H304" s="36" cm="1">
        <f t="array" ref="H304">Common_InputFunctions.Utility_DisplayArrayInTable(SourceData_PastureBeef.SourceData_PastureBeef_DryMatterDigestibility_Data(), Table_SourceData_PastureBeef_DryMatterDigestibility[[#Headers],[State]], 0)</f>
        <v>0.55000000000000004</v>
      </c>
      <c r="I304" s="36" cm="1">
        <f t="array" ref="I304">Common_InputFunctions.Utility_DisplayArrayInTable(SourceData_PastureBeef.SourceData_PastureBeef_DryMatterDigestibility_Data(), Table_SourceData_PastureBeef_DryMatterDigestibility[[#Headers],[State]], 0)</f>
        <v>0.45</v>
      </c>
      <c r="M304" s="22"/>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6" t="str" cm="1">
        <f t="array" ref="E305">Common_InputFunctions.Utility_DisplayArrayInTable(SourceData_PastureBeef.SourceData_PastureBeef_DryMatterDigestibility_Data(), Table_SourceData_PastureBeef_DryMatterDigestibility[[#Headers],[State]], 0)</f>
        <v>Kimberley</v>
      </c>
      <c r="F305" s="36" cm="1">
        <f t="array" ref="F305">Common_InputFunctions.Utility_DisplayArrayInTable(SourceData_PastureBeef.SourceData_PastureBeef_DryMatterDigestibility_Data(), Table_SourceData_PastureBeef_DryMatterDigestibility[[#Headers],[State]], 0)</f>
        <v>0.4</v>
      </c>
      <c r="G305" s="36" cm="1">
        <f t="array" ref="G305">Common_InputFunctions.Utility_DisplayArrayInTable(SourceData_PastureBeef.SourceData_PastureBeef_DryMatterDigestibility_Data(), Table_SourceData_PastureBeef_DryMatterDigestibility[[#Headers],[State]], 0)</f>
        <v>0.65</v>
      </c>
      <c r="H305" s="36" cm="1">
        <f t="array" ref="H305">Common_InputFunctions.Utility_DisplayArrayInTable(SourceData_PastureBeef.SourceData_PastureBeef_DryMatterDigestibility_Data(), Table_SourceData_PastureBeef_DryMatterDigestibility[[#Headers],[State]], 0)</f>
        <v>0.55000000000000004</v>
      </c>
      <c r="I305" s="36" cm="1">
        <f t="array" ref="I305">Common_InputFunctions.Utility_DisplayArrayInTable(SourceData_PastureBeef.SourceData_PastureBeef_DryMatterDigestibility_Data(), Table_SourceData_PastureBeef_DryMatterDigestibility[[#Headers],[State]], 0)</f>
        <v>0.45</v>
      </c>
      <c r="M305" s="22"/>
    </row>
    <row r="306" spans="4:13" x14ac:dyDescent="0.25">
      <c r="M306" s="22"/>
    </row>
    <row r="307" spans="4:13" x14ac:dyDescent="0.25">
      <c r="M307" s="22"/>
    </row>
    <row r="308" spans="4:13" ht="23.25" x14ac:dyDescent="0.25">
      <c r="D308" s="6" t="str" cm="1">
        <f t="array" ref="D308">SourceData_PastureBeef.SourceData_PastureBeef_CrudeProteinContent_Title()</f>
        <v>Beef pasture cattle - Crude protein content of feed intake (fraction) (CPj)</v>
      </c>
      <c r="M308" s="22"/>
    </row>
    <row r="309" spans="4:13" x14ac:dyDescent="0.25">
      <c r="D309" s="5" t="str" cm="1">
        <f t="array" ref="D309">SourceData_PastureBeef.SourceData_PastureBeef_CrudeProteinContent_Source()</f>
        <v>VEERG 2026: Table A.1.2.6</v>
      </c>
      <c r="M309" s="22"/>
    </row>
    <row r="310" spans="4:13" x14ac:dyDescent="0.25">
      <c r="D310" s="1" t="str" cm="1">
        <f t="array" ref="D310">SourceData_PastureBeef.SourceData_PastureBeef_CrudeProteinContent_Variable()</f>
        <v>CPj</v>
      </c>
      <c r="M310" s="22"/>
    </row>
    <row r="311" spans="4:13" x14ac:dyDescent="0.25">
      <c r="D311" s="53" t="str" cm="1">
        <f t="array" ref="D311">SourceData_PastureBeef.SourceData_PastureBeef_CrudeProteinContent_Unit()</f>
        <v>fraction</v>
      </c>
      <c r="M311" s="22"/>
    </row>
    <row r="312" spans="4:13" x14ac:dyDescent="0.25">
      <c r="D312" s="54" t="str" cm="1">
        <f t="array" ref="D312">SourceData_PastureBeef.SourceData_PastureBeef_CrudeProteinContent_Variation()</f>
        <v>VARIATION ON SOURCE: Split ACT and NSW into separate rows. Duplicated QLD and NT rows with regions from table A.1.2.2 to aid lookup</v>
      </c>
      <c r="M312" s="22"/>
    </row>
    <row r="313" spans="4:13" x14ac:dyDescent="0.25">
      <c r="D313" s="36" t="s">
        <v>5</v>
      </c>
      <c r="E313" s="36" t="s">
        <v>143</v>
      </c>
      <c r="F313" s="36" t="s">
        <v>133</v>
      </c>
      <c r="G313" s="36" t="s">
        <v>134</v>
      </c>
      <c r="H313" s="36" t="s">
        <v>135</v>
      </c>
      <c r="I313" s="36" t="s">
        <v>136</v>
      </c>
      <c r="M313" s="22"/>
    </row>
    <row r="314" spans="4:13" x14ac:dyDescent="0.25">
      <c r="D314" s="36" t="str" cm="1">
        <f t="array" ref="D314">Common_InputFunctions.Utility_DisplayArrayInTable(SourceData_PastureBeef.SourceData_PastureBeef_CrudeProteinContent_Data(), Table_SourceData_PastureBeef_CrudeProtein[[#Headers],[State]], 0)</f>
        <v>ACT</v>
      </c>
      <c r="E314" s="36" t="str" cm="1">
        <f t="array" ref="E314">Common_InputFunctions.Utility_DisplayArrayInTable(SourceData_PastureBeef.SourceData_PastureBeef_CrudeProteinContent_Data(), Table_SourceData_PastureBeef_CrudeProtein[[#Headers],[State]], 0)</f>
        <v>n/a</v>
      </c>
      <c r="F314" s="36" cm="1">
        <f t="array" ref="F314">Common_InputFunctions.Utility_DisplayArrayInTable(SourceData_PastureBeef.SourceData_PastureBeef_CrudeProteinContent_Data(), Table_SourceData_PastureBeef_CrudeProtein[[#Headers],[State]], 0)</f>
        <v>7.0000000000000007E-2</v>
      </c>
      <c r="G314" s="36" cm="1">
        <f t="array" ref="G314">Common_InputFunctions.Utility_DisplayArrayInTable(SourceData_PastureBeef.SourceData_PastureBeef_CrudeProteinContent_Data(), Table_SourceData_PastureBeef_CrudeProtein[[#Headers],[State]], 0)</f>
        <v>0.13</v>
      </c>
      <c r="H314" s="36" cm="1">
        <f t="array" ref="H314">Common_InputFunctions.Utility_DisplayArrayInTable(SourceData_PastureBeef.SourceData_PastureBeef_CrudeProteinContent_Data(), Table_SourceData_PastureBeef_CrudeProtein[[#Headers],[State]], 0)</f>
        <v>0.1</v>
      </c>
      <c r="I314" s="36" cm="1">
        <f t="array" ref="I314">Common_InputFunctions.Utility_DisplayArrayInTable(SourceData_PastureBeef.SourceData_PastureBeef_CrudeProteinContent_Data(), Table_SourceData_PastureBeef_CrudeProtein[[#Headers],[State]], 0)</f>
        <v>0.06</v>
      </c>
      <c r="M314" s="22"/>
    </row>
    <row r="315" spans="4:13" x14ac:dyDescent="0.25">
      <c r="D315" s="36" t="str" cm="1">
        <f t="array" ref="D315">Common_InputFunctions.Utility_DisplayArrayInTable(SourceData_PastureBeef.SourceData_PastureBeef_CrudeProteinContent_Data(), Table_SourceData_PastureBeef_CrudeProtein[[#Headers],[State]], 0)</f>
        <v>NSW</v>
      </c>
      <c r="E315" s="36" t="str" cm="1">
        <f t="array" ref="E315">Common_InputFunctions.Utility_DisplayArrayInTable(SourceData_PastureBeef.SourceData_PastureBeef_CrudeProteinContent_Data(), Table_SourceData_PastureBeef_CrudeProtein[[#Headers],[State]], 0)</f>
        <v>n/a</v>
      </c>
      <c r="F315" s="36" cm="1">
        <f t="array" ref="F315">Common_InputFunctions.Utility_DisplayArrayInTable(SourceData_PastureBeef.SourceData_PastureBeef_CrudeProteinContent_Data(), Table_SourceData_PastureBeef_CrudeProtein[[#Headers],[State]], 0)</f>
        <v>7.0000000000000007E-2</v>
      </c>
      <c r="G315" s="36" cm="1">
        <f t="array" ref="G315">Common_InputFunctions.Utility_DisplayArrayInTable(SourceData_PastureBeef.SourceData_PastureBeef_CrudeProteinContent_Data(), Table_SourceData_PastureBeef_CrudeProtein[[#Headers],[State]], 0)</f>
        <v>0.13</v>
      </c>
      <c r="H315" s="36" cm="1">
        <f t="array" ref="H315">Common_InputFunctions.Utility_DisplayArrayInTable(SourceData_PastureBeef.SourceData_PastureBeef_CrudeProteinContent_Data(), Table_SourceData_PastureBeef_CrudeProtein[[#Headers],[State]], 0)</f>
        <v>0.1</v>
      </c>
      <c r="I315" s="36" cm="1">
        <f t="array" ref="I315">Common_InputFunctions.Utility_DisplayArrayInTable(SourceData_PastureBeef.SourceData_PastureBeef_CrudeProteinContent_Data(), Table_SourceData_PastureBeef_CrudeProtein[[#Headers],[State]], 0)</f>
        <v>0.06</v>
      </c>
      <c r="M315" s="22"/>
    </row>
    <row r="316" spans="4:13" x14ac:dyDescent="0.25">
      <c r="D316" s="36" t="str" cm="1">
        <f t="array" ref="D316">Common_InputFunctions.Utility_DisplayArrayInTable(SourceData_PastureBeef.SourceData_PastureBeef_CrudeProteinContent_Data(), Table_SourceData_PastureBeef_CrudeProtein[[#Headers],[State]], 0)</f>
        <v>NT</v>
      </c>
      <c r="E316" s="36" t="str" cm="1">
        <f t="array" ref="E316">Common_InputFunctions.Utility_DisplayArrayInTable(SourceData_PastureBeef.SourceData_PastureBeef_CrudeProteinContent_Data(), Table_SourceData_PastureBeef_CrudeProtein[[#Headers],[State]], 0)</f>
        <v>Alice Springs</v>
      </c>
      <c r="F316" s="36" cm="1">
        <f t="array" ref="F316">Common_InputFunctions.Utility_DisplayArrayInTable(SourceData_PastureBeef.SourceData_PastureBeef_CrudeProteinContent_Data(), Table_SourceData_PastureBeef_CrudeProtein[[#Headers],[State]], 0)</f>
        <v>5.8000000000000003E-2</v>
      </c>
      <c r="G316" s="36" cm="1">
        <f t="array" ref="G316">Common_InputFunctions.Utility_DisplayArrayInTable(SourceData_PastureBeef.SourceData_PastureBeef_CrudeProteinContent_Data(), Table_SourceData_PastureBeef_CrudeProtein[[#Headers],[State]], 0)</f>
        <v>9.1999999999999998E-2</v>
      </c>
      <c r="H316" s="36" cm="1">
        <f t="array" ref="H316">Common_InputFunctions.Utility_DisplayArrayInTable(SourceData_PastureBeef.SourceData_PastureBeef_CrudeProteinContent_Data(), Table_SourceData_PastureBeef_CrudeProtein[[#Headers],[State]], 0)</f>
        <v>7.4999999999999997E-2</v>
      </c>
      <c r="I316" s="36" cm="1">
        <f t="array" ref="I316">Common_InputFunctions.Utility_DisplayArrayInTable(SourceData_PastureBeef.SourceData_PastureBeef_CrudeProteinContent_Data(), Table_SourceData_PastureBeef_CrudeProtein[[#Headers],[State]], 0)</f>
        <v>5.2999999999999999E-2</v>
      </c>
      <c r="M316" s="22"/>
    </row>
    <row r="317" spans="4:13" x14ac:dyDescent="0.25">
      <c r="D317" s="36" t="str" cm="1">
        <f t="array" ref="D317">Common_InputFunctions.Utility_DisplayArrayInTable(SourceData_PastureBeef.SourceData_PastureBeef_CrudeProteinContent_Data(), Table_SourceData_PastureBeef_CrudeProtein[[#Headers],[State]], 0)</f>
        <v>NT</v>
      </c>
      <c r="E317" s="36" t="str" cm="1">
        <f t="array" ref="E317">Common_InputFunctions.Utility_DisplayArrayInTable(SourceData_PastureBeef.SourceData_PastureBeef_CrudeProteinContent_Data(), Table_SourceData_PastureBeef_CrudeProtein[[#Headers],[State]], 0)</f>
        <v>Barkly</v>
      </c>
      <c r="F317" s="36" cm="1">
        <f t="array" ref="F317">Common_InputFunctions.Utility_DisplayArrayInTable(SourceData_PastureBeef.SourceData_PastureBeef_CrudeProteinContent_Data(), Table_SourceData_PastureBeef_CrudeProtein[[#Headers],[State]], 0)</f>
        <v>5.8000000000000003E-2</v>
      </c>
      <c r="G317" s="36" cm="1">
        <f t="array" ref="G317">Common_InputFunctions.Utility_DisplayArrayInTable(SourceData_PastureBeef.SourceData_PastureBeef_CrudeProteinContent_Data(), Table_SourceData_PastureBeef_CrudeProtein[[#Headers],[State]], 0)</f>
        <v>9.1999999999999998E-2</v>
      </c>
      <c r="H317" s="36" cm="1">
        <f t="array" ref="H317">Common_InputFunctions.Utility_DisplayArrayInTable(SourceData_PastureBeef.SourceData_PastureBeef_CrudeProteinContent_Data(), Table_SourceData_PastureBeef_CrudeProtein[[#Headers],[State]], 0)</f>
        <v>7.4999999999999997E-2</v>
      </c>
      <c r="I317" s="36" cm="1">
        <f t="array" ref="I317">Common_InputFunctions.Utility_DisplayArrayInTable(SourceData_PastureBeef.SourceData_PastureBeef_CrudeProteinContent_Data(), Table_SourceData_PastureBeef_CrudeProtein[[#Headers],[State]], 0)</f>
        <v>5.2999999999999999E-2</v>
      </c>
      <c r="M317" s="22"/>
    </row>
    <row r="318" spans="4:13" x14ac:dyDescent="0.25">
      <c r="D318" s="36" t="str" cm="1">
        <f t="array" ref="D318">Common_InputFunctions.Utility_DisplayArrayInTable(SourceData_PastureBeef.SourceData_PastureBeef_CrudeProteinContent_Data(), Table_SourceData_PastureBeef_CrudeProtein[[#Headers],[State]], 0)</f>
        <v>NT</v>
      </c>
      <c r="E318" s="36" t="str" cm="1">
        <f t="array" ref="E318">Common_InputFunctions.Utility_DisplayArrayInTable(SourceData_PastureBeef.SourceData_PastureBeef_CrudeProteinContent_Data(), Table_SourceData_PastureBeef_CrudeProtein[[#Headers],[State]], 0)</f>
        <v>Northern</v>
      </c>
      <c r="F318" s="36" cm="1">
        <f t="array" ref="F318">Common_InputFunctions.Utility_DisplayArrayInTable(SourceData_PastureBeef.SourceData_PastureBeef_CrudeProteinContent_Data(), Table_SourceData_PastureBeef_CrudeProtein[[#Headers],[State]], 0)</f>
        <v>5.8000000000000003E-2</v>
      </c>
      <c r="G318" s="36" cm="1">
        <f t="array" ref="G318">Common_InputFunctions.Utility_DisplayArrayInTable(SourceData_PastureBeef.SourceData_PastureBeef_CrudeProteinContent_Data(), Table_SourceData_PastureBeef_CrudeProtein[[#Headers],[State]], 0)</f>
        <v>9.1999999999999998E-2</v>
      </c>
      <c r="H318" s="36" cm="1">
        <f t="array" ref="H318">Common_InputFunctions.Utility_DisplayArrayInTable(SourceData_PastureBeef.SourceData_PastureBeef_CrudeProteinContent_Data(), Table_SourceData_PastureBeef_CrudeProtein[[#Headers],[State]], 0)</f>
        <v>7.4999999999999997E-2</v>
      </c>
      <c r="I318" s="36" cm="1">
        <f t="array" ref="I318">Common_InputFunctions.Utility_DisplayArrayInTable(SourceData_PastureBeef.SourceData_PastureBeef_CrudeProteinContent_Data(), Table_SourceData_PastureBeef_CrudeProtein[[#Headers],[State]], 0)</f>
        <v>5.2999999999999999E-2</v>
      </c>
      <c r="M318" s="22"/>
    </row>
    <row r="319" spans="4:13" x14ac:dyDescent="0.25">
      <c r="D319" s="36" t="str" cm="1">
        <f t="array" ref="D319">Common_InputFunctions.Utility_DisplayArrayInTable(SourceData_PastureBeef.SourceData_PastureBeef_CrudeProteinContent_Data(), Table_SourceData_PastureBeef_CrudeProtein[[#Headers],[State]], 0)</f>
        <v>QLD</v>
      </c>
      <c r="E319" s="36" t="str" cm="1">
        <f t="array" ref="E319">Common_InputFunctions.Utility_DisplayArrayInTable(SourceData_PastureBeef.SourceData_PastureBeef_CrudeProteinContent_Data(), Table_SourceData_PastureBeef_CrudeProtein[[#Headers],[State]], 0)</f>
        <v>High</v>
      </c>
      <c r="F319" s="36" cm="1">
        <f t="array" ref="F319">Common_InputFunctions.Utility_DisplayArrayInTable(SourceData_PastureBeef.SourceData_PastureBeef_CrudeProteinContent_Data(), Table_SourceData_PastureBeef_CrudeProtein[[#Headers],[State]], 0)</f>
        <v>7.1999999999999995E-2</v>
      </c>
      <c r="G319" s="36" cm="1">
        <f t="array" ref="G319">Common_InputFunctions.Utility_DisplayArrayInTable(SourceData_PastureBeef.SourceData_PastureBeef_CrudeProteinContent_Data(), Table_SourceData_PastureBeef_CrudeProtein[[#Headers],[State]], 0)</f>
        <v>9.9000000000000005E-2</v>
      </c>
      <c r="H319" s="36" cm="1">
        <f t="array" ref="H319">Common_InputFunctions.Utility_DisplayArrayInTable(SourceData_PastureBeef.SourceData_PastureBeef_CrudeProteinContent_Data(), Table_SourceData_PastureBeef_CrudeProtein[[#Headers],[State]], 0)</f>
        <v>7.8E-2</v>
      </c>
      <c r="I319" s="36"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6" t="str" cm="1">
        <f t="array" ref="D320">Common_InputFunctions.Utility_DisplayArrayInTable(SourceData_PastureBeef.SourceData_PastureBeef_CrudeProteinContent_Data(), Table_SourceData_PastureBeef_CrudeProtein[[#Headers],[State]], 0)</f>
        <v>QLD</v>
      </c>
      <c r="E320" s="36" t="str" cm="1">
        <f t="array" ref="E320">Common_InputFunctions.Utility_DisplayArrayInTable(SourceData_PastureBeef.SourceData_PastureBeef_CrudeProteinContent_Data(), Table_SourceData_PastureBeef_CrudeProtein[[#Headers],[State]], 0)</f>
        <v>Moderate/High</v>
      </c>
      <c r="F320" s="36" cm="1">
        <f t="array" ref="F320">Common_InputFunctions.Utility_DisplayArrayInTable(SourceData_PastureBeef.SourceData_PastureBeef_CrudeProteinContent_Data(), Table_SourceData_PastureBeef_CrudeProtein[[#Headers],[State]], 0)</f>
        <v>7.1999999999999995E-2</v>
      </c>
      <c r="G320" s="36" cm="1">
        <f t="array" ref="G320">Common_InputFunctions.Utility_DisplayArrayInTable(SourceData_PastureBeef.SourceData_PastureBeef_CrudeProteinContent_Data(), Table_SourceData_PastureBeef_CrudeProtein[[#Headers],[State]], 0)</f>
        <v>9.9000000000000005E-2</v>
      </c>
      <c r="H320" s="36" cm="1">
        <f t="array" ref="H320">Common_InputFunctions.Utility_DisplayArrayInTable(SourceData_PastureBeef.SourceData_PastureBeef_CrudeProteinContent_Data(), Table_SourceData_PastureBeef_CrudeProtein[[#Headers],[State]], 0)</f>
        <v>7.8E-2</v>
      </c>
      <c r="I320" s="36"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6" t="str" cm="1">
        <f t="array" ref="D321">Common_InputFunctions.Utility_DisplayArrayInTable(SourceData_PastureBeef.SourceData_PastureBeef_CrudeProteinContent_Data(), Table_SourceData_PastureBeef_CrudeProtein[[#Headers],[State]], 0)</f>
        <v>QLD</v>
      </c>
      <c r="E321" s="36" t="str" cm="1">
        <f t="array" ref="E321">Common_InputFunctions.Utility_DisplayArrayInTable(SourceData_PastureBeef.SourceData_PastureBeef_CrudeProteinContent_Data(), Table_SourceData_PastureBeef_CrudeProtein[[#Headers],[State]], 0)</f>
        <v>Moderate/Low</v>
      </c>
      <c r="F321" s="36" cm="1">
        <f t="array" ref="F321">Common_InputFunctions.Utility_DisplayArrayInTable(SourceData_PastureBeef.SourceData_PastureBeef_CrudeProteinContent_Data(), Table_SourceData_PastureBeef_CrudeProtein[[#Headers],[State]], 0)</f>
        <v>7.1999999999999995E-2</v>
      </c>
      <c r="G321" s="36" cm="1">
        <f t="array" ref="G321">Common_InputFunctions.Utility_DisplayArrayInTable(SourceData_PastureBeef.SourceData_PastureBeef_CrudeProteinContent_Data(), Table_SourceData_PastureBeef_CrudeProtein[[#Headers],[State]], 0)</f>
        <v>9.9000000000000005E-2</v>
      </c>
      <c r="H321" s="36" cm="1">
        <f t="array" ref="H321">Common_InputFunctions.Utility_DisplayArrayInTable(SourceData_PastureBeef.SourceData_PastureBeef_CrudeProteinContent_Data(), Table_SourceData_PastureBeef_CrudeProtein[[#Headers],[State]], 0)</f>
        <v>7.8E-2</v>
      </c>
      <c r="I321" s="36"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6" t="str" cm="1">
        <f t="array" ref="D322">Common_InputFunctions.Utility_DisplayArrayInTable(SourceData_PastureBeef.SourceData_PastureBeef_CrudeProteinContent_Data(), Table_SourceData_PastureBeef_CrudeProtein[[#Headers],[State]], 0)</f>
        <v>QLD</v>
      </c>
      <c r="E322" s="36" t="str" cm="1">
        <f t="array" ref="E322">Common_InputFunctions.Utility_DisplayArrayInTable(SourceData_PastureBeef.SourceData_PastureBeef_CrudeProteinContent_Data(), Table_SourceData_PastureBeef_CrudeProtein[[#Headers],[State]], 0)</f>
        <v>Low</v>
      </c>
      <c r="F322" s="36" cm="1">
        <f t="array" ref="F322">Common_InputFunctions.Utility_DisplayArrayInTable(SourceData_PastureBeef.SourceData_PastureBeef_CrudeProteinContent_Data(), Table_SourceData_PastureBeef_CrudeProtein[[#Headers],[State]], 0)</f>
        <v>7.1999999999999995E-2</v>
      </c>
      <c r="G322" s="36" cm="1">
        <f t="array" ref="G322">Common_InputFunctions.Utility_DisplayArrayInTable(SourceData_PastureBeef.SourceData_PastureBeef_CrudeProteinContent_Data(), Table_SourceData_PastureBeef_CrudeProtein[[#Headers],[State]], 0)</f>
        <v>9.9000000000000005E-2</v>
      </c>
      <c r="H322" s="36" cm="1">
        <f t="array" ref="H322">Common_InputFunctions.Utility_DisplayArrayInTable(SourceData_PastureBeef.SourceData_PastureBeef_CrudeProteinContent_Data(), Table_SourceData_PastureBeef_CrudeProtein[[#Headers],[State]], 0)</f>
        <v>7.8E-2</v>
      </c>
      <c r="I322" s="36"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6" t="str" cm="1">
        <f t="array" ref="D323">Common_InputFunctions.Utility_DisplayArrayInTable(SourceData_PastureBeef.SourceData_PastureBeef_CrudeProteinContent_Data(), Table_SourceData_PastureBeef_CrudeProtein[[#Headers],[State]], 0)</f>
        <v>SA</v>
      </c>
      <c r="E323" s="36" t="str" cm="1">
        <f t="array" ref="E323">Common_InputFunctions.Utility_DisplayArrayInTable(SourceData_PastureBeef.SourceData_PastureBeef_CrudeProteinContent_Data(), Table_SourceData_PastureBeef_CrudeProtein[[#Headers],[State]], 0)</f>
        <v>n/a</v>
      </c>
      <c r="F323" s="36" cm="1">
        <f t="array" ref="F323">Common_InputFunctions.Utility_DisplayArrayInTable(SourceData_PastureBeef.SourceData_PastureBeef_CrudeProteinContent_Data(), Table_SourceData_PastureBeef_CrudeProtein[[#Headers],[State]], 0)</f>
        <v>0.16</v>
      </c>
      <c r="G323" s="36" cm="1">
        <f t="array" ref="G323">Common_InputFunctions.Utility_DisplayArrayInTable(SourceData_PastureBeef.SourceData_PastureBeef_CrudeProteinContent_Data(), Table_SourceData_PastureBeef_CrudeProtein[[#Headers],[State]], 0)</f>
        <v>7.0000000000000007E-2</v>
      </c>
      <c r="H323" s="36" cm="1">
        <f t="array" ref="H323">Common_InputFunctions.Utility_DisplayArrayInTable(SourceData_PastureBeef.SourceData_PastureBeef_CrudeProteinContent_Data(), Table_SourceData_PastureBeef_CrudeProtein[[#Headers],[State]], 0)</f>
        <v>0.09</v>
      </c>
      <c r="I323" s="36" cm="1">
        <f t="array" ref="I323">Common_InputFunctions.Utility_DisplayArrayInTable(SourceData_PastureBeef.SourceData_PastureBeef_CrudeProteinContent_Data(), Table_SourceData_PastureBeef_CrudeProtein[[#Headers],[State]], 0)</f>
        <v>0.2</v>
      </c>
      <c r="M323" s="1"/>
    </row>
    <row r="324" spans="4:13" x14ac:dyDescent="0.25">
      <c r="D324" s="36" t="str" cm="1">
        <f t="array" ref="D324">Common_InputFunctions.Utility_DisplayArrayInTable(SourceData_PastureBeef.SourceData_PastureBeef_CrudeProteinContent_Data(), Table_SourceData_PastureBeef_CrudeProtein[[#Headers],[State]], 0)</f>
        <v>TAS</v>
      </c>
      <c r="E324" s="36" t="str" cm="1">
        <f t="array" ref="E324">Common_InputFunctions.Utility_DisplayArrayInTable(SourceData_PastureBeef.SourceData_PastureBeef_CrudeProteinContent_Data(), Table_SourceData_PastureBeef_CrudeProtein[[#Headers],[State]], 0)</f>
        <v>n/a</v>
      </c>
      <c r="F324" s="36" cm="1">
        <f t="array" ref="F324">Common_InputFunctions.Utility_DisplayArrayInTable(SourceData_PastureBeef.SourceData_PastureBeef_CrudeProteinContent_Data(), Table_SourceData_PastureBeef_CrudeProtein[[#Headers],[State]], 0)</f>
        <v>0.2</v>
      </c>
      <c r="G324" s="36" cm="1">
        <f t="array" ref="G324">Common_InputFunctions.Utility_DisplayArrayInTable(SourceData_PastureBeef.SourceData_PastureBeef_CrudeProteinContent_Data(), Table_SourceData_PastureBeef_CrudeProtein[[#Headers],[State]], 0)</f>
        <v>0.1</v>
      </c>
      <c r="H324" s="36" cm="1">
        <f t="array" ref="H324">Common_InputFunctions.Utility_DisplayArrayInTable(SourceData_PastureBeef.SourceData_PastureBeef_CrudeProteinContent_Data(), Table_SourceData_PastureBeef_CrudeProtein[[#Headers],[State]], 0)</f>
        <v>0.16</v>
      </c>
      <c r="I324" s="36" cm="1">
        <f t="array" ref="I324">Common_InputFunctions.Utility_DisplayArrayInTable(SourceData_PastureBeef.SourceData_PastureBeef_CrudeProteinContent_Data(), Table_SourceData_PastureBeef_CrudeProtein[[#Headers],[State]], 0)</f>
        <v>0.2</v>
      </c>
      <c r="M324" s="1"/>
    </row>
    <row r="325" spans="4:13" x14ac:dyDescent="0.25">
      <c r="D325" s="36" t="str" cm="1">
        <f t="array" ref="D325">Common_InputFunctions.Utility_DisplayArrayInTable(SourceData_PastureBeef.SourceData_PastureBeef_CrudeProteinContent_Data(), Table_SourceData_PastureBeef_CrudeProtein[[#Headers],[State]], 0)</f>
        <v>VIC</v>
      </c>
      <c r="E325" s="36" t="str" cm="1">
        <f t="array" ref="E325">Common_InputFunctions.Utility_DisplayArrayInTable(SourceData_PastureBeef.SourceData_PastureBeef_CrudeProteinContent_Data(), Table_SourceData_PastureBeef_CrudeProtein[[#Headers],[State]], 0)</f>
        <v>n/a</v>
      </c>
      <c r="F325" s="36" cm="1">
        <f t="array" ref="F325">Common_InputFunctions.Utility_DisplayArrayInTable(SourceData_PastureBeef.SourceData_PastureBeef_CrudeProteinContent_Data(), Table_SourceData_PastureBeef_CrudeProtein[[#Headers],[State]], 0)</f>
        <v>0.25</v>
      </c>
      <c r="G325" s="36" cm="1">
        <f t="array" ref="G325">Common_InputFunctions.Utility_DisplayArrayInTable(SourceData_PastureBeef.SourceData_PastureBeef_CrudeProteinContent_Data(), Table_SourceData_PastureBeef_CrudeProtein[[#Headers],[State]], 0)</f>
        <v>7.0000000000000007E-2</v>
      </c>
      <c r="H325" s="36" cm="1">
        <f t="array" ref="H325">Common_InputFunctions.Utility_DisplayArrayInTable(SourceData_PastureBeef.SourceData_PastureBeef_CrudeProteinContent_Data(), Table_SourceData_PastureBeef_CrudeProtein[[#Headers],[State]], 0)</f>
        <v>0.1</v>
      </c>
      <c r="I325" s="36" cm="1">
        <f t="array" ref="I325">Common_InputFunctions.Utility_DisplayArrayInTable(SourceData_PastureBeef.SourceData_PastureBeef_CrudeProteinContent_Data(), Table_SourceData_PastureBeef_CrudeProtein[[#Headers],[State]], 0)</f>
        <v>0.21</v>
      </c>
      <c r="M325" s="1"/>
    </row>
    <row r="326" spans="4:13" x14ac:dyDescent="0.25">
      <c r="D326" s="36" t="str" cm="1">
        <f t="array" ref="D326">Common_InputFunctions.Utility_DisplayArrayInTable(SourceData_PastureBeef.SourceData_PastureBeef_CrudeProteinContent_Data(), Table_SourceData_PastureBeef_CrudeProtein[[#Headers],[State]], 0)</f>
        <v>WA</v>
      </c>
      <c r="E326" s="36" t="str" cm="1">
        <f t="array" ref="E326">Common_InputFunctions.Utility_DisplayArrayInTable(SourceData_PastureBeef.SourceData_PastureBeef_CrudeProteinContent_Data(), Table_SourceData_PastureBeef_CrudeProtein[[#Headers],[State]], 0)</f>
        <v>South West</v>
      </c>
      <c r="F326" s="36" cm="1">
        <f t="array" ref="F326">Common_InputFunctions.Utility_DisplayArrayInTable(SourceData_PastureBeef.SourceData_PastureBeef_CrudeProteinContent_Data(), Table_SourceData_PastureBeef_CrudeProtein[[#Headers],[State]], 0)</f>
        <v>0.2</v>
      </c>
      <c r="G326" s="36" cm="1">
        <f t="array" ref="G326">Common_InputFunctions.Utility_DisplayArrayInTable(SourceData_PastureBeef.SourceData_PastureBeef_CrudeProteinContent_Data(), Table_SourceData_PastureBeef_CrudeProtein[[#Headers],[State]], 0)</f>
        <v>0.09</v>
      </c>
      <c r="H326" s="36" cm="1">
        <f t="array" ref="H326">Common_InputFunctions.Utility_DisplayArrayInTable(SourceData_PastureBeef.SourceData_PastureBeef_CrudeProteinContent_Data(), Table_SourceData_PastureBeef_CrudeProtein[[#Headers],[State]], 0)</f>
        <v>0.06</v>
      </c>
      <c r="I326" s="36" cm="1">
        <f t="array" ref="I326">Common_InputFunctions.Utility_DisplayArrayInTable(SourceData_PastureBeef.SourceData_PastureBeef_CrudeProteinContent_Data(), Table_SourceData_PastureBeef_CrudeProtein[[#Headers],[State]], 0)</f>
        <v>0.2</v>
      </c>
      <c r="M326" s="1"/>
    </row>
    <row r="327" spans="4:13" x14ac:dyDescent="0.25">
      <c r="D327" s="36" t="str" cm="1">
        <f t="array" ref="D327">Common_InputFunctions.Utility_DisplayArrayInTable(SourceData_PastureBeef.SourceData_PastureBeef_CrudeProteinContent_Data(), Table_SourceData_PastureBeef_CrudeProtein[[#Headers],[State]], 0)</f>
        <v>WA</v>
      </c>
      <c r="E327" s="36" t="str" cm="1">
        <f t="array" ref="E327">Common_InputFunctions.Utility_DisplayArrayInTable(SourceData_PastureBeef.SourceData_PastureBeef_CrudeProteinContent_Data(), Table_SourceData_PastureBeef_CrudeProtein[[#Headers],[State]], 0)</f>
        <v>Pilbara</v>
      </c>
      <c r="F327" s="36" cm="1">
        <f t="array" ref="F327">Common_InputFunctions.Utility_DisplayArrayInTable(SourceData_PastureBeef.SourceData_PastureBeef_CrudeProteinContent_Data(), Table_SourceData_PastureBeef_CrudeProtein[[#Headers],[State]], 0)</f>
        <v>0.04</v>
      </c>
      <c r="G327" s="36" cm="1">
        <f t="array" ref="G327">Common_InputFunctions.Utility_DisplayArrayInTable(SourceData_PastureBeef.SourceData_PastureBeef_CrudeProteinContent_Data(), Table_SourceData_PastureBeef_CrudeProtein[[#Headers],[State]], 0)</f>
        <v>0.12</v>
      </c>
      <c r="H327" s="36" cm="1">
        <f t="array" ref="H327">Common_InputFunctions.Utility_DisplayArrayInTable(SourceData_PastureBeef.SourceData_PastureBeef_CrudeProteinContent_Data(), Table_SourceData_PastureBeef_CrudeProtein[[#Headers],[State]], 0)</f>
        <v>0.09</v>
      </c>
      <c r="I327" s="36" cm="1">
        <f t="array" ref="I327">Common_InputFunctions.Utility_DisplayArrayInTable(SourceData_PastureBeef.SourceData_PastureBeef_CrudeProteinContent_Data(), Table_SourceData_PastureBeef_CrudeProtein[[#Headers],[State]], 0)</f>
        <v>0.06</v>
      </c>
      <c r="M327" s="1"/>
    </row>
    <row r="328" spans="4:13" x14ac:dyDescent="0.25">
      <c r="D328" s="36" t="str" cm="1">
        <f t="array" ref="D328">Common_InputFunctions.Utility_DisplayArrayInTable(SourceData_PastureBeef.SourceData_PastureBeef_CrudeProteinContent_Data(), Table_SourceData_PastureBeef_CrudeProtein[[#Headers],[State]], 0)</f>
        <v>WA</v>
      </c>
      <c r="E328" s="36" t="str" cm="1">
        <f t="array" ref="E328">Common_InputFunctions.Utility_DisplayArrayInTable(SourceData_PastureBeef.SourceData_PastureBeef_CrudeProteinContent_Data(), Table_SourceData_PastureBeef_CrudeProtein[[#Headers],[State]], 0)</f>
        <v>Kimberley</v>
      </c>
      <c r="F328" s="36" cm="1">
        <f t="array" ref="F328">Common_InputFunctions.Utility_DisplayArrayInTable(SourceData_PastureBeef.SourceData_PastureBeef_CrudeProteinContent_Data(), Table_SourceData_PastureBeef_CrudeProtein[[#Headers],[State]], 0)</f>
        <v>0.04</v>
      </c>
      <c r="G328" s="36" cm="1">
        <f t="array" ref="G328">Common_InputFunctions.Utility_DisplayArrayInTable(SourceData_PastureBeef.SourceData_PastureBeef_CrudeProteinContent_Data(), Table_SourceData_PastureBeef_CrudeProtein[[#Headers],[State]], 0)</f>
        <v>0.12</v>
      </c>
      <c r="H328" s="36" cm="1">
        <f t="array" ref="H328">Common_InputFunctions.Utility_DisplayArrayInTable(SourceData_PastureBeef.SourceData_PastureBeef_CrudeProteinContent_Data(), Table_SourceData_PastureBeef_CrudeProtein[[#Headers],[State]], 0)</f>
        <v>0.09</v>
      </c>
      <c r="I328" s="36"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6" t="str" cm="1">
        <f t="array" ref="D331">SourceData_PastureBeef.SourceData_PastureBeef_FeedAdjustmentAndMilkProduction_Title()</f>
        <v>Beef pasture cattle - Feed intake adjustment and milk production (kg/head/day)</v>
      </c>
      <c r="M331" s="1"/>
    </row>
    <row r="332" spans="4:13" x14ac:dyDescent="0.25">
      <c r="D332" s="5"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54" t="s">
        <v>208</v>
      </c>
      <c r="M333" s="1"/>
    </row>
    <row r="334" spans="4:13" x14ac:dyDescent="0.25">
      <c r="D334" s="36" t="s">
        <v>100</v>
      </c>
      <c r="E334" s="36" t="s">
        <v>144</v>
      </c>
      <c r="F334" s="36" t="s">
        <v>192</v>
      </c>
      <c r="G334" s="36" t="s">
        <v>193</v>
      </c>
      <c r="I334" s="36" t="s">
        <v>100</v>
      </c>
      <c r="J334" s="36" t="s">
        <v>144</v>
      </c>
      <c r="K334" s="36" t="s">
        <v>192</v>
      </c>
      <c r="L334" s="36" t="s">
        <v>193</v>
      </c>
      <c r="M334" s="1"/>
    </row>
    <row r="335" spans="4:13" x14ac:dyDescent="0.25">
      <c r="D335" s="36" t="str" cm="1">
        <f t="array" ref="D335">Common_InputFunctions.Utility_DisplayArrayInTable(SourceData_PastureBeef.SourceData_PastureBeef_FeedAdjustmentAndMilkProduction_Data(), Table_SourceData_PastureBeef_FeedIntakeAdjustment[[#Headers],[Breed]], 0)</f>
        <v>Hereford or Shorthorn breeds</v>
      </c>
      <c r="E335" s="36" t="str" cm="1">
        <f t="array" ref="E335">Common_InputFunctions.Utility_DisplayArrayInTable(SourceData_PastureBeef.SourceData_PastureBeef_FeedAdjustmentAndMilkProduction_Data(), Table_SourceData_PastureBeef_FeedIntakeAdjustment[[#Headers],[Breed]], 0)</f>
        <v>Spring</v>
      </c>
      <c r="F335" s="36" cm="1">
        <f t="array" ref="F335">Common_InputFunctions.Utility_DisplayArrayInTable(SourceData_PastureBeef.SourceData_PastureBeef_FeedAdjustmentAndMilkProduction_Data(), Table_SourceData_PastureBeef_FeedIntakeAdjustment[[#Headers],[Breed]], 0)</f>
        <v>1.3</v>
      </c>
      <c r="G335" s="36" cm="1">
        <f t="array" ref="G335">Common_InputFunctions.Utility_DisplayArrayInTable(SourceData_PastureBeef.SourceData_PastureBeef_FeedAdjustmentAndMilkProduction_Data(), Table_SourceData_PastureBeef_FeedIntakeAdjustment[[#Headers],[Breed]], 0)</f>
        <v>6</v>
      </c>
      <c r="I335" s="36" t="str">
        <f>Table_SourceData_PastureBeef_FeedIntakeAdjustment[[#This Row],[Breed]]</f>
        <v>Hereford or Shorthorn breeds</v>
      </c>
      <c r="J335" s="36" t="s">
        <v>206</v>
      </c>
      <c r="K335" s="36">
        <f>Table_SourceData_PastureBeef_FeedIntakeAdjustment[[#This Row],[Feed adjustment]]</f>
        <v>1.3</v>
      </c>
      <c r="L335" s="36">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6" t="str" cm="1">
        <f t="array" ref="E336">Common_InputFunctions.Utility_DisplayArrayInTable(SourceData_PastureBeef.SourceData_PastureBeef_FeedAdjustmentAndMilkProduction_Data(), Table_SourceData_PastureBeef_FeedIntakeAdjustment[[#Headers],[Breed]], 0)</f>
        <v>Summer</v>
      </c>
      <c r="F336" s="36" cm="1">
        <f t="array" ref="F336">Common_InputFunctions.Utility_DisplayArrayInTable(SourceData_PastureBeef.SourceData_PastureBeef_FeedAdjustmentAndMilkProduction_Data(), Table_SourceData_PastureBeef_FeedIntakeAdjustment[[#Headers],[Breed]], 0)</f>
        <v>1.1000000000000001</v>
      </c>
      <c r="G336" s="36"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6" t="s">
        <v>207</v>
      </c>
      <c r="K336" s="36">
        <f>Table_SourceData_PastureBeef_FeedIntakeAdjustment[[#This Row],[Feed adjustment]]</f>
        <v>1.1000000000000001</v>
      </c>
      <c r="L336" s="36">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6" t="str" cm="1">
        <f t="array" ref="E337">Common_InputFunctions.Utility_DisplayArrayInTable(SourceData_PastureBeef.SourceData_PastureBeef_FeedAdjustmentAndMilkProduction_Data(), Table_SourceData_PastureBeef_FeedIntakeAdjustment[[#Headers],[Breed]], 0)</f>
        <v>Autumn</v>
      </c>
      <c r="F337" s="36" cm="1">
        <f t="array" ref="F337">Common_InputFunctions.Utility_DisplayArrayInTable(SourceData_PastureBeef.SourceData_PastureBeef_FeedAdjustmentAndMilkProduction_Data(), Table_SourceData_PastureBeef_FeedIntakeAdjustment[[#Headers],[Breed]], 0)</f>
        <v>0</v>
      </c>
      <c r="G337" s="36"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6" t="s">
        <v>206</v>
      </c>
      <c r="K337" s="36">
        <f>F340</f>
        <v>1.3</v>
      </c>
      <c r="L337" s="36">
        <f t="shared" ref="L337:L338" si="135">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6" t="str" cm="1">
        <f t="array" ref="E338">Common_InputFunctions.Utility_DisplayArrayInTable(SourceData_PastureBeef.SourceData_PastureBeef_FeedAdjustmentAndMilkProduction_Data(), Table_SourceData_PastureBeef_FeedIntakeAdjustment[[#Headers],[Breed]], 0)</f>
        <v>Winter</v>
      </c>
      <c r="F338" s="36" cm="1">
        <f t="array" ref="F338">Common_InputFunctions.Utility_DisplayArrayInTable(SourceData_PastureBeef.SourceData_PastureBeef_FeedAdjustmentAndMilkProduction_Data(), Table_SourceData_PastureBeef_FeedIntakeAdjustment[[#Headers],[Breed]], 0)</f>
        <v>0</v>
      </c>
      <c r="G338" s="36"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6" t="s">
        <v>207</v>
      </c>
      <c r="K338" s="36">
        <f t="shared" ref="K338" si="136">F341</f>
        <v>1.1000000000000001</v>
      </c>
      <c r="L338" s="36">
        <f t="shared" si="135"/>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6" t="str" cm="1">
        <f t="array" ref="E339">Common_InputFunctions.Utility_DisplayArrayInTable(SourceData_PastureBeef.SourceData_PastureBeef_FeedAdjustmentAndMilkProduction_Data(), Table_SourceData_PastureBeef_FeedIntakeAdjustment[[#Headers],[Breed]], 0)</f>
        <v>Spring</v>
      </c>
      <c r="F339" s="36" cm="1">
        <f t="array" ref="F339">Common_InputFunctions.Utility_DisplayArrayInTable(SourceData_PastureBeef.SourceData_PastureBeef_FeedAdjustmentAndMilkProduction_Data(), Table_SourceData_PastureBeef_FeedIntakeAdjustment[[#Headers],[Breed]], 0)</f>
        <v>0</v>
      </c>
      <c r="G339" s="36"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6" t="str" cm="1">
        <f t="array" ref="E340">Common_InputFunctions.Utility_DisplayArrayInTable(SourceData_PastureBeef.SourceData_PastureBeef_FeedAdjustmentAndMilkProduction_Data(), Table_SourceData_PastureBeef_FeedIntakeAdjustment[[#Headers],[Breed]], 0)</f>
        <v>Summer</v>
      </c>
      <c r="F340" s="36" cm="1">
        <f t="array" ref="F340">Common_InputFunctions.Utility_DisplayArrayInTable(SourceData_PastureBeef.SourceData_PastureBeef_FeedAdjustmentAndMilkProduction_Data(), Table_SourceData_PastureBeef_FeedIntakeAdjustment[[#Headers],[Breed]], 0)</f>
        <v>1.3</v>
      </c>
      <c r="G340" s="36"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6" t="str" cm="1">
        <f t="array" ref="E341">Common_InputFunctions.Utility_DisplayArrayInTable(SourceData_PastureBeef.SourceData_PastureBeef_FeedAdjustmentAndMilkProduction_Data(), Table_SourceData_PastureBeef_FeedIntakeAdjustment[[#Headers],[Breed]], 0)</f>
        <v>Autumn</v>
      </c>
      <c r="F341" s="36" cm="1">
        <f t="array" ref="F341">Common_InputFunctions.Utility_DisplayArrayInTable(SourceData_PastureBeef.SourceData_PastureBeef_FeedAdjustmentAndMilkProduction_Data(), Table_SourceData_PastureBeef_FeedIntakeAdjustment[[#Headers],[Breed]], 0)</f>
        <v>1.1000000000000001</v>
      </c>
      <c r="G341" s="36"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6" t="str" cm="1">
        <f t="array" ref="E342">Common_InputFunctions.Utility_DisplayArrayInTable(SourceData_PastureBeef.SourceData_PastureBeef_FeedAdjustmentAndMilkProduction_Data(), Table_SourceData_PastureBeef_FeedIntakeAdjustment[[#Headers],[Breed]], 0)</f>
        <v>Winter</v>
      </c>
      <c r="F342" s="36" cm="1">
        <f t="array" ref="F342">Common_InputFunctions.Utility_DisplayArrayInTable(SourceData_PastureBeef.SourceData_PastureBeef_FeedAdjustmentAndMilkProduction_Data(), Table_SourceData_PastureBeef_FeedIntakeAdjustment[[#Headers],[Breed]], 0)</f>
        <v>0</v>
      </c>
      <c r="G342" s="36"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6" t="str" cm="1">
        <f t="array" ref="D345">SourceData_PastureBeef.SourceData_PastureBeef_StandardReferenceWeights_Title()</f>
        <v>Beef pasture cattle - Standard reference weights (kg) (SRWk)</v>
      </c>
      <c r="M345" s="1"/>
    </row>
    <row r="346" spans="4:13" x14ac:dyDescent="0.25">
      <c r="D346" s="5"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53" t="str" cm="1">
        <f t="array" ref="D348">SourceData_PastureBeef.SourceData_PastureBeef_StandardReferenceWeights_Unit()</f>
        <v>kg</v>
      </c>
      <c r="M348" s="1"/>
    </row>
    <row r="349" spans="4:13" x14ac:dyDescent="0.25">
      <c r="D349" s="54" t="str" cm="1">
        <f t="array" ref="D349">SourceData_PastureBeef.SourceData_PastureBeef_StandardReferenceWeights_Variation()</f>
        <v>VARIATION ON SOURCE: Split ACT and NSW into separate rows. Added 'State abbreviation' column to aid lookup.</v>
      </c>
      <c r="M349" s="1"/>
    </row>
    <row r="350" spans="4:13" x14ac:dyDescent="0.25">
      <c r="D350" s="36" t="s">
        <v>5</v>
      </c>
      <c r="E350" s="36" t="s">
        <v>194</v>
      </c>
      <c r="F350" s="36" t="s">
        <v>195</v>
      </c>
      <c r="G350" s="36" t="s">
        <v>153</v>
      </c>
      <c r="H350" s="36" t="s">
        <v>154</v>
      </c>
      <c r="I350" s="36" t="s">
        <v>196</v>
      </c>
      <c r="J350" s="36" t="s">
        <v>157</v>
      </c>
      <c r="K350" s="36" t="s">
        <v>186</v>
      </c>
      <c r="L350" s="36" t="s">
        <v>197</v>
      </c>
      <c r="M350" s="1"/>
    </row>
    <row r="351" spans="4:13" x14ac:dyDescent="0.25">
      <c r="D351" s="36" t="str" cm="1">
        <f t="array" ref="D351">Common_InputFunctions.Utility_DisplayArrayInTable(SourceData_PastureBeef.SourceData_PastureBeef_StandardReferenceWeights_Data(), Table_SourceData_PastureBeef_StandardReferenceWeights[[#Headers],[State]], 0)</f>
        <v>ACT</v>
      </c>
      <c r="E351" s="36" cm="1">
        <f t="array" ref="E351">Common_InputFunctions.Utility_DisplayArrayInTable(SourceData_PastureBeef.SourceData_PastureBeef_StandardReferenceWeights_Data(), Table_SourceData_PastureBeef_StandardReferenceWeights[[#Headers],[State]], 0)</f>
        <v>700</v>
      </c>
      <c r="F351" s="36" cm="1">
        <f t="array" ref="F351">Common_InputFunctions.Utility_DisplayArrayInTable(SourceData_PastureBeef.SourceData_PastureBeef_StandardReferenceWeights_Data(), Table_SourceData_PastureBeef_StandardReferenceWeights[[#Headers],[State]], 0)</f>
        <v>700</v>
      </c>
      <c r="G351" s="36" cm="1">
        <f t="array" ref="G351">Common_InputFunctions.Utility_DisplayArrayInTable(SourceData_PastureBeef.SourceData_PastureBeef_StandardReferenceWeights_Data(), Table_SourceData_PastureBeef_StandardReferenceWeights[[#Headers],[State]], 0)</f>
        <v>500</v>
      </c>
      <c r="H351" s="36" cm="1">
        <f t="array" ref="H351">Common_InputFunctions.Utility_DisplayArrayInTable(SourceData_PastureBeef.SourceData_PastureBeef_StandardReferenceWeights_Data(), Table_SourceData_PastureBeef_StandardReferenceWeights[[#Headers],[State]], 0)</f>
        <v>500</v>
      </c>
      <c r="I351" s="36" cm="1">
        <f t="array" ref="I351">Common_InputFunctions.Utility_DisplayArrayInTable(SourceData_PastureBeef.SourceData_PastureBeef_StandardReferenceWeights_Data(), Table_SourceData_PastureBeef_StandardReferenceWeights[[#Headers],[State]], 0)</f>
        <v>500</v>
      </c>
      <c r="J351" s="36" cm="1">
        <f t="array" ref="J351">Common_InputFunctions.Utility_DisplayArrayInTable(SourceData_PastureBeef.SourceData_PastureBeef_StandardReferenceWeights_Data(), Table_SourceData_PastureBeef_StandardReferenceWeights[[#Headers],[State]], 0)</f>
        <v>600</v>
      </c>
      <c r="K351" s="36" cm="1">
        <f t="array" ref="K351">Common_InputFunctions.Utility_DisplayArrayInTable(SourceData_PastureBeef.SourceData_PastureBeef_StandardReferenceWeights_Data(), Table_SourceData_PastureBeef_StandardReferenceWeights[[#Headers],[State]], 0)</f>
        <v>600</v>
      </c>
      <c r="L351" s="36"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6" cm="1">
        <f t="array" ref="E352">Common_InputFunctions.Utility_DisplayArrayInTable(SourceData_PastureBeef.SourceData_PastureBeef_StandardReferenceWeights_Data(), Table_SourceData_PastureBeef_StandardReferenceWeights[[#Headers],[State]], 0)</f>
        <v>700</v>
      </c>
      <c r="F352" s="36" cm="1">
        <f t="array" ref="F352">Common_InputFunctions.Utility_DisplayArrayInTable(SourceData_PastureBeef.SourceData_PastureBeef_StandardReferenceWeights_Data(), Table_SourceData_PastureBeef_StandardReferenceWeights[[#Headers],[State]], 0)</f>
        <v>700</v>
      </c>
      <c r="G352" s="36" cm="1">
        <f t="array" ref="G352">Common_InputFunctions.Utility_DisplayArrayInTable(SourceData_PastureBeef.SourceData_PastureBeef_StandardReferenceWeights_Data(), Table_SourceData_PastureBeef_StandardReferenceWeights[[#Headers],[State]], 0)</f>
        <v>500</v>
      </c>
      <c r="H352" s="36" cm="1">
        <f t="array" ref="H352">Common_InputFunctions.Utility_DisplayArrayInTable(SourceData_PastureBeef.SourceData_PastureBeef_StandardReferenceWeights_Data(), Table_SourceData_PastureBeef_StandardReferenceWeights[[#Headers],[State]], 0)</f>
        <v>500</v>
      </c>
      <c r="I352" s="36" cm="1">
        <f t="array" ref="I352">Common_InputFunctions.Utility_DisplayArrayInTable(SourceData_PastureBeef.SourceData_PastureBeef_StandardReferenceWeights_Data(), Table_SourceData_PastureBeef_StandardReferenceWeights[[#Headers],[State]], 0)</f>
        <v>500</v>
      </c>
      <c r="J352" s="36" cm="1">
        <f t="array" ref="J352">Common_InputFunctions.Utility_DisplayArrayInTable(SourceData_PastureBeef.SourceData_PastureBeef_StandardReferenceWeights_Data(), Table_SourceData_PastureBeef_StandardReferenceWeights[[#Headers],[State]], 0)</f>
        <v>600</v>
      </c>
      <c r="K352" s="36" cm="1">
        <f t="array" ref="K352">Common_InputFunctions.Utility_DisplayArrayInTable(SourceData_PastureBeef.SourceData_PastureBeef_StandardReferenceWeights_Data(), Table_SourceData_PastureBeef_StandardReferenceWeights[[#Headers],[State]], 0)</f>
        <v>600</v>
      </c>
      <c r="L352" s="36"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6" cm="1">
        <f t="array" ref="E353">Common_InputFunctions.Utility_DisplayArrayInTable(SourceData_PastureBeef.SourceData_PastureBeef_StandardReferenceWeights_Data(), Table_SourceData_PastureBeef_StandardReferenceWeights[[#Headers],[State]], 0)</f>
        <v>770</v>
      </c>
      <c r="F353" s="36" cm="1">
        <f t="array" ref="F353">Common_InputFunctions.Utility_DisplayArrayInTable(SourceData_PastureBeef.SourceData_PastureBeef_StandardReferenceWeights_Data(), Table_SourceData_PastureBeef_StandardReferenceWeights[[#Headers],[State]], 0)</f>
        <v>770</v>
      </c>
      <c r="G353" s="36" cm="1">
        <f t="array" ref="G353">Common_InputFunctions.Utility_DisplayArrayInTable(SourceData_PastureBeef.SourceData_PastureBeef_StandardReferenceWeights_Data(), Table_SourceData_PastureBeef_StandardReferenceWeights[[#Headers],[State]], 0)</f>
        <v>550</v>
      </c>
      <c r="H353" s="36" cm="1">
        <f t="array" ref="H353">Common_InputFunctions.Utility_DisplayArrayInTable(SourceData_PastureBeef.SourceData_PastureBeef_StandardReferenceWeights_Data(), Table_SourceData_PastureBeef_StandardReferenceWeights[[#Headers],[State]], 0)</f>
        <v>550</v>
      </c>
      <c r="I353" s="36" cm="1">
        <f t="array" ref="I353">Common_InputFunctions.Utility_DisplayArrayInTable(SourceData_PastureBeef.SourceData_PastureBeef_StandardReferenceWeights_Data(), Table_SourceData_PastureBeef_StandardReferenceWeights[[#Headers],[State]], 0)</f>
        <v>550</v>
      </c>
      <c r="J353" s="36" cm="1">
        <f t="array" ref="J353">Common_InputFunctions.Utility_DisplayArrayInTable(SourceData_PastureBeef.SourceData_PastureBeef_StandardReferenceWeights_Data(), Table_SourceData_PastureBeef_StandardReferenceWeights[[#Headers],[State]], 0)</f>
        <v>660</v>
      </c>
      <c r="K353" s="36" cm="1">
        <f t="array" ref="K353">Common_InputFunctions.Utility_DisplayArrayInTable(SourceData_PastureBeef.SourceData_PastureBeef_StandardReferenceWeights_Data(), Table_SourceData_PastureBeef_StandardReferenceWeights[[#Headers],[State]], 0)</f>
        <v>660</v>
      </c>
      <c r="L353" s="36"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6" cm="1">
        <f t="array" ref="E354">Common_InputFunctions.Utility_DisplayArrayInTable(SourceData_PastureBeef.SourceData_PastureBeef_StandardReferenceWeights_Data(), Table_SourceData_PastureBeef_StandardReferenceWeights[[#Headers],[State]], 0)</f>
        <v>770</v>
      </c>
      <c r="F354" s="36" cm="1">
        <f t="array" ref="F354">Common_InputFunctions.Utility_DisplayArrayInTable(SourceData_PastureBeef.SourceData_PastureBeef_StandardReferenceWeights_Data(), Table_SourceData_PastureBeef_StandardReferenceWeights[[#Headers],[State]], 0)</f>
        <v>770</v>
      </c>
      <c r="G354" s="36" cm="1">
        <f t="array" ref="G354">Common_InputFunctions.Utility_DisplayArrayInTable(SourceData_PastureBeef.SourceData_PastureBeef_StandardReferenceWeights_Data(), Table_SourceData_PastureBeef_StandardReferenceWeights[[#Headers],[State]], 0)</f>
        <v>550</v>
      </c>
      <c r="H354" s="36" cm="1">
        <f t="array" ref="H354">Common_InputFunctions.Utility_DisplayArrayInTable(SourceData_PastureBeef.SourceData_PastureBeef_StandardReferenceWeights_Data(), Table_SourceData_PastureBeef_StandardReferenceWeights[[#Headers],[State]], 0)</f>
        <v>550</v>
      </c>
      <c r="I354" s="36" cm="1">
        <f t="array" ref="I354">Common_InputFunctions.Utility_DisplayArrayInTable(SourceData_PastureBeef.SourceData_PastureBeef_StandardReferenceWeights_Data(), Table_SourceData_PastureBeef_StandardReferenceWeights[[#Headers],[State]], 0)</f>
        <v>550</v>
      </c>
      <c r="J354" s="36" cm="1">
        <f t="array" ref="J354">Common_InputFunctions.Utility_DisplayArrayInTable(SourceData_PastureBeef.SourceData_PastureBeef_StandardReferenceWeights_Data(), Table_SourceData_PastureBeef_StandardReferenceWeights[[#Headers],[State]], 0)</f>
        <v>660</v>
      </c>
      <c r="K354" s="36" cm="1">
        <f t="array" ref="K354">Common_InputFunctions.Utility_DisplayArrayInTable(SourceData_PastureBeef.SourceData_PastureBeef_StandardReferenceWeights_Data(), Table_SourceData_PastureBeef_StandardReferenceWeights[[#Headers],[State]], 0)</f>
        <v>660</v>
      </c>
      <c r="L354" s="36"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6" cm="1">
        <f t="array" ref="E355">Common_InputFunctions.Utility_DisplayArrayInTable(SourceData_PastureBeef.SourceData_PastureBeef_StandardReferenceWeights_Data(), Table_SourceData_PastureBeef_StandardReferenceWeights[[#Headers],[State]], 0)</f>
        <v>770</v>
      </c>
      <c r="F355" s="36" cm="1">
        <f t="array" ref="F355">Common_InputFunctions.Utility_DisplayArrayInTable(SourceData_PastureBeef.SourceData_PastureBeef_StandardReferenceWeights_Data(), Table_SourceData_PastureBeef_StandardReferenceWeights[[#Headers],[State]], 0)</f>
        <v>770</v>
      </c>
      <c r="G355" s="36" cm="1">
        <f t="array" ref="G355">Common_InputFunctions.Utility_DisplayArrayInTable(SourceData_PastureBeef.SourceData_PastureBeef_StandardReferenceWeights_Data(), Table_SourceData_PastureBeef_StandardReferenceWeights[[#Headers],[State]], 0)</f>
        <v>550</v>
      </c>
      <c r="H355" s="36" cm="1">
        <f t="array" ref="H355">Common_InputFunctions.Utility_DisplayArrayInTable(SourceData_PastureBeef.SourceData_PastureBeef_StandardReferenceWeights_Data(), Table_SourceData_PastureBeef_StandardReferenceWeights[[#Headers],[State]], 0)</f>
        <v>550</v>
      </c>
      <c r="I355" s="36" cm="1">
        <f t="array" ref="I355">Common_InputFunctions.Utility_DisplayArrayInTable(SourceData_PastureBeef.SourceData_PastureBeef_StandardReferenceWeights_Data(), Table_SourceData_PastureBeef_StandardReferenceWeights[[#Headers],[State]], 0)</f>
        <v>550</v>
      </c>
      <c r="J355" s="36" cm="1">
        <f t="array" ref="J355">Common_InputFunctions.Utility_DisplayArrayInTable(SourceData_PastureBeef.SourceData_PastureBeef_StandardReferenceWeights_Data(), Table_SourceData_PastureBeef_StandardReferenceWeights[[#Headers],[State]], 0)</f>
        <v>660</v>
      </c>
      <c r="K355" s="36" cm="1">
        <f t="array" ref="K355">Common_InputFunctions.Utility_DisplayArrayInTable(SourceData_PastureBeef.SourceData_PastureBeef_StandardReferenceWeights_Data(), Table_SourceData_PastureBeef_StandardReferenceWeights[[#Headers],[State]], 0)</f>
        <v>660</v>
      </c>
      <c r="L355" s="36"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6" cm="1">
        <f t="array" ref="E356">Common_InputFunctions.Utility_DisplayArrayInTable(SourceData_PastureBeef.SourceData_PastureBeef_StandardReferenceWeights_Data(), Table_SourceData_PastureBeef_StandardReferenceWeights[[#Headers],[State]], 0)</f>
        <v>770</v>
      </c>
      <c r="F356" s="36" cm="1">
        <f t="array" ref="F356">Common_InputFunctions.Utility_DisplayArrayInTable(SourceData_PastureBeef.SourceData_PastureBeef_StandardReferenceWeights_Data(), Table_SourceData_PastureBeef_StandardReferenceWeights[[#Headers],[State]], 0)</f>
        <v>770</v>
      </c>
      <c r="G356" s="36" cm="1">
        <f t="array" ref="G356">Common_InputFunctions.Utility_DisplayArrayInTable(SourceData_PastureBeef.SourceData_PastureBeef_StandardReferenceWeights_Data(), Table_SourceData_PastureBeef_StandardReferenceWeights[[#Headers],[State]], 0)</f>
        <v>550</v>
      </c>
      <c r="H356" s="36" cm="1">
        <f t="array" ref="H356">Common_InputFunctions.Utility_DisplayArrayInTable(SourceData_PastureBeef.SourceData_PastureBeef_StandardReferenceWeights_Data(), Table_SourceData_PastureBeef_StandardReferenceWeights[[#Headers],[State]], 0)</f>
        <v>550</v>
      </c>
      <c r="I356" s="36" cm="1">
        <f t="array" ref="I356">Common_InputFunctions.Utility_DisplayArrayInTable(SourceData_PastureBeef.SourceData_PastureBeef_StandardReferenceWeights_Data(), Table_SourceData_PastureBeef_StandardReferenceWeights[[#Headers],[State]], 0)</f>
        <v>550</v>
      </c>
      <c r="J356" s="36" cm="1">
        <f t="array" ref="J356">Common_InputFunctions.Utility_DisplayArrayInTable(SourceData_PastureBeef.SourceData_PastureBeef_StandardReferenceWeights_Data(), Table_SourceData_PastureBeef_StandardReferenceWeights[[#Headers],[State]], 0)</f>
        <v>660</v>
      </c>
      <c r="K356" s="36" cm="1">
        <f t="array" ref="K356">Common_InputFunctions.Utility_DisplayArrayInTable(SourceData_PastureBeef.SourceData_PastureBeef_StandardReferenceWeights_Data(), Table_SourceData_PastureBeef_StandardReferenceWeights[[#Headers],[State]], 0)</f>
        <v>660</v>
      </c>
      <c r="L356" s="36"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6" cm="1">
        <f t="array" ref="E357">Common_InputFunctions.Utility_DisplayArrayInTable(SourceData_PastureBeef.SourceData_PastureBeef_StandardReferenceWeights_Data(), Table_SourceData_PastureBeef_StandardReferenceWeights[[#Headers],[State]], 0)</f>
        <v>770</v>
      </c>
      <c r="F357" s="36" cm="1">
        <f t="array" ref="F357">Common_InputFunctions.Utility_DisplayArrayInTable(SourceData_PastureBeef.SourceData_PastureBeef_StandardReferenceWeights_Data(), Table_SourceData_PastureBeef_StandardReferenceWeights[[#Headers],[State]], 0)</f>
        <v>770</v>
      </c>
      <c r="G357" s="36" cm="1">
        <f t="array" ref="G357">Common_InputFunctions.Utility_DisplayArrayInTable(SourceData_PastureBeef.SourceData_PastureBeef_StandardReferenceWeights_Data(), Table_SourceData_PastureBeef_StandardReferenceWeights[[#Headers],[State]], 0)</f>
        <v>550</v>
      </c>
      <c r="H357" s="36" cm="1">
        <f t="array" ref="H357">Common_InputFunctions.Utility_DisplayArrayInTable(SourceData_PastureBeef.SourceData_PastureBeef_StandardReferenceWeights_Data(), Table_SourceData_PastureBeef_StandardReferenceWeights[[#Headers],[State]], 0)</f>
        <v>550</v>
      </c>
      <c r="I357" s="36" cm="1">
        <f t="array" ref="I357">Common_InputFunctions.Utility_DisplayArrayInTable(SourceData_PastureBeef.SourceData_PastureBeef_StandardReferenceWeights_Data(), Table_SourceData_PastureBeef_StandardReferenceWeights[[#Headers],[State]], 0)</f>
        <v>550</v>
      </c>
      <c r="J357" s="36" cm="1">
        <f t="array" ref="J357">Common_InputFunctions.Utility_DisplayArrayInTable(SourceData_PastureBeef.SourceData_PastureBeef_StandardReferenceWeights_Data(), Table_SourceData_PastureBeef_StandardReferenceWeights[[#Headers],[State]], 0)</f>
        <v>660</v>
      </c>
      <c r="K357" s="36" cm="1">
        <f t="array" ref="K357">Common_InputFunctions.Utility_DisplayArrayInTable(SourceData_PastureBeef.SourceData_PastureBeef_StandardReferenceWeights_Data(), Table_SourceData_PastureBeef_StandardReferenceWeights[[#Headers],[State]], 0)</f>
        <v>660</v>
      </c>
      <c r="L357" s="36"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6" cm="1">
        <f t="array" ref="E358">Common_InputFunctions.Utility_DisplayArrayInTable(SourceData_PastureBeef.SourceData_PastureBeef_StandardReferenceWeights_Data(), Table_SourceData_PastureBeef_StandardReferenceWeights[[#Headers],[State]], 0)</f>
        <v>770</v>
      </c>
      <c r="F358" s="36" cm="1">
        <f t="array" ref="F358">Common_InputFunctions.Utility_DisplayArrayInTable(SourceData_PastureBeef.SourceData_PastureBeef_StandardReferenceWeights_Data(), Table_SourceData_PastureBeef_StandardReferenceWeights[[#Headers],[State]], 0)</f>
        <v>770</v>
      </c>
      <c r="G358" s="36" cm="1">
        <f t="array" ref="G358">Common_InputFunctions.Utility_DisplayArrayInTable(SourceData_PastureBeef.SourceData_PastureBeef_StandardReferenceWeights_Data(), Table_SourceData_PastureBeef_StandardReferenceWeights[[#Headers],[State]], 0)</f>
        <v>550</v>
      </c>
      <c r="H358" s="36" cm="1">
        <f t="array" ref="H358">Common_InputFunctions.Utility_DisplayArrayInTable(SourceData_PastureBeef.SourceData_PastureBeef_StandardReferenceWeights_Data(), Table_SourceData_PastureBeef_StandardReferenceWeights[[#Headers],[State]], 0)</f>
        <v>550</v>
      </c>
      <c r="I358" s="36" cm="1">
        <f t="array" ref="I358">Common_InputFunctions.Utility_DisplayArrayInTable(SourceData_PastureBeef.SourceData_PastureBeef_StandardReferenceWeights_Data(), Table_SourceData_PastureBeef_StandardReferenceWeights[[#Headers],[State]], 0)</f>
        <v>550</v>
      </c>
      <c r="J358" s="36" cm="1">
        <f t="array" ref="J358">Common_InputFunctions.Utility_DisplayArrayInTable(SourceData_PastureBeef.SourceData_PastureBeef_StandardReferenceWeights_Data(), Table_SourceData_PastureBeef_StandardReferenceWeights[[#Headers],[State]], 0)</f>
        <v>660</v>
      </c>
      <c r="K358" s="36" cm="1">
        <f t="array" ref="K358">Common_InputFunctions.Utility_DisplayArrayInTable(SourceData_PastureBeef.SourceData_PastureBeef_StandardReferenceWeights_Data(), Table_SourceData_PastureBeef_StandardReferenceWeights[[#Headers],[State]], 0)</f>
        <v>660</v>
      </c>
      <c r="L358" s="36"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6" t="s">
        <v>5</v>
      </c>
      <c r="E361" s="109" t="s">
        <v>102</v>
      </c>
      <c r="F361" s="109" t="s">
        <v>101</v>
      </c>
      <c r="G361" s="109" t="s">
        <v>125</v>
      </c>
      <c r="H361" s="109" t="s">
        <v>126</v>
      </c>
      <c r="I361" s="109" t="s">
        <v>127</v>
      </c>
      <c r="J361" s="109" t="s">
        <v>128</v>
      </c>
      <c r="K361" s="109" t="s">
        <v>129</v>
      </c>
      <c r="L361" s="109" t="s">
        <v>130</v>
      </c>
      <c r="M361" s="109" t="s">
        <v>131</v>
      </c>
      <c r="N361" s="109" t="s">
        <v>132</v>
      </c>
      <c r="O361" s="36" t="s">
        <v>197</v>
      </c>
    </row>
    <row r="362" spans="4:15" x14ac:dyDescent="0.25">
      <c r="D362" s="36" t="str">
        <f>D351</f>
        <v>ACT</v>
      </c>
      <c r="E362" s="36">
        <f t="shared" ref="E362:H362" si="137">E351</f>
        <v>700</v>
      </c>
      <c r="F362" s="36">
        <f t="shared" si="137"/>
        <v>700</v>
      </c>
      <c r="G362" s="36">
        <f t="shared" si="137"/>
        <v>500</v>
      </c>
      <c r="H362" s="36">
        <f t="shared" si="137"/>
        <v>500</v>
      </c>
      <c r="I362" s="36">
        <f>I351</f>
        <v>500</v>
      </c>
      <c r="J362" s="36">
        <f>I351</f>
        <v>500</v>
      </c>
      <c r="K362" s="36">
        <f t="shared" ref="K362" si="138">J351</f>
        <v>600</v>
      </c>
      <c r="L362" s="36">
        <f>K351</f>
        <v>600</v>
      </c>
      <c r="M362" s="36">
        <f>K351</f>
        <v>600</v>
      </c>
      <c r="N362" s="36">
        <f>K351</f>
        <v>600</v>
      </c>
      <c r="O362" s="36" t="str">
        <f>L351</f>
        <v>ACT</v>
      </c>
    </row>
    <row r="363" spans="4:15" x14ac:dyDescent="0.25">
      <c r="D363" s="36" t="str">
        <f t="shared" ref="D363:I363" si="139">D352</f>
        <v>NSW</v>
      </c>
      <c r="E363" s="36">
        <f t="shared" si="139"/>
        <v>700</v>
      </c>
      <c r="F363" s="36">
        <f t="shared" si="139"/>
        <v>700</v>
      </c>
      <c r="G363" s="36">
        <f t="shared" si="139"/>
        <v>500</v>
      </c>
      <c r="H363" s="36">
        <f t="shared" si="139"/>
        <v>500</v>
      </c>
      <c r="I363" s="36">
        <f t="shared" si="139"/>
        <v>500</v>
      </c>
      <c r="J363" s="36">
        <f t="shared" ref="J363:L363" si="140">I352</f>
        <v>500</v>
      </c>
      <c r="K363" s="36">
        <f t="shared" si="140"/>
        <v>600</v>
      </c>
      <c r="L363" s="36">
        <f t="shared" si="140"/>
        <v>600</v>
      </c>
      <c r="M363" s="36">
        <f t="shared" ref="M363:M369" si="141">K352</f>
        <v>600</v>
      </c>
      <c r="N363" s="36">
        <f t="shared" ref="N363:N369" si="142">K352</f>
        <v>600</v>
      </c>
      <c r="O363" s="36" t="str">
        <f t="shared" ref="O363:O369" si="143">L352</f>
        <v>NSW</v>
      </c>
    </row>
    <row r="364" spans="4:15" x14ac:dyDescent="0.25">
      <c r="D364" s="36" t="str">
        <f t="shared" ref="D364:I364" si="144">D353</f>
        <v>Northern Territory</v>
      </c>
      <c r="E364" s="36">
        <f t="shared" si="144"/>
        <v>770</v>
      </c>
      <c r="F364" s="36">
        <f t="shared" si="144"/>
        <v>770</v>
      </c>
      <c r="G364" s="36">
        <f t="shared" si="144"/>
        <v>550</v>
      </c>
      <c r="H364" s="36">
        <f t="shared" si="144"/>
        <v>550</v>
      </c>
      <c r="I364" s="36">
        <f t="shared" si="144"/>
        <v>550</v>
      </c>
      <c r="J364" s="36">
        <f t="shared" ref="J364:L364" si="145">I353</f>
        <v>550</v>
      </c>
      <c r="K364" s="36">
        <f t="shared" si="145"/>
        <v>660</v>
      </c>
      <c r="L364" s="36">
        <f t="shared" si="145"/>
        <v>660</v>
      </c>
      <c r="M364" s="36">
        <f t="shared" si="141"/>
        <v>660</v>
      </c>
      <c r="N364" s="36">
        <f t="shared" si="142"/>
        <v>660</v>
      </c>
      <c r="O364" s="36" t="str">
        <f t="shared" si="143"/>
        <v>NT</v>
      </c>
    </row>
    <row r="365" spans="4:15" x14ac:dyDescent="0.25">
      <c r="D365" s="36" t="str">
        <f t="shared" ref="D365:I365" si="146">D354</f>
        <v>Queensland</v>
      </c>
      <c r="E365" s="36">
        <f t="shared" si="146"/>
        <v>770</v>
      </c>
      <c r="F365" s="36">
        <f t="shared" si="146"/>
        <v>770</v>
      </c>
      <c r="G365" s="36">
        <f t="shared" si="146"/>
        <v>550</v>
      </c>
      <c r="H365" s="36">
        <f t="shared" si="146"/>
        <v>550</v>
      </c>
      <c r="I365" s="36">
        <f t="shared" si="146"/>
        <v>550</v>
      </c>
      <c r="J365" s="36">
        <f t="shared" ref="J365:L365" si="147">I354</f>
        <v>550</v>
      </c>
      <c r="K365" s="36">
        <f t="shared" si="147"/>
        <v>660</v>
      </c>
      <c r="L365" s="36">
        <f t="shared" si="147"/>
        <v>660</v>
      </c>
      <c r="M365" s="36">
        <f t="shared" si="141"/>
        <v>660</v>
      </c>
      <c r="N365" s="36">
        <f t="shared" si="142"/>
        <v>660</v>
      </c>
      <c r="O365" s="36" t="str">
        <f t="shared" si="143"/>
        <v>QLD</v>
      </c>
    </row>
    <row r="366" spans="4:15" x14ac:dyDescent="0.25">
      <c r="D366" s="36" t="str">
        <f t="shared" ref="D366:I366" si="148">D355</f>
        <v>South Australia</v>
      </c>
      <c r="E366" s="36">
        <f t="shared" si="148"/>
        <v>770</v>
      </c>
      <c r="F366" s="36">
        <f t="shared" si="148"/>
        <v>770</v>
      </c>
      <c r="G366" s="36">
        <f t="shared" si="148"/>
        <v>550</v>
      </c>
      <c r="H366" s="36">
        <f t="shared" si="148"/>
        <v>550</v>
      </c>
      <c r="I366" s="36">
        <f t="shared" si="148"/>
        <v>550</v>
      </c>
      <c r="J366" s="36">
        <f t="shared" ref="J366:L366" si="149">I355</f>
        <v>550</v>
      </c>
      <c r="K366" s="36">
        <f t="shared" si="149"/>
        <v>660</v>
      </c>
      <c r="L366" s="36">
        <f t="shared" si="149"/>
        <v>660</v>
      </c>
      <c r="M366" s="36">
        <f t="shared" si="141"/>
        <v>660</v>
      </c>
      <c r="N366" s="36">
        <f t="shared" si="142"/>
        <v>660</v>
      </c>
      <c r="O366" s="36" t="str">
        <f t="shared" si="143"/>
        <v>SA</v>
      </c>
    </row>
    <row r="367" spans="4:15" x14ac:dyDescent="0.25">
      <c r="D367" s="36" t="str">
        <f t="shared" ref="D367:I367" si="150">D356</f>
        <v>Tasmania</v>
      </c>
      <c r="E367" s="36">
        <f t="shared" si="150"/>
        <v>770</v>
      </c>
      <c r="F367" s="36">
        <f t="shared" si="150"/>
        <v>770</v>
      </c>
      <c r="G367" s="36">
        <f t="shared" si="150"/>
        <v>550</v>
      </c>
      <c r="H367" s="36">
        <f t="shared" si="150"/>
        <v>550</v>
      </c>
      <c r="I367" s="36">
        <f t="shared" si="150"/>
        <v>550</v>
      </c>
      <c r="J367" s="36">
        <f t="shared" ref="J367:L367" si="151">I356</f>
        <v>550</v>
      </c>
      <c r="K367" s="36">
        <f t="shared" si="151"/>
        <v>660</v>
      </c>
      <c r="L367" s="36">
        <f t="shared" si="151"/>
        <v>660</v>
      </c>
      <c r="M367" s="36">
        <f t="shared" si="141"/>
        <v>660</v>
      </c>
      <c r="N367" s="36">
        <f t="shared" si="142"/>
        <v>660</v>
      </c>
      <c r="O367" s="36" t="str">
        <f t="shared" si="143"/>
        <v>TAS</v>
      </c>
    </row>
    <row r="368" spans="4:15" x14ac:dyDescent="0.25">
      <c r="D368" s="36" t="str">
        <f t="shared" ref="D368:I368" si="152">D357</f>
        <v>Victoria</v>
      </c>
      <c r="E368" s="36">
        <f t="shared" si="152"/>
        <v>770</v>
      </c>
      <c r="F368" s="36">
        <f t="shared" si="152"/>
        <v>770</v>
      </c>
      <c r="G368" s="36">
        <f t="shared" si="152"/>
        <v>550</v>
      </c>
      <c r="H368" s="36">
        <f t="shared" si="152"/>
        <v>550</v>
      </c>
      <c r="I368" s="36">
        <f t="shared" si="152"/>
        <v>550</v>
      </c>
      <c r="J368" s="36">
        <f t="shared" ref="J368:L368" si="153">I357</f>
        <v>550</v>
      </c>
      <c r="K368" s="36">
        <f t="shared" si="153"/>
        <v>660</v>
      </c>
      <c r="L368" s="36">
        <f t="shared" si="153"/>
        <v>660</v>
      </c>
      <c r="M368" s="36">
        <f t="shared" si="141"/>
        <v>660</v>
      </c>
      <c r="N368" s="36">
        <f t="shared" si="142"/>
        <v>660</v>
      </c>
      <c r="O368" s="36" t="str">
        <f t="shared" si="143"/>
        <v>VIC</v>
      </c>
    </row>
    <row r="369" spans="4:15" x14ac:dyDescent="0.25">
      <c r="D369" s="36" t="str">
        <f t="shared" ref="D369:I369" si="154">D358</f>
        <v>Western Australia</v>
      </c>
      <c r="E369" s="36">
        <f t="shared" si="154"/>
        <v>770</v>
      </c>
      <c r="F369" s="36">
        <f t="shared" si="154"/>
        <v>770</v>
      </c>
      <c r="G369" s="36">
        <f t="shared" si="154"/>
        <v>550</v>
      </c>
      <c r="H369" s="36">
        <f t="shared" si="154"/>
        <v>550</v>
      </c>
      <c r="I369" s="36">
        <f t="shared" si="154"/>
        <v>550</v>
      </c>
      <c r="J369" s="36">
        <f t="shared" ref="J369:L369" si="155">I358</f>
        <v>550</v>
      </c>
      <c r="K369" s="36">
        <f t="shared" si="155"/>
        <v>660</v>
      </c>
      <c r="L369" s="36">
        <f t="shared" si="155"/>
        <v>660</v>
      </c>
      <c r="M369" s="36">
        <f t="shared" si="141"/>
        <v>660</v>
      </c>
      <c r="N369" s="36">
        <f t="shared" si="142"/>
        <v>660</v>
      </c>
      <c r="O369" s="36" t="str">
        <f t="shared" si="143"/>
        <v>WA</v>
      </c>
    </row>
    <row r="370" spans="4:15" x14ac:dyDescent="0.25">
      <c r="M370" s="1"/>
    </row>
    <row r="371" spans="4:15" x14ac:dyDescent="0.25">
      <c r="M371" s="1"/>
    </row>
    <row r="372" spans="4:15" ht="23.25" x14ac:dyDescent="0.25">
      <c r="D372" s="6" t="str" cm="1">
        <f t="array" ref="D372">SourceData_PastureBeef.SourceData_PastureBeef_FractionOfManureToMMS_Title()</f>
        <v>Beef pasture cattle - Fraction of manure to each manure management system (fraction) (MMSm)</v>
      </c>
      <c r="M372" s="1"/>
    </row>
    <row r="373" spans="4:15" x14ac:dyDescent="0.25">
      <c r="D373" s="5"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53" t="str" cm="1">
        <f t="array" ref="D375">SourceData_PastureBeef.SourceData_PastureBeef_FractionOfManureToMMS_Unit()</f>
        <v>fraction</v>
      </c>
      <c r="E375" s="103" t="s">
        <v>222</v>
      </c>
      <c r="M375" s="1"/>
    </row>
    <row r="376" spans="4:15" x14ac:dyDescent="0.25">
      <c r="D376" s="54" t="str" cm="1">
        <f t="array" ref="D376">SourceData_PastureBeef.SourceData_PastureBeef_FractionOfManureToMMS_Variation()</f>
        <v>VARIATION ON SOURCE: Removed comma from 'Pasture range and paddock' to aid lookup</v>
      </c>
      <c r="M376" s="1"/>
    </row>
    <row r="377" spans="4:15" x14ac:dyDescent="0.25">
      <c r="D377" s="36" t="s">
        <v>5</v>
      </c>
      <c r="E377" s="36" t="s">
        <v>143</v>
      </c>
      <c r="F377" s="36" t="s">
        <v>108</v>
      </c>
      <c r="G377" s="36" t="s">
        <v>198</v>
      </c>
      <c r="M377" s="1"/>
    </row>
    <row r="378" spans="4:15" x14ac:dyDescent="0.25">
      <c r="D378" s="36" t="str" cm="1">
        <f t="array" ref="D378">Common_InputFunctions.Utility_DisplayArrayInTable(SourceData_PastureBeef.SourceData_PastureBeef_FractionOfManureToMMS_Data(),Table_SourceData_PastureBeef_FractionManureToMMS[[#Headers],[State]], 0)</f>
        <v>ACT</v>
      </c>
      <c r="E378" s="36" t="str" cm="1">
        <f t="array" ref="E378">Common_InputFunctions.Utility_DisplayArrayInTable(SourceData_PastureBeef.SourceData_PastureBeef_FractionOfManureToMMS_Data(),Table_SourceData_PastureBeef_FractionManureToMMS[[#Headers],[State]], 0)</f>
        <v>n/a</v>
      </c>
      <c r="F378" s="36" cm="1">
        <f t="array" ref="F378">Common_InputFunctions.Utility_DisplayArrayInTable(SourceData_PastureBeef.SourceData_PastureBeef_FractionOfManureToMMS_Data(),Table_SourceData_PastureBeef_FractionManureToMMS[[#Headers],[State]], 0)</f>
        <v>99.191999999999993</v>
      </c>
      <c r="G378" s="36"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6" t="str" cm="1">
        <f t="array" ref="E379">Common_InputFunctions.Utility_DisplayArrayInTable(SourceData_PastureBeef.SourceData_PastureBeef_FractionOfManureToMMS_Data(),Table_SourceData_PastureBeef_FractionManureToMMS[[#Headers],[State]], 0)</f>
        <v>n/a</v>
      </c>
      <c r="F379" s="36" cm="1">
        <f t="array" ref="F379">Common_InputFunctions.Utility_DisplayArrayInTable(SourceData_PastureBeef.SourceData_PastureBeef_FractionOfManureToMMS_Data(),Table_SourceData_PastureBeef_FractionManureToMMS[[#Headers],[State]], 0)</f>
        <v>99.451999999999998</v>
      </c>
      <c r="G379" s="36"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6" t="str" cm="1">
        <f t="array" ref="E380">Common_InputFunctions.Utility_DisplayArrayInTable(SourceData_PastureBeef.SourceData_PastureBeef_FractionOfManureToMMS_Data(),Table_SourceData_PastureBeef_FractionManureToMMS[[#Headers],[State]], 0)</f>
        <v>n/a</v>
      </c>
      <c r="F380" s="36" cm="1">
        <f t="array" ref="F380">Common_InputFunctions.Utility_DisplayArrayInTable(SourceData_PastureBeef.SourceData_PastureBeef_FractionOfManureToMMS_Data(),Table_SourceData_PastureBeef_FractionManureToMMS[[#Headers],[State]], 0)</f>
        <v>99.759</v>
      </c>
      <c r="G380" s="36"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6" t="str" cm="1">
        <f t="array" ref="E381">Common_InputFunctions.Utility_DisplayArrayInTable(SourceData_PastureBeef.SourceData_PastureBeef_FractionOfManureToMMS_Data(),Table_SourceData_PastureBeef_FractionManureToMMS[[#Headers],[State]], 0)</f>
        <v>n/a</v>
      </c>
      <c r="F381" s="36" cm="1">
        <f t="array" ref="F381">Common_InputFunctions.Utility_DisplayArrayInTable(SourceData_PastureBeef.SourceData_PastureBeef_FractionOfManureToMMS_Data(),Table_SourceData_PastureBeef_FractionManureToMMS[[#Headers],[State]], 0)</f>
        <v>99.122</v>
      </c>
      <c r="G381" s="36"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6" t="str" cm="1">
        <f t="array" ref="E382">Common_InputFunctions.Utility_DisplayArrayInTable(SourceData_PastureBeef.SourceData_PastureBeef_FractionOfManureToMMS_Data(),Table_SourceData_PastureBeef_FractionManureToMMS[[#Headers],[State]], 0)</f>
        <v>n/a</v>
      </c>
      <c r="F382" s="36" cm="1">
        <f t="array" ref="F382">Common_InputFunctions.Utility_DisplayArrayInTable(SourceData_PastureBeef.SourceData_PastureBeef_FractionOfManureToMMS_Data(),Table_SourceData_PastureBeef_FractionManureToMMS[[#Headers],[State]], 0)</f>
        <v>98.894000000000005</v>
      </c>
      <c r="G382" s="36"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6" t="str" cm="1">
        <f t="array" ref="E383">Common_InputFunctions.Utility_DisplayArrayInTable(SourceData_PastureBeef.SourceData_PastureBeef_FractionOfManureToMMS_Data(),Table_SourceData_PastureBeef_FractionManureToMMS[[#Headers],[State]], 0)</f>
        <v>South West</v>
      </c>
      <c r="F383" s="36" cm="1">
        <f t="array" ref="F383">Common_InputFunctions.Utility_DisplayArrayInTable(SourceData_PastureBeef.SourceData_PastureBeef_FractionOfManureToMMS_Data(),Table_SourceData_PastureBeef_FractionManureToMMS[[#Headers],[State]], 0)</f>
        <v>99.622</v>
      </c>
      <c r="G383" s="36"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6" t="str" cm="1">
        <f t="array" ref="E384">Common_InputFunctions.Utility_DisplayArrayInTable(SourceData_PastureBeef.SourceData_PastureBeef_FractionOfManureToMMS_Data(),Table_SourceData_PastureBeef_FractionManureToMMS[[#Headers],[State]], 0)</f>
        <v>Pilbara</v>
      </c>
      <c r="F384" s="36" cm="1">
        <f t="array" ref="F384">Common_InputFunctions.Utility_DisplayArrayInTable(SourceData_PastureBeef.SourceData_PastureBeef_FractionOfManureToMMS_Data(),Table_SourceData_PastureBeef_FractionManureToMMS[[#Headers],[State]], 0)</f>
        <v>99.998999999999995</v>
      </c>
      <c r="G384" s="36"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6" t="str" cm="1">
        <f t="array" ref="E385">Common_InputFunctions.Utility_DisplayArrayInTable(SourceData_PastureBeef.SourceData_PastureBeef_FractionOfManureToMMS_Data(),Table_SourceData_PastureBeef_FractionManureToMMS[[#Headers],[State]], 0)</f>
        <v>Kimberley</v>
      </c>
      <c r="F385" s="36" cm="1">
        <f t="array" ref="F385">Common_InputFunctions.Utility_DisplayArrayInTable(SourceData_PastureBeef.SourceData_PastureBeef_FractionOfManureToMMS_Data(),Table_SourceData_PastureBeef_FractionManureToMMS[[#Headers],[State]], 0)</f>
        <v>99.998999999999995</v>
      </c>
      <c r="G385" s="36"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6" t="str" cm="1">
        <f t="array" ref="E386">Common_InputFunctions.Utility_DisplayArrayInTable(SourceData_PastureBeef.SourceData_PastureBeef_FractionOfManureToMMS_Data(),Table_SourceData_PastureBeef_FractionManureToMMS[[#Headers],[State]], 0)</f>
        <v>Alice Springs</v>
      </c>
      <c r="F386" s="36" cm="1">
        <f t="array" ref="F386">Common_InputFunctions.Utility_DisplayArrayInTable(SourceData_PastureBeef.SourceData_PastureBeef_FractionOfManureToMMS_Data(),Table_SourceData_PastureBeef_FractionManureToMMS[[#Headers],[State]], 0)</f>
        <v>99.998999999999995</v>
      </c>
      <c r="G386" s="36"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6" t="str" cm="1">
        <f t="array" ref="E387">Common_InputFunctions.Utility_DisplayArrayInTable(SourceData_PastureBeef.SourceData_PastureBeef_FractionOfManureToMMS_Data(),Table_SourceData_PastureBeef_FractionManureToMMS[[#Headers],[State]], 0)</f>
        <v>Barkly</v>
      </c>
      <c r="F387" s="36" cm="1">
        <f t="array" ref="F387">Common_InputFunctions.Utility_DisplayArrayInTable(SourceData_PastureBeef.SourceData_PastureBeef_FractionOfManureToMMS_Data(),Table_SourceData_PastureBeef_FractionManureToMMS[[#Headers],[State]], 0)</f>
        <v>99.994</v>
      </c>
      <c r="G387" s="36"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6" t="str" cm="1">
        <f t="array" ref="E388">Common_InputFunctions.Utility_DisplayArrayInTable(SourceData_PastureBeef.SourceData_PastureBeef_FractionOfManureToMMS_Data(),Table_SourceData_PastureBeef_FractionManureToMMS[[#Headers],[State]], 0)</f>
        <v>Northern</v>
      </c>
      <c r="F388" s="36" cm="1">
        <f t="array" ref="F388">Common_InputFunctions.Utility_DisplayArrayInTable(SourceData_PastureBeef.SourceData_PastureBeef_FractionOfManureToMMS_Data(),Table_SourceData_PastureBeef_FractionManureToMMS[[#Headers],[State]], 0)</f>
        <v>99.998999999999995</v>
      </c>
      <c r="G388" s="36"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6" t="str" cm="1">
        <f t="array" ref="E389">Common_InputFunctions.Utility_DisplayArrayInTable(SourceData_PastureBeef.SourceData_PastureBeef_FractionOfManureToMMS_Data(),Table_SourceData_PastureBeef_FractionManureToMMS[[#Headers],[State]], 0)</f>
        <v>High</v>
      </c>
      <c r="F389" s="36" cm="1">
        <f t="array" ref="F389">Common_InputFunctions.Utility_DisplayArrayInTable(SourceData_PastureBeef.SourceData_PastureBeef_FractionOfManureToMMS_Data(),Table_SourceData_PastureBeef_FractionManureToMMS[[#Headers],[State]], 0)</f>
        <v>99.772999999999996</v>
      </c>
      <c r="G389" s="36"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6" t="str" cm="1">
        <f t="array" ref="E390">Common_InputFunctions.Utility_DisplayArrayInTable(SourceData_PastureBeef.SourceData_PastureBeef_FractionOfManureToMMS_Data(),Table_SourceData_PastureBeef_FractionManureToMMS[[#Headers],[State]], 0)</f>
        <v>Moderate/High</v>
      </c>
      <c r="F390" s="36" cm="1">
        <f t="array" ref="F390">Common_InputFunctions.Utility_DisplayArrayInTable(SourceData_PastureBeef.SourceData_PastureBeef_FractionOfManureToMMS_Data(),Table_SourceData_PastureBeef_FractionManureToMMS[[#Headers],[State]], 0)</f>
        <v>99.897999999999996</v>
      </c>
      <c r="G390" s="36"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6" t="str" cm="1">
        <f t="array" ref="E391">Common_InputFunctions.Utility_DisplayArrayInTable(SourceData_PastureBeef.SourceData_PastureBeef_FractionOfManureToMMS_Data(),Table_SourceData_PastureBeef_FractionManureToMMS[[#Headers],[State]], 0)</f>
        <v>Moderate/Low</v>
      </c>
      <c r="F391" s="36" cm="1">
        <f t="array" ref="F391">Common_InputFunctions.Utility_DisplayArrayInTable(SourceData_PastureBeef.SourceData_PastureBeef_FractionOfManureToMMS_Data(),Table_SourceData_PastureBeef_FractionManureToMMS[[#Headers],[State]], 0)</f>
        <v>99.978999999999999</v>
      </c>
      <c r="G391" s="36"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6" t="str" cm="1">
        <f t="array" ref="E392">Common_InputFunctions.Utility_DisplayArrayInTable(SourceData_PastureBeef.SourceData_PastureBeef_FractionOfManureToMMS_Data(),Table_SourceData_PastureBeef_FractionManureToMMS[[#Headers],[State]], 0)</f>
        <v>Low</v>
      </c>
      <c r="F392" s="36" cm="1">
        <f t="array" ref="F392">Common_InputFunctions.Utility_DisplayArrayInTable(SourceData_PastureBeef.SourceData_PastureBeef_FractionOfManureToMMS_Data(),Table_SourceData_PastureBeef_FractionManureToMMS[[#Headers],[State]], 0)</f>
        <v>99.977000000000004</v>
      </c>
      <c r="G392" s="36"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6" t="str" cm="1">
        <f t="array" ref="D395">SourceData_PastureBeef.SourceData_PastureBeef_MethaneConversionFactorPerRegion_Title()</f>
        <v>Beef pasture cattle - Methane conversion factor per region (fraction) (MCFim)</v>
      </c>
      <c r="M395" s="1"/>
    </row>
    <row r="396" spans="4:13" x14ac:dyDescent="0.25">
      <c r="D396" s="5"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53" t="str" cm="1">
        <f t="array" ref="D398">SourceData_PastureBeef.SourceData_PastureBeef_MethaneConversionFactorPerRegion_Unit()</f>
        <v>fraction</v>
      </c>
      <c r="M398" s="1"/>
    </row>
    <row r="399" spans="4:13" x14ac:dyDescent="0.25">
      <c r="D399" s="54" t="str" cm="1">
        <f t="array" ref="D399">SourceData_PastureBeef.SourceData_PastureBeef_MethaneConversionFactorPerRegion_Variation()</f>
        <v>VARIATION ON SOURCE: Removed comma from 'Pasture range and paddock' to aid lookup</v>
      </c>
      <c r="M399" s="1"/>
    </row>
    <row r="400" spans="4:13" x14ac:dyDescent="0.25">
      <c r="D400" s="36" t="s">
        <v>5</v>
      </c>
      <c r="E400" s="36" t="s">
        <v>143</v>
      </c>
      <c r="F400" s="36" t="s">
        <v>108</v>
      </c>
      <c r="G400" s="36" t="s">
        <v>198</v>
      </c>
      <c r="M400" s="1"/>
    </row>
    <row r="401" spans="4:13" x14ac:dyDescent="0.25">
      <c r="D401" s="36" t="str" cm="1">
        <f t="array" ref="D401">Common_InputFunctions.Utility_DisplayArrayInTable(SourceData_PastureBeef.SourceData_PastureBeef_MethaneConversionFactorPerRegion_Data(), Table_SourceData_PastureBeef_MethaneConversionFactor[[#Headers],[State]], 0)</f>
        <v>ACT</v>
      </c>
      <c r="E401" s="36" t="str" cm="1">
        <f t="array" ref="E401">Common_InputFunctions.Utility_DisplayArrayInTable(SourceData_PastureBeef.SourceData_PastureBeef_MethaneConversionFactorPerRegion_Data(), Table_SourceData_PastureBeef_MethaneConversionFactor[[#Headers],[State]], 0)</f>
        <v>n/a</v>
      </c>
      <c r="F401" s="36" cm="1">
        <f t="array" ref="F401">Common_InputFunctions.Utility_DisplayArrayInTable(SourceData_PastureBeef.SourceData_PastureBeef_MethaneConversionFactorPerRegion_Data(), Table_SourceData_PastureBeef_MethaneConversionFactor[[#Headers],[State]], 0)</f>
        <v>4.7000000000000002E-3</v>
      </c>
      <c r="G401" s="36"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6" t="str" cm="1">
        <f t="array" ref="D402">Common_InputFunctions.Utility_DisplayArrayInTable(SourceData_PastureBeef.SourceData_PastureBeef_MethaneConversionFactorPerRegion_Data(), Table_SourceData_PastureBeef_MethaneConversionFactor[[#Headers],[State]], 0)</f>
        <v>NSW</v>
      </c>
      <c r="E402" s="36" t="str" cm="1">
        <f t="array" ref="E402">Common_InputFunctions.Utility_DisplayArrayInTable(SourceData_PastureBeef.SourceData_PastureBeef_MethaneConversionFactorPerRegion_Data(), Table_SourceData_PastureBeef_MethaneConversionFactor[[#Headers],[State]], 0)</f>
        <v>n/a</v>
      </c>
      <c r="F402" s="36" cm="1">
        <f t="array" ref="F402">Common_InputFunctions.Utility_DisplayArrayInTable(SourceData_PastureBeef.SourceData_PastureBeef_MethaneConversionFactorPerRegion_Data(), Table_SourceData_PastureBeef_MethaneConversionFactor[[#Headers],[State]], 0)</f>
        <v>4.7000000000000002E-3</v>
      </c>
      <c r="G402" s="36"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6" t="str" cm="1">
        <f t="array" ref="D403">Common_InputFunctions.Utility_DisplayArrayInTable(SourceData_PastureBeef.SourceData_PastureBeef_MethaneConversionFactorPerRegion_Data(), Table_SourceData_PastureBeef_MethaneConversionFactor[[#Headers],[State]], 0)</f>
        <v>SA</v>
      </c>
      <c r="E403" s="36" t="str" cm="1">
        <f t="array" ref="E403">Common_InputFunctions.Utility_DisplayArrayInTable(SourceData_PastureBeef.SourceData_PastureBeef_MethaneConversionFactorPerRegion_Data(), Table_SourceData_PastureBeef_MethaneConversionFactor[[#Headers],[State]], 0)</f>
        <v>n/a</v>
      </c>
      <c r="F403" s="36" cm="1">
        <f t="array" ref="F403">Common_InputFunctions.Utility_DisplayArrayInTable(SourceData_PastureBeef.SourceData_PastureBeef_MethaneConversionFactorPerRegion_Data(), Table_SourceData_PastureBeef_MethaneConversionFactor[[#Headers],[State]], 0)</f>
        <v>4.7000000000000002E-3</v>
      </c>
      <c r="G403" s="36"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6" t="str" cm="1">
        <f t="array" ref="D404">Common_InputFunctions.Utility_DisplayArrayInTable(SourceData_PastureBeef.SourceData_PastureBeef_MethaneConversionFactorPerRegion_Data(), Table_SourceData_PastureBeef_MethaneConversionFactor[[#Headers],[State]], 0)</f>
        <v>TAS</v>
      </c>
      <c r="E404" s="36" t="str" cm="1">
        <f t="array" ref="E404">Common_InputFunctions.Utility_DisplayArrayInTable(SourceData_PastureBeef.SourceData_PastureBeef_MethaneConversionFactorPerRegion_Data(), Table_SourceData_PastureBeef_MethaneConversionFactor[[#Headers],[State]], 0)</f>
        <v>n/a</v>
      </c>
      <c r="F404" s="36" cm="1">
        <f t="array" ref="F404">Common_InputFunctions.Utility_DisplayArrayInTable(SourceData_PastureBeef.SourceData_PastureBeef_MethaneConversionFactorPerRegion_Data(), Table_SourceData_PastureBeef_MethaneConversionFactor[[#Headers],[State]], 0)</f>
        <v>4.7000000000000002E-3</v>
      </c>
      <c r="G404" s="36"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6" t="str" cm="1">
        <f t="array" ref="D405">Common_InputFunctions.Utility_DisplayArrayInTable(SourceData_PastureBeef.SourceData_PastureBeef_MethaneConversionFactorPerRegion_Data(), Table_SourceData_PastureBeef_MethaneConversionFactor[[#Headers],[State]], 0)</f>
        <v>VIC</v>
      </c>
      <c r="E405" s="36" t="str" cm="1">
        <f t="array" ref="E405">Common_InputFunctions.Utility_DisplayArrayInTable(SourceData_PastureBeef.SourceData_PastureBeef_MethaneConversionFactorPerRegion_Data(), Table_SourceData_PastureBeef_MethaneConversionFactor[[#Headers],[State]], 0)</f>
        <v>n/a</v>
      </c>
      <c r="F405" s="36" cm="1">
        <f t="array" ref="F405">Common_InputFunctions.Utility_DisplayArrayInTable(SourceData_PastureBeef.SourceData_PastureBeef_MethaneConversionFactorPerRegion_Data(), Table_SourceData_PastureBeef_MethaneConversionFactor[[#Headers],[State]], 0)</f>
        <v>4.7000000000000002E-3</v>
      </c>
      <c r="G405" s="36"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6" t="str" cm="1">
        <f t="array" ref="D406">Common_InputFunctions.Utility_DisplayArrayInTable(SourceData_PastureBeef.SourceData_PastureBeef_MethaneConversionFactorPerRegion_Data(), Table_SourceData_PastureBeef_MethaneConversionFactor[[#Headers],[State]], 0)</f>
        <v>WA</v>
      </c>
      <c r="E406" s="36" t="str" cm="1">
        <f t="array" ref="E406">Common_InputFunctions.Utility_DisplayArrayInTable(SourceData_PastureBeef.SourceData_PastureBeef_MethaneConversionFactorPerRegion_Data(), Table_SourceData_PastureBeef_MethaneConversionFactor[[#Headers],[State]], 0)</f>
        <v>South West</v>
      </c>
      <c r="F406" s="36" cm="1">
        <f t="array" ref="F406">Common_InputFunctions.Utility_DisplayArrayInTable(SourceData_PastureBeef.SourceData_PastureBeef_MethaneConversionFactorPerRegion_Data(), Table_SourceData_PastureBeef_MethaneConversionFactor[[#Headers],[State]], 0)</f>
        <v>4.7000000000000002E-3</v>
      </c>
      <c r="G406" s="36"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6" t="str" cm="1">
        <f t="array" ref="D407">Common_InputFunctions.Utility_DisplayArrayInTable(SourceData_PastureBeef.SourceData_PastureBeef_MethaneConversionFactorPerRegion_Data(), Table_SourceData_PastureBeef_MethaneConversionFactor[[#Headers],[State]], 0)</f>
        <v>WA</v>
      </c>
      <c r="E407" s="36" t="str" cm="1">
        <f t="array" ref="E407">Common_InputFunctions.Utility_DisplayArrayInTable(SourceData_PastureBeef.SourceData_PastureBeef_MethaneConversionFactorPerRegion_Data(), Table_SourceData_PastureBeef_MethaneConversionFactor[[#Headers],[State]], 0)</f>
        <v>Pilbara</v>
      </c>
      <c r="F407" s="36" cm="1">
        <f t="array" ref="F407">Common_InputFunctions.Utility_DisplayArrayInTable(SourceData_PastureBeef.SourceData_PastureBeef_MethaneConversionFactorPerRegion_Data(), Table_SourceData_PastureBeef_MethaneConversionFactor[[#Headers],[State]], 0)</f>
        <v>4.7000000000000002E-3</v>
      </c>
      <c r="G407" s="36"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6" t="str" cm="1">
        <f t="array" ref="D408">Common_InputFunctions.Utility_DisplayArrayInTable(SourceData_PastureBeef.SourceData_PastureBeef_MethaneConversionFactorPerRegion_Data(), Table_SourceData_PastureBeef_MethaneConversionFactor[[#Headers],[State]], 0)</f>
        <v>WA</v>
      </c>
      <c r="E408" s="36" t="str" cm="1">
        <f t="array" ref="E408">Common_InputFunctions.Utility_DisplayArrayInTable(SourceData_PastureBeef.SourceData_PastureBeef_MethaneConversionFactorPerRegion_Data(), Table_SourceData_PastureBeef_MethaneConversionFactor[[#Headers],[State]], 0)</f>
        <v>Kimberley</v>
      </c>
      <c r="F408" s="36" cm="1">
        <f t="array" ref="F408">Common_InputFunctions.Utility_DisplayArrayInTable(SourceData_PastureBeef.SourceData_PastureBeef_MethaneConversionFactorPerRegion_Data(), Table_SourceData_PastureBeef_MethaneConversionFactor[[#Headers],[State]], 0)</f>
        <v>4.7000000000000002E-3</v>
      </c>
      <c r="G408" s="36"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6" t="str" cm="1">
        <f t="array" ref="D409">Common_InputFunctions.Utility_DisplayArrayInTable(SourceData_PastureBeef.SourceData_PastureBeef_MethaneConversionFactorPerRegion_Data(), Table_SourceData_PastureBeef_MethaneConversionFactor[[#Headers],[State]], 0)</f>
        <v>NT</v>
      </c>
      <c r="E409" s="36" t="str" cm="1">
        <f t="array" ref="E409">Common_InputFunctions.Utility_DisplayArrayInTable(SourceData_PastureBeef.SourceData_PastureBeef_MethaneConversionFactorPerRegion_Data(), Table_SourceData_PastureBeef_MethaneConversionFactor[[#Headers],[State]], 0)</f>
        <v>Alice Springs</v>
      </c>
      <c r="F409" s="36" cm="1">
        <f t="array" ref="F409">Common_InputFunctions.Utility_DisplayArrayInTable(SourceData_PastureBeef.SourceData_PastureBeef_MethaneConversionFactorPerRegion_Data(), Table_SourceData_PastureBeef_MethaneConversionFactor[[#Headers],[State]], 0)</f>
        <v>4.7000000000000002E-3</v>
      </c>
      <c r="G409" s="36"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6" t="str" cm="1">
        <f t="array" ref="D410">Common_InputFunctions.Utility_DisplayArrayInTable(SourceData_PastureBeef.SourceData_PastureBeef_MethaneConversionFactorPerRegion_Data(), Table_SourceData_PastureBeef_MethaneConversionFactor[[#Headers],[State]], 0)</f>
        <v>NT</v>
      </c>
      <c r="E410" s="36" t="str" cm="1">
        <f t="array" ref="E410">Common_InputFunctions.Utility_DisplayArrayInTable(SourceData_PastureBeef.SourceData_PastureBeef_MethaneConversionFactorPerRegion_Data(), Table_SourceData_PastureBeef_MethaneConversionFactor[[#Headers],[State]], 0)</f>
        <v>Barkly</v>
      </c>
      <c r="F410" s="36" cm="1">
        <f t="array" ref="F410">Common_InputFunctions.Utility_DisplayArrayInTable(SourceData_PastureBeef.SourceData_PastureBeef_MethaneConversionFactorPerRegion_Data(), Table_SourceData_PastureBeef_MethaneConversionFactor[[#Headers],[State]], 0)</f>
        <v>4.7000000000000002E-3</v>
      </c>
      <c r="G410" s="36"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6" t="str" cm="1">
        <f t="array" ref="D411">Common_InputFunctions.Utility_DisplayArrayInTable(SourceData_PastureBeef.SourceData_PastureBeef_MethaneConversionFactorPerRegion_Data(), Table_SourceData_PastureBeef_MethaneConversionFactor[[#Headers],[State]], 0)</f>
        <v>NT</v>
      </c>
      <c r="E411" s="36" t="str" cm="1">
        <f t="array" ref="E411">Common_InputFunctions.Utility_DisplayArrayInTable(SourceData_PastureBeef.SourceData_PastureBeef_MethaneConversionFactorPerRegion_Data(), Table_SourceData_PastureBeef_MethaneConversionFactor[[#Headers],[State]], 0)</f>
        <v>Northern</v>
      </c>
      <c r="F411" s="36" cm="1">
        <f t="array" ref="F411">Common_InputFunctions.Utility_DisplayArrayInTable(SourceData_PastureBeef.SourceData_PastureBeef_MethaneConversionFactorPerRegion_Data(), Table_SourceData_PastureBeef_MethaneConversionFactor[[#Headers],[State]], 0)</f>
        <v>4.7000000000000002E-3</v>
      </c>
      <c r="G411" s="36"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6" t="str" cm="1">
        <f t="array" ref="D412">Common_InputFunctions.Utility_DisplayArrayInTable(SourceData_PastureBeef.SourceData_PastureBeef_MethaneConversionFactorPerRegion_Data(), Table_SourceData_PastureBeef_MethaneConversionFactor[[#Headers],[State]], 0)</f>
        <v>QLD</v>
      </c>
      <c r="E412" s="36" t="str" cm="1">
        <f t="array" ref="E412">Common_InputFunctions.Utility_DisplayArrayInTable(SourceData_PastureBeef.SourceData_PastureBeef_MethaneConversionFactorPerRegion_Data(), Table_SourceData_PastureBeef_MethaneConversionFactor[[#Headers],[State]], 0)</f>
        <v>High</v>
      </c>
      <c r="F412" s="36" cm="1">
        <f t="array" ref="F412">Common_InputFunctions.Utility_DisplayArrayInTable(SourceData_PastureBeef.SourceData_PastureBeef_MethaneConversionFactorPerRegion_Data(), Table_SourceData_PastureBeef_MethaneConversionFactor[[#Headers],[State]], 0)</f>
        <v>4.7000000000000002E-3</v>
      </c>
      <c r="G412" s="36"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6" t="str" cm="1">
        <f t="array" ref="D413">Common_InputFunctions.Utility_DisplayArrayInTable(SourceData_PastureBeef.SourceData_PastureBeef_MethaneConversionFactorPerRegion_Data(), Table_SourceData_PastureBeef_MethaneConversionFactor[[#Headers],[State]], 0)</f>
        <v>QLD</v>
      </c>
      <c r="E413" s="36" t="str" cm="1">
        <f t="array" ref="E413">Common_InputFunctions.Utility_DisplayArrayInTable(SourceData_PastureBeef.SourceData_PastureBeef_MethaneConversionFactorPerRegion_Data(), Table_SourceData_PastureBeef_MethaneConversionFactor[[#Headers],[State]], 0)</f>
        <v>Moderate/High</v>
      </c>
      <c r="F413" s="36" cm="1">
        <f t="array" ref="F413">Common_InputFunctions.Utility_DisplayArrayInTable(SourceData_PastureBeef.SourceData_PastureBeef_MethaneConversionFactorPerRegion_Data(), Table_SourceData_PastureBeef_MethaneConversionFactor[[#Headers],[State]], 0)</f>
        <v>4.7000000000000002E-3</v>
      </c>
      <c r="G413" s="36"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6" t="str" cm="1">
        <f t="array" ref="D414">Common_InputFunctions.Utility_DisplayArrayInTable(SourceData_PastureBeef.SourceData_PastureBeef_MethaneConversionFactorPerRegion_Data(), Table_SourceData_PastureBeef_MethaneConversionFactor[[#Headers],[State]], 0)</f>
        <v>QLD</v>
      </c>
      <c r="E414" s="36" t="str" cm="1">
        <f t="array" ref="E414">Common_InputFunctions.Utility_DisplayArrayInTable(SourceData_PastureBeef.SourceData_PastureBeef_MethaneConversionFactorPerRegion_Data(), Table_SourceData_PastureBeef_MethaneConversionFactor[[#Headers],[State]], 0)</f>
        <v>Moderate/Low</v>
      </c>
      <c r="F414" s="36" cm="1">
        <f t="array" ref="F414">Common_InputFunctions.Utility_DisplayArrayInTable(SourceData_PastureBeef.SourceData_PastureBeef_MethaneConversionFactorPerRegion_Data(), Table_SourceData_PastureBeef_MethaneConversionFactor[[#Headers],[State]], 0)</f>
        <v>4.7000000000000002E-3</v>
      </c>
      <c r="G414" s="36"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6" t="str" cm="1">
        <f t="array" ref="D415">Common_InputFunctions.Utility_DisplayArrayInTable(SourceData_PastureBeef.SourceData_PastureBeef_MethaneConversionFactorPerRegion_Data(), Table_SourceData_PastureBeef_MethaneConversionFactor[[#Headers],[State]], 0)</f>
        <v>QLD</v>
      </c>
      <c r="E415" s="36" t="str" cm="1">
        <f t="array" ref="E415">Common_InputFunctions.Utility_DisplayArrayInTable(SourceData_PastureBeef.SourceData_PastureBeef_MethaneConversionFactorPerRegion_Data(), Table_SourceData_PastureBeef_MethaneConversionFactor[[#Headers],[State]], 0)</f>
        <v>Low</v>
      </c>
      <c r="F415" s="36" cm="1">
        <f t="array" ref="F415">Common_InputFunctions.Utility_DisplayArrayInTable(SourceData_PastureBeef.SourceData_PastureBeef_MethaneConversionFactorPerRegion_Data(), Table_SourceData_PastureBeef_MethaneConversionFactor[[#Headers],[State]], 0)</f>
        <v>4.7000000000000002E-3</v>
      </c>
      <c r="G415" s="36"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6" t="str" cm="1">
        <f t="array" ref="D418">SourceData_PastureBeef.SourceData_PastureBeef_AshContentOfFeedIntake_Title()</f>
        <v>Ash content of feed intake</v>
      </c>
      <c r="M418" s="1"/>
    </row>
    <row r="419" spans="4:13" x14ac:dyDescent="0.25">
      <c r="D419" s="5"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53" t="str" cm="1">
        <f t="array" ref="D421">SourceData_PastureBeef.SourceData_PastureBeef_AshContentOfFeedIntake_Unit()</f>
        <v>fraction</v>
      </c>
      <c r="M421" s="1"/>
    </row>
    <row r="422" spans="4:13" x14ac:dyDescent="0.25">
      <c r="D422" s="52" cm="1">
        <f t="array" ref="D422">SourceData_PastureBeef.SourceData_PastureBeef_AshContentOfFeedIntake_Data()</f>
        <v>0.08</v>
      </c>
      <c r="M422" s="1"/>
    </row>
    <row r="423" spans="4:13" x14ac:dyDescent="0.25">
      <c r="M423" s="1"/>
    </row>
    <row r="424" spans="4:13" ht="23.25" x14ac:dyDescent="0.25">
      <c r="D424" s="6" t="str" cm="1">
        <f t="array" ref="D424">SourceData_PastureBeef.SourceData_PastureBeef_MethaneEmissionsPotential_Title()</f>
        <v>Methane emissions potential</v>
      </c>
      <c r="M424" s="1"/>
    </row>
    <row r="425" spans="4:13" x14ac:dyDescent="0.25">
      <c r="D425" s="5"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53" t="str" cm="1">
        <f t="array" ref="D427">SourceData_PastureBeef.SourceData_PastureBeef_MethaneEmissionsPotential_Unit()</f>
        <v>m3 CH4 / kg VS</v>
      </c>
      <c r="M427" s="1"/>
    </row>
    <row r="428" spans="4:13" x14ac:dyDescent="0.25">
      <c r="D428" s="52" cm="1">
        <f t="array" ref="D428">SourceData_PastureBeef.SourceData_PastureBeef_MethaneEmissionsPotential_Data()</f>
        <v>0.19</v>
      </c>
      <c r="M428" s="1"/>
    </row>
    <row r="429" spans="4:13" x14ac:dyDescent="0.25">
      <c r="M429" s="1"/>
    </row>
    <row r="430" spans="4:13" ht="23.25" x14ac:dyDescent="0.25">
      <c r="D430" s="6" t="str" cm="1">
        <f t="array" ref="D430">SourceData_PastureBeef.SourceData_PastureBeef_FracGASMSoil_Title()</f>
        <v>Fraction of nitrogen volatilised from urine and faeces deposited on pasture</v>
      </c>
      <c r="M430" s="1"/>
    </row>
    <row r="431" spans="4:13" x14ac:dyDescent="0.25">
      <c r="D431" s="5"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53" t="str" cm="1">
        <f t="array" ref="D433">SourceData_PastureBeef.SourceData_PastureBeef_FracGASMSoil_Unit()</f>
        <v>fraction</v>
      </c>
      <c r="M433" s="1"/>
    </row>
    <row r="434" spans="4:13" x14ac:dyDescent="0.25">
      <c r="D434" s="52" cm="1">
        <f t="array" ref="D434">SourceData_PastureBeef.SourceData_PastureBeef_FracGASMSoil_Data()</f>
        <v>0.21</v>
      </c>
      <c r="M434" s="1"/>
    </row>
    <row r="435" spans="4:13" x14ac:dyDescent="0.25">
      <c r="M435" s="1"/>
    </row>
    <row r="436" spans="4:13" ht="23.25" x14ac:dyDescent="0.25">
      <c r="D436" s="6" t="str" cm="1">
        <f t="array" ref="D436">SourceData_PastureBeef.SourceData_PastureBeef_FracLEACH_Title()</f>
        <v>Default fraction of N that is lost through leaching and runoff</v>
      </c>
      <c r="M436" s="1"/>
    </row>
    <row r="437" spans="4:13" x14ac:dyDescent="0.25">
      <c r="D437" s="5"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53" t="str" cm="1">
        <f t="array" ref="D439">SourceData_PastureBeef.SourceData_PastureBeef_FracLEACH_Unit()</f>
        <v>fraction</v>
      </c>
      <c r="M439" s="1"/>
    </row>
    <row r="440" spans="4:13" x14ac:dyDescent="0.25">
      <c r="D440" s="52" cm="1">
        <f t="array" ref="D440">SourceData_PastureBeef.SourceData_PastureBeef_FracLEACH_Data()</f>
        <v>0.24</v>
      </c>
      <c r="M440" s="1"/>
    </row>
    <row r="441" spans="4:13" x14ac:dyDescent="0.25">
      <c r="M441" s="1"/>
    </row>
    <row r="442" spans="4:13" x14ac:dyDescent="0.25">
      <c r="M442" s="1"/>
    </row>
    <row r="443" spans="4:13" x14ac:dyDescent="0.25">
      <c r="M443" s="1"/>
    </row>
    <row r="444" spans="4:13" x14ac:dyDescent="0.25">
      <c r="M444" s="1"/>
    </row>
    <row r="445" spans="4:13" x14ac:dyDescent="0.25">
      <c r="M445" s="1"/>
    </row>
    <row r="446" spans="4:13" x14ac:dyDescent="0.25">
      <c r="M446" s="1"/>
    </row>
    <row r="447" spans="4:13" x14ac:dyDescent="0.25">
      <c r="M447" s="1"/>
    </row>
    <row r="448" spans="4:13" x14ac:dyDescent="0.25">
      <c r="M448" s="1"/>
    </row>
    <row r="449" spans="13:13" x14ac:dyDescent="0.25">
      <c r="M449" s="1"/>
    </row>
    <row r="450" spans="13:13" x14ac:dyDescent="0.25">
      <c r="M450" s="1"/>
    </row>
    <row r="451" spans="13:13" x14ac:dyDescent="0.25">
      <c r="M451" s="1"/>
    </row>
    <row r="452" spans="13:13" x14ac:dyDescent="0.25">
      <c r="M452" s="1"/>
    </row>
    <row r="453" spans="13:13" x14ac:dyDescent="0.25">
      <c r="M453" s="1"/>
    </row>
    <row r="454" spans="13:13" x14ac:dyDescent="0.25">
      <c r="M454" s="1"/>
    </row>
  </sheetData>
  <pageMargins left="0.7" right="0.7" top="0.75" bottom="0.75" header="0.3" footer="0.3"/>
  <ignoredErrors>
    <ignoredError sqref="E223:P282" calculatedColumn="1"/>
  </ignoredErrors>
  <tableParts count="24">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54BE3-6FF3-4614-8140-84DA1449B781}">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60</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6" t="s">
        <v>16</v>
      </c>
      <c r="E6" s="36" t="s">
        <v>17</v>
      </c>
      <c r="F6" s="36" t="s">
        <v>18</v>
      </c>
    </row>
    <row r="7" spans="1:65" ht="20.100000000000001" customHeight="1" x14ac:dyDescent="0.25">
      <c r="A7"/>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6" t="s">
        <v>19</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c r="D22" s="36" t="str" cm="1">
        <f t="array" ref="D22">Common_InputFunctions.Utility_DisplayArrayInTable(Common_SourceData.Common_SourceData_WASA4Areas_Data(), Table_WASA4Areas[[#Headers],[SA 4 Name]], 0)</f>
        <v>Mandurah</v>
      </c>
    </row>
    <row r="23" spans="1:4" ht="20.100000000000001" customHeight="1" x14ac:dyDescent="0.25">
      <c r="A23"/>
      <c r="D23" s="36" t="str" cm="1">
        <f t="array" ref="D23">Common_InputFunctions.Utility_DisplayArrayInTable(Common_SourceData.Common_SourceData_WASA4Areas_Data(), Table_WASA4Areas[[#Headers],[SA 4 Name]], 0)</f>
        <v>Perth - Inner</v>
      </c>
    </row>
    <row r="24" spans="1:4" ht="20.100000000000001" customHeight="1" x14ac:dyDescent="0.25">
      <c r="A24"/>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21</v>
      </c>
      <c r="E36" s="36" t="s">
        <v>22</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6" t="s">
        <v>21</v>
      </c>
      <c r="E47" s="36" t="s">
        <v>24</v>
      </c>
      <c r="F47" s="36" t="s">
        <v>25</v>
      </c>
      <c r="G47" s="36" t="s">
        <v>26</v>
      </c>
      <c r="H47" s="36" t="s">
        <v>27</v>
      </c>
    </row>
    <row r="48" spans="1:8" ht="20.100000000000001" customHeight="1" x14ac:dyDescent="0.25">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4:8" ht="20.100000000000001" customHeight="1" x14ac:dyDescent="0.25">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4:8" ht="20.100000000000001" customHeight="1" x14ac:dyDescent="0.25">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4:8" ht="20.100000000000001" customHeight="1" x14ac:dyDescent="0.25">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4:8" ht="20.100000000000001" customHeight="1" x14ac:dyDescent="0.25">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4:8" ht="20.100000000000001" customHeight="1" x14ac:dyDescent="0.25">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4:8" ht="20.100000000000001" customHeight="1" x14ac:dyDescent="0.25">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4" t="str" cm="1">
        <f t="array" ref="D59:D61">"⚠️" &amp; Common_SourceData.Common_SourceData_WetAndDryZones_Variation()</f>
        <v>⚠️VARIATION OF SOURCE DATA:</v>
      </c>
    </row>
    <row r="60" spans="4:8" ht="20.100000000000001" customHeight="1" x14ac:dyDescent="0.25">
      <c r="D60" s="54" t="str">
        <v>⚠️Added warm / cool temperate moist / dry - low frost and high temp classes to accommodate climate scenarios excluded by VEERG criteria.</v>
      </c>
    </row>
    <row r="61" spans="4:8" ht="20.100000000000001" customHeight="1" x14ac:dyDescent="0.25">
      <c r="D61" s="54" t="str">
        <v>⚠️Fixed typo - Changed 'Fry' to 'Dry'.</v>
      </c>
    </row>
    <row r="62" spans="4:8" ht="20.100000000000001" customHeight="1" x14ac:dyDescent="0.25"/>
    <row r="63" spans="4:8" ht="20.100000000000001" customHeight="1" x14ac:dyDescent="0.25">
      <c r="D63" s="36" t="s">
        <v>6</v>
      </c>
      <c r="E63" s="36" t="s">
        <v>41</v>
      </c>
    </row>
    <row r="64" spans="4:8" ht="20.100000000000001" customHeight="1" x14ac:dyDescent="0.25">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4" t="str" cm="1">
        <f t="array" ref="D83:D87">"⚠️" &amp; Common_SourceData.Common_SourceData_ClimateZones_Variation()</f>
        <v>⚠️VARIATION OF SOURCE DATA:</v>
      </c>
    </row>
    <row r="84" spans="4:20" ht="20.100000000000001" customHeight="1" x14ac:dyDescent="0.25">
      <c r="D84" s="54" t="str">
        <v>⚠️Added warm / cool temperate moist / dry - low frost and high temp classes to accommodate climate scenarios excluded by VEERG criteria.</v>
      </c>
    </row>
    <row r="85" spans="4:20" ht="20.100000000000001" customHeight="1" x14ac:dyDescent="0.25">
      <c r="D85" s="54" t="str">
        <v>⚠️Fixed typo in MAT value for warm temperate dry - changed 10 to 11.</v>
      </c>
    </row>
    <row r="86" spans="4:20" ht="20.100000000000001" customHeight="1" x14ac:dyDescent="0.25">
      <c r="D86" s="54" t="str">
        <v>⚠️Added min and max columns for MAT, MAP, frost days per year, elevation, MAP:PET to calculate zones from real climate data.</v>
      </c>
    </row>
    <row r="87" spans="4:20" ht="20.100000000000001" customHeight="1" x14ac:dyDescent="0.25">
      <c r="D87" s="54" t="str">
        <v>⚠️GAF accepts rainfall as a proxy for precipitation.</v>
      </c>
    </row>
    <row r="88" spans="4:20" ht="20.100000000000001" customHeight="1" x14ac:dyDescent="0.25"/>
    <row r="89" spans="4:20" ht="20.100000000000001" customHeight="1" x14ac:dyDescent="0.25">
      <c r="D89" s="36" t="s">
        <v>6</v>
      </c>
      <c r="E89" s="36" t="s">
        <v>29</v>
      </c>
      <c r="F89" s="36" t="s">
        <v>30</v>
      </c>
      <c r="G89" s="36" t="s">
        <v>31</v>
      </c>
      <c r="H89" s="36" t="s">
        <v>32</v>
      </c>
      <c r="I89" s="36" t="s">
        <v>33</v>
      </c>
      <c r="J89" s="36" t="s">
        <v>34</v>
      </c>
      <c r="K89" s="36" t="s">
        <v>35</v>
      </c>
      <c r="L89" s="36" t="s">
        <v>36</v>
      </c>
      <c r="M89" s="36" t="s">
        <v>37</v>
      </c>
      <c r="N89" s="36" t="s">
        <v>38</v>
      </c>
      <c r="O89" s="36" t="s">
        <v>42</v>
      </c>
      <c r="P89" s="36" t="s">
        <v>39</v>
      </c>
      <c r="Q89" s="36" t="s">
        <v>43</v>
      </c>
      <c r="R89" s="36" t="s">
        <v>40</v>
      </c>
      <c r="S89" s="36" t="s">
        <v>44</v>
      </c>
      <c r="T89" s="36"/>
    </row>
    <row r="90" spans="4:20" ht="20.100000000000001" customHeight="1" x14ac:dyDescent="0.25">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4:20" ht="20.100000000000001" customHeight="1" x14ac:dyDescent="0.25">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4:20" ht="20.100000000000001" customHeight="1" x14ac:dyDescent="0.25">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4:20" ht="20.100000000000001" customHeight="1" x14ac:dyDescent="0.25">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4:20" ht="20.100000000000001" customHeight="1" x14ac:dyDescent="0.25">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4:20" ht="20.100000000000001" customHeight="1" x14ac:dyDescent="0.2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4:20" ht="20.100000000000001" customHeight="1" x14ac:dyDescent="0.25">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4:20" ht="20.100000000000001" customHeight="1" x14ac:dyDescent="0.25">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4:20" ht="20.100000000000001" customHeight="1" x14ac:dyDescent="0.25"/>
    <row r="99" spans="4:20" ht="20.100000000000001" customHeight="1" x14ac:dyDescent="0.25">
      <c r="D99" s="53" t="str" cm="1">
        <f t="array" ref="D99:D102">Common_SourceData.Common_SourceData_ClimateZones_Appendices()</f>
        <v>Note:</v>
      </c>
    </row>
    <row r="100" spans="4:20" ht="20.100000000000001" customHeight="1" x14ac:dyDescent="0.25">
      <c r="D100" s="53" t="str">
        <v>MAT = mean annual temperature</v>
      </c>
    </row>
    <row r="101" spans="4:20" ht="20.100000000000001" customHeight="1" x14ac:dyDescent="0.25">
      <c r="D101" s="53" t="str">
        <v>MAP = mean annual precipitation</v>
      </c>
    </row>
    <row r="102" spans="4:20" ht="20.100000000000001" customHeight="1" x14ac:dyDescent="0.25">
      <c r="D102" s="53" t="str">
        <v>PET = potential evapotranspiration</v>
      </c>
    </row>
    <row r="103" spans="4:20" ht="20.100000000000001" customHeight="1" x14ac:dyDescent="0.25">
      <c r="D103" s="53"/>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4"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6" t="s">
        <v>47</v>
      </c>
      <c r="E109" s="36" t="s">
        <v>29</v>
      </c>
      <c r="F109" s="36" t="s">
        <v>48</v>
      </c>
      <c r="G109" s="36" t="s">
        <v>49</v>
      </c>
    </row>
    <row r="110" spans="4:20" ht="20.100000000000001" customHeight="1" x14ac:dyDescent="0.25">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4:20" ht="20.100000000000001" customHeight="1" x14ac:dyDescent="0.25">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4"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6" t="s">
        <v>50</v>
      </c>
      <c r="E119" s="36" t="s">
        <v>51</v>
      </c>
      <c r="F119" s="36" t="s">
        <v>36</v>
      </c>
      <c r="G119" s="36" t="s">
        <v>37</v>
      </c>
      <c r="BN119" s="7"/>
    </row>
    <row r="120" spans="4:66" ht="20.100000000000001" customHeight="1" x14ac:dyDescent="0.25">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6" t="s">
        <v>52</v>
      </c>
      <c r="E127" s="36" t="s">
        <v>53</v>
      </c>
    </row>
    <row r="128" spans="4:66" ht="20.100000000000001" customHeight="1" x14ac:dyDescent="0.25">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74</v>
      </c>
      <c r="E134" t="s">
        <v>75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4"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6" t="s">
        <v>117</v>
      </c>
      <c r="E142" s="36" t="s">
        <v>75</v>
      </c>
      <c r="BN142" s="7"/>
    </row>
    <row r="143" spans="4:77" ht="20.100000000000001" customHeight="1" x14ac:dyDescent="0.25">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6" t="s">
        <v>54</v>
      </c>
      <c r="E153" s="36" t="s">
        <v>55</v>
      </c>
      <c r="BC153" s="3"/>
      <c r="BD153" s="3"/>
      <c r="BE153" s="3"/>
      <c r="BF153" s="3"/>
      <c r="BG153" s="3"/>
      <c r="BH153" s="3"/>
      <c r="BI153" s="3"/>
      <c r="BJ153" s="3"/>
      <c r="BK153" s="3"/>
      <c r="BL153" s="3"/>
      <c r="BM153" s="3"/>
    </row>
    <row r="154" spans="4:66" ht="20.100000000000001" customHeight="1" x14ac:dyDescent="0.25">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4:66" ht="20.100000000000001" customHeight="1" x14ac:dyDescent="0.25">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4:66" ht="20.100000000000001" customHeight="1" x14ac:dyDescent="0.25">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3"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3" t="str" cm="1">
        <f t="array" ref="D180">Common_SourceData.Common_SourceData_EFN2O_Unit()</f>
        <v>(kg N2O-N / kg N</v>
      </c>
    </row>
    <row r="181" spans="4:68" ht="20.100000000000001" customHeight="1" x14ac:dyDescent="0.25">
      <c r="D181" s="54" t="str" cm="1">
        <f t="array" ref="D181:D185">Common_SourceData.Common_SourceData_EFN2O_Variation()</f>
        <v>VARIATION OF SOURCE DATA:</v>
      </c>
    </row>
    <row r="182" spans="4:68" ht="20.100000000000001" customHeight="1" x14ac:dyDescent="0.25">
      <c r="D182" s="54" t="str">
        <v>Removed duplicate 'Aquaculture' row.</v>
      </c>
    </row>
    <row r="183" spans="4:68" ht="20.100000000000001" customHeight="1" x14ac:dyDescent="0.25">
      <c r="D183" s="54" t="str">
        <v>Removed asterisks to aid lookup.</v>
      </c>
    </row>
    <row r="184" spans="4:68" ht="20.100000000000001" customHeight="1" x14ac:dyDescent="0.25">
      <c r="D184" s="54" t="str">
        <v>Added 'production system only', 'rainfall zone' and 'irrigation method' columns to aid lookup.</v>
      </c>
    </row>
    <row r="185" spans="4:68" ht="20.100000000000001" customHeight="1" x14ac:dyDescent="0.25">
      <c r="D185" s="54" t="str">
        <v>Duplicated 'non-irrigated pasture' row with same EF for low and high rainfall zones to aid lookup.</v>
      </c>
    </row>
    <row r="186" spans="4:68" ht="20.100000000000001" customHeight="1" x14ac:dyDescent="0.25">
      <c r="D186" s="36" t="s">
        <v>86</v>
      </c>
      <c r="E186" s="36" t="s">
        <v>87</v>
      </c>
      <c r="F186" s="36" t="s">
        <v>88</v>
      </c>
      <c r="G186" s="36" t="s">
        <v>89</v>
      </c>
      <c r="H186" s="36" t="s">
        <v>28</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4" t="str" cm="1">
        <f t="array" ref="D204">Common_SourceData.Common_SourceData_EFPastureRangeAndPaddock_Variation()</f>
        <v>VARIATION FROM SOURCE DATA: Changed 'Dry climate zones' to singular 'Dry climate zone' to aid lookup.</v>
      </c>
    </row>
    <row r="205" spans="4:8" x14ac:dyDescent="0.25">
      <c r="D205" s="53" t="str" cm="1">
        <f t="array" ref="D205">Common_SourceData.Common_SourceData_EFPastureRangeAndPaddock_Unit()</f>
        <v>kg N2O - N / kg N</v>
      </c>
    </row>
    <row r="206" spans="4:8" x14ac:dyDescent="0.25">
      <c r="D206" s="36" t="s">
        <v>6</v>
      </c>
      <c r="E206" s="36" t="s">
        <v>119</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103</v>
      </c>
      <c r="E212" s="36" t="s">
        <v>144</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4"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45</v>
      </c>
      <c r="E231" s="36" t="s">
        <v>235</v>
      </c>
      <c r="F231" s="35" t="s">
        <v>221</v>
      </c>
      <c r="G231" s="36" t="s">
        <v>236</v>
      </c>
      <c r="H231" s="36" t="s">
        <v>237</v>
      </c>
      <c r="I231" s="36" t="s">
        <v>238</v>
      </c>
      <c r="J231" s="36" t="s">
        <v>239</v>
      </c>
      <c r="K231" s="36" t="s">
        <v>240</v>
      </c>
      <c r="L231" s="36" t="s">
        <v>241</v>
      </c>
      <c r="M231" s="36" t="s">
        <v>242</v>
      </c>
      <c r="N231" s="36" t="s">
        <v>243</v>
      </c>
      <c r="O231" s="36" t="s">
        <v>244</v>
      </c>
      <c r="P231" s="36" t="s">
        <v>245</v>
      </c>
      <c r="Q231" s="36" t="s">
        <v>246</v>
      </c>
      <c r="R231" s="36" t="s">
        <v>108</v>
      </c>
      <c r="S231" s="36" t="s">
        <v>247</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3" t="str" cm="1">
        <f t="array" ref="D256">Common_SourceData.Common_SourceData_EFOrganicFertiliserAndCropResidues_Unit()</f>
        <v>kg N2O - N / kg N</v>
      </c>
    </row>
    <row r="257" spans="4:5" x14ac:dyDescent="0.25">
      <c r="D257" s="36" t="s">
        <v>267</v>
      </c>
      <c r="E257" s="36" t="s">
        <v>268</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4" sqref="A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3" t="e" vm="1">
        <v>#VALUE!</v>
      </c>
      <c r="C1" s="8" t="s">
        <v>61</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1</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7" t="str">
        <f>HYPERLINK("#'Input - Site'!A1", "Site")</f>
        <v>Site</v>
      </c>
      <c r="D7" s="3" t="str" cm="1">
        <f t="array" ref="D7">CommonLivestock_SourceData.SourceData_Livestock_Common_SymbolsMMS_Vairable()</f>
        <v>MMS</v>
      </c>
      <c r="E7" s="3"/>
      <c r="F7" s="3"/>
      <c r="G7" s="3"/>
      <c r="H7" s="3"/>
    </row>
    <row r="8" spans="1:13" ht="20.100000000000001" customHeight="1" x14ac:dyDescent="0.25">
      <c r="A8" s="17" t="str">
        <f>HYPERLINK("#'Input - Pasture Beef'!A1", "Pasture Beef")</f>
        <v>Pasture Beef</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c r="D9" s="35" t="s">
        <v>62</v>
      </c>
      <c r="E9" s="36" t="s">
        <v>15</v>
      </c>
      <c r="F9" s="36" t="s">
        <v>63</v>
      </c>
      <c r="G9" s="3"/>
    </row>
    <row r="10" spans="1:13" ht="20.100000000000001" customHeight="1" x14ac:dyDescent="0.25">
      <c r="A10" s="19" t="s">
        <v>59</v>
      </c>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7" t="str">
        <f>HYPERLINK("#'3.2.1.1-2 Enteric Methane'!A1", "3.2.1.1-2 Enteric Methane")</f>
        <v>3.2.1.1-2 Enteric Methane</v>
      </c>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2</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HYPERLINK("#'Constants - Pasture Beef'!A1", "Constants - Pasture Beef")</f>
        <v>Constants - Pasture Beef</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22" t="str">
        <f>HYPERLINK("#'Constants - Livestock'!A1", "Constants - Livestock")</f>
        <v>Constants - Livestock</v>
      </c>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HYPERLINK("#'Constants - Common'!A1", "Constants - Common")</f>
        <v>Constants - Common</v>
      </c>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HYPERLINK("#'Acknowledgements'!A1", "Acknowledgements")</f>
        <v>Acknowledgements</v>
      </c>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233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0ATQBTAF8AUABhAHMAdAB1AHIAZQBCAGUAZQBm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EAIABNAGUAdABoAG8AZAAgADEAIAAtACAATQBhAG4AdQByAGUAIABNAGUAdABoAGEAbgBl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xAF8AXwAxAF8AVABvAHQAYQBsAEEAbgBuAHUAYQBsAE0AZQB0AGgAYQBuAGUAUAByAG8AZAB1AGMAdABpAG8AbgBGAHIAbwBtAE0AYQBuAHUAcgBlAE0AYQBuAGEAZwBlAG0AZQBuAHQAXABuAFQAbwB0AGEAbAAgAGEAbgBuAHUAYQBsACAAbQBlAHQAaABhAG4AZQAgAHAAcgBvAGQAdQBjAHQAaQBvAG4AIABmAHIAbwBtACAAbQBhAG4AdQByAGUAIABtAGEAbgBhAGcAZQBtAGUAbgB0ACAAZgBvAHIAIABnAHIAYQB6AGkAbgBnACAAYgBlAGUAZgAgAGMAYQB0AHQAbABlAFwAbgBFAF8AQwBIADQAXABuAHQAIABDAEgANABcAG4ARQBfAHsAQwBIADQAfQA9AFwAXABzAHUAbQBfAHsAagB9AFwAXABzAHUAbQBfAHsAawB9AFwAXABzAHUAbQBfAHsAbAB9AFwAXABzAHUAbQBfAHsAbQB9ACgATgBfAHsAagBrAGwAfQBcAFwAdABpAG0AZQBzACAATQBfAHsAagBrAGwAbQB9AFwAXAB0AGkAbQBlAHMAIABEAF8AagApAFwAXAB0AGkAbQBlAHMAIAAxADAAXgB7AC0AMwB9AFwAbgBOAF8AagBrAGwAIAA9ACAAbgB1AG0AYgBlAHIAIABvAGYAIABiAGUAZQBmACAAYwBhAHQAdABsAGUAIABpAG4AIABlAGEAYwBoACAAdABpAG0AZQAtAHAAZQByAGkAbwBkACwAIABjAGwAYQBzAHMAIABhAG4AZAAgAHMAdQBiAGMAbABhAHMAcwAgACgAaABlAGEAZAApAFwAbgBNAF8AagBrAGwAbQAgAD0AIABtAGUAdABoAGEAbgBlACAAcAByAG8AZAB1AGMAdABpAG8AbgAgAGYAcgBvAG0AIABtAGEAbgB1AHIAZQAgAGkAbgAgAGUAYQBjAGgAIAB0AGkAbQBlAC0AcABlAHIAaQBvAGQALAAgAGMAbABhAHMAcwAsACAAcwB1AGIAYwBsAGEAcwBzACAAYQBuAGQAIABNAE0AUwAgACgAawBnAC8AaABlAGEAZAAvAGQAYQB5ACkAXABuAEQAXwBqACAAPQAgAG4AdQBtAGIAZQByACAAbwBmACAAZABhAHkAcwAgAGkAbgAgAGUAYQBjAGgAIAB0AGkAbQBlAC0AcABlAHIAaQBvAGQAIABmAG8AcgAgAGUAYQBjAGgAIABpAG4AcAB1AHQAIABjAGwAYQBzAHMAIAAoAGQAYQB5AHMAKQBcAG4ALQAtAC0ALQAtAC0ALQAtAC0ALQAtAC0ALQAtAC0ALQAtAC0ALQAtAC0ALQAtAC0ALQAtAC0ALQAtAC0ALQAtAC0ALQAtAC0ALQAtAFwAbgAqAC8AXABuAFwAbgBWAEUARQBSAEcAXwA0AF8AMgBfADEAXwAxAF8AXwAxAF8AVABvAHQAYQBsAEEAbgBuAHUAYQBsAE0AZQB0AGgAYQBuAGUAUAByAG8AZAB1AGMAdABpAG8AbgBGAHIAbwBtAE0AYQBuAHUAcgBlAE0AYQBuAGEAZwBlAG0AZQBuAHQAXABuACAAIAA9AEwAQQBNAEIARABBACgAXABuACAAIAAgACAATgBfAGoAawBsACwAIABNAF8AagBrAGwAbQAsACAARABfAGoALABcAG4AIAAgACAAIAAoAE4AXwBqAGsAbAAgACoAIABNAF8AagBrAGwAbQAgACoAIABEAF8AagApACAAKgAgADEAMAAgAF4AIAAtADMAXABuACAAIAApADsAXABuAFwAbgBWAEUARQBSAEcAXwA0AF8AMgBfADEAXwAxAF8AXwAxAF8AVABvAHQAYQBsAEEAbgBuAHUAYQBsAE0AZQB0AGgAYQBuAGUAUAByAG8AZAB1AGMAdABpAG8AbgBGAHIAbwBtAE0AYQBuAHUAcgBlAE0AYQBuAGEAZwBlAG0AZQBuAHQAXwBUAGkAdABsAGUAXABuACAAIAA9AEwAQQBNAEIARABBACgAXAAiAFQAbwB0AGEAbAAgAGEAbgBuAHUAYQBsACAAbQBlAHQAaABhAG4AZQAgAHAAcgBvAGQAdQBjAHQAaQBvAG4AIABmAHIAbwBtACAAbQBhAG4AdQByAGUAIABtAGEAbgBhAGcAZQBtAGUAbgB0ACAAZgBvAHIAIABnAHIAYQB6AGkAbgBnACAAYgBlAGUAZgAgAGMAYQB0AHQAbABlAFwAIgApADsAXABuAFwAbgBWAEUARQBSAEcAXwA0AF8AMgBfADEAXwAxAF8AXwAxAF8AVABvAHQAYQBsAEEAbgBuAHUAYQBsAE0AZQB0AGgAYQBuAGUAUAByAG8AZAB1AGMAdABpAG8AbgBGAHIAbwBtAE0AYQBuAHUAcgBlAE0AYQBuAGEAZwBlAG0AZQBuAHQAXwBWAGEAcgBpAGEAYgBsAGUAXABuACAAIAA9AEwAQQBNAEIARABBACgAXAAiAEUAXwBDAEgANABcACIAKQA7AFwAbgBcAG4AVgBFAEUAUgBHAF8ANABfADIAXwAxAF8AMQBfAF8AMQBfAFQAbwB0AGEAbABBAG4AbgB1AGEAbABNAGUAdABoAGEAbgBlAFAAcgBvAGQAdQBjAHQAaQBvAG4ARgByAG8AbQBNAGEAbgB1AHIAZQBNAGEAbgBhAGcAZQBtAGUAbgB0AF8AVQBuAGkAdABcAG4AIAAgAD0ATABBAE0AQgBEAEEAKABcACIAdAAgAEMASAA0AFwAIgApADsAXABuAFwAbgBWAEUARQBSAEcAXwA0AF8AMgBfADEAXwAxAF8AXwAxAF8AVABvAHQAYQBsAEEAbgBuAHUAYQBsAE0AZQB0AGgAYQBuAGUAUAByAG8AZAB1AGMAdABpAG8AbgBGAHIAbwBtAE0AYQBuAHUAcgBlAE0AYQBuAGEAZwBlAG0AZQBuAHQAXwBTAG8AdQByAGMAZQBcAG4AIAAgAD0ATABBAE0AQgBEAEEAKABcACIAVgBFAEUAUgBHACAAMgAwADIANgA6ACAANAAuADIALgAxAC4AMQAsACAARQBxAHUAYQB0AGkAbwBuACAAKAAxACkAXAAiACkAOwBcAG4AXABuAFYARQBFAFIARwBfADQAXwAyAF8AMQBfADEAXwBfADEAXwBUAG8AdABhAGwAQQBuAG4AdQBhAGwATQBlAHQAaABhAG4AZQBQAHIAbwBkAHUAYwB0AGkAbwBuAEYAcgBvAG0ATQBhAG4AdQByAGUATQBhAG4AYQBnAGUAbQBlAG4AdABfAE4ASQBSAFIAZQBmAGUAcgBlAG4AYwBlAFwAbgAgACAAPQBMAEEATQBCAEQAQQAoAFwAIgBcACIAKQA7AFwAbgBcAG4AVgBFAEUAUgBHAF8ANABfADIAXwAxAF8AMQBfAF8AMQBfAFQAbwB0AGEAbABBAG4AbgB1AGEAbABNAGUAdABoAGEAbgBlAFAAcgBvAGQAdQBjAHQAaQBvAG4ARgByAG8AbQBNAGEAbgB1AHIAZQBNAGEAbgBhAGcAZQBtAGUAbgB0AF8ATABhAHQAZQB4AEUAcQB1AGEAdABpAG8AbgBcAG4AIAAgAD0ATABBAE0AQgBEAEEAKABcACIARQBfAHsAQwBIADQAfQA9AFwAXABzAHUAbQBfAHsAagB9AFwAXABzAHUAbQBfAHsAawB9AFwAXABzAHUAbQBfAHsAbAB9AFwAXABzAHUAbQBfAHsAbQB9ACgATgBfAHsAagBrAGwAfQBcAFwAdABpAG0AZQBzACAATQBfAHsAagBrAGwAbQB9AFwAXAB0AGkAbQBlAHMAIABEAF8AagApAFwAXAB0AGkAbQBlAHMAIAAxADAAXgB7AC0AMwB9AFwAIgApADsAXABuAFwAbgBWAEUARQBSAEcAXwA0AF8AMgBfADEAXwAxAF8AXwAxAF8AVABvAHQAYQBsAEEAbgBuAHUAYQBsAE0AZQB0AGgAYQBuAGUAUAByAG8AZAB1AGMAdABpAG8AbgBGAHIAbwBtAE0AYQBuAHUAcgBlAE0AYQBuAGEAZwBlAG0AZQBuAHQ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DsAXABuACAAIAAgACAAIAAgACAAIAAgACAAXAAiAE0AXwBqAGsAbABtAFwAIgAsACAAXAAiAG0AZQB0AGgAYQBuAGUAIABwAHIAbwBkAHUAYwB0AGkAbwBuACAAZgByAG8AbQAgAG0AYQBuAHUAcgBlACAAaQBuACAAZQBhAGMAaAAgAHQAaQBtAGUALQBwAGUAcgBpAG8AZAAsACAAYwBsAGEAcwBzACwAIABzAHUAYgBjAGwAYQBzAHMAIABhAG4AZAAgAE0ATQBTAFwAIgAsACAAXAAiAGsAZwAvAGgAZQBhAGQALwBkAGEAeQBcACIALAAgAFwAIgBDAGEAbABjAHUAbABhAHQAZQBkACAAZgByAG8AbQAgADQALgAyAC4AMQAuADEAIAAoADIAKQBcACIAOwBcAG4AIAAgACAAIAAgACAAIAAgACAAIABcACIARABfAGoAXAAiACwAIABcACIAbgB1AG0AYgBlAHIAIABvAGYAIABkAGEAeQBzACAAaQBuACAAZQBhAGMAaAAgAHQAaQBtAGUALQBwAGUAcgBpAG8AZAAgAGYAbwByACAAZQBhAGMAaAAgAGkAbgBwAHUAdAAgAGMAbABhAHMAcw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xAF8AXwAyAF8ATQBlAHQAaABhAG4AZQBQAHIAbwBkAHUAYwB0AGkAbwBuAEYAcgBvAG0ATQBhAG4AdQByAGUAXABuAE0AZQB0AGgAYQBuAGUAIABwAHIAbwBkAHUAYwB0AGkAbwBuACAAZgByAG8AbQAgAHQAaABlACAAbQBhAG4AdQByAGUAIABvAGYAIABnAHIAYQB6AGkAbgBnACAAYgBlAGUAZgAgAGMAYQB0AHQAbABlAFwAbgBNAF8AagBrAGwAbQBcAG4AawBnACAAQwBIADQALwBoAGUAYQBkAC8AZABhAHkAXABuAE0AXwB7AGoAawBsAG0AfQA9AFYAUwBfAHsAagBrAGwAfQBcAFwAdABpAG0AZQBzACAAQgBfAG8AXABcAHQAaQBtAGUAcwAgAE0ATQBTAF8AbQBcAFwAdABpAG0AZQBzACAATQBDAEYAXwB7AGkAbQB9AFwAXAB0AGkAbQBlAHMAIABcAFwAcgBoAG8AXABuAFYAUwBfAGoAawBsACAAPQAgAHYAbwBsAGEAdABpAGwAZQAgAHMAbwBsAGkAZAAgAHAAcgBvAGQAdQBjAHQAaQBvAG4AIAAoAGsAZwAvAGQAYQB5ACkAXABuAEIAXwBvACAAPQAgAGUAbQBpAHMAcwBpAG8AbgBzACAAcABvAHQAZQBuAHQAaQBhAGwAIAAoAG0AMwAgAEMASAA0AC8AawBnACAAVgBTACkAXABuAE0ATQBTAF8AbQAgAD0AIABmAHIAYQBjAHQAaQBvAG4AIABvAGYAIAB3AGEAcwB0AGUAIABpAG4AIABlAGEAYwBoACAAbQBhAG4AdQByAGUAIABtAGEAbgBhAGcAZQBtAGUAbgB0ACAAcwB5AHMAdABlAG0AXABuAE0AQwBGAF8AaQBtACAAPQAgAG0AZQB0AGgAYQBuAGUAIABjAG8AbgB2AGUAcgBzAGkAbwBuACAAZgBhAGMAdABvAHIAIABmAG8AcgAgAHQAZQBtAHAAZQByAGEAdAB1AHIAZQAgAHoAbwBuAGUAIABhAG4AZAAgAE0ATQBTAFwAbgByAGgAbwAgAD0AIABkAGUAbgBzAGkAdAB5ACAAbwBmACAAbQBlAHQAaABhAG4AZQAgACgAawBnAC8AbQAzACkAXABuAC0ALQAtAC0ALQAtAC0ALQAtAC0ALQAtAC0ALQAtAC0ALQAtAC0ALQAtAC0ALQAtAC0ALQAtAC0ALQAtAC0ALQAtAC0ALQAtAC0ALQBcAG4AKgAvAFwAbgBcAG4AVgBFAEUAUgBHAF8ANABfADIAXwAxAF8AMQBfAF8AMgBfAE0AZQB0AGgAYQBuAGUAUAByAG8AZAB1AGMAdABpAG8AbgBGAHIAbwBtAE0AYQBuAHUAcgBlAFwAbgAgACAAPQBMAEEATQBCAEQAQQAoAFwAbgAgACAAIAAgAFYAUwBfAGoAawBsACwAIABCAF8AbwAsACAATQBNAFMAXwBtACwAIABNAEMARgBfAGkAbQAsACAAcgBoAG8ALABcAG4AIAAgACAAIABWAFMAXwBqAGsAbAAgACoAIABCAF8AbwAgACoAIABNAE0AUwBfAG0AIAAqACAATQBDAEYAXwBpAG0AIAAqACAAcgBoAG8AXABuACAAIAApADsAXABuAFwAbgBWAEUARQBSAEcAXwA0AF8AMgBfADEAXwAxAF8AXwAyAF8ATQBlAHQAaABhAG4AZQBQAHIAbwBkAHUAYwB0AGkAbwBuAEYAcgBvAG0ATQBhAG4AdQByAGUAXwBUAGkAdABsAGUAXABuACAAIAA9AEwAQQBNAEIARABBACgAXAAiAE0AZQB0AGgAYQBuAGUAIABwAHIAbwBkAHUAYwB0AGkAbwBuACAAZgByAG8AbQAgAHQAaABlACAAbQBhAG4AdQByAGUAIABvAGYAIABnAHIAYQB6AGkAbgBnACAAYgBlAGUAZgAgAGMAYQB0AHQAbABlAFwAIgApADsAXABuAFwAbgBWAEUARQBSAEcAXwA0AF8AMgBfADEAXwAxAF8AXwAyAF8ATQBlAHQAaABhAG4AZQBQAHIAbwBkAHUAYwB0AGkAbwBuAEYAcgBvAG0ATQBhAG4AdQByAGUAXwBWAGEAcgBpAGEAYgBsAGUAXABuACAAIAA9AEwAQQBNAEIARABBACgAXAAiAE0AXwBqAGsAbABtAFwAIgApADsAXABuAFwAbgBWAEUARQBSAEcAXwA0AF8AMgBfADEAXwAxAF8AXwAyAF8ATQBlAHQAaABhAG4AZQBQAHIAbwBkAHUAYwB0AGkAbwBuAEYAcgBvAG0ATQBhAG4AdQByAGUAXwBVAG4AaQB0AFwAbgAgACAAPQBMAEEATQBCAEQAQQAoAFwAIgBrAGcAIABDAEgANAAvAGgAZQBhAGQALwBkAGEAeQBcACIAKQA7AFwAbgBcAG4AVgBFAEUAUgBHAF8ANABfADIAXwAxAF8AMQBfAF8AMgBfAE0AZQB0AGgAYQBuAGUAUAByAG8AZAB1AGMAdABpAG8AbgBGAHIAbwBtAE0AYQBuAHUAcgBlAF8AUwBvAHUAcgBjAGUAXABuACAAIAA9AEwAQQBNAEIARABBACgAXAAiAFYARQBFAFIARwAgADIAMAAyADYAOgAgADQALgAyAC4AMQAuADEALAAgAEUAcQB1AGEAdABpAG8AbgAgACgAMgApAFwAIgApADsAXABuAFwAbgBWAEUARQBSAEcAXwA0AF8AMgBfADEAXwAxAF8AXwAyAF8ATQBlAHQAaABhAG4AZQBQAHIAbwBkAHUAYwB0AGkAbwBuAEYAcgBvAG0ATQBhAG4AdQByAGUAXwBOAEkAUgBSAGUAZgBlAHIAZQBuAGMAZQBcAG4AIAAgAD0ATABBAE0AQgBEAEEAKABcACIAXAAiACkAOwBcAG4AXABuAFYARQBFAFIARwBfADQAXwAyAF8AMQBfADEAXwBfADIAXwBNAGUAdABoAGEAbgBlAFAAcgBvAGQAdQBjAHQAaQBvAG4ARgByAG8AbQBNAGEAbgB1AHIAZQBfAEwAYQB0AGUAeABFAHEAdQBhAHQAaQBvAG4AXABuACAAIAA9AEwAQQBNAEIARABBACgAXAAiAE0AXwB7AGoAawBsAG0AfQA9AFYAUwBfAHsAagBrAGwAfQBcAFwAdABpAG0AZQBzACAAQgBfAG8AXABcAHQAaQBtAGUAcwAgAE0ATQBTAF8AbQBcAFwAdABpAG0AZQBzACAATQBDAEYAXwB7AGkAbQB9AFwAXAB0AGkAbQBlAHMAIABcAFwAcgBoAG8AXAAiACkAOwBcAG4AXABuAFYARQBFAFIARwBfADQAXwAyAF8AMQBfADEAXwBfADIAXwBNAGUAdABoAGEAbgBlAFAAcgBvAGQAdQBjAHQAaQBvAG4ARgByAG8AbQBNAGEAbgB1AHIAZQBfAEEAcgBnAHUAbQBlAG4AdABzAFwAbgAgACAAPQBMAEEATQBCAEQAQQAoAFwAbgAgACAAIAAgAE0AQQBLAEUAQQBSAFIAQQBZACgANw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pAFwAIgAsACAAXAAiAHMAdABhAHQAZQBcACIALAAgAFwAIgBcACIALAAgAFwAIgBJAG4AcAB1AHQAXAAiADsAXABuACAAIAAgACAAIAAgACAAIAAgACAAXAAiAGkAXAAiACwAIABcACIAcgBlAGcAaQBvAG4AXAAiACwAIABcACIAXAAiACwAIABcACIASQBuAHAAdQB0AFwAIgBcAG4AIAAgACAAIAAgACAAIAAgAH0ALAAgAHIALAAgAGMAKQBcAG4AIAAgACAAIAAgACAAKQBcAG4AIAAgACAAIAApAFwAbgAgACAAKQA7AFwAbgBcAG4AXABuAFYARQBFAFIARwBfADQAXwAyAF8AMQBfADEAXwBfADIAXwBNAGUAdABoAGEAbgBlAFAAcgBvAGQAdQBjAHQAaQBvAG4ARgByAG8AbQBNAGEAbgB1AHIAZQBfAEEAcgBnAHUAbQBlAG4AdABzAF8ATQBlAHQAaABvAGQAMgBcAG4AIAAgAD0ATABBAE0AQgBEAEEAKABcAG4AIAAgACAAIABNAEEASwBFAEEAUgBSAEEAWQAoADcALAAgADQALABcAG4AIAAgACAAIAAgACAATABBAE0AQgBEAEEAKAByACwAYwAsAFwAbgAgACAAIAAgACAAIAAgACAASQBOAEQARQBYACgAewBcAG4AIAAgACAAIAAgACAAIAAgACAAIABcACIAVgBTAF8AagBrAGwAXAAiACwAIABcACIAdgBvAGwAYQB0AGkAbABlACAAcwBvAGwAaQBkACAAcAByAG8AZAB1AGMAdABpAG8AbgBcACIALAAgAFwAIgBrAGcALwBkAGEAeQBcACIALAAgAFwAIgBDAGEAbABjAHUAbABhAHQAZQBkACAAZgByAG8AbQAgADQALgAyAC4AMQAuADEAIAAoADMAKQBcACIAOwBcAG4AIAAgACAAIAAgACAAIAAgACAAIABcACIAQgBfAG8AXAAiACwAIABcACIAZQBtAGkAcwBzAGkAbwBuAHMAIABwAG8AdABlAG4AdABpAGEAbABcACIALAAgAFwAIgBtADMAIABDAEgANAAvAGsAZwAgAFYAUwBcACIALAAgAFwAIgBDAG8AbgBzAHQAYQBuAHQAXAAiADsAXABuACAAIAAgACAAIAAgACAAIAAgACAAXAAiAE0ATQBTAF8AbQBcACIALAAgAFwAIgBmAHIAYQBjAHQAaQBvAG4AIABvAGYAIAB3AGEAcwB0AGUAIABpAG4AIABlAGEAYwBoACAAbQBhAG4AdQByAGUAIABtAGEAbgBhAGcAZQBtAGUAbgB0ACAAcwB5AHMAdABlAG0AXAAiACwAIABcACIAZgByAGEAYwB0AGkAbwBuAFwAIgAsACAAXAAiAEkAbgBwAHUAdA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IABcACIAZABlAG4AcwBpAHQAeQAgAG8AZgAgAG0AZQB0AGgAYQBuAGUAXAAiACwAIABcACIAawBnAC8AbQAzAFwAIgAsACAAXAAiAEMAbwBuAHMAdABhAG4AdABcACIAOwBcAG4AIAAgACAAIAAgACAAIAAgACAAIABcACIATQBBAFQAXAAiACwAXAAiAE0AZQBhAG4AIABhAG4AbgB1AGEAbAAgAHQAZQBtAHAAZQByAGEAdAB1AHIAZQBcACIALAAgAFwAIgCwAEMAXAAiACwAIABcACIASQBuAHAAdQB0AFwAIgBcAG4AIAAgACAAIAAgACAAIAAgAH0ALAAgAHIALAAgAGMAKQBcAG4AIAAgACAAIAAgACAAKQBcAG4AIAAgACAAIAApAFwAbgAgACAAKQA7AFwAbgBcAG4AXABuAC8AKgBcAG4ALQAtAC0ALQAtAC0ALQAtAC0ALQAtAC0ALQAtAC0ALQAtAC0ALQAtAC0ALQAtAC0ALQAtAC0ALQAtAC0ALQAtAC0ALQAtAC0ALQAtAFwAbgBWAEUARQBSAEcAXwA0AF8AMgBfADEAXwAxAF8AXwAzAF8AVgBvAGwAYQB0AGkAbABlAFMAbwBsAGkAZABQAHIAbwBkAHUAYwB0AGkAbwBuAEYAcgBvAG0ARwByAGEAegBpAG4AZwBCAGUAZQBmAFwAbgBWAG8AbABhAHQAaQBsAGUAIABzAG8AbABpAGQAIABwAHIAbwBkAHUAYwB0AGkAbwBuACAAZgByAG8AbQAgAGcAcgBhAHoAaQBuAGcAIABiAGUAZQBmAFwAbgBWAFMAXwBqAGsAbABcAG4AawBnAC8AaABlAGEAZAAvAGQAYQB5AFwAbgBWAFMAXwB7AGoAawBsAH0APQAoAEkAXwB7AGoAawBsAH0AXABcAHQAaQBtAGUAcwAgACgAMQAtAEQATQBEAF8AewBqAGsAbAB9ACkAKwAoADAALgAwADQAXABcAHQAaQBtAGUAcwAgAEkAXwB7AGoAawBsAH0AKQApAFwAXAB0AGkAbQBlAHMAIAAoADEALQBBACkAXABuAEkAXwBqAGsAbAAgAD0AIABkAHIAeQAgAG0AYQB0AHQAZQByACAAaQBuAHQAYQBrAGUAIABhAHMAIABjAGEAbABjAHUAbABhAHQAZQBkACAAaQBuACAAQwBoAGEAcAB0AGUAcgAgADMAIABTAGUAYwB0AGkAbwBuACAAMwAuADIALgAxACAAKABrAGcALwBoAGUAYQBkAC8AZABhAHkAKQBcAG4ARABNAEQAXwBqAGsAbAAgAD0AIABkAHIAeQAgAG0AYQB0AHQAZQByACAAZABpAGcAZQBzAHQAaQBiAGkAbABpAHQAeQAgAGUAeABwAHIAZQBzAHMAZQBkACAAYQBzACAAYQAgAGYAcgBhAGMAdABpAG8AbgBcAG4AQQAgAD0AIABhAHMAaAAgAGMAbwBuAHQAZQBuAHQAIABvAGYAIABmAGUAZQBkACAAaQBuAHQAYQBrAGUAIABlAHgAcAByAGUAcwBzAGUAZAAgAGEAcwAgAGEAIABmAHIAYQBjAHQAaQBvAG4AXABuAC0ALQAtAC0ALQAtAC0ALQAtAC0ALQAtAC0ALQAtAC0ALQAtAC0ALQAtAC0ALQAtAC0ALQAtAC0ALQAtAC0ALQAtAC0ALQAtAC0ALQBcAG4AKgAvAFwAbgBcAG4AVgBFAEUAUgBHAF8ANABfADIAXwAxAF8AMQBfAF8AMwBfAFYAbwBsAGEAdABpAGwAZQBTAG8AbABpAGQAUAByAG8AZAB1AGMAdABpAG8AbgBGAHIAbwBtAEcAcgBhAHoAaQBuAGcAQgBlAGUAZgBcAG4AIAAgAD0ATABBAE0AQgBEAEEAKABcAG4AIAAgACAAIABJAF8AagBrAGwALAAgAEQATQBEAF8AagBrAGwALAAgAEEALABcAG4AIAAgACAAIAAoAEkAXwBqAGsAbAAgACoAIAAoADEAIAAtACAARABNAEQAXwBqAGsAbAApACAAKwAgACgAMAAuADAANAAgACoAIABJAF8AagBrAGwAKQApACAAKgAgACgAMQAgAC0AIABBACkAXABuACAAIAApADsAXABuAFwAbgBWAEUARQBSAEcAXwA0AF8AMgBfADEAXwAxAF8AXwAzAF8AVgBvAGwAYQB0AGkAbABlAFMAbwBsAGkAZABQAHIAbwBkAHUAYwB0AGkAbwBuAEYAcgBvAG0ARwByAGEAegBpAG4AZwBCAGUAZQBmAF8AVABpAHQAbABlAFwAbgAgACAAPQBMAEEATQBCAEQAQQAoAFwAIgBWAG8AbABhAHQAaQBsAGUAIABzAG8AbABpAGQAIABwAHIAbwBkAHUAYwB0AGkAbwBuACAAZgByAG8AbQAgAGcAcgBhAHoAaQBuAGcAIABiAGUAZQBmAFwAIgApADsAXABuAFwAbgBWAEUARQBSAEcAXwA0AF8AMgBfADEAXwAxAF8AXwAzAF8AVgBvAGwAYQB0AGkAbABlAFMAbwBsAGkAZABQAHIAbwBkAHUAYwB0AGkAbwBuAEYAcgBvAG0ARwByAGEAegBpAG4AZwBCAGUAZQBmAF8AVgBhAHIAaQBhAGIAbABlAFwAbgAgACAAPQBMAEEATQBCAEQAQQAoAFwAIgBWAFMAXwBqAGsAbABcACIAKQA7AFwAbgBcAG4AVgBFAEUAUgBHAF8ANABfADIAXwAxAF8AMQBfAF8AMwBfAFYAbwBsAGEAdABpAGwAZQBTAG8AbABpAGQAUAByAG8AZAB1AGMAdABpAG8AbgBGAHIAbwBtAEcAcgBhAHoAaQBuAGcAQgBlAGUAZgBfAFUAbgBpAHQAXABuACAAIAA9AEwAQQBNAEIARABBACgAXAAiAGsAZwAvAGgAZQBhAGQALwBkAGEAeQBcACIAKQA7AFwAbgBcAG4AVgBFAEUAUgBHAF8ANABfADIAXwAxAF8AMQBfAF8AMwBfAFYAbwBsAGEAdABpAGwAZQBTAG8AbABpAGQAUAByAG8AZAB1AGMAdABpAG8AbgBGAHIAbwBtAEcAcgBhAHoAaQBuAGcAQgBlAGUAZgBfAFMAbwB1AHIAYwBlAFwAbgAgACAAPQBMAEEATQBCAEQAQQAoAFwAIgBWAEUARQBSAEcAIAAyADAAMgA2ADoAIAA0AC4AMgAuADEALgAxACwAIABFAHEAdQBhAHQAaQBvAG4AIAAoADMAKQBcACIAKQA7AFwAbgBcAG4AVgBFAEUAUgBHAF8ANABfADIAXwAxAF8AMQBfAF8AMwBfAFYAbwBsAGEAdABpAGwAZQBTAG8AbABpAGQAUAByAG8AZAB1AGMAdABpAG8AbgBGAHIAbwBtAEcAcgBhAHoAaQBuAGcAQgBlAGUAZgBfAE4ASQBSAFIAZQBmAGUAcgBlAG4AYwBlAFwAbgAgACAAPQBMAEEATQBCAEQAQQAoAFwAIgBcACIAKQA7AFwAbgBcAG4AVgBFAEUAUgBHAF8ANABfADIAXwAxAF8AMQBfAF8AMwBfAFYAbwBsAGEAdABpAGwAZQBTAG8AbABpAGQAUAByAG8AZAB1AGMAdABpAG8AbgBGAHIAbwBtAEcAcgBhAHoAaQBuAGcAQgBlAGUAZgBfAEwAYQB0AGUAeABFAHEAdQBhAHQAaQBvAG4AXABuACAAIAA9AEwAQQBNAEIARABBACgAXAAiAFYAUwBfAHsAagBrAGwAfQA9ACgASQBfAHsAagBrAGwAfQBcAFwAdABpAG0AZQBzACAAKAAxAC0ARABNAEQAXwB7AGoAawBsAH0AKQArACgAMAAuADAANABcAFwAdABpAG0AZQBzACAASQBfAHsAagBrAGwAfQApACkAXABcAHQAaQBtAGUAcwAgACgAMQAtAEEAKQBcACIAKQA7AFwAbgBcAG4AVgBFAEUAUgBHAF8ANABfADIAXwAxAF8AMQBfAF8AMwBfAFYAbwBsAGEAdABpAGwAZQBTAG8AbABpAGQAUAByAG8AZAB1AGMAdABpAG8AbgBGAHIAbwBtAEcAcgBhAHoAaQBuAGcAQgBlAGUAZgBfAEEAcgBnAHUAbQBlAG4AdABzAFwAbgAgACAAPQBMAEEATQBCAEQAQQAoAFwAbgAgACAAIAAgAE0AQQBLAEUAQQBSAFIAQQBZACgAMwAsACAANA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BcACIALAAgAFwAIgBrAGcALwBoAGUAYQBkAC8AZABhAHkAXAAiACwAIABcACIAQwBhAGwAYwB1AGwAYQB0AGUAZAAgAGYAcgBvAG0AIAAzAC4AMgAuADEALgAxACwAIAAoADMAKQBcACIAOwBcAG4AIAAgACAAIAAgACAAIAAgACAAIABcACIARABNAEQAXwBqAGsAbABcACIALAAgAFwAIgBkAHIAeQAgAG0AYQB0AHQAZQByACAAZABpAGcAZQBzAHQAaQBiAGkAbABpAHQAeQAgAGUAeABwAHIAZQBzAHMAZQBkACAAYQBzACAAYQAgAGYAcgBhAGMAdABpAG8AbgBcACIALAAgAFwAIgBmAHIAYQBjAHQAaQBvAG4AXAAiACwAIABcACIASQBuAHAAdQB0AFwAIgA7AFwAbgAgACAAIAAgACAAIAAgACAAIAAgAFwAIgBBAFwAIgAsACAAXAAiAGEAcwBoACAAYwBvAG4AdABlAG4AdAAgAG8AZgAgAGYAZQBlAGQAIABpAG4AdABhAGsAZQAgAGUAeABwAHIAZQBzAHMAZQBkACAAYQBzACAAYQAgAGYAcgBhAGMAdABpAG8AbgBcACIALAAgAFwAIgBmAHIAYQBjAHQAaQBvAG4AXAAiACwAIABcACIAQwBvAG4AcwB0AGEAbgB0AFwAIgBcAG4AIAAgACAAIAAgACAAIAAgAH0ALAAgAHIALAAgAGMAKQBcAG4AIAAgACAAIAAgACAAKQBcAG4AIAAgACAAIAApAFwAbgAgACAAKQA7AFwAbgAiAH0ALAB7ACIAcABhAHQAaAAiADoAIgAvAHAAcgBvAGoAZQBjAHQAcwAvAEUAbgB0AGUAcgBpAGMATQBlAHQAaABhAG4AZQBfAFAAYQBzAHQAdQByAGUAQgBlAGUAZgBfAEUAcQB1AGEAdABpAG8AbgBzACIALAAiAHQAZQB4AHQAIgA6ACIALwAqAFwAbgA9AD0APQA9AD0APQA9AD0APQA9AD0APQA9AD0APQA9AD0APQA9AD0APQA9AD0APQA9AD0APQA9AD0APQA9AD0APQA9AD0APQA9AD0APQA9AD0APQA9AD0APQA9AD0APQA9AD0APQA9AD0APQA9AD0APQA9AD0APQA9AD0APQA9AD0APQA9AD0APQA9AD0APQA9AD0APQA9AFwAbgAzAC4AMgA6ACAARQBuAHQAZQByAGkAYwAgAE0AZQB0AGgAYQBuAGUAIAAtACAAUABhAHMAdAB1AHIAZQAgAEIAZQBlAGYAXABuAD0APQA9AD0APQA9AD0APQA9AD0APQA9AD0APQA9AD0APQA9AD0APQA9AD0APQA9AD0APQA9AD0APQA9AD0APQA9AD0APQA9AD0APQA9AD0APQA9AD0APQA9AD0APQA9AD0APQA9AD0APQA9AD0APQA9AD0APQA9AD0APQA9AD0APQA9AD0APQA9AD0APQA9AD0APQA9AD0AXABuADMALgAyAC4AMQAuADEAIABNAGUAdABoAG8AZAAgADEAIAAtACAARQBuAHQAZQByAGkAY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I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nAHIAYQB6AGkAbgBnACAAYgBlAGUAZgAgAGMAYQB0AHQAbABlAFwAbgBFAF8AZQBuAHQAZQByAGkAYwBcAG4AdAAgAEMASAA0AFwAbgBFAF8AewBlAG4AdABlAHIAaQBjAH0APQBcAFwAcwB1AG0AXwB7AGoAfQBcAFwAcwB1AG0AXwB7AGsAfQBcAFwAcwB1AG0AXwB7AGwAfQAoAEQAXwBqAFwAXAB0AGkAbQBlAHMAIABNAF8AewBqAGsAbAB9AFwAXAB0AGkAbQBlAHMAIABOAF8AewBqAGsAbAB9ACkAXABcAHQAaQBtAGUAcwAgADEAMABeAHsALQAzAH0AXABuAEQAXwBqACAAPQAgAG4AdQBtAGIAZQByACAAbwBmACAAZABhAHkAcwAgAHQAaABlACAAYQBuAGkAbQBhAGwAIABpAHMAIABvAG4AIAB0AGgAZQAgAGYAYQByAG0AIABpAG4AIABlAGEAYwBoACAAdABpAG0AZQAtAHAAZQByAGkAbwBkACAAKABkAGEAeQBzACkAXABuAE0AXwBqAGsAbAAgAD0AIABkAGEAaQBsAHkAIABwAHIAbwBkAHUAYwB0AGkAbwBuACAAbwBmACAAZQBuAHQAZQByAGkAYwAgAG0AZQB0AGgAYQBuAGUAIABpAG4AIABlAGEAYwBoACAAdABpAG0AZQAtAHAAZQByAGkAbwBkACwAIABjAGwAYQBzAHMAIABhAG4AZAAgAHMAdQBiAGMAbABhAHMAcwAgACgAawBnACAAQwBIADQALwBoAGUAYQBkAC8AZABhAHkAKQBcAG4ATgBfAGoAawBsACAAPQAgAG4AdQBtAGIAZQByACAAbwBmACAAYgBlAGUAZgAgAGMAYQB0AHQAbABlACAAaQBuACAAZQBhAGMAaAAgAHQAaQBtAGUALQBwAGUAcgBpAG8AZAAsACAAYwBsAGEAcwBzACAAYQBuAGQAIABzAHUAYgBjAGwAYQBzAHMAIAAoAGgAZQBhAGQAKQBcAG4ALQAtAC0ALQAtAC0ALQAtAC0ALQAtAC0ALQAtAC0ALQAtAC0ALQAtAC0ALQAtAC0ALQAtAC0ALQAtAC0ALQAtAC0ALQAtAC0ALQAtAFwAbgAqAC8AXABuAFwAbgBWAEUARQBSAEcAXwAzAF8AMgBfADEAXwAxAF8AXwAxAF8AVABvAHQAYQBsAEEAbgBuAHUAYQBsAE0AZQB0AGgAYQBuAGUARgByAG8AbQBFAG4AdABlAHIAaQBjAEYAZQByAG0AZQBuAHQAYQB0AGkAbwBuAFwAbgAgACAAPQBMAEEATQBCAEQAQQAoAFwAbgAgACAAIAAgAEQAXwBqACwAIABNAF8AagBrAGwALAAgAE4AXwBqAGsAbAAsAFwAbgAgACAAIAAgACgARABfAGoAIAAqACAATQBfAGoAawBsACAAKgAgAE4AXwBqAGsAbAApACAAKgAgADEAMAAgAF4AIAAtADMAXABuACAAIAApADsAXABuAFwAbgBWAEUARQBSAEcAXwAzAF8AMg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cAcgBhAHoAaQBuAGcAIABiAGUAZQBmACAAYwBhAHQAdABsAGUAXAAiACkAOwBcAG4AXABuAFYARQBFAFIARwBfADMAXwAyAF8AMQBfADEAXwBfADEAXwBUAG8AdABhAGwAQQBuAG4AdQBhAGwATQBlAHQAaABhAG4AZQBGAHIAbwBtAEUAbgB0AGUAcgBpAGMARgBlAHIAbQBlAG4AdABhAHQAaQBvAG4AXwBWAGEAcgBpAGEAYgBsAGUAXABuACAAIAA9AEwAQQBNAEIARABBACgAXAAiAEUAXwBlAG4AdABlAHIAaQBjAFwAIgApADsAXABuAFwAbgBWAEUARQBSAEcAXwAzAF8AMgBfADEAXwAxAF8AXwAxAF8AVABvAHQAYQBsAEEAbgBuAHUAYQBsAE0AZQB0AGgAYQBuAGUARgByAG8AbQBFAG4AdABlAHIAaQBjAEYAZQByAG0AZQBuAHQAYQB0AGkAbwBuAF8AVQBuAGkAdABcAG4AIAAgAD0ATABBAE0AQgBEAEEAKABcACIAdAAgAEMASAA0AFwAIgApADsAXABuAFwAbgBWAEUARQBSAEcAXwAzAF8AMgBfADEAXwAxAF8AXwAxAF8AVABvAHQAYQBsAEEAbgBuAHUAYQBsAE0AZQB0AGgAYQBuAGUARgByAG8AbQBFAG4AdABlAHIAaQBjAEYAZQByAG0AZQBuAHQAYQB0AGkAbwBuAF8AUwBvAHUAcgBjAGUAXABuACAAIAA9AEwAQQBNAEIARABBACgAXAAiAFYARQBFAFIARwAgADIAMAAyADYAOgAgADMALgAyAC4AMQAuADEALAAgAEUAcQB1AGEAdABpAG8AbgAgACgAMQApAFwAIgApADsAXABuAFwAbgBWAEUARQBSAEcAXwAzAF8AMgBfADEAXwAxAF8AXwAxAF8AVABvAHQAYQBsAEEAbgBuAHUAYQBsAE0AZQB0AGgAYQBuAGUARgByAG8AbQBFAG4AdABlAHIAaQBjAEYAZQByAG0AZQBuAHQAYQB0AGkAbwBuAF8ATgBJAFIAUgBlAGYAZQByAGUAbgBjAGUAXABuACAAIAA9AEwAQQBNAEIARABBACgAXAAiAFwAIgApADsAXABuAFwAbgBWAEUARQBSAEcAXwAzAF8AMgBfADEAXwAxAF8AXwAxAF8AVABvAHQAYQBsAEEAbgBuAHUAYQBsAE0AZQB0AGgAYQBuAGUARgByAG8AbQBFAG4AdABlAHIAaQBjAEYAZQByAG0AZQBuAHQAYQB0AGkAbwBuAF8ATABhAHQAZQB4AEUAcQB1AGEAdABpAG8AbgBcAG4AIAAgAD0ATABBAE0AQgBEAEEAKABcACIARQBfAHsAZQBuAHQAZQByAGkAYwB9AD0AXABcAHMAdQBtAF8AewBqAH0AXABcAHMAdQBtAF8AewBrAH0AXABcAHMAdQBtAF8AewBsAH0AKABEAF8AagBcAFwAdABpAG0AZQBzACAATQBfAHsAagBrAGwAfQBcAFwAdABpAG0AZQBzACAATgBfAHsAagBrAGwAfQApAFwAXAB0AGkAbQBlAHMAIAAxADAAXgB7AC0AMwB9AFwAIgApADsAXABuAFwAbgBWAEUARQBSAEcAXwAzAF8AMg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QAXwBqAFwAIgAsACAAXAAiAG4AdQBtAGIAZQByACAAbwBmACAAZABhAHkAcwAgAHQAaABlACAAYQBuAGkAbQBhAGwAIABpAHMAIABvAG4AIAB0AGgAZQAgAGYAYQByAG0AIABpAG4AIABlAGEAYwBoACAAdABpAG0AZQAtAHAAZQByAGkAbwBkAFwAIgAsACAAXAAiAGQAYQB5AHMAXAAiACwAIABcACIASQBuAHAAdQB0AFwAIgA7AFwAbgAgACAAIAAgACAAIAAgACAAIAAgAFwAIgBNAF8AagBrAGwAXAAiACwAIABcACIAZABhAGkAbAB5ACAAcAByAG8AZAB1AGMAdABpAG8AbgAgAG8AZgAgAGUAbgB0AGUAcgBpAGMAIABtAGUAdABoAGEAbgBlACAAaQBuACAAZQBhAGMAaAAgAHQAaQBtAGUALQBwAGUAcgBpAG8AZAAsACAAYwBsAGEAcwBzACAAYQBuAGQAIABzAHUAYgBjAGwAYQBzAHMAXAAiACwAIABcACIAawBnACAAQwBIADQALwBoAGUAYQBkAC8AZABhAHkAXAAiACwAIABcACIAQwBhAGwAYwB1AGwAYQB0AGUAZAAgAGYAcgBvAG0AIAAzAC4AMgAuADEALgAxACwAIAAoADIAKQBcACIAO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MgBfAEQAYQBpAGwAeQBFAG4AdABlAHIAaQBjAE0AZQB0AGgAYQBuAGUAUAByAG8AZAB1AGMAdABpAG8AbgBcAG4ARABhAGkAbAB5ACAAcAByAG8AZAB1AGMAdABpAG8AbgAgAG8AZgAgAGUAbgB0AGUAcgBpAGMAIABtAGUAdABoAGEAbgBlAFwAbgBNAF8AagBrAGwAXABuAGsAZwAgAEMASAA0AC8AaABlAGEAZAAvAGQAYQB5AFwAbgBNAF8AewBqAGsAbAB9AD0AMgAwAC4ANwBcAFwAdABpAG0AZQBzACAASQBfAHsAagBrAGwAfQBcAFwAdABpAG0AZQBzACAAMQAwAF4AewAtADMAfQBcAG4ASQBfAGoAawBsACAAPQAgAGQAcgB5ACAAbQBhAHQAdABlAHIAIABpAG4AdABhAGsAZQAgACgAawBnACAARABNAC8AaABlAGEAZAAvAGQAYQB5ACkAXABuAC0ALQAtAC0ALQAtAC0ALQAtAC0ALQAtAC0ALQAtAC0ALQAtAC0ALQAtAC0ALQAtAC0ALQAtAC0ALQAtAC0ALQAtAC0ALQAtAC0ALQBcAG4AKgAvAFwAbgBcAG4AVgBFAEUAUgBHAF8AMwBfADIAXwAxAF8AMQBfAF8AMgBfAEQAYQBpAGwAeQBFAG4AdABlAHIAaQBjAE0AZQB0AGgAYQBuAGUAUAByAG8AZAB1AGMAdABpAG8AbgBcAG4AIAAgAD0ATABBAE0AQgBEAEEAKABcAG4AIAAgACAAIABJAF8AagBrAGwALABcAG4AIAAgACAAIAAyADAALgA3ACAAKgAgAEkAXwBqAGsAbAAgACoAIAAxADAAIABeACAALQAzAFwAbgAgACAAKQA7AFwAbgBcAG4AVgBFAEUAUgBHAF8AMwBfADI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gBfADEAXwAxAF8AXwAyAF8ARABhAGkAbAB5AEUAbgB0AGUAcgBpAGMATQBlAHQAaABhAG4AZQBQAHIAbwBkAHUAYwB0AGkAbwBuAF8AVgBhAHIAaQBhAGIAbABlAFwAbgAgACAAPQBMAEEATQBCAEQAQQAoAFwAIgBNAF8AagBrAGwAXAAiACkAOwBcAG4AXABuAFYARQBFAFIARwBfADMAXwAyAF8AMQBfADEAXwBfADIAXwBEAGEAaQBsAHkARQBuAHQAZQByAGkAYwBNAGUAdABoAGEAbgBlAFAAcgBvAGQAdQBjAHQAaQBvAG4AXwBVAG4AaQB0AFwAbgAgACAAPQBMAEEATQBCAEQAQQAoAFwAIgBrAGcAIABDAEgANAAvAGgAZQBhAGQALwBkAGEAeQBcACIAKQA7AFwAbgBcAG4AVgBFAEUAUgBHAF8AMwBfADIAXwAxAF8AMQBfAF8AMgBfAEQAYQBpAGwAeQBFAG4AdABlAHIAaQBjAE0AZQB0AGgAYQBuAGUAUAByAG8AZAB1AGMAdABpAG8AbgBfAFMAbwB1AHIAYwBlAFwAbgAgACAAPQBMAEEATQBCAEQAQQAoAFwAIgBWAEUARQBSAEcAIAAyADAAMgA2ADoAIAAzAC4AMgAuADEALgAxACwAIABFAHEAdQBhAHQAaQBvAG4AIAAoADIAKQBcACIAKQA7AFwAbgBcAG4AVgBFAEUAUgBHAF8AMwBfADIAXwAxAF8AMQBfAF8AMgBfAEQAYQBpAGwAeQBFAG4AdABlAHIAaQBjAE0AZQB0AGgAYQBuAGUAUAByAG8AZAB1AGMAdABpAG8AbgBfAE4ASQBSAFIAZQBmAGUAcgBlAG4AYwBlAFwAbgAgACAAPQBMAEEATQBCAEQAQQAoAFwAIgBDAGgAYQByAG0AbABlAHkAIABlAHQAIABhAGwALgAgACgAMgAwADEANQApAFwAIgApADsAXABuAFwAbgBWAEUARQBSAEcAXwAzAF8AMgBfADEAXwAxAF8AXwAyAF8ARABhAGkAbAB5AEUAbgB0AGUAcgBpAGMATQBlAHQAaABhAG4AZQBQAHIAbwBkAHUAYwB0AGkAbwBuAF8ATABhAHQAZQB4AEUAcQB1AGEAdABpAG8AbgBcAG4AIAAgAD0ATABBAE0AQgBEAEEAKABcACIATQBfAHsAagBrAGwAfQA9ADIAMAAuADcAXABcAHQAaQBtAGUAcwAgAEkAXwB7AGoAawBsAH0AXABcAHQAaQBtAGUAcwAgADEAMABeAHsALQAzAH0AXAAiACkAOwBcAG4AXABuAFYARQBFAFIARwBfADMAXwAy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awBsAFwAIgAsACAAXAAiAGQAcgB5ACAAbQBhAHQAdABlAHIAIABpAG4AdABhAGsAZQBcACIALAAgAFwAIgBrAGcAIABEAE0ALwBoAGUAYQBkAC8AZABhAHkAXAAiACwAIABcACIAQwBhAGwAYwB1AGwAYQB0AGUAZAAgAGYAcgBvAG0AIAAzAC4AMgAuADEALgAxACwAIAAoADM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zAF8ARgBlAGUAZABJAG4AdABhAGsAZQBGAG8AcgBHAHIAYQB6AGkAbgBnAEIAZQBlAGYAXABuAEYAZQBlAGQAIABpAG4AdABhAGsAZQAgAGYAbwByACAAZwByAGEAegBpAG4AZwAgAGIAZQBlAGYAIABjAGEAdAB0AGwAZQBcAG4ASQBfAGoAawBsAFwAbgBrAGcAIABEAE0ALwBoAGUAYQBkAC8AZABhAHkAXABu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bgBXAF8AagBrAGwAIAA9ACAAbABpAHYAZQB3AGUAaQBnAGgAdAAgACgAawBnACkAXABuAEwAVwBHAF8AagBrAGwAIAA9ACAAbABpAHYAZQAgAHcAZQBpAGcAaAB0ACAAZwBhAGkAbgAgACgAawBnAC8AaABlAGEAZAAvAGQAYQB5ACkAXABuAE0AQQBfAGoAawA0ADUAIAA9ACAAYQBkAGQAaQB0AGkAbwBuAGEAbAAgAGkAbgB0AGEAawBlACAAZgBvAHIAIABtAGkAbABrACAAcAByAG8AZAB1AGMAdABpAG8AbgAgAGkAbgAgAGMAbwB3AHMAIABnAHIAZQBhAHQAZQByACAAdABoAGEAbgAgADIAIAB5AGUAYQByAHMAIAAoAGsAZwAvAGgAZQBhAGQALwBkAGEAeQApAFwAbgAtAC0ALQAtAC0ALQAtAC0ALQAtAC0ALQAtAC0ALQAtAC0ALQAtAC0ALQAtAC0ALQAtAC0ALQAtAC0ALQAtAC0ALQAtAC0ALQAtAC0AXABuACoALwBcAG4AXABuAFYARQBFAFIARwBfADMAXwAyAF8AMQBfADEAXwBfADMAXwBGAGUAZQBkAEkAbgB0AGEAawBlAEYAbwByAEcAcgBhAHoAaQBuAGcAQgBlAGUAZgBcAG4AIAAgAD0ATABBAE0AQgBEAEEAKABcAG4AIAAgACAAIABXAF8AagBrAGwALAAgAEwAVwBHAF8AagBrAGwALAAgAE0AQQBfAGoAawA0ADUALABcAG4AIAAgACAAIAAoADEALgAxADgANQAgACsAIAAwAC4AMAAwADQANQA0ACAAKgAgAFcAXwBqAGsAbAAgAC0AIAAwAC4AMAAwADAAMAAwADIANgAgACoAIABXAF8AagBrAGwAIABeACAAMgAgACsAIAAwAC4AMwAxADUAIAAqACAATABXAEcAXwBqAGsAbAApACAAXgAgADIAIAAqACAATQBBAF8AagBrADQANQBcAG4AIAAgACkAOwBcAG4AXABuAFYARQBFAFIARwBfADMAXwAyAF8AMQBfADEAXwBfADMAXwBGAGUAZQBkAEkAbgB0AGEAawBlAEYAbwByAEcAcgBhAHoAaQBuAGcAQgBlAGUAZgBfAFQAaQB0AGwAZQBcAG4AIAAgAD0ATABBAE0AQgBEAEEAKABcACIARgBlAGUAZAAgAGkAbgB0AGEAawBlACAAZgBvAHIAIABnAHIAYQB6AGkAbgBnACAAYgBlAGUAZgAgAGMAYQB0AHQAbABlAFwAIgApADsAXABuAFwAbgBWAEUARQBSAEcAXwAzAF8AMgBfADEAXwAxAF8AXwAzAF8ARgBlAGUAZABJAG4AdABhAGsAZQBGAG8AcgBHAHIAYQB6AGkAbgBnAEIAZQBlAGYAXwBWAGEAcgBpAGEAYgBsAGUAXABuACAAIAA9AEwAQQBNAEIARABBACgAXAAiAEkAXwBqAGsAbABcACIAKQA7AFwAbgBcAG4AVgBFAEUAUgBHAF8AMwBfADIAXwAxAF8AMQBfAF8AMwBfAEYAZQBlAGQASQBuAHQAYQBrAGUARgBvAHIARwByAGEAegBpAG4AZwBCAGUAZQBmAF8AVQBuAGkAdABcAG4AIAAgAD0ATABBAE0AQgBEAEEAKABcACIAawBnACAARABNAC8AaABlAGEAZAAvAGQAYQB5AFwAIgApADsAXABuAFwAbgBWAEUARQBSAEcAXwAzAF8AMgBfADEAXwAxAF8AXwAzAF8ARgBlAGUAZABJAG4AdABhAGsAZQBGAG8AcgBHAHIAYQB6AGkAbgBnAEIAZQBlAGYAXwBTAG8AdQByAGMAZQBcAG4AIAAgAD0ATABBAE0AQgBEAEEAKABcACIAVgBFAEUAUgBHACAAMgAwADIANgA6ACAAMwAuADIALgAxAC4AMQAsACAARQBxAHUAYQB0AGkAbwBuACAAKAAzACkAXAAiACkAOwBcAG4AXABuAFYARQBFAFIARwBfADMAXwAyAF8AMQBfADEAXwBfADMAXwBGAGUAZQBkAEkAbgB0AGEAawBlAEYAbwByAEcAcgBhAHoAaQBuAGcAQgBlAGUAZgBfAE4ASQBSAFIAZQBmAGUAcgBlAG4AYwBlAFwAbgAgACAAPQBMAEEATQBCAEQAQQAoAFwAIgBNAGkAbgBzAG8AbgAgAGEAbgBkACAATQBjAEQAbwBuAGEAbABkACAAKAAxADkAOAA3ACkAXAAiACkAOwBcAG4AXABuAFYARQBFAFIARwBfADMAXwAyAF8AMQBfADEAXwBfADMAXwBGAGUAZQBkAEkAbgB0AGEAawBlAEYAbwByAEcAcgBhAHoAaQBuAGcAQgBlAGUAZgBfAEwAYQB0AGUAeABFAHEAdQBhAHQAaQBvAG4AXABuACAAIAA9AEwAQQBNAEIARABBACgAXAAi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IgApADsAXABuAFwAbgBWAEUARQBSAEcAXwAzAF8AMgBfADEAXwAxAF8AXwAzAF8ARgBlAGUAZABJAG4AdABhAGsAZQBGAG8AcgBHAHIAYQB6AGkAbgBnAEIAZQBlAGYAXwBBAHIAZwB1AG0AZQBuAHQAcwBcAG4AIAAgAD0ATABBAE0AQgBEAEEAKABcAG4AIAAgACAAIABNAEEASwBFAEEAUgBSAEEAWQAoADMALAAgADQALABcAG4AIAAgACAAIAAgACAATABBAE0AQgBEAEEAKAByACwAYwAsAFwAbgAgACAAIAAgACAAIAAgACAASQBOAEQARQBYACgAewBcAG4AIAAgACAAIAAgACAAIAAgACAAIABcACIAVwBfAGoAawBsAFwAIgAsACAAXAAiAGwAaQB2AGUAdwBlAGkAZwBoAHQAIAAoAGsAZwApAFwAIgAsACAAXAAiAGsAZwBcACIALAAgAFwAIgBJAG4AcAB1AHQAXAAiADsAXABuACAAIAAgACAAIAAgACAAIAAgACAAXAAiAEwAVwBHAF8AagBrAGwAXAAiACwAIABcACIAbABpAHYAZQAgAHcAZQBpAGcAaAB0ACAAZwBhAGkAbgAgACgAawBnAC8AaABlAGEAZAAvAGQAYQB5ACkAXAAiACwAIABcACIAawBnAC8AaABlAGEAZAAvAGQAYQB5AFwAIgAsACAAXAAiAEkAbgBwAHUAdABcACIAOwBcAG4AIAAgACAAIAAgACAAIAAgACAAIABcACIATQBBAF8AagBrADQANQBcACIALAAgAFwAIgBhAGQAZABpAHQAaQBvAG4AYQBsACAAaQBuAHQAYQBrAGUAIABmAG8AcgAgAG0AaQBsAGsAIABwAHIAbwBkAHUAYwB0AGkAbwBuACAAaQBuACAAYwBvAHcAcwAgAGcAcgBlAGEAdABlAHIAIAB0AGgAYQBuACAAMgAgAHkAZQBhAHIAcwBcACIALAAgAFwAIgBrAGcALwBoAGUAYQBkAC8AZABhAHkAXAAiACwAIABcACIAQwBhAGwAYwB1AGwAYQB0AGUAZAAgAGYAcgBvAG0AIAAzAC4AMgAuADEALgAxACwAIAAoADQ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0AF8AQQBkAGQAaQB0AGkAbwBuAGEAbABJAG4AdABhAGsAZQBGAG8AcgBNAGkAbABrAFAAcgBvAGQAdQBjAHQAaQBvAG4AXABuAEEAZABkAGkAdABpAG8AbgBhAGwAIABpAG4AdABhAGsAZQAgAGYAbwByACAAbQBpAGwAawAgAHAAcgBvAGQAdQBjAHQAaQBvAG4AIABpAG4AIAB0AGgAZQAgAHMAZQBhAHMAbwBuACAAbwBmACAAYwBhAGwAdgBpAG4AZwAgAGEAbgBkACAAdABoAGUAIABzAGUAYQBzAG8AbgAgAGEAZgB0AGUAcgAgAGMAYQBsAHYAaQBuAGcAXABuAE0AQQBfAGoAawA0ADUAXABuAGYAcgBhAGMAdABpAG8AbgBcAG4ATQBBAF8AewBqAGsAPQA0ACwANQB9AD0AKABMAEMAXwB7AGoAawA9ADQALAA1AH0AXABcAHQAaQBtAGUAcwAgAEYAQQBfAHsAagBrAD0ANAAsADUAfQApACsAKAAxAC0ATABDAF8AewBqAGsAPQA0ACwANQB9ACkAXABuAEwAQwBfAGoAawA0ADUAIAA9ACAAcAByAG8AcABvAHIAdABpAG8AbgAgAG8AZgAgAGMAbwB3AHMAIABnAHIAZQBhAHQAZQByACAAdABoAGEAbgAgADEAIAB5AGUAYQByACAAaQBuACAAYwBhAGwAZgAgAGkAbgAgAHQAaABlACAAcwBlAGEAcwBvAG4AIABvAGYAIABjAGEAbAB2AGkAbgBnACAAZQB4AHAAcgBlAHMAcwBlAGQAIABhAHMAIABhACAAZgByAGEAYwB0AGkAbwBuAFwAbgBGAEEAXwBqAGsANAA1ACAAPQAg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BuAC0ALQAtAC0ALQAtAC0ALQAtAC0ALQAtAC0ALQAtAC0ALQAtAC0ALQAtAC0ALQAtAC0ALQAtAC0ALQAtAC0ALQAtAC0ALQAtAC0ALQBcAG4AKgAvAFwAbgBcAG4AVgBFAEUAUgBHAF8AMwBfADIAXwAxAF8AMQBfAF8ANABfAEEAZABkAGkAdABpAG8AbgBhAGwASQBuAHQAYQBrAGUARgBvAHIATQBpAGwAawBQAHIAbwBkAHUAYwB0AGkAbwBuAFwAbgAgACAAPQBMAEEATQBCAEQAQQAoAFwAbgAgACAAIAAgAEwAQwBfAGoAawA0ADUALAAgAEYAQQBfAGoAawA0ADUALABcAG4AIAAgACAAIAAoAEwAQwBfAGoAawA0ADUAIAAqACAARgBBAF8AagBrADQANQApACAAKwAgACgAMQAgAC0AIABMAEMAXwBqAGsANAA1ACkAXABuACAAIAApADsAXABuAFwAbgBcAG4AVgBFAEUAUgBHAF8AMwBfADIAXwAxAF8AMQBfAF8ANABfAEEAZABkAGkAdABpAG8AbgBhAGwASQBuAHQAYQBrAGUARgBvAHIATQBpAGwAawBQAHIAbwBkAHUAYwB0AGkAbwBuAFYAYQByAGkAYQB0AGkAbwBuAFwAbgAgACAAPQBMAEEATQBCAEQAQQAoAFwAbgAgACAAIAAgAEwAQwBfAGoAawA0ADUAYwBhAGwAdgAsACAATABDAF8AagBrADQANQBwAHIAZQB2ACwAIABGAEEAXwBqAGsANAA1AGMAYQBsAHYALAAgAEYAQQBfAGoAawA0ADUAYQBmAHQAZQByACwAXABuACAAIAAgACAAKAAoAEwAQwBfAGoAawA0ADUAYwBhAGwAdgAgACoAIABGAEEAXwBqAGsANAA1AGMAYQBsAHYAKQAgACsAIAAoAEwAQwBfAGoAawA0ADUAcAByAGUAdgAgACoAIABGAEEAXwBqAGsANAA1AGEAZgB0AGUAcgApACkAIAArACAAKAAxACAALQAgACgATABDAF8AagBrADQANQBjAGEAbAB2ACAAKwAgAEwAQwBfAGoAawA0ADUAcAByAGUAdgApACkAXABuACAAIAApADsAXABuAFwAbgBWAEUARQBSAEcAXwAzAF8AMgBfADEAXwAxAF8AXwA0AF8AQQBkAGQAaQB0AGkAbwBuAGEAbABJAG4AdABhAGsAZQBGAG8AcgBNAGkAbABrAFAAcgBvAGQAdQBjAHQAaQBvAG4AXwBUAGkAdABsAGUAXABuACAAIAA9AEwAQQBNAEIARABBACgAXAAiAEEAZABkAGkAdABpAG8AbgBhAGwAIABpAG4AdABhAGsAZQAgAGYAbwByACAAbQBpAGwAawAgAHAAcgBvAGQAdQBjAHQAaQBvAG4AIABpAG4AIAB0AGgAZQAgAHMAZQBhAHMAbwBuACAAbwBmACAAYwBhAGwAdgBpAG4AZwAgAGEAbgBkACAAdABoAGUAIABzAGUAYQBzAG8AbgAgAGEAZgB0AGUAcgAgAGMAYQBsAHYAaQBuAGcAXAAiACkAOwBcAG4AXABuAFYARQBFAFIARwBfADMAXwAyAF8AMQBfADEAXwBfADQAXwBBAGQAZABpAHQAaQBvAG4AYQBsAEkAbgB0AGEAawBlAEYAbwByAE0AaQBsAGsAUAByAG8AZAB1AGMAdABpAG8AbgBfAFYAYQByAGkAYQBiAGwAZQBcAG4AIAAgAD0ATABBAE0AQgBEAEEAKABcACIATQBBAF8AagBrADQANQBcACIAKQA7AFwAbgBcAG4AVgBFAEUAUgBHAF8AMwBfADIAXwAxAF8AMQBfAF8ANABfAEEAZABkAGkAdABpAG8AbgBhAGwASQBuAHQAYQBrAGUARgBvAHIATQBpAGwAawBQAHIAbwBkAHUAYwB0AGkAbwBuAF8AVQBuAGkAdABcAG4AIAAgAD0ATABBAE0AQgBEAEEAKABcACIAZgByAGEAYwB0AGkAbwBuAFwAIgApADsAXABuAFwAbgBWAEUARQBSAEcAXwAzAF8AMgBfADEAXwAxAF8AXwA0AF8AQQBkAGQAaQB0AGkAbwBuAGEAbABJAG4AdABhAGsAZQBGAG8AcgBNAGkAbABrAFAAcgBvAGQAdQBjAHQAaQBvAG4AXwBTAG8AdQByAGMAZQBcAG4AIAAgAD0ATABBAE0AQgBEAEEAKABcACIAVgBFAEUAUgBHACAAMgAwADIANgA6ACAAMwAuADIALgAxAC4AMQAsACAARQBxAHUAYQB0AGkAbwBuACAAKAA0ACkAXAAiACkAOwBcAG4AXABuAFYARQBFAFIARwBfADMAXwAyAF8AMQBfADEAXwBfADQAXwBBAGQAZABpAHQAaQBvAG4AYQBsAEkAbgB0AGEAawBlAEYAbwByAE0AaQBsAGsAUAByAG8AZAB1AGMAdABpAG8AbgBfAE4ASQBSAFIAZQBmAGUAcgBlAG4AYwBlAFwAbgAgACAAPQBMAEEATQBCAEQAQQAoAFwAIgBcACIAKQA7AFwAbgBcAG4AVgBFAEUAUgBHAF8AMwBfADIAXwAxAF8AMQBfAF8ANABfAEEAZABkAGkAdABpAG8AbgBhAGwASQBuAHQAYQBrAGUARgBvAHIATQBpAGwAawBQAHIAbwBkAHUAYwB0AGkAbwBuAF8ATABhAHQAZQB4AEUAcQB1AGEAdABpAG8AbgBcAG4AIAAgAD0ATABBAE0AQgBEAEEAKABcACIATQBBAF8AewBqAGsAPQA0ACwANQB9AD0AKABMAEMAXwB7AGoAawA9ADQALAA1AH0AXABcAHQAaQBtAGUAcwAgAEYAQQBfAHsAagBrAD0ANAAsADUAfQApACsAKAAxAC0ATABDAF8AewBqAGsAPQA0ACwANQB9ACkAXAAiACkAOwBcAG4AXABuAFYARQBFAFIARwBfADMAXwAyAF8AMQBfADEAXwBfADQAXwBBAGQAZABpAHQAaQBvAG4AYQBsAEkAbgB0AGEAawBlAEYAbwByAE0AaQBsAGsAUAByAG8AZAB1AGMAdABpAG8AbgBfAEwAYQB0AGUAeABFAHEAdQBhAHQAaQBvAG4AVgBhAHIAaQBhAHQAaQBvAG4AXABuACAAIAA9AEwAQQBNAEIARABBACgAXAAiAE0AQQBfAHsAagBrAD0ANAAsADUAfQA9ACgAKABMAEMAXwB7AGoAawA9ADQALAA1ACwAYwBhAGwAdgB9AFwAXAB0AGkAbQBlAHMAIABGAEEAXwB7AGoAawA9ADQALAA1ACwAYwBhAGwAdgB9ACkAKwAoAEwAQwBfAHsAagBrAD0ANAAsADUALABwAHIAZQB2AH0AXABcAHQAaQBtAGUAcwAgAEYAQQBfAHsAagBrAD0ANAAsADUALABhAGYAdABlAHIAfQApACkAKwAoADEALQAoAEwAQwBfAHsAagBrAD0ANAAsADUALABjAGEAbAB2AH0AKwBMAEMAXwB7AGoAawA9ADQALAA1ACwAcAByAGUAdgB9ACkAKQBcACIAKQA7AFwAbgBcAG4AVgBFAEUAUgBHAF8AMwBfADIAXwAxAF8AMQBfAF8ANABfAEEAZABkAGkAdABpAG8AbgBhAGwASQBuAHQAYQBrAGUARgBvAHIATQBpAGwAawBQAHIAbwBkAHUAYwB0AGkAbwBuAF8AQQByAGcAdQBtAGUAbgB0AHMAXABuACAAIAA9AEwAQQBNAEIARABBACgAXABuACAAIAAgACAATQBBAEsARQBBAFIAUgBBAFkAKAAz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XAAiACwAIABcACI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EEAcgBnAHUAbQBlAG4AdABzAFYAYQByAGkAYQB0AGkAbwBuAFwAbgAgACAAPQBMAEEATQBCAEQAQQAoAFwAbgAgACAAIAAgAE0AQQBLAEUAQQBSAFIAQQBZACgANAAsACAANA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LAAgAFwAIgBmAHIAYQBjAHQAaQBvAG4AXAAiACwAIABcACIASQBuAHAAdQB0AFwAIgA7AFwAbgAgACAAIAAgACAAIAAgACAAIAAgAFwAIgBGAEEAXwBqAGsANAA1AGMAYQBsAHYAXAAiACwAIABcACIAZgBlAGUAZAAgAGEAZABqAHUAcwB0AG0AZQBuAHQAIAB2AGEAbAB1AGUAIABmAG8AcgAgAGwAYQBjAHQAYQB0AGkAbgBnACAAYwBvAHcAcwAgAGkAbgAgAHQAaABlACAAcwBlAGEAcwBvAG4AIABvAGYAIABjAGEAbAB2AGkAbgBnACAAZQB4AHAAcgBlAHMAcwBlAGQAIABhAHMAIABhACAAZgByAGEAYwB0AGkAbwBuAFwAIgAsACAAXAAiAGYAcgBhAGMAdABpAG8AbgBcACIALAAgAFwAIgBDAG8AbgBzAHQAYQBuAHQAXAAiADsAXABuACAAIAAgACAAIAAgACAAIAAgACAAXAAiAEYAQQBfAGoAawA0ADUAYQBmAHQAZQByAFwAIgAsACAAXAAiAGYAZQBlAGQAIABhAGQAagB1AHMAdABtAGUAbgB0ACAAdgBhAGwAdQBlACAAZgBvAHIAIABsAGEAYwB0AGEAdABpAG4AZwAgAGMAbwB3AHMAIABpAG4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FYAYQByAGkAYQB0AGkAbwBuAFwAbgA9AEwAQQBNAEIARABBACgAXAAiAFYAQQBSAEkAQQBUAEkATwBOACAATwBOACAAUwBPAFUAUgBDAEUAOgAgAEUAeABwAGEAbgBkAGUAZAAgAGUAcQB1AGEAdABpAG8AbgAgAHQAbwAgAGEAYwBjAG8AdQBuAHQAIABmAG8AcgAgAHMAZQBhAHMAbwBuACAAYQBmAHQAZQByACAAYwBhAGwAdgBpAG4AZwAsACAAcgBhAHQAaABlAHIAIAB0AGgAYQBuACAAZABvAGkAbgBnACAAdABoAGUAIABzAGEAbQBlACAAZQBxAHUAYQB0AGkAbwBuACAAdAB3AGkAYwBlACAAZgBvAHIAIABiAG8AdABoACAAcwBlAGEAcwBvAG4AcwBcACIAKQBcAG4AIgB9ACwAewAiAHAAYQB0AGgAIgA6ACIALwBwAHIAbwBqAGUAYwB0AHMALwBTAG8AdQByAGMAZQBEAGEAdABhAF8AUABhAHMAdAB1AHIAZQBCAGUAZQBmACIALAAiAHQAZQB4AHQAIgA6ACIAXABuAC8AKgAgAFwAbgAtAC0ALQAtAC0ALQAtAC0ALQAtAC0ALQAtAC0ALQAtAC0ALQAtAC0ALQAtAC0ALQAtAC0ALQAtAC0ALQAtAC0ALQAtAC0ALQAtAC0AXABuAFMAbwB1AHIAYwBlAEQAYQB0AGEAXwBQAGEAcwB0AHUAcgBlAEIAZQBlAGYAXwBMAGkAdgBlAHcAZQBpAGcAaAB0AFwAbgBUAGEAYgBsAGUAIABBAC4AMQAuADIALgAxADoAIABCAGUAZQBmACAAcABhAHMAdAB1AHIAZQAgAGMAYQB0AHQAbABlACAALQAgAEwAaQB2AGUAdwBlAGkAZwBoAHQAIAAoAGsAZwApACAAKABXAGoAawBsACkAXABuAC0ALQAtAC0ALQAtAC0ALQAtAC0ALQAtAC0ALQAtAC0ALQAtAC0ALQAtAC0ALQAtAC0ALQAtAC0ALQAtAC0ALQAtAC0ALQAtAC0ALQBcAG4AKgAvAFwAbgBcAG4AUwBvAHUAcgBjAGUARABhAHQAYQBfAFAAYQBzAHQAdQByAGUAQgBlAGUAZgBfAEwAaQB2AGUAdwBlAGkAZwBoAHQAXwBUAGkAdABsAGUAXABuACAAIAA9AEwAQQBNAEIARABBACgAXAAiAEIAZQBlAGYAIABwAGEAcwB0AHUAcgBlACAAYwBhAHQAdABsAGUAIAAtACAATABpAHYAZQB3AGUAaQBnAGgAdAAgACgAawBnACkAIAAoAFcAagBrAGwAKQBcACIAKQA7AFwAbgBcAG4AUwBvAHUAcgBjAGUARABhAHQAYQBfAFAAYQBzAHQAdQByAGUAQgBlAGUAZgBfAEwAaQB2AGUAdwBlAGkAZwBoAHQAXwBWAGEAcgBpAGEAYgBsAGUAXABuACAAIAA9AEwAQQBNAEIARABBACgAXAAiAFcAagBrAGwAXAAiACkAOwBcAG4AXABuAFMAbwB1AHIAYwBlAEQAYQB0AGEAXwBQAGEAcwB0AHUAcgBlAEIAZQBlAGYAXwBMAGkAdgBlAHcAZQBpAGcAaAB0AF8AVQBuAGkAdABcAG4AIAAgAD0ATABBAE0AQgBEAEEAKABcACIAawBnAFwAIgApADsAXABuAFwAbgBTAG8AdQByAGMAZQBEAGEAdABhAF8AUABhAHMAdAB1AHIAZQBCAGUAZQBmAF8ATABpAHYAZQB3AGUAaQBnAGgAdABfAFMAbwB1AHIAYwBlAFwAbgAgACAAPQBMAEEATQBCAEQAQQAoAFwAIgBWAEUARQBSAEcAIAAyADAAMgA2ADoAIABUAGEAYgBsAGUAIABBAC4AMQAuADIALgAxAFwAIgApADsAXABuAFwAbgBTAG8AdQByAGMAZQBEAGEAdABhAF8AUABhAHMAdAB1AHIAZQBCAGUAZQBmAF8ATABpAHYAZQB3AGUAaQBnAGgAdABfAFYAYQByAGkAYQB0AGkAbwBuAFwAbgAgACAAPQBMAEEATQBCAEQAQQAoAFwAIgBcACIAKQA7AFwAbgBcAG4AUwBvAHUAcgBjAGUARABhAHQAYQBfAFAAYQBzAHQAdQByAGUAQgBlAGUAZgBfAEwAaQB2AGUAdwBlAGkAZwBoAHQ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gADEAXAAiACwAIABcACIAQgB1AGwAbAAgAFwAdQAwADAAMwBlACAAMQBcACIALAAgAFwAIgBDAG8AdwAgAFwAdQAwADAAMwBjACAAMQBcACIALAAgAFwAIgBDAG8AdwAgADEALQAyAFwAIgAsACAAXAAiAEMAbwB3ACAAXAB1ADAAMAAzAGUAIAAyAFwAIgAsACAAXAAiAFMAdABlAGUAcgAgAFwAdQAwADAAMwBjACAAMQBcACIALAAgAFwAIgBTAHQAZQBlAHIAIABcAHUAMAAwADMAZQAgADEAXAAiADsAXABuACAAIAAgACAAIAAgACAAIAAgACAAXAAiAEEAQwBUAC8ATgBTAFcAXAAiACwAIABcACIAbgAvAGEAXAAiACwAIABcACIAUwBwAHIAaQBuAGcAXAAiACwAIAA4ADAALAAgADQAOAAwACwAIAA3ADUALAAgADMAMAAwACwAIAA0ADQAMAAsACAANwA1ACwAIAAzADgAMAA7AFwAbgAgACAAIAAgACAAIAAgACAAIAAgAFwAIgBBAEMAVAAvAE4AUwBXAFwAIgAsACAAXAAiAG4ALwBhAFwAIgAsACAAXAAiAFMAdQBtAG0AZQByAFwAIgAsACAAMQA3ADAALAAgADUAMgAwACwAIAAxADYAMAAsACAAMwA2ADAALAAgADQANwAwACwAIAAxADYAMAAsACAANAAyADAAOwBcAG4AIAAgACAAIAAgACAAIAAgACAAIABcACIAQQBDAFQALwBOAFMAVwBcACIALAAgAFwAIgBuAC8AYQBcACIALAAgAFwAIgBBAHUAdAB1AG0AbgBcACIALAAgADIANAAwACwAIAA1ADUAMAAsACAAMgAyADAALAAgADMAOQAwACwAIAA0ADkAMAAsACAAMgAyADAALAAgADQANQAwADsAXABuACAAIAAgACAAIAAgACAAIAAgACAAXAAiAEEAQwBUAC8ATgBTAFcAXAAiACwAIABcACIAbgAvAGEAXAAiACwAIABcACIAVwBpAG4AdABlAHIAXAAiACwAIAAyADgAMAAsACAANQA2ADAALAAgADIANgAwACwAIAA0ADEAMAAsACAANQAwADAALAAgADIANgAwACwAIAA0ADYAMAA7AFwAbgAgACAAIAAgACAAIAAgACAAIAAgAFwAIgBTAG8AdQB0AGgAIABBAHUAcwB0AHIAYQBsAGkAYQBcACIALAAgAFwAIgBuAC8AYQBcACIALAAgAFwAIgBTAHAAcgBpAG4AZwBcACIALAAgADIANQAwACwAIAA4ADAAMAAsACAAMgAyADAALAAgADQAMAAwACwAIAA1ADAAMAAsACAAMgAzADAALAAgADQAMgAwADsAXABuACAAIAAgACAAIAAgACAAIAAgACAAXAAiAFMAbwB1AHQAaAAgAEEAdQBzAHQAcgBhAGwAaQBhAFwAIgAsACAAXAAiAG4ALwBhAFwAIgAsACAAXAAiAFMAdQBtAG0AZQByAFwAIgAsACAAMwAyADAALAAgADgAMAAwACwAIAAyADgAMAAsACAANAAyADAALAAgADUAMAAwACwAIAAyADkAMAAsACAANAAyADAAOwBcAG4AIAAgACAAIAAgACAAIAAgACAAIABcACIAUwBvAHUAdABoACAAQQB1AHMAdAByAGEAbABpAGEAXAAiACwAIABcACIAbgAvAGEAXAAiACwAIABcACIAQQB1AHQAdQBtAG4AXAAiACwAIAA4ADAALAAgADcAMAAwACwAIAA3ADAALAAgADMAMAAwACwAIAA0ADUAMAAsACAANwA1ACwAIAA0ADAAMAA7AFwAbgAgACAAIAAgACAAIAAgACAAIAAgAFwAIgBTAG8AdQB0AGgAIABBAHUAcwB0AHIAYQBsAGkAYQBcACIALAAgAFwAIgBuAC8AYQBcACIALAAgAFwAIgBXAGkAbgB0AGUAcgBcACIALAAgADEANgAwACwAIAA3ADAAMAAsACAAMQA0ADAALAAgADMANQAwACwAIAA0ADUAMAAsACAAMQA1ADAALAAgADQAMAAwADsAXABuACAAIAAgACAAIAAgACAAIAAgACAAXAAiAFQAYQBzAG0AYQBuAGkAYQBcACIALAAgAFwAIgBuAC8AYQBcACIALAAgAFwAIgBTAHAAcgBpAG4AZwBcACIALAAgADEAMAA1ACwAIAA3ADAAMAAsACAAOAA1ACwAIAAzADAAMAAsACAANAA5ADAALAAgADkAMAAsACAANAA4ADAAOwBcAG4AIAAgACAAIAAgACAAIAAgACAAIABcACIAVABhAHMAbQBhAG4AaQBhAFwAIgAsACAAXAAiAG4ALwBhAFwAIgAsACAAXAAiAFMAdQBtAG0AZQByAFwAIgAsACAANAA4ADAALAAgADcANQAwACwAIAAxADUAMAAsACAAMwA1ADAALAAgADUAMwAwACwAIAAxADYAMAAsACAANAA2ADAAOwBcAG4AIAAgACAAIAAgACAAIAAgACAAIABcACIAVABhAHMAbQBhAG4AaQBhAFwAIgAsACAAXAAiAG4ALwBhAFwAIgAsACAAXAAiAEEAdQB0AHUAbQBuAFwAIgAsACAAMgA1ADAALAAgADcAMgA1ACwAIAAyADAAMAAsACAAMwA2ADAALAAgADUAMAAwACwAIAAyADEANQAsACAANAA5ADAAOwBcAG4AIAAgACAAIAAgACAAIAAgACAAIABcACIAVABhAHMAbQBhAG4AaQBhAFwAIgAsACAAXAAiAG4ALwBhAFwAIgAsACAAXAAiAFcAaQBuAHQAZQByAFwAIgAsACAAMgA2ADAALAAgADcAMAAwACwAIAAyADEAMAAsACAAMwA4ADAALAAgADQANgAwACwAIAAyADMAMAAsACAANAA3ADAAOwBcAG4AIAAgACAAIAAgACAAIAAgACAAIABcACIAVgBpAGMAdABvAHIAaQBhAFwAIgAsACAAXAAiAG4ALwBhAFwAIgAsACAAXAAiAFMAcAByAGkAbgBnAFwAIgAsACAAMgA1ADAALAAgADgAMgAwACwAIAAyADQAMAAsACAANAAxADAALAAgADUANgAwACwAIAAyADQAMAAsACAANQAxADAAOwBcAG4AIAAgACAAIAAgACAAIAAgACAAIABcACIAVgBpAGMAdABvAHIAaQBhAFwAIgAsACAAXAAiAG4ALwBhAFwAIgAsACAAXAAiAFMAdQBtAG0AZQByAFwAIgAsACAAMgA4ADAALAAgADgANQAwACwAIAAyADYAMAAsACAANAA0ADAALAAgADUANQAwACwAIAAyADcAMAAsACAANQAyADAAOwBcAG4AIAAgACAAIAAgACAAIAAgACAAIABcACIAVgBpAGMAdABvAHIAaQBhAFwAIgAsACAAXAAiAG4ALwBhAFwAIgAsACAAXAAiAEEAdQB0AHUAbQBuAFwAIgAsACAAMQAwADAALAAgADcAMAAwACwAIAA5ADUALAAgADMAMAAwACwAIAA0ADUAMAAsACAAOQA1ACwAIAA0ADEAMAA7AFwAbgAgACAAIAAgACAAIAAgACAAIAAgAFwAIgBWAGkAYwB0AG8AcgBpAGEAXAAiACwAIABcACIAbgAvAGEAXAAiACwAIABcACIAVwBpAG4AdABlAHIAXAAiACwAIAAxADUAMAAsACAANwAyADAALAAgADEANAAwACwAIAAzADIAMAAsACAANAA3ADAALAAgADEANAAwACwAIAA0ADQAMAA7AFwAbgAgACAAIAAgACAAIAAgACAAIAAgAFwAIgBXAGUAcwB0AGUAcgBuACAAQQB1AHMAdAByAGEAbABpAGEAXAAiACwAIABcACIAUwBvAHUAdABoACAAVwBlAHMAdABcACIALAAgAFwAIgBTAHAAcgBpAG4AZwBcACIALAAgADMANAAwACwAIAA4ADAAMAAsACAAMgA2ADAALAAgADQAMgAwACwAIAA1ADUAMAAsACAAMwAwADAALAAgADQAOAAwADsAXABuACAAIAAgACAAIAAgACAAIAAgACAAXAAiAFcAZQBzAHQAZQByAG4AIABBAHUAcwB0AHIAYQBsAGkAYQBcACIALAAgAFwAIgBTAG8AdQB0AGgAIABXAGUAcwB0AFwAIgAsACAAXAAiAFMAdQBtAG0AZQByAFwAIgAsACAAMwA4ADAALAAgADcAOAAwACwAIAAzADAAMAAsACAANAA1ADAALAAgADUAMwAwACwAIAAzADQAMAAsACAANAA3ADAAOwBcAG4AIAAgACAAIAAgACAAIAAgACAAIABcACIAVwBlAHMAdABlAHIAbgAgAEEAdQBzAHQAcgBhAGwAaQBhAFwAIgAsACAAXAAiAFMAbwB1AHQAaAAgAFcAZQBzAHQAXAAiACwAIABcACIAQQB1AHQAdQBtAG4AXAAiACwAIAAxADAAMAAsACAANgA4ADAALAAgADgAMAAsACAAMwAyADAALAAgADQAOAAwACwAIAAxADAAMAAsACAAMwA0ADAAOwBcAG4AIAAgACAAIAAgACAAIAAgACAAIABcACIAVwBlAHMAdABlAHIAbgAgAEEAdQBzAHQAcgBhAGwAaQBhAFwAIgAsACAAXAAiAFMAbwB1AHQAaAAgAFcAZQBzAHQAXAAiACwAIABcACIAVwBpAG4AdABlAHIAXAAiACwAIAAxADkAMAAsACAANwAwADAALAAgADEANQAwACwAIAAzADMAMAAsACAANAA5ADAALAAgADEANwAwACwAIAAzADYAMAA7AFwAbgAgACAAIAAgACAAIAAgACAAIAAgAFwAIgBXAGUAcwB0AGUAcgBuACAAQQB1AHMAdAByAGEAbABpAGEAXAAiACwAIABcACIAUABpAGwAYgBhAHIAYQBcACIALAAgAFwAIgBTAHAAcgBpAG4AZwBcACIALAAgADgAMAAsACAANAA1ADAALAAgADcAMAAsACAAMgA2ADAALAAgADMANAAwACwAIAA4ADAALAAgADMANwAwADsAXABuACAAIAAgACAAIAAgACAAIAAgACAAXAAiAFcAZQBzAHQAZQByAG4AIABBAHUAcwB0AHIAYQBsAGkAYQBcACIALAAgAFwAIgBQAGkAbABiAGEAcgBhAFwAIgAsACAAXAAiAFMAdQBtAG0AZQByAFwAIgAsACAAMQA1ADAALAAgADUAMAAwACwAIAAxADQAMAAsACAAMwAxADAALAAgADMANgAwACwAIAAxADUAMAAsACAANAAwADAAOwBcAG4AIAAgACAAIAAgACAAIAAgACAAIABcACIAVwBlAHMAdABlAHIAbgAgAEEAdQBzAHQAcgBhAGwAaQBhAFwAIgAsACAAXAAiAFAAaQBsAGIAYQByAGEAXAAiACwAIABcACIAQQB1AHQAdQBtAG4AXAAiACwAIAAyADMAMAAsACAANQA1ADAALAAgADIAMgAwACwAIAAzADMAMAAsACAAMwA4ADAALAAgADIAMwAwACwAIAA0ADIAMAA7AFwAbgAgACAAIAAgACAAIAAgACAAIAAgAFwAIgBXAGUAcwB0AGUAcgBuACAAQQB1AHMAdAByAGEAbABpAGEAXAAiACwAIABcACIAUABpAGwAYgBhAHIAYQBcACIALAAgAFwAIgBXAGkAbgB0AGUAcgBcACIALAAgADIANQAwACwAIAA1ADAAMAAsACAAMgA0ADAALAAgADMANAAwACwAIAAzADYAMAAsACAAMgA1ADAALAAgADMAOQAwADsAXABuACAAIAAgACAAIAAgACAAIAAgACAAXAAiAFcAZQBzAHQAZQByAG4AIABBAHUAcwB0AHIAYQBsAGkAYQBcACIALAAgAFwAIgBLAGkAbQBiAGUAcgBsAGUAeQBcACIALAAgAFwAIgBTAHAAcgBpAG4AZwBcACIALAAgADIAMgAwACwAIAA1ADAAMAAsACAAMQA4ADAALAAgADMAMAAwACwAIAAzADIAMAAsACAAMgAxADAALAAgADMANAAwADsAXABuACAAIAAgACAAIAAgACAAIAAgACAAXAAiAFcAZQBzAHQAZQByAG4AIABBAHUAcwB0AHIAYQBsAGkAYQBcACIALAAgAFwAIgBLAGkAbQBiAGUAcgBsAGUAeQBcACIALAAgAFwAIgBTAHUAbQBtAGUAcgBcACIALAAgADEAMQAwACwAIAA1ADUAMAAsACAAOQAwACwAIAAyADIAMAAsACAAMwA4ADAALAAgADEAMAAwACwAIAAzADkAMAA7AFwAbgAgACAAIAAgACAAIAAgACAAIAAgAFwAIgBXAGUAcwB0AGUAcgBuACAAQQB1AHMAdAByAGEAbABpAGEAXAAiACwAIABcACIASwBpAG0AYgBlAHIAbABlAHkAXAAiACwAIABcACIAQQB1AHQAdQBtAG4AXAAiACwAIAAxADcAMAAsACAANgAwADAALAAgADEANAAwACwAIAAyADcAMAAsACAAMwA5ADAALAAgADEANgAwACwAIAA0ADMAMAA7AFwAbgAgACAAIAAgACAAIAAgACAAIAAgAFwAIgBXAGUAcwB0AGUAcgBuACAAQQB1AHMAdAByAGEAbABpAGEAXAAiACwAIABcACIASwBpAG0AYgBlAHIAbABlAHkAXAAiACwAIABcACIAVwBpAG4AdABlAHIAXAAiACwAIAAyADAAMAAsACAANQA1ADAALAAgADEANQAwACwAIAAyADgAMAAsACAAMwA1ADAALAAgADEAOQAwACwAIAA0AD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TgBUAFEATABEAFwAbgBUAGEAYgBsAGUAIABBAC4AMQAuADIALgAyADoAIABCAGUAZQBmACAAcABhAHMAdAB1AHIAZQAgAGMAYQB0AHQAbABlACAALQAgAEwAaQB2AGUAdwBlAGkAZwBoAHQAIAAoAGsAZwApACAAKABXAGoAawBsACkAIABmAG8AcgAgAE4AVAAgAGEAbgBkACAAUQBMAEQAXABuAC0ALQAtAC0ALQAtAC0ALQAtAC0ALQAtAC0ALQAtAC0ALQAtAC0ALQAtAC0ALQAtAC0ALQAtAC0ALQAtAC0ALQAtAC0ALQAtAC0ALQBcAG4AKgAvAFwAbgBcAG4AUwBvAHUAcgBjAGUARABhAHQAYQBfAFAAYQBzAHQAdQByAGUAQgBlAGUAZgBfAEwAaQB2AGUAdwBlAGkAZwBoAHQATgBUAFEATABEAF8AVABpAHQAbABlAFwAbgAgACAAPQBMAEEATQBCAEQAQQAoAFwAIgBCAGUAZQBmACAAcABhAHMAdAB1AHIAZQAgAGMAYQB0AHQAbABlACAALQAgAEwAaQB2AGUAdwBlAGkAZwBoAHQAIAAoAGsAZwApACAAKABXAGoAawBsACkAIABmAG8AcgAgAE4AVAAgAGEAbgBkACAAUQBMAEQAXAAiACkAOwBcAG4AXABuAFMAbwB1AHIAYwBlAEQAYQB0AGEAXwBQAGEAcwB0AHUAcgBlAEIAZQBlAGYAXwBMAGkAdgBlAHcAZQBpAGcAaAB0AE4AVABRAEwARABfAFYAYQByAGkAYQBiAGwAZQBcAG4AIAAgAD0ATABBAE0AQgBEAEEAKABcACIAVwBqAGsAbABcACIAKQA7AFwAbgBcAG4AUwBvAHUAcgBjAGUARABhAHQAYQBfAFAAYQBzAHQAdQByAGUAQgBlAGUAZgBfAEwAaQB2AGUAdwBlAGkAZwBoAHQATgBUAFEATABEAF8AVQBuAGkAdABcAG4AIAAgAD0ATABBAE0AQgBEAEEAKABcACIAawBnAFwAIgApADsAXABuAFwAbgBTAG8AdQByAGMAZQBEAGEAdABhAF8AUABhAHMAdAB1AHIAZQBCAGUAZQBmAF8ATABpAHYAZQB3AGUAaQBnAGgAdABOAFQAUQBMAEQAXwBTAG8AdQByAGMAZQBcAG4AIAAgAD0ATABBAE0AQgBEAEEAKABcACIAVgBFAEUAUgBHACAAMgAwADIANgA6ACAAVABhAGIAbABlACAAQQAuADEALgAyAC4AMgBcACIAKQA7AFwAbgBcAG4AUwBvAHUAcgBjAGUARABhAHQAYQBfAFAAYQBzAHQAdQByAGUAQgBlAGUAZgBfAEwAaQB2AGUAdwBlAGkAZwBoAHQATgBUAFEATABEAF8AVgBhAHIAaQBhAHQAaQBvAG4AXABuACAAIAA9AEwAQQBNAEIARABBACgAXAAiAFwAIgApADsAXABuAFwAbgBTAG8AdQByAGMAZQBEAGEAdABhAF8AUABhAHMAdAB1AHIAZQBCAGUAZQBmAF8ATABpAHYAZQB3AGUAaQBnAGgAdA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HMAIABcAHUAMAAwADMAYwAxAFwAIgAsACAAXAAiAEMAbwB3AHMAIAAxAC0AMgBcACIALAAgAFwAIgBDAG8AdwBzACAAMgAtADMAXAAiACwAIABcACIAQwBvAHcAc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gAyADAALAAgADcAMAA2ACwAIAAyADAAOAAsACAAMwAyADMALAAgADQAMQA1ACwAIAA0ADYANwAsACAAMgAyADMALAAgADMANwAxACwAIAA0ADkAMwAsACAANQA4ADUAOwBcAG4AIAAgACAAIAAgACAAIAAgACAAIABcACIATgBvAHIAdABoAGUAcgBuACAAVABlAHIAcgBpAHQAbwByAHkAXAAiACwAIABcACIAQQBsAGkAYwBlACAAUwBwAHIAaQBuAGcAcwBcACIALAAgAFwAIgBTAHUAbQBtAGUAcgBcACIALAAgADEAMQAwACwAIAA3ADAAMwAsACAAMQAxADIALAAgADIANQA2ACwAIAAzADYAOAAsACAANAA2ADUALAAgADEAMAA4ACwAIAAyADgAMAAsACAANAAyADEALAAgADUANAAzADsAXABuACAAIAAgACAAIAAgACAAIAAgACAAXAAiAE4AbwByAHQAaABlAHIAbgAgAFQAZQByAHIAaQB0AG8AcgB5AFwAIgAsACAAXAAiAEEAbABpAGMAZQAgAFMAcAByAGkAbgBnAHMAXAAiACwAIABcACIAQQB1AHQAdQBtAG4AXAAiACwAIAAxADcAMAAsACAANwAyADEALAAgADEANgA5ACwAIAAzADAANgAsACAAMwA5ADIALAAgADQANgA0ACwAIAAxADcANgAsACAAMwAzADkALAAgADQANwAwACwAIAA1ADgAMAA7AFwAbgAgACAAIAAgACAAIAAgACAAIAAgAFwAIgBOAG8AcgB0AGgAZQByAG4AIABUAGUAcgByAGkAdABvAHIAeQBcACIALAAgAFwAIgBBAGwAaQBjAGUAIABTAHAAcgBpAG4AZwBzAFwAIgAsACAAXAAiAFcAaQBuAHQAZQByAFwAIgAsACAAMgAwADAALAAgADcAMgA3ACwAIAAyADEAMQAsACAAMwAzADgALAAgADQAMwAyACwAIAA0ADkAMgAsACAAMgAyADIALAAgADMANwA3ACwAIAA0ADkAOAAsACAANQA5ADAAOwBcAG4AIAAgACAAIAAgACAAIAAgACAAIABcACIATgBvAHIAdABoAGUAcgBuACAAVABlAHIAcgBpAHQAbwByAHkAXAAiACwAIABcACIAQgBhAHIAawBsAHkAXAAiACwAIABcACIAUwBwAHIAaQBuAGcAXAAiACwAIAAyADIAMAAsACAANgAyADAALAAgADIAMgA3ACwAIAAzADEAOQAsACAAMwA5ADgALAAgADQANQAyACwAIAAyADEANgAsACAAMwAzADQALAAgAFwAIgBOAE8AXAAiACwAIABcACIATgBPAFwAIgA7AFwAbgAgACAAIAAgACAAIAAgACAAIAAgAFwAIgBOAG8AcgB0AGgAZQByAG4AIABUAGUAcgByAGkAdABvAHIAeQBcACIALAAgAFwAIgBCAGEAcgBrAGwAeQBcACIALAAgAFwAIgBTAHUAbQBtAGUAcgBcACIALAAgADEAMQAwACwAIAA2ADUAMAAsACAAMQAwADgALAAgADIANgAyACwAIAAzADQANgAsACAANAAzADAALAAgADEAMQAxACwAIAAyADMANgAsACAAXAAiAE4ATwBcACIALAAgAFwAIgBOAE8AXAAiADsAXABuACAAIAAgACAAIAAgACAAIAAgACAAXAAiAE4AbwByAHQAaABlAHIAbgAgAFQAZQByAHIAaQB0AG8AcgB5AFwAIgAsACAAXAAiAEIAYQByAGsAbAB5AFwAIgAsACAAXAAiAEEAdQB0AHUAbQBuAFwAIgAsACAAMQA3ADAALAAgADYANwAwACwAIAAxADcAMAAsACAAMgA2ADYALAAgADMANgAzACwAIAA0ADQANAAsACAAMQA2ADkALAAgADIAOAAyACwAIABcACIATgBPAFwAIgAsACAAXAAiAE4ATwBcACIAOwBcAG4AIAAgACAAIAAgACAAIAAgACAAIABcACIATgBvAHIAdABoAGUAcgBuACAAVABlAHIAcgBpAHQAbwByAHkAXAAiACwAIABcACIAQgBhAHIAawBsAHkAXAAiACwAIABcACIAVwBpAG4AdABlAHIAXAAiACwAIAAyADAAMAAsACAANgA2ADAALAAgADIAMgA1ACwAIAAzADAANwAsACAAMwA5ADgALAAgADQANQAyACwAIAAyADEANAAsACAAMwAyADYALAAgAFwAIgBOAE8AXAAiACwAIABcACIATgBPAFwAIgA7AFwAbgAgACAAIAAgACAAIAAgACAAIAAgAFwAIgBOAG8AcgB0AGgAZQByAG4AIABUAGUAcgByAGkAdABvAHIAeQBcACIALAAgAFwAIgBOAG8AcgB0AGgAZQByAG4AXAAiACwAIABcACIAUwBwAHIAaQBuAGcAXAAiACwAIAAyADIAMAAsACAANgAyADAALAAgADEANwA3ACwAIAAyADYANwAsACAAMwA2ADUALAAgADQAMAA2ACwAIAAyADMAMQAsACAAMgA0ADkALAAgADMAMgA0ACwAIABcACIATgBPAFwAIgA7AFwAbgAgACAAIAAgACAAIAAgACAAIAAgAFwAIgBOAG8AcgB0AGgAZQByAG4AIABUAGUAcgByAGkAdABvAHIAeQBcACIALAAgAFwAIgBOAG8AcgB0AGgAZQByAG4AXAAiACwAIABcACIAUwB1AG0AbQBlAHIAXAAiACwAIAAxADEAMAAsACAANgA1ADAALAAgADEAMAAyACwAIAAyADAAMwAsACAAMgA5ADkALAAgADMAOAAwACwAIAAxADAAMgAsACAAMgAxADgALAAgADIANgAzACwAIABcACIATgBPAFwAIgA7AFwAbgAgACAAIAAgACAAIAAgACAAIAAgAFwAIgBOAG8AcgB0AGgAZQByAG4AIABUAGUAcgByAGkAdABvAHIAeQBcACIALAAgAFwAIgBOAG8AcgB0AGgAZQByAG4AXAAiACwAIABcACIAQQB1AHQAdQBtAG4AXAAiACwAIAAxADcAMAAsACAANgA3ADAALAAgADEANwAzACwAIAAyADUAMAAsACAAMwAzADYALAAgADQAMQA0ACwAIAAxADcANQAsACAAMgA0ADMALAAgADMAMAA0ACwAIABcACIATgBPAFwAIgA7AFwAbgAgACAAIAAgACAAIAAgACAAIAAgAFwAIgBOAG8AcgB0AGgAZQByAG4AIABUAGUAcgByAGkAdABvAHIAeQBcACIALAAgAFwAIgBOAG8AcgB0AGgAZQByAG4AXAAiACwAIABcACIAVwBpAG4AdABlAHIAXAAiACwAIAAyADAAMAAsACAANgA2ADAALAAgADIAMAAyACwAIAAyADcAMgAsACAAMwA2ADUALAAgADMAOQAwACwAIAAyADAAOAAsACAAMgA2ADAALAAgADMAMwA3ACwAIABcACIATgBPAFwAIgA7AFwAbgAgACAAIAAgACAAIAAgACAAIAAgAFwAIgBRAHUAZQBlAG4AcwBsAGEAbgBkAFwAIgAsACAAXAAiAEgAaQBnAGgAXAAiACwAIABcACIAUwBwAHIAaQBuAGcAXAAiACwAIAAyADYAMAAsACAANwAwADUALAAgADIAMQA1ACwAIAAzADAAMgAsACAANAAxADYALAAgADUAMQA5ACwAIAAyADMANAAsACAANAA1ADUALAAgADUANQAxACwAIAA2ADYAMAA7AFwAbgAgACAAIAAgACAAIAAgACAAIAAgAFwAIgBRAHUAZQBlAG4AcwBsAGEAbgBkAFwAIgAsACAAXAAiAEgAaQBnAGgAXAAiACwAIABcACIAUwB1AG0AbQBlAHIAXAAiACwAIAAxADUAMwAsACAANwAwADMALAAgADEAMQA4ACwAIAAyADcANwAsACAAMwA5ADcALAAgADQAOAAzACwAIAAxADEAMQAsACAAMwAwADQALAAgADUAMgAxACwAIAA1ADQANwA7AFwAbgAgACAAIAAgACAAIAAgACAAIAAgAFwAIgBRAHUAZQBlAG4AcwBsAGEAbgBkAFwAIgAsACAAXAAiAEgAaQBnAGgAXAAiACwAIABcACIAQQB1AHQAdQBtAG4AXAAiACwAIAAxADYAOAAsACAANwAxADgALAAgADEAOQAxACwAIAAzADEAOQAsACAANAA0ADAALAAgADUAMAA2ACwAIAAxADgAOAAsACAAMwAyADYALAAgADUAMgAwACwAIAA1ADgAMgA7AFwAbgAgACAAIAAgACAAIAAgACAAIAAgAFwAIgBRAHUAZQBlAG4AcwBsAGEAbgBkAFwAIgAsACAAXAAiAEgAaQBnAGgAXAAiACwAIABcACIAVwBpAG4AdABlAHIAXAAiACwAIAAyADMANQAsACAANwAyADIALAAgADIAMAA3ACwAIAAzADUAMgAsACAANAA3ADAALAAgADUAMQA0ACwAIAAyADAAOQAsACAANAAyADEALAAgADUAMQAyACwAIAA2ADAANQA7AFwAbgAgACAAIAAgACAAIAAgACAAIAAgAFwAIgBRAHUAZQBlAG4AcwBsAGEAbgBkAFwAIgAsACAAXAAiAE0AbwBkAGUAcgBhAHQAZQAvAEgAaQBnAGgAXAAiACwAIABcACIAUwBwAHIAaQBuAGcAXAAiACwAIAAyADMAMAAsACAANgA3ADQALAAgADIAMQA3ACwAIAAzADQANAAsACAAMwA1ADcALAAgADQANgA3ACwAIAAyADQAMgAsACAAMwA3ADAALAAgADUANQAwACwAIAA2ADIAMAA7AFwAbgAgACAAIAAgACAAIAAgACAAIAAgAFwAIgBRAHUAZQBlAG4AcwBsAGEAbgBkAFwAIgAsACAAXAAiAE0AbwBkAGUAcgBhAHQAZQAvAEgAaQBnAGgAXAAiACwAIABcACIAUwB1AG0AbQBlAHIAXAAiACwAIAAxADEAMwAsACAANgA2ADkALAAgADEAMQAzACwAIAAyADgAMwAsACAAMwA2ADEALAAgADQANwA3ACwAIAAxADIAMAAsACAAMgA3ADMALAAgADUANAA1ACwAIAA1ADUAMwA7AFwAbgAgACAAIAAgACAAIAAgACAAIAAgAFwAIgBRAHUAZQBlAG4AcwBsAGEAbgBkAFwAIgAsACAAXAAiAE0AbwBkAGUAcgBhAHQAZQAvAEgAaQBnAGgAXAAiACwAIABcACIAQQB1AHQAdQBtAG4AXAAiACwAIAAxADcAMgAsACAANgA4ADUALAAgADEANwAyACwAIAAzADAAOQAsACAAMwA3ADYALAAgADQANwAxACwAIAAyADMAOAAsACAAMwAyADkALAAgADUANwAzACwAIAA2ADIAMAA7AFwAbgAgACAAIAAgACAAIAAgACAAIAAgAFwAIgBRAHUAZQBlAG4AcwBsAGEAbgBkAFwAIgAsACAAXAAiAE0AbwBkAGUAcgBhAHQAZQAvAEgAaQBnAGgAXAAiACwAIABcACIAVwBpAG4AdABlAHIAXAAiACwAIAAyADQAMQAsACAANgA5ADIALAAgADIAMAA4ACwAIAAzADQANAAsACAAMwA2ADQALAAgADQAOAA0ACwAIAAyADYAMAAsACAAMwA1ADAALAAgADUANgA3ACwAIAA2ADIAMAA7AFwAbgAgACAAIAAgACAAIAAgACAAIAAgAFwAIgBRAHUAZQBlAG4AcwBsAGEAbgBkAFwAIgAsACAAXAAiAE0AbwBkAGUAcgBhAHQAZQAvAEwAbwB3AFwAIgAsACAAXAAiAFMAcAByAGkAbgBnAFwAIgAsACAAMgAzADYALAAgADYANwA0ACwAIAAxADcAOAAsACAAMwAxADAALAAgADQAMgA4ACwAIAA0ADYANgAsACAAMQA5ADMALAAgADMANwAwACwAIAA1ADEAOQAsACAANQA2ADUAOwBcAG4AIAAgACAAIAAgACAAIAAgACAAIABcACIAUQB1AGUAZQBuAHMAbABhAG4AZABcACIALAAgAFwAIgBNAG8AZABlAHIAYQB0AGUALwBMAG8AdwBcACIALAAgAFwAIgBTAHUAbQBtAGUAcgBcACIALAAgADEAMgAwACwAIAA2ADYAOQAsACAAMQAxADIALAAgADIANQAwACwAIAAzADkAMAAsACAANAA0ADgALAAgADEAMQA1ACwAIAAyADcAMwAsACAANAAzADMALAAgADUANQA2ADsAXABuACAAIAAgACAAIAAgACAAIAAgACAAXAAiAFEAdQBlAGUAbgBzAGwAYQBuAGQAXAAiACwAIABcACIATQBvAGQAZQByAGEAdABlAC8ATABvAHcAXAAiACwAIABcACIAQQB1AHQAdQBtAG4AXAAiACwAIAAxADIANQAsACAANgA4ADUALAAgADEANAAwACwAIAAyADcANwAsACAANAAwADcALAAgADQANQA1ACwAIAAxADQAMQAsACAAMgA5ADYALAAgADQANAA1ACwAIAA1ADkAMwA7AFwAbgAgACAAIAAgACAAIAAgACAAIAAgAFwAIgBRAHUAZQBlAG4AcwBsAGEAbgBkAFwAIgAsACAAXAAiAE0AbwBkAGUAcgBhAHQAZQAvAEwAbwB3AFwAIgAsACAAXAAiAFcAaQBuAHQAZQByAFwAIgAsACAAMQA4ADAALAAgADYAOQAyACwAIAAxADgAMwAsACAAMwAxADYALAAgADQAMwA4ACwAIAA0ADYAOAAsACAAMQA4ADkALAAgADMANQA0ACwAIAA1ADAAMAAsACAANQA1ADMAOwBcAG4AIAAgACAAIAAgACAAIAAgACAAIABcACIAUQB1AGUAZQBuAHMAbABhAG4AZABcACIALAAgAFwAIgBMAG8AdwBcACIALAAgAFwAIgBTAHAAcgBpAG4AZwBcACIALAAgADEAOQAwACwAIAA2ADEANwAsACAAMQA3ADQALAAgADIANgA1ACwAIAAzADcAMQAsACAANAAxADUALAAgADEANwAwACwAIAAyADcAMgAsACAAMwA5ADIALAAgADUAMwAxADsAXABuACAAIAAgACAAIAAgACAAIAAgACAAXAAiAFEAdQBlAGUAbgBzAGwAYQBuAGQAXAAiACwAIABcACIATABvAHcAXAAiACwAIABcACIAUwB1AG0AbQBlAHIAXAAiACwAIAAxADEAOQAsACAANQA5ADEALAAgADEANAAwACwAIAAyADAANQAsACAAMwAxADAALAAgADQAMAA1ACwAIAAxADMAMwAsACAAMgAxADgALAAgADMAMQA1ACwAIAA0ADQANQA7AFwAbgAgACAAIAAgACAAIAAgACAAIAAgAFwAIgBRAHUAZQBlAG4AcwBsAGEAbgBkAFwAIgAsACAAXAAiAEwAbwB3AFwAIgAsACAAXAAiAEEAdQB0AHUAbQBuAFwAIgAsACAAMQA3ADUALAAgADYAMQAwACwAIAAxADYAMwAsACAAMgAzADIALAAgADMANQAxACwAIAA0ADIANwAsACAAMQA0ADYALAAgADIANAAyACwAIAAzADIAMAAsACAANAA3ADEAOwBcAG4AIAAgACAAIAAgACAAIAAgACAAIABcACIAUQB1AGUAZQBuAHMAbABhAG4AZABcACIALAAgAFwAIgBMAG8AdwBcACIALAAgAFwAIgBXAGkAbgB0AGUAcgBcACIALAAgADEAOQAyACwAIAA2ADEANQAsACAAMQA2ADIALAAgADIANQA1ACwAIAAzADYANAAsACAANAAyADAALAAgADEANQA3ACwAIAAyADYAMQAsACAAMwA0ADIALAAgADQAOAA0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wAaQB2AGUAdwBlAGkAZwBoAHQARwBhAGkAbgBcAG4AVABhAGIAbABlACAAQQAuADEALgAyAC4AMwA6ACAAQgBlAGUAZgAgAHAAYQBzAHQAdQByAGUAIABjAGEAdAB0AGwAZQAgAC0AIABMAGkAdgBlAHcAZQBpAGcAaAB0ACAAZwBhAGkAbgAgACgAawBnACkAIAAoAEwAVwBHAGoAawBsACkAXABuAC0ALQAtAC0ALQAtAC0ALQAtAC0ALQAtAC0ALQAtAC0ALQAtAC0ALQAtAC0ALQAtAC0ALQAtAC0ALQAtAC0ALQAtAC0ALQAtAC0ALQBcAG4AKgAvAFwAbgBcAG4AUwBvAHUAcgBjAGUARABhAHQAYQBfAFAAYQBzAHQAdQByAGUAQgBlAGUAZgBfAEwAaQB2AGUAdwBlAGkAZwBoAHQARwBhAGkAbgBfAFQAaQB0AGwAZQBcAG4AIAAgAD0ATABBAE0AQgBEAEEAKABcACIAQgBlAGUAZgAgAHAAYQBzAHQAdQByAGUAIABjAGEAdAB0AGwAZQAgAC0AIABMAGkAdgBlAHcAZQBpAGcAaAB0ACAAZwBhAGkAbgAgACgAawBnACkAIAAoAEwAVwBHAGoAawBsACkAXAAiACkAOwBcAG4AXABuAFMAbwB1AHIAYwBlAEQAYQB0AGEAXwBQAGEAcwB0AHUAcgBlAEIAZQBlAGYAXwBMAGkAdgBlAHcAZQBpAGcAaAB0AEcAYQBpAG4AXwBWAGEAcgBpAGEAYgBsAGUAXABuACAAIAA9AEwAQQBNAEIARABBACgAXAAiAEwAVwBHAGoAawBsAFwAIgApADsAXABuAFwAbgBTAG8AdQByAGMAZQBEAGEAdABhAF8AUABhAHMAdAB1AHIAZQBCAGUAZQBmAF8ATABpAHYAZQB3AGUAaQBnAGgAdABHAGEAaQBuAF8AVQBuAGkAdABcAG4AIAAgAD0ATABBAE0AQgBEAEEAKABcACIAawBnAFwAIgApADsAXABuAFwAbgBTAG8AdQByAGMAZQBEAGEAdABhAF8AUABhAHMAdAB1AHIAZQBCAGUAZQBmAF8ATABpAHYAZQB3AGUAaQBnAGgAdABHAGEAaQBuAF8AUwBvAHUAcgBjAGUAXABuACAAIAA9AEwAQQBNAEIARABBACgAXAAiAFYARQBFAFIARwAgADIAMAAyADYAOgAgAFQAYQBiAGwAZQAgAEEALgAxAC4AMgAuADMAXAAiACkAOwBcAG4AXABuAFMAbwB1AHIAYwBlAEQAYQB0AGEAXwBQAGEAcwB0AHUAcgBlAEIAZQBlAGYAXwBMAGkAdgBlAHcAZQBpAGcAaAB0AEcAYQBpAG4AXwBWAGEAcgBpAGEAdABpAG8AbgBcAG4AIAAgAD0ATABBAE0AQgBEAEEAKABcACIAVgBBAFIASQBBAFQASQBPAE4AIABPAE4AIABTAE8AVQBSAEMARQA6ACAAUgBlAHAAbABhAGMAZQBkACAAXAB1ADAAMAAyADcAbgAvAGEAXAB1ADAAMAAyADcAIAB3AGkAdABoACAAXAB1ADAAMAAyADcAUwBvAHUAdABoACAAVwBlAHMAdABcAHUAMAAwADIANwAgAGYAbwByACAAZgBpAHIAcwB0ACAAZgBvAHUAcgAgAHIAbwB3AHMAIABvAGYAIABXAGUAcwB0AGUAcgBuACAAQQB1AHMAdAByAGEAbABpAGEAIAB0AG8AIABiAGUAIABjAG8AbgBzAGkAcwB0AGUAbgB0ACAAdwBpAHQAaAAgAHQAYQBiAGwAZQAgAEEALgAxAC4AMgAuADEAXAAiACkAOwBcAG4AXABuAFMAbwB1AHIAYwBlAEQAYQB0AGEAXwBQAGEAcwB0AHUAcgBlAEIAZQBlAGYAXwBMAGkAdgBlAHcAZQBpAGcAaAB0AEcAYQBpAG4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XAB1ADAAMAAzAGUAMgBcACIALAAgAFwAIgBTAHQAZQBlAHIAIABcAHUAMAAwADMAYwAxAFwAIgAsACAAXAAiAFMAdABlAGUAcgAgAFwAdQAwADAAMwBlADEAXAAiADsAXABuACAAIAAgACAAIAAgACAAIAAgACAAXAAiAEEAQwBUAC8ATgBTAFcAXAAiACwAIABcACIAbgAvAGEAXAAiACwAIABcACIAUwBwAHIAaQBuAGcAXAAiACwAIAAwAC4ANQAsACAAMAAuADIALAAgADAALgA1ACwAIAAwAC4ANAAsACAAMAAuADMALAAgADAALgA1ACwAIAAwAC4ANAA7AFwAbgAgACAAIAAgACAAIAAgACAAIAAgAFwAIgBBAEMAVAAvAE4AUwBXAFwAIgAsACAAXAAiAG4ALwBhAFwAIgAsACAAXAAiAFMAdQBtAG0AZQByAFwAIgAsACAAMQAuADAALAAgADAALgA0ACwAIAAwAC4AOQAsACAAMAAuADcALAAgADAALgAzACwAIAAwAC4AOQAsACAAMAAuADQAOwBcAG4AIAAgACAAIAAgACAAIAAgACAAIABcACIAQQBDAFQALwBOAFMAVwBcACIALAAgAFwAIgBuAC8AYQBcACIALAAgAFwAIgBBAHUAdAB1AG0AbgBcACIALAAgADAALgA4ACwAIAAwAC4AMwAsACAAMAAuADcALAAgADAALgAzACwAIAAwAC4AMgAsACAAMAAuADcALAAgADAALgAzADsAXABuACAAIAAgACAAIAAgACAAIAAgACAAXAAiAEEAQwBUAC8ATgBTAFcAXAAiACwAIABcACIAbgAvAGEAXAAiACwAIABcACIAVwBpAG4AdABlAHIAXAAiACwAIAAwAC4ANAAsACAAMAAuADEALAAgADAALgA0ACwAIAAwAC4AMgAsACAAMAAuADEALAAgADAALgA0ACwAIAAwAC4AMQA7AFwAbgAgACAAIAAgACAAIAAgACAAIAAgAFwAIgBTAG8AdQB0AGgAIABBAHUAcwB0AHIAYQBsAGkAYQBcACIALAAgAFwAIgBuAC8AYQBcACIALAAgAFwAIgBTAHAAcgBpAG4AZwBcACIALAAgADAALgA5ADkALAAgADEALgAxACwAIAAwAC4AOAA4ACwAIAAwAC4ANQA1ACwAIAAwAC4ANQA1ACwAIAAwAC4AOAA4ACwAIAAwAC4AMgAyADsAXABuACAAIAAgACAAIAAgACAAIAAgACAAXAAiAFMAbwB1AHQAaAAgAEEAdQBzAHQAcgBhAGwAaQBhAFwAIgAsACAAXAAiAG4ALwBhAFwAIgAsACAAXAAiAFMAdQBtAG0AZQByAFwAIgAsACAAMAAuADcANwAsACAAMAAuADAALAAgADAALgA2ADYALAAgADAALgAyADIALAAgADAALgAwACwAIAAwAC4ANgA2ACwAIAAwAC4AMAA7AFwAbgAgACAAIAAgACAAIAAgACAAIAAgAFwAIgBTAG8AdQB0AGgAIABBAHUAcwB0AHIAYQBsAGkAYQBcACIALAAgAFwAIgBuAC8AYQBcACIALAAgAFwAIgBBAHUAdAB1AG0AbgBcACIALAAgADAALgA5ACwAIAAtADEALgAxACwAIAAwAC4ANwAsACAAMAAuADIAMgAsACAALQAwAC4ANQA1ACwAIAAwAC4AOAAsACAALQAwAC4AMgAyADsAXABuACAAIAAgACAAIAAgACAAIAAgACAAXAAiAFMAbwB1AHQAaAAgAEEAdQBzAHQAcgBhAGwAaQBhAFwAIgAsACAAXAAiAG4ALwBhAFwAIgAsACAAXAAiAFcAaQBuAHQAZQByAFwAIgAsACAAMAAuADgAOAAsACAAMAAuADAALAAgADAALgA3ADcALAAgADAALgA1ADUALAAgADAALgAwACwAIAAwAC4AOAAyACwAIAAwAC4AMAA7AFwAbgAgACAAIAAgACAAIAAgACAAIAAgAFwAIgBUAGEAcwBtAGEAbgBpAGEAXAAiACwAIABcACIAbgAvAGEAXAAiACwAIABcACIAUwBwAHIAaQBuAGcAXAAiACwAIAAxAC4AMAAsACAAMAAuADUAMAAsACAAMQAuADAALAAgADEALgAwACwAIAAtADAALgA0ADQALAAgADEALgAwACwAIAAwAC4ANQA7AFwAbgAgACAAIAAgACAAIAAgACAAIAAgAFwAIgBUAGEAcwBtAGEAbgBpAGEAXAAiACwAIABcACIAbgAvAGEAXAAiACwAIABcACIAUwB1AG0AbQBlAHIAXAAiACwAIAAwAC4AOAAyACwAIAAwAC4ANQA1ACwAIAAwAC4ANwAxACwAIAAwAC4ANQA1ACwAIAAwAC4AOQA5ACwAIAAwAC4ANwA3ACwAIAAwAC4ANQA7AFwAbgAgACAAIAAgACAAIAAgACAAIAAgAFwAIgBUAGEAcwBtAGEAbgBpAGEAXAAiACwAIABcACIAbgAvAGEAXAAiACwAIABcACIAQQB1AHQAdQBtAG4AXAAiACwAIAAwAC4ANwA3ACwAIAAwAC4ANQAwACwAIAAwAC4ANQA1ACwAIAAwAC4AMQAxACwAIAAtADAALgAzADMALAAgADAALgA2ACwAIAAwAC4AMwAzADsAXABuACAAIAAgACAAIAAgACAAIAAgACAAXAAiAFQAYQBzAG0AYQBuAGkAYQBcACIALAAgAFwAIgBuAC8AYQBcACIALAAgAFwAIgBXAGkAbgB0AGUAcgBcACIALAAgADAALgAxADEALAAgAC0AMAAuADIANwAsACAAMAAuADEAMQAsACAAMAAuADIAMgAsACAALQAwAC4ANAA0ACwAIAAwAC4AMQA2ACwAIAAtADAALgAyADIAOwBcAG4AIAAgACAAIAAgACAAIAAgACAAIABcACIAVgBpAGMAdABvAHIAaQBhAFwAIgAsACAAXAAiAG4ALwBhAFwAIgAsACAAXAAiAFMAcAByAGkAbgBnAFwAIgAsACAAMQAuADEAMAAsACAAMQAuADEAMAAsACAAMQAuADEAMAAsACAAMAAuADkAOQAsACAAMAAuADkAOQAsACAAMQAuADEAMAAsACAAMAAuADcANwA7AFwAbgAgACAAIAAgACAAIAAgACAAIAAgAFwAIgBWAGkAYwB0AG8AcgBpAGEAXAAiACwAIABcACIAbgAvAGEAXAAiACwAIABcACIAUwB1AG0AbQBlAHIAXAAiACwAIAAwAC4AMwAzACwAIAAwAC4AMwAzACwAIAAwAC4AMgAyACwAIAAwAC4AMwAzACwAIAAtADAALgAxADAALAAgADAALgAzADMALAAgADAALgAxADEAOwBcAG4AIAAgACAAIAAgACAAIAAgACAAIABcACIAVgBpAGMAdABvAHIAaQBhAFwAIgAsACAAXAAiAG4ALwBhAFwAIgAsACAAXAAiAEEAdQB0AHUAbQBuAFwAIgAsACAAMAAuADUAMAAsACAAMAAuADIAMAAsACAAMAAuADUANQAsACAAMAAuADQANAAsACAAMAAuADIAMAAsACAAMAAuADUANQAsACAAMAAuADIAMAA7AFwAbgAgACAAIAAgACAAIAAgACAAIAAgAFwAIgBWAGkAYwB0AG8AcgBpAGEAXAAiACwAIABcACIAbgAvAGEAXAAiACwAIABcACIAVwBpAG4AdABlAHIAXAAiACwAIAAwAC4ANQA1ACwAIAAwAC4AMgAyACwAIAAwAC4ANAA5ACwAIAAwAC4AMgAyACwAIAAwAC4AMgAyACwAIAAwAC4ANAA5ACwAIAAwAC4AMwAzADsAXABuACAAIAAgACAAIAAgACAAIAAgACAAXAAiAFcAZQBzAHQAZQByAG4AIABBAHUAcwB0AHIAYQBsAGkAYQBcACIALAAgAFwAIgBTAG8AdQB0AGgAIABXAGUAcwB0AFwAIgAsACAAXAAiAFMAcAByAGkAbgBnAFwAIgAsACAAMQAuADYANAAsACAAMQAuADEAMAAsACAAMQAuADIAMQAsACAAMAAuADkAOQAsACAAMAAuADYANgAsACAAMQAuADQAMgAsACAAMQAuADEAMAA7AFwAbgAgACAAIAAgACAAIAAgACAAIAAgAFwAIgBXAGUAcwB0AGUAcgBuACAAQQB1AHMAdAByAGEAbABpAGEAXAAiACwAIABcACIAUwBvAHUAdABoACAAVwBlAHMAdABcACIALAAgAFwAIgBTAHUAbQBtAGUAcgBcACIALAAgADAALgA0ADQALAAgAC0AMAAuADIAMgAsACAAMAAuADQANAAsACAAMAAuADMAMwAsACAALQAwAC4AMgAyACwAIAAwAC4ANAA0ACwAIAAtADAALgAxADEAOwBcAG4AIAAgACAAIAAgACAAIAAgACAAIABcACIAVwBlAHMAdABlAHIAbgAgAEEAdQBzAHQAcgBhAGwAaQBhAFwAIgAsACAAXAAiAFMAbwB1AHQAaAAgAFcAZQBzAHQAXAAiACwAIABcACIAQQB1AHQAdQBtAG4AXAAiACwAIAAwAC4ANgAwACwAIAAwAC4AMAAwACwAIAAwAC4ANgAwACwAIAAwAC4AMgAyACwAIAAtADAALgA1ADUALAAgADAALgA2ADAALAAgADAALgAwADAAOwBcAG4AIAAgACAAIAAgACAAIAAgACAAIABcACIAVwBlAHMAdABlAHIAbgAgAEEAdQBzAHQAcgBhAGwAaQBhAFwAIgAsACAAXAAiAFMAbwB1AHQAaAAgAFcAZQBzAHQAXAAiACwAIABcACIAVwBpAG4AdABlAHIAXAAiACwAIAAwAC4AOQA5ACwAIAAwAC4AMgAyACwAIAAwAC4ANwA3ACwAIAAwAC4AMQAxACwAIAAwAC4AMQAxACwAIAAwAC4ANwA3ACwAIAAwAC4ANAA0ADsAXABuACAAIAAgACAAIAAgACAAIAAgACAAXAAiAFcAZQBzAHQAZQByAG4AIABBAHUAcwB0AHIAYQBsAGkAYQBcACIALAAgAFwAIgBQAGkAbABiAGEAcgBhAFwAIgAsACAAXAAiAFMAcAByAGkAbgBnAFwAIgAsACAAMAAuADcAMAAsACAALQAwAC4ANQA1ACwAIAAwAC4ANwAwACwAIAAwAC4AMgAyACwAIAAtADAALgAyADIALAAgADAALgA3ADAALAAgAC0AMAAuADIAMgA7AFwAbgAgACAAIAAgACAAIAAgACAAIAAgAFwAIgBXAGUAcwB0AGUAcgBuACAAQQB1AHMAdAByAGEAbABpAGEAXAAiACwAIABcACIAUABpAGwAYgBhAHIAYQBcACIALAAgAFwAIgBTAHUAbQBtAGUAcgBcACIALAAgADAALgA3ADcALAAgADAALgA1ADUALAAgADAALgA3ADcALAAgADAALgA2ADYALAAgADAALgA1ADUALAAgADAALgA3ADcALAAgADAALgAzADMAOwBcAG4AIAAgACAAIAAgACAAIAAgACAAIABcACIAVwBlAHMAdABlAHIAbgAgAEEAdQBzAHQAcgBhAGwAaQBhAFwAIgAsACAAXAAiAFAAaQBsAGIAYQByAGEAXAAiACwAIABcACIAQQB1AHQAdQBtAG4AXAAiACwAIAAwAC4AOAA4ACwAIAAwAC4ANQA1ACwAIAAwAC4AOAA4ACwAIAAwAC4AMgAyACwAIAAwAC4AMgAyACwAIAAwAC4AOAA4ACwAIAAwAC4AMgAyADsAXABuACAAIAAgACAAIAAgACAAIAAgACAAXAAiAFcAZQBzAHQAZQByAG4AIABBAHUAcwB0AHIAYQBsAGkAYQBcACIALAAgAFwAIgBQAGkAbABiAGEAcgBhAFwAIgAsACAAXAAiAFcAaQBuAHQAZQByAFwAIgAsACAAMAAuADIAMgAsACAALQAwAC4ANQA1ACwAIAAwAC4AMgAyACwAIAAwAC4AMQAxACwAIAAtADAALgAyADIALAAgADAALgAyADIALAAgAC0AMAAuADMAMwA7AFwAbgAgACAAIAAgACAAIAAgACAAIAAgAFwAIgBXAGUAcwB0AGUAcgBuACAAQQB1AHMAdAByAGEAbABpAGEAXAAiACwAIABcACIASwBpAG0AYgBlAHIAbABlAHkAXAAiACwAIABcACIAUwBwAHIAaQBuAGcAXAAiACwAIAAwAC4AMgAyACwAIAAtADAALgA1ADUALAAgADAALgAzADMALAAgADAALgAyADIALAAgAC0AMAAuADMAMwAsACAAMAAuADIAMgAsACAALQAwAC4ANQA1ADsAXABuACAAIAAgACAAIAAgACAAIAAgACAAXAAiAFcAZQBzAHQAZQByAG4AIABBAHUAcwB0AHIAYQBsAGkAYQBcACIALAAgAFwAIgBLAGkAbQBiAGUAcgBsAGUAeQBcACIALAAgAFwAIgBTAHUAbQBtAGUAcgBcACIALAAgADAALgA4ADAALAAgADAALgA1ADUALAAgADAALgA3ADAALAAgADAALgA0ADQALAAgADAALgA2ADYALAAgADAALgA4ADAALAAgADAALgA1ADUAOwBcAG4AIAAgACAAIAAgACAAIAAgACAAIABcACIAVwBlAHMAdABlAHIAbgAgAEEAdQBzAHQAcgBhAGwAaQBhAFwAIgAsACAAXAAiAEsAaQBtAGIAZQByAGwAZQB5AFwAIgAsACAAXAAiAEEAdQB0AHUAbQBuAFwAIgAsACAAMAAuADYANgAsACAAMAAuADUANQAsACAAMAAuADUANQAsACAAMAAuADUANQAsACAAMAAuADEAMQAsACAAMAAuADYANgAsACAAMAAuADUANQA7AFwAbgAgACAAIAAgACAAIAAgACAAIAAgAFwAIgBXAGUAcwB0AGUAcgBuACAAQQB1AHMAdAByAGEAbABpAGEAXAAiACwAIABcACIASwBpAG0AYgBlAHIAbABlAHkAXAAiACwAIABcACIAVwBpAG4AdABlAHIAXAAiACwAIAAwAC4AMwAzACwAIAAtADAALgA1ADUALAAgADAALgAxADEALAAgADAALgAxADEALAAgAC0AMAAuADQANAAsACAAMAAuADMAMwAsACAALQAwAC4ANQ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HAGEAaQBuAE4AVABRAEwARABcAG4AVABhAGIAbABlACAAQQAuADEALgAyAC4ANAA6ACAAQgBlAGUAZgAgAHAAYQBzAHQAdQByAGUAIABjAGEAdAB0AGwAZQAgAC0AIABMAGkAdgBlAHcAZQBpAGcAaAB0ACAAZwBhAGkAbgAgACgAawBnACkAIAAoAEwAVwBHAGoAawBsACkAIABmAG8AcgAgAE4AVAAgAGEAbgBkACAAUQBMAEQAXABuAC0ALQAtAC0ALQAtAC0ALQAtAC0ALQAtAC0ALQAtAC0ALQAtAC0ALQAtAC0ALQAtAC0ALQAtAC0ALQAtAC0ALQAtAC0ALQAtAC0ALQBcAG4AKgAvAFwAbgBcAG4AUwBvAHUAcgBjAGUARABhAHQAYQBfAFAAYQBzAHQAdQByAGUAQgBlAGUAZgBfAEwAaQB2AGUAdwBlAGkAZwBoAHQARwBhAGkAbgBOAFQAUQBMAEQAXwBUAGkAdABsAGUAXABuACAAIAA9AEwAQQBNAEIARABBACgAXAAiAEIAZQBlAGYAIABwAGEAcwB0AHUAcgBlACAAYwBhAHQAdABsAGUAIAAtACAATABpAHYAZQB3AGUAaQBnAGgAdAAgAGcAYQBpAG4AIAAoAGsAZwApACAAKABMAFcARwBqAGsAbAApACAAZgBvAHIAIABOAFQAIABhAG4AZAAgAFEATABEAFwAIgApADsAXABuAFwAbgBTAG8AdQByAGMAZQBEAGEAdABhAF8AUABhAHMAdAB1AHIAZQBCAGUAZQBmAF8ATABpAHYAZQB3AGUAaQBnAGgAdABHAGEAaQBuAE4AVABRAEwARABfAFYAYQByAGkAYQBiAGwAZQBcAG4AIAAgAD0ATABBAE0AQgBEAEEAKABcACIATABXAEcAagBrAGwAXAAiACkAOwBcAG4AXABuAFMAbwB1AHIAYwBlAEQAYQB0AGEAXwBQAGEAcwB0AHUAcgBlAEIAZQBlAGYAXwBMAGkAdgBlAHcAZQBpAGcAaAB0AEcAYQBpAG4ATgBUAFEATABEAF8AVQBuAGkAdABcAG4AIAAgAD0ATABBAE0AQgBEAEEAKABcACIAawBnAFwAIgApADsAXABuAFwAbgBTAG8AdQByAGMAZQBEAGEAdABhAF8AUABhAHMAdAB1AHIAZQBCAGUAZQBmAF8ATABpAHYAZQB3AGUAaQBnAGgAdABHAGEAaQBuAE4AVABRAEwARABfAFMAbwB1AHIAYwBlAFwAbgAgACAAPQBMAEEATQBCAEQAQQAoAFwAIgBWAEUARQBSAEcAIAAyADAAMgA2ADoAIABUAGEAYgBsAGUAIABBAC4AMQAuADIALgA0AFwAIgApADsAXABuAFwAbgBTAG8AdQByAGMAZQBEAGEAdABhAF8AUABhAHMAdAB1AHIAZQBCAGUAZQBmAF8ATABpAHYAZQB3AGUAaQBnAGgAdABHAGEAaQBuAE4AVABRAEwARABfAFYAYQByAGkAYQB0AGkAbwBuAFwAbgAgACAAPQBMAEEATQBCAEQAQQAoAFwAIgBcACIAKQA7AFwAbgBcAG4AUwBvAHUAcgBjAGUARABhAHQAYQBfAFAAYQBzAHQAdQByAGUAQgBlAGUAZgBfAEwAaQB2AGUAdwBlAGkAZwBoAHQARwBhAGkAbg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MgAtADMAXAAiACwAIABcACIAQwBvAHcAIABcAHUAMAAwADMAZQAzAFwAIgAsACAAXAAiAFMAdABlAGUAcgAgAFwAdQAwADAAMwBjADEAXAAiACwAIABcACIAUwB0AGUAZQByACAAMQAtADIAXAAiACwAIABcACIAUwB0AGUAZQByACAAMgAtADMAXAAiACwAIABcACIAUwB0AGUAZQByACAAXAB1ADAAMAAzAGUAMwBcACIAOwBcAG4AIAAgACAAIAAgACAAIAAgACAAIABcACIATgBvAHIAdABoAGUAcgBuACAAVABlAHIAcgBpAHQAbwByAHkAXAAiACwAIABcACIAQQBsAGkAYwBlACAAUwBwAHIAaQBuAGcAcwBcACIALAAgAFwAIgBTAHAAcgBpAG4AZwBcACIALAAgADAALgAyADIALAAgAC0AMAAuADIAMwAsACAAMAAuADIANQAsACAAMAAuADEANwAsACAAMAAuADEAOAAsACAALQAwAC4AMgA4ACwAIAAwAC4AMwAyACwAIAAwAC4AMgA0ACwAIAAwAC4AMgA1ACwAIAAtADAALgAwADUAOwBcAG4AIAAgACAAIAAgACAAIAAgACAAIABcACIATgBvAHIAdABoAGUAcgBuACAAVABlAHIAcgBpAHQAbwByAHkAXAAiACwAIABcACIAQQBsAGkAYwBlACAAUwBwAHIAaQBuAGcAcwBcACIALAAgAFwAIgBTAHUAbQBtAGUAcgBcACIALAAgADAALgA2ADYALAAgADAALgAyADAALAAgADAALgA2ADIALAAgADAALgA1ADQALAAgADAALgAzADgALAAgADAALgAyADcALAAgADAALgA3ADUALAAgADAALgA2ADQALAAgADAALgA1ADUALAAgADAALgA0ADgAOwBcAG4AIAAgACAAIAAgACAAIAAgACAAIABcACIATgBvAHIAdABoAGUAcgBuACAAVABlAHIAcgBpAHQAbwByAHkAXAAiACwAIABcACIAQQBsAGkAYwBlACAAUwBwAHIAaQBuAGcAcwBcACIALAAgAFwAIgBBAHUAdAB1AG0AbgBcACIALAAgADAALgA0ADkALAAgADAALgAxADMALAAgADAALgA1ADQALAAgADAALgA0ADUALAAgADAALgAzADUALAAgADAALgAxADUALAAgADAALgA2ADMALAAgADAALgA1ADQALAAgADAALgA0ADIALAAgADAALgAyADYAOwBcAG4AIAAgACAAIAAgACAAIAAgACAAIABcACIATgBvAHIAdABoAGUAcgBuACAAVABlAHIAcgBpAHQAbwByAHkAXAAiACwAIABcACIAQQBsAGkAYwBlACAAUwBwAHIAaQBuAGcAcwBcACIALAAgAFwAIgBXAGkAbgB0AGUAcgBcACIALAAgADAALgAyADcALAAgAC0AMAAuADgAMAAsACAAMAAuADIAMgAsACAAMAAuADAAOQAsACAAMAAuADEAMgAsACAAMAAuADAAMgAsACAAMAAuADIANQAsACAAMAAuADEAOAAsACAAMAAuADEAMgAsACAAMAAuADAAMwA7AFwAbgAgACAAIAAgACAAIAAgACAAIAAgAFwAIgBOAG8AcgB0AGgAZQByAG4AIABUAGUAcgByAGkAdABvAHIAeQBcACIALAAgAFwAIgBCAGEAcgBrAGwAeQBcACIALAAgAFwAIgBTAHAAcgBpAG4AZwBcACIALAAgADAALgAyADIALAAgAC0AMAAuADQANAAsACAAMAAuADIAMAAsACAAMAAuADIAMQAsACAAMAAuADEAOAAsACAAMAAuADAAMQAsACAAMAAuADEAMgAsACAAMAAuADAAOQAsACAAXAAiAE4ATwBcACIALAAgAFwAIgBOAE8AXAAiADsAXABuACAAIAAgACAAIAAgACAAIAAgACAAXAAiAE4AbwByAHQAaABlAHIAbgAgAFQAZQByAHIAaQB0AG8AcgB5AFwAIgAsACAAXAAiAEIAYQByAGsAbAB5AFwAIgAsACAAXAAiAFMAdQBtAG0AZQByAFwAIgAsACAAMAAuADYANgAsACAAMAAuADIAMgAsACAAMAAuADYAOAAsACAAMAAuADIAMgAsACAAMAAuADIANAAsACAAMAAuADIANQAsACAAMAAuADYANAAsACAAMAAuADMANwAsACAAXAAiAE4ATwBcACIALAAgAFwAIgBOAE8AXAAiADsAXABuACAAIAAgACAAIAAgACAAIAAgACAAXAAiAE4AbwByAHQAaABlAHIAbgAgAFQAZQByAHIAaQB0AG8AcgB5AFwAIgAsACAAXAAiAEIAYQByAGsAbAB5AFwAIgAsACAAXAAiAEEAdQB0AHUAbQBuAFwAIgAsACAAMAAuADQAOQAsACAAMAAuADAANQAsACAAMAAuADYANAAsACAAMAAuADIANQAsACAAMAAuADIAOQAsACAAMAAuADEAMgAsACAAMAAuADUANwAsACAAMAAuADQAOQAsACAAXAAiAE4ATwBcACIALAAgAFwAIgBOAE8AXAAiADsAXABuACAAIAAgACAAIAAgACAAIAAgACAAXAAiAE4AbwByAHQAaABlAHIAbgAgAFQAZQByAHIAaQB0AG8AcgB5AFwAIgAsACAAXAAiAEIAYQByAGsAbAB5AFwAIgAsACAAXAAiAFcAaQBuAHQAZQByAFwAIgAsACAAMAAuADIANwAsACAALQAwAC4AMgA3ACwAIAAwAC4AMwAxACwAIAAwAC4AMgA5ACwAIAAwAC4AMQA5ACwAIAAwAC4AMAA0ACwAIAAwAC4AMgA2ACwAIAAwAC4AMgA4ACwAIABcACIATgBPAFwAIgAsACAAXAAiAE4ATwBcACIAOwBcAG4AIAAgACAAIAAgACAAIAAgACAAIABcACIATgBvAHIAdABoAGUAcgBuACAAVABlAHIAcgBpAHQAbwByAHkAXAAiACwAIABcACIATgBvAHIAdABoAGUAcgBuAFwAIgAsACAAXAAiAFMAcAByAGkAbgBnAFwAIgAsACAAMAAuADIAMgAsACAALQAwAC4ANAA0ACwAIAAwAC4AMAAwACwAIAAwAC4AMQA1ACwAIAAwAC4AMAA4ACwAIAAwAC4AMQA3ACwAIAAwAC4AMAA2ACwAIAAwAC4AMAAyACwAIAAtADAALgAxADQALAAgAFwAIgBOAE8AXAAiADsAXABuACAAIAAgACAAIAAgACAAIAAgACAAXAAiAE4AbwByAHQAaABlAHIAbgAgAFQAZQByAHIAaQB0AG8AcgB5AFwAIgAsACAAXAAiAE4AbwByAHQAaABlAHIAbgBcACIALAAgAFwAIgBTAHUAbQBtAGUAcgBcACIALAAgADAALgA2ADYALAAgADAALgAyADIALAAgADAALgA3ADkALAAgADAALgA0ADAALAAgADAALgAzADgALAAgADAALgAyADcALAAgADAALgA4ADAALAAgADAALgAxADYALAAgADAALgAzADAALAAgAFwAIgBOAE8AXAAiADsAXABuACAAIAAgACAAIAAgACAAIAAgACAAXAAiAE4AbwByAHQAaABlAHIAbgAgAFQAZQByAHIAaQB0AG8AcgB5AFwAIgAsACAAXAAiAE4AbwByAHQAaABlAHIAbgBcACIALAAgAFwAIgBBAHUAdAB1AG0AbgBcACIALAAgADAALgA0ADkALAAgADAALgAwADUALAAgADAALgA1ADUALAAgADAALgAzADgALAAgADAALgAzADYALAAgADAALgAwADYALAAgADAALgA1ADgALAAgADAALgAyADMALAAgADAALgA0ADAALAAgAFwAIgBOAE8AXAAiADsAXABuACAAIAAgACAAIAAgACAAIAAgACAAXAAiAE4AbwByAHQAaABlAHIAbgAgAFQAZQByAHIAaQB0AG8AcgB5AFwAIgAsACAAXAAiAE4AbwByAHQAaABlAHIAbgBcACIALAAgAFwAIgBXAGkAbgB0AGUAcgBcACIALAAgADAALgAyADcALAAgAC0AMAAuADIANwAsACAAMAAuADAAMgAsACAAMAAuADAAOQAsACAAMAAuADEANgAsACAALQAwAC4AMAA0ACwAIAAwAC4AMgAxACwAIAAwAC4AMAAzACwAIAAwAC4AMQAxACwAIABcACIATgBPAFwAIgA7AFwAbgAgACAAIAAgACAAIAAgACAAIAAgAFwAIgBRAHUAZQBlAG4AcwBsAGEAbgBkAFwAIgAsACAAXAAiAEgAaQBnAGgAXAAiACwAIABcACIAUwBwAHIAaQBuAGcAXAAiACwAIAAwAC4AMgA3ACwAIAAtADAALgAxADkALAAgADAALgAzADgALAAgADAALgAyADUALAAgADAALgAwADcALAAgADAALgAwADUALAAgADAALgA1ADIALAAgADAALgA1ADUALAAgADAALgAxADkALAAgADAALgA2ADAAOwBcAG4AIAAgACAAIAAgACAAIAAgACAAIABcACIAUQB1AGUAZQBuAHMAbABhAG4AZABcACIALAAgAFwAIgBIAGkAZwBoAFwAIgAsACAAXAAiAFMAdQBtAG0AZQByAFwAIgAsACAAMAAuADEANgAsACAAMAAuADEANgAsACAAMAAuADgAMAAsACAAMAAuADUANwAsACAAMAAuADcANgAsACAAMAAuADQAOQAsACAAMAAuADgANAAsACAAMAAuADUAMQAsACAAMAAuADMANgAsACAAMAAuADEANwA7AFwAbgAgACAAIAAgACAAIAAgACAAIAAgAFwAIgBRAHUAZQBlAG4AcwBsAGEAbgBkAFwAIgAsACAAXAAiAEgAaQBnAGgAXAAiACwAIABcACIAQQB1AHQAdQBtAG4AXAAiACwAIAAwAC4ANAA1ACwAIAAwAC4AMQAwACwAIAAwAC4ANAA5ACwAIAAwAC4ANAAxACwAIAAwAC4ANAAwACwAIAAwAC4AMQA3ACwAIAAwAC4ANQA0ACwAIAAwAC4ANgA0ACwAIAAtADAALgAwADUALAAgADAALgAzADIAOwBcAG4AIAAgACAAIAAgACAAIAAgACAAIABcACIAUQB1AGUAZQBuAHMAbABhAG4AZABcACIALAAgAFwAIgBIAGkAZwBoAFwAIgAsACAAXAAiAFcAaQBuAHQAZQByAFwAIgAsACAAMAAuADUAMQAsACAALQAwAC4AMAA3ACwAIAAwAC4AMQAzACwAIAAtADAALgAwADkALAAgAC0AMAAuADEAMwAsACAAMAAuADAANwAsACAAMAAuADIANQAsACAAMAAuADcAMQAsACAAMAAuADEANwAsACAAMAAuADQAMwA7AFwAbgAgACAAIAAgACAAIAAgACAAIAAgAFwAIgBRAHUAZQBlAG4AcwBsAGEAbgBkAFwAIgAsACAAXAAiAE0AbwBkAGUAcgBhAHQAZQAvAEgAaQBnAGgAXAAiACwAIABcACIAUwBwAHIAaQBuAGcAXAAiACwAIAAtADAALgAxADIALAAgAC0AMAAuADEAOQAsACAAMAAuADQAMQAsACAAMAAuADAAOQAsACAAMAAuADQAMQAsACAALQAwAC4AMQA5ACwAIAAwAC4AMAA3ACwAIAAxAC4AMAA3ACwAIAAtADAALgAwADgALAAgADAALgAwADAAOwBcAG4AIAAgACAAIAAgACAAIAAgACAAIABcACIAUQB1AGUAZQBuAHMAbABhAG4AZABcACIALAAgAFwAIgBNAG8AZABlAHIAYQB0AGUALwBIAGkAZwBoAFwAIgAsACAAXAAiAFMAdQBtAG0AZQByAFwAIgAsACAAMAAuADYANQAsACAAMAAuADEAOQAsACAAMAAuADYANQAsACAAMAAuADUAMQAsACAAMAAuADEAOAAsACAAMAAuADYAMwAsACAAMQAuADMAMAAsACAAMAAuADQAOAAsACAAMQAuADEAMgAsACAAMAAuADMAOAA7AFwAbgAgACAAIAAgACAAIAAgACAAIAAgAFwAIgBRAHUAZQBlAG4AcwBsAGEAbgBkAFwAIgAsACAAXAAiAE0AbwBkAGUAcgBhAHQAZQAvAEgAaQBnAGgAXAAiACwAIABcACIAQQB1AHQAdQBtAG4AXAAiACwAIAAwAC4ANwAwACwAIAAwAC4AMQAzACwAIAAwAC4ANQAyACwAIAAwAC4AMwA0ACwAIAAwAC4AMAAyACwAIAAwAC4AMAA0ACwAIAAwAC4ANwA3ACwAIAAwAC4ANAAyACwAIAAwAC4AMQAyACwAIAAwAC4ANwA0ADsAXABuACAAIAAgACAAIAAgACAAIAAgACAAXAAiAFEAdQBlAGUAbgBzAGwAYQBuAGQAXAAiACwAIABcACIATQBvAGQAZQByAGEAdABlAC8ASABpAGcAaABcACIALAAgAFwAIgBXAGkAbgB0AGUAcgBcACIALAAgADAALgAzADIALAAgAC0AMAAuADAANgAsACAAMAAuADIANQAsACAAMAAuADEAOQAsACAALQAwAC4AMQAwACwAIAAtADAALgAwADIALAAgADAALgAwADIALAAgADAALgAyADMALAAgAC0AMAAuADEAMwAsACAAMAAuADAAMAA7AFwAbgAgACAAIAAgACAAIAAgACAAIAAgAFwAIgBRAHUAZQBlAG4AcwBsAGEAbgBkAFwAIgAsACAAXAAiAE0AbwBkAGUAcgBhAHQAZQAvAEwAbwB3AFwAIgAsACAAXAAiAFMAcAByAGkAbgBnAFwAIgAsACAAMAAuADYAMgAsACAALQAwAC4AMQA5ACwAIAAwAC4AMwA3ACwAIAAwAC4ANAAxACwAIAAwAC4AMAA2ACwAIAAtADAALgAwADIALAAgADAALgA0ADcALAAgADAALgA0ADQALAAgADAALgAzADAALAAgADAALgAxADMAOwBcAG4AIAAgACAAIAAgACAAIAAgACAAIABcACIAUQB1AGUAZQBuAHMAbABhAG4AZABcACIALAAgAFwAIgBNAG8AZABlAHIAYQB0AGUALwBMAG8AdwBcACIALAAgAFwAIgBTAHUAbQBtAGUAcgBcACIALAAgADAALgAwADUALAAgADAALgAxADkALAAgADAALgAzADEALAAgADAALgA1ADQALAAgADAALgA1ADMALAAgADAALgAxADUALAAgADAALgAyADgALAAgADAALgA1ADcALAAgADAALgA0ADIALAAgADAALgA0ADAAOwBcAG4AIAAgACAAIAAgACAAIAAgACAAIABcACIAUQB1AGUAZQBuAHMAbABhAG4AZABcACIALAAgAFwAIgBNAG8AZABlAHIAYQB0AGUALwBMAG8AdwBcACIALAAgAFwAIgBBAHUAdAB1AG0AbgBcACIALAAgADAALgAzADMALAAgADAALgAxADMALAAgADAALgAzADkALAAgADAALgAzADYALAAgADAALgAyADYALAAgADAALgAxADEALAAgADAALgA0ADAALAAgADAALgA0ADQALAAgADAALgAzADcALAAgAC0AMAAuADAAMQA7AFwAbgAgACAAIAAgACAAIAAgACAAIAAgAFwAIgBRAHUAZQBlAG4AcwBsAGEAbgBkAFwAIgAsACAAXAAiAE0AbwBkAGUAcgBhAHQAZQAvAEwAbwB3AFwAIgAsACAAXAAiAFcAaQBuAHQAZQByAFwAIgAsACAAMAAuADYAMQAsACAALQAwAC4AMAA2ACwAIAAwAC4AMgAxACwAIAAwAC4AMQA4ACwAIAAwAC4AMQAyACwAIAAwAC4AMAA2ACwAIAAwAC4AMgA5ACwAIAAwAC4ANAAxACwAIAAwAC4ANAAxACwAIAAtADAALgAxADUAOwBcAG4AIAAgACAAIAAgACAAIAAgACAAIABcACIAUQB1AGUAZQBuAHMAbABhAG4AZABcACIALAAgAFwAIgBMAG8AdwBcACIALAAgAFwAIgBTAHAAcgBpAG4AZwBcACIALAAgAC0AMAAuADIAMAAsACAAMAAuADAAMgAsACAAMAAuADIANAAsACAAMAAuADMAMAAsACAAMAAuADIAMwAsACAALQAwAC4AMAA1ACwAIAAwAC4AMwA0ACwAIAAwAC4AMwAwACwAIAAwAC4ANQA3ACwAIAAwAC4ANQAyADsAXABuACAAIAAgACAAIAAgACAAIAAgACAAXAAiAFEAdQBlAGUAbgBzAGwAYQBuAGQAXAAiACwAIABcACIATABvAHcAXAAiACwAIABcACIAUwB1AG0AbQBlAHIAXAAiACwAIAAwAC4ANgAyACwAIAAwAC4AMgAxACwAIAAwAC4AMgA1ACwAIAAwAC4AMwAyACwAIAAwAC4ANAA3ACwAIAAwAC4AMwAxACwAIAAwAC4AMQA0ACwAIAAwAC4ANAAwACwAIAAwAC4AMgA2ACwAIAAwAC4ANAAzADsAXABuACAAIAAgACAAIAAgACAAIAAgACAAXAAiAFEAdQBlAGUAbgBzAGwAYQBuAGQAXAAiACwAIABcACIATABvAHcAXAAiACwAIABcACIAQQB1AHQAdQBtAG4AXAAiACwAIAAwAC4ANAAwACwAIAAwAC4AMQAzACwAIAAwAC4AMQAyACwAIAAwAC4AMgA3ACwAIAAwAC4AMwAwACwAIAAwAC4AMAA4ACwAIAAwAC4AMQAzACwAIAAwAC4AMgA0ACwAIAAwAC4AMQA1ACwAIAAwAC4AMgAxADsAXABuACAAIAAgACAAIAAgACAAIAAgACAAXAAiAFEAdQBlAGUAbgBzAGwAYQBuAGQAXAAiACwAIABcACIATABvAHcAXAAiACwAIABcACIAVwBpAG4AdABlAHIAXAAiACwAIAAwAC4AMAA4ACwAIAAwAC4AMAA0ACwAIAAwAC4AMAA2ACwAIAAwAC4AMQA4ACwAIAAwAC4AMQAxACwAIAAtADAALgAwADcALAAgADAALgAxADMALAAgADAALgAxADYALAAgADAALgA0ADAALAAgADAALgAzADM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AByAHkATQBhAHQAdABlAHIARABpAGcAZQBzAHQAaQBiAGkAbABpAHQAeQBcAG4AVABhAGIAbABlACAAQQAuADEALgAyAC4ANQA6ACAAQgBlAGUAZgAgAHAAYQBzAHQAdQByAGUAIABjAGEAdAB0AGwAZQAgAC0AIABEAHIAeQAgAG0AYQB0AHQAZQByACAAZABpAGcAZQBzAHQAaQBiAGkAbABpAHQAeQAgAG8AZgAgAGYAZQBlAGQAIABpAG4AdABhAGsAZQAgACgAZgByAGEAYwB0AGkAbwBuACkAIAAoAEQATQBEAGoAKQBcAG4ALQAtAC0ALQAtAC0ALQAtAC0ALQAtAC0ALQAtAC0ALQAtAC0ALQAtAC0ALQAtAC0ALQAtAC0ALQAtAC0ALQAtAC0ALQAtAC0ALQAtAFwAbgAqAC8AXABuAFwAbgBTAG8AdQByAGMAZQBEAGEAdABhAF8AUABhAHMAdAB1AHIAZQBCAGUAZQBmAF8ARAByAHkATQBhAHQAdABlAHIARABpAGcAZQBzAHQAaQBiAGkAbABpAHQAeQBfAFQAaQB0AGwAZQBcAG4AIAAgAD0ATABBAE0AQgBEAEEAKABcACIAQgBlAGUAZgAgAHAAYQBzAHQAdQByAGUAIABjAGEAdAB0AGwAZQAgAC0AIABEAHIAeQAgAG0AYQB0AHQAZQByACAAZABpAGcAZQBzAHQAaQBiAGkAbABpAHQAeQAgAG8AZgAgAGYAZQBlAGQAIABpAG4AdABhAGsAZQAgACgAZgByAGEAYwB0AGkAbwBuACkAIAAoAEQATQBEAGoAKQBcACIAKQA7AFwAbgBcAG4AUwBvAHUAcgBjAGUARABhAHQAYQBfAFAAYQBzAHQAdQByAGUAQgBlAGUAZgBfAEQAcgB5AE0AYQB0AHQAZQByAEQAaQBnAGUAcwB0AGkAYgBpAGwAaQB0AHkAXwBWAGEAcgBpAGEAYgBsAGUAXABuACAAIAA9AEwAQQBNAEIARABBACgAXAAiAEQATQBEAGoAXAAiACkAOwBcAG4AXABuAFMAbwB1AHIAYwBlAEQAYQB0AGEAXwBQAGEAcwB0AHUAcgBlAEIAZQBlAGYAXwBEAHIAeQBNAGEAdAB0AGUAcgBEAGkAZwBlAHMAdABpAGIAaQBsAGkAdAB5AF8AVQBuAGkAdABcAG4AIAAgAD0ATABBAE0AQgBEAEEAKABcACIAZgByAGEAYwB0AGkAbwBuAFwAIgApADsAXABuAFwAbgBTAG8AdQByAGMAZQBEAGEAdABhAF8AUABhAHMAdAB1AHIAZQBCAGUAZQBmAF8ARAByAHkATQBhAHQAdABlAHIARABpAGcAZQBzAHQAaQBiAGkAbABpAHQAeQBfAFMAbwB1AHIAYwBlAFwAbgAgACAAPQBMAEEATQBCAEQAQQAoAFwAIgBWAEUARQBSAEcAIAAyADAAMgA2ADoAIABUAGEAYgBsAGUAIABBAC4AMQAuADIALgA1AFwAIgApADsAXABuAFwAbgBTAG8AdQByAGMAZQBEAGEAdABhAF8AUABhAHMAdAB1AHIAZQBCAGUAZQBmAF8ARAByAHkATQBhAHQAdABlAHIARABpAGcAZQBzAHQAaQBiAGkAbABpAHQAeQ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EAHIAeQBNAGEAdAB0AGUAcgBEAGkAZwBlAHMAdABpAGIAaQBsAGkAdAB5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UANQAsACAAMAAuADYANQAsACAAMAAuADYAMAAsACAAMAAuADUAMAA7AFwAbgAgACAAIAAgACAAIAAgACAAIAAgAFwAIgBOAFMAVwBcACIALAAgAFwAIgBuAC8AYQBcACIALAAgADAALgA1ADUALAAgADAALgA2ADUALAAgADAALgA2ADAALAAgADAALgA1ADAAOwBcAG4AIAAgACAAIAAgACAAIAAgACAAIABcACIATgBUAFwAIgAsACAAXAAiAEEAbABpAGMAZQAgAFMAcAByAGkAbgBnAHMAXAAiACwAIAAwAC4ANQA1ACwAIAAwAC4ANgAxACwAIAAwAC4ANQA3ACwAIAAwAC4ANQA0ADsAXABuACAAIAAgACAAIAAgACAAIAAgACAAXAAiAE4AVABcACIALAAgAFwAIgBCAGEAcgBrAGwAeQBcACIALAAgADAALgA1ADUALAAgADAALgA2ADEALAAgADAALgA1ADcALAAgADAALgA1ADQAOwBcAG4AIAAgACAAIAAgACAAIAAgACAAIABcACIATgBUAFwAIgAsACAAXAAiAE4AbwByAHQAaABlAHIAbgBcACIALAAgADAALgA1ADUALAAgADAALgA2ADEALAAgADAALgA1ADcALAAgADAALgA1ADQAOwBcAG4AIAAgACAAIAAgACAAIAAgACAAIABcACIAUQBMAEQAXAAiACwAIABcACIASABpAGcAaABcACIALAAgADAALgA1ADMALAAgADAALgA1ADcALAAgADAALgA1ADUALAAgADAALgA1ADEAOwBcAG4AIAAgACAAIAAgACAAIAAgACAAIABcACIAUQBMAEQAXAAiACwAIABcACIATQBvAGQAZQByAGEAdABlAC8ASABpAGcAaABcACIALAAgADAALgA1ADMALAAgADAALgA1ADcALAAgADAALgA1ADUALAAgADAALgA1ADEAOwBcAG4AIAAgACAAIAAgACAAIAAgACAAIABcACIAUQBMAEQAXAAiACwAIABcACIATQBvAGQAZQByAGEAdABlAC8ATABvAHcAXAAiACwAIAAwAC4ANQAzACwAIAAwAC4ANQA3ACwAIAAwAC4ANQA1ACwAIAAwAC4ANQAxADsAXABuACAAIAAgACAAIAAgACAAIAAgACAAXAAiAFEATABEAFwAIgAsACAAXAAiAEwAbwB3AFwAIgAsACAAMAAuADUAMwAsACAAMAAuADUANwAsACAAMAAuADUANQAsACAAMAAuADUAMQA7AFwAbgAgACAAIAAgACAAIAAgACAAIAAgAFwAIgBTAEEAXAAiACwAIABcACIAbgAvAGEAXAAiACwAIAAwAC4ANwAwACwAIAAwAC4ANQA1ACwAIAAwAC4ANQA1ACwAIAAwAC4ANwA1ADsAXABuACAAIAAgACAAIAAgACAAIAAgACAAXAAiAFQAQQBTAFwAIgAsACAAXAAiAG4ALwBhAFwAIgAsACAAMAAuADcANQAsACAAMAAuADYAMAAsACAAMAAuADcAMAAsACAAMAAuADcANQA7AFwAbgAgACAAIAAgACAAIAAgACAAIAAgAFwAIgBWAEkAQwBcACIALAAgAFwAIgBuAC8AYQBcACIALAAgADAALgA4ADAALAAgADAALgA1ADUALAAgADAALgA2ADAALAAgADAALgA3ADYAOwBcAG4AIAAgACAAIAAgACAAIAAgACAAIABcACIAVwBBAFwAIgAsACAAXAAiAFMAbwB1AHQAaAAgAFcAZQBzAHQAXAAiACwAIAAwAC4AOAAwACwAIAAwAC4ANQA4ACwAIAAwAC4ANQAwACwAIAAwAC4ANwA1ADsAXABuACAAIAAgACAAIAAgACAAIAAgACAAXAAiAFcAQQBcACIALAAgAFwAIgBQAGkAbABiAGEAcgBhAFwAIgAsACAAMAAuADQAMAAsACAAMAAuADYANQAsACAAMAAuADUANQAsACAAMAAuADQANQA7AFwAbgAgACAAIAAgACAAIAAgACAAIAAgAFwAIgBXAEEAXAAiACwAIABcACIASwBpAG0AYgBlAHIAbABlAHkAXAAiACwAIAAwAC4ANAAwACwAIAAwAC4ANgA1ACwAIAAwAC4ANQA1ACwAIAAwAC4ANA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QwByAHUAZABlAFAAcgBvAHQAZQBpAG4AQwBvAG4AdABlAG4AdABcAG4AVABhAGIAbABlACAAQQAuADEALgAyAC4ANgA6ACAAQgBlAGUAZgAgAHAAYQBzAHQAdQByAGUAIABjAGEAdAB0AGwAZQAgAC0AIABDAHIAdQBkAGUAIABwAHIAbwB0AGUAaQBuACAAYwBvAG4AdABlAG4AdAAgAG8AZgAgAGYAZQBlAGQAIABpAG4AdABhAGsAZQAgACgAZgByAGEAYwB0AGkAbwBuACkAIAAoAEMAUABqACkAXABuAC0ALQAtAC0ALQAtAC0ALQAtAC0ALQAtAC0ALQAtAC0ALQAtAC0ALQAtAC0ALQAtAC0ALQAtAC0ALQAtAC0ALQAtAC0ALQAtAC0ALQBcAG4AKgAvAFwAbgBcAG4AUwBvAHUAcgBjAGUARABhAHQAYQBfAFAAYQBzAHQAdQByAGUAQgBlAGUAZgBfAEMAcgB1AGQAZQBQAHIAbwB0AGUAaQBuAEMAbwBuAHQAZQBuAHQAXwBUAGkAdABsAGUAXABuACAAIAA9AEwAQQBNAEIARABBACgAXAAiAEIAZQBlAGYAIABwAGEAcwB0AHUAcgBlACAAYwBhAHQAdABsAGUAIAAtACAAQwByAHUAZABlACAAcAByAG8AdABlAGkAbgAgAGMAbwBuAHQAZQBuAHQAIABvAGYAIABmAGUAZQBkACAAaQBuAHQAYQBrAGUAIAAoAGYAcgBhAGMAdABpAG8AbgApACAAKABDAFAAagApAFwAIgApADsAXABuAFwAbgBTAG8AdQByAGMAZQBEAGEAdABhAF8AUABhAHMAdAB1AHIAZQBCAGUAZQBmAF8AQwByAHUAZABlAFAAcgBvAHQAZQBpAG4AQwBvAG4AdABlAG4AdABfAFYAYQByAGkAYQBiAGwAZQBcAG4AIAAgAD0ATABBAE0AQgBEAEEAKABcACIAQwBQAGoAXAAiACkAOwBcAG4AXABuAFMAbwB1AHIAYwBlAEQAYQB0AGEAXwBQAGEAcwB0AHUAcgBlAEIAZQBlAGYAXwBDAHIAdQBkAGUAUAByAG8AdABlAGkAbgBDAG8AbgB0AGUAbgB0AF8AVQBuAGkAdABcAG4AIAAgAD0ATABBAE0AQgBEAEEAKABcACIAZgByAGEAYwB0AGkAbwBuAFwAIgApADsAXABuAFwAbgBTAG8AdQByAGMAZQBEAGEAdABhAF8AUABhAHMAdAB1AHIAZQBCAGUAZQBmAF8AQwByAHUAZABlAFAAcgBvAHQAZQBpAG4AQwBvAG4AdABlAG4AdABfAFMAbwB1AHIAYwBlAFwAbgAgACAAPQBMAEEATQBCAEQAQQAoAFwAIgBWAEUARQBSAEcAIAAyADAAMgA2ADoAIABUAGEAYgBsAGUAIABBAC4AMQAuADIALgA2AFwAIgApADsAXABuAFwAbgBTAG8AdQByAGMAZQBEAGEAdABhAF8AUABhAHMAdAB1AHIAZQBCAGUAZQBmAF8AQwByAHUAZABlAFAAcgBvAHQAZQBpAG4AQwBvAG4AdABlAG4AdA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DAHIAdQBkAGUAUAByAG8AdABlAGkAbgBDAG8AbgB0AGUAbgB0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AANwAsACAAMAAuADEAMwAsACAAMAAuADEALAAgADAALgAwADYAOwBcAG4AIAAgACAAIAAgACAAIAAgACAAIABcACIATgBTAFcAXAAiACwAIABcACIAbgAvAGEAXAAiACwAIAAwAC4AMAA3ACwAIAAwAC4AMQAzACwAIAAwAC4AMQAsACAAMAAuADAANgA7AFwAbgAgACAAIAAgACAAIAAgACAAIAAgAFwAIgBOAFQAXAAiACwAIABcACIAQQBsAGkAYwBlACAAUwBwAHIAaQBuAGcAcwBcACIALAAgADAALgAwADUAOAAsACAAMAAuADAAOQAyACwAIAAwAC4AMAA3ADUALAAgADAALgAwADUAMwA7AFwAbgAgACAAIAAgACAAIAAgACAAIAAgAFwAIgBOAFQAXAAiACwAIABcACIAQgBhAHIAawBsAHkAXAAiACwAIAAwAC4AMAA1ADgALAAgADAALgAwADkAMgAsACAAMAAuADAANwA1ACwAIAAwAC4AMAA1ADMAOwBcAG4AIAAgACAAIAAgACAAIAAgACAAIABcACIATgBUAFwAIgAsACAAXAAiAE4AbwByAHQAaABlAHIAbgBcACIALAAgADAALgAwADUAOAAsACAAMAAuADAAOQAyACwAIAAwAC4AMAA3ADUALAAgADAALgAwADUAMwA7AFwAbgAgACAAIAAgACAAIAAgACAAIAAgAFwAIgBRAEwARABcACIALAAgAFwAIgBIAGkAZwBoAFwAIgAsACAAMAAuADAANwAyACwAIAAwAC4AMAA5ADkALAAgADAALgAwADcAOAAsACAAMAAuADAANQA5ADsAXABuACAAIAAgACAAIAAgACAAIAAgACAAXAAiAFEATABEAFwAIgAsACAAXAAiAE0AbwBkAGUAcgBhAHQAZQAvAEgAaQBnAGgAXAAiACwAIAAwAC4AMAA3ADIALAAgADAALgAwADkAOQAsACAAMAAuADAANwA4ACwAIAAwAC4AMAA1ADkAOwBcAG4AIAAgACAAIAAgACAAIAAgACAAIABcACIAUQBMAEQAXAAiACwAIABcACIATQBvAGQAZQByAGEAdABlAC8ATABvAHcAXAAiACwAIAAwAC4AMAA3ADIALAAgADAALgAwADkAOQAsACAAMAAuADAANwA4ACwAIAAwAC4AMAA1ADkAOwBcAG4AIAAgACAAIAAgACAAIAAgACAAIABcACIAUQBMAEQAXAAiACwAIABcACIATABvAHcAXAAiACwAIAAwAC4AMAA3ADIALAAgADAALgAwADkAOQAsACAAMAAuADAANwA4ACwAIAAwAC4AMAA1ADkAOwBcAG4AIAAgACAAIAAgACAAIAAgACAAIABcACIAUwBBAFwAIgAsACAAXAAiAG4ALwBhAFwAIgAsACAAMAAuADEANgAsACAAMAAuADAANwAsACAAMAAuADAAOQAsACAAMAAuADIAOwBcAG4AIAAgACAAIAAgACAAIAAgACAAIABcACIAVABBAFMAXAAiACwAIABcACIAbgAvAGEAXAAiACwAIAAwAC4AMgAsACAAMAAuADEALAAgADAALgAxADYALAAgADAALgAyADsAXABuACAAIAAgACAAIAAgACAAIAAgACAAXAAiAFYASQBDAFwAIgAsACAAXAAiAG4ALwBhAFwAIgAsACAAMAAuADIANQAsACAAMAAuADAANwAsACAAMAAuADEALAAgADAALgAyADEAOwBcAG4AIAAgACAAIAAgACAAIAAgACAAIABcACIAVwBBAFwAIgAsACAAXAAiAFMAbwB1AHQAaAAgAFcAZQBzAHQAXAAiACwAIAAwAC4AMgAsACAAMAAuADAAOQAsACAAMAAuADAANgAsACAAMAAuADIAOwBcAG4AIAAgACAAIAAgACAAIAAgACAAIABcACIAVwBBAFwAIgAsACAAXAAiAFAAaQBsAGIAYQByAGEAXAAiACwAIAAwAC4AMAA0ACwAIAAwAC4AMQAyACwAIAAwAC4AMAA5ACwAIAAwAC4AMAA2ADsAXABuACAAIAAgACAAIAAgACAAIAAgACAAXAAiAFcAQQBcACIALAAgAFwAIgBLAGkAbQBiAGUAcgBsAGUAeQBcACIALAAgADAALgAwADQALAAgADAALgAxADIALAAgADAALgAwADkALAAgADAALgAwADY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gBlAGUAZABBAGQAagB1AHMAdABtAGUAbgB0AEEAbgBkAE0AaQBsAGsAUAByAG8AZAB1AGMAdABpAG8AbgBcAG4AVABhAGIAbABlACAAQQAuADEALgAyAC4ANwA6ACAAQgBlAGUAZgAgAHAAYQBzAHQAdQByAGUAIABjAGEAdAB0AGwAZQAgAC0AIABGAGUAZQBkACAAaQBuAHQAYQBrAGUAIABhAGQAagB1AHMAdABtAGUAbgB0ACAAYQBuAGQAIABtAGkAbABrACAAcAByAG8AZAB1AGMAdABpAG8AbgAgACgAawBnAC8AaABlAGEAZAAvAGQAYQB5ACkAXABuAC0ALQAtAC0ALQAtAC0ALQAtAC0ALQAtAC0ALQAtAC0ALQAtAC0ALQAtAC0ALQAtAC0ALQAtAC0ALQAtAC0ALQAtAC0ALQAtAC0ALQBcAG4AKgAvAFwAbgBcAG4AUwBvAHUAcgBjAGUARABhAHQAYQBfAFAAYQBzAHQAdQByAGUAQgBlAGUAZgBfAEYAZQBlAGQAQQBkAGoAdQBzAHQAbQBlAG4AdABBAG4AZABNAGkAbABrAFAAcgBvAGQAdQBjAHQAaQBvAG4AXwBUAGkAdABsAGUAXABuACAAIAA9AEwAQQBNAEIARABBACgAXAAiAEIAZQBlAGYAIABwAGEAcwB0AHUAcgBlACAAYwBhAHQAdABsAGUAIAAtACAARgBlAGUAZAAgAGkAbgB0AGEAawBlACAAYQBkAGoAdQBzAHQAbQBlAG4AdAAgAGEAbgBkACAAbQBpAGwAawAgAHAAcgBvAGQAdQBjAHQAaQBvAG4AIAAoAGsAZwAvAGgAZQBhAGQALwBkAGEAeQApAFwAIgApADsAXABuAFwAbgBTAG8AdQByAGMAZQBEAGEAdABhAF8AUABhAHMAdAB1AHIAZQBCAGUAZQBmAF8ARgBlAGUAZABBAGQAagB1AHMAdABtAGUAbgB0AEEAbgBkAE0AaQBsAGsAUAByAG8AZAB1AGMAdABpAG8AbgBfAFYAYQByAGkAYQBiAGwAZQBcAG4AIAAgAD0ATABBAE0AQgBEAEEAKABcACIATQBDAGoAawA9ADEALAAzACwANgA7ACAARABNAFAAagBrAD0ANQBcACIAKQA7AFwAbgBcAG4AUwBvAHUAcgBjAGUARABhAHQAYQBfAFAAYQBzAHQAdQByAGUAQgBlAGUAZgBfAEYAZQBlAGQAQQBkAGoAdQBzAHQAbQBlAG4AdABBAG4AZABNAGkAbABrAFAAcgBvAGQAdQBjAHQAaQBvAG4AXwBVAG4AaQB0AFwAbgAgACAAPQBMAEEATQBCAEQAQQAoAFwAIgBcACIAKQA7AFwAbgBcAG4AUwBvAHUAcgBjAGUARABhAHQAYQBfAFAAYQBzAHQAdQByAGUAQgBlAGUAZgBfAEYAZQBlAGQAQQBkAGoAdQBzAHQAbQBlAG4AdABBAG4AZABNAGkAbABrAFAAcgBvAGQAdQBjAHQAaQBvAG4AXwBTAG8AdQByAGMAZQBcAG4AIAAgAD0ATABBAE0AQgBEAEEAKABcACIAVgBFAEUAUgBHACAAMgAwADIANgA6ACAAVABhAGIAbABlACAAQQAuADEALgAyAC4ANwBcACIAKQA7AFwAbgBcAG4AUwBvAHUAcgBjAGUARABhAHQAYQBfAFAAYQBzAHQAdQByAGUAQgBlAGUAZgBfAEYAZQBlAGQAQQBkAGoAdQBzAHQAbQBlAG4AdABBAG4AZABNAGkAbABrAFAAcgBvAGQAdQBjAHQAaQBvAG4AXwBWAGEAcgBpAGEAdABpAG8AbgBcAG4AIAAgAD0ATABBAE0AQgBEAEEAKABcACIAXAAiACkAOwBcAG4AXABuAFMAbwB1AHIAYwBlAEQAYQB0AGEAXwBQAGEAcwB0AHUAcgBlAEIAZQBlAGYAXwBGAGUAZQBkAEEAZABqAHUAcwB0AG0AZQBuAHQAQQBuAGQATQBpAGwAawBQAHIAbwBkAHUAYwB0AGkAbwBuAF8ARABhAHQAYQBcAG4AIAAgAD0ATABBAE0AQgBEAEEAKABcAG4AIAAgACAAIABNAEEASwBFAEEAUgBSAEEAWQAoADkALAAgADQALABcAG4AIAAgACAAIAAgACAATABBAE0AQgBEAEEAKAByACwAYwAsAFwAbgAgACAAIAAgACAAIAAgACAASQBOAEQARQBYACgAewBcAG4AIAAgACAAIAAgACAAIAAgACAAIABcACIAQgByAGUAZQBkAFwAIgAsACAAXAAiAFMAZQBhAHMAbwBuAFwAIgAsACAAXAAiAEYAZQBlAGQAIABhAGQAagB1AHMAdABtAGUAbgB0ACAAKABNAEMAagBrAD0AMQAsADMALAA2ACkAXAAiACwAIABcACIATQBpAGwAawAgAGkAbgB0AGEAawBlACAALwAgAHAAcgBvAGQAdQBjAHQAaQBvAG4AIAAoAEQATQBQAGoAawA9ADUAKQBcACIAOwBcAG4AIAAgACAAIAAgACAAIAAgACAAIABcACIASABlAHIAZQBmAG8AcgBkACAAbwByACAAUwBoAG8AcgB0AGgAbwByAG4AIABiAHIAZQBlAGQAcwBcACIALAAgAFwAIgBTAHAAcgBpAG4AZwBcACIALAAgADEALgAzACwAIAA2ADsAXABuACAAIAAgACAAIAAgACAAIAAgACAAXAAiAEgAZQByAGUAZgBvAHIAZAAgAG8AcgAgAFMAaABvAHIAdABoAG8AcgBuACAAYgByAGUAZQBkAHMAXAAiACwAIABcACIAUwB1AG0AbQBlAHIAXAAiACwAIAAxAC4AMQAsACAANAA7AFwAbgAgACAAIAAgACAAIAAgACAAIAAgAFwAIgBIAGUAcgBlAGYAbwByAGQAIABvAHIAIABTAGgAbwByAHQAaABvAHIAbgAgAGIAcgBlAGUAZABzAFwAIgAsACAAXAAiAEEAdQB0AHUAbQBuAFwAIgAsACAAMAAsACAAMAA7AFwAbgAgACAAIAAgACAAIAAgACAAIAAgAFwAIgBIAGUAcgBlAGYAbwByAGQAIABvAHIAIABTAGgAbwByAHQAaABvAHIAbgAgAGIAcgBlAGUAZABzAFwAIgAsACAAXAAiAFcAaQBuAHQAZQByAFwAIgAsACAAMAAsACAAMAA7AFwAbgAgACAAIAAgACAAIAAgACAAIAAgAFwAIgBOAG8AcgB0AGgAZQByAG4AIABCAHIAYQBoAG0AYQBuACAAYwByAG8AcwBzACAAYgByAGUAZQBkAFwAIgAsACAAXAAiAFMAcAByAGkAbgBnAFwAIgAsACAAMAAsACAAMAA7AFwAbgAgACAAIAAgACAAIAAgACAAIAAgAFwAIgBOAG8AcgB0AGgAZQByAG4AIABCAHIAYQBoAG0AYQBuACAAYwByAG8AcwBzACAAYgByAGUAZQBkAFwAIgAsACAAXAAiAFMAdQBtAG0AZQByAFwAIgAsACAAMQAuADMALAAgADQAOwBcAG4AIAAgACAAIAAgACAAIAAgACAAIABcACIATgBvAHIAdABoAGUAcgBuACAAQgByAGEAaABtAGEAbgAgAGMAcgBvAHMAcwAgAGIAcgBlAGUAZABcACIALAAgAFwAIgBBAHUAdAB1AG0AbgBcACIALAAgADEALgAxACwAIAAzADsAXABuACAAIAAgACAAIAAgACAAIAAgACAAXAAiAE4AbwByAHQAaABlAHIAbgAgAEIAcgBhAGgAbQBhAG4AIABjAHIAbwBzAHMAIABiAHIAZQBlAGQAXAAiACwAIABcACIAVwBpAG4AdABlAHIAXAAiACwAIAAwACwAI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UwB0AGEAbgBkAGEAcgBkAFIAZQBmAGUAcgBlAG4AYwBlAFcAZQBpAGcAaAB0AHMAXABuAFQAYQBiAGwAZQAgAEEALgAxAC4AMgAuADgAOgAgAEIAZQBlAGYAIABwAGEAcwB0AHUAcgBlACAAYwBhAHQAdABsAGUAIAAtACAAUwB0AGEAbgBkAGEAcgBkACAAcgBlAGYAZQByAGUAbgBjAGUAIAB3AGUAaQBnAGgAdABzACAAKABrAGcAKQAgACgAUwBSAFcAawApAFwAbgAtAC0ALQAtAC0ALQAtAC0ALQAtAC0ALQAtAC0ALQAtAC0ALQAtAC0ALQAtAC0ALQAtAC0ALQAtAC0ALQAtAC0ALQAtAC0ALQAtAC0AXABuACoALwBcAG4AXABuAFMAbwB1AHIAYwBlAEQAYQB0AGEAXwBQAGEAcwB0AHUAcgBlAEIAZQBlAGYAXwBTAHQAYQBuAGQAYQByAGQAUgBlAGYAZQByAGUAbgBjAGUAVwBlAGkAZwBoAHQAcwBfAFQAaQB0AGwAZQBcAG4AIAAgAD0ATABBAE0AQgBEAEEAKABcACIAQgBlAGUAZgAgAHAAYQBzAHQAdQByAGUAIABjAGEAdAB0AGwAZQAgAC0AIABTAHQAYQBuAGQAYQByAGQAIAByAGUAZgBlAHIAZQBuAGMAZQAgAHcAZQBpAGcAaAB0AHMAIAAoAGsAZwApACAAKABTAFIAVwBrACkAXAAiACkAOwBcAG4AXABuAFMAbwB1AHIAYwBlAEQAYQB0AGEAXwBQAGEAcwB0AHUAcgBlAEIAZQBlAGYAXwBTAHQAYQBuAGQAYQByAGQAUgBlAGYAZQByAGUAbgBjAGUAVwBlAGkAZwBoAHQAcwBfAFYAYQByAGkAYQBiAGwAZQBcAG4AIAAgAD0ATABBAE0AQgBEAEEAKABcACIAUwBSAFcAawBcACIAKQA7AFwAbgBcAG4AUwBvAHUAcgBjAGUARABhAHQAYQBfAFAAYQBzAHQAdQByAGUAQgBlAGUAZgBfAFMAdABhAG4AZABhAHIAZABSAGUAZgBlAHIAZQBuAGMAZQBXAGUAaQBnAGgAdABzAF8AVQBuAGkAdABcAG4AIAAgAD0ATABBAE0AQgBEAEEAKABcACIAawBnAFwAIgApADsAXABuAFwAbgBTAG8AdQByAGMAZQBEAGEAdABhAF8AUABhAHMAdAB1AHIAZQBCAGUAZQBmAF8AUwB0AGEAbgBkAGEAcgBkAFIAZQBmAGUAcgBlAG4AYwBlAFcAZQBpAGcAaAB0AHMAXwBTAG8AdQByAGMAZQBcAG4AIAAgAD0ATABBAE0AQgBEAEEAKABcACIAVgBFAEUAUgBHACAAMgAwADIANgA6ACAAVABhAGIAbABlACAAQQAuADEALgAyAC4AOABcACIAKQA7AFwAbgBcAG4AUwBvAHUAcgBjAGUARABhAHQAYQBfAFAAYQBzAHQAdQByAGUAQgBlAGUAZgBfAFMAdABhAG4AZABhAHIAZABSAGUAZgBlAHIAZQBuAGMAZQBXAGUAaQBnAGgAdABzAF8AVgBhAHIAaQBhAHQAaQBvAG4AXABuACAAIAA9AEwAQQBNAEIARABBACgAXAAiAFYAQQBSAEkAQQBUAEkATwBOACAATwBOACAAUwBPAFUAUgBDAEUAOgAgAFMAcABsAGkAdAAgAEEAQwBUACAAYQBuAGQAIABOAFMAVwAgAGkAbgB0AG8AIABzAGUAcABhAHIAYQB0AGUAIAByAG8AdwBzAC4AIABBAGQAZABlAGQAIABcAHUAMAAwADIANwBTAHQAYQB0AGUAIABhAGIAYgByAGUAdgBpAGEAdABpAG8AbgBcAHUAMAAwADIANwAgAGMAbwBsAHUAbQBuACAAdABvACAAYQBpAGQAIABsAG8AbwBrAHUAcAAuAFwAIgApADsAXABuAFwAbgBTAG8AdQByAGMAZQBEAGEAdABhAF8AUABhAHMAdAB1AHIAZQBCAGUAZQBmAF8AUwB0AGEAbgBkAGEAcgBkAFIAZQBmAGUAcgBlAG4AYwBlAFcAZQBpAGcAaAB0AHMAXwBEAGEAdABhAFwAbgAgACAAPQBMAEEATQBCAEQAQQAoAFwAbgAgACAAIAAgAE0AQQBLAEUAQQBSAFIAQQBZACgAOQAsACAAOQAsAFwAbgAgACAAIAAgACAAIABMAEEATQBCAEQAQQAoAHIALABjACwAXABuACAAIAAgACAAIAAgACAAIABJAE4ARABFAFgAKAB7AFwAbgAgACAAIAAgACAAIAAgACAAIAAgAFwAIgBTAHQAYQB0AGUAXAAiACwAIABcACIAQgB1AGwAbABzACAAXAB1ADAAMAAzAGMAMQBcACIALAAgAFwAIgBCAHUAbABsAHMAIABcAHUAMAAwADMAZQAxAFwAIgAsACAAXAAiAEMAbwB3AHMAIABcAHUAMAAwADMAYwAxAFwAIgAsACAAXAAiAEMAbwB3AHMAIAAxAC0AMgBcACIALAAgAFwAIgBDAG8AdwBzACAAXAB1ADAAMAAzAGUAMgBcACIALAAgAFwAIgBTAHQAZQBlAHIAIABcAHUAMAAwADMAYwAxAFwAIgAsACAAXAAiAFMAdABlAGUAcgAgAFwAdQAwADAAMwBlADEAXAAiACwAIABcACIAUwB0AGEAdABlACAAYQBiAGIAcgBlAHYAaQBhAHQAaQBvAG4AXAAiADsAXABuACAAIAAgACAAIAAgACAAIAAgACAAXAAiAEEAQwBUAFwAIgAsACAANwAwADAALAAgADcAMAAwACwAIAA1ADAAMAAsACAANQAwADAALAAgADUAMAAwACwAIAA2ADAAMAAsACAANgAwADAALAAgAFwAIgBBAEMAVABcACIAOwBcAG4AIAAgACAAIAAgACAAIAAgACAAIABcACIATgBTAFcAXAAiACwAIAA3ADAAMAAsACAANwAwADAALAAgADUAMAAwACwAIAA1ADAAMAAsACAANQAwADAALAAgADYAMAAwACwAIAA2ADAAMAAsACAAXAAiAE4AUwBXAFwAIgA7AFwAbgAgACAAIAAgACAAIAAgACAAIAAgAFwAIgBOAG8AcgB0AGgAZQByAG4AIABUAGUAcgByAGkAdABvAHIAeQBcACIALAAgADcANwAwACwAIAA3ADcAMAAsACAANQA1ADAALAAgADUANQAwACwAIAA1ADUAMAAsACAANgA2ADAALAAgADYANgAwACwAIABcACIATgBUAFwAIgA7AFwAbgAgACAAIAAgACAAIAAgACAAIAAgAFwAIgBRAHUAZQBlAG4AcwBsAGEAbgBkAFwAIgAsACAANwA3ADAALAAgADcANwAwACwAIAA1ADUAMAAsACAANQA1ADAALAAgADUANQAwACwAIAA2ADYAMAAsACAANgA2ADAALAAgAFwAIgBRAEwARABcACIAOwBcAG4AIAAgACAAIAAgACAAIAAgACAAIABcACIAUwBvAHUAdABoACAAQQB1AHMAdAByAGEAbABpAGEAXAAiACwAIAA3ADcAMAAsACAANwA3ADAALAAgADUANQAwACwAIAA1ADUAMAAsACAANQA1ADAALAAgADYANgAwACwAIAA2ADYAMAAsACAAXAAiAFMAQQBcACIAOwBcAG4AIAAgACAAIAAgACAAIAAgACAAIABcACIAVABhAHMAbQBhAG4AaQBhAFwAIgAsACAANwA3ADAALAAgADcANwAwACwAIAA1ADUAMAAsACAANQA1ADAALAAgADUANQAwACwAIAA2ADYAMAAsACAANgA2ADAALAAgAFwAIgBUAEEAUwBcACIAOwBcAG4AIAAgACAAIAAgACAAIAAgACAAIABcACIAVgBpAGMAdABvAHIAaQBhAFwAIgAsACAANwA3ADAALAAgADcANwAwACwAIAA1ADUAMAAsACAANQA1ADAALAAgADUANQAwACwAIAA2ADYAMAAsACAANgA2ADAALAAgAFwAIgBWAEkAQwBcACIAOwBcAG4AIAAgACAAIAAgACAAIAAgACAAIABcACIAVwBlAHMAdABlAHIAbgAgAEEAdQBzAHQAcgBhAGwAaQBhAFwAIgAsACAANwA3ADAALAAgADcANwAwACwAIAA1ADUAMAAsACAANQA1ADAALAAgADUANQAwACwAIAA2ADYAMAAsACAANgA2ADA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RgByAGEAYwB0AGkAbwBuAE8AZgBNAGEAbgB1AHIAZQBUAG8ATQBNAFMAXABuAFQAYQBiAGwAZQAgAEEALgAxAC4AMgAuADkAOgAgAEIAZQBlAGYAIABwAGEAcwB0AHUAcgBlACAAYwBhAHQAdABsAGUAIAAtACAARgByAGEAYwB0AGkAbwBuACAAbwBmACAAbQBhAG4AdQByAGUAIAB0AG8AIABlAGEAYwBoACAAbQBhAG4AdQByAGUAIABtAGEAbgBhAGcAZQBtAGUAbgB0ACAAcwB5AHMAdABlAG0AIAAoAGYAcgBhAGMAdABpAG8AbgApACAAKABNAE0AUwBtACkAXABuAC0ALQAtAC0ALQAtAC0ALQAtAC0ALQAtAC0ALQAtAC0ALQAtAC0ALQAtAC0ALQAtAC0ALQAtAC0ALQAtAC0ALQAtAC0ALQAtAC0ALQBcAG4AKgAvAFwAbgBcAG4AUwBvAHUAcgBjAGUARABhAHQAYQBfAFAAYQBzAHQAdQByAGUAQgBlAGUAZgBfAEYAcgBhAGMAdABpAG8AbgBPAGYATQBhAG4AdQByAGUAVABvAE0ATQBTAF8AVABpAHQAbABlAFwAbgAgACAAPQBMAEEATQBCAEQAQQAoAFwAIgBCAGUAZQBmACAAcABhAHMAdAB1AHIAZQAgAGMAYQB0AHQAbABlACAALQAgAEYAcgBhAGMAdABpAG8AbgAgAG8AZgAgAG0AYQBuAHUAcgBlACAAdABvACAAZQBhAGMAaAAgAG0AYQBuAHUAcgBlACAAbQBhAG4AYQBnAGUAbQBlAG4AdAAgAHMAeQBzAHQAZQBtACAAKABmAHIAYQBjAHQAaQBvAG4AKQAgACgATQBNAFMAbQApAFwAIgApADsAXABuAFwAbgBTAG8AdQByAGMAZQBEAGEAdABhAF8AUABhAHMAdAB1AHIAZQBCAGUAZQBmAF8ARgByAGEAYwB0AGkAbwBuAE8AZgBNAGEAbgB1AHIAZQBUAG8ATQBNAFMAXwBWAGEAcgBpAGEAYgBsAGUAXABuACAAIAA9AEwAQQBNAEIARABBACgAXAAiAE0ATQBTAG0AXAAiACkAOwBcAG4AXABuAFMAbwB1AHIAYwBlAEQAYQB0AGEAXwBQAGEAcwB0AHUAcgBlAEIAZQBlAGYAXwBGAHIAYQBjAHQAaQBvAG4ATwBmAE0AYQBuAHUAcgBlAFQAbwBNAE0AUwBfAFUAbgBpAHQAXABuACAAIAA9AEwAQQBNAEIARABBACgAXAAiAGYAcgBhAGMAdABpAG8AbgBcACIAKQA7AFwAbgBcAG4AUwBvAHUAcgBjAGUARABhAHQAYQBfAFAAYQBzAHQAdQByAGUAQgBlAGUAZgBfAEYAcgBhAGMAdABpAG8AbgBPAGYATQBhAG4AdQByAGUAVABvAE0ATQBTAF8AUwBvAHUAcgBjAGUAXABuACAAIAA9AEwAQQBNAEIARABBACgAXAAiAFYARQBFAFIARwAgADIAMAAyADYAOgAgAFQAYQBiAGwAZQAgAEEALgAxAC4AMgAuADkAXAAiACkAOwBcAG4AXABuAFMAbwB1AHIAYwBlAEQAYQB0AGEAXwBQAGEAcwB0AHUAcgBlAEIAZQBlAGYAXwBGAHIAYQBjAHQAaQBvAG4ATwBmAE0AYQBuAHUAcgBlAFQAbwBNAE0AUw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RgByAGEAYwB0AGkAbwBuAE8AZgBNAGEAbgB1AHIAZQBUAG8ATQBNAFM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5ADkALgAxADkAMgAsACAAMAAuADgAMAA4ADsAXABuACAAIAAgACAAIAAgACAAIAAgACAAXAAiAE4AUwBXAFwAIgAsACAAXAAiAG4ALwBhAFwAIgAsACAAOQA5AC4ANAA1ADIALAAgADAALgA1ADQAOAA7AFwAbgAgACAAIAAgACAAIAAgACAAIAAgAFwAIgBTAEEAXAAiACwAIABcACIAbgAvAGEAXAAiACwAIAA5ADkALgA3ADUAOQAsACAAMAAuADIANAAxADsAXABuACAAIAAgACAAIAAgACAAIAAgACAAXAAiAFQAQQBTAFwAIgAsACAAXAAiAG4ALwBhAFwAIgAsACAAOQA5AC4AMQAyADIALAAgADAALgA4ADcAOAA7AFwAbgAgACAAIAAgACAAIAAgACAAIAAgAFwAIgBWAEkAQwBcACIALAAgAFwAIgBuAC8AYQBcACIALAAgADkAOAAuADgAOQA0ACwAIAAxAC4AMQAwADYAOwBcAG4AIAAgACAAIAAgACAAIAAgACAAIABcACIAVwBBAFwAIgAsACAAXAAiAFMAbwB1AHQAaAAgAFcAZQBzAHQAXAAiACwAIAA5ADkALgA2ADIAMgAsACAAMAAuADMANwA4ADsAXABuACAAIAAgACAAIAAgACAAIAAgACAAXAAiAFcAQQBcACIALAAgAFwAIgBQAGkAbABiAGEAcgBhAFwAIgAsACAAOQA5AC4AOQA5ADkALAAgADAALgAwADAAMQA7AFwAbgAgACAAIAAgACAAIAAgACAAIAAgAFwAIgBXAEEAXAAiACwAIABcACIASwBpAG0AYgBlAHIAbABlAHkAXAAiACwAIAA5ADkALgA5ADkAOQAsACAAMAAuADAAMAAxADsAXABuACAAIAAgACAAIAAgACAAIAAgACAAXAAiAE4AVABcACIALAAgAFwAIgBBAGwAaQBjAGUAIABTAHAAcgBpAG4AZwBzAFwAIgAsACAAOQA5AC4AOQA5ADkALAAgADAALgAwADAAMQA7AFwAbgAgACAAIAAgACAAIAAgACAAIAAgAFwAIgBOAFQAXAAiACwAIABcACIAQgBhAHIAawBsAHkAXAAiACwAIAA5ADkALgA5ADkANAAsACAAMAAuADAAMAA2ADsAXABuACAAIAAgACAAIAAgACAAIAAgACAAXAAiAE4AVABcACIALAAgAFwAIgBOAG8AcgB0AGgAZQByAG4AXAAiACwAIAA5ADkALgA5ADkAOQAsACAAMAAuADAAMAAxADsAXABuACAAIAAgACAAIAAgACAAIAAgACAAXAAiAFEATABEAFwAIgAsACAAXAAiAEgAaQBnAGgAXAAiACwAIAA5ADkALgA3ADcAMwAsACAAMAAuADIAMgA3ADsAXABuACAAIAAgACAAIAAgACAAIAAgACAAXAAiAFEATABEAFwAIgAsACAAXAAiAE0AbwBkAGUAcgBhAHQAZQAvAEgAaQBnAGgAXAAiACwAIAA5ADkALgA4ADkAOAAsACAAMAAuADEAMAAyADsAXABuACAAIAAgACAAIAAgACAAIAAgACAAXAAiAFEATABEAFwAIgAsACAAXAAiAE0AbwBkAGUAcgBhAHQAZQAvAEwAbwB3AFwAIgAsACAAOQA5AC4AOQA3ADkALAAgADAALgAwADIAMQA7AFwAbgAgACAAIAAgACAAIAAgACAAIAAgAFwAIgBRAEwARABcACIALAAgAFwAIgBMAG8AdwBcACIALAAgADkAOQAuADkANwA3ACwAIAAwAC4AMAAyADM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NAGUAdABoAGEAbgBlAEMAbwBuAHYAZQByAHMAaQBvAG4ARgBhAGMAdABvAHIAUABlAHIAUgBlAGcAaQBvAG4AXABuAFQAYQBiAGwAZQAgAEEALgAxAC4AMgAuADEAMAA6ACAAQgBlAGUAZgAgAHAAYQBzAHQAdQByAGUAIABjAGEAdAB0AGwAZQAgAC0AIABNAGUAdABoAGEAbgBlACAAYwBvAG4AdgBlAHIAcwBpAG8AbgAgAGYAYQBjAHQAbwByACAAcABlAHIAIAByAGUAZwBpAG8AbgAgACgAZgByAGEAYwB0AGkAbwBuACkAIAAoAE0AQwBGAGkAbQApAFwAbgAtAC0ALQAtAC0ALQAtAC0ALQAtAC0ALQAtAC0ALQAtAC0ALQAtAC0ALQAtAC0ALQAtAC0ALQAtAC0ALQAtAC0ALQAtAC0ALQAtAC0AXABuACoALwBcAG4AXABuAFMAbwB1AHIAYwBlAEQAYQB0AGEAXwBQAGEAcwB0AHUAcgBlAEIAZQBlAGYAXwBNAGUAdABoAGEAbgBlAEMAbwBuAHYAZQByAHMAaQBvAG4ARgBhAGMAdABvAHIAUABlAHIAUgBlAGcAaQBvAG4AXwBUAGkAdABsAGUAXABuACAAIAA9AEwAQQBNAEIARABBACgAXAAiAEIAZQBlAGYAIABwAGEAcwB0AHUAcgBlACAAYwBhAHQAdABsAGUAIAAtACAATQBlAHQAaABhAG4AZQAgAGMAbwBuAHYAZQByAHMAaQBvAG4AIABmAGEAYwB0AG8AcgAgAHAAZQByACAAcgBlAGcAaQBvAG4AIAAoAGYAcgBhAGMAdABpAG8AbgApACAAKABNAEMARgBpAG0AKQBcACIAKQA7AFwAbgBcAG4AUwBvAHUAcgBjAGUARABhAHQAYQBfAFAAYQBzAHQAdQByAGUAQgBlAGUAZgBfAE0AZQB0AGgAYQBuAGUAQwBvAG4AdgBlAHIAcwBpAG8AbgBGAGEAYwB0AG8AcgBQAGUAcgBSAGUAZwBpAG8AbgBfAFYAYQByAGkAYQBiAGwAZQBcAG4AIAAgAD0ATABBAE0AQgBEAEEAKABcACIATQBDAEYAaQBtAFwAIgApADsAXABuAFwAbgBTAG8AdQByAGMAZQBEAGEAdABhAF8AUABhAHMAdAB1AHIAZQBCAGUAZQBmAF8ATQBlAHQAaABhAG4AZQBDAG8AbgB2AGUAcgBzAGkAbwBuAEYAYQBjAHQAbwByAFAAZQByAFIAZQBnAGkAbwBuAF8AVQBuAGkAdABcAG4AIAAgAD0ATABBAE0AQgBEAEEAKABcACIAZgByAGEAYwB0AGkAbwBuAFwAIgApADsAXABuAFwAbgBTAG8AdQByAGMAZQBEAGEAdABhAF8AUABhAHMAdAB1AHIAZQBCAGUAZQBmAF8ATQBlAHQAaABhAG4AZQBDAG8AbgB2AGUAcgBzAGkAbwBuAEYAYQBjAHQAbwByAFAAZQByAFIAZQBnAGkAbwBuAF8AUwBvAHUAcgBjAGUAXABuACAAIAA9AEwAQQBNAEIARABBACgAXAAiAFYARQBFAFIARwAgADIAMAAyADYAOgAgAFQAYQBiAGwAZQAgAEEALgAxAC4AMgAuADEAMABcACIAKQA7AFwAbgBcAG4AUwBvAHUAcgBjAGUARABhAHQAYQBfAFAAYQBzAHQAdQByAGUAQgBlAGUAZgBfAE0AZQB0AGgAYQBuAGUAQwBvAG4AdgBlAHIAcwBpAG8AbgBGAGEAYwB0AG8AcgBQAGUAcgBSAGUAZwBpAG8Abg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TQBlAHQAaABhAG4AZQBDAG8AbgB2AGUAcgBzAGkAbwBuAEYAYQBjAHQAbwByAFAAZQByAFIAZQBnAGkAbwBu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MAAuADAAMAA0ADcALAAgADAALgA3ADEAOwBcAG4AIAAgACAAIAAgACAAIAAgACAAIABcACIATgBTAFcAXAAiACwAIABcACIAbgAvAGEAXAAiACwAIAAwAC4AMAAwADQANwAsACAAMAAuADcANQA7AFwAbgAgACAAIAAgACAAIAAgACAAIAAgAFwAIgBTAEEAXAAiACwAIABcACIAbgAvAGEAXAAiACwAIAAwAC4AMAAwADQANwAsACAAMAAuADcANAA7AFwAbgAgACAAIAAgACAAIAAgACAAIAAgAFwAIgBUAEEAUwBcACIALAAgAFwAIgBuAC8AYQBcACIALAAgADAALgAwADAANAA3ACwAIAAwAC4ANwA7AFwAbgAgACAAIAAgACAAIAAgACAAIAAgAFwAIgBWAEkAQwBcACIALAAgAFwAIgBuAC8AYQBcACIALAAgADAALgAwADAANAA3ACwAIAAwAC4ANwA0ADsAXABuACAAIAAgACAAIAAgACAAIAAgACAAXAAiAFcAQQBcACIALAAgAFwAIgBTAG8AdQB0AGgAIABXAGUAcwB0AFwAIgAsACAAMAAuADAAMAA0ADcALAAgADAALgA3ADYAOwBcAG4AIAAgACAAIAAgACAAIAAgACAAIABcACIAVwBBAFwAIgAsACAAXAAiAFAAaQBsAGIAYQByAGEAXAAiACwAIAAwAC4AMAAwADQANwAsACAAMAAuADcANgA7AFwAbgAgACAAIAAgACAAIAAgACAAIAAgAFwAIgBXAEEAXAAiACwAIABcACIASwBpAG0AYgBlAHIAbABlAHkAXAAiACwAIAAwAC4AMAAwADQANwAsACAAMAAuADcANgA7AFwAbgAgACAAIAAgACAAIAAgACAAIAAgAFwAIgBOAFQAXAAiACwAIABcACIAQQBsAGkAYwBlACAAUwBwAHIAaQBuAGcAcwBcACIALAAgADAALgAwADAANAA3ACwAIAAwAC4AOAA7AFwAbgAgACAAIAAgACAAIAAgACAAIAAgAFwAIgBOAFQAXAAiACwAIABcACIAQgBhAHIAawBsAHkAXAAiACwAIAAwAC4AMAAwADQANwAsACAAMAAuADgAOwBcAG4AIAAgACAAIAAgACAAIAAgACAAIABcACIATgBUAFwAIgAsACAAXAAiAE4AbwByAHQAaABlAHIAbgBcACIALAAgADAALgAwADAANAA3ACwAIAAwAC4AOAA7AFwAbgAgACAAIAAgACAAIAAgACAAIAAgAFwAIgBRAEwARABcACIALAAgAFwAIgBIAGkAZwBoAFwAIgAsACAAMAAuADAAMAA0ADcALAAgADAALgA3ADgAOwBcAG4AIAAgACAAIAAgACAAIAAgACAAIABcACIAUQBMAEQAXAAiACwAIABcACIATQBvAGQAZQByAGEAdABlAC8ASABpAGcAaABcACIALAAgADAALgAwADAANAA3ACwAIAAwAC4ANwA4ADsAXABuACAAIAAgACAAIAAgACAAIAAgACAAXAAiAFEATABEAFwAIgAsACAAXAAiAE0AbwBkAGUAcgBhAHQAZQAvAEwAbwB3AFwAIgAsACAAMAAuADAAMAA0ADcALAAgADAALgA3ADgAOwBcAG4AIAAgACAAIAAgACAAIAAgACAAIABcACIAUQBMAEQAXAAiACwAIABcACIATABvAHcAXAAiACwAIAAwAC4AMAAwADQANwAsACAAMAAuADcAOA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hAHMAdAB1AHIAZQBCAGUAZQBmAF8AQQBzAGgAQwBvAG4AdABlAG4AdABPAGYARgBlAGUAZABJAG4AdABhAGsAZQBcAG4AVgBFAEUAUgBHACAAMgAwADIANgA6ACAANAAuADIALgAyAC4AMwAgAEMATwBOAFMAVABBAE4AVABTAFwAbgAtAC0ALQAtAC0ALQAtAC0ALQAtAC0ALQAtAC0ALQAtAC0ALQAtAC0ALQAtAC0ALQAtAC0ALQAtAC0ALQAtAC0ALQAtAC0ALQAtAC0AXABuACoALwBcAG4AXABuAFMAbwB1AHIAYwBlAEQAYQB0AGEAXwBQAGEAcwB0AHUAcgBlAEIAZQBlAGYAXwBBAHMAaABDAG8AbgB0AGUAbgB0AE8AZgBGAGUAZQBkAEkAbgB0AGEAawBlAF8AVABpAHQAbABlAFwAbgAgACAAPQBMAEEATQBCAEQAQQAoAFwAIgBBAHMAaAAgAGMAbwBuAHQAZQBuAHQAIABvAGYAIABmAGUAZQBkACAAaQBuAHQAYQBrAGUAXAAiACkAOwBcAG4AXABuAFMAbwB1AHIAYwBlAEQAYQB0AGEAXwBQAGEAcwB0AHUAcgBlAEIAZQBlAGYAXwBBAHMAaABDAG8AbgB0AGUAbgB0AE8AZgBGAGUAZQBkAEkAbgB0AGEAawBlAF8AVgBhAHIAaQBhAGIAbABlAFwAbgAgACAAPQBMAEEATQBCAEQAQQAoAFwAIgBBAFwAIgApADsAXABuAFwAbgBTAG8AdQByAGMAZQBEAGEAdABhAF8AUABhAHMAdAB1AHIAZQBCAGUAZQBmAF8AQQBzAGgAQwBvAG4AdABlAG4AdABPAGYARgBlAGUAZABJAG4AdABhAGsAZQBfAFUAbgBpAHQAXABuACAAIAA9AEwAQQBNAEIARABBACgAXAAiAGYAcgBhAGMAdABpAG8AbgBcACIAKQA7AFwAbgBcAG4AUwBvAHUAcgBjAGUARABhAHQAYQBfAFAAYQBzAHQAdQByAGUAQgBlAGUAZgBfAEEAcwBoAEMAbwBuAHQAZQBuAHQATwBmAEYAZQBlAGQASQBuAHQAYQBrAGUAXwBTAG8AdQByAGMAZQBcAG4AIAAgAD0ATABBAE0AQgBEAEEAKABcACIAVgBFAEUAUgBHACAAMgAwADIANgA6ACAANAAuADIALgAyAC4AMwAgAEMATwBOAFMAVABBAE4AVABTAFwAIgApADsAXABuAFwAbgBTAG8AdQByAGMAZQBEAGEAdABhAF8AUABhAHMAdAB1AHIAZQBCAGUAZQBmAF8AQQBzAGgAQwBvAG4AdABlAG4AdABPAGYARgBlAGUAZABJAG4AdABhAGsAZQBfAFYAYQByAGkAYQB0AGkAbwBuAFwAbgAgACAAPQBMAEEATQBCAEQAQQAoAFwAIgBcACIAKQA7AFwAbgBcAG4AUwBvAHUAcgBjAGUARABhAHQAYQBfAFAAYQBzAHQAdQByAGUAQgBlAGUAZgBfAEEAcwBoAEMAbwBuAHQAZQBuAHQATwBmAEYAZQBlAGQASQBuAHQAYQBrAGUAXwBEAGEAdABhAFwAbgAgACAAPQBMAEEATQBCAEQAQQAoADAALgAwADgAKQA7AFwAbgBcAG4ALwAqACAAXABuAC0ALQAtAC0ALQAtAC0ALQAtAC0ALQAtAC0ALQAtAC0ALQAtAC0ALQAtAC0ALQAtAC0ALQAtAC0ALQAtAC0ALQAtAC0ALQAtAC0ALQBcAG4AUwBvAHUAcgBjAGUARABhAHQAYQBfAFAAYQBzAHQAdQByAGUAQgBlAGUAZg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FAAYQBzAHQAdQByAGUAQgBlAGUAZgBfAE0AZQB0AGgAYQBuAGUARQBtAGkAcwBzAGkAbwBuAHMAUABvAHQAZQBuAHQAaQBhAGwAXwBUAGkAdABsAGUAXABuACAAIAA9AEwAQQBNAEIARABBACgAXAAiAE0AZQB0AGgAYQBuAGUAIABlAG0AaQBzAHMAaQBvAG4AcwAgAHAAbwB0AGUAbgB0AGkAYQBsAFwAIgApADsAXABuAFwAbgBTAG8AdQByAGMAZQBEAGEAdABhAF8AUABhAHMAdAB1AHIAZQBCAGUAZQBmAF8ATQBlAHQAaABhAG4AZQBFAG0AaQBzAHMAaQBvAG4AcwBQAG8AdABlAG4AdABpAGEAbABfAFYAYQByAGkAYQBiAGwAZQBcAG4AIAAgAD0ATABBAE0AQgBEAEEAKABcACIAQgAwAFwAIgApADsAXABuAFwAbgBTAG8AdQByAGMAZQBEAGEAdABhAF8AUABhAHMAdAB1AHIAZQBCAGUAZQBmAF8ATQBlAHQAaABhAG4AZQBFAG0AaQBzAHMAaQBvAG4AcwBQAG8AdABlAG4AdABpAGEAbABfAFUAbgBpAHQAXABuACAAIAA9AEwAQQBNAEIARABBACgAXAAiAG0AMwAgAEMASAA0ACAALwAgAGsAZwAgAFYAUwBcACIAKQA7AFwAbgBcAG4AUwBvAHUAcgBjAGUARABhAHQAYQBfAFAAYQBzAHQAdQByAGUAQgBlAGUAZgBfAE0AZQB0AGgAYQBuAGUARQBtAGkAcwBzAGkAbwBuAHMAUABvAHQAZQBuAHQAaQBhAGwAXwBTAG8AdQByAGMAZQBcAG4AIAAgAD0ATABBAE0AQgBEAEEAKABcACIAVgBFAEUAUgBHACAAMgAwADIANgA6ACAANAAuADIALgAyAC4AMwAgAEMATwBOAFMAVABBAE4AVABTAFwAIgApADsAXABuAFwAbgBTAG8AdQByAGMAZQBEAGEAdABhAF8AUABhAHMAdAB1AHIAZQBCAGUAZQBmAF8ATQBlAHQAaABhAG4AZQBFAG0AaQBzAHMAaQBvAG4AcwBQAG8AdABlAG4AdABpAGEAbABfAFYAYQByAGkAYQB0AGkAbwBuAFwAbgAgACAAPQBMAEEATQBCAEQAQQAoAFwAIgBcACIAKQA7AFwAbgBcAG4AUwBvAHUAcgBjAGUARABhAHQAYQBfAFAAYQBzAHQAdQByAGUAQgBlAGUAZgBfAE0AZQB0AGgAYQBuAGUARQBtAGkAcwBzAGkAbwBuAHMAUABvAHQAZQBuAHQAaQBhAGwAXwBEAGEAdABhAFwAbgAgACAAPQBMAEEATQBCAEQAQQAoADAALgAxADkAKQA7AFwAbgBcAG4ALwAqACAAXABuAC0ALQAtAC0ALQAtAC0ALQAtAC0ALQAtAC0ALQAtAC0ALQAtAC0ALQAtAC0ALQAtAC0ALQAtAC0ALQAtAC0ALQAtAC0ALQAtAC0ALQBcAG4AUwBvAHUAcgBjAGUARABhAHQAYQBfAFAAYQBzAHQAdQByAGUAQgBlAGUAZgBfAEYAcgBhAGMARwBBAFMATQ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UABhAHMAdAB1AHIAZQBCAGUAZQBmAF8ARgByAGEAYwBHAEEAUwBNAFMAbwBpAGwAXwBUAGkAdABsAGUAXABuACAAIAA9AEwAQQBNAEIARABBACgAXAAiAEYAcgBhAGMAdABpAG8AbgAgAG8AZgAgAG4AaQB0AHIAbwBnAGUAbgAgAHYAbwBsAGEAdABpAGwAaQBzAGUAZAAgAGYAcgBvAG0AIAB1AHIAaQBuAGUAIABhAG4AZAAgAGYAYQBlAGMAZQBzACAAZABlAHAAbwBzAGkAdABlAGQAIABvAG4AIABwAGEAcwB0AHUAcgBlAFwAIgApADsAXABuAFwAbgBTAG8AdQByAGMAZQBEAGEAdABhAF8AUABhAHMAdAB1AHIAZQBCAGUAZQBmAF8ARgByAGEAYwBHAEEAUwBNAFMAbwBpAGwAXwBWAGEAcgBpAGEAYgBsAGUAXABuACAAIAA9AEwAQQBNAEIARABBACgAXAAiAEYAcgBhAGMARwBBAFMATQBTAG8AaQBsAFwAIgApADsAXABuAFwAbgBTAG8AdQByAGMAZQBEAGEAdABhAF8AUABhAHMAdAB1AHIAZQBCAGUAZQBmAF8ARgByAGEAYwBHAEEAUwBNAFMAbwBpAGwAXwBVAG4AaQB0AFwAbgAgACAAPQBMAEEATQBCAEQAQQAoAFwAIgBmAHIAYQBjAHQAaQBvAG4AXAAiACkAOwBcAG4AXABuAFMAbwB1AHIAYwBlAEQAYQB0AGEAXwBQAGEAcwB0AHUAcgBlAEIAZQBlAGYAXwBGAHIAYQBjAEcAQQBTAE0AUwBvAGkAbABfAFMAbwB1AHIAYwBlAFwAbgAgACAAPQBMAEEATQBCAEQAQQAoAFwAIgBWAEUARQBSAEcAIAAyADAAMgA2ADoAIAA0AC4AMgAuADIALgAzACAAQwBPAE4AUwBUAEEATgBUAFMAXAAiACkAOwBcAG4AXABuAFMAbwB1AHIAYwBlAEQAYQB0AGEAXwBQAGEAcwB0AHUAcgBlAEIAZQBlAGYAXwBGAHIAYQBjAEcAQQBTAE0AUwBvAGkAbABfAFYAYQByAGkAYQB0AGkAbwBuAFwAbgAgACAAPQBMAEEATQBCAEQAQQAoAFwAIgBcACIAKQA7AFwAbgBcAG4AUwBvAHUAcgBjAGUARABhAHQAYQBfAFAAYQBzAHQAdQByAGUAQgBlAGUAZgBfAEYAcgBhAGMARwBBAFMATQBTAG8AaQBsAF8ARABhAHQAYQBcAG4AIAAgAD0ATABBAE0AQgBEAEEAKAAwAC4AMgAxACkAOwBcAG4AXABuAC8AKgAgAFwAbgAtAC0ALQAtAC0ALQAtAC0ALQAtAC0ALQAtAC0ALQAtAC0ALQAtAC0ALQAtAC0ALQAtAC0ALQAtAC0ALQAtAC0ALQAtAC0ALQAtAC0AXABuAFMAbwB1AHIAYwBlAEQAYQB0AGEAXwBQAGEAcwB0AHUAcgBlAEIAZQBlAGYAXwBGAHIAYQBjAEwARQBBAEMASABcAG4ARABlAGYAYQB1AGwAdAAgAGYAcgBhAGMAdABpAG8AbgAgAG8AZgAgAE4AIAB0AGgAYQB0ACAAaQBzACAAbABvAHMAdAAgAHQAaAByAG8AdQBnAGgAIABsAGUAYQBjAGgAaQBuAGcAIABhAG4AZAAgAHIAdQBuAG8AZgBmAFwAbgAtAC0ALQAtAC0ALQAtAC0ALQAtAC0ALQAtAC0ALQAtAC0ALQAtAC0ALQAtAC0ALQAtAC0ALQAtAC0ALQAtAC0ALQAtAC0ALQAtAC0AXABuACoALwBcAG4AXABuAFMAbwB1AHIAYwBlAEQAYQB0AGEAXwBQAGEAcwB0AHUAcgBlAEIAZQBlAGYAXwBGAHIAYQBjAEwARQBBAEMASABfAFQAaQB0AGwAZQBcAG4AIAAgAD0ATABBAE0AQgBEAEEAKABcACIARABlAGYAYQB1AGwAdAAgAGYAcgBhAGMAdABpAG8AbgAgAG8AZgAgAE4AIAB0AGgAYQB0ACAAaQBzACAAbABvAHMAdAAgAHQAaAByAG8AdQBnAGgAIABsAGUAYQBjAGgAaQBuAGcAIABhAG4AZAAgAHIAdQBuAG8AZgBmAFwAIgApADsAXABuAFwAbgBTAG8AdQByAGMAZQBEAGEAdABhAF8AUABhAHMAdAB1AHIAZQBCAGUAZQBmAF8ARgByAGEAYwBMAEUAQQBDAEgAXwBWAGEAcgBpAGEAYgBsAGUAXABuACAAIAA9AEwAQQBNAEIARABBACgAXAAiAEYAcgBhAGMATABFAEEAQwBIAFwAIgApADsAXABuAFwAbgBTAG8AdQByAGMAZQBEAGEAdABhAF8AUABhAHMAdAB1AHIAZQBCAGUAZQBmAF8ARgByAGEAYwBMAEUAQQBDAEgAXwBVAG4AaQB0AFwAbgAgACAAPQBMAEEATQBCAEQAQQAoAFwAIgBmAHIAYQBjAHQAaQBvAG4AXAAiACkAOwBcAG4AXABuAFMAbwB1AHIAYwBlAEQAYQB0AGEAXwBQAGEAcwB0AHUAcgBlAEIAZQBlAGYAXwBGAHIAYQBjAEwARQBBAEMASABfAFMAbwB1AHIAYwBlAFwAbgAgACAAPQBMAEEATQBCAEQAQQAoAFwAIgBWAEUARQBSAEcAIAAyADAAMgA2ADoAIAA0AC4AMgAuADIALgAzACAAQwBPAE4AUwBUAEEATgBUAFMAXAAiACkAOwBcAG4AXABuAFMAbwB1AHIAYwBlAEQAYQB0AGEAXwBQAGEAcwB0AHUAcgBlAEIAZQBlAGYAXwBGAHIAYQBjAEwARQBBAEMASABfAFYAYQByAGkAYQB0AGkAbwBuAFwAbgAgACAAPQBMAEEATQBCAEQAQQAoAFwAIgBcACIAKQA7AFwAbgBcAG4AUwBvAHUAcgBjAGUARABhAHQAYQBfAFAAYQBzAHQAdQByAGUAQgBlAGUAZgBfAEYAcgBhAGMATABFAEEAQwBIAF8ARABhAHQAYQBcAG4AIAAgAD0ATABBAE0AQgBEAEEAKAAwAC4AMgA0ACkAOwAiAH0ALAB7ACIAcABhAHQAaAAiADoAIgAvAHAAcgBvAGoAZQBjAHQAcwAvAEkAbgBwAHUAdABGAHUAbgBjAHQAaQBvAG4AcwBfAFAAYQBzAHQAdQByAGUAQgBlAGUAZgAiACwAIgB0AGUAeAB0ACIAOgAiAEwAbwBvAGsAdQBwAEwAaQB2AGUAdwBlAGkAZwBoAHQARgByAG8AbQBTAGUAYQBzAG8AbgBcAG4APQBMAEEATQBCAEQAQQAoAFwAbgAgACAAIAAgAFMAdABhAHQAZQAsACAAUgBlAGcAaQBvAG4ALAAgAFMAZQBhAHMAbwBu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wAZQB0ACgAXABuACAAIAAgACAAIAAgACAAIABTAHQAYQB0AGUALAAgAFgATABPAE8ASwBVAFAAKABTAHQAYQB0AGUALAAgAFMAdABhAHQAZQBDAG8AbQBtAG8AbgBOAGEAbQBlAEEAcgByAGEAeQAsACAAUwB0AGEAdABlAEEAYgBiAHIAZQB2AGkAYQB0AGk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MAG8AbwBrAHUAcABMAGkAdgBlAHcAZQBpAGcAaAB0AEYAcgBvAG0ATQBvAG4AdABoAFwAbgA9AEwAQQBNAEIARABBACgAXABuACAAIAAgACAAUwB0AGEAdABlACwAIABSAGUAZwBpAG8AbgAsACAATQBvAG4AdABo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0AbwBuAHQAaABBAHIAcgBhAHkALAAgAE0AbwBuAHQAaABUAG8AUwBlAGEAcwBvAG4AQQByAHIAYQB5ACwAXABuACAAIAAgACAATABlAHQAKABcAG4AIAAgACAAIAAgACAAIAAgAE0AbwBuAHQAaAAsACAAVABFAFgAVAAoAE0AbwBuAHQAaAAsACAAXAAiAG0AbQBtAG0AXAAiACkALABcAG4AIAAgACAAIAAgACAAIAAgAFMAdABhAHQAZQAsACAAWABMAE8ATwBLAFUAUAAoAFMAdABhAHQAZQAsACAAUwB0AGEAdABlAEMAbwBtAG0AbwBuAE4AYQBtAGUAQQByAHIAYQB5ACwAIABTAHQAYQB0AGUAQQBiAGIAcgBlAHYAaQBhAHQAaQBvAG4AQQByAHIAYQB5ACkALABcAG4AIAAgACAAIAAgACAAIAAgAFMAZQBhAHMAbwBuACwAIABYAEwATwBPAEsAVQBQACgATQBvAG4AdABoACwAIABNAG8AbgB0AGgAQQByAHIAYQB5ACwAIABNAG8AbgB0AGgAVABvAFMAZQBhAHM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DAG8AbgB2AGUAcgB0AE0AbwBuAHQAaABsAHkAQwBhAGwAdgBpAG4AZwBUAG8AUwBlAGEAcwBvAG4AXABuAFwAbgA9ACAATABBAE0AQgBEAEEAKABcAG4AIAAgACAAIABTAGUAYQBzAG8AbgAsACAAUwB1AG0AQQByAHIAYQB5ACwAIABDAGEAbAB2AGkAbgBnAE0AbwBuAHQAaABBAHIAcgBhAHkALAAgAE0AbwBuAHQAaABBAHIAcgBhAHkALAAgAE0AbwBuAHQAaABUAG8AUwBlAGEAcwBvAG4AQQByAHIAYQB5ACwAXABuACAAIAAgACAATABFAFQAKABcAG4AIAAgACAAIAAgACAAIAAgAE0AbwBuAHQAaABUAGUAeAB0ACwAIABUAEUAWABUACgAQwBhAGwAdgBpAG4AZwBNAG8AbgB0AGgAQQByAHIAYQB5ACwAIABcACIAbQBtAG0AbQBcACIAKQAsAFwAbgAgACAAIAAgACAAIAAgACAAUwBlAGEAcwBvAG4AUABlAHIAUgBvAHcALAAgAFgATABPAE8ASwBVAFAAKABNAG8AbgB0AGgAVABlAHgAdAAsACAATQBvAG4AdABoAEEAcgByAGEAeQAsACAATQBvAG4AdABoAFQAbwBTAGUAYQBzAG8AbgBBAHIAcgBhAHkALAAgAFwAIgBcACIALAAgADAAKQAsAFwAbgAgACAAIAAgACAAIAAgACAAUwBVAE0AKABTAHUAbQBBAHIAcgBhAHkAIAAqACAAKABTAGUAYQBzAG8AbgBQAGUAcgBSAG8AdwA9AFMAZQBhAHMAbwBuACkAKQBcAG4AIAAgACAAIAApAFwAbgApADsAXABuAFwAbgBMAG8AbwBrAHUAcABWAGEAbAB1AGUARgByAG8AbQBTAHQAYQB0AGUAUgBlAGcAaQBvAG4AUwBlAGEAcwBvAG4AXABuAD0ATABBAE0AQgBEAEEAKABcAG4AIAAgACAAIABTAHQAYQB0AGUALAAgAFIAZQBnAGkAbwBuACwAIABTAGUAYQBzAG8Abg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XABuACAAIAAgACAATABFAF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CAAIAAgACAAMQAsACAAKABTAHQAYQB0AGUAQQByAHIAYQB5AD0AUwB0AGEAdABlACkAKgBcAG4AIAAgACAAIAAgACAAIAAgACAAIAAgACAAKABSAGUAZwBpAG8AbgBBAHIAcgBhAHkAPQBSAGUAZwBpAG8AbgApACwAXABuACAAIAAgACAAIAAgACAAIAAgACAAIAAgAFgATABPAE8ASwBVAFAAKABcAG4AIAAgACAAIAAgACAAIAAgACAAIAAgACAAIAAgACAAIABTAGUAYQBzAG8AbgAsACAAUwBlAGEAcwBvAG4AQQByAHIAYQB5ACwAIABSAGUAdAB1AHIAbgBBAHIAcgBhAHkAXABuACAAIAAgACAAIAAgACAAIAAgACAAIAAgACkAXABuACAAIAAgACAAIAAgACAAIAApAFwAbgAgACAAIAAgACkAXABuACkAOwBcAG4AXABuAEwAbwBvAGsAdQBwAFYAYQBsAHUAZQBGAHIAbwBtAFMAdABhAHQAZQBSAGUAZwBpAG8AbgBNAG8AbgB0AGgAXABuAD0ATABBAE0AQgBEAEEAKABcAG4AIAAgACAAIABTAHQAYQB0AGUALAAgAFIAZQBnAGkAbwBuACwAIABNAG8AbgB0AGgALABcAG4AIAAgACAAIABTAHQAYQB0AGUAQQByAHIAYQB5ACwAIABSAGUAZwBpAG8AbgBBAHIAcgBhAHkALAAgAFMAZQBhAHMAbwBuAEEAcgByAGEAeQAsAFwAbgAgACAAIAAgAFIAZQB0AHUAcgBuAEEAcgByAGEAeQAsAFwAbgAgACAAIAAgAFMAdABhAHQAZQBDAG8AbQBtAG8AbgBOAGEAbQBlAEEAcgByAGEAeQAsACAAUwB0AGEAdABlAEEAYgBiAHIAZQB2AGkAYQB0AGkAbwBuAEEAcgByAGEAeQAsACAATQBvAG4AdABoAEEAcgByAGEAeQAsACAATQBvAG4AdABoAFQAbwBTAGUAYQBz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UwBlAGEAcwBvAG4ALAAgAFgATABPAE8ASwBVAFAAKABUAEUAWABUACgATQBvAG4AdABoACwAIABcACIAbQBtAG0AbQBcACIAKQAsACAATQBvAG4AdABoAEEAcgByAGEAeQAsACAATQBvAG4AdABoAFQAbwBTAGUAYQBz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CIAfQAsAHsAIgBwAGEAdABoACIAOgAiAC8AcAByAG8AagBlAGMAdABzAC8ATQBNAFMAXwBQAGEAcwB0AHUAcgBlAEIAZQBlAGY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zACAATQBlAHQAaABvAGQAIAAxACAALQAgAFMAbwBpAGwAIABEAGkAcgBlAGMAdA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zAF8AXwAxAF8ARABpAHIAZQBjAHQATgBpAHQAcgBvAHUAcwBPAHgAaQBkAGUARQBtAGkAcwBzAGkAbwBuAHMATwBuAFAAYQBzAHQAdQByAGUAXABuAFQAbwB0AGEAbAAgAGEAbgBuAHUAYQBsACAAZABpAHIAZQBjAHQAIABuAGkAdAByAG8AdQBzACAAbwB4AGkAZABlACAAZQBtAGkAcwBzAGkAbwBuAHMAIABmAHIAbwBtACAAYQBnAHIAaQBjAHUAbAB0AHUAcgBhAGwAIABzAG8AaQBsAHMAIABmAHIAbwBtACAAZABlAHAAbwBzAGkAdABpAG8AbgAgAG8AZgAgAHUAcgBpAG4AZQAgAGEAbgBkACAAZAB1AG4AZwBcAG4ARQBfAE4AMgBPAGQAaQByAFwAbgB0ACAATgAyAE8AXABuAEUAXwB7AE4AMgBPACwAZABpAHIAfQA9AEEARQBcAFwAdABpAG0AZQBzACAARQBGAF8AewBQAFIAUAB9AFwAXAB0AGkAbQBlAHMAIABDAF8AewBOADIATwB9AFwAXAB0AGkAbQBlAHMAIAAxADAAXgB7AC0AMwB9AFwAbgBBAEUAIAA9ACAAdABvAHQAYQBsACAAbQBhAHMAcwAgAG8AZgAgAG4AaQB0AHIAbwBnAGUAbgAgAGUAeABjAHIAZQB0AGUAZAAgAG8AbgAgAFAAUgBQACAAZgBvAHIAIABiAGUAZQBmACAAYwBhAHQAdABsAGUAIAAoAGsAZwAgAE4AKQBcAG4ARQBGAF8AUABSAFAAIAA9ACAAZQBtAGkAcwBzAGkAbwBuACAAZgBhAGMAdABvAHIAIABmAG8AcgAgAG4AaQB0AHIAbwB1AHMAIABvAHgAaQBkAGUAIABmAHIAbwBtACAAdQByAGkAbgBlACAAYQBuAGQAIABkAHUAbgBnACAAZABlAHAAbwBzAGkAdABlAGQAIAB0AG8AIABzAG8AaQBsACAAKABrAGcAIABOADIATwAtAE4ALwBrAGcAIABOACAAZABlAHAAbwBzAGkAdABlAGQ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IAXwAxAF8AMwBfAF8AMQBfAEQAaQByAGUAYwB0AE4AaQB0AHIAbwB1AHMATwB4AGkAZABlAEUAbQBpAHMAcwBpAG8AbgBzAE8AbgBQAGEAcwB0AHUAcgBlAFwAbgAgACAAPQBMAEEATQBCAEQAQQAoAFwAbgAgACAAIAAgAEEARQAsACAARQBGAF8AUABSAFAALAAgAEMAXwBOADIATwAsAFwAbgAgACAAIAAgAEEARQAgACoAIABFAEYAXwBQAFIAUAAgACoAIABDAF8ATgAyAE8AIAAqACAAMQAwACAAXgAgAC0AMwBcAG4AIAAgACkAOwBcAG4AXABuAFYARQBFAFIARwBfADQAXwAyAF8AMQBfADMAXwBfADEAXwBEAGkAcgBlAGMAdABOAGkAdAByAG8AdQBzAE8AeABpAGQAZQBFAG0AaQBzAHMAaQBvAG4AcwBPAG4AUABhAHMAdAB1AHIAZQBfAFQAaQB0AGwAZQBcAG4AIAAgAD0ATABBAE0AQgBEAEEAKABcACIAVABvAHQAYQBsACAAYQBuAG4AdQBhAGwAIABkAGkAcgBlAGMAdAAgAG4AaQB0AHIAbwB1AHMAIABvAHgAaQBkAGUAIABlAG0AaQBzAHMAaQBvAG4AcwAgAGYAcgBvAG0AIABhAGcAcgBpAGMAdQBsAHQAdQByAGEAbAAgAHMAbwBpAGwAcwAgAGYAcgBvAG0AIABkAGUAcABvAHMAaQB0AGkAbwBuACAAbwBmACAAdQByAGkAbgBlACAAYQBuAGQAIABkAHUAbgBnAFwAIgApADsAXABuAFwAbgBWAEUARQBSAEcAXwA0AF8AMgBfADEAXwAzAF8AXwAxAF8ARABpAHIAZQBjAHQATgBpAHQAcgBvAHUAcwBPAHgAaQBkAGUARQBtAGkAcwBzAGkAbwBuAHMATwBuAFAAYQBzAHQAdQByAGUAXwBWAGEAcgBpAGEAYgBsAGUAXABuACAAIAA9AEwAQQBNAEIARABBACgAXAAiAEUAXwBOADIATwBkAGkAcgBcACIAKQA7AFwAbgBcAG4AVgBFAEUAUgBHAF8ANABfADIAXwAxAF8AMwBfAF8AMQBfAEQAaQByAGUAYwB0AE4AaQB0AHIAbwB1AHMATwB4AGkAZABlAEUAbQBpAHMAcwBpAG8AbgBzAE8AbgBQAGEAcwB0AHUAcgBlAF8AVQBuAGkAdABcAG4AIAAgAD0ATABBAE0AQgBEAEEAKABcACIAdAAgAE4AMgBPAFwAIgApADsAXABuAFwAbgBWAEUARQBSAEcAXwA0AF8AMgBfADEAXwAzAF8AXwAxAF8ARABpAHIAZQBjAHQATgBpAHQAcgBvAHUAcwBPAHgAaQBkAGUARQBtAGkAcwBzAGkAbwBuAHMATwBuAFAAYQBzAHQAdQByAGUAXwBTAG8AdQByAGMAZQBcAG4AIAAgAD0ATABBAE0AQgBEAEEAKABcACIAVgBFAEUAUgBHACAAMgAwADIANgA6ACAANAAuADIALgAxAC4AMwAsACAARQBxAHUAYQB0AGkAbwBuACAAKAAxACkAXAAiACkAOwBcAG4AXABuAFYARQBFAFIARwBfADQAXwAyAF8AMQBfADMAXwBfADEAXwBEAGkAcgBlAGMAdABOAGkAdAByAG8AdQBzAE8AeABpAGQAZQBFAG0AaQBzAHMAaQBvAG4AcwBPAG4AUABhAHMAdAB1AHIAZQBfAE4ASQBSAFIAZQBmAGUAcgBlAG4AYwBlAFwAbgAgACAAPQBMAEEATQBCAEQAQQAoAFwAIgBcACIAKQA7AFwAbgBcAG4AVgBFAEUAUgBHAF8ANABfADIAXwAxAF8AMwBfAF8AMQBfAEQAaQByAGUAYwB0AE4AaQB0AHIAbwB1AHMATwB4AGkAZABlAEUAbQBpAHMAcwBpAG8AbgBzAE8AbgBQAGEAcwB0AHUAcgBlAF8ATABhAHQAZQB4AEUAcQB1AGEAdABpAG8AbgBcAG4AIAAgAD0ATABBAE0AQgBEAEEAKABcACIARQBfAHsATgAyAE8ALABkAGkAcgB9AD0AQQBFAFwAXAB0AGkAbQBlAHMAIABFAEYAXwB7AFAAUgBQAH0AXABcAHQAaQBtAGUAcwAgAEMAXwB7AE4AMgBPAH0AXABcAHQAaQBtAGUAcwAgADEAMABeAHsALQAzAH0AXAAiACkAOwBcAG4AXABuAFYARQBFAFIARwBfADQAXwAyAF8AMQBfADMAXwBfADEAXwBEAGkAcgBlAGMAdABOAGkAdAByAG8AdQBzAE8AeABpAGQAZQBFAG0AaQBzAHMAaQBvAG4AcwBPAG4AUABhAHMAdAB1AHIAZQBfAEEAcgBnAHUAbQBlAG4AdABzAFwAbgAgACAAPQBMAEEATQBCAEQAQQAoAFwAbgAgACAAIAAgAE0AQQBLAEUAQQBSAFIAQQBZACgANA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QBGAF8AUABSAFAAXAAiACwAIABcACIAZQBtAGkAcwBzAGkAbwBuACAAZgBhAGMAdABvAHIAIABmAG8AcgAgAG4AaQB0AHIAbwB1AHMAIABvAHgAaQBkAGUAIABmAHIAbwBtACAAdQByAGkAbgBlACAAYQBuAGQAIABkAHUAbgBnACAAZABlAHAAbwBzAGkAdABlAGQAIAB0AG8AIABzAG8AaQBsACAAKABrAGcAIABOADIATwAtAE4ALwBrAGcAIABOACAAZABlAHAAbwBzAGkAdABlAGQAKQBcACIAOwBcAG4AIAAgACAAIAAgACAAIAAgACAAIABcACIAQwBfAE4AMgBPAFwAIgAsACAAXAAiAGYAYQBjAHQAbwByACAAdABvACAAYwBvAG4AdgBlAHIAdAAgAGUAbABlAG0AZQBuAHQAYQBsACAAbQBhAHMAcwAgAG8AZgAgAG4AaQB0AHIAbwB1AHMAIABvAHgAaQBkAGUAIAB0AG8AIABtAG8AbABlAGMAdQBsAGEAcgAgAG0AYQBzAHMAXAAiADsAXABuACAAIAAgACAAIAAgACAAIAAgACAAXAAiAHoAXAAiACwAIABcACIAdwBlAHQAIABvAHIAIABkAHIAeQAgAGMAbABpAG0AYQB0AGUAIAB6AG8AbgBl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IAXwBUAG8AdABhAGwATgBpAHQAcgBvAGcAZQBuAEUAeABjAHIAZQB0AGUAZABUAG8AUABhAHMAdAB1AHIAZQBSAGEAbgBnAGUAQQBuAGQAUABhAGQAZABvAGMAawBcAG4AVABvAHQAYQBsACAAbgBpAHQAcgBvAGcAZQBuACAAZQB4AGMAcgBlAHQAZQBkACAAdABvACAAcABhAHMAdAB1AHIAZQAsACAAcgBhAG4AZwBlACAAYQBuAGQAIABwAGEAZABkAG8AYwBrAFwAbgBBAEUAXABuAGsAZwAgAE4AXABuAEEARQA9AFwAXABzAHUAbQBfAHsAagB9AFwAXABzAHUAbQBfAHsAawB9AFwAXABzAHUAbQBfAHsAbAB9ACgATgBfAHsAagBrAGwAfQBcAFwAdABpAG0AZQBzACAATgBFAF8AewBqAGsAbAB9AFwAXAB0AGkAbQBlAHMAIABEAF8AagApAFwAbgBOAF8AagBrAGwAIAA9ACAAbgB1AG0AYgBlAHIAIABvAGYAIABiAGUAZQBmACAAYwBhAHQAdABsAGUAIABiAHkAIAB0AGkAbQBlAC0AcABlAHIAaQBvAGQALAAgAGMAbABhAHMAcwAgAGEAbgBkACAAcwB1AGIAYwBsAGEAcwBzACAAKABoAGUAYQBkACkAXABuAE4ARQBfAGoAawBsACAAPQAgAG4AaQB0AHIAbwBnAGUAbgAgAGUAeABjAHIAZQB0AGUAZAAgAGkAbgAgAGUAYQBjAGgAIAB0AGkAbQBlAC0AcABlAHIAaQBvAGQALAAgAGIAeQAgAGUAYQBjAGgAIABjAGwAYQBzAHMAIABhAG4AZAAgAHMAdQBiAGMAbABhAHMAcwAgACgAawBnACAATgAvAGgAZQBhAGQALwBkAGEAeQApAFwAbgBEAF8AagAgAD0AIABuAHUAbQBiAGUAcgAgAG8AZgAgAGQAYQB5AHMAIABpAG4AIABlAGEAYwBoACAAdABpAG0AZQAtAHAAZQByAGkAbwBkACAAKABkAGEAeQBzACkAXABuAC0ALQAtAC0ALQAtAC0ALQAtAC0ALQAtAC0ALQAtAC0ALQAtAC0ALQAtAC0ALQAtAC0ALQAtAC0ALQAtAC0ALQAtAC0ALQAtAC0ALQBcAG4AKgAvAFwAbgBcAG4AVgBFAEUAUgBHAF8ANABfADIAXwAxAF8AMwBfAF8AMgBfAFQAbwB0AGEAbABOAGkAdAByAG8AZwBlAG4ARQB4AGMAcgBlAHQAZQBkAFQAbwBQAGEAcwB0AHUAcgBlAFIAYQBuAGcAZQBBAG4AZABQAGEAZABkAG8AYwBrAFwAbgAgACAAPQBMAEEATQBCAEQAQQAoAFwAbgAgACAAIAAgAE4AXwBqAGsAbAAsACAATgBFAF8AagBrAGwALAAgAEQAXwBqACwAXABuACAAIAAgACAAUwBVAE0AKAAoAE4AXwBqAGsAbAAgACoAIABOAEUAXwBqAGsAbAApACAAKgAgAEQAXwBqACkAXABuACAAIAApADsAXABuAFwAbgBWAEUARQBSAEcAXwA0AF8AMgBfADEAXwAzAF8AXwAyAF8AVABvAHQAYQBsAE4AaQB0AHIAbwBnAGUAbgBFAHgAYwByAGUAdABlAGQAVABvAFAAYQBzAHQAdQByAGUAUgBhAG4AZwBlAEEAbgBkAFAAYQBkAGQAbwBjAGsAXwBUAGkAdABsAGUAXABuACAAIAA9AEwAQQBNAEIARABBACgAXAAiAFQAbwB0AGEAbAAgAG4AaQB0AHIAbwBnAGUAbgAgAGUAeABjAHIAZQB0AGUAZAAgAHQAbwAgAHAAYQBzAHQAdQByAGUALAAgAHIAYQBuAGcAZQAgAGEAbgBkACAAcABhAGQAZABvAGMAawBcACIAKQA7AFwAbgBcAG4AVgBFAEUAUgBHAF8ANABfADIAXwAxAF8AMwBfAF8AMgBfAFQAbwB0AGEAbABOAGkAdAByAG8AZwBlAG4ARQB4AGMAcgBlAHQAZQBkAFQAbwBQAGEAcwB0AHUAcgBlAFIAYQBuAGcAZQBBAG4AZABQAGEAZABkAG8AYwBrAF8AVgBhAHIAaQBhAGIAbABlAFwAbgAgACAAPQBMAEEATQBCAEQAQQAoAFwAIgBBAEUAXAAiACkAOwBcAG4AXABuAFYARQBFAFIARwBfADQAXwAyAF8AMQBfADMAXwBfADIAXwBUAG8AdABhAGwATgBpAHQAcgBvAGcAZQBuAEUAeABjAHIAZQB0AGUAZABUAG8AUABhAHMAdAB1AHIAZQBSAGEAbgBnAGUAQQBuAGQAUABhAGQAZABvAGMAawBfAFUAbgBpAHQAXABuACAAIAA9AEwAQQBNAEIARABBACgAXAAiAGsAZwAgAE4AXAAiACkAOwBcAG4AXABuAFYARQBFAFIARwBfADQAXwAyAF8AMQBfADMAXwBfADIAXwBUAG8AdABhAGwATgBpAHQAcgBvAGcAZQBuAEUAeABjAHIAZQB0AGUAZABUAG8AUABhAHMAdAB1AHIAZQBSAGEAbgBnAGUAQQBuAGQAUABhAGQAZABvAGMAawBfAFMAbwB1AHIAYwBlAFwAbgAgACAAPQBMAEEATQBCAEQAQQAoAFwAIgBWAEUARQBSAEcAIAAyADAAMgA2ADoAIAA0AC4AMgAuADEALgAzACwAIABFAHEAdQBhAHQAaQBvAG4AIAAoADIAKQBcACIAKQA7AFwAbgBcAG4AVgBFAEUAUgBHAF8ANABfADIAXwAxAF8AMwBfAF8AMgBfAFQAbwB0AGEAbABOAGkAdAByAG8AZwBlAG4ARQB4AGMAcgBlAHQAZQBkAFQAbwBQAGEAcwB0AHUAcgBlAFIAYQBuAGcAZQBBAG4AZABQAGEAZABkAG8AYwBrAF8ATgBJAFIAUgBlAGYAZQByAGUAbgBjAGUAXABuACAAIAA9AEwAQQBNAEIARABBACgAXAAiAFwAIgApADsAXABuAFwAbgBWAEUARQBSAEcAXwA0AF8AMgBfADEAXwAzAF8AXwAyAF8AVABvAHQAYQBsAE4AaQB0AHIAbwBnAGUAbgBFAHgAYwByAGUAdABlAGQAVABvAFAAYQBzAHQAdQByAGUAUgBhAG4AZwBlAEEAbgBkAFAAYQBkAGQAbwBjAGsAXwBMAGEAdABlAHgARQBxAHUAYQB0AGkAbwBuAFwAbgAgACAAPQBMAEEATQBCAEQAQQAoAFwAIgBBAEUAPQBcAFwAcwB1AG0AXwB7AGoAfQBcAFwAcwB1AG0AXwB7AGsAfQBcAFwAcwB1AG0AXwB7AGwAfQAoAE4AXwB7AGoAawBsAH0AXABcAHQAaQBtAGUAcwAgAE4ARQBfAHsAagBrAGwAfQBcAFwAdABpAG0AZQBzACAARABfAGoAKQBcACIAKQA7AFwAbgBcAG4AVgBFAEUAUgBHAF8ANABfADIAXwAxAF8AMwBfAF8AMgBfAFQAbwB0AGEAbABOAGkAdAByAG8AZwBlAG4ARQB4AGMAcgBlAHQAZQBkAFQAbwBQAGEAcwB0AHUAcgBlAFIAYQBuAGcAZQBBAG4AZABQAGEAZABkAG8AYwBrAF8AQQByAGcAdQBtAGUAbgB0AHMAXABuACAAIAA9AEwAQQBNAEIARABBACgAXABuACAAIAAgACAATQBBAEsARQBBAFIAUgBBAFkAKAAzACwAIAAyACwAXABuACAAIAAgACAAIAAgAEwAQQBNAEIARABBACgAcgAsAGMALABcAG4AIAAgACAAIAAgACAAIAAgAEkATgBEAEUAWAAoAHsAXABuACAAIAAgACAAIAAgACAAIAAgACAAXAAiAE4AXwBqAGsAbABcACIALAAgAFwAIgBuAHUAbQBiAGUAcgAgAG8AZgAgAGIAZQBlAGYAIABjAGEAdAB0AGwAZQAgAGIAeQAgAHQAaQBtAGUALQBwAGUAcgBpAG8AZAAsACAAYwBsAGEAcwBzACAAYQBuAGQAIABzAHUAYgBjAGwAYQBzAHMAIAAoAGgAZQBhAGQAKQBcACIAOwBcAG4AIAAgACAAIAAgACAAIAAgACAAIABcACIATgBFAF8AagBrAGwAXAAiACwAIABcACIAbgBpAHQAcgBvAGcAZQBuACAAZQB4AGMAcgBlAHQAZQBkACAAaQBuACAAZQBhAGMAaAAgAHQAaQBtAGUALQBwAGUAcgBpAG8AZAAsACAAYgB5ACAAZQBhAGMAaAAgAGMAbABhAHMAcwAgAGEAbgBkACAAcwB1AGIAYwBsAGEAcwBzACAAKABrAGcAIABOAC8AaABlAGEAZAAvAGQAYQB5ACkAXAAiADsAXABuACAAIAAgACAAIAAgACAAIAAgACAAXAAiAEQAXwBqAFwAIgAsACAAXAAiAG4AdQBtAGIAZQByACAAbwBmACAAZABhAHkAcwAgAGkAbgAgAGUAYQBjAGgAIAB0AGkAbQBlAC0AcABlAHIAaQBvAGQAIAAoAGQAYQB5AHM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QwBQAF8AagBcACIALAAgAFwAIgBjAHIAdQBkAGUAIABwAHIAbwB0AGUAaQBuACAAYwBvAG4AdABlAG4AdAAgAG8AZgAgAGQAcgB5ACAAbQBhAHQAdABlAHIAIABpAG4AdABhAGsAZQBcACIAOwBcAG4AIAAgACAAIAAgACAAIAAgACAAIABcACIATQBDAF8AagBrADEAMwA2AFwAIgAsACAAXAAiAG0AaQBsAGsAIABpAG4AdABhAGsAZQAgACgAawBnAC8AaABlAGEAZAAvAGQAYQB5ACkAXAAiADsAXABuACAAIAAgACAAIAAgACAAIAAgACAAXAAiAE4AUgBfAGoAawBsAFwAIgAsACAAXAAiAHQAaABlACAAYQBtAG8AdQBuAHQAIABvAGYAIABuAGkAdAByAG8AZwBlAG4AIAByAGUAdABhAGkAbgBlAGQAIABiAHkAIAB0AGgAZQAgAGIAbwBkAHkAIAAoAGsAZwAgAE4ALwBoAGUAYQBkAC8AZABhAHkAKQBcACIAOwBcAG4AIAAgACAAIAAgACAAIAAgACAAIABcACIAVwBfAGoAawBsAFwAIgAsACAAXAAiAGwAaQB2AGUAdwBlAGkAZwBoAHQAIAAoAGsAZwAvAGgAZQBhAGQAKQBcACIAOwBcAG4AIAAgACAAIAAgACAAIAAgACAAIABcACIAYgBcACIALAAgAFwAIgBiAHIAZQBlAGQAIABvAGYAIABjAGEAdAB0AGwAZQBcACIAOwBcAG4AIAAgACAAIAAgACAAIAAgACAAIABcACIAcwBcACIALAAgAFwAIgBDAGEAbAB2AGkAbgBnACAAcwBlAGEAcwBvAG4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MgAsAFwAbgAgACAAIAAgACAAIABMAEEATQBCAEQAQQAoAHIALABjACwAXABuACAAIAAgACAAIAAgACAAIABJAE4ARABFAFgAKAB7AFwAbgAgACAAIAAgACAAIAAgACAAIAAgAFwAIgBNAFAAXwBqAGsANQBcACIALAAgAFwAIgBtAGkAbABrACAAcAByAG8AZAB1AGMAdABpAG8AbgAgACgAawBnAC8AaABlAGEAZAAvAGQAYQB5ACkAXAAiADsAXABuACAAIAAgACAAIAAgACAAIAAgACAAXAAiAEwAXwBqAGsAbABcACIALAAgAFwAIgBpAG4AdABhAGsAZQAgAHIAZQBsAGEAdABpAHYAZQAgAHQAbwAgAHQAaABhAHQAIABuAGUAZQBkAGUAZAAgAGYAbwByACAAbQBhAGkAbgB0AGUAbgBhAG4AYwBlAFwAIgA7AFwAbgAgACAAIAAgACAAIAAgACAAIAAgAFwAIgBaAF8AagBrAGwAXAAiACwAIABcACIAcgBlAGwAYQB0AGkAdgBlACAAcwBpAHoAZQBcACIAOwBcAG4AIAAgACAAIAAgACAAIAAgACAAIABcACIATABXAEcAXwBqAGsAbABcACIALAAgAFwAIgBsAGkAdgBlAHcAZQBpAGcAaAB0ACAAZwBhAGkAbgAgACgAawBnAC8AaABlAGEAZAAvAGQAYQB5ACk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Mg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7AFwAbgAgACAAIAAgACAAIAAgACAAIAAgAFwAIgBEAE0AUABfAGoAawA1AFwAIgAsACAAXAAiAGQAYQBpAGwAeQAgAG0AaQBsAGsAIABwAHIAbwBkAHUAYwB0AGkAbwBu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EEAcgBnAHUAbQBlAG4AdABzAFYAYQByAGkAYQB0AGkAbwBuAFwAbgAgACAAPQBMAEEATQBCAEQAQQAoAFwAbgAgACAAIAAgAE0AQQBLAEUAQQBSAFIAQQBZACgANQAsACAAMgAsAFwAbgAgACAAIAAgACAAIABMAEEATQBCAEQAQQAoAHIALABjACwAXABuACAAIAAgACAAIAAgACAAIABJAE4ARABFAFgAKAB7AFwAbgAgACAAIAAgACAAIAAgACAAIAAgAFwAIgBMAEMAXwBqAGsANQBjAHUAcgByAFwAIgAsACAAXAAiAHAAcgBvAHAAbwByAHQAaQBvAG4AIABvAGYAIABjAG8AdwBzACAAZwByAGUAYQB0AGUAcgAgAHQAaABhAG4AIAAyACAAeQBlAGEAcgBzACAAbABhAGMAdABhAHQAaQBuAGcAIABmAG8AcgAgAHQAaABlACAAcwBlAGEAcwBvAG4AIABvAGYAIABjAGEAbAB2AGkAbgBnAFwAIgA7AFwAbgAgACAAIAAgACAAIAAgACAAIAAgAFwAIgBMAEMAXwBqAGsANQBwAHIAZQB2AFwAIgAsACAAXAAiAHAAcgBvAHAAbwByAHQAaQBvAG4AIABvAGYAIABjAG8AdwBzACAAZwByAGUAYQB0AGUAcgAgAHQAaABhAG4AIAAyACAAeQBlAGEAcgBzACAAbABhAGMAdABhAHQAaQBuAGcAIABmAG8AcgAgAHQAaABlACAAcwBlAGEAcwBvAG4AIABhAGYAdABlAHIAIABjAGEAbAB2AGkAbgBnAFwAIgA7AFwAbgAgACAAIAAgACAAIAAgACAAIAAgAFwAIgBEAE0AUABfAGoAawA1AGMAYQBsAHYAXAAiACwAIABcACIAZABhAGkAbAB5ACAAbQBpAGwAawAgAHAAcgBvAGQAdQBjAHQAaQBvAG4AIABmAG8AcgAgAHQAaABlACAAcwBlAGEAcwBvAG4AIABvAGYAIABjAGEAbAB2AGkAbgBnACAAKABrAGcALwBoAGUAYQBkAC8AZABhAHkAKQBcACIAOwBcAG4AIAAgACAAIAAgACAAIAAgACAAIABcACIARABNAFAAXwBqAGsANQBhAGYAdABlAHIAXAAiACwAIABcACIAZABhAGkAbAB5ACAAbQBpAGwAawAgAHAAcgBvAGQAdQBjAHQAaQBvAG4AIABmAG8AcgAgAHQAaABlACAAcwBlAGEAcwBvAG4AIABhAGYAdABlAHIAIABjAGEAbAB2AGkAbgBn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FYAYQByAGkAYQB0AGkAbwBuAFwAbgA9AEwAQQBNAEIARABBACgAXAAiAFYAQQBSAEkAQQBUAEkATwBOACAATwBOACAAUwBPAFUAUgBDAEUAOgAgAFMAcABsAGkAdAAgAEwAQwAgAGEAbgBkACAARABNAFAAIABpAG4AdABvACAAYwBhAGwAdgBpAG4AZwAgAHMAZQBhAHMAbwBuACAAYQBuAGQAIABhAGYAdABlAHIAIABjAGEAbAB2AGkAbgBnACAAcwBlAGEAcwBvAG4AIAB2AGEAbAB1AGUAcwAuAFwAIgApADsAXABuAFwAbgAvACoAXABuAC0ALQAtAC0ALQAtAC0ALQAtAC0ALQAtAC0ALQAtAC0ALQAtAC0ALQAtAC0ALQAtAC0ALQAtAC0ALQAtAC0ALQAtAC0ALQAtAC0ALQBcAG4AVgBFAEUAUgBHAF8ANABfADIAXwAxAF8AMwBfAF8ANgBfAEkAbgB0AGEAawBlAFIAZQBsAGEAdABpAHYAZQBUAG8ATQBhAGkAbgB0AGUAbgBhAG4AYwBlAFwAbgBJAG4AdABhAGsAZQAgAHIAZQBsAGEAdABpAHYAZQAgAHQAbwAgAHQAaABhAHQAIABuAGUAZQBkAGUAZAAgAGYAbwByACAAbQBhAGkAbgB0AGUAbgBhAG4AYwBlAFwAbgBMAF8AagBrAGwAXABuAHIAYQB0AGkAbwBcAG4ATABfAHsAagBrAGwAfQA9AFwAXABmAHIAYQBjAHsASQBfAHsAagBrAGwAfQB9AHsAKAAxAC4AMQA4ADUAKwAwAC4AMAAwADQANQA0AFwAXAB0AGkAbQBlAHMAIABXAF8AewBqAGsAbAB9AC0AMAAuADAAMAAwADAAMAAyADYAXABcAHQAaQBtAGUAcwAgAFcAXwB7AGoAawBsAH0AXgB7ADIAfQApAF4AewAyAH0AfQBcAG4ASQBfAGoAawBsACAAPQAgAGQAcgB5ACAAbQBhAHQAdABlAHIAIABpAG4AdABhAGsAZQAgAGEAcwAgAGMAYQBsAGMAdQBsAGEAdABlAGQAIABpAG4AIABDAGgAYQBwAHQAZQByACAAMwAgAFMAZQBjAHQAaQBvAG4AIAAzAC4AMgAuADEAIAAoAGsAZwAgAEQATQAvAGgAZQBhAGQALwBkAGEAeQApAFwAbgBXAF8AagBrAGwAIAA9ACAAbABpAHYAZQB3AGUAaQBnAGgAdAAgACgAawBnAC8AaABlAGEAZAApAFwAbgAtAC0ALQAtAC0ALQAtAC0ALQAtAC0ALQAtAC0ALQAtAC0ALQAtAC0ALQAtAC0ALQAtAC0ALQAtAC0ALQAtAC0ALQAtAC0ALQAtAC0AXABuACoALwBcAG4AXABuAFYARQBFAFIARwBfADQAXwAyAF8AMQBfADMAXwBfADYAXwBJAG4AdABhAGsAZQBSAGUAbABhAHQAaQB2AGUAVABvAE0AYQBpAG4AdABlAG4AYQBuAGMAZQBcAG4AIAAgAD0ATABBAE0AQgBEAEEAKABcAG4AIAAgACAAIABJAF8AagBrAGwALAAgAFcAXwBqAGsAbAAsAFwAbgAgACAAIAAgAEkAXwBqAGsAbAAgAC8AIAAoACgAMQAuADEAOAA1ACAAKwAgADAALgAwADAANAA1ADQAIAAqACAAVwBfAGoAawBsACAALQAgADAALgAwADAAMAAwADAAMgA2ACAAKgAgAFcAXwBqAGsAbAAgAF4AIAAyACkAIABeACAAMgApAFwAbgAgACAAKQA7AFwAbgBcAG4AVgBFAEUAUgBHAF8ANABfADIAXwAxAF8AMwBfAF8ANgBfAEkAbgB0AGEAawBlAFIAZQBsAGEAdABpAHYAZQBUAG8ATQBhAGkAbgB0AGUAbgBhAG4AYwBlAF8AVABpAHQAbABlAFwAbgAgACAAPQBMAEEATQBCAEQAQQAoAFwAIgBJAG4AdABhAGsAZQAgAHIAZQBsAGEAdABpAHYAZQAgAHQAbwAgAHQAaABhAHQAIABuAGUAZQBkAGUAZAAgAGYAbwByACAAbQBhAGkAbgB0AGUAbgBhAG4AYwBlAFwAIgApADsAXABuAFwAbgBWAEUARQBSAEcAXwA0AF8AMgBfADEAXwAzAF8AXwA2AF8ASQBuAHQAYQBrAGUAUgBlAGwAYQB0AGkAdgBlAFQAbwBNAGEAaQBuAHQAZQBuAGEAbgBjAGUAXwBWAGEAcgBpAGEAYgBsAGUAXABuACAAIAA9AEwAQQBNAEIARABBACgAXAAiAEwAXwBqAGsAbABcACIAKQA7AFwAbgBcAG4AVgBFAEUAUgBHAF8ANABfADIAXwAxAF8AMwBfAF8ANgBfAEkAbgB0AGEAawBlAFIAZQBsAGEAdABpAHYAZQBUAG8ATQBhAGkAbgB0AGUAbgBhAG4AYwBlAF8AVQBuAGkAdABcAG4AIAAgAD0ATABBAE0AQgBEAEEAKABcACIAcgBhAHQAaQBvAFwAIgApADsAXABuAFwAbgBWAEUARQBSAEcAXwA0AF8AMgBfADEAXwAzAF8AXwA2AF8ASQBuAHQAYQBrAGUAUgBlAGwAYQB0AGkAdgBlAFQAbwBNAGEAaQBuAHQAZQBuAGEAbgBjAGUAXwBTAG8AdQByAGMAZQBcAG4AIAAgAD0ATABBAE0AQgBEAEEAKABcACIAVgBFAEUAUgBHACAAMgAwADIANgA6ACAANAAuADIALgAxAC4AMwAsACAARQBxAHUAYQB0AGkAbwBuACAAKAA2ACkAXAAiACkAOwBcAG4AXABuAFYARQBFAFIARwBfADQAXwAyAF8AMQBfADMAXwBfADYAXwBJAG4AdABhAGsAZQBSAGUAbABhAHQAaQB2AGUAVABvAE0AYQBpAG4AdABlAG4AYQBuAGMAZQBfAE4ASQBSAFIAZQBmAGUAcgBlAG4AYwBlAFwAbgAgACAAPQBMAEEATQBCAEQAQQAoAFwAIgBcACIAKQA7AFwAbgBcAG4AVgBFAEUAUgBHAF8ANABfADIAXwAxAF8AMwBfAF8ANgBfAEkAbgB0AGEAawBlAFIAZQBsAGEAdABpAHYAZQBUAG8ATQBhAGkAbgB0AGUAbgBhAG4AYwBlAF8ATABhAHQAZQB4AEUAcQB1AGEAdABpAG8AbgBcAG4AIAAgAD0ATABBAE0AQgBEAEEAKABcACIATABfAHsAagBrAGwAfQA9AFwAXABmAHIAYQBjAHsASQBfAHsAagBrAGwAfQB9AHsAKAAxAC4AMQA4ADUAKwAwAC4AMAAwADQANQA0AFwAXAB0AGkAbQBlAHMAIABXAF8AewBqAGsAbAB9AC0AMAAuADAAMAAwADAAMAAyADYAXABcAHQAaQBtAGUAcwAgAFcAXwB7AGoAawBsAH0AXgB7ADIAfQApAF4AewAyAH0AfQBcACIAKQA7AFwAbgBcAG4AVgBFAEUAUgBHAF8ANABfADIAXwAxAF8AMwBfAF8ANgBfAEkAbgB0AGEAawBlAFIAZQBsAGEAdABpAHYAZQBUAG8ATQBhAGkAbgB0AGUAbgBhAG4AYwBlAF8AQQByAGcAdQBtAGUAbgB0AHMAXABuACAAIAA9AEwAQQBNAEIARABBACgAXABuACAAIAAgACAATQBBAEsARQBBAFIAUgBBAFkAKAAy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VwBfAGoAawBsAFwAIgAsACAAXAAiAGwAaQB2AGUAdwBlAGkAZwBoAHQAIAAoAGsAZwAvAGgAZQBhAGQ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MgAsAFwAbgAgACAAIAAgACAAIABMAEEATQBCAEQAQQAoAHIALABjACwAXABuACAAIAAgACAAIAAgACAAIABJAE4ARABFAFgAKAB7AFwAbgAgACAAIAAgACAAIAAgACAAIAAgAFwAIgBXAF8AagBrAGwAXAAiACwAIABcACIAbABpAHYAZQB3AGUAaQBnAGgAdAAgACgAawBnACkAXAAiADsAXABuACAAIAAgACAAIAAgACAAIAAgACAAXAAiAFMAUgBXAF8AawBcACIALAAgAFwAIgBzAHQAYQBuAGQAYQByAGQAIAByAGUAZgBlAHIAZQBuAGMAZQAgAHcAZQBpAGcAaAB0ACAAKABrAGcAKQBcACIAOwBcAG4AIAAgACAAIAAgACAAIAAgACAAIABcACIAaQBcACIALAAgAFwAIgBzAHQAYQB0AGUAXAAiAFwAbgAgACAAIAAgACAAIAAgACAAfQAsACAAcgAsACAAYwApAFwAbgAgACAAIAAgACAAIAApAFwAbgAgACAAIAAgACkAXABuACAAIAApADsAXABuACIAfQAsAHsAIgBwAGEAdABoACIAOgAiAC8AcAByAG8AagBlAGMAdABzAC8ATQBNAFMAXwBQAGEAcwB0AHUAcgBlAEIAZQBlAGY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1ACAATQBlAHQAaABvAGQAIAAxACAALQAgAFMAbwBpAGwAIABBAHQAbQBvAHMAcABoAGUAcgBpAGMAIABEAGUAcABvAHMAaQB0AGkAbwBu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U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B9AFwAXAB0AGkAbQBlAHMAIABFAEYAXwB7AE4AMgBPAH0AXABcAHQAaQBtAGUAcwAgAEMAXwB7AE4AMgBPAH0AXABcAHQAaQBtAGUAcwAgADEAMABeAHsALQAzAH0AXABuAE0AXwB2AG8Ab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gBfADEAXwA1AF8AXwAxAF8AQQB0AG0AbwBzAHAAaABlAHIAaQBjAEQAZQBwAG8AcwBpAHQAaQBvAG4ARQBtAGkAcwBzAGkAbwBuAHMARgByAG8AbQBVAHIAaQBuAGUAQQBuAGQARAB1AG4AZwBPAG4AUABhAHMAdAB1AHIAZQBcAG4AIAAgAD0ATABBAE0AQgBEAEEAKABcAG4AIAAgACAAIABNAF8AdgBvAGwALAAgAEUARgBfAE4AMgBPACwAIABDAF8ATgAyAE8ALABcAG4AIAAgACAAIABNAF8AdgBvAGwAIAAqACAARQBGAF8ATgAyAE8AIAAqACAAQwBfAE4AMgBPACAAKgAgADEAMAAgAF4AIAAtADMAXABuACAAIAApADsAXABuAFwAbgBWAEUARQBSAEcAXwA0AF8AMgBfADEAXwA1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IAXwAxAF8ANQ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yAF8AMQBfADUAXwBfADEAXwBBAHQAbQBvAHMAcABoAGUAcgBpAGMARABlAHAAbwBzAGkAdABpAG8AbgBFAG0AaQBzAHMAaQBvAG4AcwBGAHIAbwBtAFUAcgBpAG4AZQBBAG4AZABEAHUAbgBnAE8AbgBQAGEAcwB0AHUAcgBlAF8AVQBuAGkAdABcAG4AIAAgAD0ATABBAE0AQgBEAEEAKABcACIAdAAgAE4AMgBPAFwAIgApADsAXABuAFwAbgBWAEUARQBSAEcAXwA0AF8AMgBfADEAXwA1AF8AXwAxAF8AQQB0AG0AbwBzAHAAaABlAHIAaQBjAEQAZQBwAG8AcwBpAHQAaQBvAG4ARQBtAGkAcwBzAGkAbwBuAHMARgByAG8AbQBVAHIAaQBuAGUAQQBuAGQARAB1AG4AZwBPAG4AUABhAHMAdAB1AHIAZQBfAFMAbwB1AHIAYwBlAFwAbgAgACAAPQBMAEEATQBCAEQAQQAoAFwAIgBWAEUARQBSAEcAIAAyADAAMgA2ADoAIAA0AC4AMgAuADEALgA1ACwAIABFAHEAdQBhAHQAaQBvAG4AIAAoADEAKQBcACIAKQA7AFwAbgBcAG4AVgBFAEUAUgBHAF8ANABfADIAXwAxAF8ANQBfAF8AMQBfAEEAdABtAG8AcwBwAGgAZQByAGkAYwBEAGUAcABvAHMAaQB0AGkAbwBuAEUAbQBpAHMAcwBpAG8AbgBzAEYAcgBvAG0AVQByAGkAbgBlAEEAbgBkAEQAdQBuAGcATwBuAFAAYQBzAHQAdQByAGUAXwBOAEkAUgBSAGUAZgBlAHIAZQBuAGMAZQBcAG4AIAAgAD0ATABBAE0AQgBEAEEAKABcACIAXAAiACkAOwBcAG4AXABuAFYARQBFAFIARwBfADQAXwAyAF8AMQBfADUAXwBfADEAXwBBAHQAbQBvAHMAcABoAGUAcgBpAGMARABlAHAAbwBzAGkAdABpAG8AbgBFAG0AaQBzAHMAaQBvAG4AcwBGAHIAbwBtAFUAcgBpAG4AZQBBAG4AZABEAHUAbgBnAE8AbgBQAGEAcwB0AHUAcgBlAF8ATABhAHQAZQB4AEUAcQB1AGEAdABpAG8AbgBcAG4AIAAgAD0ATABBAE0AQgBEAEEAKABcACIARQBfAHsATgAyAE8ALABhAGQAfQA9AE0AXwB7AHYAbwBsAH0AXABcAHQAaQBtAGUAcwAgAEUARgBfAHsATgAyAE8AfQBcAFwAdABpAG0AZQBzACAAQwBfAHsATgAyAE8AfQBcAFwAdABpAG0AZQBzACAAMQAwAF4AewAtADMAfQBcACIAKQA7AFwAbgBcAG4AVgBFAEUAUgBHAF8ANABfADIAXwAxAF8ANQBfAF8AMQBfAEEAdABtAG8AcwBwAGgAZQByAGkAYwBEAGUAcABvAHMAaQB0AGkAbwBuAEUAbQBpAHMAcwBpAG8AbgBzAEYAcgBvAG0AVQByAGkAbgBlAEEAbgBkAEQAdQBuAGcATwBuAFAAYQBzAHQAdQByAGUAXwBBAHIAZwB1AG0AZQBuAHQAcwBcAG4AIAAgAD0ATABBAE0AQgBEAEEAKABcAG4AIAAgACAAIABNAEEASwBFAEEAUgBSAEEAWQAoADYALAAgADIALABcAG4AIAAgACAAIAAgACAATABBAE0AQgBEAEEAKAByACwAYwAsAFwAbgAgACAAIAAgACAAIAAgACAASQBOAEQARQBYACgAewBcAG4AIAAgACAAIAAgACAAIAAgACAAIABcACIATQBfAHYAbwBsAFwAIgAsACAAXAAiAG0AYQBzAHMAIABvAGYAIABuAGkAdAByAG8AZwBlAG4AIAB2AG8AbABhAHQAaQBsAGkAcwBlAGQAIABmAHIAbwBtACAAdQByAGkAbgBlACAAYQBuAGQAIABmAGEAZQBjAGUAcwAgAGQAZQBwAG8AcwBpAHQAZQBkACAAbwBuACAAcABhAHMAdAB1AHIAZQAgACgAawBnACAATgApAFwAIgA7AFwAbgAgACAAIAAgACAAIAAgACAAIAAgAFwAIgBFAEYAXwBOADIATwBcACIALAAgAFwAIgBuAGkAdAByAG8AdQBzACAAbwB4AGkAZABlACAAZQBtAGkAcwBzAGkAbwBuACAAZgBhAGMAdABvAHIAIABmAG8AcgAgAGEAdABtAG8AcwBwAGgAZQByAGkAYwAgAGQAZQBwAG8AcwBpAHQAaQBvAG4AIAAoAGsAZwAgAE4AMgBPAC0ATgAvAGsAZwAgAE4AKQBcACIAOwBcAG4AIAAgACAAIAAgACAAIAAgACAAIABcACIAQwBfAE4AMgBPAFwAIgAsACAAXAAiAGYAYQBjAHQAbwByACAAdABvACAAYwBvAG4AdgBlAHIAdAAgAGUAbABlAG0AZQBuAHQAYQBsACAAbQBhAHMAcwAgAG8AZgAgAE4AMgBPACAAdABvACAAbQBvAGwAZQBjAHUAbABhAHIAIABtAGEAcwBzAFwAIgA7AFwAbgAgACAAIAAgACAAIAAgACAAIAAgAFwAIgBqAFwAIgAsACAAXAAiAHAAcgBvAGQAdQBjAHQAaQBvAG4AIABzAHkAcwB0AGUAbQBcACIAOwBcAG4AIAAgACAAIAAgACAAIAAgACAAIABcACIAaQBcACIALAAgAFwAIgBpAHIAcgBpAGcAYQB0AGkAbwBuACAAbQBlAHQAaABvAGQAXAAiADsAXABuACAAIAAgACAAIAAgACAAIAAgACAAXAAiAHIAXAAiACwAIABcACIAcgBhAGkAbgBmAGEAbABsACAAegBvAG4AZQBcACIAXABuACAAIAAgACAAIAAgACAAIAB9ACwAIAByACwAIABjACkAXABuACAAIAAgACAAIAAgACkAXABuACAAIAAgACAAKQBcAG4AIAAgACkAOwBcAG4AXABuAC8AKgBcAG4ALQAtAC0ALQAtAC0ALQAtAC0ALQAtAC0ALQAtAC0ALQAtAC0ALQAtAC0ALQAtAC0ALQAtAC0ALQAtAC0ALQAtAC0ALQAtAC0ALQAtAFwAbgBWAEUARQBSAEcAXwA0AF8AMgBfADEAXwA1AF8AXwAyAF8ATQBhAHMAcwBPAGYATgBpAHQAcgBvAGcAZQBuAFYAbwBsAGEAdABpAGwAaQBzAGUAZABPAG4AUABhAHMAdAB1AHIAZQBcAG4ATQBhAHMAcwAgAG8AZgAgAG4AaQB0AHIAbwBnAGUAbgAgAHYAbwBsAGEAdABpAGwAaQBzAGUAZABcAG4ATQBfAHYAbwBsAFwAbgBrAGcAIABOAFwAbgBNAF8AewB2AG8AbAB9AD0AQQBFAFwAXAB0AGkAbQBlAHMAIABGAHIAYQBjAEcAQQBTAE0AcwBvAGkAbABcAG4AQQBFACAAPQAgAHQAbwB0AGEAbAAgAG0AYQBzAHMAIABvAGYAIABuAGkAdAByAG8AZwBlAG4AIABlAHgAYwByAGUAdABlAGQAIABvAG4AIABQAFIAUAAgAGYAbwByACAAYgBlAGUAZgAgAGMAYQB0AHQAbABlACAAKABrAGcAIABOACkAXABuAEYAcgBhAGMARwBBAFMATQBzAG8AaQBsACAAPQAgAGYAcgBhAGMAdABpAG8AbgAgAG8AZgAgAG4AaQB0AHIAbwBnAGUAbgAgAHYAbwBsAGEAdABpAGwAaQBzAGUAZAAgAGYAcgBvAG0AIAB1AHIAaQBuAGUAIABhAG4AZAAgAGYAYQBlAGMAZQBzACAAZABlAHAAbwBzAGkAdABlAGQAIABvAG4AIABwAGEAcwB0AHUAcgBlACAAKAAoAGsAZwAgAE4ASAAzAC0ATgAgACsAIABOAE8AeAAtAE4AKQAvAGsAZwAgAE4AKQBcAG4ALQAtAC0ALQAtAC0ALQAtAC0ALQAtAC0ALQAtAC0ALQAtAC0ALQAtAC0ALQAtAC0ALQAtAC0ALQAtAC0ALQAtAC0ALQAtAC0ALQAtAFwAbgAqAC8AXABuAFwAbgBWAEUARQBSAEcAXwA0AF8AMgBfADEAXwA1AF8AXwAyAF8ATQBhAHMAcwBPAGYATgBpAHQAcgBvAGcAZQBuAFYAbwBsAGEAdABpAGwAaQBzAGUAZABPAG4AUABhAHMAdAB1AHIAZQBcAG4AIAAgAD0ATABBAE0AQgBEAEEAKABcAG4AIAAgACAAIABBAEUALAAgAEYAcgBhAGMARwBBAFMATQBzAG8AaQBsACwAXABuACAAIAAgACAAQQBFACAAKgAgAEYAcgBhAGMARwBBAFMATQBzAG8AaQBsAFwAbgAgACAAKQA7AFwAbgBcAG4AVgBFAEUAUgBHAF8ANABfADIAXwAxAF8ANQBfAF8AMgBfAE0AYQBzAHMATwBmAE4AaQB0AHIAbwBnAGUAbgBWAG8AbABhAHQAaQBsAGkAcwBlAGQATwBuAFAAYQBzAHQAdQByAGUAXwBUAGkAdABsAGUAXABuACAAIAA9AEwAQQBNAEIARABBACgAXAAiAE0AYQBzAHMAIABvAGYAIABuAGkAdAByAG8AZwBlAG4AIAB2AG8AbABhAHQAaQBsAGkAcwBlAGQAXAAiACkAOwBcAG4AXABuAFYARQBFAFIARwBfADQAXwAyAF8AMQBfADUAXwBfADIAXwBNAGEAcwBzAE8AZgBOAGkAdAByAG8AZwBlAG4AVgBvAGwAYQB0AGkAbABpAHMAZQBkAE8AbgBQAGEAcwB0AHUAcgBlAF8AVgBhAHIAaQBhAGIAbABlAFwAbgAgACAAPQBMAEEATQBCAEQAQQAoAFwAIgBNAF8AdgBvAGwAXAAiACkAOwBcAG4AXABuAFYARQBFAFIARwBfADQAXwAyAF8AMQBfADUAXwBfADIAXwBNAGEAcwBzAE8AZgBOAGkAdAByAG8AZwBlAG4AVgBvAGwAYQB0AGkAbABpAHMAZQBkAE8AbgBQAGEAcwB0AHUAcgBlAF8AVQBuAGkAdABcAG4AIAAgAD0ATABBAE0AQgBEAEEAKABcACIAawBnACAATgBcACIAKQA7AFwAbgBcAG4AVgBFAEUAUgBHAF8ANABfADIAXwAxAF8ANQBfAF8AMgBfAE0AYQBzAHMATwBmAE4AaQB0AHIAbwBnAGUAbgBWAG8AbABhAHQAaQBsAGkAcwBlAGQATwBuAFAAYQBzAHQAdQByAGUAXwBTAG8AdQByAGMAZQBcAG4AIAAgAD0ATABBAE0AQgBEAEEAKABcACIAVgBFAEUAUgBHACAAMgAwADIANgA6ACAANAAuADIALgAxAC4ANQAsACAARQBxAHUAYQB0AGkAbwBuACAAKAAyACkAXAAiACkAOwBcAG4AXABuAFYARQBFAFIARwBfADQAXwAyAF8AMQBfADUAXwBfADIAXwBNAGEAcwBzAE8AZgBOAGkAdAByAG8AZwBlAG4AVgBvAGwAYQB0AGkAbABpAHMAZQBkAE8AbgBQAGEAcwB0AHUAcgBlAF8ATgBJAFIAUgBlAGYAZQByAGUAbgBjAGUAXABuACAAIAA9AEwAQQBNAEIARABBACgAXAAiAFwAIgApADsAXABuAFwAbgBWAEUARQBSAEcAXwA0AF8AMgBfADEAXwA1AF8AXwAyAF8ATQBhAHMAcwBPAGYATgBpAHQAcgBvAGcAZQBuAFYAbwBsAGEAdABpAGwAaQBzAGUAZABPAG4AUABhAHMAdAB1AHIAZQBfAEwAYQB0AGUAeABFAHEAdQBhAHQAaQBvAG4AXABuACAAIAA9AEwAQQBNAEIARABBACgAXAAiAE0AXwB7AHYAbwBsAH0APQBBAEUAXABcAHQAaQBtAGUAcwAgAEYAcgBhAGMARwBBAFMATQBzAG8AaQBsAFwAIgApADsAXABuAFwAbgBWAEUARQBSAEcAXwA0AF8AMgBfADEAXwA1AF8AXwAyAF8ATQBhAHMAcwBPAGYATgBpAHQAcgBvAGcAZQBuAFYAbwBsAGEAdABpAGwAaQBzAGUAZABPAG4AUABhAHMAdAB1AHIAZQBfAEEAcgBnAHUAbQBlAG4AdABzAFwAbgAgACAAPQBMAEEATQBCAEQAQQAoAFwAbgAgACAAIAAgAE0AQQBLAEUAQQBSAFIAQQBZACgAM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HAEEAUwBNAHMAbwBpAGwAXAAiACwAIABcACIAZgByAGEAYwB0AGkAbwBuACAAbwBmACAAbgBpAHQAcgBvAGcAZQBuACAAdgBvAGwAYQB0AGkAbABpAHMAZQBkACAAZgByAG8AbQAgAHUAcgBpAG4AZQAgAGEAbgBkACAAZgBhAGUAYwBlAHMAIABkAGUAcABvAHMAaQB0AGUAZAAgAG8AbgAgAHAAYQBzAHQAdQByAGUAIAAoACgAawBnACAATgBIADMALQBOACAAKwAgAE4ATwB4AC0ATgApAC8AawBnACAATgAp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I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IAAoAGsAZwAgAE4AKQBcACIAOwBcAG4AIAAgACAAIAAgACAAIAAgACAAIABcACIARQBGAF8AbABlAGEAYwBoAFwAIgAsACAAXAAiAGUAbQBpAHMAcwBpAG8AbgAgAGYAYQBjAHQAbwByACAAZgBvAHIAIABsAGUAYQBjAGgAaQBuAGcAIABhAG4AZAAgAHIAdQBuAG8AZgBmACAAKABrAGcAIABOADIATwAtAE4ALwBrAGcAIABOACkAXAAiADsAXABuACAAIAAgACAAIAAgACAAIAAgACAAXAAiAEMAXwBOADIATwBcACIALAAgAFwAIgBmAGEAYwB0AG8AcgAgAHQAbwAgAGMAbwBuAHYAZQByAHQAIABlAGwAZQBtAGUAbgB0AGEAbAAgAG0AYQBzAHMAIABvAGYAIABOADIATwAgAHQAbwAgAG0AbwBsAGUAYwB1AGwAYQByACAAbQBhAHMAcwBcACIAXABuACAAIAAgACAAIAAgACAAIAB9ACwAIAByACwAIABjACkAXABuACAAIAAgACAAIAAgACkAXABuACAAIAAgACAAKQBcAG4AIAAgACkAOwBcAG4AXABuAC8AKgBcAG4ALQAtAC0ALQAtAC0ALQAtAC0ALQAtAC0ALQAtAC0ALQAtAC0ALQAtAC0ALQAtAC0ALQAtAC0ALQAtAC0ALQAtAC0ALQAtAC0ALQAtAFwAbgBWAEUARQBSAEcAXwA0AF8AMgBfADEAXwA3AF8AXwAyAF8ATQBhAHMAcwBPAGYATgBpAHQAcgBvAGcAZQBuAEwAbwBzAHQAVABvAEwAZQBhAGMAaABpAG4AZwBBAG4AZABSAHUAbgBvAGYAZgBPAG4AUABhAHMAdAB1AHIAZQBcAG4ATQBhAHMAcwAgAG8AZgAgAG4AaQB0AHIAbwBnAGUAbgAgAGwAbwBzAHQAIAB0AG8AIABsAGUAYQBjAGgAaQBuAGcAIABhAG4AZAAgAHIAdQBuAG8AZgBmAFwAbgBNAF8AbABlAGEAYwBoAFwAbgBrAGcAIABOAFwAbgBNAF8AewBsAGUAYQBjAGgAfQA9AEEARQBcAFwAdABpAG0AZQBzACAARgByAGEAYwBXAGUAdABcAFwAdABpAG0AZQBzACAARgByAGEAYwBMAEUAQQBDAEgAXABuAEEARQAgAD0AIAB0AG8AdABhAGwAIABtAGEAcwBzACAAbwBmACAAbgBpAHQAcgBvAGcAZQBuACAAZQB4AGMAcgBlAHQAZQBkACAAbwBuACAAUABSAFAAIABmAG8AcgAgAGIAZQBlAGYAIABjAGEAdAB0AGwAZQAgACgAawBnACAATgApAFwAbgBGAHIAYQBjAFcAZQB0ACAAPQAgAGYAcgBhAGMAdABpAG8AbgAgAG8AZgAgAE4AIABhAHYAYQBpAGwAYQBiAGwAZQAgAGYAbwByACAAbABlAGEAYwBoAGkAbgBnACAAYQBuAGQAIAByAHUAbgBvAGYAZgBcAG4ARgByAGEAYwBMAEUAQQBDAEgAIAA9ACAAZgByAGEAYwB0AGkAbwBuACAAbwBmACAAYQBsAGwAIABOACAAdABoAGEAdAAgAGkAcwAgAGwAbwBzAHQAIAB0AGgAcgBvAHUAZwBoACAAbABlAGEAYwBoAGkAbgBnACAAYQBuAGQAIAByAHUAbgBvAGYAZgBcAG4ALQAtAC0ALQAtAC0ALQAtAC0ALQAtAC0ALQAtAC0ALQAtAC0ALQAtAC0ALQAtAC0ALQAtAC0ALQAtAC0ALQAtAC0ALQAtAC0ALQAtAFwAbgAqAC8AXABuAFwAbgBWAEUARQBSAEcAXwA0AF8AMgBfADEAXwA3AF8AXwAyAF8ATQBhAHMAcwBPAGYATgBpAHQAcgBvAGcAZQBuAEwAbwBzAHQAVABvAEwAZQBhAGMAaABpAG4AZwBBAG4AZABSAHUAbgBvAGYAZgBPAG4AUABhAHMAdAB1AHIAZQBcAG4AIAAgAD0ATABBAE0AQgBEAEEAKABcAG4AIAAgACAAIABBAEUALAAgAEYAcgBhAGMAVwBlAHQALAAgAEYAcgBhAGMATABFAEEAQwBIACwAXABuACAAIAAgACAAQQBFACAAKgAgAEYAcgBhAGMAVwBlAHQAIAAqACAARgByAGEAYwBMAEUAQQBDAEgAXABuACAAIAApADsAXABuAFwAbgBWAEUARQBSAEcAXwA0AF8AMgBfADEAXwA3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FwAIgApADsAXABuAFwAbgBWAEUARQBSAEcAXwA0AF8AMgBfADEAXwA3AF8AXwAyAF8ATQBhAHMAcwBPAGYATgBpAHQAcgBvAGcAZQBuAEwAbwBzAHQAVABvAEwAZQBhAGMAaABpAG4AZwBBAG4AZABSAHUAbgBvAGYAZgBPAG4AUABhAHMAdAB1AHIAZQBfAFYAYQByAGkAYQBiAGwAZQBcAG4AIAAgAD0ATABBAE0AQgBEAEEAKABcACIATQBfAGwAZQBhAGMAaABcACIAKQA7AFwAbgBcAG4AVgBFAEUAUgBHAF8ANABfADIAXwAxAF8ANwBfAF8AMgBfAE0AYQBzAHMATwBmAE4AaQB0AHIAbwBnAGUAbgBMAG8AcwB0AFQAbwBMAGUAYQBjAGgAaQBuAGcAQQBuAGQAUgB1AG4AbwBmAGYATwBuAFAAYQBzAHQAdQByAGUAXwBVAG4AaQB0AFwAbgAgACAAPQBMAEEATQBCAEQAQQAoAFwAIgBrAGcAIABOAFwAIgApADsAXABuAFwAbgBWAEUARQBSAEcAXwA0AF8AMgBfADEAXwA3AF8AXwAyAF8ATQBhAHMAcwBPAGYATgBpAHQAcgBvAGcAZQBuAEwAbwBzAHQAVABvAEwAZQBhAGMAaABpAG4AZwBBAG4AZABSAHUAbgBvAGYAZgBPAG4AUABhAHMAdAB1AHIAZQBfAFMAbwB1AHIAYwBlAFwAbgAgACAAPQBMAEEATQBCAEQAQQAoAFwAIgBWAEUARQBSAEcAIAAyADAAMgA2ADoAIAA0AC4AMgAuADEALgA3ACwAIABFAHEAdQBhAHQAaQBvAG4AIAAoADIAKQBcACIAKQA7AFwAbgBcAG4AVgBFAEUAUgBHAF8ANABfADIAXwAxAF8ANwBfAF8AMgBfAE0AYQBzAHMATwBmAE4AaQB0AHIAbwBnAGUAbgBMAG8AcwB0AFQAbwBMAGUAYQBjAGgAaQBuAGcAQQBuAGQAUgB1AG4AbwBmAGYATwBuAFAAYQBzAHQAdQByAGUAXwBOAEkAUgBSAGUAZgBlAHIAZQBuAGMAZQBcAG4AIAAgAD0ATABBAE0AQgBEAEEAKABcACIAXAAiACkAOwBcAG4AXABuAFYARQBFAFIARwBfADQAXwAyAF8AMQBfADcAXwBfADIAXwBNAGEAcwBzAE8AZgBOAGkAdAByAG8AZwBlAG4ATABvAHMAdABUAG8ATABlAGEAYwBoAGkAbgBnAEEAbgBkAFIAdQBuAG8AZgBmAE8AbgBQAGEAcwB0AHUAcgBlAF8ATABhAHQAZQB4AEUAcQB1AGEAdABpAG8AbgBcAG4AIAAgAD0ATABBAE0AQgBEAEEAKABcACIATQBfAHsAbABlAGEAYwBoAH0APQBBAEUAXABcAHQAaQBtAGUAcwAgAEYAcgBhAGMAVwBlAHQAXABcAHQAaQBtAGUAcwAgAEYAcgBhAGMATABFAEEAQwBIAFwAIgApADsAXABuAFwAbgBWAEUARQBSAEcAXwA0AF8AMgBfADEAXwA3AF8AXwAyAF8ATQBhAHMAcwBPAGYATgBpAHQAcgBvAGcAZQBuAEwAbwBzAHQAVABvAEwAZQBhAGMAaABpAG4AZwBBAG4AZABSAHUAbgBvAGYAZgBPAG4AUABhAHMAdAB1AHIAZQBfAEEAcgBnAHUAbQBlAG4AdABzAFwAbgAgACAAPQBMAEEATQBCAEQAQQAoAFwAbgAgACAAIAAgAE0AQQBLAEUAQQBSAFIAQQBZACgAN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XAGUAdABcACIALAAgAFwAIgBmAHIAYQBjAHQAaQBvAG4AIABvAGYAIABOACAAYQB2AGEAaQBsAGEAYgBsAGUAIABmAG8AcgAgAGwAZQBhAGMAaABpAG4AZwAgAGEAbgBkACAAcgB1AG4AbwBmAGYAXAAiADsAXABuACAAIAAgACAAIAAgACAAIAAgACAAXAAiAEYAcgBhAGMATABFAEEAQwBIAFwAIgAsACAAXAAiAGYAcgBhAGMAdABpAG8AbgAgAG8AZgAgAGEAbABsACAATgAgAHQAaABhAHQAIABpAHMAIABsAG8AcwB0ACAAdABoAHIAbwB1AGcAaAAgAGwAZQBhAGMAaABpAG4AZwAgAGEAbgBkACAAcgB1AG4AbwBmAGYAXAAiADsAXABuACAAIAAgACAAIAAgACAAIAAgACAAXAAiAHoAXAAiACwAIABcACIAbABvAGMAYQB0AGkAbwBuACAAaQBuACAAbABlAGEAYwBoAGkAbgBnACAAegBvAG4AZQBcACIAOwBcAG4AIAAgACAAIAAgACAAIAAgACAAIABcACIAagBcACIALAAgAFwAIgBwAHIAbwBkAHUAYwB0AGkAbwBuACAAcwB5AHMAdABlAG0AXAAiADsAXABuACAAIAAgACAAIAAgACAAIAAgACAAXAAiAGkAcgBcACIALAAgAFwAIgBpAHIAcgBpAGcAYQB0AGkAbwBuACAAbQBlAHQAaABvAGQAXAAiAFwAbgAgACAAIAAgACAAIAAgACAAfQAsACAAcgAsACAAYwApAFwAbgAgACAAIAAgACAAIAApAFwAbgAgACAAIAAgACkAXABuACAAIAApADs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0ATQBTAF8AUABhAHMAdAB1AHIAZQBCAGUAZQBmAF8ATQBlAHQAaABhAG4AZQBfAEUAcQB1AGEAdABpAG8AbgBzAC4AVgBFAEUAUgBHAF8ANABfADIAXwAxAF8AMQBfAF8AMQBfAFQAbwB0AGEAbABBAG4AbgB1AGEAbABNAGUAdABoAGEAbgBlAFAAcgBvAGQAdQBjAHQAaQBvAG4ARgByAG8AbQBNAGEAbgB1AHIAZQBNAGEAbgBhAGcAZQBtAGUAbgB0ACIALAAiAE0ATQBTAF8AUABhAHMAdAB1AHIAZQBCAGUAZQBmAF8ATQBlAHQAaABhAG4AZQBfAEUAcQB1AGEAdABpAG8AbgBzAC4AVgBFAEUAUgBHAF8ANABfADIAXwAxAF8AMQBfAF8AMQBfAFQAbwB0AGEAbABBAG4AbgB1AGEAbABNAGUAdABoAGEAbgBlAFAAcgBvAGQAdQBjAHQAaQBvAG4ARgByAG8AbQBNAGEAbgB1AHIAZQBNAGEAbgBhAGcAZQBtAGUAbgB0AF8AVABpAHQ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gBhAHIAaQBhAGI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QBuAGkAdAAiACwAIgBNAE0AUwBfAFAAYQBzAHQAdQByAGUAQgBlAGUAZgBfAE0AZQB0AGgAYQBuAGUAXwBFAHEAdQBhAHQAaQBvAG4AcwAuAFYARQBFAFIARwBfADQAXwAyAF8AMQBfADEAXwBfADEAXwBUAG8AdABhAGwAQQBuAG4AdQBhAGwATQBlAHQAaABhAG4AZQBQAHIAbwBkAHUAYwB0AGkAbwBuAEYAcgBvAG0ATQBhAG4AdQByAGUATQBhAG4AYQBnAGUAbQBlAG4AdABfAFMAbwB1AHIAYwBlACIALAAiAE0ATQBTAF8AUABhAHMAdAB1AHIAZQBCAGUAZQBmAF8ATQBlAHQAaABhAG4AZQBfAEUAcQB1AGEAdABpAG8AbgBzAC4AVgBFAEUAUgBHAF8ANABfADIAXwAxAF8AMQBfAF8AMQBfAFQAbwB0AGEAbABBAG4AbgB1AGEAbABNAGUAdABoAGEAbgBlAFAAcgBvAGQAdQBjAHQAaQBvAG4ARgByAG8AbQBNAGEAbgB1AHIAZQBNAGEAbgBhAGcAZQBtAGUAbgB0AF8ATgBJAFIAUgBlAGYAZQByAGUAbgBjAGUAIgAsACIATQBNAFMAXwBQAGEAcwB0AHUAcgBlAEIAZQBlAGYAXwBNAGUAdABoAGEAbgBlAF8ARQBxAHUAYQB0AGkAbwBuAHMALgBWAEUARQBSAEcAXwA0AF8AMgBfADEAXwAxAF8AXwAxAF8AVABvAHQAYQBsAEEAbgBuAHUAYQBsAE0AZQB0AGgAYQBuAGUAUAByAG8AZAB1AGMAdABpAG8AbgBGAHIAbwBtAE0AYQBuAHUAcgBlAE0AYQBuAGEAZwBlAG0AZQBuAHQAXwBMAGEAdABlAHgARQBxAHUAYQB0AGkAbwBuACIALAAiAE0ATQBTAF8AUABhAHMAdAB1AHIAZQBCAGUAZQBmAF8ATQBlAHQAaABhAG4AZQBfAEUAcQB1AGEAdABpAG8AbgBzAC4AVgBFAEUAUgBHAF8ANABfADIAXwAxAF8AMQBfAF8AMQBfAFQAbwB0AGEAbABBAG4AbgB1AGEAbABNAGUAdABoAGEAbgBlAFAAcgBvAGQAdQBjAHQAaQBvAG4ARgByAG8AbQBNAGEAbgB1AHIAZQBNAGEAbgBhAGcAZQBtAGUAbgB0AF8AQQByAGcAdQBtAGUAbgB0AHMAIgAsACIATQBNAFMAXwBQAGEAcwB0AHUAcgBlAEIAZQBlAGYAXwBNAGUAdABoAGEAbgBlAF8ARQBxAHUAYQB0AGkAbwBuAHMALgBWAEUARQBSAEcAXwA0AF8AMgBfADEAXwAxAF8AXwAyAF8ATQBlAHQAaABhAG4AZQBQAHIAbwBkAHUAYwB0AGkAbwBuAEYAcgBvAG0ATQBhAG4AdQByAGUAIgAsACIATQBNAFMAXwBQAGEAcwB0AHUAcgBlAEIAZQBlAGYAXwBNAGUAdABoAGEAbgBlAF8ARQBxAHUAYQB0AGkAbwBuAHMALgBWAEUARQBSAEcAXwA0AF8AMgBfADEAXwAxAF8AXwAyAF8ATQBlAHQAaABhAG4AZQBQAHIAbwBkAHUAYwB0AGkAbwBuAEYAcgBvAG0ATQBhAG4AdQByAGUAXwBUAGkAdABsAGUAIgAsACIATQBNAFMAXwBQAGEAcwB0AHUAcgBlAEIAZQBlAGYAXwBNAGUAdABoAGEAbgBlAF8ARQBxAHUAYQB0AGkAbwBuAHMALgBWAEUARQBSAEcAXwA0AF8AMgBfADEAXwAxAF8AXwAyAF8ATQBlAHQAaABhAG4AZQBQAHIAbwBkAHUAYwB0AGkAbwBuAEYAcgBvAG0ATQBhAG4AdQByAGUAXwBWAGEAcgBpAGEAYgBsAGUAIgAsACIATQBNAFMAXwBQAGEAcwB0AHUAcgBlAEIAZQBlAGYAXwBNAGUAdABoAGEAbgBlAF8ARQBxAHUAYQB0AGkAbwBuAHMALgBWAEUARQBSAEcAXwA0AF8AMgBfADEAXwAxAF8AXwAyAF8ATQBlAHQAaABhAG4AZQBQAHIAbwBkAHUAYwB0AGkAbwBuAEYAcgBvAG0ATQBhAG4AdQByAGUAXwBVAG4AaQB0ACIALAAiAE0ATQBTAF8AUABhAHMAdAB1AHIAZQBCAGUAZQBmAF8ATQBlAHQAaABhAG4AZQBfAEUAcQB1AGEAdABpAG8AbgBzAC4AVgBFAEUAUgBHAF8ANABfADIAXwAxAF8AMQBfAF8AMgBfAE0AZQB0AGgAYQBuAGUAUAByAG8AZAB1AGMAdABpAG8AbgBGAHIAbwBtAE0AYQBuAHUAcgBlAF8AUwBvAHUAcgBjAGUAIgAsACIATQBNAFMAXwBQAGEAcwB0AHUAcgBlAEIAZQBlAGYAXwBNAGUAdABoAGEAbgBlAF8ARQBxAHUAYQB0AGkAbwBuAHMALgBWAEUARQBSAEcAXwA0AF8AMgBfADEAXwAxAF8AXwAyAF8ATQBlAHQAaABhAG4AZQBQAHIAbwBkAHUAYwB0AGkAbwBuAEYAcgBvAG0ATQBhAG4AdQByAGUAXwBOAEkAUgBSAGUAZgBlAHIAZQBuAGMAZQAiACwAIgBNAE0AUwBfAFAAYQBzAHQAdQByAGUAQgBlAGUAZgBfAE0AZQB0AGgAYQBuAGUAXwBFAHEAdQBhAHQAaQBvAG4AcwAuAFYARQBFAFIARwBfADQAXwAyAF8AMQBfADEAXwBfADIAXwBNAGUAdABoAGEAbgBlAFAAcgBvAGQAdQBjAHQAaQBvAG4ARgByAG8AbQBNAGEAbgB1AHIAZQBfAEwAYQB0AGUAeABFAHEAdQBhAHQAaQBvAG4AIgAsACIATQBNAFMAXwBQAGEAcwB0AHUAcgBlAEIAZQBlAGYAXwBNAGUAdABoAGEAbgBlAF8ARQBxAHUAYQB0AGkAbwBuAHMALgBWAEUARQBSAEcAXwA0AF8AMgBfADEAXwAxAF8AXwAyAF8ATQBlAHQAaABhAG4AZQBQAHIAbwBkAHUAYwB0AGkAbwBuAEYAcgBvAG0ATQBhAG4AdQByAGUAXwBBAHIAZwB1AG0AZQBuAHQAcwAiACwAIgBNAE0AUwBfAFAAYQBzAHQAdQByAGUAQgBlAGUAZgBfAE0AZQB0AGgAYQBuAGUAXwBFAHEAdQBhAHQAaQBvAG4AcwAuAFYARQBFAFIARwBfADQAXwAyAF8AMQBfADEAXwBfADIAXwBNAGUAdABoAGEAbgBlAFAAcgBvAGQAdQBjAHQAaQBvAG4ARgByAG8AbQBNAGEAbgB1AHIAZQBfAEEAcgBnAHUAbQBlAG4AdABzAF8ATQBlAHQAaABvAGQAMgAiACwAIgBNAE0AUwBfAFAAYQBzAHQAdQByAGUAQgBlAGUAZgBfAE0AZQB0AGgAYQBuAGUAXwBFAHEAdQBhAHQAaQBvAG4AcwAuAFYARQBFAFIARwBfADQAXwAyAF8AMQBfADEAXwBfADMAXwBWAG8AbABhAHQAaQBsAGUAUwBvAGwAaQBkAFAAcgBvAGQAdQBjAHQAaQBvAG4ARgByAG8AbQBHAHIAYQB6AGkAbgBnAEIAZQBlAGYAIgAsACIATQBNAFMAXwBQAGEAcwB0AHUAcgBlAEIAZQBlAGYAXwBNAGUAdABoAGEAbgBlAF8ARQBxAHUAYQB0AGkAbwBuAHMALgBWAEUARQBSAEcAXwA0AF8AMgBfADEAXwAxAF8AXwAzAF8AVgBvAGwAYQB0AGkAbABlAFMAbwBsAGkAZABQAHIAbwBkAHUAYwB0AGkAbwBuAEYAcgBvAG0ARwByAGEAegBpAG4AZwBCAGUAZQBmAF8AVABpAHQAbABlACIALAAiAE0ATQBTAF8AUABhAHMAdAB1AHIAZQBCAGUAZQBmAF8ATQBlAHQAaABhAG4AZQBfAEUAcQB1AGEAdABpAG8AbgBzAC4AVgBFAEUAUgBHAF8ANABfADIAXwAxAF8AMQBfAF8AMwBfAFYAbwBsAGEAdABpAGwAZQBTAG8AbABpAGQAUAByAG8AZAB1AGMAdABpAG8AbgBGAHIAbwBtAEcAcgBhAHoAaQBuAGcAQgBlAGUAZgBfAFYAYQByAGkAYQBiAGwAZQAiACwAIgBNAE0AUwBfAFAAYQBzAHQAdQByAGUAQgBlAGUAZgBfAE0AZQB0AGgAYQBuAGUAXwBFAHEAdQBhAHQAaQBvAG4AcwAuAFYARQBFAFIARwBfADQAXwAyAF8AMQBfADEAXwBfADMAXwBWAG8AbABhAHQAaQBsAGUAUwBvAGwAaQBkAFAAcgBvAGQAdQBjAHQAaQBvAG4ARgByAG8AbQBHAHIAYQB6AGkAbgBnAEIAZQBlAGYAXwBVAG4AaQB0ACIALAAiAE0ATQBTAF8AUABhAHMAdAB1AHIAZQBCAGUAZQBmAF8ATQBlAHQAaABhAG4AZQBfAEUAcQB1AGEAdABpAG8AbgBzAC4AVgBFAEUAUgBHAF8ANABfADIAXwAxAF8AMQBfAF8AMwBfAFYAbwBsAGEAdABpAGwAZQBTAG8AbABpAGQAUAByAG8AZAB1AGMAdABpAG8AbgBGAHIAbwBtAEcAcgBhAHoAaQBuAGcAQgBlAGUAZgBfAFMAbwB1AHIAYwBlACIALAAiAE0ATQBTAF8AUABhAHMAdAB1AHIAZQBCAGUAZQBmAF8ATQBlAHQAaABhAG4AZQBfAEUAcQB1AGEAdABpAG8AbgBzAC4AVgBFAEUAUgBHAF8ANABfADIAXwAxAF8AMQBfAF8AMwBfAFYAbwBsAGEAdABpAGwAZQBTAG8AbABpAGQAUAByAG8AZAB1AGMAdABpAG8AbgBGAHIAbwBtAEcAcgBhAHoAaQBuAGcAQgBlAGUAZgBfAE4ASQBSAFIAZQBmAGUAcgBlAG4AYwBlACIALAAiAE0ATQBTAF8AUABhAHMAdAB1AHIAZQBCAGUAZQBmAF8ATQBlAHQAaABhAG4AZQBfAEUAcQB1AGEAdABpAG8AbgBzAC4AVgBFAEUAUgBHAF8ANABfADIAXwAxAF8AMQBfAF8AMwBfAFYAbwBsAGEAdABpAGwAZQBTAG8AbABpAGQAUAByAG8AZAB1AGMAdABpAG8AbgBGAHIAbwBtAEcAcgBhAHoAaQBuAGcAQgBlAGUAZgBfAEwAYQB0AGUAeABFAHEAdQBhAHQAaQBvAG4AIgAsACIATQBNAFMAXwBQAGEAcwB0AHUAcgBlAEIAZQBlAGYAXwBNAGUAdABoAGEAbgBlAF8ARQBxAHUAYQB0AGkAbwBuAHMALgBWAEUARQBSAEcAXwA0AF8AMgBfADEAXwAxAF8AXwAzAF8AVgBvAGwAYQB0AGkAbABlAFMAbwBsAGkAZABQAHIAbwBkAHUAYwB0AGkAbwBuAEYAcgBvAG0ARwByAGEAegBpAG4AZwBCAGUAZQBmAF8AQQByAGcAdQBtAGUAbgB0AHMAIgAsACIARQBuAHQAZQByAGkAYwBNAGUAdABoAGEAbgBlAF8AUABhAHMAdAB1AHIAZQBCAGUAZQBmAF8ARQBxAHUAYQB0AGkAbwBuAHMALgBWAEUARQBSAEcAXwAzAF8AMgBfADEAXwAxAF8AXwAxAF8AVABvAHQAYQBsAEEAbgBuAHUAYQBsAE0AZQB0AGgAYQBuAGUARgByAG8AbQBFAG4AdABlAHIAaQBjAEYAZQByAG0AZQBuAHQAYQB0AGkAbwBuACIALAAiAEUAbgB0AGUAcgBpAGMATQBlAHQAaABhAG4AZQBfAFAAYQBzAHQAdQByAGUAQgBlAGUAZgBfAEUAcQB1AGEAdABpAG8AbgBzAC4AVgBFAEUAUgBHAF8AMwBfADIAXwAxAF8AMQBfAF8AMQBfAFQAbwB0AGEAbABBAG4AbgB1AGEAbABNAGUAdABoAGEAbgBlAEYAcgBvAG0ARQBuAHQAZQByAGkAYwBGAGUAcgBtAGUAbgB0AGEAdABpAG8AbgBfAFQAaQB0AGwAZQAiACwAIgBFAG4AdABlAHIAaQBjAE0AZQB0AGgAYQBuAGUAXwBQAGEAcwB0AHUAcgBlAEIAZQBlAGYAXwBFAHEAdQBhAHQAaQBvAG4AcwAuAFYARQBFAFIARwBfADMAXwAyAF8AMQBfADEAXwBfADEAXwBUAG8AdABhAGwAQQBuAG4AdQBhAGwATQBlAHQAaABhAG4AZQBGAHIAbwBtAEUAbgB0AGUAcgBpAGMARgBlAHIAbQBlAG4AdABhAHQAaQBvAG4AXwBWAGEAcgBpAGEAYgBsAGUAIgAsACIARQBuAHQAZQByAGkAYwBNAGUAdABoAGEAbgBlAF8AUABhAHMAdAB1AHIAZQBCAGUAZQBmAF8ARQBxAHUAYQB0AGkAbwBuAHMALgBWAEUARQBSAEcAXwAzAF8AMgBfADEAXwAxAF8AXwAxAF8AVABvAHQAYQBsAEEAbgBuAHUAYQBsAE0AZQB0AGgAYQBuAGUARgByAG8AbQBFAG4AdABlAHIAaQBjAEYAZQByAG0AZQBuAHQAYQB0AGkAbwBuAF8AVQBuAGkAdAAiACwAIgBFAG4AdABlAHIAaQBjAE0AZQB0AGgAYQBuAGUAXwBQAGEAcwB0AHUAcgBlAEIAZQBlAGYAXwBFAHEAdQBhAHQAaQBvAG4AcwAuAFYARQBFAFIARwBfADMAXwAyAF8AMQBfADEAXwBfADEAXwBUAG8AdABhAGwAQQBuAG4AdQBhAGwATQBlAHQAaABhAG4AZQBGAHIAbwBtAEUAbgB0AGUAcgBpAGMARgBlAHIAbQBlAG4AdABhAHQAaQBvAG4AXwBTAG8AdQByAGMAZQAiACwAIgBFAG4AdABlAHIAaQBjAE0AZQB0AGgAYQBuAGUAXwBQAGEAcwB0AHUAcgBlAEIAZQBlAGYAXwBFAHEAdQBhAHQAaQBvAG4AcwAuAFYARQBFAFIARwBfADMAXwAyAF8AMQBfADEAXwBfADEAXwBUAG8AdABhAGwAQQBuAG4AdQBhAGwATQBlAHQAaABhAG4AZQBGAHIAbwBtAEUAbgB0AGUAcgBpAGMARgBlAHIAbQBlAG4AdABhAHQAaQBvAG4AXwBOAEkAUgBSAGUAZgBlAHIAZQBuAGMAZQAiACwAIgBFAG4AdABlAHIAaQBjAE0AZQB0AGgAYQBuAGUAXwBQAGEAcwB0AHUAcgBlAEIAZQBlAGYAXwBFAHEAdQBhAHQAaQBvAG4AcwAuAFYARQBFAFIARwBfADMAXwAyAF8AMQBfADEAXwBfADEAXwBUAG8AdABhAGwAQQBuAG4AdQBhAGwATQBlAHQAaABhAG4AZQBGAHIAbwBtAEUAbgB0AGUAcgBpAGMARgBlAHIAbQBlAG4AdABhAHQAaQBvAG4AXwBMAGEAdABlAHgARQBxAHUAYQB0AGkAbwBuACIALAAiAEUAbgB0AGUAcgBpAGMATQBlAHQAaABhAG4AZQBfAFAAYQBzAHQAdQByAGUAQgBlAGUAZgBfAEUAcQB1AGEAdABpAG8AbgBzAC4AVgBFAEUAUgBHAF8AMwBfADIAXwAxAF8AMQBfAF8AMQBfAFQAbwB0AGEAbABBAG4AbgB1AGEAbABNAGUAdABoAGEAbgBlAEYAcgBvAG0ARQBuAHQAZQByAGkAYwBGAGUAcgBtAGUAbgB0AGEAdABpAG8AbgBfAEEAcgBnAHUAbQBlAG4AdABzACIALAAiAEUAbgB0AGUAcgBpAGMATQBlAHQAaABhAG4AZQBfAFAAYQBzAHQAdQByAGUAQgBlAGUAZgBfAEUAcQB1AGEAdABpAG8AbgBzAC4AVgBFAEUAUgBHAF8AMwBfADIAXwAxAF8AMQBfAF8AMgBfAEQAYQBpAGwAeQBFAG4AdABlAHIAaQBjAE0AZQB0AGgAYQBuAGUAUAByAG8AZAB1AGMAdABpAG8AbgAiACwAIgBFAG4AdABlAHIAaQBjAE0AZQB0AGgAYQBuAGUAXwBQAGEAcwB0AHUAcgBlAEIAZQBlAGYAXwBFAHEAdQBhAHQAaQBvAG4AcwAuAFYARQBFAFIARwBfADMAXwAyAF8AMQBfADEAXwBfADIAXwBEAGEAaQBsAHkARQBuAHQAZQByAGkAYwBNAGUAdABoAGEAbgBlAFAAcgBvAGQAdQBjAHQAaQBvAG4AXwBUAGkAdABsAGUAIgAsACIARQBuAHQAZQByAGkAYwBNAGUAdABoAGEAbgBlAF8AUABhAHMAdAB1AHIAZQBCAGUAZQBmAF8ARQBxAHUAYQB0AGkAbwBuAHMALgBWAEUARQBSAEcAXwAzAF8AMgBfADEAXwAxAF8AXwAyAF8ARABhAGkAbAB5AEUAbgB0AGUAcgBpAGMATQBlAHQAaABhAG4AZQBQAHIAbwBkAHUAYwB0AGkAbwBuAF8AVgBhAHIAaQBhAGIAbABlACIALAAiAEUAbgB0AGUAcgBpAGMATQBlAHQAaABhAG4AZQBfAFAAYQBzAHQAdQByAGUAQgBlAGUAZgBfAEUAcQB1AGEAdABpAG8AbgBzAC4AVgBFAEUAUgBHAF8AMwBfADIAXwAxAF8AMQBfAF8AMgBfAEQAYQBpAGwAeQBFAG4AdABlAHIAaQBjAE0AZQB0AGgAYQBuAGUAUAByAG8AZAB1AGMAdABpAG8AbgBfAFUAbgBpAHQAIgAsACIARQBuAHQAZQByAGkAYwBNAGUAdABoAGEAbgBlAF8AUABhAHMAdAB1AHIAZQBCAGUAZQBmAF8ARQBxAHUAYQB0AGkAbwBuAHMALgBWAEUARQBSAEcAXwAzAF8AMgBfADEAXwAxAF8AXwAyAF8ARABhAGkAbAB5AEUAbgB0AGUAcgBpAGMATQBlAHQAaABhAG4AZQBQAHIAbwBkAHUAYwB0AGkAbwBuAF8AUwBvAHUAcgBjAGUAIgAsACIARQBuAHQAZQByAGkAYwBNAGUAdABoAGEAbgBlAF8AUABhAHMAdAB1AHIAZQBCAGUAZQBmAF8ARQBxAHUAYQB0AGkAbwBuAHMALgBWAEUARQBSAEcAXwAzAF8AMgBfADEAXwAxAF8AXwAyAF8ARABhAGkAbAB5AEUAbgB0AGUAcgBpAGMATQBlAHQAaABhAG4AZQBQAHIAbwBkAHUAYwB0AGkAbwBuAF8ATgBJAFIAUgBlAGYAZQByAGUAbgBjAGUAIgAsACIARQBuAHQAZQByAGkAYwBNAGUAdABoAGEAbgBlAF8AUABhAHMAdAB1AHIAZQBCAGUAZQBmAF8ARQBxAHUAYQB0AGkAbwBuAHMALgBWAEUARQBSAEcAXwAzAF8AMgBfADEAXwAxAF8AXwAyAF8ARABhAGkAbAB5AEUAbgB0AGUAcgBpAGMATQBlAHQAaABhAG4AZQBQAHIAbwBkAHUAYwB0AGkAbwBuAF8ATABhAHQAZQB4AEUAcQB1AGEAdABpAG8AbgAiACwAIgBFAG4AdABlAHIAaQBjAE0AZQB0AGgAYQBuAGUAXwBQAGEAcwB0AHUAcgBlAEIAZQBlAGYAXwBFAHEAdQBhAHQAaQBvAG4AcwAuAFYARQBFAFIARwBfADMAXwAyAF8AMQBfADEAXwBfADIAXwBEAGEAaQBsAHkARQBuAHQAZQByAGkAYwBNAGUAdABoAGEAbgBlAFAAcgBvAGQAdQBjAHQAaQBvAG4AXwBBAHIAZwB1AG0AZQBuAHQAcwAiACwAIgBFAG4AdABlAHIAaQBjAE0AZQB0AGgAYQBuAGUAXwBQAGEAcwB0AHUAcgBlAEIAZQBlAGYAXwBFAHEAdQBhAHQAaQBvAG4AcwAuAFYARQBFAFIARwBfADMAXwAyAF8AMQBfADEAXwBfADMAXwBGAGUAZQBkAEkAbgB0AGEAawBlAEYAbwByAEcAcgBhAHoAaQBuAGcAQgBlAGUAZgAiACwAIgBFAG4AdABlAHIAaQBjAE0AZQB0AGgAYQBuAGUAXwBQAGEAcwB0AHUAcgBlAEIAZQBlAGYAXwBFAHEAdQBhAHQAaQBvAG4AcwAuAFYARQBFAFIARwBfADMAXwAyAF8AMQBfADEAXwBfADMAXwBGAGUAZQBkAEkAbgB0AGEAawBlAEYAbwByAEcAcgBhAHoAaQBuAGcAQgBlAGUAZgBfAFQAaQB0AGwAZQAiACwAIgBFAG4AdABlAHIAaQBjAE0AZQB0AGgAYQBuAGUAXwBQAGEAcwB0AHUAcgBlAEIAZQBlAGYAXwBFAHEAdQBhAHQAaQBvAG4AcwAuAFYARQBFAFIARwBfADMAXwAyAF8AMQBfADEAXwBfADMAXwBGAGUAZQBkAEkAbgB0AGEAawBlAEYAbwByAEcAcgBhAHoAaQBuAGcAQgBlAGUAZgBfAFYAYQByAGkAYQBiAGwAZQAiACwAIgBFAG4AdABlAHIAaQBjAE0AZQB0AGgAYQBuAGUAXwBQAGEAcwB0AHUAcgBlAEIAZQBlAGYAXwBFAHEAdQBhAHQAaQBvAG4AcwAuAFYARQBFAFIARwBfADMAXwAyAF8AMQBfADEAXwBfADMAXwBGAGUAZQBkAEkAbgB0AGEAawBlAEYAbwByAEcAcgBhAHoAaQBuAGcAQgBlAGUAZgBfAFUAbgBpAHQAIgAsACIARQBuAHQAZQByAGkAYwBNAGUAdABoAGEAbgBlAF8AUABhAHMAdAB1AHIAZQBCAGUAZQBmAF8ARQBxAHUAYQB0AGkAbwBuAHMALgBWAEUARQBSAEcAXwAzAF8AMgBfADEAXwAxAF8AXwAzAF8ARgBlAGUAZABJAG4AdABhAGsAZQBGAG8AcgBHAHIAYQB6AGkAbgBnAEIAZQBlAGYAXwBTAG8AdQByAGMAZQAiACwAIgBFAG4AdABlAHIAaQBjAE0AZQB0AGgAYQBuAGUAXwBQAGEAcwB0AHUAcgBlAEIAZQBlAGYAXwBFAHEAdQBhAHQAaQBvAG4AcwAuAFYARQBFAFIARwBfADMAXwAyAF8AMQBfADEAXwBfADMAXwBGAGUAZQBkAEkAbgB0AGEAawBlAEYAbwByAEcAcgBhAHoAaQBuAGcAQgBlAGUAZgBfAE4ASQBSAFIAZQBmAGUAcgBlAG4AYwBlACIALAAiAEUAbgB0AGUAcgBpAGMATQBlAHQAaABhAG4AZQBfAFAAYQBzAHQAdQByAGUAQgBlAGUAZgBfAEUAcQB1AGEAdABpAG8AbgBzAC4AVgBFAEUAUgBHAF8AMwBfADIAXwAxAF8AMQBfAF8AMwBfAEYAZQBlAGQASQBuAHQAYQBrAGUARgBvAHIARwByAGEAegBpAG4AZwBCAGUAZQBmAF8ATABhAHQAZQB4AEUAcQB1AGEAdABpAG8AbgAiACwAIgBFAG4AdABlAHIAaQBjAE0AZQB0AGgAYQBuAGUAXwBQAGEAcwB0AHUAcgBlAEIAZQBlAGYAXwBFAHEAdQBhAHQAaQBvAG4AcwAuAFYARQBFAFIARwBfADMAXwAyAF8AMQBfADEAXwBfADMAXwBGAGUAZQBkAEkAbgB0AGEAawBlAEYAbwByAEcAcgBhAHoAaQBuAGcAQgBlAGUAZgBfAEEAcgBnAHUAbQBlAG4AdABzACIALAAiAEUAbgB0AGUAcgBpAGMATQBlAHQAaABhAG4AZQBfAFAAYQBzAHQAdQByAGUAQgBlAGUAZgBfAEUAcQB1AGEAdABpAG8AbgBzAC4AVgBFAEUAUgBHAF8AMwBfADIAXwAxAF8AMQBfAF8ANABfAEEAZABkAGkAdABpAG8AbgBhAGwASQBuAHQAYQBrAGUARgBvAHIATQBpAGwAawBQAHIAbwBkAHUAYwB0AGkAbwBuACIALAAiAEUAbgB0AGUAcgBpAGMATQBlAHQAaABhAG4AZQBfAFAAYQBzAHQAdQByAGUAQgBlAGUAZgBfAEUAcQB1AGEAdABpAG8AbgBzAC4AVgBFAEUAUgBHAF8AMwBfADIAXwAxAF8AMQBfAF8ANABfAEEAZABkAGkAdABpAG8AbgBhAGwASQBuAHQAYQBrAGUARgBvAHIATQBpAGwAawBQAHIAbwBkAHUAYwB0AGkAbwBuAFYAYQByAGkAYQB0AGkAbwBuACIALAAiAEUAbgB0AGUAcgBpAGMATQBlAHQAaABhAG4AZQBfAFAAYQBzAHQAdQByAGUAQgBlAGUAZgBfAEUAcQB1AGEAdABpAG8AbgBzAC4AVgBFAEUAUgBHAF8AMwBfADIAXwAxAF8AMQBfAF8ANABfAEEAZABkAGkAdABpAG8AbgBhAGwASQBuAHQAYQBrAGUARgBvAHIATQBpAGwAawBQAHIAbwBkAHUAYwB0AGkAbwBuAF8AVABpAHQAbABlACIALAAiAEUAbgB0AGUAcgBpAGMATQBlAHQAaABhAG4AZQBfAFAAYQBzAHQAdQByAGUAQgBlAGUAZgBfAEUAcQB1AGEAdABpAG8AbgBzAC4AVgBFAEUAUgBHAF8AMwBfADIAXwAxAF8AMQBfAF8ANABfAEEAZABkAGkAdABpAG8AbgBhAGwASQBuAHQAYQBrAGUARgBvAHIATQBpAGwAawBQAHIAbwBkAHUAYwB0AGkAbwBuAF8AVgBhAHIAaQBhAGIAbABlACIALAAiAEUAbgB0AGUAcgBpAGMATQBlAHQAaABhAG4AZQBfAFAAYQBzAHQAdQByAGUAQgBlAGUAZgBfAEUAcQB1AGEAdABpAG8AbgBzAC4AVgBFAEUAUgBHAF8AMwBfADIAXwAxAF8AMQBfAF8ANABfAEEAZABkAGkAdABpAG8AbgBhAGwASQBuAHQAYQBrAGUARgBvAHIATQBpAGwAawBQAHIAbwBkAHUAYwB0AGkAbwBuAF8AVQBuAGkAdAAiACwAIgBFAG4AdABlAHIAaQBjAE0AZQB0AGgAYQBuAGUAXwBQAGEAcwB0AHUAcgBlAEIAZQBlAGYAXwBFAHEAdQBhAHQAaQBvAG4AcwAuAFYARQBFAFIARwBfADMAXwAyAF8AMQBfADEAXwBfADQAXwBBAGQAZABpAHQAaQBvAG4AYQBsAEkAbgB0AGEAawBlAEYAbwByAE0AaQBsAGsAUAByAG8AZAB1AGMAdABpAG8AbgBfAFMAbwB1AHIAYwBlACIALAAiAEUAbgB0AGUAcgBpAGMATQBlAHQAaABhAG4AZQBfAFAAYQBzAHQAdQByAGUAQgBlAGUAZgBfAEUAcQB1AGEAdABpAG8AbgBzAC4AVgBFAEUAUgBHAF8AMwBfADIAXwAxAF8AMQBfAF8ANABfAEEAZABkAGkAdABpAG8AbgBhAGwASQBuAHQAYQBrAGUARgBvAHIATQBpAGwAawBQAHIAbwBkAHUAYwB0AGkAbwBuAF8ATgBJAFIAUgBlAGYAZQByAGUAbgBjAGUAIgAsACIARQBuAHQAZQByAGkAYwBNAGUAdABoAGEAbgBlAF8AUABhAHMAdAB1AHIAZQBCAGUAZQBmAF8ARQBxAHUAYQB0AGkAbwBuAHMALgBWAEUARQBSAEcAXwAzAF8AMgBfADEAXwAxAF8AXwA0AF8AQQBkAGQAaQB0AGkAbwBuAGEAbABJAG4AdABhAGsAZQBGAG8AcgBNAGkAbABrAFAAcgBvAGQAdQBjAHQAaQBvAG4AXwBMAGEAdABlAHgARQBxAHUAYQB0AGkAbwBuACIALAAiAEUAbgB0AGUAcgBpAGMATQBlAHQAaABhAG4AZQBfAFAAYQBzAHQAdQByAGUAQgBlAGUAZgBfAEUAcQB1AGEAdABpAG8AbgBzAC4AVgBFAEUAUgBHAF8AMwBfADIAXwAxAF8AMQBfAF8ANABfAEEAZABkAGkAdABpAG8AbgBhAGwASQBuAHQAYQBrAGUARgBvAHIATQBpAGwAawBQAHIAbwBkAHUAYwB0AGkAbwBuAF8ATABhAHQAZQB4AEUAcQB1AGEAdABpAG8AbgBWAGEAcgBpAGEAdABpAG8AbgAiACwAIgBFAG4AdABlAHIAaQBjAE0AZQB0AGgAYQBuAGUAXwBQAGEAcwB0AHUAcgBlAEIAZQBlAGYAXwBFAHEAdQBhAHQAaQBvAG4AcwAuAFYARQBFAFIARwBfADMAXwAyAF8AMQBfADEAXwBfADQAXwBBAGQAZABpAHQAaQBvAG4AYQBsAEkAbgB0AGEAawBlAEYAbwByAE0AaQBsAGsAUAByAG8AZAB1AGMAdABpAG8AbgBfAEEAcgBnAHUAbQBlAG4AdABzACIALAAiAEUAbgB0AGUAcgBpAGMATQBlAHQAaABhAG4AZQBfAFAAYQBzAHQAdQByAGUAQgBlAGUAZgBfAEUAcQB1AGEAdABpAG8AbgBzAC4AVgBFAEUAUgBHAF8AMwBfADIAXwAxAF8AMQBfAF8ANABfAEEAZABkAGkAdABpAG8AbgBhAGwASQBuAHQAYQBrAGUARgBvAHIATQBpAGwAawBQAHIAbwBkAHUAYwB0AGkAbwBuAF8AQQByAGcAdQBtAGUAbgB0AHMAVgBhAHIAaQBhAHQAaQBvAG4AIgAsACIARQBuAHQAZQByAGkAYwBNAGUAdABoAGEAbgBlAF8AUABhAHMAdAB1AHIAZQBCAGUAZQBmAF8ARQBxAHUAYQB0AGkAbwBuAHMALgBWAEUARQBSAEcAXwAzAF8AMgBfADEAXwAxAF8AXwA0AF8AQQBkAGQAaQB0AGkAbwBuAGEAbABJAG4AdABhAGsAZQBGAG8AcgBNAGkAbABrAFAAcgBvAGQAdQBjAHQAaQBvAG4AXwBWAGEAcgBpAGEAdABpAG8AbgAiACwAIgBTAG8AdQByAGMAZQBEAGEAdABhAF8AUABhAHMAdAB1AHIAZQBCAGUAZQBmAC4AUwBvAHUAcgBjAGUARABhAHQAYQBfAFAAYQBzAHQAdQByAGUAQgBlAGUAZgBfAEwAaQB2AGUAdwBlAGkAZwBoAHQAXwBUAGkAdABsAGUAIgAsACIAUwBvAHUAcgBjAGUARABhAHQAYQBfAFAAYQBzAHQAdQByAGUAQgBlAGUAZgAuAFMAbwB1AHIAYwBlAEQAYQB0AGEAXwBQAGEAcwB0AHUAcgBlAEIAZQBlAGYAXwBMAGkAdgBlAHcAZQBpAGcAaAB0AF8AVgBhAHIAaQBhAGIAbABlACIALAAiAFMAbwB1AHIAYwBlAEQAYQB0AGEAXwBQAGEAcwB0AHUAcgBlAEIAZQBlAGYALgBTAG8AdQByAGMAZQBEAGEAdABhAF8AUABhAHMAdAB1AHIAZQBCAGUAZQBmAF8ATABpAHYAZQB3AGUAaQBnAGgAdABfAFUAbgBpAHQAIgAsACIAUwBvAHUAcgBjAGUARABhAHQAYQBfAFAAYQBzAHQAdQByAGUAQgBlAGUAZgAuAFMAbwB1AHIAYwBlAEQAYQB0AGEAXwBQAGEAcwB0AHUAcgBlAEIAZQBlAGYAXwBMAGkAdgBlAHcAZQBpAGcAaAB0AF8AUwBvAHUAcgBjAGUAIgAsACIAUwBvAHUAcgBjAGUARABhAHQAYQBfAFAAYQBzAHQAdQByAGUAQgBlAGUAZgAuAFMAbwB1AHIAYwBlAEQAYQB0AGEAXwBQAGEAcwB0AHUAcgBlAEIAZQBlAGYAXwBMAGkAdgBlAHcAZQBpAGcAaAB0AF8AVgBhAHIAaQBhAHQAaQBvAG4AIgAsACIAUwBvAHUAcgBjAGUARABhAHQAYQBfAFAAYQBzAHQAdQByAGUAQgBlAGUAZgAuAFMAbwB1AHIAYwBlAEQAYQB0AGEAXwBQAGEAcwB0AHUAcgBlAEIAZQBlAGYAXwBMAGkAdgBlAHcAZQBpAGcAaAB0AF8ARABhAHQAYQAiACwAIgBTAG8AdQByAGMAZQBEAGEAdABhAF8AUABhAHMAdAB1AHIAZQBCAGUAZQBmAC4AUwBvAHUAcgBjAGUARABhAHQAYQBfAFAAYQBzAHQAdQByAGUAQgBlAGUAZgBfAEwAaQB2AGUAdwBlAGkAZwBoAHQATgBUAFEATABEAF8AVABpAHQAbABlACIALAAiAFMAbwB1AHIAYwBlAEQAYQB0AGEAXwBQAGEAcwB0AHUAcgBlAEIAZQBlAGYALgBTAG8AdQByAGMAZQBEAGEAdABhAF8AUABhAHMAdAB1AHIAZQBCAGUAZQBmAF8ATABpAHYAZQB3AGUAaQBnAGgAdABOAFQAUQBMAEQAXwBWAGEAcgBpAGEAYgBsAGUAIgAsACIAUwBvAHUAcgBjAGUARABhAHQAYQBfAFAAYQBzAHQAdQByAGUAQgBlAGUAZgAuAFMAbwB1AHIAYwBlAEQAYQB0AGEAXwBQAGEAcwB0AHUAcgBlAEIAZQBlAGYAXwBMAGkAdgBlAHcAZQBpAGcAaAB0AE4AVABRAEwARABfAFUAbgBpAHQAIgAsACIAUwBvAHUAcgBjAGUARABhAHQAYQBfAFAAYQBzAHQAdQByAGUAQgBlAGUAZgAuAFMAbwB1AHIAYwBlAEQAYQB0AGEAXwBQAGEAcwB0AHUAcgBlAEIAZQBlAGYAXwBMAGkAdgBlAHcAZQBpAGcAaAB0AE4AVABRAEwARABfAFMAbwB1AHIAYwBlACIALAAiAFMAbwB1AHIAYwBlAEQAYQB0AGEAXwBQAGEAcwB0AHUAcgBlAEIAZQBlAGYALgBTAG8AdQByAGMAZQBEAGEAdABhAF8AUABhAHMAdAB1AHIAZQBCAGUAZQBmAF8ATABpAHYAZQB3AGUAaQBnAGgAdABOAFQAUQBMAEQAXwBWAGEAcgBpAGEAdABpAG8AbgAiACwAIgBTAG8AdQByAGMAZQBEAGEAdABhAF8AUABhAHMAdAB1AHIAZQBCAGUAZQBmAC4AUwBvAHUAcgBjAGUARABhAHQAYQBfAFAAYQBzAHQAdQByAGUAQgBlAGUAZgBfAEwAaQB2AGUAdwBlAGkAZwBoAHQATgBUAFEATABEAF8ARABhAHQAYQAiACwAIgBTAG8AdQByAGMAZQBEAGEAdABhAF8AUABhAHMAdAB1AHIAZQBCAGUAZQBmAC4AUwBvAHUAcgBjAGUARABhAHQAYQBfAFAAYQBzAHQAdQByAGUAQgBlAGUAZgBfAEwAaQB2AGUAdwBlAGkAZwBoAHQARwBhAGkAbgBfAFQAaQB0AGwAZQAiACwAIgBTAG8AdQByAGMAZQBEAGEAdABhAF8AUABhAHMAdAB1AHIAZQBCAGUAZQBmAC4AUwBvAHUAcgBjAGUARABhAHQAYQBfAFAAYQBzAHQAdQByAGUAQgBlAGUAZgBfAEwAaQB2AGUAdwBlAGkAZwBoAHQARwBhAGkAbgBfAFYAYQByAGkAYQBiAGwAZQAiACwAIgBTAG8AdQByAGMAZQBEAGEAdABhAF8AUABhAHMAdAB1AHIAZQBCAGUAZQBmAC4AUwBvAHUAcgBjAGUARABhAHQAYQBfAFAAYQBzAHQAdQByAGUAQgBlAGUAZgBfAEwAaQB2AGUAdwBlAGkAZwBoAHQARwBhAGkAbgBfAFUAbgBpAHQAIgAsACIAUwBvAHUAcgBjAGUARABhAHQAYQBfAFAAYQBzAHQAdQByAGUAQgBlAGUAZgAuAFMAbwB1AHIAYwBlAEQAYQB0AGEAXwBQAGEAcwB0AHUAcgBlAEIAZQBlAGYAXwBMAGkAdgBlAHcAZQBpAGcAaAB0AEcAYQBpAG4AXwBTAG8AdQByAGMAZQAiACwAIgBTAG8AdQByAGMAZQBEAGEAdABhAF8AUABhAHMAdAB1AHIAZQBCAGUAZQBmAC4AUwBvAHUAcgBjAGUARABhAHQAYQBfAFAAYQBzAHQAdQByAGUAQgBlAGUAZgBfAEwAaQB2AGUAdwBlAGkAZwBoAHQARwBhAGkAbgBfAFYAYQByAGkAYQB0AGkAbwBuACIALAAiAFMAbwB1AHIAYwBlAEQAYQB0AGEAXwBQAGEAcwB0AHUAcgBlAEIAZQBlAGYALgBTAG8AdQByAGMAZQBEAGEAdABhAF8AUABhAHMAdAB1AHIAZQBCAGUAZQBmAF8ATABpAHYAZQB3AGUAaQBnAGgAdABHAGEAaQBuAF8ARABhAHQAYQAiACwAIgBTAG8AdQByAGMAZQBEAGEAdABhAF8AUABhAHMAdAB1AHIAZQBCAGUAZQBmAC4AUwBvAHUAcgBjAGUARABhAHQAYQBfAFAAYQBzAHQAdQByAGUAQgBlAGUAZgBfAEwAaQB2AGUAdwBlAGkAZwBoAHQARwBhAGkAbgBOAFQAUQBMAEQAXwBUAGkAdABsAGUAIgAsACIAUwBvAHUAcgBjAGUARABhAHQAYQBfAFAAYQBzAHQAdQByAGUAQgBlAGUAZgAuAFMAbwB1AHIAYwBlAEQAYQB0AGEAXwBQAGEAcwB0AHUAcgBlAEIAZQBlAGYAXwBMAGkAdgBlAHcAZQBpAGcAaAB0AEcAYQBpAG4ATgBUAFEATABEAF8AVgBhAHIAaQBhAGIAbABlACIALAAiAFMAbwB1AHIAYwBlAEQAYQB0AGEAXwBQAGEAcwB0AHUAcgBlAEIAZQBlAGYALgBTAG8AdQByAGMAZQBEAGEAdABhAF8AUABhAHMAdAB1AHIAZQBCAGUAZQBmAF8ATABpAHYAZQB3AGUAaQBnAGgAdABHAGEAaQBuAE4AVABRAEwARABfAFUAbgBpAHQAIgAsACIAUwBvAHUAcgBjAGUARABhAHQAYQBfAFAAYQBzAHQAdQByAGUAQgBlAGUAZgAuAFMAbwB1AHIAYwBlAEQAYQB0AGEAXwBQAGEAcwB0AHUAcgBlAEIAZQBlAGYAXwBMAGkAdgBlAHcAZQBpAGcAaAB0AEcAYQBpAG4ATgBUAFEATABEAF8AUwBvAHUAcgBjAGUAIgAsACIAUwBvAHUAcgBjAGUARABhAHQAYQBfAFAAYQBzAHQAdQByAGUAQgBlAGUAZgAuAFMAbwB1AHIAYwBlAEQAYQB0AGEAXwBQAGEAcwB0AHUAcgBlAEIAZQBlAGYAXwBMAGkAdgBlAHcAZQBpAGcAaAB0AEcAYQBpAG4ATgBUAFEATABEAF8AVgBhAHIAaQBhAHQAaQBvAG4AIgAsACIAUwBvAHUAcgBjAGUARABhAHQAYQBfAFAAYQBzAHQAdQByAGUAQgBlAGUAZgAuAFMAbwB1AHIAYwBlAEQAYQB0AGEAXwBQAGEAcwB0AHUAcgBlAEIAZQBlAGYAXwBMAGkAdgBlAHcAZQBpAGcAaAB0AEcAYQBpAG4ATgBUAFEATABEAF8ARABhAHQAYQAiACwAIgBTAG8AdQByAGMAZQBEAGEAdABhAF8AUABhAHMAdAB1AHIAZQBCAGUAZQBmAC4AUwBvAHUAcgBjAGUARABhAHQAYQBfAFAAYQBzAHQAdQByAGUAQgBlAGUAZgBfAEQAcgB5AE0AYQB0AHQAZQByAEQAaQBnAGUAcwB0AGkAYgBpAGwAaQB0AHkAXwBUAGkAdABsAGUAIgAsACIAUwBvAHUAcgBjAGUARABhAHQAYQBfAFAAYQBzAHQAdQByAGUAQgBlAGUAZgAuAFMAbwB1AHIAYwBlAEQAYQB0AGEAXwBQAGEAcwB0AHUAcgBlAEIAZQBlAGYAXwBEAHIAeQBNAGEAdAB0AGUAcgBEAGkAZwBlAHMAdABpAGIAaQBsAGkAdAB5AF8AVgBhAHIAaQBhAGIAbABlACIALAAiAFMAbwB1AHIAYwBlAEQAYQB0AGEAXwBQAGEAcwB0AHUAcgBlAEIAZQBlAGYALgBTAG8AdQByAGMAZQBEAGEAdABhAF8AUABhAHMAdAB1AHIAZQBCAGUAZQBmAF8ARAByAHkATQBhAHQAdABlAHIARABpAGcAZQBzAHQAaQBiAGkAbABpAHQAeQBfAFUAbgBpAHQAIgAsACIAUwBvAHUAcgBjAGUARABhAHQAYQBfAFAAYQBzAHQAdQByAGUAQgBlAGUAZgAuAFMAbwB1AHIAYwBlAEQAYQB0AGEAXwBQAGEAcwB0AHUAcgBlAEIAZQBlAGYAXwBEAHIAeQBNAGEAdAB0AGUAcgBEAGkAZwBlAHMAdABpAGIAaQBsAGkAdAB5AF8AUwBvAHUAcgBjAGUAIgAsACIAUwBvAHUAcgBjAGUARABhAHQAYQBfAFAAYQBzAHQAdQByAGUAQgBlAGUAZgAuAFMAbwB1AHIAYwBlAEQAYQB0AGEAXwBQAGEAcwB0AHUAcgBlAEIAZQBlAGYAXwBEAHIAeQBNAGEAdAB0AGUAcgBEAGkAZwBlAHMAdABpAGIAaQBsAGkAdAB5AF8AVgBhAHIAaQBhAHQAaQBvAG4AIgAsACIAUwBvAHUAcgBjAGUARABhAHQAYQBfAFAAYQBzAHQAdQByAGUAQgBlAGUAZgAuAFMAbwB1AHIAYwBlAEQAYQB0AGEAXwBQAGEAcwB0AHUAcgBlAEIAZQBlAGYAXwBEAHIAeQBNAGEAdAB0AGUAcgBEAGkAZwBlAHMAdABpAGIAaQBsAGkAdAB5AF8ARABhAHQAYQAiACwAIgBTAG8AdQByAGMAZQBEAGEAdABhAF8AUABhAHMAdAB1AHIAZQBCAGUAZQBmAC4AUwBvAHUAcgBjAGUARABhAHQAYQBfAFAAYQBzAHQAdQByAGUAQgBlAGUAZgBfAEMAcgB1AGQAZQBQAHIAbwB0AGUAaQBuAEMAbwBuAHQAZQBuAHQAXwBUAGkAdABsAGUAIgAsACIAUwBvAHUAcgBjAGUARABhAHQAYQBfAFAAYQBzAHQAdQByAGUAQgBlAGUAZgAuAFMAbwB1AHIAYwBlAEQAYQB0AGEAXwBQAGEAcwB0AHUAcgBlAEIAZQBlAGYAXwBDAHIAdQBkAGUAUAByAG8AdABlAGkAbgBDAG8AbgB0AGUAbgB0AF8AVgBhAHIAaQBhAGIAbABlACIALAAiAFMAbwB1AHIAYwBlAEQAYQB0AGEAXwBQAGEAcwB0AHUAcgBlAEIAZQBlAGYALgBTAG8AdQByAGMAZQBEAGEAdABhAF8AUABhAHMAdAB1AHIAZQBCAGUAZQBmAF8AQwByAHUAZABlAFAAcgBvAHQAZQBpAG4AQwBvAG4AdABlAG4AdABfAFUAbgBpAHQAIgAsACIAUwBvAHUAcgBjAGUARABhAHQAYQBfAFAAYQBzAHQAdQByAGUAQgBlAGUAZgAuAFMAbwB1AHIAYwBlAEQAYQB0AGEAXwBQAGEAcwB0AHUAcgBlAEIAZQBlAGYAXwBDAHIAdQBkAGUAUAByAG8AdABlAGkAbgBDAG8AbgB0AGUAbgB0AF8AUwBvAHUAcgBjAGUAIgAsACIAUwBvAHUAcgBjAGUARABhAHQAYQBfAFAAYQBzAHQAdQByAGUAQgBlAGUAZgAuAFMAbwB1AHIAYwBlAEQAYQB0AGEAXwBQAGEAcwB0AHUAcgBlAEIAZQBlAGYAXwBDAHIAdQBkAGUAUAByAG8AdABlAGkAbgBDAG8AbgB0AGUAbgB0AF8AVgBhAHIAaQBhAHQAaQBvAG4AIgAsACIAUwBvAHUAcgBjAGUARABhAHQAYQBfAFAAYQBzAHQAdQByAGUAQgBlAGUAZgAuAFMAbwB1AHIAYwBlAEQAYQB0AGEAXwBQAGEAcwB0AHUAcgBlAEIAZQBlAGYAXwBDAHIAdQBkAGUAUAByAG8AdABlAGkAbgBDAG8AbgB0AGUAbgB0AF8ARABhAHQAYQAiACwAIgBTAG8AdQByAGMAZQBEAGEAdABhAF8AUABhAHMAdAB1AHIAZQBCAGUAZQBmAC4AUwBvAHUAcgBjAGUARABhAHQAYQBfAFAAYQBzAHQAdQByAGUAQgBlAGUAZgBfAEYAZQBlAGQAQQBkAGoAdQBzAHQAbQBlAG4AdABBAG4AZABNAGkAbABrAFAAcgBvAGQAdQBjAHQAaQBvAG4AXwBUAGkAdABsAGUAIgAsACIAUwBvAHUAcgBjAGUARABhAHQAYQBfAFAAYQBzAHQAdQByAGUAQgBlAGUAZgAuAFMAbwB1AHIAYwBlAEQAYQB0AGEAXwBQAGEAcwB0AHUAcgBlAEIAZQBlAGYAXwBGAGUAZQBkAEEAZABqAHUAcwB0AG0AZQBuAHQAQQBuAGQATQBpAGwAawBQAHIAbwBkAHUAYwB0AGkAbwBuAF8AVgBhAHIAaQBhAGIAbABlACIALAAiAFMAbwB1AHIAYwBlAEQAYQB0AGEAXwBQAGEAcwB0AHUAcgBlAEIAZQBlAGYALgBTAG8AdQByAGMAZQBEAGEAdABhAF8AUABhAHMAdAB1AHIAZQBCAGUAZQBmAF8ARgBlAGUAZABBAGQAagB1AHMAdABtAGUAbgB0AEEAbgBkAE0AaQBsAGsAUAByAG8AZAB1AGMAdABpAG8AbgBfAFUAbgBpAHQAIgAsACIAUwBvAHUAcgBjAGUARABhAHQAYQBfAFAAYQBzAHQAdQByAGUAQgBlAGUAZgAuAFMAbwB1AHIAYwBlAEQAYQB0AGEAXwBQAGEAcwB0AHUAcgBlAEIAZQBlAGYAXwBGAGUAZQBkAEEAZABqAHUAcwB0AG0AZQBuAHQAQQBuAGQATQBpAGwAawBQAHIAbwBkAHUAYwB0AGkAbwBuAF8AUwBvAHUAcgBjAGUAIgAsACIAUwBvAHUAcgBjAGUARABhAHQAYQBfAFAAYQBzAHQAdQByAGUAQgBlAGUAZgAuAFMAbwB1AHIAYwBlAEQAYQB0AGEAXwBQAGEAcwB0AHUAcgBlAEIAZQBlAGYAXwBGAGUAZQBkAEEAZABqAHUAcwB0AG0AZQBuAHQAQQBuAGQATQBpAGwAawBQAHIAbwBkAHUAYwB0AGkAbwBuAF8AVgBhAHIAaQBhAHQAaQBvAG4AIgAsACIAUwBvAHUAcgBjAGUARABhAHQAYQBfAFAAYQBzAHQAdQByAGUAQgBlAGUAZgAuAFMAbwB1AHIAYwBlAEQAYQB0AGEAXwBQAGEAcwB0AHUAcgBlAEIAZQBlAGYAXwBGAGUAZQBkAEEAZABqAHUAcwB0AG0AZQBuAHQAQQBuAGQATQBpAGwAawBQAHIAbwBkAHUAYwB0AGkAbwBuAF8ARABhAHQAYQAiACwAIgBTAG8AdQByAGMAZQBEAGEAdABhAF8AUABhAHMAdAB1AHIAZQBCAGUAZQBmAC4AUwBvAHUAcgBjAGUARABhAHQAYQBfAFAAYQBzAHQAdQByAGUAQgBlAGUAZgBfAFMAdABhAG4AZABhAHIAZABSAGUAZgBlAHIAZQBuAGMAZQBXAGUAaQBnAGgAdABzAF8AVABpAHQAbABlACIALAAiAFMAbwB1AHIAYwBlAEQAYQB0AGEAXwBQAGEAcwB0AHUAcgBlAEIAZQBlAGYALgBTAG8AdQByAGMAZQBEAGEAdABhAF8AUABhAHMAdAB1AHIAZQBCAGUAZQBmAF8AUwB0AGEAbgBkAGEAcgBkAFIAZQBmAGUAcgBlAG4AYwBlAFcAZQBpAGcAaAB0AHMAXwBWAGEAcgBpAGEAYgBsAGUAIgAsACIAUwBvAHUAcgBjAGUARABhAHQAYQBfAFAAYQBzAHQAdQByAGUAQgBlAGUAZgAuAFMAbwB1AHIAYwBlAEQAYQB0AGEAXwBQAGEAcwB0AHUAcgBlAEIAZQBlAGYAXwBTAHQAYQBuAGQAYQByAGQAUgBlAGYAZQByAGUAbgBjAGUAVwBlAGkAZwBoAHQAcwBfAFUAbgBpAHQAIgAsACIAUwBvAHUAcgBjAGUARABhAHQAYQBfAFAAYQBzAHQAdQByAGUAQgBlAGUAZgAuAFMAbwB1AHIAYwBlAEQAYQB0AGEAXwBQAGEAcwB0AHUAcgBlAEIAZQBlAGYAXwBTAHQAYQBuAGQAYQByAGQAUgBlAGYAZQByAGUAbgBjAGUAVwBlAGkAZwBoAHQAcwBfAFMAbwB1AHIAYwBlACIALAAiAFMAbwB1AHIAYwBlAEQAYQB0AGEAXwBQAGEAcwB0AHUAcgBlAEIAZQBlAGYALgBTAG8AdQByAGMAZQBEAGEAdABhAF8AUABhAHMAdAB1AHIAZQBCAGUAZQBmAF8AUwB0AGEAbgBkAGEAcgBkAFIAZQBmAGUAcgBlAG4AYwBlAFcAZQBpAGcAaAB0AHMAXwBWAGEAcgBpAGEAdABpAG8AbgAiACwAIgBTAG8AdQByAGMAZQBEAGEAdABhAF8AUABhAHMAdAB1AHIAZQBCAGUAZQBmAC4AUwBvAHUAcgBjAGUARABhAHQAYQBfAFAAYQBzAHQAdQByAGUAQgBlAGUAZgBfAFMAdABhAG4AZABhAHIAZABSAGUAZgBlAHIAZQBuAGMAZQBXAGUAaQBnAGgAdABzAF8ARABhAHQAYQAiACwAIgBTAG8AdQByAGMAZQBEAGEAdABhAF8AUABhAHMAdAB1AHIAZQBCAGUAZQBmAC4AUwBvAHUAcgBjAGUARABhAHQAYQBfAFAAYQBzAHQAdQByAGUAQgBlAGUAZgBfAEYAcgBhAGMAdABpAG8AbgBPAGYATQBhAG4AdQByAGUAVABvAE0ATQBTAF8AVABpAHQAbABlACIALAAiAFMAbwB1AHIAYwBlAEQAYQB0AGEAXwBQAGEAcwB0AHUAcgBlAEIAZQBlAGYALgBTAG8AdQByAGMAZQBEAGEAdABhAF8AUABhAHMAdAB1AHIAZQBCAGUAZQBmAF8ARgByAGEAYwB0AGkAbwBuAE8AZgBNAGEAbgB1AHIAZQBUAG8ATQBNAFMAXwBWAGEAcgBpAGEAYgBsAGUAIgAsACIAUwBvAHUAcgBjAGUARABhAHQAYQBfAFAAYQBzAHQAdQByAGUAQgBlAGUAZgAuAFMAbwB1AHIAYwBlAEQAYQB0AGEAXwBQAGEAcwB0AHUAcgBlAEIAZQBlAGYAXwBGAHIAYQBjAHQAaQBvAG4ATwBmAE0AYQBuAHUAcgBlAFQAbwBNAE0AUwBfAFUAbgBpAHQAIgAsACIAUwBvAHUAcgBjAGUARABhAHQAYQBfAFAAYQBzAHQAdQByAGUAQgBlAGUAZgAuAFMAbwB1AHIAYwBlAEQAYQB0AGEAXwBQAGEAcwB0AHUAcgBlAEIAZQBlAGYAXwBGAHIAYQBjAHQAaQBvAG4ATwBmAE0AYQBuAHUAcgBlAFQAbwBNAE0AUwBfAFMAbwB1AHIAYwBlACIALAAiAFMAbwB1AHIAYwBlAEQAYQB0AGEAXwBQAGEAcwB0AHUAcgBlAEIAZQBlAGYALgBTAG8AdQByAGMAZQBEAGEAdABhAF8AUABhAHMAdAB1AHIAZQBCAGUAZQBmAF8ARgByAGEAYwB0AGkAbwBuAE8AZgBNAGEAbgB1AHIAZQBUAG8ATQBNAFMAXwBWAGEAcgBpAGEAdABpAG8AbgAiACwAIgBTAG8AdQByAGMAZQBEAGEAdABhAF8AUABhAHMAdAB1AHIAZQBCAGUAZQBmAC4AUwBvAHUAcgBjAGUARABhAHQAYQBfAFAAYQBzAHQAdQByAGUAQgBlAGUAZgBfAEYAcgBhAGMAdABpAG8AbgBPAGYATQBhAG4AdQByAGUAVABvAE0ATQBTAF8ARABhAHQAYQAiACwAIgBTAG8AdQByAGMAZQBEAGEAdABhAF8AUABhAHMAdAB1AHIAZQBCAGUAZQBmAC4AUwBvAHUAcgBjAGUARABhAHQAYQBfAFAAYQBzAHQAdQByAGUAQgBlAGUAZgBfAE0AZQB0AGgAYQBuAGUAQwBvAG4AdgBlAHIAcwBpAG8AbgBGAGEAYwB0AG8AcgBQAGUAcgBSAGUAZwBpAG8AbgBfAFQAaQB0AGwAZQAiACwAIgBTAG8AdQByAGMAZQBEAGEAdABhAF8AUABhAHMAdAB1AHIAZQBCAGUAZQBmAC4AUwBvAHUAcgBjAGUARABhAHQAYQBfAFAAYQBzAHQAdQByAGUAQgBlAGUAZgBfAE0AZQB0AGgAYQBuAGUAQwBvAG4AdgBlAHIAcwBpAG8AbgBGAGEAYwB0AG8AcgBQAGUAcgBSAGUAZwBpAG8AbgBfAFYAYQByAGkAYQBiAGwAZQAiACwAIgBTAG8AdQByAGMAZQBEAGEAdABhAF8AUABhAHMAdAB1AHIAZQBCAGUAZQBmAC4AUwBvAHUAcgBjAGUARABhAHQAYQBfAFAAYQBzAHQAdQByAGUAQgBlAGUAZgBfAE0AZQB0AGgAYQBuAGUAQwBvAG4AdgBlAHIAcwBpAG8AbgBGAGEAYwB0AG8AcgBQAGUAcgBSAGUAZwBpAG8AbgBfAFUAbgBpAHQAIgAsACIAUwBvAHUAcgBjAGUARABhAHQAYQBfAFAAYQBzAHQAdQByAGUAQgBlAGUAZgAuAFMAbwB1AHIAYwBlAEQAYQB0AGEAXwBQAGEAcwB0AHUAcgBlAEIAZQBlAGYAXwBNAGUAdABoAGEAbgBlAEMAbwBuAHYAZQByAHMAaQBvAG4ARgBhAGMAdABvAHIAUABlAHIAUgBlAGcAaQBvAG4AXwBTAG8AdQByAGMAZQAiACwAIgBTAG8AdQByAGMAZQBEAGEAdABhAF8AUABhAHMAdAB1AHIAZQBCAGUAZQBmAC4AUwBvAHUAcgBjAGUARABhAHQAYQBfAFAAYQBzAHQAdQByAGUAQgBlAGUAZgBfAE0AZQB0AGgAYQBuAGUAQwBvAG4AdgBlAHIAcwBpAG8AbgBGAGEAYwB0AG8AcgBQAGUAcgBSAGUAZwBpAG8AbgBfAFYAYQByAGkAYQB0AGkAbwBuACIALAAiAFMAbwB1AHIAYwBlAEQAYQB0AGEAXwBQAGEAcwB0AHUAcgBlAEIAZQBlAGYALgBTAG8AdQByAGMAZQBEAGEAdABhAF8AUABhAHMAdAB1AHIAZQBCAGUAZQBmAF8ATQBlAHQAaABhAG4AZQBDAG8AbgB2AGUAcgBzAGkAbwBuAEYAYQBjAHQAbwByAFAAZQByAFIAZQBnAGkAbwBuAF8ARABhAHQAYQAiACwAIgBTAG8AdQByAGMAZQBEAGEAdABhAF8AUABhAHMAdAB1AHIAZQBCAGUAZQBmAC4AUwBvAHUAcgBjAGUARABhAHQAYQBfAFAAYQBzAHQAdQByAGUAQgBlAGUAZgBfAEEAcwBoAEMAbwBuAHQAZQBuAHQATwBmAEYAZQBlAGQASQBuAHQAYQBrAGUAXwBUAGkAdABsAGUAIgAsACIAUwBvAHUAcgBjAGUARABhAHQAYQBfAFAAYQBzAHQAdQByAGUAQgBlAGUAZgAuAFMAbwB1AHIAYwBlAEQAYQB0AGEAXwBQAGEAcwB0AHUAcgBlAEIAZQBlAGYAXwBBAHMAaABDAG8AbgB0AGUAbgB0AE8AZgBGAGUAZQBkAEkAbgB0AGEAawBlAF8AVgBhAHIAaQBhAGIAbABlACIALAAiAFMAbwB1AHIAYwBlAEQAYQB0AGEAXwBQAGEAcwB0AHUAcgBlAEIAZQBlAGYALgBTAG8AdQByAGMAZQBEAGEAdABhAF8AUABhAHMAdAB1AHIAZQBCAGUAZQBmAF8AQQBzAGgAQwBvAG4AdABlAG4AdABPAGYARgBlAGUAZABJAG4AdABhAGsAZQBfAFUAbgBpAHQAIgAsACIAUwBvAHUAcgBjAGUARABhAHQAYQBfAFAAYQBzAHQAdQByAGUAQgBlAGUAZgAuAFMAbwB1AHIAYwBlAEQAYQB0AGEAXwBQAGEAcwB0AHUAcgBlAEIAZQBlAGYAXwBBAHMAaABDAG8AbgB0AGUAbgB0AE8AZgBGAGUAZQBkAEkAbgB0AGEAawBlAF8AUwBvAHUAcgBjAGUAIgAsACIAUwBvAHUAcgBjAGUARABhAHQAYQBfAFAAYQBzAHQAdQByAGUAQgBlAGUAZgAuAFMAbwB1AHIAYwBlAEQAYQB0AGEAXwBQAGEAcwB0AHUAcgBlAEIAZQBlAGYAXwBBAHMAaABDAG8AbgB0AGUAbgB0AE8AZgBGAGUAZQBkAEkAbgB0AGEAawBlAF8AVgBhAHIAaQBhAHQAaQBvAG4AIgAsACIAUwBvAHUAcgBjAGUARABhAHQAYQBfAFAAYQBzAHQAdQByAGUAQgBlAGUAZgAuAFMAbwB1AHIAYwBlAEQAYQB0AGEAXwBQAGEAcwB0AHUAcgBlAEIAZQBlAGYAXwBBAHMAaABDAG8AbgB0AGUAbgB0AE8AZgBGAGUAZQBkAEkAbgB0AGEAawBlAF8ARABhAHQAYQAiACwAIgBTAG8AdQByAGMAZQBEAGEAdABhAF8AUABhAHMAdAB1AHIAZQBCAGUAZQBmAC4AUwBvAHUAcgBjAGUARABhAHQAYQBfAFAAYQBzAHQAdQByAGUAQgBlAGUAZgBfAE0AZQB0AGgAYQBuAGUARQBtAGkAcwBzAGkAbwBuAHMAUABvAHQAZQBuAHQAaQBhAGwAXwBUAGkAdABsAGUAIgAsACIAUwBvAHUAcgBjAGUARABhAHQAYQBfAFAAYQBzAHQAdQByAGUAQgBlAGUAZgAuAFMAbwB1AHIAYwBlAEQAYQB0AGEAXwBQAGEAcwB0AHUAcgBlAEIAZQBlAGYAXwBNAGUAdABoAGEAbgBlAEUAbQBpAHMAcwBpAG8AbgBzAFAAbwB0AGUAbgB0AGkAYQBsAF8AVgBhAHIAaQBhAGIAbABlACIALAAiAFMAbwB1AHIAYwBlAEQAYQB0AGEAXwBQAGEAcwB0AHUAcgBlAEIAZQBlAGYALgBTAG8AdQByAGMAZQBEAGEAdABhAF8AUABhAHMAdAB1AHIAZQBCAGUAZQBmAF8ATQBlAHQAaABhAG4AZQBFAG0AaQBzAHMAaQBvAG4AcwBQAG8AdABlAG4AdABpAGEAbABfAFUAbgBpAHQAIgAsACIAUwBvAHUAcgBjAGUARABhAHQAYQBfAFAAYQBzAHQAdQByAGUAQgBlAGUAZgAuAFMAbwB1AHIAYwBlAEQAYQB0AGEAXwBQAGEAcwB0AHUAcgBlAEIAZQBlAGYAXwBNAGUAdABoAGEAbgBlAEUAbQBpAHMAcwBpAG8AbgBzAFAAbwB0AGUAbgB0AGkAYQBsAF8AUwBvAHUAcgBjAGUAIgAsACIAUwBvAHUAcgBjAGUARABhAHQAYQBfAFAAYQBzAHQAdQByAGUAQgBlAGUAZgAuAFMAbwB1AHIAYwBlAEQAYQB0AGEAXwBQAGEAcwB0AHUAcgBlAEIAZQBlAGYAXwBNAGUAdABoAGEAbgBlAEUAbQBpAHMAcwBpAG8AbgBzAFAAbwB0AGUAbgB0AGkAYQBsAF8AVgBhAHIAaQBhAHQAaQBvAG4AIgAsACIAUwBvAHUAcgBjAGUARABhAHQAYQBfAFAAYQBzAHQAdQByAGUAQgBlAGUAZgAuAFMAbwB1AHIAYwBlAEQAYQB0AGEAXwBQAGEAcwB0AHUAcgBlAEIAZQBlAGYAXwBNAGUAdABoAGEAbgBlAEUAbQBpAHMAcwBpAG8AbgBzAFAAbwB0AGUAbgB0AGkAYQBsAF8ARABhAHQAYQAiACwAIgBTAG8AdQByAGMAZQBEAGEAdABhAF8AUABhAHMAdAB1AHIAZQBCAGUAZQBmAC4AUwBvAHUAcgBjAGUARABhAHQAYQBfAFAAYQBzAHQAdQByAGUAQgBlAGUAZgBfAEYAcgBhAGMARwBBAFMATQBTAG8AaQBsAF8AVABpAHQAbABlACIALAAiAFMAbwB1AHIAYwBlAEQAYQB0AGEAXwBQAGEAcwB0AHUAcgBlAEIAZQBlAGYALgBTAG8AdQByAGMAZQBEAGEAdABhAF8AUABhAHMAdAB1AHIAZQBCAGUAZQBmAF8ARgByAGEAYwBHAEEAUwBNAFMAbwBpAGwAXwBWAGEAcgBpAGEAYgBsAGUAIgAsACIAUwBvAHUAcgBjAGUARABhAHQAYQBfAFAAYQBzAHQAdQByAGUAQgBlAGUAZgAuAFMAbwB1AHIAYwBlAEQAYQB0AGEAXwBQAGEAcwB0AHUAcgBlAEIAZQBlAGYAXwBGAHIAYQBjAEcAQQBTAE0AUwBvAGkAbABfAFUAbgBpAHQAIgAsACIAUwBvAHUAcgBjAGUARABhAHQAYQBfAFAAYQBzAHQAdQByAGUAQgBlAGUAZgAuAFMAbwB1AHIAYwBlAEQAYQB0AGEAXwBQAGEAcwB0AHUAcgBlAEIAZQBlAGYAXwBGAHIAYQBjAEcAQQBTAE0AUwBvAGkAbABfAFMAbwB1AHIAYwBlACIALAAiAFMAbwB1AHIAYwBlAEQAYQB0AGEAXwBQAGEAcwB0AHUAcgBlAEIAZQBlAGYALgBTAG8AdQByAGMAZQBEAGEAdABhAF8AUABhAHMAdAB1AHIAZQBCAGUAZQBmAF8ARgByAGEAYwBHAEEAUwBNAFMAbwBpAGwAXwBWAGEAcgBpAGEAdABpAG8AbgAiACwAIgBTAG8AdQByAGMAZQBEAGEAdABhAF8AUABhAHMAdAB1AHIAZQBCAGUAZQBmAC4AUwBvAHUAcgBjAGUARABhAHQAYQBfAFAAYQBzAHQAdQByAGUAQgBlAGUAZgBfAEYAcgBhAGMARwBBAFMATQBTAG8AaQBsAF8ARABhAHQAYQAiACwAIgBTAG8AdQByAGMAZQBEAGEAdABhAF8AUABhAHMAdAB1AHIAZQBCAGUAZQBmAC4AUwBvAHUAcgBjAGUARABhAHQAYQBfAFAAYQBzAHQAdQByAGUAQgBlAGUAZgBfAEYAcgBhAGMATABFAEEAQwBIAF8AVABpAHQAbABlACIALAAiAFMAbwB1AHIAYwBlAEQAYQB0AGEAXwBQAGEAcwB0AHUAcgBlAEIAZQBlAGYALgBTAG8AdQByAGMAZQBEAGEAdABhAF8AUABhAHMAdAB1AHIAZQBCAGUAZQBmAF8ARgByAGEAYwBMAEUAQQBDAEgAXwBWAGEAcgBpAGEAYgBsAGUAIgAsACIAUwBvAHUAcgBjAGUARABhAHQAYQBfAFAAYQBzAHQAdQByAGUAQgBlAGUAZgAuAFMAbwB1AHIAYwBlAEQAYQB0AGEAXwBQAGEAcwB0AHUAcgBlAEIAZQBlAGYAXwBGAHIAYQBjAEwARQBBAEMASABfAFUAbgBpAHQAIgAsACIAUwBvAHUAcgBjAGUARABhAHQAYQBfAFAAYQBzAHQAdQByAGUAQgBlAGUAZgAuAFMAbwB1AHIAYwBlAEQAYQB0AGEAXwBQAGEAcwB0AHUAcgBlAEIAZQBlAGYAXwBGAHIAYQBjAEwARQBBAEMASABfAFMAbwB1AHIAYwBlACIALAAiAFMAbwB1AHIAYwBlAEQAYQB0AGEAXwBQAGEAcwB0AHUAcgBlAEIAZQBlAGYALgBTAG8AdQByAGMAZQBEAGEAdABhAF8AUABhAHMAdAB1AHIAZQBCAGUAZQBmAF8ARgByAGEAYwBMAEUAQQBDAEgAXwBWAGEAcgBpAGEAdABpAG8AbgAiACwAIgBTAG8AdQByAGMAZQBEAGEAdABhAF8AUABhAHMAdAB1AHIAZQBCAGUAZQBmAC4AUwBvAHUAcgBjAGUARABhAHQAYQBfAFAAYQBzAHQAdQByAGUAQgBlAGUAZgBfAEYAcgBhAGMATABFAEEAQwBIAF8ARABhAHQAYQAiACwAIgBJAG4AcAB1AHQARgB1AG4AYwB0AGkAbwBuAHMAXwBQAGEAcwB0AHUAcgBlAEIAZQBlAGYALgBMAG8AbwBrAHUAcABMAGkAdgBlAHcAZQBpAGcAaAB0AEYAcgBvAG0AUwBlAGEAcwBvAG4AIgAsACIASQBuAHAAdQB0AEYAdQBuAGMAdABpAG8AbgBzAF8AUABhAHMAdAB1AHIAZQBCAGUAZQBmAC4ATABvAG8AawB1AHAATABpAHYAZQB3AGUAaQBnAGgAdABGAHIAbwBtAE0AbwBuAHQAaAAiACwAIgBJAG4AcAB1AHQARgB1AG4AYwB0AGkAbwBuAHMAXwBQAGEAcwB0AHUAcgBlAEIAZQBlAGYALgBDAG8AbgB2AGUAcgB0AE0AbwBuAHQAaABsAHkAQwBhAGwAdgBpAG4AZwBUAG8AUwBlAGEAcwBvAG4AIgAsACIASQBuAHAAdQB0AEYAdQBuAGMAdABpAG8AbgBzAF8AUABhAHMAdAB1AHIAZQBCAGUAZQBmAC4ATABvAG8AawB1AHAAVgBhAGwAdQBlAEYAcgBvAG0AUwB0AGEAdABlAFIAZQBnAGkAbwBuAFMAZQBhAHMAbwBuACIALAAiAEkAbgBwAHUAdABGAHUAbgBjAHQAaQBvAG4AcwBfAFAAYQBzAHQAdQByAGUAQgBlAGUAZgAuAEwAbwBvAGsAdQBwAFYAYQBsAHUAZQBGAHIAbwBtAFMAdABhAHQAZQBSAGUAZwBpAG8AbgBNAG8AbgB0AGgAIgAsACIATQBNAFMAXwBQAGEAcwB0AHUAcgBlAEIAZQBlAGYAXwBTAG8AaQBsAF8ATgAyAE8ARABpAHIAZQBjAHQAXwBFAHEAdQBhAHQAaQBvAG4AcwAuAFYARQBFAFIARwBfADQAXwAyAF8AMQBfADMAXwBfADEAXwBEAGkAcgBlAGMAdABOAGkAdAByAG8AdQBzAE8AeABpAGQAZQBFAG0AaQBzAHMAaQBvAG4AcwBPAG4AUABhAHMAdAB1AHIAZQAiACwAIgBNAE0AUwBfAFAAYQBzAHQAdQByAGUAQgBlAGUAZgBfAFMAbwBpAGwAXwBOADIATwBEAGkAcgBlAGMAdABfAEUAcQB1AGEAdABpAG8AbgBzAC4AVgBFAEUAUgBHAF8ANABfADIAXwAxAF8AMwBfAF8AMQBfAEQAaQByAGUAYwB0AE4AaQB0AHIAbwB1AHMATwB4AGkAZABlAEUAbQBpAHMAcwBpAG8AbgBzAE8AbgBQAGEAcwB0AHUAcgBlAF8AVABpAHQAbABlACIALAAiAE0ATQBTAF8AUABhAHMAdAB1AHIAZQBCAGUAZQBmAF8AUwBvAGkAbABfAE4AMgBPAEQAaQByAGUAYwB0AF8ARQBxAHUAYQB0AGkAbwBuAHMALgBWAEUARQBSAEcAXwA0AF8AMgBfADEAXwAzAF8AXwAxAF8ARABpAHIAZQBjAHQATgBpAHQAcgBvAHUAcwBPAHgAaQBkAGUARQBtAGkAcwBzAGkAbwBuAHMATwBuAFAAYQBzAHQAdQByAGUAXwBWAGEAcgBpAGEAYgBsAGUAIgAsACIATQBNAFMAXwBQAGEAcwB0AHUAcgBlAEIAZQBlAGYAXwBTAG8AaQBsAF8ATgAyAE8ARABpAHIAZQBjAHQAXwBFAHEAdQBhAHQAaQBvAG4AcwAuAFYARQBFAFIARwBfADQAXwAyAF8AMQBfADMAXwBfADEAXwBEAGkAcgBlAGMAdABOAGkAdAByAG8AdQBzAE8AeABpAGQAZQBFAG0AaQBzAHMAaQBvAG4AcwBPAG4AUABhAHMAdAB1AHIAZQBfAFUAbgBpAHQAIgAsACIATQBNAFMAXwBQAGEAcwB0AHUAcgBlAEIAZQBlAGYAXwBTAG8AaQBsAF8ATgAyAE8ARABpAHIAZQBjAHQAXwBFAHEAdQBhAHQAaQBvAG4AcwAuAFYARQBFAFIARwBfADQAXwAyAF8AMQBfADMAXwBfADEAXwBEAGkAcgBlAGMAdABOAGkAdAByAG8AdQBzAE8AeABpAGQAZQBFAG0AaQBzAHMAaQBvAG4AcwBPAG4AUABhAHMAdAB1AHIAZQBfAFMAbwB1AHIAYwBlACIALAAiAE0ATQBTAF8AUABhAHMAdAB1AHIAZQBCAGUAZQBmAF8AUwBvAGkAbABfAE4AMgBPAEQAaQByAGUAYwB0AF8ARQBxAHUAYQB0AGkAbwBuAHMALgBWAEUARQBSAEcAXwA0AF8AMgBfADEAXwAzAF8AXwAxAF8ARABpAHIAZQBjAHQATgBpAHQAcgBvAHUAcwBPAHgAaQBkAGUARQBtAGkAcwBzAGkAbwBuAHMATwBuAFAAYQBzAHQAdQByAGUAXwBOAEkAUgBSAGUAZgBlAHIAZQBuAGMAZQAiACwAIgBNAE0AUwBfAFAAYQBzAHQAdQByAGUAQgBlAGUAZgBfAFMAbwBpAGwAXwBOADIATwBEAGkAcgBlAGMAdABfAEUAcQB1AGEAdABpAG8AbgBzAC4AVgBFAEUAUgBHAF8ANABfADIAXwAxAF8AMwBfAF8AMQBfAEQAaQByAGUAYwB0AE4AaQB0AHIAbwB1AHMATwB4AGkAZABlAEUAbQBpAHMAcwBpAG8AbgBzAE8AbgBQAGEAcwB0AHUAcgBlAF8ATABhAHQAZQB4AEUAcQB1AGEAdABpAG8AbgAiACwAIgBNAE0AUwBfAFAAYQBzAHQAdQByAGUAQgBlAGUAZgBfAFMAbwBpAGwAXwBOADIATwBEAGkAcgBlAGMAdABfAEUAcQB1AGEAdABpAG8AbgBzAC4AVgBFAEUAUgBHAF8ANABfADIAXwAxAF8AMwBfAF8AMQBfAEQAaQByAGUAYwB0AE4AaQB0AHIAbwB1AHMATwB4AGkAZABlAEUAbQBpAHMAcwBpAG8AbgBzAE8AbgBQAGEAcwB0AHUAcgBlAF8AQQByAGcAdQBtAGUAbgB0AHM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ABpAHQAbA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WAGEAcgBpAGEAYgBs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UAbgBpAHQ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MAbwB1AHIAYw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OAEkAUgBSAGUAZgBlAHIAZQBuAGM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TABhAHQAZQB4AEUAcQB1AGEAdABpAG8Abg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QQByAGcAdQBtAGUAbgB0AHMAIgAsACIATQBNAFMAXwBQAGEAcwB0AHUAcgBlAEIAZQBlAGYAXwBTAG8AaQBsAF8ATgAyAE8ARABpAHIAZQBjAHQAXwBFAHEAdQBhAHQAaQBvAG4AcwAuAFYARQBFAFIARwBfADQAXwAyAF8AMQBfADMAXwBfADMAXwBOAGkAdAByAG8AZwBlAG4ARQB4AGMAcgBlAHQAZQBkACIALAAiAE0ATQBTAF8AUABhAHMAdAB1AHIAZQBCAGUAZQBmAF8AUwBvAGkAbABfAE4AMgBPAEQAaQByAGUAYwB0AF8ARQBxAHUAYQB0AGkAbwBuAHMALgBWAEUARQBSAEcAXwA0AF8AMgBfADEAXwAzAF8AXwAzAF8ATgBpAHQAcgBvAGcAZQBuAEUAeABjAHIAZQB0AGUAZABfAFQAaQB0AGwAZQAiACwAIgBNAE0AUwBfAFAAYQBzAHQAdQByAGUAQgBlAGUAZgBfAFMAbwBpAGwAXwBOADIATwBEAGkAcgBlAGMAdABfAEUAcQB1AGEAdABpAG8AbgBzAC4AVgBFAEUAUgBHAF8ANABfADIAXwAxAF8AMwBfAF8AMwBfAE4AaQB0AHIAbwBnAGUAbgBFAHgAYwByAGUAdABlAGQAXwBWAGEAcgBpAGEAYgBsAGUAIgAsACIATQBNAFMAXwBQAGEAcwB0AHUAcgBlAEIAZQBlAGYAXwBTAG8AaQBsAF8ATgAyAE8ARABpAHIAZQBjAHQAXwBFAHEAdQBhAHQAaQBvAG4AcwAuAFYARQBFAFIARwBfADQAXwAyAF8AMQBfADMAXwBfADMAXwBOAGkAdAByAG8AZwBlAG4ARQB4AGMAcgBlAHQAZQBkAF8AVQBuAGkAdAAiACwAIgBNAE0AUwBfAFAAYQBzAHQAdQByAGUAQgBlAGUAZgBfAFMAbwBpAGwAXwBOADIATwBEAGkAcgBlAGMAdABfAEUAcQB1AGEAdABpAG8AbgBzAC4AVgBFAEUAUgBHAF8ANABfADIAXwAxAF8AMwBfAF8AMwBfAE4AaQB0AHIAbwBnAGUAbgBFAHgAYwByAGUAdABlAGQAXwBTAG8AdQByAGMAZQAiACwAIgBNAE0AUwBfAFAAYQBzAHQAdQByAGUAQgBlAGUAZgBfAFMAbwBpAGwAXwBOADIATwBEAGkAcgBlAGMAdABfAEUAcQB1AGEAdABpAG8AbgBzAC4AVgBFAEUAUgBHAF8ANABfADIAXwAxAF8AMwBfAF8AMwBfAE4AaQB0AHIAbwBnAGUAbgBFAHgAYwByAGUAdABlAGQAXwBOAEkAUgBSAGUAZgBlAHIAZQBuAGMAZQAiACwAIgBNAE0AUwBfAFAAYQBzAHQAdQByAGUAQgBlAGUAZgBfAFMAbwBpAGwAXwBOADIATwBEAGkAcgBlAGMAdABfAEUAcQB1AGEAdABpAG8AbgBzAC4AVgBFAEUAUgBHAF8ANABfADIAXwAxAF8AMwBfAF8AMwBfAE4AaQB0AHIAbwBnAGUAbgBFAHgAYwByAGUAdABlAGQAXwBMAGEAdABlAHgARQBxAHUAYQB0AGkAbwBuACIALAAiAE0ATQBTAF8AUABhAHMAdAB1AHIAZQBCAGUAZQBmAF8AUwBvAGkAbABfAE4AMgBPAEQAaQByAGUAYwB0AF8ARQBxAHUAYQB0AGkAbwBuAHMALgBWAEUARQBSAEcAXwA0AF8AMgBfADEAXwAzAF8AXwAzAF8ATgBpAHQAcgBvAGcAZQBuAEUAeABjAHIAZQB0AGUAZABfAEEAcgBnAHUAbQBlAG4AdABzACIALAAiAE0ATQBTAF8AUABhAHMAdAB1AHIAZQBCAGUAZQBmAF8AUwBvAGkAbABfAE4AMgBPAEQAaQByAGUAYwB0AF8ARQBxAHUAYQB0AGkAbwBuAHMALgBWAEUARQBSAEcAXwA0AF8AMgBfADEAXwAzAF8AXwA0AF8ATgBpAHQAcgBvAGcAZQBuAFIAZQB0AGEAaQBuAGUAZABCAHkAQgBvAGQAeQAiACwAIgBNAE0AUwBfAFAAYQBzAHQAdQByAGUAQgBlAGUAZgBfAFMAbwBpAGwAXwBOADIATwBEAGkAcgBlAGMAdABfAEUAcQB1AGEAdABpAG8AbgBzAC4AVgBFAEUAUgBHAF8ANABfADIAXwAxAF8AMwBfAF8ANABfAE4AaQB0AHIAbwBnAGUAbgBSAGUAdABhAGkAbgBlAGQAQgB5AEIAbwBkAHkAXwBUAGkAdABsAGUAIgAsACIATQBNAFMAXwBQAGEAcwB0AHUAcgBlAEIAZQBlAGYAXwBTAG8AaQBsAF8ATgAyAE8ARABpAHIAZQBjAHQAXwBFAHEAdQBhAHQAaQBvAG4AcwAuAFYARQBFAFIARwBfADQAXwAyAF8AMQBfADMAXwBfADQAXwBOAGkAdAByAG8AZwBlAG4AUgBlAHQAYQBpAG4AZQBkAEIAeQBCAG8AZAB5AF8AVgBhAHIAaQBhAGIAbABlACIALAAiAE0ATQBTAF8AUABhAHMAdAB1AHIAZQBCAGUAZQBmAF8AUwBvAGkAbABfAE4AMgBPAEQAaQByAGUAYwB0AF8ARQBxAHUAYQB0AGkAbwBuAHMALgBWAEUARQBSAEcAXwA0AF8AMgBfADEAXwAzAF8AXwA0AF8ATgBpAHQAcgBvAGcAZQBuAFIAZQB0AGEAaQBuAGUAZABCAHkAQgBvAGQAeQBfAFUAbgBpAHQAIgAsACIATQBNAFMAXwBQAGEAcwB0AHUAcgBlAEIAZQBlAGYAXwBTAG8AaQBsAF8ATgAyAE8ARABpAHIAZQBjAHQAXwBFAHEAdQBhAHQAaQBvAG4AcwAuAFYARQBFAFIARwBfADQAXwAyAF8AMQBfADMAXwBfADQAXwBOAGkAdAByAG8AZwBlAG4AUgBlAHQAYQBpAG4AZQBkAEIAeQBCAG8AZAB5AF8AUwBvAHUAcgBjAGUAIgAsACIATQBNAFMAXwBQAGEAcwB0AHUAcgBlAEIAZQBlAGYAXwBTAG8AaQBsAF8ATgAyAE8ARABpAHIAZQBjAHQAXwBFAHEAdQBhAHQAaQBvAG4AcwAuAFYARQBFAFIARwBfADQAXwAyAF8AMQBfADMAXwBfADQAXwBOAGkAdAByAG8AZwBlAG4AUgBlAHQAYQBpAG4AZQBkAEIAeQBCAG8AZAB5AF8ATgBJAFIAUgBlAGYAZQByAGUAbgBjAGUAIgAsACIATQBNAFMAXwBQAGEAcwB0AHUAcgBlAEIAZQBlAGYAXwBTAG8AaQBsAF8ATgAyAE8ARABpAHIAZQBjAHQAXwBFAHEAdQBhAHQAaQBvAG4AcwAuAFYARQBFAFIARwBfADQAXwAyAF8AMQBfADMAXwBfADQAXwBOAGkAdAByAG8AZwBlAG4AUgBlAHQAYQBpAG4AZQBkAEIAeQBCAG8AZAB5AF8ATABhAHQAZQB4AEUAcQB1AGEAdABpAG8AbgAiACwAIgBNAE0AUwBfAFAAYQBzAHQAdQByAGUAQgBlAGUAZgBfAFMAbwBpAGwAXwBOADIATwBEAGkAcgBlAGMAdABfAEUAcQB1AGEAdABpAG8AbgBzAC4AVgBFAEUAUgBHAF8ANABfADIAXwAxAF8AMwBfAF8ANABfAE4AaQB0AHIAbwBnAGUAbgBSAGUAdABhAGkAbgBlAGQAQgB5AEIAbwBkAHkAXwBBAHIAZwB1AG0AZQBuAHQAcwAiACwAIgBNAE0AUwBfAFAAYQBzAHQAdQByAGUAQgBlAGUAZgBfAFMAbwBpAGwAXwBOADIATwBEAGkAcgBlAGMAdABfAEUAcQB1AGEAdABpAG8AbgBzAC4AVgBFAEUAUgBHAF8ANABfADIAXwAxAF8AMwBfAF8ANQBfAE0AaQBsAGsAUAByAG8AZAB1AGMAdABpAG8AbgBGAG8AcgBDAGEAbAB2AGkAbgBnAFMAZQBhAHMAbwBuACIALAAiAE0ATQBTAF8AUABhAHMAdAB1AHIAZQBCAGUAZQBmAF8AUwBvAGkAbABfAE4AMgBPAEQAaQByAGUAYwB0AF8ARQBxAHUAYQB0AGkAbwBuAHMALgBWAEUARQBSAEcAXwA0AF8AMgBfADEAXwAzAF8AXwA1AF8ATQBpAGwAawBQAHIAbwBkAHUAYwB0AGkAbwBuAEYAbwByAEMAYQBsAHYAaQBuAGcAUwBlAGEAcwBvAG4AVgBhAHIAaQBhAHQAaQBvAG4AIgAsACIATQBNAFMAXwBQAGEAcwB0AHUAcgBlAEIAZQBlAGYAXwBTAG8AaQBsAF8ATgAyAE8ARABpAHIAZQBjAHQAXwBFAHEAdQBhAHQAaQBvAG4AcwAuAFYARQBFAFIARwBfADQAXwAyAF8AMQBfADMAXwBfADUAXwBNAGkAbABrAFAAcgBvAGQAdQBjAHQAaQBvAG4ARgBvAHIAQwBhAGwAdgBpAG4AZwBTAGUAYQBzAG8AbgBfAFQAaQB0AGwAZQAiACwAIgBNAE0AUwBfAFAAYQBzAHQAdQByAGUAQgBlAGUAZgBfAFMAbwBpAGwAXwBOADIATwBEAGkAcgBlAGMAdABfAEUAcQB1AGEAdABpAG8AbgBzAC4AVgBFAEUAUgBHAF8ANABfADIAXwAxAF8AMwBfAF8ANQBfAE0AaQBsAGsAUAByAG8AZAB1AGMAdABpAG8AbgBGAG8AcgBDAGEAbAB2AGkAbgBnAFMAZQBhAHMAbwBuAF8AVgBhAHIAaQBhAGIAbABlACIALAAiAE0ATQBTAF8AUABhAHMAdAB1AHIAZQBCAGUAZQBmAF8AUwBvAGkAbABfAE4AMgBPAEQAaQByAGUAYwB0AF8ARQBxAHUAYQB0AGkAbwBuAHMALgBWAEUARQBSAEcAXwA0AF8AMgBfADEAXwAzAF8AXwA1AF8ATQBpAGwAawBQAHIAbwBkAHUAYwB0AGkAbwBuAEYAbwByAEMAYQBsAHYAaQBuAGcAUwBlAGEAcwBvAG4AXwBVAG4AaQB0ACIALAAiAE0ATQBTAF8AUABhAHMAdAB1AHIAZQBCAGUAZQBmAF8AUwBvAGkAbABfAE4AMgBPAEQAaQByAGUAYwB0AF8ARQBxAHUAYQB0AGkAbwBuAHMALgBWAEUARQBSAEcAXwA0AF8AMgBfADEAXwAzAF8AXwA1AF8ATQBpAGwAawBQAHIAbwBkAHUAYwB0AGkAbwBuAEYAbwByAEMAYQBsAHYAaQBuAGcAUwBlAGEAcwBvAG4AXwBTAG8AdQByAGMAZQAiACwAIgBNAE0AUwBfAFAAYQBzAHQAdQByAGUAQgBlAGUAZgBfAFMAbwBpAGwAXwBOADIATwBEAGkAcgBlAGMAdABfAEUAcQB1AGEAdABpAG8AbgBzAC4AVgBFAEUAUgBHAF8ANABfADIAXwAxAF8AMwBfAF8ANQBfAE0AaQBsAGsAUAByAG8AZAB1AGMAdABpAG8AbgBGAG8AcgBDAGEAbAB2AGkAbgBnAFMAZQBhAHMAbwBuAF8ATgBJAFIAUgBlAGYAZQByAGUAbgBjAGU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VgBhAHIAaQBhAHQAaQBvAG4AIgAsACIATQBNAFMAXwBQAGEAcwB0AHUAcgBlAEIAZQBlAGYAXwBTAG8AaQBsAF8ATgAyAE8ARABpAHIAZQBjAHQAXwBFAHEAdQBhAHQAaQBvAG4AcwAuAFYARQBFAFIARwBfADQAXwAyAF8AMQBfADMAXwBfADUAXwBNAGkAbABrAFAAcgBvAGQAdQBjAHQAaQBvAG4ARgBvAHIAQwBhAGwAdgBpAG4AZwBTAGUAYQBzAG8AbgBfAEEAcgBnAHUAbQBlAG4AdABzACIALAAiAE0ATQBTAF8AUABhAHMAdAB1AHIAZQBCAGUAZQBmAF8AUwBvAGkAbABfAE4AMgBPAEQAaQByAGUAYwB0AF8ARQBxAHUAYQB0AGkAbwBuAHMALgBWAEUARQBSAEcAXwA0AF8AMgBfADEAXwAzAF8AXwA1AF8ATQBpAGwAawBQAHIAbwBkAHUAYwB0AGkAbwBuAEYAbwByAEMAYQBsAHYAaQBuAGcAUwBlAGEAcwBvAG4AXwBBAHIAZwB1AG0AZQBuAHQAcwBWAGEAcgBpAGEAdABpAG8AbgAiACwAIgBNAE0AUwBfAFAAYQBzAHQAdQByAGUAQgBlAGUAZgBfAFMAbwBpAGwAXwBOADIATwBEAGkAcgBlAGMAdABfAEUAcQB1AGEAdABpAG8AbgBzAC4AVgBFAEUAUgBHAF8ANABfADIAXwAxAF8AMwBfAF8ANQBfAE0AaQBsAGsAUAByAG8AZAB1AGMAdABpAG8AbgBGAG8AcgBDAGEAbAB2AGkAbgBnAFMAZQBhAHMAbwBuAF8AVgBhAHIAaQBhAHQAaQBvAG4AIgAsACIATQBNAFMAXwBQAGEAcwB0AHUAcgBlAEIAZQBlAGYAXwBTAG8AaQBsAF8ATgAyAE8ARABpAHIAZQBjAHQAXwBFAHEAdQBhAHQAaQBvAG4AcwAuAFYARQBFAFIARwBfADQAXwAyAF8AMQBfADMAXwBfADYAXwBJAG4AdABhAGsAZQBSAGUAbABhAHQAaQB2AGUAVABvAE0AYQBpAG4AdABlAG4AYQBuAGMAZQAiACwAIgBNAE0AUwBfAFAAYQBzAHQAdQByAGUAQgBlAGUAZgBfAFMAbwBpAGwAXwBOADIATwBEAGkAcgBlAGMAdABfAEUAcQB1AGEAdABpAG8AbgBzAC4AVgBFAEUAUgBHAF8ANABfADIAXwAxAF8AMwBfAF8ANgBfAEkAbgB0AGEAawBlAFIAZQBsAGEAdABpAHYAZQBUAG8ATQBhAGkAbgB0AGUAbgBhAG4AYwBlAF8AVABpAHQAbABlACIALAAiAE0ATQBTAF8AUABhAHMAdAB1AHIAZQBCAGUAZQBmAF8AUwBvAGkAbABfAE4AMgBPAEQAaQByAGUAYwB0AF8ARQBxAHUAYQB0AGkAbwBuAHMALgBWAEUARQBSAEcAXwA0AF8AMgBfADEAXwAzAF8AXwA2AF8ASQBuAHQAYQBrAGUAUgBlAGwAYQB0AGkAdgBlAFQAbwBNAGEAaQBuAHQAZQBuAGEAbgBjAGUAXwBWAGEAcgBpAGEAYgBsAGUAIgAsACIATQBNAFMAXwBQAGEAcwB0AHUAcgBlAEIAZQBlAGYAXwBTAG8AaQBsAF8ATgAyAE8ARABpAHIAZQBjAHQAXwBFAHEAdQBhAHQAaQBvAG4AcwAuAFYARQBFAFIARwBfADQAXwAyAF8AMQBfADMAXwBfADYAXwBJAG4AdABhAGsAZQBSAGUAbABhAHQAaQB2AGUAVABvAE0AYQBpAG4AdABlAG4AYQBuAGMAZQBfAFUAbgBpAHQAIgAsACIATQBNAFMAXwBQAGEAcwB0AHUAcgBlAEIAZQBlAGYAXwBTAG8AaQBsAF8ATgAyAE8ARABpAHIAZQBjAHQAXwBFAHEAdQBhAHQAaQBvAG4AcwAuAFYARQBFAFIARwBfADQAXwAyAF8AMQBfADMAXwBfADYAXwBJAG4AdABhAGsAZQBSAGUAbABhAHQAaQB2AGUAVABvAE0AYQBpAG4AdABlAG4AYQBuAGMAZQBfAFMAbwB1AHIAYwBlACIALAAiAE0ATQBTAF8AUABhAHMAdAB1AHIAZQBCAGUAZQBmAF8AUwBvAGkAbABfAE4AMgBPAEQAaQByAGUAYwB0AF8ARQBxAHUAYQB0AGkAbwBuAHMALgBWAEUARQBSAEcAXwA0AF8AMgBfADEAXwAzAF8AXwA2AF8ASQBuAHQAYQBrAGUAUgBlAGwAYQB0AGkAdgBlAFQAbwBNAGEAaQBuAHQAZQBuAGEAbgBjAGUAXwBOAEkAUgBSAGUAZgBlAHIAZQBuAGMAZQAiACwAIgBNAE0AUwBfAFAAYQBzAHQAdQByAGUAQgBlAGUAZgBfAFMAbwBpAGwAXwBOADIATwBEAGkAcgBlAGMAdABfAEUAcQB1AGEAdABpAG8AbgBzAC4AVgBFAEUAUgBHAF8ANABfADIAXwAxAF8AMwBfAF8ANgBfAEkAbgB0AGEAawBlAFIAZQBsAGEAdABpAHYAZQBUAG8ATQBhAGkAbgB0AGUAbgBhAG4AYwBlAF8ATABhAHQAZQB4AEUAcQB1AGEAdABpAG8AbgAiACwAIgBNAE0AUwBfAFAAYQBzAHQAdQByAGUAQgBlAGUAZgBfAFMAbwBpAGwAXwBOADIATwBEAGkAcgBlAGMAdABfAEUAcQB1AGEAdABpAG8AbgBzAC4AVgBFAEUAUgBHAF8ANABfADIAXwAxAF8AMwBfAF8ANgBfAEkAbgB0AGEAawBlAFIAZQBsAGEAdABpAHYAZQBUAG8ATQBhAGkAbgB0AGUAbgBhAG4AYwBlAF8AQQByAGcAdQBtAGUAbgB0AHMAIgAsACIATQBNAFMAXwBQAGEAcwB0AHUAcgBlAEIAZQBlAGYAXwBTAG8AaQBsAF8ATgAyAE8ARABpAHIAZQBjAHQAXwBFAHEAdQBhAHQAaQBvAG4AcwAuAFYARQBFAFIARwBfADQAXwAyAF8AMQBfADMAXwBfADcAXwBSAGUAbABhAHQAaQB2AGUAUwBpAHoAZQAiACwAIgBNAE0AUwBfAFAAYQBzAHQAdQByAGUAQgBlAGUAZgBfAFMAbwBpAGwAXwBOADIATwBEAGkAcgBlAGMAdABfAEUAcQB1AGEAdABpAG8AbgBzAC4AVgBFAEUAUgBHAF8ANABfADIAXwAxAF8AMwBfAF8ANwBfAFIAZQBsAGEAdABpAHYAZQBTAGkAegBlAF8AVABpAHQAbABlACIALAAiAE0ATQBTAF8AUABhAHMAdAB1AHIAZQBCAGUAZQBmAF8AUwBvAGkAbABfAE4AMgBPAEQAaQByAGUAYwB0AF8ARQBxAHUAYQB0AGkAbwBuAHMALgBWAEUARQBSAEcAXwA0AF8AMgBfADEAXwAzAF8AXwA3AF8AUgBlAGwAYQB0AGkAdgBlAFMAaQB6AGUAXwBWAGEAcgBpAGEAYgBsAGUAIgAsACIATQBNAFMAXwBQAGEAcwB0AHUAcgBlAEIAZQBlAGYAXwBTAG8AaQBsAF8ATgAyAE8ARABpAHIAZQBjAHQAXwBFAHEAdQBhAHQAaQBvAG4AcwAuAFYARQBFAFIARwBfADQAXwAyAF8AMQBfADMAXwBfADcAXwBSAGUAbABhAHQAaQB2AGUAUwBpAHoAZQBfAFUAbgBpAHQAIgAsACIATQBNAFMAXwBQAGEAcwB0AHUAcgBlAEIAZQBlAGYAXwBTAG8AaQBsAF8ATgAyAE8ARABpAHIAZQBjAHQAXwBFAHEAdQBhAHQAaQBvAG4AcwAuAFYARQBFAFIARwBfADQAXwAyAF8AMQBfADMAXwBfADcAXwBSAGUAbABhAHQAaQB2AGUAUwBpAHoAZQBfAFMAbwB1AHIAYwBlACIALAAiAE0ATQBTAF8AUABhAHMAdAB1AHIAZQBCAGUAZQBmAF8AUwBvAGkAbABfAE4AMgBPAEQAaQByAGUAYwB0AF8ARQBxAHUAYQB0AGkAbwBuAHMALgBWAEUARQBSAEcAXwA0AF8AMgBfADEAXwAzAF8AXwA3AF8AUgBlAGwAYQB0AGkAdgBlAFMAaQB6AGUAXwBOAEkAUgBSAGUAZgBlAHIAZQBuAGMAZQAiACwAIgBNAE0AUwBfAFAAYQBzAHQAdQByAGUAQgBlAGUAZgBfAFMAbwBpAGwAXwBOADIATwBEAGkAcgBlAGMAdABfAEUAcQB1AGEAdABpAG8AbgBzAC4AVgBFAEUAUgBHAF8ANABfADIAXwAxAF8AMwBfAF8ANwBfAFIAZQBsAGEAdABpAHYAZQBTAGkAegBlAF8ATABhAHQAZQB4AEUAcQB1AGEAdABpAG8AbgAiACwAIgBNAE0AUwBfAFAAYQBzAHQAdQByAGUAQgBlAGUAZgBfAFMAbwBpAGwAXwBOADIATwBEAGkAcgBlAGMAdABfAEUAcQB1AGEAdABpAG8AbgBzAC4AVgBFAEUAUgBHAF8ANABfADIAXwAxAF8AMwBfAF8ANwBfAFIAZQBsAGEAdABpAHYAZQBTAGkAegBlAF8AQQByAGcAdQBtAGUAbgB0AHM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QAaQB0AGw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WAGEAcgBpAGEAYgBs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QBuAGkAdA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TAG8AdQBy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OAEkAUgBSAGUAZgBlAHIAZQBu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MAGEAdABlAHgARQBxAHUAYQB0AGkAbwBu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EAcgBnAHUAbQBlAG4AdABz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UAGkAdABs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gBhAHIAaQBhAGIAbA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UAbgBpAHQ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UwBvAHUAc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gBJAFIAUgBlAGYAZQByAGUAb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ABhAHQAZQB4AEUAcQB1AGEAdABpAG8Abg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BAHIAZwB1AG0AZQBuAHQAcw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ABpAHQAbA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YAYQByAGkAYQBiAGw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VAG4AaQB0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MAbwB1AHI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4ASQBSAFIAZQBmAGUAcgBlAG4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wAYQB0AGUAeABFAHEAdQBhAHQAaQBvAG4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QQByAGcAdQBtAGUAbgB0AHM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UAGkAdA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WAGEAcgBpAGEAYg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VAG4AaQB0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UwBvAHUAcgBj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OAEkAUgBSAGUAZgBlAHIAZQBuAGM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wAYQB0AGUAeABFAHEAdQBhAHQAaQBvAG4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36</vt:i4>
      </vt:variant>
    </vt:vector>
  </HeadingPairs>
  <TitlesOfParts>
    <vt:vector size="45" baseType="lpstr">
      <vt:lpstr>Home</vt:lpstr>
      <vt:lpstr>Results</vt:lpstr>
      <vt:lpstr>Input - Site</vt:lpstr>
      <vt:lpstr>Input - Pasture Beef</vt:lpstr>
      <vt:lpstr>3.2.1.1-2 Enteric Methane</vt:lpstr>
      <vt:lpstr>Constants - Pasture Beef</vt:lpstr>
      <vt:lpstr>Constants - Common</vt:lpstr>
      <vt:lpstr>Constants - Livestock</vt:lpstr>
      <vt:lpstr>Acknowledgements</vt:lpstr>
      <vt:lpstr>VEERG_3_2_1_1__1_TotalAnnualMethaneFromEntericFermentation_Result</vt:lpstr>
      <vt:lpstr>X_Cell_PastureBeef_Breed</vt:lpstr>
      <vt:lpstr>X_Cell_PastureBeef_FencedWater</vt:lpstr>
      <vt:lpstr>X_Cell_PastureBeef_GrazingIrrigationMethod</vt:lpstr>
      <vt:lpstr>X_Cell_PastureBeef_GrazingProductionSystem</vt:lpstr>
      <vt:lpstr>X_Cell_PastureBeef_ProductionRegion</vt:lpstr>
      <vt:lpstr>X_Cell_Site_FarmName</vt:lpstr>
      <vt:lpstr>X_Cell_Site_ReportingEntityName</vt:lpstr>
      <vt:lpstr>X_Cell_Site_StartDate</vt:lpstr>
      <vt:lpstr>X_Cell_Site_State</vt:lpstr>
      <vt:lpstr>X_Table_PastureBeef_CrudeProtein_Method1</vt:lpstr>
      <vt:lpstr>X_Table_PastureBeef_CrudeProtein_Method2</vt:lpstr>
      <vt:lpstr>X_Table_PastureBeef_DryMatterDigestibility_Method1</vt:lpstr>
      <vt:lpstr>X_Table_PastureBeef_DryMatterDigestibility_Method2</vt:lpstr>
      <vt:lpstr>X_Table_PastureBeef_Duration_Method1</vt:lpstr>
      <vt:lpstr>X_Table_PastureBeef_Duration_Method1_Col_01</vt:lpstr>
      <vt:lpstr>X_Table_PastureBeef_Duration_Method1_Col_02</vt:lpstr>
      <vt:lpstr>X_Table_PastureBeef_Duration_Method1_Col_03</vt:lpstr>
      <vt:lpstr>X_Table_PastureBeef_Duration_Method1_Col_04</vt:lpstr>
      <vt:lpstr>X_Table_PastureBeef_Duration_Method1_Col_05</vt:lpstr>
      <vt:lpstr>X_Table_PastureBeef_Duration_Method1_Col_06</vt:lpstr>
      <vt:lpstr>X_Table_PastureBeef_Duration_Method1_Col_07</vt:lpstr>
      <vt:lpstr>X_Table_PastureBeef_Duration_Method1_Col_08</vt:lpstr>
      <vt:lpstr>X_Table_PastureBeef_Duration_Method1_Col_09</vt:lpstr>
      <vt:lpstr>X_Table_PastureBeef_Duration_Method1_Col_10</vt:lpstr>
      <vt:lpstr>X_Table_PastureBeef_Duration_Method1_Row_01</vt:lpstr>
      <vt:lpstr>X_Table_PastureBeef_Duration_Method1_Row_02</vt:lpstr>
      <vt:lpstr>X_Table_PastureBeef_Duration_Method1_Row_03</vt:lpstr>
      <vt:lpstr>X_Table_PastureBeef_Duration_Method1_Row_04</vt:lpstr>
      <vt:lpstr>X_Table_PastureBeef_Duration_Method2</vt:lpstr>
      <vt:lpstr>X_Table_PastureBeef_Head_Method1</vt:lpstr>
      <vt:lpstr>X_Table_PastureBeef_Head_Method2</vt:lpstr>
      <vt:lpstr>X_Table_PastureBeef_Liveweight_Method1</vt:lpstr>
      <vt:lpstr>X_Table_PastureBeef_Liveweight_Method2</vt:lpstr>
      <vt:lpstr>X_Table_PastureBeef_LiveweightGain_Method1</vt:lpstr>
      <vt:lpstr>X_Table_PastureBeef_LiveweightGain_Method2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2026-06-11T23:53:50Z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