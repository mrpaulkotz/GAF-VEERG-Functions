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20260611_235336\"/>
    </mc:Choice>
  </mc:AlternateContent>
  <xr:revisionPtr revIDLastSave="0" documentId="13_ncr:1_{9CB4DC73-FBFC-40A1-AC7C-6EF070FCEC54}"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4" l="1" a="1"/>
  <c r="E259" i="104" s="1"/>
  <c r="D259" i="104" a="1"/>
  <c r="D259" i="104" s="1"/>
  <c r="E258" i="104" a="1"/>
  <c r="E258" i="104" s="1"/>
  <c r="D258" i="104" a="1"/>
  <c r="D258" i="104" s="1"/>
  <c r="D256" i="104"/>
  <c r="D256" i="104" a="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G28" i="79" s="1"/>
  <c r="E188" i="104" a="1"/>
  <c r="E188" i="104" s="1"/>
  <c r="D188" i="104" a="1"/>
  <c r="D188" i="104" s="1"/>
  <c r="H187" i="104" a="1"/>
  <c r="H187" i="104" s="1"/>
  <c r="G187" i="104" a="1"/>
  <c r="G187" i="104" s="1"/>
  <c r="F187" i="104" a="1"/>
  <c r="F187" i="104" s="1"/>
  <c r="G29" i="79"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a="1"/>
  <c r="D168" i="104" s="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c r="D140" i="104" a="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P70" i="69"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G70" i="69" l="1"/>
  <c r="H52" i="104"/>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O65" i="69" l="1" a="1"/>
  <c r="O65" i="69" s="1"/>
  <c r="N65" i="69" a="1"/>
  <c r="N65" i="69" s="1"/>
  <c r="F60" i="69"/>
  <c r="E60" i="69"/>
  <c r="D60" i="69"/>
  <c r="F55" i="69"/>
  <c r="E55" i="69"/>
  <c r="D55" i="69"/>
  <c r="M65" i="69" s="1" a="1"/>
  <c r="M65" i="69" s="1"/>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<sst xmlns="http://schemas.openxmlformats.org/spreadsheetml/2006/main" count="287" uniqueCount="188">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</sst>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175</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177</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157</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176</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112</v>
      </c>
      <c r="E6" s="100" t="s">
        <v>135</v>
      </c>
      <c r="F6" s="100" t="s">
        <v>136</v>
      </c>
      <c r="G6" s="100" t="s">
        <v>126</v>
      </c>
      <c r="H6" s="100" t="s">
        <v>137</v>
      </c>
      <c r="I6" s="100" t="s">
        <v>139</v>
      </c>
      <c r="J6" s="100" t="s">
        <v>127</v>
      </c>
      <c r="K6" s="24"/>
      <c r="L6" s="24"/>
    </row>
    <row r="7" spans="1:12" ht="20.100000000000001" customHeight="1" x14ac:dyDescent="0.25">
      <c r="A7" s="20" t="s">
        <v>3</v>
      </c>
      <c r="C7" s="24"/>
      <c r="D7" s="1" t="s">
        <v>158</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138</v>
      </c>
      <c r="K7" s="24"/>
      <c r="L7" s="24"/>
    </row>
    <row r="8" spans="1:12" ht="20.100000000000001" customHeight="1" x14ac:dyDescent="0.3">
      <c r="A8" s="17" t="str">
        <f>HYPERLINK("#'Input - Site'!A1", "Site")</f>
        <v>Site</v>
      </c>
      <c r="C8" s="24"/>
      <c r="D8" s="31" t="s">
        <v>125</v>
      </c>
      <c r="E8" s="25"/>
      <c r="F8" s="31"/>
      <c r="G8" s="31"/>
      <c r="H8" s="99">
        <f>SUM(H7:H7)</f>
        <v>1035.8779200000004</v>
      </c>
      <c r="I8" s="99">
        <f>SUM(I7:I7)</f>
        <v>1208.5864000000001</v>
      </c>
      <c r="J8" s="93" t="s">
        <v>138</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186</v>
      </c>
      <c r="F7" s="2"/>
    </row>
    <row r="8" spans="1:24" ht="20.100000000000001" customHeight="1" x14ac:dyDescent="0.25">
      <c r="A8" s="21" t="str">
        <f>HYPERLINK("#'Input - Site'!A1", "Site")</f>
        <v>Site</v>
      </c>
      <c r="D8" s="10" t="s">
        <v>53</v>
      </c>
      <c r="E8" s="33" t="s">
        <v>187</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179</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94</v>
      </c>
      <c r="F7" s="39" t="s">
        <v>95</v>
      </c>
      <c r="G7" s="39" t="s">
        <v>96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141</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128</v>
      </c>
      <c r="E13" s="39" t="s">
        <v>94</v>
      </c>
      <c r="F13" s="39" t="s">
        <v>95</v>
      </c>
      <c r="G13" s="39" t="s">
        <v>96</v>
      </c>
    </row>
    <row r="14" spans="1:21" ht="20.100000000000001" customHeight="1" x14ac:dyDescent="0.25">
      <c r="A14" s="18" t="s">
        <v>4</v>
      </c>
      <c r="D14" s="1" t="s">
        <v>100</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159</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142</v>
      </c>
      <c r="I15" s="2"/>
      <c r="J15" s="2"/>
      <c r="K15" s="2"/>
    </row>
    <row r="16" spans="1:21" ht="20.100000000000001" customHeight="1" x14ac:dyDescent="0.25">
      <c r="A16" s="17" t="str">
        <f>HYPERLINK("#'Constants - Livestock'!A1", "Constants - Livestock")</f>
        <v>Constants - Livestock</v>
      </c>
      <c r="D16" s="1" t="s">
        <v>160</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142</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129</v>
      </c>
      <c r="E18" s="39" t="s">
        <v>94</v>
      </c>
      <c r="F18" s="39" t="s">
        <v>95</v>
      </c>
      <c r="G18" s="39" t="s">
        <v>96</v>
      </c>
    </row>
    <row r="19" spans="1:11" ht="20.100000000000001" customHeight="1" x14ac:dyDescent="0.25">
      <c r="D19" s="1" t="s">
        <v>100</v>
      </c>
      <c r="E19" s="61">
        <v>10.4</v>
      </c>
      <c r="F19" s="61">
        <v>11.2</v>
      </c>
      <c r="G19" s="61">
        <v>12</v>
      </c>
      <c r="H19" s="2" t="s">
        <v>79</v>
      </c>
      <c r="I19" s="2"/>
    </row>
    <row r="20" spans="1:11" ht="20.100000000000001" customHeight="1" x14ac:dyDescent="0.25">
      <c r="D20" s="1" t="s">
        <v>159</v>
      </c>
      <c r="E20" s="61">
        <v>4.9000000000000004</v>
      </c>
      <c r="F20" s="61">
        <v>5.0999999999999996</v>
      </c>
      <c r="G20" s="61">
        <v>5.6</v>
      </c>
      <c r="H20" s="2" t="s">
        <v>142</v>
      </c>
      <c r="I20" s="2"/>
      <c r="J20" s="2"/>
      <c r="K20" s="2"/>
    </row>
    <row r="21" spans="1:11" ht="20.100000000000001" customHeight="1" x14ac:dyDescent="0.25">
      <c r="A21" s="17"/>
      <c r="D21" s="1" t="s">
        <v>160</v>
      </c>
      <c r="E21" s="61">
        <v>23</v>
      </c>
      <c r="F21" s="61">
        <v>23</v>
      </c>
      <c r="G21" s="61">
        <v>25</v>
      </c>
      <c r="H21" s="2" t="s">
        <v>142</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178</v>
      </c>
      <c r="K1"/>
    </row>
    <row r="2" spans="1:19" s="9" customFormat="1" ht="20.100000000000001" customHeight="1" x14ac:dyDescent="0.25">
      <c r="K2"/>
    </row>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104</v>
      </c>
      <c r="M17" s="86" t="s">
        <v>105</v>
      </c>
    </row>
    <row r="18" spans="1:16" ht="20.100000000000001" customHeight="1" x14ac:dyDescent="0.25">
      <c r="A18" s="17" t="str">
        <f>HYPERLINK("#'Acknowledgements'!A1", "Acknowledgements")</f>
        <v>Acknowledgements</v>
      </c>
      <c r="D18" s="85" t="s">
        <v>108</v>
      </c>
      <c r="M18" s="85" t="s">
        <v>109</v>
      </c>
    </row>
    <row r="19" spans="1:16" ht="20.100000000000001" customHeight="1" x14ac:dyDescent="0.25">
      <c r="D19" s="39" t="s">
        <v>94</v>
      </c>
      <c r="E19" s="39" t="s">
        <v>95</v>
      </c>
      <c r="F19" s="39" t="s">
        <v>96</v>
      </c>
      <c r="M19" s="39" t="s">
        <v>94</v>
      </c>
      <c r="N19" s="39" t="s">
        <v>95</v>
      </c>
      <c r="O19" s="39" t="s">
        <v>96</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161</v>
      </c>
      <c r="M22" s="86" t="s">
        <v>169</v>
      </c>
    </row>
    <row r="23" spans="1:16" ht="20.100000000000001" customHeight="1" x14ac:dyDescent="0.25">
      <c r="D23" s="85" t="s">
        <v>162</v>
      </c>
      <c r="M23" s="85" t="s">
        <v>170</v>
      </c>
    </row>
    <row r="24" spans="1:16" ht="20.100000000000001" customHeight="1" x14ac:dyDescent="0.25">
      <c r="D24" s="39" t="s">
        <v>94</v>
      </c>
      <c r="E24" s="39" t="s">
        <v>95</v>
      </c>
      <c r="F24" s="39" t="s">
        <v>96</v>
      </c>
      <c r="M24" s="39" t="s">
        <v>94</v>
      </c>
      <c r="N24" s="39" t="s">
        <v>95</v>
      </c>
      <c r="O24" s="39" t="s">
        <v>96</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163</v>
      </c>
      <c r="M27" s="86" t="s">
        <v>171</v>
      </c>
    </row>
    <row r="28" spans="1:16" ht="20.100000000000001" customHeight="1" x14ac:dyDescent="0.25">
      <c r="D28" s="85" t="s">
        <v>164</v>
      </c>
      <c r="M28" s="85" t="s">
        <v>172</v>
      </c>
    </row>
    <row r="29" spans="1:16" ht="20.100000000000001" customHeight="1" x14ac:dyDescent="0.25">
      <c r="D29" s="39" t="s">
        <v>94</v>
      </c>
      <c r="E29" s="39" t="s">
        <v>95</v>
      </c>
      <c r="F29" s="39" t="s">
        <v>96</v>
      </c>
      <c r="M29" s="39" t="s">
        <v>94</v>
      </c>
      <c r="N29" s="39" t="s">
        <v>95</v>
      </c>
      <c r="O29" s="39" t="s">
        <v>96</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165</v>
      </c>
      <c r="M32" s="86" t="s">
        <v>167</v>
      </c>
    </row>
    <row r="33" spans="3:18" ht="20.100000000000001" customHeight="1" x14ac:dyDescent="0.25">
      <c r="D33" s="85" t="s">
        <v>166</v>
      </c>
      <c r="M33" s="85" t="s">
        <v>168</v>
      </c>
    </row>
    <row r="34" spans="3:18" ht="20.100000000000001" customHeight="1" x14ac:dyDescent="0.25">
      <c r="D34" s="49" t="s">
        <v>94</v>
      </c>
      <c r="E34" s="49" t="s">
        <v>95</v>
      </c>
      <c r="F34" s="49" t="s">
        <v>96</v>
      </c>
      <c r="M34" s="49" t="s">
        <v>94</v>
      </c>
      <c r="N34" s="49" t="s">
        <v>95</v>
      </c>
      <c r="O34" s="49" t="s">
        <v>96</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94</v>
      </c>
      <c r="E54" s="39" t="s">
        <v>95</v>
      </c>
      <c r="F54" s="39" t="s">
        <v>96</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94</v>
      </c>
      <c r="E59" s="39" t="s">
        <v>95</v>
      </c>
      <c r="F59" s="39" t="s">
        <v>96</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184</v>
      </c>
      <c r="M62" s="86" t="s">
        <v>182</v>
      </c>
    </row>
    <row r="63" spans="4:15" ht="20.100000000000001" customHeight="1" x14ac:dyDescent="0.25">
      <c r="D63" s="85" t="s">
        <v>185</v>
      </c>
      <c r="M63" s="85" t="s">
        <v>183</v>
      </c>
    </row>
    <row r="64" spans="4:15" ht="20.100000000000001" customHeight="1" x14ac:dyDescent="0.25">
      <c r="D64" s="49" t="s">
        <v>94</v>
      </c>
      <c r="E64" s="49" t="s">
        <v>95</v>
      </c>
      <c r="F64" s="49" t="s">
        <v>96</v>
      </c>
      <c r="M64" s="49" t="s">
        <v>94</v>
      </c>
      <c r="N64" s="49" t="s">
        <v>95</v>
      </c>
      <c r="O64" s="49" t="s">
        <v>96</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173</v>
      </c>
      <c r="E67" s="90">
        <f>SUM(D65:F65)</f>
        <v>36.995640000000009</v>
      </c>
      <c r="F67" s="91" t="str">
        <f>$E$46</f>
        <v>t CH4</v>
      </c>
      <c r="M67" s="89" t="s">
        <v>174</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110</v>
      </c>
      <c r="E72" s="45" cm="1">
        <f t="array" ref="E72">Common_Equations.Common_ConvertCH4ToCO2e(G69,G70)</f>
        <v>1035.8779200000004</v>
      </c>
      <c r="F72" s="93" t="str" cm="1">
        <f t="array" ref="F72">Common_Equations.Common_ConvertN2OToCO2e_Unit()</f>
        <v>t CO2e</v>
      </c>
      <c r="M72" s="45" t="s">
        <v>111</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117</v>
      </c>
      <c r="J25" s="6" t="s">
        <v>119</v>
      </c>
      <c r="M25" s="1"/>
    </row>
    <row r="26" spans="1:13" ht="20.100000000000001" customHeight="1" x14ac:dyDescent="0.25">
      <c r="M26" s="1"/>
    </row>
    <row r="27" spans="1:13" ht="20.100000000000001" customHeight="1" x14ac:dyDescent="0.25">
      <c r="D27" s="84" t="s">
        <v>49</v>
      </c>
      <c r="E27" s="37" t="s">
        <v>61</v>
      </c>
      <c r="G27" s="37" t="s">
        <v>118</v>
      </c>
      <c r="J27" s="37" t="s">
        <v>116</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120</v>
      </c>
      <c r="M28" s="1"/>
    </row>
    <row r="29" spans="1:13" ht="20.100000000000001" customHeight="1" x14ac:dyDescent="0.25">
      <c r="D29" s="37" t="str">
        <f>'Constants - Livestock'!$E$15</f>
        <v>Solid storage</v>
      </c>
      <c r="E29" s="37" t="str">
        <f>'Constants - Livestock'!$F$15</f>
        <v>Solid storage (m=4)</v>
      </c>
      <c r="G29" s="1" t="str">
        <f>'Constants - Common'!$F$187</f>
        <v>Pasture</v>
      </c>
      <c r="J29" s="37" t="s">
        <v>121</v>
      </c>
      <c r="M29" s="1"/>
    </row>
    <row r="30" spans="1:13" ht="20.100000000000001" customHeight="1" x14ac:dyDescent="0.25">
      <c r="D30" s="37" t="str">
        <f>'Constants - Livestock'!$E$17</f>
        <v>Composting (passive windrow)</v>
      </c>
      <c r="E30" s="37" t="str">
        <f>'Constants - Livestock'!$F$17</f>
        <v>Composting (passive windrow) (m=6)</v>
      </c>
      <c r="J30" s="1" t="s">
        <v>122</v>
      </c>
      <c r="M30" s="1"/>
    </row>
    <row r="31" spans="1:13" ht="20.100000000000001" customHeight="1" x14ac:dyDescent="0.25">
      <c r="D31" s="37" t="str">
        <f>'Constants - Livestock'!$E$26</f>
        <v>Direct application</v>
      </c>
      <c r="E31" s="37" t="str">
        <f>'Constants - Livestock'!$F$26</f>
        <v>Direct application (m=13)</v>
      </c>
      <c r="J31" s="1" t="s">
        <v>123</v>
      </c>
      <c r="M31" s="1"/>
    </row>
    <row r="32" spans="1:13" ht="20.100000000000001" customHeight="1" x14ac:dyDescent="0.25">
      <c r="D32" s="1" t="str">
        <f>'Constants - Livestock'!$E$10</f>
        <v>Anaerobic lagoon</v>
      </c>
      <c r="E32" s="1" t="str">
        <f>'Constants - Livestock'!$F$10</f>
        <v>Anaerobic lagoon (m=1)</v>
      </c>
      <c r="J32" s="1" t="s">
        <v>124</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88</v>
      </c>
      <c r="E38" s="37" t="s">
        <v>101</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88</v>
      </c>
      <c r="E49" s="37" t="s">
        <v>98</v>
      </c>
      <c r="F49" s="37" t="s">
        <v>10</v>
      </c>
      <c r="G49" s="37" t="s">
        <v>99</v>
      </c>
      <c r="H49" s="37" t="s">
        <v>90</v>
      </c>
      <c r="I49" s="37" t="s">
        <v>91</v>
      </c>
      <c r="J49" s="37" t="s">
        <v>92</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88</v>
      </c>
      <c r="E66" s="37" t="s">
        <v>89</v>
      </c>
      <c r="F66" s="37" t="s">
        <v>10</v>
      </c>
      <c r="G66" s="37" t="s">
        <v>90</v>
      </c>
      <c r="H66" s="37" t="s">
        <v>91</v>
      </c>
      <c r="I66" s="37" t="s">
        <v>92</v>
      </c>
      <c r="J66" s="37" t="s">
        <v>97</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102</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103</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133</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143</v>
      </c>
      <c r="F231" s="36" t="s">
        <v>144</v>
      </c>
      <c r="G231" s="37" t="s">
        <v>145</v>
      </c>
      <c r="H231" s="37" t="s">
        <v>146</v>
      </c>
      <c r="I231" s="37" t="s">
        <v>147</v>
      </c>
      <c r="J231" s="37" t="s">
        <v>148</v>
      </c>
      <c r="K231" s="37" t="s">
        <v>149</v>
      </c>
      <c r="L231" s="37" t="s">
        <v>150</v>
      </c>
      <c r="M231" s="37" t="s">
        <v>151</v>
      </c>
      <c r="N231" s="37" t="s">
        <v>152</v>
      </c>
      <c r="O231" s="37" t="s">
        <v>153</v>
      </c>
      <c r="P231" s="37" t="s">
        <v>154</v>
      </c>
      <c r="Q231" s="37" t="s">
        <v>140</v>
      </c>
      <c r="R231" s="37" t="s">
        <v>155</v>
      </c>
      <c r="S231" s="37" t="s">
        <v>156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180</v>
      </c>
      <c r="E257" s="37" t="s">
        <v>181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2026-06-11T23:53:39Z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