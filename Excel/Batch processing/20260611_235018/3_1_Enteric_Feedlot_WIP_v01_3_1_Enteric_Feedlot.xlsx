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D1B7E754-BA81-46E4-A9B8-FE1439E35DDF}" xr6:coauthVersionLast="47" xr6:coauthVersionMax="47" xr10:uidLastSave="{00000000-0000-0000-0000-000000000000}"/>
  <bookViews>
    <workbookView xWindow="720" yWindow="195" windowWidth="37140" windowHeight="20475" activeTab="3"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4" a="1"/>
  <c r="E259" i="104" s="1"/>
  <c r="D259" i="104" a="1"/>
  <c r="D259" i="104" s="1"/>
  <c r="E258" i="104" a="1"/>
  <c r="E258" i="104" s="1"/>
  <c r="D258" i="104" a="1"/>
  <c r="D258" i="104" s="1"/>
  <c r="D256" i="104"/>
  <c r="D256" i="104" a="1"/>
  <c r="D255" i="104" a="1"/>
  <c r="D255" i="104" s="1"/>
  <c r="D254" i="104"/>
  <c r="D254" i="104" a="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c r="D228" i="104" a="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c r="D169" i="104" a="1"/>
  <c r="D168" i="104"/>
  <c r="D168" i="104" a="1"/>
  <c r="D167" i="104" a="1"/>
  <c r="D167" i="104" s="1"/>
  <c r="D164" i="104" a="1"/>
  <c r="D164" i="104" s="1"/>
  <c r="D163" i="104"/>
  <c r="D163" i="104" a="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c r="D141" i="104" a="1"/>
  <c r="D140" i="104"/>
  <c r="D140" i="104" a="1"/>
  <c r="D139" i="104"/>
  <c r="D139" i="104" a="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c r="D124" i="104" a="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c r="D105" i="104" a="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H52" i="104" l="1"/>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E19" i="70" l="1" a="1"/>
  <c r="E19" i="70" s="1"/>
  <c r="G14" i="70" a="1"/>
  <c r="G14" i="70" s="1"/>
  <c r="E15" i="70" a="1"/>
  <c r="E15" i="70" s="1"/>
  <c r="F14" i="70" a="1"/>
  <c r="F14" i="70" s="1"/>
  <c r="E14" i="70" a="1"/>
  <c r="E14" i="70" s="1"/>
  <c r="G21" i="70" a="1"/>
  <c r="G21" i="70" s="1"/>
  <c r="O30" i="69" s="1"/>
  <c r="F19" i="70" a="1"/>
  <c r="F19" i="70" s="1"/>
  <c r="G19" i="70" a="1"/>
  <c r="G19" i="70" s="1"/>
  <c r="G15" i="70" a="1"/>
  <c r="G15" i="70" s="1"/>
  <c r="E16" i="70" a="1"/>
  <c r="E16" i="70" s="1"/>
  <c r="D30" i="69" s="1"/>
  <c r="F16" i="70" a="1"/>
  <c r="F16" i="70" s="1"/>
  <c r="E30" i="69" s="1"/>
  <c r="G16" i="70" a="1"/>
  <c r="G16" i="70" s="1"/>
  <c r="F30" i="69" s="1"/>
  <c r="E20" i="70" a="1"/>
  <c r="E20" i="70" s="1"/>
  <c r="M25" i="69" s="1"/>
  <c r="E21" i="70" a="1"/>
  <c r="E21" i="70" s="1"/>
  <c r="M30" i="69" s="1"/>
  <c r="F21" i="70" a="1"/>
  <c r="F21" i="70" s="1"/>
  <c r="N30" i="69" s="1"/>
  <c r="F15" i="70" a="1"/>
  <c r="F15" i="70" s="1"/>
  <c r="F20" i="70" a="1"/>
  <c r="F20" i="70" s="1"/>
  <c r="N25" i="69" s="1"/>
  <c r="G20" i="70" a="1"/>
  <c r="G20" i="70" s="1"/>
  <c r="O25" i="69" s="1"/>
  <c r="D69" i="69" a="1"/>
  <c r="D69" i="69" s="1"/>
  <c r="F72" i="69" a="1"/>
  <c r="F72" i="69" s="1"/>
  <c r="M20" i="69" l="1"/>
  <c r="M35" i="69" s="1" a="1"/>
  <c r="M35" i="69" s="1"/>
  <c r="M65" i="69" s="1" a="1"/>
  <c r="M65" i="69" s="1"/>
  <c r="N20" i="69"/>
  <c r="N35" i="69" s="1" a="1"/>
  <c r="N35" i="69" s="1"/>
  <c r="N65" i="69" s="1" a="1"/>
  <c r="N65" i="69" s="1"/>
  <c r="O20" i="69"/>
  <c r="O35" i="69" s="1" a="1"/>
  <c r="O35" i="69" s="1"/>
  <c r="O65" i="69" s="1" a="1"/>
  <c r="O65" i="69" s="1"/>
  <c r="F60" i="69" l="1"/>
  <c r="E60" i="69"/>
  <c r="D60" i="69"/>
  <c r="F55" i="69"/>
  <c r="E55" i="69"/>
  <c r="D55" i="69"/>
  <c r="D8" i="70"/>
  <c r="D9" i="70"/>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<sst xmlns="http://schemas.openxmlformats.org/spreadsheetml/2006/main" count="287" uniqueCount="188">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</sst>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'3.1.1.1-2 Enteric Methane'!E67</f>
        <v>35.420230000000004</v>
      </c>
      <c r="F7" s="98">
        <f>'3.1.1.1-2 Enteric Methane'!N67</f>
        <v>35.420230000000004</v>
      </c>
      <c r="G7" s="52" t="str">
        <f>'3.1.1.1-2 Enteric Methane'!F67</f>
        <v>t CH4</v>
      </c>
      <c r="H7" s="98">
        <f>'3.1.1.1-2 Enteric Methane'!E72</f>
        <v>991.7664400000001</v>
      </c>
      <c r="I7" s="98">
        <f>'3.1.1.1-2 Enteric Methane'!N72</f>
        <v>991.7664400000001</v>
      </c>
      <c r="J7" s="52" t="s">
        <v>140</v>
      </c>
      <c r="K7" s="24"/>
      <c r="L7" s="24"/>
    </row>
    <row r="8" spans="1:12" ht="20.100000000000001" customHeight="1" x14ac:dyDescent="0.3">
      <c r="A8" s="17" t="str">
        <f>HYPERLINK("#'Input - Site'!A1", "Site")</f>
        <v>Site</v>
      </c>
      <c r="C8" s="24"/>
      <c r="D8" s="31" t="s">
        <v>127</v>
      </c>
      <c r="E8" s="25"/>
      <c r="F8" s="31"/>
      <c r="G8" s="31"/>
      <c r="H8" s="99">
        <f>SUM(H7:H7)</f>
        <v>991.7664400000001</v>
      </c>
      <c r="I8" s="99">
        <f>SUM(I7:I7)</f>
        <v>991.7664400000001</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58</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9</v>
      </c>
      <c r="N5" s="40"/>
    </row>
    <row r="6" spans="1:24" ht="20.100000000000001" customHeight="1" x14ac:dyDescent="0.25">
      <c r="D6" s="14"/>
      <c r="N6" s="41"/>
    </row>
    <row r="7" spans="1:24" ht="20.100000000000001" customHeight="1" x14ac:dyDescent="0.25">
      <c r="A7" s="20" t="s">
        <v>3</v>
      </c>
      <c r="D7" s="1" t="s">
        <v>7</v>
      </c>
      <c r="E7" s="33" t="s">
        <v>6</v>
      </c>
      <c r="F7" s="2"/>
    </row>
    <row r="8" spans="1:24" ht="20.100000000000001" customHeight="1" x14ac:dyDescent="0.25">
      <c r="A8" s="21" t="str">
        <f>HYPERLINK("#'Input - Site'!A1", "Site")</f>
        <v>Site</v>
      </c>
      <c r="D8" s="10" t="s">
        <v>54</v>
      </c>
      <c r="E8" s="33" t="s">
        <v>55</v>
      </c>
    </row>
    <row r="9" spans="1:24" ht="20.100000000000001" customHeight="1" x14ac:dyDescent="0.25">
      <c r="A9" s="17" t="str">
        <f>HYPERLINK("#'Input - Feedlot'!A1", "Feedlot")</f>
        <v>Feedlot</v>
      </c>
      <c r="N9" s="42"/>
    </row>
    <row r="10" spans="1:24" ht="20.100000000000001" customHeight="1" x14ac:dyDescent="0.25">
      <c r="A10" s="17"/>
      <c r="D10" s="82" t="s">
        <v>72</v>
      </c>
      <c r="E10" s="80"/>
      <c r="F10" s="83"/>
      <c r="G10" s="77"/>
      <c r="N10" s="42"/>
    </row>
    <row r="11" spans="1:24" ht="20.100000000000001" customHeight="1" x14ac:dyDescent="0.25">
      <c r="A11" s="19" t="s">
        <v>58</v>
      </c>
      <c r="N11" s="43"/>
    </row>
    <row r="12" spans="1:24" ht="20.100000000000001" customHeight="1" x14ac:dyDescent="0.25">
      <c r="A12" s="17" t="str">
        <f>HYPERLINK("#'3.1.1.1-2 Enteric Methane'!A1", "3.1.1.1-2 Enteric Methane")</f>
        <v>3.1.1.1-2 Enteric Methane</v>
      </c>
      <c r="D12" s="10" t="s">
        <v>76</v>
      </c>
      <c r="E12" s="59">
        <v>45292</v>
      </c>
      <c r="F12" s="2" t="s">
        <v>53</v>
      </c>
    </row>
    <row r="13" spans="1:24" ht="20.100000000000001" customHeight="1" x14ac:dyDescent="0.25">
      <c r="A13"/>
      <c r="D13" s="10" t="s">
        <v>77</v>
      </c>
      <c r="E13" s="66">
        <f>DATE(YEAR(E12)+1,MONTH(E12),DAY(E12))-1</f>
        <v>45657</v>
      </c>
      <c r="F13" s="2" t="s">
        <v>10</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84</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87">
        <v>4300</v>
      </c>
      <c r="F8" s="87">
        <v>100</v>
      </c>
      <c r="G8" s="87">
        <v>100</v>
      </c>
      <c r="H8" s="2" t="s">
        <v>86</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87">
        <v>90</v>
      </c>
      <c r="F9" s="87">
        <v>140</v>
      </c>
      <c r="G9" s="87">
        <v>250</v>
      </c>
      <c r="H9" s="2" t="s">
        <v>143</v>
      </c>
      <c r="I9" s="2"/>
      <c r="J9" s="2"/>
      <c r="K9" s="2"/>
    </row>
    <row r="10" spans="1:21" ht="20.100000000000001" customHeight="1" x14ac:dyDescent="0.25">
      <c r="A10" s="17"/>
    </row>
    <row r="11" spans="1:21" ht="20.100000000000001" customHeight="1" x14ac:dyDescent="0.25">
      <c r="A11" s="19" t="s">
        <v>58</v>
      </c>
      <c r="D11" s="6" t="s">
        <v>79</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81</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cm="1">
        <f t="array" ref="E19">_xlfn.XLOOKUP(1, (Table_SourceData_Feedlot_AnimalCharacteristics[Feedlot type] = E$18) * (Table_SourceData_Feedlot_AnimalCharacteristics[Characteristic] = $D$19), Table_SourceData_Feedlot_AnimalCharacteristics[2020-2023], "Not Found")</f>
        <v>10.4</v>
      </c>
      <c r="F19" s="61" cm="1">
        <f t="array" ref="F19">_xlfn.XLOOKUP(1, (Table_SourceData_Feedlot_AnimalCharacteristics[Feedlot type] = F$18) * (Table_SourceData_Feedlot_AnimalCharacteristics[Characteristic] = $D$19), Table_SourceData_Feedlot_AnimalCharacteristics[2020-2023], "Not Found")</f>
        <v>10.8</v>
      </c>
      <c r="G19" s="61" cm="1">
        <f t="array" ref="G19">_xlfn.XLOOKUP(1, (Table_SourceData_Feedlot_AnimalCharacteristics[Feedlot type] = G$18) * (Table_SourceData_Feedlot_AnimalCharacteristics[Characteristic] = $D$19), Table_SourceData_Feedlot_AnimalCharacteristics[2020-2023], "Not Found")</f>
        <v>8.1999999999999993</v>
      </c>
      <c r="H19" s="2" t="s">
        <v>81</v>
      </c>
      <c r="I19" s="2"/>
    </row>
    <row r="20" spans="1:11" ht="20.100000000000001" customHeight="1" x14ac:dyDescent="0.25">
      <c r="D20" s="1" t="s">
        <v>161</v>
      </c>
      <c r="E20" s="61" cm="1">
        <f t="array" ref="E20">_xlfn.XLOOKUP(1, (Table_SourceData_Feedlot_DietProperties[Feedlot type] = E$18) * (Table_SourceData_Feedlot_DietProperties[Nutrient analysis] = $D$20), Table_SourceData_Feedlot_DietProperties[2020-2023 Converted to fraction], "Not Found")</f>
        <v>4.8</v>
      </c>
      <c r="F20" s="61" cm="1">
        <f t="array" ref="F20">_xlfn.XLOOKUP(1, (Table_SourceData_Feedlot_DietProperties[Feedlot type] = F$18) * (Table_SourceData_Feedlot_DietProperties[Nutrient analysis] = $D$20), Table_SourceData_Feedlot_DietProperties[2020-2023 Converted to fraction], "Not Found")</f>
        <v>5</v>
      </c>
      <c r="G20" s="61" cm="1">
        <f t="array" ref="G20">_xlfn.XLOOKUP(1, (Table_SourceData_Feedlot_DietProperties[Feedlot type] = G$18) * (Table_SourceData_Feedlot_DietProperties[Nutrient analysis] = $D$20), Table_SourceData_Feedlot_DietProperties[2020-2023 Converted to fraction], "Not Found")</f>
        <v>5.5</v>
      </c>
      <c r="H20" s="2" t="s">
        <v>144</v>
      </c>
      <c r="I20" s="2"/>
      <c r="J20" s="2"/>
      <c r="K20" s="2"/>
    </row>
    <row r="21" spans="1:11" ht="20.100000000000001" customHeight="1" x14ac:dyDescent="0.25">
      <c r="A21" s="17"/>
      <c r="D21" s="1" t="s">
        <v>162</v>
      </c>
      <c r="E21" s="61" cm="1">
        <f t="array" ref="E21">_xlfn.XLOOKUP(1, (Table_SourceData_Feedlot_DietProperties[Feedlot type] = E$18) * (Table_SourceData_Feedlot_DietProperties[Nutrient analysis] = $D$21), Table_SourceData_Feedlot_DietProperties[2020-2023 Converted to fraction], "Not Found")</f>
        <v>22</v>
      </c>
      <c r="F21" s="61" cm="1">
        <f t="array" ref="F21">_xlfn.XLOOKUP(1, (Table_SourceData_Feedlot_DietProperties[Feedlot type] = F$18) * (Table_SourceData_Feedlot_DietProperties[Nutrient analysis] = $D$21), Table_SourceData_Feedlot_DietProperties[2020-2023 Converted to fraction], "Not Found")</f>
        <v>22</v>
      </c>
      <c r="G21" s="61" cm="1">
        <f t="array" ref="G21">_xlfn.XLOOKUP(1, (Table_SourceData_Feedlot_DietProperties[Feedlot type] = G$18) * (Table_SourceData_Feedlot_DietProperties[Nutrient analysis] = $D$21), Table_SourceData_Feedlot_DietProperties[2020-2023 Converted to fraction], "Not Found")</f>
        <v>24</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17</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20</v>
      </c>
      <c r="E10" s="1" t="str" cm="1">
        <f t="array" ref="E10">EntericMethane_Feedlot_Equations.VEERG_3_1_1_1__2_DailyEntericMethaneProduction_Variable()</f>
        <v>M_j</v>
      </c>
    </row>
    <row r="11" spans="1:19" ht="20.100000000000001" customHeight="1" x14ac:dyDescent="0.25">
      <c r="A11" s="19" t="s">
        <v>58</v>
      </c>
      <c r="D11" s="51" t="s">
        <v>11</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10.8</v>
      </c>
      <c r="O20" s="50">
        <f>'Input - Feedlot'!$G$19</f>
        <v>8.1999999999999993</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f>'Input - Feedlot'!$E$15</f>
        <v>4.8</v>
      </c>
      <c r="E25" s="50">
        <f>'Input - Feedlot'!$F$15</f>
        <v>5</v>
      </c>
      <c r="F25" s="50">
        <f>'Input - Feedlot'!$G$15</f>
        <v>5.5</v>
      </c>
      <c r="G25" s="2" t="str">
        <f>$G$14</f>
        <v>per cent</v>
      </c>
      <c r="M25" s="50">
        <f>'Input - Feedlot'!$E$20</f>
        <v>4.8</v>
      </c>
      <c r="N25" s="50">
        <f>'Input - Feedlot'!$F$20</f>
        <v>5</v>
      </c>
      <c r="O25" s="50">
        <f>'Input - Feedlot'!$G$20</f>
        <v>5.5</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f>'Input - Feedlot'!$E$16</f>
        <v>22</v>
      </c>
      <c r="E30" s="50">
        <f>'Input - Feedlot'!$F$16</f>
        <v>22</v>
      </c>
      <c r="F30" s="50">
        <f>'Input - Feedlot'!$G$16</f>
        <v>24</v>
      </c>
      <c r="G30" s="2" t="str">
        <f>$G$15</f>
        <v>per cent</v>
      </c>
      <c r="M30" s="50">
        <f>'Input - Feedlot'!$E$21</f>
        <v>22</v>
      </c>
      <c r="N30" s="50">
        <f>'Input - Feedlot'!$F$21</f>
        <v>22</v>
      </c>
      <c r="O30" s="50">
        <f>'Input - Feedlot'!$G$21</f>
        <v>24</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8.3664000000000002E-2</v>
      </c>
      <c r="N35" s="50" cm="1">
        <f t="array" ref="N35">EntericMethane_Feedlot_Equations.VEERG_3_1_1_1__2_DailyEntericMethaneProduction(N20,N25,N30)</f>
        <v>8.4908000000000011E-2</v>
      </c>
      <c r="O35" s="50" cm="1">
        <f t="array" ref="O35">EntericMethane_Feedlot_Equations.VEERG_3_1_1_1__2_DailyEntericMethaneProduction(O20,O25,O30)</f>
        <v>7.4142E-2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17</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20</v>
      </c>
      <c r="E45" s="1" t="str" cm="1">
        <f t="array" ref="E45">EntericMethane_Feedlot_Equations.VEERG_3_1_1_1__1_TotalAnnualMethaneFromEntericFermentation_Variable()</f>
        <v>E_enteric</v>
      </c>
    </row>
    <row r="46" spans="3:18" ht="20.100000000000001" customHeight="1" x14ac:dyDescent="0.25">
      <c r="D46" s="51" t="s">
        <v>11</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87</v>
      </c>
    </row>
    <row r="53" spans="4:15" ht="20.100000000000001" customHeight="1" x14ac:dyDescent="0.25">
      <c r="D53" s="85" t="s">
        <v>85</v>
      </c>
    </row>
    <row r="54" spans="4:15" ht="20.100000000000001" customHeight="1" x14ac:dyDescent="0.25">
      <c r="D54" s="39" t="s">
        <v>96</v>
      </c>
      <c r="E54" s="39" t="s">
        <v>97</v>
      </c>
      <c r="F54" s="39" t="s">
        <v>98</v>
      </c>
    </row>
    <row r="55" spans="4:15" ht="20.100000000000001" customHeight="1" x14ac:dyDescent="0.25">
      <c r="D55" s="88">
        <f>'Input - Feedlot'!$E$9</f>
        <v>90</v>
      </c>
      <c r="E55" s="88">
        <f>'Input - Feedlot'!$F$9</f>
        <v>140</v>
      </c>
      <c r="F55" s="88">
        <f>'Input - Feedlot'!$G$9</f>
        <v>250</v>
      </c>
      <c r="G55" s="2" t="str">
        <f>G48</f>
        <v>days</v>
      </c>
    </row>
    <row r="56" spans="4:15" ht="20.100000000000001" customHeight="1" x14ac:dyDescent="0.25"/>
    <row r="57" spans="4:15" ht="20.100000000000001" customHeight="1" x14ac:dyDescent="0.25">
      <c r="D57" s="86" t="s">
        <v>88</v>
      </c>
    </row>
    <row r="58" spans="4:15" ht="20.100000000000001" customHeight="1" x14ac:dyDescent="0.25">
      <c r="D58" s="85" t="s">
        <v>89</v>
      </c>
    </row>
    <row r="59" spans="4:15" ht="20.100000000000001" customHeight="1" x14ac:dyDescent="0.25">
      <c r="D59" s="39" t="s">
        <v>96</v>
      </c>
      <c r="E59" s="39" t="s">
        <v>97</v>
      </c>
      <c r="F59" s="39" t="s">
        <v>98</v>
      </c>
    </row>
    <row r="60" spans="4:15" ht="20.100000000000001" customHeight="1" x14ac:dyDescent="0.25">
      <c r="D60" s="88">
        <f>'Input - Feedlot'!$E$8</f>
        <v>4300</v>
      </c>
      <c r="E60" s="88">
        <f>'Input - Feedlot'!$F$8</f>
        <v>100</v>
      </c>
      <c r="F60" s="88">
        <f>'Input - Feedlot'!$G$8</f>
        <v>100</v>
      </c>
      <c r="G60" s="2" t="str">
        <f>G50</f>
        <v>head</v>
      </c>
    </row>
    <row r="61" spans="4:15" ht="20.100000000000001" customHeight="1" x14ac:dyDescent="0.25"/>
    <row r="62" spans="4:15" ht="20.100000000000001" customHeight="1" x14ac:dyDescent="0.25">
      <c r="D62" s="86" t="s">
        <v>186</v>
      </c>
      <c r="M62" s="86" t="s">
        <v>184</v>
      </c>
    </row>
    <row r="63" spans="4:15" ht="20.100000000000001" customHeight="1" x14ac:dyDescent="0.25">
      <c r="D63" s="85" t="s">
        <v>187</v>
      </c>
      <c r="M63" s="85" t="s">
        <v>185</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ref="D65">EntericMethane_Feedlot_Equations.VEERG_3_1_1_1__1_TotalAnnualMethaneFromEntericFermentation(D55,D35,D60)</f>
        <v>32.377968000000003</v>
      </c>
      <c r="E65" s="50" cm="1">
        <f t="array" ref="E65">EntericMethane_Feedlot_Equations.VEERG_3_1_1_1__1_TotalAnnualMethaneFromEntericFermentation(E55,E35,E60)</f>
        <v>1.1887120000000002</v>
      </c>
      <c r="F65" s="50" cm="1">
        <f t="array" ref="F65">EntericMethane_Feedlot_Equations.VEERG_3_1_1_1__1_TotalAnnualMethaneFromEntericFermentation(F55,F35,F60)</f>
        <v>1.85355</v>
      </c>
      <c r="G65" s="2" t="str">
        <f>$E$46</f>
        <v>t CH4</v>
      </c>
      <c r="M65" s="50" cm="1">
        <f t="array" ref="M65">EntericMethane_Feedlot_Equations.VEERG_3_1_1_1__1_TotalAnnualMethaneFromEntericFermentation(D55,M35,D60)</f>
        <v>32.377968000000003</v>
      </c>
      <c r="N65" s="50" cm="1">
        <f t="array" ref="N65">EntericMethane_Feedlot_Equations.VEERG_3_1_1_1__1_TotalAnnualMethaneFromEntericFermentation(E55,N35,E60)</f>
        <v>1.1887120000000002</v>
      </c>
      <c r="O65" s="50" cm="1">
        <f t="array" ref="O65">EntericMethane_Feedlot_Equations.VEERG_3_1_1_1__1_TotalAnnualMethaneFromEntericFermentation(F55,O35,F60)</f>
        <v>1.85355</v>
      </c>
      <c r="P65" s="2" t="str">
        <f>$E$46</f>
        <v>t CH4</v>
      </c>
    </row>
    <row r="66" spans="4:17" ht="20.100000000000001" customHeight="1" x14ac:dyDescent="0.25"/>
    <row r="67" spans="4:17" ht="20.100000000000001" customHeight="1" x14ac:dyDescent="0.25">
      <c r="D67" s="89" t="s">
        <v>175</v>
      </c>
      <c r="E67" s="90">
        <f>SUM(D65:F65)</f>
        <v>35.420230000000004</v>
      </c>
      <c r="F67" s="91" t="str">
        <f>$E$46</f>
        <v>t CH4</v>
      </c>
      <c r="M67" s="89" t="s">
        <v>176</v>
      </c>
      <c r="N67" s="90">
        <f>SUM(M65:O65)</f>
        <v>35.420230000000004</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35.420230000000004</v>
      </c>
      <c r="H69" s="2" t="str">
        <f>$E$46</f>
        <v>t CH4</v>
      </c>
      <c r="M69" s="55" t="str" cm="1">
        <f t="array" ref="M69:N70">Common_Equations.Common_ConvertCH4ToCO2e_Arguments()</f>
        <v>ECH4</v>
      </c>
      <c r="N69" s="56" t="str">
        <v>Methane emissions (t CH4)</v>
      </c>
      <c r="O69" s="92"/>
      <c r="P69" s="50">
        <f>N67</f>
        <v>35.420230000000004</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ref="E72">Common_Equations.Common_ConvertCH4ToCO2e(G69,G70)</f>
        <v>991.7664400000001</v>
      </c>
      <c r="F72" s="93" t="str" cm="1">
        <f t="array" ref="F72">Common_Equations.Common_ConvertN2OToCO2e_Unit()</f>
        <v>t CO2e</v>
      </c>
      <c r="M72" s="45" t="s">
        <v>113</v>
      </c>
      <c r="N72" s="45" cm="1">
        <f t="array" ref="N72">Common_Equations.Common_ConvertCH4ToCO2e(P69,P70)</f>
        <v>991.7664400000001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58</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83</v>
      </c>
      <c r="G25" s="6" t="s">
        <v>119</v>
      </c>
      <c r="J25" s="6" t="s">
        <v>121</v>
      </c>
      <c r="M25" s="1"/>
    </row>
    <row r="26" spans="1:13" ht="20.100000000000001" customHeight="1" x14ac:dyDescent="0.25">
      <c r="M26" s="1"/>
    </row>
    <row r="27" spans="1:13" ht="20.100000000000001" customHeight="1" x14ac:dyDescent="0.25">
      <c r="D27" s="84" t="s">
        <v>50</v>
      </c>
      <c r="E27" s="37" t="s">
        <v>63</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11</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11</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82</v>
      </c>
      <c r="E88" s="37" t="s">
        <v>80</v>
      </c>
      <c r="F88" s="37" t="s">
        <v>65</v>
      </c>
      <c r="G88" s="37" t="s">
        <v>64</v>
      </c>
      <c r="H88" s="37" t="s">
        <v>67</v>
      </c>
      <c r="I88" s="37" t="s">
        <v>66</v>
      </c>
      <c r="J88" s="37" t="s">
        <v>68</v>
      </c>
      <c r="K88" s="37" t="s">
        <v>70</v>
      </c>
      <c r="L88" s="37" t="s">
        <v>71</v>
      </c>
      <c r="M88" s="37" t="s">
        <v>69</v>
      </c>
      <c r="N88" s="37" t="s">
        <v>78</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82</v>
      </c>
      <c r="E100" s="37" t="s">
        <v>80</v>
      </c>
      <c r="F100" s="37" t="s">
        <v>104</v>
      </c>
      <c r="G100" s="37" t="s">
        <v>78</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82</v>
      </c>
      <c r="E112" s="95" t="s">
        <v>80</v>
      </c>
      <c r="F112" s="95" t="s">
        <v>105</v>
      </c>
      <c r="G112" s="95" t="s">
        <v>78</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13</v>
      </c>
      <c r="E6" s="37" t="s">
        <v>14</v>
      </c>
      <c r="F6" s="37" t="s">
        <v>15</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16</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18</v>
      </c>
      <c r="E36" s="37" t="s">
        <v>19</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18</v>
      </c>
      <c r="E47" s="37" t="s">
        <v>21</v>
      </c>
      <c r="F47" s="37" t="s">
        <v>22</v>
      </c>
      <c r="G47" s="37" t="s">
        <v>23</v>
      </c>
      <c r="H47" s="37" t="s">
        <v>24</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38</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26</v>
      </c>
      <c r="F89" s="37" t="s">
        <v>27</v>
      </c>
      <c r="G89" s="37" t="s">
        <v>28</v>
      </c>
      <c r="H89" s="37" t="s">
        <v>29</v>
      </c>
      <c r="I89" s="37" t="s">
        <v>30</v>
      </c>
      <c r="J89" s="37" t="s">
        <v>31</v>
      </c>
      <c r="K89" s="37" t="s">
        <v>32</v>
      </c>
      <c r="L89" s="37" t="s">
        <v>33</v>
      </c>
      <c r="M89" s="37" t="s">
        <v>34</v>
      </c>
      <c r="N89" s="37" t="s">
        <v>35</v>
      </c>
      <c r="O89" s="37" t="s">
        <v>39</v>
      </c>
      <c r="P89" s="37" t="s">
        <v>36</v>
      </c>
      <c r="Q89" s="37" t="s">
        <v>40</v>
      </c>
      <c r="R89" s="37" t="s">
        <v>37</v>
      </c>
      <c r="S89" s="37" t="s">
        <v>41</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43</v>
      </c>
      <c r="E109" s="37" t="s">
        <v>26</v>
      </c>
      <c r="F109" s="37" t="s">
        <v>44</v>
      </c>
      <c r="G109" s="37" t="s">
        <v>45</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46</v>
      </c>
      <c r="E119" s="37" t="s">
        <v>47</v>
      </c>
      <c r="F119" s="37" t="s">
        <v>33</v>
      </c>
      <c r="G119" s="37" t="s">
        <v>34</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48</v>
      </c>
      <c r="E127" s="37" t="s">
        <v>49</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51</v>
      </c>
      <c r="E153" s="37" t="s">
        <v>52</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25</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42</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61</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62</v>
      </c>
      <c r="E9" s="37" t="s">
        <v>12</v>
      </c>
      <c r="F9" s="37" t="s">
        <v>63</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58</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60</v>
      </c>
    </row>
    <row r="17" spans="1:1" ht="20.100000000000001" customHeight="1" x14ac:dyDescent="0.25">
      <c r="A17" s="62" t="s">
        <v>56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58</v>
      </c>
    </row>
    <row r="22" spans="1:1" ht="20.100000000000001" customHeight="1" x14ac:dyDescent="0.25">
      <c r="A22" s="62" t="s">
        <v>1</v>
      </c>
    </row>
    <row r="23" spans="1:1" ht="20.100000000000001" customHeight="1" x14ac:dyDescent="0.25">
      <c r="A23" s="62" t="s">
        <v>57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60</v>
      </c>
    </row>
    <row r="32" spans="1:1" ht="20.100000000000001" customHeight="1" x14ac:dyDescent="0.25">
      <c r="A32" s="62" t="s">
        <v>56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2026-06-11T06:09:28Z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