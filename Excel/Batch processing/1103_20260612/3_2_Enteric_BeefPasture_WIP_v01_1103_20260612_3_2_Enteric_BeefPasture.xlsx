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1103_20260612\"/>
    </mc:Choice>
  </mc:AlternateContent>
  <xr:revisionPtr revIDLastSave="0" documentId="13_ncr:1_{87DD98EA-A850-40E4-B8E0-B340E5E28481}"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7" l="1"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D9" i="79" s="1"/>
  <c r="E188" i="107" a="1"/>
  <c r="E188" i="107" s="1"/>
  <c r="D188" i="107" a="1"/>
  <c r="D188" i="107" s="1"/>
  <c r="H187" i="107" a="1"/>
  <c r="H187" i="107" s="1"/>
  <c r="G187" i="107" a="1"/>
  <c r="G187" i="107" s="1"/>
  <c r="F187" i="107" a="1"/>
  <c r="F187" i="107" s="1"/>
  <c r="D8" i="79" s="1"/>
  <c r="E187" i="107" a="1"/>
  <c r="E187" i="107" s="1"/>
  <c r="D187" i="107" a="1"/>
  <c r="D187" i="107" s="1"/>
  <c r="D181" i="107" a="1"/>
  <c r="D181" i="107" s="1"/>
  <c r="D180" i="107" a="1"/>
  <c r="D180" i="107" s="1"/>
  <c r="D179" i="107" a="1"/>
  <c r="D179" i="107" s="1"/>
  <c r="D178" i="107" a="1"/>
  <c r="D178" i="107" s="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a="1"/>
  <c r="D161" i="107" s="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X164" i="69"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G131" i="69" l="1"/>
  <c r="H53" i="107"/>
  <c r="H54" i="107"/>
  <c r="H50" i="107"/>
  <c r="H48" i="107"/>
  <c r="H51" i="107"/>
  <c r="H49" i="107"/>
  <c r="H52" i="107"/>
  <c r="O115" i="69"/>
  <c r="O107" i="69"/>
  <c r="F128" i="69"/>
  <c r="AF117" i="69"/>
  <c r="AF149" i="69"/>
  <c r="O85" i="69"/>
  <c r="E94" i="69"/>
  <c r="E73" i="69"/>
  <c r="D21" i="69" l="1"/>
  <c r="E29" i="69" s="1" a="1"/>
  <c r="E29" i="69" s="1"/>
  <c r="J16" i="69"/>
  <c r="U39" i="69"/>
  <c r="U38" i="69"/>
  <c r="U37" i="69"/>
  <c r="U36" i="69"/>
  <c r="U35" i="69"/>
  <c r="U34" i="69"/>
  <c r="U33" i="69"/>
  <c r="U32" i="69"/>
  <c r="U31" i="69"/>
  <c r="U30" i="69"/>
  <c r="U29" i="69"/>
  <c r="U28" i="69"/>
  <c r="D107" i="70"/>
  <c r="F120" i="70"/>
  <c r="W22" i="69" s="1"/>
  <c r="E120" i="70"/>
  <c r="V22" i="69" s="1"/>
  <c r="G120" i="70"/>
  <c r="X22" i="69" s="1"/>
  <c r="D117" i="70"/>
  <c r="E113" i="70"/>
  <c r="D119" i="70" s="1"/>
  <c r="U23" i="69" s="1"/>
  <c r="E112" i="70"/>
  <c r="D118" i="70" s="1"/>
  <c r="D6" i="69" a="1"/>
  <c r="D6" i="69" s="1"/>
  <c r="G21" i="69"/>
  <c r="F21" i="69"/>
  <c r="E21" i="69"/>
  <c r="D120" i="70" l="1"/>
  <c r="U22" i="69"/>
  <c r="V37" i="69" s="1" a="1"/>
  <c r="V37"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V28" i="69" l="1" a="1"/>
  <c r="V28" i="69" s="1"/>
  <c r="V32" i="69" a="1"/>
  <c r="V32" i="69" s="1"/>
  <c r="W32" i="69" s="1" a="1"/>
  <c r="W32" i="69" s="1"/>
  <c r="AC32" i="69" s="1" a="1"/>
  <c r="AC32" i="69" s="1"/>
  <c r="V39" i="69" a="1"/>
  <c r="V39" i="69" s="1"/>
  <c r="V38" i="69" a="1"/>
  <c r="V38" i="69" s="1"/>
  <c r="V31" i="69" a="1"/>
  <c r="V31" i="69" s="1"/>
  <c r="W31" i="69" s="1" a="1"/>
  <c r="W31" i="69" s="1"/>
  <c r="AB31" i="69" s="1" a="1"/>
  <c r="AB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C31" i="69" l="1" a="1"/>
  <c r="AC31" i="69" s="1"/>
  <c r="AA31" i="69" a="1"/>
  <c r="AA31" i="69" s="1"/>
  <c r="A17" i="15"/>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E173" i="70" l="1"/>
  <c r="E172"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<sst xmlns="http://schemas.openxmlformats.org/spreadsheetml/2006/main" count="1088" uniqueCount="271">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</sst>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56.163952698425533</v>
      </c>
      <c r="G7" s="53" t="s">
        <v>115</v>
      </c>
      <c r="H7" s="105">
        <f>'3.2.1.1-2 Enteric Methane'!E133</f>
        <v>1558.9857296902248</v>
      </c>
      <c r="I7" s="105">
        <f>'3.2.1.1-2 Enteric Methane'!V166</f>
        <v>1572.5906755559149</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1572.5906755559149</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40" zoomScale="85" zoomScaleNormal="85" workbookViewId="0">
      <selection activeCell="E177" sqref="E177"/>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2025</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2025</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2025</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2025</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2025</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2025</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2025</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2025</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2025</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2025</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2025</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v>340</v>
      </c>
      <c r="F60" s="51">
        <v>800</v>
      </c>
      <c r="G60" s="51">
        <v>260</v>
      </c>
      <c r="H60" s="51">
        <v>420</v>
      </c>
      <c r="I60" s="51">
        <v>550</v>
      </c>
      <c r="J60" s="51">
        <v>550</v>
      </c>
      <c r="K60" s="51">
        <v>300</v>
      </c>
      <c r="L60" s="51">
        <v>480</v>
      </c>
      <c r="M60" s="51">
        <v>480</v>
      </c>
      <c r="N60" s="51">
        <v>480</v>
      </c>
      <c r="O60" s="2" t="s">
        <v>104</v>
      </c>
      <c r="P60" s="3"/>
      <c r="T60" s="7"/>
    </row>
    <row r="61" spans="4:20" ht="20.100000000000001" customHeight="1" x14ac:dyDescent="0.25">
      <c r="D61" s="1" t="s">
        <v>134</v>
      </c>
      <c r="E61" s="51">
        <v>380</v>
      </c>
      <c r="F61" s="51">
        <v>780</v>
      </c>
      <c r="G61" s="51">
        <v>300</v>
      </c>
      <c r="H61" s="51">
        <v>450</v>
      </c>
      <c r="I61" s="51">
        <v>530</v>
      </c>
      <c r="J61" s="51">
        <v>530</v>
      </c>
      <c r="K61" s="51">
        <v>340</v>
      </c>
      <c r="L61" s="51">
        <v>470</v>
      </c>
      <c r="M61" s="51">
        <v>470</v>
      </c>
      <c r="N61" s="51">
        <v>470</v>
      </c>
      <c r="O61" s="2" t="s">
        <v>104</v>
      </c>
      <c r="P61" s="3"/>
      <c r="T61" s="7"/>
    </row>
    <row r="62" spans="4:20" ht="20.100000000000001" customHeight="1" x14ac:dyDescent="0.25">
      <c r="D62" s="1" t="s">
        <v>135</v>
      </c>
      <c r="E62" s="51">
        <v>100</v>
      </c>
      <c r="F62" s="51">
        <v>680</v>
      </c>
      <c r="G62" s="51">
        <v>80</v>
      </c>
      <c r="H62" s="51">
        <v>320</v>
      </c>
      <c r="I62" s="51">
        <v>480</v>
      </c>
      <c r="J62" s="51">
        <v>480</v>
      </c>
      <c r="K62" s="51">
        <v>100</v>
      </c>
      <c r="L62" s="51">
        <v>340</v>
      </c>
      <c r="M62" s="51">
        <v>340</v>
      </c>
      <c r="N62" s="51">
        <v>340</v>
      </c>
      <c r="O62" s="2" t="s">
        <v>104</v>
      </c>
      <c r="P62" s="3"/>
      <c r="T62" s="7"/>
    </row>
    <row r="63" spans="4:20" ht="20.100000000000001" customHeight="1" x14ac:dyDescent="0.25">
      <c r="D63" s="1" t="s">
        <v>136</v>
      </c>
      <c r="E63" s="51">
        <v>190</v>
      </c>
      <c r="F63" s="51">
        <v>700</v>
      </c>
      <c r="G63" s="51">
        <v>150</v>
      </c>
      <c r="H63" s="51">
        <v>330</v>
      </c>
      <c r="I63" s="51">
        <v>490</v>
      </c>
      <c r="J63" s="51">
        <v>490</v>
      </c>
      <c r="K63" s="51">
        <v>170</v>
      </c>
      <c r="L63" s="51">
        <v>360</v>
      </c>
      <c r="M63" s="51">
        <v>360</v>
      </c>
      <c r="N63" s="51">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v>380</v>
      </c>
      <c r="F66" s="64">
        <v>780</v>
      </c>
      <c r="G66" s="64">
        <v>300</v>
      </c>
      <c r="H66" s="64">
        <v>450</v>
      </c>
      <c r="I66" s="64">
        <v>530</v>
      </c>
      <c r="J66" s="64">
        <v>530</v>
      </c>
      <c r="K66" s="64">
        <v>340</v>
      </c>
      <c r="L66" s="64">
        <v>470</v>
      </c>
      <c r="M66" s="64">
        <v>470</v>
      </c>
      <c r="N66" s="64">
        <v>470</v>
      </c>
      <c r="O66" s="2" t="s">
        <v>104</v>
      </c>
      <c r="P66" s="3"/>
      <c r="T66" s="7"/>
    </row>
    <row r="67" spans="4:20" ht="20.100000000000001" customHeight="1" x14ac:dyDescent="0.25">
      <c r="D67" s="1" t="str">
        <f>TEXT(EDATE('Input - Site'!$E$12,1), "mmmm yyyy")</f>
        <v>February 2025</v>
      </c>
      <c r="E67" s="64">
        <v>380</v>
      </c>
      <c r="F67" s="64">
        <v>780</v>
      </c>
      <c r="G67" s="64">
        <v>300</v>
      </c>
      <c r="H67" s="64">
        <v>450</v>
      </c>
      <c r="I67" s="64">
        <v>530</v>
      </c>
      <c r="J67" s="64">
        <v>530</v>
      </c>
      <c r="K67" s="64">
        <v>340</v>
      </c>
      <c r="L67" s="64">
        <v>470</v>
      </c>
      <c r="M67" s="64">
        <v>470</v>
      </c>
      <c r="N67" s="64">
        <v>470</v>
      </c>
      <c r="O67" s="2" t="s">
        <v>104</v>
      </c>
      <c r="P67" s="3"/>
      <c r="T67" s="7"/>
    </row>
    <row r="68" spans="4:20" ht="20.100000000000001" customHeight="1" x14ac:dyDescent="0.25">
      <c r="D68" s="1" t="str">
        <f>TEXT(EDATE('Input - Site'!$E$12,2), "mmmm yyyy")</f>
        <v>March 2025</v>
      </c>
      <c r="E68" s="64">
        <v>100</v>
      </c>
      <c r="F68" s="64">
        <v>680</v>
      </c>
      <c r="G68" s="64">
        <v>80</v>
      </c>
      <c r="H68" s="64">
        <v>320</v>
      </c>
      <c r="I68" s="64">
        <v>480</v>
      </c>
      <c r="J68" s="64">
        <v>480</v>
      </c>
      <c r="K68" s="64">
        <v>100</v>
      </c>
      <c r="L68" s="64">
        <v>340</v>
      </c>
      <c r="M68" s="64">
        <v>340</v>
      </c>
      <c r="N68" s="64">
        <v>340</v>
      </c>
      <c r="O68" s="2" t="s">
        <v>104</v>
      </c>
      <c r="P68" s="3"/>
      <c r="T68" s="7"/>
    </row>
    <row r="69" spans="4:20" ht="20.100000000000001" customHeight="1" x14ac:dyDescent="0.25">
      <c r="D69" s="1" t="str">
        <f>TEXT(EDATE('Input - Site'!$E$12,3), "mmmm yyyy")</f>
        <v>April 2025</v>
      </c>
      <c r="E69" s="64">
        <v>100</v>
      </c>
      <c r="F69" s="64">
        <v>680</v>
      </c>
      <c r="G69" s="64">
        <v>80</v>
      </c>
      <c r="H69" s="64">
        <v>320</v>
      </c>
      <c r="I69" s="64">
        <v>480</v>
      </c>
      <c r="J69" s="64">
        <v>480</v>
      </c>
      <c r="K69" s="64">
        <v>100</v>
      </c>
      <c r="L69" s="64">
        <v>340</v>
      </c>
      <c r="M69" s="64">
        <v>340</v>
      </c>
      <c r="N69" s="64">
        <v>340</v>
      </c>
      <c r="O69" s="2" t="s">
        <v>104</v>
      </c>
      <c r="P69" s="3"/>
      <c r="T69" s="7"/>
    </row>
    <row r="70" spans="4:20" ht="20.100000000000001" customHeight="1" x14ac:dyDescent="0.25">
      <c r="D70" s="1" t="str">
        <f>TEXT(EDATE('Input - Site'!$E$12,4), "mmmm yyyy")</f>
        <v>May 2025</v>
      </c>
      <c r="E70" s="64">
        <v>100</v>
      </c>
      <c r="F70" s="64">
        <v>680</v>
      </c>
      <c r="G70" s="64">
        <v>80</v>
      </c>
      <c r="H70" s="64">
        <v>320</v>
      </c>
      <c r="I70" s="64">
        <v>480</v>
      </c>
      <c r="J70" s="64">
        <v>480</v>
      </c>
      <c r="K70" s="64">
        <v>100</v>
      </c>
      <c r="L70" s="64">
        <v>340</v>
      </c>
      <c r="M70" s="64">
        <v>340</v>
      </c>
      <c r="N70" s="64">
        <v>340</v>
      </c>
      <c r="O70" s="2" t="s">
        <v>104</v>
      </c>
      <c r="P70" s="3"/>
      <c r="T70" s="7"/>
    </row>
    <row r="71" spans="4:20" ht="20.100000000000001" customHeight="1" x14ac:dyDescent="0.25">
      <c r="D71" s="1" t="str">
        <f>TEXT(EDATE('Input - Site'!$E$12,5), "mmmm yyyy")</f>
        <v>June 2025</v>
      </c>
      <c r="E71" s="64">
        <v>190</v>
      </c>
      <c r="F71" s="64">
        <v>700</v>
      </c>
      <c r="G71" s="64">
        <v>150</v>
      </c>
      <c r="H71" s="64">
        <v>330</v>
      </c>
      <c r="I71" s="64">
        <v>490</v>
      </c>
      <c r="J71" s="64">
        <v>490</v>
      </c>
      <c r="K71" s="64">
        <v>170</v>
      </c>
      <c r="L71" s="64">
        <v>360</v>
      </c>
      <c r="M71" s="64">
        <v>360</v>
      </c>
      <c r="N71" s="64">
        <v>360</v>
      </c>
      <c r="O71" s="2" t="s">
        <v>104</v>
      </c>
      <c r="P71" s="3"/>
      <c r="T71" s="7"/>
    </row>
    <row r="72" spans="4:20" ht="20.100000000000001" customHeight="1" x14ac:dyDescent="0.25">
      <c r="D72" s="1" t="str">
        <f>TEXT(EDATE('Input - Site'!$E$12,6), "mmmm yyyy")</f>
        <v>July 2025</v>
      </c>
      <c r="E72" s="64">
        <v>190</v>
      </c>
      <c r="F72" s="64">
        <v>700</v>
      </c>
      <c r="G72" s="64">
        <v>150</v>
      </c>
      <c r="H72" s="64">
        <v>330</v>
      </c>
      <c r="I72" s="64">
        <v>490</v>
      </c>
      <c r="J72" s="64">
        <v>490</v>
      </c>
      <c r="K72" s="64">
        <v>170</v>
      </c>
      <c r="L72" s="64">
        <v>360</v>
      </c>
      <c r="M72" s="64">
        <v>360</v>
      </c>
      <c r="N72" s="64">
        <v>360</v>
      </c>
      <c r="O72" s="2" t="s">
        <v>104</v>
      </c>
      <c r="T72" s="7"/>
    </row>
    <row r="73" spans="4:20" ht="20.100000000000001" customHeight="1" x14ac:dyDescent="0.25">
      <c r="D73" s="1" t="str">
        <f>TEXT(EDATE('Input - Site'!$E$12,7), "mmmm yyyy")</f>
        <v>August 2025</v>
      </c>
      <c r="E73" s="64">
        <v>190</v>
      </c>
      <c r="F73" s="64">
        <v>700</v>
      </c>
      <c r="G73" s="64">
        <v>150</v>
      </c>
      <c r="H73" s="64">
        <v>330</v>
      </c>
      <c r="I73" s="64">
        <v>490</v>
      </c>
      <c r="J73" s="64">
        <v>490</v>
      </c>
      <c r="K73" s="64">
        <v>170</v>
      </c>
      <c r="L73" s="64">
        <v>360</v>
      </c>
      <c r="M73" s="64">
        <v>360</v>
      </c>
      <c r="N73" s="64">
        <v>360</v>
      </c>
      <c r="O73" s="2" t="s">
        <v>104</v>
      </c>
      <c r="T73" s="7"/>
    </row>
    <row r="74" spans="4:20" ht="20.100000000000001" customHeight="1" x14ac:dyDescent="0.25">
      <c r="D74" s="1" t="str">
        <f>TEXT(EDATE('Input - Site'!$E$12,8), "mmmm yyyy")</f>
        <v>September 2025</v>
      </c>
      <c r="E74" s="64">
        <v>340</v>
      </c>
      <c r="F74" s="64">
        <v>800</v>
      </c>
      <c r="G74" s="64">
        <v>260</v>
      </c>
      <c r="H74" s="64">
        <v>420</v>
      </c>
      <c r="I74" s="64">
        <v>550</v>
      </c>
      <c r="J74" s="64">
        <v>550</v>
      </c>
      <c r="K74" s="64">
        <v>300</v>
      </c>
      <c r="L74" s="64">
        <v>480</v>
      </c>
      <c r="M74" s="64">
        <v>480</v>
      </c>
      <c r="N74" s="64">
        <v>480</v>
      </c>
      <c r="O74" s="2" t="s">
        <v>104</v>
      </c>
      <c r="T74" s="7"/>
    </row>
    <row r="75" spans="4:20" ht="20.100000000000001" customHeight="1" x14ac:dyDescent="0.25">
      <c r="D75" s="1" t="str">
        <f>TEXT(EDATE('Input - Site'!$E$12,9), "mmmm yyyy")</f>
        <v>October 2025</v>
      </c>
      <c r="E75" s="64">
        <v>340</v>
      </c>
      <c r="F75" s="64">
        <v>800</v>
      </c>
      <c r="G75" s="64">
        <v>260</v>
      </c>
      <c r="H75" s="64">
        <v>420</v>
      </c>
      <c r="I75" s="64">
        <v>550</v>
      </c>
      <c r="J75" s="64">
        <v>550</v>
      </c>
      <c r="K75" s="64">
        <v>300</v>
      </c>
      <c r="L75" s="64">
        <v>480</v>
      </c>
      <c r="M75" s="64">
        <v>480</v>
      </c>
      <c r="N75" s="64">
        <v>480</v>
      </c>
      <c r="O75" s="2" t="s">
        <v>104</v>
      </c>
      <c r="T75" s="7"/>
    </row>
    <row r="76" spans="4:20" ht="20.100000000000001" customHeight="1" x14ac:dyDescent="0.25">
      <c r="D76" s="1" t="str">
        <f>TEXT(EDATE('Input - Site'!$E$12,10), "mmmm yyyy")</f>
        <v>November 2025</v>
      </c>
      <c r="E76" s="64">
        <v>340</v>
      </c>
      <c r="F76" s="64">
        <v>800</v>
      </c>
      <c r="G76" s="64">
        <v>260</v>
      </c>
      <c r="H76" s="64">
        <v>420</v>
      </c>
      <c r="I76" s="64">
        <v>550</v>
      </c>
      <c r="J76" s="64">
        <v>550</v>
      </c>
      <c r="K76" s="64">
        <v>300</v>
      </c>
      <c r="L76" s="64">
        <v>480</v>
      </c>
      <c r="M76" s="64">
        <v>480</v>
      </c>
      <c r="N76" s="64">
        <v>480</v>
      </c>
      <c r="O76" s="2" t="s">
        <v>104</v>
      </c>
      <c r="T76" s="7"/>
    </row>
    <row r="77" spans="4:20" ht="20.100000000000001" customHeight="1" x14ac:dyDescent="0.25">
      <c r="D77" s="1" t="str">
        <f>TEXT(EDATE('Input - Site'!$E$12,11), "mmmm yyyy")</f>
        <v>December 2025</v>
      </c>
      <c r="E77" s="64">
        <v>380</v>
      </c>
      <c r="F77" s="64">
        <v>780</v>
      </c>
      <c r="G77" s="64">
        <v>300</v>
      </c>
      <c r="H77" s="64">
        <v>450</v>
      </c>
      <c r="I77" s="64">
        <v>530</v>
      </c>
      <c r="J77" s="64">
        <v>530</v>
      </c>
      <c r="K77" s="64">
        <v>340</v>
      </c>
      <c r="L77" s="64">
        <v>470</v>
      </c>
      <c r="M77" s="64">
        <v>470</v>
      </c>
      <c r="N77" s="64">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v>1.64</v>
      </c>
      <c r="F82" s="51">
        <v>1.1000000000000001</v>
      </c>
      <c r="G82" s="51">
        <v>1.21</v>
      </c>
      <c r="H82" s="51">
        <v>0.99</v>
      </c>
      <c r="I82" s="51">
        <v>0.66</v>
      </c>
      <c r="J82" s="51">
        <v>0.66</v>
      </c>
      <c r="K82" s="51">
        <v>1.42</v>
      </c>
      <c r="L82" s="51">
        <v>1.1000000000000001</v>
      </c>
      <c r="M82" s="51">
        <v>1.1000000000000001</v>
      </c>
      <c r="N82" s="51">
        <v>1.1000000000000001</v>
      </c>
      <c r="O82" s="2" t="s">
        <v>105</v>
      </c>
      <c r="T82" s="7"/>
    </row>
    <row r="83" spans="4:20" ht="20.100000000000001" customHeight="1" x14ac:dyDescent="0.25">
      <c r="D83" s="1" t="s">
        <v>134</v>
      </c>
      <c r="E83" s="51">
        <v>0.44</v>
      </c>
      <c r="F83" s="51">
        <v>-0.22</v>
      </c>
      <c r="G83" s="51">
        <v>0.44</v>
      </c>
      <c r="H83" s="51">
        <v>0.33</v>
      </c>
      <c r="I83" s="51">
        <v>-0.22</v>
      </c>
      <c r="J83" s="51">
        <v>-0.22</v>
      </c>
      <c r="K83" s="51">
        <v>0.44</v>
      </c>
      <c r="L83" s="51">
        <v>-0.11</v>
      </c>
      <c r="M83" s="51">
        <v>-0.11</v>
      </c>
      <c r="N83" s="51">
        <v>-0.11</v>
      </c>
      <c r="O83" s="2" t="s">
        <v>105</v>
      </c>
      <c r="T83" s="7"/>
    </row>
    <row r="84" spans="4:20" ht="20.100000000000001" customHeight="1" x14ac:dyDescent="0.25">
      <c r="D84" s="1" t="s">
        <v>135</v>
      </c>
      <c r="E84" s="51">
        <v>0.6</v>
      </c>
      <c r="F84" s="51">
        <v>0</v>
      </c>
      <c r="G84" s="51">
        <v>0.6</v>
      </c>
      <c r="H84" s="51">
        <v>0.22</v>
      </c>
      <c r="I84" s="51">
        <v>-0.55000000000000004</v>
      </c>
      <c r="J84" s="51">
        <v>-0.55000000000000004</v>
      </c>
      <c r="K84" s="51">
        <v>0.6</v>
      </c>
      <c r="L84" s="51">
        <v>0</v>
      </c>
      <c r="M84" s="51">
        <v>0</v>
      </c>
      <c r="N84" s="51">
        <v>0</v>
      </c>
      <c r="O84" s="2" t="s">
        <v>105</v>
      </c>
      <c r="T84" s="7"/>
    </row>
    <row r="85" spans="4:20" ht="20.100000000000001" customHeight="1" x14ac:dyDescent="0.25">
      <c r="D85" s="1" t="s">
        <v>136</v>
      </c>
      <c r="E85" s="51">
        <v>0.99</v>
      </c>
      <c r="F85" s="51">
        <v>0.22</v>
      </c>
      <c r="G85" s="51">
        <v>0.77</v>
      </c>
      <c r="H85" s="51">
        <v>0.11</v>
      </c>
      <c r="I85" s="51">
        <v>0.11</v>
      </c>
      <c r="J85" s="51">
        <v>0.11</v>
      </c>
      <c r="K85" s="51">
        <v>0.77</v>
      </c>
      <c r="L85" s="51">
        <v>0.44</v>
      </c>
      <c r="M85" s="51">
        <v>0.44</v>
      </c>
      <c r="N85" s="51">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v>0.44</v>
      </c>
      <c r="F88" s="64">
        <v>-0.22</v>
      </c>
      <c r="G88" s="64">
        <v>0.44</v>
      </c>
      <c r="H88" s="64">
        <v>0.33</v>
      </c>
      <c r="I88" s="64">
        <v>-0.22</v>
      </c>
      <c r="J88" s="64">
        <v>-0.22</v>
      </c>
      <c r="K88" s="64">
        <v>0.44</v>
      </c>
      <c r="L88" s="64">
        <v>-0.11</v>
      </c>
      <c r="M88" s="64">
        <v>-0.11</v>
      </c>
      <c r="N88" s="64">
        <v>-0.11</v>
      </c>
      <c r="O88" s="2" t="s">
        <v>105</v>
      </c>
      <c r="T88" s="7"/>
    </row>
    <row r="89" spans="4:20" ht="20.100000000000001" customHeight="1" x14ac:dyDescent="0.25">
      <c r="D89" s="1" t="str">
        <f>TEXT(EDATE('Input - Site'!$E$12,1), "mmmm yyyy")</f>
        <v>February 2025</v>
      </c>
      <c r="E89" s="64">
        <v>0.44</v>
      </c>
      <c r="F89" s="64">
        <v>-0.22</v>
      </c>
      <c r="G89" s="64">
        <v>0.44</v>
      </c>
      <c r="H89" s="64">
        <v>0.33</v>
      </c>
      <c r="I89" s="64">
        <v>-0.22</v>
      </c>
      <c r="J89" s="64">
        <v>-0.22</v>
      </c>
      <c r="K89" s="64">
        <v>0.44</v>
      </c>
      <c r="L89" s="64">
        <v>-0.11</v>
      </c>
      <c r="M89" s="64">
        <v>-0.11</v>
      </c>
      <c r="N89" s="64">
        <v>-0.11</v>
      </c>
      <c r="O89" s="2" t="s">
        <v>105</v>
      </c>
      <c r="T89" s="7"/>
    </row>
    <row r="90" spans="4:20" ht="20.100000000000001" customHeight="1" x14ac:dyDescent="0.25">
      <c r="D90" s="1" t="str">
        <f>TEXT(EDATE('Input - Site'!$E$12,2), "mmmm yyyy")</f>
        <v>March 2025</v>
      </c>
      <c r="E90" s="64">
        <v>0.6</v>
      </c>
      <c r="F90" s="64">
        <v>0</v>
      </c>
      <c r="G90" s="64">
        <v>0.6</v>
      </c>
      <c r="H90" s="64">
        <v>0.22</v>
      </c>
      <c r="I90" s="64">
        <v>-0.55000000000000004</v>
      </c>
      <c r="J90" s="64">
        <v>-0.55000000000000004</v>
      </c>
      <c r="K90" s="64">
        <v>0.6</v>
      </c>
      <c r="L90" s="64">
        <v>0</v>
      </c>
      <c r="M90" s="64">
        <v>0</v>
      </c>
      <c r="N90" s="64">
        <v>0</v>
      </c>
      <c r="O90" s="2" t="s">
        <v>105</v>
      </c>
      <c r="T90" s="7"/>
    </row>
    <row r="91" spans="4:20" ht="20.100000000000001" customHeight="1" x14ac:dyDescent="0.25">
      <c r="D91" s="1" t="str">
        <f>TEXT(EDATE('Input - Site'!$E$12,3), "mmmm yyyy")</f>
        <v>April 2025</v>
      </c>
      <c r="E91" s="64">
        <v>0.6</v>
      </c>
      <c r="F91" s="64">
        <v>0</v>
      </c>
      <c r="G91" s="64">
        <v>0.6</v>
      </c>
      <c r="H91" s="64">
        <v>0.22</v>
      </c>
      <c r="I91" s="64">
        <v>-0.55000000000000004</v>
      </c>
      <c r="J91" s="64">
        <v>-0.55000000000000004</v>
      </c>
      <c r="K91" s="64">
        <v>0.6</v>
      </c>
      <c r="L91" s="64">
        <v>0</v>
      </c>
      <c r="M91" s="64">
        <v>0</v>
      </c>
      <c r="N91" s="64">
        <v>0</v>
      </c>
      <c r="O91" s="2" t="s">
        <v>105</v>
      </c>
      <c r="T91" s="7"/>
    </row>
    <row r="92" spans="4:20" ht="20.100000000000001" customHeight="1" x14ac:dyDescent="0.25">
      <c r="D92" s="1" t="str">
        <f>TEXT(EDATE('Input - Site'!$E$12,4), "mmmm yyyy")</f>
        <v>May 2025</v>
      </c>
      <c r="E92" s="64">
        <v>0.6</v>
      </c>
      <c r="F92" s="64">
        <v>0</v>
      </c>
      <c r="G92" s="64">
        <v>0.6</v>
      </c>
      <c r="H92" s="64">
        <v>0.22</v>
      </c>
      <c r="I92" s="64">
        <v>-0.55000000000000004</v>
      </c>
      <c r="J92" s="64">
        <v>-0.55000000000000004</v>
      </c>
      <c r="K92" s="64">
        <v>0.6</v>
      </c>
      <c r="L92" s="64">
        <v>0</v>
      </c>
      <c r="M92" s="64">
        <v>0</v>
      </c>
      <c r="N92" s="64">
        <v>0</v>
      </c>
      <c r="O92" s="2" t="s">
        <v>105</v>
      </c>
      <c r="T92" s="7"/>
    </row>
    <row r="93" spans="4:20" ht="20.100000000000001" customHeight="1" x14ac:dyDescent="0.25">
      <c r="D93" s="1" t="str">
        <f>TEXT(EDATE('Input - Site'!$E$12,5), "mmmm yyyy")</f>
        <v>June 2025</v>
      </c>
      <c r="E93" s="64">
        <v>0.99</v>
      </c>
      <c r="F93" s="64">
        <v>0.22</v>
      </c>
      <c r="G93" s="64">
        <v>0.77</v>
      </c>
      <c r="H93" s="64">
        <v>0.11</v>
      </c>
      <c r="I93" s="64">
        <v>0.11</v>
      </c>
      <c r="J93" s="64">
        <v>0.11</v>
      </c>
      <c r="K93" s="64">
        <v>0.77</v>
      </c>
      <c r="L93" s="64">
        <v>0.44</v>
      </c>
      <c r="M93" s="64">
        <v>0.44</v>
      </c>
      <c r="N93" s="64">
        <v>0.44</v>
      </c>
      <c r="O93" s="2" t="s">
        <v>105</v>
      </c>
      <c r="T93" s="7"/>
    </row>
    <row r="94" spans="4:20" ht="20.100000000000001" customHeight="1" x14ac:dyDescent="0.25">
      <c r="D94" s="1" t="str">
        <f>TEXT(EDATE('Input - Site'!$E$12,6), "mmmm yyyy")</f>
        <v>July 2025</v>
      </c>
      <c r="E94" s="64">
        <v>0.99</v>
      </c>
      <c r="F94" s="64">
        <v>0.22</v>
      </c>
      <c r="G94" s="64">
        <v>0.77</v>
      </c>
      <c r="H94" s="64">
        <v>0.11</v>
      </c>
      <c r="I94" s="64">
        <v>0.11</v>
      </c>
      <c r="J94" s="64">
        <v>0.11</v>
      </c>
      <c r="K94" s="64">
        <v>0.77</v>
      </c>
      <c r="L94" s="64">
        <v>0.44</v>
      </c>
      <c r="M94" s="64">
        <v>0.44</v>
      </c>
      <c r="N94" s="64">
        <v>0.44</v>
      </c>
      <c r="O94" s="2" t="s">
        <v>105</v>
      </c>
      <c r="T94" s="7"/>
    </row>
    <row r="95" spans="4:20" ht="20.100000000000001" customHeight="1" x14ac:dyDescent="0.25">
      <c r="D95" s="1" t="str">
        <f>TEXT(EDATE('Input - Site'!$E$12,7), "mmmm yyyy")</f>
        <v>August 2025</v>
      </c>
      <c r="E95" s="64">
        <v>0.99</v>
      </c>
      <c r="F95" s="64">
        <v>0.22</v>
      </c>
      <c r="G95" s="64">
        <v>0.77</v>
      </c>
      <c r="H95" s="64">
        <v>0.11</v>
      </c>
      <c r="I95" s="64">
        <v>0.11</v>
      </c>
      <c r="J95" s="64">
        <v>0.11</v>
      </c>
      <c r="K95" s="64">
        <v>0.77</v>
      </c>
      <c r="L95" s="64">
        <v>0.44</v>
      </c>
      <c r="M95" s="64">
        <v>0.44</v>
      </c>
      <c r="N95" s="64">
        <v>0.44</v>
      </c>
      <c r="O95" s="2" t="s">
        <v>105</v>
      </c>
      <c r="T95" s="7"/>
    </row>
    <row r="96" spans="4:20" ht="20.100000000000001" customHeight="1" x14ac:dyDescent="0.25">
      <c r="D96" s="1" t="str">
        <f>TEXT(EDATE('Input - Site'!$E$12,8), "mmmm yyyy")</f>
        <v>September 2025</v>
      </c>
      <c r="E96" s="64">
        <v>1.64</v>
      </c>
      <c r="F96" s="64">
        <v>1.1000000000000001</v>
      </c>
      <c r="G96" s="64">
        <v>1.21</v>
      </c>
      <c r="H96" s="64">
        <v>0.99</v>
      </c>
      <c r="I96" s="64">
        <v>0.66</v>
      </c>
      <c r="J96" s="64">
        <v>0.66</v>
      </c>
      <c r="K96" s="64">
        <v>1.42</v>
      </c>
      <c r="L96" s="64">
        <v>1.1000000000000001</v>
      </c>
      <c r="M96" s="64">
        <v>1.1000000000000001</v>
      </c>
      <c r="N96" s="64">
        <v>1.1000000000000001</v>
      </c>
      <c r="O96" s="2" t="s">
        <v>105</v>
      </c>
      <c r="T96" s="7"/>
    </row>
    <row r="97" spans="4:20" ht="20.100000000000001" customHeight="1" x14ac:dyDescent="0.25">
      <c r="D97" s="1" t="str">
        <f>TEXT(EDATE('Input - Site'!$E$12,9), "mmmm yyyy")</f>
        <v>October 2025</v>
      </c>
      <c r="E97" s="64">
        <v>1.64</v>
      </c>
      <c r="F97" s="64">
        <v>1.1000000000000001</v>
      </c>
      <c r="G97" s="64">
        <v>1.21</v>
      </c>
      <c r="H97" s="64">
        <v>0.99</v>
      </c>
      <c r="I97" s="64">
        <v>0.66</v>
      </c>
      <c r="J97" s="64">
        <v>0.66</v>
      </c>
      <c r="K97" s="64">
        <v>1.42</v>
      </c>
      <c r="L97" s="64">
        <v>1.1000000000000001</v>
      </c>
      <c r="M97" s="64">
        <v>1.1000000000000001</v>
      </c>
      <c r="N97" s="64">
        <v>1.1000000000000001</v>
      </c>
      <c r="O97" s="2" t="s">
        <v>105</v>
      </c>
      <c r="T97" s="7"/>
    </row>
    <row r="98" spans="4:20" ht="20.100000000000001" customHeight="1" x14ac:dyDescent="0.25">
      <c r="D98" s="1" t="str">
        <f>TEXT(EDATE('Input - Site'!$E$12,10), "mmmm yyyy")</f>
        <v>November 2025</v>
      </c>
      <c r="E98" s="64">
        <v>1.64</v>
      </c>
      <c r="F98" s="64">
        <v>1.1000000000000001</v>
      </c>
      <c r="G98" s="64">
        <v>1.21</v>
      </c>
      <c r="H98" s="64">
        <v>0.99</v>
      </c>
      <c r="I98" s="64">
        <v>0.66</v>
      </c>
      <c r="J98" s="64">
        <v>0.66</v>
      </c>
      <c r="K98" s="64">
        <v>1.42</v>
      </c>
      <c r="L98" s="64">
        <v>1.1000000000000001</v>
      </c>
      <c r="M98" s="64">
        <v>1.1000000000000001</v>
      </c>
      <c r="N98" s="64">
        <v>1.1000000000000001</v>
      </c>
      <c r="O98" s="2" t="s">
        <v>105</v>
      </c>
      <c r="T98" s="7"/>
    </row>
    <row r="99" spans="4:20" ht="20.100000000000001" customHeight="1" x14ac:dyDescent="0.25">
      <c r="D99" s="1" t="str">
        <f>TEXT(EDATE('Input - Site'!$E$12,11), "mmmm yyyy")</f>
        <v>December 2025</v>
      </c>
      <c r="E99" s="64">
        <v>0.44</v>
      </c>
      <c r="F99" s="64">
        <v>-0.22</v>
      </c>
      <c r="G99" s="64">
        <v>0.44</v>
      </c>
      <c r="H99" s="64">
        <v>0.33</v>
      </c>
      <c r="I99" s="64">
        <v>-0.22</v>
      </c>
      <c r="J99" s="64">
        <v>-0.22</v>
      </c>
      <c r="K99" s="64">
        <v>0.44</v>
      </c>
      <c r="L99" s="64">
        <v>-0.11</v>
      </c>
      <c r="M99" s="64">
        <v>-0.11</v>
      </c>
      <c r="N99" s="64">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v>0.8</v>
      </c>
      <c r="F125" s="51">
        <v>0.8</v>
      </c>
      <c r="G125" s="51">
        <v>0.8</v>
      </c>
      <c r="H125" s="51">
        <v>0.8</v>
      </c>
      <c r="I125" s="51">
        <v>0.8</v>
      </c>
      <c r="J125" s="51">
        <v>0.8</v>
      </c>
      <c r="K125" s="51">
        <v>0.8</v>
      </c>
      <c r="L125" s="51">
        <v>0.8</v>
      </c>
      <c r="M125" s="51">
        <v>0.8</v>
      </c>
      <c r="N125" s="51">
        <v>0.8</v>
      </c>
      <c r="O125" s="2" t="s">
        <v>111</v>
      </c>
    </row>
    <row r="126" spans="4:15" ht="20.100000000000001" customHeight="1" x14ac:dyDescent="0.25">
      <c r="D126" s="1" t="s">
        <v>134</v>
      </c>
      <c r="E126" s="51">
        <v>0.57999999999999996</v>
      </c>
      <c r="F126" s="51">
        <v>0.57999999999999996</v>
      </c>
      <c r="G126" s="51">
        <v>0.57999999999999996</v>
      </c>
      <c r="H126" s="51">
        <v>0.57999999999999996</v>
      </c>
      <c r="I126" s="51">
        <v>0.57999999999999996</v>
      </c>
      <c r="J126" s="51">
        <v>0.57999999999999996</v>
      </c>
      <c r="K126" s="51">
        <v>0.57999999999999996</v>
      </c>
      <c r="L126" s="51">
        <v>0.57999999999999996</v>
      </c>
      <c r="M126" s="51">
        <v>0.57999999999999996</v>
      </c>
      <c r="N126" s="51">
        <v>0.57999999999999996</v>
      </c>
      <c r="O126" s="2" t="s">
        <v>111</v>
      </c>
    </row>
    <row r="127" spans="4:15" ht="20.100000000000001" customHeight="1" x14ac:dyDescent="0.25">
      <c r="D127" s="1" t="s">
        <v>135</v>
      </c>
      <c r="E127" s="51">
        <v>0.5</v>
      </c>
      <c r="F127" s="51">
        <v>0.5</v>
      </c>
      <c r="G127" s="51">
        <v>0.5</v>
      </c>
      <c r="H127" s="51">
        <v>0.5</v>
      </c>
      <c r="I127" s="51">
        <v>0.5</v>
      </c>
      <c r="J127" s="51">
        <v>0.5</v>
      </c>
      <c r="K127" s="51">
        <v>0.5</v>
      </c>
      <c r="L127" s="51">
        <v>0.5</v>
      </c>
      <c r="M127" s="51">
        <v>0.5</v>
      </c>
      <c r="N127" s="51">
        <v>0.5</v>
      </c>
      <c r="O127" s="2" t="s">
        <v>111</v>
      </c>
    </row>
    <row r="128" spans="4:15" ht="20.100000000000001" customHeight="1" x14ac:dyDescent="0.25">
      <c r="D128" s="1" t="s">
        <v>136</v>
      </c>
      <c r="E128" s="51">
        <v>0.75</v>
      </c>
      <c r="F128" s="51">
        <v>0.75</v>
      </c>
      <c r="G128" s="51">
        <v>0.75</v>
      </c>
      <c r="H128" s="51">
        <v>0.75</v>
      </c>
      <c r="I128" s="51">
        <v>0.75</v>
      </c>
      <c r="J128" s="51">
        <v>0.75</v>
      </c>
      <c r="K128" s="51">
        <v>0.75</v>
      </c>
      <c r="L128" s="51">
        <v>0.75</v>
      </c>
      <c r="M128" s="51">
        <v>0.75</v>
      </c>
      <c r="N128" s="51">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v>0.57999999999999996</v>
      </c>
      <c r="F131" s="64">
        <v>0.57999999999999996</v>
      </c>
      <c r="G131" s="64">
        <v>0.57999999999999996</v>
      </c>
      <c r="H131" s="64">
        <v>0.57999999999999996</v>
      </c>
      <c r="I131" s="64">
        <v>0.57999999999999996</v>
      </c>
      <c r="J131" s="64">
        <v>0.57999999999999996</v>
      </c>
      <c r="K131" s="64">
        <v>0.57999999999999996</v>
      </c>
      <c r="L131" s="64">
        <v>0.57999999999999996</v>
      </c>
      <c r="M131" s="64">
        <v>0.57999999999999996</v>
      </c>
      <c r="N131" s="64">
        <v>0.57999999999999996</v>
      </c>
      <c r="O131" s="2" t="s">
        <v>111</v>
      </c>
    </row>
    <row r="132" spans="4:15" ht="20.100000000000001" customHeight="1" x14ac:dyDescent="0.25">
      <c r="D132" s="1" t="str">
        <f>TEXT(EDATE('Input - Site'!$E$12,1), "mmmm yyyy")</f>
        <v>February 2025</v>
      </c>
      <c r="E132" s="64">
        <v>0.57999999999999996</v>
      </c>
      <c r="F132" s="64">
        <v>0.57999999999999996</v>
      </c>
      <c r="G132" s="64">
        <v>0.57999999999999996</v>
      </c>
      <c r="H132" s="64">
        <v>0.57999999999999996</v>
      </c>
      <c r="I132" s="64">
        <v>0.57999999999999996</v>
      </c>
      <c r="J132" s="64">
        <v>0.57999999999999996</v>
      </c>
      <c r="K132" s="64">
        <v>0.57999999999999996</v>
      </c>
      <c r="L132" s="64">
        <v>0.57999999999999996</v>
      </c>
      <c r="M132" s="64">
        <v>0.57999999999999996</v>
      </c>
      <c r="N132" s="64">
        <v>0.57999999999999996</v>
      </c>
      <c r="O132" s="2" t="s">
        <v>111</v>
      </c>
    </row>
    <row r="133" spans="4:15" ht="20.100000000000001" customHeight="1" x14ac:dyDescent="0.25">
      <c r="D133" s="1" t="str">
        <f>TEXT(EDATE('Input - Site'!$E$12,2), "mmmm yyyy")</f>
        <v>March 2025</v>
      </c>
      <c r="E133" s="64">
        <v>0.5</v>
      </c>
      <c r="F133" s="64">
        <v>0.5</v>
      </c>
      <c r="G133" s="64">
        <v>0.5</v>
      </c>
      <c r="H133" s="64">
        <v>0.5</v>
      </c>
      <c r="I133" s="64">
        <v>0.5</v>
      </c>
      <c r="J133" s="64">
        <v>0.5</v>
      </c>
      <c r="K133" s="64">
        <v>0.5</v>
      </c>
      <c r="L133" s="64">
        <v>0.5</v>
      </c>
      <c r="M133" s="64">
        <v>0.5</v>
      </c>
      <c r="N133" s="64">
        <v>0.5</v>
      </c>
      <c r="O133" s="2" t="s">
        <v>111</v>
      </c>
    </row>
    <row r="134" spans="4:15" ht="20.100000000000001" customHeight="1" x14ac:dyDescent="0.25">
      <c r="D134" s="1" t="str">
        <f>TEXT(EDATE('Input - Site'!$E$12,3), "mmmm yyyy")</f>
        <v>April 2025</v>
      </c>
      <c r="E134" s="64">
        <v>0.5</v>
      </c>
      <c r="F134" s="64">
        <v>0.5</v>
      </c>
      <c r="G134" s="64">
        <v>0.5</v>
      </c>
      <c r="H134" s="64">
        <v>0.5</v>
      </c>
      <c r="I134" s="64">
        <v>0.5</v>
      </c>
      <c r="J134" s="64">
        <v>0.5</v>
      </c>
      <c r="K134" s="64">
        <v>0.5</v>
      </c>
      <c r="L134" s="64">
        <v>0.5</v>
      </c>
      <c r="M134" s="64">
        <v>0.5</v>
      </c>
      <c r="N134" s="64">
        <v>0.5</v>
      </c>
      <c r="O134" s="2" t="s">
        <v>111</v>
      </c>
    </row>
    <row r="135" spans="4:15" ht="20.100000000000001" customHeight="1" x14ac:dyDescent="0.25">
      <c r="D135" s="1" t="str">
        <f>TEXT(EDATE('Input - Site'!$E$12,4), "mmmm yyyy")</f>
        <v>May 2025</v>
      </c>
      <c r="E135" s="64">
        <v>0.5</v>
      </c>
      <c r="F135" s="64">
        <v>0.5</v>
      </c>
      <c r="G135" s="64">
        <v>0.5</v>
      </c>
      <c r="H135" s="64">
        <v>0.5</v>
      </c>
      <c r="I135" s="64">
        <v>0.5</v>
      </c>
      <c r="J135" s="64">
        <v>0.5</v>
      </c>
      <c r="K135" s="64">
        <v>0.5</v>
      </c>
      <c r="L135" s="64">
        <v>0.5</v>
      </c>
      <c r="M135" s="64">
        <v>0.5</v>
      </c>
      <c r="N135" s="64">
        <v>0.5</v>
      </c>
      <c r="O135" s="2" t="s">
        <v>111</v>
      </c>
    </row>
    <row r="136" spans="4:15" ht="20.100000000000001" customHeight="1" x14ac:dyDescent="0.25">
      <c r="D136" s="1" t="str">
        <f>TEXT(EDATE('Input - Site'!$E$12,5), "mmmm yyyy")</f>
        <v>June 2025</v>
      </c>
      <c r="E136" s="64">
        <v>0.75</v>
      </c>
      <c r="F136" s="64">
        <v>0.75</v>
      </c>
      <c r="G136" s="64">
        <v>0.75</v>
      </c>
      <c r="H136" s="64">
        <v>0.75</v>
      </c>
      <c r="I136" s="64">
        <v>0.75</v>
      </c>
      <c r="J136" s="64">
        <v>0.75</v>
      </c>
      <c r="K136" s="64">
        <v>0.75</v>
      </c>
      <c r="L136" s="64">
        <v>0.75</v>
      </c>
      <c r="M136" s="64">
        <v>0.75</v>
      </c>
      <c r="N136" s="64">
        <v>0.75</v>
      </c>
      <c r="O136" s="2" t="s">
        <v>111</v>
      </c>
    </row>
    <row r="137" spans="4:15" ht="20.100000000000001" customHeight="1" x14ac:dyDescent="0.25">
      <c r="D137" s="1" t="str">
        <f>TEXT(EDATE('Input - Site'!$E$12,6), "mmmm yyyy")</f>
        <v>July 2025</v>
      </c>
      <c r="E137" s="64">
        <v>0.75</v>
      </c>
      <c r="F137" s="64">
        <v>0.75</v>
      </c>
      <c r="G137" s="64">
        <v>0.75</v>
      </c>
      <c r="H137" s="64">
        <v>0.75</v>
      </c>
      <c r="I137" s="64">
        <v>0.75</v>
      </c>
      <c r="J137" s="64">
        <v>0.75</v>
      </c>
      <c r="K137" s="64">
        <v>0.75</v>
      </c>
      <c r="L137" s="64">
        <v>0.75</v>
      </c>
      <c r="M137" s="64">
        <v>0.75</v>
      </c>
      <c r="N137" s="64">
        <v>0.75</v>
      </c>
      <c r="O137" s="2" t="s">
        <v>111</v>
      </c>
    </row>
    <row r="138" spans="4:15" ht="20.100000000000001" customHeight="1" x14ac:dyDescent="0.25">
      <c r="D138" s="1" t="str">
        <f>TEXT(EDATE('Input - Site'!$E$12,7), "mmmm yyyy")</f>
        <v>August 2025</v>
      </c>
      <c r="E138" s="64">
        <v>0.75</v>
      </c>
      <c r="F138" s="64">
        <v>0.75</v>
      </c>
      <c r="G138" s="64">
        <v>0.75</v>
      </c>
      <c r="H138" s="64">
        <v>0.75</v>
      </c>
      <c r="I138" s="64">
        <v>0.75</v>
      </c>
      <c r="J138" s="64">
        <v>0.75</v>
      </c>
      <c r="K138" s="64">
        <v>0.75</v>
      </c>
      <c r="L138" s="64">
        <v>0.75</v>
      </c>
      <c r="M138" s="64">
        <v>0.75</v>
      </c>
      <c r="N138" s="64">
        <v>0.75</v>
      </c>
      <c r="O138" s="2" t="s">
        <v>111</v>
      </c>
    </row>
    <row r="139" spans="4:15" ht="20.100000000000001" customHeight="1" x14ac:dyDescent="0.25">
      <c r="D139" s="1" t="str">
        <f>TEXT(EDATE('Input - Site'!$E$12,8), "mmmm yyyy")</f>
        <v>September 2025</v>
      </c>
      <c r="E139" s="64">
        <v>0.8</v>
      </c>
      <c r="F139" s="64">
        <v>0.8</v>
      </c>
      <c r="G139" s="64">
        <v>0.8</v>
      </c>
      <c r="H139" s="64">
        <v>0.8</v>
      </c>
      <c r="I139" s="64">
        <v>0.8</v>
      </c>
      <c r="J139" s="64">
        <v>0.8</v>
      </c>
      <c r="K139" s="64">
        <v>0.8</v>
      </c>
      <c r="L139" s="64">
        <v>0.8</v>
      </c>
      <c r="M139" s="64">
        <v>0.8</v>
      </c>
      <c r="N139" s="64">
        <v>0.8</v>
      </c>
      <c r="O139" s="2" t="s">
        <v>111</v>
      </c>
    </row>
    <row r="140" spans="4:15" ht="20.100000000000001" customHeight="1" x14ac:dyDescent="0.25">
      <c r="D140" s="1" t="str">
        <f>TEXT(EDATE('Input - Site'!$E$12,9), "mmmm yyyy")</f>
        <v>October 2025</v>
      </c>
      <c r="E140" s="64">
        <v>0.8</v>
      </c>
      <c r="F140" s="64">
        <v>0.8</v>
      </c>
      <c r="G140" s="64">
        <v>0.8</v>
      </c>
      <c r="H140" s="64">
        <v>0.8</v>
      </c>
      <c r="I140" s="64">
        <v>0.8</v>
      </c>
      <c r="J140" s="64">
        <v>0.8</v>
      </c>
      <c r="K140" s="64">
        <v>0.8</v>
      </c>
      <c r="L140" s="64">
        <v>0.8</v>
      </c>
      <c r="M140" s="64">
        <v>0.8</v>
      </c>
      <c r="N140" s="64">
        <v>0.8</v>
      </c>
      <c r="O140" s="2" t="s">
        <v>111</v>
      </c>
    </row>
    <row r="141" spans="4:15" ht="20.100000000000001" customHeight="1" x14ac:dyDescent="0.25">
      <c r="D141" s="1" t="str">
        <f>TEXT(EDATE('Input - Site'!$E$12,10), "mmmm yyyy")</f>
        <v>November 2025</v>
      </c>
      <c r="E141" s="64">
        <v>0.8</v>
      </c>
      <c r="F141" s="64">
        <v>0.8</v>
      </c>
      <c r="G141" s="64">
        <v>0.8</v>
      </c>
      <c r="H141" s="64">
        <v>0.8</v>
      </c>
      <c r="I141" s="64">
        <v>0.8</v>
      </c>
      <c r="J141" s="64">
        <v>0.8</v>
      </c>
      <c r="K141" s="64">
        <v>0.8</v>
      </c>
      <c r="L141" s="64">
        <v>0.8</v>
      </c>
      <c r="M141" s="64">
        <v>0.8</v>
      </c>
      <c r="N141" s="64">
        <v>0.8</v>
      </c>
      <c r="O141" s="2" t="s">
        <v>111</v>
      </c>
    </row>
    <row r="142" spans="4:15" ht="20.100000000000001" customHeight="1" x14ac:dyDescent="0.25">
      <c r="D142" s="1" t="str">
        <f>TEXT(EDATE('Input - Site'!$E$12,11), "mmmm yyyy")</f>
        <v>December 2025</v>
      </c>
      <c r="E142" s="64">
        <v>0.57999999999999996</v>
      </c>
      <c r="F142" s="64">
        <v>0.57999999999999996</v>
      </c>
      <c r="G142" s="64">
        <v>0.57999999999999996</v>
      </c>
      <c r="H142" s="64">
        <v>0.57999999999999996</v>
      </c>
      <c r="I142" s="64">
        <v>0.57999999999999996</v>
      </c>
      <c r="J142" s="64">
        <v>0.57999999999999996</v>
      </c>
      <c r="K142" s="64">
        <v>0.57999999999999996</v>
      </c>
      <c r="L142" s="64">
        <v>0.57999999999999996</v>
      </c>
      <c r="M142" s="64">
        <v>0.57999999999999996</v>
      </c>
      <c r="N142" s="64">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v>0.2</v>
      </c>
      <c r="F147" s="51">
        <v>0.2</v>
      </c>
      <c r="G147" s="51">
        <v>0.2</v>
      </c>
      <c r="H147" s="51">
        <v>0.2</v>
      </c>
      <c r="I147" s="51">
        <v>0.2</v>
      </c>
      <c r="J147" s="51">
        <v>0.2</v>
      </c>
      <c r="K147" s="51">
        <v>0.2</v>
      </c>
      <c r="L147" s="51">
        <v>0.2</v>
      </c>
      <c r="M147" s="51">
        <v>0.2</v>
      </c>
      <c r="N147" s="51">
        <v>0.2</v>
      </c>
      <c r="O147" s="2" t="s">
        <v>111</v>
      </c>
    </row>
    <row r="148" spans="4:15" ht="20.100000000000001" customHeight="1" x14ac:dyDescent="0.25">
      <c r="D148" s="1" t="s">
        <v>134</v>
      </c>
      <c r="E148" s="51">
        <v>0.09</v>
      </c>
      <c r="F148" s="51">
        <v>0.09</v>
      </c>
      <c r="G148" s="51">
        <v>0.09</v>
      </c>
      <c r="H148" s="51">
        <v>0.09</v>
      </c>
      <c r="I148" s="51">
        <v>0.09</v>
      </c>
      <c r="J148" s="51">
        <v>0.09</v>
      </c>
      <c r="K148" s="51">
        <v>0.09</v>
      </c>
      <c r="L148" s="51">
        <v>0.09</v>
      </c>
      <c r="M148" s="51">
        <v>0.09</v>
      </c>
      <c r="N148" s="51">
        <v>0.09</v>
      </c>
      <c r="O148" s="2" t="s">
        <v>111</v>
      </c>
    </row>
    <row r="149" spans="4:15" ht="20.100000000000001" customHeight="1" x14ac:dyDescent="0.25">
      <c r="D149" s="1" t="s">
        <v>135</v>
      </c>
      <c r="E149" s="51">
        <v>0.06</v>
      </c>
      <c r="F149" s="51">
        <v>0.06</v>
      </c>
      <c r="G149" s="51">
        <v>0.06</v>
      </c>
      <c r="H149" s="51">
        <v>0.06</v>
      </c>
      <c r="I149" s="51">
        <v>0.06</v>
      </c>
      <c r="J149" s="51">
        <v>0.06</v>
      </c>
      <c r="K149" s="51">
        <v>0.06</v>
      </c>
      <c r="L149" s="51">
        <v>0.06</v>
      </c>
      <c r="M149" s="51">
        <v>0.06</v>
      </c>
      <c r="N149" s="51">
        <v>0.06</v>
      </c>
      <c r="O149" s="2" t="s">
        <v>111</v>
      </c>
    </row>
    <row r="150" spans="4:15" ht="20.100000000000001" customHeight="1" x14ac:dyDescent="0.25">
      <c r="D150" s="1" t="s">
        <v>136</v>
      </c>
      <c r="E150" s="51">
        <v>0.2</v>
      </c>
      <c r="F150" s="51">
        <v>0.2</v>
      </c>
      <c r="G150" s="51">
        <v>0.2</v>
      </c>
      <c r="H150" s="51">
        <v>0.2</v>
      </c>
      <c r="I150" s="51">
        <v>0.2</v>
      </c>
      <c r="J150" s="51">
        <v>0.2</v>
      </c>
      <c r="K150" s="51">
        <v>0.2</v>
      </c>
      <c r="L150" s="51">
        <v>0.2</v>
      </c>
      <c r="M150" s="51">
        <v>0.2</v>
      </c>
      <c r="N150" s="51">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v>0.09</v>
      </c>
      <c r="F153" s="64">
        <v>0.09</v>
      </c>
      <c r="G153" s="64">
        <v>0.09</v>
      </c>
      <c r="H153" s="64">
        <v>0.09</v>
      </c>
      <c r="I153" s="64">
        <v>0.09</v>
      </c>
      <c r="J153" s="64">
        <v>0.09</v>
      </c>
      <c r="K153" s="64">
        <v>0.09</v>
      </c>
      <c r="L153" s="64">
        <v>0.09</v>
      </c>
      <c r="M153" s="64">
        <v>0.09</v>
      </c>
      <c r="N153" s="64">
        <v>0.09</v>
      </c>
      <c r="O153" s="2" t="s">
        <v>111</v>
      </c>
    </row>
    <row r="154" spans="4:15" ht="20.100000000000001" customHeight="1" x14ac:dyDescent="0.25">
      <c r="D154" s="1" t="str">
        <f>TEXT(EDATE('Input - Site'!$E$12,1), "mmmm yyyy")</f>
        <v>February 2025</v>
      </c>
      <c r="E154" s="64">
        <v>0.09</v>
      </c>
      <c r="F154" s="64">
        <v>0.09</v>
      </c>
      <c r="G154" s="64">
        <v>0.09</v>
      </c>
      <c r="H154" s="64">
        <v>0.09</v>
      </c>
      <c r="I154" s="64">
        <v>0.09</v>
      </c>
      <c r="J154" s="64">
        <v>0.09</v>
      </c>
      <c r="K154" s="64">
        <v>0.09</v>
      </c>
      <c r="L154" s="64">
        <v>0.09</v>
      </c>
      <c r="M154" s="64">
        <v>0.09</v>
      </c>
      <c r="N154" s="64">
        <v>0.09</v>
      </c>
      <c r="O154" s="2" t="s">
        <v>111</v>
      </c>
    </row>
    <row r="155" spans="4:15" ht="20.100000000000001" customHeight="1" x14ac:dyDescent="0.25">
      <c r="D155" s="1" t="str">
        <f>TEXT(EDATE('Input - Site'!$E$12,2), "mmmm yyyy")</f>
        <v>March 2025</v>
      </c>
      <c r="E155" s="64">
        <v>0.06</v>
      </c>
      <c r="F155" s="64">
        <v>0.06</v>
      </c>
      <c r="G155" s="64">
        <v>0.06</v>
      </c>
      <c r="H155" s="64">
        <v>0.06</v>
      </c>
      <c r="I155" s="64">
        <v>0.06</v>
      </c>
      <c r="J155" s="64">
        <v>0.06</v>
      </c>
      <c r="K155" s="64">
        <v>0.06</v>
      </c>
      <c r="L155" s="64">
        <v>0.06</v>
      </c>
      <c r="M155" s="64">
        <v>0.06</v>
      </c>
      <c r="N155" s="64">
        <v>0.06</v>
      </c>
      <c r="O155" s="2" t="s">
        <v>111</v>
      </c>
    </row>
    <row r="156" spans="4:15" ht="20.100000000000001" customHeight="1" x14ac:dyDescent="0.25">
      <c r="D156" s="1" t="str">
        <f>TEXT(EDATE('Input - Site'!$E$12,3), "mmmm yyyy")</f>
        <v>April 2025</v>
      </c>
      <c r="E156" s="64">
        <v>0.06</v>
      </c>
      <c r="F156" s="64">
        <v>0.06</v>
      </c>
      <c r="G156" s="64">
        <v>0.06</v>
      </c>
      <c r="H156" s="64">
        <v>0.06</v>
      </c>
      <c r="I156" s="64">
        <v>0.06</v>
      </c>
      <c r="J156" s="64">
        <v>0.06</v>
      </c>
      <c r="K156" s="64">
        <v>0.06</v>
      </c>
      <c r="L156" s="64">
        <v>0.06</v>
      </c>
      <c r="M156" s="64">
        <v>0.06</v>
      </c>
      <c r="N156" s="64">
        <v>0.06</v>
      </c>
      <c r="O156" s="2" t="s">
        <v>111</v>
      </c>
    </row>
    <row r="157" spans="4:15" ht="20.100000000000001" customHeight="1" x14ac:dyDescent="0.25">
      <c r="D157" s="1" t="str">
        <f>TEXT(EDATE('Input - Site'!$E$12,4), "mmmm yyyy")</f>
        <v>May 2025</v>
      </c>
      <c r="E157" s="64">
        <v>0.06</v>
      </c>
      <c r="F157" s="64">
        <v>0.06</v>
      </c>
      <c r="G157" s="64">
        <v>0.06</v>
      </c>
      <c r="H157" s="64">
        <v>0.06</v>
      </c>
      <c r="I157" s="64">
        <v>0.06</v>
      </c>
      <c r="J157" s="64">
        <v>0.06</v>
      </c>
      <c r="K157" s="64">
        <v>0.06</v>
      </c>
      <c r="L157" s="64">
        <v>0.06</v>
      </c>
      <c r="M157" s="64">
        <v>0.06</v>
      </c>
      <c r="N157" s="64">
        <v>0.06</v>
      </c>
      <c r="O157" s="2" t="s">
        <v>111</v>
      </c>
    </row>
    <row r="158" spans="4:15" ht="20.100000000000001" customHeight="1" x14ac:dyDescent="0.25">
      <c r="D158" s="1" t="str">
        <f>TEXT(EDATE('Input - Site'!$E$12,5), "mmmm yyyy")</f>
        <v>June 2025</v>
      </c>
      <c r="E158" s="64">
        <v>0.2</v>
      </c>
      <c r="F158" s="64">
        <v>0.2</v>
      </c>
      <c r="G158" s="64">
        <v>0.2</v>
      </c>
      <c r="H158" s="64">
        <v>0.2</v>
      </c>
      <c r="I158" s="64">
        <v>0.2</v>
      </c>
      <c r="J158" s="64">
        <v>0.2</v>
      </c>
      <c r="K158" s="64">
        <v>0.2</v>
      </c>
      <c r="L158" s="64">
        <v>0.2</v>
      </c>
      <c r="M158" s="64">
        <v>0.2</v>
      </c>
      <c r="N158" s="64">
        <v>0.2</v>
      </c>
      <c r="O158" s="2" t="s">
        <v>111</v>
      </c>
    </row>
    <row r="159" spans="4:15" ht="20.100000000000001" customHeight="1" x14ac:dyDescent="0.25">
      <c r="D159" s="1" t="str">
        <f>TEXT(EDATE('Input - Site'!$E$12,6), "mmmm yyyy")</f>
        <v>July 2025</v>
      </c>
      <c r="E159" s="64">
        <v>0.2</v>
      </c>
      <c r="F159" s="64">
        <v>0.2</v>
      </c>
      <c r="G159" s="64">
        <v>0.2</v>
      </c>
      <c r="H159" s="64">
        <v>0.2</v>
      </c>
      <c r="I159" s="64">
        <v>0.2</v>
      </c>
      <c r="J159" s="64">
        <v>0.2</v>
      </c>
      <c r="K159" s="64">
        <v>0.2</v>
      </c>
      <c r="L159" s="64">
        <v>0.2</v>
      </c>
      <c r="M159" s="64">
        <v>0.2</v>
      </c>
      <c r="N159" s="64">
        <v>0.2</v>
      </c>
      <c r="O159" s="2" t="s">
        <v>111</v>
      </c>
    </row>
    <row r="160" spans="4:15" ht="20.100000000000001" customHeight="1" x14ac:dyDescent="0.25">
      <c r="D160" s="1" t="str">
        <f>TEXT(EDATE('Input - Site'!$E$12,7), "mmmm yyyy")</f>
        <v>August 2025</v>
      </c>
      <c r="E160" s="64">
        <v>0.2</v>
      </c>
      <c r="F160" s="64">
        <v>0.2</v>
      </c>
      <c r="G160" s="64">
        <v>0.2</v>
      </c>
      <c r="H160" s="64">
        <v>0.2</v>
      </c>
      <c r="I160" s="64">
        <v>0.2</v>
      </c>
      <c r="J160" s="64">
        <v>0.2</v>
      </c>
      <c r="K160" s="64">
        <v>0.2</v>
      </c>
      <c r="L160" s="64">
        <v>0.2</v>
      </c>
      <c r="M160" s="64">
        <v>0.2</v>
      </c>
      <c r="N160" s="64">
        <v>0.2</v>
      </c>
      <c r="O160" s="2" t="s">
        <v>111</v>
      </c>
    </row>
    <row r="161" spans="4:15" ht="20.100000000000001" customHeight="1" x14ac:dyDescent="0.25">
      <c r="D161" s="1" t="str">
        <f>TEXT(EDATE('Input - Site'!$E$12,8), "mmmm yyyy")</f>
        <v>September 2025</v>
      </c>
      <c r="E161" s="64">
        <v>0.2</v>
      </c>
      <c r="F161" s="64">
        <v>0.2</v>
      </c>
      <c r="G161" s="64">
        <v>0.2</v>
      </c>
      <c r="H161" s="64">
        <v>0.2</v>
      </c>
      <c r="I161" s="64">
        <v>0.2</v>
      </c>
      <c r="J161" s="64">
        <v>0.2</v>
      </c>
      <c r="K161" s="64">
        <v>0.2</v>
      </c>
      <c r="L161" s="64">
        <v>0.2</v>
      </c>
      <c r="M161" s="64">
        <v>0.2</v>
      </c>
      <c r="N161" s="64">
        <v>0.2</v>
      </c>
      <c r="O161" s="2" t="s">
        <v>111</v>
      </c>
    </row>
    <row r="162" spans="4:15" ht="20.100000000000001" customHeight="1" x14ac:dyDescent="0.25">
      <c r="D162" s="1" t="str">
        <f>TEXT(EDATE('Input - Site'!$E$12,9), "mmmm yyyy")</f>
        <v>October 2025</v>
      </c>
      <c r="E162" s="64">
        <v>0.2</v>
      </c>
      <c r="F162" s="64">
        <v>0.2</v>
      </c>
      <c r="G162" s="64">
        <v>0.2</v>
      </c>
      <c r="H162" s="64">
        <v>0.2</v>
      </c>
      <c r="I162" s="64">
        <v>0.2</v>
      </c>
      <c r="J162" s="64">
        <v>0.2</v>
      </c>
      <c r="K162" s="64">
        <v>0.2</v>
      </c>
      <c r="L162" s="64">
        <v>0.2</v>
      </c>
      <c r="M162" s="64">
        <v>0.2</v>
      </c>
      <c r="N162" s="64">
        <v>0.2</v>
      </c>
      <c r="O162" s="2" t="s">
        <v>111</v>
      </c>
    </row>
    <row r="163" spans="4:15" ht="20.100000000000001" customHeight="1" x14ac:dyDescent="0.25">
      <c r="D163" s="1" t="str">
        <f>TEXT(EDATE('Input - Site'!$E$12,10), "mmmm yyyy")</f>
        <v>November 2025</v>
      </c>
      <c r="E163" s="64">
        <v>0.2</v>
      </c>
      <c r="F163" s="64">
        <v>0.2</v>
      </c>
      <c r="G163" s="64">
        <v>0.2</v>
      </c>
      <c r="H163" s="64">
        <v>0.2</v>
      </c>
      <c r="I163" s="64">
        <v>0.2</v>
      </c>
      <c r="J163" s="64">
        <v>0.2</v>
      </c>
      <c r="K163" s="64">
        <v>0.2</v>
      </c>
      <c r="L163" s="64">
        <v>0.2</v>
      </c>
      <c r="M163" s="64">
        <v>0.2</v>
      </c>
      <c r="N163" s="64">
        <v>0.2</v>
      </c>
      <c r="O163" s="2" t="s">
        <v>111</v>
      </c>
    </row>
    <row r="164" spans="4:15" ht="20.100000000000001" customHeight="1" x14ac:dyDescent="0.25">
      <c r="D164" s="1" t="str">
        <f>TEXT(EDATE('Input - Site'!$E$12,11), "mmmm yyyy")</f>
        <v>December 2025</v>
      </c>
      <c r="E164" s="64">
        <v>0.09</v>
      </c>
      <c r="F164" s="64">
        <v>0.09</v>
      </c>
      <c r="G164" s="64">
        <v>0.09</v>
      </c>
      <c r="H164" s="64">
        <v>0.09</v>
      </c>
      <c r="I164" s="64">
        <v>0.09</v>
      </c>
      <c r="J164" s="64">
        <v>0.09</v>
      </c>
      <c r="K164" s="64">
        <v>0.09</v>
      </c>
      <c r="L164" s="64">
        <v>0.09</v>
      </c>
      <c r="M164" s="64">
        <v>0.09</v>
      </c>
      <c r="N164" s="64">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0.42902562698668767</v>
      </c>
      <c r="W150" s="51" cm="1">
        <f t="array" ref="W150">EntericMethane_PastureBeef_Equations.VEERG_3_2_1_1__1_TotalAnnualMethaneFromEntericFermentation(W134,W98,W118)</f>
        <v>0.56764332003610807</v>
      </c>
      <c r="X150" s="51" cm="1">
        <f t="array" ref="X150">EntericMethane_PastureBeef_Equations.VEERG_3_2_1_1__1_TotalAnnualMethaneFromEntericFermentation(X134,X98,X118)</f>
        <v>0.36080086387679988</v>
      </c>
      <c r="Y150" s="51" cm="1">
        <f t="array" ref="Y150">EntericMethane_PastureBeef_Equations.VEERG_3_2_1_1__1_TotalAnnualMethaneFromEntericFermentation(Y134,Y98,Y118)</f>
        <v>0.47246909864107506</v>
      </c>
      <c r="Z150" s="51" cm="1">
        <f t="array" ref="Z150">EntericMethane_PastureBeef_Equations.VEERG_3_2_1_1__1_TotalAnnualMethaneFromEntericFermentation(Z134,Z98,Z118)</f>
        <v>0.46780221823300788</v>
      </c>
      <c r="AA150" s="51" cm="1">
        <f t="array" ref="AA150">EntericMethane_PastureBeef_Equations.VEERG_3_2_1_1__1_TotalAnnualMethaneFromEntericFermentation(AA134,AA98,AA118)</f>
        <v>0.46780221823300788</v>
      </c>
      <c r="AB150" s="51" cm="1">
        <f t="array" ref="AB150">EntericMethane_PastureBeef_Equations.VEERG_3_2_1_1__1_TotalAnnualMethaneFromEntericFermentation(AB134,AB98,AB118)</f>
        <v>0.39545608260268794</v>
      </c>
      <c r="AC150" s="51" cm="1">
        <f t="array" ref="AC150">EntericMethane_PastureBeef_Equations.VEERG_3_2_1_1__1_TotalAnnualMethaneFromEntericFermentation(AC134,AC98,AC118)</f>
        <v>0.4408045062730831</v>
      </c>
      <c r="AD150" s="51" cm="1">
        <f t="array" ref="AD150">EntericMethane_PastureBeef_Equations.VEERG_3_2_1_1__1_TotalAnnualMethaneFromEntericFermentation(AD134,AD98,AD118)</f>
        <v>0.4408045062730831</v>
      </c>
      <c r="AE150" s="51" cm="1">
        <f t="array" ref="AE150">EntericMethane_PastureBeef_Equations.VEERG_3_2_1_1__1_TotalAnnualMethaneFromEntericFermentation(AE134,AE98,AE118)</f>
        <v>0.4408045062730831</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56.163952698425533</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56.163952698425533</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1572.5906755559149</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36</vt:i4>
      </vt:variant>
    </vt:vector>
  </HeadingPairs>
  <TitlesOfParts>
    <vt:vector size="45"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2026-06-12T01:04:02Z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